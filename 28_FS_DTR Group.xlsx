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fad/FIR/00.BI REPORT/DataFS/DTR Group/"/>
    </mc:Choice>
  </mc:AlternateContent>
  <xr:revisionPtr revIDLastSave="591" documentId="8_{2AE76168-AE60-41FD-85C5-A81028AA64B6}" xr6:coauthVersionLast="47" xr6:coauthVersionMax="47" xr10:uidLastSave="{A1AE9603-CD2C-4B05-B6C0-368B9504F38F}"/>
  <workbookProtection workbookAlgorithmName="SHA-512" workbookHashValue="hZ1hWZfUK7Qsj5uqA1N3G8rTHF5UiWfwKEEORxP+PxrthexebMsuTlNVKTnnzRw95ALxV0WkKqRucSlQ8Av9Lw==" workbookSaltValue="+S5VqcvTrDP1KPq1An9nFA==" workbookSpinCount="100000" lockStructure="1"/>
  <bookViews>
    <workbookView xWindow="5955" yWindow="23880" windowWidth="29040" windowHeight="15720" tabRatio="853" activeTab="7" xr2:uid="{46F8877F-5390-4559-8B83-54747D31648D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state="hidden" r:id="rId12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BLQ'!$A$8:$R$8</definedName>
    <definedName name="_xlnm._FilterDatabase" localSheetId="6" hidden="1">'Tinh hinh tai chinh'!$B$3:$O$194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4" i="3" l="1"/>
  <c r="BO44" i="3"/>
  <c r="BN44" i="3"/>
  <c r="BM44" i="3"/>
  <c r="BL44" i="3"/>
  <c r="BB5" i="3" l="1"/>
  <c r="BB13" i="3" s="1"/>
  <c r="BB23" i="3" s="1"/>
  <c r="BB41" i="3" s="1"/>
  <c r="BB32" i="3"/>
  <c r="BB40" i="3"/>
  <c r="BQ13" i="3" l="1"/>
  <c r="BP13" i="3"/>
  <c r="BO13" i="3"/>
  <c r="BN13" i="3"/>
  <c r="BM13" i="3"/>
  <c r="BL13" i="3"/>
  <c r="BK32" i="3"/>
  <c r="BL5" i="3" l="1"/>
  <c r="BL8" i="4"/>
  <c r="BL9" i="4"/>
  <c r="BL10" i="4"/>
  <c r="BL11" i="4" s="1"/>
  <c r="BL12" i="4"/>
  <c r="BL16" i="4"/>
  <c r="BL29" i="4"/>
  <c r="BL30" i="4"/>
  <c r="BL31" i="4"/>
  <c r="BL32" i="4"/>
  <c r="BL33" i="4"/>
  <c r="BL34" i="4"/>
  <c r="BL35" i="4" s="1"/>
  <c r="BL36" i="4"/>
  <c r="BL37" i="4"/>
  <c r="BL38" i="4"/>
  <c r="BL39" i="4" s="1"/>
  <c r="BL40" i="4"/>
  <c r="BL48" i="4"/>
  <c r="BL49" i="4"/>
  <c r="BL54" i="4"/>
  <c r="BL55" i="4"/>
  <c r="BL56" i="4"/>
  <c r="BL57" i="4"/>
  <c r="BP67" i="5"/>
  <c r="BP49" i="5"/>
  <c r="BP31" i="5"/>
  <c r="BP13" i="5"/>
  <c r="BP4" i="5"/>
  <c r="BP5" i="3"/>
  <c r="BO5" i="3"/>
  <c r="BN5" i="3"/>
  <c r="BM5" i="3"/>
  <c r="BP7" i="2"/>
  <c r="BP9" i="2" s="1"/>
  <c r="BP16" i="2" s="1"/>
  <c r="BP19" i="2"/>
  <c r="BO67" i="5"/>
  <c r="BO31" i="5"/>
  <c r="BO13" i="5"/>
  <c r="BO4" i="5"/>
  <c r="BO12" i="4"/>
  <c r="BO56" i="4"/>
  <c r="BO57" i="4" s="1"/>
  <c r="BN56" i="4"/>
  <c r="BN57" i="4" s="1"/>
  <c r="BM56" i="4"/>
  <c r="BM57" i="4" s="1"/>
  <c r="BO55" i="4"/>
  <c r="BN55" i="4"/>
  <c r="BM55" i="4"/>
  <c r="BO54" i="4"/>
  <c r="BN54" i="4"/>
  <c r="BM54" i="4"/>
  <c r="BO49" i="4"/>
  <c r="BN49" i="4"/>
  <c r="BM49" i="4"/>
  <c r="BO40" i="4"/>
  <c r="BN40" i="4"/>
  <c r="BM40" i="4"/>
  <c r="BO38" i="4"/>
  <c r="BN38" i="4"/>
  <c r="BM38" i="4"/>
  <c r="BO36" i="4"/>
  <c r="BN36" i="4"/>
  <c r="BM36" i="4"/>
  <c r="BO34" i="4"/>
  <c r="BN34" i="4"/>
  <c r="BM34" i="4"/>
  <c r="BO32" i="4"/>
  <c r="BN32" i="4"/>
  <c r="BM32" i="4"/>
  <c r="BO30" i="4"/>
  <c r="BN30" i="4"/>
  <c r="BM30" i="4"/>
  <c r="BO16" i="4"/>
  <c r="BN16" i="4"/>
  <c r="BM16" i="4"/>
  <c r="BK16" i="4"/>
  <c r="BN12" i="4"/>
  <c r="BM12" i="4"/>
  <c r="BO10" i="4"/>
  <c r="BO11" i="4" s="1"/>
  <c r="BN10" i="4"/>
  <c r="BN11" i="4" s="1"/>
  <c r="BM10" i="4"/>
  <c r="BM11" i="4" s="1"/>
  <c r="BO9" i="4"/>
  <c r="BN9" i="4"/>
  <c r="BM9" i="4"/>
  <c r="AZ9" i="4"/>
  <c r="BA9" i="4"/>
  <c r="BB9" i="4"/>
  <c r="BC9" i="4"/>
  <c r="BD9" i="4"/>
  <c r="BE9" i="4"/>
  <c r="BE11" i="4" s="1"/>
  <c r="BF9" i="4"/>
  <c r="BG9" i="4"/>
  <c r="BH9" i="4"/>
  <c r="BI9" i="4"/>
  <c r="BJ9" i="4"/>
  <c r="BK9" i="4"/>
  <c r="AZ10" i="4"/>
  <c r="AZ11" i="4" s="1"/>
  <c r="BA10" i="4"/>
  <c r="BB10" i="4"/>
  <c r="BB11" i="4" s="1"/>
  <c r="BC10" i="4"/>
  <c r="BC11" i="4" s="1"/>
  <c r="BD10" i="4"/>
  <c r="BE10" i="4"/>
  <c r="BF10" i="4"/>
  <c r="BG10" i="4"/>
  <c r="BH10" i="4"/>
  <c r="BI10" i="4"/>
  <c r="BI11" i="4" s="1"/>
  <c r="BJ10" i="4"/>
  <c r="BK10" i="4"/>
  <c r="BD11" i="4"/>
  <c r="BF11" i="4"/>
  <c r="AZ12" i="4"/>
  <c r="AZ37" i="4" s="1"/>
  <c r="BA12" i="4"/>
  <c r="BB12" i="4"/>
  <c r="BC12" i="4"/>
  <c r="BC29" i="4" s="1"/>
  <c r="BD12" i="4"/>
  <c r="BE12" i="4"/>
  <c r="BE57" i="4" s="1"/>
  <c r="BF12" i="4"/>
  <c r="BG12" i="4"/>
  <c r="BH12" i="4"/>
  <c r="BI12" i="4"/>
  <c r="BJ12" i="4"/>
  <c r="BK12" i="4"/>
  <c r="BK31" i="4" s="1"/>
  <c r="AZ16" i="4"/>
  <c r="AZ29" i="4" s="1"/>
  <c r="BA16" i="4"/>
  <c r="BB16" i="4"/>
  <c r="BB29" i="4" s="1"/>
  <c r="BC16" i="4"/>
  <c r="BD16" i="4"/>
  <c r="BE16" i="4"/>
  <c r="BF16" i="4"/>
  <c r="BF29" i="4" s="1"/>
  <c r="BG16" i="4"/>
  <c r="BG29" i="4" s="1"/>
  <c r="BH16" i="4"/>
  <c r="BH29" i="4" s="1"/>
  <c r="BI16" i="4"/>
  <c r="BI29" i="4" s="1"/>
  <c r="BJ16" i="4"/>
  <c r="BJ29" i="4" s="1"/>
  <c r="BK29" i="4"/>
  <c r="AZ30" i="4"/>
  <c r="BA30" i="4"/>
  <c r="BB30" i="4"/>
  <c r="BC30" i="4"/>
  <c r="BD30" i="4"/>
  <c r="BE30" i="4"/>
  <c r="BF30" i="4"/>
  <c r="BF31" i="4" s="1"/>
  <c r="BG30" i="4"/>
  <c r="BG31" i="4" s="1"/>
  <c r="BH30" i="4"/>
  <c r="BI30" i="4"/>
  <c r="BJ30" i="4"/>
  <c r="BK30" i="4"/>
  <c r="AZ32" i="4"/>
  <c r="AZ33" i="4" s="1"/>
  <c r="BA32" i="4"/>
  <c r="BB32" i="4"/>
  <c r="BC32" i="4"/>
  <c r="BD32" i="4"/>
  <c r="BE32" i="4"/>
  <c r="BE33" i="4" s="1"/>
  <c r="BF32" i="4"/>
  <c r="BF33" i="4" s="1"/>
  <c r="BG32" i="4"/>
  <c r="BG33" i="4" s="1"/>
  <c r="BH32" i="4"/>
  <c r="BH33" i="4" s="1"/>
  <c r="BI32" i="4"/>
  <c r="BI33" i="4" s="1"/>
  <c r="BJ32" i="4"/>
  <c r="BJ33" i="4" s="1"/>
  <c r="BK32" i="4"/>
  <c r="BA33" i="4"/>
  <c r="BB33" i="4"/>
  <c r="AZ34" i="4"/>
  <c r="BA34" i="4"/>
  <c r="BB34" i="4"/>
  <c r="BB35" i="4" s="1"/>
  <c r="BC34" i="4"/>
  <c r="BD34" i="4"/>
  <c r="BE34" i="4"/>
  <c r="BF34" i="4"/>
  <c r="BF35" i="4" s="1"/>
  <c r="BG34" i="4"/>
  <c r="BG35" i="4" s="1"/>
  <c r="BH34" i="4"/>
  <c r="BI34" i="4"/>
  <c r="BJ34" i="4"/>
  <c r="BK34" i="4"/>
  <c r="BK35" i="4" s="1"/>
  <c r="AZ36" i="4"/>
  <c r="BA36" i="4"/>
  <c r="BA37" i="4" s="1"/>
  <c r="BB36" i="4"/>
  <c r="BB37" i="4" s="1"/>
  <c r="BC36" i="4"/>
  <c r="BC37" i="4" s="1"/>
  <c r="BD36" i="4"/>
  <c r="BD37" i="4" s="1"/>
  <c r="BE36" i="4"/>
  <c r="BF36" i="4"/>
  <c r="BF37" i="4" s="1"/>
  <c r="BG36" i="4"/>
  <c r="BG37" i="4" s="1"/>
  <c r="BH36" i="4"/>
  <c r="BH37" i="4" s="1"/>
  <c r="BI36" i="4"/>
  <c r="BI37" i="4" s="1"/>
  <c r="BJ36" i="4"/>
  <c r="BJ37" i="4" s="1"/>
  <c r="BK36" i="4"/>
  <c r="BK37" i="4" s="1"/>
  <c r="AZ38" i="4"/>
  <c r="BA38" i="4"/>
  <c r="BA39" i="4" s="1"/>
  <c r="BB38" i="4"/>
  <c r="BC38" i="4"/>
  <c r="BD38" i="4"/>
  <c r="BE38" i="4"/>
  <c r="BF38" i="4"/>
  <c r="BF39" i="4" s="1"/>
  <c r="BG38" i="4"/>
  <c r="BG39" i="4" s="1"/>
  <c r="BH38" i="4"/>
  <c r="BI38" i="4"/>
  <c r="BJ38" i="4"/>
  <c r="BK38" i="4"/>
  <c r="BK39" i="4"/>
  <c r="AZ40" i="4"/>
  <c r="AZ48" i="4" s="1"/>
  <c r="BA40" i="4"/>
  <c r="BB40" i="4"/>
  <c r="BB48" i="4" s="1"/>
  <c r="BC40" i="4"/>
  <c r="BC48" i="4" s="1"/>
  <c r="BD40" i="4"/>
  <c r="BE40" i="4"/>
  <c r="BF40" i="4"/>
  <c r="BF48" i="4" s="1"/>
  <c r="BG40" i="4"/>
  <c r="BG48" i="4" s="1"/>
  <c r="BH40" i="4"/>
  <c r="BH48" i="4" s="1"/>
  <c r="BI40" i="4"/>
  <c r="BI48" i="4" s="1"/>
  <c r="BJ40" i="4"/>
  <c r="BJ48" i="4" s="1"/>
  <c r="BK40" i="4"/>
  <c r="BK48" i="4" s="1"/>
  <c r="AZ49" i="4"/>
  <c r="BA49" i="4"/>
  <c r="BB49" i="4"/>
  <c r="BC49" i="4"/>
  <c r="BD49" i="4"/>
  <c r="BE49" i="4"/>
  <c r="BF49" i="4"/>
  <c r="BF54" i="4" s="1"/>
  <c r="BG49" i="4"/>
  <c r="BG54" i="4" s="1"/>
  <c r="BH49" i="4"/>
  <c r="BI49" i="4"/>
  <c r="BJ49" i="4"/>
  <c r="BK49" i="4"/>
  <c r="BK54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AZ56" i="4"/>
  <c r="BA56" i="4"/>
  <c r="BB56" i="4"/>
  <c r="BC56" i="4"/>
  <c r="BD56" i="4"/>
  <c r="BD57" i="4" s="1"/>
  <c r="BE56" i="4"/>
  <c r="BF56" i="4"/>
  <c r="BF57" i="4" s="1"/>
  <c r="BG56" i="4"/>
  <c r="BG57" i="4" s="1"/>
  <c r="BH56" i="4"/>
  <c r="BH57" i="4" s="1"/>
  <c r="BI56" i="4"/>
  <c r="BI57" i="4" s="1"/>
  <c r="BJ56" i="4"/>
  <c r="BJ57" i="4" s="1"/>
  <c r="BK56" i="4"/>
  <c r="BJ35" i="4" l="1"/>
  <c r="BJ11" i="4"/>
  <c r="BI35" i="4"/>
  <c r="BH11" i="4"/>
  <c r="BH39" i="4"/>
  <c r="BG11" i="4"/>
  <c r="BE37" i="4"/>
  <c r="BE29" i="4"/>
  <c r="BE39" i="4"/>
  <c r="BE48" i="4"/>
  <c r="BE31" i="4"/>
  <c r="BE54" i="4"/>
  <c r="BE35" i="4"/>
  <c r="BD29" i="4"/>
  <c r="BD48" i="4"/>
  <c r="BD33" i="4"/>
  <c r="BD39" i="4"/>
  <c r="BD31" i="4"/>
  <c r="BD54" i="4"/>
  <c r="BD35" i="4"/>
  <c r="BC33" i="4"/>
  <c r="BC39" i="4"/>
  <c r="BC57" i="4"/>
  <c r="BC31" i="4"/>
  <c r="BC54" i="4"/>
  <c r="BC35" i="4"/>
  <c r="BB31" i="4"/>
  <c r="BB39" i="4"/>
  <c r="BB57" i="4"/>
  <c r="BB54" i="4"/>
  <c r="BA29" i="4"/>
  <c r="BA48" i="4"/>
  <c r="BA11" i="4"/>
  <c r="BA54" i="4"/>
  <c r="BA31" i="4"/>
  <c r="BA57" i="4"/>
  <c r="BA35" i="4"/>
  <c r="AZ57" i="4"/>
  <c r="AZ54" i="4"/>
  <c r="AZ35" i="4"/>
  <c r="AZ31" i="4"/>
  <c r="AZ39" i="4"/>
  <c r="BK11" i="4"/>
  <c r="BK57" i="4"/>
  <c r="BK33" i="4"/>
  <c r="BP20" i="2"/>
  <c r="BP23" i="2" s="1"/>
  <c r="BO49" i="5"/>
  <c r="BJ39" i="4"/>
  <c r="BI39" i="4"/>
  <c r="BJ31" i="4"/>
  <c r="BI54" i="4"/>
  <c r="BI31" i="4"/>
  <c r="BH54" i="4"/>
  <c r="BH35" i="4"/>
  <c r="BH31" i="4"/>
  <c r="BJ54" i="4"/>
  <c r="AZ5" i="3"/>
  <c r="BA32" i="3"/>
  <c r="BW8" i="4" l="1"/>
  <c r="BV8" i="4"/>
  <c r="BU8" i="4"/>
  <c r="BT8" i="4"/>
  <c r="BS8" i="4"/>
  <c r="BR8" i="4"/>
  <c r="BQ8" i="4"/>
  <c r="BN8" i="4"/>
  <c r="BM8" i="4"/>
  <c r="BN58" i="5" l="1"/>
  <c r="BN67" i="5"/>
  <c r="BN49" i="5"/>
  <c r="BN50" i="5"/>
  <c r="BN51" i="5"/>
  <c r="BN52" i="5"/>
  <c r="BN53" i="5"/>
  <c r="BN54" i="5"/>
  <c r="BN55" i="5"/>
  <c r="BN31" i="5"/>
  <c r="BN13" i="5"/>
  <c r="BN4" i="5"/>
  <c r="BM67" i="5" l="1"/>
  <c r="BM58" i="5"/>
  <c r="BM55" i="5"/>
  <c r="BM54" i="5"/>
  <c r="BM53" i="5"/>
  <c r="BM52" i="5"/>
  <c r="BM51" i="5"/>
  <c r="BM50" i="5"/>
  <c r="BM31" i="5"/>
  <c r="BM49" i="5" s="1"/>
  <c r="BM13" i="5"/>
  <c r="BM4" i="5"/>
  <c r="BL7" i="2" l="1"/>
  <c r="BL9" i="2" s="1"/>
  <c r="BL16" i="2" s="1"/>
  <c r="BM19" i="2"/>
  <c r="BM7" i="2"/>
  <c r="BM9" i="2" s="1"/>
  <c r="BM16" i="2" s="1"/>
  <c r="BM20" i="2" s="1"/>
  <c r="BM23" i="2" s="1"/>
  <c r="A2" i="11"/>
  <c r="A2" i="10"/>
  <c r="A2" i="9"/>
  <c r="D59" i="11" l="1"/>
  <c r="A59" i="11"/>
  <c r="F41" i="10"/>
  <c r="B41" i="10"/>
  <c r="B166" i="9"/>
  <c r="A166" i="9"/>
  <c r="BK4" i="5" l="1"/>
  <c r="BJ4" i="5"/>
  <c r="BI4" i="5"/>
  <c r="BH4" i="5"/>
  <c r="BG4" i="5"/>
  <c r="BF4" i="5"/>
  <c r="BE4" i="5"/>
  <c r="BD4" i="5"/>
  <c r="BC4" i="5"/>
  <c r="BB4" i="5"/>
  <c r="BA4" i="5"/>
  <c r="AZ4" i="5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O57" i="4" s="1"/>
  <c r="N56" i="4"/>
  <c r="M56" i="4"/>
  <c r="L56" i="4"/>
  <c r="K56" i="4"/>
  <c r="J56" i="4"/>
  <c r="I56" i="4"/>
  <c r="H56" i="4"/>
  <c r="G56" i="4"/>
  <c r="F56" i="4"/>
  <c r="E56" i="4"/>
  <c r="D56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C54" i="4" s="1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O54" i="4" s="1"/>
  <c r="N49" i="4"/>
  <c r="M49" i="4"/>
  <c r="L49" i="4"/>
  <c r="K49" i="4"/>
  <c r="J49" i="4"/>
  <c r="I49" i="4"/>
  <c r="H49" i="4"/>
  <c r="G49" i="4"/>
  <c r="F49" i="4"/>
  <c r="E49" i="4"/>
  <c r="D49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C48" i="4" s="1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O48" i="4" s="1"/>
  <c r="N40" i="4"/>
  <c r="M40" i="4"/>
  <c r="L40" i="4"/>
  <c r="K40" i="4"/>
  <c r="J40" i="4"/>
  <c r="I40" i="4"/>
  <c r="H40" i="4"/>
  <c r="G40" i="4"/>
  <c r="F40" i="4"/>
  <c r="E40" i="4"/>
  <c r="D40" i="4"/>
  <c r="AE38" i="4"/>
  <c r="R38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O37" i="4" s="1"/>
  <c r="N36" i="4"/>
  <c r="M36" i="4"/>
  <c r="L36" i="4"/>
  <c r="K36" i="4"/>
  <c r="J36" i="4"/>
  <c r="I36" i="4"/>
  <c r="H36" i="4"/>
  <c r="G36" i="4"/>
  <c r="F36" i="4"/>
  <c r="E36" i="4"/>
  <c r="D36" i="4"/>
  <c r="AM34" i="4"/>
  <c r="Z34" i="4"/>
  <c r="K34" i="4"/>
  <c r="AH30" i="4"/>
  <c r="AG30" i="4"/>
  <c r="T30" i="4"/>
  <c r="S30" i="4"/>
  <c r="F30" i="4"/>
  <c r="E30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C29" i="4" s="1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O29" i="4" s="1"/>
  <c r="N16" i="4"/>
  <c r="N29" i="4" s="1"/>
  <c r="M16" i="4"/>
  <c r="L16" i="4"/>
  <c r="K16" i="4"/>
  <c r="J16" i="4"/>
  <c r="I16" i="4"/>
  <c r="H16" i="4"/>
  <c r="G16" i="4"/>
  <c r="F16" i="4"/>
  <c r="E16" i="4"/>
  <c r="D16" i="4"/>
  <c r="AC12" i="4"/>
  <c r="AB12" i="4"/>
  <c r="O12" i="4"/>
  <c r="N12" i="4"/>
  <c r="AH11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M11" i="4" s="1"/>
  <c r="AL10" i="4"/>
  <c r="AL11" i="4" s="1"/>
  <c r="AK10" i="4"/>
  <c r="AJ10" i="4"/>
  <c r="AI10" i="4"/>
  <c r="AH10" i="4"/>
  <c r="AG10" i="4"/>
  <c r="AF10" i="4"/>
  <c r="AE10" i="4"/>
  <c r="AE11" i="4" s="1"/>
  <c r="AD10" i="4"/>
  <c r="AD11" i="4" s="1"/>
  <c r="AC10" i="4"/>
  <c r="AC11" i="4" s="1"/>
  <c r="AB10" i="4"/>
  <c r="AA10" i="4"/>
  <c r="Z10" i="4"/>
  <c r="Z11" i="4" s="1"/>
  <c r="Y10" i="4"/>
  <c r="Y11" i="4" s="1"/>
  <c r="X10" i="4"/>
  <c r="X11" i="4" s="1"/>
  <c r="W10" i="4"/>
  <c r="V10" i="4"/>
  <c r="U10" i="4"/>
  <c r="U11" i="4" s="1"/>
  <c r="T10" i="4"/>
  <c r="S10" i="4"/>
  <c r="R10" i="4"/>
  <c r="R11" i="4" s="1"/>
  <c r="Q10" i="4"/>
  <c r="Q11" i="4" s="1"/>
  <c r="P10" i="4"/>
  <c r="P11" i="4" s="1"/>
  <c r="O10" i="4"/>
  <c r="O11" i="4" s="1"/>
  <c r="N10" i="4"/>
  <c r="M10" i="4"/>
  <c r="L10" i="4"/>
  <c r="K10" i="4"/>
  <c r="K11" i="4" s="1"/>
  <c r="J10" i="4"/>
  <c r="J11" i="4" s="1"/>
  <c r="I10" i="4"/>
  <c r="H10" i="4"/>
  <c r="G10" i="4"/>
  <c r="G11" i="4" s="1"/>
  <c r="F10" i="4"/>
  <c r="E10" i="4"/>
  <c r="D10" i="4"/>
  <c r="AY9" i="4"/>
  <c r="AX9" i="4"/>
  <c r="AW9" i="4"/>
  <c r="AV9" i="4"/>
  <c r="AU9" i="4"/>
  <c r="AT9" i="4"/>
  <c r="AS9" i="4"/>
  <c r="AR9" i="4"/>
  <c r="AQ9" i="4"/>
  <c r="AP9" i="4"/>
  <c r="AP11" i="4" s="1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BW40" i="3"/>
  <c r="BV40" i="3"/>
  <c r="BU40" i="3"/>
  <c r="BT40" i="3"/>
  <c r="BS40" i="3"/>
  <c r="BR40" i="3"/>
  <c r="BQ40" i="3"/>
  <c r="BK40" i="3"/>
  <c r="BJ40" i="3"/>
  <c r="BI40" i="3"/>
  <c r="BH40" i="3"/>
  <c r="BG40" i="3"/>
  <c r="BF40" i="3"/>
  <c r="BE40" i="3"/>
  <c r="BD40" i="3"/>
  <c r="BC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W32" i="3"/>
  <c r="BV32" i="3"/>
  <c r="BU32" i="3"/>
  <c r="BT32" i="3"/>
  <c r="BS32" i="3"/>
  <c r="BR32" i="3"/>
  <c r="BQ32" i="3"/>
  <c r="BJ32" i="3"/>
  <c r="BI32" i="3"/>
  <c r="BH32" i="3"/>
  <c r="BG32" i="3"/>
  <c r="BF32" i="3"/>
  <c r="BE32" i="3"/>
  <c r="BD32" i="3"/>
  <c r="BC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S5" i="3"/>
  <c r="S13" i="3" s="1"/>
  <c r="S23" i="3" s="1"/>
  <c r="S41" i="3" s="1"/>
  <c r="R5" i="3"/>
  <c r="R13" i="3" s="1"/>
  <c r="R23" i="3" s="1"/>
  <c r="R41" i="3" s="1"/>
  <c r="BW19" i="2"/>
  <c r="BV19" i="2"/>
  <c r="BU19" i="2"/>
  <c r="BT19" i="2"/>
  <c r="BS19" i="2"/>
  <c r="BR19" i="2"/>
  <c r="BL19" i="2"/>
  <c r="BL20" i="2" s="1"/>
  <c r="BL23" i="2" s="1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T16" i="2"/>
  <c r="BW9" i="2"/>
  <c r="BW16" i="2" s="1"/>
  <c r="BT9" i="2"/>
  <c r="BW7" i="2"/>
  <c r="BV7" i="2"/>
  <c r="BV9" i="2" s="1"/>
  <c r="BV16" i="2" s="1"/>
  <c r="BU7" i="2"/>
  <c r="BU9" i="2" s="1"/>
  <c r="BU16" i="2" s="1"/>
  <c r="BU20" i="2" s="1"/>
  <c r="BU23" i="2" s="1"/>
  <c r="BT7" i="2"/>
  <c r="BS7" i="2"/>
  <c r="BS9" i="2" s="1"/>
  <c r="BS16" i="2" s="1"/>
  <c r="BS20" i="2" s="1"/>
  <c r="BS23" i="2" s="1"/>
  <c r="BR7" i="2"/>
  <c r="BR9" i="2" s="1"/>
  <c r="BR16" i="2" s="1"/>
  <c r="BR20" i="2" s="1"/>
  <c r="BR5" i="3" s="1"/>
  <c r="BR23" i="3" s="1"/>
  <c r="BR41" i="3" s="1"/>
  <c r="AY7" i="2"/>
  <c r="AY9" i="2" s="1"/>
  <c r="AY16" i="2" s="1"/>
  <c r="AX7" i="2"/>
  <c r="AX9" i="2" s="1"/>
  <c r="AX16" i="2" s="1"/>
  <c r="AX20" i="2" s="1"/>
  <c r="AX23" i="2" s="1"/>
  <c r="AX38" i="4" s="1"/>
  <c r="AW7" i="2"/>
  <c r="AW9" i="2" s="1"/>
  <c r="AW16" i="2" s="1"/>
  <c r="AV7" i="2"/>
  <c r="AV9" i="2" s="1"/>
  <c r="AV16" i="2" s="1"/>
  <c r="AU7" i="2"/>
  <c r="AU9" i="2" s="1"/>
  <c r="AU16" i="2" s="1"/>
  <c r="AU20" i="2" s="1"/>
  <c r="AU23" i="2" s="1"/>
  <c r="AU38" i="4" s="1"/>
  <c r="AT7" i="2"/>
  <c r="AT9" i="2" s="1"/>
  <c r="AT16" i="2" s="1"/>
  <c r="AS7" i="2"/>
  <c r="AS9" i="2" s="1"/>
  <c r="AS16" i="2" s="1"/>
  <c r="AR7" i="2"/>
  <c r="AQ7" i="2"/>
  <c r="AQ9" i="2" s="1"/>
  <c r="AQ16" i="2" s="1"/>
  <c r="AP7" i="2"/>
  <c r="AP9" i="2" s="1"/>
  <c r="AP16" i="2" s="1"/>
  <c r="AO7" i="2"/>
  <c r="AO9" i="2" s="1"/>
  <c r="AO16" i="2" s="1"/>
  <c r="AN7" i="2"/>
  <c r="AN9" i="2" s="1"/>
  <c r="AN16" i="2" s="1"/>
  <c r="AM7" i="2"/>
  <c r="AM9" i="2" s="1"/>
  <c r="AM16" i="2" s="1"/>
  <c r="AM20" i="2" s="1"/>
  <c r="AM23" i="2" s="1"/>
  <c r="AM38" i="4" s="1"/>
  <c r="AL7" i="2"/>
  <c r="AL9" i="2" s="1"/>
  <c r="AL16" i="2" s="1"/>
  <c r="AK7" i="2"/>
  <c r="AK9" i="2" s="1"/>
  <c r="AK16" i="2" s="1"/>
  <c r="AJ7" i="2"/>
  <c r="AJ9" i="2" s="1"/>
  <c r="AJ16" i="2" s="1"/>
  <c r="AI7" i="2"/>
  <c r="AI9" i="2" s="1"/>
  <c r="AI16" i="2" s="1"/>
  <c r="AI20" i="2" s="1"/>
  <c r="AI23" i="2" s="1"/>
  <c r="AI38" i="4" s="1"/>
  <c r="AH7" i="2"/>
  <c r="AH9" i="2" s="1"/>
  <c r="AH16" i="2" s="1"/>
  <c r="AG7" i="2"/>
  <c r="AG9" i="2" s="1"/>
  <c r="AG16" i="2" s="1"/>
  <c r="AF7" i="2"/>
  <c r="AF9" i="2" s="1"/>
  <c r="AF16" i="2" s="1"/>
  <c r="AE7" i="2"/>
  <c r="AE9" i="2" s="1"/>
  <c r="AE16" i="2" s="1"/>
  <c r="AE20" i="2" s="1"/>
  <c r="AE23" i="2" s="1"/>
  <c r="AD7" i="2"/>
  <c r="AC7" i="2"/>
  <c r="AC9" i="2" s="1"/>
  <c r="AC16" i="2" s="1"/>
  <c r="AB7" i="2"/>
  <c r="AB9" i="2" s="1"/>
  <c r="AB16" i="2" s="1"/>
  <c r="AA7" i="2"/>
  <c r="AA9" i="2" s="1"/>
  <c r="AA16" i="2" s="1"/>
  <c r="AA20" i="2" s="1"/>
  <c r="AA23" i="2" s="1"/>
  <c r="AA38" i="4" s="1"/>
  <c r="Z7" i="2"/>
  <c r="Z9" i="2" s="1"/>
  <c r="Z16" i="2" s="1"/>
  <c r="Z20" i="2" s="1"/>
  <c r="Z23" i="2" s="1"/>
  <c r="Z38" i="4" s="1"/>
  <c r="Y7" i="2"/>
  <c r="Y9" i="2" s="1"/>
  <c r="Y16" i="2" s="1"/>
  <c r="X7" i="2"/>
  <c r="X9" i="2" s="1"/>
  <c r="X16" i="2" s="1"/>
  <c r="W7" i="2"/>
  <c r="W9" i="2" s="1"/>
  <c r="W16" i="2" s="1"/>
  <c r="V7" i="2"/>
  <c r="V9" i="2" s="1"/>
  <c r="V16" i="2" s="1"/>
  <c r="V20" i="2" s="1"/>
  <c r="V23" i="2" s="1"/>
  <c r="V38" i="4" s="1"/>
  <c r="U7" i="2"/>
  <c r="U9" i="2" s="1"/>
  <c r="U16" i="2" s="1"/>
  <c r="T7" i="2"/>
  <c r="T9" i="2" s="1"/>
  <c r="T16" i="2" s="1"/>
  <c r="S7" i="2"/>
  <c r="S9" i="2" s="1"/>
  <c r="S16" i="2" s="1"/>
  <c r="S20" i="2" s="1"/>
  <c r="S23" i="2" s="1"/>
  <c r="S38" i="4" s="1"/>
  <c r="R7" i="2"/>
  <c r="R9" i="2" s="1"/>
  <c r="R16" i="2" s="1"/>
  <c r="R20" i="2" s="1"/>
  <c r="R23" i="2" s="1"/>
  <c r="Q7" i="2"/>
  <c r="Q9" i="2" s="1"/>
  <c r="Q16" i="2" s="1"/>
  <c r="P7" i="2"/>
  <c r="O7" i="2"/>
  <c r="O9" i="2" s="1"/>
  <c r="O16" i="2" s="1"/>
  <c r="N7" i="2"/>
  <c r="N9" i="2" s="1"/>
  <c r="N16" i="2" s="1"/>
  <c r="N20" i="2" s="1"/>
  <c r="N23" i="2" s="1"/>
  <c r="N38" i="4" s="1"/>
  <c r="N39" i="4" s="1"/>
  <c r="M7" i="2"/>
  <c r="M9" i="2" s="1"/>
  <c r="M16" i="2" s="1"/>
  <c r="L7" i="2"/>
  <c r="L9" i="2" s="1"/>
  <c r="L16" i="2" s="1"/>
  <c r="K7" i="2"/>
  <c r="K9" i="2" s="1"/>
  <c r="K16" i="2" s="1"/>
  <c r="K20" i="2" s="1"/>
  <c r="K23" i="2" s="1"/>
  <c r="K38" i="4" s="1"/>
  <c r="J7" i="2"/>
  <c r="J9" i="2" s="1"/>
  <c r="J16" i="2" s="1"/>
  <c r="I7" i="2"/>
  <c r="I9" i="2" s="1"/>
  <c r="I16" i="2" s="1"/>
  <c r="H7" i="2"/>
  <c r="H9" i="2" s="1"/>
  <c r="H16" i="2" s="1"/>
  <c r="G7" i="2"/>
  <c r="G9" i="2" s="1"/>
  <c r="G16" i="2" s="1"/>
  <c r="G20" i="2" s="1"/>
  <c r="G23" i="2" s="1"/>
  <c r="G38" i="4" s="1"/>
  <c r="F7" i="2"/>
  <c r="F9" i="2" s="1"/>
  <c r="F16" i="2" s="1"/>
  <c r="F20" i="2" s="1"/>
  <c r="F23" i="2" s="1"/>
  <c r="F38" i="4" s="1"/>
  <c r="E7" i="2"/>
  <c r="E9" i="2" s="1"/>
  <c r="E16" i="2" s="1"/>
  <c r="D7" i="2"/>
  <c r="D9" i="2" s="1"/>
  <c r="D16" i="2" s="1"/>
  <c r="AY126" i="1"/>
  <c r="AX126" i="1"/>
  <c r="AW126" i="1"/>
  <c r="AV126" i="1"/>
  <c r="AU126" i="1"/>
  <c r="AT126" i="1"/>
  <c r="AS126" i="1"/>
  <c r="AR126" i="1"/>
  <c r="AQ126" i="1"/>
  <c r="AP126" i="1"/>
  <c r="AO126" i="1"/>
  <c r="AO114" i="1" s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AY115" i="1"/>
  <c r="AX115" i="1"/>
  <c r="AW115" i="1"/>
  <c r="AV115" i="1"/>
  <c r="AU115" i="1"/>
  <c r="AT115" i="1"/>
  <c r="AS115" i="1"/>
  <c r="AR115" i="1"/>
  <c r="AQ115" i="1"/>
  <c r="AP115" i="1"/>
  <c r="AP114" i="1" s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Y114" i="1"/>
  <c r="AX114" i="1"/>
  <c r="AW114" i="1"/>
  <c r="AV114" i="1"/>
  <c r="AU114" i="1"/>
  <c r="AT114" i="1"/>
  <c r="AS114" i="1"/>
  <c r="AR114" i="1"/>
  <c r="AQ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AY82" i="1"/>
  <c r="AY129" i="1" s="1"/>
  <c r="AX82" i="1"/>
  <c r="AX129" i="1" s="1"/>
  <c r="AW82" i="1"/>
  <c r="AV82" i="1"/>
  <c r="AV129" i="1" s="1"/>
  <c r="AU82" i="1"/>
  <c r="AU129" i="1" s="1"/>
  <c r="AT82" i="1"/>
  <c r="AS82" i="1"/>
  <c r="AS129" i="1" s="1"/>
  <c r="AR82" i="1"/>
  <c r="AR129" i="1" s="1"/>
  <c r="AQ82" i="1"/>
  <c r="AQ129" i="1" s="1"/>
  <c r="AP82" i="1"/>
  <c r="AO82" i="1"/>
  <c r="AN82" i="1"/>
  <c r="AN129" i="1" s="1"/>
  <c r="AM82" i="1"/>
  <c r="AM129" i="1" s="1"/>
  <c r="AL82" i="1"/>
  <c r="AL129" i="1" s="1"/>
  <c r="AK82" i="1"/>
  <c r="AK129" i="1" s="1"/>
  <c r="AJ82" i="1"/>
  <c r="AJ129" i="1" s="1"/>
  <c r="AI82" i="1"/>
  <c r="AI129" i="1" s="1"/>
  <c r="AH82" i="1"/>
  <c r="AH129" i="1" s="1"/>
  <c r="AG82" i="1"/>
  <c r="AG129" i="1" s="1"/>
  <c r="AF82" i="1"/>
  <c r="AF129" i="1" s="1"/>
  <c r="AE82" i="1"/>
  <c r="AE129" i="1" s="1"/>
  <c r="AD82" i="1"/>
  <c r="AD129" i="1" s="1"/>
  <c r="AC82" i="1"/>
  <c r="AC129" i="1" s="1"/>
  <c r="AB82" i="1"/>
  <c r="AB129" i="1" s="1"/>
  <c r="AA82" i="1"/>
  <c r="AA129" i="1" s="1"/>
  <c r="Z82" i="1"/>
  <c r="Z129" i="1" s="1"/>
  <c r="Y82" i="1"/>
  <c r="Y129" i="1" s="1"/>
  <c r="X82" i="1"/>
  <c r="X129" i="1" s="1"/>
  <c r="W82" i="1"/>
  <c r="W129" i="1" s="1"/>
  <c r="V82" i="1"/>
  <c r="V129" i="1" s="1"/>
  <c r="U82" i="1"/>
  <c r="U129" i="1" s="1"/>
  <c r="T82" i="1"/>
  <c r="T129" i="1" s="1"/>
  <c r="S82" i="1"/>
  <c r="S129" i="1" s="1"/>
  <c r="R82" i="1"/>
  <c r="R129" i="1" s="1"/>
  <c r="Q82" i="1"/>
  <c r="Q129" i="1" s="1"/>
  <c r="P82" i="1"/>
  <c r="P129" i="1" s="1"/>
  <c r="O82" i="1"/>
  <c r="O129" i="1" s="1"/>
  <c r="N82" i="1"/>
  <c r="N129" i="1" s="1"/>
  <c r="M82" i="1"/>
  <c r="M129" i="1" s="1"/>
  <c r="L82" i="1"/>
  <c r="L129" i="1" s="1"/>
  <c r="K82" i="1"/>
  <c r="K129" i="1" s="1"/>
  <c r="J82" i="1"/>
  <c r="J129" i="1" s="1"/>
  <c r="I82" i="1"/>
  <c r="I129" i="1" s="1"/>
  <c r="H82" i="1"/>
  <c r="H129" i="1" s="1"/>
  <c r="G82" i="1"/>
  <c r="G129" i="1" s="1"/>
  <c r="F82" i="1"/>
  <c r="F129" i="1" s="1"/>
  <c r="E82" i="1"/>
  <c r="E129" i="1" s="1"/>
  <c r="D82" i="1"/>
  <c r="D129" i="1" s="1"/>
  <c r="AY76" i="1"/>
  <c r="AX76" i="1"/>
  <c r="AW76" i="1"/>
  <c r="AV76" i="1"/>
  <c r="AV36" i="1" s="1"/>
  <c r="AU76" i="1"/>
  <c r="AT76" i="1"/>
  <c r="AS76" i="1"/>
  <c r="AR76" i="1"/>
  <c r="AQ76" i="1"/>
  <c r="AP76" i="1"/>
  <c r="AO76" i="1"/>
  <c r="AN76" i="1"/>
  <c r="AN36" i="1" s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Y66" i="1"/>
  <c r="AX66" i="1"/>
  <c r="AW66" i="1"/>
  <c r="AW36" i="1" s="1"/>
  <c r="AV66" i="1"/>
  <c r="AU66" i="1"/>
  <c r="AT66" i="1"/>
  <c r="AS66" i="1"/>
  <c r="AS36" i="1" s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Y48" i="1"/>
  <c r="AX48" i="1"/>
  <c r="AW48" i="1"/>
  <c r="AV48" i="1"/>
  <c r="AU48" i="1"/>
  <c r="AT48" i="1"/>
  <c r="AS48" i="1"/>
  <c r="AR48" i="1"/>
  <c r="AQ48" i="1"/>
  <c r="AP48" i="1"/>
  <c r="AP44" i="1" s="1"/>
  <c r="AP36" i="1" s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Y44" i="1"/>
  <c r="AX44" i="1"/>
  <c r="AX36" i="1" s="1"/>
  <c r="AW44" i="1"/>
  <c r="AV44" i="1"/>
  <c r="AU44" i="1"/>
  <c r="AT44" i="1"/>
  <c r="AS44" i="1"/>
  <c r="AR44" i="1"/>
  <c r="AQ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Y36" i="1"/>
  <c r="AU36" i="1"/>
  <c r="AT36" i="1"/>
  <c r="AR36" i="1"/>
  <c r="AQ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Y15" i="1"/>
  <c r="AX15" i="1"/>
  <c r="AW15" i="1"/>
  <c r="AV15" i="1"/>
  <c r="AU15" i="1"/>
  <c r="AT15" i="1"/>
  <c r="AS15" i="1"/>
  <c r="AR15" i="1"/>
  <c r="AQ15" i="1"/>
  <c r="AP15" i="1"/>
  <c r="AP4" i="1" s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Y8" i="1"/>
  <c r="AX8" i="1"/>
  <c r="AW8" i="1"/>
  <c r="AV8" i="1"/>
  <c r="AU8" i="1"/>
  <c r="AT8" i="1"/>
  <c r="AS8" i="1"/>
  <c r="AS4" i="1" s="1"/>
  <c r="AR8" i="1"/>
  <c r="AQ8" i="1"/>
  <c r="AP8" i="1"/>
  <c r="AO8" i="1"/>
  <c r="AO4" i="1" s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Y5" i="1"/>
  <c r="AX5" i="1"/>
  <c r="AW5" i="1"/>
  <c r="AV5" i="1"/>
  <c r="AU5" i="1"/>
  <c r="AU4" i="1" s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AY4" i="1"/>
  <c r="AY81" i="1" s="1"/>
  <c r="AX4" i="1"/>
  <c r="AV4" i="1"/>
  <c r="AR4" i="1"/>
  <c r="AQ4" i="1"/>
  <c r="AN4" i="1"/>
  <c r="AM4" i="1"/>
  <c r="AM81" i="1" s="1"/>
  <c r="AL4" i="1"/>
  <c r="AL81" i="1" s="1"/>
  <c r="AK4" i="1"/>
  <c r="AK81" i="1" s="1"/>
  <c r="AJ4" i="1"/>
  <c r="AJ81" i="1" s="1"/>
  <c r="AI4" i="1"/>
  <c r="AI81" i="1" s="1"/>
  <c r="AH4" i="1"/>
  <c r="AH81" i="1" s="1"/>
  <c r="AG4" i="1"/>
  <c r="AG81" i="1" s="1"/>
  <c r="AF4" i="1"/>
  <c r="AF81" i="1" s="1"/>
  <c r="AE4" i="1"/>
  <c r="AE81" i="1" s="1"/>
  <c r="AD4" i="1"/>
  <c r="AD81" i="1" s="1"/>
  <c r="AC4" i="1"/>
  <c r="AC81" i="1" s="1"/>
  <c r="AB4" i="1"/>
  <c r="AB81" i="1" s="1"/>
  <c r="AA4" i="1"/>
  <c r="AA81" i="1" s="1"/>
  <c r="Z4" i="1"/>
  <c r="Z81" i="1" s="1"/>
  <c r="Y4" i="1"/>
  <c r="Y81" i="1" s="1"/>
  <c r="X4" i="1"/>
  <c r="X81" i="1" s="1"/>
  <c r="W4" i="1"/>
  <c r="W81" i="1" s="1"/>
  <c r="V4" i="1"/>
  <c r="V81" i="1" s="1"/>
  <c r="U4" i="1"/>
  <c r="U81" i="1" s="1"/>
  <c r="T4" i="1"/>
  <c r="T81" i="1" s="1"/>
  <c r="S4" i="1"/>
  <c r="S81" i="1" s="1"/>
  <c r="R4" i="1"/>
  <c r="R81" i="1" s="1"/>
  <c r="Q4" i="1"/>
  <c r="Q81" i="1" s="1"/>
  <c r="P4" i="1"/>
  <c r="P81" i="1" s="1"/>
  <c r="O4" i="1"/>
  <c r="O81" i="1" s="1"/>
  <c r="N4" i="1"/>
  <c r="N81" i="1" s="1"/>
  <c r="M4" i="1"/>
  <c r="M81" i="1" s="1"/>
  <c r="L4" i="1"/>
  <c r="L81" i="1" s="1"/>
  <c r="K4" i="1"/>
  <c r="K81" i="1" s="1"/>
  <c r="J4" i="1"/>
  <c r="J81" i="1" s="1"/>
  <c r="I4" i="1"/>
  <c r="I81" i="1" s="1"/>
  <c r="H4" i="1"/>
  <c r="H81" i="1" s="1"/>
  <c r="G4" i="1"/>
  <c r="G81" i="1" s="1"/>
  <c r="F4" i="1"/>
  <c r="F81" i="1" s="1"/>
  <c r="E4" i="1"/>
  <c r="E81" i="1" s="1"/>
  <c r="D4" i="1"/>
  <c r="D81" i="1" s="1"/>
  <c r="BW129" i="1"/>
  <c r="BV129" i="1"/>
  <c r="BU129" i="1"/>
  <c r="BT129" i="1"/>
  <c r="BS129" i="1"/>
  <c r="BR129" i="1"/>
  <c r="BW126" i="1"/>
  <c r="BV126" i="1"/>
  <c r="BU126" i="1"/>
  <c r="BT126" i="1"/>
  <c r="BS126" i="1"/>
  <c r="BR126" i="1"/>
  <c r="BW115" i="1"/>
  <c r="BV115" i="1"/>
  <c r="BU115" i="1"/>
  <c r="BT115" i="1"/>
  <c r="BS115" i="1"/>
  <c r="BS114" i="1" s="1"/>
  <c r="BR115" i="1"/>
  <c r="BR114" i="1" s="1"/>
  <c r="BW114" i="1"/>
  <c r="BV114" i="1"/>
  <c r="BT114" i="1"/>
  <c r="BW99" i="1"/>
  <c r="BV99" i="1"/>
  <c r="BU99" i="1"/>
  <c r="BT99" i="1"/>
  <c r="BS99" i="1"/>
  <c r="BR99" i="1"/>
  <c r="BW83" i="1"/>
  <c r="BV83" i="1"/>
  <c r="BU83" i="1"/>
  <c r="BU82" i="1" s="1"/>
  <c r="BT83" i="1"/>
  <c r="BT82" i="1" s="1"/>
  <c r="BS83" i="1"/>
  <c r="BS82" i="1" s="1"/>
  <c r="BR83" i="1"/>
  <c r="BW82" i="1"/>
  <c r="BV82" i="1"/>
  <c r="BW76" i="1"/>
  <c r="BV76" i="1"/>
  <c r="BU76" i="1"/>
  <c r="BT76" i="1"/>
  <c r="BS76" i="1"/>
  <c r="BR76" i="1"/>
  <c r="BW69" i="1"/>
  <c r="BV69" i="1"/>
  <c r="BU69" i="1"/>
  <c r="BT69" i="1"/>
  <c r="BS69" i="1"/>
  <c r="BR69" i="1"/>
  <c r="BW66" i="1"/>
  <c r="BV66" i="1"/>
  <c r="BU66" i="1"/>
  <c r="BT66" i="1"/>
  <c r="BS66" i="1"/>
  <c r="BR66" i="1"/>
  <c r="BW63" i="1"/>
  <c r="BV63" i="1"/>
  <c r="BU63" i="1"/>
  <c r="BT63" i="1"/>
  <c r="BS63" i="1"/>
  <c r="BR63" i="1"/>
  <c r="BW57" i="1"/>
  <c r="BV57" i="1"/>
  <c r="BU57" i="1"/>
  <c r="BT57" i="1"/>
  <c r="BS57" i="1"/>
  <c r="BR57" i="1"/>
  <c r="BR55" i="1" s="1"/>
  <c r="BR54" i="1" s="1"/>
  <c r="BW55" i="1"/>
  <c r="BV55" i="1"/>
  <c r="BV54" i="1" s="1"/>
  <c r="BU55" i="1"/>
  <c r="BU54" i="1" s="1"/>
  <c r="BT55" i="1"/>
  <c r="BS55" i="1"/>
  <c r="BW54" i="1"/>
  <c r="BT54" i="1"/>
  <c r="BS54" i="1"/>
  <c r="BW51" i="1"/>
  <c r="BV51" i="1"/>
  <c r="BU51" i="1"/>
  <c r="BT51" i="1"/>
  <c r="BS51" i="1"/>
  <c r="BS44" i="1" s="1"/>
  <c r="BR51" i="1"/>
  <c r="BW48" i="1"/>
  <c r="BV48" i="1"/>
  <c r="BU48" i="1"/>
  <c r="BT48" i="1"/>
  <c r="BS48" i="1"/>
  <c r="BR48" i="1"/>
  <c r="BW45" i="1"/>
  <c r="BV45" i="1"/>
  <c r="BV44" i="1" s="1"/>
  <c r="BU45" i="1"/>
  <c r="BU44" i="1" s="1"/>
  <c r="BT45" i="1"/>
  <c r="BT44" i="1" s="1"/>
  <c r="BS45" i="1"/>
  <c r="BR45" i="1"/>
  <c r="BR44" i="1" s="1"/>
  <c r="BW44" i="1"/>
  <c r="BW36" i="1" s="1"/>
  <c r="BW37" i="1"/>
  <c r="BV37" i="1"/>
  <c r="BU37" i="1"/>
  <c r="BT37" i="1"/>
  <c r="BS37" i="1"/>
  <c r="BR37" i="1"/>
  <c r="BW30" i="1"/>
  <c r="BV30" i="1"/>
  <c r="BU30" i="1"/>
  <c r="BT30" i="1"/>
  <c r="BS30" i="1"/>
  <c r="BR30" i="1"/>
  <c r="BW26" i="1"/>
  <c r="BV26" i="1"/>
  <c r="BU26" i="1"/>
  <c r="BT26" i="1"/>
  <c r="BS26" i="1"/>
  <c r="BR26" i="1"/>
  <c r="BW23" i="1"/>
  <c r="BV23" i="1"/>
  <c r="BU23" i="1"/>
  <c r="BT23" i="1"/>
  <c r="BS23" i="1"/>
  <c r="BR23" i="1"/>
  <c r="BW15" i="1"/>
  <c r="BV15" i="1"/>
  <c r="BU15" i="1"/>
  <c r="BT15" i="1"/>
  <c r="BS15" i="1"/>
  <c r="BR15" i="1"/>
  <c r="BW8" i="1"/>
  <c r="BW4" i="1" s="1"/>
  <c r="BV8" i="1"/>
  <c r="BU8" i="1"/>
  <c r="BU4" i="1" s="1"/>
  <c r="BT8" i="1"/>
  <c r="BT4" i="1" s="1"/>
  <c r="BS8" i="1"/>
  <c r="BR8" i="1"/>
  <c r="BW5" i="1"/>
  <c r="BV5" i="1"/>
  <c r="BV4" i="1" s="1"/>
  <c r="BU5" i="1"/>
  <c r="BT5" i="1"/>
  <c r="BS5" i="1"/>
  <c r="BR5" i="1"/>
  <c r="BS4" i="1"/>
  <c r="BR4" i="1"/>
  <c r="B1" i="5"/>
  <c r="B1" i="4"/>
  <c r="B1" i="3"/>
  <c r="B1" i="2"/>
  <c r="B1" i="1"/>
  <c r="AZ58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U30" i="4" l="1"/>
  <c r="AX11" i="4"/>
  <c r="AV30" i="4"/>
  <c r="AQ11" i="4"/>
  <c r="AU5" i="3"/>
  <c r="AU13" i="3" s="1"/>
  <c r="AU23" i="3" s="1"/>
  <c r="AU41" i="3" s="1"/>
  <c r="AR11" i="4"/>
  <c r="AP12" i="4"/>
  <c r="AP48" i="4" s="1"/>
  <c r="AQ29" i="4"/>
  <c r="AS11" i="4"/>
  <c r="AQ12" i="4"/>
  <c r="AQ54" i="4" s="1"/>
  <c r="AO129" i="1"/>
  <c r="AW129" i="1"/>
  <c r="AT129" i="1"/>
  <c r="AP129" i="1"/>
  <c r="AR81" i="1"/>
  <c r="AQ81" i="1"/>
  <c r="AU81" i="1"/>
  <c r="AO36" i="1"/>
  <c r="AS81" i="1"/>
  <c r="AV81" i="1"/>
  <c r="AX81" i="1"/>
  <c r="AN81" i="1"/>
  <c r="AP81" i="1"/>
  <c r="AO81" i="1"/>
  <c r="AT4" i="1"/>
  <c r="AT81" i="1" s="1"/>
  <c r="AW4" i="1"/>
  <c r="AW81" i="1" s="1"/>
  <c r="P9" i="2"/>
  <c r="P12" i="4"/>
  <c r="P48" i="4"/>
  <c r="AB29" i="4"/>
  <c r="AP29" i="4"/>
  <c r="AE48" i="4"/>
  <c r="N54" i="4"/>
  <c r="AB54" i="4"/>
  <c r="AM37" i="4"/>
  <c r="W57" i="4"/>
  <c r="AV57" i="4"/>
  <c r="P29" i="4"/>
  <c r="P54" i="4"/>
  <c r="AR9" i="2"/>
  <c r="AR12" i="4"/>
  <c r="AR54" i="4" s="1"/>
  <c r="AS29" i="4"/>
  <c r="AV48" i="4"/>
  <c r="AE54" i="4"/>
  <c r="D54" i="4"/>
  <c r="P37" i="4"/>
  <c r="U29" i="4"/>
  <c r="AI29" i="4"/>
  <c r="AM39" i="4"/>
  <c r="AM48" i="4"/>
  <c r="P57" i="4"/>
  <c r="AG37" i="4"/>
  <c r="AU37" i="4"/>
  <c r="W54" i="4"/>
  <c r="AD9" i="2"/>
  <c r="AD12" i="4"/>
  <c r="AD54" i="4" s="1"/>
  <c r="AL29" i="4"/>
  <c r="M29" i="4"/>
  <c r="AA39" i="4"/>
  <c r="AM29" i="4"/>
  <c r="N48" i="4"/>
  <c r="AB48" i="4"/>
  <c r="AT20" i="2"/>
  <c r="F5" i="3"/>
  <c r="F13" i="3" s="1"/>
  <c r="F23" i="3" s="1"/>
  <c r="F41" i="3" s="1"/>
  <c r="L11" i="4"/>
  <c r="AN11" i="4"/>
  <c r="G30" i="4"/>
  <c r="U30" i="4"/>
  <c r="U31" i="4" s="1"/>
  <c r="AI30" i="4"/>
  <c r="AI31" i="4" s="1"/>
  <c r="AW30" i="4"/>
  <c r="K32" i="4"/>
  <c r="AM32" i="4"/>
  <c r="AM33" i="4" s="1"/>
  <c r="AA34" i="4"/>
  <c r="AC37" i="4"/>
  <c r="G5" i="3"/>
  <c r="G13" i="3" s="1"/>
  <c r="G23" i="3" s="1"/>
  <c r="G41" i="3" s="1"/>
  <c r="AI5" i="3"/>
  <c r="AI13" i="3" s="1"/>
  <c r="AI23" i="3" s="1"/>
  <c r="AI41" i="3" s="1"/>
  <c r="BK5" i="3"/>
  <c r="BK13" i="3" s="1"/>
  <c r="BK23" i="3" s="1"/>
  <c r="BK41" i="3" s="1"/>
  <c r="M11" i="4"/>
  <c r="AA11" i="4"/>
  <c r="AO11" i="4"/>
  <c r="Q12" i="4"/>
  <c r="Q37" i="4" s="1"/>
  <c r="AE12" i="4"/>
  <c r="AE37" i="4" s="1"/>
  <c r="AS12" i="4"/>
  <c r="AS48" i="4" s="1"/>
  <c r="H30" i="4"/>
  <c r="V30" i="4"/>
  <c r="AJ30" i="4"/>
  <c r="AJ31" i="4" s="1"/>
  <c r="AX30" i="4"/>
  <c r="Z32" i="4"/>
  <c r="N34" i="4"/>
  <c r="N35" i="4" s="1"/>
  <c r="AD37" i="4"/>
  <c r="AV31" i="4"/>
  <c r="N37" i="4"/>
  <c r="AH20" i="2"/>
  <c r="V5" i="3"/>
  <c r="V13" i="3" s="1"/>
  <c r="V23" i="3" s="1"/>
  <c r="V41" i="3" s="1"/>
  <c r="AX5" i="3"/>
  <c r="AX13" i="3" s="1"/>
  <c r="AX23" i="3" s="1"/>
  <c r="AX41" i="3" s="1"/>
  <c r="N11" i="4"/>
  <c r="AB11" i="4"/>
  <c r="D12" i="4"/>
  <c r="D48" i="4" s="1"/>
  <c r="R12" i="4"/>
  <c r="R48" i="4" s="1"/>
  <c r="AF12" i="4"/>
  <c r="AF48" i="4" s="1"/>
  <c r="AT12" i="4"/>
  <c r="AT48" i="4" s="1"/>
  <c r="I30" i="4"/>
  <c r="W30" i="4"/>
  <c r="W31" i="4" s="1"/>
  <c r="AK30" i="4"/>
  <c r="AK31" i="4" s="1"/>
  <c r="AY30" i="4"/>
  <c r="AY31" i="4" s="1"/>
  <c r="AA32" i="4"/>
  <c r="E12" i="4"/>
  <c r="E48" i="4" s="1"/>
  <c r="S12" i="4"/>
  <c r="S48" i="4" s="1"/>
  <c r="AG12" i="4"/>
  <c r="AG48" i="4" s="1"/>
  <c r="AU12" i="4"/>
  <c r="AU48" i="4" s="1"/>
  <c r="J30" i="4"/>
  <c r="X30" i="4"/>
  <c r="X31" i="4" s="1"/>
  <c r="AL30" i="4"/>
  <c r="N32" i="4"/>
  <c r="N33" i="4" s="1"/>
  <c r="D37" i="4"/>
  <c r="BT20" i="2"/>
  <c r="BT23" i="2" s="1"/>
  <c r="F12" i="4"/>
  <c r="F37" i="4" s="1"/>
  <c r="T12" i="4"/>
  <c r="T37" i="4" s="1"/>
  <c r="AH12" i="4"/>
  <c r="AH37" i="4" s="1"/>
  <c r="AV12" i="4"/>
  <c r="AV29" i="4" s="1"/>
  <c r="K30" i="4"/>
  <c r="Y30" i="4"/>
  <c r="AM30" i="4"/>
  <c r="AM31" i="4" s="1"/>
  <c r="AE34" i="4"/>
  <c r="AE35" i="4" s="1"/>
  <c r="E37" i="4"/>
  <c r="Z57" i="4"/>
  <c r="W20" i="2"/>
  <c r="AY20" i="2"/>
  <c r="K5" i="3"/>
  <c r="K13" i="3" s="1"/>
  <c r="K23" i="3" s="1"/>
  <c r="K41" i="3" s="1"/>
  <c r="AM5" i="3"/>
  <c r="AM13" i="3" s="1"/>
  <c r="AM23" i="3" s="1"/>
  <c r="AM41" i="3" s="1"/>
  <c r="G12" i="4"/>
  <c r="G39" i="4" s="1"/>
  <c r="U12" i="4"/>
  <c r="U37" i="4" s="1"/>
  <c r="AI12" i="4"/>
  <c r="AI57" i="4" s="1"/>
  <c r="AW12" i="4"/>
  <c r="AW29" i="4" s="1"/>
  <c r="L30" i="4"/>
  <c r="Z30" i="4"/>
  <c r="AN30" i="4"/>
  <c r="R34" i="4"/>
  <c r="R35" i="4" s="1"/>
  <c r="J20" i="2"/>
  <c r="AL20" i="2"/>
  <c r="BV20" i="2"/>
  <c r="Z5" i="3"/>
  <c r="Z13" i="3" s="1"/>
  <c r="Z23" i="3" s="1"/>
  <c r="Z41" i="3" s="1"/>
  <c r="D11" i="4"/>
  <c r="AF11" i="4"/>
  <c r="AT11" i="4"/>
  <c r="H12" i="4"/>
  <c r="H29" i="4" s="1"/>
  <c r="V12" i="4"/>
  <c r="V29" i="4" s="1"/>
  <c r="AJ12" i="4"/>
  <c r="AJ29" i="4" s="1"/>
  <c r="AX12" i="4"/>
  <c r="AX29" i="4" s="1"/>
  <c r="M30" i="4"/>
  <c r="AA30" i="4"/>
  <c r="AA31" i="4" s="1"/>
  <c r="AO30" i="4"/>
  <c r="AE32" i="4"/>
  <c r="AE33" i="4" s="1"/>
  <c r="S34" i="4"/>
  <c r="S35" i="4" s="1"/>
  <c r="AU34" i="4"/>
  <c r="AU35" i="4" s="1"/>
  <c r="N57" i="4"/>
  <c r="AB57" i="4"/>
  <c r="AP57" i="4"/>
  <c r="BW20" i="2"/>
  <c r="AA5" i="3"/>
  <c r="AA13" i="3" s="1"/>
  <c r="AA23" i="3" s="1"/>
  <c r="AA41" i="3" s="1"/>
  <c r="BC5" i="3"/>
  <c r="BC13" i="3" s="1"/>
  <c r="BC23" i="3" s="1"/>
  <c r="BC41" i="3" s="1"/>
  <c r="E11" i="4"/>
  <c r="S11" i="4"/>
  <c r="AG11" i="4"/>
  <c r="AU11" i="4"/>
  <c r="I12" i="4"/>
  <c r="I37" i="4" s="1"/>
  <c r="W12" i="4"/>
  <c r="AK12" i="4"/>
  <c r="AK29" i="4" s="1"/>
  <c r="AY12" i="4"/>
  <c r="AY29" i="4" s="1"/>
  <c r="N30" i="4"/>
  <c r="N31" i="4" s="1"/>
  <c r="AB30" i="4"/>
  <c r="AB31" i="4" s="1"/>
  <c r="AP30" i="4"/>
  <c r="R32" i="4"/>
  <c r="R33" i="4" s="1"/>
  <c r="F34" i="4"/>
  <c r="F35" i="4" s="1"/>
  <c r="AJ37" i="4"/>
  <c r="AC57" i="4"/>
  <c r="N5" i="3"/>
  <c r="N13" i="3" s="1"/>
  <c r="N23" i="3" s="1"/>
  <c r="N41" i="3" s="1"/>
  <c r="F11" i="4"/>
  <c r="T11" i="4"/>
  <c r="AV11" i="4"/>
  <c r="J12" i="4"/>
  <c r="J48" i="4" s="1"/>
  <c r="X12" i="4"/>
  <c r="X37" i="4" s="1"/>
  <c r="AL12" i="4"/>
  <c r="AL48" i="4" s="1"/>
  <c r="O30" i="4"/>
  <c r="O31" i="4" s="1"/>
  <c r="AC30" i="4"/>
  <c r="AC31" i="4" s="1"/>
  <c r="AQ30" i="4"/>
  <c r="S32" i="4"/>
  <c r="AU32" i="4"/>
  <c r="AU33" i="4" s="1"/>
  <c r="G34" i="4"/>
  <c r="G35" i="4" s="1"/>
  <c r="AI34" i="4"/>
  <c r="AI35" i="4" s="1"/>
  <c r="AK37" i="4"/>
  <c r="AY37" i="4"/>
  <c r="AD57" i="4"/>
  <c r="AR57" i="4"/>
  <c r="AI11" i="4"/>
  <c r="AW11" i="4"/>
  <c r="K12" i="4"/>
  <c r="K48" i="4" s="1"/>
  <c r="Y12" i="4"/>
  <c r="Y48" i="4" s="1"/>
  <c r="AM12" i="4"/>
  <c r="AM54" i="4" s="1"/>
  <c r="F32" i="4"/>
  <c r="F33" i="4" s="1"/>
  <c r="V34" i="4"/>
  <c r="AX34" i="4"/>
  <c r="AX35" i="4" s="1"/>
  <c r="AL37" i="4"/>
  <c r="Q57" i="4"/>
  <c r="AS57" i="4"/>
  <c r="AW57" i="4"/>
  <c r="AP20" i="2"/>
  <c r="H11" i="4"/>
  <c r="V11" i="4"/>
  <c r="AJ11" i="4"/>
  <c r="L12" i="4"/>
  <c r="L54" i="4" s="1"/>
  <c r="Z12" i="4"/>
  <c r="Z54" i="4" s="1"/>
  <c r="AN12" i="4"/>
  <c r="AN54" i="4" s="1"/>
  <c r="Q30" i="4"/>
  <c r="Q31" i="4" s="1"/>
  <c r="AE30" i="4"/>
  <c r="AE31" i="4" s="1"/>
  <c r="AS30" i="4"/>
  <c r="G32" i="4"/>
  <c r="G33" i="4" s="1"/>
  <c r="AI32" i="4"/>
  <c r="AI33" i="4" s="1"/>
  <c r="K37" i="4"/>
  <c r="R57" i="4"/>
  <c r="AT57" i="4"/>
  <c r="Z35" i="4"/>
  <c r="AB37" i="4"/>
  <c r="O20" i="2"/>
  <c r="AQ20" i="2"/>
  <c r="AE5" i="3"/>
  <c r="AE13" i="3" s="1"/>
  <c r="AE23" i="3" s="1"/>
  <c r="AE41" i="3" s="1"/>
  <c r="BG5" i="3"/>
  <c r="BG13" i="3" s="1"/>
  <c r="BG23" i="3" s="1"/>
  <c r="BG41" i="3" s="1"/>
  <c r="I11" i="4"/>
  <c r="W11" i="4"/>
  <c r="AK11" i="4"/>
  <c r="AY11" i="4"/>
  <c r="M12" i="4"/>
  <c r="M54" i="4" s="1"/>
  <c r="AA12" i="4"/>
  <c r="AA54" i="4" s="1"/>
  <c r="AO12" i="4"/>
  <c r="AO54" i="4" s="1"/>
  <c r="D30" i="4"/>
  <c r="D31" i="4" s="1"/>
  <c r="R30" i="4"/>
  <c r="R31" i="4" s="1"/>
  <c r="AF30" i="4"/>
  <c r="AF31" i="4" s="1"/>
  <c r="AT30" i="4"/>
  <c r="AT31" i="4" s="1"/>
  <c r="V32" i="4"/>
  <c r="AX32" i="4"/>
  <c r="AX33" i="4" s="1"/>
  <c r="L37" i="4"/>
  <c r="E57" i="4"/>
  <c r="S57" i="4"/>
  <c r="AG57" i="4"/>
  <c r="BT5" i="3"/>
  <c r="BT23" i="3" s="1"/>
  <c r="BT41" i="3" s="1"/>
  <c r="BR23" i="2"/>
  <c r="BS5" i="3"/>
  <c r="BS23" i="3" s="1"/>
  <c r="BS41" i="3" s="1"/>
  <c r="BQ5" i="3"/>
  <c r="BQ23" i="3" s="1"/>
  <c r="BQ41" i="3" s="1"/>
  <c r="BU5" i="3"/>
  <c r="BU23" i="3" s="1"/>
  <c r="BU41" i="3" s="1"/>
  <c r="AF20" i="2"/>
  <c r="AN20" i="2"/>
  <c r="AV20" i="2"/>
  <c r="AG20" i="2"/>
  <c r="AO20" i="2"/>
  <c r="AW20" i="2"/>
  <c r="AJ20" i="2"/>
  <c r="AK20" i="2"/>
  <c r="AS20" i="2"/>
  <c r="H20" i="2"/>
  <c r="X20" i="2"/>
  <c r="I20" i="2"/>
  <c r="Q20" i="2"/>
  <c r="Y20" i="2"/>
  <c r="D20" i="2"/>
  <c r="L20" i="2"/>
  <c r="T20" i="2"/>
  <c r="AB20" i="2"/>
  <c r="E20" i="2"/>
  <c r="M20" i="2"/>
  <c r="U20" i="2"/>
  <c r="AC20" i="2"/>
  <c r="BR82" i="1"/>
  <c r="BS36" i="1"/>
  <c r="BS81" i="1" s="1"/>
  <c r="BU36" i="1"/>
  <c r="BU81" i="1" s="1"/>
  <c r="BT36" i="1"/>
  <c r="BT81" i="1" s="1"/>
  <c r="BR36" i="1"/>
  <c r="BR81" i="1" s="1"/>
  <c r="BV36" i="1"/>
  <c r="BV81" i="1" s="1"/>
  <c r="BW81" i="1"/>
  <c r="BU114" i="1"/>
  <c r="BL4" i="5"/>
  <c r="AP31" i="4" l="1"/>
  <c r="AS37" i="4"/>
  <c r="AP37" i="4"/>
  <c r="AV37" i="4"/>
  <c r="AW48" i="4"/>
  <c r="AP54" i="4"/>
  <c r="AQ57" i="4"/>
  <c r="AX31" i="4"/>
  <c r="AQ37" i="4"/>
  <c r="AS54" i="4"/>
  <c r="AS31" i="4"/>
  <c r="AQ48" i="4"/>
  <c r="AQ31" i="4"/>
  <c r="AT37" i="4"/>
  <c r="AR37" i="4"/>
  <c r="AV54" i="4"/>
  <c r="AH31" i="4"/>
  <c r="T23" i="2"/>
  <c r="T38" i="4" s="1"/>
  <c r="T39" i="4" s="1"/>
  <c r="T32" i="4"/>
  <c r="T33" i="4" s="1"/>
  <c r="T34" i="4"/>
  <c r="T35" i="4" s="1"/>
  <c r="T5" i="3"/>
  <c r="T13" i="3" s="1"/>
  <c r="T23" i="3" s="1"/>
  <c r="T41" i="3" s="1"/>
  <c r="J31" i="4"/>
  <c r="AH23" i="2"/>
  <c r="AH38" i="4" s="1"/>
  <c r="AH39" i="4" s="1"/>
  <c r="AH32" i="4"/>
  <c r="AH33" i="4" s="1"/>
  <c r="AH34" i="4"/>
  <c r="AH35" i="4" s="1"/>
  <c r="AH5" i="3"/>
  <c r="AH13" i="3" s="1"/>
  <c r="AH23" i="3" s="1"/>
  <c r="AH41" i="3" s="1"/>
  <c r="K54" i="4"/>
  <c r="K39" i="4"/>
  <c r="T29" i="4"/>
  <c r="V33" i="4"/>
  <c r="AX37" i="4"/>
  <c r="AN31" i="4"/>
  <c r="L57" i="4"/>
  <c r="V31" i="4"/>
  <c r="AH57" i="4"/>
  <c r="G31" i="4"/>
  <c r="T57" i="4"/>
  <c r="J29" i="4"/>
  <c r="Z29" i="4"/>
  <c r="G29" i="4"/>
  <c r="F29" i="4"/>
  <c r="AI48" i="4"/>
  <c r="Q54" i="4"/>
  <c r="AE29" i="4"/>
  <c r="AR29" i="4"/>
  <c r="Y37" i="4"/>
  <c r="Q48" i="4"/>
  <c r="X29" i="4"/>
  <c r="L23" i="2"/>
  <c r="L38" i="4" s="1"/>
  <c r="L39" i="4" s="1"/>
  <c r="L5" i="3"/>
  <c r="L13" i="3" s="1"/>
  <c r="L23" i="3" s="1"/>
  <c r="L41" i="3" s="1"/>
  <c r="L34" i="4"/>
  <c r="L35" i="4" s="1"/>
  <c r="L32" i="4"/>
  <c r="L33" i="4" s="1"/>
  <c r="D23" i="2"/>
  <c r="D38" i="4" s="1"/>
  <c r="D39" i="4" s="1"/>
  <c r="D32" i="4"/>
  <c r="D33" i="4" s="1"/>
  <c r="D34" i="4"/>
  <c r="D35" i="4" s="1"/>
  <c r="D5" i="3"/>
  <c r="D13" i="3" s="1"/>
  <c r="D23" i="3" s="1"/>
  <c r="D41" i="3" s="1"/>
  <c r="D44" i="3" s="1"/>
  <c r="E42" i="3" s="1"/>
  <c r="AJ23" i="2"/>
  <c r="AJ38" i="4" s="1"/>
  <c r="AJ39" i="4" s="1"/>
  <c r="AJ32" i="4"/>
  <c r="AJ33" i="4" s="1"/>
  <c r="AJ34" i="4"/>
  <c r="AJ35" i="4" s="1"/>
  <c r="AJ5" i="3"/>
  <c r="AJ13" i="3" s="1"/>
  <c r="AJ23" i="3" s="1"/>
  <c r="AJ41" i="3" s="1"/>
  <c r="Z31" i="4"/>
  <c r="I31" i="4"/>
  <c r="H31" i="4"/>
  <c r="AE39" i="4"/>
  <c r="AF57" i="4"/>
  <c r="Z39" i="4"/>
  <c r="AW54" i="4"/>
  <c r="AA29" i="4"/>
  <c r="G57" i="4"/>
  <c r="AU29" i="4"/>
  <c r="U48" i="4"/>
  <c r="Q29" i="4"/>
  <c r="AD29" i="4"/>
  <c r="AG31" i="4"/>
  <c r="BJ5" i="3"/>
  <c r="BJ13" i="3" s="1"/>
  <c r="BJ23" i="3" s="1"/>
  <c r="BJ41" i="3" s="1"/>
  <c r="Y54" i="4"/>
  <c r="AH29" i="4"/>
  <c r="AZ13" i="3"/>
  <c r="AZ23" i="3" s="1"/>
  <c r="AZ41" i="3" s="1"/>
  <c r="AP23" i="2"/>
  <c r="AP38" i="4" s="1"/>
  <c r="AP39" i="4" s="1"/>
  <c r="AP5" i="3"/>
  <c r="AP13" i="3" s="1"/>
  <c r="AP23" i="3" s="1"/>
  <c r="AP41" i="3" s="1"/>
  <c r="AP32" i="4"/>
  <c r="AP33" i="4" s="1"/>
  <c r="AP34" i="4"/>
  <c r="AP35" i="4" s="1"/>
  <c r="Y23" i="2"/>
  <c r="Y38" i="4" s="1"/>
  <c r="Y39" i="4" s="1"/>
  <c r="Y5" i="3"/>
  <c r="Y13" i="3" s="1"/>
  <c r="Y23" i="3" s="1"/>
  <c r="Y41" i="3" s="1"/>
  <c r="Y32" i="4"/>
  <c r="Y33" i="4" s="1"/>
  <c r="Y34" i="4"/>
  <c r="Y35" i="4" s="1"/>
  <c r="BE5" i="3"/>
  <c r="BE13" i="3" s="1"/>
  <c r="BE23" i="3" s="1"/>
  <c r="BE41" i="3" s="1"/>
  <c r="AQ23" i="2"/>
  <c r="AQ38" i="4" s="1"/>
  <c r="AQ39" i="4" s="1"/>
  <c r="AQ5" i="3"/>
  <c r="AQ13" i="3" s="1"/>
  <c r="AQ23" i="3" s="1"/>
  <c r="AQ41" i="3" s="1"/>
  <c r="AQ32" i="4"/>
  <c r="AQ33" i="4" s="1"/>
  <c r="AQ34" i="4"/>
  <c r="AQ35" i="4" s="1"/>
  <c r="U57" i="4"/>
  <c r="V37" i="4"/>
  <c r="BV23" i="2"/>
  <c r="BV5" i="3"/>
  <c r="BV23" i="3" s="1"/>
  <c r="BV41" i="3" s="1"/>
  <c r="L31" i="4"/>
  <c r="S37" i="4"/>
  <c r="AX57" i="4"/>
  <c r="AD16" i="2"/>
  <c r="AD20" i="2" s="1"/>
  <c r="AD30" i="4"/>
  <c r="AD31" i="4" s="1"/>
  <c r="S31" i="4"/>
  <c r="AI54" i="4"/>
  <c r="AG29" i="4"/>
  <c r="G48" i="4"/>
  <c r="F39" i="4"/>
  <c r="K35" i="4"/>
  <c r="Q23" i="2"/>
  <c r="Q38" i="4" s="1"/>
  <c r="Q39" i="4" s="1"/>
  <c r="Q5" i="3"/>
  <c r="Q13" i="3" s="1"/>
  <c r="Q23" i="3" s="1"/>
  <c r="Q41" i="3" s="1"/>
  <c r="Q32" i="4"/>
  <c r="Q33" i="4" s="1"/>
  <c r="Q34" i="4"/>
  <c r="Q35" i="4" s="1"/>
  <c r="AW23" i="2"/>
  <c r="AW38" i="4" s="1"/>
  <c r="AW39" i="4" s="1"/>
  <c r="AW32" i="4"/>
  <c r="AW33" i="4" s="1"/>
  <c r="AW34" i="4"/>
  <c r="AW35" i="4" s="1"/>
  <c r="AW5" i="3"/>
  <c r="AW13" i="3" s="1"/>
  <c r="AW23" i="3" s="1"/>
  <c r="AW41" i="3" s="1"/>
  <c r="O23" i="2"/>
  <c r="O38" i="4" s="1"/>
  <c r="O39" i="4" s="1"/>
  <c r="O5" i="3"/>
  <c r="O13" i="3" s="1"/>
  <c r="O23" i="3" s="1"/>
  <c r="O41" i="3" s="1"/>
  <c r="O32" i="4"/>
  <c r="O33" i="4" s="1"/>
  <c r="O34" i="4"/>
  <c r="O35" i="4" s="1"/>
  <c r="AO31" i="4"/>
  <c r="AL23" i="2"/>
  <c r="AL38" i="4" s="1"/>
  <c r="AL39" i="4" s="1"/>
  <c r="AL34" i="4"/>
  <c r="AL35" i="4" s="1"/>
  <c r="AL5" i="3"/>
  <c r="AL13" i="3" s="1"/>
  <c r="AL23" i="3" s="1"/>
  <c r="AL41" i="3" s="1"/>
  <c r="AL32" i="4"/>
  <c r="AL33" i="4" s="1"/>
  <c r="Y57" i="4"/>
  <c r="AY57" i="4"/>
  <c r="AJ57" i="4"/>
  <c r="AL54" i="4"/>
  <c r="AE57" i="4"/>
  <c r="U54" i="4"/>
  <c r="S29" i="4"/>
  <c r="AH48" i="4"/>
  <c r="AU39" i="4"/>
  <c r="J23" i="2"/>
  <c r="J38" i="4" s="1"/>
  <c r="J39" i="4" s="1"/>
  <c r="J34" i="4"/>
  <c r="J35" i="4" s="1"/>
  <c r="J5" i="3"/>
  <c r="J13" i="3" s="1"/>
  <c r="J23" i="3" s="1"/>
  <c r="J41" i="3" s="1"/>
  <c r="J32" i="4"/>
  <c r="J33" i="4" s="1"/>
  <c r="K57" i="4"/>
  <c r="AK57" i="4"/>
  <c r="V57" i="4"/>
  <c r="AW37" i="4"/>
  <c r="X54" i="4"/>
  <c r="AY54" i="4"/>
  <c r="AX54" i="4"/>
  <c r="G54" i="4"/>
  <c r="AH54" i="4"/>
  <c r="AU54" i="4"/>
  <c r="E29" i="4"/>
  <c r="AT29" i="4"/>
  <c r="T48" i="4"/>
  <c r="AR16" i="2"/>
  <c r="AR20" i="2" s="1"/>
  <c r="AR30" i="4"/>
  <c r="AR31" i="4" s="1"/>
  <c r="S39" i="4"/>
  <c r="M31" i="4"/>
  <c r="AO57" i="4"/>
  <c r="I57" i="4"/>
  <c r="G37" i="4"/>
  <c r="J54" i="4"/>
  <c r="AK54" i="4"/>
  <c r="AJ54" i="4"/>
  <c r="T54" i="4"/>
  <c r="AG54" i="4"/>
  <c r="AX39" i="4"/>
  <c r="AF29" i="4"/>
  <c r="F48" i="4"/>
  <c r="F57" i="4"/>
  <c r="L29" i="4"/>
  <c r="AR48" i="4"/>
  <c r="BH5" i="3"/>
  <c r="BH13" i="3" s="1"/>
  <c r="BH23" i="3" s="1"/>
  <c r="BH41" i="3" s="1"/>
  <c r="BW23" i="2"/>
  <c r="BW5" i="3"/>
  <c r="BW23" i="3" s="1"/>
  <c r="BW41" i="3" s="1"/>
  <c r="AA57" i="4"/>
  <c r="AL57" i="4"/>
  <c r="AT23" i="2"/>
  <c r="AT38" i="4" s="1"/>
  <c r="AT39" i="4" s="1"/>
  <c r="AT32" i="4"/>
  <c r="AT33" i="4" s="1"/>
  <c r="AT34" i="4"/>
  <c r="AT35" i="4" s="1"/>
  <c r="AT5" i="3"/>
  <c r="AT13" i="3" s="1"/>
  <c r="AT23" i="3" s="1"/>
  <c r="AT41" i="3" s="1"/>
  <c r="E31" i="4"/>
  <c r="V54" i="4"/>
  <c r="F54" i="4"/>
  <c r="S54" i="4"/>
  <c r="V39" i="4"/>
  <c r="R29" i="4"/>
  <c r="X57" i="4"/>
  <c r="AD48" i="4"/>
  <c r="H57" i="4"/>
  <c r="X23" i="2"/>
  <c r="X38" i="4" s="1"/>
  <c r="X39" i="4" s="1"/>
  <c r="X34" i="4"/>
  <c r="X35" i="4" s="1"/>
  <c r="X5" i="3"/>
  <c r="X13" i="3" s="1"/>
  <c r="X23" i="3" s="1"/>
  <c r="X41" i="3" s="1"/>
  <c r="X32" i="4"/>
  <c r="X33" i="4" s="1"/>
  <c r="T31" i="4"/>
  <c r="J37" i="4"/>
  <c r="H23" i="2"/>
  <c r="H38" i="4" s="1"/>
  <c r="H39" i="4" s="1"/>
  <c r="H32" i="4"/>
  <c r="H33" i="4" s="1"/>
  <c r="H34" i="4"/>
  <c r="H35" i="4" s="1"/>
  <c r="H5" i="3"/>
  <c r="H13" i="3" s="1"/>
  <c r="H23" i="3" s="1"/>
  <c r="H41" i="3" s="1"/>
  <c r="BD5" i="3"/>
  <c r="BD13" i="3" s="1"/>
  <c r="BD23" i="3" s="1"/>
  <c r="BD41" i="3" s="1"/>
  <c r="M57" i="4"/>
  <c r="R37" i="4"/>
  <c r="J57" i="4"/>
  <c r="AO48" i="4"/>
  <c r="I54" i="4"/>
  <c r="H54" i="4"/>
  <c r="X48" i="4"/>
  <c r="AY48" i="4"/>
  <c r="E54" i="4"/>
  <c r="AN57" i="4"/>
  <c r="D29" i="4"/>
  <c r="AO37" i="4"/>
  <c r="I23" i="2"/>
  <c r="I38" i="4" s="1"/>
  <c r="I39" i="4" s="1"/>
  <c r="I34" i="4"/>
  <c r="I35" i="4" s="1"/>
  <c r="I5" i="3"/>
  <c r="I13" i="3" s="1"/>
  <c r="I23" i="3" s="1"/>
  <c r="I41" i="3" s="1"/>
  <c r="I32" i="4"/>
  <c r="I33" i="4" s="1"/>
  <c r="AG23" i="2"/>
  <c r="AG38" i="4" s="1"/>
  <c r="AG39" i="4" s="1"/>
  <c r="AG32" i="4"/>
  <c r="AG33" i="4" s="1"/>
  <c r="AG34" i="4"/>
  <c r="AG35" i="4" s="1"/>
  <c r="AG5" i="3"/>
  <c r="AG13" i="3" s="1"/>
  <c r="AG23" i="3" s="1"/>
  <c r="AG41" i="3" s="1"/>
  <c r="Y31" i="4"/>
  <c r="AA35" i="4"/>
  <c r="F31" i="4"/>
  <c r="AA48" i="4"/>
  <c r="AK48" i="4"/>
  <c r="AX48" i="4"/>
  <c r="AI39" i="4"/>
  <c r="AA37" i="4"/>
  <c r="AO29" i="4"/>
  <c r="I48" i="4"/>
  <c r="I29" i="4"/>
  <c r="AC23" i="2"/>
  <c r="AC38" i="4" s="1"/>
  <c r="AC39" i="4" s="1"/>
  <c r="AC5" i="3"/>
  <c r="AC13" i="3" s="1"/>
  <c r="AC23" i="3" s="1"/>
  <c r="AC41" i="3" s="1"/>
  <c r="AC32" i="4"/>
  <c r="AC33" i="4" s="1"/>
  <c r="AC34" i="4"/>
  <c r="AC35" i="4" s="1"/>
  <c r="BI5" i="3"/>
  <c r="BI13" i="3" s="1"/>
  <c r="BI23" i="3" s="1"/>
  <c r="BI41" i="3" s="1"/>
  <c r="BA5" i="3"/>
  <c r="BA13" i="3" s="1"/>
  <c r="BA23" i="3" s="1"/>
  <c r="BA41" i="3" s="1"/>
  <c r="AY23" i="2"/>
  <c r="AY38" i="4" s="1"/>
  <c r="AY39" i="4" s="1"/>
  <c r="AY34" i="4"/>
  <c r="AY35" i="4" s="1"/>
  <c r="AY5" i="3"/>
  <c r="AY13" i="3" s="1"/>
  <c r="AY23" i="3" s="1"/>
  <c r="AY41" i="3" s="1"/>
  <c r="AY32" i="4"/>
  <c r="AY33" i="4" s="1"/>
  <c r="K31" i="4"/>
  <c r="AU57" i="4"/>
  <c r="Y29" i="4"/>
  <c r="M48" i="4"/>
  <c r="AN48" i="4"/>
  <c r="AJ48" i="4"/>
  <c r="AT54" i="4"/>
  <c r="M37" i="4"/>
  <c r="P16" i="2"/>
  <c r="P20" i="2" s="1"/>
  <c r="P30" i="4"/>
  <c r="P31" i="4" s="1"/>
  <c r="AS23" i="2"/>
  <c r="AS38" i="4" s="1"/>
  <c r="AS39" i="4" s="1"/>
  <c r="AS5" i="3"/>
  <c r="AS13" i="3" s="1"/>
  <c r="AS23" i="3" s="1"/>
  <c r="AS41" i="3" s="1"/>
  <c r="AS32" i="4"/>
  <c r="AS33" i="4" s="1"/>
  <c r="AS34" i="4"/>
  <c r="AS35" i="4" s="1"/>
  <c r="AI37" i="4"/>
  <c r="K33" i="4"/>
  <c r="K29" i="4"/>
  <c r="Z48" i="4"/>
  <c r="V48" i="4"/>
  <c r="AF54" i="4"/>
  <c r="AM57" i="4"/>
  <c r="AM35" i="4"/>
  <c r="H37" i="4"/>
  <c r="R39" i="4"/>
  <c r="AB23" i="2"/>
  <c r="AB38" i="4" s="1"/>
  <c r="AB39" i="4" s="1"/>
  <c r="AB5" i="3"/>
  <c r="AB13" i="3" s="1"/>
  <c r="AB23" i="3" s="1"/>
  <c r="AB41" i="3" s="1"/>
  <c r="AB32" i="4"/>
  <c r="AB33" i="4" s="1"/>
  <c r="AB34" i="4"/>
  <c r="AB35" i="4" s="1"/>
  <c r="AO23" i="2"/>
  <c r="AO38" i="4" s="1"/>
  <c r="AO39" i="4" s="1"/>
  <c r="AO5" i="3"/>
  <c r="AO13" i="3" s="1"/>
  <c r="AO23" i="3" s="1"/>
  <c r="AO41" i="3" s="1"/>
  <c r="AO32" i="4"/>
  <c r="AO33" i="4" s="1"/>
  <c r="AO34" i="4"/>
  <c r="AO35" i="4" s="1"/>
  <c r="AV23" i="2"/>
  <c r="AV38" i="4" s="1"/>
  <c r="AV39" i="4" s="1"/>
  <c r="AV32" i="4"/>
  <c r="AV33" i="4" s="1"/>
  <c r="AV34" i="4"/>
  <c r="AV35" i="4" s="1"/>
  <c r="AV5" i="3"/>
  <c r="AV13" i="3" s="1"/>
  <c r="AV23" i="3" s="1"/>
  <c r="AV41" i="3" s="1"/>
  <c r="V35" i="4"/>
  <c r="U23" i="2"/>
  <c r="U38" i="4" s="1"/>
  <c r="U39" i="4" s="1"/>
  <c r="U32" i="4"/>
  <c r="U33" i="4" s="1"/>
  <c r="U34" i="4"/>
  <c r="U35" i="4" s="1"/>
  <c r="U5" i="3"/>
  <c r="U13" i="3" s="1"/>
  <c r="U23" i="3" s="1"/>
  <c r="U41" i="3" s="1"/>
  <c r="AN23" i="2"/>
  <c r="AN38" i="4" s="1"/>
  <c r="AN39" i="4" s="1"/>
  <c r="AN5" i="3"/>
  <c r="AN13" i="3" s="1"/>
  <c r="AN23" i="3" s="1"/>
  <c r="AN41" i="3" s="1"/>
  <c r="AN32" i="4"/>
  <c r="AN33" i="4" s="1"/>
  <c r="AN34" i="4"/>
  <c r="AN35" i="4" s="1"/>
  <c r="M23" i="2"/>
  <c r="M38" i="4" s="1"/>
  <c r="M39" i="4" s="1"/>
  <c r="M5" i="3"/>
  <c r="M13" i="3" s="1"/>
  <c r="M23" i="3" s="1"/>
  <c r="M41" i="3" s="1"/>
  <c r="M32" i="4"/>
  <c r="M33" i="4" s="1"/>
  <c r="M34" i="4"/>
  <c r="M35" i="4" s="1"/>
  <c r="AF23" i="2"/>
  <c r="AF38" i="4" s="1"/>
  <c r="AF39" i="4" s="1"/>
  <c r="AF32" i="4"/>
  <c r="AF33" i="4" s="1"/>
  <c r="AF34" i="4"/>
  <c r="AF35" i="4" s="1"/>
  <c r="AF5" i="3"/>
  <c r="AF13" i="3" s="1"/>
  <c r="AF23" i="3" s="1"/>
  <c r="AF41" i="3" s="1"/>
  <c r="W23" i="2"/>
  <c r="W38" i="4" s="1"/>
  <c r="W39" i="4" s="1"/>
  <c r="W34" i="4"/>
  <c r="W35" i="4" s="1"/>
  <c r="W5" i="3"/>
  <c r="W13" i="3" s="1"/>
  <c r="W23" i="3" s="1"/>
  <c r="W41" i="3" s="1"/>
  <c r="W32" i="4"/>
  <c r="W33" i="4" s="1"/>
  <c r="E23" i="2"/>
  <c r="E38" i="4" s="1"/>
  <c r="E39" i="4" s="1"/>
  <c r="E32" i="4"/>
  <c r="E33" i="4" s="1"/>
  <c r="E34" i="4"/>
  <c r="E35" i="4" s="1"/>
  <c r="E5" i="3"/>
  <c r="E13" i="3" s="1"/>
  <c r="E23" i="3" s="1"/>
  <c r="E41" i="3" s="1"/>
  <c r="AK23" i="2"/>
  <c r="AK38" i="4" s="1"/>
  <c r="AK39" i="4" s="1"/>
  <c r="AK34" i="4"/>
  <c r="AK35" i="4" s="1"/>
  <c r="AK5" i="3"/>
  <c r="AK13" i="3" s="1"/>
  <c r="AK23" i="3" s="1"/>
  <c r="AK41" i="3" s="1"/>
  <c r="AK32" i="4"/>
  <c r="AK33" i="4" s="1"/>
  <c r="Z37" i="4"/>
  <c r="D57" i="4"/>
  <c r="S33" i="4"/>
  <c r="W48" i="4"/>
  <c r="W29" i="4"/>
  <c r="W37" i="4"/>
  <c r="AL31" i="4"/>
  <c r="AA33" i="4"/>
  <c r="Z33" i="4"/>
  <c r="AW31" i="4"/>
  <c r="L48" i="4"/>
  <c r="AF37" i="4"/>
  <c r="H48" i="4"/>
  <c r="R54" i="4"/>
  <c r="AU31" i="4"/>
  <c r="AN37" i="4"/>
  <c r="AN29" i="4"/>
  <c r="F27" i="10"/>
  <c r="D27" i="10"/>
  <c r="E44" i="3" l="1"/>
  <c r="F42" i="3" s="1"/>
  <c r="F44" i="3" s="1"/>
  <c r="G42" i="3" s="1"/>
  <c r="G44" i="3" s="1"/>
  <c r="H42" i="3" s="1"/>
  <c r="H44" i="3" s="1"/>
  <c r="I42" i="3" s="1"/>
  <c r="I44" i="3" s="1"/>
  <c r="J42" i="3" s="1"/>
  <c r="J44" i="3" s="1"/>
  <c r="K42" i="3" s="1"/>
  <c r="K44" i="3" s="1"/>
  <c r="L42" i="3" s="1"/>
  <c r="L44" i="3" s="1"/>
  <c r="M42" i="3" s="1"/>
  <c r="M44" i="3" s="1"/>
  <c r="N42" i="3" s="1"/>
  <c r="N44" i="3" s="1"/>
  <c r="O42" i="3" s="1"/>
  <c r="O44" i="3" s="1"/>
  <c r="P42" i="3" s="1"/>
  <c r="P23" i="2"/>
  <c r="P38" i="4" s="1"/>
  <c r="P39" i="4" s="1"/>
  <c r="P5" i="3"/>
  <c r="P13" i="3" s="1"/>
  <c r="P23" i="3" s="1"/>
  <c r="P41" i="3" s="1"/>
  <c r="P32" i="4"/>
  <c r="P33" i="4" s="1"/>
  <c r="P34" i="4"/>
  <c r="P35" i="4" s="1"/>
  <c r="BF5" i="3"/>
  <c r="BF13" i="3" s="1"/>
  <c r="BF23" i="3" s="1"/>
  <c r="BF41" i="3" s="1"/>
  <c r="AD23" i="2"/>
  <c r="AD38" i="4" s="1"/>
  <c r="AD39" i="4" s="1"/>
  <c r="AD5" i="3"/>
  <c r="AD13" i="3" s="1"/>
  <c r="AD23" i="3" s="1"/>
  <c r="AD41" i="3" s="1"/>
  <c r="AD32" i="4"/>
  <c r="AD33" i="4" s="1"/>
  <c r="AD34" i="4"/>
  <c r="AD35" i="4" s="1"/>
  <c r="AR23" i="2"/>
  <c r="AR38" i="4" s="1"/>
  <c r="AR39" i="4" s="1"/>
  <c r="AR5" i="3"/>
  <c r="AR13" i="3" s="1"/>
  <c r="AR23" i="3" s="1"/>
  <c r="AR41" i="3" s="1"/>
  <c r="AR32" i="4"/>
  <c r="AR33" i="4" s="1"/>
  <c r="AR34" i="4"/>
  <c r="AR35" i="4" s="1"/>
  <c r="BL13" i="5"/>
  <c r="P44" i="3" l="1"/>
  <c r="Q42" i="3" s="1"/>
  <c r="Q44" i="3" s="1"/>
  <c r="R42" i="3" s="1"/>
  <c r="R44" i="3" s="1"/>
  <c r="S42" i="3" s="1"/>
  <c r="S44" i="3" s="1"/>
  <c r="T42" i="3" s="1"/>
  <c r="T44" i="3" s="1"/>
  <c r="U42" i="3" s="1"/>
  <c r="U44" i="3" s="1"/>
  <c r="V42" i="3" s="1"/>
  <c r="V44" i="3" s="1"/>
  <c r="W42" i="3" s="1"/>
  <c r="W44" i="3" s="1"/>
  <c r="X42" i="3" s="1"/>
  <c r="X44" i="3" s="1"/>
  <c r="Y42" i="3" s="1"/>
  <c r="Y44" i="3" s="1"/>
  <c r="Z42" i="3" s="1"/>
  <c r="Z44" i="3" s="1"/>
  <c r="AA42" i="3" s="1"/>
  <c r="AA44" i="3" s="1"/>
  <c r="AB42" i="3" s="1"/>
  <c r="AB44" i="3" s="1"/>
  <c r="AC42" i="3" s="1"/>
  <c r="AC44" i="3" s="1"/>
  <c r="AD42" i="3" s="1"/>
  <c r="AD44" i="3" s="1"/>
  <c r="AE42" i="3" s="1"/>
  <c r="AE44" i="3" s="1"/>
  <c r="AF42" i="3" s="1"/>
  <c r="AF44" i="3" s="1"/>
  <c r="AG42" i="3" s="1"/>
  <c r="AG44" i="3" s="1"/>
  <c r="AH42" i="3" s="1"/>
  <c r="AH44" i="3" s="1"/>
  <c r="AI42" i="3" s="1"/>
  <c r="AI44" i="3" s="1"/>
  <c r="AJ42" i="3" s="1"/>
  <c r="AJ44" i="3" s="1"/>
  <c r="AK42" i="3" s="1"/>
  <c r="AK44" i="3" s="1"/>
  <c r="AL42" i="3" s="1"/>
  <c r="AL44" i="3" s="1"/>
  <c r="AM42" i="3" s="1"/>
  <c r="AM44" i="3" s="1"/>
  <c r="AN44" i="3" s="1"/>
  <c r="AO42" i="3" s="1"/>
  <c r="AO44" i="3" s="1"/>
  <c r="AP42" i="3" s="1"/>
  <c r="AP44" i="3" s="1"/>
  <c r="AQ42" i="3" s="1"/>
  <c r="AQ44" i="3" s="1"/>
  <c r="AR42" i="3" s="1"/>
  <c r="AR44" i="3" s="1"/>
  <c r="AS42" i="3" s="1"/>
  <c r="AS44" i="3" s="1"/>
  <c r="AT42" i="3" s="1"/>
  <c r="AT44" i="3" s="1"/>
  <c r="AU42" i="3" s="1"/>
  <c r="AU44" i="3" s="1"/>
  <c r="AV42" i="3" s="1"/>
  <c r="AV44" i="3" s="1"/>
  <c r="AW42" i="3" s="1"/>
  <c r="AW44" i="3" s="1"/>
  <c r="AX42" i="3" s="1"/>
  <c r="AX44" i="3" s="1"/>
  <c r="AY42" i="3" s="1"/>
  <c r="AY44" i="3" s="1"/>
  <c r="AZ44" i="3" s="1"/>
  <c r="BA42" i="3" s="1"/>
  <c r="BA44" i="3" s="1"/>
  <c r="BB42" i="3" l="1"/>
  <c r="BB44" i="3" s="1"/>
  <c r="BC42" i="3" s="1"/>
  <c r="BC44" i="3" s="1"/>
  <c r="BD42" i="3" s="1"/>
  <c r="BD44" i="3" s="1"/>
  <c r="BE42" i="3" s="1"/>
  <c r="BE44" i="3" s="1"/>
  <c r="BF42" i="3" s="1"/>
  <c r="BF44" i="3" s="1"/>
  <c r="BG42" i="3" s="1"/>
  <c r="BG44" i="3" s="1"/>
  <c r="BH42" i="3" s="1"/>
  <c r="BH44" i="3" s="1"/>
  <c r="BI42" i="3" s="1"/>
  <c r="BI44" i="3" s="1"/>
  <c r="BJ42" i="3" s="1"/>
  <c r="BJ44" i="3" s="1"/>
  <c r="BK42" i="3" s="1"/>
  <c r="BK44" i="3" s="1"/>
  <c r="BQ44" i="3" s="1"/>
  <c r="BR44" i="3" s="1"/>
  <c r="BS44" i="3" s="1"/>
  <c r="BT44" i="3" s="1"/>
  <c r="BU44" i="3" s="1"/>
  <c r="BV44" i="3" s="1"/>
  <c r="BW44" i="3" s="1"/>
  <c r="E49" i="1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E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B152" i="9"/>
  <c r="C151" i="9"/>
  <c r="B151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99" i="9"/>
  <c r="B99" i="9"/>
  <c r="C98" i="9"/>
  <c r="B98" i="9"/>
  <c r="C97" i="9"/>
  <c r="B97" i="9"/>
  <c r="C96" i="9"/>
  <c r="B96" i="9"/>
  <c r="C93" i="9"/>
  <c r="B93" i="9"/>
  <c r="C92" i="9"/>
  <c r="B92" i="9"/>
  <c r="C91" i="9"/>
  <c r="B91" i="9"/>
  <c r="C90" i="9"/>
  <c r="B90" i="9"/>
  <c r="C89" i="9"/>
  <c r="B89" i="9"/>
  <c r="C88" i="9"/>
  <c r="B88" i="9"/>
  <c r="C85" i="9"/>
  <c r="B85" i="9"/>
  <c r="C84" i="9"/>
  <c r="B84" i="9"/>
  <c r="C81" i="9"/>
  <c r="B81" i="9"/>
  <c r="C80" i="9"/>
  <c r="B80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7" i="9"/>
  <c r="B67" i="9"/>
  <c r="C66" i="9"/>
  <c r="B66" i="9"/>
  <c r="C64" i="9"/>
  <c r="B64" i="9"/>
  <c r="C63" i="9"/>
  <c r="B63" i="9"/>
  <c r="C61" i="9"/>
  <c r="B61" i="9"/>
  <c r="C60" i="9"/>
  <c r="B60" i="9"/>
  <c r="C54" i="9"/>
  <c r="B54" i="9"/>
  <c r="C53" i="9"/>
  <c r="B53" i="9"/>
  <c r="C52" i="9"/>
  <c r="B52" i="9"/>
  <c r="C51" i="9"/>
  <c r="B51" i="9"/>
  <c r="C50" i="9"/>
  <c r="B50" i="9"/>
  <c r="C49" i="9"/>
  <c r="B49" i="9"/>
  <c r="C45" i="9"/>
  <c r="B45" i="9"/>
  <c r="C44" i="9"/>
  <c r="B44" i="9"/>
  <c r="C43" i="9"/>
  <c r="B43" i="9"/>
  <c r="C42" i="9"/>
  <c r="B42" i="9"/>
  <c r="C41" i="9"/>
  <c r="B41" i="9"/>
  <c r="C38" i="9"/>
  <c r="B38" i="9"/>
  <c r="C37" i="9"/>
  <c r="B37" i="9"/>
  <c r="C36" i="9"/>
  <c r="B36" i="9"/>
  <c r="C33" i="9"/>
  <c r="B33" i="9"/>
  <c r="C32" i="9"/>
  <c r="B32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0" i="9"/>
  <c r="B20" i="9"/>
  <c r="C19" i="9"/>
  <c r="B19" i="9"/>
  <c r="C18" i="9"/>
  <c r="B18" i="9"/>
  <c r="C17" i="9"/>
  <c r="B17" i="9"/>
  <c r="C16" i="9"/>
  <c r="B16" i="9"/>
  <c r="C15" i="9"/>
  <c r="B15" i="9"/>
  <c r="C12" i="9"/>
  <c r="B12" i="9"/>
  <c r="C11" i="9"/>
  <c r="B11" i="9"/>
  <c r="R281" i="12"/>
  <c r="R280" i="12"/>
  <c r="R279" i="12"/>
  <c r="R278" i="12"/>
  <c r="R277" i="12"/>
  <c r="R276" i="12"/>
  <c r="R275" i="12"/>
  <c r="R274" i="12"/>
  <c r="R272" i="12"/>
  <c r="R271" i="12"/>
  <c r="R270" i="12"/>
  <c r="R269" i="12"/>
  <c r="R268" i="12"/>
  <c r="R266" i="12"/>
  <c r="R265" i="12"/>
  <c r="R264" i="12"/>
  <c r="R263" i="12"/>
  <c r="R262" i="12"/>
  <c r="R261" i="12"/>
  <c r="R260" i="12"/>
  <c r="R259" i="12"/>
  <c r="R258" i="12"/>
  <c r="R256" i="12"/>
  <c r="R255" i="12"/>
  <c r="R254" i="12"/>
  <c r="R252" i="12"/>
  <c r="R251" i="12"/>
  <c r="R250" i="12"/>
  <c r="R248" i="12"/>
  <c r="R247" i="12"/>
  <c r="R246" i="12"/>
  <c r="R245" i="12"/>
  <c r="R244" i="12"/>
  <c r="R243" i="12"/>
  <c r="R241" i="12"/>
  <c r="R240" i="12"/>
  <c r="R239" i="12"/>
  <c r="R238" i="12"/>
  <c r="R237" i="12"/>
  <c r="R236" i="12"/>
  <c r="R235" i="12"/>
  <c r="R234" i="12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0" i="12"/>
  <c r="R209" i="12"/>
  <c r="R208" i="12"/>
  <c r="R206" i="12"/>
  <c r="R205" i="12"/>
  <c r="R204" i="12"/>
  <c r="R203" i="12"/>
  <c r="R202" i="12"/>
  <c r="R201" i="12"/>
  <c r="R200" i="12"/>
  <c r="R199" i="12"/>
  <c r="R198" i="12"/>
  <c r="R197" i="12"/>
  <c r="R196" i="12"/>
  <c r="R195" i="12"/>
  <c r="R194" i="12"/>
  <c r="R193" i="12"/>
  <c r="R192" i="12"/>
  <c r="R191" i="12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A1" i="12"/>
  <c r="D52" i="11"/>
  <c r="E9" i="11"/>
  <c r="D9" i="11"/>
  <c r="B9" i="11"/>
  <c r="D8" i="11"/>
  <c r="B8" i="11"/>
  <c r="E7" i="11"/>
  <c r="A6" i="11"/>
  <c r="A1" i="11"/>
  <c r="F34" i="10"/>
  <c r="G29" i="10"/>
  <c r="F29" i="10"/>
  <c r="F9" i="10"/>
  <c r="E9" i="10"/>
  <c r="D9" i="10"/>
  <c r="F8" i="10"/>
  <c r="D8" i="10"/>
  <c r="A5" i="10"/>
  <c r="A1" i="10"/>
  <c r="B159" i="9"/>
  <c r="B157" i="9"/>
  <c r="C137" i="9"/>
  <c r="C56" i="9"/>
  <c r="D7" i="9"/>
  <c r="C7" i="9"/>
  <c r="C102" i="9" s="1"/>
  <c r="C6" i="9"/>
  <c r="A5" i="9"/>
  <c r="A1" i="9"/>
  <c r="A10" i="8"/>
  <c r="A2" i="8"/>
  <c r="A1" i="8"/>
  <c r="C7" i="6"/>
  <c r="C9" i="11" s="1"/>
  <c r="C10" i="9" l="1"/>
  <c r="C40" i="9"/>
  <c r="C59" i="9"/>
  <c r="C83" i="9"/>
  <c r="C87" i="9"/>
  <c r="C95" i="9"/>
  <c r="C139" i="9"/>
  <c r="C150" i="9"/>
  <c r="C104" i="9"/>
  <c r="C48" i="9"/>
  <c r="C14" i="9"/>
  <c r="C22" i="9"/>
  <c r="C35" i="9"/>
  <c r="C62" i="9"/>
  <c r="C69" i="9"/>
  <c r="C79" i="9"/>
  <c r="C121" i="9"/>
  <c r="C31" i="9"/>
  <c r="C65" i="9"/>
  <c r="D19" i="11"/>
  <c r="D29" i="11" s="1"/>
  <c r="D38" i="11"/>
  <c r="B19" i="11"/>
  <c r="B29" i="11" s="1"/>
  <c r="B38" i="11"/>
  <c r="D46" i="11"/>
  <c r="E46" i="11"/>
  <c r="C46" i="11"/>
  <c r="C19" i="11"/>
  <c r="C29" i="11" s="1"/>
  <c r="C38" i="11"/>
  <c r="E19" i="11"/>
  <c r="E29" i="11" s="1"/>
  <c r="E38" i="11"/>
  <c r="B46" i="11"/>
  <c r="B31" i="9"/>
  <c r="B79" i="9"/>
  <c r="B7" i="9"/>
  <c r="B139" i="9"/>
  <c r="B59" i="9"/>
  <c r="G9" i="10"/>
  <c r="B83" i="9"/>
  <c r="BL55" i="5"/>
  <c r="BL54" i="5"/>
  <c r="BL53" i="5"/>
  <c r="BL52" i="5"/>
  <c r="BL51" i="5"/>
  <c r="BL50" i="5"/>
  <c r="BL31" i="5"/>
  <c r="B64" i="5"/>
  <c r="B55" i="5"/>
  <c r="B73" i="5" s="1"/>
  <c r="B54" i="5"/>
  <c r="B63" i="5" s="1"/>
  <c r="B53" i="5"/>
  <c r="B62" i="5" s="1"/>
  <c r="B47" i="5"/>
  <c r="B46" i="5"/>
  <c r="B45" i="5"/>
  <c r="B44" i="5"/>
  <c r="B43" i="5"/>
  <c r="B36" i="5"/>
  <c r="B34" i="5"/>
  <c r="B52" i="5" s="1"/>
  <c r="B33" i="5"/>
  <c r="B42" i="5" s="1"/>
  <c r="B32" i="5"/>
  <c r="B50" i="5" s="1"/>
  <c r="B29" i="5"/>
  <c r="B28" i="5"/>
  <c r="B27" i="5"/>
  <c r="B26" i="5"/>
  <c r="B25" i="5"/>
  <c r="B24" i="5"/>
  <c r="B23" i="5"/>
  <c r="BO8" i="4"/>
  <c r="BP9" i="4"/>
  <c r="BQ9" i="4"/>
  <c r="BR9" i="4"/>
  <c r="BS9" i="4"/>
  <c r="BT9" i="4"/>
  <c r="BU9" i="4"/>
  <c r="BV9" i="4"/>
  <c r="BW9" i="4"/>
  <c r="BP10" i="4"/>
  <c r="BP11" i="4" s="1"/>
  <c r="BQ10" i="4"/>
  <c r="BR10" i="4"/>
  <c r="BS10" i="4"/>
  <c r="BS11" i="4" s="1"/>
  <c r="BT10" i="4"/>
  <c r="BT11" i="4" s="1"/>
  <c r="BU10" i="4"/>
  <c r="BV10" i="4"/>
  <c r="BW10" i="4"/>
  <c r="BV11" i="4"/>
  <c r="BP12" i="4"/>
  <c r="BQ12" i="4"/>
  <c r="BR12" i="4"/>
  <c r="BS12" i="4"/>
  <c r="BS29" i="4" s="1"/>
  <c r="BT12" i="4"/>
  <c r="BT33" i="4" s="1"/>
  <c r="BU12" i="4"/>
  <c r="BV12" i="4"/>
  <c r="BW12" i="4"/>
  <c r="BP16" i="4"/>
  <c r="BQ16" i="4"/>
  <c r="BQ29" i="4" s="1"/>
  <c r="BR16" i="4"/>
  <c r="BR29" i="4" s="1"/>
  <c r="BS16" i="4"/>
  <c r="BT16" i="4"/>
  <c r="BU16" i="4"/>
  <c r="BU29" i="4" s="1"/>
  <c r="BV16" i="4"/>
  <c r="BV29" i="4" s="1"/>
  <c r="BW16" i="4"/>
  <c r="BP30" i="4"/>
  <c r="BQ30" i="4"/>
  <c r="BQ31" i="4" s="1"/>
  <c r="BR30" i="4"/>
  <c r="BR31" i="4" s="1"/>
  <c r="BS30" i="4"/>
  <c r="BT30" i="4"/>
  <c r="BU30" i="4"/>
  <c r="BV30" i="4"/>
  <c r="BV31" i="4" s="1"/>
  <c r="BW30" i="4"/>
  <c r="BP32" i="4"/>
  <c r="BP33" i="4" s="1"/>
  <c r="BQ32" i="4"/>
  <c r="BQ33" i="4" s="1"/>
  <c r="BR32" i="4"/>
  <c r="BR33" i="4" s="1"/>
  <c r="BS32" i="4"/>
  <c r="BT32" i="4"/>
  <c r="BU32" i="4"/>
  <c r="BU33" i="4" s="1"/>
  <c r="BV32" i="4"/>
  <c r="BV33" i="4" s="1"/>
  <c r="BW32" i="4"/>
  <c r="BP34" i="4"/>
  <c r="BQ34" i="4"/>
  <c r="BQ35" i="4" s="1"/>
  <c r="BR34" i="4"/>
  <c r="BR35" i="4" s="1"/>
  <c r="BS34" i="4"/>
  <c r="BS35" i="4" s="1"/>
  <c r="BT34" i="4"/>
  <c r="BT35" i="4" s="1"/>
  <c r="BU34" i="4"/>
  <c r="BU35" i="4" s="1"/>
  <c r="BV34" i="4"/>
  <c r="BV35" i="4" s="1"/>
  <c r="BW34" i="4"/>
  <c r="BP36" i="4"/>
  <c r="BQ36" i="4"/>
  <c r="BQ37" i="4" s="1"/>
  <c r="BR36" i="4"/>
  <c r="BS36" i="4"/>
  <c r="BT36" i="4"/>
  <c r="BU36" i="4"/>
  <c r="BU37" i="4" s="1"/>
  <c r="BV36" i="4"/>
  <c r="BV37" i="4" s="1"/>
  <c r="BW36" i="4"/>
  <c r="BW37" i="4" s="1"/>
  <c r="BN39" i="4"/>
  <c r="BP38" i="4"/>
  <c r="BQ38" i="4"/>
  <c r="BR38" i="4"/>
  <c r="BS38" i="4"/>
  <c r="BT38" i="4"/>
  <c r="BU38" i="4"/>
  <c r="BU39" i="4" s="1"/>
  <c r="BV38" i="4"/>
  <c r="BV39" i="4" s="1"/>
  <c r="BW38" i="4"/>
  <c r="BQ39" i="4"/>
  <c r="BN48" i="4"/>
  <c r="BP40" i="4"/>
  <c r="BP48" i="4" s="1"/>
  <c r="BQ40" i="4"/>
  <c r="BR40" i="4"/>
  <c r="BS40" i="4"/>
  <c r="BT40" i="4"/>
  <c r="BU40" i="4"/>
  <c r="BV40" i="4"/>
  <c r="BV48" i="4" s="1"/>
  <c r="BW40" i="4"/>
  <c r="BW48" i="4" s="1"/>
  <c r="BR48" i="4"/>
  <c r="BS48" i="4"/>
  <c r="BU48" i="4"/>
  <c r="BP49" i="4"/>
  <c r="BQ49" i="4"/>
  <c r="BR49" i="4"/>
  <c r="BS49" i="4"/>
  <c r="BT49" i="4"/>
  <c r="BU49" i="4"/>
  <c r="BU54" i="4" s="1"/>
  <c r="BV49" i="4"/>
  <c r="BV54" i="4" s="1"/>
  <c r="BW49" i="4"/>
  <c r="BW54" i="4" s="1"/>
  <c r="BR54" i="4"/>
  <c r="BP55" i="4"/>
  <c r="BQ55" i="4"/>
  <c r="BR55" i="4"/>
  <c r="BS55" i="4"/>
  <c r="BT55" i="4"/>
  <c r="BU55" i="4"/>
  <c r="BV55" i="4"/>
  <c r="BW55" i="4"/>
  <c r="BP56" i="4"/>
  <c r="BP57" i="4" s="1"/>
  <c r="BQ56" i="4"/>
  <c r="BQ57" i="4" s="1"/>
  <c r="BR56" i="4"/>
  <c r="BS56" i="4"/>
  <c r="BT56" i="4"/>
  <c r="BU56" i="4"/>
  <c r="BU57" i="4" s="1"/>
  <c r="BV56" i="4"/>
  <c r="BV57" i="4" s="1"/>
  <c r="BW56" i="4"/>
  <c r="BW57" i="4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C103" i="9" l="1"/>
  <c r="C138" i="9"/>
  <c r="BO29" i="4"/>
  <c r="BN29" i="4"/>
  <c r="BN37" i="4"/>
  <c r="BM39" i="4"/>
  <c r="BR11" i="4"/>
  <c r="BM37" i="4"/>
  <c r="BM48" i="4"/>
  <c r="BQ11" i="4"/>
  <c r="BS33" i="4"/>
  <c r="BP31" i="4"/>
  <c r="BP29" i="4"/>
  <c r="BN33" i="4"/>
  <c r="BS54" i="4"/>
  <c r="BR37" i="4"/>
  <c r="BP35" i="4"/>
  <c r="BR39" i="4"/>
  <c r="BN35" i="4"/>
  <c r="BW11" i="4"/>
  <c r="BQ54" i="4"/>
  <c r="BP37" i="4"/>
  <c r="BP54" i="4"/>
  <c r="BP39" i="4"/>
  <c r="BW29" i="4"/>
  <c r="BU11" i="4"/>
  <c r="BM29" i="4"/>
  <c r="BM33" i="4"/>
  <c r="BM35" i="4"/>
  <c r="BM31" i="4"/>
  <c r="BU31" i="4"/>
  <c r="BT39" i="4"/>
  <c r="BS37" i="4"/>
  <c r="BT31" i="4"/>
  <c r="BS39" i="4"/>
  <c r="BT37" i="4"/>
  <c r="BS31" i="4"/>
  <c r="BT29" i="4"/>
  <c r="BT57" i="4"/>
  <c r="BT48" i="4"/>
  <c r="BS57" i="4"/>
  <c r="BT54" i="4"/>
  <c r="C58" i="9"/>
  <c r="C47" i="9" s="1"/>
  <c r="BO48" i="4"/>
  <c r="BO37" i="4"/>
  <c r="BO33" i="4"/>
  <c r="BW33" i="4"/>
  <c r="BO39" i="4"/>
  <c r="BO35" i="4"/>
  <c r="BO31" i="4"/>
  <c r="BN31" i="4"/>
  <c r="BR57" i="4"/>
  <c r="BQ48" i="4"/>
  <c r="BW39" i="4"/>
  <c r="BW35" i="4"/>
  <c r="BW31" i="4"/>
  <c r="C8" i="9"/>
  <c r="D47" i="11"/>
  <c r="D50" i="11" s="1"/>
  <c r="B47" i="11"/>
  <c r="B50" i="11" s="1"/>
  <c r="B40" i="9"/>
  <c r="B150" i="9"/>
  <c r="B138" i="9" s="1"/>
  <c r="E47" i="11"/>
  <c r="E50" i="11" s="1"/>
  <c r="C47" i="11"/>
  <c r="C50" i="11" s="1"/>
  <c r="B22" i="9"/>
  <c r="B48" i="9"/>
  <c r="B87" i="9"/>
  <c r="B10" i="9"/>
  <c r="B14" i="9"/>
  <c r="B65" i="9"/>
  <c r="B62" i="9"/>
  <c r="B121" i="9"/>
  <c r="B137" i="9"/>
  <c r="B102" i="9"/>
  <c r="B56" i="9"/>
  <c r="B104" i="9"/>
  <c r="B35" i="9"/>
  <c r="B95" i="9"/>
  <c r="BL49" i="5"/>
  <c r="B68" i="5"/>
  <c r="B59" i="5"/>
  <c r="B61" i="5"/>
  <c r="B70" i="5"/>
  <c r="B71" i="5"/>
  <c r="B41" i="5"/>
  <c r="B51" i="5"/>
  <c r="B72" i="5"/>
  <c r="BK52" i="5"/>
  <c r="C154" i="9" l="1"/>
  <c r="C100" i="9"/>
  <c r="C155" i="9" s="1"/>
  <c r="B8" i="9"/>
  <c r="B58" i="9"/>
  <c r="B47" i="9" s="1"/>
  <c r="B103" i="9"/>
  <c r="B154" i="9" s="1"/>
  <c r="B60" i="5"/>
  <c r="B69" i="5"/>
  <c r="B100" i="9" l="1"/>
  <c r="B15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5304F0C4-A460-4897-9A0A-94CECE92367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2EBE57AD-AE53-4CED-A3AF-5EF89EA129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sharedStrings.xml><?xml version="1.0" encoding="utf-8"?>
<sst xmlns="http://schemas.openxmlformats.org/spreadsheetml/2006/main" count="1734" uniqueCount="631">
  <si>
    <t>CÔNG TY CP NHỰA TÁI CHẾ DUY TÂN</t>
  </si>
  <si>
    <t>Địa chỉ:</t>
  </si>
  <si>
    <t>Lô D2, Cụm Công nghiệp Nhựa Đức Hoà Hạ, Xã Đức Hoà, Tỉnh Tây Ninh</t>
  </si>
  <si>
    <t>Mã số thuế: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</si>
  <si>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</si>
  <si>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</si>
  <si>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</si>
  <si>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</si>
  <si>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</si>
  <si>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Hoàng Duy Danh</t>
  </si>
  <si>
    <t>KẾ TOÁN TRƯỞNG</t>
  </si>
  <si>
    <t>Giang Văn Lộc</t>
  </si>
  <si>
    <t xml:space="preserve">TỔNG GIÁM ĐỐC </t>
  </si>
  <si>
    <t>Trần Duy Hy</t>
  </si>
  <si>
    <t xml:space="preserve"> THÁNG 01 NĂM 2026</t>
  </si>
  <si>
    <t>Thành phố Hồ Chí Minh, Ngày 31 tháng 01 năm 2026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</si>
  <si>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</si>
  <si>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</si>
  <si>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</si>
  <si>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</si>
  <si>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</si>
  <si>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</si>
  <si>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</si>
  <si>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</si>
  <si>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</si>
  <si>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</si>
  <si>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</si>
  <si>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</si>
  <si>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</si>
  <si>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</si>
  <si>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</si>
  <si>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</si>
  <si>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 HỢP NHẤT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</si>
  <si>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</si>
  <si>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</si>
  <si>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</si>
  <si>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</si>
  <si>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</si>
  <si>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</si>
  <si>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</si>
  <si>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</si>
  <si>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</si>
  <si>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</si>
  <si>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</si>
  <si>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</si>
  <si>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</si>
  <si>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</si>
  <si>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</si>
  <si>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</si>
  <si>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</si>
  <si>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</si>
  <si>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</si>
  <si>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</si>
  <si>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</si>
  <si>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</si>
  <si>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</si>
  <si>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</si>
  <si>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</si>
  <si>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</si>
  <si>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</si>
  <si>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</si>
  <si>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</si>
  <si>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</si>
  <si>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</si>
  <si>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</si>
  <si>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</si>
  <si>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</si>
  <si>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</si>
  <si>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</si>
  <si>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</si>
  <si>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</si>
  <si>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</si>
  <si>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</si>
  <si>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</si>
  <si>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</si>
  <si>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</si>
  <si>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</si>
  <si>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</si>
  <si>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</si>
  <si>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</si>
  <si>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</si>
  <si>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</si>
  <si>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</si>
  <si>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</si>
  <si>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</si>
  <si>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</si>
  <si>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</si>
  <si>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</si>
  <si>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</si>
  <si>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</si>
  <si>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</si>
  <si>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</si>
  <si>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</si>
  <si>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</si>
  <si>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</si>
  <si>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</si>
  <si>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</si>
  <si>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</si>
  <si>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</si>
  <si>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</si>
  <si>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</si>
  <si>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</si>
  <si>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</si>
  <si>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</si>
  <si>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</si>
  <si>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</si>
  <si>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</si>
  <si>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</si>
  <si>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</si>
  <si>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</si>
  <si>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</si>
  <si>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</si>
  <si>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</si>
  <si>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</si>
  <si>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</si>
  <si>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</si>
  <si>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</si>
  <si>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</si>
  <si>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</si>
  <si>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</si>
  <si>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</si>
  <si>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</si>
  <si>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</si>
  <si>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</si>
  <si>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</si>
  <si>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</si>
  <si>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</si>
  <si>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</si>
  <si>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</si>
  <si>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</si>
  <si>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</si>
  <si>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</si>
  <si>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</si>
  <si>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</si>
  <si>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</si>
  <si>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</si>
  <si>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</si>
  <si>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</si>
  <si>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</si>
  <si>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</si>
  <si>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</si>
  <si>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</si>
  <si>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</si>
  <si>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</si>
  <si>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</si>
  <si>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</si>
  <si>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</si>
  <si>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</si>
  <si>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</si>
  <si>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</si>
  <si>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</si>
  <si>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</si>
  <si>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</si>
  <si>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</si>
  <si>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</si>
  <si>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</si>
  <si>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BÁO CÁO KẾT QUẢ HOẠT ĐỘNG KINH DOANH HỢP NHẤT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</si>
  <si>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</si>
  <si>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</si>
  <si>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</si>
  <si>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</si>
  <si>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</si>
  <si>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</si>
  <si>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</si>
  <si>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</si>
  <si>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</si>
  <si>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</si>
  <si>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</si>
  <si>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</si>
  <si>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</si>
  <si>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</si>
  <si>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</si>
  <si>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</si>
  <si>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</si>
  <si>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</si>
  <si>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</si>
  <si>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</si>
  <si>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</si>
  <si>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</si>
  <si>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</si>
  <si>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</si>
  <si>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</si>
  <si>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</si>
  <si>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</si>
  <si>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</si>
  <si>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</si>
  <si>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</si>
  <si>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</si>
  <si>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</si>
  <si>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</si>
  <si>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</si>
  <si>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</si>
  <si>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</si>
  <si>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</si>
  <si>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</si>
  <si>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</si>
  <si>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</si>
  <si>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</si>
  <si>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Lập, ngày 30 tháng 11 năm 2025</t>
  </si>
  <si>
    <t>BÁO CÁO LƯU CHUYỂN TIỀN TỆ HỢP NHẤT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</si>
  <si>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</si>
  <si>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</si>
  <si>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</si>
  <si>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</si>
  <si>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</si>
  <si>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</si>
  <si>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</si>
  <si>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</si>
  <si>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</si>
  <si>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</si>
  <si>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</si>
  <si>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</si>
  <si>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</si>
  <si>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</si>
  <si>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</si>
  <si>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</si>
  <si>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</si>
  <si>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</si>
  <si>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</si>
  <si>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</si>
  <si>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</si>
  <si>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</si>
  <si>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</si>
  <si>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</si>
  <si>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</si>
  <si>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</si>
  <si>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</si>
  <si>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</si>
  <si>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</si>
  <si>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</si>
  <si>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</si>
  <si>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</si>
  <si>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</si>
  <si>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</si>
  <si>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</si>
  <si>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</si>
  <si>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</si>
  <si>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</si>
  <si>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</si>
  <si>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</si>
  <si>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</si>
  <si>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</si>
  <si>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GIÁM ĐỐC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</si>
  <si>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</si>
  <si>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</si>
  <si>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</si>
  <si>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</si>
  <si>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</si>
  <si>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</si>
  <si>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</si>
  <si>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</si>
  <si>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</si>
  <si>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</si>
  <si>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</si>
  <si>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</si>
  <si>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</si>
  <si>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</si>
  <si>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</si>
  <si>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</si>
  <si>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</si>
  <si>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</si>
  <si>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</si>
  <si>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</si>
  <si>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</si>
  <si>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</si>
  <si>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</si>
  <si>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</si>
  <si>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</si>
  <si>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</si>
  <si>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</si>
  <si>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</si>
  <si>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</si>
  <si>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</si>
  <si>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</si>
  <si>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</si>
  <si>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</si>
  <si>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</si>
  <si>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</si>
  <si>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</si>
  <si>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</si>
  <si>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</si>
  <si>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</si>
  <si>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</si>
  <si>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</si>
  <si>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</si>
  <si>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</si>
  <si>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</si>
  <si>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</si>
  <si>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</si>
  <si>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</si>
  <si>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</si>
  <si>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</si>
  <si>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</si>
  <si>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</si>
  <si>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</si>
  <si>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</si>
  <si>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</si>
  <si>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</si>
  <si>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</si>
  <si>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</si>
  <si>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</si>
  <si>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</si>
  <si>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</si>
  <si>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</si>
  <si>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</si>
  <si>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</si>
  <si>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</si>
  <si>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</si>
  <si>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</si>
  <si>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</si>
  <si>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</si>
  <si>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</si>
  <si>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</si>
  <si>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</si>
  <si>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</si>
  <si>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</si>
  <si>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</si>
  <si>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</si>
  <si>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</si>
  <si>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</si>
  <si>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</si>
  <si>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</si>
  <si>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</si>
  <si>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</si>
  <si>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</si>
  <si>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</si>
  <si>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</si>
  <si>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</si>
  <si>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</si>
  <si>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</si>
  <si>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</si>
  <si>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</si>
  <si>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</si>
  <si>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</si>
  <si>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</si>
  <si>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</si>
  <si>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</si>
  <si>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</si>
  <si>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</si>
  <si>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</si>
  <si>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</si>
  <si>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</si>
  <si>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</si>
  <si>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</si>
  <si>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</si>
  <si>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</si>
  <si>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</si>
  <si>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</si>
  <si>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</si>
  <si>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</si>
  <si>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</si>
  <si>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</si>
  <si>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</si>
  <si>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</si>
  <si>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</si>
  <si>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</si>
  <si>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</si>
  <si>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</si>
  <si>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</si>
  <si>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</si>
  <si>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</si>
  <si>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</si>
  <si>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</si>
  <si>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</si>
  <si>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</si>
  <si>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</si>
  <si>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</si>
  <si>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</si>
  <si>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</si>
  <si>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</si>
  <si>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</si>
  <si>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</si>
  <si>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</si>
  <si>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</si>
  <si>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</si>
  <si>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</si>
  <si>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</si>
  <si>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</si>
  <si>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</si>
  <si>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</si>
  <si>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</si>
  <si>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</si>
  <si>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</si>
  <si>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</si>
  <si>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</si>
  <si>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</si>
  <si>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</si>
  <si>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</si>
  <si>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</si>
  <si>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</si>
  <si>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</si>
  <si>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</si>
  <si>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</si>
  <si>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</si>
  <si>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</si>
  <si>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</si>
  <si>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</si>
  <si>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</si>
  <si>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</si>
  <si>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</si>
  <si>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</si>
  <si>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</si>
  <si>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</si>
  <si>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</si>
  <si>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</si>
  <si>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</si>
  <si>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</si>
  <si>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</si>
  <si>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</si>
  <si>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</si>
  <si>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</si>
  <si>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</si>
  <si>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</si>
  <si>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</si>
  <si>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</si>
  <si>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</si>
  <si>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</si>
  <si>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</si>
  <si>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</si>
  <si>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</si>
  <si>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</si>
  <si>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</si>
  <si>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</si>
  <si>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</si>
  <si>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</si>
  <si>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</si>
  <si>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</si>
  <si>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</si>
  <si>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</si>
  <si>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</si>
  <si>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</si>
  <si>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</si>
  <si>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</si>
  <si>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</si>
  <si>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</si>
  <si>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</si>
  <si>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</si>
  <si>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</si>
  <si>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</si>
  <si>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</si>
  <si>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</si>
  <si>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</si>
  <si>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</si>
  <si>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</si>
  <si>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</si>
  <si>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</si>
  <si>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</si>
  <si>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</si>
  <si>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</si>
  <si>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</si>
  <si>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</si>
  <si>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</si>
  <si>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</si>
  <si>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</si>
  <si>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</si>
  <si>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</si>
  <si>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</si>
  <si>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</si>
  <si>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</si>
  <si>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</si>
  <si>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</si>
  <si>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</si>
  <si>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</si>
  <si>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</si>
  <si>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</si>
  <si>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</si>
  <si>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</si>
  <si>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</si>
  <si>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</si>
  <si>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</si>
  <si>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</si>
  <si>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</si>
  <si>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</si>
  <si>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</si>
  <si>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</si>
  <si>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</si>
  <si>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</si>
  <si>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</si>
  <si>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</si>
  <si>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</si>
  <si>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</si>
  <si>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</si>
  <si>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</si>
  <si>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</si>
  <si>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</si>
  <si>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</si>
  <si>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</si>
  <si>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</si>
  <si>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</si>
  <si>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</si>
  <si>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</si>
  <si>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</si>
  <si>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</si>
  <si>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</si>
  <si>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</si>
  <si>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</si>
  <si>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</si>
  <si>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</si>
  <si>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</si>
  <si>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</si>
  <si>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</si>
  <si>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</si>
  <si>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</si>
  <si>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</si>
  <si>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</si>
  <si>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</si>
  <si>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</si>
  <si>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</si>
  <si>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</si>
  <si>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</si>
  <si>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</si>
  <si>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</si>
  <si>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</si>
  <si>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</si>
  <si>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</si>
  <si>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</si>
  <si>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</si>
  <si>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</si>
  <si>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</si>
  <si>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</si>
  <si>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</si>
  <si>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</si>
  <si>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</si>
  <si>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</si>
  <si>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</si>
  <si>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</si>
  <si>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</si>
  <si>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</si>
  <si>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</si>
  <si>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</si>
  <si>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</si>
  <si>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</si>
  <si>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</si>
  <si>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</si>
  <si>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</si>
  <si>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</si>
  <si>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</si>
  <si>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</si>
  <si>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</si>
  <si>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</si>
  <si>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</si>
  <si>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</si>
  <si>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</si>
  <si>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</si>
  <si>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</si>
  <si>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</si>
  <si>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</si>
  <si>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</si>
  <si>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</si>
  <si>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</si>
  <si>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</si>
  <si>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</si>
  <si>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</si>
  <si>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</si>
  <si>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</si>
  <si>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</si>
  <si>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</si>
  <si>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</si>
  <si>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</si>
  <si>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</si>
  <si>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</si>
  <si>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</si>
  <si>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</si>
  <si>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</si>
  <si>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</si>
  <si>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</si>
  <si>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</si>
  <si>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Phần mềm CNTT</t>
  </si>
  <si>
    <t>Thuê máy móc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</si>
  <si>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</si>
  <si>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</si>
  <si>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</si>
  <si>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</si>
  <si>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</si>
  <si>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</si>
  <si>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</si>
  <si>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</si>
  <si>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</si>
  <si>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</si>
  <si>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</si>
  <si>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Phí sửa khuôn</t>
  </si>
  <si>
    <t>Mua thùng giấy</t>
  </si>
  <si>
    <t>151/152</t>
  </si>
  <si>
    <t>Thuê xưởng</t>
  </si>
  <si>
    <t>642/627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</si>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</sst>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#,##0;[Red]#,##0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#,##0,,"/>
    <numFmt numFmtId="173" formatCode="_-* #,##0.00\ _₫_-;\-* #,##0.00\ _₫_-;_-* &quot;-&quot;??\ _₫_-;_-@_-"/>
    <numFmt numFmtId="174" formatCode="#,###"/>
    <numFmt numFmtId="175" formatCode="_-* #,##0\ _₫_-;\-* #,##0\ _₫_-;_-* &quot;-&quot;??\ _₫_-;_-@_-"/>
    <numFmt numFmtId="176" formatCode="_-* #,##0.0\ _₫_-;\-* #,##0.0\ _₫_-;_-* &quot;-&quot;??\ _₫_-;_-@_-"/>
    <numFmt numFmtId="177" formatCode="_(* #.##0_);_(* \(#.##0\);_(* &quot;-&quot;??_);_(@_)"/>
  </numFmts>
  <fonts count="10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0000FF"/>
      <name val="Times New Roman"/>
      <family val="1"/>
    </font>
    <font>
      <b/>
      <sz val="11"/>
      <color indexed="12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1"/>
      <color rgb="FF0000FF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name val="VNI-Times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indexed="12"/>
      <name val="Times New Roman"/>
      <family val="1"/>
    </font>
    <font>
      <b/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5">
    <xf numFmtId="0" fontId="0" fillId="0" borderId="0"/>
    <xf numFmtId="9" fontId="18" fillId="0" borderId="0" applyFont="0" applyFill="0" applyBorder="0" applyAlignment="0" applyProtection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101" fillId="0" borderId="0"/>
    <xf numFmtId="173" fontId="101" fillId="0" borderId="0" applyFont="0" applyFill="0" applyBorder="0" applyAlignment="0" applyProtection="0"/>
  </cellStyleXfs>
  <cellXfs count="596">
    <xf numFmtId="0" fontId="0" fillId="0" borderId="0" xfId="0"/>
    <xf numFmtId="166" fontId="13" fillId="0" borderId="4" xfId="4" applyNumberFormat="1" applyFont="1" applyFill="1" applyBorder="1" applyAlignment="1" applyProtection="1">
      <alignment vertical="top" wrapText="1"/>
      <protection locked="0"/>
    </xf>
    <xf numFmtId="166" fontId="10" fillId="0" borderId="4" xfId="4" applyNumberFormat="1" applyFont="1" applyFill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3" fontId="13" fillId="0" borderId="4" xfId="2" applyNumberFormat="1" applyFont="1" applyBorder="1" applyAlignment="1" applyProtection="1">
      <alignment vertical="top" wrapText="1"/>
      <protection locked="0"/>
    </xf>
    <xf numFmtId="3" fontId="13" fillId="0" borderId="4" xfId="0" applyNumberFormat="1" applyFont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3" fontId="24" fillId="3" borderId="4" xfId="0" applyNumberFormat="1" applyFont="1" applyFill="1" applyBorder="1" applyAlignment="1" applyProtection="1">
      <alignment vertical="top" wrapText="1"/>
      <protection locked="0"/>
    </xf>
    <xf numFmtId="3" fontId="11" fillId="0" borderId="4" xfId="2" applyNumberFormat="1" applyFont="1" applyBorder="1" applyAlignment="1" applyProtection="1">
      <alignment vertical="top" wrapText="1"/>
      <protection locked="0"/>
    </xf>
    <xf numFmtId="166" fontId="10" fillId="0" borderId="4" xfId="2" applyNumberFormat="1" applyFont="1" applyBorder="1" applyAlignment="1" applyProtection="1">
      <alignment vertical="top" wrapText="1"/>
      <protection locked="0"/>
    </xf>
    <xf numFmtId="0" fontId="21" fillId="0" borderId="4" xfId="0" applyFont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indent="1"/>
      <protection locked="0"/>
    </xf>
    <xf numFmtId="166" fontId="11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0" borderId="4" xfId="5" applyNumberFormat="1" applyFont="1" applyFill="1" applyBorder="1" applyAlignment="1" applyProtection="1">
      <alignment horizontal="left"/>
      <protection locked="0"/>
    </xf>
    <xf numFmtId="166" fontId="11" fillId="0" borderId="4" xfId="5" applyNumberFormat="1" applyFont="1" applyFill="1" applyBorder="1" applyProtection="1">
      <protection locked="0"/>
    </xf>
    <xf numFmtId="166" fontId="10" fillId="0" borderId="4" xfId="5" applyNumberFormat="1" applyFont="1" applyFill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4" borderId="4" xfId="4" applyNumberFormat="1" applyFont="1" applyFill="1" applyBorder="1" applyProtection="1">
      <protection locked="0"/>
    </xf>
    <xf numFmtId="0" fontId="35" fillId="0" borderId="4" xfId="0" applyFont="1" applyBorder="1" applyAlignment="1" applyProtection="1">
      <alignment horizontal="right" indent="1"/>
      <protection locked="0"/>
    </xf>
    <xf numFmtId="43" fontId="9" fillId="0" borderId="0" xfId="6" applyFont="1" applyBorder="1" applyAlignment="1" applyProtection="1">
      <alignment horizontal="center" vertical="top" wrapText="1"/>
    </xf>
    <xf numFmtId="43" fontId="2" fillId="0" borderId="0" xfId="6" applyFont="1" applyBorder="1" applyAlignment="1" applyProtection="1">
      <alignment horizontal="center" vertical="top" wrapText="1"/>
    </xf>
    <xf numFmtId="166" fontId="2" fillId="0" borderId="0" xfId="6" applyNumberFormat="1" applyFont="1" applyBorder="1" applyAlignment="1" applyProtection="1">
      <alignment horizontal="center" vertical="top" wrapText="1"/>
    </xf>
    <xf numFmtId="3" fontId="2" fillId="0" borderId="0" xfId="6" applyNumberFormat="1" applyFont="1" applyBorder="1" applyAlignment="1" applyProtection="1">
      <alignment horizontal="center" vertical="top" wrapText="1"/>
    </xf>
    <xf numFmtId="9" fontId="2" fillId="0" borderId="0" xfId="1" applyFont="1" applyBorder="1" applyAlignment="1" applyProtection="1">
      <alignment horizontal="center" vertical="top" wrapText="1"/>
    </xf>
    <xf numFmtId="0" fontId="9" fillId="0" borderId="0" xfId="2" applyFont="1" applyProtection="1">
      <protection locked="0"/>
    </xf>
    <xf numFmtId="3" fontId="38" fillId="0" borderId="2" xfId="3" applyNumberFormat="1" applyFont="1" applyBorder="1" applyProtection="1">
      <protection locked="0"/>
    </xf>
    <xf numFmtId="3" fontId="40" fillId="0" borderId="2" xfId="2" applyNumberFormat="1" applyFont="1" applyBorder="1" applyProtection="1">
      <protection locked="0"/>
    </xf>
    <xf numFmtId="3" fontId="42" fillId="0" borderId="2" xfId="2" applyNumberFormat="1" applyFont="1" applyBorder="1" applyProtection="1">
      <protection locked="0"/>
    </xf>
    <xf numFmtId="169" fontId="42" fillId="0" borderId="2" xfId="1" applyNumberFormat="1" applyFont="1" applyBorder="1" applyProtection="1">
      <protection locked="0"/>
    </xf>
    <xf numFmtId="3" fontId="43" fillId="0" borderId="2" xfId="2" applyNumberFormat="1" applyFont="1" applyBorder="1" applyProtection="1">
      <protection locked="0"/>
    </xf>
    <xf numFmtId="3" fontId="38" fillId="0" borderId="2" xfId="2" applyNumberFormat="1" applyFont="1" applyBorder="1" applyProtection="1">
      <protection locked="0"/>
    </xf>
    <xf numFmtId="169" fontId="43" fillId="0" borderId="2" xfId="1" applyNumberFormat="1" applyFont="1" applyBorder="1" applyProtection="1">
      <protection locked="0"/>
    </xf>
    <xf numFmtId="3" fontId="44" fillId="0" borderId="5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3" fontId="44" fillId="0" borderId="6" xfId="2" applyNumberFormat="1" applyFont="1" applyBorder="1" applyProtection="1">
      <protection locked="0"/>
    </xf>
    <xf numFmtId="3" fontId="45" fillId="0" borderId="0" xfId="2" applyNumberFormat="1" applyFont="1" applyProtection="1">
      <protection locked="0"/>
    </xf>
    <xf numFmtId="10" fontId="9" fillId="0" borderId="0" xfId="1" applyNumberFormat="1" applyFont="1" applyProtection="1">
      <protection locked="0"/>
    </xf>
    <xf numFmtId="164" fontId="9" fillId="0" borderId="0" xfId="8" applyFont="1" applyProtection="1">
      <protection locked="0"/>
    </xf>
    <xf numFmtId="0" fontId="4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3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3"/>
    <xf numFmtId="0" fontId="4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66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11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3" fillId="0" borderId="4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4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17" fillId="0" borderId="4" xfId="2" applyNumberFormat="1" applyFont="1" applyBorder="1" applyAlignment="1">
      <alignment horizontal="center" vertical="top" wrapText="1"/>
    </xf>
    <xf numFmtId="0" fontId="15" fillId="0" borderId="2" xfId="2" applyFont="1" applyBorder="1" applyAlignment="1">
      <alignment horizontal="left" vertical="top" wrapText="1" indent="2"/>
    </xf>
    <xf numFmtId="3" fontId="19" fillId="0" borderId="4" xfId="2" applyNumberFormat="1" applyFont="1" applyBorder="1" applyAlignment="1">
      <alignment horizontal="center" vertical="top" wrapText="1"/>
    </xf>
    <xf numFmtId="0" fontId="15" fillId="0" borderId="4" xfId="2" applyFont="1" applyBorder="1" applyAlignment="1">
      <alignment horizontal="left" vertical="top" wrapText="1" indent="2"/>
    </xf>
    <xf numFmtId="3" fontId="10" fillId="0" borderId="4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0" fontId="16" fillId="0" borderId="4" xfId="2" applyFont="1" applyBorder="1" applyAlignment="1">
      <alignment horizontal="left" vertical="top" wrapText="1" indent="2"/>
    </xf>
    <xf numFmtId="3" fontId="13" fillId="0" borderId="4" xfId="2" applyNumberFormat="1" applyFont="1" applyBorder="1" applyAlignment="1">
      <alignment horizontal="center" vertical="top" wrapText="1"/>
    </xf>
    <xf numFmtId="0" fontId="13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3"/>
    </xf>
    <xf numFmtId="166" fontId="15" fillId="0" borderId="2" xfId="6" applyNumberFormat="1" applyFont="1" applyFill="1" applyBorder="1" applyAlignment="1" applyProtection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5"/>
    </xf>
    <xf numFmtId="0" fontId="10" fillId="0" borderId="4" xfId="2" applyFont="1" applyBorder="1" applyAlignment="1">
      <alignment horizontal="left" vertical="top" wrapText="1" indent="1"/>
    </xf>
    <xf numFmtId="0" fontId="11" fillId="0" borderId="4" xfId="2" applyFont="1" applyBorder="1" applyAlignment="1">
      <alignment horizontal="left" vertical="top" wrapText="1" indent="1"/>
    </xf>
    <xf numFmtId="0" fontId="22" fillId="0" borderId="0" xfId="3" applyFont="1"/>
    <xf numFmtId="3" fontId="24" fillId="3" borderId="4" xfId="2" applyNumberFormat="1" applyFont="1" applyFill="1" applyBorder="1" applyAlignment="1">
      <alignment horizontal="center" vertical="top" wrapText="1"/>
    </xf>
    <xf numFmtId="0" fontId="23" fillId="3" borderId="2" xfId="2" applyFont="1" applyFill="1" applyBorder="1" applyAlignment="1">
      <alignment horizontal="center" vertical="top" wrapText="1"/>
    </xf>
    <xf numFmtId="0" fontId="25" fillId="0" borderId="0" xfId="3" applyFont="1"/>
    <xf numFmtId="0" fontId="16" fillId="0" borderId="2" xfId="2" applyFont="1" applyBorder="1" applyAlignment="1">
      <alignment horizontal="left" vertical="top" wrapText="1" indent="1"/>
    </xf>
    <xf numFmtId="0" fontId="16" fillId="0" borderId="4" xfId="2" applyFont="1" applyBorder="1" applyAlignment="1">
      <alignment horizontal="left" vertical="top" wrapText="1" indent="1"/>
    </xf>
    <xf numFmtId="3" fontId="17" fillId="0" borderId="4" xfId="0" applyNumberFormat="1" applyFont="1" applyBorder="1" applyAlignment="1">
      <alignment horizontal="center" vertical="top" wrapText="1"/>
    </xf>
    <xf numFmtId="0" fontId="26" fillId="0" borderId="2" xfId="2" applyFont="1" applyBorder="1" applyAlignment="1">
      <alignment horizontal="left" vertical="top" wrapText="1" indent="1"/>
    </xf>
    <xf numFmtId="0" fontId="27" fillId="0" borderId="2" xfId="2" applyFont="1" applyBorder="1" applyAlignment="1">
      <alignment horizontal="left" vertical="top" wrapText="1" indent="1"/>
    </xf>
    <xf numFmtId="3" fontId="6" fillId="3" borderId="4" xfId="2" applyNumberFormat="1" applyFont="1" applyFill="1" applyBorder="1" applyAlignment="1">
      <alignment horizontal="center" vertical="center" wrapText="1"/>
    </xf>
    <xf numFmtId="0" fontId="28" fillId="0" borderId="0" xfId="3" applyFont="1" applyAlignment="1">
      <alignment vertical="center"/>
    </xf>
    <xf numFmtId="9" fontId="1" fillId="0" borderId="0" xfId="7" applyFont="1" applyFill="1" applyBorder="1" applyAlignment="1" applyProtection="1">
      <alignment horizontal="right" vertical="top" wrapText="1" indent="1"/>
    </xf>
    <xf numFmtId="168" fontId="32" fillId="0" borderId="0" xfId="2" applyNumberFormat="1" applyFont="1" applyAlignment="1">
      <alignment horizontal="right" vertical="top" wrapText="1" indent="1"/>
    </xf>
    <xf numFmtId="166" fontId="1" fillId="0" borderId="0" xfId="4" applyNumberFormat="1" applyFont="1" applyFill="1" applyBorder="1" applyAlignment="1" applyProtection="1">
      <alignment horizontal="right" vertical="top" wrapText="1" indent="1"/>
    </xf>
    <xf numFmtId="166" fontId="1" fillId="0" borderId="0" xfId="6" applyNumberFormat="1" applyFont="1" applyFill="1" applyBorder="1" applyAlignment="1" applyProtection="1">
      <alignment horizontal="right" vertical="top" wrapText="1" indent="1"/>
    </xf>
    <xf numFmtId="0" fontId="2" fillId="0" borderId="0" xfId="2"/>
    <xf numFmtId="0" fontId="9" fillId="0" borderId="0" xfId="2" applyFont="1"/>
    <xf numFmtId="166" fontId="2" fillId="0" borderId="0" xfId="6" applyNumberFormat="1" applyFont="1" applyProtection="1"/>
    <xf numFmtId="0" fontId="46" fillId="0" borderId="0" xfId="3" applyFont="1"/>
    <xf numFmtId="3" fontId="9" fillId="0" borderId="0" xfId="2" applyNumberFormat="1" applyFont="1"/>
    <xf numFmtId="0" fontId="30" fillId="0" borderId="4" xfId="4" applyNumberFormat="1" applyFont="1" applyFill="1" applyBorder="1" applyAlignment="1" applyProtection="1">
      <alignment horizontal="center" vertical="top" wrapText="1"/>
    </xf>
    <xf numFmtId="3" fontId="29" fillId="0" borderId="2" xfId="2" applyNumberFormat="1" applyFont="1" applyBorder="1" applyAlignment="1">
      <alignment horizontal="left" vertical="top" wrapText="1" indent="1"/>
    </xf>
    <xf numFmtId="3" fontId="14" fillId="0" borderId="2" xfId="2" applyNumberFormat="1" applyFont="1" applyBorder="1" applyAlignment="1">
      <alignment horizontal="left" vertical="top" wrapText="1" indent="1"/>
    </xf>
    <xf numFmtId="3" fontId="16" fillId="0" borderId="2" xfId="2" applyNumberFormat="1" applyFont="1" applyBorder="1" applyAlignment="1">
      <alignment horizontal="left" vertical="top" wrapText="1" indent="1"/>
    </xf>
    <xf numFmtId="3" fontId="11" fillId="0" borderId="4" xfId="2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center" vertical="top" wrapText="1"/>
    </xf>
    <xf numFmtId="3" fontId="19" fillId="0" borderId="4" xfId="0" applyNumberFormat="1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2"/>
    </xf>
    <xf numFmtId="3" fontId="8" fillId="0" borderId="2" xfId="2" applyNumberFormat="1" applyFont="1" applyBorder="1" applyAlignment="1">
      <alignment horizontal="left" vertical="top" wrapText="1" indent="1"/>
    </xf>
    <xf numFmtId="0" fontId="10" fillId="2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/>
    </xf>
    <xf numFmtId="0" fontId="14" fillId="0" borderId="2" xfId="2" applyFont="1" applyBorder="1"/>
    <xf numFmtId="0" fontId="33" fillId="0" borderId="2" xfId="4" applyNumberFormat="1" applyFont="1" applyFill="1" applyBorder="1" applyAlignment="1" applyProtection="1">
      <alignment horizontal="center" vertical="top" wrapText="1"/>
    </xf>
    <xf numFmtId="0" fontId="10" fillId="0" borderId="4" xfId="2" applyFont="1" applyBorder="1" applyAlignment="1">
      <alignment horizontal="center" vertical="top" wrapText="1"/>
    </xf>
    <xf numFmtId="0" fontId="34" fillId="0" borderId="4" xfId="2" applyFont="1" applyBorder="1" applyAlignment="1">
      <alignment horizontal="center"/>
    </xf>
    <xf numFmtId="0" fontId="34" fillId="0" borderId="2" xfId="2" applyFont="1" applyBorder="1"/>
    <xf numFmtId="0" fontId="21" fillId="0" borderId="4" xfId="0" applyFont="1" applyBorder="1" applyAlignment="1">
      <alignment horizontal="center"/>
    </xf>
    <xf numFmtId="0" fontId="8" fillId="0" borderId="4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20" fillId="0" borderId="2" xfId="0" quotePrefix="1" applyFont="1" applyBorder="1" applyAlignment="1">
      <alignment horizontal="center"/>
    </xf>
    <xf numFmtId="0" fontId="8" fillId="0" borderId="4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20" fillId="0" borderId="2" xfId="0" quotePrefix="1" applyFont="1" applyBorder="1" applyAlignment="1">
      <alignment horizontal="center" vertical="center"/>
    </xf>
    <xf numFmtId="0" fontId="8" fillId="0" borderId="4" xfId="5" quotePrefix="1" applyNumberFormat="1" applyFont="1" applyFill="1" applyBorder="1" applyAlignment="1" applyProtection="1">
      <alignment horizontal="center"/>
    </xf>
    <xf numFmtId="0" fontId="14" fillId="0" borderId="4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4" xfId="5" quotePrefix="1" applyNumberFormat="1" applyFont="1" applyFill="1" applyBorder="1" applyAlignment="1" applyProtection="1">
      <alignment horizontal="center" vertical="center"/>
    </xf>
    <xf numFmtId="0" fontId="16" fillId="0" borderId="4" xfId="2" quotePrefix="1" applyFont="1" applyBorder="1" applyAlignment="1">
      <alignment horizontal="center"/>
    </xf>
    <xf numFmtId="0" fontId="16" fillId="0" borderId="2" xfId="2" quotePrefix="1" applyFont="1" applyBorder="1" applyAlignment="1">
      <alignment horizontal="left" indent="1"/>
    </xf>
    <xf numFmtId="0" fontId="16" fillId="0" borderId="4" xfId="2" quotePrefix="1" applyFont="1" applyBorder="1" applyAlignment="1">
      <alignment horizontal="center" wrapText="1"/>
    </xf>
    <xf numFmtId="0" fontId="16" fillId="0" borderId="2" xfId="2" quotePrefix="1" applyFont="1" applyBorder="1" applyAlignment="1">
      <alignment horizontal="left" wrapText="1" indent="1"/>
    </xf>
    <xf numFmtId="0" fontId="16" fillId="0" borderId="4" xfId="2" quotePrefix="1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left" vertical="center" indent="1"/>
    </xf>
    <xf numFmtId="0" fontId="20" fillId="0" borderId="4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4" xfId="5" applyNumberFormat="1" applyFont="1" applyFill="1" applyBorder="1" applyAlignment="1" applyProtection="1">
      <alignment horizontal="center"/>
    </xf>
    <xf numFmtId="0" fontId="11" fillId="0" borderId="4" xfId="5" applyNumberFormat="1" applyFont="1" applyFill="1" applyBorder="1" applyAlignment="1" applyProtection="1">
      <alignment horizontal="center"/>
    </xf>
    <xf numFmtId="0" fontId="8" fillId="0" borderId="4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4" xfId="5" quotePrefix="1" applyNumberFormat="1" applyFont="1" applyFill="1" applyBorder="1" applyAlignment="1" applyProtection="1">
      <alignment horizontal="center" vertical="center"/>
    </xf>
    <xf numFmtId="0" fontId="14" fillId="4" borderId="4" xfId="2" applyFont="1" applyFill="1" applyBorder="1" applyAlignment="1">
      <alignment horizontal="center"/>
    </xf>
    <xf numFmtId="0" fontId="14" fillId="4" borderId="2" xfId="2" applyFont="1" applyFill="1" applyBorder="1"/>
    <xf numFmtId="0" fontId="10" fillId="4" borderId="4" xfId="5" applyNumberFormat="1" applyFont="1" applyFill="1" applyBorder="1" applyAlignment="1" applyProtection="1">
      <alignment horizontal="center"/>
    </xf>
    <xf numFmtId="0" fontId="31" fillId="0" borderId="4" xfId="2" applyFont="1" applyBorder="1" applyAlignment="1">
      <alignment horizontal="center"/>
    </xf>
    <xf numFmtId="0" fontId="31" fillId="0" borderId="2" xfId="2" applyFont="1" applyBorder="1" applyAlignment="1">
      <alignment horizontal="left" indent="1"/>
    </xf>
    <xf numFmtId="0" fontId="35" fillId="0" borderId="4" xfId="0" applyFont="1" applyBorder="1" applyAlignment="1">
      <alignment horizontal="center"/>
    </xf>
    <xf numFmtId="0" fontId="36" fillId="2" borderId="7" xfId="2" applyFont="1" applyFill="1" applyBorder="1" applyAlignment="1">
      <alignment horizontal="center" vertical="center" wrapText="1"/>
    </xf>
    <xf numFmtId="0" fontId="36" fillId="2" borderId="8" xfId="2" applyFont="1" applyFill="1" applyBorder="1" applyAlignment="1">
      <alignment horizontal="left" vertical="center" wrapText="1"/>
    </xf>
    <xf numFmtId="0" fontId="39" fillId="3" borderId="3" xfId="3" applyFont="1" applyFill="1" applyBorder="1" applyAlignment="1">
      <alignment horizontal="center" vertical="center" wrapText="1"/>
    </xf>
    <xf numFmtId="0" fontId="37" fillId="0" borderId="4" xfId="2" applyFont="1" applyBorder="1" applyAlignment="1">
      <alignment horizontal="center" vertical="center" wrapText="1"/>
    </xf>
    <xf numFmtId="0" fontId="37" fillId="0" borderId="2" xfId="2" applyFont="1" applyBorder="1" applyAlignment="1">
      <alignment horizontal="left" vertical="center" wrapText="1" indent="2"/>
    </xf>
    <xf numFmtId="0" fontId="38" fillId="0" borderId="2" xfId="3" applyFont="1" applyBorder="1" applyAlignment="1">
      <alignment horizontal="center"/>
    </xf>
    <xf numFmtId="0" fontId="39" fillId="0" borderId="4" xfId="2" applyFont="1" applyBorder="1" applyAlignment="1">
      <alignment horizontal="center" vertical="center" wrapText="1"/>
    </xf>
    <xf numFmtId="0" fontId="39" fillId="0" borderId="2" xfId="2" applyFont="1" applyBorder="1" applyAlignment="1">
      <alignment horizontal="left" vertical="center" wrapText="1" indent="1"/>
    </xf>
    <xf numFmtId="0" fontId="40" fillId="0" borderId="2" xfId="2" applyFont="1" applyBorder="1" applyAlignment="1">
      <alignment horizontal="center"/>
    </xf>
    <xf numFmtId="0" fontId="41" fillId="0" borderId="4" xfId="2" applyFont="1" applyBorder="1" applyAlignment="1">
      <alignment horizontal="center" vertical="center" wrapText="1"/>
    </xf>
    <xf numFmtId="0" fontId="41" fillId="0" borderId="2" xfId="2" applyFont="1" applyBorder="1" applyAlignment="1">
      <alignment horizontal="left" vertical="center" wrapText="1" indent="1"/>
    </xf>
    <xf numFmtId="0" fontId="42" fillId="0" borderId="2" xfId="2" applyFont="1" applyBorder="1" applyAlignment="1">
      <alignment horizontal="center"/>
    </xf>
    <xf numFmtId="0" fontId="42" fillId="0" borderId="2" xfId="1" applyNumberFormat="1" applyFont="1" applyBorder="1" applyAlignment="1" applyProtection="1">
      <alignment horizontal="center"/>
    </xf>
    <xf numFmtId="0" fontId="43" fillId="0" borderId="2" xfId="2" applyFont="1" applyBorder="1" applyAlignment="1">
      <alignment horizontal="center"/>
    </xf>
    <xf numFmtId="0" fontId="38" fillId="0" borderId="2" xfId="2" applyFont="1" applyBorder="1" applyAlignment="1">
      <alignment horizontal="center"/>
    </xf>
    <xf numFmtId="0" fontId="37" fillId="0" borderId="4" xfId="2" applyFont="1" applyBorder="1" applyAlignment="1">
      <alignment horizontal="center" vertical="center"/>
    </xf>
    <xf numFmtId="0" fontId="37" fillId="0" borderId="2" xfId="2" applyFont="1" applyBorder="1" applyAlignment="1">
      <alignment horizontal="left" vertical="center" indent="2"/>
    </xf>
    <xf numFmtId="0" fontId="43" fillId="0" borderId="2" xfId="1" applyNumberFormat="1" applyFont="1" applyBorder="1" applyAlignment="1" applyProtection="1">
      <alignment horizontal="center"/>
    </xf>
    <xf numFmtId="0" fontId="39" fillId="0" borderId="4" xfId="2" applyFont="1" applyBorder="1" applyAlignment="1">
      <alignment horizontal="center" vertical="center"/>
    </xf>
    <xf numFmtId="0" fontId="39" fillId="0" borderId="2" xfId="2" applyFont="1" applyBorder="1" applyAlignment="1">
      <alignment horizontal="left" vertical="center" indent="1"/>
    </xf>
    <xf numFmtId="0" fontId="41" fillId="0" borderId="4" xfId="2" applyFont="1" applyBorder="1" applyAlignment="1">
      <alignment horizontal="center" vertical="center"/>
    </xf>
    <xf numFmtId="0" fontId="41" fillId="0" borderId="2" xfId="2" applyFont="1" applyBorder="1" applyAlignment="1">
      <alignment horizontal="left" vertical="center" indent="1"/>
    </xf>
    <xf numFmtId="0" fontId="41" fillId="0" borderId="9" xfId="2" applyFont="1" applyBorder="1" applyAlignment="1">
      <alignment horizontal="center" vertical="center"/>
    </xf>
    <xf numFmtId="0" fontId="41" fillId="0" borderId="10" xfId="2" applyFont="1" applyBorder="1" applyAlignment="1">
      <alignment horizontal="left" vertical="center" indent="1"/>
    </xf>
    <xf numFmtId="0" fontId="36" fillId="2" borderId="2" xfId="2" applyFont="1" applyFill="1" applyBorder="1" applyAlignment="1">
      <alignment horizontal="center" vertical="center" wrapText="1"/>
    </xf>
    <xf numFmtId="0" fontId="36" fillId="2" borderId="2" xfId="2" applyFont="1" applyFill="1" applyBorder="1" applyAlignment="1">
      <alignment horizontal="left" vertical="center" wrapText="1"/>
    </xf>
    <xf numFmtId="0" fontId="11" fillId="3" borderId="11" xfId="2" applyFont="1" applyFill="1" applyBorder="1" applyAlignment="1">
      <alignment horizontal="center" vertical="center" wrapText="1"/>
    </xf>
    <xf numFmtId="0" fontId="44" fillId="0" borderId="5" xfId="2" applyFont="1" applyBorder="1" applyAlignment="1">
      <alignment horizontal="center"/>
    </xf>
    <xf numFmtId="0" fontId="44" fillId="0" borderId="5" xfId="2" applyFont="1" applyBorder="1"/>
    <xf numFmtId="0" fontId="9" fillId="0" borderId="5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indent="1"/>
    </xf>
    <xf numFmtId="0" fontId="44" fillId="0" borderId="0" xfId="2" applyFont="1" applyAlignment="1">
      <alignment horizontal="center"/>
    </xf>
    <xf numFmtId="0" fontId="44" fillId="0" borderId="0" xfId="2" applyFont="1"/>
    <xf numFmtId="0" fontId="44" fillId="0" borderId="6" xfId="2" applyFont="1" applyBorder="1" applyAlignment="1">
      <alignment horizontal="center"/>
    </xf>
    <xf numFmtId="0" fontId="44" fillId="0" borderId="6" xfId="2" applyFont="1" applyBorder="1"/>
    <xf numFmtId="0" fontId="11" fillId="3" borderId="3" xfId="6" applyNumberFormat="1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>
      <alignment horizontal="left" vertical="top" wrapText="1"/>
    </xf>
    <xf numFmtId="0" fontId="52" fillId="5" borderId="0" xfId="3" applyFont="1" applyFill="1"/>
    <xf numFmtId="0" fontId="53" fillId="5" borderId="0" xfId="3" applyFont="1" applyFill="1"/>
    <xf numFmtId="0" fontId="53" fillId="0" borderId="0" xfId="3" applyFont="1"/>
    <xf numFmtId="0" fontId="52" fillId="0" borderId="0" xfId="3" applyFont="1" applyAlignment="1">
      <alignment horizontal="right"/>
    </xf>
    <xf numFmtId="0" fontId="53" fillId="5" borderId="12" xfId="3" applyFont="1" applyFill="1" applyBorder="1"/>
    <xf numFmtId="0" fontId="53" fillId="0" borderId="12" xfId="3" applyFont="1" applyBorder="1"/>
    <xf numFmtId="0" fontId="54" fillId="0" borderId="12" xfId="3" applyFont="1" applyBorder="1" applyAlignment="1">
      <alignment horizontal="right"/>
    </xf>
    <xf numFmtId="0" fontId="54" fillId="0" borderId="0" xfId="3" applyFont="1" applyAlignment="1">
      <alignment horizontal="right"/>
    </xf>
    <xf numFmtId="0" fontId="55" fillId="0" borderId="0" xfId="3" applyFont="1"/>
    <xf numFmtId="0" fontId="9" fillId="0" borderId="0" xfId="3" applyFont="1"/>
    <xf numFmtId="0" fontId="9" fillId="5" borderId="0" xfId="3" applyFont="1" applyFill="1"/>
    <xf numFmtId="0" fontId="44" fillId="0" borderId="0" xfId="3" applyFont="1"/>
    <xf numFmtId="0" fontId="44" fillId="5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21" fillId="0" borderId="0" xfId="3" applyFont="1" applyAlignment="1">
      <alignment horizontal="left"/>
    </xf>
    <xf numFmtId="0" fontId="8" fillId="5" borderId="0" xfId="3" applyFont="1" applyFill="1" applyAlignment="1">
      <alignment horizontal="left"/>
    </xf>
    <xf numFmtId="0" fontId="8" fillId="5" borderId="0" xfId="3" applyFont="1" applyFill="1"/>
    <xf numFmtId="0" fontId="56" fillId="0" borderId="0" xfId="3" applyFont="1" applyAlignment="1">
      <alignment horizontal="right"/>
    </xf>
    <xf numFmtId="0" fontId="20" fillId="0" borderId="0" xfId="3" applyFont="1"/>
    <xf numFmtId="0" fontId="56" fillId="0" borderId="0" xfId="3" applyFont="1"/>
    <xf numFmtId="0" fontId="56" fillId="0" borderId="0" xfId="3" applyFont="1" applyAlignment="1">
      <alignment horizontal="centerContinuous"/>
    </xf>
    <xf numFmtId="0" fontId="56" fillId="0" borderId="0" xfId="3" applyFont="1" applyAlignment="1">
      <alignment horizontal="centerContinuous" wrapText="1"/>
    </xf>
    <xf numFmtId="0" fontId="20" fillId="0" borderId="0" xfId="3" applyFont="1" applyAlignment="1">
      <alignment horizontal="centerContinuous"/>
    </xf>
    <xf numFmtId="0" fontId="60" fillId="0" borderId="0" xfId="3" applyFont="1"/>
    <xf numFmtId="0" fontId="61" fillId="0" borderId="0" xfId="3" applyFont="1" applyAlignment="1">
      <alignment horizontal="centerContinuous"/>
    </xf>
    <xf numFmtId="0" fontId="52" fillId="0" borderId="0" xfId="3" applyFont="1"/>
    <xf numFmtId="0" fontId="63" fillId="0" borderId="0" xfId="3" applyFont="1"/>
    <xf numFmtId="0" fontId="64" fillId="0" borderId="0" xfId="3" applyFont="1"/>
    <xf numFmtId="0" fontId="65" fillId="0" borderId="0" xfId="3" applyFont="1"/>
    <xf numFmtId="0" fontId="63" fillId="0" borderId="0" xfId="3" applyFont="1" applyAlignment="1">
      <alignment horizontal="right"/>
    </xf>
    <xf numFmtId="0" fontId="66" fillId="0" borderId="0" xfId="3" applyFont="1"/>
    <xf numFmtId="49" fontId="66" fillId="0" borderId="0" xfId="3" applyNumberFormat="1" applyFont="1" applyAlignment="1">
      <alignment horizontal="right"/>
    </xf>
    <xf numFmtId="0" fontId="67" fillId="0" borderId="0" xfId="3" quotePrefix="1" applyFont="1" applyAlignment="1">
      <alignment horizontal="left" indent="1"/>
    </xf>
    <xf numFmtId="0" fontId="68" fillId="0" borderId="0" xfId="3" applyFont="1"/>
    <xf numFmtId="49" fontId="68" fillId="0" borderId="0" xfId="3" applyNumberFormat="1" applyFont="1" applyAlignment="1">
      <alignment horizontal="right"/>
    </xf>
    <xf numFmtId="0" fontId="69" fillId="0" borderId="0" xfId="3" quotePrefix="1" applyFont="1" applyAlignment="1">
      <alignment horizontal="left" indent="1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0" fontId="72" fillId="0" borderId="0" xfId="3" applyFont="1"/>
    <xf numFmtId="49" fontId="72" fillId="0" borderId="0" xfId="3" applyNumberFormat="1" applyFont="1" applyAlignment="1">
      <alignment horizontal="right"/>
    </xf>
    <xf numFmtId="0" fontId="73" fillId="0" borderId="0" xfId="3" quotePrefix="1" applyFont="1" applyAlignment="1">
      <alignment horizontal="left" indent="1"/>
    </xf>
    <xf numFmtId="49" fontId="64" fillId="0" borderId="0" xfId="3" applyNumberFormat="1" applyFont="1" applyAlignment="1">
      <alignment horizontal="right"/>
    </xf>
    <xf numFmtId="0" fontId="74" fillId="0" borderId="0" xfId="3" applyFont="1"/>
    <xf numFmtId="170" fontId="75" fillId="0" borderId="0" xfId="3" applyNumberFormat="1" applyFont="1"/>
    <xf numFmtId="0" fontId="75" fillId="0" borderId="0" xfId="3" applyFont="1"/>
    <xf numFmtId="0" fontId="76" fillId="0" borderId="12" xfId="3" applyFont="1" applyBorder="1"/>
    <xf numFmtId="170" fontId="75" fillId="0" borderId="12" xfId="3" applyNumberFormat="1" applyFont="1" applyBorder="1"/>
    <xf numFmtId="0" fontId="16" fillId="0" borderId="0" xfId="3" applyFont="1"/>
    <xf numFmtId="0" fontId="16" fillId="0" borderId="0" xfId="9" applyFont="1"/>
    <xf numFmtId="170" fontId="16" fillId="0" borderId="0" xfId="9" applyNumberFormat="1" applyFont="1"/>
    <xf numFmtId="170" fontId="79" fillId="0" borderId="0" xfId="9" applyNumberFormat="1" applyFont="1" applyAlignment="1">
      <alignment horizontal="right"/>
    </xf>
    <xf numFmtId="0" fontId="74" fillId="0" borderId="13" xfId="10" applyFont="1" applyBorder="1" applyAlignment="1">
      <alignment horizontal="center" vertical="center" wrapText="1"/>
    </xf>
    <xf numFmtId="170" fontId="74" fillId="0" borderId="13" xfId="10" applyNumberFormat="1" applyFont="1" applyBorder="1" applyAlignment="1">
      <alignment horizontal="center" vertical="center" wrapText="1"/>
    </xf>
    <xf numFmtId="14" fontId="74" fillId="0" borderId="13" xfId="10" applyNumberFormat="1" applyFont="1" applyBorder="1" applyAlignment="1">
      <alignment horizontal="center" vertical="center" wrapText="1"/>
    </xf>
    <xf numFmtId="0" fontId="21" fillId="6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1" fillId="0" borderId="14" xfId="10" applyFont="1" applyBorder="1" applyAlignment="1">
      <alignment horizontal="left" wrapText="1"/>
    </xf>
    <xf numFmtId="3" fontId="80" fillId="0" borderId="14" xfId="10" applyNumberFormat="1" applyFont="1" applyBorder="1" applyAlignment="1" applyProtection="1">
      <alignment horizontal="right" vertical="center"/>
      <protection hidden="1"/>
    </xf>
    <xf numFmtId="170" fontId="35" fillId="0" borderId="0" xfId="3" applyNumberFormat="1" applyFont="1"/>
    <xf numFmtId="0" fontId="35" fillId="0" borderId="0" xfId="3" applyFont="1"/>
    <xf numFmtId="0" fontId="16" fillId="0" borderId="15" xfId="10" applyFont="1" applyBorder="1"/>
    <xf numFmtId="3" fontId="81" fillId="0" borderId="15" xfId="10" applyNumberFormat="1" applyFont="1" applyBorder="1" applyProtection="1">
      <protection hidden="1"/>
    </xf>
    <xf numFmtId="0" fontId="74" fillId="0" borderId="15" xfId="10" applyFont="1" applyBorder="1"/>
    <xf numFmtId="3" fontId="82" fillId="0" borderId="15" xfId="10" applyNumberFormat="1" applyFont="1" applyBorder="1" applyProtection="1">
      <protection hidden="1"/>
    </xf>
    <xf numFmtId="16" fontId="16" fillId="0" borderId="0" xfId="3" applyNumberFormat="1" applyFont="1"/>
    <xf numFmtId="0" fontId="16" fillId="0" borderId="15" xfId="10" applyFont="1" applyBorder="1" applyAlignment="1">
      <alignment horizontal="left" wrapText="1"/>
    </xf>
    <xf numFmtId="0" fontId="8" fillId="0" borderId="15" xfId="10" applyFont="1" applyBorder="1"/>
    <xf numFmtId="9" fontId="16" fillId="0" borderId="0" xfId="11" applyFont="1"/>
    <xf numFmtId="3" fontId="2" fillId="0" borderId="15" xfId="10" applyNumberFormat="1" applyBorder="1" applyProtection="1">
      <protection hidden="1"/>
    </xf>
    <xf numFmtId="0" fontId="11" fillId="0" borderId="15" xfId="10" applyFont="1" applyBorder="1" applyAlignment="1">
      <alignment horizontal="left" wrapText="1"/>
    </xf>
    <xf numFmtId="3" fontId="80" fillId="0" borderId="15" xfId="10" applyNumberFormat="1" applyFont="1" applyBorder="1" applyAlignment="1" applyProtection="1">
      <alignment horizontal="right" vertical="center"/>
      <protection hidden="1"/>
    </xf>
    <xf numFmtId="3" fontId="82" fillId="0" borderId="15" xfId="10" applyNumberFormat="1" applyFont="1" applyBorder="1" applyAlignment="1" applyProtection="1">
      <alignment horizontal="right"/>
      <protection hidden="1"/>
    </xf>
    <xf numFmtId="0" fontId="16" fillId="0" borderId="16" xfId="10" applyFont="1" applyBorder="1"/>
    <xf numFmtId="3" fontId="81" fillId="0" borderId="17" xfId="10" applyNumberFormat="1" applyFont="1" applyBorder="1" applyProtection="1">
      <protection hidden="1"/>
    </xf>
    <xf numFmtId="0" fontId="16" fillId="0" borderId="0" xfId="10" applyFont="1"/>
    <xf numFmtId="3" fontId="81" fillId="0" borderId="0" xfId="10" applyNumberFormat="1" applyFont="1" applyProtection="1">
      <protection hidden="1"/>
    </xf>
    <xf numFmtId="3" fontId="74" fillId="0" borderId="13" xfId="10" applyNumberFormat="1" applyFont="1" applyBorder="1" applyAlignment="1" applyProtection="1">
      <alignment horizontal="center" vertical="center" wrapText="1"/>
      <protection hidden="1"/>
    </xf>
    <xf numFmtId="0" fontId="83" fillId="0" borderId="0" xfId="3" applyFont="1"/>
    <xf numFmtId="0" fontId="21" fillId="0" borderId="14" xfId="10" applyFont="1" applyBorder="1"/>
    <xf numFmtId="3" fontId="81" fillId="0" borderId="14" xfId="10" applyNumberFormat="1" applyFont="1" applyBorder="1" applyProtection="1">
      <protection hidden="1"/>
    </xf>
    <xf numFmtId="3" fontId="81" fillId="0" borderId="15" xfId="10" applyNumberFormat="1" applyFont="1" applyBorder="1" applyAlignment="1" applyProtection="1">
      <alignment horizontal="right"/>
      <protection hidden="1"/>
    </xf>
    <xf numFmtId="166" fontId="81" fillId="0" borderId="15" xfId="10" applyNumberFormat="1" applyFont="1" applyBorder="1" applyAlignment="1" applyProtection="1">
      <alignment horizontal="right"/>
      <protection hidden="1"/>
    </xf>
    <xf numFmtId="170" fontId="16" fillId="0" borderId="0" xfId="3" applyNumberFormat="1" applyFont="1"/>
    <xf numFmtId="0" fontId="16" fillId="0" borderId="15" xfId="10" applyFont="1" applyBorder="1" applyAlignment="1">
      <alignment horizontal="left" indent="1"/>
    </xf>
    <xf numFmtId="0" fontId="16" fillId="0" borderId="15" xfId="10" quotePrefix="1" applyFont="1" applyBorder="1" applyAlignment="1">
      <alignment horizontal="left" indent="2"/>
    </xf>
    <xf numFmtId="0" fontId="16" fillId="0" borderId="15" xfId="10" quotePrefix="1" applyFont="1" applyBorder="1"/>
    <xf numFmtId="0" fontId="16" fillId="0" borderId="17" xfId="10" applyFont="1" applyBorder="1"/>
    <xf numFmtId="0" fontId="10" fillId="0" borderId="13" xfId="10" applyFont="1" applyBorder="1"/>
    <xf numFmtId="3" fontId="84" fillId="0" borderId="13" xfId="10" applyNumberFormat="1" applyFont="1" applyBorder="1" applyProtection="1">
      <protection hidden="1"/>
    </xf>
    <xf numFmtId="3" fontId="16" fillId="0" borderId="0" xfId="3" applyNumberFormat="1" applyFont="1" applyProtection="1">
      <protection hidden="1"/>
    </xf>
    <xf numFmtId="0" fontId="11" fillId="0" borderId="15" xfId="10" applyFont="1" applyBorder="1"/>
    <xf numFmtId="3" fontId="80" fillId="0" borderId="15" xfId="10" applyNumberFormat="1" applyFont="1" applyBorder="1" applyProtection="1">
      <protection hidden="1"/>
    </xf>
    <xf numFmtId="3" fontId="16" fillId="0" borderId="0" xfId="10" applyNumberFormat="1" applyFont="1" applyProtection="1">
      <protection hidden="1"/>
    </xf>
    <xf numFmtId="3" fontId="85" fillId="0" borderId="0" xfId="10" applyNumberFormat="1" applyFont="1" applyAlignment="1" applyProtection="1">
      <alignment horizontal="right"/>
      <protection hidden="1"/>
    </xf>
    <xf numFmtId="3" fontId="81" fillId="0" borderId="15" xfId="10" applyNumberFormat="1" applyFont="1" applyBorder="1" applyAlignment="1" applyProtection="1">
      <alignment vertical="top"/>
      <protection hidden="1"/>
    </xf>
    <xf numFmtId="171" fontId="81" fillId="0" borderId="15" xfId="10" applyNumberFormat="1" applyFont="1" applyBorder="1" applyProtection="1">
      <protection hidden="1"/>
    </xf>
    <xf numFmtId="3" fontId="16" fillId="0" borderId="0" xfId="3" applyNumberFormat="1" applyFont="1"/>
    <xf numFmtId="0" fontId="86" fillId="0" borderId="15" xfId="10" applyFont="1" applyBorder="1" applyAlignment="1">
      <alignment horizontal="left" indent="1"/>
    </xf>
    <xf numFmtId="166" fontId="87" fillId="0" borderId="15" xfId="10" applyNumberFormat="1" applyFont="1" applyBorder="1" applyAlignment="1" applyProtection="1">
      <alignment vertical="center"/>
      <protection hidden="1"/>
    </xf>
    <xf numFmtId="0" fontId="16" fillId="0" borderId="14" xfId="10" applyFont="1" applyBorder="1"/>
    <xf numFmtId="172" fontId="16" fillId="0" borderId="0" xfId="3" applyNumberFormat="1" applyFont="1" applyProtection="1">
      <protection hidden="1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88" fillId="0" borderId="0" xfId="3" applyFont="1" applyAlignment="1">
      <alignment horizontal="center"/>
    </xf>
    <xf numFmtId="0" fontId="89" fillId="0" borderId="0" xfId="3" applyFont="1"/>
    <xf numFmtId="0" fontId="21" fillId="0" borderId="0" xfId="3" applyFont="1"/>
    <xf numFmtId="0" fontId="16" fillId="0" borderId="12" xfId="3" applyFont="1" applyBorder="1"/>
    <xf numFmtId="170" fontId="86" fillId="0" borderId="0" xfId="3" applyNumberFormat="1" applyFont="1" applyAlignment="1">
      <alignment horizontal="right"/>
    </xf>
    <xf numFmtId="170" fontId="79" fillId="0" borderId="0" xfId="10" applyNumberFormat="1" applyFont="1" applyAlignment="1">
      <alignment horizontal="right"/>
    </xf>
    <xf numFmtId="170" fontId="89" fillId="0" borderId="26" xfId="3" applyNumberFormat="1" applyFont="1" applyBorder="1" applyAlignment="1">
      <alignment horizontal="center" vertical="center"/>
    </xf>
    <xf numFmtId="0" fontId="21" fillId="0" borderId="27" xfId="3" applyFont="1" applyBorder="1" applyAlignment="1">
      <alignment vertical="center"/>
    </xf>
    <xf numFmtId="3" fontId="91" fillId="0" borderId="30" xfId="3" applyNumberFormat="1" applyFont="1" applyBorder="1" applyAlignment="1" applyProtection="1">
      <alignment vertical="center"/>
      <protection hidden="1"/>
    </xf>
    <xf numFmtId="0" fontId="16" fillId="0" borderId="31" xfId="3" applyFont="1" applyBorder="1" applyAlignment="1">
      <alignment vertical="center"/>
    </xf>
    <xf numFmtId="0" fontId="16" fillId="0" borderId="32" xfId="3" applyFont="1" applyBorder="1" applyAlignment="1">
      <alignment vertical="center"/>
    </xf>
    <xf numFmtId="0" fontId="16" fillId="0" borderId="33" xfId="3" applyFont="1" applyBorder="1" applyAlignment="1">
      <alignment vertical="center"/>
    </xf>
    <xf numFmtId="3" fontId="92" fillId="0" borderId="34" xfId="3" applyNumberFormat="1" applyFont="1" applyBorder="1" applyAlignment="1" applyProtection="1">
      <alignment vertical="center"/>
      <protection hidden="1"/>
    </xf>
    <xf numFmtId="0" fontId="10" fillId="0" borderId="31" xfId="3" applyFont="1" applyBorder="1" applyAlignment="1">
      <alignment vertical="center"/>
    </xf>
    <xf numFmtId="3" fontId="93" fillId="0" borderId="34" xfId="3" applyNumberFormat="1" applyFont="1" applyBorder="1" applyAlignment="1" applyProtection="1">
      <alignment horizontal="right" vertical="center"/>
      <protection hidden="1"/>
    </xf>
    <xf numFmtId="0" fontId="94" fillId="0" borderId="0" xfId="3" applyFont="1"/>
    <xf numFmtId="0" fontId="21" fillId="0" borderId="31" xfId="3" applyFont="1" applyBorder="1" applyAlignment="1">
      <alignment vertical="center"/>
    </xf>
    <xf numFmtId="0" fontId="21" fillId="0" borderId="32" xfId="3" applyFont="1" applyBorder="1" applyAlignment="1">
      <alignment vertical="center"/>
    </xf>
    <xf numFmtId="0" fontId="21" fillId="0" borderId="33" xfId="3" applyFont="1" applyBorder="1" applyAlignment="1">
      <alignment vertical="center"/>
    </xf>
    <xf numFmtId="3" fontId="91" fillId="0" borderId="34" xfId="3" applyNumberFormat="1" applyFont="1" applyBorder="1" applyAlignment="1" applyProtection="1">
      <alignment vertical="center"/>
      <protection hidden="1"/>
    </xf>
    <xf numFmtId="171" fontId="93" fillId="0" borderId="34" xfId="3" applyNumberFormat="1" applyFont="1" applyBorder="1" applyAlignment="1" applyProtection="1">
      <alignment horizontal="right" vertical="center"/>
      <protection hidden="1"/>
    </xf>
    <xf numFmtId="166" fontId="92" fillId="0" borderId="34" xfId="3" applyNumberFormat="1" applyFont="1" applyBorder="1" applyAlignment="1" applyProtection="1">
      <alignment vertical="center"/>
      <protection hidden="1"/>
    </xf>
    <xf numFmtId="0" fontId="86" fillId="0" borderId="31" xfId="3" applyFont="1" applyBorder="1" applyAlignment="1">
      <alignment vertical="center"/>
    </xf>
    <xf numFmtId="0" fontId="86" fillId="0" borderId="32" xfId="3" applyFont="1" applyBorder="1" applyAlignment="1">
      <alignment vertical="center"/>
    </xf>
    <xf numFmtId="0" fontId="86" fillId="0" borderId="33" xfId="3" applyFont="1" applyBorder="1" applyAlignment="1">
      <alignment vertical="center"/>
    </xf>
    <xf numFmtId="0" fontId="86" fillId="0" borderId="0" xfId="3" applyFont="1"/>
    <xf numFmtId="0" fontId="10" fillId="0" borderId="31" xfId="3" applyFont="1" applyBorder="1" applyAlignment="1">
      <alignment horizontal="left" vertical="center"/>
    </xf>
    <xf numFmtId="171" fontId="91" fillId="0" borderId="34" xfId="3" applyNumberFormat="1" applyFont="1" applyBorder="1" applyAlignment="1" applyProtection="1">
      <alignment vertical="center"/>
      <protection hidden="1"/>
    </xf>
    <xf numFmtId="0" fontId="10" fillId="0" borderId="32" xfId="3" applyFont="1" applyBorder="1" applyAlignment="1">
      <alignment vertical="center"/>
    </xf>
    <xf numFmtId="0" fontId="10" fillId="0" borderId="33" xfId="3" applyFont="1" applyBorder="1" applyAlignment="1">
      <alignment vertical="center"/>
    </xf>
    <xf numFmtId="171" fontId="93" fillId="0" borderId="34" xfId="3" applyNumberFormat="1" applyFont="1" applyBorder="1" applyAlignment="1" applyProtection="1">
      <alignment vertical="center"/>
      <protection hidden="1"/>
    </xf>
    <xf numFmtId="171" fontId="95" fillId="0" borderId="34" xfId="3" applyNumberFormat="1" applyFont="1" applyBorder="1" applyAlignment="1" applyProtection="1">
      <alignment vertical="center"/>
      <protection hidden="1"/>
    </xf>
    <xf numFmtId="0" fontId="10" fillId="0" borderId="27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35" xfId="3" applyFont="1" applyBorder="1" applyAlignment="1">
      <alignment vertical="center"/>
    </xf>
    <xf numFmtId="171" fontId="93" fillId="0" borderId="30" xfId="3" applyNumberFormat="1" applyFont="1" applyBorder="1" applyAlignment="1" applyProtection="1">
      <alignment vertical="center"/>
      <protection hidden="1"/>
    </xf>
    <xf numFmtId="0" fontId="21" fillId="0" borderId="27" xfId="3" quotePrefix="1" applyFont="1" applyBorder="1" applyAlignment="1">
      <alignment vertical="top"/>
    </xf>
    <xf numFmtId="0" fontId="21" fillId="0" borderId="35" xfId="3" applyFont="1" applyBorder="1"/>
    <xf numFmtId="166" fontId="91" fillId="0" borderId="30" xfId="12" applyNumberFormat="1" applyFont="1" applyBorder="1" applyProtection="1">
      <protection hidden="1"/>
    </xf>
    <xf numFmtId="0" fontId="16" fillId="0" borderId="30" xfId="3" applyFont="1" applyBorder="1" applyProtection="1">
      <protection hidden="1"/>
    </xf>
    <xf numFmtId="170" fontId="91" fillId="0" borderId="30" xfId="3" applyNumberFormat="1" applyFont="1" applyBorder="1" applyProtection="1">
      <protection hidden="1"/>
    </xf>
    <xf numFmtId="0" fontId="16" fillId="0" borderId="23" xfId="3" applyFont="1" applyBorder="1"/>
    <xf numFmtId="0" fontId="16" fillId="0" borderId="24" xfId="3" applyFont="1" applyBorder="1"/>
    <xf numFmtId="0" fontId="16" fillId="0" borderId="25" xfId="3" applyFont="1" applyBorder="1"/>
    <xf numFmtId="10" fontId="16" fillId="0" borderId="36" xfId="11" applyNumberFormat="1" applyFont="1" applyBorder="1" applyProtection="1">
      <protection hidden="1"/>
    </xf>
    <xf numFmtId="0" fontId="16" fillId="0" borderId="36" xfId="3" applyFont="1" applyBorder="1" applyProtection="1">
      <protection hidden="1"/>
    </xf>
    <xf numFmtId="0" fontId="86" fillId="0" borderId="0" xfId="3" applyFont="1" applyAlignment="1">
      <alignment horizontal="center"/>
    </xf>
    <xf numFmtId="0" fontId="16" fillId="0" borderId="0" xfId="3" applyFont="1" applyAlignment="1">
      <alignment vertical="center"/>
    </xf>
    <xf numFmtId="170" fontId="16" fillId="0" borderId="0" xfId="3" applyNumberFormat="1" applyFont="1" applyAlignment="1">
      <alignment horizontal="center" vertical="center"/>
    </xf>
    <xf numFmtId="0" fontId="8" fillId="0" borderId="0" xfId="3" applyFont="1"/>
    <xf numFmtId="0" fontId="96" fillId="0" borderId="0" xfId="3" applyFont="1" applyAlignment="1">
      <alignment horizontal="centerContinuous"/>
    </xf>
    <xf numFmtId="170" fontId="79" fillId="0" borderId="0" xfId="3" applyNumberFormat="1" applyFont="1" applyAlignment="1">
      <alignment horizontal="right"/>
    </xf>
    <xf numFmtId="0" fontId="97" fillId="0" borderId="0" xfId="3" applyFont="1" applyAlignment="1">
      <alignment horizontal="center" vertical="center" wrapText="1"/>
    </xf>
    <xf numFmtId="170" fontId="89" fillId="0" borderId="37" xfId="3" applyNumberFormat="1" applyFont="1" applyBorder="1" applyAlignment="1">
      <alignment horizontal="center" vertical="center"/>
    </xf>
    <xf numFmtId="0" fontId="98" fillId="0" borderId="27" xfId="3" applyFont="1" applyBorder="1" applyAlignment="1">
      <alignment vertical="center"/>
    </xf>
    <xf numFmtId="174" fontId="8" fillId="0" borderId="30" xfId="12" applyNumberFormat="1" applyFont="1" applyBorder="1" applyAlignment="1" applyProtection="1">
      <alignment vertical="center"/>
      <protection hidden="1"/>
    </xf>
    <xf numFmtId="0" fontId="99" fillId="0" borderId="31" xfId="3" applyFont="1" applyBorder="1" applyAlignment="1">
      <alignment vertical="center"/>
    </xf>
    <xf numFmtId="0" fontId="99" fillId="0" borderId="0" xfId="3" applyFont="1"/>
    <xf numFmtId="0" fontId="8" fillId="0" borderId="31" xfId="3" quotePrefix="1" applyFont="1" applyBorder="1" applyAlignment="1">
      <alignment horizontal="left" vertical="center"/>
    </xf>
    <xf numFmtId="172" fontId="8" fillId="0" borderId="0" xfId="12" applyNumberFormat="1" applyFont="1"/>
    <xf numFmtId="0" fontId="8" fillId="0" borderId="31" xfId="3" quotePrefix="1" applyFont="1" applyBorder="1" applyAlignment="1">
      <alignment horizontal="justify" vertical="center" wrapText="1"/>
    </xf>
    <xf numFmtId="0" fontId="99" fillId="0" borderId="31" xfId="3" applyFont="1" applyBorder="1" applyAlignment="1">
      <alignment horizontal="left" vertical="center" wrapText="1"/>
    </xf>
    <xf numFmtId="0" fontId="100" fillId="0" borderId="0" xfId="3" applyFont="1"/>
    <xf numFmtId="0" fontId="16" fillId="0" borderId="31" xfId="3" quotePrefix="1" applyFont="1" applyBorder="1" applyAlignment="1">
      <alignment horizontal="left" vertical="center"/>
    </xf>
    <xf numFmtId="0" fontId="16" fillId="0" borderId="31" xfId="3" quotePrefix="1" applyFont="1" applyBorder="1" applyAlignment="1">
      <alignment horizontal="left" vertical="center" wrapText="1"/>
    </xf>
    <xf numFmtId="0" fontId="98" fillId="0" borderId="31" xfId="3" applyFont="1" applyBorder="1" applyAlignment="1">
      <alignment vertical="center"/>
    </xf>
    <xf numFmtId="0" fontId="8" fillId="0" borderId="31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31" xfId="3" applyFont="1" applyBorder="1" applyAlignment="1">
      <alignment horizontal="left" vertical="center"/>
    </xf>
    <xf numFmtId="0" fontId="8" fillId="0" borderId="31" xfId="3" applyFont="1" applyBorder="1" applyAlignment="1">
      <alignment horizontal="justify" vertical="center" wrapText="1"/>
    </xf>
    <xf numFmtId="0" fontId="8" fillId="0" borderId="31" xfId="3" applyFont="1" applyBorder="1" applyAlignment="1">
      <alignment vertical="center"/>
    </xf>
    <xf numFmtId="0" fontId="99" fillId="0" borderId="31" xfId="3" applyFont="1" applyBorder="1" applyAlignment="1">
      <alignment horizontal="left" vertical="center"/>
    </xf>
    <xf numFmtId="0" fontId="10" fillId="0" borderId="23" xfId="3" applyFont="1" applyBorder="1" applyAlignment="1">
      <alignment vertical="center"/>
    </xf>
    <xf numFmtId="166" fontId="94" fillId="0" borderId="0" xfId="3" applyNumberFormat="1" applyFont="1"/>
    <xf numFmtId="0" fontId="98" fillId="0" borderId="0" xfId="3" applyFont="1"/>
    <xf numFmtId="172" fontId="98" fillId="0" borderId="0" xfId="12" applyNumberFormat="1" applyFont="1" applyBorder="1" applyProtection="1">
      <protection hidden="1"/>
    </xf>
    <xf numFmtId="166" fontId="8" fillId="0" borderId="0" xfId="12" applyNumberFormat="1" applyFont="1"/>
    <xf numFmtId="0" fontId="102" fillId="0" borderId="0" xfId="13" applyFont="1" applyAlignment="1">
      <alignment horizontal="left"/>
    </xf>
    <xf numFmtId="0" fontId="1" fillId="0" borderId="0" xfId="13" applyFont="1"/>
    <xf numFmtId="175" fontId="1" fillId="0" borderId="0" xfId="14" applyNumberFormat="1" applyFont="1"/>
    <xf numFmtId="0" fontId="103" fillId="0" borderId="0" xfId="13" applyFont="1" applyAlignment="1">
      <alignment horizontal="center"/>
    </xf>
    <xf numFmtId="0" fontId="104" fillId="0" borderId="0" xfId="13" applyFont="1" applyAlignment="1">
      <alignment vertical="center"/>
    </xf>
    <xf numFmtId="0" fontId="102" fillId="0" borderId="0" xfId="13" applyFont="1" applyAlignment="1">
      <alignment horizontal="center"/>
    </xf>
    <xf numFmtId="0" fontId="102" fillId="7" borderId="0" xfId="13" applyFont="1" applyFill="1"/>
    <xf numFmtId="0" fontId="102" fillId="0" borderId="0" xfId="13" applyFont="1"/>
    <xf numFmtId="175" fontId="103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5" fontId="1" fillId="0" borderId="0" xfId="14" applyNumberFormat="1" applyFont="1" applyAlignment="1">
      <alignment horizontal="centerContinuous"/>
    </xf>
    <xf numFmtId="0" fontId="103" fillId="0" borderId="38" xfId="13" applyFont="1" applyBorder="1" applyAlignment="1">
      <alignment horizontal="center" vertical="top"/>
    </xf>
    <xf numFmtId="0" fontId="80" fillId="0" borderId="38" xfId="13" applyFont="1" applyBorder="1" applyAlignment="1">
      <alignment vertical="top"/>
    </xf>
    <xf numFmtId="0" fontId="80" fillId="0" borderId="38" xfId="13" applyFont="1" applyBorder="1" applyAlignment="1">
      <alignment horizontal="center" vertical="top" wrapText="1"/>
    </xf>
    <xf numFmtId="16" fontId="1" fillId="9" borderId="38" xfId="13" applyNumberFormat="1" applyFont="1" applyFill="1" applyBorder="1" applyAlignment="1">
      <alignment horizontal="centerContinuous" vertical="center"/>
    </xf>
    <xf numFmtId="175" fontId="80" fillId="0" borderId="38" xfId="14" applyNumberFormat="1" applyFont="1" applyBorder="1" applyAlignment="1">
      <alignment horizontal="center" vertical="center"/>
    </xf>
    <xf numFmtId="0" fontId="1" fillId="0" borderId="0" xfId="13" applyFont="1" applyAlignment="1">
      <alignment vertical="top"/>
    </xf>
    <xf numFmtId="0" fontId="102" fillId="0" borderId="39" xfId="13" applyFont="1" applyBorder="1" applyAlignment="1">
      <alignment horizontal="center"/>
    </xf>
    <xf numFmtId="0" fontId="102" fillId="0" borderId="38" xfId="13" applyFont="1" applyBorder="1"/>
    <xf numFmtId="0" fontId="80" fillId="0" borderId="38" xfId="13" applyFont="1" applyBorder="1" applyAlignment="1">
      <alignment vertical="top" wrapText="1"/>
    </xf>
    <xf numFmtId="0" fontId="1" fillId="0" borderId="38" xfId="13" applyFont="1" applyBorder="1" applyAlignment="1">
      <alignment horizontal="center" vertical="top" wrapText="1"/>
    </xf>
    <xf numFmtId="175" fontId="80" fillId="0" borderId="38" xfId="14" applyNumberFormat="1" applyFont="1" applyBorder="1" applyAlignment="1">
      <alignment horizontal="center" vertical="top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5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5" fontId="1" fillId="0" borderId="46" xfId="14" applyNumberFormat="1" applyFont="1" applyBorder="1"/>
    <xf numFmtId="2" fontId="105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05" fillId="0" borderId="44" xfId="13" applyNumberFormat="1" applyFont="1" applyBorder="1"/>
    <xf numFmtId="2" fontId="1" fillId="0" borderId="48" xfId="13" applyNumberFormat="1" applyFont="1" applyBorder="1"/>
    <xf numFmtId="3" fontId="1" fillId="0" borderId="44" xfId="13" quotePrefix="1" applyNumberFormat="1" applyFont="1" applyBorder="1"/>
    <xf numFmtId="175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175" fontId="1" fillId="0" borderId="0" xfId="13" applyNumberFormat="1" applyFont="1"/>
    <xf numFmtId="2" fontId="2" fillId="0" borderId="42" xfId="13" applyNumberFormat="1" applyFont="1" applyBorder="1"/>
    <xf numFmtId="0" fontId="1" fillId="0" borderId="48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49" xfId="13" applyNumberFormat="1" applyFont="1" applyBorder="1"/>
    <xf numFmtId="175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49" xfId="13" applyNumberFormat="1" applyFont="1" applyBorder="1"/>
    <xf numFmtId="3" fontId="2" fillId="0" borderId="49" xfId="13" applyNumberFormat="1" applyFont="1" applyBorder="1" applyAlignment="1">
      <alignment horizontal="left"/>
    </xf>
    <xf numFmtId="0" fontId="2" fillId="0" borderId="48" xfId="13" applyFont="1" applyBorder="1" applyAlignment="1">
      <alignment horizontal="left"/>
    </xf>
    <xf numFmtId="0" fontId="1" fillId="0" borderId="49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49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0" fontId="102" fillId="0" borderId="38" xfId="13" applyFont="1" applyBorder="1" applyAlignment="1">
      <alignment horizontal="center"/>
    </xf>
    <xf numFmtId="0" fontId="1" fillId="0" borderId="38" xfId="13" applyFont="1" applyBorder="1"/>
    <xf numFmtId="176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6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8" xfId="13" applyNumberFormat="1" applyFont="1" applyBorder="1"/>
    <xf numFmtId="3" fontId="1" fillId="0" borderId="46" xfId="13" applyNumberFormat="1" applyFont="1" applyBorder="1"/>
    <xf numFmtId="175" fontId="1" fillId="0" borderId="44" xfId="14" applyNumberFormat="1" applyFont="1" applyBorder="1"/>
    <xf numFmtId="0" fontId="80" fillId="0" borderId="38" xfId="13" applyFont="1" applyBorder="1" applyAlignment="1">
      <alignment horizontal="center"/>
    </xf>
    <xf numFmtId="0" fontId="80" fillId="0" borderId="38" xfId="13" applyFont="1" applyBorder="1"/>
    <xf numFmtId="0" fontId="103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3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3" fillId="0" borderId="48" xfId="13" applyFont="1" applyBorder="1" applyAlignment="1">
      <alignment horizontal="center"/>
    </xf>
    <xf numFmtId="0" fontId="1" fillId="0" borderId="48" xfId="13" applyFont="1" applyBorder="1"/>
    <xf numFmtId="175" fontId="1" fillId="0" borderId="40" xfId="14" applyNumberFormat="1" applyFont="1" applyFill="1" applyBorder="1"/>
    <xf numFmtId="0" fontId="103" fillId="0" borderId="44" xfId="13" applyFont="1" applyBorder="1" applyAlignment="1">
      <alignment horizontal="center"/>
    </xf>
    <xf numFmtId="0" fontId="2" fillId="0" borderId="48" xfId="13" applyFont="1" applyBorder="1"/>
    <xf numFmtId="0" fontId="1" fillId="0" borderId="44" xfId="13" applyFont="1" applyBorder="1" applyAlignment="1">
      <alignment horizontal="left" vertical="center"/>
    </xf>
    <xf numFmtId="0" fontId="103" fillId="0" borderId="5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16" fontId="1" fillId="9" borderId="38" xfId="13" applyNumberFormat="1" applyFont="1" applyFill="1" applyBorder="1" applyAlignment="1">
      <alignment horizontal="centerContinuous"/>
    </xf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0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1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2" xfId="13" applyFont="1" applyBorder="1"/>
    <xf numFmtId="0" fontId="103" fillId="0" borderId="42" xfId="13" applyFont="1" applyBorder="1"/>
    <xf numFmtId="0" fontId="103" fillId="0" borderId="42" xfId="13" applyFont="1" applyBorder="1" applyAlignment="1">
      <alignment horizontal="left"/>
    </xf>
    <xf numFmtId="0" fontId="106" fillId="0" borderId="42" xfId="13" applyFont="1" applyBorder="1"/>
    <xf numFmtId="0" fontId="103" fillId="0" borderId="53" xfId="13" applyFont="1" applyBorder="1" applyAlignment="1">
      <alignment horizontal="center"/>
    </xf>
    <xf numFmtId="171" fontId="107" fillId="0" borderId="34" xfId="12" applyNumberFormat="1" applyFont="1" applyBorder="1" applyAlignment="1" applyProtection="1">
      <alignment vertical="center"/>
      <protection hidden="1"/>
    </xf>
    <xf numFmtId="171" fontId="9" fillId="0" borderId="34" xfId="12" applyNumberFormat="1" applyFont="1" applyBorder="1" applyAlignment="1" applyProtection="1">
      <alignment vertical="center"/>
      <protection hidden="1"/>
    </xf>
    <xf numFmtId="171" fontId="107" fillId="0" borderId="34" xfId="12" applyNumberFormat="1" applyFont="1" applyBorder="1" applyAlignment="1" applyProtection="1">
      <alignment horizontal="right" vertical="center"/>
      <protection hidden="1"/>
    </xf>
    <xf numFmtId="171" fontId="44" fillId="0" borderId="34" xfId="12" applyNumberFormat="1" applyFont="1" applyBorder="1" applyAlignment="1" applyProtection="1">
      <alignment vertical="center"/>
      <protection hidden="1"/>
    </xf>
    <xf numFmtId="171" fontId="93" fillId="0" borderId="34" xfId="12" applyNumberFormat="1" applyFont="1" applyBorder="1" applyAlignment="1" applyProtection="1">
      <alignment vertical="center"/>
      <protection hidden="1"/>
    </xf>
    <xf numFmtId="171" fontId="107" fillId="0" borderId="34" xfId="12" applyNumberFormat="1" applyFont="1" applyFill="1" applyBorder="1" applyAlignment="1" applyProtection="1">
      <alignment vertical="center"/>
      <protection hidden="1"/>
    </xf>
    <xf numFmtId="171" fontId="93" fillId="0" borderId="36" xfId="12" applyNumberFormat="1" applyFont="1" applyBorder="1" applyAlignment="1" applyProtection="1">
      <alignment vertical="center"/>
      <protection hidden="1"/>
    </xf>
    <xf numFmtId="2" fontId="105" fillId="0" borderId="40" xfId="13" applyNumberFormat="1" applyFont="1" applyBorder="1"/>
    <xf numFmtId="2" fontId="105" fillId="0" borderId="48" xfId="13" applyNumberFormat="1" applyFont="1" applyBorder="1"/>
    <xf numFmtId="2" fontId="2" fillId="0" borderId="48" xfId="13" applyNumberFormat="1" applyFont="1" applyBorder="1"/>
    <xf numFmtId="2" fontId="2" fillId="0" borderId="47" xfId="13" applyNumberFormat="1" applyFont="1" applyBorder="1"/>
    <xf numFmtId="0" fontId="102" fillId="0" borderId="48" xfId="13" applyFont="1" applyBorder="1"/>
    <xf numFmtId="0" fontId="2" fillId="0" borderId="44" xfId="13" applyFont="1" applyBorder="1"/>
    <xf numFmtId="0" fontId="2" fillId="0" borderId="0" xfId="13" applyFont="1" applyAlignment="1">
      <alignment horizontal="left"/>
    </xf>
    <xf numFmtId="0" fontId="2" fillId="0" borderId="43" xfId="13" applyFont="1" applyBorder="1" applyAlignment="1">
      <alignment horizontal="left"/>
    </xf>
    <xf numFmtId="0" fontId="2" fillId="0" borderId="54" xfId="13" applyFont="1" applyBorder="1"/>
    <xf numFmtId="166" fontId="10" fillId="0" borderId="4" xfId="4" applyNumberFormat="1" applyFont="1" applyBorder="1" applyAlignment="1" applyProtection="1">
      <alignment vertical="top" wrapText="1"/>
      <protection locked="0"/>
    </xf>
    <xf numFmtId="166" fontId="13" fillId="0" borderId="4" xfId="4" applyNumberFormat="1" applyFont="1" applyBorder="1" applyAlignment="1" applyProtection="1">
      <alignment vertical="top" wrapText="1"/>
      <protection locked="0"/>
    </xf>
    <xf numFmtId="177" fontId="9" fillId="0" borderId="0" xfId="2" applyNumberFormat="1" applyFont="1" applyProtection="1">
      <protection locked="0"/>
    </xf>
    <xf numFmtId="3" fontId="9" fillId="0" borderId="6" xfId="2" applyNumberFormat="1" applyFont="1" applyBorder="1" applyProtection="1">
      <protection locked="0"/>
    </xf>
    <xf numFmtId="11" fontId="0" fillId="0" borderId="0" xfId="0" applyNumberFormat="1"/>
    <xf numFmtId="3" fontId="11" fillId="3" borderId="4" xfId="0" applyNumberFormat="1" applyFont="1" applyFill="1" applyBorder="1" applyAlignment="1" applyProtection="1">
      <alignment vertical="center" wrapText="1"/>
      <protection locked="0"/>
    </xf>
    <xf numFmtId="3" fontId="15" fillId="0" borderId="4" xfId="2" applyNumberFormat="1" applyFont="1" applyBorder="1" applyAlignment="1" applyProtection="1">
      <alignment vertical="top" wrapText="1"/>
      <protection locked="0"/>
    </xf>
    <xf numFmtId="3" fontId="15" fillId="0" borderId="4" xfId="0" applyNumberFormat="1" applyFont="1" applyBorder="1" applyAlignment="1" applyProtection="1">
      <alignment vertical="top" wrapText="1"/>
      <protection locked="0"/>
    </xf>
    <xf numFmtId="3" fontId="11" fillId="3" borderId="4" xfId="2" applyNumberFormat="1" applyFont="1" applyFill="1" applyBorder="1" applyAlignment="1" applyProtection="1">
      <alignment vertical="center" wrapText="1"/>
      <protection locked="0"/>
    </xf>
    <xf numFmtId="0" fontId="24" fillId="3" borderId="4" xfId="2" applyFont="1" applyFill="1" applyBorder="1" applyAlignment="1">
      <alignment horizontal="center" vertical="center" wrapText="1"/>
    </xf>
    <xf numFmtId="167" fontId="108" fillId="0" borderId="4" xfId="4" applyNumberFormat="1" applyFont="1" applyFill="1" applyBorder="1" applyAlignment="1" applyProtection="1">
      <alignment horizontal="right" vertical="top" wrapText="1"/>
      <protection locked="0"/>
    </xf>
    <xf numFmtId="3" fontId="15" fillId="0" borderId="2" xfId="2" applyNumberFormat="1" applyFont="1" applyBorder="1" applyAlignment="1" applyProtection="1">
      <alignment vertical="top" wrapText="1"/>
      <protection locked="0"/>
    </xf>
    <xf numFmtId="166" fontId="8" fillId="0" borderId="2" xfId="0" quotePrefix="1" applyNumberFormat="1" applyFont="1" applyBorder="1" applyAlignment="1" applyProtection="1">
      <alignment horizontal="right"/>
      <protection locked="0"/>
    </xf>
    <xf numFmtId="3" fontId="8" fillId="0" borderId="2" xfId="0" quotePrefix="1" applyNumberFormat="1" applyFont="1" applyBorder="1" applyAlignment="1" applyProtection="1">
      <alignment vertical="center"/>
      <protection locked="0"/>
    </xf>
    <xf numFmtId="3" fontId="8" fillId="0" borderId="2" xfId="0" quotePrefix="1" applyNumberFormat="1" applyFont="1" applyBorder="1" applyProtection="1">
      <protection locked="0"/>
    </xf>
    <xf numFmtId="166" fontId="8" fillId="0" borderId="2" xfId="0" quotePrefix="1" applyNumberFormat="1" applyFont="1" applyBorder="1" applyAlignment="1" applyProtection="1">
      <alignment horizontal="right" vertical="center"/>
      <protection locked="0"/>
    </xf>
    <xf numFmtId="3" fontId="8" fillId="0" borderId="4" xfId="0" quotePrefix="1" applyNumberFormat="1" applyFont="1" applyBorder="1" applyAlignment="1" applyProtection="1">
      <alignment horizontal="right"/>
      <protection locked="0"/>
    </xf>
    <xf numFmtId="3" fontId="8" fillId="0" borderId="4" xfId="0" quotePrefix="1" applyNumberFormat="1" applyFont="1" applyBorder="1" applyProtection="1">
      <protection locked="0"/>
    </xf>
    <xf numFmtId="166" fontId="8" fillId="0" borderId="4" xfId="0" quotePrefix="1" applyNumberFormat="1" applyFont="1" applyBorder="1" applyAlignment="1" applyProtection="1">
      <alignment horizontal="right"/>
      <protection locked="0"/>
    </xf>
    <xf numFmtId="166" fontId="35" fillId="0" borderId="2" xfId="4" applyNumberFormat="1" applyFont="1" applyFill="1" applyBorder="1" applyAlignment="1" applyProtection="1">
      <alignment vertical="top" wrapText="1"/>
      <protection locked="0"/>
    </xf>
    <xf numFmtId="3" fontId="1" fillId="0" borderId="38" xfId="14" applyNumberFormat="1" applyFont="1" applyBorder="1"/>
    <xf numFmtId="3" fontId="1" fillId="0" borderId="38" xfId="13" applyNumberFormat="1" applyFont="1" applyBorder="1"/>
    <xf numFmtId="3" fontId="1" fillId="0" borderId="46" xfId="14" applyNumberFormat="1" applyFont="1" applyBorder="1"/>
    <xf numFmtId="3" fontId="1" fillId="0" borderId="42" xfId="14" applyNumberFormat="1" applyFont="1" applyBorder="1"/>
    <xf numFmtId="3" fontId="1" fillId="0" borderId="46" xfId="14" applyNumberFormat="1" applyFont="1" applyFill="1" applyBorder="1"/>
    <xf numFmtId="3" fontId="1" fillId="0" borderId="42" xfId="14" applyNumberFormat="1" applyFont="1" applyFill="1" applyBorder="1"/>
    <xf numFmtId="3" fontId="1" fillId="0" borderId="44" xfId="14" applyNumberFormat="1" applyFont="1" applyBorder="1"/>
    <xf numFmtId="3" fontId="1" fillId="0" borderId="40" xfId="14" applyNumberFormat="1" applyFont="1" applyBorder="1"/>
    <xf numFmtId="0" fontId="53" fillId="5" borderId="0" xfId="3" quotePrefix="1" applyFont="1" applyFill="1" applyAlignment="1">
      <alignment horizontal="left"/>
    </xf>
    <xf numFmtId="3" fontId="108" fillId="0" borderId="4" xfId="0" applyNumberFormat="1" applyFont="1" applyBorder="1" applyAlignment="1" applyProtection="1">
      <alignment vertical="top" wrapText="1"/>
      <protection locked="0"/>
    </xf>
    <xf numFmtId="166" fontId="21" fillId="0" borderId="4" xfId="0" applyNumberFormat="1" applyFont="1" applyBorder="1" applyProtection="1">
      <protection locked="0"/>
    </xf>
    <xf numFmtId="169" fontId="9" fillId="0" borderId="0" xfId="1" applyNumberFormat="1" applyFont="1" applyProtection="1">
      <protection locked="0"/>
    </xf>
    <xf numFmtId="169" fontId="9" fillId="0" borderId="0" xfId="2" applyNumberFormat="1" applyFont="1" applyProtection="1">
      <protection locked="0"/>
    </xf>
    <xf numFmtId="0" fontId="1" fillId="0" borderId="55" xfId="13" applyFont="1" applyBorder="1" applyAlignment="1">
      <alignment horizontal="center"/>
    </xf>
    <xf numFmtId="2" fontId="2" fillId="0" borderId="55" xfId="13" applyNumberFormat="1" applyFont="1" applyBorder="1"/>
    <xf numFmtId="2" fontId="1" fillId="0" borderId="55" xfId="13" applyNumberFormat="1" applyFont="1" applyBorder="1"/>
    <xf numFmtId="3" fontId="2" fillId="0" borderId="55" xfId="13" applyNumberFormat="1" applyFont="1" applyBorder="1" applyAlignment="1">
      <alignment horizontal="left"/>
    </xf>
    <xf numFmtId="3" fontId="1" fillId="0" borderId="55" xfId="13" quotePrefix="1" applyNumberFormat="1" applyFont="1" applyBorder="1"/>
    <xf numFmtId="175" fontId="1" fillId="0" borderId="55" xfId="14" applyNumberFormat="1" applyFont="1" applyBorder="1"/>
    <xf numFmtId="3" fontId="1" fillId="0" borderId="55" xfId="13" applyNumberFormat="1" applyFont="1" applyBorder="1"/>
    <xf numFmtId="3" fontId="2" fillId="0" borderId="55" xfId="13" quotePrefix="1" applyNumberFormat="1" applyFont="1" applyBorder="1" applyAlignment="1">
      <alignment horizontal="left"/>
    </xf>
    <xf numFmtId="0" fontId="2" fillId="0" borderId="55" xfId="13" applyFont="1" applyBorder="1" applyAlignment="1">
      <alignment horizontal="left"/>
    </xf>
    <xf numFmtId="0" fontId="1" fillId="0" borderId="55" xfId="13" applyFont="1" applyBorder="1"/>
    <xf numFmtId="0" fontId="1" fillId="0" borderId="55" xfId="13" applyFont="1" applyBorder="1" applyAlignment="1">
      <alignment horizontal="left"/>
    </xf>
    <xf numFmtId="0" fontId="2" fillId="0" borderId="55" xfId="13" applyFont="1" applyBorder="1"/>
    <xf numFmtId="0" fontId="2" fillId="0" borderId="56" xfId="13" applyFont="1" applyBorder="1"/>
    <xf numFmtId="2" fontId="1" fillId="0" borderId="56" xfId="13" applyNumberFormat="1" applyFont="1" applyBorder="1"/>
    <xf numFmtId="3" fontId="1" fillId="0" borderId="55" xfId="14" applyNumberFormat="1" applyFont="1" applyBorder="1"/>
    <xf numFmtId="0" fontId="103" fillId="0" borderId="55" xfId="13" applyFont="1" applyBorder="1" applyAlignment="1">
      <alignment horizontal="center"/>
    </xf>
    <xf numFmtId="0" fontId="1" fillId="0" borderId="55" xfId="13" applyFont="1" applyBorder="1" applyAlignment="1">
      <alignment horizontal="left" vertical="center"/>
    </xf>
    <xf numFmtId="0" fontId="102" fillId="0" borderId="55" xfId="13" applyFont="1" applyBorder="1" applyAlignment="1">
      <alignment horizontal="center"/>
    </xf>
    <xf numFmtId="0" fontId="102" fillId="0" borderId="55" xfId="13" applyFont="1" applyBorder="1"/>
    <xf numFmtId="0" fontId="103" fillId="0" borderId="55" xfId="13" applyFont="1" applyBorder="1"/>
    <xf numFmtId="0" fontId="2" fillId="0" borderId="55" xfId="13" applyFont="1" applyBorder="1" applyAlignment="1">
      <alignment horizontal="center"/>
    </xf>
    <xf numFmtId="3" fontId="1" fillId="0" borderId="56" xfId="13" applyNumberFormat="1" applyFont="1" applyBorder="1"/>
    <xf numFmtId="0" fontId="1" fillId="0" borderId="57" xfId="13" applyFont="1" applyBorder="1"/>
    <xf numFmtId="0" fontId="103" fillId="0" borderId="58" xfId="13" applyFont="1" applyBorder="1" applyAlignment="1">
      <alignment horizontal="center"/>
    </xf>
    <xf numFmtId="166" fontId="10" fillId="6" borderId="4" xfId="5" applyNumberFormat="1" applyFont="1" applyFill="1" applyBorder="1" applyProtection="1">
      <protection locked="0"/>
    </xf>
    <xf numFmtId="0" fontId="57" fillId="0" borderId="0" xfId="3" applyFont="1" applyAlignment="1">
      <alignment horizontal="center"/>
    </xf>
    <xf numFmtId="0" fontId="58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59" fillId="0" borderId="0" xfId="3" applyFont="1" applyAlignment="1">
      <alignment horizontal="center"/>
    </xf>
    <xf numFmtId="0" fontId="62" fillId="0" borderId="0" xfId="3" applyFont="1" applyAlignment="1">
      <alignment horizontal="center"/>
    </xf>
    <xf numFmtId="0" fontId="66" fillId="0" borderId="0" xfId="3" applyFont="1" applyAlignment="1">
      <alignment horizontal="center"/>
    </xf>
    <xf numFmtId="0" fontId="77" fillId="0" borderId="0" xfId="9" applyFont="1" applyAlignment="1">
      <alignment horizontal="center"/>
    </xf>
    <xf numFmtId="0" fontId="78" fillId="0" borderId="0" xfId="9" applyFont="1" applyAlignment="1">
      <alignment horizontal="center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166" fontId="16" fillId="0" borderId="0" xfId="12" applyNumberFormat="1" applyFont="1" applyAlignment="1">
      <alignment horizontal="center"/>
    </xf>
    <xf numFmtId="0" fontId="90" fillId="0" borderId="0" xfId="3" applyFont="1" applyAlignment="1">
      <alignment horizontal="center"/>
    </xf>
    <xf numFmtId="0" fontId="78" fillId="0" borderId="0" xfId="3" applyFont="1" applyAlignment="1">
      <alignment horizontal="center"/>
    </xf>
    <xf numFmtId="0" fontId="89" fillId="0" borderId="18" xfId="3" applyFont="1" applyBorder="1" applyAlignment="1">
      <alignment horizontal="center" vertical="center" wrapText="1"/>
    </xf>
    <xf numFmtId="0" fontId="89" fillId="0" borderId="19" xfId="3" applyFont="1" applyBorder="1" applyAlignment="1">
      <alignment horizontal="center" vertical="center" wrapText="1"/>
    </xf>
    <xf numFmtId="0" fontId="89" fillId="0" borderId="20" xfId="3" applyFont="1" applyBorder="1" applyAlignment="1">
      <alignment horizontal="center" vertical="center" wrapText="1"/>
    </xf>
    <xf numFmtId="0" fontId="89" fillId="0" borderId="23" xfId="3" applyFont="1" applyBorder="1" applyAlignment="1">
      <alignment horizontal="center" vertical="center" wrapText="1"/>
    </xf>
    <xf numFmtId="0" fontId="89" fillId="0" borderId="24" xfId="3" applyFont="1" applyBorder="1" applyAlignment="1">
      <alignment horizontal="center" vertical="center" wrapText="1"/>
    </xf>
    <xf numFmtId="0" fontId="89" fillId="0" borderId="25" xfId="3" applyFont="1" applyBorder="1" applyAlignment="1">
      <alignment horizontal="center" vertical="center" wrapText="1"/>
    </xf>
    <xf numFmtId="1" fontId="89" fillId="0" borderId="21" xfId="3" applyNumberFormat="1" applyFont="1" applyBorder="1" applyAlignment="1">
      <alignment horizontal="center" vertical="center"/>
    </xf>
    <xf numFmtId="1" fontId="89" fillId="0" borderId="22" xfId="3" applyNumberFormat="1" applyFont="1" applyBorder="1" applyAlignment="1">
      <alignment horizontal="center" vertical="center"/>
    </xf>
    <xf numFmtId="170" fontId="89" fillId="0" borderId="21" xfId="3" applyNumberFormat="1" applyFont="1" applyBorder="1" applyAlignment="1">
      <alignment horizontal="center" vertical="center"/>
    </xf>
    <xf numFmtId="170" fontId="89" fillId="0" borderId="22" xfId="3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86" fillId="0" borderId="0" xfId="3" applyFont="1" applyAlignment="1">
      <alignment horizontal="right"/>
    </xf>
    <xf numFmtId="0" fontId="21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9" fillId="0" borderId="0" xfId="3" applyFont="1" applyAlignment="1">
      <alignment horizontal="center"/>
    </xf>
    <xf numFmtId="0" fontId="89" fillId="0" borderId="0" xfId="3" applyFont="1" applyAlignment="1">
      <alignment horizontal="center"/>
    </xf>
    <xf numFmtId="0" fontId="89" fillId="0" borderId="26" xfId="3" applyFont="1" applyBorder="1" applyAlignment="1">
      <alignment horizontal="center" vertical="center" wrapText="1"/>
    </xf>
    <xf numFmtId="0" fontId="89" fillId="0" borderId="36" xfId="3" applyFont="1" applyBorder="1" applyAlignment="1">
      <alignment horizontal="center" vertical="center" wrapText="1"/>
    </xf>
    <xf numFmtId="0" fontId="86" fillId="0" borderId="0" xfId="3" applyFont="1" applyAlignment="1">
      <alignment horizontal="center"/>
    </xf>
    <xf numFmtId="170" fontId="21" fillId="0" borderId="0" xfId="3" applyNumberFormat="1" applyFont="1" applyAlignment="1">
      <alignment horizontal="center"/>
    </xf>
  </cellXfs>
  <cellStyles count="15">
    <cellStyle name="Comma [0]" xfId="8" builtinId="6"/>
    <cellStyle name="Comma 3" xfId="6" xr:uid="{C3A77205-A5C9-4872-9270-0CEEC9B5FF61}"/>
    <cellStyle name="Comma 3 2" xfId="14" xr:uid="{4D1411EE-899A-41DC-BCF2-6B364F24FAE7}"/>
    <cellStyle name="Comma 4" xfId="12" xr:uid="{01566CEA-CF34-4801-A2A2-B33D1C67A726}"/>
    <cellStyle name="Comma 5" xfId="5" xr:uid="{05314FF5-117D-4452-AED1-4A0E98BEC189}"/>
    <cellStyle name="Comma 5 2" xfId="4" xr:uid="{2003BB21-2719-4E07-8378-CB3E4D8C7D7C}"/>
    <cellStyle name="Normal" xfId="0" builtinId="0"/>
    <cellStyle name="Normal 2" xfId="2" xr:uid="{854F5DE4-0E03-4F79-8144-8231436D6A61}"/>
    <cellStyle name="Normal 3" xfId="3" xr:uid="{B9B5ACD5-DD3E-4781-A29F-CA74B1256D01}"/>
    <cellStyle name="Normal 4" xfId="13" xr:uid="{51F67859-071D-4307-B994-7A156C6B9057}"/>
    <cellStyle name="Normal_2010_09_BCTC_CTCP" xfId="9" xr:uid="{971D42FF-7A4C-44AB-8A51-2E2471F6221F}"/>
    <cellStyle name="Normal_2010_09_BCTC_CTCP 2" xfId="10" xr:uid="{00B46889-E360-4279-859F-8F6D44CCE9A6}"/>
    <cellStyle name="Percent" xfId="1" builtinId="5"/>
    <cellStyle name="Percent 2" xfId="11" xr:uid="{3A5711EE-0444-4658-BA69-8B17A89D2333}"/>
    <cellStyle name="Percent 2 2" xfId="7" xr:uid="{2C6BB808-8E87-4AC9-B443-5F2DF198AD9F}"/>
  </cellStyles>
  <dxfs count="39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border outline="0">
        <top style="thin">
          <color rgb="FF00B0F0"/>
        </top>
      </border>
    </dxf>
    <dxf>
      <border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77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rgb="FF00B0F0"/>
        </top>
        <bottom style="thin">
          <color rgb="FF00B0F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541191-D515-48E8-AB7D-EA83AD49111D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D107A8E-6371-4F6A-BD1C-EACE9C2BB51A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7B97A37E-9DC4-4009-B7E9-F26620AB37DB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1F36060-56A1-441E-85CB-EEE02C2025A7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 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HỢP NHẤT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BBF72425-BEE8-49F3-9839-7E519070AA8F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A068F420-8B5A-460B-8913-9CF89EF4C668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B4439AE4-2DC8-4D54-8345-097B96EECC9E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0</xdr:row>
      <xdr:rowOff>142875</xdr:rowOff>
    </xdr:from>
    <xdr:to>
      <xdr:col>9</xdr:col>
      <xdr:colOff>279400</xdr:colOff>
      <xdr:row>2</xdr:row>
      <xdr:rowOff>63500</xdr:rowOff>
    </xdr:to>
    <xdr:sp macro="" textlink="'Thong tin'!A1">
      <xdr:nvSpPr>
        <xdr:cNvPr id="9" name="Text Box 4">
          <a:extLst>
            <a:ext uri="{FF2B5EF4-FFF2-40B4-BE49-F238E27FC236}">
              <a16:creationId xmlns:a16="http://schemas.microsoft.com/office/drawing/2014/main" id="{06C8CA9C-3C55-4D72-9656-8B3685D32932}"/>
            </a:ext>
          </a:extLst>
        </xdr:cNvPr>
        <xdr:cNvSpPr txBox="1">
          <a:spLocks noChangeArrowheads="1"/>
        </xdr:cNvSpPr>
      </xdr:nvSpPr>
      <xdr:spPr bwMode="auto">
        <a:xfrm>
          <a:off x="1454150" y="142875"/>
          <a:ext cx="459740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fld id="{328A9696-B93F-4C93-8D2E-1C7EA015A10F}" type="TxLink">
            <a:rPr lang="en-US" sz="1200" b="1" i="0" u="none" strike="noStrike" spc="-20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pPr algn="l" rtl="0">
              <a:defRPr sz="1000"/>
            </a:pPr>
            <a:t>CÔNG TY CP NHỰA TÁI CHẾ DUY TÂN</a:t>
          </a:fld>
          <a:endParaRPr lang="vi-VN" sz="1400" b="0" i="0" u="none" strike="noStrike" spc="-20" baseline="0">
            <a:solidFill>
              <a:srgbClr val="00008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oneCellAnchor>
    <xdr:from>
      <xdr:col>1</xdr:col>
      <xdr:colOff>303797</xdr:colOff>
      <xdr:row>23</xdr:row>
      <xdr:rowOff>1085</xdr:rowOff>
    </xdr:from>
    <xdr:ext cx="4923271" cy="5306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1DEF9DA-C4F9-90FA-8D3A-ACEFDDCC0F7B}"/>
            </a:ext>
          </a:extLst>
        </xdr:cNvPr>
        <xdr:cNvSpPr/>
      </xdr:nvSpPr>
      <xdr:spPr>
        <a:xfrm>
          <a:off x="945147" y="4534985"/>
          <a:ext cx="492327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rgbClr val="00B05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CTY</a:t>
          </a:r>
          <a:r>
            <a:rPr lang="en-US" sz="2800" b="1" cap="none" spc="0" baseline="0">
              <a:ln w="0"/>
              <a:solidFill>
                <a:srgbClr val="00B05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CP NHỰA TÁI CHẾ DUY TÂN</a:t>
          </a:r>
          <a:endParaRPr lang="en-US" sz="2800" b="1" cap="none" spc="0">
            <a:ln w="0"/>
            <a:solidFill>
              <a:srgbClr val="00B05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117475</xdr:colOff>
      <xdr:row>0</xdr:row>
      <xdr:rowOff>136526</xdr:rowOff>
    </xdr:from>
    <xdr:ext cx="1616075" cy="358774"/>
    <xdr:pic>
      <xdr:nvPicPr>
        <xdr:cNvPr id="10" name="Picture 9">
          <a:extLst>
            <a:ext uri="{FF2B5EF4-FFF2-40B4-BE49-F238E27FC236}">
              <a16:creationId xmlns:a16="http://schemas.microsoft.com/office/drawing/2014/main" id="{13309CB5-B69F-424C-B057-194607210694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132" b="8080"/>
        <a:stretch>
          <a:fillRect/>
        </a:stretch>
      </xdr:blipFill>
      <xdr:spPr bwMode="auto">
        <a:xfrm>
          <a:off x="117475" y="136526"/>
          <a:ext cx="1616075" cy="3587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</xdr:col>
      <xdr:colOff>177800</xdr:colOff>
      <xdr:row>2</xdr:row>
      <xdr:rowOff>34925</xdr:rowOff>
    </xdr:from>
    <xdr:to>
      <xdr:col>10</xdr:col>
      <xdr:colOff>425450</xdr:colOff>
      <xdr:row>3</xdr:row>
      <xdr:rowOff>76200</xdr:rowOff>
    </xdr:to>
    <xdr:sp macro="" textlink="'Thong tin'!B2">
      <xdr:nvSpPr>
        <xdr:cNvPr id="11" name="Text Box 4">
          <a:extLst>
            <a:ext uri="{FF2B5EF4-FFF2-40B4-BE49-F238E27FC236}">
              <a16:creationId xmlns:a16="http://schemas.microsoft.com/office/drawing/2014/main" id="{3A578D44-3A4B-42E8-A133-CA2BC828310C}"/>
            </a:ext>
          </a:extLst>
        </xdr:cNvPr>
        <xdr:cNvSpPr txBox="1">
          <a:spLocks noChangeArrowheads="1"/>
        </xdr:cNvSpPr>
      </xdr:nvSpPr>
      <xdr:spPr bwMode="auto">
        <a:xfrm>
          <a:off x="1460500" y="390525"/>
          <a:ext cx="514350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fld id="{4725929F-A21B-4D77-809E-229819CF8E15}" type="TxLink">
            <a:rPr lang="en-US" sz="1200" b="0" i="0" u="none" strike="noStrike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pPr algn="l" rtl="0">
              <a:defRPr sz="1000"/>
            </a:pPr>
            <a:t>Lô D2, Cụm Công nghiệp Nhựa Đức Hoà Hạ, Xã Đức Hoà, Tỉnh Tây Ninh</a:t>
          </a:fld>
          <a:endParaRPr lang="vi-VN" sz="1000" b="0" i="0" u="none" strike="noStrike" baseline="0">
            <a:solidFill>
              <a:srgbClr val="00008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2</xdr:col>
      <xdr:colOff>177800</xdr:colOff>
      <xdr:row>3</xdr:row>
      <xdr:rowOff>111125</xdr:rowOff>
    </xdr:from>
    <xdr:to>
      <xdr:col>6</xdr:col>
      <xdr:colOff>533400</xdr:colOff>
      <xdr:row>4</xdr:row>
      <xdr:rowOff>76199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44DB9AF-F23D-DBE0-AB2D-28E4CBA10AA2}"/>
            </a:ext>
          </a:extLst>
        </xdr:cNvPr>
        <xdr:cNvGrpSpPr/>
      </xdr:nvGrpSpPr>
      <xdr:grpSpPr>
        <a:xfrm>
          <a:off x="1431290" y="625475"/>
          <a:ext cx="2874010" cy="269874"/>
          <a:chOff x="2070100" y="657225"/>
          <a:chExt cx="2921000" cy="269874"/>
        </a:xfrm>
      </xdr:grpSpPr>
      <xdr:sp macro="" textlink="'Thong tin'!B3">
        <xdr:nvSpPr>
          <xdr:cNvPr id="14" name="Text Box 4">
            <a:extLst>
              <a:ext uri="{FF2B5EF4-FFF2-40B4-BE49-F238E27FC236}">
                <a16:creationId xmlns:a16="http://schemas.microsoft.com/office/drawing/2014/main" id="{B11F1738-50E6-4C6F-AD38-7AB72E98FA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28950" y="657225"/>
            <a:ext cx="1962150" cy="2254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fld id="{060FAE2C-E190-4EB1-92A9-C52F57C3C6DF}" type="TxLink">
              <a:rPr lang="en-US" sz="1200" b="0" i="0" u="none" strike="noStrike" baseline="0">
                <a:solidFill>
                  <a:srgbClr val="00008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pPr algn="l" rtl="0">
                <a:defRPr sz="1000"/>
              </a:pPr>
              <a:t>1100676611</a:t>
            </a:fld>
            <a:endParaRPr lang="vi-VN" sz="1000" b="0" i="0" u="none" strike="noStrike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xdr:txBody>
      </xdr:sp>
      <xdr:sp macro="" textlink="">
        <xdr:nvSpPr>
          <xdr:cNvPr id="17" name="Text Box 4">
            <a:extLst>
              <a:ext uri="{FF2B5EF4-FFF2-40B4-BE49-F238E27FC236}">
                <a16:creationId xmlns:a16="http://schemas.microsoft.com/office/drawing/2014/main" id="{B155541C-3E00-4F38-9BCC-44E7442EFA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70100" y="660400"/>
            <a:ext cx="996950" cy="26669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8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Mã số thuế: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F658A-CE4F-4584-A83B-11853981C9F1}" name="Data_BS" displayName="Data_BS" ref="A3:BW129" totalsRowShown="0" headerRowDxfId="315" dataDxfId="314" headerRowCellStyle="Normal 2">
  <tableColumns count="75">
    <tableColumn id="1" xr3:uid="{2346B998-A4E8-4612-916D-F977366F1063}" name="Index BS" dataDxfId="313" dataCellStyle="Normal 2"/>
    <tableColumn id="2" xr3:uid="{CC13EC2B-BF0F-4943-8853-FB86EAB106FD}" name="PHẦN I-BÁO CÁO TÌNH HÌNH TÀI CHÍNH" dataDxfId="312" dataCellStyle="Normal 2"/>
    <tableColumn id="3" xr3:uid="{A55CD9F7-CED9-40D5-9938-3332982A7289}" name="TenCongTyID" dataDxfId="311" dataCellStyle="Normal 2"/>
    <tableColumn id="4" xr3:uid="{790A87AF-D568-4626-B632-EA96D07B197D}" name="T1.2021" dataDxfId="310" dataCellStyle="Normal 2"/>
    <tableColumn id="5" xr3:uid="{02D196F4-A181-44C5-B745-87448AF51EBB}" name="T02.2021" dataDxfId="309" dataCellStyle="Normal 2"/>
    <tableColumn id="6" xr3:uid="{DBD11FF4-A26B-4EFF-8417-427ADE051E31}" name="T03.2021" dataDxfId="308" dataCellStyle="Normal 2"/>
    <tableColumn id="7" xr3:uid="{8A2CAA7B-7D2C-4A9A-B243-25BE52FEC458}" name="T04.2021" dataDxfId="307" dataCellStyle="Normal 2"/>
    <tableColumn id="8" xr3:uid="{6C77A2AC-3E8F-4EAB-9D34-7A810CB792AF}" name="T05.2021" dataDxfId="306" dataCellStyle="Normal 2"/>
    <tableColumn id="9" xr3:uid="{54B45428-615C-4DCA-8FA1-FBD241253E9A}" name="T06.2021" dataDxfId="305" dataCellStyle="Normal 2"/>
    <tableColumn id="10" xr3:uid="{707E4805-C48C-48F3-AC57-2955FA8032BC}" name="T07.2021" dataDxfId="304" dataCellStyle="Normal 2"/>
    <tableColumn id="11" xr3:uid="{6C7998FA-7A8D-47BB-9558-BB97B4D180E4}" name="T08.2021" dataDxfId="303" dataCellStyle="Normal 2"/>
    <tableColumn id="12" xr3:uid="{6C4886D9-9749-4090-8287-B38DBFD5CC0E}" name="T09.2021" dataDxfId="302" dataCellStyle="Normal 2"/>
    <tableColumn id="13" xr3:uid="{C55D2224-AB0A-46CF-863C-1C6126730513}" name="T10.2021" dataDxfId="301" dataCellStyle="Normal 2"/>
    <tableColumn id="14" xr3:uid="{3DBC3487-7EAA-43EF-8DCF-A34BEE6D9A80}" name="T11.2021" dataDxfId="300" dataCellStyle="Normal 2"/>
    <tableColumn id="15" xr3:uid="{E9D79070-C2E7-439D-91B3-E552D6847FA0}" name="T12.2021" dataDxfId="299" dataCellStyle="Normal 2"/>
    <tableColumn id="16" xr3:uid="{E72E0326-BBF0-408E-A243-B6A8699B6061}" name="T1.2022" dataDxfId="298" dataCellStyle="Normal 2"/>
    <tableColumn id="17" xr3:uid="{FCA8EFA8-B75A-4AE6-AD3C-F4C23F28A423}" name="T02.2022" dataDxfId="297" dataCellStyle="Normal 2"/>
    <tableColumn id="18" xr3:uid="{EBBD0BDF-833F-4AEA-BF7B-64021E8AEE34}" name="T03.2022" dataDxfId="296" dataCellStyle="Normal 2"/>
    <tableColumn id="19" xr3:uid="{0D431D58-F1A6-434E-A00F-B2D29323FFB0}" name="T04.2022" dataDxfId="295" dataCellStyle="Normal 2"/>
    <tableColumn id="20" xr3:uid="{FDCACBB4-A726-4391-96A8-2F72690EE85A}" name="T05.2022" dataDxfId="294" dataCellStyle="Normal 2"/>
    <tableColumn id="21" xr3:uid="{F8407201-0DC1-45F9-85E6-D8C49B06091C}" name="T06.2022" dataDxfId="293" dataCellStyle="Normal 2"/>
    <tableColumn id="22" xr3:uid="{3407483D-0156-44A9-9619-38E3AA86FF13}" name="T07.2022" dataDxfId="292" dataCellStyle="Normal 2"/>
    <tableColumn id="23" xr3:uid="{7865B64B-99E2-4E5C-B786-17A618C7D3CF}" name="T08.2022" dataDxfId="291" dataCellStyle="Normal 2"/>
    <tableColumn id="24" xr3:uid="{C5E2BAD2-F483-4531-9560-1C5B375F4DE4}" name="T09.2022" dataDxfId="290" dataCellStyle="Normal 2"/>
    <tableColumn id="25" xr3:uid="{76F0AD01-9389-4CAE-AF19-E944F3BDA1CF}" name="T10.2022" dataDxfId="289" dataCellStyle="Normal 2"/>
    <tableColumn id="26" xr3:uid="{A27D4330-D9AF-4119-B52F-C8BD7BDCBF53}" name="T11.2022" dataDxfId="288" dataCellStyle="Normal 2"/>
    <tableColumn id="27" xr3:uid="{B97F819D-FC8F-40C7-8D6A-537702B6FAAB}" name="T12.2022" dataDxfId="287" dataCellStyle="Normal 2"/>
    <tableColumn id="52" xr3:uid="{886CE37A-1144-4C17-9CDD-A6E00EF03B7E}" name="T1.2023" dataDxfId="286" dataCellStyle="Normal 2"/>
    <tableColumn id="53" xr3:uid="{61F078E8-B687-4286-9AAA-F58770EC6A18}" name="T02.2023" dataDxfId="285" dataCellStyle="Normal 2"/>
    <tableColumn id="54" xr3:uid="{839CFF96-EA93-4F36-9D0A-F4BB458F7F15}" name="T03.2023" dataDxfId="284" dataCellStyle="Normal 2"/>
    <tableColumn id="55" xr3:uid="{3478BD60-B56B-4C57-9B5A-42D231CE5FD7}" name="T04.2023" dataDxfId="283" dataCellStyle="Normal 2"/>
    <tableColumn id="56" xr3:uid="{FD799F2C-63EF-4375-91B6-47C2613B7F1C}" name="T05.2023" dataDxfId="282" dataCellStyle="Normal 2"/>
    <tableColumn id="57" xr3:uid="{4C3DEA82-D6EF-47D7-883E-46BDE6E7EDA3}" name="T06.2023" dataDxfId="281" dataCellStyle="Normal 2"/>
    <tableColumn id="58" xr3:uid="{C2CA653D-2BB1-40F6-8EC4-A5225E1407E0}" name="T07.2023" dataDxfId="280" dataCellStyle="Normal 2"/>
    <tableColumn id="59" xr3:uid="{B72CED66-956C-4E1B-B684-D865D2396419}" name="T08.2023" dataDxfId="279" dataCellStyle="Normal 2"/>
    <tableColumn id="60" xr3:uid="{366A896B-B85F-4646-BE9C-028AC600FEBC}" name="T09.2023" dataDxfId="278" dataCellStyle="Normal 2"/>
    <tableColumn id="61" xr3:uid="{E86E5397-6401-497F-8DAA-B6EAF97D84EE}" name="T10.2023" dataDxfId="277" dataCellStyle="Normal 2"/>
    <tableColumn id="62" xr3:uid="{3B26858F-A63E-4E97-89F7-DEB9018AAC8D}" name="T11.2023" dataDxfId="276" dataCellStyle="Normal 2"/>
    <tableColumn id="63" xr3:uid="{1451E534-DA86-4C71-8BFA-B6FF7E2B94F6}" name="T12.2023" dataDxfId="275" dataCellStyle="Normal 2"/>
    <tableColumn id="28" xr3:uid="{A9F375CE-AC01-4578-B467-569D67B08915}" name="T01.2024" dataDxfId="274"/>
    <tableColumn id="29" xr3:uid="{13BA71A9-FC56-4D0D-AB03-F5EB14E3CD67}" name="T02.2024" dataDxfId="273"/>
    <tableColumn id="30" xr3:uid="{C31F8CA9-6BA0-497A-AF31-C84A176BCBB0}" name="T03.2024" dataDxfId="272"/>
    <tableColumn id="31" xr3:uid="{394D569B-4209-4B64-8BC2-4A0BA5C92E02}" name="T04.2024" dataDxfId="271"/>
    <tableColumn id="32" xr3:uid="{252AAFB7-2475-4190-B66D-85886C638242}" name="T05.2024" dataDxfId="270"/>
    <tableColumn id="33" xr3:uid="{A2CBD8FA-F81C-49B6-8077-EE88DAC1D11A}" name="T06.2024" dataDxfId="269"/>
    <tableColumn id="34" xr3:uid="{B51976E2-1D9D-466E-B9F6-162072C77892}" name="T07.2024" dataDxfId="268"/>
    <tableColumn id="35" xr3:uid="{F094D3B5-B6A0-4D91-B109-BB8A81C9E05B}" name="T08.2024" dataDxfId="267"/>
    <tableColumn id="36" xr3:uid="{E775E21A-A24E-44AE-882E-B5A22F9618FB}" name="T09.2024" dataDxfId="266"/>
    <tableColumn id="37" xr3:uid="{3ACC8DF5-05A5-4D66-8425-FFD27770486D}" name="T10.2024" dataDxfId="265"/>
    <tableColumn id="38" xr3:uid="{5DD1AA75-7128-40B8-AEEA-6150B8741F71}" name="T11.2024" dataDxfId="264"/>
    <tableColumn id="39" xr3:uid="{403EA274-923F-447C-9C21-56D632771F42}" name="T12.2024" dataDxfId="263"/>
    <tableColumn id="40" xr3:uid="{BA3A1F80-2E1E-4482-BA69-2325875F315A}" name="T01.2025" dataDxfId="262" dataCellStyle="Normal 2"/>
    <tableColumn id="41" xr3:uid="{1A54F5A0-375D-4345-9534-E57D0A023742}" name="T02.2025" dataDxfId="261" dataCellStyle="Normal 2"/>
    <tableColumn id="42" xr3:uid="{2AB39A12-EB41-41AE-965A-AA559121A121}" name="T03.2025" dataDxfId="260" dataCellStyle="Normal 2"/>
    <tableColumn id="43" xr3:uid="{490CF469-452A-4537-B314-5CD8A5C31CD7}" name="T04.2025" dataDxfId="259" dataCellStyle="Normal 2"/>
    <tableColumn id="44" xr3:uid="{636E5D1C-E0AA-4E14-B618-BDF399B0EB67}" name="T05.2025" dataDxfId="258" dataCellStyle="Normal 2"/>
    <tableColumn id="45" xr3:uid="{C5928489-0551-4C70-90D8-892116F533F0}" name="T06.2025" dataDxfId="257" dataCellStyle="Normal 2"/>
    <tableColumn id="46" xr3:uid="{A50E431F-7203-4CCC-B86C-17A5B3C9EF49}" name="T07.2025" dataDxfId="256" dataCellStyle="Normal 2"/>
    <tableColumn id="47" xr3:uid="{32473C0E-2C14-4DD6-9037-57E9F9187A30}" name="T08.2025" dataDxfId="255" dataCellStyle="Normal 2"/>
    <tableColumn id="48" xr3:uid="{3E046469-70BC-4DAC-A017-BBCD9DAE6DE2}" name="T09.2025" dataDxfId="254" dataCellStyle="Normal 2"/>
    <tableColumn id="49" xr3:uid="{3C4706E3-F8E5-4D50-AB75-38DED572FB80}" name="T10.2025" dataDxfId="253" dataCellStyle="Normal 2"/>
    <tableColumn id="50" xr3:uid="{A3C6E784-0A8B-49FD-A8D8-EF063407F61A}" name="T11.2025" dataDxfId="252" dataCellStyle="Normal 2"/>
    <tableColumn id="51" xr3:uid="{43334BF2-AE84-4871-90FF-E1289F1AF5EC}" name="T12.2025" dataDxfId="251" dataCellStyle="Normal 2"/>
    <tableColumn id="64" xr3:uid="{0530E79C-DD8B-488E-92C5-45A096649242}" name="T01.2026" dataDxfId="250" dataCellStyle="Normal 2"/>
    <tableColumn id="65" xr3:uid="{44021364-1FF3-4C68-9030-1529BFC38FFC}" name="T02.2026" dataDxfId="249" dataCellStyle="Normal 2"/>
    <tableColumn id="66" xr3:uid="{10E13A9B-890E-4E61-8880-5165741F8E68}" name="T03.2026" dataDxfId="248" dataCellStyle="Normal 2"/>
    <tableColumn id="67" xr3:uid="{57999070-F4CD-462D-9C25-8E8E8C300B37}" name="T04.2026" dataDxfId="247" dataCellStyle="Normal 2"/>
    <tableColumn id="68" xr3:uid="{860DAFEA-C7E1-4BCF-A09F-17B9FC8F6C35}" name="T05.2026" dataDxfId="246" dataCellStyle="Normal 2"/>
    <tableColumn id="69" xr3:uid="{BAE22BAC-1CDD-49E2-8D29-8B05F9994D1E}" name="T06.2026" dataDxfId="245" dataCellStyle="Normal 2"/>
    <tableColumn id="70" xr3:uid="{49C929DB-3DD7-4429-B5F5-0D7282285583}" name="T07.2026" dataDxfId="244" dataCellStyle="Normal 2"/>
    <tableColumn id="71" xr3:uid="{97A23455-9D2B-4A93-A0D2-4B84249CB2F1}" name="T08.2026" dataDxfId="243" dataCellStyle="Normal 2"/>
    <tableColumn id="72" xr3:uid="{EC5F0E35-19A7-415C-B1B9-390AC282A361}" name="T09.2026" dataDxfId="242" dataCellStyle="Normal 2"/>
    <tableColumn id="73" xr3:uid="{0A877FFD-1B4C-4256-AC93-1B4EEF35C426}" name="T10.2026" dataDxfId="241" dataCellStyle="Normal 2"/>
    <tableColumn id="74" xr3:uid="{1C0602BC-1904-4DD9-A30B-6CC94DD6C118}" name="T11.2026" dataDxfId="240" dataCellStyle="Normal 2"/>
    <tableColumn id="75" xr3:uid="{5D44FAA7-DDD7-4C67-8147-204E51AB9279}" name="T12.2026" dataDxfId="239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3522E-9AE6-4857-9C74-5B4C5A3EBA9D}" name="Data_PL" displayName="Data_PL" ref="A3:BW23" totalsRowShown="0" headerRowDxfId="238" dataDxfId="237" tableBorderDxfId="236" headerRowCellStyle="Comma 3">
  <tableColumns count="75">
    <tableColumn id="1" xr3:uid="{ABB05ADA-C0B8-4AB9-BCB1-BB6622F367B2}" name="Index PL" dataDxfId="235" dataCellStyle="Normal 2"/>
    <tableColumn id="2" xr3:uid="{D6408AC8-8E0C-4398-ADE6-ADB7EDDE6D44}" name="PHẦN II-KẾT QUẢ HOẠT ĐỘNG KINH DOANH" dataDxfId="234" dataCellStyle="Normal 2"/>
    <tableColumn id="3" xr3:uid="{9B19B0BE-D14C-430C-88C8-38B06E711033}" name="TenCongTyID" dataDxfId="233"/>
    <tableColumn id="4" xr3:uid="{C676693E-9173-4154-8B46-279F5ED5B511}" name="T1.2021" dataDxfId="232" dataCellStyle="Normal 2"/>
    <tableColumn id="5" xr3:uid="{673BB486-DD38-4C06-BD78-BB9CC172201C}" name="T02.2021" dataDxfId="231" dataCellStyle="Normal 2"/>
    <tableColumn id="6" xr3:uid="{D78C5B02-B9C5-4F25-AAB2-9B324F7DE7CC}" name="T03.2021" dataDxfId="230" dataCellStyle="Normal 2"/>
    <tableColumn id="7" xr3:uid="{1F00329E-5480-4EAF-8469-FE1DED7FCF90}" name="T04.2021" dataDxfId="229" dataCellStyle="Normal 2"/>
    <tableColumn id="8" xr3:uid="{A08D820A-539D-4C74-ABA9-6DFD3C269DC4}" name="T05.2021" dataDxfId="228" dataCellStyle="Normal 2"/>
    <tableColumn id="9" xr3:uid="{592E2C33-2B69-457E-A80D-CA323A583C2D}" name="T06.2021" dataDxfId="227" dataCellStyle="Normal 2"/>
    <tableColumn id="10" xr3:uid="{6CE799F8-01D1-4C42-8C43-19EBA6AA42E5}" name="T07.2021" dataDxfId="226" dataCellStyle="Normal 2"/>
    <tableColumn id="11" xr3:uid="{900947EB-BD18-4729-B63B-563CAFFA0419}" name="T08.2021" dataDxfId="225" dataCellStyle="Normal 2"/>
    <tableColumn id="12" xr3:uid="{6A13575A-7BDD-4B1A-98E5-0EF31D668557}" name="T09.2021" dataDxfId="224" dataCellStyle="Normal 2"/>
    <tableColumn id="13" xr3:uid="{EDDEC4E9-2AE7-4A66-97BA-0523AC40C016}" name="T10.2021" dataDxfId="223" dataCellStyle="Normal 2"/>
    <tableColumn id="14" xr3:uid="{C4AF1CE7-3DDA-4814-A8B2-8112C52A8F76}" name="T11.2021" dataDxfId="222" dataCellStyle="Normal 2"/>
    <tableColumn id="15" xr3:uid="{86280B82-B36C-4893-B4B6-8FFDDE363B01}" name="T12.2021" dataDxfId="221" dataCellStyle="Normal 2"/>
    <tableColumn id="16" xr3:uid="{71778AF8-2EA4-4245-9CC0-628F85D0490F}" name="T1.2022" dataDxfId="220" dataCellStyle="Normal 2"/>
    <tableColumn id="17" xr3:uid="{A6B3ED9B-24F2-46E2-B5D0-7D4AB7D57FA3}" name="T02.2022" dataDxfId="219" dataCellStyle="Normal 2"/>
    <tableColumn id="18" xr3:uid="{B0AB81B5-2D64-4090-8912-9F0587FA660E}" name="T03.2022" dataDxfId="218" dataCellStyle="Normal 2"/>
    <tableColumn id="19" xr3:uid="{DCB3C9C2-A1F7-4083-A521-98D337BD3DD6}" name="T04.2022" dataDxfId="217" dataCellStyle="Normal 2"/>
    <tableColumn id="20" xr3:uid="{E8386E23-D17F-421B-B623-F6A0DB69BCA9}" name="T05.2022" dataDxfId="216" dataCellStyle="Normal 2"/>
    <tableColumn id="21" xr3:uid="{985EDD12-BC26-4D4B-BAD8-5073B9C2146D}" name="T06.2022" dataDxfId="215" dataCellStyle="Normal 2"/>
    <tableColumn id="22" xr3:uid="{AAC7B673-6FA2-49B2-8DF4-1FB1D597CC73}" name="T07.2022" dataDxfId="214" dataCellStyle="Normal 2"/>
    <tableColumn id="23" xr3:uid="{4A0DBD10-E230-4DEB-AC7F-A09C88752940}" name="T08.2022" dataDxfId="213" dataCellStyle="Normal 2"/>
    <tableColumn id="24" xr3:uid="{04B410D7-849D-43A1-AF56-1CE384034DC7}" name="T09.2022" dataDxfId="212" dataCellStyle="Normal 2"/>
    <tableColumn id="25" xr3:uid="{50511BF5-FA11-4ED0-92FA-E09F7FBAD0A7}" name="T10.2022" dataDxfId="211" dataCellStyle="Normal 2"/>
    <tableColumn id="26" xr3:uid="{C10D6AAC-61D9-4F62-B621-558B05B2C212}" name="T11.2022" dataDxfId="210" dataCellStyle="Normal 2"/>
    <tableColumn id="27" xr3:uid="{B2BB4008-48F1-4F9E-885A-6A425EC18EC6}" name="T12.2022" dataDxfId="209" dataCellStyle="Normal 2"/>
    <tableColumn id="28" xr3:uid="{E1BB6770-E0DD-4955-8FB9-98425C373754}" name="T1.2023" dataDxfId="208" dataCellStyle="Normal 2"/>
    <tableColumn id="29" xr3:uid="{179AB70A-2DF8-49B7-B3EE-E7B1F7114266}" name="T02.2023" dataDxfId="207" dataCellStyle="Normal 2"/>
    <tableColumn id="30" xr3:uid="{FAEC944D-DEBB-451C-91A2-9F1CC09FBC16}" name="T03.2023" dataDxfId="206" dataCellStyle="Normal 2"/>
    <tableColumn id="31" xr3:uid="{138A8B5D-49B3-4065-92C4-951733FC55F8}" name="T04.2023" dataDxfId="205" dataCellStyle="Normal 2"/>
    <tableColumn id="32" xr3:uid="{6D6BC989-9DFC-4EE3-BBEE-19F14B7CD81A}" name="T05.2023" dataDxfId="204" dataCellStyle="Normal 2"/>
    <tableColumn id="33" xr3:uid="{F9A8FE50-45DB-46F3-9E89-B11A577FF6DC}" name="T06.2023" dataDxfId="203" dataCellStyle="Normal 2"/>
    <tableColumn id="34" xr3:uid="{507ABD84-3DE8-44F4-A0BD-197C7DF15030}" name="T07.2023" dataDxfId="202" dataCellStyle="Normal 2"/>
    <tableColumn id="35" xr3:uid="{6364D778-F090-4C6B-8B99-170ABD65412C}" name="T08.2023" dataDxfId="201" dataCellStyle="Normal 2"/>
    <tableColumn id="36" xr3:uid="{82205527-3735-4B7C-8889-BF7E136C37DA}" name="T09.2023" dataDxfId="200" dataCellStyle="Normal 2"/>
    <tableColumn id="37" xr3:uid="{79662330-48BE-4AB8-95C8-35923EFC2EDB}" name="T10.2023" dataDxfId="199" dataCellStyle="Normal 2"/>
    <tableColumn id="38" xr3:uid="{04418C41-56A3-4EE8-8E58-152B1CBE363E}" name="T11.2023" dataDxfId="198" dataCellStyle="Normal 2"/>
    <tableColumn id="39" xr3:uid="{BE2EF19D-A2E1-4BDB-820A-88F27A9C7C45}" name="T12.2023" dataDxfId="197" dataCellStyle="Normal 2"/>
    <tableColumn id="40" xr3:uid="{4F60F36D-727C-4BBF-A576-7EB54EF2A58B}" name="T01.2024" dataDxfId="196" dataCellStyle="Normal 2"/>
    <tableColumn id="41" xr3:uid="{CB0FFFCA-B09C-4388-ADF6-ADC1E0E1A31A}" name="T02.2024" dataDxfId="195" dataCellStyle="Normal 2"/>
    <tableColumn id="42" xr3:uid="{215BF7E2-C6C0-490C-8035-FE411D279F46}" name="T03.2024" dataDxfId="194" dataCellStyle="Normal 2"/>
    <tableColumn id="43" xr3:uid="{2B0E66D4-3459-4508-8AA2-BDA43F3129D9}" name="T04.2024" dataDxfId="193" dataCellStyle="Normal 2"/>
    <tableColumn id="44" xr3:uid="{9A1DD862-DA93-4E6B-B529-A6B53349C37B}" name="T05.2024" dataDxfId="192" dataCellStyle="Normal 2"/>
    <tableColumn id="45" xr3:uid="{0CB9E258-8162-46D3-84F4-3D5ABD6EACE3}" name="T06.2024" dataDxfId="191" dataCellStyle="Normal 2"/>
    <tableColumn id="46" xr3:uid="{E1BE263B-B214-48F2-B1E0-BEF034B14EE5}" name="T07.2024" dataDxfId="190" dataCellStyle="Normal 2"/>
    <tableColumn id="47" xr3:uid="{C692BC09-A5A7-4F8C-8808-85606F0CCE20}" name="T08.2024" dataDxfId="189" dataCellStyle="Normal 2"/>
    <tableColumn id="48" xr3:uid="{A48865DA-41A1-41A2-B2F0-CF1004329CAC}" name="T09.2024" dataDxfId="188" dataCellStyle="Normal 2"/>
    <tableColumn id="49" xr3:uid="{EAC1CD4E-D1FC-413B-A66B-4C314A36265B}" name="T10.2024" dataDxfId="187" dataCellStyle="Normal 2"/>
    <tableColumn id="50" xr3:uid="{CA553365-D88E-40D2-AF86-ACEDBC8771C0}" name="T11.2024" dataDxfId="186" dataCellStyle="Normal 2"/>
    <tableColumn id="51" xr3:uid="{34367242-41FC-415A-ADDB-B0694CABF19A}" name="T12.2024" dataDxfId="185" dataCellStyle="Normal 2"/>
    <tableColumn id="52" xr3:uid="{C18FAD02-6F94-4D4C-A965-EEF454294A65}" name="T01.2025" dataDxfId="184" dataCellStyle="Normal 2"/>
    <tableColumn id="53" xr3:uid="{E2F7B803-84C1-46A3-9F34-186C4E96C10E}" name="T02.2025" dataDxfId="183" dataCellStyle="Normal 2"/>
    <tableColumn id="54" xr3:uid="{52B3202F-D5CB-4E5C-B74F-3DD0D7BCCB99}" name="T03.2025" dataDxfId="182" dataCellStyle="Normal 2"/>
    <tableColumn id="55" xr3:uid="{919B2868-E78D-4229-A429-BD6D6A48BE64}" name="T04.2025" dataDxfId="181" dataCellStyle="Normal 2"/>
    <tableColumn id="56" xr3:uid="{DAA084EE-88D6-4AEA-8AE2-621041ADFFB3}" name="T05.2025" dataDxfId="180" dataCellStyle="Normal 2"/>
    <tableColumn id="57" xr3:uid="{3455FDB7-A081-4AF3-9606-20130D43C0BF}" name="T06.2025" dataDxfId="179" dataCellStyle="Normal 2"/>
    <tableColumn id="58" xr3:uid="{C93F07C4-911E-4811-BA56-3A770AFE6F5A}" name="T07.2025" dataDxfId="178" dataCellStyle="Normal 2"/>
    <tableColumn id="59" xr3:uid="{2A1C5016-E1B1-4EF1-AE25-98187B2A7055}" name="T08.2025" dataDxfId="177" dataCellStyle="Normal 2"/>
    <tableColumn id="60" xr3:uid="{1FB114F5-ACE8-4379-88F2-1F287BF281CB}" name="T09.2025" dataDxfId="176" dataCellStyle="Normal 2"/>
    <tableColumn id="61" xr3:uid="{72068B1E-377A-4F41-BA1A-5CE9B9A0C872}" name="T10.2025" dataDxfId="175" dataCellStyle="Normal 2"/>
    <tableColumn id="62" xr3:uid="{FE2ADD2C-091C-467F-95BB-642DC6602AD6}" name="T11.2025" dataDxfId="174" dataCellStyle="Normal 2"/>
    <tableColumn id="63" xr3:uid="{D2D46047-1F75-4F75-A3CA-AE33276DCA2E}" name="T12.2025" dataDxfId="173" dataCellStyle="Normal 2"/>
    <tableColumn id="64" xr3:uid="{1FAC4D1F-5B30-4224-AE25-8474A644787E}" name="T01.2026" dataDxfId="172" dataCellStyle="Normal 2"/>
    <tableColumn id="65" xr3:uid="{E35FB438-9FD4-4741-B2BD-228E47BEB261}" name="T02.2026" dataDxfId="171" dataCellStyle="Normal 2"/>
    <tableColumn id="66" xr3:uid="{D4D0B6DF-10AC-43CC-9DD6-0D2378CB241C}" name="T03.2026" dataDxfId="170" dataCellStyle="Normal 2"/>
    <tableColumn id="67" xr3:uid="{D2C2605D-7E7E-4191-BC9B-07C176F6DA49}" name="T04.2026" dataDxfId="169" dataCellStyle="Normal 2"/>
    <tableColumn id="68" xr3:uid="{051AB179-6AC6-44F4-9B97-1E2C31FBAE10}" name="T05.2026" dataDxfId="168" dataCellStyle="Normal 2"/>
    <tableColumn id="69" xr3:uid="{72D2BF5D-B7B1-4951-B73C-E9E375789F9D}" name="T06.2026" dataDxfId="167" dataCellStyle="Normal 2"/>
    <tableColumn id="70" xr3:uid="{EDD1E68C-48FA-4730-B542-E82991688943}" name="T07.2026" dataDxfId="166" dataCellStyle="Normal 2"/>
    <tableColumn id="71" xr3:uid="{33A4A1AC-F1C7-4624-9218-89AC2767000F}" name="T08.2026" dataDxfId="165" dataCellStyle="Normal 2"/>
    <tableColumn id="72" xr3:uid="{E4E7FD63-419E-4A90-8298-7917164EBBF8}" name="T09.2026" dataDxfId="164" dataCellStyle="Normal 2"/>
    <tableColumn id="73" xr3:uid="{33788D51-B216-474C-9DFB-951DCCB9CE13}" name="T10.2026" dataDxfId="163" dataCellStyle="Normal 2"/>
    <tableColumn id="74" xr3:uid="{5670A762-2C4C-41F5-9661-8FB3C3A68749}" name="T11.2026" dataDxfId="162" dataCellStyle="Normal 2"/>
    <tableColumn id="75" xr3:uid="{8ED678DB-F781-4B94-B5E5-73E7C8D6A1D4}" name="T12.2026" dataDxfId="161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30F10-FA6E-4E5E-9899-AE7D4B276917}" name="Data_CF" displayName="Data_CF" ref="A3:BW44" totalsRowShown="0" headerRowDxfId="393" dataDxfId="392" tableBorderDxfId="391" headerRowCellStyle="Normal 2" dataCellStyle="Comma 5">
  <tableColumns count="75">
    <tableColumn id="1" xr3:uid="{152180A5-269C-43F0-AB5F-937D55FE030B}" name="Index CF" dataDxfId="390" dataCellStyle="Normal 2"/>
    <tableColumn id="2" xr3:uid="{B9900D71-8816-4CD1-B30C-B8648A9B68BE}" name="PHẦN III- LƯU CHUYỂN TIỀN TỆ" dataDxfId="389" dataCellStyle="Normal 2"/>
    <tableColumn id="3" xr3:uid="{0A071564-AACE-492C-9C0B-72662CD45432}" name="TenCongTyID" dataDxfId="388" dataCellStyle="Comma 5"/>
    <tableColumn id="4" xr3:uid="{0C5D3483-AC50-4B5F-8327-08E4015998BB}" name="T1.2021" dataDxfId="387" dataCellStyle="Comma 5"/>
    <tableColumn id="5" xr3:uid="{3B8A8914-E34B-400F-9FB9-D5A4BA7621E4}" name="T02.2021" dataDxfId="386" dataCellStyle="Comma 5"/>
    <tableColumn id="6" xr3:uid="{EA9C6C6D-CCC0-4D28-9E02-25E9A915D510}" name="T03.2021" dataDxfId="385" dataCellStyle="Comma 5"/>
    <tableColumn id="7" xr3:uid="{F0C96CF6-D340-4B05-B1EA-5614D995EE8D}" name="T04.2021" dataDxfId="384" dataCellStyle="Comma 5"/>
    <tableColumn id="8" xr3:uid="{C64AB6BB-B68F-41EC-8DA5-3DC4E18BA1BA}" name="T05.2021" dataDxfId="383" dataCellStyle="Comma 5"/>
    <tableColumn id="9" xr3:uid="{46D218E3-9144-45A5-AAF0-078C5EB49042}" name="T06.2021" dataDxfId="382" dataCellStyle="Comma 5"/>
    <tableColumn id="10" xr3:uid="{F3C50D00-6991-45A5-9F62-0256E999CFAB}" name="T07.2021" dataDxfId="381" dataCellStyle="Comma 5"/>
    <tableColumn id="11" xr3:uid="{71F6B9D4-850E-411B-8597-E30690302D8D}" name="T08.2021" dataDxfId="380" dataCellStyle="Comma 5"/>
    <tableColumn id="12" xr3:uid="{F6FDF97B-3CE8-4BCA-A9DE-EB9EBF72D8C7}" name="T09.2021" dataDxfId="379" dataCellStyle="Comma 5"/>
    <tableColumn id="13" xr3:uid="{174B5B8B-7900-436C-BAB1-E90BFE172B8B}" name="T10.2021" dataDxfId="378" dataCellStyle="Comma 5"/>
    <tableColumn id="14" xr3:uid="{F8D09DBE-102D-4078-A2A4-D33A669849B5}" name="T11.2021" dataDxfId="377" dataCellStyle="Comma 5"/>
    <tableColumn id="15" xr3:uid="{5CEFA0D4-141C-41FF-8DAF-2B01CB26E4A7}" name="T12.2021" dataDxfId="376" dataCellStyle="Comma 5"/>
    <tableColumn id="16" xr3:uid="{AE42F600-1914-465B-93C2-9B862A13E503}" name="T1.2022" dataDxfId="375" dataCellStyle="Comma 5"/>
    <tableColumn id="17" xr3:uid="{D8F8C661-D775-415E-992A-DF74A906A68B}" name="T02.2022" dataDxfId="374" dataCellStyle="Comma 5"/>
    <tableColumn id="18" xr3:uid="{D2D71E9C-36AB-4E17-94AF-9AEB059C9DC3}" name="T03.2022" dataDxfId="373" dataCellStyle="Comma 5"/>
    <tableColumn id="19" xr3:uid="{8BCB8C12-F5F2-4EA9-8762-D39F291CBD5A}" name="T04.2022" dataDxfId="372" dataCellStyle="Comma 5"/>
    <tableColumn id="20" xr3:uid="{33F46276-1831-439E-8E26-6397CDC37645}" name="T05.2022" dataDxfId="371" dataCellStyle="Comma 5"/>
    <tableColumn id="21" xr3:uid="{9E5F32D7-B9DC-47D6-AE8A-418BED817594}" name="T06.2022" dataDxfId="370" dataCellStyle="Comma 5"/>
    <tableColumn id="22" xr3:uid="{AFB80707-25B3-4A71-93BB-391CF79176CE}" name="T07.2022" dataDxfId="369" dataCellStyle="Comma 5"/>
    <tableColumn id="23" xr3:uid="{8D91B10A-8F00-41FA-9A57-4F6DC73F9301}" name="T08.2022" dataDxfId="368" dataCellStyle="Comma 5"/>
    <tableColumn id="24" xr3:uid="{22EFC852-E149-4881-9E59-77501F8F7B1F}" name="T09.2022" dataDxfId="367" dataCellStyle="Comma 5"/>
    <tableColumn id="25" xr3:uid="{249B8860-F878-48D1-8598-49C6F436D639}" name="T10.2022" dataDxfId="366" dataCellStyle="Comma 5"/>
    <tableColumn id="26" xr3:uid="{23DBE4E9-1626-485A-A3FC-84B683AF304F}" name="T11.2022" dataDxfId="365" dataCellStyle="Comma 5"/>
    <tableColumn id="27" xr3:uid="{503AF48F-25D2-4602-90DE-74A11B16B882}" name="T12.2022" dataDxfId="364" dataCellStyle="Comma 5"/>
    <tableColumn id="28" xr3:uid="{0F03A32D-7568-4A7D-AA0F-49E8FEFF300A}" name="T1.2023" dataDxfId="363" dataCellStyle="Comma 5"/>
    <tableColumn id="29" xr3:uid="{14D954B6-C998-45B3-8417-7E7CD73C004A}" name="T02.2023" dataDxfId="362" dataCellStyle="Comma 5"/>
    <tableColumn id="30" xr3:uid="{493997C7-9163-4CC9-A252-AFE28F74CFF4}" name="T03.2023" dataDxfId="361" dataCellStyle="Comma 5"/>
    <tableColumn id="31" xr3:uid="{ADF86CDE-FB8F-4A66-8C9E-BD80ECD95BA2}" name="T04.2023" dataDxfId="360" dataCellStyle="Comma 5"/>
    <tableColumn id="32" xr3:uid="{79CBF5B9-8AA9-435F-8FDE-FA9583164563}" name="T05.2023" dataDxfId="359" dataCellStyle="Comma 5"/>
    <tableColumn id="33" xr3:uid="{6D875C50-4AC3-4F5F-8D29-CEB53D61589C}" name="T06.2023" dataDxfId="358" dataCellStyle="Comma 5"/>
    <tableColumn id="34" xr3:uid="{656B75F9-D614-4A85-A80D-69072299F7B5}" name="T07.2023" dataDxfId="357" dataCellStyle="Comma 5"/>
    <tableColumn id="35" xr3:uid="{7BD2381C-5433-4794-99E5-F0A67B22CB3E}" name="T08.2023" dataDxfId="356" dataCellStyle="Comma 5"/>
    <tableColumn id="36" xr3:uid="{C3D96681-83F3-4363-AE1D-7413F9A65C33}" name="T09.2023" dataDxfId="355" dataCellStyle="Comma 5"/>
    <tableColumn id="37" xr3:uid="{F9F840E7-F666-4656-B9F5-E49BC4991073}" name="T10.2023" dataDxfId="354" dataCellStyle="Comma 5"/>
    <tableColumn id="38" xr3:uid="{35A43D1B-F373-4C31-8B5C-B0614643AE15}" name="T11.2023" dataDxfId="353" dataCellStyle="Comma 5"/>
    <tableColumn id="39" xr3:uid="{8FDC1DD5-335D-4856-8134-A58CD04D6643}" name="T12.2023" dataDxfId="352" dataCellStyle="Comma 5"/>
    <tableColumn id="40" xr3:uid="{69165328-F1FF-4520-B8CB-A29948440BED}" name="T01.2024" dataDxfId="351" dataCellStyle="Comma 5"/>
    <tableColumn id="41" xr3:uid="{171F3FE9-9D74-4E45-97A6-7EA9AD537618}" name="T02.2024" dataDxfId="350" dataCellStyle="Comma 5"/>
    <tableColumn id="42" xr3:uid="{F6EC0B1B-AC89-49E8-8B03-614E5CED5A28}" name="T03.2024" dataDxfId="349" dataCellStyle="Comma 5"/>
    <tableColumn id="43" xr3:uid="{4937F194-A031-424F-AFDF-0BCD61DF3205}" name="T04.2024" dataDxfId="348" dataCellStyle="Comma 5"/>
    <tableColumn id="44" xr3:uid="{256E694A-92F1-4956-9145-AA10FA2AC51A}" name="T05.2024" dataDxfId="347" dataCellStyle="Comma 5"/>
    <tableColumn id="45" xr3:uid="{986EEEE0-D32B-46F7-B386-C5741DBDB62A}" name="T06.2024" dataDxfId="346" dataCellStyle="Comma 5"/>
    <tableColumn id="46" xr3:uid="{C5D74BBB-C383-4BC8-B092-BE37E9CC9B9B}" name="T07.2024" dataDxfId="345" dataCellStyle="Comma 5"/>
    <tableColumn id="47" xr3:uid="{56A6D2C1-7CB6-4317-9AD1-8A0A87F834A9}" name="T08.2024" dataDxfId="344" dataCellStyle="Comma 5"/>
    <tableColumn id="48" xr3:uid="{A96ADE5F-F8E4-4389-84FD-CC34668C61C7}" name="T09.2024" dataDxfId="343" dataCellStyle="Comma 5"/>
    <tableColumn id="49" xr3:uid="{78EC4C08-57B2-4CC5-B4E0-F6D5914C177A}" name="T10.2024" dataDxfId="342" dataCellStyle="Comma 5"/>
    <tableColumn id="50" xr3:uid="{0956F0CF-A46A-45A6-A350-A6BCD27DAEEB}" name="T11.2024" dataDxfId="341" dataCellStyle="Comma 5"/>
    <tableColumn id="51" xr3:uid="{AB5C20AC-1F8D-4F81-B8DF-2BBEDA90B131}" name="T12.2024" dataDxfId="340" dataCellStyle="Comma 5"/>
    <tableColumn id="52" xr3:uid="{937E2652-A06F-4E72-8886-C1595A906469}" name="T01.2025" dataDxfId="339" dataCellStyle="Comma 5"/>
    <tableColumn id="53" xr3:uid="{909CF940-8FA1-4749-92E9-EFB71B3ECF5B}" name="T02.2025" dataDxfId="338" dataCellStyle="Comma 5"/>
    <tableColumn id="54" xr3:uid="{BE5F20D9-03EA-4235-96C4-5A19DDF78D22}" name="T03.2025" dataDxfId="337" dataCellStyle="Comma 5"/>
    <tableColumn id="55" xr3:uid="{CA2D42D1-C01B-44CB-9704-330A382B588E}" name="T04.2025" dataDxfId="336" dataCellStyle="Comma 5"/>
    <tableColumn id="56" xr3:uid="{7327A4F8-6904-4CA3-826C-AADEEDD2E052}" name="T05.2025" dataDxfId="335" dataCellStyle="Comma 5"/>
    <tableColumn id="57" xr3:uid="{B2AFDC75-A23B-4B46-815F-383787BBBEC3}" name="T06.2025" dataDxfId="334" dataCellStyle="Comma 5"/>
    <tableColumn id="58" xr3:uid="{C22467E8-1C11-474E-AF0B-AB11A5ADCFCE}" name="T07.2025" dataDxfId="333" dataCellStyle="Comma 5"/>
    <tableColumn id="59" xr3:uid="{D4053331-DF05-4398-8007-A9EA6ABC1C61}" name="T08.2025" dataDxfId="332" dataCellStyle="Comma 5"/>
    <tableColumn id="60" xr3:uid="{0A680FEE-BE77-467E-83CB-D5EA8942B331}" name="T09.2025" dataDxfId="331" dataCellStyle="Comma 5"/>
    <tableColumn id="61" xr3:uid="{51A83FB5-1CBF-49E2-9957-F2664689B47B}" name="T10.2025" dataDxfId="330" dataCellStyle="Comma 5"/>
    <tableColumn id="62" xr3:uid="{BDFCC9FF-2597-442F-9AFC-833624B9397C}" name="T11.2025" dataDxfId="329" dataCellStyle="Comma 5"/>
    <tableColumn id="63" xr3:uid="{3BE05993-10AC-40A6-84E0-A099FC690490}" name="T12.2025" dataDxfId="328" dataCellStyle="Comma 5"/>
    <tableColumn id="64" xr3:uid="{3A43C573-629E-49B1-A54D-E9000337ABA5}" name="T01.2026" dataDxfId="327" dataCellStyle="Comma 5"/>
    <tableColumn id="65" xr3:uid="{ADC718CF-3B15-4539-B671-7E7E944B734D}" name="T02.2026" dataDxfId="326" dataCellStyle="Comma 5"/>
    <tableColumn id="66" xr3:uid="{1D1E1BBA-3A28-4E5E-AB00-E438C360C7CD}" name="T03.2026" dataDxfId="325" dataCellStyle="Comma 5"/>
    <tableColumn id="67" xr3:uid="{58FC35D6-C45A-4ADB-A7E6-CB85F469BFEF}" name="T04.2026" dataDxfId="324" dataCellStyle="Comma 5"/>
    <tableColumn id="68" xr3:uid="{257A9100-041C-4D6E-BFDB-3EE3356C1FCF}" name="T05.2026" dataDxfId="323" dataCellStyle="Comma 5"/>
    <tableColumn id="69" xr3:uid="{1320AA19-1E85-40B5-A9E2-D51B22FDC87A}" name="T06.2026" dataDxfId="322" dataCellStyle="Comma 5"/>
    <tableColumn id="70" xr3:uid="{1E4EF4FE-590A-45AB-8DD7-28417FD39D95}" name="T07.2026" dataDxfId="321" dataCellStyle="Comma 5"/>
    <tableColumn id="71" xr3:uid="{4ED0DFAF-4BF7-44F2-9828-25283340B371}" name="T08.2026" dataDxfId="320" dataCellStyle="Comma 5"/>
    <tableColumn id="72" xr3:uid="{0059A639-6B65-4F1A-BBE4-91457946CF92}" name="T09.2026" dataDxfId="319" dataCellStyle="Comma 5"/>
    <tableColumn id="73" xr3:uid="{119FB850-9575-47C4-B4FA-84297DB317E6}" name="T10.2026" dataDxfId="318" dataCellStyle="Comma 5"/>
    <tableColumn id="74" xr3:uid="{D7ADFCDF-6545-450F-8A8E-F0E4F6C619C0}" name="T11.2026" dataDxfId="317" dataCellStyle="Comma 5"/>
    <tableColumn id="75" xr3:uid="{529E0E60-8580-44B8-B98D-BC2F70811F23}" name="T12.2026" dataDxfId="316" dataCellStyle="Comma 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12149-5C68-4A2C-BC02-28142F6A1EA2}" name="Data_PL_Element" displayName="Data_PL_Element" ref="A3:BW57" totalsRowShown="0" headerRowDxfId="160" dataDxfId="158" headerRowBorderDxfId="159" tableBorderDxfId="157" totalsRowBorderDxfId="156" headerRowCellStyle="Normal 2">
  <tableColumns count="75">
    <tableColumn id="1" xr3:uid="{8ED1312E-28D0-44D9-9265-6A054720DC57}" name="Index PL Element" dataDxfId="155"/>
    <tableColumn id="2" xr3:uid="{1AF09CB1-EAC2-4B8D-83FB-AD75E89AE8C5}" name="PHẦN IV: CHI PHÍ THEO YẾU TỐ" dataDxfId="154"/>
    <tableColumn id="3" xr3:uid="{795D1CCB-1330-4CEB-81A4-4A1DAB914EB9}" name="TenCongTyID" dataDxfId="153" dataCellStyle="Normal 2"/>
    <tableColumn id="4" xr3:uid="{236D2B58-578E-49BD-8C52-F598D00E6967}" name="T1.2021" dataDxfId="152" dataCellStyle="Normal 2"/>
    <tableColumn id="5" xr3:uid="{51AD6431-12E3-4C60-994B-2CF44E4D7E3A}" name="T02.2021" dataDxfId="151" dataCellStyle="Normal 2"/>
    <tableColumn id="6" xr3:uid="{C6F44C41-AA1E-48F6-B189-89624ACF1A82}" name="T03.2021" dataDxfId="150" dataCellStyle="Normal 2"/>
    <tableColumn id="7" xr3:uid="{3E102F70-F559-4877-8A11-70C46A24EDDF}" name="T04.2021" dataDxfId="149" dataCellStyle="Normal 2"/>
    <tableColumn id="8" xr3:uid="{9170F1CE-1A33-412C-A4B8-95CE38EC1E2C}" name="T05.2021" dataDxfId="148" dataCellStyle="Normal 2"/>
    <tableColumn id="9" xr3:uid="{80254BE4-B020-4872-93CD-DB594BA10386}" name="T06.2021" dataDxfId="147" dataCellStyle="Normal 2"/>
    <tableColumn id="10" xr3:uid="{4A546E8E-3D48-4623-8F0A-0BC8E3C86442}" name="T07.2021" dataDxfId="146" dataCellStyle="Normal 2"/>
    <tableColumn id="11" xr3:uid="{3B49014A-DE57-4649-8667-47482E1EF2E0}" name="T08.2021" dataDxfId="145" dataCellStyle="Normal 2"/>
    <tableColumn id="12" xr3:uid="{54F86B13-95E8-49A3-9F98-9BB809EC85AA}" name="T09.2021" dataDxfId="144" dataCellStyle="Normal 2"/>
    <tableColumn id="13" xr3:uid="{9222B05A-B1CF-465D-AB9A-615533EF9100}" name="T10.2021" dataDxfId="143" dataCellStyle="Normal 2"/>
    <tableColumn id="14" xr3:uid="{DB7F9196-08E4-4A0E-A5B9-0FF6DEA1E6F9}" name="T11.2021" dataDxfId="142" dataCellStyle="Normal 2"/>
    <tableColumn id="15" xr3:uid="{9A9D5157-3FB7-4CBD-91FC-619875C05F68}" name="T12.2021" dataDxfId="141" dataCellStyle="Normal 2"/>
    <tableColumn id="16" xr3:uid="{FF9EE199-98F5-48C8-9EFE-FEB417EF82A2}" name="T1.2022" dataDxfId="140" dataCellStyle="Normal 2"/>
    <tableColumn id="17" xr3:uid="{18948D08-4975-4F5F-9892-6759DE683D41}" name="T02.2022" dataDxfId="139" dataCellStyle="Normal 2"/>
    <tableColumn id="18" xr3:uid="{CCE5E67D-DA38-400A-A463-781746163AB2}" name="T03.2022" dataDxfId="138" dataCellStyle="Normal 2"/>
    <tableColumn id="19" xr3:uid="{82B89AD8-5318-4AF1-88BB-4596E1F0C0A4}" name="T04.2022" dataDxfId="137" dataCellStyle="Normal 2"/>
    <tableColumn id="20" xr3:uid="{EEFC73F8-8D27-4FCD-82E0-491E0E9F8158}" name="T05.2022" dataDxfId="136" dataCellStyle="Normal 2"/>
    <tableColumn id="21" xr3:uid="{B6667A10-873E-44AA-8556-689F083F23D9}" name="T06.2022" dataDxfId="135" dataCellStyle="Normal 2"/>
    <tableColumn id="22" xr3:uid="{528A60D2-744D-4CAF-A2FA-889338777B08}" name="T07.2022" dataDxfId="134" dataCellStyle="Normal 2"/>
    <tableColumn id="23" xr3:uid="{F01B702E-E727-41CE-88DF-841FFD73A5FD}" name="T08.2022" dataDxfId="133" dataCellStyle="Normal 2"/>
    <tableColumn id="24" xr3:uid="{6AD3E0C4-E66D-4FF7-AA55-277441E0899F}" name="T09.2022" dataDxfId="132" dataCellStyle="Normal 2"/>
    <tableColumn id="25" xr3:uid="{B5312EF5-5862-4897-A5C4-B2DC02C5FD80}" name="T10.2022" dataDxfId="131" dataCellStyle="Normal 2"/>
    <tableColumn id="26" xr3:uid="{AA02A3BD-69CC-49E1-9200-A5A4D566F681}" name="T11.2022" dataDxfId="130" dataCellStyle="Normal 2"/>
    <tableColumn id="27" xr3:uid="{F6E48C4B-943C-4855-9C73-54F899CE9383}" name="T12.2022" dataDxfId="129" dataCellStyle="Normal 2"/>
    <tableColumn id="28" xr3:uid="{96C05F34-DB2B-4AF7-AB67-F7F91182C94E}" name="T1.2023" dataDxfId="128" dataCellStyle="Normal 2"/>
    <tableColumn id="29" xr3:uid="{004CD040-3033-46AF-A94C-109617E2A3D4}" name="T02.2023" dataDxfId="127" dataCellStyle="Normal 2"/>
    <tableColumn id="30" xr3:uid="{81FCF645-F06B-4CC6-88B5-F4E2F77EA10A}" name="T03.2023" dataDxfId="126" dataCellStyle="Normal 2"/>
    <tableColumn id="31" xr3:uid="{4E888D90-CA05-4E77-9FB8-7246733AAD2F}" name="T04.2023" dataDxfId="125" dataCellStyle="Normal 2"/>
    <tableColumn id="32" xr3:uid="{79C5A840-62C9-489F-8999-BE9DA68B490D}" name="T05.2023" dataDxfId="124" dataCellStyle="Normal 2"/>
    <tableColumn id="33" xr3:uid="{4660253B-C7AE-450A-B162-53E218C74F84}" name="T06.2023" dataDxfId="123" dataCellStyle="Normal 2"/>
    <tableColumn id="34" xr3:uid="{C50D7FA4-A715-4AC4-887D-87E4BE168B73}" name="T07.2023" dataDxfId="122" dataCellStyle="Normal 2"/>
    <tableColumn id="35" xr3:uid="{E0D362B8-9B03-4892-ACF1-164678F4A671}" name="T08.2023" dataDxfId="121" dataCellStyle="Normal 2"/>
    <tableColumn id="36" xr3:uid="{764FC098-3E3A-4F30-8BC5-A42C88989501}" name="T09.2023" dataDxfId="120" dataCellStyle="Normal 2"/>
    <tableColumn id="37" xr3:uid="{2B1ADF2C-9372-43EC-8606-6704A47579AB}" name="T10.2023" dataDxfId="119" dataCellStyle="Normal 2"/>
    <tableColumn id="38" xr3:uid="{7A213BAA-6344-4CEA-A130-03043EAE5D30}" name="T11.2023" dataDxfId="118" dataCellStyle="Normal 2"/>
    <tableColumn id="39" xr3:uid="{1A0BD67A-94B3-4E0C-B630-3D85724B5CFD}" name="T12.2023" dataDxfId="117" dataCellStyle="Normal 2"/>
    <tableColumn id="40" xr3:uid="{45795683-2FD9-40D9-BBAE-A51FC69BB248}" name="T01.2024" dataDxfId="116" dataCellStyle="Normal 2"/>
    <tableColumn id="41" xr3:uid="{1DA49AC5-4C82-462F-A99A-54082AADF6DB}" name="T02.2024" dataDxfId="115" dataCellStyle="Normal 2"/>
    <tableColumn id="42" xr3:uid="{C51C0378-CE9F-48CA-ADAE-4CA377F2D7BB}" name="T03.2024" dataDxfId="114" dataCellStyle="Normal 2"/>
    <tableColumn id="43" xr3:uid="{EDEFBDF9-C973-4653-B8B1-0EF9C88AC210}" name="T04.2024" dataDxfId="113" dataCellStyle="Normal 2"/>
    <tableColumn id="44" xr3:uid="{E7FF94A3-CBF2-4201-A94B-D98EBCB235EE}" name="T05.2024" dataDxfId="112" dataCellStyle="Normal 2"/>
    <tableColumn id="45" xr3:uid="{C5B35C9C-178A-4FE8-B878-B5A0D815B3DA}" name="T06.2024" dataDxfId="111" dataCellStyle="Normal 2"/>
    <tableColumn id="46" xr3:uid="{9C91D370-ED80-434C-913A-D73DAA760D0A}" name="T07.2024" dataDxfId="110" dataCellStyle="Normal 2"/>
    <tableColumn id="47" xr3:uid="{8EEEBD78-3511-4F39-B868-6992906B0639}" name="T08.2024" dataDxfId="109" dataCellStyle="Normal 2"/>
    <tableColumn id="48" xr3:uid="{927BE811-D4C3-477C-9314-56B4A6C742FA}" name="T09.2024" dataDxfId="108" dataCellStyle="Normal 2"/>
    <tableColumn id="49" xr3:uid="{CD5E05AE-80CF-43ED-A85A-C2E8C96E6DF1}" name="T10.2024" dataDxfId="107" dataCellStyle="Normal 2"/>
    <tableColumn id="50" xr3:uid="{C439DC2D-5E71-48A0-8466-E2ACB501B057}" name="T11.2024" dataDxfId="106" dataCellStyle="Normal 2"/>
    <tableColumn id="51" xr3:uid="{45CCC44D-9B92-46A6-97CA-BDEB69B5A954}" name="T12.2024" dataDxfId="105" dataCellStyle="Normal 2"/>
    <tableColumn id="52" xr3:uid="{50B7E4F0-861A-4317-8683-16F1D8461FE2}" name="T01.2025" dataDxfId="104" dataCellStyle="Normal 2"/>
    <tableColumn id="53" xr3:uid="{07783411-3239-4C2F-9FDC-6C5997A30019}" name="T02.2025" dataDxfId="103" dataCellStyle="Normal 2"/>
    <tableColumn id="54" xr3:uid="{5522B82A-3CC2-4CB5-A76E-650CA80D6AC9}" name="T03.2025" dataDxfId="102" dataCellStyle="Normal 2"/>
    <tableColumn id="55" xr3:uid="{C639BDB7-1FD2-416D-8AC1-9B0AC4384681}" name="T04.2025" dataDxfId="101" dataCellStyle="Normal 2"/>
    <tableColumn id="56" xr3:uid="{38BF1E87-63E1-4671-8942-B8274482A7B2}" name="T05.2025" dataDxfId="100" dataCellStyle="Normal 2"/>
    <tableColumn id="57" xr3:uid="{B3752A11-52AC-4FD9-90E7-F3F8E441807E}" name="T06.2025" dataDxfId="99" dataCellStyle="Normal 2"/>
    <tableColumn id="58" xr3:uid="{A1870A5F-38B7-473A-8905-C7FFB6F4F414}" name="T07.2025" dataDxfId="98" dataCellStyle="Normal 2"/>
    <tableColumn id="59" xr3:uid="{BDE520B9-F587-467C-9D19-95C0483BB5BD}" name="T08.2025" dataDxfId="97" dataCellStyle="Normal 2"/>
    <tableColumn id="60" xr3:uid="{7F09AFF6-5199-4611-8C7B-59FAB6CC0CB9}" name="T09.2025" dataDxfId="96" dataCellStyle="Normal 2"/>
    <tableColumn id="61" xr3:uid="{CAD79E9B-CDF8-4437-82E1-383048F30186}" name="T10.2025" dataDxfId="95" dataCellStyle="Normal 2"/>
    <tableColumn id="62" xr3:uid="{2C068344-F541-4CAD-96A2-D45F9D5D3A37}" name="T11.2025" dataDxfId="94" dataCellStyle="Normal 2"/>
    <tableColumn id="63" xr3:uid="{27B75D5C-056C-4A9D-9D7F-37AEA99078FC}" name="T12.2025" dataDxfId="93" dataCellStyle="Normal 2"/>
    <tableColumn id="64" xr3:uid="{F8E5D1E4-7371-4803-8E37-00AF664A0F41}" name="T01.2026" dataDxfId="92" dataCellStyle="Normal 2"/>
    <tableColumn id="65" xr3:uid="{E63D1E74-64BC-47EC-B26A-9369EDF1C317}" name="T02.2026" dataDxfId="91" dataCellStyle="Normal 2"/>
    <tableColumn id="66" xr3:uid="{63AA9E0A-2783-4BCA-AC44-91889DD893FF}" name="T03.2026" dataDxfId="90" dataCellStyle="Normal 2"/>
    <tableColumn id="67" xr3:uid="{8BD20F5C-FBFB-4CB6-80F0-D572C56B0056}" name="T04.2026" dataDxfId="89" dataCellStyle="Normal 2"/>
    <tableColumn id="68" xr3:uid="{5E58C6A2-021E-4F7C-8C48-73A60C52B3D1}" name="T05.2026" dataDxfId="88" dataCellStyle="Normal 2"/>
    <tableColumn id="69" xr3:uid="{F7EEA467-4915-4C3F-99DC-5D30387A9A07}" name="T06.2026" dataDxfId="87" dataCellStyle="Normal 2"/>
    <tableColumn id="70" xr3:uid="{39F0B4F0-0F8B-4FD8-A5DD-B19834C17C95}" name="T07.2026" dataDxfId="86" dataCellStyle="Normal 2"/>
    <tableColumn id="71" xr3:uid="{24716850-7C85-4D38-B947-9E05FBA09C55}" name="T08.2026" dataDxfId="85" dataCellStyle="Normal 2"/>
    <tableColumn id="72" xr3:uid="{B47B101A-EA76-48A7-806B-F2F775B033D2}" name="T09.2026" dataDxfId="84" dataCellStyle="Normal 2"/>
    <tableColumn id="73" xr3:uid="{4E907F87-0131-45B9-AF0F-616BEC689F66}" name="T10.2026" dataDxfId="83" dataCellStyle="Normal 2"/>
    <tableColumn id="74" xr3:uid="{AD1B8077-066A-4140-8879-FAB70A422B16}" name="T11.2026" dataDxfId="82" dataCellStyle="Normal 2"/>
    <tableColumn id="75" xr3:uid="{5E02205D-3DCC-4423-9FA4-6D6586A97398}" name="T12.2026" dataDxfId="81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A2518-1065-4073-8855-CD8290761D8C}" name="Data_Loan" displayName="Data_Loan" ref="A3:BW74" totalsRowShown="0" headerRowDxfId="80" dataDxfId="79" headerRowCellStyle="Normal 2" dataCellStyle="Normal 2">
  <tableColumns count="75">
    <tableColumn id="1" xr3:uid="{CB850D93-94A0-40DD-BDE6-DB8DB35DC185}" name="Index Loan" dataDxfId="78" dataCellStyle="Normal 2"/>
    <tableColumn id="2" xr3:uid="{DE7479E9-673C-4B9F-B78E-83707B727FD5}" name="PHẦN V: CHI TIẾT NỢ VAY NGÂN HÀNG" dataDxfId="77" dataCellStyle="Normal 2"/>
    <tableColumn id="3" xr3:uid="{7A299076-6F9B-411F-A62D-66E409FF72DE}" name="TenCongTyID" dataDxfId="76" dataCellStyle="Normal 2"/>
    <tableColumn id="4" xr3:uid="{767998D8-5CB5-4789-A154-F2D0C9EAB581}" name="T1.2021" dataDxfId="75" dataCellStyle="Normal 2"/>
    <tableColumn id="5" xr3:uid="{5816DB5D-01B9-41FF-9B85-F215CF54124F}" name="T02.2021" dataDxfId="74" dataCellStyle="Normal 2"/>
    <tableColumn id="6" xr3:uid="{004E6981-AFB2-4B98-B4C9-FDB7D97DC20B}" name="T03.2021" dataDxfId="73" dataCellStyle="Normal 2"/>
    <tableColumn id="7" xr3:uid="{47221F01-E256-4E8F-B3DE-6F3153D39A05}" name="T04.2021" dataDxfId="72" dataCellStyle="Normal 2"/>
    <tableColumn id="8" xr3:uid="{D6638A7F-D9E1-4A55-A4D3-291FFD14EFCF}" name="T05.2021" dataDxfId="71" dataCellStyle="Normal 2"/>
    <tableColumn id="9" xr3:uid="{96F9EAB7-4CE1-4499-90C2-FB9B0CA4B5A6}" name="T06.2021" dataDxfId="70" dataCellStyle="Normal 2"/>
    <tableColumn id="10" xr3:uid="{D6C744C4-3454-4F20-9CAA-E1D5A2A012EA}" name="T07.2021" dataDxfId="69" dataCellStyle="Normal 2"/>
    <tableColumn id="11" xr3:uid="{1AFAD7D8-0F88-4B8B-B487-C1F92A54FBC8}" name="T08.2021" dataDxfId="68" dataCellStyle="Normal 2"/>
    <tableColumn id="12" xr3:uid="{3B67F611-929E-4F26-8763-EF4C700EB488}" name="T09.2021" dataDxfId="67" dataCellStyle="Normal 2"/>
    <tableColumn id="13" xr3:uid="{95C16C54-A69B-44F8-B586-FBFF16F05F53}" name="T10.2021" dataDxfId="66" dataCellStyle="Normal 2"/>
    <tableColumn id="14" xr3:uid="{1BC1E933-9B8D-48FF-8C0D-165D1ACC3D1F}" name="T11.2021" dataDxfId="65" dataCellStyle="Normal 2"/>
    <tableColumn id="15" xr3:uid="{1A94812C-5332-4C53-BCBD-171590BF88F2}" name="T12.2021" dataDxfId="64" dataCellStyle="Normal 2"/>
    <tableColumn id="16" xr3:uid="{5E6D6D6B-4A8A-4141-B54B-F3587FA82E07}" name="T1.2022" dataDxfId="63" dataCellStyle="Normal 2"/>
    <tableColumn id="17" xr3:uid="{2E610773-6AE8-4766-9292-CEFF9C1B39B9}" name="T02.2022" dataDxfId="62" dataCellStyle="Normal 2"/>
    <tableColumn id="18" xr3:uid="{C992DA52-8F6B-4214-87E2-D1766AE54A3D}" name="T03.2022" dataDxfId="61" dataCellStyle="Normal 2"/>
    <tableColumn id="19" xr3:uid="{116254CA-1157-4A00-BE6E-7605D08A95FA}" name="T04.2022" dataDxfId="60" dataCellStyle="Normal 2"/>
    <tableColumn id="20" xr3:uid="{C8F8CA0B-0CCF-42FB-BDC0-68933A20A6D3}" name="T05.2022" dataDxfId="59" dataCellStyle="Normal 2"/>
    <tableColumn id="21" xr3:uid="{D3AB7B9D-6FF1-49C2-8C1F-BA592B9E6EF5}" name="T06.2022" dataDxfId="58" dataCellStyle="Normal 2"/>
    <tableColumn id="22" xr3:uid="{A16C040A-904B-4FAC-ADC8-32E1FFDA9183}" name="T07.2022" dataDxfId="57" dataCellStyle="Normal 2"/>
    <tableColumn id="23" xr3:uid="{18BDCDB6-9029-4F32-88AD-8270E4DE3051}" name="T08.2022" dataDxfId="56" dataCellStyle="Normal 2"/>
    <tableColumn id="24" xr3:uid="{465E5E0F-E7B7-42B6-BE68-7EC34DFDFBAD}" name="T09.2022" dataDxfId="55" dataCellStyle="Normal 2"/>
    <tableColumn id="25" xr3:uid="{0CC04C31-F48F-49C3-9EAB-7E86F80F1C28}" name="T10.2022" dataDxfId="54" dataCellStyle="Normal 2"/>
    <tableColumn id="26" xr3:uid="{4B390DE7-8D16-4146-8F1E-6C5CC09F0FD1}" name="T11.2022" dataDxfId="53" dataCellStyle="Normal 2"/>
    <tableColumn id="27" xr3:uid="{17E178EA-7917-41DE-ABCA-B132D70B60AC}" name="T12.2022" dataDxfId="52" dataCellStyle="Normal 2"/>
    <tableColumn id="28" xr3:uid="{2E7B7B65-EE41-4790-BCFC-9ADD0F797473}" name="T1.2023" dataDxfId="51" dataCellStyle="Normal 2"/>
    <tableColumn id="29" xr3:uid="{001D9914-23CC-47E5-A264-F662AFA01989}" name="T02.2023" dataDxfId="50" dataCellStyle="Normal 2"/>
    <tableColumn id="30" xr3:uid="{5564D827-1E98-4C6A-8A3F-049594E8BA99}" name="T03.2023" dataDxfId="49" dataCellStyle="Normal 2"/>
    <tableColumn id="31" xr3:uid="{E3BBC626-90B4-4079-A3EB-23DA1FB0E4FE}" name="T04.2023" dataDxfId="48" dataCellStyle="Normal 2"/>
    <tableColumn id="32" xr3:uid="{0B683A6D-8C9E-4587-9F56-0F34BB0EB2A3}" name="T05.2023" dataDxfId="47" dataCellStyle="Normal 2"/>
    <tableColumn id="33" xr3:uid="{9060B830-DBD3-4D90-ABBB-1EF512A27779}" name="T06.2023" dataDxfId="46" dataCellStyle="Normal 2"/>
    <tableColumn id="34" xr3:uid="{8BAC83AC-43EA-405F-8AF8-CED522B5D388}" name="T07.2023" dataDxfId="45" dataCellStyle="Normal 2"/>
    <tableColumn id="35" xr3:uid="{5B319937-284C-46B7-A7EF-EC02CD52AED4}" name="T08.2023" dataDxfId="44" dataCellStyle="Normal 2"/>
    <tableColumn id="36" xr3:uid="{FA18F312-B5AE-49DD-BABF-0D82827BDCF7}" name="T09.2023" dataDxfId="43" dataCellStyle="Normal 2"/>
    <tableColumn id="37" xr3:uid="{6F6AAEB8-1DC2-4A72-B3F2-1F5AA5474288}" name="T10.2023" dataDxfId="42" dataCellStyle="Normal 2"/>
    <tableColumn id="38" xr3:uid="{853A5275-8792-48AE-8A5E-E68792AEA3CA}" name="T11.2023" dataDxfId="41" dataCellStyle="Normal 2"/>
    <tableColumn id="39" xr3:uid="{D0827DB6-36FF-4ECA-97CC-38C2F1899920}" name="T12.2023" dataDxfId="40" dataCellStyle="Normal 2"/>
    <tableColumn id="40" xr3:uid="{C4781926-86B3-4FBF-A9E5-A5C90D52E318}" name="T01.2024" dataDxfId="39" dataCellStyle="Normal 2"/>
    <tableColumn id="41" xr3:uid="{2DA6C329-DEC0-42DE-92C0-CE41A682BF53}" name="T02.2024" dataDxfId="38" dataCellStyle="Normal 2"/>
    <tableColumn id="42" xr3:uid="{7A84FBAA-4A30-4979-8688-71A33780B1F8}" name="T03.2024" dataDxfId="37" dataCellStyle="Normal 2"/>
    <tableColumn id="43" xr3:uid="{DE46645D-EB00-4CA3-BB32-16B97A15C4E4}" name="T04.2024" dataDxfId="36" dataCellStyle="Normal 2"/>
    <tableColumn id="44" xr3:uid="{AD20D5AB-D62C-4F3B-97EB-29E683700EC2}" name="T05.2024" dataDxfId="35" dataCellStyle="Normal 2"/>
    <tableColumn id="45" xr3:uid="{D5D5A9F4-D380-47EE-9F4C-C46F83A6AA1D}" name="T06.2024" dataDxfId="34" dataCellStyle="Normal 2"/>
    <tableColumn id="46" xr3:uid="{58C46039-CEFD-4C8A-8AA9-7051F6977082}" name="T07.2024" dataDxfId="33" dataCellStyle="Normal 2"/>
    <tableColumn id="47" xr3:uid="{1903512A-D1C2-4C04-9562-6ED96C23635C}" name="T08.2024" dataDxfId="32" dataCellStyle="Normal 2"/>
    <tableColumn id="48" xr3:uid="{EA2F8858-8C58-4D92-8558-CDA1B859EA74}" name="T09.2024" dataDxfId="31" dataCellStyle="Normal 2"/>
    <tableColumn id="49" xr3:uid="{4BAF26D0-1139-458F-A4B6-3C3105F78CFB}" name="T10.2024" dataDxfId="30" dataCellStyle="Normal 2"/>
    <tableColumn id="50" xr3:uid="{FAA7E747-452C-4F13-BFD1-C5B79A15FFAF}" name="T11.2024" dataDxfId="29" dataCellStyle="Normal 2"/>
    <tableColumn id="51" xr3:uid="{88247BD9-E98E-489B-9E63-73034C6D8D4F}" name="T12.2024" dataDxfId="28" dataCellStyle="Normal 2"/>
    <tableColumn id="52" xr3:uid="{A4768191-0C4E-4EB6-B6E7-8D8090ED5B2C}" name="T01.2025" dataDxfId="27" dataCellStyle="Normal 2">
      <calculatedColumnFormula>'KQKD theo yeu to'!AZ51/AZ$40</calculatedColumnFormula>
    </tableColumn>
    <tableColumn id="53" xr3:uid="{07CB03E1-051D-4970-8023-473F12F487E6}" name="T02.2025" dataDxfId="26" dataCellStyle="Normal 2">
      <calculatedColumnFormula>'KQKD theo yeu to'!BA51/BA$40</calculatedColumnFormula>
    </tableColumn>
    <tableColumn id="54" xr3:uid="{51EFBB30-3F66-4B60-8564-BC84ADFCD07D}" name="T03.2025" dataDxfId="25" dataCellStyle="Normal 2">
      <calculatedColumnFormula>'KQKD theo yeu to'!BB51/BB$40</calculatedColumnFormula>
    </tableColumn>
    <tableColumn id="55" xr3:uid="{CECE7AAA-CF94-4387-8613-16831EE609E5}" name="T04.2025" dataDxfId="24" dataCellStyle="Normal 2">
      <calculatedColumnFormula>'KQKD theo yeu to'!BC51/BC$40</calculatedColumnFormula>
    </tableColumn>
    <tableColumn id="56" xr3:uid="{E8DE9C7A-670B-46B5-B314-5DAAF9098296}" name="T05.2025" dataDxfId="23" dataCellStyle="Normal 2">
      <calculatedColumnFormula>'KQKD theo yeu to'!BD51/BD$40</calculatedColumnFormula>
    </tableColumn>
    <tableColumn id="57" xr3:uid="{B6936F29-FB9F-49E1-B2C3-0297AB41BC91}" name="T06.2025" dataDxfId="22" dataCellStyle="Normal 2">
      <calculatedColumnFormula>'KQKD theo yeu to'!BE51/BE$40</calculatedColumnFormula>
    </tableColumn>
    <tableColumn id="58" xr3:uid="{DF1BAC63-6BEE-49FD-9C6A-3F14F4734B54}" name="T07.2025" dataDxfId="21" dataCellStyle="Normal 2">
      <calculatedColumnFormula>'KQKD theo yeu to'!BF51/BF$40</calculatedColumnFormula>
    </tableColumn>
    <tableColumn id="59" xr3:uid="{2B829319-3E0D-4C78-B005-7DF9931C3BDB}" name="T08.2025" dataDxfId="20" dataCellStyle="Normal 2">
      <calculatedColumnFormula>'KQKD theo yeu to'!BG51/BG$40</calculatedColumnFormula>
    </tableColumn>
    <tableColumn id="60" xr3:uid="{8F75313B-DE2D-4D4F-AD25-E2C997C06CCF}" name="T09.2025" dataDxfId="19" dataCellStyle="Normal 2">
      <calculatedColumnFormula>'KQKD theo yeu to'!BH51/BH$40</calculatedColumnFormula>
    </tableColumn>
    <tableColumn id="61" xr3:uid="{CC008DEE-2C1D-41F5-B350-F47D1911351A}" name="T10.2025" dataDxfId="18" dataCellStyle="Normal 2"/>
    <tableColumn id="62" xr3:uid="{0D447DAA-DE0C-48BA-8BB2-661F96C8712F}" name="T11.2025" dataDxfId="17" dataCellStyle="Normal 2"/>
    <tableColumn id="63" xr3:uid="{9785EAB6-EBD4-4C57-BD96-E5C04EC62562}" name="T12.2025" dataDxfId="16" dataCellStyle="Normal 2"/>
    <tableColumn id="64" xr3:uid="{50B822AC-3D3A-4DFA-85DE-0B5AE345F418}" name="T01.2026" dataDxfId="15" dataCellStyle="Normal 2"/>
    <tableColumn id="65" xr3:uid="{0F79E89E-A066-4A34-A5CA-039B4DEEECA9}" name="T02.2026" dataDxfId="14" dataCellStyle="Normal 2"/>
    <tableColumn id="66" xr3:uid="{40AB1D8D-3BD5-440F-A2F2-36FD5EA68839}" name="T03.2026" dataDxfId="13" dataCellStyle="Normal 2"/>
    <tableColumn id="67" xr3:uid="{E6AD70F6-B38E-4A87-ADA6-2DBC995B771D}" name="T04.2026" dataDxfId="12" dataCellStyle="Normal 2"/>
    <tableColumn id="68" xr3:uid="{710DF88E-BB88-4E8F-A150-3EB82CF16E28}" name="T05.2026" dataDxfId="11" dataCellStyle="Normal 2"/>
    <tableColumn id="69" xr3:uid="{9FB42754-C5D1-4490-B8AE-B827EE315501}" name="T06.2026" dataDxfId="10" dataCellStyle="Normal 2"/>
    <tableColumn id="70" xr3:uid="{2736F25C-CBDB-4F6B-AA20-754F406CE042}" name="T07.2026" dataDxfId="9" dataCellStyle="Normal 2"/>
    <tableColumn id="71" xr3:uid="{221179AF-96FB-44A0-99DE-03537C207E65}" name="T08.2026" dataDxfId="8" dataCellStyle="Normal 2"/>
    <tableColumn id="72" xr3:uid="{9983F6B3-276E-4FF4-869E-A98BC3AB2D59}" name="T09.2026" dataDxfId="7" dataCellStyle="Normal 2"/>
    <tableColumn id="73" xr3:uid="{29485E18-5798-4607-8A12-B6E77606AE5E}" name="T10.2026" dataDxfId="6" dataCellStyle="Normal 2"/>
    <tableColumn id="74" xr3:uid="{A9460EB1-71DA-4315-B688-C69F4CCC5574}" name="T11.2026" dataDxfId="5" dataCellStyle="Normal 2"/>
    <tableColumn id="75" xr3:uid="{7942A990-7E86-47BF-9711-E693179816EE}" name="T12.2026" dataDxfId="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6682-461D-4A7D-B197-8EA7D8BD16A5}">
  <sheetPr>
    <tabColor theme="9" tint="0.59999389629810485"/>
  </sheetPr>
  <dimension ref="A1:J19"/>
  <sheetViews>
    <sheetView showGridLines="0" zoomScale="160" zoomScaleNormal="160" workbookViewId="0">
      <selection activeCell="E10" sqref="E10"/>
    </sheetView>
  </sheetViews>
  <sheetFormatPr defaultColWidth="9.109375" defaultRowHeight="13.2"/>
  <cols>
    <col min="1" max="1" width="12.6640625" style="186" customWidth="1"/>
    <col min="2" max="2" width="19.5546875" style="186" bestFit="1" customWidth="1"/>
    <col min="3" max="3" width="11.33203125" style="186" customWidth="1"/>
    <col min="4" max="16384" width="9.109375" style="186"/>
  </cols>
  <sheetData>
    <row r="1" spans="1:10" s="179" customFormat="1" ht="15.6">
      <c r="A1" s="177" t="s">
        <v>0</v>
      </c>
      <c r="B1" s="178"/>
      <c r="C1" s="178"/>
      <c r="D1" s="178"/>
      <c r="E1" s="178"/>
      <c r="J1" s="180"/>
    </row>
    <row r="2" spans="1:10" s="179" customFormat="1" ht="16.2" thickBot="1">
      <c r="A2" s="181" t="s">
        <v>1</v>
      </c>
      <c r="B2" s="181" t="s">
        <v>2</v>
      </c>
      <c r="C2" s="181"/>
      <c r="D2" s="181"/>
      <c r="E2" s="181"/>
      <c r="F2" s="182"/>
      <c r="G2" s="182"/>
      <c r="H2" s="182"/>
      <c r="I2" s="182"/>
      <c r="J2" s="183"/>
    </row>
    <row r="3" spans="1:10" s="179" customFormat="1" ht="15.6">
      <c r="A3" s="178" t="s">
        <v>3</v>
      </c>
      <c r="B3" s="530">
        <v>1100676611</v>
      </c>
      <c r="J3" s="184"/>
    </row>
    <row r="4" spans="1:10">
      <c r="A4" s="185" t="s">
        <v>4</v>
      </c>
    </row>
    <row r="6" spans="1:10">
      <c r="B6" s="186" t="s">
        <v>5</v>
      </c>
      <c r="C6" s="187">
        <v>2026</v>
      </c>
    </row>
    <row r="7" spans="1:10">
      <c r="B7" s="186" t="s">
        <v>6</v>
      </c>
      <c r="C7" s="186">
        <f>C6-1</f>
        <v>2025</v>
      </c>
    </row>
    <row r="9" spans="1:10">
      <c r="B9" s="188" t="s">
        <v>7</v>
      </c>
      <c r="C9" s="189">
        <v>1</v>
      </c>
      <c r="F9" s="190"/>
    </row>
    <row r="10" spans="1:10">
      <c r="B10" s="188"/>
    </row>
    <row r="12" spans="1:10" ht="13.8">
      <c r="B12" s="191" t="s">
        <v>8</v>
      </c>
    </row>
    <row r="13" spans="1:10" ht="13.8">
      <c r="B13" s="192" t="s">
        <v>9</v>
      </c>
    </row>
    <row r="15" spans="1:10" ht="13.8">
      <c r="B15" s="191" t="s">
        <v>10</v>
      </c>
    </row>
    <row r="16" spans="1:10" ht="13.8">
      <c r="B16" s="192" t="s">
        <v>11</v>
      </c>
    </row>
    <row r="18" spans="2:2" ht="13.8">
      <c r="B18" s="191" t="s">
        <v>12</v>
      </c>
    </row>
    <row r="19" spans="2:2" ht="13.8">
      <c r="B19" s="19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5773-F1DA-4D69-B46F-6F89E515B8B5}">
  <sheetPr>
    <tabColor theme="9" tint="0.59999389629810485"/>
  </sheetPr>
  <dimension ref="A3:J50"/>
  <sheetViews>
    <sheetView showGridLines="0" showZeros="0" topLeftCell="A8" workbookViewId="0">
      <selection activeCell="M7" sqref="M7"/>
    </sheetView>
  </sheetViews>
  <sheetFormatPr defaultColWidth="9.109375" defaultRowHeight="13.8"/>
  <cols>
    <col min="1" max="9" width="9.109375" style="195"/>
    <col min="10" max="10" width="5.88671875" style="195" customWidth="1"/>
    <col min="11" max="11" width="11" style="195" customWidth="1"/>
    <col min="12" max="16384" width="9.109375" style="195"/>
  </cols>
  <sheetData>
    <row r="3" spans="9:9">
      <c r="I3" s="194"/>
    </row>
    <row r="4" spans="9:9" ht="24" customHeight="1"/>
    <row r="5" spans="9:9" ht="31.5" customHeight="1"/>
    <row r="6" spans="9:9" ht="21.75" customHeight="1"/>
    <row r="26" spans="1:10" ht="24" customHeight="1">
      <c r="B26" s="196"/>
    </row>
    <row r="27" spans="1:10" ht="21">
      <c r="A27" s="560"/>
      <c r="B27" s="560"/>
      <c r="C27" s="560"/>
      <c r="D27" s="560"/>
      <c r="E27" s="560"/>
      <c r="F27" s="560"/>
      <c r="G27" s="560"/>
      <c r="H27" s="560"/>
      <c r="I27" s="560"/>
      <c r="J27" s="560"/>
    </row>
    <row r="28" spans="1:10" ht="6.75" customHeight="1"/>
    <row r="29" spans="1:10" ht="22.5" customHeight="1">
      <c r="A29" s="197"/>
      <c r="B29" s="561" t="s">
        <v>14</v>
      </c>
      <c r="C29" s="562"/>
      <c r="D29" s="561"/>
      <c r="E29" s="562"/>
      <c r="F29" s="562"/>
      <c r="G29" s="562"/>
      <c r="H29" s="562"/>
      <c r="I29" s="562"/>
      <c r="J29" s="562"/>
    </row>
    <row r="30" spans="1:10" ht="15.9" customHeight="1">
      <c r="A30" s="198"/>
      <c r="B30" s="199"/>
      <c r="C30" s="199"/>
      <c r="D30" s="199"/>
      <c r="E30" s="199"/>
      <c r="F30" s="199"/>
      <c r="G30" s="199"/>
      <c r="H30" s="199"/>
      <c r="I30" s="199"/>
      <c r="J30" s="199"/>
    </row>
    <row r="31" spans="1:10" ht="15.9" customHeight="1">
      <c r="A31" s="197"/>
      <c r="B31" s="199"/>
      <c r="C31" s="199"/>
      <c r="D31" s="199"/>
      <c r="E31" s="199"/>
      <c r="F31" s="199"/>
      <c r="G31" s="199"/>
      <c r="H31" s="199"/>
      <c r="I31" s="199"/>
      <c r="J31" s="199"/>
    </row>
    <row r="34" spans="1:10" ht="15" customHeight="1">
      <c r="B34" s="563"/>
      <c r="C34" s="563"/>
      <c r="D34" s="563"/>
      <c r="E34" s="563"/>
      <c r="F34" s="563"/>
      <c r="G34" s="563"/>
      <c r="H34" s="563"/>
      <c r="I34" s="563"/>
      <c r="J34" s="563"/>
    </row>
    <row r="45" spans="1:10" ht="3" customHeight="1"/>
    <row r="46" spans="1:10" ht="16.5" customHeight="1">
      <c r="A46" s="200"/>
    </row>
    <row r="47" spans="1:10" ht="22.5" customHeight="1">
      <c r="A47" s="201"/>
      <c r="B47" s="199"/>
      <c r="C47" s="199"/>
      <c r="D47" s="199"/>
      <c r="E47" s="199"/>
      <c r="F47" s="199"/>
      <c r="G47" s="199"/>
      <c r="H47" s="199"/>
      <c r="I47" s="199"/>
      <c r="J47" s="199"/>
    </row>
    <row r="48" spans="1:10">
      <c r="A48" s="201"/>
      <c r="B48" s="199"/>
      <c r="C48" s="199"/>
      <c r="D48" s="199"/>
      <c r="E48" s="199"/>
      <c r="F48" s="199"/>
      <c r="G48" s="199"/>
      <c r="H48" s="199"/>
      <c r="I48" s="199"/>
      <c r="J48" s="199"/>
    </row>
    <row r="49" spans="1:10">
      <c r="A49" s="201"/>
      <c r="B49" s="199"/>
      <c r="C49" s="199"/>
      <c r="D49" s="199"/>
      <c r="E49" s="199"/>
      <c r="F49" s="199"/>
      <c r="G49" s="199"/>
      <c r="H49" s="199"/>
      <c r="I49" s="199"/>
      <c r="J49" s="199"/>
    </row>
    <row r="50" spans="1:10" ht="15" customHeight="1">
      <c r="B50" s="564" t="s">
        <v>15</v>
      </c>
      <c r="C50" s="564"/>
      <c r="D50" s="564"/>
      <c r="E50" s="564"/>
      <c r="F50" s="564"/>
      <c r="G50" s="564"/>
      <c r="H50" s="564"/>
      <c r="I50" s="564"/>
      <c r="J50" s="564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6B71-84C3-4257-BB24-70803C8F9771}">
  <sheetPr>
    <tabColor theme="8" tint="0.59999389629810485"/>
  </sheetPr>
  <dimension ref="A1:I31"/>
  <sheetViews>
    <sheetView showGridLines="0" showZeros="0" zoomScaleNormal="100" workbookViewId="0"/>
  </sheetViews>
  <sheetFormatPr defaultColWidth="9.109375" defaultRowHeight="15.6"/>
  <cols>
    <col min="1" max="5" width="9.109375" style="204"/>
    <col min="6" max="6" width="12.109375" style="204" customWidth="1"/>
    <col min="7" max="8" width="9.109375" style="204"/>
    <col min="9" max="9" width="26.33203125" style="204" customWidth="1"/>
    <col min="10" max="16384" width="9.109375" style="204"/>
  </cols>
  <sheetData>
    <row r="1" spans="1:9" s="179" customFormat="1">
      <c r="A1" s="202" t="str">
        <f>'Thong tin'!A1</f>
        <v>CÔNG TY CP NHỰA TÁI CHẾ DUY TÂN</v>
      </c>
      <c r="I1" s="180" t="s">
        <v>16</v>
      </c>
    </row>
    <row r="2" spans="1:9" s="179" customFormat="1" ht="16.2" thickBot="1">
      <c r="A2" s="182" t="str">
        <f>'Thong tin'!A2</f>
        <v>Địa chỉ:</v>
      </c>
      <c r="B2" s="182"/>
      <c r="C2" s="182"/>
      <c r="D2" s="182"/>
      <c r="E2" s="182"/>
      <c r="F2" s="182"/>
      <c r="G2" s="182"/>
      <c r="H2" s="182"/>
      <c r="I2" s="183"/>
    </row>
    <row r="5" spans="1:9">
      <c r="A5" s="203"/>
    </row>
    <row r="10" spans="1:9" ht="20.399999999999999">
      <c r="A10" s="205" t="str">
        <f>"BÁO CÁO TÀI CHÍNH THÁNG "&amp;'Thong tin'!C9&amp;" NĂM 2026"</f>
        <v>BÁO CÁO TÀI CHÍNH THÁNG 1 NĂM 2026</v>
      </c>
      <c r="I10" s="206" t="s">
        <v>17</v>
      </c>
    </row>
    <row r="11" spans="1:9" ht="20.399999999999999">
      <c r="A11" s="205"/>
    </row>
    <row r="12" spans="1:9" s="207" customFormat="1" ht="24.9" hidden="1" customHeight="1">
      <c r="A12" s="207" t="s">
        <v>18</v>
      </c>
      <c r="I12" s="208" t="s">
        <v>19</v>
      </c>
    </row>
    <row r="13" spans="1:9" s="207" customFormat="1" ht="24.9" hidden="1" customHeight="1">
      <c r="A13" s="207" t="s">
        <v>20</v>
      </c>
      <c r="I13" s="208" t="s">
        <v>21</v>
      </c>
    </row>
    <row r="14" spans="1:9" s="210" customFormat="1" ht="27" customHeight="1">
      <c r="A14" s="209" t="s">
        <v>22</v>
      </c>
      <c r="I14" s="211" t="s">
        <v>23</v>
      </c>
    </row>
    <row r="15" spans="1:9" s="213" customFormat="1" ht="25.5" customHeight="1">
      <c r="A15" s="212" t="s">
        <v>24</v>
      </c>
      <c r="I15" s="214" t="s">
        <v>25</v>
      </c>
    </row>
    <row r="16" spans="1:9" s="216" customFormat="1" ht="27.75" customHeight="1">
      <c r="A16" s="215" t="s">
        <v>26</v>
      </c>
      <c r="I16" s="217" t="s">
        <v>27</v>
      </c>
    </row>
    <row r="17" spans="1:9" ht="27" hidden="1" customHeight="1">
      <c r="A17" s="218" t="s">
        <v>28</v>
      </c>
      <c r="I17" s="219" t="s">
        <v>29</v>
      </c>
    </row>
    <row r="30" spans="1:9" s="207" customFormat="1">
      <c r="A30" s="565" t="s">
        <v>30</v>
      </c>
      <c r="B30" s="565"/>
      <c r="C30" s="565"/>
      <c r="D30" s="565"/>
      <c r="E30" s="565"/>
      <c r="F30" s="565"/>
      <c r="G30" s="565"/>
      <c r="H30" s="565"/>
      <c r="I30" s="565"/>
    </row>
    <row r="31" spans="1:9" s="207" customFormat="1">
      <c r="A31" s="565" t="s">
        <v>31</v>
      </c>
      <c r="B31" s="565"/>
      <c r="C31" s="565"/>
      <c r="D31" s="565"/>
      <c r="E31" s="565"/>
      <c r="F31" s="565"/>
      <c r="G31" s="565"/>
      <c r="H31" s="565"/>
      <c r="I31" s="565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21EC-EF07-473C-BBB5-D5668FAEF996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8" activePane="bottomRight" state="frozen"/>
      <selection pane="topRight" activeCell="P9" sqref="P9"/>
      <selection pane="bottomLeft" activeCell="P9" sqref="P9"/>
      <selection pane="bottomRight" activeCell="B26" sqref="B26"/>
    </sheetView>
  </sheetViews>
  <sheetFormatPr defaultColWidth="9.109375" defaultRowHeight="13.8"/>
  <cols>
    <col min="1" max="1" width="57.5546875" style="225" customWidth="1"/>
    <col min="2" max="2" width="20" style="260" customWidth="1"/>
    <col min="3" max="3" width="20" style="260" bestFit="1" customWidth="1"/>
    <col min="4" max="4" width="6.5546875" style="225" hidden="1" customWidth="1"/>
    <col min="5" max="5" width="16.33203125" style="225" bestFit="1" customWidth="1"/>
    <col min="6" max="16384" width="9.109375" style="225"/>
  </cols>
  <sheetData>
    <row r="1" spans="1:10" s="222" customFormat="1" ht="15.6">
      <c r="A1" s="220" t="str">
        <f>'Thong tin'!$A$1</f>
        <v>CÔNG TY CP NHỰA TÁI CHẾ DUY TÂN</v>
      </c>
      <c r="B1" s="221"/>
      <c r="C1" s="180"/>
    </row>
    <row r="2" spans="1:10" s="222" customFormat="1" ht="16.2" thickBot="1">
      <c r="A2" s="223" t="str">
        <f>'Thong tin'!B2</f>
        <v>Lô D2, Cụm Công nghiệp Nhựa Đức Hoà Hạ, Xã Đức Hoà, Tỉnh Tây Ninh</v>
      </c>
      <c r="B2" s="224"/>
      <c r="C2" s="183"/>
    </row>
    <row r="3" spans="1:10" s="222" customFormat="1" ht="15.6">
      <c r="A3" s="225"/>
      <c r="B3" s="221"/>
      <c r="C3" s="184"/>
    </row>
    <row r="4" spans="1:10" ht="20.399999999999999">
      <c r="A4" s="566" t="s">
        <v>32</v>
      </c>
      <c r="B4" s="566"/>
      <c r="C4" s="566"/>
    </row>
    <row r="5" spans="1:10" ht="15.6">
      <c r="A5" s="567" t="str">
        <f>"Năm " &amp; 'Thong tin'!$C$6</f>
        <v>Năm 2026</v>
      </c>
      <c r="B5" s="567"/>
      <c r="C5" s="567"/>
    </row>
    <row r="6" spans="1:10">
      <c r="A6" s="226"/>
      <c r="B6" s="227"/>
      <c r="C6" s="228" t="str">
        <f>'KQKD in'!G6</f>
        <v>ĐVT: VNĐ</v>
      </c>
    </row>
    <row r="7" spans="1:10" s="233" customFormat="1" ht="30" customHeight="1">
      <c r="A7" s="229" t="s">
        <v>33</v>
      </c>
      <c r="B7" s="230" t="str">
        <f>"Số cuối tháng"&amp;" "&amp;$D$7</f>
        <v>Số cuối tháng 1</v>
      </c>
      <c r="C7" s="231" t="str">
        <f>"Số dư đầu năm " &amp; 'Thong tin'!$C$6</f>
        <v>Số dư đầu năm 2026</v>
      </c>
      <c r="D7" s="232">
        <f>'Thong tin'!C9</f>
        <v>1</v>
      </c>
    </row>
    <row r="8" spans="1:10" s="237" customFormat="1">
      <c r="A8" s="234" t="s">
        <v>34</v>
      </c>
      <c r="B8" s="235">
        <f ca="1">B10+B14+B22+B31+B40</f>
        <v>1052372372027.8055</v>
      </c>
      <c r="C8" s="235">
        <f>C10+C14+C22+C31+C40</f>
        <v>1006445367388</v>
      </c>
      <c r="D8" s="236"/>
      <c r="E8" s="236"/>
    </row>
    <row r="9" spans="1:10">
      <c r="A9" s="238"/>
      <c r="B9" s="239"/>
      <c r="C9" s="239"/>
    </row>
    <row r="10" spans="1:10" s="222" customFormat="1">
      <c r="A10" s="240" t="s">
        <v>35</v>
      </c>
      <c r="B10" s="241">
        <f t="shared" ref="B10:C10" ca="1" si="0">SUM(B11:B12)</f>
        <v>160064376330</v>
      </c>
      <c r="C10" s="241">
        <f t="shared" si="0"/>
        <v>63726156404</v>
      </c>
    </row>
    <row r="11" spans="1:10">
      <c r="A11" s="238" t="s">
        <v>36</v>
      </c>
      <c r="B11" s="239">
        <f ca="1">OFFSET('Tinh hinh tai chinh'!$BL6,0,'THTC in'!$D$7 - 1)</f>
        <v>50364376330</v>
      </c>
      <c r="C11" s="239">
        <f>'Tinh hinh tai chinh'!BK6</f>
        <v>48026156404</v>
      </c>
    </row>
    <row r="12" spans="1:10">
      <c r="A12" s="238" t="s">
        <v>37</v>
      </c>
      <c r="B12" s="239">
        <f ca="1">OFFSET('Tinh hinh tai chinh'!$BL7,0,'THTC in'!$D$7 - 1)</f>
        <v>109700000000</v>
      </c>
      <c r="C12" s="239">
        <f>'Tinh hinh tai chinh'!BK7</f>
        <v>15700000000</v>
      </c>
    </row>
    <row r="13" spans="1:10">
      <c r="A13" s="238"/>
      <c r="B13" s="239"/>
      <c r="C13" s="239"/>
      <c r="J13" s="242"/>
    </row>
    <row r="14" spans="1:10" s="222" customFormat="1">
      <c r="A14" s="240" t="s">
        <v>38</v>
      </c>
      <c r="B14" s="241">
        <f ca="1">SUM(B15:B20)</f>
        <v>38542000000</v>
      </c>
      <c r="C14" s="241">
        <f>SUM(C15:C20)</f>
        <v>38542000000</v>
      </c>
    </row>
    <row r="15" spans="1:10">
      <c r="A15" s="238" t="s">
        <v>39</v>
      </c>
      <c r="B15" s="239">
        <f ca="1">OFFSET('Tinh hinh tai chinh'!$BL9,0,'THTC in'!$D$7 - 1)</f>
        <v>0</v>
      </c>
      <c r="C15" s="239">
        <f>'Tinh hinh tai chinh'!BK9</f>
        <v>0</v>
      </c>
      <c r="J15" s="242"/>
    </row>
    <row r="16" spans="1:10" ht="17.25" customHeight="1">
      <c r="A16" s="243" t="s">
        <v>40</v>
      </c>
      <c r="B16" s="239">
        <f ca="1">OFFSET('Tinh hinh tai chinh'!$BL10,0,'THTC in'!$D$7 - 1)</f>
        <v>0</v>
      </c>
      <c r="C16" s="239">
        <f>'Tinh hinh tai chinh'!BK10</f>
        <v>0</v>
      </c>
    </row>
    <row r="17" spans="1:6" ht="18" customHeight="1">
      <c r="A17" s="244" t="s">
        <v>41</v>
      </c>
      <c r="B17" s="239">
        <f ca="1">OFFSET('Tinh hinh tai chinh'!$BL11,0,'THTC in'!$D$7 - 1)</f>
        <v>38542000000</v>
      </c>
      <c r="C17" s="239">
        <f>'Tinh hinh tai chinh'!BK11</f>
        <v>38542000000</v>
      </c>
    </row>
    <row r="18" spans="1:6" ht="18" customHeight="1">
      <c r="A18" s="244" t="s">
        <v>42</v>
      </c>
      <c r="B18" s="239">
        <f ca="1">OFFSET('Tinh hinh tai chinh'!$BL12,0,'THTC in'!$D$7 - 1)</f>
        <v>0</v>
      </c>
      <c r="C18" s="239">
        <f>'Tinh hinh tai chinh'!BK12</f>
        <v>0</v>
      </c>
    </row>
    <row r="19" spans="1:6" ht="18" customHeight="1">
      <c r="A19" s="244" t="s">
        <v>43</v>
      </c>
      <c r="B19" s="239">
        <f ca="1">OFFSET('Tinh hinh tai chinh'!$BL13,0,'THTC in'!$D$7 - 1)</f>
        <v>0</v>
      </c>
      <c r="C19" s="239">
        <f>'Tinh hinh tai chinh'!BK13</f>
        <v>0</v>
      </c>
    </row>
    <row r="20" spans="1:6" ht="18" customHeight="1">
      <c r="A20" s="244" t="s">
        <v>44</v>
      </c>
      <c r="B20" s="239">
        <f ca="1">OFFSET('Tinh hinh tai chinh'!$BL14,0,'THTC in'!$D$7 - 1)</f>
        <v>0</v>
      </c>
      <c r="C20" s="239">
        <f>'Tinh hinh tai chinh'!BK14</f>
        <v>0</v>
      </c>
    </row>
    <row r="21" spans="1:6" ht="15" customHeight="1">
      <c r="A21" s="244"/>
      <c r="B21" s="239"/>
      <c r="C21" s="239"/>
    </row>
    <row r="22" spans="1:6" s="222" customFormat="1">
      <c r="A22" s="240" t="s">
        <v>45</v>
      </c>
      <c r="B22" s="241">
        <f ca="1">SUM(B23:B29)</f>
        <v>279961205359</v>
      </c>
      <c r="C22" s="241">
        <f>SUM(C23:C29)</f>
        <v>310459942750</v>
      </c>
    </row>
    <row r="23" spans="1:6">
      <c r="A23" s="238" t="s">
        <v>46</v>
      </c>
      <c r="B23" s="239">
        <f ca="1">OFFSET('Tinh hinh tai chinh'!$BL16,0,'THTC in'!$D$7 - 1)</f>
        <v>132729767167</v>
      </c>
      <c r="C23" s="239">
        <f>'Tinh hinh tai chinh'!BK16</f>
        <v>154220517132</v>
      </c>
      <c r="D23" s="245"/>
      <c r="F23" s="245"/>
    </row>
    <row r="24" spans="1:6">
      <c r="A24" s="238" t="s">
        <v>47</v>
      </c>
      <c r="B24" s="239">
        <f ca="1">OFFSET('Tinh hinh tai chinh'!$BL17,0,'THTC in'!$D$7 - 1)</f>
        <v>68216577270</v>
      </c>
      <c r="C24" s="239">
        <f>'Tinh hinh tai chinh'!BK17</f>
        <v>60848470883</v>
      </c>
    </row>
    <row r="25" spans="1:6">
      <c r="A25" s="238" t="s">
        <v>48</v>
      </c>
      <c r="B25" s="239">
        <f ca="1">OFFSET('Tinh hinh tai chinh'!$BL18,0,'THTC in'!$D$7 - 1)</f>
        <v>0</v>
      </c>
      <c r="C25" s="239">
        <f>'Tinh hinh tai chinh'!BK18</f>
        <v>0</v>
      </c>
    </row>
    <row r="26" spans="1:6" ht="16.5" customHeight="1">
      <c r="A26" s="243" t="s">
        <v>49</v>
      </c>
      <c r="B26" s="239">
        <f ca="1">OFFSET('Tinh hinh tai chinh'!$BL19,0,'THTC in'!$D$7 - 1)</f>
        <v>0</v>
      </c>
      <c r="C26" s="239">
        <f>'Tinh hinh tai chinh'!BK19</f>
        <v>0</v>
      </c>
    </row>
    <row r="27" spans="1:6">
      <c r="A27" s="238" t="s">
        <v>50</v>
      </c>
      <c r="B27" s="239">
        <f ca="1">OFFSET('Tinh hinh tai chinh'!$BL20,0,'THTC in'!$D$7 - 1)</f>
        <v>78504042664</v>
      </c>
      <c r="C27" s="239">
        <f>'Tinh hinh tai chinh'!BK20</f>
        <v>96000050435</v>
      </c>
    </row>
    <row r="28" spans="1:6">
      <c r="A28" s="238" t="s">
        <v>51</v>
      </c>
      <c r="B28" s="239">
        <f ca="1">OFFSET('Tinh hinh tai chinh'!$BL21,0,'THTC in'!$D$7 - 1)</f>
        <v>-609095700</v>
      </c>
      <c r="C28" s="239">
        <f>'Tinh hinh tai chinh'!BK21</f>
        <v>-609095700</v>
      </c>
    </row>
    <row r="29" spans="1:6">
      <c r="A29" s="244" t="s">
        <v>52</v>
      </c>
      <c r="B29" s="239">
        <f ca="1">OFFSET('Tinh hinh tai chinh'!$BL22,0,'THTC in'!$D$7 - 1)</f>
        <v>1119913958</v>
      </c>
      <c r="C29" s="239">
        <f>'Tinh hinh tai chinh'!BK22</f>
        <v>0</v>
      </c>
    </row>
    <row r="30" spans="1:6" ht="15" customHeight="1">
      <c r="A30" s="244"/>
      <c r="B30" s="239"/>
      <c r="C30" s="239"/>
    </row>
    <row r="31" spans="1:6" s="222" customFormat="1">
      <c r="A31" s="240" t="s">
        <v>53</v>
      </c>
      <c r="B31" s="241">
        <f t="shared" ref="B31:C31" ca="1" si="1">SUM(B32:B33)</f>
        <v>548909898693.80554</v>
      </c>
      <c r="C31" s="241">
        <f t="shared" si="1"/>
        <v>570584514136</v>
      </c>
    </row>
    <row r="32" spans="1:6">
      <c r="A32" s="238" t="s">
        <v>54</v>
      </c>
      <c r="B32" s="246">
        <f ca="1">OFFSET('Tinh hinh tai chinh'!$BL24,0,'THTC in'!$D$7 - 1)</f>
        <v>548909898693.80554</v>
      </c>
      <c r="C32" s="239">
        <f>'Tinh hinh tai chinh'!BK24</f>
        <v>570584514136</v>
      </c>
    </row>
    <row r="33" spans="1:3">
      <c r="A33" s="238" t="s">
        <v>55</v>
      </c>
      <c r="B33" s="246">
        <f ca="1">OFFSET('Tinh hinh tai chinh'!$BL25,0,'THTC in'!$D$7 - 1)</f>
        <v>0</v>
      </c>
      <c r="C33" s="239">
        <f>'Tinh hinh tai chinh'!BK25</f>
        <v>0</v>
      </c>
    </row>
    <row r="34" spans="1:3">
      <c r="A34" s="238"/>
      <c r="B34" s="246"/>
      <c r="C34" s="239"/>
    </row>
    <row r="35" spans="1:3">
      <c r="A35" s="240" t="s">
        <v>56</v>
      </c>
      <c r="B35" s="246">
        <f ca="1">SUM(B36:B38)</f>
        <v>0</v>
      </c>
      <c r="C35" s="239">
        <f>SUM(C36:C38)</f>
        <v>0</v>
      </c>
    </row>
    <row r="36" spans="1:3">
      <c r="A36" s="238" t="s">
        <v>57</v>
      </c>
      <c r="B36" s="246">
        <f ca="1">OFFSET('Tinh hinh tai chinh'!$BL27,0,'THTC in'!$D$7 - 1)</f>
        <v>0</v>
      </c>
      <c r="C36" s="239">
        <f>'Tinh hinh tai chinh'!BK27</f>
        <v>0</v>
      </c>
    </row>
    <row r="37" spans="1:3">
      <c r="A37" s="238" t="s">
        <v>58</v>
      </c>
      <c r="B37" s="246">
        <f ca="1">OFFSET('Tinh hinh tai chinh'!$BL28,0,'THTC in'!$D$7 - 1)</f>
        <v>0</v>
      </c>
      <c r="C37" s="239">
        <f>'Tinh hinh tai chinh'!BK28</f>
        <v>0</v>
      </c>
    </row>
    <row r="38" spans="1:3">
      <c r="A38" s="238" t="s">
        <v>59</v>
      </c>
      <c r="B38" s="246">
        <f ca="1">OFFSET('Tinh hinh tai chinh'!$BL29,0,'THTC in'!$D$7 - 1)</f>
        <v>0</v>
      </c>
      <c r="C38" s="239">
        <f>'Tinh hinh tai chinh'!BK29</f>
        <v>0</v>
      </c>
    </row>
    <row r="39" spans="1:3">
      <c r="A39" s="238"/>
      <c r="B39" s="239"/>
      <c r="C39" s="239"/>
    </row>
    <row r="40" spans="1:3" s="222" customFormat="1">
      <c r="A40" s="240" t="s">
        <v>60</v>
      </c>
      <c r="B40" s="241">
        <f t="shared" ref="B40:C40" ca="1" si="2">SUM(B41:B45)</f>
        <v>24894891645</v>
      </c>
      <c r="C40" s="241">
        <f t="shared" si="2"/>
        <v>23132754098</v>
      </c>
    </row>
    <row r="41" spans="1:3">
      <c r="A41" s="238" t="s">
        <v>61</v>
      </c>
      <c r="B41" s="239">
        <f ca="1">OFFSET('Tinh hinh tai chinh'!$BL31,0,'THTC in'!$D$7 - 1)</f>
        <v>8760714009</v>
      </c>
      <c r="C41" s="239">
        <f>'Tinh hinh tai chinh'!BK31</f>
        <v>9528997722</v>
      </c>
    </row>
    <row r="42" spans="1:3">
      <c r="A42" s="238" t="s">
        <v>62</v>
      </c>
      <c r="B42" s="239">
        <f ca="1">OFFSET('Tinh hinh tai chinh'!$BL32,0,'THTC in'!$D$7 - 1)</f>
        <v>15814070933</v>
      </c>
      <c r="C42" s="239">
        <f>'Tinh hinh tai chinh'!BK32</f>
        <v>13603756376</v>
      </c>
    </row>
    <row r="43" spans="1:3">
      <c r="A43" s="238" t="s">
        <v>63</v>
      </c>
      <c r="B43" s="239">
        <f ca="1">OFFSET('Tinh hinh tai chinh'!$BL33,0,'THTC in'!$D$7 - 1)</f>
        <v>320106703</v>
      </c>
      <c r="C43" s="239">
        <f>'Tinh hinh tai chinh'!BK33</f>
        <v>0</v>
      </c>
    </row>
    <row r="44" spans="1:3">
      <c r="A44" s="244" t="s">
        <v>64</v>
      </c>
      <c r="B44" s="239">
        <f ca="1">OFFSET('Tinh hinh tai chinh'!$BL34,0,'THTC in'!$D$7 - 1)</f>
        <v>0</v>
      </c>
      <c r="C44" s="239">
        <f>'Tinh hinh tai chinh'!BK34</f>
        <v>0</v>
      </c>
    </row>
    <row r="45" spans="1:3">
      <c r="A45" s="238" t="s">
        <v>65</v>
      </c>
      <c r="B45" s="239">
        <f ca="1">OFFSET('Tinh hinh tai chinh'!$BL35,0,'THTC in'!$D$7 - 1)</f>
        <v>0</v>
      </c>
      <c r="C45" s="239">
        <f>'Tinh hinh tai chinh'!BK35</f>
        <v>0</v>
      </c>
    </row>
    <row r="46" spans="1:3" ht="15" customHeight="1">
      <c r="A46" s="238"/>
      <c r="B46" s="239"/>
      <c r="C46" s="239"/>
    </row>
    <row r="47" spans="1:3" s="237" customFormat="1">
      <c r="A47" s="247" t="s">
        <v>66</v>
      </c>
      <c r="B47" s="248">
        <f ca="1">B48+B58+B79+B87+B95+B83</f>
        <v>371950740747</v>
      </c>
      <c r="C47" s="248">
        <f>C48+C58+C79+C87+C95+C83</f>
        <v>370861183445</v>
      </c>
    </row>
    <row r="48" spans="1:3" s="222" customFormat="1">
      <c r="A48" s="240" t="s">
        <v>67</v>
      </c>
      <c r="B48" s="249">
        <f ca="1">SUM(B49:B54)</f>
        <v>5315314211</v>
      </c>
      <c r="C48" s="249">
        <f>SUM(C49:C54)</f>
        <v>5600000000</v>
      </c>
    </row>
    <row r="49" spans="1:4">
      <c r="A49" s="238" t="s">
        <v>68</v>
      </c>
      <c r="B49" s="239">
        <f ca="1">OFFSET('Tinh hinh tai chinh'!$BL38,0,'THTC in'!$D$7 - 1)</f>
        <v>0</v>
      </c>
      <c r="C49" s="239">
        <f>'Tinh hinh tai chinh'!BK38</f>
        <v>0</v>
      </c>
    </row>
    <row r="50" spans="1:4">
      <c r="A50" s="238" t="s">
        <v>69</v>
      </c>
      <c r="B50" s="239">
        <f ca="1">OFFSET('Tinh hinh tai chinh'!$BL39,0,'THTC in'!$D$7 - 1)</f>
        <v>0</v>
      </c>
      <c r="C50" s="239">
        <f>'Tinh hinh tai chinh'!BK39</f>
        <v>0</v>
      </c>
    </row>
    <row r="51" spans="1:4">
      <c r="A51" s="238" t="s">
        <v>70</v>
      </c>
      <c r="B51" s="239">
        <f ca="1">OFFSET('Tinh hinh tai chinh'!$BL40,0,'THTC in'!$D$7 - 1)</f>
        <v>0</v>
      </c>
      <c r="C51" s="239">
        <f>'Tinh hinh tai chinh'!BK40</f>
        <v>0</v>
      </c>
    </row>
    <row r="52" spans="1:4">
      <c r="A52" s="238" t="s">
        <v>71</v>
      </c>
      <c r="B52" s="239">
        <f ca="1">OFFSET('Tinh hinh tai chinh'!$BL41,0,'THTC in'!$D$7 - 1)</f>
        <v>0</v>
      </c>
      <c r="C52" s="239">
        <f>'Tinh hinh tai chinh'!BK41</f>
        <v>0</v>
      </c>
    </row>
    <row r="53" spans="1:4">
      <c r="A53" s="238" t="s">
        <v>72</v>
      </c>
      <c r="B53" s="239">
        <f ca="1">OFFSET('Tinh hinh tai chinh'!$BL42,0,'THTC in'!$D$7 - 1)</f>
        <v>5315314211</v>
      </c>
      <c r="C53" s="239">
        <f>'Tinh hinh tai chinh'!BK42</f>
        <v>5600000000</v>
      </c>
    </row>
    <row r="54" spans="1:4">
      <c r="A54" s="250" t="s">
        <v>73</v>
      </c>
      <c r="B54" s="251">
        <f ca="1">OFFSET('Tinh hinh tai chinh'!$BL43,0,'THTC in'!$D$7 - 1)</f>
        <v>0</v>
      </c>
      <c r="C54" s="251">
        <f>'Tinh hinh tai chinh'!BK43</f>
        <v>0</v>
      </c>
    </row>
    <row r="55" spans="1:4">
      <c r="A55" s="252"/>
      <c r="B55" s="253"/>
      <c r="C55" s="253"/>
    </row>
    <row r="56" spans="1:4" s="255" customFormat="1" ht="32.25" customHeight="1">
      <c r="A56" s="229" t="s">
        <v>33</v>
      </c>
      <c r="B56" s="254" t="str">
        <f>B7</f>
        <v>Số cuối tháng 1</v>
      </c>
      <c r="C56" s="254" t="str">
        <f>C7</f>
        <v>Số dư đầu năm 2026</v>
      </c>
    </row>
    <row r="57" spans="1:4">
      <c r="A57" s="256"/>
      <c r="B57" s="257"/>
      <c r="C57" s="257"/>
    </row>
    <row r="58" spans="1:4" s="222" customFormat="1">
      <c r="A58" s="240" t="s">
        <v>74</v>
      </c>
      <c r="B58" s="249">
        <f t="shared" ref="B58:C58" ca="1" si="3">B59+B62+B65</f>
        <v>289420127851</v>
      </c>
      <c r="C58" s="249">
        <f t="shared" si="3"/>
        <v>289479799346</v>
      </c>
    </row>
    <row r="59" spans="1:4">
      <c r="A59" s="238" t="s">
        <v>75</v>
      </c>
      <c r="B59" s="258">
        <f t="shared" ref="B59:C59" ca="1" si="4">SUM(B60:B61)</f>
        <v>268060842069</v>
      </c>
      <c r="C59" s="258">
        <f t="shared" si="4"/>
        <v>267235780601</v>
      </c>
    </row>
    <row r="60" spans="1:4" s="222" customFormat="1">
      <c r="A60" s="238" t="s">
        <v>76</v>
      </c>
      <c r="B60" s="258">
        <f ca="1">OFFSET('Tinh hinh tai chinh'!$BL46,0,'THTC in'!$D$7 - 1)</f>
        <v>426876282673</v>
      </c>
      <c r="C60" s="258">
        <f>'Tinh hinh tai chinh'!BK46</f>
        <v>423259856618</v>
      </c>
      <c r="D60" s="221"/>
    </row>
    <row r="61" spans="1:4">
      <c r="A61" s="238" t="s">
        <v>77</v>
      </c>
      <c r="B61" s="259">
        <f ca="1">OFFSET('Tinh hinh tai chinh'!$BL47,0,'THTC in'!$D$7 - 1)</f>
        <v>-158815440604</v>
      </c>
      <c r="C61" s="259">
        <f>'Tinh hinh tai chinh'!BK47</f>
        <v>-156024076017</v>
      </c>
      <c r="D61" s="260"/>
    </row>
    <row r="62" spans="1:4">
      <c r="A62" s="238" t="s">
        <v>78</v>
      </c>
      <c r="B62" s="258">
        <f ca="1">SUM(B63:B64)</f>
        <v>17684886028</v>
      </c>
      <c r="C62" s="258">
        <f>SUM(C63:C64)</f>
        <v>18517028601</v>
      </c>
    </row>
    <row r="63" spans="1:4">
      <c r="A63" s="238" t="s">
        <v>76</v>
      </c>
      <c r="B63" s="259">
        <f ca="1">OFFSET('Tinh hinh tai chinh'!$BL49,0,'THTC in'!$D$7 - 1)</f>
        <v>24160519140</v>
      </c>
      <c r="C63" s="258">
        <f>'Tinh hinh tai chinh'!BK49</f>
        <v>25454545455</v>
      </c>
    </row>
    <row r="64" spans="1:4">
      <c r="A64" s="238" t="s">
        <v>77</v>
      </c>
      <c r="B64" s="259">
        <f ca="1">OFFSET('Tinh hinh tai chinh'!$BL50,0,'THTC in'!$D$7 - 1)</f>
        <v>-6475633112</v>
      </c>
      <c r="C64" s="259">
        <f>'Tinh hinh tai chinh'!BK50</f>
        <v>-6937516854</v>
      </c>
    </row>
    <row r="65" spans="1:4">
      <c r="A65" s="238" t="s">
        <v>79</v>
      </c>
      <c r="B65" s="258">
        <f t="shared" ref="B65" ca="1" si="5">SUM(B66:B67)</f>
        <v>3674399754</v>
      </c>
      <c r="C65" s="258">
        <f>SUM(C66:C67)</f>
        <v>3726990144</v>
      </c>
    </row>
    <row r="66" spans="1:4">
      <c r="A66" s="238" t="s">
        <v>76</v>
      </c>
      <c r="B66" s="259">
        <f ca="1">OFFSET('Tinh hinh tai chinh'!$BL52,0,'THTC in'!$D$7 - 1)</f>
        <v>6518070070</v>
      </c>
      <c r="C66" s="258">
        <f>'Tinh hinh tai chinh'!BK52</f>
        <v>6518070070</v>
      </c>
      <c r="D66" s="260"/>
    </row>
    <row r="67" spans="1:4">
      <c r="A67" s="238" t="s">
        <v>77</v>
      </c>
      <c r="B67" s="259">
        <f ca="1">OFFSET('Tinh hinh tai chinh'!$BL53,0,'THTC in'!$D$7 - 1)</f>
        <v>-2843670316</v>
      </c>
      <c r="C67" s="259">
        <f>'Tinh hinh tai chinh'!BK53</f>
        <v>-2791079926</v>
      </c>
    </row>
    <row r="68" spans="1:4">
      <c r="A68" s="238"/>
      <c r="B68" s="239"/>
      <c r="C68" s="239"/>
    </row>
    <row r="69" spans="1:4">
      <c r="A69" s="240" t="s">
        <v>80</v>
      </c>
      <c r="B69" s="239"/>
      <c r="C69" s="239">
        <f>SUM(C70,C75:C77)</f>
        <v>0</v>
      </c>
    </row>
    <row r="70" spans="1:4">
      <c r="A70" s="238" t="s">
        <v>81</v>
      </c>
      <c r="B70" s="239">
        <f ca="1">OFFSET('Tinh hinh tai chinh'!$BL55,0,'THTC in'!$D$7 - 1)</f>
        <v>0</v>
      </c>
      <c r="C70" s="239">
        <f>'Tinh hinh tai chinh'!BK55</f>
        <v>0</v>
      </c>
    </row>
    <row r="71" spans="1:4">
      <c r="A71" s="261" t="s">
        <v>82</v>
      </c>
      <c r="B71" s="239">
        <f ca="1">OFFSET('Tinh hinh tai chinh'!$BL56,0,'THTC in'!$D$7 - 1)</f>
        <v>0</v>
      </c>
      <c r="C71" s="239">
        <f>'Tinh hinh tai chinh'!BK56</f>
        <v>0</v>
      </c>
    </row>
    <row r="72" spans="1:4">
      <c r="A72" s="261" t="s">
        <v>83</v>
      </c>
      <c r="B72" s="239">
        <f ca="1">OFFSET('Tinh hinh tai chinh'!$BL57,0,'THTC in'!$D$7 - 1)</f>
        <v>0</v>
      </c>
      <c r="C72" s="239">
        <f>'Tinh hinh tai chinh'!BK57</f>
        <v>0</v>
      </c>
    </row>
    <row r="73" spans="1:4">
      <c r="A73" s="262" t="s">
        <v>84</v>
      </c>
      <c r="B73" s="239">
        <f ca="1">OFFSET('Tinh hinh tai chinh'!$BL58,0,'THTC in'!$D$7 - 1)</f>
        <v>0</v>
      </c>
      <c r="C73" s="239">
        <f>'Tinh hinh tai chinh'!BK58</f>
        <v>0</v>
      </c>
    </row>
    <row r="74" spans="1:4">
      <c r="A74" s="262" t="s">
        <v>85</v>
      </c>
      <c r="B74" s="239">
        <f ca="1">OFFSET('Tinh hinh tai chinh'!$BL59,0,'THTC in'!$D$7 - 1)</f>
        <v>0</v>
      </c>
      <c r="C74" s="239">
        <f>'Tinh hinh tai chinh'!BK59</f>
        <v>0</v>
      </c>
    </row>
    <row r="75" spans="1:4">
      <c r="A75" s="238" t="s">
        <v>86</v>
      </c>
      <c r="B75" s="239">
        <f ca="1">OFFSET('Tinh hinh tai chinh'!$BL60,0,'THTC in'!$D$7 - 1)</f>
        <v>0</v>
      </c>
      <c r="C75" s="239">
        <f>'Tinh hinh tai chinh'!BK60</f>
        <v>0</v>
      </c>
    </row>
    <row r="76" spans="1:4">
      <c r="A76" s="238" t="s">
        <v>87</v>
      </c>
      <c r="B76" s="239">
        <f ca="1">OFFSET('Tinh hinh tai chinh'!$BL61,0,'THTC in'!$D$7 - 1)</f>
        <v>0</v>
      </c>
      <c r="C76" s="239">
        <f>'Tinh hinh tai chinh'!BK61</f>
        <v>0</v>
      </c>
    </row>
    <row r="77" spans="1:4">
      <c r="A77" s="238" t="s">
        <v>88</v>
      </c>
      <c r="B77" s="239">
        <f ca="1">OFFSET('Tinh hinh tai chinh'!$BL62,0,'THTC in'!$D$7 - 1)</f>
        <v>0</v>
      </c>
      <c r="C77" s="239">
        <f>'Tinh hinh tai chinh'!BK62</f>
        <v>0</v>
      </c>
    </row>
    <row r="78" spans="1:4">
      <c r="A78" s="238"/>
      <c r="B78" s="239"/>
      <c r="C78" s="239"/>
    </row>
    <row r="79" spans="1:4">
      <c r="A79" s="240" t="s">
        <v>89</v>
      </c>
      <c r="B79" s="241">
        <f ca="1">SUM(B80:B81)</f>
        <v>0</v>
      </c>
      <c r="C79" s="241">
        <f>SUM(C80:C81)</f>
        <v>0</v>
      </c>
    </row>
    <row r="80" spans="1:4" ht="18" customHeight="1">
      <c r="A80" s="263" t="s">
        <v>84</v>
      </c>
      <c r="B80" s="258">
        <f ca="1">OFFSET('Tinh hinh tai chinh'!$BL64,0,'THTC in'!$D$7 - 1)</f>
        <v>0</v>
      </c>
      <c r="C80" s="239">
        <f>'Tinh hinh tai chinh'!BK64</f>
        <v>0</v>
      </c>
    </row>
    <row r="81" spans="1:4" s="222" customFormat="1" ht="18" customHeight="1">
      <c r="A81" s="238" t="s">
        <v>90</v>
      </c>
      <c r="B81" s="258">
        <f ca="1">OFFSET('Tinh hinh tai chinh'!$BL65,0,'THTC in'!$D$7 - 1)</f>
        <v>0</v>
      </c>
      <c r="C81" s="239">
        <f>'Tinh hinh tai chinh'!BK65</f>
        <v>0</v>
      </c>
    </row>
    <row r="82" spans="1:4" s="222" customFormat="1">
      <c r="A82" s="238"/>
      <c r="B82" s="239"/>
      <c r="C82" s="239"/>
    </row>
    <row r="83" spans="1:4" s="222" customFormat="1">
      <c r="A83" s="240" t="s">
        <v>91</v>
      </c>
      <c r="B83" s="249">
        <f t="shared" ref="B83:C83" ca="1" si="6">SUM(B84:B85)</f>
        <v>67367429293</v>
      </c>
      <c r="C83" s="249">
        <f t="shared" si="6"/>
        <v>64594176344</v>
      </c>
    </row>
    <row r="84" spans="1:4" s="222" customFormat="1" ht="18" customHeight="1">
      <c r="A84" s="263" t="s">
        <v>92</v>
      </c>
      <c r="B84" s="239">
        <f ca="1">OFFSET('Tinh hinh tai chinh'!$BL67,0,'THTC in'!$D$7 - 1)</f>
        <v>10176000</v>
      </c>
      <c r="C84" s="239">
        <f>'Tinh hinh tai chinh'!BK67</f>
        <v>10176000</v>
      </c>
    </row>
    <row r="85" spans="1:4" s="222" customFormat="1" ht="18" customHeight="1">
      <c r="A85" s="238" t="s">
        <v>93</v>
      </c>
      <c r="B85" s="239">
        <f ca="1">OFFSET('Tinh hinh tai chinh'!$BL68,0,'THTC in'!$D$7 - 1)</f>
        <v>67357253293</v>
      </c>
      <c r="C85" s="239">
        <f>'Tinh hinh tai chinh'!BK68</f>
        <v>64584000344</v>
      </c>
      <c r="D85" s="221"/>
    </row>
    <row r="86" spans="1:4">
      <c r="A86" s="238"/>
      <c r="B86" s="239"/>
      <c r="C86" s="239"/>
    </row>
    <row r="87" spans="1:4">
      <c r="A87" s="240" t="s">
        <v>94</v>
      </c>
      <c r="B87" s="241">
        <f t="shared" ref="B87" ca="1" si="7">SUM(B88:B92)</f>
        <v>0</v>
      </c>
      <c r="C87" s="241">
        <f>SUM(C88:C93)</f>
        <v>0</v>
      </c>
    </row>
    <row r="88" spans="1:4" ht="18" customHeight="1">
      <c r="A88" s="238" t="s">
        <v>95</v>
      </c>
      <c r="B88" s="239">
        <f ca="1">OFFSET('Tinh hinh tai chinh'!$BL70,0,'THTC in'!$D$7 - 1)</f>
        <v>0</v>
      </c>
      <c r="C88" s="239">
        <f>'Tinh hinh tai chinh'!BK70</f>
        <v>0</v>
      </c>
    </row>
    <row r="89" spans="1:4" s="222" customFormat="1" ht="18" customHeight="1">
      <c r="A89" s="238" t="s">
        <v>96</v>
      </c>
      <c r="B89" s="239">
        <f ca="1">OFFSET('Tinh hinh tai chinh'!$BL71,0,'THTC in'!$D$7 - 1)</f>
        <v>0</v>
      </c>
      <c r="C89" s="239">
        <f>'Tinh hinh tai chinh'!BK71</f>
        <v>0</v>
      </c>
    </row>
    <row r="90" spans="1:4" ht="18" customHeight="1">
      <c r="A90" s="238" t="s">
        <v>97</v>
      </c>
      <c r="B90" s="239">
        <f ca="1">OFFSET('Tinh hinh tai chinh'!$BL72,0,'THTC in'!$D$7 - 1)</f>
        <v>0</v>
      </c>
      <c r="C90" s="239">
        <f>'Tinh hinh tai chinh'!BK72</f>
        <v>0</v>
      </c>
    </row>
    <row r="91" spans="1:4" ht="18" customHeight="1">
      <c r="A91" s="243" t="s">
        <v>98</v>
      </c>
      <c r="B91" s="239">
        <f ca="1">OFFSET('Tinh hinh tai chinh'!$BL73,0,'THTC in'!$D$7 - 1)</f>
        <v>0</v>
      </c>
      <c r="C91" s="239">
        <f>'Tinh hinh tai chinh'!BK73</f>
        <v>0</v>
      </c>
    </row>
    <row r="92" spans="1:4" ht="18" customHeight="1">
      <c r="A92" s="243" t="s">
        <v>99</v>
      </c>
      <c r="B92" s="239">
        <f ca="1">OFFSET('Tinh hinh tai chinh'!$BL74,0,'THTC in'!$D$7 - 1)</f>
        <v>0</v>
      </c>
      <c r="C92" s="239">
        <f>'Tinh hinh tai chinh'!BK74</f>
        <v>0</v>
      </c>
    </row>
    <row r="93" spans="1:4" ht="18" customHeight="1">
      <c r="A93" s="243" t="s">
        <v>100</v>
      </c>
      <c r="B93" s="239">
        <f ca="1">OFFSET('Tinh hinh tai chinh'!$BL75,0,'THTC in'!$D$7 - 1)</f>
        <v>0</v>
      </c>
      <c r="C93" s="239">
        <f>'Tinh hinh tai chinh'!BK75</f>
        <v>0</v>
      </c>
    </row>
    <row r="94" spans="1:4">
      <c r="A94" s="243"/>
      <c r="B94" s="239"/>
      <c r="C94" s="239"/>
    </row>
    <row r="95" spans="1:4">
      <c r="A95" s="240" t="s">
        <v>101</v>
      </c>
      <c r="B95" s="241">
        <f t="shared" ref="B95:C95" ca="1" si="8">SUM(B96:B99)</f>
        <v>9847869392</v>
      </c>
      <c r="C95" s="241">
        <f t="shared" si="8"/>
        <v>11187207755</v>
      </c>
    </row>
    <row r="96" spans="1:4" ht="18" customHeight="1">
      <c r="A96" s="238" t="s">
        <v>102</v>
      </c>
      <c r="B96" s="239">
        <f ca="1">OFFSET('Tinh hinh tai chinh'!$BL77,0,'THTC in'!$D$7 - 1)</f>
        <v>9847869392</v>
      </c>
      <c r="C96" s="239">
        <f>'Tinh hinh tai chinh'!BK77</f>
        <v>11187207755</v>
      </c>
    </row>
    <row r="97" spans="1:5" s="222" customFormat="1" ht="18" customHeight="1">
      <c r="A97" s="238" t="s">
        <v>103</v>
      </c>
      <c r="B97" s="239">
        <f ca="1">OFFSET('Tinh hinh tai chinh'!$BL78,0,'THTC in'!$D$7 - 1)</f>
        <v>0</v>
      </c>
      <c r="C97" s="239">
        <f>'Tinh hinh tai chinh'!BK78</f>
        <v>0</v>
      </c>
    </row>
    <row r="98" spans="1:5" ht="18" customHeight="1">
      <c r="A98" s="238" t="s">
        <v>104</v>
      </c>
      <c r="B98" s="239">
        <f ca="1">OFFSET('Tinh hinh tai chinh'!$BL79,0,'THTC in'!$D$7 - 1)</f>
        <v>0</v>
      </c>
      <c r="C98" s="239">
        <f>'Tinh hinh tai chinh'!BK79</f>
        <v>0</v>
      </c>
    </row>
    <row r="99" spans="1:5" ht="18" customHeight="1">
      <c r="A99" s="264" t="s">
        <v>105</v>
      </c>
      <c r="B99" s="239">
        <f ca="1">OFFSET('Tinh hinh tai chinh'!$BL80,0,'THTC in'!$D$7 - 1)</f>
        <v>0</v>
      </c>
      <c r="C99" s="239">
        <f>'Tinh hinh tai chinh'!BK80</f>
        <v>0</v>
      </c>
    </row>
    <row r="100" spans="1:5" ht="21.75" customHeight="1">
      <c r="A100" s="265" t="s">
        <v>106</v>
      </c>
      <c r="B100" s="266">
        <f ca="1">B8+B47</f>
        <v>1424323112774.8057</v>
      </c>
      <c r="C100" s="266">
        <f>C8+C47</f>
        <v>1377306550833</v>
      </c>
      <c r="E100" s="260"/>
    </row>
    <row r="101" spans="1:5" ht="16.5" customHeight="1">
      <c r="B101" s="267"/>
      <c r="C101" s="267"/>
    </row>
    <row r="102" spans="1:5" s="222" customFormat="1" ht="30" customHeight="1">
      <c r="A102" s="229" t="s">
        <v>107</v>
      </c>
      <c r="B102" s="254" t="str">
        <f>B7</f>
        <v>Số cuối tháng 1</v>
      </c>
      <c r="C102" s="254" t="str">
        <f>C7</f>
        <v>Số dư đầu năm 2026</v>
      </c>
    </row>
    <row r="103" spans="1:5" s="237" customFormat="1">
      <c r="A103" s="268" t="s">
        <v>108</v>
      </c>
      <c r="B103" s="269">
        <f t="shared" ref="B103:C103" ca="1" si="9">B104+B121</f>
        <v>398262934016</v>
      </c>
      <c r="C103" s="269">
        <f t="shared" si="9"/>
        <v>442178198680</v>
      </c>
    </row>
    <row r="104" spans="1:5" s="222" customFormat="1" ht="18" customHeight="1">
      <c r="A104" s="240" t="s">
        <v>109</v>
      </c>
      <c r="B104" s="241">
        <f t="shared" ref="B104:C104" ca="1" si="10">SUM(B105:B119)</f>
        <v>316020092601</v>
      </c>
      <c r="C104" s="241">
        <f t="shared" si="10"/>
        <v>359025944326</v>
      </c>
    </row>
    <row r="105" spans="1:5" ht="18" customHeight="1">
      <c r="A105" s="238" t="s">
        <v>110</v>
      </c>
      <c r="B105" s="239">
        <f ca="1">OFFSET('Tinh hinh tai chinh'!$BL84,0,'THTC in'!$D$7 - 1)</f>
        <v>34204260957</v>
      </c>
      <c r="C105" s="239">
        <f>'Tinh hinh tai chinh'!BK84</f>
        <v>28643819309</v>
      </c>
      <c r="D105" s="245"/>
    </row>
    <row r="106" spans="1:5" ht="18" customHeight="1">
      <c r="A106" s="238" t="s">
        <v>111</v>
      </c>
      <c r="B106" s="239">
        <f ca="1">OFFSET('Tinh hinh tai chinh'!$BL85,0,'THTC in'!$D$7 - 1)</f>
        <v>11995200530</v>
      </c>
      <c r="C106" s="239">
        <f>'Tinh hinh tai chinh'!BK85</f>
        <v>17509392514</v>
      </c>
    </row>
    <row r="107" spans="1:5" ht="18" customHeight="1">
      <c r="A107" s="238" t="s">
        <v>112</v>
      </c>
      <c r="B107" s="239">
        <f ca="1">OFFSET('Tinh hinh tai chinh'!$BL86,0,'THTC in'!$D$7 - 1)</f>
        <v>0</v>
      </c>
      <c r="C107" s="239">
        <f>'Tinh hinh tai chinh'!BK86</f>
        <v>0</v>
      </c>
    </row>
    <row r="108" spans="1:5" ht="18" customHeight="1">
      <c r="A108" s="238" t="s">
        <v>113</v>
      </c>
      <c r="B108" s="239">
        <f ca="1">OFFSET('Tinh hinh tai chinh'!$BL87,0,'THTC in'!$D$7 - 1)</f>
        <v>3842594482</v>
      </c>
      <c r="C108" s="239">
        <f>'Tinh hinh tai chinh'!BK87</f>
        <v>8684760093</v>
      </c>
    </row>
    <row r="109" spans="1:5" ht="18" customHeight="1">
      <c r="A109" s="238" t="s">
        <v>114</v>
      </c>
      <c r="B109" s="239">
        <f ca="1">OFFSET('Tinh hinh tai chinh'!$BL88,0,'THTC in'!$D$7 - 1)</f>
        <v>19154092290</v>
      </c>
      <c r="C109" s="239">
        <f>'Tinh hinh tai chinh'!BK88</f>
        <v>10866562186</v>
      </c>
    </row>
    <row r="110" spans="1:5" ht="18" customHeight="1">
      <c r="A110" s="238" t="s">
        <v>115</v>
      </c>
      <c r="B110" s="239">
        <f ca="1">OFFSET('Tinh hinh tai chinh'!$BL89,0,'THTC in'!$D$7 - 1)</f>
        <v>18218565408</v>
      </c>
      <c r="C110" s="239">
        <f>'Tinh hinh tai chinh'!BK89</f>
        <v>20102188452</v>
      </c>
    </row>
    <row r="111" spans="1:5" ht="18" customHeight="1">
      <c r="A111" s="238" t="s">
        <v>116</v>
      </c>
      <c r="B111" s="239">
        <f ca="1">OFFSET('Tinh hinh tai chinh'!$BL90,0,'THTC in'!$D$7 - 1)</f>
        <v>0</v>
      </c>
      <c r="C111" s="239">
        <f>'Tinh hinh tai chinh'!BK90</f>
        <v>0</v>
      </c>
    </row>
    <row r="112" spans="1:5" ht="18" customHeight="1">
      <c r="A112" s="238" t="s">
        <v>117</v>
      </c>
      <c r="B112" s="239">
        <f ca="1">OFFSET('Tinh hinh tai chinh'!$BL91,0,'THTC in'!$D$7 - 1)</f>
        <v>0</v>
      </c>
      <c r="C112" s="239">
        <f>'Tinh hinh tai chinh'!BK91</f>
        <v>0</v>
      </c>
    </row>
    <row r="113" spans="1:3" ht="18" customHeight="1">
      <c r="A113" s="243" t="s">
        <v>118</v>
      </c>
      <c r="B113" s="239">
        <f ca="1">OFFSET('Tinh hinh tai chinh'!$BL92,0,'THTC in'!$D$7 - 1)</f>
        <v>0</v>
      </c>
      <c r="C113" s="239">
        <f>'Tinh hinh tai chinh'!BK92</f>
        <v>0</v>
      </c>
    </row>
    <row r="114" spans="1:3" ht="18" customHeight="1">
      <c r="A114" s="238" t="s">
        <v>119</v>
      </c>
      <c r="B114" s="239">
        <f ca="1">OFFSET('Tinh hinh tai chinh'!$BL93,0,'THTC in'!$D$7 - 1)</f>
        <v>10596548323</v>
      </c>
      <c r="C114" s="239">
        <f>'Tinh hinh tai chinh'!BK93</f>
        <v>9558710068</v>
      </c>
    </row>
    <row r="115" spans="1:3" ht="18" customHeight="1">
      <c r="A115" s="238" t="s">
        <v>120</v>
      </c>
      <c r="B115" s="239">
        <f ca="1">OFFSET('Tinh hinh tai chinh'!$BL94,0,'THTC in'!$D$7 - 1)</f>
        <v>216818798145</v>
      </c>
      <c r="C115" s="239">
        <f>'Tinh hinh tai chinh'!BK94</f>
        <v>262225979238</v>
      </c>
    </row>
    <row r="116" spans="1:3" ht="18" customHeight="1">
      <c r="A116" s="238" t="s">
        <v>121</v>
      </c>
      <c r="B116" s="239">
        <f ca="1">OFFSET('Tinh hinh tai chinh'!$BL95,0,'THTC in'!$D$7 - 1)</f>
        <v>0</v>
      </c>
      <c r="C116" s="239">
        <f>'Tinh hinh tai chinh'!BK95</f>
        <v>0</v>
      </c>
    </row>
    <row r="117" spans="1:3" ht="18" customHeight="1">
      <c r="A117" s="238" t="s">
        <v>122</v>
      </c>
      <c r="B117" s="239">
        <f ca="1">OFFSET('Tinh hinh tai chinh'!$BL96,0,'THTC in'!$D$7 - 1)</f>
        <v>1190032466</v>
      </c>
      <c r="C117" s="239">
        <f>'Tinh hinh tai chinh'!BK96</f>
        <v>1434532466</v>
      </c>
    </row>
    <row r="118" spans="1:3" ht="18" customHeight="1">
      <c r="A118" s="238" t="s">
        <v>123</v>
      </c>
      <c r="B118" s="239">
        <f ca="1">OFFSET('Tinh hinh tai chinh'!$BL97,0,'THTC in'!$D$7 - 1)</f>
        <v>0</v>
      </c>
      <c r="C118" s="239">
        <f>'Tinh hinh tai chinh'!BK97</f>
        <v>0</v>
      </c>
    </row>
    <row r="119" spans="1:3" ht="18" customHeight="1">
      <c r="A119" s="238" t="s">
        <v>124</v>
      </c>
      <c r="B119" s="239">
        <f ca="1">OFFSET('Tinh hinh tai chinh'!$BL98,0,'THTC in'!$D$7 - 1)</f>
        <v>0</v>
      </c>
      <c r="C119" s="239">
        <f>'Tinh hinh tai chinh'!BK98</f>
        <v>0</v>
      </c>
    </row>
    <row r="120" spans="1:3" ht="9.75" customHeight="1">
      <c r="A120" s="238"/>
      <c r="B120" s="239"/>
      <c r="C120" s="239"/>
    </row>
    <row r="121" spans="1:3" s="222" customFormat="1" ht="14.25" customHeight="1">
      <c r="A121" s="240" t="s">
        <v>125</v>
      </c>
      <c r="B121" s="241">
        <f t="shared" ref="B121:C121" ca="1" si="11">SUM(B122:B135)</f>
        <v>82242841415</v>
      </c>
      <c r="C121" s="241">
        <f t="shared" si="11"/>
        <v>83152254354</v>
      </c>
    </row>
    <row r="122" spans="1:3" ht="18.75" customHeight="1">
      <c r="A122" s="238" t="s">
        <v>126</v>
      </c>
      <c r="B122" s="239">
        <f ca="1">OFFSET('Tinh hinh tai chinh'!$BL100,0,'THTC in'!$D$7 - 1)</f>
        <v>0</v>
      </c>
      <c r="C122" s="239">
        <f>'Tinh hinh tai chinh'!BK100</f>
        <v>0</v>
      </c>
    </row>
    <row r="123" spans="1:3" ht="18" customHeight="1">
      <c r="A123" s="238" t="s">
        <v>127</v>
      </c>
      <c r="B123" s="239">
        <f ca="1">OFFSET('Tinh hinh tai chinh'!$BL101,0,'THTC in'!$D$7 - 1)</f>
        <v>0</v>
      </c>
      <c r="C123" s="239">
        <f>'Tinh hinh tai chinh'!BK101</f>
        <v>0</v>
      </c>
    </row>
    <row r="124" spans="1:3" ht="18" customHeight="1">
      <c r="A124" s="238" t="s">
        <v>128</v>
      </c>
      <c r="B124" s="239">
        <f ca="1">OFFSET('Tinh hinh tai chinh'!$BL102,0,'THTC in'!$D$7 - 1)</f>
        <v>0</v>
      </c>
      <c r="C124" s="239">
        <f>'Tinh hinh tai chinh'!BK102</f>
        <v>0</v>
      </c>
    </row>
    <row r="125" spans="1:3" ht="18" customHeight="1">
      <c r="A125" s="238" t="s">
        <v>129</v>
      </c>
      <c r="B125" s="239">
        <f ca="1">OFFSET('Tinh hinh tai chinh'!$BL103,0,'THTC in'!$D$7 - 1)</f>
        <v>0</v>
      </c>
      <c r="C125" s="239">
        <f>'Tinh hinh tai chinh'!BK103</f>
        <v>0</v>
      </c>
    </row>
    <row r="126" spans="1:3" ht="18" customHeight="1">
      <c r="A126" s="238" t="s">
        <v>130</v>
      </c>
      <c r="B126" s="239">
        <f ca="1">OFFSET('Tinh hinh tai chinh'!$BL104,0,'THTC in'!$D$7 - 1)</f>
        <v>0</v>
      </c>
      <c r="C126" s="239">
        <f>'Tinh hinh tai chinh'!BK104</f>
        <v>0</v>
      </c>
    </row>
    <row r="127" spans="1:3" ht="18" customHeight="1">
      <c r="A127" s="238" t="s">
        <v>131</v>
      </c>
      <c r="B127" s="239">
        <f ca="1">OFFSET('Tinh hinh tai chinh'!$BL105,0,'THTC in'!$D$7 - 1)</f>
        <v>0</v>
      </c>
      <c r="C127" s="239">
        <f>'Tinh hinh tai chinh'!BK105</f>
        <v>0</v>
      </c>
    </row>
    <row r="128" spans="1:3" ht="18" customHeight="1">
      <c r="A128" s="238" t="s">
        <v>132</v>
      </c>
      <c r="B128" s="239">
        <f ca="1">OFFSET('Tinh hinh tai chinh'!$BL106,0,'THTC in'!$D$7 - 1)</f>
        <v>0</v>
      </c>
      <c r="C128" s="239">
        <f>'Tinh hinh tai chinh'!BK106</f>
        <v>0</v>
      </c>
    </row>
    <row r="129" spans="1:3" ht="18" customHeight="1">
      <c r="A129" s="238" t="s">
        <v>133</v>
      </c>
      <c r="B129" s="239">
        <f ca="1">OFFSET('Tinh hinh tai chinh'!$BL107,0,'THTC in'!$D$7 - 1)</f>
        <v>0</v>
      </c>
      <c r="C129" s="239">
        <f>'Tinh hinh tai chinh'!BK107</f>
        <v>0</v>
      </c>
    </row>
    <row r="130" spans="1:3" ht="18" customHeight="1">
      <c r="A130" s="238" t="s">
        <v>134</v>
      </c>
      <c r="B130" s="239">
        <f ca="1">OFFSET('Tinh hinh tai chinh'!$BL108,0,'THTC in'!$D$7 - 1)</f>
        <v>82242841415</v>
      </c>
      <c r="C130" s="239">
        <f>'Tinh hinh tai chinh'!BK108</f>
        <v>83152254354</v>
      </c>
    </row>
    <row r="131" spans="1:3" ht="18" customHeight="1">
      <c r="A131" s="238" t="s">
        <v>135</v>
      </c>
      <c r="B131" s="239">
        <f ca="1">OFFSET('Tinh hinh tai chinh'!$BL109,0,'THTC in'!$D$7 - 1)</f>
        <v>0</v>
      </c>
      <c r="C131" s="239">
        <f>'Tinh hinh tai chinh'!BK109</f>
        <v>0</v>
      </c>
    </row>
    <row r="132" spans="1:3" ht="18" customHeight="1">
      <c r="A132" s="238" t="s">
        <v>136</v>
      </c>
      <c r="B132" s="239">
        <f ca="1">OFFSET('Tinh hinh tai chinh'!$BL110,0,'THTC in'!$D$7 - 1)</f>
        <v>0</v>
      </c>
      <c r="C132" s="239">
        <f>'Tinh hinh tai chinh'!BK110</f>
        <v>0</v>
      </c>
    </row>
    <row r="133" spans="1:3" ht="18" customHeight="1">
      <c r="A133" s="238" t="s">
        <v>137</v>
      </c>
      <c r="B133" s="239">
        <f ca="1">OFFSET('Tinh hinh tai chinh'!$BL111,0,'THTC in'!$D$7 - 1)</f>
        <v>0</v>
      </c>
      <c r="C133" s="239">
        <f>'Tinh hinh tai chinh'!BK111</f>
        <v>0</v>
      </c>
    </row>
    <row r="134" spans="1:3" ht="18" customHeight="1">
      <c r="A134" s="238" t="s">
        <v>138</v>
      </c>
      <c r="B134" s="239">
        <f ca="1">OFFSET('Tinh hinh tai chinh'!$BL112,0,'THTC in'!$D$7 - 1)</f>
        <v>0</v>
      </c>
      <c r="C134" s="239">
        <f>'Tinh hinh tai chinh'!BK112</f>
        <v>0</v>
      </c>
    </row>
    <row r="135" spans="1:3" ht="18" customHeight="1">
      <c r="A135" s="264" t="s">
        <v>139</v>
      </c>
      <c r="B135" s="251">
        <f ca="1">OFFSET('Tinh hinh tai chinh'!$BL113,0,'THTC in'!$D$7 - 1)</f>
        <v>0</v>
      </c>
      <c r="C135" s="251">
        <f>'Tinh hinh tai chinh'!BK113</f>
        <v>0</v>
      </c>
    </row>
    <row r="136" spans="1:3">
      <c r="A136" s="252"/>
      <c r="B136" s="270"/>
      <c r="C136" s="271"/>
    </row>
    <row r="137" spans="1:3" s="222" customFormat="1" ht="30" customHeight="1">
      <c r="A137" s="229" t="s">
        <v>107</v>
      </c>
      <c r="B137" s="254" t="str">
        <f>B7</f>
        <v>Số cuối tháng 1</v>
      </c>
      <c r="C137" s="254" t="str">
        <f>C7</f>
        <v>Số dư đầu năm 2026</v>
      </c>
    </row>
    <row r="138" spans="1:3" s="237" customFormat="1">
      <c r="A138" s="268" t="s">
        <v>140</v>
      </c>
      <c r="B138" s="269">
        <f ca="1">B139+SUM(B142:B150)</f>
        <v>1026060178758.8055</v>
      </c>
      <c r="C138" s="269">
        <f>C139+SUM(C142:C150)</f>
        <v>935128352153</v>
      </c>
    </row>
    <row r="139" spans="1:3" ht="18" customHeight="1">
      <c r="A139" s="238" t="s">
        <v>141</v>
      </c>
      <c r="B139" s="272">
        <f ca="1">B140</f>
        <v>872000000000</v>
      </c>
      <c r="C139" s="272">
        <f>SUM(C140:C141)</f>
        <v>778000000000</v>
      </c>
    </row>
    <row r="140" spans="1:3" ht="18" customHeight="1">
      <c r="A140" s="238" t="s">
        <v>142</v>
      </c>
      <c r="B140" s="272">
        <f ca="1">OFFSET('Tinh hinh tai chinh'!$BL116,0,'THTC in'!$D$7 - 1)</f>
        <v>872000000000</v>
      </c>
      <c r="C140" s="272">
        <f>'Tinh hinh tai chinh'!BK116</f>
        <v>778000000000</v>
      </c>
    </row>
    <row r="141" spans="1:3" ht="18" customHeight="1">
      <c r="A141" s="238" t="s">
        <v>143</v>
      </c>
      <c r="B141" s="272">
        <f ca="1">OFFSET('Tinh hinh tai chinh'!$BL117,0,'THTC in'!$D$7 - 1)</f>
        <v>0</v>
      </c>
      <c r="C141" s="272">
        <f>'Tinh hinh tai chinh'!BK117</f>
        <v>0</v>
      </c>
    </row>
    <row r="142" spans="1:3" ht="18" customHeight="1">
      <c r="A142" s="238" t="s">
        <v>144</v>
      </c>
      <c r="B142" s="272">
        <f ca="1">OFFSET('Tinh hinh tai chinh'!$BL118,0,'THTC in'!$D$7 - 1)</f>
        <v>0</v>
      </c>
      <c r="C142" s="272">
        <f>'Tinh hinh tai chinh'!BK118</f>
        <v>0</v>
      </c>
    </row>
    <row r="143" spans="1:3" ht="18" customHeight="1">
      <c r="A143" s="238" t="s">
        <v>145</v>
      </c>
      <c r="B143" s="272">
        <f ca="1">OFFSET('Tinh hinh tai chinh'!$BL119,0,'THTC in'!$D$7 - 1)</f>
        <v>0</v>
      </c>
      <c r="C143" s="272">
        <f>'Tinh hinh tai chinh'!BK119</f>
        <v>0</v>
      </c>
    </row>
    <row r="144" spans="1:3" ht="18" customHeight="1">
      <c r="A144" s="238" t="s">
        <v>146</v>
      </c>
      <c r="B144" s="272">
        <f ca="1">OFFSET('Tinh hinh tai chinh'!$BL120,0,'THTC in'!$D$7 - 1)</f>
        <v>0</v>
      </c>
      <c r="C144" s="272">
        <f>'Tinh hinh tai chinh'!BK120</f>
        <v>0</v>
      </c>
    </row>
    <row r="145" spans="1:5" ht="18" customHeight="1">
      <c r="A145" s="238" t="s">
        <v>147</v>
      </c>
      <c r="B145" s="272">
        <f ca="1">OFFSET('Tinh hinh tai chinh'!$BL121,0,'THTC in'!$D$7 - 1)</f>
        <v>0</v>
      </c>
      <c r="C145" s="272">
        <f>'Tinh hinh tai chinh'!BK121</f>
        <v>0</v>
      </c>
    </row>
    <row r="146" spans="1:5" ht="18" customHeight="1">
      <c r="A146" s="238" t="s">
        <v>148</v>
      </c>
      <c r="B146" s="272">
        <f ca="1">OFFSET('Tinh hinh tai chinh'!$BL122,0,'THTC in'!$D$7 - 1)</f>
        <v>0</v>
      </c>
      <c r="C146" s="272">
        <f>'Tinh hinh tai chinh'!BK122</f>
        <v>0</v>
      </c>
    </row>
    <row r="147" spans="1:5" ht="18" customHeight="1">
      <c r="A147" s="238" t="s">
        <v>149</v>
      </c>
      <c r="B147" s="272">
        <f ca="1">OFFSET('Tinh hinh tai chinh'!$BL123,0,'THTC in'!$D$7 - 1)</f>
        <v>0</v>
      </c>
      <c r="C147" s="272">
        <f>'Tinh hinh tai chinh'!BK123</f>
        <v>0</v>
      </c>
    </row>
    <row r="148" spans="1:5" ht="18" customHeight="1">
      <c r="A148" s="238" t="s">
        <v>150</v>
      </c>
      <c r="B148" s="272">
        <f ca="1">OFFSET('Tinh hinh tai chinh'!$BL124,0,'THTC in'!$D$7 - 1)</f>
        <v>0</v>
      </c>
      <c r="C148" s="272">
        <f>'Tinh hinh tai chinh'!BK124</f>
        <v>0</v>
      </c>
    </row>
    <row r="149" spans="1:5" ht="18" customHeight="1">
      <c r="A149" s="238" t="s">
        <v>151</v>
      </c>
      <c r="B149" s="272">
        <f ca="1">OFFSET('Tinh hinh tai chinh'!$BL125,0,'THTC in'!$D$7 - 1)</f>
        <v>0</v>
      </c>
      <c r="C149" s="272">
        <f>'Tinh hinh tai chinh'!BK125</f>
        <v>0</v>
      </c>
    </row>
    <row r="150" spans="1:5" ht="18" customHeight="1">
      <c r="A150" s="238" t="s">
        <v>152</v>
      </c>
      <c r="B150" s="273">
        <f t="shared" ref="B150" ca="1" si="12">B151+B152</f>
        <v>154060178758.80554</v>
      </c>
      <c r="C150" s="273">
        <f>C151+C152</f>
        <v>157128352153</v>
      </c>
      <c r="D150" s="274"/>
      <c r="E150" s="260"/>
    </row>
    <row r="151" spans="1:5" ht="18" customHeight="1">
      <c r="A151" s="275" t="s">
        <v>153</v>
      </c>
      <c r="B151" s="276">
        <f ca="1">OFFSET('Tinh hinh tai chinh'!$BL127,0,'THTC in'!$D$7 - 1)</f>
        <v>157128352153</v>
      </c>
      <c r="C151" s="276">
        <f>'Tinh hinh tai chinh'!BK127</f>
        <v>152017169935</v>
      </c>
      <c r="D151" s="274"/>
    </row>
    <row r="152" spans="1:5" ht="18" customHeight="1">
      <c r="A152" s="275" t="s">
        <v>154</v>
      </c>
      <c r="B152" s="276">
        <f ca="1">OFFSET('Tinh hinh tai chinh'!$BL128,0,'THTC in'!$D$7 - 1)</f>
        <v>-3068173394.1944447</v>
      </c>
      <c r="C152" s="276">
        <f>'Tinh hinh tai chinh'!BK128</f>
        <v>5111182218</v>
      </c>
      <c r="D152" s="274"/>
    </row>
    <row r="153" spans="1:5">
      <c r="A153" s="277"/>
      <c r="B153" s="257"/>
      <c r="C153" s="257"/>
    </row>
    <row r="154" spans="1:5" ht="22.5" customHeight="1">
      <c r="A154" s="265" t="s">
        <v>155</v>
      </c>
      <c r="B154" s="266">
        <f ca="1">B138+B103</f>
        <v>1424323112774.8057</v>
      </c>
      <c r="C154" s="266">
        <f>C103+C138</f>
        <v>1377306550833</v>
      </c>
      <c r="E154" s="260"/>
    </row>
    <row r="155" spans="1:5">
      <c r="B155" s="278">
        <f ca="1">+B154-B100</f>
        <v>0</v>
      </c>
      <c r="C155" s="278">
        <f>+C154-C100</f>
        <v>0</v>
      </c>
    </row>
    <row r="156" spans="1:5">
      <c r="B156" s="278">
        <v>0</v>
      </c>
      <c r="C156" s="278"/>
    </row>
    <row r="157" spans="1:5">
      <c r="B157" s="568" t="str">
        <f>'KQKD in'!F32</f>
        <v>Lập, ngày 30 tháng 11 năm 2025</v>
      </c>
      <c r="C157" s="568"/>
    </row>
    <row r="158" spans="1:5" ht="6.75" customHeight="1">
      <c r="B158" s="279"/>
      <c r="C158" s="279"/>
    </row>
    <row r="159" spans="1:5">
      <c r="A159" s="280" t="s">
        <v>10</v>
      </c>
      <c r="B159" s="569" t="str">
        <f>'Thong tin'!B18</f>
        <v xml:space="preserve">TỔNG GIÁM ĐỐC </v>
      </c>
      <c r="C159" s="569"/>
    </row>
    <row r="160" spans="1:5">
      <c r="A160" s="279"/>
      <c r="B160" s="225"/>
      <c r="C160" s="225"/>
    </row>
    <row r="161" spans="1:3">
      <c r="A161" s="279"/>
      <c r="B161" s="274"/>
      <c r="C161" s="225"/>
    </row>
    <row r="162" spans="1:3">
      <c r="A162" s="279"/>
      <c r="B162" s="225"/>
      <c r="C162" s="225"/>
    </row>
    <row r="163" spans="1:3">
      <c r="A163" s="279"/>
      <c r="B163" s="225"/>
      <c r="C163" s="225"/>
    </row>
    <row r="164" spans="1:3">
      <c r="A164" s="279"/>
      <c r="B164" s="225"/>
      <c r="C164" s="225"/>
    </row>
    <row r="165" spans="1:3" ht="15.6">
      <c r="A165" s="281"/>
      <c r="B165" s="225"/>
      <c r="C165" s="225"/>
    </row>
    <row r="166" spans="1:3">
      <c r="A166" s="279" t="str">
        <f>'Thong tin'!B16</f>
        <v>Giang Văn Lộc</v>
      </c>
      <c r="B166" s="568" t="str">
        <f>'Thong tin'!B19</f>
        <v>Trần Duy Hy</v>
      </c>
      <c r="C166" s="568"/>
    </row>
    <row r="167" spans="1:3">
      <c r="B167" s="225"/>
      <c r="C167" s="225"/>
    </row>
    <row r="168" spans="1:3">
      <c r="B168" s="225"/>
      <c r="C168" s="225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E650-BF98-49D2-B511-537F41B37F2A}">
  <sheetPr>
    <tabColor theme="8" tint="0.59999389629810485"/>
  </sheetPr>
  <dimension ref="A1:G48"/>
  <sheetViews>
    <sheetView showGridLines="0" showZeros="0" zoomScaleNormal="100" workbookViewId="0">
      <pane xSplit="3" ySplit="9" topLeftCell="D31" activePane="bottomRight" state="frozen"/>
      <selection pane="topRight" activeCell="P9" sqref="P9"/>
      <selection pane="bottomLeft" activeCell="P9" sqref="P9"/>
      <selection pane="bottomRight" activeCell="A5" sqref="A5:G5"/>
    </sheetView>
  </sheetViews>
  <sheetFormatPr defaultColWidth="9.109375" defaultRowHeight="13.8"/>
  <cols>
    <col min="1" max="1" width="3.5546875" style="225" customWidth="1"/>
    <col min="2" max="2" width="21.6640625" style="225" customWidth="1"/>
    <col min="3" max="3" width="18.44140625" style="225" customWidth="1"/>
    <col min="4" max="4" width="14.33203125" style="260" customWidth="1"/>
    <col min="5" max="5" width="14.33203125" style="225" customWidth="1"/>
    <col min="6" max="6" width="15.109375" style="260" customWidth="1"/>
    <col min="7" max="7" width="15.109375" style="225" customWidth="1"/>
    <col min="8" max="8" width="5.88671875" style="225" customWidth="1"/>
    <col min="9" max="16384" width="9.109375" style="225"/>
  </cols>
  <sheetData>
    <row r="1" spans="1:7" ht="15.6">
      <c r="A1" s="282" t="str">
        <f>'Thong tin'!$A$1</f>
        <v>CÔNG TY CP NHỰA TÁI CHẾ DUY TÂN</v>
      </c>
      <c r="B1" s="283"/>
      <c r="D1" s="225"/>
      <c r="E1" s="180"/>
      <c r="F1" s="225"/>
      <c r="G1" s="180"/>
    </row>
    <row r="2" spans="1:7" ht="16.2" thickBot="1">
      <c r="A2" s="223" t="str">
        <f>'Thong tin'!B2</f>
        <v>Lô D2, Cụm Công nghiệp Nhựa Đức Hoà Hạ, Xã Đức Hoà, Tỉnh Tây Ninh</v>
      </c>
      <c r="B2" s="284"/>
      <c r="C2" s="284"/>
      <c r="D2" s="284"/>
      <c r="E2" s="183"/>
      <c r="F2" s="284"/>
      <c r="G2" s="183"/>
    </row>
    <row r="3" spans="1:7" ht="15.6">
      <c r="D3" s="225"/>
      <c r="E3" s="184"/>
      <c r="F3" s="225"/>
      <c r="G3" s="184"/>
    </row>
    <row r="4" spans="1:7" ht="18.75" customHeight="1">
      <c r="A4" s="571" t="s">
        <v>156</v>
      </c>
      <c r="B4" s="571"/>
      <c r="C4" s="571"/>
      <c r="D4" s="571"/>
      <c r="E4" s="571"/>
      <c r="F4" s="571"/>
      <c r="G4" s="571"/>
    </row>
    <row r="5" spans="1:7" ht="15.6">
      <c r="A5" s="572" t="str">
        <f>"Năm " &amp; 'Thong tin'!$C$6</f>
        <v>Năm 2026</v>
      </c>
      <c r="B5" s="572"/>
      <c r="C5" s="572"/>
      <c r="D5" s="572"/>
      <c r="E5" s="572"/>
      <c r="F5" s="572"/>
      <c r="G5" s="572"/>
    </row>
    <row r="6" spans="1:7">
      <c r="E6" s="285"/>
      <c r="G6" s="286" t="s">
        <v>157</v>
      </c>
    </row>
    <row r="7" spans="1:7" ht="5.0999999999999996" customHeight="1"/>
    <row r="8" spans="1:7" ht="18.75" customHeight="1">
      <c r="A8" s="573" t="s">
        <v>158</v>
      </c>
      <c r="B8" s="574"/>
      <c r="C8" s="575"/>
      <c r="D8" s="579" t="str">
        <f>"Tháng "&amp;'Thong tin'!$C$9</f>
        <v>Tháng 1</v>
      </c>
      <c r="E8" s="580"/>
      <c r="F8" s="581" t="str">
        <f>"Lũy kế"&amp;" "&amp;'Thong tin'!$C$9 &amp;" "&amp;"tháng"</f>
        <v>Lũy kế 1 tháng</v>
      </c>
      <c r="G8" s="582"/>
    </row>
    <row r="9" spans="1:7" ht="18.75" customHeight="1">
      <c r="A9" s="576"/>
      <c r="B9" s="577"/>
      <c r="C9" s="578"/>
      <c r="D9" s="287" t="str">
        <f>"Năm " &amp; 'Thong tin'!$C$6</f>
        <v>Năm 2026</v>
      </c>
      <c r="E9" s="287" t="str">
        <f>"Năm " &amp; 'Thong tin'!$C$7</f>
        <v>Năm 2025</v>
      </c>
      <c r="F9" s="287" t="str">
        <f>"Năm " &amp; 'Thong tin'!$C$6</f>
        <v>Năm 2026</v>
      </c>
      <c r="G9" s="287" t="str">
        <f>"Năm " &amp; 'Thong tin'!$C$7</f>
        <v>Năm 2025</v>
      </c>
    </row>
    <row r="10" spans="1:7" ht="28.5" customHeight="1">
      <c r="A10" s="288" t="s">
        <v>159</v>
      </c>
      <c r="B10" s="583" t="s">
        <v>160</v>
      </c>
      <c r="C10" s="584"/>
      <c r="D10" s="289">
        <f ca="1">OFFSET('Ket qua kinh doanh'!$BL5,0,'Thong tin'!$C$9 - 1)</f>
        <v>126470480720</v>
      </c>
      <c r="E10" s="289">
        <f ca="1">OFFSET('Ket qua kinh doanh'!$AZ5,0,'Thong tin'!$C$9 - 1)</f>
        <v>114983880947</v>
      </c>
      <c r="F10" s="289">
        <f ca="1">SUM(OFFSET('Ket qua kinh doanh'!$BL5,0,0,1,'Thong tin'!$C$9))</f>
        <v>126470480720</v>
      </c>
      <c r="G10" s="289">
        <f ca="1">SUM(OFFSET('Ket qua kinh doanh'!$AZ5,0,0,1,'Thong tin'!$C$9))</f>
        <v>114983880947</v>
      </c>
    </row>
    <row r="11" spans="1:7" ht="18" customHeight="1">
      <c r="A11" s="290" t="s">
        <v>161</v>
      </c>
      <c r="B11" s="291" t="s">
        <v>162</v>
      </c>
      <c r="C11" s="292"/>
      <c r="D11" s="293">
        <f ca="1">OFFSET('Ket qua kinh doanh'!$BL6,0,'Thong tin'!$C$9 - 1)</f>
        <v>687876997</v>
      </c>
      <c r="E11" s="293">
        <f ca="1">OFFSET('Ket qua kinh doanh'!$AZ6,0,'Thong tin'!$C$9 - 1)</f>
        <v>513935495</v>
      </c>
      <c r="F11" s="293">
        <f ca="1">SUM(OFFSET('Ket qua kinh doanh'!$BL6,0,0,1,'Thong tin'!$C$9))</f>
        <v>687876997</v>
      </c>
      <c r="G11" s="293">
        <f ca="1">SUM(OFFSET('Ket qua kinh doanh'!$AZ6,0,0,1,'Thong tin'!$C$9))</f>
        <v>513935495</v>
      </c>
    </row>
    <row r="12" spans="1:7" s="296" customFormat="1" ht="29.25" customHeight="1">
      <c r="A12" s="294" t="s">
        <v>163</v>
      </c>
      <c r="B12" s="585" t="s">
        <v>164</v>
      </c>
      <c r="C12" s="586"/>
      <c r="D12" s="295">
        <f ca="1">OFFSET('Ket qua kinh doanh'!$BL7,0,'Thong tin'!$C$9 - 1)</f>
        <v>125782603723</v>
      </c>
      <c r="E12" s="295">
        <f ca="1">OFFSET('Ket qua kinh doanh'!$AZ7,0,'Thong tin'!$C$9 - 1)</f>
        <v>114469945452</v>
      </c>
      <c r="F12" s="295">
        <f ca="1">SUM(OFFSET('Ket qua kinh doanh'!$BL7,0,0,1,'Thong tin'!$C$9))</f>
        <v>125782603723</v>
      </c>
      <c r="G12" s="295">
        <f ca="1">SUM(OFFSET('Ket qua kinh doanh'!$AZ7,0,0,1,'Thong tin'!$C$9))</f>
        <v>114469945452</v>
      </c>
    </row>
    <row r="13" spans="1:7" ht="18" customHeight="1">
      <c r="A13" s="297" t="s">
        <v>165</v>
      </c>
      <c r="B13" s="298" t="s">
        <v>166</v>
      </c>
      <c r="C13" s="299"/>
      <c r="D13" s="300">
        <f ca="1">OFFSET('Ket qua kinh doanh'!$BL8,0,'Thong tin'!$C$9 - 1)</f>
        <v>114204897263.19444</v>
      </c>
      <c r="E13" s="300">
        <f ca="1">OFFSET('Ket qua kinh doanh'!$AZ8,0,'Thong tin'!$C$9 - 1)</f>
        <v>97986840184</v>
      </c>
      <c r="F13" s="300">
        <f ca="1">SUM(OFFSET('Ket qua kinh doanh'!$BL8,0,0,1,'Thong tin'!$C$9))</f>
        <v>114204897263.19444</v>
      </c>
      <c r="G13" s="289">
        <f ca="1">SUM(OFFSET('Ket qua kinh doanh'!$AZ8,0,0,1,'Thong tin'!$C$9))</f>
        <v>97986840184</v>
      </c>
    </row>
    <row r="14" spans="1:7" s="296" customFormat="1" ht="28.5" customHeight="1">
      <c r="A14" s="294" t="s">
        <v>167</v>
      </c>
      <c r="B14" s="585" t="s">
        <v>168</v>
      </c>
      <c r="C14" s="586"/>
      <c r="D14" s="301">
        <f ca="1">OFFSET('Ket qua kinh doanh'!$BL9,0,'Thong tin'!$C$9 - 1)</f>
        <v>11577706459.805557</v>
      </c>
      <c r="E14" s="301">
        <f ca="1">OFFSET('Ket qua kinh doanh'!$AZ9,0,'Thong tin'!$C$9 - 1)</f>
        <v>16483105268</v>
      </c>
      <c r="F14" s="301">
        <f ca="1">SUM(OFFSET('Ket qua kinh doanh'!$BL9,0,0,1,'Thong tin'!$C$9))</f>
        <v>11577706459.805557</v>
      </c>
      <c r="G14" s="301">
        <f ca="1">SUM(OFFSET('Ket qua kinh doanh'!$AZ9,0,0,1,'Thong tin'!$C$9))</f>
        <v>16483105268</v>
      </c>
    </row>
    <row r="15" spans="1:7" s="296" customFormat="1" ht="28.5" customHeight="1">
      <c r="A15" s="294" t="s">
        <v>169</v>
      </c>
      <c r="B15" s="585" t="s">
        <v>170</v>
      </c>
      <c r="C15" s="586"/>
      <c r="D15" s="301">
        <f ca="1">OFFSET('Ket qua kinh doanh'!$BL10,0,'Thong tin'!$C$9 - 1)</f>
        <v>0</v>
      </c>
      <c r="E15" s="301">
        <f ca="1">OFFSET('Ket qua kinh doanh'!$AZ10,0,'Thong tin'!$C$9 - 1)</f>
        <v>0</v>
      </c>
      <c r="F15" s="301">
        <f ca="1">SUM(OFFSET('Ket qua kinh doanh'!$BL10,0,0,1,'Thong tin'!$C$9))</f>
        <v>0</v>
      </c>
      <c r="G15" s="301">
        <f ca="1">SUM(OFFSET('Ket qua kinh doanh'!$AZ10,0,0,1,'Thong tin'!$C$9))</f>
        <v>0</v>
      </c>
    </row>
    <row r="16" spans="1:7" ht="18" customHeight="1">
      <c r="A16" s="290" t="s">
        <v>171</v>
      </c>
      <c r="B16" s="291" t="s">
        <v>172</v>
      </c>
      <c r="C16" s="292"/>
      <c r="D16" s="302">
        <f ca="1">OFFSET('Ket qua kinh doanh'!$BL11,0,'Thong tin'!$C$9 - 1)</f>
        <v>1119033075</v>
      </c>
      <c r="E16" s="302">
        <f ca="1">OFFSET('Ket qua kinh doanh'!$AZ11,0,'Thong tin'!$C$9 - 1)</f>
        <v>830662240</v>
      </c>
      <c r="F16" s="293">
        <f ca="1">SUM(OFFSET('Ket qua kinh doanh'!$BL11,0,0,1,'Thong tin'!$C$9))</f>
        <v>1119033075</v>
      </c>
      <c r="G16" s="293">
        <f ca="1">SUM(OFFSET('Ket qua kinh doanh'!$AZ11,0,0,1,'Thong tin'!$C$9))</f>
        <v>830662240</v>
      </c>
    </row>
    <row r="17" spans="1:7" ht="18" customHeight="1">
      <c r="A17" s="290" t="s">
        <v>173</v>
      </c>
      <c r="B17" s="291" t="s">
        <v>174</v>
      </c>
      <c r="C17" s="292"/>
      <c r="D17" s="302">
        <f ca="1">OFFSET('Ket qua kinh doanh'!$BL12,0,'Thong tin'!$C$9 - 1)</f>
        <v>1532817392</v>
      </c>
      <c r="E17" s="293">
        <f ca="1">OFFSET('Ket qua kinh doanh'!$AZ12,0,'Thong tin'!$C$9 - 1)</f>
        <v>1529745602</v>
      </c>
      <c r="F17" s="293">
        <f ca="1">SUM(OFFSET('Ket qua kinh doanh'!$BL12,0,0,1,'Thong tin'!$C$9))</f>
        <v>1532817392</v>
      </c>
      <c r="G17" s="293">
        <f ca="1">SUM(OFFSET('Ket qua kinh doanh'!$AZ12,0,0,1,'Thong tin'!$C$9))</f>
        <v>1529745602</v>
      </c>
    </row>
    <row r="18" spans="1:7" s="306" customFormat="1" ht="18" customHeight="1">
      <c r="A18" s="303"/>
      <c r="B18" s="304" t="s">
        <v>175</v>
      </c>
      <c r="C18" s="305"/>
      <c r="D18" s="293">
        <f ca="1">OFFSET('Ket qua kinh doanh'!$BL13,0,'Thong tin'!$C$9 - 1)</f>
        <v>1240115065</v>
      </c>
      <c r="E18" s="293">
        <f ca="1">OFFSET('Ket qua kinh doanh'!$AZ13,0,'Thong tin'!$C$9 - 1)</f>
        <v>1114824276</v>
      </c>
      <c r="F18" s="293">
        <f ca="1">SUM(OFFSET('Ket qua kinh doanh'!$BL13,0,0,1,'Thong tin'!$C$9))</f>
        <v>1240115065</v>
      </c>
      <c r="G18" s="293">
        <f ca="1">SUM(OFFSET('Ket qua kinh doanh'!$AZ13,0,0,1,'Thong tin'!$C$9))</f>
        <v>1114824276</v>
      </c>
    </row>
    <row r="19" spans="1:7" ht="18" customHeight="1">
      <c r="A19" s="290" t="s">
        <v>176</v>
      </c>
      <c r="B19" s="291" t="s">
        <v>177</v>
      </c>
      <c r="C19" s="292"/>
      <c r="D19" s="302">
        <f ca="1">OFFSET('Ket qua kinh doanh'!$BL14,0,'Thong tin'!$C$9 - 1)</f>
        <v>4308598004</v>
      </c>
      <c r="E19" s="302">
        <f ca="1">OFFSET('Ket qua kinh doanh'!$AZ14,0,'Thong tin'!$C$9 - 1)</f>
        <v>4181224849</v>
      </c>
      <c r="F19" s="293">
        <f ca="1">SUM(OFFSET('Ket qua kinh doanh'!$BL14,0,0,1,'Thong tin'!$C$9))</f>
        <v>4308598004</v>
      </c>
      <c r="G19" s="293">
        <f ca="1">SUM(OFFSET('Ket qua kinh doanh'!$AZ14,0,0,1,'Thong tin'!$C$9))</f>
        <v>4181224849</v>
      </c>
    </row>
    <row r="20" spans="1:7" ht="18" customHeight="1">
      <c r="A20" s="290" t="s">
        <v>178</v>
      </c>
      <c r="B20" s="291" t="s">
        <v>179</v>
      </c>
      <c r="C20" s="292"/>
      <c r="D20" s="293">
        <f ca="1">OFFSET('Ket qua kinh doanh'!$BL15,0,'Thong tin'!$C$9 - 1)</f>
        <v>9741945070</v>
      </c>
      <c r="E20" s="293">
        <f ca="1">OFFSET('Ket qua kinh doanh'!$AZ15,0,'Thong tin'!$C$9 - 1)</f>
        <v>8548199037</v>
      </c>
      <c r="F20" s="293">
        <f ca="1">SUM(OFFSET('Ket qua kinh doanh'!$BL15,0,0,1,'Thong tin'!$C$9))</f>
        <v>9741945070</v>
      </c>
      <c r="G20" s="293">
        <f ca="1">SUM(OFFSET('Ket qua kinh doanh'!$AZ15,0,0,1,'Thong tin'!$C$9))</f>
        <v>8548199037</v>
      </c>
    </row>
    <row r="21" spans="1:7" s="296" customFormat="1" ht="18" customHeight="1">
      <c r="A21" s="307" t="s">
        <v>180</v>
      </c>
      <c r="B21" s="585" t="s">
        <v>181</v>
      </c>
      <c r="C21" s="586"/>
      <c r="D21" s="301">
        <f ca="1">OFFSET('Ket qua kinh doanh'!$BL16,0,'Thong tin'!$C$9 - 1)</f>
        <v>-2886620931.1944427</v>
      </c>
      <c r="E21" s="301">
        <f ca="1">OFFSET('Ket qua kinh doanh'!$AZ16,0,'Thong tin'!$C$9 - 1)</f>
        <v>3054598020</v>
      </c>
      <c r="F21" s="301">
        <f ca="1">SUM(OFFSET('Ket qua kinh doanh'!$BL16,0,0,1,'Thong tin'!$C$9))</f>
        <v>-2886620931.1944427</v>
      </c>
      <c r="G21" s="301">
        <f ca="1">SUM(OFFSET('Ket qua kinh doanh'!$AZ16,0,0,1,'Thong tin'!$C$9))</f>
        <v>3054598020</v>
      </c>
    </row>
    <row r="22" spans="1:7" ht="18" customHeight="1">
      <c r="A22" s="290" t="s">
        <v>182</v>
      </c>
      <c r="B22" s="291" t="s">
        <v>183</v>
      </c>
      <c r="C22" s="292"/>
      <c r="D22" s="293">
        <f ca="1">OFFSET('Ket qua kinh doanh'!$BL17,0,'Thong tin'!$C$9 - 1)</f>
        <v>62317597</v>
      </c>
      <c r="E22" s="293">
        <f ca="1">OFFSET('Ket qua kinh doanh'!$AZ17,0,'Thong tin'!$C$9 - 1)</f>
        <v>105489733</v>
      </c>
      <c r="F22" s="293">
        <f ca="1">SUM(OFFSET('Ket qua kinh doanh'!$BL17,0,0,1,'Thong tin'!$C$9))</f>
        <v>62317597</v>
      </c>
      <c r="G22" s="293">
        <f ca="1">SUM(OFFSET('Ket qua kinh doanh'!$AZ17,0,0,1,'Thong tin'!$C$9))</f>
        <v>105489733</v>
      </c>
    </row>
    <row r="23" spans="1:7" ht="18" customHeight="1">
      <c r="A23" s="290" t="s">
        <v>184</v>
      </c>
      <c r="B23" s="291" t="s">
        <v>185</v>
      </c>
      <c r="C23" s="292"/>
      <c r="D23" s="293">
        <f ca="1">OFFSET('Ket qua kinh doanh'!$BL18,0,'Thong tin'!$C$9 - 1)</f>
        <v>243870060</v>
      </c>
      <c r="E23" s="293">
        <f ca="1">OFFSET('Ket qua kinh doanh'!$AZ18,0,'Thong tin'!$C$9 - 1)</f>
        <v>60241342</v>
      </c>
      <c r="F23" s="293">
        <f ca="1">SUM(OFFSET('Ket qua kinh doanh'!$BL18,0,0,1,'Thong tin'!$C$9))</f>
        <v>243870060</v>
      </c>
      <c r="G23" s="293">
        <f ca="1">SUM(OFFSET('Ket qua kinh doanh'!$AZ18,0,0,1,'Thong tin'!$C$9))</f>
        <v>60241342</v>
      </c>
    </row>
    <row r="24" spans="1:7" ht="18" customHeight="1">
      <c r="A24" s="297" t="s">
        <v>186</v>
      </c>
      <c r="B24" s="298" t="s">
        <v>187</v>
      </c>
      <c r="C24" s="299"/>
      <c r="D24" s="308">
        <f ca="1">OFFSET('Ket qua kinh doanh'!$BL19,0,'Thong tin'!$C$9 - 1)</f>
        <v>-181552463</v>
      </c>
      <c r="E24" s="308">
        <f ca="1">OFFSET('Ket qua kinh doanh'!$AZ19,0,'Thong tin'!$C$9 - 1)</f>
        <v>45248391</v>
      </c>
      <c r="F24" s="308">
        <f ca="1">SUM(OFFSET('Ket qua kinh doanh'!$BL19,0,0,1,'Thong tin'!$C$9))</f>
        <v>-181552463</v>
      </c>
      <c r="G24" s="308">
        <f ca="1">SUM(OFFSET('Ket qua kinh doanh'!$AZ19,0,0,1,'Thong tin'!$C$9))</f>
        <v>45248391</v>
      </c>
    </row>
    <row r="25" spans="1:7" s="296" customFormat="1" ht="18" customHeight="1">
      <c r="A25" s="294" t="s">
        <v>188</v>
      </c>
      <c r="B25" s="309" t="s">
        <v>189</v>
      </c>
      <c r="C25" s="310"/>
      <c r="D25" s="311">
        <f ca="1">OFFSET('Ket qua kinh doanh'!$BL20,0,'Thong tin'!$C$9 - 1)</f>
        <v>-3068173394.1944427</v>
      </c>
      <c r="E25" s="311">
        <f ca="1">OFFSET('Ket qua kinh doanh'!$AZ20,0,'Thong tin'!$C$9 - 1)</f>
        <v>3099846411</v>
      </c>
      <c r="F25" s="311">
        <f ca="1">SUM(OFFSET('Ket qua kinh doanh'!$BL20,0,0,1,'Thong tin'!$C$9))</f>
        <v>-3068173394.1944427</v>
      </c>
      <c r="G25" s="311">
        <f ca="1">SUM(OFFSET('Ket qua kinh doanh'!$AZ20,0,0,1,'Thong tin'!$C$9))</f>
        <v>3099846411</v>
      </c>
    </row>
    <row r="26" spans="1:7" ht="18" customHeight="1">
      <c r="A26" s="290" t="s">
        <v>190</v>
      </c>
      <c r="B26" s="291" t="s">
        <v>191</v>
      </c>
      <c r="C26" s="292"/>
      <c r="D26" s="312">
        <f ca="1">OFFSET('Ket qua kinh doanh'!$BL22,0,'Thong tin'!$C$9 - 1)</f>
        <v>0</v>
      </c>
      <c r="E26" s="302">
        <f ca="1">OFFSET('Ket qua kinh doanh'!$AZ21,0,'Thong tin'!$C$9 - 1)</f>
        <v>864190686</v>
      </c>
      <c r="F26" s="293">
        <f ca="1">SUM(OFFSET('Ket qua kinh doanh'!$BL22,0,0,1,'Thong tin'!$C$9))</f>
        <v>0</v>
      </c>
      <c r="G26" s="293">
        <f ca="1">SUM(OFFSET('Ket qua kinh doanh'!$AZ21,0,0,1,'Thong tin'!$C$9))</f>
        <v>864190686</v>
      </c>
    </row>
    <row r="27" spans="1:7" ht="18" customHeight="1">
      <c r="A27" s="290" t="s">
        <v>192</v>
      </c>
      <c r="B27" s="291" t="s">
        <v>193</v>
      </c>
      <c r="C27" s="292"/>
      <c r="D27" s="312">
        <f ca="1">OFFSET('Ket qua kinh doanh'!BL22,0,'Thong tin'!$C$9 - 1)</f>
        <v>0</v>
      </c>
      <c r="E27" s="302">
        <f ca="1">OFFSET('Ket qua kinh doanh'!$AZ22,0,'Thong tin'!$C$9 - 1)</f>
        <v>0</v>
      </c>
      <c r="F27" s="312">
        <f ca="1">SUM(OFFSET('Ket qua kinh doanh'!BL22,0,0,1,'Thong tin'!$C$9))</f>
        <v>0</v>
      </c>
      <c r="G27" s="293">
        <f ca="1">SUM(OFFSET('Ket qua kinh doanh'!$AZ22,0,0,1,'Thong tin'!$C$9))</f>
        <v>0</v>
      </c>
    </row>
    <row r="28" spans="1:7" s="296" customFormat="1" ht="18" customHeight="1">
      <c r="A28" s="313" t="s">
        <v>194</v>
      </c>
      <c r="B28" s="314" t="s">
        <v>195</v>
      </c>
      <c r="C28" s="315"/>
      <c r="D28" s="316">
        <f ca="1">OFFSET('Ket qua kinh doanh'!$BL23,0,'Thong tin'!$C$9 - 1)</f>
        <v>-3068173394.1944427</v>
      </c>
      <c r="E28" s="316">
        <f ca="1">OFFSET('Ket qua kinh doanh'!$AZ23,0,'Thong tin'!$C$9 - 1)</f>
        <v>2235655725</v>
      </c>
      <c r="F28" s="316">
        <f ca="1">SUM(OFFSET('Ket qua kinh doanh'!$BL23,0,0,1,'Thong tin'!$C$9))</f>
        <v>-3068173394.1944427</v>
      </c>
      <c r="G28" s="316">
        <f ca="1">SUM(OFFSET('Ket qua kinh doanh'!$AZ23,0,0,1,'Thong tin'!$C$9))</f>
        <v>2235655725</v>
      </c>
    </row>
    <row r="29" spans="1:7" hidden="1">
      <c r="A29" s="317" t="s">
        <v>196</v>
      </c>
      <c r="B29" s="283" t="s">
        <v>197</v>
      </c>
      <c r="C29" s="318"/>
      <c r="D29" s="319"/>
      <c r="E29" s="320"/>
      <c r="F29" s="321" t="e">
        <f>#REF!+#REF!+#REF!+#REF!+#REF!+#REF!+#REF!+#REF!+#REF!+#REF!+#REF!+D29</f>
        <v>#REF!</v>
      </c>
      <c r="G29" s="321" t="e">
        <f>#REF!+#REF!+#REF!+#REF!+#REF!+#REF!+#REF!+#REF!+#REF!+#REF!+#REF!+E29</f>
        <v>#REF!</v>
      </c>
    </row>
    <row r="30" spans="1:7" ht="6" customHeight="1">
      <c r="A30" s="322"/>
      <c r="B30" s="323"/>
      <c r="C30" s="324"/>
      <c r="D30" s="325"/>
      <c r="E30" s="326"/>
      <c r="F30" s="325"/>
      <c r="G30" s="326"/>
    </row>
    <row r="31" spans="1:7" ht="11.25" customHeight="1">
      <c r="D31" s="278">
        <v>0</v>
      </c>
      <c r="E31" s="278">
        <v>0</v>
      </c>
      <c r="F31" s="278">
        <v>0</v>
      </c>
      <c r="G31" s="278">
        <v>0</v>
      </c>
    </row>
    <row r="32" spans="1:7">
      <c r="D32" s="587"/>
      <c r="E32" s="587"/>
      <c r="F32" s="570" t="s">
        <v>198</v>
      </c>
      <c r="G32" s="570"/>
    </row>
    <row r="33" spans="2:7">
      <c r="D33" s="327"/>
      <c r="E33" s="327"/>
      <c r="F33" s="327"/>
      <c r="G33" s="327"/>
    </row>
    <row r="34" spans="2:7">
      <c r="B34" s="588" t="s">
        <v>10</v>
      </c>
      <c r="C34" s="588"/>
      <c r="D34" s="588"/>
      <c r="E34" s="588"/>
      <c r="F34" s="569" t="str">
        <f>'Thong tin'!B18</f>
        <v xml:space="preserve">TỔNG GIÁM ĐỐC </v>
      </c>
      <c r="G34" s="569"/>
    </row>
    <row r="35" spans="2:7" ht="15" customHeight="1">
      <c r="B35" s="328"/>
      <c r="D35" s="329"/>
    </row>
    <row r="36" spans="2:7" ht="15" customHeight="1">
      <c r="B36" s="328"/>
      <c r="D36" s="329"/>
    </row>
    <row r="37" spans="2:7" ht="15" customHeight="1">
      <c r="B37" s="328"/>
      <c r="D37" s="329"/>
    </row>
    <row r="38" spans="2:7" ht="15" customHeight="1">
      <c r="B38" s="328"/>
      <c r="D38" s="329"/>
    </row>
    <row r="39" spans="2:7" ht="15" customHeight="1">
      <c r="B39" s="328"/>
      <c r="D39" s="329"/>
    </row>
    <row r="40" spans="2:7" ht="15" customHeight="1">
      <c r="B40" s="328"/>
      <c r="D40" s="329"/>
    </row>
    <row r="41" spans="2:7" ht="15" customHeight="1">
      <c r="B41" s="589" t="str">
        <f>'Thong tin'!B16</f>
        <v>Giang Văn Lộc</v>
      </c>
      <c r="C41" s="589"/>
      <c r="D41" s="589"/>
      <c r="E41" s="589"/>
      <c r="F41" s="568" t="str">
        <f>'Thong tin'!B19</f>
        <v>Trần Duy Hy</v>
      </c>
      <c r="G41" s="568"/>
    </row>
    <row r="42" spans="2:7" ht="15" customHeight="1"/>
    <row r="43" spans="2:7" ht="15" customHeight="1"/>
    <row r="44" spans="2:7" ht="15" customHeight="1"/>
    <row r="45" spans="2:7" ht="15" customHeight="1"/>
    <row r="46" spans="2:7" ht="15" customHeight="1"/>
    <row r="48" spans="2:7" ht="15" customHeight="1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97F5-E69A-40C6-BCA9-2FCD6D3FE136}">
  <sheetPr>
    <tabColor theme="8" tint="0.59999389629810485"/>
  </sheetPr>
  <dimension ref="A1:G59"/>
  <sheetViews>
    <sheetView showGridLines="0" showZeros="0" zoomScaleNormal="100" workbookViewId="0">
      <pane xSplit="1" ySplit="9" topLeftCell="B49" activePane="bottomRight" state="frozen"/>
      <selection pane="topRight" activeCell="P9" sqref="P9"/>
      <selection pane="bottomLeft" activeCell="P9" sqref="P9"/>
      <selection pane="bottomRight" activeCell="A5" sqref="A5:E5"/>
    </sheetView>
  </sheetViews>
  <sheetFormatPr defaultColWidth="9.109375" defaultRowHeight="13.8"/>
  <cols>
    <col min="1" max="1" width="37.109375" style="330" customWidth="1"/>
    <col min="2" max="2" width="16.33203125" style="330" customWidth="1"/>
    <col min="3" max="3" width="17.109375" style="357" customWidth="1"/>
    <col min="4" max="4" width="16.44140625" style="330" customWidth="1"/>
    <col min="5" max="5" width="17.109375" style="357" customWidth="1"/>
    <col min="6" max="6" width="12" style="330" bestFit="1" customWidth="1"/>
    <col min="7" max="7" width="17.88671875" style="330" bestFit="1" customWidth="1"/>
    <col min="8" max="16384" width="9.109375" style="330"/>
  </cols>
  <sheetData>
    <row r="1" spans="1:7" ht="15.6">
      <c r="A1" s="282" t="str">
        <f>'Thong tin'!$A$1</f>
        <v>CÔNG TY CP NHỰA TÁI CHẾ DUY TÂN</v>
      </c>
      <c r="B1" s="225"/>
      <c r="C1" s="180"/>
      <c r="D1" s="225"/>
      <c r="E1" s="180"/>
    </row>
    <row r="2" spans="1:7" ht="16.2" thickBot="1">
      <c r="A2" s="223" t="str">
        <f>'Thong tin'!B2</f>
        <v>Lô D2, Cụm Công nghiệp Nhựa Đức Hoà Hạ, Xã Đức Hoà, Tỉnh Tây Ninh</v>
      </c>
      <c r="B2" s="284"/>
      <c r="C2" s="183"/>
      <c r="D2" s="284"/>
      <c r="E2" s="183"/>
    </row>
    <row r="3" spans="1:7" ht="27" customHeight="1">
      <c r="A3" s="225"/>
      <c r="B3" s="225"/>
      <c r="C3" s="184"/>
      <c r="D3" s="225"/>
      <c r="E3" s="184"/>
    </row>
    <row r="4" spans="1:7" ht="20.399999999999999">
      <c r="A4" s="571" t="s">
        <v>199</v>
      </c>
      <c r="B4" s="571"/>
      <c r="C4" s="571"/>
      <c r="D4" s="571"/>
      <c r="E4" s="571"/>
    </row>
    <row r="5" spans="1:7" ht="12" customHeight="1">
      <c r="A5" s="590" t="s">
        <v>200</v>
      </c>
      <c r="B5" s="590"/>
      <c r="C5" s="590"/>
      <c r="D5" s="590"/>
      <c r="E5" s="590"/>
    </row>
    <row r="6" spans="1:7" ht="12.75" customHeight="1">
      <c r="A6" s="591" t="str">
        <f>"Năm " &amp; 'Thong tin'!$C$6</f>
        <v>Năm 2026</v>
      </c>
      <c r="B6" s="591"/>
      <c r="C6" s="591"/>
      <c r="D6" s="591"/>
      <c r="E6" s="591"/>
    </row>
    <row r="7" spans="1:7" ht="12" customHeight="1">
      <c r="B7" s="331"/>
      <c r="C7" s="285"/>
      <c r="D7" s="331"/>
      <c r="E7" s="332" t="str">
        <f>'KQKD in'!G6</f>
        <v>ĐVT: VNĐ</v>
      </c>
    </row>
    <row r="8" spans="1:7" s="333" customFormat="1" ht="14.25" customHeight="1">
      <c r="A8" s="592" t="s">
        <v>158</v>
      </c>
      <c r="B8" s="579" t="str">
        <f>"Tháng " &amp; 'Thong tin'!$C$9</f>
        <v>Tháng 1</v>
      </c>
      <c r="C8" s="580"/>
      <c r="D8" s="581" t="str">
        <f>"Lũy kế"&amp;" "&amp; 'Thong tin'!$C$9 &amp;" "&amp;"tháng"</f>
        <v>Lũy kế 1 tháng</v>
      </c>
      <c r="E8" s="582"/>
    </row>
    <row r="9" spans="1:7">
      <c r="A9" s="593"/>
      <c r="B9" s="334" t="str">
        <f>"Năm " &amp; 'Thong tin'!$C$6</f>
        <v>Năm 2026</v>
      </c>
      <c r="C9" s="334" t="str">
        <f>"Năm " &amp; 'Thong tin'!$C$7</f>
        <v>Năm 2025</v>
      </c>
      <c r="D9" s="334" t="str">
        <f>"Năm " &amp; 'Thong tin'!$C$6</f>
        <v>Năm 2026</v>
      </c>
      <c r="E9" s="334" t="str">
        <f>"Năm " &amp; 'Thong tin'!$C$7</f>
        <v>Năm 2025</v>
      </c>
    </row>
    <row r="10" spans="1:7" ht="18" customHeight="1">
      <c r="A10" s="335" t="s">
        <v>201</v>
      </c>
      <c r="B10" s="336"/>
      <c r="C10" s="336"/>
      <c r="D10" s="336"/>
      <c r="E10" s="336"/>
    </row>
    <row r="11" spans="1:7" s="338" customFormat="1" ht="17.100000000000001" customHeight="1">
      <c r="A11" s="337" t="s">
        <v>202</v>
      </c>
      <c r="B11" s="486">
        <f ca="1">OFFSET('Luu chuyen tien te'!$BL5,0,'Thong tin'!$C$9 - 1)</f>
        <v>-3068173394.1944427</v>
      </c>
      <c r="C11" s="486">
        <f ca="1">OFFSET('Luu chuyen tien te'!$AZ5,0,'Thong tin'!$C$9 - 1)</f>
        <v>3099846411</v>
      </c>
      <c r="D11" s="486">
        <f ca="1">SUM(OFFSET('Luu chuyen tien te'!$BL5,0,0,1,'Thong tin'!$C$9))</f>
        <v>-3068173394.1944427</v>
      </c>
      <c r="E11" s="486">
        <f ca="1">SUM(OFFSET('Luu chuyen tien te'!$AZ5,0,0,1,'Thong tin'!$C$9))</f>
        <v>3099846411</v>
      </c>
    </row>
    <row r="12" spans="1:7" s="338" customFormat="1" ht="17.100000000000001" customHeight="1">
      <c r="A12" s="337" t="s">
        <v>203</v>
      </c>
      <c r="B12" s="486"/>
      <c r="C12" s="486"/>
      <c r="D12" s="486"/>
      <c r="E12" s="486"/>
    </row>
    <row r="13" spans="1:7">
      <c r="A13" s="339" t="s">
        <v>204</v>
      </c>
      <c r="B13" s="487">
        <f ca="1">OFFSET('Luu chuyen tien te'!$BL7,0,'Thong tin'!$C$9 - 1)</f>
        <v>2875404568</v>
      </c>
      <c r="C13" s="487">
        <f ca="1">OFFSET('Luu chuyen tien te'!$AZ7,0,'Thong tin'!$C$9 - 1)</f>
        <v>4869731514</v>
      </c>
      <c r="D13" s="487">
        <f ca="1">SUM(OFFSET('Luu chuyen tien te'!$BL7,0,0,1,'Thong tin'!$C$9))</f>
        <v>2875404568</v>
      </c>
      <c r="E13" s="487">
        <f ca="1">SUM(OFFSET('Luu chuyen tien te'!$AZ7,0,0,1,'Thong tin'!$C$9))</f>
        <v>4869731514</v>
      </c>
    </row>
    <row r="14" spans="1:7">
      <c r="A14" s="339" t="s">
        <v>205</v>
      </c>
      <c r="B14" s="487">
        <f ca="1">OFFSET('Luu chuyen tien te'!$BL8,0,'Thong tin'!$C$9 - 1)</f>
        <v>0</v>
      </c>
      <c r="C14" s="487">
        <f ca="1">OFFSET('Luu chuyen tien te'!$AZ8,0,'Thong tin'!$C$9 - 1)</f>
        <v>0</v>
      </c>
      <c r="D14" s="487">
        <f ca="1">SUM(OFFSET('Luu chuyen tien te'!$BL8,0,0,1,'Thong tin'!$C$9))</f>
        <v>0</v>
      </c>
      <c r="E14" s="487">
        <f ca="1">SUM(OFFSET('Luu chuyen tien te'!$AZ8,0,0,1,'Thong tin'!$C$9))</f>
        <v>0</v>
      </c>
      <c r="G14" s="340"/>
    </row>
    <row r="15" spans="1:7" ht="29.25" customHeight="1">
      <c r="A15" s="341" t="s">
        <v>206</v>
      </c>
      <c r="B15" s="487">
        <f ca="1">OFFSET('Luu chuyen tien te'!$BL9,0,'Thong tin'!$C$9 - 1)</f>
        <v>-282378363</v>
      </c>
      <c r="C15" s="487">
        <f ca="1">OFFSET('Luu chuyen tien te'!$AZ9,0,'Thong tin'!$C$9 - 1)</f>
        <v>-357780096</v>
      </c>
      <c r="D15" s="487">
        <f ca="1">SUM(OFFSET('Luu chuyen tien te'!$BL9,0,0,1,'Thong tin'!$C$9))</f>
        <v>-282378363</v>
      </c>
      <c r="E15" s="487">
        <f ca="1">SUM(OFFSET('Luu chuyen tien te'!$AZ9,0,0,1,'Thong tin'!$C$9))</f>
        <v>-357780096</v>
      </c>
    </row>
    <row r="16" spans="1:7">
      <c r="A16" s="339" t="s">
        <v>207</v>
      </c>
      <c r="B16" s="487">
        <f ca="1">OFFSET('Luu chuyen tien te'!$BL10,0,'Thong tin'!$C$9 - 1)</f>
        <v>-67576364</v>
      </c>
      <c r="C16" s="487">
        <f ca="1">OFFSET('Luu chuyen tien te'!$AZ10,0,'Thong tin'!$C$9 - 1)</f>
        <v>-454865223</v>
      </c>
      <c r="D16" s="487">
        <f ca="1">SUM(OFFSET('Luu chuyen tien te'!$BL10,0,0,1,'Thong tin'!$C$9))</f>
        <v>-67576364</v>
      </c>
      <c r="E16" s="487">
        <f ca="1">SUM(OFFSET('Luu chuyen tien te'!$AZ10,0,0,1,'Thong tin'!$C$9))</f>
        <v>-454865223</v>
      </c>
    </row>
    <row r="17" spans="1:5">
      <c r="A17" s="339" t="s">
        <v>208</v>
      </c>
      <c r="B17" s="487">
        <f ca="1">OFFSET('Luu chuyen tien te'!$BL11,0,'Thong tin'!$C$9 - 1)</f>
        <v>1240115065</v>
      </c>
      <c r="C17" s="487">
        <f ca="1">OFFSET('Luu chuyen tien te'!$AZ11,0,'Thong tin'!$C$9 - 1)</f>
        <v>739360517</v>
      </c>
      <c r="D17" s="487">
        <f ca="1">SUM(OFFSET('Luu chuyen tien te'!$BL11,0,0,1,'Thong tin'!$C$9))</f>
        <v>1240115065</v>
      </c>
      <c r="E17" s="487">
        <f ca="1">SUM(OFFSET('Luu chuyen tien te'!$AZ11,0,0,1,'Thong tin'!$C$9))</f>
        <v>739360517</v>
      </c>
    </row>
    <row r="18" spans="1:5">
      <c r="A18" s="339" t="s">
        <v>209</v>
      </c>
      <c r="B18" s="487">
        <f ca="1">OFFSET('Luu chuyen tien te'!$BL12,0,'Thong tin'!$C$9 - 1)</f>
        <v>-128152205</v>
      </c>
      <c r="C18" s="487">
        <f ca="1">OFFSET('Luu chuyen tien te'!$AZ12,0,'Thong tin'!$C$9 - 1)</f>
        <v>5872690</v>
      </c>
      <c r="D18" s="487">
        <f ca="1">SUM(OFFSET('Luu chuyen tien te'!$BL12,0,0,1,'Thong tin'!$C$9))</f>
        <v>-128152205</v>
      </c>
      <c r="E18" s="487">
        <f ca="1">SUM(OFFSET('Luu chuyen tien te'!$AZ12,0,0,1,'Thong tin'!$C$9))</f>
        <v>5872690</v>
      </c>
    </row>
    <row r="19" spans="1:5" s="343" customFormat="1" ht="32.25" customHeight="1">
      <c r="A19" s="342" t="s">
        <v>210</v>
      </c>
      <c r="B19" s="488">
        <f t="shared" ref="B19:D19" ca="1" si="0">SUM(B11:B18)</f>
        <v>569239306.80555725</v>
      </c>
      <c r="C19" s="488">
        <f t="shared" ref="C19" ca="1" si="1">SUM(C11:C18)</f>
        <v>7902165813</v>
      </c>
      <c r="D19" s="488">
        <f t="shared" ca="1" si="0"/>
        <v>569239306.80555725</v>
      </c>
      <c r="E19" s="488">
        <f t="shared" ref="E19" ca="1" si="2">SUM(E11:E18)</f>
        <v>7902165813</v>
      </c>
    </row>
    <row r="20" spans="1:5" s="343" customFormat="1">
      <c r="A20" s="344" t="s">
        <v>211</v>
      </c>
      <c r="B20" s="487">
        <f ca="1">OFFSET('Luu chuyen tien te'!$BL14,0,'Thong tin'!$C$9 - 1)</f>
        <v>53673466483</v>
      </c>
      <c r="C20" s="487">
        <f ca="1">OFFSET('Luu chuyen tien te'!$AZ14,0,'Thong tin'!$C$9 - 1)</f>
        <v>56768185813.482101</v>
      </c>
      <c r="D20" s="487">
        <f ca="1">SUM(OFFSET('Luu chuyen tien te'!$BL14,0,0,1,'Thong tin'!$C$9))</f>
        <v>53673466483</v>
      </c>
      <c r="E20" s="487">
        <f ca="1">SUM(OFFSET('Luu chuyen tien te'!$AZ14,0,0,1,'Thong tin'!$C$9))</f>
        <v>56768185813.482101</v>
      </c>
    </row>
    <row r="21" spans="1:5" s="343" customFormat="1">
      <c r="A21" s="344" t="s">
        <v>212</v>
      </c>
      <c r="B21" s="487">
        <f ca="1">OFFSET('Luu chuyen tien te'!$BL15,0,'Thong tin'!$C$9 - 1)</f>
        <v>21674615442.194443</v>
      </c>
      <c r="C21" s="487">
        <f ca="1">OFFSET('Luu chuyen tien te'!$AZ15,0,'Thong tin'!$C$9 - 1)</f>
        <v>34011025895</v>
      </c>
      <c r="D21" s="487">
        <f ca="1">SUM(OFFSET('Luu chuyen tien te'!$BL15,0,0,1,'Thong tin'!$C$9))</f>
        <v>21674615442.194443</v>
      </c>
      <c r="E21" s="487">
        <f ca="1">SUM(OFFSET('Luu chuyen tien te'!$AZ15,0,0,1,'Thong tin'!$C$9))</f>
        <v>34011025895</v>
      </c>
    </row>
    <row r="22" spans="1:5" s="343" customFormat="1" ht="30" customHeight="1">
      <c r="A22" s="345" t="s">
        <v>213</v>
      </c>
      <c r="B22" s="487">
        <f ca="1">OFFSET('Luu chuyen tien te'!$BL16,0,'Thong tin'!$C$9 - 1)</f>
        <v>-10264950362</v>
      </c>
      <c r="C22" s="487">
        <f ca="1">OFFSET('Luu chuyen tien te'!$AZ16,0,'Thong tin'!$C$9 - 1)</f>
        <v>-21447246879.482002</v>
      </c>
      <c r="D22" s="487">
        <f ca="1">SUM(OFFSET('Luu chuyen tien te'!$BL16,0,0,1,'Thong tin'!$C$9))</f>
        <v>-10264950362</v>
      </c>
      <c r="E22" s="487">
        <f ca="1">SUM(OFFSET('Luu chuyen tien te'!$AZ16,0,0,1,'Thong tin'!$C$9))</f>
        <v>-21447246879.482002</v>
      </c>
    </row>
    <row r="23" spans="1:5" s="343" customFormat="1">
      <c r="A23" s="344" t="s">
        <v>214</v>
      </c>
      <c r="B23" s="487">
        <f ca="1">OFFSET('Luu chuyen tien te'!$BL17,0,'Thong tin'!$C$9 - 1)</f>
        <v>2029033267</v>
      </c>
      <c r="C23" s="487">
        <f ca="1">OFFSET('Luu chuyen tien te'!$AZ17,0,'Thong tin'!$C$9 - 1)</f>
        <v>-594058884</v>
      </c>
      <c r="D23" s="487">
        <f ca="1">SUM(OFFSET('Luu chuyen tien te'!$BL17,0,0,1,'Thong tin'!$C$9))</f>
        <v>2029033267</v>
      </c>
      <c r="E23" s="487">
        <f ca="1">SUM(OFFSET('Luu chuyen tien te'!$AZ17,0,0,1,'Thong tin'!$C$9))</f>
        <v>-594058884</v>
      </c>
    </row>
    <row r="24" spans="1:5" s="343" customFormat="1">
      <c r="A24" s="344" t="s">
        <v>215</v>
      </c>
      <c r="B24" s="487">
        <f ca="1">OFFSET('Luu chuyen tien te'!$BL18,0,'Thong tin'!$C$9 - 1)</f>
        <v>0</v>
      </c>
      <c r="C24" s="487">
        <f ca="1">OFFSET('Luu chuyen tien te'!$AZ18,0,'Thong tin'!$C$9 - 1)</f>
        <v>0</v>
      </c>
      <c r="D24" s="487">
        <f ca="1">SUM(OFFSET('Luu chuyen tien te'!$BL18,0,0,1,'Thong tin'!$C$9))</f>
        <v>0</v>
      </c>
      <c r="E24" s="487">
        <f ca="1">SUM(OFFSET('Luu chuyen tien te'!$AZ18,0,0,1,'Thong tin'!$C$9))</f>
        <v>0</v>
      </c>
    </row>
    <row r="25" spans="1:5" s="343" customFormat="1">
      <c r="A25" s="344" t="s">
        <v>216</v>
      </c>
      <c r="B25" s="487">
        <f ca="1">OFFSET('Luu chuyen tien te'!$BL19,0,'Thong tin'!$C$9 - 1)</f>
        <v>-1240115065</v>
      </c>
      <c r="C25" s="487">
        <f ca="1">OFFSET('Luu chuyen tien te'!$AZ19,0,'Thong tin'!$C$9 - 1)</f>
        <v>-739360517</v>
      </c>
      <c r="D25" s="487">
        <f ca="1">SUM(OFFSET('Luu chuyen tien te'!$BL19,0,0,1,'Thong tin'!$C$9))</f>
        <v>-1240115065</v>
      </c>
      <c r="E25" s="487">
        <f ca="1">SUM(OFFSET('Luu chuyen tien te'!$AZ19,0,0,1,'Thong tin'!$C$9))</f>
        <v>-739360517</v>
      </c>
    </row>
    <row r="26" spans="1:5" s="343" customFormat="1">
      <c r="A26" s="344" t="s">
        <v>217</v>
      </c>
      <c r="B26" s="487">
        <f ca="1">OFFSET('Luu chuyen tien te'!$BL20,0,'Thong tin'!$C$9 - 1)</f>
        <v>0</v>
      </c>
      <c r="C26" s="487">
        <f ca="1">OFFSET('Luu chuyen tien te'!$AZ20,0,'Thong tin'!$C$9 - 1)</f>
        <v>0</v>
      </c>
      <c r="D26" s="487">
        <f ca="1">SUM(OFFSET('Luu chuyen tien te'!$BL20,0,0,1,'Thong tin'!$C$9))</f>
        <v>0</v>
      </c>
      <c r="E26" s="487">
        <f ca="1">SUM(OFFSET('Luu chuyen tien te'!$AZ20,0,0,1,'Thong tin'!$C$9))</f>
        <v>0</v>
      </c>
    </row>
    <row r="27" spans="1:5" s="343" customFormat="1">
      <c r="A27" s="344" t="s">
        <v>218</v>
      </c>
      <c r="B27" s="487">
        <f ca="1">OFFSET('Luu chuyen tien te'!$BL21,0,'Thong tin'!$C$9 - 1)</f>
        <v>0</v>
      </c>
      <c r="C27" s="487">
        <f ca="1">OFFSET('Luu chuyen tien te'!$AZ21,0,'Thong tin'!$C$9 - 1)</f>
        <v>0</v>
      </c>
      <c r="D27" s="487">
        <f ca="1">SUM(OFFSET('Luu chuyen tien te'!$BL21,0,0,1,'Thong tin'!$C$9))</f>
        <v>0</v>
      </c>
      <c r="E27" s="487">
        <f ca="1">SUM(OFFSET('Luu chuyen tien te'!$AZ21,0,0,1,'Thong tin'!$C$9))</f>
        <v>0</v>
      </c>
    </row>
    <row r="28" spans="1:5" s="343" customFormat="1">
      <c r="A28" s="344" t="s">
        <v>219</v>
      </c>
      <c r="B28" s="487">
        <f ca="1">OFFSET('Luu chuyen tien te'!$BL22,0,'Thong tin'!$C$9 - 1)</f>
        <v>-8060010807</v>
      </c>
      <c r="C28" s="487">
        <f ca="1">OFFSET('Luu chuyen tien te'!$AZ22,0,'Thong tin'!$C$9 - 1)</f>
        <v>-2457877506</v>
      </c>
      <c r="D28" s="487">
        <f ca="1">SUM(OFFSET('Luu chuyen tien te'!$BL22,0,0,1,'Thong tin'!$C$9))</f>
        <v>-8060010807</v>
      </c>
      <c r="E28" s="487">
        <f ca="1">SUM(OFFSET('Luu chuyen tien te'!$AZ22,0,0,1,'Thong tin'!$C$9))</f>
        <v>-2457877506</v>
      </c>
    </row>
    <row r="29" spans="1:5" s="343" customFormat="1" ht="29.25" customHeight="1">
      <c r="A29" s="342" t="s">
        <v>220</v>
      </c>
      <c r="B29" s="486">
        <f ca="1">SUM(B19:B28)</f>
        <v>58381278265</v>
      </c>
      <c r="C29" s="486">
        <f t="shared" ref="C29:E29" ca="1" si="3">SUM(C19:C28)</f>
        <v>73442833735.000092</v>
      </c>
      <c r="D29" s="486">
        <f t="shared" ca="1" si="3"/>
        <v>58381278265</v>
      </c>
      <c r="E29" s="486">
        <f t="shared" ca="1" si="3"/>
        <v>73442833735.000092</v>
      </c>
    </row>
    <row r="30" spans="1:5" ht="18.75" customHeight="1">
      <c r="A30" s="346" t="s">
        <v>221</v>
      </c>
      <c r="B30" s="489"/>
      <c r="C30" s="489"/>
      <c r="D30" s="489"/>
      <c r="E30" s="489"/>
    </row>
    <row r="31" spans="1:5" s="348" customFormat="1" ht="30" customHeight="1">
      <c r="A31" s="347" t="s">
        <v>222</v>
      </c>
      <c r="B31" s="487">
        <f ca="1">OFFSET('Luu chuyen tien te'!$BL25,0,'Thong tin'!$C$9 - 1)</f>
        <v>-10076408181</v>
      </c>
      <c r="C31" s="487">
        <f ca="1">OFFSET('Luu chuyen tien te'!$AZ25,0,'Thong tin'!$C$9 - 1)</f>
        <v>-9821622713</v>
      </c>
      <c r="D31" s="487">
        <f ca="1">SUM(OFFSET('Luu chuyen tien te'!$BL25,0,0,1,'Thong tin'!$C$9))</f>
        <v>-10076408181</v>
      </c>
      <c r="E31" s="487">
        <f ca="1">SUM(OFFSET('Luu chuyen tien te'!$AZ25,0,0,1,'Thong tin'!$C$9))</f>
        <v>-9821622713</v>
      </c>
    </row>
    <row r="32" spans="1:5" s="348" customFormat="1" ht="30" customHeight="1">
      <c r="A32" s="347" t="s">
        <v>223</v>
      </c>
      <c r="B32" s="487">
        <f ca="1">OFFSET('Luu chuyen tien te'!$BL26,0,'Thong tin'!$C$9 - 1)</f>
        <v>0</v>
      </c>
      <c r="C32" s="487">
        <f ca="1">OFFSET('Luu chuyen tien te'!$AZ26,0,'Thong tin'!$C$9 - 1)</f>
        <v>0</v>
      </c>
      <c r="D32" s="487">
        <f ca="1">SUM(OFFSET('Luu chuyen tien te'!$BL26,0,0,1,'Thong tin'!$C$9))</f>
        <v>0</v>
      </c>
      <c r="E32" s="487">
        <f ca="1">SUM(OFFSET('Luu chuyen tien te'!$AZ26,0,0,1,'Thong tin'!$C$9))</f>
        <v>0</v>
      </c>
    </row>
    <row r="33" spans="1:5" ht="30" customHeight="1">
      <c r="A33" s="347" t="s">
        <v>224</v>
      </c>
      <c r="B33" s="487">
        <f ca="1">OFFSET('Luu chuyen tien te'!$BL27,0,'Thong tin'!$C$9 - 1)</f>
        <v>0</v>
      </c>
      <c r="C33" s="487">
        <f ca="1">OFFSET('Luu chuyen tien te'!$AZ27,0,'Thong tin'!$C$9 - 1)</f>
        <v>-2000000000</v>
      </c>
      <c r="D33" s="487">
        <f ca="1">SUM(OFFSET('Luu chuyen tien te'!$BL27,0,0,1,'Thong tin'!$C$9))</f>
        <v>0</v>
      </c>
      <c r="E33" s="487">
        <f ca="1">SUM(OFFSET('Luu chuyen tien te'!$AZ27,0,0,1,'Thong tin'!$C$9))</f>
        <v>-2000000000</v>
      </c>
    </row>
    <row r="34" spans="1:5" ht="29.25" customHeight="1">
      <c r="A34" s="347" t="s">
        <v>225</v>
      </c>
      <c r="B34" s="487">
        <f ca="1">OFFSET('Luu chuyen tien te'!$BL28,0,'Thong tin'!$C$9 - 1)</f>
        <v>0</v>
      </c>
      <c r="C34" s="487">
        <f ca="1">OFFSET('Luu chuyen tien te'!$AZ28,0,'Thong tin'!$C$9 - 1)</f>
        <v>0</v>
      </c>
      <c r="D34" s="487">
        <f ca="1">SUM(OFFSET('Luu chuyen tien te'!$BL28,0,0,1,'Thong tin'!$C$9))</f>
        <v>0</v>
      </c>
      <c r="E34" s="487">
        <f ca="1">SUM(OFFSET('Luu chuyen tien te'!$AZ28,0,0,1,'Thong tin'!$C$9))</f>
        <v>0</v>
      </c>
    </row>
    <row r="35" spans="1:5" ht="18" customHeight="1">
      <c r="A35" s="349" t="s">
        <v>226</v>
      </c>
      <c r="B35" s="487">
        <f ca="1">OFFSET('Luu chuyen tien te'!$BL29,0,'Thong tin'!$C$9 - 1)</f>
        <v>0</v>
      </c>
      <c r="C35" s="487">
        <f ca="1">OFFSET('Luu chuyen tien te'!$AZ29,0,'Thong tin'!$C$9 - 1)</f>
        <v>0</v>
      </c>
      <c r="D35" s="487">
        <f ca="1">SUM(OFFSET('Luu chuyen tien te'!$BL29,0,0,1,'Thong tin'!$C$9))</f>
        <v>0</v>
      </c>
      <c r="E35" s="487">
        <f ca="1">SUM(OFFSET('Luu chuyen tien te'!$AZ29,0,0,1,'Thong tin'!$C$9))</f>
        <v>0</v>
      </c>
    </row>
    <row r="36" spans="1:5" ht="18" customHeight="1">
      <c r="A36" s="349" t="s">
        <v>227</v>
      </c>
      <c r="B36" s="487">
        <f ca="1">OFFSET('Luu chuyen tien te'!$BL30,0,'Thong tin'!$C$9 - 1)</f>
        <v>0</v>
      </c>
      <c r="C36" s="487">
        <f ca="1">OFFSET('Luu chuyen tien te'!$AZ30,0,'Thong tin'!$C$9 - 1)</f>
        <v>0</v>
      </c>
      <c r="D36" s="487">
        <f ca="1">SUM(OFFSET('Luu chuyen tien te'!$BL30,0,0,1,'Thong tin'!$C$9))</f>
        <v>0</v>
      </c>
      <c r="E36" s="487">
        <f ca="1">SUM(OFFSET('Luu chuyen tien te'!$AZ30,0,0,1,'Thong tin'!$C$9))</f>
        <v>0</v>
      </c>
    </row>
    <row r="37" spans="1:5" s="348" customFormat="1" ht="30" customHeight="1">
      <c r="A37" s="347" t="s">
        <v>228</v>
      </c>
      <c r="B37" s="487">
        <f ca="1">OFFSET('Luu chuyen tien te'!$BL31,0,'Thong tin'!$C$9 - 1)</f>
        <v>67565511</v>
      </c>
      <c r="C37" s="487">
        <f ca="1">OFFSET('Luu chuyen tien te'!$AZ31,0,'Thong tin'!$C$9 - 1)</f>
        <v>454849601</v>
      </c>
      <c r="D37" s="487">
        <f ca="1">SUM(OFFSET('Luu chuyen tien te'!$BL31,0,0,1,'Thong tin'!$C$9))</f>
        <v>67565511</v>
      </c>
      <c r="E37" s="487">
        <f ca="1">SUM(OFFSET('Luu chuyen tien te'!$AZ31,0,0,1,'Thong tin'!$C$9))</f>
        <v>454849601</v>
      </c>
    </row>
    <row r="38" spans="1:5" s="343" customFormat="1" ht="18" customHeight="1">
      <c r="A38" s="337" t="s">
        <v>229</v>
      </c>
      <c r="B38" s="490">
        <f t="shared" ref="B38:D38" ca="1" si="4">SUM(B31:B37)</f>
        <v>-10008842670</v>
      </c>
      <c r="C38" s="490">
        <f t="shared" ca="1" si="4"/>
        <v>-11366773112</v>
      </c>
      <c r="D38" s="490">
        <f t="shared" ca="1" si="4"/>
        <v>-10008842670</v>
      </c>
      <c r="E38" s="490">
        <f t="shared" ref="E38" ca="1" si="5">SUM(E31:E37)</f>
        <v>-11366773112</v>
      </c>
    </row>
    <row r="39" spans="1:5" ht="20.25" customHeight="1">
      <c r="A39" s="346" t="s">
        <v>230</v>
      </c>
      <c r="B39" s="489"/>
      <c r="C39" s="489"/>
      <c r="D39" s="489"/>
      <c r="E39" s="489"/>
    </row>
    <row r="40" spans="1:5" ht="30" customHeight="1">
      <c r="A40" s="350" t="s">
        <v>231</v>
      </c>
      <c r="B40" s="487">
        <f ca="1">OFFSET('Luu chuyen tien te'!$BL34,0,'Thong tin'!$C$9 - 1)</f>
        <v>94000000000</v>
      </c>
      <c r="C40" s="487">
        <f ca="1">OFFSET('Luu chuyen tien te'!$AZ34,0,'Thong tin'!$C$9 - 1)</f>
        <v>0</v>
      </c>
      <c r="D40" s="487">
        <f ca="1">SUM(OFFSET('Luu chuyen tien te'!$BL34,0,0,1,'Thong tin'!$C$9))</f>
        <v>94000000000</v>
      </c>
      <c r="E40" s="487">
        <f ca="1">SUM(OFFSET('Luu chuyen tien te'!$AZ34,0,0,1,'Thong tin'!$C$9))</f>
        <v>0</v>
      </c>
    </row>
    <row r="41" spans="1:5" s="348" customFormat="1" ht="30" customHeight="1">
      <c r="A41" s="350" t="s">
        <v>232</v>
      </c>
      <c r="B41" s="487">
        <f ca="1">OFFSET('Luu chuyen tien te'!$BL35,0,'Thong tin'!$C$9 - 1)</f>
        <v>0</v>
      </c>
      <c r="C41" s="487">
        <f ca="1">OFFSET('Luu chuyen tien te'!$AZ35,0,'Thong tin'!$C$9 - 1)</f>
        <v>0</v>
      </c>
      <c r="D41" s="487">
        <f ca="1">SUM(OFFSET('Luu chuyen tien te'!$BL35,0,0,1,'Thong tin'!$C$9))</f>
        <v>0</v>
      </c>
      <c r="E41" s="487">
        <f ca="1">SUM(OFFSET('Luu chuyen tien te'!$AZ35,0,0,1,'Thong tin'!$C$9))</f>
        <v>0</v>
      </c>
    </row>
    <row r="42" spans="1:5">
      <c r="A42" s="351" t="s">
        <v>233</v>
      </c>
      <c r="B42" s="487">
        <f ca="1">OFFSET('Luu chuyen tien te'!$BL36,0,'Thong tin'!$C$9 - 1)</f>
        <v>56609988510</v>
      </c>
      <c r="C42" s="487">
        <f ca="1">OFFSET('Luu chuyen tien te'!$AZ36,0,'Thong tin'!$C$9 - 1)</f>
        <v>2310562000</v>
      </c>
      <c r="D42" s="487">
        <f ca="1">SUM(OFFSET('Luu chuyen tien te'!$BL36,0,0,1,'Thong tin'!$C$9))</f>
        <v>56609988510</v>
      </c>
      <c r="E42" s="487">
        <f ca="1">SUM(OFFSET('Luu chuyen tien te'!$AZ36,0,0,1,'Thong tin'!$C$9))</f>
        <v>2310562000</v>
      </c>
    </row>
    <row r="43" spans="1:5">
      <c r="A43" s="351" t="s">
        <v>234</v>
      </c>
      <c r="B43" s="487">
        <f ca="1">OFFSET('Luu chuyen tien te'!$BL37,0,'Thong tin'!$C$9 - 1)</f>
        <v>-101278931518</v>
      </c>
      <c r="C43" s="487">
        <f ca="1">OFFSET('Luu chuyen tien te'!$AZ37,0,'Thong tin'!$C$9 - 1)</f>
        <v>-33725113955</v>
      </c>
      <c r="D43" s="487">
        <f ca="1">SUM(OFFSET('Luu chuyen tien te'!$BL37,0,0,1,'Thong tin'!$C$9))</f>
        <v>-101278931518</v>
      </c>
      <c r="E43" s="487">
        <f ca="1">SUM(OFFSET('Luu chuyen tien te'!$AZ37,0,0,1,'Thong tin'!$C$9))</f>
        <v>-33725113955</v>
      </c>
    </row>
    <row r="44" spans="1:5">
      <c r="A44" s="351" t="s">
        <v>235</v>
      </c>
      <c r="B44" s="487">
        <f ca="1">OFFSET('Luu chuyen tien te'!$BL38,0,'Thong tin'!$C$9 - 1)</f>
        <v>-1647651024</v>
      </c>
      <c r="C44" s="487">
        <f ca="1">OFFSET('Luu chuyen tien te'!$AZ38,0,'Thong tin'!$C$9 - 1)</f>
        <v>-777777778</v>
      </c>
      <c r="D44" s="487">
        <f ca="1">SUM(OFFSET('Luu chuyen tien te'!$BL38,0,0,1,'Thong tin'!$C$9))</f>
        <v>-1647651024</v>
      </c>
      <c r="E44" s="487">
        <f ca="1">SUM(OFFSET('Luu chuyen tien te'!$AZ38,0,0,1,'Thong tin'!$C$9))</f>
        <v>-777777778</v>
      </c>
    </row>
    <row r="45" spans="1:5">
      <c r="A45" s="351" t="s">
        <v>236</v>
      </c>
      <c r="B45" s="487">
        <f ca="1">OFFSET('Luu chuyen tien te'!$BL39,0,'Thong tin'!$C$9 - 1)</f>
        <v>0</v>
      </c>
      <c r="C45" s="487">
        <f ca="1">OFFSET('Luu chuyen tien te'!$AZ39,0,'Thong tin'!$C$9 - 1)</f>
        <v>0</v>
      </c>
      <c r="D45" s="487">
        <f ca="1">SUM(OFFSET('Luu chuyen tien te'!$BL39,0,0,1,'Thong tin'!$C$9))</f>
        <v>0</v>
      </c>
      <c r="E45" s="487">
        <f ca="1">SUM(OFFSET('Luu chuyen tien te'!$AZ39,0,0,1,'Thong tin'!$C$9))</f>
        <v>0</v>
      </c>
    </row>
    <row r="46" spans="1:5" s="343" customFormat="1" ht="18" customHeight="1">
      <c r="A46" s="352" t="s">
        <v>237</v>
      </c>
      <c r="B46" s="486">
        <f t="shared" ref="B46:E46" ca="1" si="6">SUM(B40:B45)</f>
        <v>47683405968</v>
      </c>
      <c r="C46" s="486">
        <f t="shared" ca="1" si="6"/>
        <v>-32192329733</v>
      </c>
      <c r="D46" s="486">
        <f t="shared" ca="1" si="6"/>
        <v>47683405968</v>
      </c>
      <c r="E46" s="486">
        <f t="shared" ca="1" si="6"/>
        <v>-32192329733</v>
      </c>
    </row>
    <row r="47" spans="1:5" s="343" customFormat="1" ht="18" customHeight="1">
      <c r="A47" s="352" t="s">
        <v>238</v>
      </c>
      <c r="B47" s="486">
        <f ca="1">SUM(B29,B38,B46)</f>
        <v>96055841563</v>
      </c>
      <c r="C47" s="486">
        <f t="shared" ref="C47:E47" ca="1" si="7">SUM(C29,C38,C46)</f>
        <v>29883730890.000092</v>
      </c>
      <c r="D47" s="486">
        <f t="shared" ca="1" si="7"/>
        <v>96055841563</v>
      </c>
      <c r="E47" s="486">
        <f t="shared" ca="1" si="7"/>
        <v>29883730890.000092</v>
      </c>
    </row>
    <row r="48" spans="1:5" s="343" customFormat="1" ht="18" customHeight="1">
      <c r="A48" s="352" t="s">
        <v>239</v>
      </c>
      <c r="B48" s="491">
        <f ca="1">OFFSET('Luu chuyen tien te'!$BL42,0,'Thong tin'!$C$9 - 1)</f>
        <v>63726156404</v>
      </c>
      <c r="C48" s="491">
        <f ca="1">OFFSET('Luu chuyen tien te'!$AZ42,0,'Thong tin'!$C$9 - 1)</f>
        <v>78515947311.006836</v>
      </c>
      <c r="D48" s="486">
        <f>'Luu chuyen tien te'!BL42</f>
        <v>63726156404</v>
      </c>
      <c r="E48" s="491">
        <f>'Luu chuyen tien te'!AZ42</f>
        <v>78515947311.006836</v>
      </c>
    </row>
    <row r="49" spans="1:6" ht="30" customHeight="1">
      <c r="A49" s="350" t="s">
        <v>240</v>
      </c>
      <c r="B49" s="487">
        <f ca="1">OFFSET('Luu chuyen tien te'!$BL43,0,'Thong tin'!$C$9 - 1)</f>
        <v>282378363</v>
      </c>
      <c r="C49" s="487">
        <f ca="1">OFFSET('Luu chuyen tien te'!$AZ43,0,'Thong tin'!$C$9 - 1)</f>
        <v>357780096</v>
      </c>
      <c r="D49" s="487">
        <f ca="1">SUM(OFFSET('Luu chuyen tien te'!$BL43,0,0,1,'Thong tin'!$C$9))</f>
        <v>282378363</v>
      </c>
      <c r="E49" s="487">
        <f ca="1">SUM(OFFSET('Luu chuyen tien te'!$AZ43,0,0,1,'Thong tin'!$C$9))</f>
        <v>357780096</v>
      </c>
    </row>
    <row r="50" spans="1:6" s="296" customFormat="1" ht="18" customHeight="1">
      <c r="A50" s="353" t="s">
        <v>241</v>
      </c>
      <c r="B50" s="492">
        <f ca="1">SUM(B47:B49)</f>
        <v>160064376330</v>
      </c>
      <c r="C50" s="492">
        <f t="shared" ref="C50:E50" ca="1" si="8">SUM(C47:C49)</f>
        <v>108757458297.00693</v>
      </c>
      <c r="D50" s="492">
        <f t="shared" ca="1" si="8"/>
        <v>160064376330</v>
      </c>
      <c r="E50" s="492">
        <f t="shared" ca="1" si="8"/>
        <v>108757458297.00693</v>
      </c>
      <c r="F50" s="354"/>
    </row>
    <row r="51" spans="1:6" ht="17.25" customHeight="1">
      <c r="A51" s="355"/>
      <c r="B51" s="356">
        <v>0</v>
      </c>
      <c r="C51" s="356">
        <v>0</v>
      </c>
      <c r="D51" s="356">
        <v>0</v>
      </c>
      <c r="E51" s="356">
        <v>0</v>
      </c>
    </row>
    <row r="52" spans="1:6">
      <c r="B52" s="594"/>
      <c r="C52" s="594"/>
      <c r="D52" s="594" t="str">
        <f>'KQKD in'!F32</f>
        <v>Lập, ngày 30 tháng 11 năm 2025</v>
      </c>
      <c r="E52" s="594"/>
    </row>
    <row r="53" spans="1:6" ht="22.5" customHeight="1">
      <c r="A53" s="280" t="s">
        <v>10</v>
      </c>
      <c r="D53" s="595" t="s">
        <v>242</v>
      </c>
      <c r="E53" s="595"/>
    </row>
    <row r="54" spans="1:6">
      <c r="C54" s="330"/>
    </row>
    <row r="55" spans="1:6">
      <c r="C55" s="330"/>
    </row>
    <row r="56" spans="1:6">
      <c r="C56" s="330"/>
    </row>
    <row r="57" spans="1:6">
      <c r="C57" s="330"/>
    </row>
    <row r="58" spans="1:6">
      <c r="C58" s="330"/>
    </row>
    <row r="59" spans="1:6" s="225" customFormat="1">
      <c r="A59" s="279" t="str">
        <f>'Thong tin'!B16</f>
        <v>Giang Văn Lộc</v>
      </c>
      <c r="B59" s="568"/>
      <c r="C59" s="568"/>
      <c r="D59" s="568" t="str">
        <f>'Thong tin'!B19</f>
        <v>Trần Duy Hy</v>
      </c>
      <c r="E59" s="568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7E50-B1C9-42CD-AEBD-7C8F948A9242}">
  <sheetPr>
    <tabColor theme="9" tint="0.59999389629810485"/>
    <outlinePr summaryBelow="0" summaryRight="0"/>
  </sheetPr>
  <dimension ref="A1:BW315"/>
  <sheetViews>
    <sheetView showGridLines="0" showZeros="0" zoomScale="85" zoomScaleNormal="85" workbookViewId="0">
      <pane xSplit="3" ySplit="3" topLeftCell="BF94" activePane="bottomRight" state="frozen"/>
      <selection pane="topRight" activeCell="BL10" sqref="BL10"/>
      <selection pane="bottomLeft" activeCell="BL10" sqref="BL10"/>
      <selection pane="bottomRight" activeCell="BJ4" sqref="BJ4:BJ129"/>
    </sheetView>
  </sheetViews>
  <sheetFormatPr defaultColWidth="9.33203125" defaultRowHeight="15" customHeight="1"/>
  <cols>
    <col min="1" max="1" width="7" style="86" hidden="1" customWidth="1"/>
    <col min="2" max="2" width="46.33203125" style="87" customWidth="1"/>
    <col min="3" max="3" width="8.33203125" style="86" hidden="1" customWidth="1"/>
    <col min="4" max="5" width="18.33203125" style="87" customWidth="1"/>
    <col min="6" max="39" width="18" style="87" customWidth="1"/>
    <col min="40" max="62" width="20" style="44" customWidth="1"/>
    <col min="63" max="63" width="20.33203125" style="44" customWidth="1"/>
    <col min="64" max="65" width="18.33203125" style="44" bestFit="1" customWidth="1"/>
    <col min="66" max="75" width="20.33203125" style="44" customWidth="1"/>
    <col min="76" max="16384" width="9.33203125" style="44"/>
  </cols>
  <sheetData>
    <row r="1" spans="1:75" ht="19.5" customHeight="1">
      <c r="A1" s="39"/>
      <c r="B1" s="40" t="str">
        <f>'Thong tin'!A1</f>
        <v>CÔNG TY CP NHỰA TÁI CHẾ DUY TÂN</v>
      </c>
      <c r="C1" s="45"/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75" ht="19.5" customHeight="1">
      <c r="A2" s="45"/>
      <c r="B2" s="46" t="s">
        <v>243</v>
      </c>
      <c r="C2" s="45"/>
      <c r="D2" s="43"/>
      <c r="E2" s="42"/>
      <c r="F2" s="42"/>
      <c r="G2" s="42"/>
      <c r="H2" s="42"/>
      <c r="I2" s="42"/>
      <c r="J2" s="42"/>
      <c r="K2" s="42"/>
      <c r="L2" s="47"/>
      <c r="M2" s="42"/>
      <c r="N2" s="42"/>
      <c r="O2" s="48"/>
      <c r="P2" s="43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</row>
    <row r="3" spans="1:75" ht="27.6">
      <c r="A3" s="49" t="s">
        <v>244</v>
      </c>
      <c r="B3" s="50" t="s">
        <v>245</v>
      </c>
      <c r="C3" s="49" t="s">
        <v>246</v>
      </c>
      <c r="D3" s="49" t="s">
        <v>247</v>
      </c>
      <c r="E3" s="49" t="s">
        <v>248</v>
      </c>
      <c r="F3" s="49" t="s">
        <v>249</v>
      </c>
      <c r="G3" s="49" t="s">
        <v>250</v>
      </c>
      <c r="H3" s="49" t="s">
        <v>251</v>
      </c>
      <c r="I3" s="49" t="s">
        <v>252</v>
      </c>
      <c r="J3" s="49" t="s">
        <v>253</v>
      </c>
      <c r="K3" s="49" t="s">
        <v>254</v>
      </c>
      <c r="L3" s="49" t="s">
        <v>255</v>
      </c>
      <c r="M3" s="49" t="s">
        <v>256</v>
      </c>
      <c r="N3" s="49" t="s">
        <v>257</v>
      </c>
      <c r="O3" s="49" t="s">
        <v>258</v>
      </c>
      <c r="P3" s="49" t="s">
        <v>259</v>
      </c>
      <c r="Q3" s="49" t="s">
        <v>260</v>
      </c>
      <c r="R3" s="49" t="s">
        <v>261</v>
      </c>
      <c r="S3" s="49" t="s">
        <v>262</v>
      </c>
      <c r="T3" s="49" t="s">
        <v>263</v>
      </c>
      <c r="U3" s="49" t="s">
        <v>264</v>
      </c>
      <c r="V3" s="49" t="s">
        <v>265</v>
      </c>
      <c r="W3" s="49" t="s">
        <v>266</v>
      </c>
      <c r="X3" s="49" t="s">
        <v>267</v>
      </c>
      <c r="Y3" s="49" t="s">
        <v>268</v>
      </c>
      <c r="Z3" s="49" t="s">
        <v>269</v>
      </c>
      <c r="AA3" s="49" t="s">
        <v>270</v>
      </c>
      <c r="AB3" s="49" t="s">
        <v>271</v>
      </c>
      <c r="AC3" s="49" t="s">
        <v>272</v>
      </c>
      <c r="AD3" s="49" t="s">
        <v>273</v>
      </c>
      <c r="AE3" s="49" t="s">
        <v>274</v>
      </c>
      <c r="AF3" s="49" t="s">
        <v>275</v>
      </c>
      <c r="AG3" s="49" t="s">
        <v>276</v>
      </c>
      <c r="AH3" s="49" t="s">
        <v>277</v>
      </c>
      <c r="AI3" s="49" t="s">
        <v>278</v>
      </c>
      <c r="AJ3" s="49" t="s">
        <v>279</v>
      </c>
      <c r="AK3" s="49" t="s">
        <v>280</v>
      </c>
      <c r="AL3" s="49" t="s">
        <v>281</v>
      </c>
      <c r="AM3" s="49" t="s">
        <v>282</v>
      </c>
      <c r="AN3" s="49" t="s">
        <v>283</v>
      </c>
      <c r="AO3" s="49" t="s">
        <v>284</v>
      </c>
      <c r="AP3" s="49" t="s">
        <v>285</v>
      </c>
      <c r="AQ3" s="49" t="s">
        <v>286</v>
      </c>
      <c r="AR3" s="49" t="s">
        <v>287</v>
      </c>
      <c r="AS3" s="49" t="s">
        <v>288</v>
      </c>
      <c r="AT3" s="49" t="s">
        <v>289</v>
      </c>
      <c r="AU3" s="49" t="s">
        <v>290</v>
      </c>
      <c r="AV3" s="49" t="s">
        <v>291</v>
      </c>
      <c r="AW3" s="49" t="s">
        <v>292</v>
      </c>
      <c r="AX3" s="49" t="s">
        <v>293</v>
      </c>
      <c r="AY3" s="49" t="s">
        <v>294</v>
      </c>
      <c r="AZ3" s="49" t="s">
        <v>295</v>
      </c>
      <c r="BA3" s="49" t="s">
        <v>296</v>
      </c>
      <c r="BB3" s="49" t="s">
        <v>297</v>
      </c>
      <c r="BC3" s="49" t="s">
        <v>298</v>
      </c>
      <c r="BD3" s="49" t="s">
        <v>299</v>
      </c>
      <c r="BE3" s="49" t="s">
        <v>300</v>
      </c>
      <c r="BF3" s="49" t="s">
        <v>301</v>
      </c>
      <c r="BG3" s="49" t="s">
        <v>302</v>
      </c>
      <c r="BH3" s="49" t="s">
        <v>303</v>
      </c>
      <c r="BI3" s="49" t="s">
        <v>304</v>
      </c>
      <c r="BJ3" s="49" t="s">
        <v>305</v>
      </c>
      <c r="BK3" s="49" t="s">
        <v>306</v>
      </c>
      <c r="BL3" s="49" t="s">
        <v>307</v>
      </c>
      <c r="BM3" s="49" t="s">
        <v>308</v>
      </c>
      <c r="BN3" s="49" t="s">
        <v>309</v>
      </c>
      <c r="BO3" s="49" t="s">
        <v>310</v>
      </c>
      <c r="BP3" s="49" t="s">
        <v>311</v>
      </c>
      <c r="BQ3" s="49" t="s">
        <v>312</v>
      </c>
      <c r="BR3" s="49" t="s">
        <v>313</v>
      </c>
      <c r="BS3" s="49" t="s">
        <v>314</v>
      </c>
      <c r="BT3" s="49" t="s">
        <v>315</v>
      </c>
      <c r="BU3" s="49" t="s">
        <v>316</v>
      </c>
      <c r="BV3" s="49" t="s">
        <v>317</v>
      </c>
      <c r="BW3" s="49" t="s">
        <v>318</v>
      </c>
    </row>
    <row r="4" spans="1:75" ht="15" customHeight="1">
      <c r="A4" s="51">
        <v>1</v>
      </c>
      <c r="B4" s="52" t="s">
        <v>319</v>
      </c>
      <c r="C4" s="51">
        <v>28</v>
      </c>
      <c r="D4" s="1">
        <f t="shared" ref="D4:AY4" si="0">SUM(D5,D8,D15,D23,D26,D30)</f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 t="shared" si="0"/>
        <v>0</v>
      </c>
      <c r="M4" s="1">
        <f t="shared" si="0"/>
        <v>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0</v>
      </c>
      <c r="Z4" s="1">
        <f t="shared" si="0"/>
        <v>0</v>
      </c>
      <c r="AA4" s="1">
        <f t="shared" si="0"/>
        <v>0</v>
      </c>
      <c r="AB4" s="1">
        <f t="shared" si="0"/>
        <v>0</v>
      </c>
      <c r="AC4" s="1">
        <f t="shared" si="0"/>
        <v>0</v>
      </c>
      <c r="AD4" s="1">
        <f t="shared" si="0"/>
        <v>0</v>
      </c>
      <c r="AE4" s="1">
        <f t="shared" si="0"/>
        <v>0</v>
      </c>
      <c r="AF4" s="1">
        <f t="shared" si="0"/>
        <v>0</v>
      </c>
      <c r="AG4" s="1">
        <f t="shared" si="0"/>
        <v>0</v>
      </c>
      <c r="AH4" s="1">
        <f t="shared" si="0"/>
        <v>0</v>
      </c>
      <c r="AI4" s="1">
        <f t="shared" si="0"/>
        <v>0</v>
      </c>
      <c r="AJ4" s="1">
        <f t="shared" si="0"/>
        <v>0</v>
      </c>
      <c r="AK4" s="1">
        <f t="shared" si="0"/>
        <v>0</v>
      </c>
      <c r="AL4" s="1">
        <f t="shared" si="0"/>
        <v>0</v>
      </c>
      <c r="AM4" s="1">
        <f t="shared" si="0"/>
        <v>0</v>
      </c>
      <c r="AN4" s="1">
        <f t="shared" si="0"/>
        <v>842504987537</v>
      </c>
      <c r="AO4" s="1">
        <f t="shared" si="0"/>
        <v>828028218928</v>
      </c>
      <c r="AP4" s="1">
        <f t="shared" si="0"/>
        <v>866642137961.85999</v>
      </c>
      <c r="AQ4" s="1">
        <f t="shared" si="0"/>
        <v>928663771131.88208</v>
      </c>
      <c r="AR4" s="1">
        <f t="shared" si="0"/>
        <v>974972463666</v>
      </c>
      <c r="AS4" s="1">
        <f t="shared" si="0"/>
        <v>1000977606992</v>
      </c>
      <c r="AT4" s="1">
        <f t="shared" si="0"/>
        <v>945309048746</v>
      </c>
      <c r="AU4" s="1">
        <f t="shared" si="0"/>
        <v>891517737502</v>
      </c>
      <c r="AV4" s="1">
        <f t="shared" si="0"/>
        <v>936081186419</v>
      </c>
      <c r="AW4" s="1">
        <f t="shared" si="0"/>
        <v>958515464055</v>
      </c>
      <c r="AX4" s="1">
        <f t="shared" si="0"/>
        <v>1056118226546</v>
      </c>
      <c r="AY4" s="1">
        <f t="shared" si="0"/>
        <v>1029421488703.4821</v>
      </c>
      <c r="AZ4" s="1">
        <v>943346625178</v>
      </c>
      <c r="BA4" s="1">
        <v>859080481889</v>
      </c>
      <c r="BB4" s="1">
        <v>912022523180.48193</v>
      </c>
      <c r="BC4" s="1">
        <v>976848146781</v>
      </c>
      <c r="BD4" s="1">
        <v>1029083422325</v>
      </c>
      <c r="BE4" s="1">
        <v>1063373742518.4821</v>
      </c>
      <c r="BF4" s="1">
        <v>1058451310914.4821</v>
      </c>
      <c r="BG4" s="1">
        <v>1119802194415.4819</v>
      </c>
      <c r="BH4" s="1">
        <v>1098805071473.4821</v>
      </c>
      <c r="BI4" s="1">
        <v>1036939679178.4821</v>
      </c>
      <c r="BJ4" s="1">
        <v>1015910101078.4821</v>
      </c>
      <c r="BK4" s="1">
        <v>1006445367388</v>
      </c>
      <c r="BL4" s="503">
        <v>1052372372027.8055</v>
      </c>
      <c r="BM4" s="1">
        <v>1046079024024.0341</v>
      </c>
      <c r="BN4" s="1">
        <v>995120566586.04236</v>
      </c>
      <c r="BO4" s="1">
        <v>955783732455.87305</v>
      </c>
      <c r="BP4" s="1">
        <v>1035497880762.6418</v>
      </c>
      <c r="BQ4" s="1">
        <v>971650871767.12329</v>
      </c>
      <c r="BR4" s="1">
        <f t="shared" ref="BR4:BW4" si="1">SUM(BR5,BR8,BR15,BR23,BR26,BR30)</f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</row>
    <row r="5" spans="1:75" ht="15" customHeight="1">
      <c r="A5" s="53">
        <v>2</v>
      </c>
      <c r="B5" s="54" t="s">
        <v>320</v>
      </c>
      <c r="C5" s="53">
        <v>28</v>
      </c>
      <c r="D5" s="2">
        <f t="shared" ref="D5:AY5" si="2">SUM(D6:D7)</f>
        <v>0</v>
      </c>
      <c r="E5" s="2">
        <f t="shared" si="2"/>
        <v>0</v>
      </c>
      <c r="F5" s="2">
        <f t="shared" si="2"/>
        <v>0</v>
      </c>
      <c r="G5" s="2">
        <f t="shared" si="2"/>
        <v>0</v>
      </c>
      <c r="H5" s="2">
        <f t="shared" si="2"/>
        <v>0</v>
      </c>
      <c r="I5" s="2">
        <f t="shared" si="2"/>
        <v>0</v>
      </c>
      <c r="J5" s="2">
        <f t="shared" si="2"/>
        <v>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  <c r="AC5" s="2">
        <f t="shared" si="2"/>
        <v>0</v>
      </c>
      <c r="AD5" s="2">
        <f t="shared" si="2"/>
        <v>0</v>
      </c>
      <c r="AE5" s="2">
        <f t="shared" si="2"/>
        <v>0</v>
      </c>
      <c r="AF5" s="2">
        <f t="shared" si="2"/>
        <v>0</v>
      </c>
      <c r="AG5" s="2">
        <f t="shared" si="2"/>
        <v>0</v>
      </c>
      <c r="AH5" s="2">
        <f t="shared" si="2"/>
        <v>0</v>
      </c>
      <c r="AI5" s="2">
        <f t="shared" si="2"/>
        <v>0</v>
      </c>
      <c r="AJ5" s="2">
        <f t="shared" si="2"/>
        <v>0</v>
      </c>
      <c r="AK5" s="2">
        <f t="shared" si="2"/>
        <v>0</v>
      </c>
      <c r="AL5" s="2">
        <f t="shared" si="2"/>
        <v>0</v>
      </c>
      <c r="AM5" s="2">
        <f t="shared" si="2"/>
        <v>0</v>
      </c>
      <c r="AN5" s="2">
        <f t="shared" si="2"/>
        <v>46633249760</v>
      </c>
      <c r="AO5" s="2">
        <f t="shared" si="2"/>
        <v>35851802774</v>
      </c>
      <c r="AP5" s="2">
        <f t="shared" si="2"/>
        <v>26393055917</v>
      </c>
      <c r="AQ5" s="2">
        <f t="shared" si="2"/>
        <v>34593153167</v>
      </c>
      <c r="AR5" s="2">
        <f t="shared" si="2"/>
        <v>33199136312</v>
      </c>
      <c r="AS5" s="2">
        <f t="shared" si="2"/>
        <v>19638634542</v>
      </c>
      <c r="AT5" s="2">
        <f t="shared" si="2"/>
        <v>56271006190</v>
      </c>
      <c r="AU5" s="2">
        <f t="shared" si="2"/>
        <v>35429490170</v>
      </c>
      <c r="AV5" s="2">
        <f t="shared" si="2"/>
        <v>48429525475</v>
      </c>
      <c r="AW5" s="2">
        <f t="shared" si="2"/>
        <v>78014775934</v>
      </c>
      <c r="AX5" s="2">
        <f t="shared" si="2"/>
        <v>81105192016</v>
      </c>
      <c r="AY5" s="2">
        <f t="shared" si="2"/>
        <v>78515947311</v>
      </c>
      <c r="AZ5" s="2">
        <v>108757458297</v>
      </c>
      <c r="BA5" s="2">
        <v>63047560922</v>
      </c>
      <c r="BB5" s="2">
        <v>57546333332</v>
      </c>
      <c r="BC5" s="2">
        <v>72781093895</v>
      </c>
      <c r="BD5" s="2">
        <v>53850392378</v>
      </c>
      <c r="BE5" s="2">
        <v>47310681042</v>
      </c>
      <c r="BF5" s="2">
        <v>46943683940</v>
      </c>
      <c r="BG5" s="2">
        <v>52760383890</v>
      </c>
      <c r="BH5" s="2">
        <v>94749581700</v>
      </c>
      <c r="BI5" s="2">
        <v>86336513720</v>
      </c>
      <c r="BJ5" s="2">
        <v>82814145673</v>
      </c>
      <c r="BK5" s="2">
        <v>63726156404</v>
      </c>
      <c r="BL5" s="502">
        <v>160064376330</v>
      </c>
      <c r="BM5" s="2">
        <v>158595220342</v>
      </c>
      <c r="BN5" s="2">
        <v>147256262964</v>
      </c>
      <c r="BO5" s="2">
        <v>165964800039</v>
      </c>
      <c r="BP5" s="2">
        <v>156543872808</v>
      </c>
      <c r="BQ5" s="2">
        <v>152981154626</v>
      </c>
      <c r="BR5" s="2">
        <f t="shared" ref="BR5:BW5" si="3">SUM(BR6:BR7)</f>
        <v>0</v>
      </c>
      <c r="BS5" s="2">
        <f t="shared" si="3"/>
        <v>0</v>
      </c>
      <c r="BT5" s="2">
        <f t="shared" si="3"/>
        <v>0</v>
      </c>
      <c r="BU5" s="2">
        <f t="shared" si="3"/>
        <v>0</v>
      </c>
      <c r="BV5" s="2">
        <f t="shared" si="3"/>
        <v>0</v>
      </c>
      <c r="BW5" s="2">
        <f t="shared" si="3"/>
        <v>0</v>
      </c>
    </row>
    <row r="6" spans="1:75" ht="15" customHeight="1">
      <c r="A6" s="55">
        <v>3</v>
      </c>
      <c r="B6" s="56" t="s">
        <v>321</v>
      </c>
      <c r="C6" s="55">
        <v>28</v>
      </c>
      <c r="D6" s="508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  <c r="AL6" s="508"/>
      <c r="AM6" s="508"/>
      <c r="AN6" s="508">
        <v>39793249760</v>
      </c>
      <c r="AO6" s="508">
        <v>29011802774</v>
      </c>
      <c r="AP6" s="508">
        <v>21563055917</v>
      </c>
      <c r="AQ6" s="508">
        <v>25763153167</v>
      </c>
      <c r="AR6" s="508">
        <v>24369136312</v>
      </c>
      <c r="AS6" s="508">
        <v>14808634542</v>
      </c>
      <c r="AT6" s="508">
        <v>48441006190</v>
      </c>
      <c r="AU6" s="508">
        <v>27599490170</v>
      </c>
      <c r="AV6" s="508">
        <v>41429525475</v>
      </c>
      <c r="AW6" s="508">
        <v>71014775934</v>
      </c>
      <c r="AX6" s="508">
        <v>74105192016</v>
      </c>
      <c r="AY6" s="508">
        <v>61515947311</v>
      </c>
      <c r="AZ6" s="508">
        <v>98917458297</v>
      </c>
      <c r="BA6" s="508">
        <v>53207560922</v>
      </c>
      <c r="BB6" s="508">
        <v>49746333332</v>
      </c>
      <c r="BC6" s="508">
        <v>64981093895</v>
      </c>
      <c r="BD6" s="508">
        <v>46850392378</v>
      </c>
      <c r="BE6" s="508">
        <v>40310681042</v>
      </c>
      <c r="BF6" s="508">
        <v>40943683940</v>
      </c>
      <c r="BG6" s="508">
        <v>46060383890</v>
      </c>
      <c r="BH6" s="508">
        <v>88049581700</v>
      </c>
      <c r="BI6" s="508">
        <v>51636513720</v>
      </c>
      <c r="BJ6" s="508">
        <v>50114145673</v>
      </c>
      <c r="BK6" s="508">
        <v>48026156404</v>
      </c>
      <c r="BL6" s="508">
        <v>50364376330</v>
      </c>
      <c r="BM6" s="508">
        <v>51895220342</v>
      </c>
      <c r="BN6" s="508">
        <v>36356262964</v>
      </c>
      <c r="BO6" s="508">
        <v>42964800039</v>
      </c>
      <c r="BP6" s="508">
        <v>41543872808</v>
      </c>
      <c r="BQ6" s="508">
        <v>36525890669</v>
      </c>
      <c r="BR6" s="508"/>
      <c r="BS6" s="508"/>
      <c r="BT6" s="508"/>
      <c r="BU6" s="508"/>
      <c r="BV6" s="508"/>
      <c r="BW6" s="508"/>
    </row>
    <row r="7" spans="1:75" ht="15" customHeight="1">
      <c r="A7" s="55">
        <v>4</v>
      </c>
      <c r="B7" s="56" t="s">
        <v>322</v>
      </c>
      <c r="C7" s="55">
        <v>28</v>
      </c>
      <c r="D7" s="508"/>
      <c r="E7" s="508"/>
      <c r="F7" s="508"/>
      <c r="G7" s="508"/>
      <c r="H7" s="508"/>
      <c r="I7" s="508"/>
      <c r="J7" s="508"/>
      <c r="K7" s="508"/>
      <c r="L7" s="508"/>
      <c r="M7" s="508"/>
      <c r="N7" s="508"/>
      <c r="O7" s="508"/>
      <c r="P7" s="508"/>
      <c r="Q7" s="508"/>
      <c r="R7" s="508"/>
      <c r="S7" s="508"/>
      <c r="T7" s="508"/>
      <c r="U7" s="508"/>
      <c r="V7" s="508"/>
      <c r="W7" s="508"/>
      <c r="X7" s="508"/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  <c r="AJ7" s="508"/>
      <c r="AK7" s="508"/>
      <c r="AL7" s="508"/>
      <c r="AM7" s="508"/>
      <c r="AN7" s="508">
        <v>6840000000</v>
      </c>
      <c r="AO7" s="508">
        <v>6840000000</v>
      </c>
      <c r="AP7" s="508">
        <v>4830000000</v>
      </c>
      <c r="AQ7" s="508">
        <v>8830000000</v>
      </c>
      <c r="AR7" s="508">
        <v>8830000000</v>
      </c>
      <c r="AS7" s="508">
        <v>4830000000</v>
      </c>
      <c r="AT7" s="508">
        <v>7830000000</v>
      </c>
      <c r="AU7" s="508">
        <v>7830000000</v>
      </c>
      <c r="AV7" s="508">
        <v>7000000000</v>
      </c>
      <c r="AW7" s="508">
        <v>7000000000</v>
      </c>
      <c r="AX7" s="508">
        <v>7000000000</v>
      </c>
      <c r="AY7" s="508">
        <v>17000000000</v>
      </c>
      <c r="AZ7" s="508">
        <v>9840000000</v>
      </c>
      <c r="BA7" s="508">
        <v>9840000000</v>
      </c>
      <c r="BB7" s="508">
        <v>7800000000</v>
      </c>
      <c r="BC7" s="508">
        <v>7800000000</v>
      </c>
      <c r="BD7" s="508">
        <v>7000000000</v>
      </c>
      <c r="BE7" s="508">
        <v>7000000000</v>
      </c>
      <c r="BF7" s="508">
        <v>6000000000</v>
      </c>
      <c r="BG7" s="508">
        <v>6700000000</v>
      </c>
      <c r="BH7" s="508">
        <v>6700000000</v>
      </c>
      <c r="BI7" s="508">
        <v>34700000000</v>
      </c>
      <c r="BJ7" s="508">
        <v>32700000000</v>
      </c>
      <c r="BK7" s="508">
        <v>15700000000</v>
      </c>
      <c r="BL7" s="508">
        <v>109700000000</v>
      </c>
      <c r="BM7" s="508">
        <v>106700000000</v>
      </c>
      <c r="BN7" s="508">
        <v>110900000000</v>
      </c>
      <c r="BO7" s="508">
        <v>123000000000</v>
      </c>
      <c r="BP7" s="508">
        <v>115000000000</v>
      </c>
      <c r="BQ7" s="508">
        <v>116455263957</v>
      </c>
      <c r="BR7" s="508"/>
      <c r="BS7" s="508"/>
      <c r="BT7" s="508"/>
      <c r="BU7" s="508"/>
      <c r="BV7" s="508"/>
      <c r="BW7" s="508"/>
    </row>
    <row r="8" spans="1:75" ht="15" customHeight="1">
      <c r="A8" s="57">
        <v>5</v>
      </c>
      <c r="B8" s="54" t="s">
        <v>323</v>
      </c>
      <c r="C8" s="57">
        <v>28</v>
      </c>
      <c r="D8" s="3">
        <f t="shared" ref="D8:AY8" si="4">SUM(D9:D14)</f>
        <v>0</v>
      </c>
      <c r="E8" s="3">
        <f t="shared" si="4"/>
        <v>0</v>
      </c>
      <c r="F8" s="3">
        <f t="shared" si="4"/>
        <v>0</v>
      </c>
      <c r="G8" s="3">
        <f t="shared" si="4"/>
        <v>0</v>
      </c>
      <c r="H8" s="3">
        <f t="shared" si="4"/>
        <v>0</v>
      </c>
      <c r="I8" s="3">
        <f t="shared" si="4"/>
        <v>0</v>
      </c>
      <c r="J8" s="3">
        <f t="shared" si="4"/>
        <v>0</v>
      </c>
      <c r="K8" s="3">
        <f t="shared" si="4"/>
        <v>0</v>
      </c>
      <c r="L8" s="3">
        <f t="shared" si="4"/>
        <v>0</v>
      </c>
      <c r="M8" s="3">
        <f t="shared" si="4"/>
        <v>0</v>
      </c>
      <c r="N8" s="3">
        <f t="shared" si="4"/>
        <v>0</v>
      </c>
      <c r="O8" s="3">
        <f t="shared" si="4"/>
        <v>0</v>
      </c>
      <c r="P8" s="3">
        <f t="shared" si="4"/>
        <v>0</v>
      </c>
      <c r="Q8" s="3">
        <f t="shared" si="4"/>
        <v>0</v>
      </c>
      <c r="R8" s="3">
        <f t="shared" si="4"/>
        <v>0</v>
      </c>
      <c r="S8" s="3">
        <f t="shared" si="4"/>
        <v>0</v>
      </c>
      <c r="T8" s="3">
        <f t="shared" si="4"/>
        <v>0</v>
      </c>
      <c r="U8" s="3">
        <f t="shared" si="4"/>
        <v>0</v>
      </c>
      <c r="V8" s="3">
        <f t="shared" si="4"/>
        <v>0</v>
      </c>
      <c r="W8" s="3">
        <f t="shared" si="4"/>
        <v>0</v>
      </c>
      <c r="X8" s="3">
        <f t="shared" si="4"/>
        <v>0</v>
      </c>
      <c r="Y8" s="3">
        <f t="shared" si="4"/>
        <v>0</v>
      </c>
      <c r="Z8" s="3">
        <f t="shared" si="4"/>
        <v>0</v>
      </c>
      <c r="AA8" s="3">
        <f t="shared" si="4"/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108051581921</v>
      </c>
      <c r="AO8" s="3">
        <f t="shared" si="4"/>
        <v>108041861921</v>
      </c>
      <c r="AP8" s="3">
        <f t="shared" si="4"/>
        <v>108032141921</v>
      </c>
      <c r="AQ8" s="3">
        <f t="shared" si="4"/>
        <v>97522421921</v>
      </c>
      <c r="AR8" s="3">
        <f t="shared" si="4"/>
        <v>97512701921</v>
      </c>
      <c r="AS8" s="3">
        <f t="shared" si="4"/>
        <v>77502981921</v>
      </c>
      <c r="AT8" s="3">
        <f t="shared" si="4"/>
        <v>57993261921</v>
      </c>
      <c r="AU8" s="3">
        <f t="shared" si="4"/>
        <v>57983541921</v>
      </c>
      <c r="AV8" s="3">
        <f t="shared" si="4"/>
        <v>58813541921</v>
      </c>
      <c r="AW8" s="3">
        <f t="shared" si="4"/>
        <v>58794101921</v>
      </c>
      <c r="AX8" s="3">
        <f t="shared" si="4"/>
        <v>98794101921</v>
      </c>
      <c r="AY8" s="3">
        <f t="shared" si="4"/>
        <v>78774661921</v>
      </c>
      <c r="AZ8" s="3">
        <v>2202000000</v>
      </c>
      <c r="BA8" s="3">
        <v>202000000</v>
      </c>
      <c r="BB8" s="3">
        <v>23042000000</v>
      </c>
      <c r="BC8" s="3">
        <v>23042000000</v>
      </c>
      <c r="BD8" s="3">
        <v>23042000000</v>
      </c>
      <c r="BE8" s="3">
        <v>23042000000</v>
      </c>
      <c r="BF8" s="3">
        <v>23042000000</v>
      </c>
      <c r="BG8" s="3">
        <v>23042000000</v>
      </c>
      <c r="BH8" s="3">
        <v>23042000000</v>
      </c>
      <c r="BI8" s="3">
        <v>33042000000</v>
      </c>
      <c r="BJ8" s="3">
        <v>33042000000</v>
      </c>
      <c r="BK8" s="3">
        <v>38542000000</v>
      </c>
      <c r="BL8" s="3">
        <v>38542000000</v>
      </c>
      <c r="BM8" s="3">
        <v>38542000000</v>
      </c>
      <c r="BN8" s="3">
        <v>38542000000</v>
      </c>
      <c r="BO8" s="3">
        <v>41042000000</v>
      </c>
      <c r="BP8" s="3">
        <v>41042000000</v>
      </c>
      <c r="BQ8" s="3">
        <v>41042000000</v>
      </c>
      <c r="BR8" s="3">
        <f t="shared" ref="BR8:BW8" si="5">SUM(BR9:BR14)</f>
        <v>0</v>
      </c>
      <c r="BS8" s="3">
        <f t="shared" si="5"/>
        <v>0</v>
      </c>
      <c r="BT8" s="3">
        <f t="shared" si="5"/>
        <v>0</v>
      </c>
      <c r="BU8" s="3">
        <f t="shared" si="5"/>
        <v>0</v>
      </c>
      <c r="BV8" s="3">
        <f t="shared" si="5"/>
        <v>0</v>
      </c>
      <c r="BW8" s="3">
        <f t="shared" si="5"/>
        <v>0</v>
      </c>
    </row>
    <row r="9" spans="1:75" ht="15" customHeight="1">
      <c r="A9" s="55">
        <v>6</v>
      </c>
      <c r="B9" s="56" t="s">
        <v>39</v>
      </c>
      <c r="C9" s="55">
        <v>28</v>
      </c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508"/>
      <c r="O9" s="508"/>
      <c r="P9" s="508"/>
      <c r="Q9" s="508"/>
      <c r="R9" s="508"/>
      <c r="S9" s="508"/>
      <c r="T9" s="508"/>
      <c r="U9" s="508"/>
      <c r="V9" s="508"/>
      <c r="W9" s="508"/>
      <c r="X9" s="508"/>
      <c r="Y9" s="508"/>
      <c r="Z9" s="508"/>
      <c r="AA9" s="508"/>
      <c r="AB9" s="508"/>
      <c r="AC9" s="508"/>
      <c r="AD9" s="508"/>
      <c r="AE9" s="508"/>
      <c r="AF9" s="508"/>
      <c r="AG9" s="508"/>
      <c r="AH9" s="508"/>
      <c r="AI9" s="508"/>
      <c r="AJ9" s="508"/>
      <c r="AK9" s="508"/>
      <c r="AL9" s="508"/>
      <c r="AM9" s="508"/>
      <c r="AN9" s="508">
        <v>0</v>
      </c>
      <c r="AO9" s="508">
        <v>0</v>
      </c>
      <c r="AP9" s="508">
        <v>0</v>
      </c>
      <c r="AQ9" s="508">
        <v>0</v>
      </c>
      <c r="AR9" s="508">
        <v>0</v>
      </c>
      <c r="AS9" s="508">
        <v>0</v>
      </c>
      <c r="AT9" s="508">
        <v>0</v>
      </c>
      <c r="AU9" s="508">
        <v>0</v>
      </c>
      <c r="AV9" s="508">
        <v>0</v>
      </c>
      <c r="AW9" s="508">
        <v>0</v>
      </c>
      <c r="AX9" s="508">
        <v>0</v>
      </c>
      <c r="AY9" s="508">
        <v>0</v>
      </c>
      <c r="AZ9" s="508">
        <v>0</v>
      </c>
      <c r="BA9" s="508">
        <v>0</v>
      </c>
      <c r="BB9" s="508">
        <v>0</v>
      </c>
      <c r="BC9" s="508">
        <v>0</v>
      </c>
      <c r="BD9" s="508">
        <v>0</v>
      </c>
      <c r="BE9" s="508">
        <v>0</v>
      </c>
      <c r="BF9" s="508">
        <v>0</v>
      </c>
      <c r="BG9" s="508">
        <v>0</v>
      </c>
      <c r="BH9" s="508">
        <v>0</v>
      </c>
      <c r="BI9" s="508">
        <v>0</v>
      </c>
      <c r="BJ9" s="508">
        <v>0</v>
      </c>
      <c r="BK9" s="508">
        <v>0</v>
      </c>
      <c r="BL9" s="508">
        <v>0</v>
      </c>
      <c r="BM9" s="508">
        <v>0</v>
      </c>
      <c r="BN9" s="508">
        <v>0</v>
      </c>
      <c r="BO9" s="508">
        <v>0</v>
      </c>
      <c r="BP9" s="508">
        <v>0</v>
      </c>
      <c r="BQ9" s="508">
        <v>0</v>
      </c>
      <c r="BR9" s="508"/>
      <c r="BS9" s="508"/>
      <c r="BT9" s="508"/>
      <c r="BU9" s="508"/>
      <c r="BV9" s="508"/>
      <c r="BW9" s="508"/>
    </row>
    <row r="10" spans="1:75" ht="15" customHeight="1">
      <c r="A10" s="55">
        <v>7</v>
      </c>
      <c r="B10" s="56" t="s">
        <v>40</v>
      </c>
      <c r="C10" s="55">
        <v>28</v>
      </c>
      <c r="D10" s="508"/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508"/>
      <c r="V10" s="508"/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  <c r="AJ10" s="508"/>
      <c r="AK10" s="508"/>
      <c r="AL10" s="508"/>
      <c r="AM10" s="508"/>
      <c r="AN10" s="508">
        <v>0</v>
      </c>
      <c r="AO10" s="508">
        <v>0</v>
      </c>
      <c r="AP10" s="508">
        <v>0</v>
      </c>
      <c r="AQ10" s="508">
        <v>0</v>
      </c>
      <c r="AR10" s="508">
        <v>0</v>
      </c>
      <c r="AS10" s="508">
        <v>0</v>
      </c>
      <c r="AT10" s="508">
        <v>0</v>
      </c>
      <c r="AU10" s="508">
        <v>0</v>
      </c>
      <c r="AV10" s="508">
        <v>0</v>
      </c>
      <c r="AW10" s="508">
        <v>0</v>
      </c>
      <c r="AX10" s="508">
        <v>0</v>
      </c>
      <c r="AY10" s="508">
        <v>0</v>
      </c>
      <c r="AZ10" s="508">
        <v>0</v>
      </c>
      <c r="BA10" s="508">
        <v>0</v>
      </c>
      <c r="BB10" s="508">
        <v>0</v>
      </c>
      <c r="BC10" s="508">
        <v>0</v>
      </c>
      <c r="BD10" s="508">
        <v>0</v>
      </c>
      <c r="BE10" s="508">
        <v>0</v>
      </c>
      <c r="BF10" s="508">
        <v>0</v>
      </c>
      <c r="BG10" s="508">
        <v>0</v>
      </c>
      <c r="BH10" s="508">
        <v>0</v>
      </c>
      <c r="BI10" s="508">
        <v>0</v>
      </c>
      <c r="BJ10" s="508">
        <v>0</v>
      </c>
      <c r="BK10" s="508">
        <v>0</v>
      </c>
      <c r="BL10" s="508">
        <v>0</v>
      </c>
      <c r="BM10" s="508">
        <v>0</v>
      </c>
      <c r="BN10" s="508">
        <v>0</v>
      </c>
      <c r="BO10" s="508">
        <v>0</v>
      </c>
      <c r="BP10" s="508">
        <v>0</v>
      </c>
      <c r="BQ10" s="508">
        <v>0</v>
      </c>
      <c r="BR10" s="508"/>
      <c r="BS10" s="508"/>
      <c r="BT10" s="508"/>
      <c r="BU10" s="508"/>
      <c r="BV10" s="508"/>
      <c r="BW10" s="508"/>
    </row>
    <row r="11" spans="1:75" ht="15" customHeight="1">
      <c r="A11" s="55">
        <v>8</v>
      </c>
      <c r="B11" s="58" t="s">
        <v>41</v>
      </c>
      <c r="C11" s="55">
        <v>28</v>
      </c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  <c r="AJ11" s="508"/>
      <c r="AK11" s="508"/>
      <c r="AL11" s="508"/>
      <c r="AM11" s="508"/>
      <c r="AN11" s="508">
        <v>108051581921</v>
      </c>
      <c r="AO11" s="508">
        <v>108041861921</v>
      </c>
      <c r="AP11" s="508">
        <v>108032141921</v>
      </c>
      <c r="AQ11" s="508">
        <v>97522421921</v>
      </c>
      <c r="AR11" s="508">
        <v>97512701921</v>
      </c>
      <c r="AS11" s="508">
        <v>77502981921</v>
      </c>
      <c r="AT11" s="508">
        <v>57993261921</v>
      </c>
      <c r="AU11" s="508">
        <v>57983541921</v>
      </c>
      <c r="AV11" s="508">
        <v>58813541921</v>
      </c>
      <c r="AW11" s="508">
        <v>58794101921</v>
      </c>
      <c r="AX11" s="508">
        <v>98794101921</v>
      </c>
      <c r="AY11" s="508">
        <v>78774661921</v>
      </c>
      <c r="AZ11" s="508">
        <v>2202000000</v>
      </c>
      <c r="BA11" s="508">
        <v>202000000</v>
      </c>
      <c r="BB11" s="508">
        <v>23042000000</v>
      </c>
      <c r="BC11" s="508">
        <v>23042000000</v>
      </c>
      <c r="BD11" s="508">
        <v>23042000000</v>
      </c>
      <c r="BE11" s="508">
        <v>23042000000</v>
      </c>
      <c r="BF11" s="508">
        <v>23042000000</v>
      </c>
      <c r="BG11" s="508">
        <v>23042000000</v>
      </c>
      <c r="BH11" s="508">
        <v>23042000000</v>
      </c>
      <c r="BI11" s="508">
        <v>33042000000</v>
      </c>
      <c r="BJ11" s="508">
        <v>33042000000</v>
      </c>
      <c r="BK11" s="508">
        <v>38542000000</v>
      </c>
      <c r="BL11" s="508">
        <v>38542000000</v>
      </c>
      <c r="BM11" s="508">
        <v>38542000000</v>
      </c>
      <c r="BN11" s="508">
        <v>38542000000</v>
      </c>
      <c r="BO11" s="508">
        <v>41042000000</v>
      </c>
      <c r="BP11" s="508">
        <v>41042000000</v>
      </c>
      <c r="BQ11" s="508">
        <v>41042000000</v>
      </c>
      <c r="BR11" s="508"/>
      <c r="BS11" s="508"/>
      <c r="BT11" s="508"/>
      <c r="BU11" s="508"/>
      <c r="BV11" s="508"/>
      <c r="BW11" s="508"/>
    </row>
    <row r="12" spans="1:75" ht="15" customHeight="1">
      <c r="A12" s="55">
        <v>9</v>
      </c>
      <c r="B12" s="58" t="s">
        <v>42</v>
      </c>
      <c r="C12" s="55">
        <v>28</v>
      </c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  <c r="P12" s="508"/>
      <c r="Q12" s="508"/>
      <c r="R12" s="508"/>
      <c r="S12" s="508"/>
      <c r="T12" s="508"/>
      <c r="U12" s="508"/>
      <c r="V12" s="508"/>
      <c r="W12" s="508"/>
      <c r="X12" s="508"/>
      <c r="Y12" s="508"/>
      <c r="Z12" s="508"/>
      <c r="AA12" s="508"/>
      <c r="AB12" s="508"/>
      <c r="AC12" s="508"/>
      <c r="AD12" s="508"/>
      <c r="AE12" s="508"/>
      <c r="AF12" s="508"/>
      <c r="AG12" s="508"/>
      <c r="AH12" s="508"/>
      <c r="AI12" s="508"/>
      <c r="AJ12" s="508"/>
      <c r="AK12" s="508"/>
      <c r="AL12" s="508"/>
      <c r="AM12" s="508"/>
      <c r="AN12" s="508">
        <v>0</v>
      </c>
      <c r="AO12" s="508">
        <v>0</v>
      </c>
      <c r="AP12" s="508">
        <v>0</v>
      </c>
      <c r="AQ12" s="508">
        <v>0</v>
      </c>
      <c r="AR12" s="508">
        <v>0</v>
      </c>
      <c r="AS12" s="508">
        <v>0</v>
      </c>
      <c r="AT12" s="508">
        <v>0</v>
      </c>
      <c r="AU12" s="508">
        <v>0</v>
      </c>
      <c r="AV12" s="508">
        <v>0</v>
      </c>
      <c r="AW12" s="508">
        <v>0</v>
      </c>
      <c r="AX12" s="508">
        <v>0</v>
      </c>
      <c r="AY12" s="508">
        <v>0</v>
      </c>
      <c r="AZ12" s="508">
        <v>0</v>
      </c>
      <c r="BA12" s="508">
        <v>0</v>
      </c>
      <c r="BB12" s="508">
        <v>0</v>
      </c>
      <c r="BC12" s="508">
        <v>0</v>
      </c>
      <c r="BD12" s="508">
        <v>0</v>
      </c>
      <c r="BE12" s="508">
        <v>0</v>
      </c>
      <c r="BF12" s="508">
        <v>0</v>
      </c>
      <c r="BG12" s="508">
        <v>0</v>
      </c>
      <c r="BH12" s="508">
        <v>0</v>
      </c>
      <c r="BI12" s="508">
        <v>0</v>
      </c>
      <c r="BJ12" s="508">
        <v>0</v>
      </c>
      <c r="BK12" s="508">
        <v>0</v>
      </c>
      <c r="BL12" s="508">
        <v>0</v>
      </c>
      <c r="BM12" s="508">
        <v>0</v>
      </c>
      <c r="BN12" s="508">
        <v>0</v>
      </c>
      <c r="BO12" s="508">
        <v>0</v>
      </c>
      <c r="BP12" s="508">
        <v>0</v>
      </c>
      <c r="BQ12" s="508">
        <v>0</v>
      </c>
      <c r="BR12" s="508"/>
      <c r="BS12" s="508"/>
      <c r="BT12" s="508"/>
      <c r="BU12" s="508"/>
      <c r="BV12" s="508"/>
      <c r="BW12" s="508"/>
    </row>
    <row r="13" spans="1:75" ht="15" customHeight="1">
      <c r="A13" s="55">
        <v>10</v>
      </c>
      <c r="B13" s="58" t="s">
        <v>43</v>
      </c>
      <c r="C13" s="55">
        <v>28</v>
      </c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>
        <v>0</v>
      </c>
      <c r="AO13" s="508">
        <v>0</v>
      </c>
      <c r="AP13" s="508">
        <v>0</v>
      </c>
      <c r="AQ13" s="508">
        <v>0</v>
      </c>
      <c r="AR13" s="508">
        <v>0</v>
      </c>
      <c r="AS13" s="508">
        <v>0</v>
      </c>
      <c r="AT13" s="508">
        <v>0</v>
      </c>
      <c r="AU13" s="508">
        <v>0</v>
      </c>
      <c r="AV13" s="508">
        <v>0</v>
      </c>
      <c r="AW13" s="508">
        <v>0</v>
      </c>
      <c r="AX13" s="508">
        <v>0</v>
      </c>
      <c r="AY13" s="508">
        <v>0</v>
      </c>
      <c r="AZ13" s="508">
        <v>0</v>
      </c>
      <c r="BA13" s="508">
        <v>0</v>
      </c>
      <c r="BB13" s="508">
        <v>0</v>
      </c>
      <c r="BC13" s="508">
        <v>0</v>
      </c>
      <c r="BD13" s="508">
        <v>0</v>
      </c>
      <c r="BE13" s="508">
        <v>0</v>
      </c>
      <c r="BF13" s="508">
        <v>0</v>
      </c>
      <c r="BG13" s="508">
        <v>0</v>
      </c>
      <c r="BH13" s="508">
        <v>0</v>
      </c>
      <c r="BI13" s="508">
        <v>0</v>
      </c>
      <c r="BJ13" s="508">
        <v>0</v>
      </c>
      <c r="BK13" s="508">
        <v>0</v>
      </c>
      <c r="BL13" s="508">
        <v>0</v>
      </c>
      <c r="BM13" s="508">
        <v>0</v>
      </c>
      <c r="BN13" s="508">
        <v>0</v>
      </c>
      <c r="BO13" s="508">
        <v>0</v>
      </c>
      <c r="BP13" s="508">
        <v>0</v>
      </c>
      <c r="BQ13" s="508">
        <v>0</v>
      </c>
      <c r="BR13" s="508"/>
      <c r="BS13" s="508"/>
      <c r="BT13" s="508"/>
      <c r="BU13" s="508"/>
      <c r="BV13" s="508"/>
      <c r="BW13" s="508"/>
    </row>
    <row r="14" spans="1:75" ht="15" customHeight="1">
      <c r="A14" s="55">
        <v>11</v>
      </c>
      <c r="B14" s="58" t="s">
        <v>44</v>
      </c>
      <c r="C14" s="55">
        <v>28</v>
      </c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8"/>
      <c r="U14" s="508"/>
      <c r="V14" s="508"/>
      <c r="W14" s="508"/>
      <c r="X14" s="508"/>
      <c r="Y14" s="508"/>
      <c r="Z14" s="508"/>
      <c r="AA14" s="508"/>
      <c r="AB14" s="508"/>
      <c r="AC14" s="508"/>
      <c r="AD14" s="508"/>
      <c r="AE14" s="508"/>
      <c r="AF14" s="508"/>
      <c r="AG14" s="508"/>
      <c r="AH14" s="508"/>
      <c r="AI14" s="508"/>
      <c r="AJ14" s="508"/>
      <c r="AK14" s="508"/>
      <c r="AL14" s="508"/>
      <c r="AM14" s="508"/>
      <c r="AN14" s="508">
        <v>0</v>
      </c>
      <c r="AO14" s="508">
        <v>0</v>
      </c>
      <c r="AP14" s="508">
        <v>0</v>
      </c>
      <c r="AQ14" s="508">
        <v>0</v>
      </c>
      <c r="AR14" s="508">
        <v>0</v>
      </c>
      <c r="AS14" s="508">
        <v>0</v>
      </c>
      <c r="AT14" s="508">
        <v>0</v>
      </c>
      <c r="AU14" s="508">
        <v>0</v>
      </c>
      <c r="AV14" s="508">
        <v>0</v>
      </c>
      <c r="AW14" s="508">
        <v>0</v>
      </c>
      <c r="AX14" s="508">
        <v>0</v>
      </c>
      <c r="AY14" s="508">
        <v>0</v>
      </c>
      <c r="AZ14" s="508">
        <v>0</v>
      </c>
      <c r="BA14" s="508">
        <v>0</v>
      </c>
      <c r="BB14" s="508">
        <v>0</v>
      </c>
      <c r="BC14" s="508">
        <v>0</v>
      </c>
      <c r="BD14" s="508">
        <v>0</v>
      </c>
      <c r="BE14" s="508">
        <v>0</v>
      </c>
      <c r="BF14" s="508">
        <v>0</v>
      </c>
      <c r="BG14" s="508">
        <v>0</v>
      </c>
      <c r="BH14" s="508">
        <v>0</v>
      </c>
      <c r="BI14" s="508">
        <v>0</v>
      </c>
      <c r="BJ14" s="508">
        <v>0</v>
      </c>
      <c r="BK14" s="508">
        <v>0</v>
      </c>
      <c r="BL14" s="508">
        <v>0</v>
      </c>
      <c r="BM14" s="508">
        <v>0</v>
      </c>
      <c r="BN14" s="508">
        <v>0</v>
      </c>
      <c r="BO14" s="508">
        <v>0</v>
      </c>
      <c r="BP14" s="508">
        <v>0</v>
      </c>
      <c r="BQ14" s="508">
        <v>0</v>
      </c>
      <c r="BR14" s="508"/>
      <c r="BS14" s="508"/>
      <c r="BT14" s="508"/>
      <c r="BU14" s="508"/>
      <c r="BV14" s="508"/>
      <c r="BW14" s="508"/>
    </row>
    <row r="15" spans="1:75" ht="15" customHeight="1">
      <c r="A15" s="59">
        <v>12</v>
      </c>
      <c r="B15" s="54" t="s">
        <v>324</v>
      </c>
      <c r="C15" s="59">
        <v>28</v>
      </c>
      <c r="D15" s="3">
        <f t="shared" ref="D15:AY15" si="6">SUM(D16:D22)</f>
        <v>0</v>
      </c>
      <c r="E15" s="3">
        <f t="shared" si="6"/>
        <v>0</v>
      </c>
      <c r="F15" s="3">
        <f t="shared" si="6"/>
        <v>0</v>
      </c>
      <c r="G15" s="3">
        <f t="shared" si="6"/>
        <v>0</v>
      </c>
      <c r="H15" s="3">
        <f t="shared" si="6"/>
        <v>0</v>
      </c>
      <c r="I15" s="3">
        <f t="shared" si="6"/>
        <v>0</v>
      </c>
      <c r="J15" s="3">
        <f t="shared" si="6"/>
        <v>0</v>
      </c>
      <c r="K15" s="3">
        <f t="shared" si="6"/>
        <v>0</v>
      </c>
      <c r="L15" s="3">
        <f t="shared" si="6"/>
        <v>0</v>
      </c>
      <c r="M15" s="3">
        <f t="shared" si="6"/>
        <v>0</v>
      </c>
      <c r="N15" s="3">
        <f t="shared" si="6"/>
        <v>0</v>
      </c>
      <c r="O15" s="3">
        <f t="shared" si="6"/>
        <v>0</v>
      </c>
      <c r="P15" s="3">
        <f t="shared" si="6"/>
        <v>0</v>
      </c>
      <c r="Q15" s="3">
        <f t="shared" si="6"/>
        <v>0</v>
      </c>
      <c r="R15" s="3">
        <f t="shared" si="6"/>
        <v>0</v>
      </c>
      <c r="S15" s="3">
        <f t="shared" si="6"/>
        <v>0</v>
      </c>
      <c r="T15" s="3">
        <f t="shared" si="6"/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3">
        <f t="shared" si="6"/>
        <v>0</v>
      </c>
      <c r="Y15" s="3">
        <f t="shared" si="6"/>
        <v>0</v>
      </c>
      <c r="Z15" s="3">
        <f t="shared" si="6"/>
        <v>0</v>
      </c>
      <c r="AA15" s="3">
        <f t="shared" si="6"/>
        <v>0</v>
      </c>
      <c r="AB15" s="3">
        <f t="shared" si="6"/>
        <v>0</v>
      </c>
      <c r="AC15" s="3">
        <f t="shared" si="6"/>
        <v>0</v>
      </c>
      <c r="AD15" s="3">
        <f t="shared" si="6"/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3">
        <f t="shared" si="6"/>
        <v>0</v>
      </c>
      <c r="AI15" s="3">
        <f t="shared" si="6"/>
        <v>0</v>
      </c>
      <c r="AJ15" s="3">
        <f t="shared" si="6"/>
        <v>0</v>
      </c>
      <c r="AK15" s="3">
        <f t="shared" si="6"/>
        <v>0</v>
      </c>
      <c r="AL15" s="3">
        <f t="shared" si="6"/>
        <v>0</v>
      </c>
      <c r="AM15" s="3">
        <f t="shared" si="6"/>
        <v>0</v>
      </c>
      <c r="AN15" s="3">
        <f t="shared" si="6"/>
        <v>208760771261.14001</v>
      </c>
      <c r="AO15" s="3">
        <f t="shared" si="6"/>
        <v>193914556321.14001</v>
      </c>
      <c r="AP15" s="3">
        <f t="shared" si="6"/>
        <v>201044728738</v>
      </c>
      <c r="AQ15" s="3">
        <f t="shared" si="6"/>
        <v>218534804131</v>
      </c>
      <c r="AR15" s="3">
        <f t="shared" si="6"/>
        <v>221552374341.74799</v>
      </c>
      <c r="AS15" s="3">
        <f t="shared" si="6"/>
        <v>247679067362.74799</v>
      </c>
      <c r="AT15" s="3">
        <f t="shared" si="6"/>
        <v>152821201175.51801</v>
      </c>
      <c r="AU15" s="3">
        <f t="shared" si="6"/>
        <v>177806369111.51801</v>
      </c>
      <c r="AV15" s="3">
        <f t="shared" si="6"/>
        <v>209006347244.51801</v>
      </c>
      <c r="AW15" s="3">
        <f t="shared" si="6"/>
        <v>202825461782.51801</v>
      </c>
      <c r="AX15" s="3">
        <f t="shared" si="6"/>
        <v>243037929149.51801</v>
      </c>
      <c r="AY15" s="4">
        <f t="shared" si="6"/>
        <v>226296560348</v>
      </c>
      <c r="AZ15" s="4">
        <v>217735728888</v>
      </c>
      <c r="BA15" s="4">
        <v>260075319876.51801</v>
      </c>
      <c r="BB15" s="4">
        <v>310288883815</v>
      </c>
      <c r="BC15" s="4">
        <v>296898185243.51801</v>
      </c>
      <c r="BD15" s="4">
        <v>354207256666.51801</v>
      </c>
      <c r="BE15" s="4">
        <v>365571482051</v>
      </c>
      <c r="BF15" s="4">
        <v>339058924133</v>
      </c>
      <c r="BG15" s="4">
        <v>425113236252</v>
      </c>
      <c r="BH15" s="4">
        <v>357432202896</v>
      </c>
      <c r="BI15" s="4">
        <v>315052540892</v>
      </c>
      <c r="BJ15" s="4">
        <v>297501008911</v>
      </c>
      <c r="BK15" s="4">
        <v>310459942750</v>
      </c>
      <c r="BL15" s="4">
        <v>279961205359</v>
      </c>
      <c r="BM15" s="4">
        <v>303216966393.40002</v>
      </c>
      <c r="BN15" s="4">
        <v>343051411345</v>
      </c>
      <c r="BO15" s="4">
        <v>341187593965</v>
      </c>
      <c r="BP15" s="4">
        <v>431651334653</v>
      </c>
      <c r="BQ15" s="4">
        <v>324263549252</v>
      </c>
      <c r="BR15" s="4">
        <f t="shared" ref="BR15:BW15" si="7">SUM(BR16:BR22)</f>
        <v>0</v>
      </c>
      <c r="BS15" s="4">
        <f t="shared" si="7"/>
        <v>0</v>
      </c>
      <c r="BT15" s="4">
        <f t="shared" si="7"/>
        <v>0</v>
      </c>
      <c r="BU15" s="4">
        <f t="shared" si="7"/>
        <v>0</v>
      </c>
      <c r="BV15" s="4">
        <f t="shared" si="7"/>
        <v>0</v>
      </c>
      <c r="BW15" s="4">
        <f t="shared" si="7"/>
        <v>0</v>
      </c>
    </row>
    <row r="16" spans="1:75" ht="15" customHeight="1">
      <c r="A16" s="55">
        <v>13</v>
      </c>
      <c r="B16" s="60" t="s">
        <v>46</v>
      </c>
      <c r="C16" s="55">
        <v>28</v>
      </c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>
        <v>139866573147</v>
      </c>
      <c r="AO16" s="508">
        <v>145639317187</v>
      </c>
      <c r="AP16" s="508">
        <v>145029363992</v>
      </c>
      <c r="AQ16" s="508">
        <v>158990592845</v>
      </c>
      <c r="AR16" s="508">
        <v>169879811667</v>
      </c>
      <c r="AS16" s="508">
        <v>169929811366</v>
      </c>
      <c r="AT16" s="508">
        <v>102331112462</v>
      </c>
      <c r="AU16" s="508">
        <v>127587662576</v>
      </c>
      <c r="AV16" s="508">
        <v>161236707683</v>
      </c>
      <c r="AW16" s="508">
        <v>156193512518</v>
      </c>
      <c r="AX16" s="508">
        <v>158918995344</v>
      </c>
      <c r="AY16" s="508">
        <v>159389289311</v>
      </c>
      <c r="AZ16" s="508">
        <v>104710029317</v>
      </c>
      <c r="BA16" s="508">
        <v>158254405997</v>
      </c>
      <c r="BB16" s="508">
        <v>200045097235</v>
      </c>
      <c r="BC16" s="508">
        <v>155380145983</v>
      </c>
      <c r="BD16" s="508">
        <v>167509298140</v>
      </c>
      <c r="BE16" s="508">
        <v>154486175751</v>
      </c>
      <c r="BF16" s="508">
        <v>153095689903</v>
      </c>
      <c r="BG16" s="508">
        <v>190031772805</v>
      </c>
      <c r="BH16" s="508">
        <v>157982845758</v>
      </c>
      <c r="BI16" s="508">
        <v>151626732436</v>
      </c>
      <c r="BJ16" s="508">
        <v>154563122279</v>
      </c>
      <c r="BK16" s="508">
        <v>154220517132</v>
      </c>
      <c r="BL16" s="508">
        <v>132729767167</v>
      </c>
      <c r="BM16" s="508">
        <v>140125808596.39999</v>
      </c>
      <c r="BN16" s="508">
        <v>152517322708</v>
      </c>
      <c r="BO16" s="508">
        <v>177359967457</v>
      </c>
      <c r="BP16" s="508">
        <v>177880438140</v>
      </c>
      <c r="BQ16" s="508">
        <v>169141546389</v>
      </c>
      <c r="BR16" s="508"/>
      <c r="BS16" s="508"/>
      <c r="BT16" s="508"/>
      <c r="BU16" s="508"/>
      <c r="BV16" s="508"/>
      <c r="BW16" s="508"/>
    </row>
    <row r="17" spans="1:75" ht="15" customHeight="1">
      <c r="A17" s="55">
        <v>14</v>
      </c>
      <c r="B17" s="60" t="s">
        <v>47</v>
      </c>
      <c r="C17" s="55">
        <v>28</v>
      </c>
      <c r="D17" s="508"/>
      <c r="E17" s="508"/>
      <c r="F17" s="508"/>
      <c r="G17" s="508"/>
      <c r="H17" s="508"/>
      <c r="I17" s="508"/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>
        <v>19848285706</v>
      </c>
      <c r="AO17" s="508">
        <v>18001368927</v>
      </c>
      <c r="AP17" s="508">
        <v>17409185425</v>
      </c>
      <c r="AQ17" s="508">
        <v>18980934468</v>
      </c>
      <c r="AR17" s="508">
        <v>18972917626</v>
      </c>
      <c r="AS17" s="508">
        <v>16946912554</v>
      </c>
      <c r="AT17" s="508">
        <v>15624304617</v>
      </c>
      <c r="AU17" s="508">
        <v>15352055458</v>
      </c>
      <c r="AV17" s="508">
        <v>12264421488</v>
      </c>
      <c r="AW17" s="508">
        <v>10758004465</v>
      </c>
      <c r="AX17" s="508">
        <v>12010431039</v>
      </c>
      <c r="AY17" s="508">
        <v>24401454639</v>
      </c>
      <c r="AZ17" s="508">
        <v>14819388431</v>
      </c>
      <c r="BA17" s="508">
        <v>17646304860</v>
      </c>
      <c r="BB17" s="508">
        <v>20708830735</v>
      </c>
      <c r="BC17" s="508">
        <v>26192684967</v>
      </c>
      <c r="BD17" s="508">
        <v>62897284043</v>
      </c>
      <c r="BE17" s="508">
        <v>65291388780</v>
      </c>
      <c r="BF17" s="508">
        <v>54584222857</v>
      </c>
      <c r="BG17" s="508">
        <v>69767861908</v>
      </c>
      <c r="BH17" s="508">
        <v>76188674935</v>
      </c>
      <c r="BI17" s="508">
        <v>71648142604</v>
      </c>
      <c r="BJ17" s="508">
        <v>61105796375</v>
      </c>
      <c r="BK17" s="508">
        <v>60848470883</v>
      </c>
      <c r="BL17" s="508">
        <v>68216577270</v>
      </c>
      <c r="BM17" s="508">
        <v>71732450749</v>
      </c>
      <c r="BN17" s="508">
        <v>84845735477</v>
      </c>
      <c r="BO17" s="508">
        <v>66925106351</v>
      </c>
      <c r="BP17" s="508">
        <v>153006350044</v>
      </c>
      <c r="BQ17" s="508">
        <v>40413561398</v>
      </c>
      <c r="BR17" s="508"/>
      <c r="BS17" s="508"/>
      <c r="BT17" s="508"/>
      <c r="BU17" s="508"/>
      <c r="BV17" s="508"/>
      <c r="BW17" s="508"/>
    </row>
    <row r="18" spans="1:75" ht="15" customHeight="1">
      <c r="A18" s="55">
        <v>15</v>
      </c>
      <c r="B18" s="60" t="s">
        <v>48</v>
      </c>
      <c r="C18" s="55">
        <v>28</v>
      </c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>
        <v>0</v>
      </c>
      <c r="AO18" s="508">
        <v>0</v>
      </c>
      <c r="AP18" s="508">
        <v>0</v>
      </c>
      <c r="AQ18" s="508">
        <v>0</v>
      </c>
      <c r="AR18" s="508">
        <v>0</v>
      </c>
      <c r="AS18" s="508">
        <v>0</v>
      </c>
      <c r="AT18" s="508">
        <v>0</v>
      </c>
      <c r="AU18" s="508">
        <v>0</v>
      </c>
      <c r="AV18" s="508">
        <v>0</v>
      </c>
      <c r="AW18" s="508">
        <v>0</v>
      </c>
      <c r="AX18" s="508">
        <v>0</v>
      </c>
      <c r="AY18" s="508">
        <v>0</v>
      </c>
      <c r="AZ18" s="508">
        <v>0</v>
      </c>
      <c r="BA18" s="508">
        <v>0</v>
      </c>
      <c r="BB18" s="508">
        <v>0</v>
      </c>
      <c r="BC18" s="508">
        <v>0</v>
      </c>
      <c r="BD18" s="508">
        <v>0</v>
      </c>
      <c r="BE18" s="508">
        <v>0</v>
      </c>
      <c r="BF18" s="508">
        <v>0</v>
      </c>
      <c r="BG18" s="508">
        <v>0</v>
      </c>
      <c r="BH18" s="508">
        <v>0</v>
      </c>
      <c r="BI18" s="508">
        <v>0</v>
      </c>
      <c r="BJ18" s="508">
        <v>0</v>
      </c>
      <c r="BK18" s="508">
        <v>0</v>
      </c>
      <c r="BL18" s="508">
        <v>0</v>
      </c>
      <c r="BM18" s="508">
        <v>0</v>
      </c>
      <c r="BN18" s="508">
        <v>0</v>
      </c>
      <c r="BO18" s="508">
        <v>0</v>
      </c>
      <c r="BP18" s="508">
        <v>0</v>
      </c>
      <c r="BQ18" s="508">
        <v>0</v>
      </c>
      <c r="BR18" s="508"/>
      <c r="BS18" s="508"/>
      <c r="BT18" s="508"/>
      <c r="BU18" s="508"/>
      <c r="BV18" s="508"/>
      <c r="BW18" s="508"/>
    </row>
    <row r="19" spans="1:75" ht="15" customHeight="1">
      <c r="A19" s="55">
        <v>16</v>
      </c>
      <c r="B19" s="60" t="s">
        <v>49</v>
      </c>
      <c r="C19" s="55">
        <v>28</v>
      </c>
      <c r="D19" s="508"/>
      <c r="E19" s="508"/>
      <c r="F19" s="508"/>
      <c r="G19" s="508"/>
      <c r="H19" s="508"/>
      <c r="I19" s="508"/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8"/>
      <c r="AB19" s="508"/>
      <c r="AC19" s="508"/>
      <c r="AD19" s="508"/>
      <c r="AE19" s="508"/>
      <c r="AF19" s="508"/>
      <c r="AG19" s="508"/>
      <c r="AH19" s="508"/>
      <c r="AI19" s="508"/>
      <c r="AJ19" s="508"/>
      <c r="AK19" s="508"/>
      <c r="AL19" s="508"/>
      <c r="AM19" s="508"/>
      <c r="AN19" s="508">
        <v>0</v>
      </c>
      <c r="AO19" s="508">
        <v>0</v>
      </c>
      <c r="AP19" s="508">
        <v>0</v>
      </c>
      <c r="AQ19" s="508">
        <v>0</v>
      </c>
      <c r="AR19" s="508">
        <v>0</v>
      </c>
      <c r="AS19" s="508">
        <v>0</v>
      </c>
      <c r="AT19" s="508">
        <v>0</v>
      </c>
      <c r="AU19" s="508">
        <v>0</v>
      </c>
      <c r="AV19" s="508">
        <v>0</v>
      </c>
      <c r="AW19" s="508">
        <v>0</v>
      </c>
      <c r="AX19" s="508">
        <v>0</v>
      </c>
      <c r="AY19" s="508">
        <v>0</v>
      </c>
      <c r="AZ19" s="508">
        <v>0</v>
      </c>
      <c r="BA19" s="508">
        <v>0</v>
      </c>
      <c r="BB19" s="508">
        <v>0</v>
      </c>
      <c r="BC19" s="508">
        <v>0</v>
      </c>
      <c r="BD19" s="508">
        <v>0</v>
      </c>
      <c r="BE19" s="508">
        <v>0</v>
      </c>
      <c r="BF19" s="508">
        <v>0</v>
      </c>
      <c r="BG19" s="508">
        <v>0</v>
      </c>
      <c r="BH19" s="508">
        <v>0</v>
      </c>
      <c r="BI19" s="508">
        <v>0</v>
      </c>
      <c r="BJ19" s="508">
        <v>0</v>
      </c>
      <c r="BK19" s="508">
        <v>0</v>
      </c>
      <c r="BL19" s="508">
        <v>0</v>
      </c>
      <c r="BM19" s="508">
        <v>0</v>
      </c>
      <c r="BN19" s="508">
        <v>0</v>
      </c>
      <c r="BO19" s="508">
        <v>0</v>
      </c>
      <c r="BP19" s="508">
        <v>0</v>
      </c>
      <c r="BQ19" s="508">
        <v>0</v>
      </c>
      <c r="BR19" s="508"/>
      <c r="BS19" s="508"/>
      <c r="BT19" s="508"/>
      <c r="BU19" s="508"/>
      <c r="BV19" s="508"/>
      <c r="BW19" s="508"/>
    </row>
    <row r="20" spans="1:75" ht="15" customHeight="1">
      <c r="A20" s="55">
        <v>17</v>
      </c>
      <c r="B20" s="60" t="s">
        <v>50</v>
      </c>
      <c r="C20" s="55">
        <v>28</v>
      </c>
      <c r="D20" s="508"/>
      <c r="E20" s="508"/>
      <c r="F20" s="508"/>
      <c r="G20" s="508"/>
      <c r="H20" s="508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  <c r="AJ20" s="508"/>
      <c r="AK20" s="508"/>
      <c r="AL20" s="508"/>
      <c r="AM20" s="508"/>
      <c r="AN20" s="508">
        <v>49691047547.139999</v>
      </c>
      <c r="AO20" s="508">
        <v>30919005346.139999</v>
      </c>
      <c r="AP20" s="508">
        <v>30825313041</v>
      </c>
      <c r="AQ20" s="508">
        <v>32782410538</v>
      </c>
      <c r="AR20" s="508">
        <v>33344780187.748001</v>
      </c>
      <c r="AS20" s="508">
        <v>61447478581.748001</v>
      </c>
      <c r="AT20" s="508">
        <v>35510919235.517998</v>
      </c>
      <c r="AU20" s="508">
        <v>35511786216.517998</v>
      </c>
      <c r="AV20" s="508">
        <v>36150353212.517998</v>
      </c>
      <c r="AW20" s="508">
        <v>36519079938.517998</v>
      </c>
      <c r="AX20" s="508">
        <v>72633112041.518005</v>
      </c>
      <c r="AY20" s="508">
        <v>42505816398</v>
      </c>
      <c r="AZ20" s="508">
        <v>98206311140</v>
      </c>
      <c r="BA20" s="508">
        <v>84174609019.518005</v>
      </c>
      <c r="BB20" s="508">
        <v>89534955845</v>
      </c>
      <c r="BC20" s="508">
        <v>115325354293.51801</v>
      </c>
      <c r="BD20" s="508">
        <v>123800674483.51801</v>
      </c>
      <c r="BE20" s="508">
        <v>145793917520</v>
      </c>
      <c r="BF20" s="508">
        <v>131379011373</v>
      </c>
      <c r="BG20" s="508">
        <v>165313601539</v>
      </c>
      <c r="BH20" s="508">
        <v>123260682203</v>
      </c>
      <c r="BI20" s="508">
        <v>91777665852</v>
      </c>
      <c r="BJ20" s="508">
        <v>81832090257</v>
      </c>
      <c r="BK20" s="508">
        <v>96000050435</v>
      </c>
      <c r="BL20" s="508">
        <v>78504042664</v>
      </c>
      <c r="BM20" s="508">
        <v>90712080902</v>
      </c>
      <c r="BN20" s="508">
        <v>105041727014</v>
      </c>
      <c r="BO20" s="508">
        <v>96255894011</v>
      </c>
      <c r="BP20" s="508">
        <v>100690688471</v>
      </c>
      <c r="BQ20" s="508">
        <v>115317537165</v>
      </c>
      <c r="BR20" s="508"/>
      <c r="BS20" s="508"/>
      <c r="BT20" s="508"/>
      <c r="BU20" s="508"/>
      <c r="BV20" s="508"/>
      <c r="BW20" s="508"/>
    </row>
    <row r="21" spans="1:75" ht="15" customHeight="1">
      <c r="A21" s="55">
        <v>18</v>
      </c>
      <c r="B21" s="60" t="s">
        <v>51</v>
      </c>
      <c r="C21" s="55">
        <v>28</v>
      </c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  <c r="AK21" s="508"/>
      <c r="AL21" s="508"/>
      <c r="AM21" s="508"/>
      <c r="AN21" s="508">
        <v>-120525864</v>
      </c>
      <c r="AO21" s="508">
        <v>-120525864</v>
      </c>
      <c r="AP21" s="508">
        <v>-120525864</v>
      </c>
      <c r="AQ21" s="508">
        <v>-120525864</v>
      </c>
      <c r="AR21" s="508">
        <v>-120525864</v>
      </c>
      <c r="AS21" s="508">
        <v>-120525864</v>
      </c>
      <c r="AT21" s="508">
        <v>-120525864</v>
      </c>
      <c r="AU21" s="508">
        <v>-120525864</v>
      </c>
      <c r="AV21" s="508">
        <v>-120525864</v>
      </c>
      <c r="AW21" s="508">
        <v>-120525864</v>
      </c>
      <c r="AX21" s="508">
        <v>0</v>
      </c>
      <c r="AY21" s="508">
        <v>0</v>
      </c>
      <c r="AZ21" s="508">
        <v>0</v>
      </c>
      <c r="BA21" s="508">
        <v>0</v>
      </c>
      <c r="BB21" s="508">
        <v>0</v>
      </c>
      <c r="BC21" s="508">
        <v>0</v>
      </c>
      <c r="BD21" s="508">
        <v>0</v>
      </c>
      <c r="BE21" s="508">
        <v>0</v>
      </c>
      <c r="BF21" s="508">
        <v>0</v>
      </c>
      <c r="BG21" s="508">
        <v>0</v>
      </c>
      <c r="BH21" s="508">
        <v>0</v>
      </c>
      <c r="BI21" s="508">
        <v>0</v>
      </c>
      <c r="BJ21" s="508">
        <v>0</v>
      </c>
      <c r="BK21" s="508">
        <v>-609095700</v>
      </c>
      <c r="BL21" s="508">
        <v>-609095700</v>
      </c>
      <c r="BM21" s="508">
        <v>-609095700</v>
      </c>
      <c r="BN21" s="508">
        <v>-609095700</v>
      </c>
      <c r="BO21" s="508">
        <v>-609095700</v>
      </c>
      <c r="BP21" s="508">
        <v>-609095700</v>
      </c>
      <c r="BQ21" s="508">
        <v>-609095700</v>
      </c>
      <c r="BR21" s="508"/>
      <c r="BS21" s="508"/>
      <c r="BT21" s="508"/>
      <c r="BU21" s="508"/>
      <c r="BV21" s="508"/>
      <c r="BW21" s="508"/>
    </row>
    <row r="22" spans="1:75" ht="15" customHeight="1">
      <c r="A22" s="55">
        <v>19</v>
      </c>
      <c r="B22" s="61" t="s">
        <v>52</v>
      </c>
      <c r="C22" s="55">
        <v>28</v>
      </c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  <c r="AK22" s="508"/>
      <c r="AL22" s="508"/>
      <c r="AM22" s="508"/>
      <c r="AN22" s="508">
        <v>-524609275</v>
      </c>
      <c r="AO22" s="508">
        <v>-524609275</v>
      </c>
      <c r="AP22" s="508">
        <v>7901392144</v>
      </c>
      <c r="AQ22" s="508">
        <v>7901392144</v>
      </c>
      <c r="AR22" s="508">
        <v>-524609275</v>
      </c>
      <c r="AS22" s="508">
        <v>-524609275</v>
      </c>
      <c r="AT22" s="508">
        <v>-524609275</v>
      </c>
      <c r="AU22" s="508">
        <v>-524609275</v>
      </c>
      <c r="AV22" s="508">
        <v>-524609275</v>
      </c>
      <c r="AW22" s="508">
        <v>-524609275</v>
      </c>
      <c r="AX22" s="508">
        <v>-524609275</v>
      </c>
      <c r="AY22" s="508">
        <v>0</v>
      </c>
      <c r="AZ22" s="508">
        <v>0</v>
      </c>
      <c r="BA22" s="508">
        <v>0</v>
      </c>
      <c r="BB22" s="508">
        <v>0</v>
      </c>
      <c r="BC22" s="508">
        <v>0</v>
      </c>
      <c r="BD22" s="508">
        <v>0</v>
      </c>
      <c r="BE22" s="508">
        <v>0</v>
      </c>
      <c r="BF22" s="508">
        <v>0</v>
      </c>
      <c r="BG22" s="508">
        <v>0</v>
      </c>
      <c r="BH22" s="508">
        <v>0</v>
      </c>
      <c r="BI22" s="508">
        <v>0</v>
      </c>
      <c r="BJ22" s="508">
        <v>0</v>
      </c>
      <c r="BK22" s="508">
        <v>0</v>
      </c>
      <c r="BL22" s="508">
        <v>1119913958</v>
      </c>
      <c r="BM22" s="508">
        <v>1255721846</v>
      </c>
      <c r="BN22" s="508">
        <v>1255721846</v>
      </c>
      <c r="BO22" s="508">
        <v>1255721846</v>
      </c>
      <c r="BP22" s="508">
        <v>682953698</v>
      </c>
      <c r="BQ22" s="508">
        <v>0</v>
      </c>
      <c r="BR22" s="508"/>
      <c r="BS22" s="508"/>
      <c r="BT22" s="508"/>
      <c r="BU22" s="508"/>
      <c r="BV22" s="508"/>
      <c r="BW22" s="508"/>
    </row>
    <row r="23" spans="1:75" ht="15" customHeight="1">
      <c r="A23" s="59">
        <v>20</v>
      </c>
      <c r="B23" s="54" t="s">
        <v>53</v>
      </c>
      <c r="C23" s="59">
        <v>28</v>
      </c>
      <c r="D23" s="3">
        <f t="shared" ref="D23:AY23" si="8">SUM(D24:D25)</f>
        <v>0</v>
      </c>
      <c r="E23" s="3">
        <f t="shared" si="8"/>
        <v>0</v>
      </c>
      <c r="F23" s="3">
        <f t="shared" si="8"/>
        <v>0</v>
      </c>
      <c r="G23" s="3">
        <f t="shared" si="8"/>
        <v>0</v>
      </c>
      <c r="H23" s="3">
        <f t="shared" si="8"/>
        <v>0</v>
      </c>
      <c r="I23" s="3">
        <f t="shared" si="8"/>
        <v>0</v>
      </c>
      <c r="J23" s="3">
        <f t="shared" si="8"/>
        <v>0</v>
      </c>
      <c r="K23" s="3">
        <f t="shared" si="8"/>
        <v>0</v>
      </c>
      <c r="L23" s="3">
        <f t="shared" si="8"/>
        <v>0</v>
      </c>
      <c r="M23" s="3">
        <f t="shared" si="8"/>
        <v>0</v>
      </c>
      <c r="N23" s="3">
        <f t="shared" si="8"/>
        <v>0</v>
      </c>
      <c r="O23" s="3">
        <f t="shared" si="8"/>
        <v>0</v>
      </c>
      <c r="P23" s="3">
        <f t="shared" si="8"/>
        <v>0</v>
      </c>
      <c r="Q23" s="3">
        <f t="shared" si="8"/>
        <v>0</v>
      </c>
      <c r="R23" s="3">
        <f t="shared" si="8"/>
        <v>0</v>
      </c>
      <c r="S23" s="3">
        <f t="shared" si="8"/>
        <v>0</v>
      </c>
      <c r="T23" s="3">
        <f t="shared" si="8"/>
        <v>0</v>
      </c>
      <c r="U23" s="3">
        <f t="shared" si="8"/>
        <v>0</v>
      </c>
      <c r="V23" s="3">
        <f t="shared" si="8"/>
        <v>0</v>
      </c>
      <c r="W23" s="3">
        <f t="shared" si="8"/>
        <v>0</v>
      </c>
      <c r="X23" s="3">
        <f t="shared" si="8"/>
        <v>0</v>
      </c>
      <c r="Y23" s="3">
        <f t="shared" si="8"/>
        <v>0</v>
      </c>
      <c r="Z23" s="3">
        <f t="shared" si="8"/>
        <v>0</v>
      </c>
      <c r="AA23" s="3">
        <f t="shared" si="8"/>
        <v>0</v>
      </c>
      <c r="AB23" s="3">
        <f t="shared" si="8"/>
        <v>0</v>
      </c>
      <c r="AC23" s="3">
        <f t="shared" si="8"/>
        <v>0</v>
      </c>
      <c r="AD23" s="3">
        <f t="shared" si="8"/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3">
        <f t="shared" si="8"/>
        <v>0</v>
      </c>
      <c r="AI23" s="3">
        <f t="shared" si="8"/>
        <v>0</v>
      </c>
      <c r="AJ23" s="3">
        <f t="shared" si="8"/>
        <v>0</v>
      </c>
      <c r="AK23" s="3">
        <f t="shared" si="8"/>
        <v>0</v>
      </c>
      <c r="AL23" s="3">
        <f t="shared" si="8"/>
        <v>0</v>
      </c>
      <c r="AM23" s="3">
        <f t="shared" si="8"/>
        <v>0</v>
      </c>
      <c r="AN23" s="3">
        <f t="shared" si="8"/>
        <v>430096484178.85999</v>
      </c>
      <c r="AO23" s="3">
        <f t="shared" si="8"/>
        <v>437301765372.85999</v>
      </c>
      <c r="AP23" s="3">
        <f t="shared" si="8"/>
        <v>477162060831.85999</v>
      </c>
      <c r="AQ23" s="3">
        <f t="shared" si="8"/>
        <v>517614404978.88202</v>
      </c>
      <c r="AR23" s="3">
        <f t="shared" si="8"/>
        <v>557633015691.25195</v>
      </c>
      <c r="AS23" s="3">
        <f t="shared" si="8"/>
        <v>613742905725.25195</v>
      </c>
      <c r="AT23" s="3">
        <f t="shared" si="8"/>
        <v>630876783389.48206</v>
      </c>
      <c r="AU23" s="3">
        <f t="shared" si="8"/>
        <v>571035083187.48206</v>
      </c>
      <c r="AV23" s="3">
        <f t="shared" si="8"/>
        <v>562348665912.48206</v>
      </c>
      <c r="AW23" s="3">
        <f t="shared" si="8"/>
        <v>558117702257.48206</v>
      </c>
      <c r="AX23" s="3">
        <f t="shared" si="8"/>
        <v>599902987900.48206</v>
      </c>
      <c r="AY23" s="4">
        <f t="shared" si="8"/>
        <v>614300196665.48206</v>
      </c>
      <c r="AZ23" s="4">
        <v>580289170770</v>
      </c>
      <c r="BA23" s="4">
        <v>500507106354.48199</v>
      </c>
      <c r="BB23" s="4">
        <v>480641555258.48199</v>
      </c>
      <c r="BC23" s="4">
        <v>534948091340.48199</v>
      </c>
      <c r="BD23" s="4">
        <v>540062379851.48199</v>
      </c>
      <c r="BE23" s="4">
        <v>559774086836.48206</v>
      </c>
      <c r="BF23" s="4">
        <v>574368996605.48206</v>
      </c>
      <c r="BG23" s="4">
        <v>572758965444.48206</v>
      </c>
      <c r="BH23" s="4">
        <v>576109442562.48206</v>
      </c>
      <c r="BI23" s="4">
        <v>555856951749.48206</v>
      </c>
      <c r="BJ23" s="4">
        <v>558085932410.48206</v>
      </c>
      <c r="BK23" s="4">
        <v>570584514136</v>
      </c>
      <c r="BL23" s="4">
        <v>548909898693.80554</v>
      </c>
      <c r="BM23" s="4">
        <v>518463893550.63403</v>
      </c>
      <c r="BN23" s="4">
        <v>438002733516.04236</v>
      </c>
      <c r="BO23" s="4">
        <v>378077083598.87311</v>
      </c>
      <c r="BP23" s="4">
        <v>371101437313.64191</v>
      </c>
      <c r="BQ23" s="4">
        <v>404608382949.12323</v>
      </c>
      <c r="BR23" s="4">
        <f t="shared" ref="BR23:BW23" si="9">SUM(BR24:BR25)</f>
        <v>0</v>
      </c>
      <c r="BS23" s="4">
        <f t="shared" si="9"/>
        <v>0</v>
      </c>
      <c r="BT23" s="4">
        <f t="shared" si="9"/>
        <v>0</v>
      </c>
      <c r="BU23" s="4">
        <f t="shared" si="9"/>
        <v>0</v>
      </c>
      <c r="BV23" s="4">
        <f t="shared" si="9"/>
        <v>0</v>
      </c>
      <c r="BW23" s="4">
        <f t="shared" si="9"/>
        <v>0</v>
      </c>
    </row>
    <row r="24" spans="1:75" ht="15" customHeight="1">
      <c r="A24" s="55">
        <v>21</v>
      </c>
      <c r="B24" s="56" t="s">
        <v>325</v>
      </c>
      <c r="C24" s="55">
        <v>28</v>
      </c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508"/>
      <c r="AC24" s="508"/>
      <c r="AD24" s="508"/>
      <c r="AE24" s="508"/>
      <c r="AF24" s="508"/>
      <c r="AG24" s="508"/>
      <c r="AH24" s="508"/>
      <c r="AI24" s="508"/>
      <c r="AJ24" s="508"/>
      <c r="AK24" s="508"/>
      <c r="AL24" s="508"/>
      <c r="AM24" s="508"/>
      <c r="AN24" s="508">
        <v>430096484178.85999</v>
      </c>
      <c r="AO24" s="508">
        <v>437301765372.85999</v>
      </c>
      <c r="AP24" s="508">
        <v>477162060831.85999</v>
      </c>
      <c r="AQ24" s="508">
        <v>517614404978.88202</v>
      </c>
      <c r="AR24" s="508">
        <v>557633015691.25195</v>
      </c>
      <c r="AS24" s="508">
        <v>613742905725.25195</v>
      </c>
      <c r="AT24" s="508">
        <v>630876783389.48206</v>
      </c>
      <c r="AU24" s="508">
        <v>571035083187.48206</v>
      </c>
      <c r="AV24" s="508">
        <v>562348665912.48206</v>
      </c>
      <c r="AW24" s="508">
        <v>558117702257.48206</v>
      </c>
      <c r="AX24" s="508">
        <v>599902987900.48206</v>
      </c>
      <c r="AY24" s="508">
        <v>614300196665.48206</v>
      </c>
      <c r="AZ24" s="508">
        <v>580289170770</v>
      </c>
      <c r="BA24" s="508">
        <v>500507106354.48199</v>
      </c>
      <c r="BB24" s="508">
        <v>480641555258.48199</v>
      </c>
      <c r="BC24" s="508">
        <v>534948091340.48199</v>
      </c>
      <c r="BD24" s="508">
        <v>540062379851.48199</v>
      </c>
      <c r="BE24" s="508">
        <v>559774086836.48206</v>
      </c>
      <c r="BF24" s="508">
        <v>574368996605.48206</v>
      </c>
      <c r="BG24" s="508">
        <v>572758965444.48206</v>
      </c>
      <c r="BH24" s="508">
        <v>576109442562.48206</v>
      </c>
      <c r="BI24" s="508">
        <v>555856951749.48206</v>
      </c>
      <c r="BJ24" s="508">
        <v>558085932410.48206</v>
      </c>
      <c r="BK24" s="508">
        <v>570584514136</v>
      </c>
      <c r="BL24" s="508">
        <v>548909898693.80554</v>
      </c>
      <c r="BM24" s="508">
        <v>518463893550.63403</v>
      </c>
      <c r="BN24" s="508">
        <v>438002733516.04236</v>
      </c>
      <c r="BO24" s="508">
        <v>378077083598.87311</v>
      </c>
      <c r="BP24" s="508">
        <v>371101437313.64191</v>
      </c>
      <c r="BQ24" s="508">
        <v>404608382949.12323</v>
      </c>
      <c r="BR24" s="508"/>
      <c r="BS24" s="508"/>
      <c r="BT24" s="508"/>
      <c r="BU24" s="508"/>
      <c r="BV24" s="508"/>
      <c r="BW24" s="508"/>
    </row>
    <row r="25" spans="1:75" ht="15" customHeight="1">
      <c r="A25" s="55">
        <v>22</v>
      </c>
      <c r="B25" s="56" t="s">
        <v>326</v>
      </c>
      <c r="C25" s="55">
        <v>28</v>
      </c>
      <c r="D25" s="508"/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8"/>
      <c r="AB25" s="508"/>
      <c r="AC25" s="508"/>
      <c r="AD25" s="508"/>
      <c r="AE25" s="508"/>
      <c r="AF25" s="508"/>
      <c r="AG25" s="508"/>
      <c r="AH25" s="508"/>
      <c r="AI25" s="508"/>
      <c r="AJ25" s="508"/>
      <c r="AK25" s="508"/>
      <c r="AL25" s="508"/>
      <c r="AM25" s="508"/>
      <c r="AN25" s="508">
        <v>0</v>
      </c>
      <c r="AO25" s="508">
        <v>0</v>
      </c>
      <c r="AP25" s="508">
        <v>0</v>
      </c>
      <c r="AQ25" s="508">
        <v>0</v>
      </c>
      <c r="AR25" s="508">
        <v>0</v>
      </c>
      <c r="AS25" s="508">
        <v>0</v>
      </c>
      <c r="AT25" s="508">
        <v>0</v>
      </c>
      <c r="AU25" s="508">
        <v>0</v>
      </c>
      <c r="AV25" s="508">
        <v>0</v>
      </c>
      <c r="AW25" s="508">
        <v>0</v>
      </c>
      <c r="AX25" s="508">
        <v>0</v>
      </c>
      <c r="AY25" s="508">
        <v>0</v>
      </c>
      <c r="AZ25" s="508">
        <v>0</v>
      </c>
      <c r="BA25" s="508">
        <v>0</v>
      </c>
      <c r="BB25" s="508">
        <v>0</v>
      </c>
      <c r="BC25" s="508">
        <v>0</v>
      </c>
      <c r="BD25" s="508">
        <v>0</v>
      </c>
      <c r="BE25" s="508">
        <v>0</v>
      </c>
      <c r="BF25" s="508">
        <v>0</v>
      </c>
      <c r="BG25" s="508">
        <v>0</v>
      </c>
      <c r="BH25" s="508">
        <v>0</v>
      </c>
      <c r="BI25" s="508">
        <v>0</v>
      </c>
      <c r="BJ25" s="508">
        <v>0</v>
      </c>
      <c r="BK25" s="508">
        <v>0</v>
      </c>
      <c r="BL25" s="508">
        <v>0</v>
      </c>
      <c r="BM25" s="508">
        <v>0</v>
      </c>
      <c r="BN25" s="508">
        <v>0</v>
      </c>
      <c r="BO25" s="508">
        <v>0</v>
      </c>
      <c r="BP25" s="508">
        <v>0</v>
      </c>
      <c r="BQ25" s="508">
        <v>0</v>
      </c>
      <c r="BR25" s="508"/>
      <c r="BS25" s="508"/>
      <c r="BT25" s="508"/>
      <c r="BU25" s="508"/>
      <c r="BV25" s="508"/>
      <c r="BW25" s="508"/>
    </row>
    <row r="26" spans="1:75" ht="15" customHeight="1">
      <c r="A26" s="59">
        <v>23</v>
      </c>
      <c r="B26" s="54" t="s">
        <v>56</v>
      </c>
      <c r="C26" s="59">
        <v>28</v>
      </c>
      <c r="D26" s="508">
        <f t="shared" ref="D26:AY26" si="10">SUM(D27:D29)</f>
        <v>0</v>
      </c>
      <c r="E26" s="508">
        <f t="shared" si="10"/>
        <v>0</v>
      </c>
      <c r="F26" s="508">
        <f t="shared" si="10"/>
        <v>0</v>
      </c>
      <c r="G26" s="508">
        <f t="shared" si="10"/>
        <v>0</v>
      </c>
      <c r="H26" s="508">
        <f t="shared" si="10"/>
        <v>0</v>
      </c>
      <c r="I26" s="508">
        <f t="shared" si="10"/>
        <v>0</v>
      </c>
      <c r="J26" s="508">
        <f t="shared" si="10"/>
        <v>0</v>
      </c>
      <c r="K26" s="508">
        <f t="shared" si="10"/>
        <v>0</v>
      </c>
      <c r="L26" s="508">
        <f t="shared" si="10"/>
        <v>0</v>
      </c>
      <c r="M26" s="508">
        <f t="shared" si="10"/>
        <v>0</v>
      </c>
      <c r="N26" s="508">
        <f t="shared" si="10"/>
        <v>0</v>
      </c>
      <c r="O26" s="508">
        <f t="shared" si="10"/>
        <v>0</v>
      </c>
      <c r="P26" s="508">
        <f t="shared" si="10"/>
        <v>0</v>
      </c>
      <c r="Q26" s="508">
        <f t="shared" si="10"/>
        <v>0</v>
      </c>
      <c r="R26" s="508">
        <f t="shared" si="10"/>
        <v>0</v>
      </c>
      <c r="S26" s="508">
        <f t="shared" si="10"/>
        <v>0</v>
      </c>
      <c r="T26" s="508">
        <f t="shared" si="10"/>
        <v>0</v>
      </c>
      <c r="U26" s="508">
        <f t="shared" si="10"/>
        <v>0</v>
      </c>
      <c r="V26" s="508">
        <f t="shared" si="10"/>
        <v>0</v>
      </c>
      <c r="W26" s="508">
        <f t="shared" si="10"/>
        <v>0</v>
      </c>
      <c r="X26" s="508">
        <f t="shared" si="10"/>
        <v>0</v>
      </c>
      <c r="Y26" s="508">
        <f t="shared" si="10"/>
        <v>0</v>
      </c>
      <c r="Z26" s="508">
        <f t="shared" si="10"/>
        <v>0</v>
      </c>
      <c r="AA26" s="508">
        <f t="shared" si="10"/>
        <v>0</v>
      </c>
      <c r="AB26" s="508">
        <f t="shared" si="10"/>
        <v>0</v>
      </c>
      <c r="AC26" s="508">
        <f t="shared" si="10"/>
        <v>0</v>
      </c>
      <c r="AD26" s="508">
        <f t="shared" si="10"/>
        <v>0</v>
      </c>
      <c r="AE26" s="508">
        <f t="shared" si="10"/>
        <v>0</v>
      </c>
      <c r="AF26" s="508">
        <f t="shared" si="10"/>
        <v>0</v>
      </c>
      <c r="AG26" s="508">
        <f t="shared" si="10"/>
        <v>0</v>
      </c>
      <c r="AH26" s="508">
        <f t="shared" si="10"/>
        <v>0</v>
      </c>
      <c r="AI26" s="508">
        <f t="shared" si="10"/>
        <v>0</v>
      </c>
      <c r="AJ26" s="508">
        <f t="shared" si="10"/>
        <v>0</v>
      </c>
      <c r="AK26" s="508">
        <f t="shared" si="10"/>
        <v>0</v>
      </c>
      <c r="AL26" s="508">
        <f t="shared" si="10"/>
        <v>0</v>
      </c>
      <c r="AM26" s="508">
        <f t="shared" si="10"/>
        <v>0</v>
      </c>
      <c r="AN26" s="508">
        <f t="shared" si="10"/>
        <v>0</v>
      </c>
      <c r="AO26" s="508">
        <f t="shared" si="10"/>
        <v>0</v>
      </c>
      <c r="AP26" s="508">
        <f t="shared" si="10"/>
        <v>0</v>
      </c>
      <c r="AQ26" s="508">
        <f t="shared" si="10"/>
        <v>0</v>
      </c>
      <c r="AR26" s="508">
        <f t="shared" si="10"/>
        <v>0</v>
      </c>
      <c r="AS26" s="508">
        <f t="shared" si="10"/>
        <v>0</v>
      </c>
      <c r="AT26" s="508">
        <f t="shared" si="10"/>
        <v>0</v>
      </c>
      <c r="AU26" s="508">
        <f t="shared" si="10"/>
        <v>0</v>
      </c>
      <c r="AV26" s="508">
        <f t="shared" si="10"/>
        <v>0</v>
      </c>
      <c r="AW26" s="508">
        <f t="shared" si="10"/>
        <v>0</v>
      </c>
      <c r="AX26" s="508">
        <f t="shared" si="10"/>
        <v>0</v>
      </c>
      <c r="AY26" s="508">
        <f t="shared" si="10"/>
        <v>0</v>
      </c>
      <c r="AZ26" s="508">
        <v>0</v>
      </c>
      <c r="BA26" s="508">
        <v>0</v>
      </c>
      <c r="BB26" s="508">
        <v>0</v>
      </c>
      <c r="BC26" s="508">
        <v>0</v>
      </c>
      <c r="BD26" s="508">
        <v>0</v>
      </c>
      <c r="BE26" s="508">
        <v>0</v>
      </c>
      <c r="BF26" s="508">
        <v>0</v>
      </c>
      <c r="BG26" s="508">
        <v>0</v>
      </c>
      <c r="BH26" s="508">
        <v>0</v>
      </c>
      <c r="BI26" s="508">
        <v>0</v>
      </c>
      <c r="BJ26" s="508">
        <v>0</v>
      </c>
      <c r="BK26" s="508">
        <v>0</v>
      </c>
      <c r="BL26" s="508">
        <v>0</v>
      </c>
      <c r="BM26" s="508">
        <v>0</v>
      </c>
      <c r="BN26" s="508">
        <v>0</v>
      </c>
      <c r="BO26" s="508">
        <v>0</v>
      </c>
      <c r="BP26" s="508">
        <v>0</v>
      </c>
      <c r="BQ26" s="508">
        <v>0</v>
      </c>
      <c r="BR26" s="508">
        <f t="shared" ref="BR26:BW26" si="11">SUM(BR27:BR29)</f>
        <v>0</v>
      </c>
      <c r="BS26" s="508">
        <f t="shared" si="11"/>
        <v>0</v>
      </c>
      <c r="BT26" s="508">
        <f t="shared" si="11"/>
        <v>0</v>
      </c>
      <c r="BU26" s="508">
        <f t="shared" si="11"/>
        <v>0</v>
      </c>
      <c r="BV26" s="508">
        <f t="shared" si="11"/>
        <v>0</v>
      </c>
      <c r="BW26" s="508">
        <f t="shared" si="11"/>
        <v>0</v>
      </c>
    </row>
    <row r="27" spans="1:75" ht="15" customHeight="1">
      <c r="A27" s="55">
        <v>24</v>
      </c>
      <c r="B27" s="56" t="s">
        <v>57</v>
      </c>
      <c r="C27" s="55">
        <v>28</v>
      </c>
      <c r="D27" s="508"/>
      <c r="E27" s="508"/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8"/>
      <c r="AB27" s="508"/>
      <c r="AC27" s="508"/>
      <c r="AD27" s="508"/>
      <c r="AE27" s="508"/>
      <c r="AF27" s="508"/>
      <c r="AG27" s="508"/>
      <c r="AH27" s="508"/>
      <c r="AI27" s="508"/>
      <c r="AJ27" s="508"/>
      <c r="AK27" s="508"/>
      <c r="AL27" s="508"/>
      <c r="AM27" s="508"/>
      <c r="AN27" s="508"/>
      <c r="AO27" s="508"/>
      <c r="AP27" s="508"/>
      <c r="AQ27" s="508"/>
      <c r="AR27" s="508"/>
      <c r="AS27" s="508"/>
      <c r="AT27" s="508"/>
      <c r="AU27" s="508"/>
      <c r="AV27" s="508"/>
      <c r="AW27" s="508"/>
      <c r="AX27" s="508"/>
      <c r="AY27" s="508"/>
      <c r="AZ27" s="508">
        <v>0</v>
      </c>
      <c r="BA27" s="508">
        <v>0</v>
      </c>
      <c r="BB27" s="508">
        <v>0</v>
      </c>
      <c r="BC27" s="508">
        <v>0</v>
      </c>
      <c r="BD27" s="508">
        <v>0</v>
      </c>
      <c r="BE27" s="508">
        <v>0</v>
      </c>
      <c r="BF27" s="508">
        <v>0</v>
      </c>
      <c r="BG27" s="508">
        <v>0</v>
      </c>
      <c r="BH27" s="508">
        <v>0</v>
      </c>
      <c r="BI27" s="508">
        <v>0</v>
      </c>
      <c r="BJ27" s="508">
        <v>0</v>
      </c>
      <c r="BK27" s="508">
        <v>0</v>
      </c>
      <c r="BL27" s="508">
        <v>0</v>
      </c>
      <c r="BM27" s="508">
        <v>0</v>
      </c>
      <c r="BN27" s="508">
        <v>0</v>
      </c>
      <c r="BO27" s="508">
        <v>0</v>
      </c>
      <c r="BP27" s="508">
        <v>0</v>
      </c>
      <c r="BQ27" s="508">
        <v>0</v>
      </c>
      <c r="BR27" s="508"/>
      <c r="BS27" s="508"/>
      <c r="BT27" s="508"/>
      <c r="BU27" s="508"/>
      <c r="BV27" s="508"/>
      <c r="BW27" s="508"/>
    </row>
    <row r="28" spans="1:75" ht="15" customHeight="1">
      <c r="A28" s="55">
        <v>25</v>
      </c>
      <c r="B28" s="56" t="s">
        <v>58</v>
      </c>
      <c r="C28" s="55">
        <v>28</v>
      </c>
      <c r="D28" s="508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  <c r="AA28" s="508"/>
      <c r="AB28" s="508"/>
      <c r="AC28" s="508"/>
      <c r="AD28" s="508"/>
      <c r="AE28" s="508"/>
      <c r="AF28" s="508"/>
      <c r="AG28" s="508"/>
      <c r="AH28" s="508"/>
      <c r="AI28" s="508"/>
      <c r="AJ28" s="508"/>
      <c r="AK28" s="508"/>
      <c r="AL28" s="508"/>
      <c r="AM28" s="508"/>
      <c r="AN28" s="508"/>
      <c r="AO28" s="508"/>
      <c r="AP28" s="508"/>
      <c r="AQ28" s="508"/>
      <c r="AR28" s="508"/>
      <c r="AS28" s="508"/>
      <c r="AT28" s="508"/>
      <c r="AU28" s="508"/>
      <c r="AV28" s="508"/>
      <c r="AW28" s="508"/>
      <c r="AX28" s="508"/>
      <c r="AY28" s="508"/>
      <c r="AZ28" s="508">
        <v>0</v>
      </c>
      <c r="BA28" s="508">
        <v>0</v>
      </c>
      <c r="BB28" s="508">
        <v>0</v>
      </c>
      <c r="BC28" s="508">
        <v>0</v>
      </c>
      <c r="BD28" s="508">
        <v>0</v>
      </c>
      <c r="BE28" s="508">
        <v>0</v>
      </c>
      <c r="BF28" s="508">
        <v>0</v>
      </c>
      <c r="BG28" s="508">
        <v>0</v>
      </c>
      <c r="BH28" s="508">
        <v>0</v>
      </c>
      <c r="BI28" s="508">
        <v>0</v>
      </c>
      <c r="BJ28" s="508">
        <v>0</v>
      </c>
      <c r="BK28" s="508">
        <v>0</v>
      </c>
      <c r="BL28" s="508">
        <v>0</v>
      </c>
      <c r="BM28" s="508">
        <v>0</v>
      </c>
      <c r="BN28" s="508">
        <v>0</v>
      </c>
      <c r="BO28" s="508">
        <v>0</v>
      </c>
      <c r="BP28" s="508">
        <v>0</v>
      </c>
      <c r="BQ28" s="508">
        <v>0</v>
      </c>
      <c r="BR28" s="508"/>
      <c r="BS28" s="508"/>
      <c r="BT28" s="508"/>
      <c r="BU28" s="508"/>
      <c r="BV28" s="508"/>
      <c r="BW28" s="508"/>
    </row>
    <row r="29" spans="1:75" ht="15" customHeight="1">
      <c r="A29" s="55">
        <v>26</v>
      </c>
      <c r="B29" s="56" t="s">
        <v>59</v>
      </c>
      <c r="C29" s="55">
        <v>28</v>
      </c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  <c r="AA29" s="508"/>
      <c r="AB29" s="508"/>
      <c r="AC29" s="508"/>
      <c r="AD29" s="508"/>
      <c r="AE29" s="508"/>
      <c r="AF29" s="508"/>
      <c r="AG29" s="508"/>
      <c r="AH29" s="508"/>
      <c r="AI29" s="508"/>
      <c r="AJ29" s="508"/>
      <c r="AK29" s="508"/>
      <c r="AL29" s="508"/>
      <c r="AM29" s="508"/>
      <c r="AN29" s="508"/>
      <c r="AO29" s="508"/>
      <c r="AP29" s="508"/>
      <c r="AQ29" s="508"/>
      <c r="AR29" s="508"/>
      <c r="AS29" s="508"/>
      <c r="AT29" s="508"/>
      <c r="AU29" s="508"/>
      <c r="AV29" s="508"/>
      <c r="AW29" s="508"/>
      <c r="AX29" s="508"/>
      <c r="AY29" s="508"/>
      <c r="AZ29" s="508">
        <v>0</v>
      </c>
      <c r="BA29" s="508">
        <v>0</v>
      </c>
      <c r="BB29" s="508">
        <v>0</v>
      </c>
      <c r="BC29" s="508">
        <v>0</v>
      </c>
      <c r="BD29" s="508">
        <v>0</v>
      </c>
      <c r="BE29" s="508">
        <v>0</v>
      </c>
      <c r="BF29" s="508">
        <v>0</v>
      </c>
      <c r="BG29" s="508">
        <v>0</v>
      </c>
      <c r="BH29" s="508">
        <v>0</v>
      </c>
      <c r="BI29" s="508">
        <v>0</v>
      </c>
      <c r="BJ29" s="508">
        <v>0</v>
      </c>
      <c r="BK29" s="508">
        <v>0</v>
      </c>
      <c r="BL29" s="508">
        <v>0</v>
      </c>
      <c r="BM29" s="508">
        <v>0</v>
      </c>
      <c r="BN29" s="508">
        <v>0</v>
      </c>
      <c r="BO29" s="508">
        <v>0</v>
      </c>
      <c r="BP29" s="508">
        <v>0</v>
      </c>
      <c r="BQ29" s="508">
        <v>0</v>
      </c>
      <c r="BR29" s="508"/>
      <c r="BS29" s="508"/>
      <c r="BT29" s="508"/>
      <c r="BU29" s="508"/>
      <c r="BV29" s="508"/>
      <c r="BW29" s="508"/>
    </row>
    <row r="30" spans="1:75" ht="15" customHeight="1">
      <c r="A30" s="59">
        <v>27</v>
      </c>
      <c r="B30" s="54" t="s">
        <v>60</v>
      </c>
      <c r="C30" s="59">
        <v>28</v>
      </c>
      <c r="D30" s="3">
        <f t="shared" ref="D30:AY30" si="12">SUM(D31:D35)</f>
        <v>0</v>
      </c>
      <c r="E30" s="3">
        <f t="shared" si="12"/>
        <v>0</v>
      </c>
      <c r="F30" s="3">
        <f t="shared" si="12"/>
        <v>0</v>
      </c>
      <c r="G30" s="3">
        <f t="shared" si="12"/>
        <v>0</v>
      </c>
      <c r="H30" s="3">
        <f t="shared" si="12"/>
        <v>0</v>
      </c>
      <c r="I30" s="3">
        <f t="shared" si="12"/>
        <v>0</v>
      </c>
      <c r="J30" s="3">
        <f t="shared" si="12"/>
        <v>0</v>
      </c>
      <c r="K30" s="3">
        <f t="shared" si="12"/>
        <v>0</v>
      </c>
      <c r="L30" s="3">
        <f t="shared" si="12"/>
        <v>0</v>
      </c>
      <c r="M30" s="3">
        <f t="shared" si="12"/>
        <v>0</v>
      </c>
      <c r="N30" s="3">
        <f t="shared" si="12"/>
        <v>0</v>
      </c>
      <c r="O30" s="3">
        <f t="shared" si="12"/>
        <v>0</v>
      </c>
      <c r="P30" s="3">
        <f t="shared" si="12"/>
        <v>0</v>
      </c>
      <c r="Q30" s="3">
        <f t="shared" si="12"/>
        <v>0</v>
      </c>
      <c r="R30" s="3">
        <f t="shared" si="12"/>
        <v>0</v>
      </c>
      <c r="S30" s="3">
        <f t="shared" si="12"/>
        <v>0</v>
      </c>
      <c r="T30" s="3">
        <f t="shared" si="12"/>
        <v>0</v>
      </c>
      <c r="U30" s="3">
        <f t="shared" si="12"/>
        <v>0</v>
      </c>
      <c r="V30" s="3">
        <f t="shared" si="12"/>
        <v>0</v>
      </c>
      <c r="W30" s="3">
        <f t="shared" si="12"/>
        <v>0</v>
      </c>
      <c r="X30" s="3">
        <f t="shared" si="12"/>
        <v>0</v>
      </c>
      <c r="Y30" s="3">
        <f t="shared" si="12"/>
        <v>0</v>
      </c>
      <c r="Z30" s="3">
        <f t="shared" si="12"/>
        <v>0</v>
      </c>
      <c r="AA30" s="3">
        <f t="shared" si="12"/>
        <v>0</v>
      </c>
      <c r="AB30" s="3">
        <f t="shared" si="12"/>
        <v>0</v>
      </c>
      <c r="AC30" s="3">
        <f t="shared" si="12"/>
        <v>0</v>
      </c>
      <c r="AD30" s="3">
        <f t="shared" si="12"/>
        <v>0</v>
      </c>
      <c r="AE30" s="3">
        <f t="shared" si="12"/>
        <v>0</v>
      </c>
      <c r="AF30" s="3">
        <f t="shared" si="12"/>
        <v>0</v>
      </c>
      <c r="AG30" s="3">
        <f t="shared" si="12"/>
        <v>0</v>
      </c>
      <c r="AH30" s="3">
        <f t="shared" si="12"/>
        <v>0</v>
      </c>
      <c r="AI30" s="3">
        <f t="shared" si="12"/>
        <v>0</v>
      </c>
      <c r="AJ30" s="3">
        <f t="shared" si="12"/>
        <v>0</v>
      </c>
      <c r="AK30" s="3">
        <f t="shared" si="12"/>
        <v>0</v>
      </c>
      <c r="AL30" s="3">
        <f t="shared" si="12"/>
        <v>0</v>
      </c>
      <c r="AM30" s="3">
        <f t="shared" si="12"/>
        <v>0</v>
      </c>
      <c r="AN30" s="3">
        <f t="shared" si="12"/>
        <v>48962900416</v>
      </c>
      <c r="AO30" s="3">
        <f t="shared" si="12"/>
        <v>52918232539</v>
      </c>
      <c r="AP30" s="3">
        <f t="shared" si="12"/>
        <v>54010150554</v>
      </c>
      <c r="AQ30" s="3">
        <f t="shared" si="12"/>
        <v>60398986934</v>
      </c>
      <c r="AR30" s="3">
        <f t="shared" si="12"/>
        <v>65075235400</v>
      </c>
      <c r="AS30" s="3">
        <f t="shared" si="12"/>
        <v>42414017441</v>
      </c>
      <c r="AT30" s="3">
        <f t="shared" si="12"/>
        <v>47346796070</v>
      </c>
      <c r="AU30" s="3">
        <f t="shared" si="12"/>
        <v>49263253112</v>
      </c>
      <c r="AV30" s="3">
        <f t="shared" si="12"/>
        <v>57483105866</v>
      </c>
      <c r="AW30" s="3">
        <f t="shared" si="12"/>
        <v>60763422160</v>
      </c>
      <c r="AX30" s="3">
        <f t="shared" si="12"/>
        <v>33278015559</v>
      </c>
      <c r="AY30" s="4">
        <f t="shared" si="12"/>
        <v>31534122458</v>
      </c>
      <c r="AZ30" s="4">
        <v>34362267223</v>
      </c>
      <c r="BA30" s="4">
        <v>35248494736</v>
      </c>
      <c r="BB30" s="4">
        <v>40503750775</v>
      </c>
      <c r="BC30" s="4">
        <v>49178776302</v>
      </c>
      <c r="BD30" s="4">
        <v>57921393429</v>
      </c>
      <c r="BE30" s="4">
        <v>67675492589</v>
      </c>
      <c r="BF30" s="4">
        <v>75037706236</v>
      </c>
      <c r="BG30" s="4">
        <v>46127608829</v>
      </c>
      <c r="BH30" s="4">
        <v>47471844315</v>
      </c>
      <c r="BI30" s="4">
        <v>46651672817</v>
      </c>
      <c r="BJ30" s="4">
        <v>44467014084</v>
      </c>
      <c r="BK30" s="4">
        <v>23132754098</v>
      </c>
      <c r="BL30" s="4">
        <v>24894891645</v>
      </c>
      <c r="BM30" s="4">
        <v>27260943738</v>
      </c>
      <c r="BN30" s="4">
        <v>28268158761</v>
      </c>
      <c r="BO30" s="4">
        <v>29512254853</v>
      </c>
      <c r="BP30" s="4">
        <v>35159235988</v>
      </c>
      <c r="BQ30" s="4">
        <v>48755784940</v>
      </c>
      <c r="BR30" s="4">
        <f t="shared" ref="BR30:BW30" si="13">SUM(BR31:BR35)</f>
        <v>0</v>
      </c>
      <c r="BS30" s="4">
        <f t="shared" si="13"/>
        <v>0</v>
      </c>
      <c r="BT30" s="4">
        <f t="shared" si="13"/>
        <v>0</v>
      </c>
      <c r="BU30" s="4">
        <f t="shared" si="13"/>
        <v>0</v>
      </c>
      <c r="BV30" s="4">
        <f t="shared" si="13"/>
        <v>0</v>
      </c>
      <c r="BW30" s="4">
        <f t="shared" si="13"/>
        <v>0</v>
      </c>
    </row>
    <row r="31" spans="1:75" ht="15" customHeight="1">
      <c r="A31" s="55">
        <v>28</v>
      </c>
      <c r="B31" s="60" t="s">
        <v>61</v>
      </c>
      <c r="C31" s="55">
        <v>28</v>
      </c>
      <c r="D31" s="508"/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/>
      <c r="R31" s="508"/>
      <c r="S31" s="508"/>
      <c r="T31" s="508"/>
      <c r="U31" s="508"/>
      <c r="V31" s="508"/>
      <c r="W31" s="508"/>
      <c r="X31" s="508"/>
      <c r="Y31" s="508"/>
      <c r="Z31" s="508"/>
      <c r="AA31" s="508"/>
      <c r="AB31" s="508"/>
      <c r="AC31" s="508"/>
      <c r="AD31" s="508"/>
      <c r="AE31" s="508"/>
      <c r="AF31" s="508"/>
      <c r="AG31" s="508"/>
      <c r="AH31" s="508"/>
      <c r="AI31" s="508"/>
      <c r="AJ31" s="508"/>
      <c r="AK31" s="508"/>
      <c r="AL31" s="508"/>
      <c r="AM31" s="508"/>
      <c r="AN31" s="508">
        <v>7035999486</v>
      </c>
      <c r="AO31" s="508">
        <v>8848304154</v>
      </c>
      <c r="AP31" s="508">
        <v>7783371139</v>
      </c>
      <c r="AQ31" s="508">
        <v>8731138492</v>
      </c>
      <c r="AR31" s="508">
        <v>8451404044</v>
      </c>
      <c r="AS31" s="508">
        <v>9556103747</v>
      </c>
      <c r="AT31" s="508">
        <v>11050173464</v>
      </c>
      <c r="AU31" s="508">
        <v>11388113648</v>
      </c>
      <c r="AV31" s="508">
        <v>12602861919</v>
      </c>
      <c r="AW31" s="508">
        <v>11727591383</v>
      </c>
      <c r="AX31" s="508">
        <v>10973880534</v>
      </c>
      <c r="AY31" s="508">
        <v>10657489774</v>
      </c>
      <c r="AZ31" s="508">
        <v>11395924021</v>
      </c>
      <c r="BA31" s="508">
        <v>11989589155</v>
      </c>
      <c r="BB31" s="508">
        <v>11598601196</v>
      </c>
      <c r="BC31" s="508">
        <v>10468261049</v>
      </c>
      <c r="BD31" s="508">
        <v>9171782469</v>
      </c>
      <c r="BE31" s="508">
        <v>14684835555</v>
      </c>
      <c r="BF31" s="508">
        <v>15885866296</v>
      </c>
      <c r="BG31" s="508">
        <v>16474015139</v>
      </c>
      <c r="BH31" s="508">
        <v>13849463748</v>
      </c>
      <c r="BI31" s="508">
        <v>11763139600</v>
      </c>
      <c r="BJ31" s="508">
        <v>9200737004</v>
      </c>
      <c r="BK31" s="508">
        <v>9528997722</v>
      </c>
      <c r="BL31" s="508">
        <v>8760714009</v>
      </c>
      <c r="BM31" s="508">
        <v>7853530050</v>
      </c>
      <c r="BN31" s="508">
        <v>8398294453</v>
      </c>
      <c r="BO31" s="508">
        <v>9369872729</v>
      </c>
      <c r="BP31" s="508">
        <v>10243788263</v>
      </c>
      <c r="BQ31" s="508">
        <v>9584774939</v>
      </c>
      <c r="BR31" s="508"/>
      <c r="BS31" s="508"/>
      <c r="BT31" s="508"/>
      <c r="BU31" s="508"/>
      <c r="BV31" s="508"/>
      <c r="BW31" s="508"/>
    </row>
    <row r="32" spans="1:75" ht="15" customHeight="1">
      <c r="A32" s="55">
        <v>29</v>
      </c>
      <c r="B32" s="60" t="s">
        <v>62</v>
      </c>
      <c r="C32" s="55">
        <v>28</v>
      </c>
      <c r="D32" s="508"/>
      <c r="E32" s="508"/>
      <c r="F32" s="508"/>
      <c r="G32" s="508"/>
      <c r="H32" s="508"/>
      <c r="I32" s="508"/>
      <c r="J32" s="508"/>
      <c r="K32" s="508"/>
      <c r="L32" s="508"/>
      <c r="M32" s="508"/>
      <c r="N32" s="508"/>
      <c r="O32" s="508"/>
      <c r="P32" s="508"/>
      <c r="Q32" s="508"/>
      <c r="R32" s="508"/>
      <c r="S32" s="508"/>
      <c r="T32" s="508"/>
      <c r="U32" s="508"/>
      <c r="V32" s="508"/>
      <c r="W32" s="508"/>
      <c r="X32" s="508"/>
      <c r="Y32" s="508"/>
      <c r="Z32" s="508"/>
      <c r="AA32" s="508"/>
      <c r="AB32" s="508"/>
      <c r="AC32" s="508"/>
      <c r="AD32" s="508"/>
      <c r="AE32" s="508"/>
      <c r="AF32" s="508"/>
      <c r="AG32" s="508"/>
      <c r="AH32" s="508"/>
      <c r="AI32" s="508"/>
      <c r="AJ32" s="508"/>
      <c r="AK32" s="508"/>
      <c r="AL32" s="508"/>
      <c r="AM32" s="508"/>
      <c r="AN32" s="508">
        <v>41926900930</v>
      </c>
      <c r="AO32" s="508">
        <v>43981339223</v>
      </c>
      <c r="AP32" s="508">
        <v>46171681706</v>
      </c>
      <c r="AQ32" s="508">
        <v>51636650946</v>
      </c>
      <c r="AR32" s="508">
        <v>56579510013</v>
      </c>
      <c r="AS32" s="508">
        <v>32789088899</v>
      </c>
      <c r="AT32" s="508">
        <v>36250538837</v>
      </c>
      <c r="AU32" s="508">
        <v>37779643794</v>
      </c>
      <c r="AV32" s="508">
        <v>44831223018</v>
      </c>
      <c r="AW32" s="508">
        <v>48983963098</v>
      </c>
      <c r="AX32" s="508">
        <v>22259084600</v>
      </c>
      <c r="AY32" s="508">
        <v>20876632684</v>
      </c>
      <c r="AZ32" s="508">
        <v>22966343202</v>
      </c>
      <c r="BA32" s="508">
        <v>23255035548</v>
      </c>
      <c r="BB32" s="508">
        <v>28905149579</v>
      </c>
      <c r="BC32" s="508">
        <v>38710515253</v>
      </c>
      <c r="BD32" s="508">
        <v>48749610960</v>
      </c>
      <c r="BE32" s="508">
        <v>52990657034</v>
      </c>
      <c r="BF32" s="508">
        <v>59140177682</v>
      </c>
      <c r="BG32" s="508">
        <v>29653593690</v>
      </c>
      <c r="BH32" s="508">
        <v>33622380567</v>
      </c>
      <c r="BI32" s="508">
        <v>34888533217</v>
      </c>
      <c r="BJ32" s="508">
        <v>35266277080</v>
      </c>
      <c r="BK32" s="508">
        <v>13603756376</v>
      </c>
      <c r="BL32" s="508">
        <v>15814070933</v>
      </c>
      <c r="BM32" s="508">
        <v>19039790084</v>
      </c>
      <c r="BN32" s="508">
        <v>19387371189</v>
      </c>
      <c r="BO32" s="508">
        <v>19651522849</v>
      </c>
      <c r="BP32" s="508">
        <v>24397240178</v>
      </c>
      <c r="BQ32" s="508">
        <v>39171010001</v>
      </c>
      <c r="BR32" s="508"/>
      <c r="BS32" s="508"/>
      <c r="BT32" s="508"/>
      <c r="BU32" s="508"/>
      <c r="BV32" s="508"/>
      <c r="BW32" s="508"/>
    </row>
    <row r="33" spans="1:75" ht="15" customHeight="1">
      <c r="A33" s="55">
        <v>30</v>
      </c>
      <c r="B33" s="60" t="s">
        <v>63</v>
      </c>
      <c r="C33" s="55">
        <v>28</v>
      </c>
      <c r="D33" s="508"/>
      <c r="E33" s="508"/>
      <c r="F33" s="508"/>
      <c r="G33" s="508"/>
      <c r="H33" s="508"/>
      <c r="I33" s="508"/>
      <c r="J33" s="508"/>
      <c r="K33" s="508"/>
      <c r="L33" s="508"/>
      <c r="M33" s="508"/>
      <c r="N33" s="508"/>
      <c r="O33" s="508"/>
      <c r="P33" s="508"/>
      <c r="Q33" s="508"/>
      <c r="R33" s="508"/>
      <c r="S33" s="508"/>
      <c r="T33" s="508"/>
      <c r="U33" s="508"/>
      <c r="V33" s="508"/>
      <c r="W33" s="508"/>
      <c r="X33" s="508"/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  <c r="AJ33" s="508"/>
      <c r="AK33" s="508"/>
      <c r="AL33" s="508"/>
      <c r="AM33" s="508"/>
      <c r="AN33" s="508">
        <v>0</v>
      </c>
      <c r="AO33" s="508">
        <v>88589162</v>
      </c>
      <c r="AP33" s="508">
        <v>55097709</v>
      </c>
      <c r="AQ33" s="508">
        <v>31197496</v>
      </c>
      <c r="AR33" s="508">
        <v>44321343</v>
      </c>
      <c r="AS33" s="508">
        <v>68824795</v>
      </c>
      <c r="AT33" s="508">
        <v>46083769</v>
      </c>
      <c r="AU33" s="508">
        <v>95495670</v>
      </c>
      <c r="AV33" s="508">
        <v>49020929</v>
      </c>
      <c r="AW33" s="508">
        <v>51867679</v>
      </c>
      <c r="AX33" s="508">
        <v>45050425</v>
      </c>
      <c r="AY33" s="508">
        <v>0</v>
      </c>
      <c r="AZ33" s="508">
        <v>0</v>
      </c>
      <c r="BA33" s="508">
        <v>3870033</v>
      </c>
      <c r="BB33" s="508">
        <v>0</v>
      </c>
      <c r="BC33" s="508">
        <v>0</v>
      </c>
      <c r="BD33" s="508">
        <v>0</v>
      </c>
      <c r="BE33" s="508">
        <v>0</v>
      </c>
      <c r="BF33" s="508">
        <v>11662258</v>
      </c>
      <c r="BG33" s="508">
        <v>0</v>
      </c>
      <c r="BH33" s="508">
        <v>0</v>
      </c>
      <c r="BI33" s="508">
        <v>0</v>
      </c>
      <c r="BJ33" s="508">
        <v>0</v>
      </c>
      <c r="BK33" s="508">
        <v>0</v>
      </c>
      <c r="BL33" s="508">
        <v>320106703</v>
      </c>
      <c r="BM33" s="508">
        <v>367623604</v>
      </c>
      <c r="BN33" s="508">
        <v>482493119</v>
      </c>
      <c r="BO33" s="508">
        <v>490859275</v>
      </c>
      <c r="BP33" s="508">
        <v>518207547</v>
      </c>
      <c r="BQ33" s="508">
        <v>0</v>
      </c>
      <c r="BR33" s="508"/>
      <c r="BS33" s="508"/>
      <c r="BT33" s="508"/>
      <c r="BU33" s="508"/>
      <c r="BV33" s="508"/>
      <c r="BW33" s="508"/>
    </row>
    <row r="34" spans="1:75" ht="15" customHeight="1">
      <c r="A34" s="55">
        <v>31</v>
      </c>
      <c r="B34" s="60" t="s">
        <v>64</v>
      </c>
      <c r="C34" s="55">
        <v>28</v>
      </c>
      <c r="D34" s="508"/>
      <c r="E34" s="508"/>
      <c r="F34" s="508"/>
      <c r="G34" s="508"/>
      <c r="H34" s="508"/>
      <c r="I34" s="508"/>
      <c r="J34" s="508"/>
      <c r="K34" s="508"/>
      <c r="L34" s="508"/>
      <c r="M34" s="508"/>
      <c r="N34" s="508"/>
      <c r="O34" s="508"/>
      <c r="P34" s="508"/>
      <c r="Q34" s="508"/>
      <c r="R34" s="508"/>
      <c r="S34" s="508"/>
      <c r="T34" s="508"/>
      <c r="U34" s="508"/>
      <c r="V34" s="508"/>
      <c r="W34" s="508"/>
      <c r="X34" s="508"/>
      <c r="Y34" s="508"/>
      <c r="Z34" s="508"/>
      <c r="AA34" s="508"/>
      <c r="AB34" s="508"/>
      <c r="AC34" s="508"/>
      <c r="AD34" s="508"/>
      <c r="AE34" s="508"/>
      <c r="AF34" s="508"/>
      <c r="AG34" s="508"/>
      <c r="AH34" s="508"/>
      <c r="AI34" s="508"/>
      <c r="AJ34" s="508"/>
      <c r="AK34" s="508"/>
      <c r="AL34" s="508"/>
      <c r="AM34" s="508"/>
      <c r="AN34" s="508">
        <v>0</v>
      </c>
      <c r="AO34" s="508">
        <v>0</v>
      </c>
      <c r="AP34" s="508">
        <v>0</v>
      </c>
      <c r="AQ34" s="508">
        <v>0</v>
      </c>
      <c r="AR34" s="508">
        <v>0</v>
      </c>
      <c r="AS34" s="508">
        <v>0</v>
      </c>
      <c r="AT34" s="508">
        <v>0</v>
      </c>
      <c r="AU34" s="508">
        <v>0</v>
      </c>
      <c r="AV34" s="508">
        <v>0</v>
      </c>
      <c r="AW34" s="508">
        <v>0</v>
      </c>
      <c r="AX34" s="508">
        <v>0</v>
      </c>
      <c r="AY34" s="508">
        <v>0</v>
      </c>
      <c r="AZ34" s="508">
        <v>0</v>
      </c>
      <c r="BA34" s="508">
        <v>0</v>
      </c>
      <c r="BB34" s="508">
        <v>0</v>
      </c>
      <c r="BC34" s="508">
        <v>0</v>
      </c>
      <c r="BD34" s="508">
        <v>0</v>
      </c>
      <c r="BE34" s="508">
        <v>0</v>
      </c>
      <c r="BF34" s="508">
        <v>0</v>
      </c>
      <c r="BG34" s="508">
        <v>0</v>
      </c>
      <c r="BH34" s="508">
        <v>0</v>
      </c>
      <c r="BI34" s="508">
        <v>0</v>
      </c>
      <c r="BJ34" s="508">
        <v>0</v>
      </c>
      <c r="BK34" s="508">
        <v>0</v>
      </c>
      <c r="BL34" s="508">
        <v>0</v>
      </c>
      <c r="BM34" s="508">
        <v>0</v>
      </c>
      <c r="BN34" s="508">
        <v>0</v>
      </c>
      <c r="BO34" s="508">
        <v>0</v>
      </c>
      <c r="BP34" s="508">
        <v>0</v>
      </c>
      <c r="BQ34" s="508">
        <v>0</v>
      </c>
      <c r="BR34" s="508"/>
      <c r="BS34" s="508"/>
      <c r="BT34" s="508"/>
      <c r="BU34" s="508"/>
      <c r="BV34" s="508"/>
      <c r="BW34" s="508"/>
    </row>
    <row r="35" spans="1:75" ht="15" customHeight="1">
      <c r="A35" s="55">
        <v>32</v>
      </c>
      <c r="B35" s="60" t="s">
        <v>65</v>
      </c>
      <c r="C35" s="55">
        <v>28</v>
      </c>
      <c r="D35" s="508"/>
      <c r="E35" s="508"/>
      <c r="F35" s="508"/>
      <c r="G35" s="508"/>
      <c r="H35" s="508"/>
      <c r="I35" s="508"/>
      <c r="J35" s="508"/>
      <c r="K35" s="508"/>
      <c r="L35" s="508"/>
      <c r="M35" s="508"/>
      <c r="N35" s="508"/>
      <c r="O35" s="508"/>
      <c r="P35" s="508"/>
      <c r="Q35" s="508"/>
      <c r="R35" s="508"/>
      <c r="S35" s="508"/>
      <c r="T35" s="508"/>
      <c r="U35" s="508"/>
      <c r="V35" s="508"/>
      <c r="W35" s="508"/>
      <c r="X35" s="508"/>
      <c r="Y35" s="508"/>
      <c r="Z35" s="508"/>
      <c r="AA35" s="508"/>
      <c r="AB35" s="508"/>
      <c r="AC35" s="508"/>
      <c r="AD35" s="508"/>
      <c r="AE35" s="508"/>
      <c r="AF35" s="508"/>
      <c r="AG35" s="508"/>
      <c r="AH35" s="508"/>
      <c r="AI35" s="508"/>
      <c r="AJ35" s="508"/>
      <c r="AK35" s="508"/>
      <c r="AL35" s="508"/>
      <c r="AM35" s="508"/>
      <c r="AN35" s="508">
        <v>0</v>
      </c>
      <c r="AO35" s="508">
        <v>0</v>
      </c>
      <c r="AP35" s="508">
        <v>0</v>
      </c>
      <c r="AQ35" s="508">
        <v>0</v>
      </c>
      <c r="AR35" s="508">
        <v>0</v>
      </c>
      <c r="AS35" s="508">
        <v>0</v>
      </c>
      <c r="AT35" s="508">
        <v>0</v>
      </c>
      <c r="AU35" s="508">
        <v>0</v>
      </c>
      <c r="AV35" s="508">
        <v>0</v>
      </c>
      <c r="AW35" s="508">
        <v>0</v>
      </c>
      <c r="AX35" s="508">
        <v>0</v>
      </c>
      <c r="AY35" s="508">
        <v>0</v>
      </c>
      <c r="AZ35" s="508">
        <v>0</v>
      </c>
      <c r="BA35" s="508">
        <v>0</v>
      </c>
      <c r="BB35" s="508">
        <v>0</v>
      </c>
      <c r="BC35" s="508">
        <v>0</v>
      </c>
      <c r="BD35" s="508">
        <v>0</v>
      </c>
      <c r="BE35" s="508">
        <v>0</v>
      </c>
      <c r="BF35" s="508">
        <v>0</v>
      </c>
      <c r="BG35" s="508">
        <v>0</v>
      </c>
      <c r="BH35" s="508">
        <v>0</v>
      </c>
      <c r="BI35" s="508">
        <v>0</v>
      </c>
      <c r="BJ35" s="508">
        <v>0</v>
      </c>
      <c r="BK35" s="508">
        <v>0</v>
      </c>
      <c r="BL35" s="508">
        <v>0</v>
      </c>
      <c r="BM35" s="508">
        <v>0</v>
      </c>
      <c r="BN35" s="508">
        <v>0</v>
      </c>
      <c r="BO35" s="508">
        <v>0</v>
      </c>
      <c r="BP35" s="508">
        <v>0</v>
      </c>
      <c r="BQ35" s="508">
        <v>0</v>
      </c>
      <c r="BR35" s="508"/>
      <c r="BS35" s="508"/>
      <c r="BT35" s="508"/>
      <c r="BU35" s="508"/>
      <c r="BV35" s="508"/>
      <c r="BW35" s="508"/>
    </row>
    <row r="36" spans="1:75" ht="13.8">
      <c r="A36" s="62">
        <v>33</v>
      </c>
      <c r="B36" s="63" t="s">
        <v>327</v>
      </c>
      <c r="C36" s="62">
        <v>28</v>
      </c>
      <c r="D36" s="5">
        <f t="shared" ref="D36:AY36" si="14">SUM(D37,D44,D54,D63,D66,D69,D76)</f>
        <v>0</v>
      </c>
      <c r="E36" s="5">
        <f t="shared" si="14"/>
        <v>0</v>
      </c>
      <c r="F36" s="5">
        <f t="shared" si="14"/>
        <v>0</v>
      </c>
      <c r="G36" s="5">
        <f t="shared" si="14"/>
        <v>0</v>
      </c>
      <c r="H36" s="5">
        <f t="shared" si="14"/>
        <v>0</v>
      </c>
      <c r="I36" s="5">
        <f t="shared" si="14"/>
        <v>0</v>
      </c>
      <c r="J36" s="5">
        <f t="shared" si="14"/>
        <v>0</v>
      </c>
      <c r="K36" s="5">
        <f t="shared" si="14"/>
        <v>0</v>
      </c>
      <c r="L36" s="5">
        <f t="shared" si="14"/>
        <v>0</v>
      </c>
      <c r="M36" s="5">
        <f t="shared" si="14"/>
        <v>0</v>
      </c>
      <c r="N36" s="5">
        <f t="shared" si="14"/>
        <v>0</v>
      </c>
      <c r="O36" s="5">
        <f t="shared" si="14"/>
        <v>0</v>
      </c>
      <c r="P36" s="5">
        <f t="shared" si="14"/>
        <v>0</v>
      </c>
      <c r="Q36" s="5">
        <f t="shared" si="14"/>
        <v>0</v>
      </c>
      <c r="R36" s="5">
        <f t="shared" si="14"/>
        <v>0</v>
      </c>
      <c r="S36" s="5">
        <f t="shared" si="14"/>
        <v>0</v>
      </c>
      <c r="T36" s="5">
        <f t="shared" si="14"/>
        <v>0</v>
      </c>
      <c r="U36" s="5">
        <f t="shared" si="14"/>
        <v>0</v>
      </c>
      <c r="V36" s="5">
        <f t="shared" si="14"/>
        <v>0</v>
      </c>
      <c r="W36" s="5">
        <f t="shared" si="14"/>
        <v>0</v>
      </c>
      <c r="X36" s="5">
        <f t="shared" si="14"/>
        <v>0</v>
      </c>
      <c r="Y36" s="5">
        <f t="shared" si="14"/>
        <v>0</v>
      </c>
      <c r="Z36" s="5">
        <f t="shared" si="14"/>
        <v>0</v>
      </c>
      <c r="AA36" s="5">
        <f t="shared" si="14"/>
        <v>0</v>
      </c>
      <c r="AB36" s="5">
        <f t="shared" si="14"/>
        <v>0</v>
      </c>
      <c r="AC36" s="5">
        <f t="shared" si="14"/>
        <v>0</v>
      </c>
      <c r="AD36" s="5">
        <f t="shared" si="14"/>
        <v>0</v>
      </c>
      <c r="AE36" s="5">
        <f t="shared" si="14"/>
        <v>0</v>
      </c>
      <c r="AF36" s="5">
        <f t="shared" si="14"/>
        <v>0</v>
      </c>
      <c r="AG36" s="5">
        <f t="shared" si="14"/>
        <v>0</v>
      </c>
      <c r="AH36" s="5">
        <f t="shared" si="14"/>
        <v>0</v>
      </c>
      <c r="AI36" s="5">
        <f t="shared" si="14"/>
        <v>0</v>
      </c>
      <c r="AJ36" s="5">
        <f t="shared" si="14"/>
        <v>0</v>
      </c>
      <c r="AK36" s="5">
        <f t="shared" si="14"/>
        <v>0</v>
      </c>
      <c r="AL36" s="5">
        <f t="shared" si="14"/>
        <v>0</v>
      </c>
      <c r="AM36" s="5">
        <f t="shared" si="14"/>
        <v>0</v>
      </c>
      <c r="AN36" s="5">
        <f t="shared" si="14"/>
        <v>332625414815</v>
      </c>
      <c r="AO36" s="5">
        <f t="shared" si="14"/>
        <v>328842339529</v>
      </c>
      <c r="AP36" s="5">
        <f t="shared" si="14"/>
        <v>326860219147</v>
      </c>
      <c r="AQ36" s="5">
        <f t="shared" si="14"/>
        <v>325876836997</v>
      </c>
      <c r="AR36" s="5">
        <f t="shared" si="14"/>
        <v>323966420495</v>
      </c>
      <c r="AS36" s="5">
        <f t="shared" si="14"/>
        <v>324626376319</v>
      </c>
      <c r="AT36" s="5">
        <f t="shared" si="14"/>
        <v>322169750156</v>
      </c>
      <c r="AU36" s="5">
        <f t="shared" si="14"/>
        <v>326771678464</v>
      </c>
      <c r="AV36" s="5">
        <f t="shared" si="14"/>
        <v>324411130594</v>
      </c>
      <c r="AW36" s="5">
        <f t="shared" si="14"/>
        <v>324205243077</v>
      </c>
      <c r="AX36" s="5">
        <f t="shared" si="14"/>
        <v>324813983532</v>
      </c>
      <c r="AY36" s="6">
        <f t="shared" si="14"/>
        <v>336474874329</v>
      </c>
      <c r="AZ36" s="6">
        <v>340380140059</v>
      </c>
      <c r="BA36" s="6">
        <v>335623957890</v>
      </c>
      <c r="BB36" s="6">
        <v>337167352653</v>
      </c>
      <c r="BC36" s="6">
        <v>345195829633</v>
      </c>
      <c r="BD36" s="6">
        <v>349130154104</v>
      </c>
      <c r="BE36" s="6">
        <v>349265800786</v>
      </c>
      <c r="BF36" s="6">
        <v>347766774950</v>
      </c>
      <c r="BG36" s="6">
        <v>347596408883</v>
      </c>
      <c r="BH36" s="6">
        <v>354522543809</v>
      </c>
      <c r="BI36" s="6">
        <v>365541010978</v>
      </c>
      <c r="BJ36" s="6">
        <v>364826588171</v>
      </c>
      <c r="BK36" s="6">
        <v>370861183445</v>
      </c>
      <c r="BL36" s="6">
        <v>371950740747</v>
      </c>
      <c r="BM36" s="6">
        <v>393184153968</v>
      </c>
      <c r="BN36" s="6">
        <v>400308290666</v>
      </c>
      <c r="BO36" s="6">
        <v>422096241613</v>
      </c>
      <c r="BP36" s="6">
        <v>423309149685</v>
      </c>
      <c r="BQ36" s="6">
        <v>554209421810</v>
      </c>
      <c r="BR36" s="6">
        <f t="shared" ref="BR36:BW36" si="15">SUM(BR37,BR44,BR54,BR63,BR66,BR69,BR76)</f>
        <v>0</v>
      </c>
      <c r="BS36" s="6">
        <f t="shared" si="15"/>
        <v>0</v>
      </c>
      <c r="BT36" s="6">
        <f t="shared" si="15"/>
        <v>0</v>
      </c>
      <c r="BU36" s="6">
        <f t="shared" si="15"/>
        <v>0</v>
      </c>
      <c r="BV36" s="6">
        <f t="shared" si="15"/>
        <v>0</v>
      </c>
      <c r="BW36" s="6">
        <f t="shared" si="15"/>
        <v>0</v>
      </c>
    </row>
    <row r="37" spans="1:75" ht="15" customHeight="1">
      <c r="A37" s="59">
        <v>34</v>
      </c>
      <c r="B37" s="54" t="s">
        <v>67</v>
      </c>
      <c r="C37" s="59">
        <v>28</v>
      </c>
      <c r="D37" s="3">
        <f t="shared" ref="D37:AY37" si="16">SUM(D38:D43)</f>
        <v>0</v>
      </c>
      <c r="E37" s="3">
        <f t="shared" si="16"/>
        <v>0</v>
      </c>
      <c r="F37" s="3">
        <f t="shared" si="16"/>
        <v>0</v>
      </c>
      <c r="G37" s="3">
        <f t="shared" si="16"/>
        <v>0</v>
      </c>
      <c r="H37" s="3">
        <f t="shared" si="16"/>
        <v>0</v>
      </c>
      <c r="I37" s="3">
        <f t="shared" si="16"/>
        <v>0</v>
      </c>
      <c r="J37" s="3">
        <f t="shared" si="16"/>
        <v>0</v>
      </c>
      <c r="K37" s="3">
        <f t="shared" si="16"/>
        <v>0</v>
      </c>
      <c r="L37" s="3">
        <f t="shared" si="16"/>
        <v>0</v>
      </c>
      <c r="M37" s="3">
        <f t="shared" si="16"/>
        <v>0</v>
      </c>
      <c r="N37" s="3">
        <f t="shared" si="16"/>
        <v>0</v>
      </c>
      <c r="O37" s="3">
        <f t="shared" si="16"/>
        <v>0</v>
      </c>
      <c r="P37" s="3">
        <f t="shared" si="16"/>
        <v>0</v>
      </c>
      <c r="Q37" s="3">
        <f t="shared" si="16"/>
        <v>0</v>
      </c>
      <c r="R37" s="3">
        <f t="shared" si="16"/>
        <v>0</v>
      </c>
      <c r="S37" s="3">
        <f t="shared" si="16"/>
        <v>0</v>
      </c>
      <c r="T37" s="3">
        <f t="shared" si="16"/>
        <v>0</v>
      </c>
      <c r="U37" s="3">
        <f t="shared" si="16"/>
        <v>0</v>
      </c>
      <c r="V37" s="3">
        <f t="shared" si="16"/>
        <v>0</v>
      </c>
      <c r="W37" s="3">
        <f t="shared" si="16"/>
        <v>0</v>
      </c>
      <c r="X37" s="3">
        <f t="shared" si="16"/>
        <v>0</v>
      </c>
      <c r="Y37" s="3">
        <f t="shared" si="16"/>
        <v>0</v>
      </c>
      <c r="Z37" s="3">
        <f t="shared" si="16"/>
        <v>0</v>
      </c>
      <c r="AA37" s="3">
        <f t="shared" si="16"/>
        <v>0</v>
      </c>
      <c r="AB37" s="3">
        <f t="shared" si="16"/>
        <v>0</v>
      </c>
      <c r="AC37" s="3">
        <f t="shared" si="16"/>
        <v>0</v>
      </c>
      <c r="AD37" s="3">
        <f t="shared" si="16"/>
        <v>0</v>
      </c>
      <c r="AE37" s="3">
        <f t="shared" si="16"/>
        <v>0</v>
      </c>
      <c r="AF37" s="3">
        <f t="shared" si="16"/>
        <v>0</v>
      </c>
      <c r="AG37" s="3">
        <f t="shared" si="16"/>
        <v>0</v>
      </c>
      <c r="AH37" s="3">
        <f t="shared" si="16"/>
        <v>0</v>
      </c>
      <c r="AI37" s="3">
        <f t="shared" si="16"/>
        <v>0</v>
      </c>
      <c r="AJ37" s="3">
        <f t="shared" si="16"/>
        <v>0</v>
      </c>
      <c r="AK37" s="3">
        <f t="shared" si="16"/>
        <v>0</v>
      </c>
      <c r="AL37" s="3">
        <f t="shared" si="16"/>
        <v>0</v>
      </c>
      <c r="AM37" s="3">
        <f t="shared" si="16"/>
        <v>0</v>
      </c>
      <c r="AN37" s="3">
        <f t="shared" si="16"/>
        <v>240000000</v>
      </c>
      <c r="AO37" s="3">
        <f t="shared" si="16"/>
        <v>240000000</v>
      </c>
      <c r="AP37" s="3">
        <f t="shared" si="16"/>
        <v>240000000</v>
      </c>
      <c r="AQ37" s="3">
        <f t="shared" si="16"/>
        <v>240000000</v>
      </c>
      <c r="AR37" s="3">
        <f t="shared" si="16"/>
        <v>240000000</v>
      </c>
      <c r="AS37" s="3">
        <f t="shared" si="16"/>
        <v>1140000000</v>
      </c>
      <c r="AT37" s="3">
        <f t="shared" si="16"/>
        <v>930823092</v>
      </c>
      <c r="AU37" s="3">
        <f t="shared" si="16"/>
        <v>930823092</v>
      </c>
      <c r="AV37" s="3">
        <f t="shared" si="16"/>
        <v>930823092</v>
      </c>
      <c r="AW37" s="3">
        <f t="shared" si="16"/>
        <v>930823092</v>
      </c>
      <c r="AX37" s="3">
        <f t="shared" si="16"/>
        <v>930823092</v>
      </c>
      <c r="AY37" s="4">
        <f t="shared" si="16"/>
        <v>6530823092</v>
      </c>
      <c r="AZ37" s="4">
        <v>6530823092</v>
      </c>
      <c r="BA37" s="4">
        <v>6530823092</v>
      </c>
      <c r="BB37" s="4">
        <v>6530823092</v>
      </c>
      <c r="BC37" s="4">
        <v>6530823092</v>
      </c>
      <c r="BD37" s="4">
        <v>6530823092</v>
      </c>
      <c r="BE37" s="4">
        <v>6530823092</v>
      </c>
      <c r="BF37" s="4">
        <v>6530823092</v>
      </c>
      <c r="BG37" s="4">
        <v>6530823092</v>
      </c>
      <c r="BH37" s="4">
        <v>6530823092</v>
      </c>
      <c r="BI37" s="4">
        <v>6530823092</v>
      </c>
      <c r="BJ37" s="4">
        <v>6530823092</v>
      </c>
      <c r="BK37" s="4">
        <v>5600000000</v>
      </c>
      <c r="BL37" s="4">
        <v>5315314211</v>
      </c>
      <c r="BM37" s="4">
        <v>5315314211</v>
      </c>
      <c r="BN37" s="4">
        <v>5315314211</v>
      </c>
      <c r="BO37" s="4">
        <v>5315314210</v>
      </c>
      <c r="BP37" s="4">
        <v>5315314210</v>
      </c>
      <c r="BQ37" s="4">
        <v>5315314210</v>
      </c>
      <c r="BR37" s="4">
        <f t="shared" ref="BR37:BW37" si="17">SUM(BR38:BR43)</f>
        <v>0</v>
      </c>
      <c r="BS37" s="4">
        <f t="shared" si="17"/>
        <v>0</v>
      </c>
      <c r="BT37" s="4">
        <f t="shared" si="17"/>
        <v>0</v>
      </c>
      <c r="BU37" s="4">
        <f t="shared" si="17"/>
        <v>0</v>
      </c>
      <c r="BV37" s="4">
        <f t="shared" si="17"/>
        <v>0</v>
      </c>
      <c r="BW37" s="4">
        <f t="shared" si="17"/>
        <v>0</v>
      </c>
    </row>
    <row r="38" spans="1:75" ht="15" customHeight="1">
      <c r="A38" s="55">
        <v>35</v>
      </c>
      <c r="B38" s="56" t="s">
        <v>68</v>
      </c>
      <c r="C38" s="55">
        <v>28</v>
      </c>
      <c r="D38" s="508"/>
      <c r="E38" s="508"/>
      <c r="F38" s="508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8"/>
      <c r="AI38" s="508"/>
      <c r="AJ38" s="508"/>
      <c r="AK38" s="508"/>
      <c r="AL38" s="508"/>
      <c r="AM38" s="508"/>
      <c r="AN38" s="508">
        <v>0</v>
      </c>
      <c r="AO38" s="508">
        <v>0</v>
      </c>
      <c r="AP38" s="508">
        <v>0</v>
      </c>
      <c r="AQ38" s="508">
        <v>0</v>
      </c>
      <c r="AR38" s="508">
        <v>0</v>
      </c>
      <c r="AS38" s="508">
        <v>0</v>
      </c>
      <c r="AT38" s="508">
        <v>0</v>
      </c>
      <c r="AU38" s="508">
        <v>0</v>
      </c>
      <c r="AV38" s="508">
        <v>0</v>
      </c>
      <c r="AW38" s="508">
        <v>0</v>
      </c>
      <c r="AX38" s="508">
        <v>0</v>
      </c>
      <c r="AY38" s="508">
        <v>0</v>
      </c>
      <c r="AZ38" s="508">
        <v>0</v>
      </c>
      <c r="BA38" s="508">
        <v>0</v>
      </c>
      <c r="BB38" s="508">
        <v>0</v>
      </c>
      <c r="BC38" s="508">
        <v>0</v>
      </c>
      <c r="BD38" s="508">
        <v>0</v>
      </c>
      <c r="BE38" s="508">
        <v>0</v>
      </c>
      <c r="BF38" s="508">
        <v>0</v>
      </c>
      <c r="BG38" s="508">
        <v>0</v>
      </c>
      <c r="BH38" s="508">
        <v>0</v>
      </c>
      <c r="BI38" s="508">
        <v>0</v>
      </c>
      <c r="BJ38" s="508">
        <v>0</v>
      </c>
      <c r="BK38" s="508">
        <v>0</v>
      </c>
      <c r="BL38" s="508">
        <v>0</v>
      </c>
      <c r="BM38" s="508">
        <v>0</v>
      </c>
      <c r="BN38" s="508">
        <v>0</v>
      </c>
      <c r="BO38" s="508">
        <v>0</v>
      </c>
      <c r="BP38" s="508">
        <v>0</v>
      </c>
      <c r="BQ38" s="508">
        <v>0</v>
      </c>
      <c r="BR38" s="508"/>
      <c r="BS38" s="508"/>
      <c r="BT38" s="508"/>
      <c r="BU38" s="508"/>
      <c r="BV38" s="508"/>
      <c r="BW38" s="508"/>
    </row>
    <row r="39" spans="1:75" ht="15" customHeight="1">
      <c r="A39" s="55">
        <v>36</v>
      </c>
      <c r="B39" s="56" t="s">
        <v>69</v>
      </c>
      <c r="C39" s="55">
        <v>28</v>
      </c>
      <c r="D39" s="508"/>
      <c r="E39" s="508"/>
      <c r="F39" s="508"/>
      <c r="G39" s="508"/>
      <c r="H39" s="508"/>
      <c r="I39" s="508"/>
      <c r="J39" s="508"/>
      <c r="K39" s="508"/>
      <c r="L39" s="508"/>
      <c r="M39" s="508"/>
      <c r="N39" s="508"/>
      <c r="O39" s="508"/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  <c r="AJ39" s="508"/>
      <c r="AK39" s="508"/>
      <c r="AL39" s="508"/>
      <c r="AM39" s="508"/>
      <c r="AN39" s="508">
        <v>0</v>
      </c>
      <c r="AO39" s="508">
        <v>0</v>
      </c>
      <c r="AP39" s="508">
        <v>0</v>
      </c>
      <c r="AQ39" s="508">
        <v>0</v>
      </c>
      <c r="AR39" s="508">
        <v>0</v>
      </c>
      <c r="AS39" s="508">
        <v>0</v>
      </c>
      <c r="AT39" s="508">
        <v>0</v>
      </c>
      <c r="AU39" s="508">
        <v>0</v>
      </c>
      <c r="AV39" s="508">
        <v>0</v>
      </c>
      <c r="AW39" s="508">
        <v>0</v>
      </c>
      <c r="AX39" s="508">
        <v>0</v>
      </c>
      <c r="AY39" s="508">
        <v>0</v>
      </c>
      <c r="AZ39" s="508">
        <v>0</v>
      </c>
      <c r="BA39" s="508">
        <v>0</v>
      </c>
      <c r="BB39" s="508">
        <v>0</v>
      </c>
      <c r="BC39" s="508">
        <v>0</v>
      </c>
      <c r="BD39" s="508">
        <v>0</v>
      </c>
      <c r="BE39" s="508">
        <v>0</v>
      </c>
      <c r="BF39" s="508">
        <v>0</v>
      </c>
      <c r="BG39" s="508">
        <v>0</v>
      </c>
      <c r="BH39" s="508">
        <v>0</v>
      </c>
      <c r="BI39" s="508">
        <v>0</v>
      </c>
      <c r="BJ39" s="508">
        <v>0</v>
      </c>
      <c r="BK39" s="508">
        <v>0</v>
      </c>
      <c r="BL39" s="508">
        <v>0</v>
      </c>
      <c r="BM39" s="508">
        <v>0</v>
      </c>
      <c r="BN39" s="508">
        <v>0</v>
      </c>
      <c r="BO39" s="508">
        <v>0</v>
      </c>
      <c r="BP39" s="508">
        <v>0</v>
      </c>
      <c r="BQ39" s="508">
        <v>0</v>
      </c>
      <c r="BR39" s="508"/>
      <c r="BS39" s="508"/>
      <c r="BT39" s="508"/>
      <c r="BU39" s="508"/>
      <c r="BV39" s="508"/>
      <c r="BW39" s="508"/>
    </row>
    <row r="40" spans="1:75" ht="15" customHeight="1">
      <c r="A40" s="55">
        <v>37</v>
      </c>
      <c r="B40" s="56" t="s">
        <v>70</v>
      </c>
      <c r="C40" s="55">
        <v>28</v>
      </c>
      <c r="D40" s="508"/>
      <c r="E40" s="508"/>
      <c r="F40" s="508"/>
      <c r="G40" s="508"/>
      <c r="H40" s="508"/>
      <c r="I40" s="508"/>
      <c r="J40" s="508"/>
      <c r="K40" s="508"/>
      <c r="L40" s="508"/>
      <c r="M40" s="508"/>
      <c r="N40" s="508"/>
      <c r="O40" s="508"/>
      <c r="P40" s="508"/>
      <c r="Q40" s="508"/>
      <c r="R40" s="508"/>
      <c r="S40" s="508"/>
      <c r="T40" s="508"/>
      <c r="U40" s="508"/>
      <c r="V40" s="508"/>
      <c r="W40" s="508"/>
      <c r="X40" s="508"/>
      <c r="Y40" s="508"/>
      <c r="Z40" s="508"/>
      <c r="AA40" s="508"/>
      <c r="AB40" s="508"/>
      <c r="AC40" s="508"/>
      <c r="AD40" s="508"/>
      <c r="AE40" s="508"/>
      <c r="AF40" s="508"/>
      <c r="AG40" s="508"/>
      <c r="AH40" s="508"/>
      <c r="AI40" s="508"/>
      <c r="AJ40" s="508"/>
      <c r="AK40" s="508"/>
      <c r="AL40" s="508"/>
      <c r="AM40" s="508"/>
      <c r="AN40" s="508">
        <v>0</v>
      </c>
      <c r="AO40" s="508">
        <v>0</v>
      </c>
      <c r="AP40" s="508">
        <v>0</v>
      </c>
      <c r="AQ40" s="508">
        <v>0</v>
      </c>
      <c r="AR40" s="508">
        <v>0</v>
      </c>
      <c r="AS40" s="508">
        <v>0</v>
      </c>
      <c r="AT40" s="508">
        <v>0</v>
      </c>
      <c r="AU40" s="508">
        <v>0</v>
      </c>
      <c r="AV40" s="508">
        <v>0</v>
      </c>
      <c r="AW40" s="508">
        <v>0</v>
      </c>
      <c r="AX40" s="508">
        <v>0</v>
      </c>
      <c r="AY40" s="508">
        <v>0</v>
      </c>
      <c r="AZ40" s="508">
        <v>0</v>
      </c>
      <c r="BA40" s="508">
        <v>0</v>
      </c>
      <c r="BB40" s="508">
        <v>0</v>
      </c>
      <c r="BC40" s="508">
        <v>0</v>
      </c>
      <c r="BD40" s="508">
        <v>0</v>
      </c>
      <c r="BE40" s="508">
        <v>0</v>
      </c>
      <c r="BF40" s="508">
        <v>0</v>
      </c>
      <c r="BG40" s="508">
        <v>0</v>
      </c>
      <c r="BH40" s="508">
        <v>0</v>
      </c>
      <c r="BI40" s="508">
        <v>0</v>
      </c>
      <c r="BJ40" s="508">
        <v>0</v>
      </c>
      <c r="BK40" s="508">
        <v>0</v>
      </c>
      <c r="BL40" s="508">
        <v>0</v>
      </c>
      <c r="BM40" s="508">
        <v>0</v>
      </c>
      <c r="BN40" s="508">
        <v>0</v>
      </c>
      <c r="BO40" s="508">
        <v>0</v>
      </c>
      <c r="BP40" s="508">
        <v>0</v>
      </c>
      <c r="BQ40" s="508">
        <v>0</v>
      </c>
      <c r="BR40" s="508"/>
      <c r="BS40" s="508"/>
      <c r="BT40" s="508"/>
      <c r="BU40" s="508"/>
      <c r="BV40" s="508"/>
      <c r="BW40" s="508"/>
    </row>
    <row r="41" spans="1:75" ht="15" customHeight="1">
      <c r="A41" s="55">
        <v>38</v>
      </c>
      <c r="B41" s="56" t="s">
        <v>71</v>
      </c>
      <c r="C41" s="55">
        <v>28</v>
      </c>
      <c r="D41" s="508"/>
      <c r="E41" s="508"/>
      <c r="F41" s="508"/>
      <c r="G41" s="508"/>
      <c r="H41" s="508"/>
      <c r="I41" s="508"/>
      <c r="J41" s="508"/>
      <c r="K41" s="508"/>
      <c r="L41" s="508"/>
      <c r="M41" s="508"/>
      <c r="N41" s="508"/>
      <c r="O41" s="508"/>
      <c r="P41" s="508"/>
      <c r="Q41" s="508"/>
      <c r="R41" s="508"/>
      <c r="S41" s="508"/>
      <c r="T41" s="508"/>
      <c r="U41" s="508"/>
      <c r="V41" s="508"/>
      <c r="W41" s="508"/>
      <c r="X41" s="508"/>
      <c r="Y41" s="508"/>
      <c r="Z41" s="508"/>
      <c r="AA41" s="508"/>
      <c r="AB41" s="508"/>
      <c r="AC41" s="508"/>
      <c r="AD41" s="508"/>
      <c r="AE41" s="508"/>
      <c r="AF41" s="508"/>
      <c r="AG41" s="508"/>
      <c r="AH41" s="508"/>
      <c r="AI41" s="508"/>
      <c r="AJ41" s="508"/>
      <c r="AK41" s="508"/>
      <c r="AL41" s="508"/>
      <c r="AM41" s="508"/>
      <c r="AN41" s="508">
        <v>0</v>
      </c>
      <c r="AO41" s="508">
        <v>0</v>
      </c>
      <c r="AP41" s="508">
        <v>0</v>
      </c>
      <c r="AQ41" s="508">
        <v>0</v>
      </c>
      <c r="AR41" s="508">
        <v>0</v>
      </c>
      <c r="AS41" s="508">
        <v>0</v>
      </c>
      <c r="AT41" s="508">
        <v>0</v>
      </c>
      <c r="AU41" s="508">
        <v>0</v>
      </c>
      <c r="AV41" s="508">
        <v>0</v>
      </c>
      <c r="AW41" s="508">
        <v>0</v>
      </c>
      <c r="AX41" s="508">
        <v>0</v>
      </c>
      <c r="AY41" s="508">
        <v>0</v>
      </c>
      <c r="AZ41" s="508">
        <v>0</v>
      </c>
      <c r="BA41" s="508">
        <v>0</v>
      </c>
      <c r="BB41" s="508">
        <v>0</v>
      </c>
      <c r="BC41" s="508">
        <v>0</v>
      </c>
      <c r="BD41" s="508">
        <v>0</v>
      </c>
      <c r="BE41" s="508">
        <v>0</v>
      </c>
      <c r="BF41" s="508">
        <v>0</v>
      </c>
      <c r="BG41" s="508">
        <v>0</v>
      </c>
      <c r="BH41" s="508">
        <v>0</v>
      </c>
      <c r="BI41" s="508">
        <v>0</v>
      </c>
      <c r="BJ41" s="508">
        <v>0</v>
      </c>
      <c r="BK41" s="508">
        <v>0</v>
      </c>
      <c r="BL41" s="508">
        <v>0</v>
      </c>
      <c r="BM41" s="508">
        <v>0</v>
      </c>
      <c r="BN41" s="508">
        <v>0</v>
      </c>
      <c r="BO41" s="508">
        <v>0</v>
      </c>
      <c r="BP41" s="508">
        <v>0</v>
      </c>
      <c r="BQ41" s="508">
        <v>0</v>
      </c>
      <c r="BR41" s="508"/>
      <c r="BS41" s="508"/>
      <c r="BT41" s="508"/>
      <c r="BU41" s="508"/>
      <c r="BV41" s="508"/>
      <c r="BW41" s="508"/>
    </row>
    <row r="42" spans="1:75" ht="15" customHeight="1">
      <c r="A42" s="55">
        <v>39</v>
      </c>
      <c r="B42" s="56" t="s">
        <v>72</v>
      </c>
      <c r="C42" s="55">
        <v>28</v>
      </c>
      <c r="D42" s="508"/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  <c r="AA42" s="508"/>
      <c r="AB42" s="508"/>
      <c r="AC42" s="508"/>
      <c r="AD42" s="508"/>
      <c r="AE42" s="508"/>
      <c r="AF42" s="508"/>
      <c r="AG42" s="508"/>
      <c r="AH42" s="508"/>
      <c r="AI42" s="508"/>
      <c r="AJ42" s="508"/>
      <c r="AK42" s="508"/>
      <c r="AL42" s="508"/>
      <c r="AM42" s="508"/>
      <c r="AN42" s="508">
        <v>240000000</v>
      </c>
      <c r="AO42" s="508">
        <v>240000000</v>
      </c>
      <c r="AP42" s="508">
        <v>240000000</v>
      </c>
      <c r="AQ42" s="508">
        <v>240000000</v>
      </c>
      <c r="AR42" s="508">
        <v>240000000</v>
      </c>
      <c r="AS42" s="508">
        <v>1140000000</v>
      </c>
      <c r="AT42" s="508">
        <v>930823092</v>
      </c>
      <c r="AU42" s="508">
        <v>930823092</v>
      </c>
      <c r="AV42" s="508">
        <v>930823092</v>
      </c>
      <c r="AW42" s="508">
        <v>930823092</v>
      </c>
      <c r="AX42" s="508">
        <v>930823092</v>
      </c>
      <c r="AY42" s="508">
        <v>6530823092</v>
      </c>
      <c r="AZ42" s="508">
        <v>6530823092</v>
      </c>
      <c r="BA42" s="508">
        <v>6530823092</v>
      </c>
      <c r="BB42" s="508">
        <v>6530823092</v>
      </c>
      <c r="BC42" s="508">
        <v>6530823092</v>
      </c>
      <c r="BD42" s="508">
        <v>6530823092</v>
      </c>
      <c r="BE42" s="508">
        <v>6530823092</v>
      </c>
      <c r="BF42" s="508">
        <v>6530823092</v>
      </c>
      <c r="BG42" s="508">
        <v>6530823092</v>
      </c>
      <c r="BH42" s="508">
        <v>6530823092</v>
      </c>
      <c r="BI42" s="508">
        <v>6530823092</v>
      </c>
      <c r="BJ42" s="508">
        <v>6530823092</v>
      </c>
      <c r="BK42" s="508">
        <v>5600000000</v>
      </c>
      <c r="BL42" s="508">
        <v>5315314211</v>
      </c>
      <c r="BM42" s="508">
        <v>5315314211</v>
      </c>
      <c r="BN42" s="508">
        <v>5315314211</v>
      </c>
      <c r="BO42" s="508">
        <v>5315314210</v>
      </c>
      <c r="BP42" s="508">
        <v>5315314210</v>
      </c>
      <c r="BQ42" s="508">
        <v>5315314210</v>
      </c>
      <c r="BR42" s="508"/>
      <c r="BS42" s="508"/>
      <c r="BT42" s="508"/>
      <c r="BU42" s="508"/>
      <c r="BV42" s="508"/>
      <c r="BW42" s="508"/>
    </row>
    <row r="43" spans="1:75" ht="15" customHeight="1">
      <c r="A43" s="55">
        <v>40</v>
      </c>
      <c r="B43" s="56" t="s">
        <v>73</v>
      </c>
      <c r="C43" s="55">
        <v>28</v>
      </c>
      <c r="D43" s="508"/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  <c r="Q43" s="508"/>
      <c r="R43" s="508"/>
      <c r="S43" s="508"/>
      <c r="T43" s="508"/>
      <c r="U43" s="508"/>
      <c r="V43" s="508"/>
      <c r="W43" s="508"/>
      <c r="X43" s="508"/>
      <c r="Y43" s="508"/>
      <c r="Z43" s="508"/>
      <c r="AA43" s="508"/>
      <c r="AB43" s="508"/>
      <c r="AC43" s="508"/>
      <c r="AD43" s="508"/>
      <c r="AE43" s="508"/>
      <c r="AF43" s="508"/>
      <c r="AG43" s="508"/>
      <c r="AH43" s="508"/>
      <c r="AI43" s="508"/>
      <c r="AJ43" s="508"/>
      <c r="AK43" s="508"/>
      <c r="AL43" s="508"/>
      <c r="AM43" s="508"/>
      <c r="AN43" s="508">
        <v>0</v>
      </c>
      <c r="AO43" s="508">
        <v>0</v>
      </c>
      <c r="AP43" s="508">
        <v>0</v>
      </c>
      <c r="AQ43" s="508">
        <v>0</v>
      </c>
      <c r="AR43" s="508">
        <v>0</v>
      </c>
      <c r="AS43" s="508">
        <v>0</v>
      </c>
      <c r="AT43" s="508">
        <v>0</v>
      </c>
      <c r="AU43" s="508">
        <v>0</v>
      </c>
      <c r="AV43" s="508">
        <v>0</v>
      </c>
      <c r="AW43" s="508">
        <v>0</v>
      </c>
      <c r="AX43" s="508">
        <v>0</v>
      </c>
      <c r="AY43" s="508">
        <v>0</v>
      </c>
      <c r="AZ43" s="508">
        <v>0</v>
      </c>
      <c r="BA43" s="508">
        <v>0</v>
      </c>
      <c r="BB43" s="508">
        <v>0</v>
      </c>
      <c r="BC43" s="508">
        <v>0</v>
      </c>
      <c r="BD43" s="508">
        <v>0</v>
      </c>
      <c r="BE43" s="508">
        <v>0</v>
      </c>
      <c r="BF43" s="508">
        <v>0</v>
      </c>
      <c r="BG43" s="508">
        <v>0</v>
      </c>
      <c r="BH43" s="508">
        <v>0</v>
      </c>
      <c r="BI43" s="508">
        <v>0</v>
      </c>
      <c r="BJ43" s="508">
        <v>0</v>
      </c>
      <c r="BK43" s="508">
        <v>0</v>
      </c>
      <c r="BL43" s="508">
        <v>0</v>
      </c>
      <c r="BM43" s="508">
        <v>0</v>
      </c>
      <c r="BN43" s="508">
        <v>0</v>
      </c>
      <c r="BO43" s="508">
        <v>0</v>
      </c>
      <c r="BP43" s="508">
        <v>0</v>
      </c>
      <c r="BQ43" s="508">
        <v>0</v>
      </c>
      <c r="BR43" s="508"/>
      <c r="BS43" s="508"/>
      <c r="BT43" s="508"/>
      <c r="BU43" s="508"/>
      <c r="BV43" s="508"/>
      <c r="BW43" s="508"/>
    </row>
    <row r="44" spans="1:75" ht="15" customHeight="1">
      <c r="A44" s="59">
        <v>41</v>
      </c>
      <c r="B44" s="64" t="s">
        <v>328</v>
      </c>
      <c r="C44" s="59">
        <v>28</v>
      </c>
      <c r="D44" s="3">
        <f t="shared" ref="D44:AY44" si="18">SUM(D45,D48,D51)</f>
        <v>0</v>
      </c>
      <c r="E44" s="3">
        <f t="shared" si="18"/>
        <v>0</v>
      </c>
      <c r="F44" s="3">
        <f t="shared" si="18"/>
        <v>0</v>
      </c>
      <c r="G44" s="3">
        <f t="shared" si="18"/>
        <v>0</v>
      </c>
      <c r="H44" s="3">
        <f t="shared" si="18"/>
        <v>0</v>
      </c>
      <c r="I44" s="3">
        <f t="shared" si="18"/>
        <v>0</v>
      </c>
      <c r="J44" s="3">
        <f t="shared" si="18"/>
        <v>0</v>
      </c>
      <c r="K44" s="3">
        <f t="shared" si="18"/>
        <v>0</v>
      </c>
      <c r="L44" s="3">
        <f t="shared" si="18"/>
        <v>0</v>
      </c>
      <c r="M44" s="3">
        <f t="shared" si="18"/>
        <v>0</v>
      </c>
      <c r="N44" s="3">
        <f t="shared" si="18"/>
        <v>0</v>
      </c>
      <c r="O44" s="3">
        <f t="shared" si="18"/>
        <v>0</v>
      </c>
      <c r="P44" s="3">
        <f t="shared" si="18"/>
        <v>0</v>
      </c>
      <c r="Q44" s="3">
        <f t="shared" si="18"/>
        <v>0</v>
      </c>
      <c r="R44" s="3">
        <f t="shared" si="18"/>
        <v>0</v>
      </c>
      <c r="S44" s="3">
        <f t="shared" si="18"/>
        <v>0</v>
      </c>
      <c r="T44" s="3">
        <f t="shared" si="18"/>
        <v>0</v>
      </c>
      <c r="U44" s="3">
        <f t="shared" si="18"/>
        <v>0</v>
      </c>
      <c r="V44" s="3">
        <f t="shared" si="18"/>
        <v>0</v>
      </c>
      <c r="W44" s="3">
        <f t="shared" si="18"/>
        <v>0</v>
      </c>
      <c r="X44" s="3">
        <f t="shared" si="18"/>
        <v>0</v>
      </c>
      <c r="Y44" s="3">
        <f t="shared" si="18"/>
        <v>0</v>
      </c>
      <c r="Z44" s="3">
        <f t="shared" si="18"/>
        <v>0</v>
      </c>
      <c r="AA44" s="3">
        <f t="shared" si="18"/>
        <v>0</v>
      </c>
      <c r="AB44" s="3">
        <f t="shared" si="18"/>
        <v>0</v>
      </c>
      <c r="AC44" s="3">
        <f t="shared" si="18"/>
        <v>0</v>
      </c>
      <c r="AD44" s="3">
        <f t="shared" si="18"/>
        <v>0</v>
      </c>
      <c r="AE44" s="3">
        <f t="shared" si="18"/>
        <v>0</v>
      </c>
      <c r="AF44" s="3">
        <f t="shared" si="18"/>
        <v>0</v>
      </c>
      <c r="AG44" s="3">
        <f t="shared" si="18"/>
        <v>0</v>
      </c>
      <c r="AH44" s="3">
        <f t="shared" si="18"/>
        <v>0</v>
      </c>
      <c r="AI44" s="3">
        <f t="shared" si="18"/>
        <v>0</v>
      </c>
      <c r="AJ44" s="3">
        <f t="shared" si="18"/>
        <v>0</v>
      </c>
      <c r="AK44" s="3">
        <f t="shared" si="18"/>
        <v>0</v>
      </c>
      <c r="AL44" s="3">
        <f t="shared" si="18"/>
        <v>0</v>
      </c>
      <c r="AM44" s="3">
        <f t="shared" si="18"/>
        <v>0</v>
      </c>
      <c r="AN44" s="3">
        <f t="shared" si="18"/>
        <v>249655788198</v>
      </c>
      <c r="AO44" s="3">
        <f t="shared" si="18"/>
        <v>245716365002</v>
      </c>
      <c r="AP44" s="3">
        <f t="shared" si="18"/>
        <v>275559746506</v>
      </c>
      <c r="AQ44" s="3">
        <f t="shared" si="18"/>
        <v>277827593851</v>
      </c>
      <c r="AR44" s="3">
        <f t="shared" si="18"/>
        <v>276054917951</v>
      </c>
      <c r="AS44" s="3">
        <f t="shared" si="18"/>
        <v>271729373194</v>
      </c>
      <c r="AT44" s="3">
        <f t="shared" si="18"/>
        <v>269325388109</v>
      </c>
      <c r="AU44" s="3">
        <f t="shared" si="18"/>
        <v>275400557911</v>
      </c>
      <c r="AV44" s="3">
        <f t="shared" si="18"/>
        <v>272127241547</v>
      </c>
      <c r="AW44" s="3">
        <f t="shared" si="18"/>
        <v>271857790006</v>
      </c>
      <c r="AX44" s="3">
        <f t="shared" si="18"/>
        <v>287235595670</v>
      </c>
      <c r="AY44" s="4">
        <f t="shared" si="18"/>
        <v>284367832366</v>
      </c>
      <c r="AZ44" s="4">
        <v>280850195913</v>
      </c>
      <c r="BA44" s="4">
        <v>286751550270</v>
      </c>
      <c r="BB44" s="4">
        <v>290751177313</v>
      </c>
      <c r="BC44" s="4">
        <v>287962022032</v>
      </c>
      <c r="BD44" s="4">
        <v>282781975426</v>
      </c>
      <c r="BE44" s="4">
        <v>278127416000</v>
      </c>
      <c r="BF44" s="4">
        <v>275654584449</v>
      </c>
      <c r="BG44" s="4">
        <v>293217640642</v>
      </c>
      <c r="BH44" s="4">
        <v>289918627327</v>
      </c>
      <c r="BI44" s="4">
        <v>287386592779</v>
      </c>
      <c r="BJ44" s="4">
        <v>291084744995</v>
      </c>
      <c r="BK44" s="4">
        <v>289479799346</v>
      </c>
      <c r="BL44" s="4">
        <v>289420127851</v>
      </c>
      <c r="BM44" s="4">
        <v>290580920269</v>
      </c>
      <c r="BN44" s="4">
        <v>311554672138</v>
      </c>
      <c r="BO44" s="4">
        <v>315947544274</v>
      </c>
      <c r="BP44" s="4">
        <v>313156045927</v>
      </c>
      <c r="BQ44" s="4">
        <v>321146726830</v>
      </c>
      <c r="BR44" s="4">
        <f t="shared" ref="BR44:BW44" si="19">SUM(BR45,BR48,BR51)</f>
        <v>0</v>
      </c>
      <c r="BS44" s="4">
        <f t="shared" si="19"/>
        <v>0</v>
      </c>
      <c r="BT44" s="4">
        <f t="shared" si="19"/>
        <v>0</v>
      </c>
      <c r="BU44" s="4">
        <f t="shared" si="19"/>
        <v>0</v>
      </c>
      <c r="BV44" s="4">
        <f t="shared" si="19"/>
        <v>0</v>
      </c>
      <c r="BW44" s="4">
        <f t="shared" si="19"/>
        <v>0</v>
      </c>
    </row>
    <row r="45" spans="1:75" ht="15" customHeight="1">
      <c r="A45" s="59">
        <v>42</v>
      </c>
      <c r="B45" s="65" t="s">
        <v>329</v>
      </c>
      <c r="C45" s="59">
        <v>28</v>
      </c>
      <c r="D45" s="3">
        <f t="shared" ref="D45:AY45" si="20">SUM(D46:D47)</f>
        <v>0</v>
      </c>
      <c r="E45" s="3">
        <f t="shared" si="20"/>
        <v>0</v>
      </c>
      <c r="F45" s="3">
        <f t="shared" si="20"/>
        <v>0</v>
      </c>
      <c r="G45" s="3">
        <f t="shared" si="20"/>
        <v>0</v>
      </c>
      <c r="H45" s="3">
        <f t="shared" si="20"/>
        <v>0</v>
      </c>
      <c r="I45" s="3">
        <f t="shared" si="20"/>
        <v>0</v>
      </c>
      <c r="J45" s="3">
        <f t="shared" si="20"/>
        <v>0</v>
      </c>
      <c r="K45" s="3">
        <f t="shared" si="20"/>
        <v>0</v>
      </c>
      <c r="L45" s="3">
        <f t="shared" si="20"/>
        <v>0</v>
      </c>
      <c r="M45" s="3">
        <f t="shared" si="20"/>
        <v>0</v>
      </c>
      <c r="N45" s="3">
        <f t="shared" si="20"/>
        <v>0</v>
      </c>
      <c r="O45" s="3">
        <f t="shared" si="20"/>
        <v>0</v>
      </c>
      <c r="P45" s="3">
        <f t="shared" si="20"/>
        <v>0</v>
      </c>
      <c r="Q45" s="3">
        <f t="shared" si="20"/>
        <v>0</v>
      </c>
      <c r="R45" s="3">
        <f t="shared" si="20"/>
        <v>0</v>
      </c>
      <c r="S45" s="3">
        <f t="shared" si="20"/>
        <v>0</v>
      </c>
      <c r="T45" s="3">
        <f t="shared" si="20"/>
        <v>0</v>
      </c>
      <c r="U45" s="3">
        <f t="shared" si="20"/>
        <v>0</v>
      </c>
      <c r="V45" s="3">
        <f t="shared" si="20"/>
        <v>0</v>
      </c>
      <c r="W45" s="3">
        <f t="shared" si="20"/>
        <v>0</v>
      </c>
      <c r="X45" s="3">
        <f t="shared" si="20"/>
        <v>0</v>
      </c>
      <c r="Y45" s="3">
        <f t="shared" si="20"/>
        <v>0</v>
      </c>
      <c r="Z45" s="3">
        <f t="shared" si="20"/>
        <v>0</v>
      </c>
      <c r="AA45" s="3">
        <f t="shared" si="20"/>
        <v>0</v>
      </c>
      <c r="AB45" s="3">
        <f t="shared" si="20"/>
        <v>0</v>
      </c>
      <c r="AC45" s="3">
        <f t="shared" si="20"/>
        <v>0</v>
      </c>
      <c r="AD45" s="3">
        <f t="shared" si="20"/>
        <v>0</v>
      </c>
      <c r="AE45" s="3">
        <f t="shared" si="20"/>
        <v>0</v>
      </c>
      <c r="AF45" s="3">
        <f t="shared" si="20"/>
        <v>0</v>
      </c>
      <c r="AG45" s="3">
        <f t="shared" si="20"/>
        <v>0</v>
      </c>
      <c r="AH45" s="3">
        <f t="shared" si="20"/>
        <v>0</v>
      </c>
      <c r="AI45" s="3">
        <f t="shared" si="20"/>
        <v>0</v>
      </c>
      <c r="AJ45" s="3">
        <f t="shared" si="20"/>
        <v>0</v>
      </c>
      <c r="AK45" s="3">
        <f t="shared" si="20"/>
        <v>0</v>
      </c>
      <c r="AL45" s="3">
        <f t="shared" si="20"/>
        <v>0</v>
      </c>
      <c r="AM45" s="3">
        <f t="shared" si="20"/>
        <v>0</v>
      </c>
      <c r="AN45" s="3">
        <f t="shared" si="20"/>
        <v>247686311862</v>
      </c>
      <c r="AO45" s="3">
        <f t="shared" si="20"/>
        <v>243789053467</v>
      </c>
      <c r="AP45" s="3">
        <f t="shared" si="20"/>
        <v>273243299734</v>
      </c>
      <c r="AQ45" s="3">
        <f t="shared" si="20"/>
        <v>275565292437</v>
      </c>
      <c r="AR45" s="3">
        <f t="shared" si="20"/>
        <v>273846761895</v>
      </c>
      <c r="AS45" s="3">
        <f t="shared" si="20"/>
        <v>269575362499</v>
      </c>
      <c r="AT45" s="3">
        <f t="shared" si="20"/>
        <v>267225522772</v>
      </c>
      <c r="AU45" s="3">
        <f t="shared" si="20"/>
        <v>273354837931</v>
      </c>
      <c r="AV45" s="3">
        <f t="shared" si="20"/>
        <v>270135666926</v>
      </c>
      <c r="AW45" s="3">
        <f t="shared" si="20"/>
        <v>269920360744</v>
      </c>
      <c r="AX45" s="3">
        <f t="shared" si="20"/>
        <v>259897766310</v>
      </c>
      <c r="AY45" s="4">
        <f t="shared" si="20"/>
        <v>257088680605</v>
      </c>
      <c r="AZ45" s="4">
        <v>254173542509</v>
      </c>
      <c r="BA45" s="4">
        <v>260677395229</v>
      </c>
      <c r="BB45" s="4">
        <v>264791909848</v>
      </c>
      <c r="BC45" s="4">
        <v>262618797672</v>
      </c>
      <c r="BD45" s="4">
        <v>258054794170</v>
      </c>
      <c r="BE45" s="4">
        <v>254016277850</v>
      </c>
      <c r="BF45" s="4">
        <v>252159489399</v>
      </c>
      <c r="BG45" s="4">
        <v>270337414891</v>
      </c>
      <c r="BH45" s="4">
        <v>265713293890</v>
      </c>
      <c r="BI45" s="4">
        <v>263835030905</v>
      </c>
      <c r="BJ45" s="4">
        <v>268186954686</v>
      </c>
      <c r="BK45" s="4">
        <v>267235780601</v>
      </c>
      <c r="BL45" s="4">
        <v>268060842069</v>
      </c>
      <c r="BM45" s="4">
        <v>269154387249</v>
      </c>
      <c r="BN45" s="4">
        <v>290063568969</v>
      </c>
      <c r="BO45" s="4">
        <v>294648870961</v>
      </c>
      <c r="BP45" s="4">
        <v>292049802458</v>
      </c>
      <c r="BQ45" s="4">
        <v>300232913210</v>
      </c>
      <c r="BR45" s="4">
        <f t="shared" ref="BR45:BW45" si="21">SUM(BR46:BR47)</f>
        <v>0</v>
      </c>
      <c r="BS45" s="4">
        <f t="shared" si="21"/>
        <v>0</v>
      </c>
      <c r="BT45" s="4">
        <f t="shared" si="21"/>
        <v>0</v>
      </c>
      <c r="BU45" s="4">
        <f t="shared" si="21"/>
        <v>0</v>
      </c>
      <c r="BV45" s="4">
        <f t="shared" si="21"/>
        <v>0</v>
      </c>
      <c r="BW45" s="4">
        <f t="shared" si="21"/>
        <v>0</v>
      </c>
    </row>
    <row r="46" spans="1:75" ht="15" customHeight="1">
      <c r="A46" s="55">
        <v>43</v>
      </c>
      <c r="B46" s="66" t="s">
        <v>330</v>
      </c>
      <c r="C46" s="55">
        <v>28</v>
      </c>
      <c r="D46" s="508"/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  <c r="AA46" s="508"/>
      <c r="AB46" s="508"/>
      <c r="AC46" s="508"/>
      <c r="AD46" s="508"/>
      <c r="AE46" s="508"/>
      <c r="AF46" s="508"/>
      <c r="AG46" s="508"/>
      <c r="AH46" s="508"/>
      <c r="AI46" s="508"/>
      <c r="AJ46" s="508"/>
      <c r="AK46" s="508"/>
      <c r="AL46" s="508"/>
      <c r="AM46" s="508"/>
      <c r="AN46" s="508">
        <v>320763061585</v>
      </c>
      <c r="AO46" s="508">
        <v>320763061585</v>
      </c>
      <c r="AP46" s="508">
        <v>354111019751</v>
      </c>
      <c r="AQ46" s="508">
        <v>360410194088</v>
      </c>
      <c r="AR46" s="508">
        <v>362896921284</v>
      </c>
      <c r="AS46" s="508">
        <v>362777184617</v>
      </c>
      <c r="AT46" s="508">
        <v>364651866569</v>
      </c>
      <c r="AU46" s="508">
        <v>374855872549</v>
      </c>
      <c r="AV46" s="508">
        <v>376024168845</v>
      </c>
      <c r="AW46" s="508">
        <v>380073671166</v>
      </c>
      <c r="AX46" s="508">
        <v>358508874510</v>
      </c>
      <c r="AY46" s="508">
        <v>359916452008</v>
      </c>
      <c r="AZ46" s="508">
        <v>361070968177</v>
      </c>
      <c r="BA46" s="508">
        <v>371841366827</v>
      </c>
      <c r="BB46" s="508">
        <v>380424978133</v>
      </c>
      <c r="BC46" s="508">
        <v>382236063184</v>
      </c>
      <c r="BD46" s="508">
        <v>382230780224</v>
      </c>
      <c r="BE46" s="508">
        <v>382070975608</v>
      </c>
      <c r="BF46" s="508">
        <v>384541494580</v>
      </c>
      <c r="BG46" s="508">
        <v>406915782897</v>
      </c>
      <c r="BH46" s="508">
        <v>407229367127</v>
      </c>
      <c r="BI46" s="508">
        <v>410101780731</v>
      </c>
      <c r="BJ46" s="508">
        <v>419369408793</v>
      </c>
      <c r="BK46" s="508">
        <v>423259856618</v>
      </c>
      <c r="BL46" s="508">
        <v>426876282673</v>
      </c>
      <c r="BM46" s="508">
        <v>430632774491</v>
      </c>
      <c r="BN46" s="508">
        <v>454216171425</v>
      </c>
      <c r="BO46" s="508">
        <v>461639337242</v>
      </c>
      <c r="BP46" s="508">
        <v>461870467582</v>
      </c>
      <c r="BQ46" s="508">
        <v>472954087148</v>
      </c>
      <c r="BR46" s="508"/>
      <c r="BS46" s="508"/>
      <c r="BT46" s="508"/>
      <c r="BU46" s="508"/>
      <c r="BV46" s="508"/>
      <c r="BW46" s="508"/>
    </row>
    <row r="47" spans="1:75" ht="15" customHeight="1">
      <c r="A47" s="55">
        <v>44</v>
      </c>
      <c r="B47" s="66" t="s">
        <v>331</v>
      </c>
      <c r="C47" s="55">
        <v>28</v>
      </c>
      <c r="D47" s="508"/>
      <c r="E47" s="508"/>
      <c r="F47" s="508"/>
      <c r="G47" s="508"/>
      <c r="H47" s="508"/>
      <c r="I47" s="508"/>
      <c r="J47" s="508"/>
      <c r="K47" s="508"/>
      <c r="L47" s="508"/>
      <c r="M47" s="508"/>
      <c r="N47" s="508"/>
      <c r="O47" s="508"/>
      <c r="P47" s="508"/>
      <c r="Q47" s="508"/>
      <c r="R47" s="508"/>
      <c r="S47" s="508"/>
      <c r="T47" s="508"/>
      <c r="U47" s="508"/>
      <c r="V47" s="508"/>
      <c r="W47" s="508"/>
      <c r="X47" s="508"/>
      <c r="Y47" s="508"/>
      <c r="Z47" s="508"/>
      <c r="AA47" s="508"/>
      <c r="AB47" s="508"/>
      <c r="AC47" s="508"/>
      <c r="AD47" s="508"/>
      <c r="AE47" s="508"/>
      <c r="AF47" s="508"/>
      <c r="AG47" s="508"/>
      <c r="AH47" s="508"/>
      <c r="AI47" s="508"/>
      <c r="AJ47" s="508"/>
      <c r="AK47" s="508"/>
      <c r="AL47" s="508"/>
      <c r="AM47" s="508"/>
      <c r="AN47" s="508">
        <v>-73076749723</v>
      </c>
      <c r="AO47" s="508">
        <v>-76974008118</v>
      </c>
      <c r="AP47" s="508">
        <v>-80867720017</v>
      </c>
      <c r="AQ47" s="508">
        <v>-84844901651</v>
      </c>
      <c r="AR47" s="508">
        <v>-89050159389</v>
      </c>
      <c r="AS47" s="508">
        <v>-93201822118</v>
      </c>
      <c r="AT47" s="508">
        <v>-97426343797</v>
      </c>
      <c r="AU47" s="508">
        <v>-101501034618</v>
      </c>
      <c r="AV47" s="508">
        <v>-105888501919</v>
      </c>
      <c r="AW47" s="508">
        <v>-110153310422</v>
      </c>
      <c r="AX47" s="508">
        <v>-98611108200</v>
      </c>
      <c r="AY47" s="508">
        <v>-102827771403</v>
      </c>
      <c r="AZ47" s="508">
        <v>-106897425668</v>
      </c>
      <c r="BA47" s="508">
        <v>-111163971598</v>
      </c>
      <c r="BB47" s="508">
        <v>-115633068285</v>
      </c>
      <c r="BC47" s="508">
        <v>-119617265512</v>
      </c>
      <c r="BD47" s="508">
        <v>-124175986054</v>
      </c>
      <c r="BE47" s="508">
        <v>-128054697758</v>
      </c>
      <c r="BF47" s="508">
        <v>-132382005181</v>
      </c>
      <c r="BG47" s="508">
        <v>-136578368006</v>
      </c>
      <c r="BH47" s="508">
        <v>-141516073237</v>
      </c>
      <c r="BI47" s="508">
        <v>-146266749826</v>
      </c>
      <c r="BJ47" s="508">
        <v>-151182454107</v>
      </c>
      <c r="BK47" s="508">
        <v>-156024076017</v>
      </c>
      <c r="BL47" s="508">
        <v>-158815440604</v>
      </c>
      <c r="BM47" s="508">
        <v>-161478387242</v>
      </c>
      <c r="BN47" s="508">
        <v>-164152602456</v>
      </c>
      <c r="BO47" s="508">
        <v>-166990466281</v>
      </c>
      <c r="BP47" s="508">
        <v>-169820665124</v>
      </c>
      <c r="BQ47" s="508">
        <v>-172721173938</v>
      </c>
      <c r="BR47" s="508"/>
      <c r="BS47" s="508"/>
      <c r="BT47" s="508"/>
      <c r="BU47" s="508"/>
      <c r="BV47" s="508"/>
      <c r="BW47" s="508"/>
    </row>
    <row r="48" spans="1:75" ht="15" customHeight="1">
      <c r="A48" s="59">
        <v>45</v>
      </c>
      <c r="B48" s="65" t="s">
        <v>78</v>
      </c>
      <c r="C48" s="59">
        <v>28</v>
      </c>
      <c r="D48" s="3">
        <f t="shared" ref="D48:AY48" si="22">SUM(D49:D50)</f>
        <v>0</v>
      </c>
      <c r="E48" s="3">
        <f t="shared" si="22"/>
        <v>0</v>
      </c>
      <c r="F48" s="3">
        <f t="shared" si="22"/>
        <v>0</v>
      </c>
      <c r="G48" s="3">
        <f t="shared" si="22"/>
        <v>0</v>
      </c>
      <c r="H48" s="3">
        <f t="shared" si="22"/>
        <v>0</v>
      </c>
      <c r="I48" s="3">
        <f t="shared" si="22"/>
        <v>0</v>
      </c>
      <c r="J48" s="3">
        <f t="shared" si="22"/>
        <v>0</v>
      </c>
      <c r="K48" s="3">
        <f t="shared" si="22"/>
        <v>0</v>
      </c>
      <c r="L48" s="3">
        <f t="shared" si="22"/>
        <v>0</v>
      </c>
      <c r="M48" s="3">
        <f t="shared" si="22"/>
        <v>0</v>
      </c>
      <c r="N48" s="3">
        <f t="shared" si="22"/>
        <v>0</v>
      </c>
      <c r="O48" s="3">
        <f t="shared" si="22"/>
        <v>0</v>
      </c>
      <c r="P48" s="3">
        <f t="shared" si="22"/>
        <v>0</v>
      </c>
      <c r="Q48" s="3">
        <f t="shared" si="22"/>
        <v>0</v>
      </c>
      <c r="R48" s="3">
        <f t="shared" si="22"/>
        <v>0</v>
      </c>
      <c r="S48" s="3">
        <f t="shared" si="22"/>
        <v>0</v>
      </c>
      <c r="T48" s="3">
        <f t="shared" si="22"/>
        <v>0</v>
      </c>
      <c r="U48" s="3">
        <f t="shared" si="22"/>
        <v>0</v>
      </c>
      <c r="V48" s="3">
        <f t="shared" si="22"/>
        <v>0</v>
      </c>
      <c r="W48" s="3">
        <f t="shared" si="22"/>
        <v>0</v>
      </c>
      <c r="X48" s="3">
        <f t="shared" si="22"/>
        <v>0</v>
      </c>
      <c r="Y48" s="3">
        <f t="shared" si="22"/>
        <v>0</v>
      </c>
      <c r="Z48" s="3">
        <f t="shared" si="22"/>
        <v>0</v>
      </c>
      <c r="AA48" s="3">
        <f t="shared" si="22"/>
        <v>0</v>
      </c>
      <c r="AB48" s="3">
        <f t="shared" si="22"/>
        <v>0</v>
      </c>
      <c r="AC48" s="3">
        <f t="shared" si="22"/>
        <v>0</v>
      </c>
      <c r="AD48" s="3">
        <f t="shared" si="22"/>
        <v>0</v>
      </c>
      <c r="AE48" s="3">
        <f t="shared" si="22"/>
        <v>0</v>
      </c>
      <c r="AF48" s="3">
        <f t="shared" si="22"/>
        <v>0</v>
      </c>
      <c r="AG48" s="3">
        <f t="shared" si="22"/>
        <v>0</v>
      </c>
      <c r="AH48" s="3">
        <f t="shared" si="22"/>
        <v>0</v>
      </c>
      <c r="AI48" s="3">
        <f t="shared" si="22"/>
        <v>0</v>
      </c>
      <c r="AJ48" s="3">
        <f t="shared" si="22"/>
        <v>0</v>
      </c>
      <c r="AK48" s="3">
        <f t="shared" si="22"/>
        <v>0</v>
      </c>
      <c r="AL48" s="3">
        <f t="shared" si="22"/>
        <v>0</v>
      </c>
      <c r="AM48" s="3">
        <f t="shared" si="22"/>
        <v>0</v>
      </c>
      <c r="AN48" s="3">
        <f t="shared" si="22"/>
        <v>21543584</v>
      </c>
      <c r="AO48" s="3">
        <f t="shared" si="22"/>
        <v>20347932</v>
      </c>
      <c r="AP48" s="3">
        <f t="shared" si="22"/>
        <v>19152280</v>
      </c>
      <c r="AQ48" s="3">
        <f t="shared" si="22"/>
        <v>17956628</v>
      </c>
      <c r="AR48" s="3">
        <f t="shared" si="22"/>
        <v>16760976</v>
      </c>
      <c r="AS48" s="3">
        <f t="shared" si="22"/>
        <v>15565324</v>
      </c>
      <c r="AT48" s="3">
        <f t="shared" si="22"/>
        <v>14369672</v>
      </c>
      <c r="AU48" s="3">
        <f t="shared" si="22"/>
        <v>13174020</v>
      </c>
      <c r="AV48" s="3">
        <f t="shared" si="22"/>
        <v>11978368</v>
      </c>
      <c r="AW48" s="3">
        <f t="shared" si="22"/>
        <v>10782716</v>
      </c>
      <c r="AX48" s="3">
        <f t="shared" si="22"/>
        <v>25464132519</v>
      </c>
      <c r="AY48" s="4">
        <f t="shared" si="22"/>
        <v>24929281727</v>
      </c>
      <c r="AZ48" s="4">
        <v>24387235175</v>
      </c>
      <c r="BA48" s="4">
        <v>23853580028</v>
      </c>
      <c r="BB48" s="4">
        <v>23319924886</v>
      </c>
      <c r="BC48" s="4">
        <v>22786269743</v>
      </c>
      <c r="BD48" s="4">
        <v>22252614599</v>
      </c>
      <c r="BE48" s="4">
        <v>21718959455</v>
      </c>
      <c r="BF48" s="4">
        <v>21185304314</v>
      </c>
      <c r="BG48" s="4">
        <v>20651649171</v>
      </c>
      <c r="BH48" s="4">
        <v>20117994030</v>
      </c>
      <c r="BI48" s="4">
        <v>19584338888</v>
      </c>
      <c r="BJ48" s="4">
        <v>19050683744</v>
      </c>
      <c r="BK48" s="4">
        <v>18517028601</v>
      </c>
      <c r="BL48" s="4">
        <v>17684886028</v>
      </c>
      <c r="BM48" s="4">
        <v>17550400741</v>
      </c>
      <c r="BN48" s="4">
        <v>17415915447</v>
      </c>
      <c r="BO48" s="4">
        <v>17281430151</v>
      </c>
      <c r="BP48" s="4">
        <v>17146944864</v>
      </c>
      <c r="BQ48" s="4">
        <v>17012459573</v>
      </c>
      <c r="BR48" s="4">
        <f t="shared" ref="BR48:BW48" si="23">SUM(BR49:BR50)</f>
        <v>0</v>
      </c>
      <c r="BS48" s="4">
        <f t="shared" si="23"/>
        <v>0</v>
      </c>
      <c r="BT48" s="4">
        <f t="shared" si="23"/>
        <v>0</v>
      </c>
      <c r="BU48" s="4">
        <f t="shared" si="23"/>
        <v>0</v>
      </c>
      <c r="BV48" s="4">
        <f t="shared" si="23"/>
        <v>0</v>
      </c>
      <c r="BW48" s="4">
        <f t="shared" si="23"/>
        <v>0</v>
      </c>
    </row>
    <row r="49" spans="1:75" ht="15" customHeight="1">
      <c r="A49" s="55">
        <v>46</v>
      </c>
      <c r="B49" s="66" t="s">
        <v>332</v>
      </c>
      <c r="C49" s="55">
        <v>28</v>
      </c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508"/>
      <c r="Q49" s="508"/>
      <c r="R49" s="508"/>
      <c r="S49" s="508"/>
      <c r="T49" s="508"/>
      <c r="U49" s="508"/>
      <c r="V49" s="508"/>
      <c r="W49" s="508"/>
      <c r="X49" s="508"/>
      <c r="Y49" s="508"/>
      <c r="Z49" s="508"/>
      <c r="AA49" s="508"/>
      <c r="AB49" s="508"/>
      <c r="AC49" s="508"/>
      <c r="AD49" s="508"/>
      <c r="AE49" s="508"/>
      <c r="AF49" s="508"/>
      <c r="AG49" s="508"/>
      <c r="AH49" s="508"/>
      <c r="AI49" s="508"/>
      <c r="AJ49" s="508"/>
      <c r="AK49" s="508"/>
      <c r="AL49" s="508"/>
      <c r="AM49" s="508"/>
      <c r="AN49" s="508">
        <v>55000000</v>
      </c>
      <c r="AO49" s="508">
        <v>55000000</v>
      </c>
      <c r="AP49" s="508">
        <v>55000000</v>
      </c>
      <c r="AQ49" s="508">
        <v>55000000</v>
      </c>
      <c r="AR49" s="508">
        <v>55000000</v>
      </c>
      <c r="AS49" s="508">
        <v>55000000</v>
      </c>
      <c r="AT49" s="508">
        <v>55000000</v>
      </c>
      <c r="AU49" s="508">
        <v>55000000</v>
      </c>
      <c r="AV49" s="508">
        <v>55000000</v>
      </c>
      <c r="AW49" s="508">
        <v>55000000</v>
      </c>
      <c r="AX49" s="508">
        <v>25509545455</v>
      </c>
      <c r="AY49" s="508">
        <v>25509545455</v>
      </c>
      <c r="AZ49" s="508">
        <v>25454545455</v>
      </c>
      <c r="BA49" s="508">
        <v>25454545455</v>
      </c>
      <c r="BB49" s="508">
        <v>25454545455</v>
      </c>
      <c r="BC49" s="508">
        <v>25454545455</v>
      </c>
      <c r="BD49" s="508">
        <v>25454545455</v>
      </c>
      <c r="BE49" s="508">
        <v>25454545455</v>
      </c>
      <c r="BF49" s="508">
        <v>25454545455</v>
      </c>
      <c r="BG49" s="508">
        <v>25454545455</v>
      </c>
      <c r="BH49" s="508">
        <v>25454545455</v>
      </c>
      <c r="BI49" s="508">
        <v>25454545455</v>
      </c>
      <c r="BJ49" s="508">
        <v>25454545455</v>
      </c>
      <c r="BK49" s="508">
        <v>25454545455</v>
      </c>
      <c r="BL49" s="508">
        <v>24160519140</v>
      </c>
      <c r="BM49" s="508">
        <v>24160519140</v>
      </c>
      <c r="BN49" s="508">
        <v>24160519140</v>
      </c>
      <c r="BO49" s="508">
        <v>24160519140</v>
      </c>
      <c r="BP49" s="508">
        <v>24160519140</v>
      </c>
      <c r="BQ49" s="508">
        <v>24160519140</v>
      </c>
      <c r="BR49" s="508"/>
      <c r="BS49" s="508"/>
      <c r="BT49" s="508"/>
      <c r="BU49" s="508"/>
      <c r="BV49" s="508"/>
      <c r="BW49" s="508"/>
    </row>
    <row r="50" spans="1:75" ht="15" customHeight="1">
      <c r="A50" s="55">
        <v>47</v>
      </c>
      <c r="B50" s="66" t="s">
        <v>333</v>
      </c>
      <c r="C50" s="55">
        <v>28</v>
      </c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>
        <v>-33456416</v>
      </c>
      <c r="AO50" s="508">
        <v>-34652068</v>
      </c>
      <c r="AP50" s="508">
        <v>-35847720</v>
      </c>
      <c r="AQ50" s="508">
        <v>-37043372</v>
      </c>
      <c r="AR50" s="508">
        <v>-38239024</v>
      </c>
      <c r="AS50" s="508">
        <v>-39434676</v>
      </c>
      <c r="AT50" s="508">
        <v>-40630328</v>
      </c>
      <c r="AU50" s="508">
        <v>-41825980</v>
      </c>
      <c r="AV50" s="508">
        <v>-43021632</v>
      </c>
      <c r="AW50" s="508">
        <v>-44217284</v>
      </c>
      <c r="AX50" s="508">
        <v>-45412936</v>
      </c>
      <c r="AY50" s="508">
        <v>-580263728</v>
      </c>
      <c r="AZ50" s="508">
        <v>-1067310280</v>
      </c>
      <c r="BA50" s="508">
        <v>-1600965427</v>
      </c>
      <c r="BB50" s="508">
        <v>-2134620569</v>
      </c>
      <c r="BC50" s="508">
        <v>-2668275712</v>
      </c>
      <c r="BD50" s="508">
        <v>-3201930856</v>
      </c>
      <c r="BE50" s="508">
        <v>-3735586000</v>
      </c>
      <c r="BF50" s="508">
        <v>-4269241141</v>
      </c>
      <c r="BG50" s="508">
        <v>-4802896284</v>
      </c>
      <c r="BH50" s="508">
        <v>-5336551425</v>
      </c>
      <c r="BI50" s="508">
        <v>-5870206567</v>
      </c>
      <c r="BJ50" s="508">
        <v>-6403861711</v>
      </c>
      <c r="BK50" s="508">
        <v>-6937516854</v>
      </c>
      <c r="BL50" s="508">
        <v>-6475633112</v>
      </c>
      <c r="BM50" s="508">
        <v>-6610118399</v>
      </c>
      <c r="BN50" s="508">
        <v>-6744603693</v>
      </c>
      <c r="BO50" s="508">
        <v>-6879088989</v>
      </c>
      <c r="BP50" s="508">
        <v>-7013574276</v>
      </c>
      <c r="BQ50" s="508">
        <v>-7148059567</v>
      </c>
      <c r="BR50" s="508"/>
      <c r="BS50" s="508"/>
      <c r="BT50" s="508"/>
      <c r="BU50" s="508"/>
      <c r="BV50" s="508"/>
      <c r="BW50" s="508"/>
    </row>
    <row r="51" spans="1:75" ht="15" customHeight="1">
      <c r="A51" s="59">
        <v>48</v>
      </c>
      <c r="B51" s="65" t="s">
        <v>79</v>
      </c>
      <c r="C51" s="59">
        <v>28</v>
      </c>
      <c r="D51" s="3">
        <f t="shared" ref="D51:AY51" si="24">SUM(D52:D53)</f>
        <v>0</v>
      </c>
      <c r="E51" s="3">
        <f t="shared" si="24"/>
        <v>0</v>
      </c>
      <c r="F51" s="3">
        <f t="shared" si="24"/>
        <v>0</v>
      </c>
      <c r="G51" s="3">
        <f t="shared" si="24"/>
        <v>0</v>
      </c>
      <c r="H51" s="3">
        <f t="shared" si="24"/>
        <v>0</v>
      </c>
      <c r="I51" s="3">
        <f t="shared" si="24"/>
        <v>0</v>
      </c>
      <c r="J51" s="3">
        <f t="shared" si="24"/>
        <v>0</v>
      </c>
      <c r="K51" s="3">
        <f t="shared" si="24"/>
        <v>0</v>
      </c>
      <c r="L51" s="3">
        <f t="shared" si="24"/>
        <v>0</v>
      </c>
      <c r="M51" s="3">
        <f t="shared" si="24"/>
        <v>0</v>
      </c>
      <c r="N51" s="3">
        <f t="shared" si="24"/>
        <v>0</v>
      </c>
      <c r="O51" s="3">
        <f t="shared" si="24"/>
        <v>0</v>
      </c>
      <c r="P51" s="3">
        <f t="shared" si="24"/>
        <v>0</v>
      </c>
      <c r="Q51" s="3">
        <f t="shared" si="24"/>
        <v>0</v>
      </c>
      <c r="R51" s="3">
        <f t="shared" si="24"/>
        <v>0</v>
      </c>
      <c r="S51" s="3">
        <f t="shared" si="24"/>
        <v>0</v>
      </c>
      <c r="T51" s="3">
        <f t="shared" si="24"/>
        <v>0</v>
      </c>
      <c r="U51" s="3">
        <f t="shared" si="24"/>
        <v>0</v>
      </c>
      <c r="V51" s="3">
        <f t="shared" si="24"/>
        <v>0</v>
      </c>
      <c r="W51" s="3">
        <f t="shared" si="24"/>
        <v>0</v>
      </c>
      <c r="X51" s="3">
        <f t="shared" si="24"/>
        <v>0</v>
      </c>
      <c r="Y51" s="3">
        <f t="shared" si="24"/>
        <v>0</v>
      </c>
      <c r="Z51" s="3">
        <f t="shared" si="24"/>
        <v>0</v>
      </c>
      <c r="AA51" s="3">
        <f t="shared" si="24"/>
        <v>0</v>
      </c>
      <c r="AB51" s="3">
        <f t="shared" si="24"/>
        <v>0</v>
      </c>
      <c r="AC51" s="3">
        <f t="shared" si="24"/>
        <v>0</v>
      </c>
      <c r="AD51" s="3">
        <f t="shared" si="24"/>
        <v>0</v>
      </c>
      <c r="AE51" s="3">
        <f t="shared" si="24"/>
        <v>0</v>
      </c>
      <c r="AF51" s="3">
        <f t="shared" si="24"/>
        <v>0</v>
      </c>
      <c r="AG51" s="3">
        <f t="shared" si="24"/>
        <v>0</v>
      </c>
      <c r="AH51" s="3">
        <f t="shared" si="24"/>
        <v>0</v>
      </c>
      <c r="AI51" s="3">
        <f t="shared" si="24"/>
        <v>0</v>
      </c>
      <c r="AJ51" s="3">
        <f t="shared" si="24"/>
        <v>0</v>
      </c>
      <c r="AK51" s="3">
        <f t="shared" si="24"/>
        <v>0</v>
      </c>
      <c r="AL51" s="3">
        <f t="shared" si="24"/>
        <v>0</v>
      </c>
      <c r="AM51" s="3">
        <f t="shared" si="24"/>
        <v>0</v>
      </c>
      <c r="AN51" s="3">
        <f t="shared" si="24"/>
        <v>1947932752</v>
      </c>
      <c r="AO51" s="3">
        <f t="shared" si="24"/>
        <v>1906963603</v>
      </c>
      <c r="AP51" s="3">
        <f t="shared" si="24"/>
        <v>2297294492</v>
      </c>
      <c r="AQ51" s="3">
        <f t="shared" si="24"/>
        <v>2244344786</v>
      </c>
      <c r="AR51" s="3">
        <f t="shared" si="24"/>
        <v>2191395080</v>
      </c>
      <c r="AS51" s="3">
        <f t="shared" si="24"/>
        <v>2138445371</v>
      </c>
      <c r="AT51" s="3">
        <f t="shared" si="24"/>
        <v>2085495665</v>
      </c>
      <c r="AU51" s="3">
        <f t="shared" si="24"/>
        <v>2032545960</v>
      </c>
      <c r="AV51" s="3">
        <f t="shared" si="24"/>
        <v>1979596253</v>
      </c>
      <c r="AW51" s="3">
        <f t="shared" si="24"/>
        <v>1926646546</v>
      </c>
      <c r="AX51" s="3">
        <f t="shared" si="24"/>
        <v>1873696841</v>
      </c>
      <c r="AY51" s="4">
        <f t="shared" si="24"/>
        <v>2349870034</v>
      </c>
      <c r="AZ51" s="4">
        <v>2289418229</v>
      </c>
      <c r="BA51" s="4">
        <v>2220575013</v>
      </c>
      <c r="BB51" s="4">
        <v>2639342579</v>
      </c>
      <c r="BC51" s="4">
        <v>2556954617</v>
      </c>
      <c r="BD51" s="4">
        <v>2474566657</v>
      </c>
      <c r="BE51" s="4">
        <v>2392178695</v>
      </c>
      <c r="BF51" s="4">
        <v>2309790736</v>
      </c>
      <c r="BG51" s="4">
        <v>2228576580</v>
      </c>
      <c r="BH51" s="4">
        <v>4087339407</v>
      </c>
      <c r="BI51" s="4">
        <v>3967222986</v>
      </c>
      <c r="BJ51" s="4">
        <v>3847106565</v>
      </c>
      <c r="BK51" s="4">
        <v>3726990144</v>
      </c>
      <c r="BL51" s="4">
        <v>3674399754</v>
      </c>
      <c r="BM51" s="4">
        <v>3876132279</v>
      </c>
      <c r="BN51" s="4">
        <v>4075187722</v>
      </c>
      <c r="BO51" s="4">
        <v>4017243162</v>
      </c>
      <c r="BP51" s="4">
        <v>3959298605</v>
      </c>
      <c r="BQ51" s="4">
        <v>3901354047</v>
      </c>
      <c r="BR51" s="4">
        <f t="shared" ref="BR51:BW51" si="25">SUM(BR52:BR53)</f>
        <v>0</v>
      </c>
      <c r="BS51" s="4">
        <f t="shared" si="25"/>
        <v>0</v>
      </c>
      <c r="BT51" s="4">
        <f t="shared" si="25"/>
        <v>0</v>
      </c>
      <c r="BU51" s="4">
        <f t="shared" si="25"/>
        <v>0</v>
      </c>
      <c r="BV51" s="4">
        <f t="shared" si="25"/>
        <v>0</v>
      </c>
      <c r="BW51" s="4">
        <f t="shared" si="25"/>
        <v>0</v>
      </c>
    </row>
    <row r="52" spans="1:75" ht="15" customHeight="1">
      <c r="A52" s="55">
        <v>49</v>
      </c>
      <c r="B52" s="66" t="s">
        <v>334</v>
      </c>
      <c r="C52" s="55">
        <v>28</v>
      </c>
      <c r="D52" s="508"/>
      <c r="E52" s="508"/>
      <c r="F52" s="508"/>
      <c r="G52" s="508"/>
      <c r="H52" s="508"/>
      <c r="I52" s="508"/>
      <c r="J52" s="508"/>
      <c r="K52" s="508"/>
      <c r="L52" s="508"/>
      <c r="M52" s="508"/>
      <c r="N52" s="508"/>
      <c r="O52" s="508"/>
      <c r="P52" s="508"/>
      <c r="Q52" s="508"/>
      <c r="R52" s="508"/>
      <c r="S52" s="508"/>
      <c r="T52" s="508"/>
      <c r="U52" s="508"/>
      <c r="V52" s="508"/>
      <c r="W52" s="508"/>
      <c r="X52" s="508"/>
      <c r="Y52" s="508"/>
      <c r="Z52" s="508"/>
      <c r="AA52" s="508"/>
      <c r="AB52" s="508"/>
      <c r="AC52" s="508"/>
      <c r="AD52" s="508"/>
      <c r="AE52" s="508"/>
      <c r="AF52" s="508"/>
      <c r="AG52" s="508"/>
      <c r="AH52" s="508"/>
      <c r="AI52" s="508"/>
      <c r="AJ52" s="508"/>
      <c r="AK52" s="508"/>
      <c r="AL52" s="508"/>
      <c r="AM52" s="508"/>
      <c r="AN52" s="508">
        <v>3076542391</v>
      </c>
      <c r="AO52" s="508">
        <v>3076542391</v>
      </c>
      <c r="AP52" s="508">
        <v>3507842430</v>
      </c>
      <c r="AQ52" s="508">
        <v>3507842430</v>
      </c>
      <c r="AR52" s="508">
        <v>3507842430</v>
      </c>
      <c r="AS52" s="508">
        <v>3507842430</v>
      </c>
      <c r="AT52" s="508">
        <v>3507842430</v>
      </c>
      <c r="AU52" s="508">
        <v>3507842430</v>
      </c>
      <c r="AV52" s="508">
        <v>3507842430</v>
      </c>
      <c r="AW52" s="508">
        <v>3507842430</v>
      </c>
      <c r="AX52" s="508">
        <v>3507842430</v>
      </c>
      <c r="AY52" s="508">
        <v>4036965329</v>
      </c>
      <c r="AZ52" s="508">
        <v>4091965329</v>
      </c>
      <c r="BA52" s="508">
        <v>4091965329</v>
      </c>
      <c r="BB52" s="508">
        <v>4579576112</v>
      </c>
      <c r="BC52" s="508">
        <v>4579576112</v>
      </c>
      <c r="BD52" s="508">
        <v>4579576112</v>
      </c>
      <c r="BE52" s="508">
        <v>4579576112</v>
      </c>
      <c r="BF52" s="508">
        <v>4579576112</v>
      </c>
      <c r="BG52" s="508">
        <v>4579576112</v>
      </c>
      <c r="BH52" s="508">
        <v>6518070070</v>
      </c>
      <c r="BI52" s="508">
        <v>6518070070</v>
      </c>
      <c r="BJ52" s="508">
        <v>6518070070</v>
      </c>
      <c r="BK52" s="508">
        <v>6518070070</v>
      </c>
      <c r="BL52" s="508">
        <v>6518070070</v>
      </c>
      <c r="BM52" s="508">
        <v>6775070070</v>
      </c>
      <c r="BN52" s="508">
        <v>7032070070</v>
      </c>
      <c r="BO52" s="508">
        <v>7032070070</v>
      </c>
      <c r="BP52" s="508">
        <v>7032070070</v>
      </c>
      <c r="BQ52" s="508">
        <v>7032070070</v>
      </c>
      <c r="BR52" s="508"/>
      <c r="BS52" s="508"/>
      <c r="BT52" s="508"/>
      <c r="BU52" s="508"/>
      <c r="BV52" s="508"/>
      <c r="BW52" s="508"/>
    </row>
    <row r="53" spans="1:75" ht="15" customHeight="1">
      <c r="A53" s="55">
        <v>50</v>
      </c>
      <c r="B53" s="66" t="s">
        <v>335</v>
      </c>
      <c r="C53" s="55">
        <v>28</v>
      </c>
      <c r="D53" s="508"/>
      <c r="E53" s="508"/>
      <c r="F53" s="508"/>
      <c r="G53" s="508"/>
      <c r="H53" s="508"/>
      <c r="I53" s="508"/>
      <c r="J53" s="508"/>
      <c r="K53" s="508"/>
      <c r="L53" s="508"/>
      <c r="M53" s="508"/>
      <c r="N53" s="508"/>
      <c r="O53" s="508"/>
      <c r="P53" s="508"/>
      <c r="Q53" s="508"/>
      <c r="R53" s="508"/>
      <c r="S53" s="508"/>
      <c r="T53" s="508"/>
      <c r="U53" s="508"/>
      <c r="V53" s="508"/>
      <c r="W53" s="508"/>
      <c r="X53" s="508"/>
      <c r="Y53" s="508"/>
      <c r="Z53" s="508"/>
      <c r="AA53" s="508"/>
      <c r="AB53" s="508"/>
      <c r="AC53" s="508"/>
      <c r="AD53" s="508"/>
      <c r="AE53" s="508"/>
      <c r="AF53" s="508"/>
      <c r="AG53" s="508"/>
      <c r="AH53" s="508"/>
      <c r="AI53" s="508"/>
      <c r="AJ53" s="508"/>
      <c r="AK53" s="508"/>
      <c r="AL53" s="508"/>
      <c r="AM53" s="508"/>
      <c r="AN53" s="508">
        <v>-1128609639</v>
      </c>
      <c r="AO53" s="508">
        <v>-1169578788</v>
      </c>
      <c r="AP53" s="508">
        <v>-1210547938</v>
      </c>
      <c r="AQ53" s="508">
        <v>-1263497644</v>
      </c>
      <c r="AR53" s="508">
        <v>-1316447350</v>
      </c>
      <c r="AS53" s="508">
        <v>-1369397059</v>
      </c>
      <c r="AT53" s="508">
        <v>-1422346765</v>
      </c>
      <c r="AU53" s="508">
        <v>-1475296470</v>
      </c>
      <c r="AV53" s="508">
        <v>-1528246177</v>
      </c>
      <c r="AW53" s="508">
        <v>-1581195884</v>
      </c>
      <c r="AX53" s="508">
        <v>-1634145589</v>
      </c>
      <c r="AY53" s="508">
        <v>-1687095295</v>
      </c>
      <c r="AZ53" s="508">
        <v>-1802547100</v>
      </c>
      <c r="BA53" s="508">
        <v>-1871390316</v>
      </c>
      <c r="BB53" s="508">
        <v>-1940233533</v>
      </c>
      <c r="BC53" s="508">
        <v>-2022621495</v>
      </c>
      <c r="BD53" s="508">
        <v>-2105009455</v>
      </c>
      <c r="BE53" s="508">
        <v>-2187397417</v>
      </c>
      <c r="BF53" s="508">
        <v>-2269785376</v>
      </c>
      <c r="BG53" s="508">
        <v>-2350999532</v>
      </c>
      <c r="BH53" s="508">
        <v>-2430730663</v>
      </c>
      <c r="BI53" s="508">
        <v>-2550847084</v>
      </c>
      <c r="BJ53" s="508">
        <v>-2670963505</v>
      </c>
      <c r="BK53" s="508">
        <v>-2791079926</v>
      </c>
      <c r="BL53" s="508">
        <v>-2843670316</v>
      </c>
      <c r="BM53" s="508">
        <v>-2898937791</v>
      </c>
      <c r="BN53" s="508">
        <v>-2956882348</v>
      </c>
      <c r="BO53" s="508">
        <v>-3014826908</v>
      </c>
      <c r="BP53" s="508">
        <v>-3072771465</v>
      </c>
      <c r="BQ53" s="508">
        <v>-3130716023</v>
      </c>
      <c r="BR53" s="508"/>
      <c r="BS53" s="508"/>
      <c r="BT53" s="508"/>
      <c r="BU53" s="508"/>
      <c r="BV53" s="508"/>
      <c r="BW53" s="508"/>
    </row>
    <row r="54" spans="1:75" ht="15" customHeight="1">
      <c r="A54" s="59">
        <v>51</v>
      </c>
      <c r="B54" s="64" t="s">
        <v>336</v>
      </c>
      <c r="C54" s="59">
        <v>28</v>
      </c>
      <c r="D54" s="508">
        <f t="shared" ref="D54:AY54" si="26">SUM(D55,D60:D62)</f>
        <v>0</v>
      </c>
      <c r="E54" s="508">
        <f t="shared" si="26"/>
        <v>0</v>
      </c>
      <c r="F54" s="508">
        <f t="shared" si="26"/>
        <v>0</v>
      </c>
      <c r="G54" s="508">
        <f t="shared" si="26"/>
        <v>0</v>
      </c>
      <c r="H54" s="508">
        <f t="shared" si="26"/>
        <v>0</v>
      </c>
      <c r="I54" s="508">
        <f t="shared" si="26"/>
        <v>0</v>
      </c>
      <c r="J54" s="508">
        <f t="shared" si="26"/>
        <v>0</v>
      </c>
      <c r="K54" s="508">
        <f t="shared" si="26"/>
        <v>0</v>
      </c>
      <c r="L54" s="508">
        <f t="shared" si="26"/>
        <v>0</v>
      </c>
      <c r="M54" s="508">
        <f t="shared" si="26"/>
        <v>0</v>
      </c>
      <c r="N54" s="508">
        <f t="shared" si="26"/>
        <v>0</v>
      </c>
      <c r="O54" s="508">
        <f t="shared" si="26"/>
        <v>0</v>
      </c>
      <c r="P54" s="508">
        <f t="shared" si="26"/>
        <v>0</v>
      </c>
      <c r="Q54" s="508">
        <f t="shared" si="26"/>
        <v>0</v>
      </c>
      <c r="R54" s="508">
        <f t="shared" si="26"/>
        <v>0</v>
      </c>
      <c r="S54" s="508">
        <f t="shared" si="26"/>
        <v>0</v>
      </c>
      <c r="T54" s="508">
        <f t="shared" si="26"/>
        <v>0</v>
      </c>
      <c r="U54" s="508">
        <f t="shared" si="26"/>
        <v>0</v>
      </c>
      <c r="V54" s="508">
        <f t="shared" si="26"/>
        <v>0</v>
      </c>
      <c r="W54" s="508">
        <f t="shared" si="26"/>
        <v>0</v>
      </c>
      <c r="X54" s="508">
        <f t="shared" si="26"/>
        <v>0</v>
      </c>
      <c r="Y54" s="508">
        <f t="shared" si="26"/>
        <v>0</v>
      </c>
      <c r="Z54" s="508">
        <f t="shared" si="26"/>
        <v>0</v>
      </c>
      <c r="AA54" s="508">
        <f t="shared" si="26"/>
        <v>0</v>
      </c>
      <c r="AB54" s="508">
        <f t="shared" si="26"/>
        <v>0</v>
      </c>
      <c r="AC54" s="508">
        <f t="shared" si="26"/>
        <v>0</v>
      </c>
      <c r="AD54" s="508">
        <f t="shared" si="26"/>
        <v>0</v>
      </c>
      <c r="AE54" s="508">
        <f t="shared" si="26"/>
        <v>0</v>
      </c>
      <c r="AF54" s="508">
        <f t="shared" si="26"/>
        <v>0</v>
      </c>
      <c r="AG54" s="508">
        <f t="shared" si="26"/>
        <v>0</v>
      </c>
      <c r="AH54" s="508">
        <f t="shared" si="26"/>
        <v>0</v>
      </c>
      <c r="AI54" s="508">
        <f t="shared" si="26"/>
        <v>0</v>
      </c>
      <c r="AJ54" s="508">
        <f t="shared" si="26"/>
        <v>0</v>
      </c>
      <c r="AK54" s="508">
        <f t="shared" si="26"/>
        <v>0</v>
      </c>
      <c r="AL54" s="508">
        <f t="shared" si="26"/>
        <v>0</v>
      </c>
      <c r="AM54" s="508">
        <f t="shared" si="26"/>
        <v>0</v>
      </c>
      <c r="AN54" s="508">
        <f t="shared" si="26"/>
        <v>0</v>
      </c>
      <c r="AO54" s="508">
        <f t="shared" si="26"/>
        <v>0</v>
      </c>
      <c r="AP54" s="508">
        <f t="shared" si="26"/>
        <v>0</v>
      </c>
      <c r="AQ54" s="508">
        <f t="shared" si="26"/>
        <v>0</v>
      </c>
      <c r="AR54" s="508">
        <f t="shared" si="26"/>
        <v>0</v>
      </c>
      <c r="AS54" s="508">
        <f t="shared" si="26"/>
        <v>0</v>
      </c>
      <c r="AT54" s="508">
        <f t="shared" si="26"/>
        <v>0</v>
      </c>
      <c r="AU54" s="508">
        <f t="shared" si="26"/>
        <v>0</v>
      </c>
      <c r="AV54" s="508">
        <f t="shared" si="26"/>
        <v>0</v>
      </c>
      <c r="AW54" s="508">
        <f t="shared" si="26"/>
        <v>0</v>
      </c>
      <c r="AX54" s="508">
        <f t="shared" si="26"/>
        <v>0</v>
      </c>
      <c r="AY54" s="508">
        <f t="shared" si="26"/>
        <v>0</v>
      </c>
      <c r="AZ54" s="508">
        <v>0</v>
      </c>
      <c r="BA54" s="508">
        <v>0</v>
      </c>
      <c r="BB54" s="508">
        <v>0</v>
      </c>
      <c r="BC54" s="508">
        <v>0</v>
      </c>
      <c r="BD54" s="508">
        <v>0</v>
      </c>
      <c r="BE54" s="508">
        <v>0</v>
      </c>
      <c r="BF54" s="508">
        <v>0</v>
      </c>
      <c r="BG54" s="508">
        <v>0</v>
      </c>
      <c r="BH54" s="508">
        <v>0</v>
      </c>
      <c r="BI54" s="508">
        <v>0</v>
      </c>
      <c r="BJ54" s="508">
        <v>0</v>
      </c>
      <c r="BK54" s="508">
        <v>0</v>
      </c>
      <c r="BL54" s="508">
        <v>0</v>
      </c>
      <c r="BM54" s="508">
        <v>0</v>
      </c>
      <c r="BN54" s="508">
        <v>0</v>
      </c>
      <c r="BO54" s="508">
        <v>0</v>
      </c>
      <c r="BP54" s="508">
        <v>0</v>
      </c>
      <c r="BQ54" s="508">
        <v>0</v>
      </c>
      <c r="BR54" s="508">
        <f t="shared" ref="BR54:BW54" si="27">SUM(BR55,BR60:BR62)</f>
        <v>0</v>
      </c>
      <c r="BS54" s="508">
        <f t="shared" si="27"/>
        <v>0</v>
      </c>
      <c r="BT54" s="508">
        <f t="shared" si="27"/>
        <v>0</v>
      </c>
      <c r="BU54" s="508">
        <f t="shared" si="27"/>
        <v>0</v>
      </c>
      <c r="BV54" s="508">
        <f t="shared" si="27"/>
        <v>0</v>
      </c>
      <c r="BW54" s="508">
        <f t="shared" si="27"/>
        <v>0</v>
      </c>
    </row>
    <row r="55" spans="1:75" ht="15" customHeight="1">
      <c r="A55" s="55">
        <v>52</v>
      </c>
      <c r="B55" s="67" t="s">
        <v>81</v>
      </c>
      <c r="C55" s="55">
        <v>28</v>
      </c>
      <c r="D55" s="508">
        <f t="shared" ref="D55:AY55" si="28">SUM(D56:D57)</f>
        <v>0</v>
      </c>
      <c r="E55" s="508">
        <f t="shared" si="28"/>
        <v>0</v>
      </c>
      <c r="F55" s="508">
        <f t="shared" si="28"/>
        <v>0</v>
      </c>
      <c r="G55" s="508">
        <f t="shared" si="28"/>
        <v>0</v>
      </c>
      <c r="H55" s="508">
        <f t="shared" si="28"/>
        <v>0</v>
      </c>
      <c r="I55" s="508">
        <f t="shared" si="28"/>
        <v>0</v>
      </c>
      <c r="J55" s="508">
        <f t="shared" si="28"/>
        <v>0</v>
      </c>
      <c r="K55" s="508">
        <f t="shared" si="28"/>
        <v>0</v>
      </c>
      <c r="L55" s="508">
        <f t="shared" si="28"/>
        <v>0</v>
      </c>
      <c r="M55" s="508">
        <f t="shared" si="28"/>
        <v>0</v>
      </c>
      <c r="N55" s="508">
        <f t="shared" si="28"/>
        <v>0</v>
      </c>
      <c r="O55" s="508">
        <f t="shared" si="28"/>
        <v>0</v>
      </c>
      <c r="P55" s="508">
        <f t="shared" si="28"/>
        <v>0</v>
      </c>
      <c r="Q55" s="508">
        <f t="shared" si="28"/>
        <v>0</v>
      </c>
      <c r="R55" s="508">
        <f t="shared" si="28"/>
        <v>0</v>
      </c>
      <c r="S55" s="508">
        <f t="shared" si="28"/>
        <v>0</v>
      </c>
      <c r="T55" s="508">
        <f t="shared" si="28"/>
        <v>0</v>
      </c>
      <c r="U55" s="508">
        <f t="shared" si="28"/>
        <v>0</v>
      </c>
      <c r="V55" s="508">
        <f t="shared" si="28"/>
        <v>0</v>
      </c>
      <c r="W55" s="508">
        <f t="shared" si="28"/>
        <v>0</v>
      </c>
      <c r="X55" s="508">
        <f t="shared" si="28"/>
        <v>0</v>
      </c>
      <c r="Y55" s="508">
        <f t="shared" si="28"/>
        <v>0</v>
      </c>
      <c r="Z55" s="508">
        <f t="shared" si="28"/>
        <v>0</v>
      </c>
      <c r="AA55" s="508">
        <f t="shared" si="28"/>
        <v>0</v>
      </c>
      <c r="AB55" s="508">
        <f t="shared" si="28"/>
        <v>0</v>
      </c>
      <c r="AC55" s="508">
        <f t="shared" si="28"/>
        <v>0</v>
      </c>
      <c r="AD55" s="508">
        <f t="shared" si="28"/>
        <v>0</v>
      </c>
      <c r="AE55" s="508">
        <f t="shared" si="28"/>
        <v>0</v>
      </c>
      <c r="AF55" s="508">
        <f t="shared" si="28"/>
        <v>0</v>
      </c>
      <c r="AG55" s="508">
        <f t="shared" si="28"/>
        <v>0</v>
      </c>
      <c r="AH55" s="508">
        <f t="shared" si="28"/>
        <v>0</v>
      </c>
      <c r="AI55" s="508">
        <f t="shared" si="28"/>
        <v>0</v>
      </c>
      <c r="AJ55" s="508">
        <f t="shared" si="28"/>
        <v>0</v>
      </c>
      <c r="AK55" s="508">
        <f t="shared" si="28"/>
        <v>0</v>
      </c>
      <c r="AL55" s="508">
        <f t="shared" si="28"/>
        <v>0</v>
      </c>
      <c r="AM55" s="508">
        <f t="shared" si="28"/>
        <v>0</v>
      </c>
      <c r="AN55" s="508">
        <f t="shared" si="28"/>
        <v>0</v>
      </c>
      <c r="AO55" s="508">
        <f t="shared" si="28"/>
        <v>0</v>
      </c>
      <c r="AP55" s="508">
        <f t="shared" si="28"/>
        <v>0</v>
      </c>
      <c r="AQ55" s="508">
        <f t="shared" si="28"/>
        <v>0</v>
      </c>
      <c r="AR55" s="508">
        <f t="shared" si="28"/>
        <v>0</v>
      </c>
      <c r="AS55" s="508">
        <f t="shared" si="28"/>
        <v>0</v>
      </c>
      <c r="AT55" s="508">
        <f t="shared" si="28"/>
        <v>0</v>
      </c>
      <c r="AU55" s="508">
        <f t="shared" si="28"/>
        <v>0</v>
      </c>
      <c r="AV55" s="508">
        <f t="shared" si="28"/>
        <v>0</v>
      </c>
      <c r="AW55" s="508">
        <f t="shared" si="28"/>
        <v>0</v>
      </c>
      <c r="AX55" s="508">
        <f t="shared" si="28"/>
        <v>0</v>
      </c>
      <c r="AY55" s="508">
        <f t="shared" si="28"/>
        <v>0</v>
      </c>
      <c r="AZ55" s="508">
        <v>0</v>
      </c>
      <c r="BA55" s="508">
        <v>0</v>
      </c>
      <c r="BB55" s="508">
        <v>0</v>
      </c>
      <c r="BC55" s="508">
        <v>0</v>
      </c>
      <c r="BD55" s="508">
        <v>0</v>
      </c>
      <c r="BE55" s="508">
        <v>0</v>
      </c>
      <c r="BF55" s="508">
        <v>0</v>
      </c>
      <c r="BG55" s="508">
        <v>0</v>
      </c>
      <c r="BH55" s="508">
        <v>0</v>
      </c>
      <c r="BI55" s="508">
        <v>0</v>
      </c>
      <c r="BJ55" s="508">
        <v>0</v>
      </c>
      <c r="BK55" s="508">
        <v>0</v>
      </c>
      <c r="BL55" s="508">
        <v>0</v>
      </c>
      <c r="BM55" s="508">
        <v>0</v>
      </c>
      <c r="BN55" s="508">
        <v>0</v>
      </c>
      <c r="BO55" s="508">
        <v>0</v>
      </c>
      <c r="BP55" s="508">
        <v>0</v>
      </c>
      <c r="BQ55" s="508">
        <v>0</v>
      </c>
      <c r="BR55" s="508">
        <f t="shared" ref="BR55:BW55" si="29">SUM(BR56:BR57)</f>
        <v>0</v>
      </c>
      <c r="BS55" s="508">
        <f t="shared" si="29"/>
        <v>0</v>
      </c>
      <c r="BT55" s="508">
        <f t="shared" si="29"/>
        <v>0</v>
      </c>
      <c r="BU55" s="508">
        <f t="shared" si="29"/>
        <v>0</v>
      </c>
      <c r="BV55" s="508">
        <f t="shared" si="29"/>
        <v>0</v>
      </c>
      <c r="BW55" s="508">
        <f t="shared" si="29"/>
        <v>0</v>
      </c>
    </row>
    <row r="56" spans="1:75" ht="15" customHeight="1">
      <c r="A56" s="55">
        <v>53</v>
      </c>
      <c r="B56" s="66" t="s">
        <v>82</v>
      </c>
      <c r="C56" s="55">
        <v>28</v>
      </c>
      <c r="D56" s="508"/>
      <c r="E56" s="508"/>
      <c r="F56" s="508"/>
      <c r="G56" s="508"/>
      <c r="H56" s="508"/>
      <c r="I56" s="508"/>
      <c r="J56" s="508"/>
      <c r="K56" s="508"/>
      <c r="L56" s="508"/>
      <c r="M56" s="508"/>
      <c r="N56" s="508"/>
      <c r="O56" s="508"/>
      <c r="P56" s="508"/>
      <c r="Q56" s="508"/>
      <c r="R56" s="508"/>
      <c r="S56" s="508"/>
      <c r="T56" s="508"/>
      <c r="U56" s="508"/>
      <c r="V56" s="508"/>
      <c r="W56" s="508"/>
      <c r="X56" s="508"/>
      <c r="Y56" s="508"/>
      <c r="Z56" s="508"/>
      <c r="AA56" s="508"/>
      <c r="AB56" s="508"/>
      <c r="AC56" s="508"/>
      <c r="AD56" s="508"/>
      <c r="AE56" s="508"/>
      <c r="AF56" s="508"/>
      <c r="AG56" s="508"/>
      <c r="AH56" s="508"/>
      <c r="AI56" s="508"/>
      <c r="AJ56" s="508"/>
      <c r="AK56" s="508"/>
      <c r="AL56" s="508"/>
      <c r="AM56" s="508"/>
      <c r="AN56" s="508"/>
      <c r="AO56" s="508"/>
      <c r="AP56" s="508"/>
      <c r="AQ56" s="508"/>
      <c r="AR56" s="508"/>
      <c r="AS56" s="508"/>
      <c r="AT56" s="508"/>
      <c r="AU56" s="508"/>
      <c r="AV56" s="508"/>
      <c r="AW56" s="508"/>
      <c r="AX56" s="508"/>
      <c r="AY56" s="508"/>
      <c r="AZ56" s="508">
        <v>0</v>
      </c>
      <c r="BA56" s="508">
        <v>0</v>
      </c>
      <c r="BB56" s="508">
        <v>0</v>
      </c>
      <c r="BC56" s="508">
        <v>0</v>
      </c>
      <c r="BD56" s="508">
        <v>0</v>
      </c>
      <c r="BE56" s="508">
        <v>0</v>
      </c>
      <c r="BF56" s="508">
        <v>0</v>
      </c>
      <c r="BG56" s="508">
        <v>0</v>
      </c>
      <c r="BH56" s="508">
        <v>0</v>
      </c>
      <c r="BI56" s="508">
        <v>0</v>
      </c>
      <c r="BJ56" s="508">
        <v>0</v>
      </c>
      <c r="BK56" s="508">
        <v>0</v>
      </c>
      <c r="BL56" s="508">
        <v>0</v>
      </c>
      <c r="BM56" s="508">
        <v>0</v>
      </c>
      <c r="BN56" s="508">
        <v>0</v>
      </c>
      <c r="BO56" s="508">
        <v>0</v>
      </c>
      <c r="BP56" s="508">
        <v>0</v>
      </c>
      <c r="BQ56" s="508">
        <v>0</v>
      </c>
      <c r="BR56" s="508"/>
      <c r="BS56" s="508"/>
      <c r="BT56" s="508"/>
      <c r="BU56" s="508"/>
      <c r="BV56" s="508"/>
      <c r="BW56" s="508"/>
    </row>
    <row r="57" spans="1:75" ht="15" customHeight="1">
      <c r="A57" s="55">
        <v>54</v>
      </c>
      <c r="B57" s="66" t="s">
        <v>83</v>
      </c>
      <c r="C57" s="55">
        <v>28</v>
      </c>
      <c r="D57" s="508">
        <f t="shared" ref="D57:AY57" si="30">SUM(D58:D59)</f>
        <v>0</v>
      </c>
      <c r="E57" s="508">
        <f t="shared" si="30"/>
        <v>0</v>
      </c>
      <c r="F57" s="508">
        <f t="shared" si="30"/>
        <v>0</v>
      </c>
      <c r="G57" s="508">
        <f t="shared" si="30"/>
        <v>0</v>
      </c>
      <c r="H57" s="508">
        <f t="shared" si="30"/>
        <v>0</v>
      </c>
      <c r="I57" s="508">
        <f t="shared" si="30"/>
        <v>0</v>
      </c>
      <c r="J57" s="508">
        <f t="shared" si="30"/>
        <v>0</v>
      </c>
      <c r="K57" s="508">
        <f t="shared" si="30"/>
        <v>0</v>
      </c>
      <c r="L57" s="508">
        <f t="shared" si="30"/>
        <v>0</v>
      </c>
      <c r="M57" s="508">
        <f t="shared" si="30"/>
        <v>0</v>
      </c>
      <c r="N57" s="508">
        <f t="shared" si="30"/>
        <v>0</v>
      </c>
      <c r="O57" s="508">
        <f t="shared" si="30"/>
        <v>0</v>
      </c>
      <c r="P57" s="508">
        <f t="shared" si="30"/>
        <v>0</v>
      </c>
      <c r="Q57" s="508">
        <f t="shared" si="30"/>
        <v>0</v>
      </c>
      <c r="R57" s="508">
        <f t="shared" si="30"/>
        <v>0</v>
      </c>
      <c r="S57" s="508">
        <f t="shared" si="30"/>
        <v>0</v>
      </c>
      <c r="T57" s="508">
        <f t="shared" si="30"/>
        <v>0</v>
      </c>
      <c r="U57" s="508">
        <f t="shared" si="30"/>
        <v>0</v>
      </c>
      <c r="V57" s="508">
        <f t="shared" si="30"/>
        <v>0</v>
      </c>
      <c r="W57" s="508">
        <f t="shared" si="30"/>
        <v>0</v>
      </c>
      <c r="X57" s="508">
        <f t="shared" si="30"/>
        <v>0</v>
      </c>
      <c r="Y57" s="508">
        <f t="shared" si="30"/>
        <v>0</v>
      </c>
      <c r="Z57" s="508">
        <f t="shared" si="30"/>
        <v>0</v>
      </c>
      <c r="AA57" s="508">
        <f t="shared" si="30"/>
        <v>0</v>
      </c>
      <c r="AB57" s="508">
        <f t="shared" si="30"/>
        <v>0</v>
      </c>
      <c r="AC57" s="508">
        <f t="shared" si="30"/>
        <v>0</v>
      </c>
      <c r="AD57" s="508">
        <f t="shared" si="30"/>
        <v>0</v>
      </c>
      <c r="AE57" s="508">
        <f t="shared" si="30"/>
        <v>0</v>
      </c>
      <c r="AF57" s="508">
        <f t="shared" si="30"/>
        <v>0</v>
      </c>
      <c r="AG57" s="508">
        <f t="shared" si="30"/>
        <v>0</v>
      </c>
      <c r="AH57" s="508">
        <f t="shared" si="30"/>
        <v>0</v>
      </c>
      <c r="AI57" s="508">
        <f t="shared" si="30"/>
        <v>0</v>
      </c>
      <c r="AJ57" s="508">
        <f t="shared" si="30"/>
        <v>0</v>
      </c>
      <c r="AK57" s="508">
        <f t="shared" si="30"/>
        <v>0</v>
      </c>
      <c r="AL57" s="508">
        <f t="shared" si="30"/>
        <v>0</v>
      </c>
      <c r="AM57" s="508">
        <f t="shared" si="30"/>
        <v>0</v>
      </c>
      <c r="AN57" s="508">
        <f t="shared" si="30"/>
        <v>0</v>
      </c>
      <c r="AO57" s="508">
        <f t="shared" si="30"/>
        <v>0</v>
      </c>
      <c r="AP57" s="508">
        <f t="shared" si="30"/>
        <v>0</v>
      </c>
      <c r="AQ57" s="508">
        <f t="shared" si="30"/>
        <v>0</v>
      </c>
      <c r="AR57" s="508">
        <f t="shared" si="30"/>
        <v>0</v>
      </c>
      <c r="AS57" s="508">
        <f t="shared" si="30"/>
        <v>0</v>
      </c>
      <c r="AT57" s="508">
        <f t="shared" si="30"/>
        <v>0</v>
      </c>
      <c r="AU57" s="508">
        <f t="shared" si="30"/>
        <v>0</v>
      </c>
      <c r="AV57" s="508">
        <f t="shared" si="30"/>
        <v>0</v>
      </c>
      <c r="AW57" s="508">
        <f t="shared" si="30"/>
        <v>0</v>
      </c>
      <c r="AX57" s="508">
        <f t="shared" si="30"/>
        <v>0</v>
      </c>
      <c r="AY57" s="508">
        <f t="shared" si="30"/>
        <v>0</v>
      </c>
      <c r="AZ57" s="508">
        <v>0</v>
      </c>
      <c r="BA57" s="508">
        <v>0</v>
      </c>
      <c r="BB57" s="508">
        <v>0</v>
      </c>
      <c r="BC57" s="508">
        <v>0</v>
      </c>
      <c r="BD57" s="508">
        <v>0</v>
      </c>
      <c r="BE57" s="508">
        <v>0</v>
      </c>
      <c r="BF57" s="508">
        <v>0</v>
      </c>
      <c r="BG57" s="508">
        <v>0</v>
      </c>
      <c r="BH57" s="508">
        <v>0</v>
      </c>
      <c r="BI57" s="508">
        <v>0</v>
      </c>
      <c r="BJ57" s="508">
        <v>0</v>
      </c>
      <c r="BK57" s="508">
        <v>0</v>
      </c>
      <c r="BL57" s="508">
        <v>0</v>
      </c>
      <c r="BM57" s="508">
        <v>0</v>
      </c>
      <c r="BN57" s="508">
        <v>0</v>
      </c>
      <c r="BO57" s="508">
        <v>0</v>
      </c>
      <c r="BP57" s="508">
        <v>0</v>
      </c>
      <c r="BQ57" s="508">
        <v>0</v>
      </c>
      <c r="BR57" s="508">
        <f t="shared" ref="BR57:BW57" si="31">SUM(BR58:BR59)</f>
        <v>0</v>
      </c>
      <c r="BS57" s="508">
        <f t="shared" si="31"/>
        <v>0</v>
      </c>
      <c r="BT57" s="508">
        <f t="shared" si="31"/>
        <v>0</v>
      </c>
      <c r="BU57" s="508">
        <f t="shared" si="31"/>
        <v>0</v>
      </c>
      <c r="BV57" s="508">
        <f t="shared" si="31"/>
        <v>0</v>
      </c>
      <c r="BW57" s="508">
        <f t="shared" si="31"/>
        <v>0</v>
      </c>
    </row>
    <row r="58" spans="1:75" ht="15" customHeight="1">
      <c r="A58" s="55">
        <v>55</v>
      </c>
      <c r="B58" s="68" t="s">
        <v>337</v>
      </c>
      <c r="C58" s="55">
        <v>28</v>
      </c>
      <c r="D58" s="508"/>
      <c r="E58" s="508"/>
      <c r="F58" s="508"/>
      <c r="G58" s="508"/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8"/>
      <c r="AB58" s="508"/>
      <c r="AC58" s="508"/>
      <c r="AD58" s="508"/>
      <c r="AE58" s="508"/>
      <c r="AF58" s="508"/>
      <c r="AG58" s="508"/>
      <c r="AH58" s="508"/>
      <c r="AI58" s="508"/>
      <c r="AJ58" s="508"/>
      <c r="AK58" s="508"/>
      <c r="AL58" s="508"/>
      <c r="AM58" s="508"/>
      <c r="AN58" s="508"/>
      <c r="AO58" s="508"/>
      <c r="AP58" s="508"/>
      <c r="AQ58" s="508"/>
      <c r="AR58" s="508"/>
      <c r="AS58" s="508"/>
      <c r="AT58" s="508"/>
      <c r="AU58" s="508"/>
      <c r="AV58" s="508"/>
      <c r="AW58" s="508"/>
      <c r="AX58" s="508"/>
      <c r="AY58" s="508"/>
      <c r="AZ58" s="508">
        <v>0</v>
      </c>
      <c r="BA58" s="508">
        <v>0</v>
      </c>
      <c r="BB58" s="508">
        <v>0</v>
      </c>
      <c r="BC58" s="508">
        <v>0</v>
      </c>
      <c r="BD58" s="508">
        <v>0</v>
      </c>
      <c r="BE58" s="508">
        <v>0</v>
      </c>
      <c r="BF58" s="508">
        <v>0</v>
      </c>
      <c r="BG58" s="508">
        <v>0</v>
      </c>
      <c r="BH58" s="508">
        <v>0</v>
      </c>
      <c r="BI58" s="508">
        <v>0</v>
      </c>
      <c r="BJ58" s="508">
        <v>0</v>
      </c>
      <c r="BK58" s="508">
        <v>0</v>
      </c>
      <c r="BL58" s="508">
        <v>0</v>
      </c>
      <c r="BM58" s="508">
        <v>0</v>
      </c>
      <c r="BN58" s="508">
        <v>0</v>
      </c>
      <c r="BO58" s="508">
        <v>0</v>
      </c>
      <c r="BP58" s="508">
        <v>0</v>
      </c>
      <c r="BQ58" s="508">
        <v>0</v>
      </c>
      <c r="BR58" s="508"/>
      <c r="BS58" s="508"/>
      <c r="BT58" s="508"/>
      <c r="BU58" s="508"/>
      <c r="BV58" s="508"/>
      <c r="BW58" s="508"/>
    </row>
    <row r="59" spans="1:75" ht="15" customHeight="1">
      <c r="A59" s="55">
        <v>56</v>
      </c>
      <c r="B59" s="68" t="s">
        <v>338</v>
      </c>
      <c r="C59" s="55">
        <v>28</v>
      </c>
      <c r="D59" s="508"/>
      <c r="E59" s="508"/>
      <c r="F59" s="508"/>
      <c r="G59" s="508"/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8"/>
      <c r="AB59" s="508"/>
      <c r="AC59" s="508"/>
      <c r="AD59" s="508"/>
      <c r="AE59" s="508"/>
      <c r="AF59" s="508"/>
      <c r="AG59" s="508"/>
      <c r="AH59" s="508"/>
      <c r="AI59" s="508"/>
      <c r="AJ59" s="508"/>
      <c r="AK59" s="508"/>
      <c r="AL59" s="508"/>
      <c r="AM59" s="508"/>
      <c r="AN59" s="508"/>
      <c r="AO59" s="508"/>
      <c r="AP59" s="508"/>
      <c r="AQ59" s="508"/>
      <c r="AR59" s="508"/>
      <c r="AS59" s="508"/>
      <c r="AT59" s="508"/>
      <c r="AU59" s="508"/>
      <c r="AV59" s="508"/>
      <c r="AW59" s="508"/>
      <c r="AX59" s="508"/>
      <c r="AY59" s="508"/>
      <c r="AZ59" s="508">
        <v>0</v>
      </c>
      <c r="BA59" s="508">
        <v>0</v>
      </c>
      <c r="BB59" s="508">
        <v>0</v>
      </c>
      <c r="BC59" s="508">
        <v>0</v>
      </c>
      <c r="BD59" s="508">
        <v>0</v>
      </c>
      <c r="BE59" s="508">
        <v>0</v>
      </c>
      <c r="BF59" s="508">
        <v>0</v>
      </c>
      <c r="BG59" s="508">
        <v>0</v>
      </c>
      <c r="BH59" s="508">
        <v>0</v>
      </c>
      <c r="BI59" s="508">
        <v>0</v>
      </c>
      <c r="BJ59" s="508">
        <v>0</v>
      </c>
      <c r="BK59" s="508">
        <v>0</v>
      </c>
      <c r="BL59" s="508">
        <v>0</v>
      </c>
      <c r="BM59" s="508">
        <v>0</v>
      </c>
      <c r="BN59" s="508">
        <v>0</v>
      </c>
      <c r="BO59" s="508">
        <v>0</v>
      </c>
      <c r="BP59" s="508">
        <v>0</v>
      </c>
      <c r="BQ59" s="508">
        <v>0</v>
      </c>
      <c r="BR59" s="508"/>
      <c r="BS59" s="508"/>
      <c r="BT59" s="508"/>
      <c r="BU59" s="508"/>
      <c r="BV59" s="508"/>
      <c r="BW59" s="508"/>
    </row>
    <row r="60" spans="1:75" ht="15" customHeight="1">
      <c r="A60" s="55">
        <v>57</v>
      </c>
      <c r="B60" s="67" t="s">
        <v>86</v>
      </c>
      <c r="C60" s="55">
        <v>28</v>
      </c>
      <c r="D60" s="508"/>
      <c r="E60" s="508"/>
      <c r="F60" s="508"/>
      <c r="G60" s="508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8"/>
      <c r="AB60" s="508"/>
      <c r="AC60" s="508"/>
      <c r="AD60" s="508"/>
      <c r="AE60" s="508"/>
      <c r="AF60" s="508"/>
      <c r="AG60" s="508"/>
      <c r="AH60" s="508"/>
      <c r="AI60" s="508"/>
      <c r="AJ60" s="508"/>
      <c r="AK60" s="508"/>
      <c r="AL60" s="508"/>
      <c r="AM60" s="508"/>
      <c r="AN60" s="508"/>
      <c r="AO60" s="508"/>
      <c r="AP60" s="508"/>
      <c r="AQ60" s="508"/>
      <c r="AR60" s="508"/>
      <c r="AS60" s="508"/>
      <c r="AT60" s="508"/>
      <c r="AU60" s="508"/>
      <c r="AV60" s="508"/>
      <c r="AW60" s="508"/>
      <c r="AX60" s="508"/>
      <c r="AY60" s="508"/>
      <c r="AZ60" s="508">
        <v>0</v>
      </c>
      <c r="BA60" s="508">
        <v>0</v>
      </c>
      <c r="BB60" s="508">
        <v>0</v>
      </c>
      <c r="BC60" s="508">
        <v>0</v>
      </c>
      <c r="BD60" s="508">
        <v>0</v>
      </c>
      <c r="BE60" s="508">
        <v>0</v>
      </c>
      <c r="BF60" s="508">
        <v>0</v>
      </c>
      <c r="BG60" s="508">
        <v>0</v>
      </c>
      <c r="BH60" s="508">
        <v>0</v>
      </c>
      <c r="BI60" s="508">
        <v>0</v>
      </c>
      <c r="BJ60" s="508">
        <v>0</v>
      </c>
      <c r="BK60" s="508">
        <v>0</v>
      </c>
      <c r="BL60" s="508">
        <v>0</v>
      </c>
      <c r="BM60" s="508">
        <v>0</v>
      </c>
      <c r="BN60" s="508">
        <v>0</v>
      </c>
      <c r="BO60" s="508">
        <v>0</v>
      </c>
      <c r="BP60" s="508">
        <v>0</v>
      </c>
      <c r="BQ60" s="508">
        <v>0</v>
      </c>
      <c r="BR60" s="508"/>
      <c r="BS60" s="508"/>
      <c r="BT60" s="508"/>
      <c r="BU60" s="508"/>
      <c r="BV60" s="508"/>
      <c r="BW60" s="508"/>
    </row>
    <row r="61" spans="1:75" ht="15" customHeight="1">
      <c r="A61" s="55">
        <v>58</v>
      </c>
      <c r="B61" s="67" t="s">
        <v>87</v>
      </c>
      <c r="C61" s="55">
        <v>28</v>
      </c>
      <c r="D61" s="508"/>
      <c r="E61" s="508"/>
      <c r="F61" s="508"/>
      <c r="G61" s="508"/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8"/>
      <c r="AB61" s="508"/>
      <c r="AC61" s="508"/>
      <c r="AD61" s="508"/>
      <c r="AE61" s="508"/>
      <c r="AF61" s="508"/>
      <c r="AG61" s="508"/>
      <c r="AH61" s="508"/>
      <c r="AI61" s="508"/>
      <c r="AJ61" s="508"/>
      <c r="AK61" s="508"/>
      <c r="AL61" s="508"/>
      <c r="AM61" s="508"/>
      <c r="AN61" s="508"/>
      <c r="AO61" s="508"/>
      <c r="AP61" s="508"/>
      <c r="AQ61" s="508"/>
      <c r="AR61" s="508"/>
      <c r="AS61" s="508"/>
      <c r="AT61" s="508"/>
      <c r="AU61" s="508"/>
      <c r="AV61" s="508"/>
      <c r="AW61" s="508"/>
      <c r="AX61" s="508"/>
      <c r="AY61" s="508"/>
      <c r="AZ61" s="508">
        <v>0</v>
      </c>
      <c r="BA61" s="508">
        <v>0</v>
      </c>
      <c r="BB61" s="508">
        <v>0</v>
      </c>
      <c r="BC61" s="508">
        <v>0</v>
      </c>
      <c r="BD61" s="508">
        <v>0</v>
      </c>
      <c r="BE61" s="508">
        <v>0</v>
      </c>
      <c r="BF61" s="508">
        <v>0</v>
      </c>
      <c r="BG61" s="508">
        <v>0</v>
      </c>
      <c r="BH61" s="508">
        <v>0</v>
      </c>
      <c r="BI61" s="508">
        <v>0</v>
      </c>
      <c r="BJ61" s="508">
        <v>0</v>
      </c>
      <c r="BK61" s="508">
        <v>0</v>
      </c>
      <c r="BL61" s="508">
        <v>0</v>
      </c>
      <c r="BM61" s="508">
        <v>0</v>
      </c>
      <c r="BN61" s="508">
        <v>0</v>
      </c>
      <c r="BO61" s="508">
        <v>0</v>
      </c>
      <c r="BP61" s="508">
        <v>0</v>
      </c>
      <c r="BQ61" s="508">
        <v>0</v>
      </c>
      <c r="BR61" s="508"/>
      <c r="BS61" s="508"/>
      <c r="BT61" s="508"/>
      <c r="BU61" s="508"/>
      <c r="BV61" s="508"/>
      <c r="BW61" s="508"/>
    </row>
    <row r="62" spans="1:75" ht="15" customHeight="1">
      <c r="A62" s="55">
        <v>59</v>
      </c>
      <c r="B62" s="67" t="s">
        <v>88</v>
      </c>
      <c r="C62" s="55">
        <v>28</v>
      </c>
      <c r="D62" s="508"/>
      <c r="E62" s="508"/>
      <c r="F62" s="508"/>
      <c r="G62" s="508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8"/>
      <c r="AB62" s="508"/>
      <c r="AC62" s="508"/>
      <c r="AD62" s="508"/>
      <c r="AE62" s="508"/>
      <c r="AF62" s="508"/>
      <c r="AG62" s="508"/>
      <c r="AH62" s="508"/>
      <c r="AI62" s="508"/>
      <c r="AJ62" s="508"/>
      <c r="AK62" s="508"/>
      <c r="AL62" s="508"/>
      <c r="AM62" s="508"/>
      <c r="AN62" s="508"/>
      <c r="AO62" s="508"/>
      <c r="AP62" s="508"/>
      <c r="AQ62" s="508"/>
      <c r="AR62" s="508"/>
      <c r="AS62" s="508"/>
      <c r="AT62" s="508"/>
      <c r="AU62" s="508"/>
      <c r="AV62" s="508"/>
      <c r="AW62" s="508"/>
      <c r="AX62" s="508"/>
      <c r="AY62" s="508"/>
      <c r="AZ62" s="508">
        <v>0</v>
      </c>
      <c r="BA62" s="508">
        <v>0</v>
      </c>
      <c r="BB62" s="508">
        <v>0</v>
      </c>
      <c r="BC62" s="508">
        <v>0</v>
      </c>
      <c r="BD62" s="508">
        <v>0</v>
      </c>
      <c r="BE62" s="508">
        <v>0</v>
      </c>
      <c r="BF62" s="508">
        <v>0</v>
      </c>
      <c r="BG62" s="508">
        <v>0</v>
      </c>
      <c r="BH62" s="508">
        <v>0</v>
      </c>
      <c r="BI62" s="508">
        <v>0</v>
      </c>
      <c r="BJ62" s="508">
        <v>0</v>
      </c>
      <c r="BK62" s="508">
        <v>0</v>
      </c>
      <c r="BL62" s="508">
        <v>0</v>
      </c>
      <c r="BM62" s="508">
        <v>0</v>
      </c>
      <c r="BN62" s="508">
        <v>0</v>
      </c>
      <c r="BO62" s="508">
        <v>0</v>
      </c>
      <c r="BP62" s="508">
        <v>0</v>
      </c>
      <c r="BQ62" s="508">
        <v>0</v>
      </c>
      <c r="BR62" s="508"/>
      <c r="BS62" s="508"/>
      <c r="BT62" s="508"/>
      <c r="BU62" s="508"/>
      <c r="BV62" s="508"/>
      <c r="BW62" s="508"/>
    </row>
    <row r="63" spans="1:75" ht="15" customHeight="1">
      <c r="A63" s="57">
        <v>60</v>
      </c>
      <c r="B63" s="64" t="s">
        <v>89</v>
      </c>
      <c r="C63" s="57">
        <v>28</v>
      </c>
      <c r="D63" s="3">
        <f t="shared" ref="D63:AY63" si="32">SUM(D64:D65)</f>
        <v>0</v>
      </c>
      <c r="E63" s="3">
        <f t="shared" si="32"/>
        <v>0</v>
      </c>
      <c r="F63" s="3">
        <f t="shared" si="32"/>
        <v>0</v>
      </c>
      <c r="G63" s="3">
        <f t="shared" si="32"/>
        <v>0</v>
      </c>
      <c r="H63" s="3">
        <f t="shared" si="32"/>
        <v>0</v>
      </c>
      <c r="I63" s="3">
        <f t="shared" si="32"/>
        <v>0</v>
      </c>
      <c r="J63" s="3">
        <f t="shared" si="32"/>
        <v>0</v>
      </c>
      <c r="K63" s="3">
        <f t="shared" si="32"/>
        <v>0</v>
      </c>
      <c r="L63" s="3">
        <f t="shared" si="32"/>
        <v>0</v>
      </c>
      <c r="M63" s="3">
        <f t="shared" si="32"/>
        <v>0</v>
      </c>
      <c r="N63" s="3">
        <f t="shared" si="32"/>
        <v>0</v>
      </c>
      <c r="O63" s="3">
        <f t="shared" si="32"/>
        <v>0</v>
      </c>
      <c r="P63" s="3">
        <f t="shared" si="32"/>
        <v>0</v>
      </c>
      <c r="Q63" s="3">
        <f t="shared" si="32"/>
        <v>0</v>
      </c>
      <c r="R63" s="3">
        <f t="shared" si="32"/>
        <v>0</v>
      </c>
      <c r="S63" s="3">
        <f t="shared" si="32"/>
        <v>0</v>
      </c>
      <c r="T63" s="3">
        <f t="shared" si="32"/>
        <v>0</v>
      </c>
      <c r="U63" s="3">
        <f t="shared" si="32"/>
        <v>0</v>
      </c>
      <c r="V63" s="3">
        <f t="shared" si="32"/>
        <v>0</v>
      </c>
      <c r="W63" s="3">
        <f t="shared" si="32"/>
        <v>0</v>
      </c>
      <c r="X63" s="3">
        <f t="shared" si="32"/>
        <v>0</v>
      </c>
      <c r="Y63" s="3">
        <f t="shared" si="32"/>
        <v>0</v>
      </c>
      <c r="Z63" s="3">
        <f t="shared" si="32"/>
        <v>0</v>
      </c>
      <c r="AA63" s="3">
        <f t="shared" si="32"/>
        <v>0</v>
      </c>
      <c r="AB63" s="3">
        <f t="shared" si="32"/>
        <v>0</v>
      </c>
      <c r="AC63" s="3">
        <f t="shared" si="32"/>
        <v>0</v>
      </c>
      <c r="AD63" s="3">
        <f t="shared" si="32"/>
        <v>0</v>
      </c>
      <c r="AE63" s="3">
        <f t="shared" si="32"/>
        <v>0</v>
      </c>
      <c r="AF63" s="3">
        <f t="shared" si="32"/>
        <v>0</v>
      </c>
      <c r="AG63" s="3">
        <f t="shared" si="32"/>
        <v>0</v>
      </c>
      <c r="AH63" s="3">
        <f t="shared" si="32"/>
        <v>0</v>
      </c>
      <c r="AI63" s="3">
        <f t="shared" si="32"/>
        <v>0</v>
      </c>
      <c r="AJ63" s="3">
        <f t="shared" si="32"/>
        <v>0</v>
      </c>
      <c r="AK63" s="3">
        <f t="shared" si="32"/>
        <v>0</v>
      </c>
      <c r="AL63" s="3">
        <f t="shared" si="32"/>
        <v>0</v>
      </c>
      <c r="AM63" s="3">
        <f t="shared" si="32"/>
        <v>0</v>
      </c>
      <c r="AN63" s="3">
        <f t="shared" si="32"/>
        <v>0</v>
      </c>
      <c r="AO63" s="3">
        <f t="shared" si="32"/>
        <v>0</v>
      </c>
      <c r="AP63" s="3">
        <f t="shared" si="32"/>
        <v>0</v>
      </c>
      <c r="AQ63" s="3">
        <f t="shared" si="32"/>
        <v>0</v>
      </c>
      <c r="AR63" s="3">
        <f t="shared" si="32"/>
        <v>0</v>
      </c>
      <c r="AS63" s="3">
        <f t="shared" si="32"/>
        <v>0</v>
      </c>
      <c r="AT63" s="3">
        <f t="shared" si="32"/>
        <v>0</v>
      </c>
      <c r="AU63" s="3">
        <f t="shared" si="32"/>
        <v>0</v>
      </c>
      <c r="AV63" s="3">
        <f t="shared" si="32"/>
        <v>0</v>
      </c>
      <c r="AW63" s="3">
        <f t="shared" si="32"/>
        <v>0</v>
      </c>
      <c r="AX63" s="3">
        <f t="shared" si="32"/>
        <v>0</v>
      </c>
      <c r="AY63" s="3">
        <f t="shared" si="32"/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f t="shared" ref="BR63:BW63" si="33">SUM(BR64:BR65)</f>
        <v>0</v>
      </c>
      <c r="BS63" s="3">
        <f t="shared" si="33"/>
        <v>0</v>
      </c>
      <c r="BT63" s="3">
        <f t="shared" si="33"/>
        <v>0</v>
      </c>
      <c r="BU63" s="3">
        <f t="shared" si="33"/>
        <v>0</v>
      </c>
      <c r="BV63" s="3">
        <f t="shared" si="33"/>
        <v>0</v>
      </c>
      <c r="BW63" s="3">
        <f t="shared" si="33"/>
        <v>0</v>
      </c>
    </row>
    <row r="64" spans="1:75" ht="15" customHeight="1">
      <c r="A64" s="55">
        <v>61</v>
      </c>
      <c r="B64" s="56" t="s">
        <v>339</v>
      </c>
      <c r="C64" s="55">
        <v>28</v>
      </c>
      <c r="D64" s="508"/>
      <c r="E64" s="508"/>
      <c r="F64" s="508"/>
      <c r="G64" s="508"/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8"/>
      <c r="AB64" s="508"/>
      <c r="AC64" s="508"/>
      <c r="AD64" s="508"/>
      <c r="AE64" s="508"/>
      <c r="AF64" s="508"/>
      <c r="AG64" s="508"/>
      <c r="AH64" s="508"/>
      <c r="AI64" s="508"/>
      <c r="AJ64" s="508"/>
      <c r="AK64" s="508"/>
      <c r="AL64" s="508"/>
      <c r="AM64" s="508"/>
      <c r="AN64" s="508"/>
      <c r="AO64" s="508"/>
      <c r="AP64" s="508"/>
      <c r="AQ64" s="508"/>
      <c r="AR64" s="508"/>
      <c r="AS64" s="508"/>
      <c r="AT64" s="508"/>
      <c r="AU64" s="508"/>
      <c r="AV64" s="508"/>
      <c r="AW64" s="508"/>
      <c r="AX64" s="508"/>
      <c r="AY64" s="508"/>
      <c r="AZ64" s="508">
        <v>0</v>
      </c>
      <c r="BA64" s="508">
        <v>0</v>
      </c>
      <c r="BB64" s="508">
        <v>0</v>
      </c>
      <c r="BC64" s="508">
        <v>0</v>
      </c>
      <c r="BD64" s="508">
        <v>0</v>
      </c>
      <c r="BE64" s="508">
        <v>0</v>
      </c>
      <c r="BF64" s="508">
        <v>0</v>
      </c>
      <c r="BG64" s="508">
        <v>0</v>
      </c>
      <c r="BH64" s="508">
        <v>0</v>
      </c>
      <c r="BI64" s="508">
        <v>0</v>
      </c>
      <c r="BJ64" s="508">
        <v>0</v>
      </c>
      <c r="BK64" s="508">
        <v>0</v>
      </c>
      <c r="BL64" s="508">
        <v>0</v>
      </c>
      <c r="BM64" s="508">
        <v>0</v>
      </c>
      <c r="BN64" s="508">
        <v>0</v>
      </c>
      <c r="BO64" s="508">
        <v>0</v>
      </c>
      <c r="BP64" s="508">
        <v>0</v>
      </c>
      <c r="BQ64" s="508">
        <v>0</v>
      </c>
      <c r="BR64" s="508"/>
      <c r="BS64" s="508"/>
      <c r="BT64" s="508"/>
      <c r="BU64" s="508"/>
      <c r="BV64" s="508"/>
      <c r="BW64" s="508"/>
    </row>
    <row r="65" spans="1:75" ht="15" customHeight="1">
      <c r="A65" s="55">
        <v>62</v>
      </c>
      <c r="B65" s="56" t="s">
        <v>340</v>
      </c>
      <c r="C65" s="55">
        <v>28</v>
      </c>
      <c r="D65" s="508"/>
      <c r="E65" s="508"/>
      <c r="F65" s="508"/>
      <c r="G65" s="508"/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8"/>
      <c r="AB65" s="508"/>
      <c r="AC65" s="508"/>
      <c r="AD65" s="508"/>
      <c r="AE65" s="508"/>
      <c r="AF65" s="508"/>
      <c r="AG65" s="508"/>
      <c r="AH65" s="508"/>
      <c r="AI65" s="508"/>
      <c r="AJ65" s="508"/>
      <c r="AK65" s="508"/>
      <c r="AL65" s="508"/>
      <c r="AM65" s="508"/>
      <c r="AN65" s="508"/>
      <c r="AO65" s="508"/>
      <c r="AP65" s="508"/>
      <c r="AQ65" s="508"/>
      <c r="AR65" s="508"/>
      <c r="AS65" s="508"/>
      <c r="AT65" s="508"/>
      <c r="AU65" s="508"/>
      <c r="AV65" s="508"/>
      <c r="AW65" s="508"/>
      <c r="AX65" s="508"/>
      <c r="AY65" s="508"/>
      <c r="AZ65" s="508">
        <v>0</v>
      </c>
      <c r="BA65" s="508">
        <v>0</v>
      </c>
      <c r="BB65" s="508">
        <v>0</v>
      </c>
      <c r="BC65" s="508">
        <v>0</v>
      </c>
      <c r="BD65" s="508">
        <v>0</v>
      </c>
      <c r="BE65" s="508">
        <v>0</v>
      </c>
      <c r="BF65" s="508">
        <v>0</v>
      </c>
      <c r="BG65" s="508">
        <v>0</v>
      </c>
      <c r="BH65" s="508">
        <v>0</v>
      </c>
      <c r="BI65" s="508">
        <v>0</v>
      </c>
      <c r="BJ65" s="508">
        <v>0</v>
      </c>
      <c r="BK65" s="508">
        <v>0</v>
      </c>
      <c r="BL65" s="508">
        <v>0</v>
      </c>
      <c r="BM65" s="508">
        <v>0</v>
      </c>
      <c r="BN65" s="508">
        <v>0</v>
      </c>
      <c r="BO65" s="508">
        <v>0</v>
      </c>
      <c r="BP65" s="508">
        <v>0</v>
      </c>
      <c r="BQ65" s="508">
        <v>0</v>
      </c>
      <c r="BR65" s="508"/>
      <c r="BS65" s="508"/>
      <c r="BT65" s="508"/>
      <c r="BU65" s="508"/>
      <c r="BV65" s="508"/>
      <c r="BW65" s="508"/>
    </row>
    <row r="66" spans="1:75" ht="15" customHeight="1">
      <c r="A66" s="59">
        <v>63</v>
      </c>
      <c r="B66" s="64" t="s">
        <v>341</v>
      </c>
      <c r="C66" s="59">
        <v>28</v>
      </c>
      <c r="D66" s="3">
        <f t="shared" ref="D66:AY66" si="34">SUM(D67:D68)</f>
        <v>0</v>
      </c>
      <c r="E66" s="3">
        <f t="shared" si="34"/>
        <v>0</v>
      </c>
      <c r="F66" s="3">
        <f t="shared" si="34"/>
        <v>0</v>
      </c>
      <c r="G66" s="3">
        <f t="shared" si="34"/>
        <v>0</v>
      </c>
      <c r="H66" s="3">
        <f t="shared" si="34"/>
        <v>0</v>
      </c>
      <c r="I66" s="3">
        <f t="shared" si="34"/>
        <v>0</v>
      </c>
      <c r="J66" s="3">
        <f t="shared" si="34"/>
        <v>0</v>
      </c>
      <c r="K66" s="3">
        <f t="shared" si="34"/>
        <v>0</v>
      </c>
      <c r="L66" s="3">
        <f t="shared" si="34"/>
        <v>0</v>
      </c>
      <c r="M66" s="3">
        <f t="shared" si="34"/>
        <v>0</v>
      </c>
      <c r="N66" s="3">
        <f t="shared" si="34"/>
        <v>0</v>
      </c>
      <c r="O66" s="3">
        <f t="shared" si="34"/>
        <v>0</v>
      </c>
      <c r="P66" s="3">
        <f t="shared" si="34"/>
        <v>0</v>
      </c>
      <c r="Q66" s="3">
        <f t="shared" si="34"/>
        <v>0</v>
      </c>
      <c r="R66" s="3">
        <f t="shared" si="34"/>
        <v>0</v>
      </c>
      <c r="S66" s="3">
        <f t="shared" si="34"/>
        <v>0</v>
      </c>
      <c r="T66" s="3">
        <f t="shared" si="34"/>
        <v>0</v>
      </c>
      <c r="U66" s="3">
        <f t="shared" si="34"/>
        <v>0</v>
      </c>
      <c r="V66" s="3">
        <f t="shared" si="34"/>
        <v>0</v>
      </c>
      <c r="W66" s="3">
        <f t="shared" si="34"/>
        <v>0</v>
      </c>
      <c r="X66" s="3">
        <f t="shared" si="34"/>
        <v>0</v>
      </c>
      <c r="Y66" s="3">
        <f t="shared" si="34"/>
        <v>0</v>
      </c>
      <c r="Z66" s="3">
        <f t="shared" si="34"/>
        <v>0</v>
      </c>
      <c r="AA66" s="3">
        <f t="shared" si="34"/>
        <v>0</v>
      </c>
      <c r="AB66" s="3">
        <f t="shared" si="34"/>
        <v>0</v>
      </c>
      <c r="AC66" s="3">
        <f t="shared" si="34"/>
        <v>0</v>
      </c>
      <c r="AD66" s="3">
        <f t="shared" si="34"/>
        <v>0</v>
      </c>
      <c r="AE66" s="3">
        <f t="shared" si="34"/>
        <v>0</v>
      </c>
      <c r="AF66" s="3">
        <f t="shared" si="34"/>
        <v>0</v>
      </c>
      <c r="AG66" s="3">
        <f t="shared" si="34"/>
        <v>0</v>
      </c>
      <c r="AH66" s="3">
        <f t="shared" si="34"/>
        <v>0</v>
      </c>
      <c r="AI66" s="3">
        <f t="shared" si="34"/>
        <v>0</v>
      </c>
      <c r="AJ66" s="3">
        <f t="shared" si="34"/>
        <v>0</v>
      </c>
      <c r="AK66" s="3">
        <f t="shared" si="34"/>
        <v>0</v>
      </c>
      <c r="AL66" s="3">
        <f t="shared" si="34"/>
        <v>0</v>
      </c>
      <c r="AM66" s="3">
        <f t="shared" si="34"/>
        <v>0</v>
      </c>
      <c r="AN66" s="3">
        <f t="shared" si="34"/>
        <v>77329584118</v>
      </c>
      <c r="AO66" s="3">
        <f t="shared" si="34"/>
        <v>77763600271</v>
      </c>
      <c r="AP66" s="3">
        <f t="shared" si="34"/>
        <v>44952330241</v>
      </c>
      <c r="AQ66" s="3">
        <f t="shared" si="34"/>
        <v>41117545565</v>
      </c>
      <c r="AR66" s="3">
        <f t="shared" si="34"/>
        <v>41598285505</v>
      </c>
      <c r="AS66" s="3">
        <f t="shared" si="34"/>
        <v>45834019605</v>
      </c>
      <c r="AT66" s="3">
        <f t="shared" si="34"/>
        <v>45620157237</v>
      </c>
      <c r="AU66" s="3">
        <f t="shared" si="34"/>
        <v>43295611577</v>
      </c>
      <c r="AV66" s="3">
        <f t="shared" si="34"/>
        <v>44563784234</v>
      </c>
      <c r="AW66" s="3">
        <f t="shared" si="34"/>
        <v>44870745260</v>
      </c>
      <c r="AX66" s="3">
        <f t="shared" si="34"/>
        <v>29903428024</v>
      </c>
      <c r="AY66" s="4">
        <f t="shared" si="34"/>
        <v>38102315137</v>
      </c>
      <c r="AZ66" s="4">
        <v>47351685312</v>
      </c>
      <c r="BA66" s="4">
        <v>33270243294</v>
      </c>
      <c r="BB66" s="4">
        <v>28917153034</v>
      </c>
      <c r="BC66" s="4">
        <v>39983110298</v>
      </c>
      <c r="BD66" s="4">
        <v>48611974769</v>
      </c>
      <c r="BE66" s="4">
        <v>52991191597</v>
      </c>
      <c r="BF66" s="4">
        <v>54380932320</v>
      </c>
      <c r="BG66" s="4">
        <v>36472336589</v>
      </c>
      <c r="BH66" s="4">
        <v>46588311385</v>
      </c>
      <c r="BI66" s="4">
        <v>59728156173</v>
      </c>
      <c r="BJ66" s="4">
        <v>55496100548</v>
      </c>
      <c r="BK66" s="4">
        <v>64594176344</v>
      </c>
      <c r="BL66" s="4">
        <v>67367429293</v>
      </c>
      <c r="BM66" s="4">
        <v>87657276867</v>
      </c>
      <c r="BN66" s="4">
        <v>74320784423</v>
      </c>
      <c r="BO66" s="4">
        <v>92016367246</v>
      </c>
      <c r="BP66" s="4">
        <v>95504353332</v>
      </c>
      <c r="BQ66" s="4">
        <v>219033246086</v>
      </c>
      <c r="BR66" s="4">
        <f t="shared" ref="BR66:BW66" si="35">SUM(BR67:BR68)</f>
        <v>0</v>
      </c>
      <c r="BS66" s="4">
        <f t="shared" si="35"/>
        <v>0</v>
      </c>
      <c r="BT66" s="4">
        <f t="shared" si="35"/>
        <v>0</v>
      </c>
      <c r="BU66" s="4">
        <f t="shared" si="35"/>
        <v>0</v>
      </c>
      <c r="BV66" s="4">
        <f t="shared" si="35"/>
        <v>0</v>
      </c>
      <c r="BW66" s="4">
        <f t="shared" si="35"/>
        <v>0</v>
      </c>
    </row>
    <row r="67" spans="1:75" ht="15" customHeight="1">
      <c r="A67" s="55">
        <v>64</v>
      </c>
      <c r="B67" s="56" t="s">
        <v>92</v>
      </c>
      <c r="C67" s="55">
        <v>28</v>
      </c>
      <c r="D67" s="508"/>
      <c r="E67" s="508"/>
      <c r="F67" s="508"/>
      <c r="G67" s="508"/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8"/>
      <c r="AB67" s="508"/>
      <c r="AC67" s="508"/>
      <c r="AD67" s="508"/>
      <c r="AE67" s="508"/>
      <c r="AF67" s="508"/>
      <c r="AG67" s="508"/>
      <c r="AH67" s="508"/>
      <c r="AI67" s="508"/>
      <c r="AJ67" s="508"/>
      <c r="AK67" s="508"/>
      <c r="AL67" s="508"/>
      <c r="AM67" s="508"/>
      <c r="AN67" s="508">
        <v>419846709</v>
      </c>
      <c r="AO67" s="508">
        <v>408674531</v>
      </c>
      <c r="AP67" s="508">
        <v>403047661</v>
      </c>
      <c r="AQ67" s="508">
        <v>390879241</v>
      </c>
      <c r="AR67" s="508">
        <v>460263307</v>
      </c>
      <c r="AS67" s="508">
        <v>598268760</v>
      </c>
      <c r="AT67" s="508">
        <v>546898463</v>
      </c>
      <c r="AU67" s="508">
        <v>461756176</v>
      </c>
      <c r="AV67" s="508">
        <v>440940331</v>
      </c>
      <c r="AW67" s="508">
        <v>412338743</v>
      </c>
      <c r="AX67" s="508">
        <v>361348558</v>
      </c>
      <c r="AY67" s="508">
        <v>344917157</v>
      </c>
      <c r="AZ67" s="508">
        <v>0</v>
      </c>
      <c r="BA67" s="508">
        <v>0</v>
      </c>
      <c r="BB67" s="508">
        <v>0</v>
      </c>
      <c r="BC67" s="508">
        <v>0</v>
      </c>
      <c r="BD67" s="508">
        <v>0</v>
      </c>
      <c r="BE67" s="508">
        <v>0</v>
      </c>
      <c r="BF67" s="508">
        <v>0</v>
      </c>
      <c r="BG67" s="508">
        <v>0</v>
      </c>
      <c r="BH67" s="508">
        <v>0</v>
      </c>
      <c r="BI67" s="508">
        <v>0</v>
      </c>
      <c r="BJ67" s="508">
        <v>10176000</v>
      </c>
      <c r="BK67" s="508">
        <v>10176000</v>
      </c>
      <c r="BL67" s="508">
        <v>10176000</v>
      </c>
      <c r="BM67" s="508">
        <v>10176000</v>
      </c>
      <c r="BN67" s="508">
        <v>10176000</v>
      </c>
      <c r="BO67" s="508">
        <v>10176000</v>
      </c>
      <c r="BP67" s="508">
        <v>10176000</v>
      </c>
      <c r="BQ67" s="508">
        <v>10176000</v>
      </c>
      <c r="BR67" s="508"/>
      <c r="BS67" s="508"/>
      <c r="BT67" s="508"/>
      <c r="BU67" s="508"/>
      <c r="BV67" s="508"/>
      <c r="BW67" s="508"/>
    </row>
    <row r="68" spans="1:75" ht="15" customHeight="1">
      <c r="A68" s="55">
        <v>65</v>
      </c>
      <c r="B68" s="56" t="s">
        <v>93</v>
      </c>
      <c r="C68" s="55">
        <v>28</v>
      </c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8"/>
      <c r="AB68" s="508"/>
      <c r="AC68" s="508"/>
      <c r="AD68" s="508"/>
      <c r="AE68" s="508"/>
      <c r="AF68" s="508"/>
      <c r="AG68" s="508"/>
      <c r="AH68" s="508"/>
      <c r="AI68" s="508"/>
      <c r="AJ68" s="508"/>
      <c r="AK68" s="508"/>
      <c r="AL68" s="508"/>
      <c r="AM68" s="508"/>
      <c r="AN68" s="508">
        <v>76909737409</v>
      </c>
      <c r="AO68" s="508">
        <v>77354925740</v>
      </c>
      <c r="AP68" s="508">
        <v>44549282580</v>
      </c>
      <c r="AQ68" s="508">
        <v>40726666324</v>
      </c>
      <c r="AR68" s="508">
        <v>41138022198</v>
      </c>
      <c r="AS68" s="508">
        <v>45235750845</v>
      </c>
      <c r="AT68" s="508">
        <v>45073258774</v>
      </c>
      <c r="AU68" s="508">
        <v>42833855401</v>
      </c>
      <c r="AV68" s="508">
        <v>44122843903</v>
      </c>
      <c r="AW68" s="508">
        <v>44458406517</v>
      </c>
      <c r="AX68" s="508">
        <v>29542079466</v>
      </c>
      <c r="AY68" s="508">
        <v>37757397980</v>
      </c>
      <c r="AZ68" s="508">
        <v>47351685312</v>
      </c>
      <c r="BA68" s="508">
        <v>33270243294</v>
      </c>
      <c r="BB68" s="508">
        <v>28917153034</v>
      </c>
      <c r="BC68" s="508">
        <v>39983110298</v>
      </c>
      <c r="BD68" s="508">
        <v>48611974769</v>
      </c>
      <c r="BE68" s="508">
        <v>52991191597</v>
      </c>
      <c r="BF68" s="508">
        <v>54380932320</v>
      </c>
      <c r="BG68" s="508">
        <v>36472336589</v>
      </c>
      <c r="BH68" s="508">
        <v>46588311385</v>
      </c>
      <c r="BI68" s="508">
        <v>59728156173</v>
      </c>
      <c r="BJ68" s="508">
        <v>55485924548</v>
      </c>
      <c r="BK68" s="508">
        <v>64584000344</v>
      </c>
      <c r="BL68" s="508">
        <v>67357253293</v>
      </c>
      <c r="BM68" s="508">
        <v>87647100867</v>
      </c>
      <c r="BN68" s="508">
        <v>74310608423</v>
      </c>
      <c r="BO68" s="508">
        <v>92006191246</v>
      </c>
      <c r="BP68" s="508">
        <v>95494177332</v>
      </c>
      <c r="BQ68" s="508">
        <v>219023070086</v>
      </c>
      <c r="BR68" s="508"/>
      <c r="BS68" s="508"/>
      <c r="BT68" s="508"/>
      <c r="BU68" s="508"/>
      <c r="BV68" s="508"/>
      <c r="BW68" s="508"/>
    </row>
    <row r="69" spans="1:75" ht="15" customHeight="1">
      <c r="A69" s="59">
        <v>66</v>
      </c>
      <c r="B69" s="69" t="s">
        <v>342</v>
      </c>
      <c r="C69" s="59">
        <v>28</v>
      </c>
      <c r="D69" s="3">
        <f t="shared" ref="D69:AY69" si="36">SUM(D70:D75)</f>
        <v>0</v>
      </c>
      <c r="E69" s="3">
        <f t="shared" si="36"/>
        <v>0</v>
      </c>
      <c r="F69" s="3">
        <f t="shared" si="36"/>
        <v>0</v>
      </c>
      <c r="G69" s="3">
        <f t="shared" si="36"/>
        <v>0</v>
      </c>
      <c r="H69" s="3">
        <f t="shared" si="36"/>
        <v>0</v>
      </c>
      <c r="I69" s="3">
        <f t="shared" si="36"/>
        <v>0</v>
      </c>
      <c r="J69" s="3">
        <f t="shared" si="36"/>
        <v>0</v>
      </c>
      <c r="K69" s="3">
        <f t="shared" si="36"/>
        <v>0</v>
      </c>
      <c r="L69" s="3">
        <f t="shared" si="36"/>
        <v>0</v>
      </c>
      <c r="M69" s="3">
        <f t="shared" si="36"/>
        <v>0</v>
      </c>
      <c r="N69" s="3">
        <f t="shared" si="36"/>
        <v>0</v>
      </c>
      <c r="O69" s="3">
        <f t="shared" si="36"/>
        <v>0</v>
      </c>
      <c r="P69" s="3">
        <f t="shared" si="36"/>
        <v>0</v>
      </c>
      <c r="Q69" s="3">
        <f t="shared" si="36"/>
        <v>0</v>
      </c>
      <c r="R69" s="3">
        <f t="shared" si="36"/>
        <v>0</v>
      </c>
      <c r="S69" s="3">
        <f t="shared" si="36"/>
        <v>0</v>
      </c>
      <c r="T69" s="3">
        <f t="shared" si="36"/>
        <v>0</v>
      </c>
      <c r="U69" s="3">
        <f t="shared" si="36"/>
        <v>0</v>
      </c>
      <c r="V69" s="3">
        <f t="shared" si="36"/>
        <v>0</v>
      </c>
      <c r="W69" s="3">
        <f t="shared" si="36"/>
        <v>0</v>
      </c>
      <c r="X69" s="3">
        <f t="shared" si="36"/>
        <v>0</v>
      </c>
      <c r="Y69" s="3">
        <f t="shared" si="36"/>
        <v>0</v>
      </c>
      <c r="Z69" s="3">
        <f t="shared" si="36"/>
        <v>0</v>
      </c>
      <c r="AA69" s="3">
        <f t="shared" si="36"/>
        <v>0</v>
      </c>
      <c r="AB69" s="3">
        <f t="shared" si="36"/>
        <v>0</v>
      </c>
      <c r="AC69" s="3">
        <f t="shared" si="36"/>
        <v>0</v>
      </c>
      <c r="AD69" s="3">
        <f t="shared" si="36"/>
        <v>0</v>
      </c>
      <c r="AE69" s="3">
        <f t="shared" si="36"/>
        <v>0</v>
      </c>
      <c r="AF69" s="3">
        <f t="shared" si="36"/>
        <v>0</v>
      </c>
      <c r="AG69" s="3">
        <f t="shared" si="36"/>
        <v>0</v>
      </c>
      <c r="AH69" s="3">
        <f t="shared" si="36"/>
        <v>0</v>
      </c>
      <c r="AI69" s="3">
        <f t="shared" si="36"/>
        <v>0</v>
      </c>
      <c r="AJ69" s="3">
        <f t="shared" si="36"/>
        <v>0</v>
      </c>
      <c r="AK69" s="3">
        <f t="shared" si="36"/>
        <v>0</v>
      </c>
      <c r="AL69" s="3">
        <f t="shared" si="36"/>
        <v>0</v>
      </c>
      <c r="AM69" s="3">
        <f t="shared" si="36"/>
        <v>0</v>
      </c>
      <c r="AN69" s="3">
        <f t="shared" si="36"/>
        <v>0</v>
      </c>
      <c r="AO69" s="3">
        <f t="shared" si="36"/>
        <v>0</v>
      </c>
      <c r="AP69" s="3">
        <f t="shared" si="36"/>
        <v>0</v>
      </c>
      <c r="AQ69" s="3">
        <f t="shared" si="36"/>
        <v>0</v>
      </c>
      <c r="AR69" s="3">
        <f t="shared" si="36"/>
        <v>0</v>
      </c>
      <c r="AS69" s="3">
        <f t="shared" si="36"/>
        <v>0</v>
      </c>
      <c r="AT69" s="3">
        <f t="shared" si="36"/>
        <v>0</v>
      </c>
      <c r="AU69" s="3">
        <f t="shared" si="36"/>
        <v>0</v>
      </c>
      <c r="AV69" s="3">
        <f t="shared" si="36"/>
        <v>0</v>
      </c>
      <c r="AW69" s="3">
        <f t="shared" si="36"/>
        <v>0</v>
      </c>
      <c r="AX69" s="3">
        <f t="shared" si="36"/>
        <v>0</v>
      </c>
      <c r="AY69" s="3">
        <f t="shared" si="36"/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f t="shared" ref="BR69:BW69" si="37">SUM(BR70:BR75)</f>
        <v>0</v>
      </c>
      <c r="BS69" s="3">
        <f t="shared" si="37"/>
        <v>0</v>
      </c>
      <c r="BT69" s="3">
        <f t="shared" si="37"/>
        <v>0</v>
      </c>
      <c r="BU69" s="3">
        <f t="shared" si="37"/>
        <v>0</v>
      </c>
      <c r="BV69" s="3">
        <f t="shared" si="37"/>
        <v>0</v>
      </c>
      <c r="BW69" s="3">
        <f t="shared" si="37"/>
        <v>0</v>
      </c>
    </row>
    <row r="70" spans="1:75" ht="15" customHeight="1">
      <c r="A70" s="55">
        <v>67</v>
      </c>
      <c r="B70" s="56" t="s">
        <v>95</v>
      </c>
      <c r="C70" s="55">
        <v>28</v>
      </c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8"/>
      <c r="AB70" s="508"/>
      <c r="AC70" s="508"/>
      <c r="AD70" s="508"/>
      <c r="AE70" s="508"/>
      <c r="AF70" s="508"/>
      <c r="AG70" s="508"/>
      <c r="AH70" s="508"/>
      <c r="AI70" s="508"/>
      <c r="AJ70" s="508"/>
      <c r="AK70" s="508"/>
      <c r="AL70" s="508"/>
      <c r="AM70" s="508"/>
      <c r="AN70" s="508"/>
      <c r="AO70" s="508"/>
      <c r="AP70" s="508"/>
      <c r="AQ70" s="508"/>
      <c r="AR70" s="508"/>
      <c r="AS70" s="508"/>
      <c r="AT70" s="508"/>
      <c r="AU70" s="508"/>
      <c r="AV70" s="508"/>
      <c r="AW70" s="508"/>
      <c r="AX70" s="508"/>
      <c r="AY70" s="508"/>
      <c r="AZ70" s="508">
        <v>0</v>
      </c>
      <c r="BA70" s="508">
        <v>0</v>
      </c>
      <c r="BB70" s="508">
        <v>0</v>
      </c>
      <c r="BC70" s="508">
        <v>0</v>
      </c>
      <c r="BD70" s="508">
        <v>0</v>
      </c>
      <c r="BE70" s="508">
        <v>0</v>
      </c>
      <c r="BF70" s="508">
        <v>0</v>
      </c>
      <c r="BG70" s="508">
        <v>0</v>
      </c>
      <c r="BH70" s="508">
        <v>0</v>
      </c>
      <c r="BI70" s="508">
        <v>0</v>
      </c>
      <c r="BJ70" s="508">
        <v>0</v>
      </c>
      <c r="BK70" s="508">
        <v>0</v>
      </c>
      <c r="BL70" s="508">
        <v>0</v>
      </c>
      <c r="BM70" s="508">
        <v>0</v>
      </c>
      <c r="BN70" s="508">
        <v>0</v>
      </c>
      <c r="BO70" s="508">
        <v>0</v>
      </c>
      <c r="BP70" s="508">
        <v>0</v>
      </c>
      <c r="BQ70" s="508">
        <v>0</v>
      </c>
      <c r="BR70" s="508"/>
      <c r="BS70" s="508"/>
      <c r="BT70" s="508"/>
      <c r="BU70" s="508"/>
      <c r="BV70" s="508"/>
      <c r="BW70" s="508"/>
    </row>
    <row r="71" spans="1:75" ht="15" customHeight="1">
      <c r="A71" s="55">
        <v>68</v>
      </c>
      <c r="B71" s="56" t="s">
        <v>96</v>
      </c>
      <c r="C71" s="55">
        <v>28</v>
      </c>
      <c r="D71" s="508"/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8"/>
      <c r="AB71" s="508"/>
      <c r="AC71" s="508"/>
      <c r="AD71" s="508"/>
      <c r="AE71" s="508"/>
      <c r="AF71" s="508"/>
      <c r="AG71" s="508"/>
      <c r="AH71" s="508"/>
      <c r="AI71" s="508"/>
      <c r="AJ71" s="508"/>
      <c r="AK71" s="508"/>
      <c r="AL71" s="508"/>
      <c r="AM71" s="508"/>
      <c r="AN71" s="508"/>
      <c r="AO71" s="508"/>
      <c r="AP71" s="508"/>
      <c r="AQ71" s="508"/>
      <c r="AR71" s="508"/>
      <c r="AS71" s="508"/>
      <c r="AT71" s="508"/>
      <c r="AU71" s="508"/>
      <c r="AV71" s="508"/>
      <c r="AW71" s="508"/>
      <c r="AX71" s="508"/>
      <c r="AY71" s="508"/>
      <c r="AZ71" s="508">
        <v>0</v>
      </c>
      <c r="BA71" s="508">
        <v>0</v>
      </c>
      <c r="BB71" s="508">
        <v>0</v>
      </c>
      <c r="BC71" s="508">
        <v>0</v>
      </c>
      <c r="BD71" s="508">
        <v>0</v>
      </c>
      <c r="BE71" s="508">
        <v>0</v>
      </c>
      <c r="BF71" s="508">
        <v>0</v>
      </c>
      <c r="BG71" s="508">
        <v>0</v>
      </c>
      <c r="BH71" s="508">
        <v>0</v>
      </c>
      <c r="BI71" s="508">
        <v>0</v>
      </c>
      <c r="BJ71" s="508">
        <v>0</v>
      </c>
      <c r="BK71" s="508">
        <v>0</v>
      </c>
      <c r="BL71" s="508">
        <v>0</v>
      </c>
      <c r="BM71" s="508">
        <v>0</v>
      </c>
      <c r="BN71" s="508">
        <v>0</v>
      </c>
      <c r="BO71" s="508">
        <v>0</v>
      </c>
      <c r="BP71" s="508">
        <v>0</v>
      </c>
      <c r="BQ71" s="508">
        <v>0</v>
      </c>
      <c r="BR71" s="508"/>
      <c r="BS71" s="508"/>
      <c r="BT71" s="508"/>
      <c r="BU71" s="508"/>
      <c r="BV71" s="508"/>
      <c r="BW71" s="508"/>
    </row>
    <row r="72" spans="1:75" ht="15" customHeight="1">
      <c r="A72" s="55">
        <v>69</v>
      </c>
      <c r="B72" s="56" t="s">
        <v>97</v>
      </c>
      <c r="C72" s="55">
        <v>28</v>
      </c>
      <c r="D72" s="508"/>
      <c r="E72" s="508"/>
      <c r="F72" s="508"/>
      <c r="G72" s="508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8"/>
      <c r="AB72" s="508"/>
      <c r="AC72" s="508"/>
      <c r="AD72" s="508"/>
      <c r="AE72" s="508"/>
      <c r="AF72" s="508"/>
      <c r="AG72" s="508"/>
      <c r="AH72" s="508"/>
      <c r="AI72" s="508"/>
      <c r="AJ72" s="508"/>
      <c r="AK72" s="508"/>
      <c r="AL72" s="508"/>
      <c r="AM72" s="508"/>
      <c r="AN72" s="508"/>
      <c r="AO72" s="508"/>
      <c r="AP72" s="508"/>
      <c r="AQ72" s="508"/>
      <c r="AR72" s="508"/>
      <c r="AS72" s="508"/>
      <c r="AT72" s="508"/>
      <c r="AU72" s="508"/>
      <c r="AV72" s="508"/>
      <c r="AW72" s="508"/>
      <c r="AX72" s="508"/>
      <c r="AY72" s="508"/>
      <c r="AZ72" s="508">
        <v>0</v>
      </c>
      <c r="BA72" s="508">
        <v>0</v>
      </c>
      <c r="BB72" s="508">
        <v>0</v>
      </c>
      <c r="BC72" s="508">
        <v>0</v>
      </c>
      <c r="BD72" s="508">
        <v>0</v>
      </c>
      <c r="BE72" s="508">
        <v>0</v>
      </c>
      <c r="BF72" s="508">
        <v>0</v>
      </c>
      <c r="BG72" s="508">
        <v>0</v>
      </c>
      <c r="BH72" s="508">
        <v>0</v>
      </c>
      <c r="BI72" s="508">
        <v>0</v>
      </c>
      <c r="BJ72" s="508">
        <v>0</v>
      </c>
      <c r="BK72" s="508">
        <v>0</v>
      </c>
      <c r="BL72" s="508">
        <v>0</v>
      </c>
      <c r="BM72" s="508">
        <v>0</v>
      </c>
      <c r="BN72" s="508">
        <v>0</v>
      </c>
      <c r="BO72" s="508">
        <v>0</v>
      </c>
      <c r="BP72" s="508">
        <v>0</v>
      </c>
      <c r="BQ72" s="508">
        <v>0</v>
      </c>
      <c r="BR72" s="508"/>
      <c r="BS72" s="508"/>
      <c r="BT72" s="508"/>
      <c r="BU72" s="508"/>
      <c r="BV72" s="508"/>
      <c r="BW72" s="508"/>
    </row>
    <row r="73" spans="1:75" ht="15" customHeight="1">
      <c r="A73" s="55">
        <v>70</v>
      </c>
      <c r="B73" s="56" t="s">
        <v>98</v>
      </c>
      <c r="C73" s="55">
        <v>28</v>
      </c>
      <c r="D73" s="508"/>
      <c r="E73" s="508"/>
      <c r="F73" s="508"/>
      <c r="G73" s="508"/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8"/>
      <c r="AB73" s="508"/>
      <c r="AC73" s="508"/>
      <c r="AD73" s="508"/>
      <c r="AE73" s="508"/>
      <c r="AF73" s="508"/>
      <c r="AG73" s="508"/>
      <c r="AH73" s="508"/>
      <c r="AI73" s="508"/>
      <c r="AJ73" s="508"/>
      <c r="AK73" s="508"/>
      <c r="AL73" s="508"/>
      <c r="AM73" s="508"/>
      <c r="AN73" s="508"/>
      <c r="AO73" s="508"/>
      <c r="AP73" s="508"/>
      <c r="AQ73" s="508"/>
      <c r="AR73" s="508"/>
      <c r="AS73" s="508"/>
      <c r="AT73" s="508"/>
      <c r="AU73" s="508"/>
      <c r="AV73" s="508"/>
      <c r="AW73" s="508"/>
      <c r="AX73" s="508"/>
      <c r="AY73" s="508"/>
      <c r="AZ73" s="508">
        <v>0</v>
      </c>
      <c r="BA73" s="508">
        <v>0</v>
      </c>
      <c r="BB73" s="508">
        <v>0</v>
      </c>
      <c r="BC73" s="508">
        <v>0</v>
      </c>
      <c r="BD73" s="508">
        <v>0</v>
      </c>
      <c r="BE73" s="508">
        <v>0</v>
      </c>
      <c r="BF73" s="508">
        <v>0</v>
      </c>
      <c r="BG73" s="508">
        <v>0</v>
      </c>
      <c r="BH73" s="508">
        <v>0</v>
      </c>
      <c r="BI73" s="508">
        <v>0</v>
      </c>
      <c r="BJ73" s="508">
        <v>0</v>
      </c>
      <c r="BK73" s="508">
        <v>0</v>
      </c>
      <c r="BL73" s="508">
        <v>0</v>
      </c>
      <c r="BM73" s="508">
        <v>0</v>
      </c>
      <c r="BN73" s="508">
        <v>0</v>
      </c>
      <c r="BO73" s="508">
        <v>0</v>
      </c>
      <c r="BP73" s="508">
        <v>0</v>
      </c>
      <c r="BQ73" s="508">
        <v>0</v>
      </c>
      <c r="BR73" s="508"/>
      <c r="BS73" s="508"/>
      <c r="BT73" s="508"/>
      <c r="BU73" s="508"/>
      <c r="BV73" s="508"/>
      <c r="BW73" s="508"/>
    </row>
    <row r="74" spans="1:75" ht="15" customHeight="1">
      <c r="A74" s="55">
        <v>71</v>
      </c>
      <c r="B74" s="58" t="s">
        <v>99</v>
      </c>
      <c r="C74" s="55">
        <v>28</v>
      </c>
      <c r="D74" s="508"/>
      <c r="E74" s="508"/>
      <c r="F74" s="508"/>
      <c r="G74" s="508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8"/>
      <c r="AB74" s="508"/>
      <c r="AC74" s="508"/>
      <c r="AD74" s="508"/>
      <c r="AE74" s="508"/>
      <c r="AF74" s="508"/>
      <c r="AG74" s="508"/>
      <c r="AH74" s="508"/>
      <c r="AI74" s="508"/>
      <c r="AJ74" s="508"/>
      <c r="AK74" s="508"/>
      <c r="AL74" s="508"/>
      <c r="AM74" s="508"/>
      <c r="AN74" s="508"/>
      <c r="AO74" s="508"/>
      <c r="AP74" s="508"/>
      <c r="AQ74" s="508"/>
      <c r="AR74" s="508"/>
      <c r="AS74" s="508"/>
      <c r="AT74" s="508"/>
      <c r="AU74" s="508"/>
      <c r="AV74" s="508"/>
      <c r="AW74" s="508"/>
      <c r="AX74" s="508"/>
      <c r="AY74" s="508"/>
      <c r="AZ74" s="508">
        <v>0</v>
      </c>
      <c r="BA74" s="508">
        <v>0</v>
      </c>
      <c r="BB74" s="508">
        <v>0</v>
      </c>
      <c r="BC74" s="508">
        <v>0</v>
      </c>
      <c r="BD74" s="508">
        <v>0</v>
      </c>
      <c r="BE74" s="508">
        <v>0</v>
      </c>
      <c r="BF74" s="508">
        <v>0</v>
      </c>
      <c r="BG74" s="508">
        <v>0</v>
      </c>
      <c r="BH74" s="508">
        <v>0</v>
      </c>
      <c r="BI74" s="508">
        <v>0</v>
      </c>
      <c r="BJ74" s="508">
        <v>0</v>
      </c>
      <c r="BK74" s="508">
        <v>0</v>
      </c>
      <c r="BL74" s="508">
        <v>0</v>
      </c>
      <c r="BM74" s="508">
        <v>0</v>
      </c>
      <c r="BN74" s="508">
        <v>0</v>
      </c>
      <c r="BO74" s="508">
        <v>0</v>
      </c>
      <c r="BP74" s="508">
        <v>0</v>
      </c>
      <c r="BQ74" s="508">
        <v>0</v>
      </c>
      <c r="BR74" s="508"/>
      <c r="BS74" s="508"/>
      <c r="BT74" s="508"/>
      <c r="BU74" s="508"/>
      <c r="BV74" s="508"/>
      <c r="BW74" s="508"/>
    </row>
    <row r="75" spans="1:75" ht="15" customHeight="1">
      <c r="A75" s="55">
        <v>72</v>
      </c>
      <c r="B75" s="58" t="s">
        <v>100</v>
      </c>
      <c r="C75" s="55">
        <v>28</v>
      </c>
      <c r="D75" s="508"/>
      <c r="E75" s="508"/>
      <c r="F75" s="508"/>
      <c r="G75" s="508"/>
      <c r="H75" s="508"/>
      <c r="I75" s="508"/>
      <c r="J75" s="508"/>
      <c r="K75" s="508"/>
      <c r="L75" s="508"/>
      <c r="M75" s="508"/>
      <c r="N75" s="508"/>
      <c r="O75" s="508"/>
      <c r="P75" s="508"/>
      <c r="Q75" s="508"/>
      <c r="R75" s="508"/>
      <c r="S75" s="508"/>
      <c r="T75" s="508"/>
      <c r="U75" s="508"/>
      <c r="V75" s="508"/>
      <c r="W75" s="508"/>
      <c r="X75" s="508"/>
      <c r="Y75" s="508"/>
      <c r="Z75" s="508"/>
      <c r="AA75" s="508"/>
      <c r="AB75" s="508"/>
      <c r="AC75" s="508"/>
      <c r="AD75" s="508"/>
      <c r="AE75" s="508"/>
      <c r="AF75" s="508"/>
      <c r="AG75" s="508"/>
      <c r="AH75" s="508"/>
      <c r="AI75" s="508"/>
      <c r="AJ75" s="508"/>
      <c r="AK75" s="508"/>
      <c r="AL75" s="508"/>
      <c r="AM75" s="508"/>
      <c r="AN75" s="508"/>
      <c r="AO75" s="508"/>
      <c r="AP75" s="508"/>
      <c r="AQ75" s="508"/>
      <c r="AR75" s="508"/>
      <c r="AS75" s="508"/>
      <c r="AT75" s="508"/>
      <c r="AU75" s="508"/>
      <c r="AV75" s="508"/>
      <c r="AW75" s="508"/>
      <c r="AX75" s="508"/>
      <c r="AY75" s="508"/>
      <c r="AZ75" s="508">
        <v>0</v>
      </c>
      <c r="BA75" s="508">
        <v>0</v>
      </c>
      <c r="BB75" s="508">
        <v>0</v>
      </c>
      <c r="BC75" s="508">
        <v>0</v>
      </c>
      <c r="BD75" s="508">
        <v>0</v>
      </c>
      <c r="BE75" s="508">
        <v>0</v>
      </c>
      <c r="BF75" s="508">
        <v>0</v>
      </c>
      <c r="BG75" s="508">
        <v>0</v>
      </c>
      <c r="BH75" s="508">
        <v>0</v>
      </c>
      <c r="BI75" s="508">
        <v>0</v>
      </c>
      <c r="BJ75" s="508">
        <v>0</v>
      </c>
      <c r="BK75" s="508">
        <v>0</v>
      </c>
      <c r="BL75" s="508">
        <v>0</v>
      </c>
      <c r="BM75" s="508">
        <v>0</v>
      </c>
      <c r="BN75" s="508">
        <v>0</v>
      </c>
      <c r="BO75" s="508">
        <v>0</v>
      </c>
      <c r="BP75" s="508">
        <v>0</v>
      </c>
      <c r="BQ75" s="508">
        <v>0</v>
      </c>
      <c r="BR75" s="508"/>
      <c r="BS75" s="508"/>
      <c r="BT75" s="508"/>
      <c r="BU75" s="508"/>
      <c r="BV75" s="508"/>
      <c r="BW75" s="508"/>
    </row>
    <row r="76" spans="1:75" s="71" customFormat="1" ht="15" customHeight="1">
      <c r="A76" s="59">
        <v>73</v>
      </c>
      <c r="B76" s="70" t="s">
        <v>343</v>
      </c>
      <c r="C76" s="59">
        <v>28</v>
      </c>
      <c r="D76" s="3">
        <f t="shared" ref="D76:AY76" si="38">SUM(D77:D80)</f>
        <v>0</v>
      </c>
      <c r="E76" s="3">
        <f t="shared" si="38"/>
        <v>0</v>
      </c>
      <c r="F76" s="3">
        <f t="shared" si="38"/>
        <v>0</v>
      </c>
      <c r="G76" s="3">
        <f t="shared" si="38"/>
        <v>0</v>
      </c>
      <c r="H76" s="3">
        <f t="shared" si="38"/>
        <v>0</v>
      </c>
      <c r="I76" s="3">
        <f t="shared" si="38"/>
        <v>0</v>
      </c>
      <c r="J76" s="3">
        <f t="shared" si="38"/>
        <v>0</v>
      </c>
      <c r="K76" s="3">
        <f t="shared" si="38"/>
        <v>0</v>
      </c>
      <c r="L76" s="3">
        <f t="shared" si="38"/>
        <v>0</v>
      </c>
      <c r="M76" s="3">
        <f t="shared" si="38"/>
        <v>0</v>
      </c>
      <c r="N76" s="3">
        <f t="shared" si="38"/>
        <v>0</v>
      </c>
      <c r="O76" s="3">
        <f t="shared" si="38"/>
        <v>0</v>
      </c>
      <c r="P76" s="3">
        <f t="shared" si="38"/>
        <v>0</v>
      </c>
      <c r="Q76" s="3">
        <f t="shared" si="38"/>
        <v>0</v>
      </c>
      <c r="R76" s="3">
        <f t="shared" si="38"/>
        <v>0</v>
      </c>
      <c r="S76" s="3">
        <f t="shared" si="38"/>
        <v>0</v>
      </c>
      <c r="T76" s="3">
        <f t="shared" si="38"/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3">
        <f t="shared" si="38"/>
        <v>0</v>
      </c>
      <c r="Y76" s="3">
        <f t="shared" si="38"/>
        <v>0</v>
      </c>
      <c r="Z76" s="3">
        <f t="shared" si="38"/>
        <v>0</v>
      </c>
      <c r="AA76" s="3">
        <f t="shared" si="38"/>
        <v>0</v>
      </c>
      <c r="AB76" s="3">
        <f t="shared" si="38"/>
        <v>0</v>
      </c>
      <c r="AC76" s="3">
        <f t="shared" si="38"/>
        <v>0</v>
      </c>
      <c r="AD76" s="3">
        <f t="shared" si="38"/>
        <v>0</v>
      </c>
      <c r="AE76" s="3">
        <f t="shared" si="38"/>
        <v>0</v>
      </c>
      <c r="AF76" s="3">
        <f t="shared" si="38"/>
        <v>0</v>
      </c>
      <c r="AG76" s="3">
        <f t="shared" si="38"/>
        <v>0</v>
      </c>
      <c r="AH76" s="3">
        <f t="shared" si="38"/>
        <v>0</v>
      </c>
      <c r="AI76" s="3">
        <f t="shared" si="38"/>
        <v>0</v>
      </c>
      <c r="AJ76" s="3">
        <f t="shared" si="38"/>
        <v>0</v>
      </c>
      <c r="AK76" s="3">
        <f t="shared" si="38"/>
        <v>0</v>
      </c>
      <c r="AL76" s="3">
        <f t="shared" si="38"/>
        <v>0</v>
      </c>
      <c r="AM76" s="3">
        <f t="shared" si="38"/>
        <v>0</v>
      </c>
      <c r="AN76" s="3">
        <f t="shared" si="38"/>
        <v>5400042499</v>
      </c>
      <c r="AO76" s="3">
        <f t="shared" si="38"/>
        <v>5122374256</v>
      </c>
      <c r="AP76" s="3">
        <f t="shared" si="38"/>
        <v>6108142400</v>
      </c>
      <c r="AQ76" s="3">
        <f t="shared" si="38"/>
        <v>6691697581</v>
      </c>
      <c r="AR76" s="3">
        <f t="shared" si="38"/>
        <v>6073217039</v>
      </c>
      <c r="AS76" s="3">
        <f t="shared" si="38"/>
        <v>5922983520</v>
      </c>
      <c r="AT76" s="3">
        <f t="shared" si="38"/>
        <v>6293381718</v>
      </c>
      <c r="AU76" s="3">
        <f t="shared" si="38"/>
        <v>7144685884</v>
      </c>
      <c r="AV76" s="3">
        <f t="shared" si="38"/>
        <v>6789281721</v>
      </c>
      <c r="AW76" s="3">
        <f t="shared" si="38"/>
        <v>6545884719</v>
      </c>
      <c r="AX76" s="3">
        <f t="shared" si="38"/>
        <v>6744136746</v>
      </c>
      <c r="AY76" s="4">
        <f t="shared" si="38"/>
        <v>7473903734</v>
      </c>
      <c r="AZ76" s="4">
        <v>5647435742</v>
      </c>
      <c r="BA76" s="4">
        <v>9071341234</v>
      </c>
      <c r="BB76" s="4">
        <v>10968199214</v>
      </c>
      <c r="BC76" s="4">
        <v>10719874211</v>
      </c>
      <c r="BD76" s="4">
        <v>11205380817</v>
      </c>
      <c r="BE76" s="4">
        <v>11616370097</v>
      </c>
      <c r="BF76" s="4">
        <v>11200435089</v>
      </c>
      <c r="BG76" s="4">
        <v>11375608560</v>
      </c>
      <c r="BH76" s="4">
        <v>11484782005</v>
      </c>
      <c r="BI76" s="4">
        <v>11895438934</v>
      </c>
      <c r="BJ76" s="4">
        <v>11714919536</v>
      </c>
      <c r="BK76" s="4">
        <v>11187207755</v>
      </c>
      <c r="BL76" s="4">
        <v>9847869392</v>
      </c>
      <c r="BM76" s="4">
        <v>9630642621</v>
      </c>
      <c r="BN76" s="4">
        <v>9117519894</v>
      </c>
      <c r="BO76" s="4">
        <v>8817015883</v>
      </c>
      <c r="BP76" s="4">
        <v>9333436216</v>
      </c>
      <c r="BQ76" s="4">
        <v>8714134684</v>
      </c>
      <c r="BR76" s="4">
        <f t="shared" ref="BR76:BW76" si="39">SUM(BR77:BR80)</f>
        <v>0</v>
      </c>
      <c r="BS76" s="4">
        <f t="shared" si="39"/>
        <v>0</v>
      </c>
      <c r="BT76" s="4">
        <f t="shared" si="39"/>
        <v>0</v>
      </c>
      <c r="BU76" s="4">
        <f t="shared" si="39"/>
        <v>0</v>
      </c>
      <c r="BV76" s="4">
        <f t="shared" si="39"/>
        <v>0</v>
      </c>
      <c r="BW76" s="4">
        <f t="shared" si="39"/>
        <v>0</v>
      </c>
    </row>
    <row r="77" spans="1:75" ht="15" customHeight="1">
      <c r="A77" s="55">
        <v>74</v>
      </c>
      <c r="B77" s="60" t="s">
        <v>102</v>
      </c>
      <c r="C77" s="55">
        <v>28</v>
      </c>
      <c r="D77" s="508"/>
      <c r="E77" s="508"/>
      <c r="F77" s="508"/>
      <c r="G77" s="508"/>
      <c r="H77" s="508"/>
      <c r="I77" s="508"/>
      <c r="J77" s="508"/>
      <c r="K77" s="508"/>
      <c r="L77" s="508"/>
      <c r="M77" s="508"/>
      <c r="N77" s="508"/>
      <c r="O77" s="508"/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8"/>
      <c r="AB77" s="508"/>
      <c r="AC77" s="508"/>
      <c r="AD77" s="508"/>
      <c r="AE77" s="508"/>
      <c r="AF77" s="508"/>
      <c r="AG77" s="508"/>
      <c r="AH77" s="508"/>
      <c r="AI77" s="508"/>
      <c r="AJ77" s="508"/>
      <c r="AK77" s="508"/>
      <c r="AL77" s="508"/>
      <c r="AM77" s="508"/>
      <c r="AN77" s="508">
        <v>5400042499</v>
      </c>
      <c r="AO77" s="508">
        <v>5122374256</v>
      </c>
      <c r="AP77" s="508">
        <v>6108142400</v>
      </c>
      <c r="AQ77" s="508">
        <v>6691697581</v>
      </c>
      <c r="AR77" s="508">
        <v>6073217039</v>
      </c>
      <c r="AS77" s="508">
        <v>5922983520</v>
      </c>
      <c r="AT77" s="508">
        <v>6293381718</v>
      </c>
      <c r="AU77" s="508">
        <v>7144685884</v>
      </c>
      <c r="AV77" s="508">
        <v>6789281721</v>
      </c>
      <c r="AW77" s="508">
        <v>6545884719</v>
      </c>
      <c r="AX77" s="508">
        <v>6744136746</v>
      </c>
      <c r="AY77" s="508">
        <v>7473903734</v>
      </c>
      <c r="AZ77" s="508">
        <v>7486377052</v>
      </c>
      <c r="BA77" s="508">
        <v>10902239544</v>
      </c>
      <c r="BB77" s="508">
        <v>10938837524</v>
      </c>
      <c r="BC77" s="508">
        <v>10690512521</v>
      </c>
      <c r="BD77" s="508">
        <v>11176019127</v>
      </c>
      <c r="BE77" s="508">
        <v>11587008407</v>
      </c>
      <c r="BF77" s="508">
        <v>11200435089</v>
      </c>
      <c r="BG77" s="508">
        <v>11375608560</v>
      </c>
      <c r="BH77" s="508">
        <v>11484782005</v>
      </c>
      <c r="BI77" s="508">
        <v>11895438934</v>
      </c>
      <c r="BJ77" s="508">
        <v>11714919536</v>
      </c>
      <c r="BK77" s="508">
        <v>11187207755</v>
      </c>
      <c r="BL77" s="508">
        <v>9847869392</v>
      </c>
      <c r="BM77" s="508">
        <v>9630642621</v>
      </c>
      <c r="BN77" s="508">
        <v>9117519894</v>
      </c>
      <c r="BO77" s="508">
        <v>8817015883</v>
      </c>
      <c r="BP77" s="508">
        <v>9333436216</v>
      </c>
      <c r="BQ77" s="508">
        <v>8714134684</v>
      </c>
      <c r="BR77" s="508"/>
      <c r="BS77" s="508"/>
      <c r="BT77" s="508"/>
      <c r="BU77" s="508"/>
      <c r="BV77" s="508"/>
      <c r="BW77" s="508"/>
    </row>
    <row r="78" spans="1:75" ht="15" customHeight="1">
      <c r="A78" s="55">
        <v>75</v>
      </c>
      <c r="B78" s="60" t="s">
        <v>103</v>
      </c>
      <c r="C78" s="55">
        <v>28</v>
      </c>
      <c r="D78" s="508"/>
      <c r="E78" s="508"/>
      <c r="F78" s="508"/>
      <c r="G78" s="508"/>
      <c r="H78" s="508"/>
      <c r="I78" s="508"/>
      <c r="J78" s="508"/>
      <c r="K78" s="508"/>
      <c r="L78" s="508"/>
      <c r="M78" s="508"/>
      <c r="N78" s="508"/>
      <c r="O78" s="508"/>
      <c r="P78" s="508"/>
      <c r="Q78" s="508"/>
      <c r="R78" s="508"/>
      <c r="S78" s="508"/>
      <c r="T78" s="508"/>
      <c r="U78" s="508"/>
      <c r="V78" s="508"/>
      <c r="W78" s="508"/>
      <c r="X78" s="508"/>
      <c r="Y78" s="508"/>
      <c r="Z78" s="508"/>
      <c r="AA78" s="508"/>
      <c r="AB78" s="508"/>
      <c r="AC78" s="508"/>
      <c r="AD78" s="508"/>
      <c r="AE78" s="508"/>
      <c r="AF78" s="508"/>
      <c r="AG78" s="508"/>
      <c r="AH78" s="508"/>
      <c r="AI78" s="508"/>
      <c r="AJ78" s="508"/>
      <c r="AK78" s="508"/>
      <c r="AL78" s="508"/>
      <c r="AM78" s="508"/>
      <c r="AN78" s="508">
        <v>0</v>
      </c>
      <c r="AO78" s="508">
        <v>0</v>
      </c>
      <c r="AP78" s="508">
        <v>0</v>
      </c>
      <c r="AQ78" s="508">
        <v>0</v>
      </c>
      <c r="AR78" s="508">
        <v>0</v>
      </c>
      <c r="AS78" s="508">
        <v>0</v>
      </c>
      <c r="AT78" s="508">
        <v>0</v>
      </c>
      <c r="AU78" s="508">
        <v>0</v>
      </c>
      <c r="AV78" s="508">
        <v>0</v>
      </c>
      <c r="AW78" s="508">
        <v>0</v>
      </c>
      <c r="AX78" s="508">
        <v>0</v>
      </c>
      <c r="AY78" s="508">
        <v>0</v>
      </c>
      <c r="AZ78" s="508">
        <v>-1838941310</v>
      </c>
      <c r="BA78" s="508">
        <v>-1830898310</v>
      </c>
      <c r="BB78" s="508">
        <v>29361690</v>
      </c>
      <c r="BC78" s="508">
        <v>29361690</v>
      </c>
      <c r="BD78" s="508">
        <v>29361690</v>
      </c>
      <c r="BE78" s="508">
        <v>29361690</v>
      </c>
      <c r="BF78" s="508">
        <v>0</v>
      </c>
      <c r="BG78" s="508">
        <v>0</v>
      </c>
      <c r="BH78" s="508">
        <v>0</v>
      </c>
      <c r="BI78" s="508">
        <v>0</v>
      </c>
      <c r="BJ78" s="508">
        <v>0</v>
      </c>
      <c r="BK78" s="508">
        <v>0</v>
      </c>
      <c r="BL78" s="508">
        <v>0</v>
      </c>
      <c r="BM78" s="508">
        <v>0</v>
      </c>
      <c r="BN78" s="508">
        <v>0</v>
      </c>
      <c r="BO78" s="508">
        <v>0</v>
      </c>
      <c r="BP78" s="508">
        <v>0</v>
      </c>
      <c r="BQ78" s="508">
        <v>0</v>
      </c>
      <c r="BR78" s="508"/>
      <c r="BS78" s="508"/>
      <c r="BT78" s="508"/>
      <c r="BU78" s="508"/>
      <c r="BV78" s="508"/>
      <c r="BW78" s="508"/>
    </row>
    <row r="79" spans="1:75" ht="15" customHeight="1">
      <c r="A79" s="55">
        <v>76</v>
      </c>
      <c r="B79" s="60" t="s">
        <v>104</v>
      </c>
      <c r="C79" s="55">
        <v>28</v>
      </c>
      <c r="D79" s="508"/>
      <c r="E79" s="508"/>
      <c r="F79" s="508"/>
      <c r="G79" s="508"/>
      <c r="H79" s="508"/>
      <c r="I79" s="508"/>
      <c r="J79" s="508"/>
      <c r="K79" s="508"/>
      <c r="L79" s="508"/>
      <c r="M79" s="508"/>
      <c r="N79" s="508"/>
      <c r="O79" s="508"/>
      <c r="P79" s="508"/>
      <c r="Q79" s="508"/>
      <c r="R79" s="508"/>
      <c r="S79" s="508"/>
      <c r="T79" s="508"/>
      <c r="U79" s="508"/>
      <c r="V79" s="508"/>
      <c r="W79" s="508"/>
      <c r="X79" s="508"/>
      <c r="Y79" s="508"/>
      <c r="Z79" s="508"/>
      <c r="AA79" s="508"/>
      <c r="AB79" s="508"/>
      <c r="AC79" s="508"/>
      <c r="AD79" s="508"/>
      <c r="AE79" s="508"/>
      <c r="AF79" s="508"/>
      <c r="AG79" s="508"/>
      <c r="AH79" s="508"/>
      <c r="AI79" s="508"/>
      <c r="AJ79" s="508"/>
      <c r="AK79" s="508"/>
      <c r="AL79" s="508"/>
      <c r="AM79" s="508"/>
      <c r="AN79" s="508">
        <v>0</v>
      </c>
      <c r="AO79" s="508">
        <v>0</v>
      </c>
      <c r="AP79" s="508">
        <v>0</v>
      </c>
      <c r="AQ79" s="508">
        <v>0</v>
      </c>
      <c r="AR79" s="508">
        <v>0</v>
      </c>
      <c r="AS79" s="508">
        <v>0</v>
      </c>
      <c r="AT79" s="508">
        <v>0</v>
      </c>
      <c r="AU79" s="508">
        <v>0</v>
      </c>
      <c r="AV79" s="508">
        <v>0</v>
      </c>
      <c r="AW79" s="508">
        <v>0</v>
      </c>
      <c r="AX79" s="508">
        <v>0</v>
      </c>
      <c r="AY79" s="508">
        <v>0</v>
      </c>
      <c r="AZ79" s="508">
        <v>0</v>
      </c>
      <c r="BA79" s="508">
        <v>0</v>
      </c>
      <c r="BB79" s="508">
        <v>0</v>
      </c>
      <c r="BC79" s="508">
        <v>0</v>
      </c>
      <c r="BD79" s="508">
        <v>0</v>
      </c>
      <c r="BE79" s="508">
        <v>0</v>
      </c>
      <c r="BF79" s="508">
        <v>0</v>
      </c>
      <c r="BG79" s="508">
        <v>0</v>
      </c>
      <c r="BH79" s="508">
        <v>0</v>
      </c>
      <c r="BI79" s="508">
        <v>0</v>
      </c>
      <c r="BJ79" s="508">
        <v>0</v>
      </c>
      <c r="BK79" s="508">
        <v>0</v>
      </c>
      <c r="BL79" s="508">
        <v>0</v>
      </c>
      <c r="BM79" s="508">
        <v>0</v>
      </c>
      <c r="BN79" s="508">
        <v>0</v>
      </c>
      <c r="BO79" s="508">
        <v>0</v>
      </c>
      <c r="BP79" s="508">
        <v>0</v>
      </c>
      <c r="BQ79" s="508">
        <v>0</v>
      </c>
      <c r="BR79" s="508"/>
      <c r="BS79" s="508"/>
      <c r="BT79" s="508"/>
      <c r="BU79" s="508"/>
      <c r="BV79" s="508"/>
      <c r="BW79" s="508"/>
    </row>
    <row r="80" spans="1:75" ht="15" customHeight="1">
      <c r="A80" s="55">
        <v>77</v>
      </c>
      <c r="B80" s="60" t="s">
        <v>105</v>
      </c>
      <c r="C80" s="55">
        <v>28</v>
      </c>
      <c r="D80" s="508"/>
      <c r="E80" s="508"/>
      <c r="F80" s="508"/>
      <c r="G80" s="508"/>
      <c r="H80" s="508"/>
      <c r="I80" s="508"/>
      <c r="J80" s="508"/>
      <c r="K80" s="508"/>
      <c r="L80" s="508"/>
      <c r="M80" s="508"/>
      <c r="N80" s="508"/>
      <c r="O80" s="508"/>
      <c r="P80" s="508"/>
      <c r="Q80" s="508"/>
      <c r="R80" s="508"/>
      <c r="S80" s="508"/>
      <c r="T80" s="508"/>
      <c r="U80" s="508"/>
      <c r="V80" s="508"/>
      <c r="W80" s="508"/>
      <c r="X80" s="508"/>
      <c r="Y80" s="508"/>
      <c r="Z80" s="508"/>
      <c r="AA80" s="508"/>
      <c r="AB80" s="508"/>
      <c r="AC80" s="508"/>
      <c r="AD80" s="508"/>
      <c r="AE80" s="508"/>
      <c r="AF80" s="508"/>
      <c r="AG80" s="508"/>
      <c r="AH80" s="508"/>
      <c r="AI80" s="508"/>
      <c r="AJ80" s="508"/>
      <c r="AK80" s="508"/>
      <c r="AL80" s="508"/>
      <c r="AM80" s="508"/>
      <c r="AN80" s="508">
        <v>0</v>
      </c>
      <c r="AO80" s="508">
        <v>0</v>
      </c>
      <c r="AP80" s="508">
        <v>0</v>
      </c>
      <c r="AQ80" s="508">
        <v>0</v>
      </c>
      <c r="AR80" s="508">
        <v>0</v>
      </c>
      <c r="AS80" s="508">
        <v>0</v>
      </c>
      <c r="AT80" s="508">
        <v>0</v>
      </c>
      <c r="AU80" s="508">
        <v>0</v>
      </c>
      <c r="AV80" s="508">
        <v>0</v>
      </c>
      <c r="AW80" s="508">
        <v>0</v>
      </c>
      <c r="AX80" s="508">
        <v>0</v>
      </c>
      <c r="AY80" s="508">
        <v>0</v>
      </c>
      <c r="AZ80" s="508">
        <v>0</v>
      </c>
      <c r="BA80" s="508">
        <v>0</v>
      </c>
      <c r="BB80" s="508">
        <v>0</v>
      </c>
      <c r="BC80" s="508">
        <v>0</v>
      </c>
      <c r="BD80" s="508">
        <v>0</v>
      </c>
      <c r="BE80" s="508">
        <v>0</v>
      </c>
      <c r="BF80" s="508">
        <v>0</v>
      </c>
      <c r="BG80" s="508">
        <v>0</v>
      </c>
      <c r="BH80" s="508">
        <v>0</v>
      </c>
      <c r="BI80" s="508">
        <v>0</v>
      </c>
      <c r="BJ80" s="508">
        <v>0</v>
      </c>
      <c r="BK80" s="508">
        <v>0</v>
      </c>
      <c r="BL80" s="508">
        <v>0</v>
      </c>
      <c r="BM80" s="508">
        <v>0</v>
      </c>
      <c r="BN80" s="508">
        <v>0</v>
      </c>
      <c r="BO80" s="508">
        <v>0</v>
      </c>
      <c r="BP80" s="508">
        <v>0</v>
      </c>
      <c r="BQ80" s="508">
        <v>0</v>
      </c>
      <c r="BR80" s="508"/>
      <c r="BS80" s="508"/>
      <c r="BT80" s="508"/>
      <c r="BU80" s="508"/>
      <c r="BV80" s="508"/>
      <c r="BW80" s="508"/>
    </row>
    <row r="81" spans="1:75" s="74" customFormat="1" ht="15" customHeight="1">
      <c r="A81" s="72">
        <v>78</v>
      </c>
      <c r="B81" s="73" t="s">
        <v>344</v>
      </c>
      <c r="C81" s="72">
        <v>28</v>
      </c>
      <c r="D81" s="7">
        <f t="shared" ref="D81:AY81" si="40">SUM(D4,D36)</f>
        <v>0</v>
      </c>
      <c r="E81" s="7">
        <f t="shared" si="40"/>
        <v>0</v>
      </c>
      <c r="F81" s="7">
        <f t="shared" si="40"/>
        <v>0</v>
      </c>
      <c r="G81" s="7">
        <f t="shared" si="40"/>
        <v>0</v>
      </c>
      <c r="H81" s="7">
        <f t="shared" si="40"/>
        <v>0</v>
      </c>
      <c r="I81" s="7">
        <f t="shared" si="40"/>
        <v>0</v>
      </c>
      <c r="J81" s="7">
        <f t="shared" si="40"/>
        <v>0</v>
      </c>
      <c r="K81" s="7">
        <f t="shared" si="40"/>
        <v>0</v>
      </c>
      <c r="L81" s="7">
        <f t="shared" si="40"/>
        <v>0</v>
      </c>
      <c r="M81" s="7">
        <f t="shared" si="40"/>
        <v>0</v>
      </c>
      <c r="N81" s="7">
        <f t="shared" si="40"/>
        <v>0</v>
      </c>
      <c r="O81" s="7">
        <f t="shared" si="40"/>
        <v>0</v>
      </c>
      <c r="P81" s="7">
        <f t="shared" si="40"/>
        <v>0</v>
      </c>
      <c r="Q81" s="7">
        <f t="shared" si="40"/>
        <v>0</v>
      </c>
      <c r="R81" s="7">
        <f t="shared" si="40"/>
        <v>0</v>
      </c>
      <c r="S81" s="7">
        <f t="shared" si="40"/>
        <v>0</v>
      </c>
      <c r="T81" s="7">
        <f t="shared" si="40"/>
        <v>0</v>
      </c>
      <c r="U81" s="7">
        <f t="shared" si="40"/>
        <v>0</v>
      </c>
      <c r="V81" s="7">
        <f t="shared" si="40"/>
        <v>0</v>
      </c>
      <c r="W81" s="7">
        <f t="shared" si="40"/>
        <v>0</v>
      </c>
      <c r="X81" s="7">
        <f t="shared" si="40"/>
        <v>0</v>
      </c>
      <c r="Y81" s="7">
        <f t="shared" si="40"/>
        <v>0</v>
      </c>
      <c r="Z81" s="7">
        <f t="shared" si="40"/>
        <v>0</v>
      </c>
      <c r="AA81" s="7">
        <f t="shared" si="40"/>
        <v>0</v>
      </c>
      <c r="AB81" s="7">
        <f t="shared" si="40"/>
        <v>0</v>
      </c>
      <c r="AC81" s="7">
        <f t="shared" si="40"/>
        <v>0</v>
      </c>
      <c r="AD81" s="7">
        <f t="shared" si="40"/>
        <v>0</v>
      </c>
      <c r="AE81" s="7">
        <f t="shared" si="40"/>
        <v>0</v>
      </c>
      <c r="AF81" s="7">
        <f t="shared" si="40"/>
        <v>0</v>
      </c>
      <c r="AG81" s="7">
        <f t="shared" si="40"/>
        <v>0</v>
      </c>
      <c r="AH81" s="7">
        <f t="shared" si="40"/>
        <v>0</v>
      </c>
      <c r="AI81" s="7">
        <f t="shared" si="40"/>
        <v>0</v>
      </c>
      <c r="AJ81" s="7">
        <f t="shared" si="40"/>
        <v>0</v>
      </c>
      <c r="AK81" s="7">
        <f t="shared" si="40"/>
        <v>0</v>
      </c>
      <c r="AL81" s="7">
        <f t="shared" si="40"/>
        <v>0</v>
      </c>
      <c r="AM81" s="7">
        <f t="shared" si="40"/>
        <v>0</v>
      </c>
      <c r="AN81" s="7">
        <f t="shared" si="40"/>
        <v>1175130402352</v>
      </c>
      <c r="AO81" s="7">
        <f t="shared" si="40"/>
        <v>1156870558457</v>
      </c>
      <c r="AP81" s="7">
        <f t="shared" si="40"/>
        <v>1193502357108.8599</v>
      </c>
      <c r="AQ81" s="7">
        <f t="shared" si="40"/>
        <v>1254540608128.8821</v>
      </c>
      <c r="AR81" s="7">
        <f t="shared" si="40"/>
        <v>1298938884161</v>
      </c>
      <c r="AS81" s="7">
        <f t="shared" si="40"/>
        <v>1325603983311</v>
      </c>
      <c r="AT81" s="7">
        <f t="shared" si="40"/>
        <v>1267478798902</v>
      </c>
      <c r="AU81" s="7">
        <f t="shared" si="40"/>
        <v>1218289415966</v>
      </c>
      <c r="AV81" s="7">
        <f t="shared" si="40"/>
        <v>1260492317013</v>
      </c>
      <c r="AW81" s="7">
        <f t="shared" si="40"/>
        <v>1282720707132</v>
      </c>
      <c r="AX81" s="7">
        <f t="shared" si="40"/>
        <v>1380932210078</v>
      </c>
      <c r="AY81" s="8">
        <f t="shared" si="40"/>
        <v>1365896363032.4819</v>
      </c>
      <c r="AZ81" s="8">
        <v>1283726765237</v>
      </c>
      <c r="BA81" s="8">
        <v>1194704439779</v>
      </c>
      <c r="BB81" s="8">
        <v>1249189875833.4819</v>
      </c>
      <c r="BC81" s="8">
        <v>1322043976414</v>
      </c>
      <c r="BD81" s="8">
        <v>1378213576429</v>
      </c>
      <c r="BE81" s="8">
        <v>1412639543304.4819</v>
      </c>
      <c r="BF81" s="8">
        <v>1406218085864.4819</v>
      </c>
      <c r="BG81" s="8">
        <v>1467398603298.4819</v>
      </c>
      <c r="BH81" s="8">
        <v>1453327615282.4819</v>
      </c>
      <c r="BI81" s="8">
        <v>1402480690156.4819</v>
      </c>
      <c r="BJ81" s="8">
        <v>1380736689249.4819</v>
      </c>
      <c r="BK81" s="8">
        <v>1377306550833</v>
      </c>
      <c r="BL81" s="8">
        <v>1424323112774.8057</v>
      </c>
      <c r="BM81" s="8">
        <v>1439263177992.0342</v>
      </c>
      <c r="BN81" s="8">
        <v>1395428857252.0425</v>
      </c>
      <c r="BO81" s="8">
        <v>1377879974068.873</v>
      </c>
      <c r="BP81" s="8">
        <v>1458807030447.6418</v>
      </c>
      <c r="BQ81" s="8">
        <v>1525860293577.1233</v>
      </c>
      <c r="BR81" s="8">
        <f t="shared" ref="BR81:BW81" si="41">SUM(BR4,BR36)</f>
        <v>0</v>
      </c>
      <c r="BS81" s="8">
        <f t="shared" si="41"/>
        <v>0</v>
      </c>
      <c r="BT81" s="8">
        <f t="shared" si="41"/>
        <v>0</v>
      </c>
      <c r="BU81" s="8">
        <f t="shared" si="41"/>
        <v>0</v>
      </c>
      <c r="BV81" s="8">
        <f t="shared" si="41"/>
        <v>0</v>
      </c>
      <c r="BW81" s="8">
        <f t="shared" si="41"/>
        <v>0</v>
      </c>
    </row>
    <row r="82" spans="1:75" ht="15" customHeight="1">
      <c r="A82" s="62">
        <v>79</v>
      </c>
      <c r="B82" s="52" t="s">
        <v>345</v>
      </c>
      <c r="C82" s="62">
        <v>28</v>
      </c>
      <c r="D82" s="5">
        <f t="shared" ref="D82:AY82" si="42">SUM(D83,D99)</f>
        <v>0</v>
      </c>
      <c r="E82" s="5">
        <f t="shared" si="42"/>
        <v>0</v>
      </c>
      <c r="F82" s="5">
        <f t="shared" si="42"/>
        <v>0</v>
      </c>
      <c r="G82" s="5">
        <f t="shared" si="42"/>
        <v>0</v>
      </c>
      <c r="H82" s="5">
        <f t="shared" si="42"/>
        <v>0</v>
      </c>
      <c r="I82" s="5">
        <f t="shared" si="42"/>
        <v>0</v>
      </c>
      <c r="J82" s="5">
        <f t="shared" si="42"/>
        <v>0</v>
      </c>
      <c r="K82" s="5">
        <f t="shared" si="42"/>
        <v>0</v>
      </c>
      <c r="L82" s="5">
        <f t="shared" si="42"/>
        <v>0</v>
      </c>
      <c r="M82" s="5">
        <f t="shared" si="42"/>
        <v>0</v>
      </c>
      <c r="N82" s="5">
        <f t="shared" si="42"/>
        <v>0</v>
      </c>
      <c r="O82" s="5">
        <f t="shared" si="42"/>
        <v>0</v>
      </c>
      <c r="P82" s="5">
        <f t="shared" si="42"/>
        <v>0</v>
      </c>
      <c r="Q82" s="5">
        <f t="shared" si="42"/>
        <v>0</v>
      </c>
      <c r="R82" s="5">
        <f t="shared" si="42"/>
        <v>0</v>
      </c>
      <c r="S82" s="5">
        <f t="shared" si="42"/>
        <v>0</v>
      </c>
      <c r="T82" s="5">
        <f t="shared" si="42"/>
        <v>0</v>
      </c>
      <c r="U82" s="5">
        <f t="shared" si="42"/>
        <v>0</v>
      </c>
      <c r="V82" s="5">
        <f t="shared" si="42"/>
        <v>0</v>
      </c>
      <c r="W82" s="5">
        <f t="shared" si="42"/>
        <v>0</v>
      </c>
      <c r="X82" s="5">
        <f t="shared" si="42"/>
        <v>0</v>
      </c>
      <c r="Y82" s="5">
        <f t="shared" si="42"/>
        <v>0</v>
      </c>
      <c r="Z82" s="5">
        <f t="shared" si="42"/>
        <v>0</v>
      </c>
      <c r="AA82" s="5">
        <f t="shared" si="42"/>
        <v>0</v>
      </c>
      <c r="AB82" s="5">
        <f t="shared" si="42"/>
        <v>0</v>
      </c>
      <c r="AC82" s="5">
        <f t="shared" si="42"/>
        <v>0</v>
      </c>
      <c r="AD82" s="5">
        <f t="shared" si="42"/>
        <v>0</v>
      </c>
      <c r="AE82" s="5">
        <f t="shared" si="42"/>
        <v>0</v>
      </c>
      <c r="AF82" s="5">
        <f t="shared" si="42"/>
        <v>0</v>
      </c>
      <c r="AG82" s="5">
        <f t="shared" si="42"/>
        <v>0</v>
      </c>
      <c r="AH82" s="5">
        <f t="shared" si="42"/>
        <v>0</v>
      </c>
      <c r="AI82" s="5">
        <f t="shared" si="42"/>
        <v>0</v>
      </c>
      <c r="AJ82" s="5">
        <f t="shared" si="42"/>
        <v>0</v>
      </c>
      <c r="AK82" s="5">
        <f t="shared" si="42"/>
        <v>0</v>
      </c>
      <c r="AL82" s="5">
        <f t="shared" si="42"/>
        <v>0</v>
      </c>
      <c r="AM82" s="5">
        <f t="shared" si="42"/>
        <v>0</v>
      </c>
      <c r="AN82" s="5">
        <f t="shared" si="42"/>
        <v>319278887594</v>
      </c>
      <c r="AO82" s="5">
        <f t="shared" si="42"/>
        <v>307757355551</v>
      </c>
      <c r="AP82" s="5">
        <f t="shared" si="42"/>
        <v>347132475490.85999</v>
      </c>
      <c r="AQ82" s="5">
        <f t="shared" si="42"/>
        <v>406502386093.88196</v>
      </c>
      <c r="AR82" s="5">
        <f t="shared" si="42"/>
        <v>456592470300</v>
      </c>
      <c r="AS82" s="5">
        <f t="shared" si="42"/>
        <v>495400218095</v>
      </c>
      <c r="AT82" s="5">
        <f t="shared" si="42"/>
        <v>452469310020</v>
      </c>
      <c r="AU82" s="5">
        <f t="shared" si="42"/>
        <v>413326872943</v>
      </c>
      <c r="AV82" s="5">
        <f t="shared" si="42"/>
        <v>447411505392</v>
      </c>
      <c r="AW82" s="5">
        <f t="shared" si="42"/>
        <v>475985642175</v>
      </c>
      <c r="AX82" s="5">
        <f t="shared" si="42"/>
        <v>560249294793</v>
      </c>
      <c r="AY82" s="6">
        <f t="shared" si="42"/>
        <v>455639093773.48199</v>
      </c>
      <c r="AZ82" s="6">
        <v>371266639153</v>
      </c>
      <c r="BA82" s="6">
        <v>268184085009</v>
      </c>
      <c r="BB82" s="6">
        <v>316925261180.48199</v>
      </c>
      <c r="BC82" s="6">
        <v>386520151527</v>
      </c>
      <c r="BD82" s="6">
        <v>433391232413</v>
      </c>
      <c r="BE82" s="6">
        <v>467131698044.48199</v>
      </c>
      <c r="BF82" s="6">
        <v>457466251634.48212</v>
      </c>
      <c r="BG82" s="6">
        <v>516097615886.48212</v>
      </c>
      <c r="BH82" s="6">
        <v>513214714850.48199</v>
      </c>
      <c r="BI82" s="6">
        <v>467249572613.48199</v>
      </c>
      <c r="BJ82" s="6">
        <v>452992625682.48199</v>
      </c>
      <c r="BK82" s="6">
        <v>442178198680</v>
      </c>
      <c r="BL82" s="6">
        <v>398262934016</v>
      </c>
      <c r="BM82" s="6">
        <v>420937669414.40002</v>
      </c>
      <c r="BN82" s="6">
        <v>384189956751</v>
      </c>
      <c r="BO82" s="6">
        <v>361844242546</v>
      </c>
      <c r="BP82" s="6">
        <v>433386882531</v>
      </c>
      <c r="BQ82" s="6">
        <v>459943417863</v>
      </c>
      <c r="BR82" s="6">
        <f t="shared" ref="BR82:BW82" si="43">SUM(BR83,BR99)</f>
        <v>0</v>
      </c>
      <c r="BS82" s="6">
        <f t="shared" si="43"/>
        <v>0</v>
      </c>
      <c r="BT82" s="6">
        <f t="shared" si="43"/>
        <v>0</v>
      </c>
      <c r="BU82" s="6">
        <f t="shared" si="43"/>
        <v>0</v>
      </c>
      <c r="BV82" s="6">
        <f t="shared" si="43"/>
        <v>0</v>
      </c>
      <c r="BW82" s="6">
        <f t="shared" si="43"/>
        <v>0</v>
      </c>
    </row>
    <row r="83" spans="1:75" ht="15" customHeight="1">
      <c r="A83" s="59">
        <v>80</v>
      </c>
      <c r="B83" s="54" t="s">
        <v>346</v>
      </c>
      <c r="C83" s="59">
        <v>28</v>
      </c>
      <c r="D83" s="3">
        <f t="shared" ref="D83:AY83" si="44">SUM(D84:D98)</f>
        <v>0</v>
      </c>
      <c r="E83" s="3">
        <f t="shared" si="44"/>
        <v>0</v>
      </c>
      <c r="F83" s="3">
        <f t="shared" si="44"/>
        <v>0</v>
      </c>
      <c r="G83" s="3">
        <f t="shared" si="44"/>
        <v>0</v>
      </c>
      <c r="H83" s="3">
        <f t="shared" si="44"/>
        <v>0</v>
      </c>
      <c r="I83" s="3">
        <f t="shared" si="44"/>
        <v>0</v>
      </c>
      <c r="J83" s="3">
        <f t="shared" si="44"/>
        <v>0</v>
      </c>
      <c r="K83" s="3">
        <f t="shared" si="44"/>
        <v>0</v>
      </c>
      <c r="L83" s="3">
        <f t="shared" si="44"/>
        <v>0</v>
      </c>
      <c r="M83" s="3">
        <f t="shared" si="44"/>
        <v>0</v>
      </c>
      <c r="N83" s="3">
        <f t="shared" si="44"/>
        <v>0</v>
      </c>
      <c r="O83" s="3">
        <f t="shared" si="44"/>
        <v>0</v>
      </c>
      <c r="P83" s="3">
        <f t="shared" si="44"/>
        <v>0</v>
      </c>
      <c r="Q83" s="3">
        <f t="shared" si="44"/>
        <v>0</v>
      </c>
      <c r="R83" s="3">
        <f t="shared" si="44"/>
        <v>0</v>
      </c>
      <c r="S83" s="3">
        <f t="shared" si="44"/>
        <v>0</v>
      </c>
      <c r="T83" s="3">
        <f t="shared" si="44"/>
        <v>0</v>
      </c>
      <c r="U83" s="3">
        <f t="shared" si="44"/>
        <v>0</v>
      </c>
      <c r="V83" s="3">
        <f t="shared" si="44"/>
        <v>0</v>
      </c>
      <c r="W83" s="3">
        <f t="shared" si="44"/>
        <v>0</v>
      </c>
      <c r="X83" s="3">
        <f t="shared" si="44"/>
        <v>0</v>
      </c>
      <c r="Y83" s="3">
        <f t="shared" si="44"/>
        <v>0</v>
      </c>
      <c r="Z83" s="3">
        <f t="shared" si="44"/>
        <v>0</v>
      </c>
      <c r="AA83" s="3">
        <f t="shared" si="44"/>
        <v>0</v>
      </c>
      <c r="AB83" s="3">
        <f t="shared" si="44"/>
        <v>0</v>
      </c>
      <c r="AC83" s="3">
        <f t="shared" si="44"/>
        <v>0</v>
      </c>
      <c r="AD83" s="3">
        <f t="shared" si="44"/>
        <v>0</v>
      </c>
      <c r="AE83" s="3">
        <f t="shared" si="44"/>
        <v>0</v>
      </c>
      <c r="AF83" s="3">
        <f t="shared" si="44"/>
        <v>0</v>
      </c>
      <c r="AG83" s="3">
        <f t="shared" si="44"/>
        <v>0</v>
      </c>
      <c r="AH83" s="3">
        <f t="shared" si="44"/>
        <v>0</v>
      </c>
      <c r="AI83" s="3">
        <f t="shared" si="44"/>
        <v>0</v>
      </c>
      <c r="AJ83" s="3">
        <f t="shared" si="44"/>
        <v>0</v>
      </c>
      <c r="AK83" s="3">
        <f t="shared" si="44"/>
        <v>0</v>
      </c>
      <c r="AL83" s="3">
        <f t="shared" si="44"/>
        <v>0</v>
      </c>
      <c r="AM83" s="3">
        <f t="shared" si="44"/>
        <v>0</v>
      </c>
      <c r="AN83" s="3">
        <f t="shared" si="44"/>
        <v>208892476524</v>
      </c>
      <c r="AO83" s="3">
        <f t="shared" si="44"/>
        <v>197465004481</v>
      </c>
      <c r="AP83" s="3">
        <f t="shared" si="44"/>
        <v>236899124420.85999</v>
      </c>
      <c r="AQ83" s="3">
        <f t="shared" si="44"/>
        <v>296564228415.88196</v>
      </c>
      <c r="AR83" s="3">
        <f t="shared" si="44"/>
        <v>348607602622</v>
      </c>
      <c r="AS83" s="3">
        <f t="shared" si="44"/>
        <v>386086182417</v>
      </c>
      <c r="AT83" s="3">
        <f t="shared" si="44"/>
        <v>343042467734</v>
      </c>
      <c r="AU83" s="3">
        <f t="shared" si="44"/>
        <v>304557090657</v>
      </c>
      <c r="AV83" s="3">
        <f t="shared" si="44"/>
        <v>338046723106</v>
      </c>
      <c r="AW83" s="3">
        <f t="shared" si="44"/>
        <v>366397053281</v>
      </c>
      <c r="AX83" s="3">
        <f t="shared" si="44"/>
        <v>424034765899</v>
      </c>
      <c r="AY83" s="4">
        <f t="shared" si="44"/>
        <v>338131748251.48199</v>
      </c>
      <c r="AZ83" s="4">
        <v>230086297207</v>
      </c>
      <c r="BA83" s="4">
        <v>131251580841</v>
      </c>
      <c r="BB83" s="4">
        <v>180829534790.48199</v>
      </c>
      <c r="BC83" s="4">
        <v>251497396307</v>
      </c>
      <c r="BD83" s="4">
        <v>302616314971</v>
      </c>
      <c r="BE83" s="4">
        <v>357239906650.48199</v>
      </c>
      <c r="BF83" s="4">
        <v>348647431410.48212</v>
      </c>
      <c r="BG83" s="4">
        <v>408864105440.48212</v>
      </c>
      <c r="BH83" s="4">
        <v>406817982182.48199</v>
      </c>
      <c r="BI83" s="4">
        <v>365906438671.48199</v>
      </c>
      <c r="BJ83" s="4">
        <v>350591252740.48199</v>
      </c>
      <c r="BK83" s="4">
        <v>359025944326</v>
      </c>
      <c r="BL83" s="4">
        <v>316020092601</v>
      </c>
      <c r="BM83" s="4">
        <v>316767327999.40002</v>
      </c>
      <c r="BN83" s="4">
        <v>271319615336</v>
      </c>
      <c r="BO83" s="4">
        <v>248973901131</v>
      </c>
      <c r="BP83" s="4">
        <v>245683646116</v>
      </c>
      <c r="BQ83" s="4">
        <v>304240181448</v>
      </c>
      <c r="BR83" s="4">
        <f t="shared" ref="BR83:BW83" si="45">SUM(BR84:BR98)</f>
        <v>0</v>
      </c>
      <c r="BS83" s="4">
        <f t="shared" si="45"/>
        <v>0</v>
      </c>
      <c r="BT83" s="4">
        <f t="shared" si="45"/>
        <v>0</v>
      </c>
      <c r="BU83" s="4">
        <f t="shared" si="45"/>
        <v>0</v>
      </c>
      <c r="BV83" s="4">
        <f t="shared" si="45"/>
        <v>0</v>
      </c>
      <c r="BW83" s="4">
        <f t="shared" si="45"/>
        <v>0</v>
      </c>
    </row>
    <row r="84" spans="1:75" ht="15" customHeight="1">
      <c r="A84" s="55">
        <v>81</v>
      </c>
      <c r="B84" s="75" t="s">
        <v>110</v>
      </c>
      <c r="C84" s="55">
        <v>28</v>
      </c>
      <c r="D84" s="508"/>
      <c r="E84" s="508"/>
      <c r="F84" s="508"/>
      <c r="G84" s="508"/>
      <c r="H84" s="508"/>
      <c r="I84" s="508"/>
      <c r="J84" s="508"/>
      <c r="K84" s="508"/>
      <c r="L84" s="508"/>
      <c r="M84" s="508"/>
      <c r="N84" s="508"/>
      <c r="O84" s="508"/>
      <c r="P84" s="508"/>
      <c r="Q84" s="508"/>
      <c r="R84" s="508"/>
      <c r="S84" s="508"/>
      <c r="T84" s="508"/>
      <c r="U84" s="508"/>
      <c r="V84" s="508"/>
      <c r="W84" s="508"/>
      <c r="X84" s="508"/>
      <c r="Y84" s="508"/>
      <c r="Z84" s="508"/>
      <c r="AA84" s="508"/>
      <c r="AB84" s="508"/>
      <c r="AC84" s="508"/>
      <c r="AD84" s="508"/>
      <c r="AE84" s="508"/>
      <c r="AF84" s="508"/>
      <c r="AG84" s="508"/>
      <c r="AH84" s="508"/>
      <c r="AI84" s="508"/>
      <c r="AJ84" s="508"/>
      <c r="AK84" s="508"/>
      <c r="AL84" s="508"/>
      <c r="AM84" s="508"/>
      <c r="AN84" s="508">
        <v>82949409956</v>
      </c>
      <c r="AO84" s="508">
        <v>85403340041</v>
      </c>
      <c r="AP84" s="508">
        <v>89847500656</v>
      </c>
      <c r="AQ84" s="508">
        <v>92084070378</v>
      </c>
      <c r="AR84" s="508">
        <v>97185029412</v>
      </c>
      <c r="AS84" s="508">
        <v>129200888383</v>
      </c>
      <c r="AT84" s="508">
        <v>101456785709</v>
      </c>
      <c r="AU84" s="508">
        <v>115528799746</v>
      </c>
      <c r="AV84" s="508">
        <v>154591767517</v>
      </c>
      <c r="AW84" s="508">
        <v>155116256899</v>
      </c>
      <c r="AX84" s="508">
        <v>163705606191</v>
      </c>
      <c r="AY84" s="508">
        <v>51214283090</v>
      </c>
      <c r="AZ84" s="508">
        <v>23546150283</v>
      </c>
      <c r="BA84" s="508">
        <v>19336461793</v>
      </c>
      <c r="BB84" s="508">
        <v>40828775779</v>
      </c>
      <c r="BC84" s="508">
        <v>43887723430</v>
      </c>
      <c r="BD84" s="508">
        <v>42033194457</v>
      </c>
      <c r="BE84" s="508">
        <v>59295501625</v>
      </c>
      <c r="BF84" s="508">
        <v>19562723494</v>
      </c>
      <c r="BG84" s="508">
        <v>28765117740</v>
      </c>
      <c r="BH84" s="508">
        <v>35900353394</v>
      </c>
      <c r="BI84" s="508">
        <v>42762502755</v>
      </c>
      <c r="BJ84" s="508">
        <v>34584894012</v>
      </c>
      <c r="BK84" s="508">
        <v>28643819309</v>
      </c>
      <c r="BL84" s="508">
        <v>34204260957</v>
      </c>
      <c r="BM84" s="508">
        <v>33850667391.400002</v>
      </c>
      <c r="BN84" s="508">
        <v>44075373444</v>
      </c>
      <c r="BO84" s="508">
        <v>44354699133</v>
      </c>
      <c r="BP84" s="508">
        <v>67359231049</v>
      </c>
      <c r="BQ84" s="508">
        <v>76769852997</v>
      </c>
      <c r="BR84" s="508"/>
      <c r="BS84" s="508"/>
      <c r="BT84" s="508"/>
      <c r="BU84" s="508"/>
      <c r="BV84" s="508"/>
      <c r="BW84" s="508"/>
    </row>
    <row r="85" spans="1:75" ht="15" customHeight="1">
      <c r="A85" s="55">
        <v>82</v>
      </c>
      <c r="B85" s="75" t="s">
        <v>111</v>
      </c>
      <c r="C85" s="55">
        <v>28</v>
      </c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>
        <v>4031903040</v>
      </c>
      <c r="AO85" s="508">
        <v>0</v>
      </c>
      <c r="AP85" s="508">
        <v>-540918440</v>
      </c>
      <c r="AQ85" s="508">
        <v>4278155246</v>
      </c>
      <c r="AR85" s="508">
        <v>14753134850</v>
      </c>
      <c r="AS85" s="508">
        <v>36030101433</v>
      </c>
      <c r="AT85" s="508">
        <v>34757495667</v>
      </c>
      <c r="AU85" s="508">
        <v>16991723009</v>
      </c>
      <c r="AV85" s="508">
        <v>39469513</v>
      </c>
      <c r="AW85" s="508">
        <v>10373831336</v>
      </c>
      <c r="AX85" s="508">
        <v>37975916928</v>
      </c>
      <c r="AY85" s="508">
        <v>41546475913</v>
      </c>
      <c r="AZ85" s="508">
        <v>33988020046</v>
      </c>
      <c r="BA85" s="508">
        <v>18937907310</v>
      </c>
      <c r="BB85" s="508">
        <v>15058088135</v>
      </c>
      <c r="BC85" s="508">
        <v>4008722750</v>
      </c>
      <c r="BD85" s="508">
        <v>75365353</v>
      </c>
      <c r="BE85" s="508">
        <v>14926125753</v>
      </c>
      <c r="BF85" s="508">
        <v>23360719857</v>
      </c>
      <c r="BG85" s="508">
        <v>21001775533</v>
      </c>
      <c r="BH85" s="508">
        <v>14685336667</v>
      </c>
      <c r="BI85" s="508">
        <v>8914886658</v>
      </c>
      <c r="BJ85" s="508">
        <v>5997845638</v>
      </c>
      <c r="BK85" s="508">
        <v>17509392514</v>
      </c>
      <c r="BL85" s="508">
        <v>11995200530</v>
      </c>
      <c r="BM85" s="508">
        <v>6213138401</v>
      </c>
      <c r="BN85" s="508">
        <v>6298509550</v>
      </c>
      <c r="BO85" s="508">
        <v>10025771454</v>
      </c>
      <c r="BP85" s="508">
        <v>14080108614</v>
      </c>
      <c r="BQ85" s="508">
        <v>34213188294</v>
      </c>
      <c r="BR85" s="508"/>
      <c r="BS85" s="508"/>
      <c r="BT85" s="508"/>
      <c r="BU85" s="508"/>
      <c r="BV85" s="508"/>
      <c r="BW85" s="508"/>
    </row>
    <row r="86" spans="1:75" ht="15" customHeight="1">
      <c r="A86" s="55">
        <v>83</v>
      </c>
      <c r="B86" s="75" t="s">
        <v>112</v>
      </c>
      <c r="C86" s="55">
        <v>28</v>
      </c>
      <c r="D86" s="508"/>
      <c r="E86" s="508"/>
      <c r="F86" s="508"/>
      <c r="G86" s="508"/>
      <c r="H86" s="508"/>
      <c r="I86" s="508"/>
      <c r="J86" s="508"/>
      <c r="K86" s="508"/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508"/>
      <c r="W86" s="508"/>
      <c r="X86" s="508"/>
      <c r="Y86" s="508"/>
      <c r="Z86" s="508"/>
      <c r="AA86" s="508"/>
      <c r="AB86" s="508"/>
      <c r="AC86" s="508"/>
      <c r="AD86" s="508"/>
      <c r="AE86" s="508"/>
      <c r="AF86" s="508"/>
      <c r="AG86" s="508"/>
      <c r="AH86" s="508"/>
      <c r="AI86" s="508"/>
      <c r="AJ86" s="508"/>
      <c r="AK86" s="508"/>
      <c r="AL86" s="508"/>
      <c r="AM86" s="508"/>
      <c r="AN86" s="508">
        <v>0</v>
      </c>
      <c r="AO86" s="508">
        <v>0</v>
      </c>
      <c r="AP86" s="508">
        <v>0</v>
      </c>
      <c r="AQ86" s="508">
        <v>0</v>
      </c>
      <c r="AR86" s="508">
        <v>0</v>
      </c>
      <c r="AS86" s="508">
        <v>0</v>
      </c>
      <c r="AT86" s="508">
        <v>0</v>
      </c>
      <c r="AU86" s="508">
        <v>0</v>
      </c>
      <c r="AV86" s="508">
        <v>0</v>
      </c>
      <c r="AW86" s="508">
        <v>0</v>
      </c>
      <c r="AX86" s="508">
        <v>0</v>
      </c>
      <c r="AY86" s="508">
        <v>0</v>
      </c>
      <c r="AZ86" s="508">
        <v>0</v>
      </c>
      <c r="BA86" s="508">
        <v>0</v>
      </c>
      <c r="BB86" s="508">
        <v>0</v>
      </c>
      <c r="BC86" s="508">
        <v>0</v>
      </c>
      <c r="BD86" s="508">
        <v>0</v>
      </c>
      <c r="BE86" s="508">
        <v>0</v>
      </c>
      <c r="BF86" s="508">
        <v>0</v>
      </c>
      <c r="BG86" s="508">
        <v>0</v>
      </c>
      <c r="BH86" s="508">
        <v>0</v>
      </c>
      <c r="BI86" s="508">
        <v>0</v>
      </c>
      <c r="BJ86" s="508">
        <v>0</v>
      </c>
      <c r="BK86" s="508">
        <v>0</v>
      </c>
      <c r="BL86" s="508">
        <v>0</v>
      </c>
      <c r="BM86" s="508">
        <v>0</v>
      </c>
      <c r="BN86" s="508">
        <v>0</v>
      </c>
      <c r="BO86" s="508">
        <v>0</v>
      </c>
      <c r="BP86" s="508">
        <v>0</v>
      </c>
      <c r="BQ86" s="508">
        <v>0</v>
      </c>
      <c r="BR86" s="508"/>
      <c r="BS86" s="508"/>
      <c r="BT86" s="508"/>
      <c r="BU86" s="508"/>
      <c r="BV86" s="508"/>
      <c r="BW86" s="508"/>
    </row>
    <row r="87" spans="1:75" ht="15" customHeight="1">
      <c r="A87" s="55">
        <v>84</v>
      </c>
      <c r="B87" s="75" t="s">
        <v>113</v>
      </c>
      <c r="C87" s="55">
        <v>28</v>
      </c>
      <c r="D87" s="508"/>
      <c r="E87" s="508"/>
      <c r="F87" s="508"/>
      <c r="G87" s="508"/>
      <c r="H87" s="508"/>
      <c r="I87" s="508"/>
      <c r="J87" s="508"/>
      <c r="K87" s="5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508"/>
      <c r="W87" s="508"/>
      <c r="X87" s="508"/>
      <c r="Y87" s="508"/>
      <c r="Z87" s="508"/>
      <c r="AA87" s="508"/>
      <c r="AB87" s="508"/>
      <c r="AC87" s="508"/>
      <c r="AD87" s="508"/>
      <c r="AE87" s="508"/>
      <c r="AF87" s="508"/>
      <c r="AG87" s="508"/>
      <c r="AH87" s="508"/>
      <c r="AI87" s="508"/>
      <c r="AJ87" s="508"/>
      <c r="AK87" s="508"/>
      <c r="AL87" s="508"/>
      <c r="AM87" s="508"/>
      <c r="AN87" s="508">
        <v>10498883610</v>
      </c>
      <c r="AO87" s="508">
        <v>3689814164</v>
      </c>
      <c r="AP87" s="508">
        <v>4062755871</v>
      </c>
      <c r="AQ87" s="508">
        <v>1384290807</v>
      </c>
      <c r="AR87" s="508">
        <v>2308850961</v>
      </c>
      <c r="AS87" s="508">
        <v>3118570444</v>
      </c>
      <c r="AT87" s="508">
        <v>1058457452</v>
      </c>
      <c r="AU87" s="508">
        <v>1211020482</v>
      </c>
      <c r="AV87" s="508">
        <v>2139521500</v>
      </c>
      <c r="AW87" s="508">
        <v>1189419782</v>
      </c>
      <c r="AX87" s="508">
        <v>1509849868</v>
      </c>
      <c r="AY87" s="508">
        <v>9527733939</v>
      </c>
      <c r="AZ87" s="508">
        <v>3269238961</v>
      </c>
      <c r="BA87" s="508">
        <v>5753987528</v>
      </c>
      <c r="BB87" s="508">
        <v>9117684571</v>
      </c>
      <c r="BC87" s="508">
        <v>9695857514</v>
      </c>
      <c r="BD87" s="508">
        <v>14897920840</v>
      </c>
      <c r="BE87" s="508">
        <v>12417210865</v>
      </c>
      <c r="BF87" s="508">
        <v>8626660891</v>
      </c>
      <c r="BG87" s="508">
        <v>9156127696</v>
      </c>
      <c r="BH87" s="508">
        <v>7002659285</v>
      </c>
      <c r="BI87" s="508">
        <v>6028567487</v>
      </c>
      <c r="BJ87" s="508">
        <v>4386912961</v>
      </c>
      <c r="BK87" s="508">
        <v>8684760093</v>
      </c>
      <c r="BL87" s="508">
        <v>3842594482</v>
      </c>
      <c r="BM87" s="508">
        <v>3678945487</v>
      </c>
      <c r="BN87" s="508">
        <v>3048061664</v>
      </c>
      <c r="BO87" s="508">
        <v>2896878709</v>
      </c>
      <c r="BP87" s="508">
        <v>3466395589</v>
      </c>
      <c r="BQ87" s="508">
        <v>4605879094</v>
      </c>
      <c r="BR87" s="508"/>
      <c r="BS87" s="508"/>
      <c r="BT87" s="508"/>
      <c r="BU87" s="508"/>
      <c r="BV87" s="508"/>
      <c r="BW87" s="508"/>
    </row>
    <row r="88" spans="1:75" ht="15" customHeight="1">
      <c r="A88" s="55">
        <v>85</v>
      </c>
      <c r="B88" s="75" t="s">
        <v>114</v>
      </c>
      <c r="C88" s="55">
        <v>28</v>
      </c>
      <c r="D88" s="508"/>
      <c r="E88" s="508"/>
      <c r="F88" s="508"/>
      <c r="G88" s="508"/>
      <c r="H88" s="508"/>
      <c r="I88" s="508"/>
      <c r="J88" s="508"/>
      <c r="K88" s="508"/>
      <c r="L88" s="508"/>
      <c r="M88" s="508"/>
      <c r="N88" s="508"/>
      <c r="O88" s="508"/>
      <c r="P88" s="508"/>
      <c r="Q88" s="508"/>
      <c r="R88" s="508"/>
      <c r="S88" s="508"/>
      <c r="T88" s="508"/>
      <c r="U88" s="508"/>
      <c r="V88" s="508"/>
      <c r="W88" s="508"/>
      <c r="X88" s="508"/>
      <c r="Y88" s="508"/>
      <c r="Z88" s="508"/>
      <c r="AA88" s="508"/>
      <c r="AB88" s="508"/>
      <c r="AC88" s="508"/>
      <c r="AD88" s="508"/>
      <c r="AE88" s="508"/>
      <c r="AF88" s="508"/>
      <c r="AG88" s="508"/>
      <c r="AH88" s="508"/>
      <c r="AI88" s="508"/>
      <c r="AJ88" s="508"/>
      <c r="AK88" s="508"/>
      <c r="AL88" s="508"/>
      <c r="AM88" s="508"/>
      <c r="AN88" s="508">
        <v>11362712285</v>
      </c>
      <c r="AO88" s="508">
        <v>7261112290</v>
      </c>
      <c r="AP88" s="508">
        <v>7584838673</v>
      </c>
      <c r="AQ88" s="508">
        <v>8802335330</v>
      </c>
      <c r="AR88" s="508">
        <v>8252419463</v>
      </c>
      <c r="AS88" s="508">
        <v>8124186029</v>
      </c>
      <c r="AT88" s="508">
        <v>7811815324</v>
      </c>
      <c r="AU88" s="508">
        <v>457937876</v>
      </c>
      <c r="AV88" s="508">
        <v>8485574144</v>
      </c>
      <c r="AW88" s="508">
        <v>8401248944</v>
      </c>
      <c r="AX88" s="508">
        <v>8616270563</v>
      </c>
      <c r="AY88" s="508">
        <v>12882678899</v>
      </c>
      <c r="AZ88" s="508">
        <v>8655764617</v>
      </c>
      <c r="BA88" s="508">
        <v>9095727516</v>
      </c>
      <c r="BB88" s="508">
        <v>9239322502</v>
      </c>
      <c r="BC88" s="508">
        <v>519338426</v>
      </c>
      <c r="BD88" s="508">
        <v>10493661520</v>
      </c>
      <c r="BE88" s="508">
        <v>10746467156</v>
      </c>
      <c r="BF88" s="508">
        <v>10421088708</v>
      </c>
      <c r="BG88" s="508">
        <v>10791732094</v>
      </c>
      <c r="BH88" s="508">
        <v>11366691930</v>
      </c>
      <c r="BI88" s="508">
        <v>10525542918</v>
      </c>
      <c r="BJ88" s="508">
        <v>10283351512</v>
      </c>
      <c r="BK88" s="508">
        <v>10866562186</v>
      </c>
      <c r="BL88" s="508">
        <v>19154092290</v>
      </c>
      <c r="BM88" s="508">
        <v>10269634771</v>
      </c>
      <c r="BN88" s="508">
        <v>9867219573</v>
      </c>
      <c r="BO88" s="508">
        <v>11787965645</v>
      </c>
      <c r="BP88" s="508">
        <v>10109666016</v>
      </c>
      <c r="BQ88" s="508">
        <v>10968928998</v>
      </c>
      <c r="BR88" s="508"/>
      <c r="BS88" s="508"/>
      <c r="BT88" s="508"/>
      <c r="BU88" s="508"/>
      <c r="BV88" s="508"/>
      <c r="BW88" s="508"/>
    </row>
    <row r="89" spans="1:75" ht="15" customHeight="1">
      <c r="A89" s="55">
        <v>86</v>
      </c>
      <c r="B89" s="75" t="s">
        <v>115</v>
      </c>
      <c r="C89" s="55">
        <v>28</v>
      </c>
      <c r="D89" s="508"/>
      <c r="E89" s="508"/>
      <c r="F89" s="508"/>
      <c r="G89" s="508"/>
      <c r="H89" s="508"/>
      <c r="I89" s="508"/>
      <c r="J89" s="508"/>
      <c r="K89" s="508"/>
      <c r="L89" s="508"/>
      <c r="M89" s="508"/>
      <c r="N89" s="508"/>
      <c r="O89" s="508"/>
      <c r="P89" s="508"/>
      <c r="Q89" s="508"/>
      <c r="R89" s="508"/>
      <c r="S89" s="508"/>
      <c r="T89" s="508"/>
      <c r="U89" s="508"/>
      <c r="V89" s="508"/>
      <c r="W89" s="508"/>
      <c r="X89" s="508"/>
      <c r="Y89" s="508"/>
      <c r="Z89" s="508"/>
      <c r="AA89" s="508"/>
      <c r="AB89" s="508"/>
      <c r="AC89" s="508"/>
      <c r="AD89" s="508"/>
      <c r="AE89" s="508"/>
      <c r="AF89" s="508"/>
      <c r="AG89" s="508"/>
      <c r="AH89" s="508"/>
      <c r="AI89" s="508"/>
      <c r="AJ89" s="508"/>
      <c r="AK89" s="508"/>
      <c r="AL89" s="508"/>
      <c r="AM89" s="508"/>
      <c r="AN89" s="508">
        <v>16153446903</v>
      </c>
      <c r="AO89" s="508">
        <v>22420169080</v>
      </c>
      <c r="AP89" s="508">
        <v>7052345407</v>
      </c>
      <c r="AQ89" s="508">
        <v>17025705880</v>
      </c>
      <c r="AR89" s="508">
        <v>26551396101</v>
      </c>
      <c r="AS89" s="508">
        <v>9643768625</v>
      </c>
      <c r="AT89" s="508">
        <v>19498083536</v>
      </c>
      <c r="AU89" s="508">
        <v>32054507492</v>
      </c>
      <c r="AV89" s="508">
        <v>17871987185</v>
      </c>
      <c r="AW89" s="508">
        <v>25354416886</v>
      </c>
      <c r="AX89" s="508">
        <v>33287993453</v>
      </c>
      <c r="AY89" s="508">
        <v>17891877693</v>
      </c>
      <c r="AZ89" s="508">
        <v>12873679613</v>
      </c>
      <c r="BA89" s="508">
        <v>18374210204</v>
      </c>
      <c r="BB89" s="508">
        <v>-5606260254</v>
      </c>
      <c r="BC89" s="508">
        <v>-3804295862</v>
      </c>
      <c r="BD89" s="508">
        <v>98594660</v>
      </c>
      <c r="BE89" s="508">
        <v>1515541421</v>
      </c>
      <c r="BF89" s="508">
        <v>17721365268</v>
      </c>
      <c r="BG89" s="508">
        <v>23723350128</v>
      </c>
      <c r="BH89" s="508">
        <v>16832372739</v>
      </c>
      <c r="BI89" s="508">
        <v>22569568619</v>
      </c>
      <c r="BJ89" s="508">
        <v>27478663520</v>
      </c>
      <c r="BK89" s="508">
        <v>20102188452</v>
      </c>
      <c r="BL89" s="508">
        <v>18218565408</v>
      </c>
      <c r="BM89" s="508">
        <v>17524826056</v>
      </c>
      <c r="BN89" s="508">
        <v>16942458226</v>
      </c>
      <c r="BO89" s="508">
        <v>20943915952</v>
      </c>
      <c r="BP89" s="508">
        <v>22092967765</v>
      </c>
      <c r="BQ89" s="508">
        <v>23689714358</v>
      </c>
      <c r="BR89" s="508"/>
      <c r="BS89" s="508"/>
      <c r="BT89" s="508"/>
      <c r="BU89" s="508"/>
      <c r="BV89" s="508"/>
      <c r="BW89" s="508"/>
    </row>
    <row r="90" spans="1:75" ht="15" customHeight="1">
      <c r="A90" s="55">
        <v>87</v>
      </c>
      <c r="B90" s="75" t="s">
        <v>116</v>
      </c>
      <c r="C90" s="55">
        <v>28</v>
      </c>
      <c r="D90" s="508"/>
      <c r="E90" s="508"/>
      <c r="F90" s="508"/>
      <c r="G90" s="508"/>
      <c r="H90" s="508"/>
      <c r="I90" s="508"/>
      <c r="J90" s="508"/>
      <c r="K90" s="508"/>
      <c r="L90" s="508"/>
      <c r="M90" s="508"/>
      <c r="N90" s="508"/>
      <c r="O90" s="508"/>
      <c r="P90" s="508"/>
      <c r="Q90" s="508"/>
      <c r="R90" s="508"/>
      <c r="S90" s="508"/>
      <c r="T90" s="508"/>
      <c r="U90" s="508"/>
      <c r="V90" s="508"/>
      <c r="W90" s="508"/>
      <c r="X90" s="508"/>
      <c r="Y90" s="508"/>
      <c r="Z90" s="508"/>
      <c r="AA90" s="508"/>
      <c r="AB90" s="508"/>
      <c r="AC90" s="508"/>
      <c r="AD90" s="508"/>
      <c r="AE90" s="508"/>
      <c r="AF90" s="508"/>
      <c r="AG90" s="508"/>
      <c r="AH90" s="508"/>
      <c r="AI90" s="508"/>
      <c r="AJ90" s="508"/>
      <c r="AK90" s="508"/>
      <c r="AL90" s="508"/>
      <c r="AM90" s="508"/>
      <c r="AN90" s="508">
        <v>0</v>
      </c>
      <c r="AO90" s="508">
        <v>0</v>
      </c>
      <c r="AP90" s="508">
        <v>0</v>
      </c>
      <c r="AQ90" s="508">
        <v>0</v>
      </c>
      <c r="AR90" s="508">
        <v>0</v>
      </c>
      <c r="AS90" s="508">
        <v>0</v>
      </c>
      <c r="AT90" s="508">
        <v>0</v>
      </c>
      <c r="AU90" s="508">
        <v>0</v>
      </c>
      <c r="AV90" s="508">
        <v>0</v>
      </c>
      <c r="AW90" s="508">
        <v>0</v>
      </c>
      <c r="AX90" s="508">
        <v>0</v>
      </c>
      <c r="AY90" s="508">
        <v>0</v>
      </c>
      <c r="AZ90" s="508">
        <v>0</v>
      </c>
      <c r="BA90" s="508">
        <v>0</v>
      </c>
      <c r="BB90" s="508">
        <v>0</v>
      </c>
      <c r="BC90" s="508">
        <v>0</v>
      </c>
      <c r="BD90" s="508">
        <v>0</v>
      </c>
      <c r="BE90" s="508">
        <v>0</v>
      </c>
      <c r="BF90" s="508">
        <v>0</v>
      </c>
      <c r="BG90" s="508">
        <v>0</v>
      </c>
      <c r="BH90" s="508">
        <v>0</v>
      </c>
      <c r="BI90" s="508">
        <v>0</v>
      </c>
      <c r="BJ90" s="508">
        <v>0</v>
      </c>
      <c r="BK90" s="508">
        <v>0</v>
      </c>
      <c r="BL90" s="508">
        <v>0</v>
      </c>
      <c r="BM90" s="508">
        <v>0</v>
      </c>
      <c r="BN90" s="508">
        <v>0</v>
      </c>
      <c r="BO90" s="508">
        <v>0</v>
      </c>
      <c r="BP90" s="508">
        <v>0</v>
      </c>
      <c r="BQ90" s="508">
        <v>0</v>
      </c>
      <c r="BR90" s="508"/>
      <c r="BS90" s="508"/>
      <c r="BT90" s="508"/>
      <c r="BU90" s="508"/>
      <c r="BV90" s="508"/>
      <c r="BW90" s="508"/>
    </row>
    <row r="91" spans="1:75" ht="15" customHeight="1">
      <c r="A91" s="55">
        <v>88</v>
      </c>
      <c r="B91" s="75" t="s">
        <v>117</v>
      </c>
      <c r="C91" s="55">
        <v>28</v>
      </c>
      <c r="D91" s="508"/>
      <c r="E91" s="508"/>
      <c r="F91" s="508"/>
      <c r="G91" s="508"/>
      <c r="H91" s="508"/>
      <c r="I91" s="508"/>
      <c r="J91" s="508"/>
      <c r="K91" s="508"/>
      <c r="L91" s="508"/>
      <c r="M91" s="508"/>
      <c r="N91" s="508"/>
      <c r="O91" s="508"/>
      <c r="P91" s="508"/>
      <c r="Q91" s="508"/>
      <c r="R91" s="508"/>
      <c r="S91" s="508"/>
      <c r="T91" s="508"/>
      <c r="U91" s="508"/>
      <c r="V91" s="508"/>
      <c r="W91" s="508"/>
      <c r="X91" s="508"/>
      <c r="Y91" s="508"/>
      <c r="Z91" s="508"/>
      <c r="AA91" s="508"/>
      <c r="AB91" s="508"/>
      <c r="AC91" s="508"/>
      <c r="AD91" s="508"/>
      <c r="AE91" s="508"/>
      <c r="AF91" s="508"/>
      <c r="AG91" s="508"/>
      <c r="AH91" s="508"/>
      <c r="AI91" s="508"/>
      <c r="AJ91" s="508"/>
      <c r="AK91" s="508"/>
      <c r="AL91" s="508"/>
      <c r="AM91" s="508"/>
      <c r="AN91" s="508">
        <v>0</v>
      </c>
      <c r="AO91" s="508">
        <v>0</v>
      </c>
      <c r="AP91" s="508">
        <v>0</v>
      </c>
      <c r="AQ91" s="508">
        <v>0</v>
      </c>
      <c r="AR91" s="508">
        <v>0</v>
      </c>
      <c r="AS91" s="508">
        <v>0</v>
      </c>
      <c r="AT91" s="508">
        <v>0</v>
      </c>
      <c r="AU91" s="508">
        <v>0</v>
      </c>
      <c r="AV91" s="508">
        <v>0</v>
      </c>
      <c r="AW91" s="508">
        <v>0</v>
      </c>
      <c r="AX91" s="508">
        <v>0</v>
      </c>
      <c r="AY91" s="508">
        <v>0</v>
      </c>
      <c r="AZ91" s="508">
        <v>0</v>
      </c>
      <c r="BA91" s="508">
        <v>0</v>
      </c>
      <c r="BB91" s="508">
        <v>0</v>
      </c>
      <c r="BC91" s="508">
        <v>0</v>
      </c>
      <c r="BD91" s="508">
        <v>0</v>
      </c>
      <c r="BE91" s="508">
        <v>0</v>
      </c>
      <c r="BF91" s="508">
        <v>0</v>
      </c>
      <c r="BG91" s="508">
        <v>0</v>
      </c>
      <c r="BH91" s="508">
        <v>0</v>
      </c>
      <c r="BI91" s="508">
        <v>0</v>
      </c>
      <c r="BJ91" s="508">
        <v>0</v>
      </c>
      <c r="BK91" s="508">
        <v>0</v>
      </c>
      <c r="BL91" s="508">
        <v>0</v>
      </c>
      <c r="BM91" s="508">
        <v>0</v>
      </c>
      <c r="BN91" s="508">
        <v>0</v>
      </c>
      <c r="BO91" s="508">
        <v>0</v>
      </c>
      <c r="BP91" s="508">
        <v>0</v>
      </c>
      <c r="BQ91" s="508">
        <v>0</v>
      </c>
      <c r="BR91" s="508"/>
      <c r="BS91" s="508"/>
      <c r="BT91" s="508"/>
      <c r="BU91" s="508"/>
      <c r="BV91" s="508"/>
      <c r="BW91" s="508"/>
    </row>
    <row r="92" spans="1:75" ht="15" customHeight="1">
      <c r="A92" s="55">
        <v>89</v>
      </c>
      <c r="B92" s="75" t="s">
        <v>118</v>
      </c>
      <c r="C92" s="55">
        <v>28</v>
      </c>
      <c r="D92" s="508"/>
      <c r="E92" s="508"/>
      <c r="F92" s="508"/>
      <c r="G92" s="508"/>
      <c r="H92" s="508"/>
      <c r="I92" s="508"/>
      <c r="J92" s="508"/>
      <c r="K92" s="508"/>
      <c r="L92" s="508"/>
      <c r="M92" s="508"/>
      <c r="N92" s="508"/>
      <c r="O92" s="508"/>
      <c r="P92" s="508"/>
      <c r="Q92" s="508"/>
      <c r="R92" s="508"/>
      <c r="S92" s="508"/>
      <c r="T92" s="508"/>
      <c r="U92" s="508"/>
      <c r="V92" s="508"/>
      <c r="W92" s="508"/>
      <c r="X92" s="508"/>
      <c r="Y92" s="508"/>
      <c r="Z92" s="508"/>
      <c r="AA92" s="508"/>
      <c r="AB92" s="508"/>
      <c r="AC92" s="508"/>
      <c r="AD92" s="508"/>
      <c r="AE92" s="508"/>
      <c r="AF92" s="508"/>
      <c r="AG92" s="508"/>
      <c r="AH92" s="508"/>
      <c r="AI92" s="508"/>
      <c r="AJ92" s="508"/>
      <c r="AK92" s="508"/>
      <c r="AL92" s="508"/>
      <c r="AM92" s="508"/>
      <c r="AN92" s="508">
        <v>0</v>
      </c>
      <c r="AO92" s="508">
        <v>0</v>
      </c>
      <c r="AP92" s="508">
        <v>0</v>
      </c>
      <c r="AQ92" s="508">
        <v>0</v>
      </c>
      <c r="AR92" s="508">
        <v>0</v>
      </c>
      <c r="AS92" s="508">
        <v>0</v>
      </c>
      <c r="AT92" s="508">
        <v>0</v>
      </c>
      <c r="AU92" s="508">
        <v>0</v>
      </c>
      <c r="AV92" s="508">
        <v>0</v>
      </c>
      <c r="AW92" s="508">
        <v>0</v>
      </c>
      <c r="AX92" s="508">
        <v>0</v>
      </c>
      <c r="AY92" s="508">
        <v>0</v>
      </c>
      <c r="AZ92" s="508">
        <v>0</v>
      </c>
      <c r="BA92" s="508">
        <v>0</v>
      </c>
      <c r="BB92" s="508">
        <v>0</v>
      </c>
      <c r="BC92" s="508">
        <v>0</v>
      </c>
      <c r="BD92" s="508">
        <v>0</v>
      </c>
      <c r="BE92" s="508">
        <v>0</v>
      </c>
      <c r="BF92" s="508">
        <v>0</v>
      </c>
      <c r="BG92" s="508">
        <v>0</v>
      </c>
      <c r="BH92" s="508">
        <v>0</v>
      </c>
      <c r="BI92" s="508">
        <v>0</v>
      </c>
      <c r="BJ92" s="508">
        <v>0</v>
      </c>
      <c r="BK92" s="508">
        <v>0</v>
      </c>
      <c r="BL92" s="508">
        <v>0</v>
      </c>
      <c r="BM92" s="508">
        <v>0</v>
      </c>
      <c r="BN92" s="508">
        <v>0</v>
      </c>
      <c r="BO92" s="508">
        <v>0</v>
      </c>
      <c r="BP92" s="508">
        <v>0</v>
      </c>
      <c r="BQ92" s="508">
        <v>0</v>
      </c>
      <c r="BR92" s="508"/>
      <c r="BS92" s="508"/>
      <c r="BT92" s="508"/>
      <c r="BU92" s="508"/>
      <c r="BV92" s="508"/>
      <c r="BW92" s="508"/>
    </row>
    <row r="93" spans="1:75" ht="15" customHeight="1">
      <c r="A93" s="55">
        <v>90</v>
      </c>
      <c r="B93" s="75" t="s">
        <v>119</v>
      </c>
      <c r="C93" s="55">
        <v>28</v>
      </c>
      <c r="D93" s="508"/>
      <c r="E93" s="508"/>
      <c r="F93" s="508"/>
      <c r="G93" s="508"/>
      <c r="H93" s="508"/>
      <c r="I93" s="508"/>
      <c r="J93" s="508"/>
      <c r="K93" s="508"/>
      <c r="L93" s="508"/>
      <c r="M93" s="508"/>
      <c r="N93" s="508"/>
      <c r="O93" s="508"/>
      <c r="P93" s="508"/>
      <c r="Q93" s="508"/>
      <c r="R93" s="508"/>
      <c r="S93" s="508"/>
      <c r="T93" s="508"/>
      <c r="U93" s="508"/>
      <c r="V93" s="508"/>
      <c r="W93" s="508"/>
      <c r="X93" s="508"/>
      <c r="Y93" s="508"/>
      <c r="Z93" s="508"/>
      <c r="AA93" s="508"/>
      <c r="AB93" s="508"/>
      <c r="AC93" s="508"/>
      <c r="AD93" s="508"/>
      <c r="AE93" s="508"/>
      <c r="AF93" s="508"/>
      <c r="AG93" s="508"/>
      <c r="AH93" s="508"/>
      <c r="AI93" s="508"/>
      <c r="AJ93" s="508"/>
      <c r="AK93" s="508"/>
      <c r="AL93" s="508"/>
      <c r="AM93" s="508"/>
      <c r="AN93" s="508">
        <v>20696481661</v>
      </c>
      <c r="AO93" s="508">
        <v>20595840087</v>
      </c>
      <c r="AP93" s="508">
        <v>26813125892.860001</v>
      </c>
      <c r="AQ93" s="508">
        <v>27765488547.882</v>
      </c>
      <c r="AR93" s="508">
        <v>20403961843</v>
      </c>
      <c r="AS93" s="508">
        <v>8973254724</v>
      </c>
      <c r="AT93" s="508">
        <v>9334621417</v>
      </c>
      <c r="AU93" s="508">
        <v>12038191666</v>
      </c>
      <c r="AV93" s="508">
        <v>14568081439</v>
      </c>
      <c r="AW93" s="508">
        <v>9244155132</v>
      </c>
      <c r="AX93" s="508">
        <v>12004819534</v>
      </c>
      <c r="AY93" s="508">
        <v>11216627279.482</v>
      </c>
      <c r="AZ93" s="508">
        <v>11890639716</v>
      </c>
      <c r="BA93" s="508">
        <v>15214207492</v>
      </c>
      <c r="BB93" s="508">
        <v>13274237856.482</v>
      </c>
      <c r="BC93" s="508">
        <v>23351476909</v>
      </c>
      <c r="BD93" s="508">
        <v>33444587733</v>
      </c>
      <c r="BE93" s="508">
        <v>19043714839.482002</v>
      </c>
      <c r="BF93" s="508">
        <v>17481729946.482101</v>
      </c>
      <c r="BG93" s="508">
        <v>19912766033.482101</v>
      </c>
      <c r="BH93" s="508">
        <v>9977435941.4820004</v>
      </c>
      <c r="BI93" s="508">
        <v>10333921176.482</v>
      </c>
      <c r="BJ93" s="508">
        <v>11722247952.482</v>
      </c>
      <c r="BK93" s="508">
        <v>9558710068</v>
      </c>
      <c r="BL93" s="508">
        <v>10596548323</v>
      </c>
      <c r="BM93" s="508">
        <v>12254355641</v>
      </c>
      <c r="BN93" s="508">
        <v>9260668294</v>
      </c>
      <c r="BO93" s="508">
        <v>9316047513</v>
      </c>
      <c r="BP93" s="508">
        <v>9851495283</v>
      </c>
      <c r="BQ93" s="508">
        <v>11971423890</v>
      </c>
      <c r="BR93" s="508"/>
      <c r="BS93" s="508"/>
      <c r="BT93" s="508"/>
      <c r="BU93" s="508"/>
      <c r="BV93" s="508"/>
      <c r="BW93" s="508"/>
    </row>
    <row r="94" spans="1:75" ht="15" customHeight="1">
      <c r="A94" s="55">
        <v>91</v>
      </c>
      <c r="B94" s="75" t="s">
        <v>120</v>
      </c>
      <c r="C94" s="55">
        <v>28</v>
      </c>
      <c r="D94" s="508"/>
      <c r="E94" s="508"/>
      <c r="F94" s="508"/>
      <c r="G94" s="508"/>
      <c r="H94" s="508"/>
      <c r="I94" s="508"/>
      <c r="J94" s="508"/>
      <c r="K94" s="508"/>
      <c r="L94" s="508"/>
      <c r="M94" s="508"/>
      <c r="N94" s="508"/>
      <c r="O94" s="508"/>
      <c r="P94" s="508"/>
      <c r="Q94" s="508"/>
      <c r="R94" s="508"/>
      <c r="S94" s="508"/>
      <c r="T94" s="508"/>
      <c r="U94" s="508"/>
      <c r="V94" s="508"/>
      <c r="W94" s="508"/>
      <c r="X94" s="508"/>
      <c r="Y94" s="508"/>
      <c r="Z94" s="508"/>
      <c r="AA94" s="508"/>
      <c r="AB94" s="508"/>
      <c r="AC94" s="508"/>
      <c r="AD94" s="508"/>
      <c r="AE94" s="508"/>
      <c r="AF94" s="508"/>
      <c r="AG94" s="508"/>
      <c r="AH94" s="508"/>
      <c r="AI94" s="508"/>
      <c r="AJ94" s="508"/>
      <c r="AK94" s="508"/>
      <c r="AL94" s="508"/>
      <c r="AM94" s="508"/>
      <c r="AN94" s="508">
        <v>62822745245</v>
      </c>
      <c r="AO94" s="508">
        <v>57847834995</v>
      </c>
      <c r="AP94" s="508">
        <v>101832582537</v>
      </c>
      <c r="AQ94" s="508">
        <v>144977288403</v>
      </c>
      <c r="AR94" s="508">
        <v>178905916168</v>
      </c>
      <c r="AS94" s="508">
        <v>190748518955</v>
      </c>
      <c r="AT94" s="508">
        <v>168894814805</v>
      </c>
      <c r="AU94" s="508">
        <v>126048766562</v>
      </c>
      <c r="AV94" s="508">
        <v>139654417984</v>
      </c>
      <c r="AW94" s="508">
        <v>155306260478</v>
      </c>
      <c r="AX94" s="508">
        <v>165536679982</v>
      </c>
      <c r="AY94" s="508">
        <v>192629821718</v>
      </c>
      <c r="AZ94" s="508">
        <v>134925554251</v>
      </c>
      <c r="BA94" s="508">
        <v>43611829278</v>
      </c>
      <c r="BB94" s="508">
        <v>98003020481</v>
      </c>
      <c r="BC94" s="508">
        <v>172928907420</v>
      </c>
      <c r="BD94" s="508">
        <v>200666324688</v>
      </c>
      <c r="BE94" s="508">
        <v>238388679271</v>
      </c>
      <c r="BF94" s="508">
        <v>250573370780</v>
      </c>
      <c r="BG94" s="508">
        <v>294832243750</v>
      </c>
      <c r="BH94" s="508">
        <v>309616499760</v>
      </c>
      <c r="BI94" s="508">
        <v>263334816592</v>
      </c>
      <c r="BJ94" s="508">
        <v>254700704679</v>
      </c>
      <c r="BK94" s="508">
        <v>262225979238</v>
      </c>
      <c r="BL94" s="508">
        <v>216818798145</v>
      </c>
      <c r="BM94" s="508">
        <v>231846507077</v>
      </c>
      <c r="BN94" s="508">
        <v>179737111410</v>
      </c>
      <c r="BO94" s="508">
        <v>147514569550</v>
      </c>
      <c r="BP94" s="508">
        <v>116595603825</v>
      </c>
      <c r="BQ94" s="508">
        <v>139893015842</v>
      </c>
      <c r="BR94" s="508"/>
      <c r="BS94" s="508"/>
      <c r="BT94" s="508"/>
      <c r="BU94" s="508"/>
      <c r="BV94" s="508"/>
      <c r="BW94" s="508"/>
    </row>
    <row r="95" spans="1:75" ht="15" customHeight="1">
      <c r="A95" s="55">
        <v>92</v>
      </c>
      <c r="B95" s="75" t="s">
        <v>121</v>
      </c>
      <c r="C95" s="55">
        <v>28</v>
      </c>
      <c r="D95" s="508"/>
      <c r="E95" s="508"/>
      <c r="F95" s="508"/>
      <c r="G95" s="508"/>
      <c r="H95" s="508"/>
      <c r="I95" s="508"/>
      <c r="J95" s="508"/>
      <c r="K95" s="508"/>
      <c r="L95" s="508"/>
      <c r="M95" s="508"/>
      <c r="N95" s="508"/>
      <c r="O95" s="508"/>
      <c r="P95" s="508"/>
      <c r="Q95" s="508"/>
      <c r="R95" s="508"/>
      <c r="S95" s="508"/>
      <c r="T95" s="508"/>
      <c r="U95" s="508"/>
      <c r="V95" s="508"/>
      <c r="W95" s="508"/>
      <c r="X95" s="508"/>
      <c r="Y95" s="508"/>
      <c r="Z95" s="508"/>
      <c r="AA95" s="508"/>
      <c r="AB95" s="508"/>
      <c r="AC95" s="508"/>
      <c r="AD95" s="508"/>
      <c r="AE95" s="508"/>
      <c r="AF95" s="508"/>
      <c r="AG95" s="508"/>
      <c r="AH95" s="508"/>
      <c r="AI95" s="508"/>
      <c r="AJ95" s="508"/>
      <c r="AK95" s="508"/>
      <c r="AL95" s="508"/>
      <c r="AM95" s="508"/>
      <c r="AN95" s="508">
        <v>0</v>
      </c>
      <c r="AO95" s="508">
        <v>0</v>
      </c>
      <c r="AP95" s="508">
        <v>0</v>
      </c>
      <c r="AQ95" s="508">
        <v>0</v>
      </c>
      <c r="AR95" s="508">
        <v>0</v>
      </c>
      <c r="AS95" s="508">
        <v>0</v>
      </c>
      <c r="AT95" s="508">
        <v>0</v>
      </c>
      <c r="AU95" s="508">
        <v>0</v>
      </c>
      <c r="AV95" s="508">
        <v>0</v>
      </c>
      <c r="AW95" s="508">
        <v>0</v>
      </c>
      <c r="AX95" s="508">
        <v>0</v>
      </c>
      <c r="AY95" s="508">
        <v>0</v>
      </c>
      <c r="AZ95" s="508">
        <v>0</v>
      </c>
      <c r="BA95" s="508">
        <v>0</v>
      </c>
      <c r="BB95" s="508">
        <v>0</v>
      </c>
      <c r="BC95" s="508">
        <v>0</v>
      </c>
      <c r="BD95" s="508">
        <v>0</v>
      </c>
      <c r="BE95" s="508">
        <v>0</v>
      </c>
      <c r="BF95" s="508">
        <v>0</v>
      </c>
      <c r="BG95" s="508">
        <v>0</v>
      </c>
      <c r="BH95" s="508">
        <v>0</v>
      </c>
      <c r="BI95" s="508">
        <v>0</v>
      </c>
      <c r="BJ95" s="508">
        <v>0</v>
      </c>
      <c r="BK95" s="508">
        <v>0</v>
      </c>
      <c r="BL95" s="508">
        <v>0</v>
      </c>
      <c r="BM95" s="508">
        <v>0</v>
      </c>
      <c r="BN95" s="508">
        <v>0</v>
      </c>
      <c r="BO95" s="508">
        <v>0</v>
      </c>
      <c r="BP95" s="508">
        <v>0</v>
      </c>
      <c r="BQ95" s="508">
        <v>0</v>
      </c>
      <c r="BR95" s="508"/>
      <c r="BS95" s="508"/>
      <c r="BT95" s="508"/>
      <c r="BU95" s="508"/>
      <c r="BV95" s="508"/>
      <c r="BW95" s="508"/>
    </row>
    <row r="96" spans="1:75" ht="15" customHeight="1">
      <c r="A96" s="55">
        <v>93</v>
      </c>
      <c r="B96" s="75" t="s">
        <v>122</v>
      </c>
      <c r="C96" s="55">
        <v>28</v>
      </c>
      <c r="D96" s="508"/>
      <c r="E96" s="508"/>
      <c r="F96" s="508"/>
      <c r="G96" s="508"/>
      <c r="H96" s="508"/>
      <c r="I96" s="508"/>
      <c r="J96" s="508"/>
      <c r="K96" s="508"/>
      <c r="L96" s="508"/>
      <c r="M96" s="508"/>
      <c r="N96" s="508"/>
      <c r="O96" s="508"/>
      <c r="P96" s="508"/>
      <c r="Q96" s="508"/>
      <c r="R96" s="508"/>
      <c r="S96" s="508"/>
      <c r="T96" s="508"/>
      <c r="U96" s="508"/>
      <c r="V96" s="508"/>
      <c r="W96" s="508"/>
      <c r="X96" s="508"/>
      <c r="Y96" s="508"/>
      <c r="Z96" s="508"/>
      <c r="AA96" s="508"/>
      <c r="AB96" s="508"/>
      <c r="AC96" s="508"/>
      <c r="AD96" s="508"/>
      <c r="AE96" s="508"/>
      <c r="AF96" s="508"/>
      <c r="AG96" s="508"/>
      <c r="AH96" s="508"/>
      <c r="AI96" s="508"/>
      <c r="AJ96" s="508"/>
      <c r="AK96" s="508"/>
      <c r="AL96" s="508"/>
      <c r="AM96" s="508"/>
      <c r="AN96" s="508">
        <v>376893824</v>
      </c>
      <c r="AO96" s="508">
        <v>246893824</v>
      </c>
      <c r="AP96" s="508">
        <v>246893824</v>
      </c>
      <c r="AQ96" s="508">
        <v>246893824</v>
      </c>
      <c r="AR96" s="508">
        <v>246893824</v>
      </c>
      <c r="AS96" s="508">
        <v>246893824</v>
      </c>
      <c r="AT96" s="508">
        <v>230393824</v>
      </c>
      <c r="AU96" s="508">
        <v>226143824</v>
      </c>
      <c r="AV96" s="508">
        <v>695903824</v>
      </c>
      <c r="AW96" s="508">
        <v>1411463824</v>
      </c>
      <c r="AX96" s="508">
        <v>1397629380</v>
      </c>
      <c r="AY96" s="508">
        <v>1222249720</v>
      </c>
      <c r="AZ96" s="508">
        <v>937249720</v>
      </c>
      <c r="BA96" s="508">
        <v>927249720</v>
      </c>
      <c r="BB96" s="508">
        <v>914665720</v>
      </c>
      <c r="BC96" s="508">
        <v>909665720</v>
      </c>
      <c r="BD96" s="508">
        <v>906665720</v>
      </c>
      <c r="BE96" s="508">
        <v>906665720</v>
      </c>
      <c r="BF96" s="508">
        <v>899772466</v>
      </c>
      <c r="BG96" s="508">
        <v>680992466</v>
      </c>
      <c r="BH96" s="508">
        <v>1436632466</v>
      </c>
      <c r="BI96" s="508">
        <v>1436632466</v>
      </c>
      <c r="BJ96" s="508">
        <v>1436632466</v>
      </c>
      <c r="BK96" s="508">
        <v>1434532466</v>
      </c>
      <c r="BL96" s="508">
        <v>1190032466</v>
      </c>
      <c r="BM96" s="508">
        <v>1129253175</v>
      </c>
      <c r="BN96" s="508">
        <v>2090213175</v>
      </c>
      <c r="BO96" s="508">
        <v>2134053175</v>
      </c>
      <c r="BP96" s="508">
        <v>2128177975</v>
      </c>
      <c r="BQ96" s="508">
        <v>2128177975</v>
      </c>
      <c r="BR96" s="508"/>
      <c r="BS96" s="508"/>
      <c r="BT96" s="508"/>
      <c r="BU96" s="508"/>
      <c r="BV96" s="508"/>
      <c r="BW96" s="508"/>
    </row>
    <row r="97" spans="1:75" ht="15" customHeight="1">
      <c r="A97" s="55">
        <v>94</v>
      </c>
      <c r="B97" s="76" t="s">
        <v>123</v>
      </c>
      <c r="C97" s="55">
        <v>28</v>
      </c>
      <c r="D97" s="508"/>
      <c r="E97" s="508"/>
      <c r="F97" s="508"/>
      <c r="G97" s="508"/>
      <c r="H97" s="508"/>
      <c r="I97" s="508"/>
      <c r="J97" s="508"/>
      <c r="K97" s="508"/>
      <c r="L97" s="508"/>
      <c r="M97" s="508"/>
      <c r="N97" s="508"/>
      <c r="O97" s="508"/>
      <c r="P97" s="508"/>
      <c r="Q97" s="508"/>
      <c r="R97" s="508"/>
      <c r="S97" s="508"/>
      <c r="T97" s="508"/>
      <c r="U97" s="508"/>
      <c r="V97" s="508"/>
      <c r="W97" s="508"/>
      <c r="X97" s="508"/>
      <c r="Y97" s="508"/>
      <c r="Z97" s="508"/>
      <c r="AA97" s="508"/>
      <c r="AB97" s="508"/>
      <c r="AC97" s="508"/>
      <c r="AD97" s="508"/>
      <c r="AE97" s="508"/>
      <c r="AF97" s="508"/>
      <c r="AG97" s="508"/>
      <c r="AH97" s="508"/>
      <c r="AI97" s="508"/>
      <c r="AJ97" s="508"/>
      <c r="AK97" s="508"/>
      <c r="AL97" s="508"/>
      <c r="AM97" s="508"/>
      <c r="AN97" s="508">
        <v>0</v>
      </c>
      <c r="AO97" s="508">
        <v>0</v>
      </c>
      <c r="AP97" s="508">
        <v>0</v>
      </c>
      <c r="AQ97" s="508">
        <v>0</v>
      </c>
      <c r="AR97" s="508">
        <v>0</v>
      </c>
      <c r="AS97" s="508">
        <v>0</v>
      </c>
      <c r="AT97" s="508">
        <v>0</v>
      </c>
      <c r="AU97" s="508">
        <v>0</v>
      </c>
      <c r="AV97" s="508">
        <v>0</v>
      </c>
      <c r="AW97" s="508">
        <v>0</v>
      </c>
      <c r="AX97" s="508">
        <v>0</v>
      </c>
      <c r="AY97" s="508">
        <v>0</v>
      </c>
      <c r="AZ97" s="508">
        <v>0</v>
      </c>
      <c r="BA97" s="508">
        <v>0</v>
      </c>
      <c r="BB97" s="508">
        <v>0</v>
      </c>
      <c r="BC97" s="508">
        <v>0</v>
      </c>
      <c r="BD97" s="508">
        <v>0</v>
      </c>
      <c r="BE97" s="508">
        <v>0</v>
      </c>
      <c r="BF97" s="508">
        <v>0</v>
      </c>
      <c r="BG97" s="508">
        <v>0</v>
      </c>
      <c r="BH97" s="508">
        <v>0</v>
      </c>
      <c r="BI97" s="508">
        <v>0</v>
      </c>
      <c r="BJ97" s="508">
        <v>0</v>
      </c>
      <c r="BK97" s="508">
        <v>0</v>
      </c>
      <c r="BL97" s="508">
        <v>0</v>
      </c>
      <c r="BM97" s="508">
        <v>0</v>
      </c>
      <c r="BN97" s="508">
        <v>0</v>
      </c>
      <c r="BO97" s="508">
        <v>0</v>
      </c>
      <c r="BP97" s="508">
        <v>0</v>
      </c>
      <c r="BQ97" s="508">
        <v>0</v>
      </c>
      <c r="BR97" s="508"/>
      <c r="BS97" s="508"/>
      <c r="BT97" s="508"/>
      <c r="BU97" s="508"/>
      <c r="BV97" s="508"/>
      <c r="BW97" s="508"/>
    </row>
    <row r="98" spans="1:75" ht="15" customHeight="1">
      <c r="A98" s="55">
        <v>95</v>
      </c>
      <c r="B98" s="76" t="s">
        <v>124</v>
      </c>
      <c r="C98" s="55">
        <v>28</v>
      </c>
      <c r="D98" s="508"/>
      <c r="E98" s="508"/>
      <c r="F98" s="508"/>
      <c r="G98" s="508"/>
      <c r="H98" s="508"/>
      <c r="I98" s="508"/>
      <c r="J98" s="508"/>
      <c r="K98" s="508"/>
      <c r="L98" s="508"/>
      <c r="M98" s="508"/>
      <c r="N98" s="508"/>
      <c r="O98" s="508"/>
      <c r="P98" s="508"/>
      <c r="Q98" s="508"/>
      <c r="R98" s="508"/>
      <c r="S98" s="508"/>
      <c r="T98" s="508"/>
      <c r="U98" s="508"/>
      <c r="V98" s="508"/>
      <c r="W98" s="508"/>
      <c r="X98" s="508"/>
      <c r="Y98" s="508"/>
      <c r="Z98" s="508"/>
      <c r="AA98" s="508"/>
      <c r="AB98" s="508"/>
      <c r="AC98" s="508"/>
      <c r="AD98" s="508"/>
      <c r="AE98" s="508"/>
      <c r="AF98" s="508"/>
      <c r="AG98" s="508"/>
      <c r="AH98" s="508"/>
      <c r="AI98" s="508"/>
      <c r="AJ98" s="508"/>
      <c r="AK98" s="508"/>
      <c r="AL98" s="508"/>
      <c r="AM98" s="508"/>
      <c r="AN98" s="508">
        <v>0</v>
      </c>
      <c r="AO98" s="508">
        <v>0</v>
      </c>
      <c r="AP98" s="508">
        <v>0</v>
      </c>
      <c r="AQ98" s="508">
        <v>0</v>
      </c>
      <c r="AR98" s="508">
        <v>0</v>
      </c>
      <c r="AS98" s="508">
        <v>0</v>
      </c>
      <c r="AT98" s="508">
        <v>0</v>
      </c>
      <c r="AU98" s="508">
        <v>0</v>
      </c>
      <c r="AV98" s="508">
        <v>0</v>
      </c>
      <c r="AW98" s="508">
        <v>0</v>
      </c>
      <c r="AX98" s="508">
        <v>0</v>
      </c>
      <c r="AY98" s="508">
        <v>0</v>
      </c>
      <c r="AZ98" s="508">
        <v>0</v>
      </c>
      <c r="BA98" s="508">
        <v>0</v>
      </c>
      <c r="BB98" s="508">
        <v>0</v>
      </c>
      <c r="BC98" s="508">
        <v>0</v>
      </c>
      <c r="BD98" s="508">
        <v>0</v>
      </c>
      <c r="BE98" s="508">
        <v>0</v>
      </c>
      <c r="BF98" s="508">
        <v>0</v>
      </c>
      <c r="BG98" s="508">
        <v>0</v>
      </c>
      <c r="BH98" s="508">
        <v>0</v>
      </c>
      <c r="BI98" s="508">
        <v>0</v>
      </c>
      <c r="BJ98" s="508">
        <v>0</v>
      </c>
      <c r="BK98" s="508">
        <v>0</v>
      </c>
      <c r="BL98" s="508">
        <v>0</v>
      </c>
      <c r="BM98" s="508">
        <v>0</v>
      </c>
      <c r="BN98" s="508">
        <v>0</v>
      </c>
      <c r="BO98" s="508">
        <v>0</v>
      </c>
      <c r="BP98" s="508">
        <v>0</v>
      </c>
      <c r="BQ98" s="508">
        <v>0</v>
      </c>
      <c r="BR98" s="508"/>
      <c r="BS98" s="508"/>
      <c r="BT98" s="508"/>
      <c r="BU98" s="508"/>
      <c r="BV98" s="508"/>
      <c r="BW98" s="508"/>
    </row>
    <row r="99" spans="1:75" ht="15" customHeight="1">
      <c r="A99" s="59">
        <v>96</v>
      </c>
      <c r="B99" s="64" t="s">
        <v>347</v>
      </c>
      <c r="C99" s="59">
        <v>28</v>
      </c>
      <c r="D99" s="3">
        <f t="shared" ref="D99:AY99" si="46">SUM(D100:D113)</f>
        <v>0</v>
      </c>
      <c r="E99" s="3">
        <f t="shared" si="46"/>
        <v>0</v>
      </c>
      <c r="F99" s="3">
        <f t="shared" si="46"/>
        <v>0</v>
      </c>
      <c r="G99" s="3">
        <f t="shared" si="46"/>
        <v>0</v>
      </c>
      <c r="H99" s="3">
        <f t="shared" si="46"/>
        <v>0</v>
      </c>
      <c r="I99" s="3">
        <f t="shared" si="46"/>
        <v>0</v>
      </c>
      <c r="J99" s="3">
        <f t="shared" si="46"/>
        <v>0</v>
      </c>
      <c r="K99" s="3">
        <f t="shared" si="46"/>
        <v>0</v>
      </c>
      <c r="L99" s="3">
        <f t="shared" si="46"/>
        <v>0</v>
      </c>
      <c r="M99" s="3">
        <f t="shared" si="46"/>
        <v>0</v>
      </c>
      <c r="N99" s="3">
        <f t="shared" si="46"/>
        <v>0</v>
      </c>
      <c r="O99" s="3">
        <f t="shared" si="46"/>
        <v>0</v>
      </c>
      <c r="P99" s="3">
        <f t="shared" si="46"/>
        <v>0</v>
      </c>
      <c r="Q99" s="3">
        <f t="shared" si="46"/>
        <v>0</v>
      </c>
      <c r="R99" s="3">
        <f t="shared" si="46"/>
        <v>0</v>
      </c>
      <c r="S99" s="3">
        <f t="shared" si="46"/>
        <v>0</v>
      </c>
      <c r="T99" s="3">
        <f t="shared" si="46"/>
        <v>0</v>
      </c>
      <c r="U99" s="3">
        <f t="shared" si="46"/>
        <v>0</v>
      </c>
      <c r="V99" s="3">
        <f t="shared" si="46"/>
        <v>0</v>
      </c>
      <c r="W99" s="3">
        <f t="shared" si="46"/>
        <v>0</v>
      </c>
      <c r="X99" s="3">
        <f t="shared" si="46"/>
        <v>0</v>
      </c>
      <c r="Y99" s="3">
        <f t="shared" si="46"/>
        <v>0</v>
      </c>
      <c r="Z99" s="3">
        <f t="shared" si="46"/>
        <v>0</v>
      </c>
      <c r="AA99" s="3">
        <f t="shared" si="46"/>
        <v>0</v>
      </c>
      <c r="AB99" s="3">
        <f t="shared" si="46"/>
        <v>0</v>
      </c>
      <c r="AC99" s="3">
        <f t="shared" si="46"/>
        <v>0</v>
      </c>
      <c r="AD99" s="3">
        <f t="shared" si="46"/>
        <v>0</v>
      </c>
      <c r="AE99" s="3">
        <f t="shared" si="46"/>
        <v>0</v>
      </c>
      <c r="AF99" s="3">
        <f t="shared" si="46"/>
        <v>0</v>
      </c>
      <c r="AG99" s="3">
        <f t="shared" si="46"/>
        <v>0</v>
      </c>
      <c r="AH99" s="3">
        <f t="shared" si="46"/>
        <v>0</v>
      </c>
      <c r="AI99" s="3">
        <f t="shared" si="46"/>
        <v>0</v>
      </c>
      <c r="AJ99" s="3">
        <f t="shared" si="46"/>
        <v>0</v>
      </c>
      <c r="AK99" s="3">
        <f t="shared" si="46"/>
        <v>0</v>
      </c>
      <c r="AL99" s="3">
        <f t="shared" si="46"/>
        <v>0</v>
      </c>
      <c r="AM99" s="3">
        <f t="shared" si="46"/>
        <v>0</v>
      </c>
      <c r="AN99" s="3">
        <f t="shared" si="46"/>
        <v>110386411070</v>
      </c>
      <c r="AO99" s="3">
        <f t="shared" si="46"/>
        <v>110292351070</v>
      </c>
      <c r="AP99" s="3">
        <f t="shared" si="46"/>
        <v>110233351070</v>
      </c>
      <c r="AQ99" s="3">
        <f t="shared" si="46"/>
        <v>109938157678</v>
      </c>
      <c r="AR99" s="3">
        <f t="shared" si="46"/>
        <v>107984867678</v>
      </c>
      <c r="AS99" s="3">
        <f t="shared" si="46"/>
        <v>109314035678</v>
      </c>
      <c r="AT99" s="3">
        <f t="shared" si="46"/>
        <v>109426842286</v>
      </c>
      <c r="AU99" s="3">
        <f t="shared" si="46"/>
        <v>108769782286</v>
      </c>
      <c r="AV99" s="3">
        <f t="shared" si="46"/>
        <v>109364782286</v>
      </c>
      <c r="AW99" s="3">
        <f t="shared" si="46"/>
        <v>109588588894</v>
      </c>
      <c r="AX99" s="3">
        <f t="shared" si="46"/>
        <v>136214528894</v>
      </c>
      <c r="AY99" s="4">
        <f t="shared" si="46"/>
        <v>117507345522</v>
      </c>
      <c r="AZ99" s="4">
        <v>141180341946</v>
      </c>
      <c r="BA99" s="4">
        <v>136932504168</v>
      </c>
      <c r="BB99" s="4">
        <v>136095726390</v>
      </c>
      <c r="BC99" s="4">
        <v>135022755220</v>
      </c>
      <c r="BD99" s="4">
        <v>130774917442</v>
      </c>
      <c r="BE99" s="4">
        <v>109891791394</v>
      </c>
      <c r="BF99" s="4">
        <v>108818820224</v>
      </c>
      <c r="BG99" s="4">
        <v>107233510446</v>
      </c>
      <c r="BH99" s="4">
        <v>106396732668</v>
      </c>
      <c r="BI99" s="4">
        <v>101343133942</v>
      </c>
      <c r="BJ99" s="4">
        <v>102401372942</v>
      </c>
      <c r="BK99" s="4">
        <v>83152254354</v>
      </c>
      <c r="BL99" s="4">
        <v>82242841415</v>
      </c>
      <c r="BM99" s="4">
        <v>104170341415</v>
      </c>
      <c r="BN99" s="4">
        <v>112870341415</v>
      </c>
      <c r="BO99" s="4">
        <v>112870341415</v>
      </c>
      <c r="BP99" s="4">
        <v>187703236415</v>
      </c>
      <c r="BQ99" s="4">
        <v>155703236415</v>
      </c>
      <c r="BR99" s="4">
        <f t="shared" ref="BR99:BW99" si="47">SUM(BR100:BR113)</f>
        <v>0</v>
      </c>
      <c r="BS99" s="4">
        <f t="shared" si="47"/>
        <v>0</v>
      </c>
      <c r="BT99" s="4">
        <f t="shared" si="47"/>
        <v>0</v>
      </c>
      <c r="BU99" s="4">
        <f t="shared" si="47"/>
        <v>0</v>
      </c>
      <c r="BV99" s="4">
        <f t="shared" si="47"/>
        <v>0</v>
      </c>
      <c r="BW99" s="4">
        <f t="shared" si="47"/>
        <v>0</v>
      </c>
    </row>
    <row r="100" spans="1:75" ht="15" customHeight="1">
      <c r="A100" s="55">
        <v>97</v>
      </c>
      <c r="B100" s="75" t="s">
        <v>126</v>
      </c>
      <c r="C100" s="55">
        <v>28</v>
      </c>
      <c r="D100" s="508"/>
      <c r="E100" s="508"/>
      <c r="F100" s="508"/>
      <c r="G100" s="508"/>
      <c r="H100" s="508"/>
      <c r="I100" s="508"/>
      <c r="J100" s="508"/>
      <c r="K100" s="508"/>
      <c r="L100" s="508"/>
      <c r="M100" s="508"/>
      <c r="N100" s="508"/>
      <c r="O100" s="508"/>
      <c r="P100" s="508"/>
      <c r="Q100" s="508"/>
      <c r="R100" s="508"/>
      <c r="S100" s="508"/>
      <c r="T100" s="508"/>
      <c r="U100" s="508"/>
      <c r="V100" s="508"/>
      <c r="W100" s="508"/>
      <c r="X100" s="508"/>
      <c r="Y100" s="508"/>
      <c r="Z100" s="508"/>
      <c r="AA100" s="508"/>
      <c r="AB100" s="508"/>
      <c r="AC100" s="508"/>
      <c r="AD100" s="508"/>
      <c r="AE100" s="508"/>
      <c r="AF100" s="508"/>
      <c r="AG100" s="508"/>
      <c r="AH100" s="508"/>
      <c r="AI100" s="508"/>
      <c r="AJ100" s="508"/>
      <c r="AK100" s="508"/>
      <c r="AL100" s="508"/>
      <c r="AM100" s="508"/>
      <c r="AN100" s="508">
        <v>0</v>
      </c>
      <c r="AO100" s="508">
        <v>0</v>
      </c>
      <c r="AP100" s="508">
        <v>0</v>
      </c>
      <c r="AQ100" s="508">
        <v>0</v>
      </c>
      <c r="AR100" s="508">
        <v>0</v>
      </c>
      <c r="AS100" s="508">
        <v>0</v>
      </c>
      <c r="AT100" s="508">
        <v>0</v>
      </c>
      <c r="AU100" s="508">
        <v>0</v>
      </c>
      <c r="AV100" s="508">
        <v>0</v>
      </c>
      <c r="AW100" s="508">
        <v>0</v>
      </c>
      <c r="AX100" s="508">
        <v>0</v>
      </c>
      <c r="AY100" s="508">
        <v>0</v>
      </c>
      <c r="AZ100" s="508">
        <v>0</v>
      </c>
      <c r="BA100" s="508">
        <v>0</v>
      </c>
      <c r="BB100" s="508">
        <v>0</v>
      </c>
      <c r="BC100" s="508">
        <v>0</v>
      </c>
      <c r="BD100" s="508">
        <v>0</v>
      </c>
      <c r="BE100" s="508">
        <v>0</v>
      </c>
      <c r="BF100" s="508">
        <v>0</v>
      </c>
      <c r="BG100" s="508">
        <v>0</v>
      </c>
      <c r="BH100" s="508">
        <v>0</v>
      </c>
      <c r="BI100" s="508">
        <v>0</v>
      </c>
      <c r="BJ100" s="508">
        <v>0</v>
      </c>
      <c r="BK100" s="508">
        <v>0</v>
      </c>
      <c r="BL100" s="508">
        <v>0</v>
      </c>
      <c r="BM100" s="508">
        <v>0</v>
      </c>
      <c r="BN100" s="508">
        <v>0</v>
      </c>
      <c r="BO100" s="508">
        <v>0</v>
      </c>
      <c r="BP100" s="508">
        <v>0</v>
      </c>
      <c r="BQ100" s="508">
        <v>0</v>
      </c>
      <c r="BR100" s="508"/>
      <c r="BS100" s="508"/>
      <c r="BT100" s="508"/>
      <c r="BU100" s="508"/>
      <c r="BV100" s="508"/>
      <c r="BW100" s="508"/>
    </row>
    <row r="101" spans="1:75" ht="15" customHeight="1">
      <c r="A101" s="55">
        <v>98</v>
      </c>
      <c r="B101" s="75" t="s">
        <v>127</v>
      </c>
      <c r="C101" s="55">
        <v>28</v>
      </c>
      <c r="D101" s="508"/>
      <c r="E101" s="508"/>
      <c r="F101" s="508"/>
      <c r="G101" s="508"/>
      <c r="H101" s="508"/>
      <c r="I101" s="508"/>
      <c r="J101" s="508"/>
      <c r="K101" s="508"/>
      <c r="L101" s="508"/>
      <c r="M101" s="508"/>
      <c r="N101" s="508"/>
      <c r="O101" s="508"/>
      <c r="P101" s="508"/>
      <c r="Q101" s="508"/>
      <c r="R101" s="508"/>
      <c r="S101" s="508"/>
      <c r="T101" s="508"/>
      <c r="U101" s="508"/>
      <c r="V101" s="508"/>
      <c r="W101" s="508"/>
      <c r="X101" s="508"/>
      <c r="Y101" s="508"/>
      <c r="Z101" s="508"/>
      <c r="AA101" s="508"/>
      <c r="AB101" s="508"/>
      <c r="AC101" s="508"/>
      <c r="AD101" s="508"/>
      <c r="AE101" s="508"/>
      <c r="AF101" s="508"/>
      <c r="AG101" s="508"/>
      <c r="AH101" s="508"/>
      <c r="AI101" s="508"/>
      <c r="AJ101" s="508"/>
      <c r="AK101" s="508"/>
      <c r="AL101" s="508"/>
      <c r="AM101" s="508"/>
      <c r="AN101" s="508">
        <v>0</v>
      </c>
      <c r="AO101" s="508">
        <v>0</v>
      </c>
      <c r="AP101" s="508">
        <v>0</v>
      </c>
      <c r="AQ101" s="508">
        <v>0</v>
      </c>
      <c r="AR101" s="508">
        <v>0</v>
      </c>
      <c r="AS101" s="508">
        <v>0</v>
      </c>
      <c r="AT101" s="508">
        <v>0</v>
      </c>
      <c r="AU101" s="508">
        <v>0</v>
      </c>
      <c r="AV101" s="508">
        <v>0</v>
      </c>
      <c r="AW101" s="508">
        <v>0</v>
      </c>
      <c r="AX101" s="508">
        <v>0</v>
      </c>
      <c r="AY101" s="508">
        <v>0</v>
      </c>
      <c r="AZ101" s="508">
        <v>0</v>
      </c>
      <c r="BA101" s="508">
        <v>0</v>
      </c>
      <c r="BB101" s="508">
        <v>0</v>
      </c>
      <c r="BC101" s="508">
        <v>0</v>
      </c>
      <c r="BD101" s="508">
        <v>0</v>
      </c>
      <c r="BE101" s="508">
        <v>0</v>
      </c>
      <c r="BF101" s="508">
        <v>0</v>
      </c>
      <c r="BG101" s="508">
        <v>0</v>
      </c>
      <c r="BH101" s="508">
        <v>0</v>
      </c>
      <c r="BI101" s="508">
        <v>0</v>
      </c>
      <c r="BJ101" s="508">
        <v>0</v>
      </c>
      <c r="BK101" s="508">
        <v>0</v>
      </c>
      <c r="BL101" s="508">
        <v>0</v>
      </c>
      <c r="BM101" s="508">
        <v>0</v>
      </c>
      <c r="BN101" s="508">
        <v>0</v>
      </c>
      <c r="BO101" s="508">
        <v>0</v>
      </c>
      <c r="BP101" s="508">
        <v>0</v>
      </c>
      <c r="BQ101" s="508">
        <v>0</v>
      </c>
      <c r="BR101" s="508"/>
      <c r="BS101" s="508"/>
      <c r="BT101" s="508"/>
      <c r="BU101" s="508"/>
      <c r="BV101" s="508"/>
      <c r="BW101" s="508"/>
    </row>
    <row r="102" spans="1:75" ht="15" customHeight="1">
      <c r="A102" s="55">
        <v>99</v>
      </c>
      <c r="B102" s="75" t="s">
        <v>128</v>
      </c>
      <c r="C102" s="55">
        <v>28</v>
      </c>
      <c r="D102" s="508"/>
      <c r="E102" s="508"/>
      <c r="F102" s="508"/>
      <c r="G102" s="508"/>
      <c r="H102" s="508"/>
      <c r="I102" s="508"/>
      <c r="J102" s="508"/>
      <c r="K102" s="508"/>
      <c r="L102" s="508"/>
      <c r="M102" s="508"/>
      <c r="N102" s="508"/>
      <c r="O102" s="508"/>
      <c r="P102" s="508"/>
      <c r="Q102" s="508"/>
      <c r="R102" s="508"/>
      <c r="S102" s="508"/>
      <c r="T102" s="508"/>
      <c r="U102" s="508"/>
      <c r="V102" s="508"/>
      <c r="W102" s="508"/>
      <c r="X102" s="508"/>
      <c r="Y102" s="508"/>
      <c r="Z102" s="508"/>
      <c r="AA102" s="508"/>
      <c r="AB102" s="508"/>
      <c r="AC102" s="508"/>
      <c r="AD102" s="508"/>
      <c r="AE102" s="508"/>
      <c r="AF102" s="508"/>
      <c r="AG102" s="508"/>
      <c r="AH102" s="508"/>
      <c r="AI102" s="508"/>
      <c r="AJ102" s="508"/>
      <c r="AK102" s="508"/>
      <c r="AL102" s="508"/>
      <c r="AM102" s="508"/>
      <c r="AN102" s="508">
        <v>0</v>
      </c>
      <c r="AO102" s="508">
        <v>0</v>
      </c>
      <c r="AP102" s="508">
        <v>0</v>
      </c>
      <c r="AQ102" s="508">
        <v>0</v>
      </c>
      <c r="AR102" s="508">
        <v>0</v>
      </c>
      <c r="AS102" s="508">
        <v>0</v>
      </c>
      <c r="AT102" s="508">
        <v>0</v>
      </c>
      <c r="AU102" s="508">
        <v>0</v>
      </c>
      <c r="AV102" s="508">
        <v>0</v>
      </c>
      <c r="AW102" s="508">
        <v>0</v>
      </c>
      <c r="AX102" s="508">
        <v>0</v>
      </c>
      <c r="AY102" s="508">
        <v>0</v>
      </c>
      <c r="AZ102" s="508">
        <v>0</v>
      </c>
      <c r="BA102" s="508">
        <v>0</v>
      </c>
      <c r="BB102" s="508">
        <v>0</v>
      </c>
      <c r="BC102" s="508">
        <v>0</v>
      </c>
      <c r="BD102" s="508">
        <v>0</v>
      </c>
      <c r="BE102" s="508">
        <v>0</v>
      </c>
      <c r="BF102" s="508">
        <v>0</v>
      </c>
      <c r="BG102" s="508">
        <v>0</v>
      </c>
      <c r="BH102" s="508">
        <v>0</v>
      </c>
      <c r="BI102" s="508">
        <v>0</v>
      </c>
      <c r="BJ102" s="508">
        <v>0</v>
      </c>
      <c r="BK102" s="508">
        <v>0</v>
      </c>
      <c r="BL102" s="508">
        <v>0</v>
      </c>
      <c r="BM102" s="508">
        <v>0</v>
      </c>
      <c r="BN102" s="508">
        <v>0</v>
      </c>
      <c r="BO102" s="508">
        <v>0</v>
      </c>
      <c r="BP102" s="508">
        <v>0</v>
      </c>
      <c r="BQ102" s="508">
        <v>0</v>
      </c>
      <c r="BR102" s="508"/>
      <c r="BS102" s="508"/>
      <c r="BT102" s="508"/>
      <c r="BU102" s="508"/>
      <c r="BV102" s="508"/>
      <c r="BW102" s="508"/>
    </row>
    <row r="103" spans="1:75" ht="15" customHeight="1">
      <c r="A103" s="55">
        <v>100</v>
      </c>
      <c r="B103" s="75" t="s">
        <v>129</v>
      </c>
      <c r="C103" s="55">
        <v>28</v>
      </c>
      <c r="D103" s="508"/>
      <c r="E103" s="508"/>
      <c r="F103" s="508"/>
      <c r="G103" s="508"/>
      <c r="H103" s="508"/>
      <c r="I103" s="508"/>
      <c r="J103" s="508"/>
      <c r="K103" s="508"/>
      <c r="L103" s="508"/>
      <c r="M103" s="508"/>
      <c r="N103" s="508"/>
      <c r="O103" s="508"/>
      <c r="P103" s="508"/>
      <c r="Q103" s="508"/>
      <c r="R103" s="508"/>
      <c r="S103" s="508"/>
      <c r="T103" s="508"/>
      <c r="U103" s="508"/>
      <c r="V103" s="508"/>
      <c r="W103" s="508"/>
      <c r="X103" s="508"/>
      <c r="Y103" s="508"/>
      <c r="Z103" s="508"/>
      <c r="AA103" s="508"/>
      <c r="AB103" s="508"/>
      <c r="AC103" s="508"/>
      <c r="AD103" s="508"/>
      <c r="AE103" s="508"/>
      <c r="AF103" s="508"/>
      <c r="AG103" s="508"/>
      <c r="AH103" s="508"/>
      <c r="AI103" s="508"/>
      <c r="AJ103" s="508"/>
      <c r="AK103" s="508"/>
      <c r="AL103" s="508"/>
      <c r="AM103" s="508"/>
      <c r="AN103" s="508">
        <v>0</v>
      </c>
      <c r="AO103" s="508">
        <v>0</v>
      </c>
      <c r="AP103" s="508">
        <v>0</v>
      </c>
      <c r="AQ103" s="508">
        <v>0</v>
      </c>
      <c r="AR103" s="508">
        <v>0</v>
      </c>
      <c r="AS103" s="508">
        <v>0</v>
      </c>
      <c r="AT103" s="508">
        <v>0</v>
      </c>
      <c r="AU103" s="508">
        <v>0</v>
      </c>
      <c r="AV103" s="508">
        <v>0</v>
      </c>
      <c r="AW103" s="508">
        <v>0</v>
      </c>
      <c r="AX103" s="508">
        <v>0</v>
      </c>
      <c r="AY103" s="508">
        <v>0</v>
      </c>
      <c r="AZ103" s="508">
        <v>0</v>
      </c>
      <c r="BA103" s="508">
        <v>0</v>
      </c>
      <c r="BB103" s="508">
        <v>0</v>
      </c>
      <c r="BC103" s="508">
        <v>0</v>
      </c>
      <c r="BD103" s="508">
        <v>0</v>
      </c>
      <c r="BE103" s="508">
        <v>0</v>
      </c>
      <c r="BF103" s="508">
        <v>0</v>
      </c>
      <c r="BG103" s="508">
        <v>0</v>
      </c>
      <c r="BH103" s="508">
        <v>0</v>
      </c>
      <c r="BI103" s="508">
        <v>0</v>
      </c>
      <c r="BJ103" s="508">
        <v>0</v>
      </c>
      <c r="BK103" s="508">
        <v>0</v>
      </c>
      <c r="BL103" s="508">
        <v>0</v>
      </c>
      <c r="BM103" s="508">
        <v>0</v>
      </c>
      <c r="BN103" s="508">
        <v>0</v>
      </c>
      <c r="BO103" s="508">
        <v>0</v>
      </c>
      <c r="BP103" s="508">
        <v>0</v>
      </c>
      <c r="BQ103" s="508">
        <v>0</v>
      </c>
      <c r="BR103" s="508"/>
      <c r="BS103" s="508"/>
      <c r="BT103" s="508"/>
      <c r="BU103" s="508"/>
      <c r="BV103" s="508"/>
      <c r="BW103" s="508"/>
    </row>
    <row r="104" spans="1:75" ht="15" customHeight="1">
      <c r="A104" s="55">
        <v>101</v>
      </c>
      <c r="B104" s="75" t="s">
        <v>130</v>
      </c>
      <c r="C104" s="55">
        <v>28</v>
      </c>
      <c r="D104" s="508"/>
      <c r="E104" s="508"/>
      <c r="F104" s="508"/>
      <c r="G104" s="508"/>
      <c r="H104" s="508"/>
      <c r="I104" s="508"/>
      <c r="J104" s="508"/>
      <c r="K104" s="508"/>
      <c r="L104" s="508"/>
      <c r="M104" s="508"/>
      <c r="N104" s="508"/>
      <c r="O104" s="508"/>
      <c r="P104" s="508"/>
      <c r="Q104" s="508"/>
      <c r="R104" s="508"/>
      <c r="S104" s="508"/>
      <c r="T104" s="508"/>
      <c r="U104" s="508"/>
      <c r="V104" s="508"/>
      <c r="W104" s="508"/>
      <c r="X104" s="508"/>
      <c r="Y104" s="508"/>
      <c r="Z104" s="508"/>
      <c r="AA104" s="508"/>
      <c r="AB104" s="508"/>
      <c r="AC104" s="508"/>
      <c r="AD104" s="508"/>
      <c r="AE104" s="508"/>
      <c r="AF104" s="508"/>
      <c r="AG104" s="508"/>
      <c r="AH104" s="508"/>
      <c r="AI104" s="508"/>
      <c r="AJ104" s="508"/>
      <c r="AK104" s="508"/>
      <c r="AL104" s="508"/>
      <c r="AM104" s="508"/>
      <c r="AN104" s="508">
        <v>0</v>
      </c>
      <c r="AO104" s="508">
        <v>0</v>
      </c>
      <c r="AP104" s="508">
        <v>0</v>
      </c>
      <c r="AQ104" s="508">
        <v>0</v>
      </c>
      <c r="AR104" s="508">
        <v>0</v>
      </c>
      <c r="AS104" s="508">
        <v>0</v>
      </c>
      <c r="AT104" s="508">
        <v>0</v>
      </c>
      <c r="AU104" s="508">
        <v>0</v>
      </c>
      <c r="AV104" s="508">
        <v>0</v>
      </c>
      <c r="AW104" s="508">
        <v>0</v>
      </c>
      <c r="AX104" s="508">
        <v>0</v>
      </c>
      <c r="AY104" s="508">
        <v>0</v>
      </c>
      <c r="AZ104" s="508">
        <v>0</v>
      </c>
      <c r="BA104" s="508">
        <v>0</v>
      </c>
      <c r="BB104" s="508">
        <v>0</v>
      </c>
      <c r="BC104" s="508">
        <v>0</v>
      </c>
      <c r="BD104" s="508">
        <v>0</v>
      </c>
      <c r="BE104" s="508">
        <v>0</v>
      </c>
      <c r="BF104" s="508">
        <v>0</v>
      </c>
      <c r="BG104" s="508">
        <v>0</v>
      </c>
      <c r="BH104" s="508">
        <v>0</v>
      </c>
      <c r="BI104" s="508">
        <v>0</v>
      </c>
      <c r="BJ104" s="508">
        <v>0</v>
      </c>
      <c r="BK104" s="508">
        <v>0</v>
      </c>
      <c r="BL104" s="508">
        <v>0</v>
      </c>
      <c r="BM104" s="508">
        <v>0</v>
      </c>
      <c r="BN104" s="508">
        <v>0</v>
      </c>
      <c r="BO104" s="508">
        <v>0</v>
      </c>
      <c r="BP104" s="508">
        <v>0</v>
      </c>
      <c r="BQ104" s="508">
        <v>0</v>
      </c>
      <c r="BR104" s="508"/>
      <c r="BS104" s="508"/>
      <c r="BT104" s="508"/>
      <c r="BU104" s="508"/>
      <c r="BV104" s="508"/>
      <c r="BW104" s="508"/>
    </row>
    <row r="105" spans="1:75" ht="15" customHeight="1">
      <c r="A105" s="55">
        <v>102</v>
      </c>
      <c r="B105" s="75" t="s">
        <v>131</v>
      </c>
      <c r="C105" s="55">
        <v>28</v>
      </c>
      <c r="D105" s="508"/>
      <c r="E105" s="508"/>
      <c r="F105" s="508"/>
      <c r="G105" s="508"/>
      <c r="H105" s="508"/>
      <c r="I105" s="508"/>
      <c r="J105" s="508"/>
      <c r="K105" s="508"/>
      <c r="L105" s="508"/>
      <c r="M105" s="508"/>
      <c r="N105" s="508"/>
      <c r="O105" s="508"/>
      <c r="P105" s="508"/>
      <c r="Q105" s="508"/>
      <c r="R105" s="508"/>
      <c r="S105" s="508"/>
      <c r="T105" s="508"/>
      <c r="U105" s="508"/>
      <c r="V105" s="508"/>
      <c r="W105" s="508"/>
      <c r="X105" s="508"/>
      <c r="Y105" s="508"/>
      <c r="Z105" s="508"/>
      <c r="AA105" s="508"/>
      <c r="AB105" s="508"/>
      <c r="AC105" s="508"/>
      <c r="AD105" s="508"/>
      <c r="AE105" s="508"/>
      <c r="AF105" s="508"/>
      <c r="AG105" s="508"/>
      <c r="AH105" s="508"/>
      <c r="AI105" s="508"/>
      <c r="AJ105" s="508"/>
      <c r="AK105" s="508"/>
      <c r="AL105" s="508"/>
      <c r="AM105" s="508"/>
      <c r="AN105" s="508">
        <v>0</v>
      </c>
      <c r="AO105" s="508">
        <v>0</v>
      </c>
      <c r="AP105" s="508">
        <v>0</v>
      </c>
      <c r="AQ105" s="508">
        <v>0</v>
      </c>
      <c r="AR105" s="508">
        <v>0</v>
      </c>
      <c r="AS105" s="508">
        <v>0</v>
      </c>
      <c r="AT105" s="508">
        <v>0</v>
      </c>
      <c r="AU105" s="508">
        <v>0</v>
      </c>
      <c r="AV105" s="508">
        <v>0</v>
      </c>
      <c r="AW105" s="508">
        <v>0</v>
      </c>
      <c r="AX105" s="508">
        <v>0</v>
      </c>
      <c r="AY105" s="508">
        <v>0</v>
      </c>
      <c r="AZ105" s="508">
        <v>0</v>
      </c>
      <c r="BA105" s="508">
        <v>0</v>
      </c>
      <c r="BB105" s="508">
        <v>0</v>
      </c>
      <c r="BC105" s="508">
        <v>0</v>
      </c>
      <c r="BD105" s="508">
        <v>0</v>
      </c>
      <c r="BE105" s="508">
        <v>0</v>
      </c>
      <c r="BF105" s="508">
        <v>0</v>
      </c>
      <c r="BG105" s="508">
        <v>0</v>
      </c>
      <c r="BH105" s="508">
        <v>0</v>
      </c>
      <c r="BI105" s="508">
        <v>0</v>
      </c>
      <c r="BJ105" s="508">
        <v>0</v>
      </c>
      <c r="BK105" s="508">
        <v>0</v>
      </c>
      <c r="BL105" s="508">
        <v>0</v>
      </c>
      <c r="BM105" s="508">
        <v>0</v>
      </c>
      <c r="BN105" s="508">
        <v>0</v>
      </c>
      <c r="BO105" s="508">
        <v>0</v>
      </c>
      <c r="BP105" s="508">
        <v>0</v>
      </c>
      <c r="BQ105" s="508">
        <v>0</v>
      </c>
      <c r="BR105" s="508"/>
      <c r="BS105" s="508"/>
      <c r="BT105" s="508"/>
      <c r="BU105" s="508"/>
      <c r="BV105" s="508"/>
      <c r="BW105" s="508"/>
    </row>
    <row r="106" spans="1:75" ht="15" customHeight="1">
      <c r="A106" s="55">
        <v>103</v>
      </c>
      <c r="B106" s="75" t="s">
        <v>132</v>
      </c>
      <c r="C106" s="55">
        <v>28</v>
      </c>
      <c r="D106" s="508"/>
      <c r="E106" s="508"/>
      <c r="F106" s="508"/>
      <c r="G106" s="508"/>
      <c r="H106" s="508"/>
      <c r="I106" s="508"/>
      <c r="J106" s="508"/>
      <c r="K106" s="508"/>
      <c r="L106" s="508"/>
      <c r="M106" s="508"/>
      <c r="N106" s="508"/>
      <c r="O106" s="508"/>
      <c r="P106" s="508"/>
      <c r="Q106" s="508"/>
      <c r="R106" s="508"/>
      <c r="S106" s="508"/>
      <c r="T106" s="508"/>
      <c r="U106" s="508"/>
      <c r="V106" s="508"/>
      <c r="W106" s="508"/>
      <c r="X106" s="508"/>
      <c r="Y106" s="508"/>
      <c r="Z106" s="508"/>
      <c r="AA106" s="508"/>
      <c r="AB106" s="508"/>
      <c r="AC106" s="508"/>
      <c r="AD106" s="508"/>
      <c r="AE106" s="508"/>
      <c r="AF106" s="508"/>
      <c r="AG106" s="508"/>
      <c r="AH106" s="508"/>
      <c r="AI106" s="508"/>
      <c r="AJ106" s="508"/>
      <c r="AK106" s="508"/>
      <c r="AL106" s="508"/>
      <c r="AM106" s="508"/>
      <c r="AN106" s="508">
        <v>0</v>
      </c>
      <c r="AO106" s="508">
        <v>0</v>
      </c>
      <c r="AP106" s="508">
        <v>0</v>
      </c>
      <c r="AQ106" s="508">
        <v>0</v>
      </c>
      <c r="AR106" s="508">
        <v>0</v>
      </c>
      <c r="AS106" s="508">
        <v>0</v>
      </c>
      <c r="AT106" s="508">
        <v>0</v>
      </c>
      <c r="AU106" s="508">
        <v>0</v>
      </c>
      <c r="AV106" s="508">
        <v>0</v>
      </c>
      <c r="AW106" s="508">
        <v>0</v>
      </c>
      <c r="AX106" s="508">
        <v>0</v>
      </c>
      <c r="AY106" s="508">
        <v>0</v>
      </c>
      <c r="AZ106" s="508">
        <v>0</v>
      </c>
      <c r="BA106" s="508">
        <v>0</v>
      </c>
      <c r="BB106" s="508">
        <v>0</v>
      </c>
      <c r="BC106" s="508">
        <v>0</v>
      </c>
      <c r="BD106" s="508">
        <v>0</v>
      </c>
      <c r="BE106" s="508">
        <v>0</v>
      </c>
      <c r="BF106" s="508">
        <v>0</v>
      </c>
      <c r="BG106" s="508">
        <v>0</v>
      </c>
      <c r="BH106" s="508">
        <v>0</v>
      </c>
      <c r="BI106" s="508">
        <v>0</v>
      </c>
      <c r="BJ106" s="508">
        <v>0</v>
      </c>
      <c r="BK106" s="508">
        <v>0</v>
      </c>
      <c r="BL106" s="508">
        <v>0</v>
      </c>
      <c r="BM106" s="508">
        <v>0</v>
      </c>
      <c r="BN106" s="508">
        <v>0</v>
      </c>
      <c r="BO106" s="508">
        <v>0</v>
      </c>
      <c r="BP106" s="508">
        <v>0</v>
      </c>
      <c r="BQ106" s="508">
        <v>0</v>
      </c>
      <c r="BR106" s="508"/>
      <c r="BS106" s="508"/>
      <c r="BT106" s="508"/>
      <c r="BU106" s="508"/>
      <c r="BV106" s="508"/>
      <c r="BW106" s="508"/>
    </row>
    <row r="107" spans="1:75" ht="15" customHeight="1">
      <c r="A107" s="55">
        <v>104</v>
      </c>
      <c r="B107" s="75" t="s">
        <v>133</v>
      </c>
      <c r="C107" s="55">
        <v>28</v>
      </c>
      <c r="D107" s="508"/>
      <c r="E107" s="508"/>
      <c r="F107" s="508"/>
      <c r="G107" s="508"/>
      <c r="H107" s="508"/>
      <c r="I107" s="508"/>
      <c r="J107" s="508"/>
      <c r="K107" s="508"/>
      <c r="L107" s="508"/>
      <c r="M107" s="508"/>
      <c r="N107" s="508"/>
      <c r="O107" s="508"/>
      <c r="P107" s="508"/>
      <c r="Q107" s="508"/>
      <c r="R107" s="508"/>
      <c r="S107" s="508"/>
      <c r="T107" s="508"/>
      <c r="U107" s="508"/>
      <c r="V107" s="508"/>
      <c r="W107" s="508"/>
      <c r="X107" s="508"/>
      <c r="Y107" s="508"/>
      <c r="Z107" s="508"/>
      <c r="AA107" s="508"/>
      <c r="AB107" s="508"/>
      <c r="AC107" s="508"/>
      <c r="AD107" s="508"/>
      <c r="AE107" s="508"/>
      <c r="AF107" s="508"/>
      <c r="AG107" s="508"/>
      <c r="AH107" s="508"/>
      <c r="AI107" s="508"/>
      <c r="AJ107" s="508"/>
      <c r="AK107" s="508"/>
      <c r="AL107" s="508"/>
      <c r="AM107" s="508"/>
      <c r="AN107" s="508">
        <v>0</v>
      </c>
      <c r="AO107" s="508">
        <v>0</v>
      </c>
      <c r="AP107" s="508">
        <v>0</v>
      </c>
      <c r="AQ107" s="508">
        <v>0</v>
      </c>
      <c r="AR107" s="508">
        <v>0</v>
      </c>
      <c r="AS107" s="508">
        <v>0</v>
      </c>
      <c r="AT107" s="508">
        <v>0</v>
      </c>
      <c r="AU107" s="508">
        <v>0</v>
      </c>
      <c r="AV107" s="508">
        <v>0</v>
      </c>
      <c r="AW107" s="508">
        <v>0</v>
      </c>
      <c r="AX107" s="508">
        <v>0</v>
      </c>
      <c r="AY107" s="508">
        <v>0</v>
      </c>
      <c r="AZ107" s="508">
        <v>0</v>
      </c>
      <c r="BA107" s="508">
        <v>0</v>
      </c>
      <c r="BB107" s="508">
        <v>0</v>
      </c>
      <c r="BC107" s="508">
        <v>0</v>
      </c>
      <c r="BD107" s="508">
        <v>0</v>
      </c>
      <c r="BE107" s="508">
        <v>0</v>
      </c>
      <c r="BF107" s="508">
        <v>0</v>
      </c>
      <c r="BG107" s="508">
        <v>0</v>
      </c>
      <c r="BH107" s="508">
        <v>0</v>
      </c>
      <c r="BI107" s="508">
        <v>0</v>
      </c>
      <c r="BJ107" s="508">
        <v>0</v>
      </c>
      <c r="BK107" s="508">
        <v>0</v>
      </c>
      <c r="BL107" s="508">
        <v>0</v>
      </c>
      <c r="BM107" s="508">
        <v>0</v>
      </c>
      <c r="BN107" s="508">
        <v>0</v>
      </c>
      <c r="BO107" s="508">
        <v>0</v>
      </c>
      <c r="BP107" s="508">
        <v>0</v>
      </c>
      <c r="BQ107" s="508">
        <v>0</v>
      </c>
      <c r="BR107" s="508"/>
      <c r="BS107" s="508"/>
      <c r="BT107" s="508"/>
      <c r="BU107" s="508"/>
      <c r="BV107" s="508"/>
      <c r="BW107" s="508"/>
    </row>
    <row r="108" spans="1:75" ht="15" customHeight="1">
      <c r="A108" s="55">
        <v>105</v>
      </c>
      <c r="B108" s="75" t="s">
        <v>348</v>
      </c>
      <c r="C108" s="55">
        <v>28</v>
      </c>
      <c r="D108" s="508"/>
      <c r="E108" s="508"/>
      <c r="F108" s="508"/>
      <c r="G108" s="508"/>
      <c r="H108" s="508"/>
      <c r="I108" s="508"/>
      <c r="J108" s="508"/>
      <c r="K108" s="508"/>
      <c r="L108" s="508"/>
      <c r="M108" s="508"/>
      <c r="N108" s="508"/>
      <c r="O108" s="508"/>
      <c r="P108" s="508"/>
      <c r="Q108" s="508"/>
      <c r="R108" s="508"/>
      <c r="S108" s="508"/>
      <c r="T108" s="508"/>
      <c r="U108" s="508"/>
      <c r="V108" s="508"/>
      <c r="W108" s="508"/>
      <c r="X108" s="508"/>
      <c r="Y108" s="508"/>
      <c r="Z108" s="508"/>
      <c r="AA108" s="508"/>
      <c r="AB108" s="508"/>
      <c r="AC108" s="508"/>
      <c r="AD108" s="508"/>
      <c r="AE108" s="508"/>
      <c r="AF108" s="508"/>
      <c r="AG108" s="508"/>
      <c r="AH108" s="508"/>
      <c r="AI108" s="508"/>
      <c r="AJ108" s="508"/>
      <c r="AK108" s="508"/>
      <c r="AL108" s="508"/>
      <c r="AM108" s="508"/>
      <c r="AN108" s="508">
        <v>110386411070</v>
      </c>
      <c r="AO108" s="508">
        <v>110292351070</v>
      </c>
      <c r="AP108" s="508">
        <v>110233351070</v>
      </c>
      <c r="AQ108" s="508">
        <v>109938157678</v>
      </c>
      <c r="AR108" s="508">
        <v>107984867678</v>
      </c>
      <c r="AS108" s="508">
        <v>109314035678</v>
      </c>
      <c r="AT108" s="508">
        <v>109426842286</v>
      </c>
      <c r="AU108" s="508">
        <v>108769782286</v>
      </c>
      <c r="AV108" s="508">
        <v>109364782286</v>
      </c>
      <c r="AW108" s="508">
        <v>109588588894</v>
      </c>
      <c r="AX108" s="508">
        <v>136214528894</v>
      </c>
      <c r="AY108" s="508">
        <v>115668404212</v>
      </c>
      <c r="AZ108" s="508">
        <v>141180341946</v>
      </c>
      <c r="BA108" s="508">
        <v>136932504168</v>
      </c>
      <c r="BB108" s="508">
        <v>136095726390</v>
      </c>
      <c r="BC108" s="508">
        <v>135022755220</v>
      </c>
      <c r="BD108" s="508">
        <v>130774917442</v>
      </c>
      <c r="BE108" s="508">
        <v>109891791394</v>
      </c>
      <c r="BF108" s="508">
        <v>108818820224</v>
      </c>
      <c r="BG108" s="508">
        <v>107233510446</v>
      </c>
      <c r="BH108" s="508">
        <v>106396732668</v>
      </c>
      <c r="BI108" s="508">
        <v>101343133942</v>
      </c>
      <c r="BJ108" s="508">
        <v>102401372942</v>
      </c>
      <c r="BK108" s="508">
        <v>83152254354</v>
      </c>
      <c r="BL108" s="508">
        <v>82242841415</v>
      </c>
      <c r="BM108" s="508">
        <v>104170341415</v>
      </c>
      <c r="BN108" s="508">
        <v>112870341415</v>
      </c>
      <c r="BO108" s="508">
        <v>112870341415</v>
      </c>
      <c r="BP108" s="508">
        <v>187703236415</v>
      </c>
      <c r="BQ108" s="508">
        <v>155703236415</v>
      </c>
      <c r="BR108" s="508"/>
      <c r="BS108" s="508"/>
      <c r="BT108" s="508"/>
      <c r="BU108" s="508"/>
      <c r="BV108" s="508"/>
      <c r="BW108" s="508"/>
    </row>
    <row r="109" spans="1:75" ht="15" customHeight="1">
      <c r="A109" s="55">
        <v>106</v>
      </c>
      <c r="B109" s="75" t="s">
        <v>135</v>
      </c>
      <c r="C109" s="55">
        <v>28</v>
      </c>
      <c r="D109" s="508"/>
      <c r="E109" s="508"/>
      <c r="F109" s="508"/>
      <c r="G109" s="508"/>
      <c r="H109" s="508"/>
      <c r="I109" s="508"/>
      <c r="J109" s="508"/>
      <c r="K109" s="508"/>
      <c r="L109" s="508"/>
      <c r="M109" s="508"/>
      <c r="N109" s="508"/>
      <c r="O109" s="508"/>
      <c r="P109" s="508"/>
      <c r="Q109" s="508"/>
      <c r="R109" s="508"/>
      <c r="S109" s="508"/>
      <c r="T109" s="508"/>
      <c r="U109" s="508"/>
      <c r="V109" s="508"/>
      <c r="W109" s="508"/>
      <c r="X109" s="508"/>
      <c r="Y109" s="508"/>
      <c r="Z109" s="508"/>
      <c r="AA109" s="508"/>
      <c r="AB109" s="508"/>
      <c r="AC109" s="508"/>
      <c r="AD109" s="508"/>
      <c r="AE109" s="508"/>
      <c r="AF109" s="508"/>
      <c r="AG109" s="508"/>
      <c r="AH109" s="508"/>
      <c r="AI109" s="508"/>
      <c r="AJ109" s="508"/>
      <c r="AK109" s="508"/>
      <c r="AL109" s="508"/>
      <c r="AM109" s="508"/>
      <c r="AN109" s="508">
        <v>0</v>
      </c>
      <c r="AO109" s="508">
        <v>0</v>
      </c>
      <c r="AP109" s="508">
        <v>0</v>
      </c>
      <c r="AQ109" s="508">
        <v>0</v>
      </c>
      <c r="AR109" s="508">
        <v>0</v>
      </c>
      <c r="AS109" s="508">
        <v>0</v>
      </c>
      <c r="AT109" s="508">
        <v>0</v>
      </c>
      <c r="AU109" s="508">
        <v>0</v>
      </c>
      <c r="AV109" s="508">
        <v>0</v>
      </c>
      <c r="AW109" s="508">
        <v>0</v>
      </c>
      <c r="AX109" s="508">
        <v>0</v>
      </c>
      <c r="AY109" s="508">
        <v>0</v>
      </c>
      <c r="AZ109" s="508">
        <v>0</v>
      </c>
      <c r="BA109" s="508">
        <v>0</v>
      </c>
      <c r="BB109" s="508">
        <v>0</v>
      </c>
      <c r="BC109" s="508">
        <v>0</v>
      </c>
      <c r="BD109" s="508">
        <v>0</v>
      </c>
      <c r="BE109" s="508">
        <v>0</v>
      </c>
      <c r="BF109" s="508">
        <v>0</v>
      </c>
      <c r="BG109" s="508">
        <v>0</v>
      </c>
      <c r="BH109" s="508">
        <v>0</v>
      </c>
      <c r="BI109" s="508">
        <v>0</v>
      </c>
      <c r="BJ109" s="508">
        <v>0</v>
      </c>
      <c r="BK109" s="508">
        <v>0</v>
      </c>
      <c r="BL109" s="508">
        <v>0</v>
      </c>
      <c r="BM109" s="508">
        <v>0</v>
      </c>
      <c r="BN109" s="508">
        <v>0</v>
      </c>
      <c r="BO109" s="508">
        <v>0</v>
      </c>
      <c r="BP109" s="508">
        <v>0</v>
      </c>
      <c r="BQ109" s="508">
        <v>0</v>
      </c>
      <c r="BR109" s="508"/>
      <c r="BS109" s="508"/>
      <c r="BT109" s="508"/>
      <c r="BU109" s="508"/>
      <c r="BV109" s="508"/>
      <c r="BW109" s="508"/>
    </row>
    <row r="110" spans="1:75" ht="15" customHeight="1">
      <c r="A110" s="55">
        <v>107</v>
      </c>
      <c r="B110" s="75" t="s">
        <v>136</v>
      </c>
      <c r="C110" s="55">
        <v>28</v>
      </c>
      <c r="D110" s="508"/>
      <c r="E110" s="508"/>
      <c r="F110" s="508"/>
      <c r="G110" s="508"/>
      <c r="H110" s="508"/>
      <c r="I110" s="508"/>
      <c r="J110" s="508"/>
      <c r="K110" s="508"/>
      <c r="L110" s="508"/>
      <c r="M110" s="508"/>
      <c r="N110" s="508"/>
      <c r="O110" s="508"/>
      <c r="P110" s="508"/>
      <c r="Q110" s="508"/>
      <c r="R110" s="508"/>
      <c r="S110" s="508"/>
      <c r="T110" s="508"/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  <c r="AF110" s="508"/>
      <c r="AG110" s="508"/>
      <c r="AH110" s="508"/>
      <c r="AI110" s="508"/>
      <c r="AJ110" s="508"/>
      <c r="AK110" s="508"/>
      <c r="AL110" s="508"/>
      <c r="AM110" s="508"/>
      <c r="AN110" s="508">
        <v>0</v>
      </c>
      <c r="AO110" s="508">
        <v>0</v>
      </c>
      <c r="AP110" s="508">
        <v>0</v>
      </c>
      <c r="AQ110" s="508">
        <v>0</v>
      </c>
      <c r="AR110" s="508">
        <v>0</v>
      </c>
      <c r="AS110" s="508">
        <v>0</v>
      </c>
      <c r="AT110" s="508">
        <v>0</v>
      </c>
      <c r="AU110" s="508">
        <v>0</v>
      </c>
      <c r="AV110" s="508">
        <v>0</v>
      </c>
      <c r="AW110" s="508">
        <v>0</v>
      </c>
      <c r="AX110" s="508">
        <v>0</v>
      </c>
      <c r="AY110" s="508">
        <v>0</v>
      </c>
      <c r="AZ110" s="508">
        <v>0</v>
      </c>
      <c r="BA110" s="508">
        <v>0</v>
      </c>
      <c r="BB110" s="508">
        <v>0</v>
      </c>
      <c r="BC110" s="508">
        <v>0</v>
      </c>
      <c r="BD110" s="508">
        <v>0</v>
      </c>
      <c r="BE110" s="508">
        <v>0</v>
      </c>
      <c r="BF110" s="508">
        <v>0</v>
      </c>
      <c r="BG110" s="508">
        <v>0</v>
      </c>
      <c r="BH110" s="508">
        <v>0</v>
      </c>
      <c r="BI110" s="508">
        <v>0</v>
      </c>
      <c r="BJ110" s="508">
        <v>0</v>
      </c>
      <c r="BK110" s="508">
        <v>0</v>
      </c>
      <c r="BL110" s="508">
        <v>0</v>
      </c>
      <c r="BM110" s="508">
        <v>0</v>
      </c>
      <c r="BN110" s="508">
        <v>0</v>
      </c>
      <c r="BO110" s="508">
        <v>0</v>
      </c>
      <c r="BP110" s="508">
        <v>0</v>
      </c>
      <c r="BQ110" s="508">
        <v>0</v>
      </c>
      <c r="BR110" s="508"/>
      <c r="BS110" s="508"/>
      <c r="BT110" s="508"/>
      <c r="BU110" s="508"/>
      <c r="BV110" s="508"/>
      <c r="BW110" s="508"/>
    </row>
    <row r="111" spans="1:75" ht="15" customHeight="1">
      <c r="A111" s="55">
        <v>108</v>
      </c>
      <c r="B111" s="75" t="s">
        <v>137</v>
      </c>
      <c r="C111" s="55">
        <v>28</v>
      </c>
      <c r="D111" s="508"/>
      <c r="E111" s="508"/>
      <c r="F111" s="508"/>
      <c r="G111" s="508"/>
      <c r="H111" s="508"/>
      <c r="I111" s="508"/>
      <c r="J111" s="508"/>
      <c r="K111" s="508"/>
      <c r="L111" s="508"/>
      <c r="M111" s="508"/>
      <c r="N111" s="508"/>
      <c r="O111" s="508"/>
      <c r="P111" s="508"/>
      <c r="Q111" s="508"/>
      <c r="R111" s="508"/>
      <c r="S111" s="508"/>
      <c r="T111" s="508"/>
      <c r="U111" s="508"/>
      <c r="V111" s="508"/>
      <c r="W111" s="508"/>
      <c r="X111" s="508"/>
      <c r="Y111" s="508"/>
      <c r="Z111" s="508"/>
      <c r="AA111" s="508"/>
      <c r="AB111" s="508"/>
      <c r="AC111" s="508"/>
      <c r="AD111" s="508"/>
      <c r="AE111" s="508"/>
      <c r="AF111" s="508"/>
      <c r="AG111" s="508"/>
      <c r="AH111" s="508"/>
      <c r="AI111" s="508"/>
      <c r="AJ111" s="508"/>
      <c r="AK111" s="508"/>
      <c r="AL111" s="508"/>
      <c r="AM111" s="508"/>
      <c r="AN111" s="508">
        <v>0</v>
      </c>
      <c r="AO111" s="508">
        <v>0</v>
      </c>
      <c r="AP111" s="508">
        <v>0</v>
      </c>
      <c r="AQ111" s="508">
        <v>0</v>
      </c>
      <c r="AR111" s="508">
        <v>0</v>
      </c>
      <c r="AS111" s="508">
        <v>0</v>
      </c>
      <c r="AT111" s="508">
        <v>0</v>
      </c>
      <c r="AU111" s="508">
        <v>0</v>
      </c>
      <c r="AV111" s="508">
        <v>0</v>
      </c>
      <c r="AW111" s="508">
        <v>0</v>
      </c>
      <c r="AX111" s="508">
        <v>0</v>
      </c>
      <c r="AY111" s="508">
        <v>1838941310</v>
      </c>
      <c r="AZ111" s="508">
        <v>0</v>
      </c>
      <c r="BA111" s="508">
        <v>0</v>
      </c>
      <c r="BB111" s="508">
        <v>0</v>
      </c>
      <c r="BC111" s="508">
        <v>0</v>
      </c>
      <c r="BD111" s="508">
        <v>0</v>
      </c>
      <c r="BE111" s="508">
        <v>0</v>
      </c>
      <c r="BF111" s="508">
        <v>0</v>
      </c>
      <c r="BG111" s="508">
        <v>0</v>
      </c>
      <c r="BH111" s="508">
        <v>0</v>
      </c>
      <c r="BI111" s="508">
        <v>0</v>
      </c>
      <c r="BJ111" s="508">
        <v>0</v>
      </c>
      <c r="BK111" s="508">
        <v>0</v>
      </c>
      <c r="BL111" s="508">
        <v>0</v>
      </c>
      <c r="BM111" s="508">
        <v>0</v>
      </c>
      <c r="BN111" s="508">
        <v>0</v>
      </c>
      <c r="BO111" s="508">
        <v>0</v>
      </c>
      <c r="BP111" s="508">
        <v>0</v>
      </c>
      <c r="BQ111" s="508">
        <v>0</v>
      </c>
      <c r="BR111" s="508"/>
      <c r="BS111" s="508"/>
      <c r="BT111" s="508"/>
      <c r="BU111" s="508"/>
      <c r="BV111" s="508"/>
      <c r="BW111" s="508"/>
    </row>
    <row r="112" spans="1:75" ht="15" customHeight="1">
      <c r="A112" s="55">
        <v>109</v>
      </c>
      <c r="B112" s="75" t="s">
        <v>138</v>
      </c>
      <c r="C112" s="55">
        <v>28</v>
      </c>
      <c r="D112" s="508"/>
      <c r="E112" s="508"/>
      <c r="F112" s="508"/>
      <c r="G112" s="508"/>
      <c r="H112" s="508"/>
      <c r="I112" s="508"/>
      <c r="J112" s="508"/>
      <c r="K112" s="508"/>
      <c r="L112" s="508"/>
      <c r="M112" s="508"/>
      <c r="N112" s="508"/>
      <c r="O112" s="508"/>
      <c r="P112" s="508"/>
      <c r="Q112" s="508"/>
      <c r="R112" s="508"/>
      <c r="S112" s="508"/>
      <c r="T112" s="508"/>
      <c r="U112" s="508"/>
      <c r="V112" s="508"/>
      <c r="W112" s="508"/>
      <c r="X112" s="508"/>
      <c r="Y112" s="508"/>
      <c r="Z112" s="508"/>
      <c r="AA112" s="508"/>
      <c r="AB112" s="508"/>
      <c r="AC112" s="508"/>
      <c r="AD112" s="508"/>
      <c r="AE112" s="508"/>
      <c r="AF112" s="508"/>
      <c r="AG112" s="508"/>
      <c r="AH112" s="508"/>
      <c r="AI112" s="508"/>
      <c r="AJ112" s="508"/>
      <c r="AK112" s="508"/>
      <c r="AL112" s="508"/>
      <c r="AM112" s="508"/>
      <c r="AN112" s="508">
        <v>0</v>
      </c>
      <c r="AO112" s="508">
        <v>0</v>
      </c>
      <c r="AP112" s="508">
        <v>0</v>
      </c>
      <c r="AQ112" s="508">
        <v>0</v>
      </c>
      <c r="AR112" s="508">
        <v>0</v>
      </c>
      <c r="AS112" s="508">
        <v>0</v>
      </c>
      <c r="AT112" s="508">
        <v>0</v>
      </c>
      <c r="AU112" s="508">
        <v>0</v>
      </c>
      <c r="AV112" s="508">
        <v>0</v>
      </c>
      <c r="AW112" s="508">
        <v>0</v>
      </c>
      <c r="AX112" s="508">
        <v>0</v>
      </c>
      <c r="AY112" s="508">
        <v>0</v>
      </c>
      <c r="AZ112" s="508">
        <v>0</v>
      </c>
      <c r="BA112" s="508">
        <v>0</v>
      </c>
      <c r="BB112" s="508">
        <v>0</v>
      </c>
      <c r="BC112" s="508">
        <v>0</v>
      </c>
      <c r="BD112" s="508">
        <v>0</v>
      </c>
      <c r="BE112" s="508">
        <v>0</v>
      </c>
      <c r="BF112" s="508">
        <v>0</v>
      </c>
      <c r="BG112" s="508">
        <v>0</v>
      </c>
      <c r="BH112" s="508">
        <v>0</v>
      </c>
      <c r="BI112" s="508">
        <v>0</v>
      </c>
      <c r="BJ112" s="508">
        <v>0</v>
      </c>
      <c r="BK112" s="508">
        <v>0</v>
      </c>
      <c r="BL112" s="508">
        <v>0</v>
      </c>
      <c r="BM112" s="508">
        <v>0</v>
      </c>
      <c r="BN112" s="508">
        <v>0</v>
      </c>
      <c r="BO112" s="508">
        <v>0</v>
      </c>
      <c r="BP112" s="508">
        <v>0</v>
      </c>
      <c r="BQ112" s="508">
        <v>0</v>
      </c>
      <c r="BR112" s="508"/>
      <c r="BS112" s="508"/>
      <c r="BT112" s="508"/>
      <c r="BU112" s="508"/>
      <c r="BV112" s="508"/>
      <c r="BW112" s="508"/>
    </row>
    <row r="113" spans="1:75" ht="15" customHeight="1">
      <c r="A113" s="55">
        <v>110</v>
      </c>
      <c r="B113" s="75" t="s">
        <v>139</v>
      </c>
      <c r="C113" s="55">
        <v>28</v>
      </c>
      <c r="D113" s="508"/>
      <c r="E113" s="508"/>
      <c r="F113" s="508"/>
      <c r="G113" s="508"/>
      <c r="H113" s="508"/>
      <c r="I113" s="508"/>
      <c r="J113" s="508"/>
      <c r="K113" s="508"/>
      <c r="L113" s="508"/>
      <c r="M113" s="508"/>
      <c r="N113" s="508"/>
      <c r="O113" s="508"/>
      <c r="P113" s="508"/>
      <c r="Q113" s="508"/>
      <c r="R113" s="508"/>
      <c r="S113" s="508"/>
      <c r="T113" s="508"/>
      <c r="U113" s="508"/>
      <c r="V113" s="508"/>
      <c r="W113" s="508"/>
      <c r="X113" s="508"/>
      <c r="Y113" s="508"/>
      <c r="Z113" s="508"/>
      <c r="AA113" s="508"/>
      <c r="AB113" s="508"/>
      <c r="AC113" s="508"/>
      <c r="AD113" s="508"/>
      <c r="AE113" s="508"/>
      <c r="AF113" s="508"/>
      <c r="AG113" s="508"/>
      <c r="AH113" s="508"/>
      <c r="AI113" s="508"/>
      <c r="AJ113" s="508"/>
      <c r="AK113" s="508"/>
      <c r="AL113" s="508"/>
      <c r="AM113" s="508"/>
      <c r="AN113" s="508">
        <v>0</v>
      </c>
      <c r="AO113" s="508">
        <v>0</v>
      </c>
      <c r="AP113" s="508">
        <v>0</v>
      </c>
      <c r="AQ113" s="508">
        <v>0</v>
      </c>
      <c r="AR113" s="508">
        <v>0</v>
      </c>
      <c r="AS113" s="508">
        <v>0</v>
      </c>
      <c r="AT113" s="508">
        <v>0</v>
      </c>
      <c r="AU113" s="508">
        <v>0</v>
      </c>
      <c r="AV113" s="508">
        <v>0</v>
      </c>
      <c r="AW113" s="508">
        <v>0</v>
      </c>
      <c r="AX113" s="508">
        <v>0</v>
      </c>
      <c r="AY113" s="508">
        <v>0</v>
      </c>
      <c r="AZ113" s="508">
        <v>0</v>
      </c>
      <c r="BA113" s="508">
        <v>0</v>
      </c>
      <c r="BB113" s="508">
        <v>0</v>
      </c>
      <c r="BC113" s="508">
        <v>0</v>
      </c>
      <c r="BD113" s="508">
        <v>0</v>
      </c>
      <c r="BE113" s="508">
        <v>0</v>
      </c>
      <c r="BF113" s="508">
        <v>0</v>
      </c>
      <c r="BG113" s="508">
        <v>0</v>
      </c>
      <c r="BH113" s="508">
        <v>0</v>
      </c>
      <c r="BI113" s="508">
        <v>0</v>
      </c>
      <c r="BJ113" s="508">
        <v>0</v>
      </c>
      <c r="BK113" s="508">
        <v>0</v>
      </c>
      <c r="BL113" s="508">
        <v>0</v>
      </c>
      <c r="BM113" s="508">
        <v>0</v>
      </c>
      <c r="BN113" s="508">
        <v>0</v>
      </c>
      <c r="BO113" s="508">
        <v>0</v>
      </c>
      <c r="BP113" s="508">
        <v>0</v>
      </c>
      <c r="BQ113" s="508">
        <v>0</v>
      </c>
      <c r="BR113" s="508"/>
      <c r="BS113" s="508"/>
      <c r="BT113" s="508"/>
      <c r="BU113" s="508"/>
      <c r="BV113" s="508"/>
      <c r="BW113" s="508"/>
    </row>
    <row r="114" spans="1:75" ht="15" customHeight="1">
      <c r="A114" s="62">
        <v>111</v>
      </c>
      <c r="B114" s="52" t="s">
        <v>349</v>
      </c>
      <c r="C114" s="62">
        <v>28</v>
      </c>
      <c r="D114" s="5">
        <f t="shared" ref="D114:AY114" si="48">SUM(D115,D118:D126)</f>
        <v>0</v>
      </c>
      <c r="E114" s="5">
        <f t="shared" si="48"/>
        <v>0</v>
      </c>
      <c r="F114" s="5">
        <f t="shared" si="48"/>
        <v>0</v>
      </c>
      <c r="G114" s="5">
        <f t="shared" si="48"/>
        <v>0</v>
      </c>
      <c r="H114" s="5">
        <f t="shared" si="48"/>
        <v>0</v>
      </c>
      <c r="I114" s="5">
        <f t="shared" si="48"/>
        <v>0</v>
      </c>
      <c r="J114" s="5">
        <f t="shared" si="48"/>
        <v>0</v>
      </c>
      <c r="K114" s="5">
        <f t="shared" si="48"/>
        <v>0</v>
      </c>
      <c r="L114" s="5">
        <f t="shared" si="48"/>
        <v>0</v>
      </c>
      <c r="M114" s="5">
        <f t="shared" si="48"/>
        <v>0</v>
      </c>
      <c r="N114" s="5">
        <f t="shared" si="48"/>
        <v>0</v>
      </c>
      <c r="O114" s="5">
        <f t="shared" si="48"/>
        <v>0</v>
      </c>
      <c r="P114" s="5">
        <f t="shared" si="48"/>
        <v>0</v>
      </c>
      <c r="Q114" s="5">
        <f t="shared" si="48"/>
        <v>0</v>
      </c>
      <c r="R114" s="5">
        <f t="shared" si="48"/>
        <v>0</v>
      </c>
      <c r="S114" s="5">
        <f t="shared" si="48"/>
        <v>0</v>
      </c>
      <c r="T114" s="5">
        <f t="shared" si="48"/>
        <v>0</v>
      </c>
      <c r="U114" s="5">
        <f t="shared" si="48"/>
        <v>0</v>
      </c>
      <c r="V114" s="5">
        <f t="shared" si="48"/>
        <v>0</v>
      </c>
      <c r="W114" s="5">
        <f t="shared" si="48"/>
        <v>0</v>
      </c>
      <c r="X114" s="5">
        <f t="shared" si="48"/>
        <v>0</v>
      </c>
      <c r="Y114" s="5">
        <f t="shared" si="48"/>
        <v>0</v>
      </c>
      <c r="Z114" s="5">
        <f t="shared" si="48"/>
        <v>0</v>
      </c>
      <c r="AA114" s="5">
        <f t="shared" si="48"/>
        <v>0</v>
      </c>
      <c r="AB114" s="5">
        <f t="shared" si="48"/>
        <v>0</v>
      </c>
      <c r="AC114" s="5">
        <f t="shared" si="48"/>
        <v>0</v>
      </c>
      <c r="AD114" s="5">
        <f t="shared" si="48"/>
        <v>0</v>
      </c>
      <c r="AE114" s="5">
        <f t="shared" si="48"/>
        <v>0</v>
      </c>
      <c r="AF114" s="5">
        <f t="shared" si="48"/>
        <v>0</v>
      </c>
      <c r="AG114" s="5">
        <f t="shared" si="48"/>
        <v>0</v>
      </c>
      <c r="AH114" s="5">
        <f t="shared" si="48"/>
        <v>0</v>
      </c>
      <c r="AI114" s="5">
        <f t="shared" si="48"/>
        <v>0</v>
      </c>
      <c r="AJ114" s="5">
        <f t="shared" si="48"/>
        <v>0</v>
      </c>
      <c r="AK114" s="5">
        <f t="shared" si="48"/>
        <v>0</v>
      </c>
      <c r="AL114" s="5">
        <f t="shared" si="48"/>
        <v>0</v>
      </c>
      <c r="AM114" s="5">
        <f t="shared" si="48"/>
        <v>0</v>
      </c>
      <c r="AN114" s="5">
        <f t="shared" si="48"/>
        <v>855851514758</v>
      </c>
      <c r="AO114" s="5">
        <f t="shared" si="48"/>
        <v>849113202906</v>
      </c>
      <c r="AP114" s="5">
        <f t="shared" si="48"/>
        <v>846369881618</v>
      </c>
      <c r="AQ114" s="5">
        <f t="shared" si="48"/>
        <v>848038222035</v>
      </c>
      <c r="AR114" s="5">
        <f t="shared" si="48"/>
        <v>842346413861</v>
      </c>
      <c r="AS114" s="5">
        <f t="shared" si="48"/>
        <v>830203765216</v>
      </c>
      <c r="AT114" s="5">
        <f t="shared" si="48"/>
        <v>815009488882</v>
      </c>
      <c r="AU114" s="5">
        <f t="shared" si="48"/>
        <v>804963168023</v>
      </c>
      <c r="AV114" s="5">
        <f t="shared" si="48"/>
        <v>813080811621</v>
      </c>
      <c r="AW114" s="5">
        <f t="shared" si="48"/>
        <v>806735064957</v>
      </c>
      <c r="AX114" s="5">
        <f t="shared" si="48"/>
        <v>820682915285</v>
      </c>
      <c r="AY114" s="6">
        <f t="shared" si="48"/>
        <v>910257269259</v>
      </c>
      <c r="AZ114" s="6">
        <v>912460126085.05933</v>
      </c>
      <c r="BA114" s="6">
        <v>926520354771.05933</v>
      </c>
      <c r="BB114" s="6">
        <v>932264614654.05933</v>
      </c>
      <c r="BC114" s="6">
        <v>935523824888.05933</v>
      </c>
      <c r="BD114" s="6">
        <v>944822344017.05933</v>
      </c>
      <c r="BE114" s="6">
        <v>945507845261.05933</v>
      </c>
      <c r="BF114" s="6">
        <v>948751834231.05933</v>
      </c>
      <c r="BG114" s="6">
        <v>951300987413.05933</v>
      </c>
      <c r="BH114" s="6">
        <v>940112900433.05933</v>
      </c>
      <c r="BI114" s="6">
        <v>935231117544.05933</v>
      </c>
      <c r="BJ114" s="6">
        <v>927744063568.05933</v>
      </c>
      <c r="BK114" s="6">
        <v>935128352153</v>
      </c>
      <c r="BL114" s="6">
        <v>1026060178758.8055</v>
      </c>
      <c r="BM114" s="6">
        <v>1018325508577.634</v>
      </c>
      <c r="BN114" s="6">
        <v>1011238900501.0424</v>
      </c>
      <c r="BO114" s="6">
        <v>1016035731522.873</v>
      </c>
      <c r="BP114" s="6">
        <v>1025420147916.6418</v>
      </c>
      <c r="BQ114" s="6">
        <v>1065916875714.1232</v>
      </c>
      <c r="BR114" s="6">
        <f t="shared" ref="BR114:BW114" si="49">SUM(BR115,BR118:BR126)</f>
        <v>0</v>
      </c>
      <c r="BS114" s="6">
        <f t="shared" si="49"/>
        <v>0</v>
      </c>
      <c r="BT114" s="6">
        <f t="shared" si="49"/>
        <v>0</v>
      </c>
      <c r="BU114" s="6">
        <f t="shared" si="49"/>
        <v>0</v>
      </c>
      <c r="BV114" s="6">
        <f t="shared" si="49"/>
        <v>0</v>
      </c>
      <c r="BW114" s="6">
        <f t="shared" si="49"/>
        <v>0</v>
      </c>
    </row>
    <row r="115" spans="1:75" ht="15" customHeight="1">
      <c r="A115" s="55">
        <v>112</v>
      </c>
      <c r="B115" s="75" t="s">
        <v>141</v>
      </c>
      <c r="C115" s="55">
        <v>28</v>
      </c>
      <c r="D115" s="508">
        <f t="shared" ref="D115:AY115" si="50">SUM(D116:D117)</f>
        <v>0</v>
      </c>
      <c r="E115" s="508">
        <f t="shared" si="50"/>
        <v>0</v>
      </c>
      <c r="F115" s="508">
        <f t="shared" si="50"/>
        <v>0</v>
      </c>
      <c r="G115" s="508">
        <f t="shared" si="50"/>
        <v>0</v>
      </c>
      <c r="H115" s="508">
        <f t="shared" si="50"/>
        <v>0</v>
      </c>
      <c r="I115" s="508">
        <f t="shared" si="50"/>
        <v>0</v>
      </c>
      <c r="J115" s="508">
        <f t="shared" si="50"/>
        <v>0</v>
      </c>
      <c r="K115" s="508">
        <f t="shared" si="50"/>
        <v>0</v>
      </c>
      <c r="L115" s="508">
        <f t="shared" si="50"/>
        <v>0</v>
      </c>
      <c r="M115" s="508">
        <f t="shared" si="50"/>
        <v>0</v>
      </c>
      <c r="N115" s="508">
        <f t="shared" si="50"/>
        <v>0</v>
      </c>
      <c r="O115" s="508">
        <f t="shared" si="50"/>
        <v>0</v>
      </c>
      <c r="P115" s="508">
        <f t="shared" si="50"/>
        <v>0</v>
      </c>
      <c r="Q115" s="508">
        <f t="shared" si="50"/>
        <v>0</v>
      </c>
      <c r="R115" s="508">
        <f t="shared" si="50"/>
        <v>0</v>
      </c>
      <c r="S115" s="508">
        <f t="shared" si="50"/>
        <v>0</v>
      </c>
      <c r="T115" s="508">
        <f t="shared" si="50"/>
        <v>0</v>
      </c>
      <c r="U115" s="508">
        <f t="shared" si="50"/>
        <v>0</v>
      </c>
      <c r="V115" s="508">
        <f t="shared" si="50"/>
        <v>0</v>
      </c>
      <c r="W115" s="508">
        <f t="shared" si="50"/>
        <v>0</v>
      </c>
      <c r="X115" s="508">
        <f t="shared" si="50"/>
        <v>0</v>
      </c>
      <c r="Y115" s="508">
        <f t="shared" si="50"/>
        <v>0</v>
      </c>
      <c r="Z115" s="508">
        <f t="shared" si="50"/>
        <v>0</v>
      </c>
      <c r="AA115" s="508">
        <f t="shared" si="50"/>
        <v>0</v>
      </c>
      <c r="AB115" s="508">
        <f t="shared" si="50"/>
        <v>0</v>
      </c>
      <c r="AC115" s="508">
        <f t="shared" si="50"/>
        <v>0</v>
      </c>
      <c r="AD115" s="508">
        <f t="shared" si="50"/>
        <v>0</v>
      </c>
      <c r="AE115" s="508">
        <f t="shared" si="50"/>
        <v>0</v>
      </c>
      <c r="AF115" s="508">
        <f t="shared" si="50"/>
        <v>0</v>
      </c>
      <c r="AG115" s="508">
        <f t="shared" si="50"/>
        <v>0</v>
      </c>
      <c r="AH115" s="508">
        <f t="shared" si="50"/>
        <v>0</v>
      </c>
      <c r="AI115" s="508">
        <f t="shared" si="50"/>
        <v>0</v>
      </c>
      <c r="AJ115" s="508">
        <f t="shared" si="50"/>
        <v>0</v>
      </c>
      <c r="AK115" s="508">
        <f t="shared" si="50"/>
        <v>0</v>
      </c>
      <c r="AL115" s="508">
        <f t="shared" si="50"/>
        <v>0</v>
      </c>
      <c r="AM115" s="508">
        <f t="shared" si="50"/>
        <v>0</v>
      </c>
      <c r="AN115" s="508">
        <f t="shared" si="50"/>
        <v>752000000000</v>
      </c>
      <c r="AO115" s="508">
        <f t="shared" si="50"/>
        <v>752000000000</v>
      </c>
      <c r="AP115" s="508">
        <f t="shared" si="50"/>
        <v>752000000000</v>
      </c>
      <c r="AQ115" s="508">
        <f t="shared" si="50"/>
        <v>752000000000</v>
      </c>
      <c r="AR115" s="508">
        <f t="shared" si="50"/>
        <v>752000000000</v>
      </c>
      <c r="AS115" s="508">
        <f t="shared" si="50"/>
        <v>752000000000</v>
      </c>
      <c r="AT115" s="508">
        <f t="shared" si="50"/>
        <v>752000000000</v>
      </c>
      <c r="AU115" s="508">
        <f t="shared" si="50"/>
        <v>752000000000</v>
      </c>
      <c r="AV115" s="508">
        <f t="shared" si="50"/>
        <v>752000000000</v>
      </c>
      <c r="AW115" s="508">
        <f t="shared" si="50"/>
        <v>752000000000</v>
      </c>
      <c r="AX115" s="508">
        <f t="shared" si="50"/>
        <v>772000000000</v>
      </c>
      <c r="AY115" s="508">
        <f t="shared" si="50"/>
        <v>772000000000</v>
      </c>
      <c r="AZ115" s="508">
        <v>772000000000</v>
      </c>
      <c r="BA115" s="508">
        <v>772000000000</v>
      </c>
      <c r="BB115" s="508">
        <v>772000000000</v>
      </c>
      <c r="BC115" s="508">
        <v>772000000000</v>
      </c>
      <c r="BD115" s="508">
        <v>772000000000</v>
      </c>
      <c r="BE115" s="508">
        <v>772000000000</v>
      </c>
      <c r="BF115" s="508">
        <v>772000000000</v>
      </c>
      <c r="BG115" s="508">
        <v>772000000000</v>
      </c>
      <c r="BH115" s="508">
        <v>772000000000</v>
      </c>
      <c r="BI115" s="508">
        <v>772000000000</v>
      </c>
      <c r="BJ115" s="508">
        <v>772500000000</v>
      </c>
      <c r="BK115" s="508">
        <v>778000000000</v>
      </c>
      <c r="BL115" s="508">
        <v>872000000000</v>
      </c>
      <c r="BM115" s="508">
        <v>872000000000</v>
      </c>
      <c r="BN115" s="508">
        <v>872000000000</v>
      </c>
      <c r="BO115" s="508">
        <v>872000000000</v>
      </c>
      <c r="BP115" s="508">
        <v>872000000000</v>
      </c>
      <c r="BQ115" s="508">
        <v>904000000000</v>
      </c>
      <c r="BR115" s="508">
        <f t="shared" ref="BR115:BW115" si="51">SUM(BR116:BR117)</f>
        <v>0</v>
      </c>
      <c r="BS115" s="508">
        <f t="shared" si="51"/>
        <v>0</v>
      </c>
      <c r="BT115" s="508">
        <f t="shared" si="51"/>
        <v>0</v>
      </c>
      <c r="BU115" s="508">
        <f t="shared" si="51"/>
        <v>0</v>
      </c>
      <c r="BV115" s="508">
        <f t="shared" si="51"/>
        <v>0</v>
      </c>
      <c r="BW115" s="508">
        <f t="shared" si="51"/>
        <v>0</v>
      </c>
    </row>
    <row r="116" spans="1:75" ht="15" customHeight="1">
      <c r="A116" s="55">
        <v>113</v>
      </c>
      <c r="B116" s="75" t="s">
        <v>142</v>
      </c>
      <c r="C116" s="55">
        <v>28</v>
      </c>
      <c r="D116" s="508"/>
      <c r="E116" s="508"/>
      <c r="F116" s="508"/>
      <c r="G116" s="508"/>
      <c r="H116" s="508"/>
      <c r="I116" s="508"/>
      <c r="J116" s="508"/>
      <c r="K116" s="508"/>
      <c r="L116" s="508"/>
      <c r="M116" s="508"/>
      <c r="N116" s="508"/>
      <c r="O116" s="508"/>
      <c r="P116" s="508"/>
      <c r="Q116" s="508"/>
      <c r="R116" s="508"/>
      <c r="S116" s="508"/>
      <c r="T116" s="508"/>
      <c r="U116" s="508"/>
      <c r="V116" s="508"/>
      <c r="W116" s="508"/>
      <c r="X116" s="508"/>
      <c r="Y116" s="508"/>
      <c r="Z116" s="508"/>
      <c r="AA116" s="508"/>
      <c r="AB116" s="508"/>
      <c r="AC116" s="508"/>
      <c r="AD116" s="508"/>
      <c r="AE116" s="508"/>
      <c r="AF116" s="508"/>
      <c r="AG116" s="508"/>
      <c r="AH116" s="508"/>
      <c r="AI116" s="508"/>
      <c r="AJ116" s="508"/>
      <c r="AK116" s="508"/>
      <c r="AL116" s="508"/>
      <c r="AM116" s="508"/>
      <c r="AN116" s="508">
        <v>752000000000</v>
      </c>
      <c r="AO116" s="508">
        <v>752000000000</v>
      </c>
      <c r="AP116" s="508">
        <v>752000000000</v>
      </c>
      <c r="AQ116" s="508">
        <v>752000000000</v>
      </c>
      <c r="AR116" s="508">
        <v>752000000000</v>
      </c>
      <c r="AS116" s="508">
        <v>752000000000</v>
      </c>
      <c r="AT116" s="508">
        <v>752000000000</v>
      </c>
      <c r="AU116" s="508">
        <v>752000000000</v>
      </c>
      <c r="AV116" s="508">
        <v>752000000000</v>
      </c>
      <c r="AW116" s="508">
        <v>752000000000</v>
      </c>
      <c r="AX116" s="508">
        <v>772000000000</v>
      </c>
      <c r="AY116" s="508">
        <v>772000000000</v>
      </c>
      <c r="AZ116" s="508">
        <v>772000000000</v>
      </c>
      <c r="BA116" s="508">
        <v>772000000000</v>
      </c>
      <c r="BB116" s="508">
        <v>772000000000</v>
      </c>
      <c r="BC116" s="508">
        <v>772000000000</v>
      </c>
      <c r="BD116" s="508">
        <v>772000000000</v>
      </c>
      <c r="BE116" s="508">
        <v>772000000000</v>
      </c>
      <c r="BF116" s="508">
        <v>772000000000</v>
      </c>
      <c r="BG116" s="508">
        <v>772000000000</v>
      </c>
      <c r="BH116" s="508">
        <v>772000000000</v>
      </c>
      <c r="BI116" s="508">
        <v>772000000000</v>
      </c>
      <c r="BJ116" s="508">
        <v>772500000000</v>
      </c>
      <c r="BK116" s="508">
        <v>778000000000</v>
      </c>
      <c r="BL116" s="508">
        <v>872000000000</v>
      </c>
      <c r="BM116" s="508">
        <v>872000000000</v>
      </c>
      <c r="BN116" s="508">
        <v>872000000000</v>
      </c>
      <c r="BO116" s="508">
        <v>872000000000</v>
      </c>
      <c r="BP116" s="508">
        <v>872000000000</v>
      </c>
      <c r="BQ116" s="508">
        <v>904000000000</v>
      </c>
      <c r="BR116" s="508"/>
      <c r="BS116" s="508"/>
      <c r="BT116" s="508"/>
      <c r="BU116" s="508"/>
      <c r="BV116" s="508"/>
      <c r="BW116" s="508"/>
    </row>
    <row r="117" spans="1:75" ht="15" customHeight="1">
      <c r="A117" s="55">
        <v>114</v>
      </c>
      <c r="B117" s="75" t="s">
        <v>143</v>
      </c>
      <c r="C117" s="55">
        <v>28</v>
      </c>
      <c r="D117" s="508">
        <v>0</v>
      </c>
      <c r="E117" s="508">
        <v>0</v>
      </c>
      <c r="F117" s="508">
        <v>0</v>
      </c>
      <c r="G117" s="508">
        <v>0</v>
      </c>
      <c r="H117" s="508">
        <v>0</v>
      </c>
      <c r="I117" s="508">
        <v>0</v>
      </c>
      <c r="J117" s="508">
        <v>0</v>
      </c>
      <c r="K117" s="508">
        <v>0</v>
      </c>
      <c r="L117" s="508">
        <v>0</v>
      </c>
      <c r="M117" s="508">
        <v>0</v>
      </c>
      <c r="N117" s="508">
        <v>0</v>
      </c>
      <c r="O117" s="508">
        <v>0</v>
      </c>
      <c r="P117" s="508">
        <v>0</v>
      </c>
      <c r="Q117" s="508">
        <v>0</v>
      </c>
      <c r="R117" s="508">
        <v>0</v>
      </c>
      <c r="S117" s="508">
        <v>0</v>
      </c>
      <c r="T117" s="508">
        <v>0</v>
      </c>
      <c r="U117" s="508">
        <v>0</v>
      </c>
      <c r="V117" s="508">
        <v>0</v>
      </c>
      <c r="W117" s="508">
        <v>0</v>
      </c>
      <c r="X117" s="508">
        <v>0</v>
      </c>
      <c r="Y117" s="508">
        <v>0</v>
      </c>
      <c r="Z117" s="508">
        <v>0</v>
      </c>
      <c r="AA117" s="508">
        <v>0</v>
      </c>
      <c r="AB117" s="508">
        <v>0</v>
      </c>
      <c r="AC117" s="508">
        <v>0</v>
      </c>
      <c r="AD117" s="508">
        <v>0</v>
      </c>
      <c r="AE117" s="508">
        <v>0</v>
      </c>
      <c r="AF117" s="508">
        <v>0</v>
      </c>
      <c r="AG117" s="508">
        <v>0</v>
      </c>
      <c r="AH117" s="508">
        <v>0</v>
      </c>
      <c r="AI117" s="508">
        <v>0</v>
      </c>
      <c r="AJ117" s="508">
        <v>0</v>
      </c>
      <c r="AK117" s="508">
        <v>0</v>
      </c>
      <c r="AL117" s="508">
        <v>0</v>
      </c>
      <c r="AM117" s="508">
        <v>0</v>
      </c>
      <c r="AN117" s="508">
        <v>0</v>
      </c>
      <c r="AO117" s="508">
        <v>0</v>
      </c>
      <c r="AP117" s="508">
        <v>0</v>
      </c>
      <c r="AQ117" s="508">
        <v>0</v>
      </c>
      <c r="AR117" s="508">
        <v>0</v>
      </c>
      <c r="AS117" s="508">
        <v>0</v>
      </c>
      <c r="AT117" s="508">
        <v>0</v>
      </c>
      <c r="AU117" s="508">
        <v>0</v>
      </c>
      <c r="AV117" s="508">
        <v>0</v>
      </c>
      <c r="AW117" s="508">
        <v>0</v>
      </c>
      <c r="AX117" s="508">
        <v>0</v>
      </c>
      <c r="AY117" s="508">
        <v>0</v>
      </c>
      <c r="AZ117" s="508">
        <v>0</v>
      </c>
      <c r="BA117" s="508">
        <v>0</v>
      </c>
      <c r="BB117" s="508">
        <v>0</v>
      </c>
      <c r="BC117" s="508">
        <v>0</v>
      </c>
      <c r="BD117" s="508">
        <v>0</v>
      </c>
      <c r="BE117" s="508">
        <v>0</v>
      </c>
      <c r="BF117" s="508">
        <v>0</v>
      </c>
      <c r="BG117" s="508">
        <v>0</v>
      </c>
      <c r="BH117" s="508">
        <v>0</v>
      </c>
      <c r="BI117" s="508">
        <v>0</v>
      </c>
      <c r="BJ117" s="508">
        <v>0</v>
      </c>
      <c r="BK117" s="508">
        <v>0</v>
      </c>
      <c r="BL117" s="508">
        <v>0</v>
      </c>
      <c r="BM117" s="508">
        <v>0</v>
      </c>
      <c r="BN117" s="508">
        <v>0</v>
      </c>
      <c r="BO117" s="508">
        <v>0</v>
      </c>
      <c r="BP117" s="508">
        <v>0</v>
      </c>
      <c r="BQ117" s="508">
        <v>0</v>
      </c>
      <c r="BR117" s="508">
        <v>0</v>
      </c>
      <c r="BS117" s="508">
        <v>0</v>
      </c>
      <c r="BT117" s="508">
        <v>0</v>
      </c>
      <c r="BU117" s="508">
        <v>0</v>
      </c>
      <c r="BV117" s="508">
        <v>0</v>
      </c>
      <c r="BW117" s="508"/>
    </row>
    <row r="118" spans="1:75" ht="15" customHeight="1">
      <c r="A118" s="55">
        <v>115</v>
      </c>
      <c r="B118" s="75" t="s">
        <v>144</v>
      </c>
      <c r="C118" s="55">
        <v>28</v>
      </c>
      <c r="D118" s="508">
        <v>0</v>
      </c>
      <c r="E118" s="508">
        <v>0</v>
      </c>
      <c r="F118" s="508">
        <v>0</v>
      </c>
      <c r="G118" s="508">
        <v>0</v>
      </c>
      <c r="H118" s="508">
        <v>0</v>
      </c>
      <c r="I118" s="508">
        <v>0</v>
      </c>
      <c r="J118" s="508">
        <v>0</v>
      </c>
      <c r="K118" s="508">
        <v>0</v>
      </c>
      <c r="L118" s="508">
        <v>0</v>
      </c>
      <c r="M118" s="508">
        <v>0</v>
      </c>
      <c r="N118" s="508">
        <v>0</v>
      </c>
      <c r="O118" s="508">
        <v>0</v>
      </c>
      <c r="P118" s="508">
        <v>0</v>
      </c>
      <c r="Q118" s="508">
        <v>0</v>
      </c>
      <c r="R118" s="508">
        <v>0</v>
      </c>
      <c r="S118" s="508">
        <v>0</v>
      </c>
      <c r="T118" s="508">
        <v>0</v>
      </c>
      <c r="U118" s="508">
        <v>0</v>
      </c>
      <c r="V118" s="508">
        <v>0</v>
      </c>
      <c r="W118" s="508">
        <v>0</v>
      </c>
      <c r="X118" s="508">
        <v>0</v>
      </c>
      <c r="Y118" s="508">
        <v>0</v>
      </c>
      <c r="Z118" s="508">
        <v>0</v>
      </c>
      <c r="AA118" s="508">
        <v>0</v>
      </c>
      <c r="AB118" s="508">
        <v>0</v>
      </c>
      <c r="AC118" s="508">
        <v>0</v>
      </c>
      <c r="AD118" s="508">
        <v>0</v>
      </c>
      <c r="AE118" s="508">
        <v>0</v>
      </c>
      <c r="AF118" s="508">
        <v>0</v>
      </c>
      <c r="AG118" s="508">
        <v>0</v>
      </c>
      <c r="AH118" s="508">
        <v>0</v>
      </c>
      <c r="AI118" s="508">
        <v>0</v>
      </c>
      <c r="AJ118" s="508">
        <v>0</v>
      </c>
      <c r="AK118" s="508">
        <v>0</v>
      </c>
      <c r="AL118" s="508">
        <v>0</v>
      </c>
      <c r="AM118" s="508">
        <v>0</v>
      </c>
      <c r="AN118" s="508">
        <v>0</v>
      </c>
      <c r="AO118" s="508">
        <v>0</v>
      </c>
      <c r="AP118" s="508">
        <v>0</v>
      </c>
      <c r="AQ118" s="508">
        <v>0</v>
      </c>
      <c r="AR118" s="508">
        <v>0</v>
      </c>
      <c r="AS118" s="508">
        <v>0</v>
      </c>
      <c r="AT118" s="508">
        <v>0</v>
      </c>
      <c r="AU118" s="508">
        <v>0</v>
      </c>
      <c r="AV118" s="508">
        <v>0</v>
      </c>
      <c r="AW118" s="508">
        <v>0</v>
      </c>
      <c r="AX118" s="508">
        <v>0</v>
      </c>
      <c r="AY118" s="508">
        <v>0</v>
      </c>
      <c r="AZ118" s="508">
        <v>0</v>
      </c>
      <c r="BA118" s="508">
        <v>0</v>
      </c>
      <c r="BB118" s="508">
        <v>0</v>
      </c>
      <c r="BC118" s="508">
        <v>0</v>
      </c>
      <c r="BD118" s="508">
        <v>0</v>
      </c>
      <c r="BE118" s="508">
        <v>0</v>
      </c>
      <c r="BF118" s="508">
        <v>0</v>
      </c>
      <c r="BG118" s="508">
        <v>0</v>
      </c>
      <c r="BH118" s="508">
        <v>0</v>
      </c>
      <c r="BI118" s="508">
        <v>0</v>
      </c>
      <c r="BJ118" s="508">
        <v>0</v>
      </c>
      <c r="BK118" s="508">
        <v>0</v>
      </c>
      <c r="BL118" s="508">
        <v>0</v>
      </c>
      <c r="BM118" s="508">
        <v>0</v>
      </c>
      <c r="BN118" s="508">
        <v>0</v>
      </c>
      <c r="BO118" s="508">
        <v>0</v>
      </c>
      <c r="BP118" s="508">
        <v>0</v>
      </c>
      <c r="BQ118" s="508">
        <v>0</v>
      </c>
      <c r="BR118" s="508">
        <v>0</v>
      </c>
      <c r="BS118" s="508">
        <v>0</v>
      </c>
      <c r="BT118" s="508">
        <v>0</v>
      </c>
      <c r="BU118" s="508">
        <v>0</v>
      </c>
      <c r="BV118" s="508">
        <v>0</v>
      </c>
      <c r="BW118" s="508"/>
    </row>
    <row r="119" spans="1:75" ht="15" customHeight="1">
      <c r="A119" s="55">
        <v>116</v>
      </c>
      <c r="B119" s="75" t="s">
        <v>145</v>
      </c>
      <c r="C119" s="55">
        <v>28</v>
      </c>
      <c r="D119" s="508">
        <v>0</v>
      </c>
      <c r="E119" s="508">
        <v>0</v>
      </c>
      <c r="F119" s="508">
        <v>0</v>
      </c>
      <c r="G119" s="508">
        <v>0</v>
      </c>
      <c r="H119" s="508">
        <v>0</v>
      </c>
      <c r="I119" s="508">
        <v>0</v>
      </c>
      <c r="J119" s="508">
        <v>0</v>
      </c>
      <c r="K119" s="508">
        <v>0</v>
      </c>
      <c r="L119" s="508">
        <v>0</v>
      </c>
      <c r="M119" s="508">
        <v>0</v>
      </c>
      <c r="N119" s="508">
        <v>0</v>
      </c>
      <c r="O119" s="508">
        <v>0</v>
      </c>
      <c r="P119" s="508">
        <v>0</v>
      </c>
      <c r="Q119" s="508">
        <v>0</v>
      </c>
      <c r="R119" s="508">
        <v>0</v>
      </c>
      <c r="S119" s="508">
        <v>0</v>
      </c>
      <c r="T119" s="508">
        <v>0</v>
      </c>
      <c r="U119" s="508">
        <v>0</v>
      </c>
      <c r="V119" s="508">
        <v>0</v>
      </c>
      <c r="W119" s="508">
        <v>0</v>
      </c>
      <c r="X119" s="508">
        <v>0</v>
      </c>
      <c r="Y119" s="508">
        <v>0</v>
      </c>
      <c r="Z119" s="508">
        <v>0</v>
      </c>
      <c r="AA119" s="508">
        <v>0</v>
      </c>
      <c r="AB119" s="508">
        <v>0</v>
      </c>
      <c r="AC119" s="508">
        <v>0</v>
      </c>
      <c r="AD119" s="508">
        <v>0</v>
      </c>
      <c r="AE119" s="508">
        <v>0</v>
      </c>
      <c r="AF119" s="508">
        <v>0</v>
      </c>
      <c r="AG119" s="508">
        <v>0</v>
      </c>
      <c r="AH119" s="508">
        <v>0</v>
      </c>
      <c r="AI119" s="508">
        <v>0</v>
      </c>
      <c r="AJ119" s="508">
        <v>0</v>
      </c>
      <c r="AK119" s="508">
        <v>0</v>
      </c>
      <c r="AL119" s="508">
        <v>0</v>
      </c>
      <c r="AM119" s="508">
        <v>0</v>
      </c>
      <c r="AN119" s="508">
        <v>0</v>
      </c>
      <c r="AO119" s="508">
        <v>0</v>
      </c>
      <c r="AP119" s="508">
        <v>0</v>
      </c>
      <c r="AQ119" s="508">
        <v>0</v>
      </c>
      <c r="AR119" s="508">
        <v>0</v>
      </c>
      <c r="AS119" s="508">
        <v>0</v>
      </c>
      <c r="AT119" s="508">
        <v>0</v>
      </c>
      <c r="AU119" s="508">
        <v>0</v>
      </c>
      <c r="AV119" s="508">
        <v>0</v>
      </c>
      <c r="AW119" s="508">
        <v>0</v>
      </c>
      <c r="AX119" s="508">
        <v>0</v>
      </c>
      <c r="AY119" s="508">
        <v>0</v>
      </c>
      <c r="AZ119" s="508">
        <v>0</v>
      </c>
      <c r="BA119" s="508">
        <v>0</v>
      </c>
      <c r="BB119" s="508">
        <v>0</v>
      </c>
      <c r="BC119" s="508">
        <v>0</v>
      </c>
      <c r="BD119" s="508">
        <v>0</v>
      </c>
      <c r="BE119" s="508">
        <v>0</v>
      </c>
      <c r="BF119" s="508">
        <v>0</v>
      </c>
      <c r="BG119" s="508">
        <v>0</v>
      </c>
      <c r="BH119" s="508">
        <v>0</v>
      </c>
      <c r="BI119" s="508">
        <v>0</v>
      </c>
      <c r="BJ119" s="508">
        <v>0</v>
      </c>
      <c r="BK119" s="508">
        <v>0</v>
      </c>
      <c r="BL119" s="508">
        <v>0</v>
      </c>
      <c r="BM119" s="508">
        <v>0</v>
      </c>
      <c r="BN119" s="508">
        <v>0</v>
      </c>
      <c r="BO119" s="508">
        <v>0</v>
      </c>
      <c r="BP119" s="508">
        <v>0</v>
      </c>
      <c r="BQ119" s="508">
        <v>0</v>
      </c>
      <c r="BR119" s="508">
        <v>0</v>
      </c>
      <c r="BS119" s="508">
        <v>0</v>
      </c>
      <c r="BT119" s="508">
        <v>0</v>
      </c>
      <c r="BU119" s="508">
        <v>0</v>
      </c>
      <c r="BV119" s="508">
        <v>0</v>
      </c>
      <c r="BW119" s="508"/>
    </row>
    <row r="120" spans="1:75" ht="15" customHeight="1">
      <c r="A120" s="55">
        <v>117</v>
      </c>
      <c r="B120" s="75" t="s">
        <v>146</v>
      </c>
      <c r="C120" s="55">
        <v>28</v>
      </c>
      <c r="D120" s="508">
        <v>0</v>
      </c>
      <c r="E120" s="508">
        <v>0</v>
      </c>
      <c r="F120" s="508">
        <v>0</v>
      </c>
      <c r="G120" s="508">
        <v>0</v>
      </c>
      <c r="H120" s="508">
        <v>0</v>
      </c>
      <c r="I120" s="508">
        <v>0</v>
      </c>
      <c r="J120" s="508">
        <v>0</v>
      </c>
      <c r="K120" s="508">
        <v>0</v>
      </c>
      <c r="L120" s="508">
        <v>0</v>
      </c>
      <c r="M120" s="508">
        <v>0</v>
      </c>
      <c r="N120" s="508">
        <v>0</v>
      </c>
      <c r="O120" s="508">
        <v>0</v>
      </c>
      <c r="P120" s="508">
        <v>0</v>
      </c>
      <c r="Q120" s="508">
        <v>0</v>
      </c>
      <c r="R120" s="508">
        <v>0</v>
      </c>
      <c r="S120" s="508">
        <v>0</v>
      </c>
      <c r="T120" s="508">
        <v>0</v>
      </c>
      <c r="U120" s="508">
        <v>0</v>
      </c>
      <c r="V120" s="508">
        <v>0</v>
      </c>
      <c r="W120" s="508">
        <v>0</v>
      </c>
      <c r="X120" s="508">
        <v>0</v>
      </c>
      <c r="Y120" s="508">
        <v>0</v>
      </c>
      <c r="Z120" s="508">
        <v>0</v>
      </c>
      <c r="AA120" s="508">
        <v>0</v>
      </c>
      <c r="AB120" s="508">
        <v>0</v>
      </c>
      <c r="AC120" s="508">
        <v>0</v>
      </c>
      <c r="AD120" s="508">
        <v>0</v>
      </c>
      <c r="AE120" s="508">
        <v>0</v>
      </c>
      <c r="AF120" s="508">
        <v>0</v>
      </c>
      <c r="AG120" s="508">
        <v>0</v>
      </c>
      <c r="AH120" s="508">
        <v>0</v>
      </c>
      <c r="AI120" s="508">
        <v>0</v>
      </c>
      <c r="AJ120" s="508">
        <v>0</v>
      </c>
      <c r="AK120" s="508">
        <v>0</v>
      </c>
      <c r="AL120" s="508">
        <v>0</v>
      </c>
      <c r="AM120" s="508">
        <v>0</v>
      </c>
      <c r="AN120" s="508">
        <v>0</v>
      </c>
      <c r="AO120" s="508">
        <v>0</v>
      </c>
      <c r="AP120" s="508">
        <v>0</v>
      </c>
      <c r="AQ120" s="508">
        <v>0</v>
      </c>
      <c r="AR120" s="508">
        <v>0</v>
      </c>
      <c r="AS120" s="508">
        <v>0</v>
      </c>
      <c r="AT120" s="508">
        <v>0</v>
      </c>
      <c r="AU120" s="508">
        <v>0</v>
      </c>
      <c r="AV120" s="508">
        <v>0</v>
      </c>
      <c r="AW120" s="508">
        <v>0</v>
      </c>
      <c r="AX120" s="508">
        <v>0</v>
      </c>
      <c r="AY120" s="508">
        <v>0</v>
      </c>
      <c r="AZ120" s="508">
        <v>0</v>
      </c>
      <c r="BA120" s="508">
        <v>0</v>
      </c>
      <c r="BB120" s="508">
        <v>0</v>
      </c>
      <c r="BC120" s="508">
        <v>0</v>
      </c>
      <c r="BD120" s="508">
        <v>0</v>
      </c>
      <c r="BE120" s="508">
        <v>0</v>
      </c>
      <c r="BF120" s="508">
        <v>0</v>
      </c>
      <c r="BG120" s="508">
        <v>0</v>
      </c>
      <c r="BH120" s="508">
        <v>0</v>
      </c>
      <c r="BI120" s="508">
        <v>0</v>
      </c>
      <c r="BJ120" s="508">
        <v>0</v>
      </c>
      <c r="BK120" s="508">
        <v>0</v>
      </c>
      <c r="BL120" s="508">
        <v>0</v>
      </c>
      <c r="BM120" s="508">
        <v>0</v>
      </c>
      <c r="BN120" s="508">
        <v>0</v>
      </c>
      <c r="BO120" s="508">
        <v>0</v>
      </c>
      <c r="BP120" s="508">
        <v>0</v>
      </c>
      <c r="BQ120" s="508">
        <v>0</v>
      </c>
      <c r="BR120" s="508">
        <v>0</v>
      </c>
      <c r="BS120" s="508">
        <v>0</v>
      </c>
      <c r="BT120" s="508">
        <v>0</v>
      </c>
      <c r="BU120" s="508">
        <v>0</v>
      </c>
      <c r="BV120" s="508">
        <v>0</v>
      </c>
      <c r="BW120" s="508"/>
    </row>
    <row r="121" spans="1:75" ht="15" customHeight="1">
      <c r="A121" s="55">
        <v>118</v>
      </c>
      <c r="B121" s="75" t="s">
        <v>147</v>
      </c>
      <c r="C121" s="55">
        <v>28</v>
      </c>
      <c r="D121" s="508">
        <v>0</v>
      </c>
      <c r="E121" s="508">
        <v>0</v>
      </c>
      <c r="F121" s="508">
        <v>0</v>
      </c>
      <c r="G121" s="508">
        <v>0</v>
      </c>
      <c r="H121" s="508">
        <v>0</v>
      </c>
      <c r="I121" s="508">
        <v>0</v>
      </c>
      <c r="J121" s="508">
        <v>0</v>
      </c>
      <c r="K121" s="508">
        <v>0</v>
      </c>
      <c r="L121" s="508">
        <v>0</v>
      </c>
      <c r="M121" s="508">
        <v>0</v>
      </c>
      <c r="N121" s="508">
        <v>0</v>
      </c>
      <c r="O121" s="508">
        <v>0</v>
      </c>
      <c r="P121" s="508">
        <v>0</v>
      </c>
      <c r="Q121" s="508">
        <v>0</v>
      </c>
      <c r="R121" s="508">
        <v>0</v>
      </c>
      <c r="S121" s="508">
        <v>0</v>
      </c>
      <c r="T121" s="508">
        <v>0</v>
      </c>
      <c r="U121" s="508">
        <v>0</v>
      </c>
      <c r="V121" s="508">
        <v>0</v>
      </c>
      <c r="W121" s="508">
        <v>0</v>
      </c>
      <c r="X121" s="508">
        <v>0</v>
      </c>
      <c r="Y121" s="508">
        <v>0</v>
      </c>
      <c r="Z121" s="508">
        <v>0</v>
      </c>
      <c r="AA121" s="508">
        <v>0</v>
      </c>
      <c r="AB121" s="508">
        <v>0</v>
      </c>
      <c r="AC121" s="508">
        <v>0</v>
      </c>
      <c r="AD121" s="508">
        <v>0</v>
      </c>
      <c r="AE121" s="508">
        <v>0</v>
      </c>
      <c r="AF121" s="508">
        <v>0</v>
      </c>
      <c r="AG121" s="508">
        <v>0</v>
      </c>
      <c r="AH121" s="508">
        <v>0</v>
      </c>
      <c r="AI121" s="508">
        <v>0</v>
      </c>
      <c r="AJ121" s="508">
        <v>0</v>
      </c>
      <c r="AK121" s="508">
        <v>0</v>
      </c>
      <c r="AL121" s="508">
        <v>0</v>
      </c>
      <c r="AM121" s="508">
        <v>0</v>
      </c>
      <c r="AN121" s="508">
        <v>0</v>
      </c>
      <c r="AO121" s="508">
        <v>0</v>
      </c>
      <c r="AP121" s="508">
        <v>0</v>
      </c>
      <c r="AQ121" s="508">
        <v>0</v>
      </c>
      <c r="AR121" s="508">
        <v>0</v>
      </c>
      <c r="AS121" s="508">
        <v>0</v>
      </c>
      <c r="AT121" s="508">
        <v>0</v>
      </c>
      <c r="AU121" s="508">
        <v>0</v>
      </c>
      <c r="AV121" s="508">
        <v>0</v>
      </c>
      <c r="AW121" s="508">
        <v>0</v>
      </c>
      <c r="AX121" s="508">
        <v>0</v>
      </c>
      <c r="AY121" s="508">
        <v>0</v>
      </c>
      <c r="AZ121" s="508">
        <v>0</v>
      </c>
      <c r="BA121" s="508">
        <v>0</v>
      </c>
      <c r="BB121" s="508">
        <v>0</v>
      </c>
      <c r="BC121" s="508">
        <v>0</v>
      </c>
      <c r="BD121" s="508">
        <v>0</v>
      </c>
      <c r="BE121" s="508"/>
      <c r="BF121" s="508">
        <v>0</v>
      </c>
      <c r="BG121" s="508">
        <v>0</v>
      </c>
      <c r="BH121" s="508">
        <v>0</v>
      </c>
      <c r="BI121" s="508">
        <v>0</v>
      </c>
      <c r="BJ121" s="508">
        <v>0</v>
      </c>
      <c r="BK121" s="508">
        <v>0</v>
      </c>
      <c r="BL121" s="508">
        <v>0</v>
      </c>
      <c r="BM121" s="508">
        <v>0</v>
      </c>
      <c r="BN121" s="508">
        <v>0</v>
      </c>
      <c r="BO121" s="508">
        <v>0</v>
      </c>
      <c r="BP121" s="508">
        <v>0</v>
      </c>
      <c r="BQ121" s="508">
        <v>0</v>
      </c>
      <c r="BR121" s="508">
        <v>0</v>
      </c>
      <c r="BS121" s="508">
        <v>0</v>
      </c>
      <c r="BT121" s="508">
        <v>0</v>
      </c>
      <c r="BU121" s="508">
        <v>0</v>
      </c>
      <c r="BV121" s="508">
        <v>0</v>
      </c>
      <c r="BW121" s="508"/>
    </row>
    <row r="122" spans="1:75" ht="15" customHeight="1">
      <c r="A122" s="55">
        <v>119</v>
      </c>
      <c r="B122" s="75" t="s">
        <v>148</v>
      </c>
      <c r="C122" s="55">
        <v>28</v>
      </c>
      <c r="D122" s="508">
        <v>0</v>
      </c>
      <c r="E122" s="508">
        <v>0</v>
      </c>
      <c r="F122" s="508">
        <v>0</v>
      </c>
      <c r="G122" s="508">
        <v>0</v>
      </c>
      <c r="H122" s="508">
        <v>0</v>
      </c>
      <c r="I122" s="508">
        <v>0</v>
      </c>
      <c r="J122" s="508">
        <v>0</v>
      </c>
      <c r="K122" s="508">
        <v>0</v>
      </c>
      <c r="L122" s="508">
        <v>0</v>
      </c>
      <c r="M122" s="508">
        <v>0</v>
      </c>
      <c r="N122" s="508">
        <v>0</v>
      </c>
      <c r="O122" s="508">
        <v>0</v>
      </c>
      <c r="P122" s="508">
        <v>0</v>
      </c>
      <c r="Q122" s="508">
        <v>0</v>
      </c>
      <c r="R122" s="508">
        <v>0</v>
      </c>
      <c r="S122" s="508">
        <v>0</v>
      </c>
      <c r="T122" s="508">
        <v>0</v>
      </c>
      <c r="U122" s="508">
        <v>0</v>
      </c>
      <c r="V122" s="508">
        <v>0</v>
      </c>
      <c r="W122" s="508">
        <v>0</v>
      </c>
      <c r="X122" s="508">
        <v>0</v>
      </c>
      <c r="Y122" s="508">
        <v>0</v>
      </c>
      <c r="Z122" s="508">
        <v>0</v>
      </c>
      <c r="AA122" s="508">
        <v>0</v>
      </c>
      <c r="AB122" s="508">
        <v>0</v>
      </c>
      <c r="AC122" s="508">
        <v>0</v>
      </c>
      <c r="AD122" s="508">
        <v>0</v>
      </c>
      <c r="AE122" s="508">
        <v>0</v>
      </c>
      <c r="AF122" s="508">
        <v>0</v>
      </c>
      <c r="AG122" s="508">
        <v>0</v>
      </c>
      <c r="AH122" s="508">
        <v>0</v>
      </c>
      <c r="AI122" s="508">
        <v>0</v>
      </c>
      <c r="AJ122" s="508">
        <v>0</v>
      </c>
      <c r="AK122" s="508">
        <v>0</v>
      </c>
      <c r="AL122" s="508">
        <v>0</v>
      </c>
      <c r="AM122" s="508">
        <v>0</v>
      </c>
      <c r="AN122" s="508">
        <v>0</v>
      </c>
      <c r="AO122" s="508">
        <v>0</v>
      </c>
      <c r="AP122" s="508">
        <v>0</v>
      </c>
      <c r="AQ122" s="508">
        <v>0</v>
      </c>
      <c r="AR122" s="508">
        <v>0</v>
      </c>
      <c r="AS122" s="508">
        <v>0</v>
      </c>
      <c r="AT122" s="508">
        <v>0</v>
      </c>
      <c r="AU122" s="508">
        <v>0</v>
      </c>
      <c r="AV122" s="508">
        <v>0</v>
      </c>
      <c r="AW122" s="508">
        <v>0</v>
      </c>
      <c r="AX122" s="508">
        <v>0</v>
      </c>
      <c r="AY122" s="508">
        <v>0</v>
      </c>
      <c r="AZ122" s="508">
        <v>0</v>
      </c>
      <c r="BA122" s="508"/>
      <c r="BB122" s="508">
        <v>0</v>
      </c>
      <c r="BC122" s="508">
        <v>0</v>
      </c>
      <c r="BD122" s="508">
        <v>0</v>
      </c>
      <c r="BE122" s="508">
        <v>0</v>
      </c>
      <c r="BF122" s="508">
        <v>0</v>
      </c>
      <c r="BG122" s="508">
        <v>0</v>
      </c>
      <c r="BH122" s="508">
        <v>0</v>
      </c>
      <c r="BI122" s="508">
        <v>0</v>
      </c>
      <c r="BJ122" s="508">
        <v>0</v>
      </c>
      <c r="BK122" s="508">
        <v>0</v>
      </c>
      <c r="BL122" s="508">
        <v>0</v>
      </c>
      <c r="BM122" s="508">
        <v>0</v>
      </c>
      <c r="BN122" s="508">
        <v>0</v>
      </c>
      <c r="BO122" s="508">
        <v>0</v>
      </c>
      <c r="BP122" s="508">
        <v>0</v>
      </c>
      <c r="BQ122" s="508">
        <v>0</v>
      </c>
      <c r="BR122" s="508">
        <v>0</v>
      </c>
      <c r="BS122" s="508">
        <v>0</v>
      </c>
      <c r="BT122" s="508">
        <v>0</v>
      </c>
      <c r="BU122" s="508">
        <v>0</v>
      </c>
      <c r="BV122" s="508">
        <v>0</v>
      </c>
      <c r="BW122" s="508"/>
    </row>
    <row r="123" spans="1:75" ht="15" customHeight="1">
      <c r="A123" s="55">
        <v>120</v>
      </c>
      <c r="B123" s="75" t="s">
        <v>149</v>
      </c>
      <c r="C123" s="55">
        <v>28</v>
      </c>
      <c r="D123" s="508">
        <v>0</v>
      </c>
      <c r="E123" s="508">
        <v>0</v>
      </c>
      <c r="F123" s="508">
        <v>0</v>
      </c>
      <c r="G123" s="508">
        <v>0</v>
      </c>
      <c r="H123" s="508">
        <v>0</v>
      </c>
      <c r="I123" s="508">
        <v>0</v>
      </c>
      <c r="J123" s="508">
        <v>0</v>
      </c>
      <c r="K123" s="508">
        <v>0</v>
      </c>
      <c r="L123" s="508">
        <v>0</v>
      </c>
      <c r="M123" s="508">
        <v>0</v>
      </c>
      <c r="N123" s="508">
        <v>0</v>
      </c>
      <c r="O123" s="508">
        <v>0</v>
      </c>
      <c r="P123" s="508">
        <v>0</v>
      </c>
      <c r="Q123" s="508">
        <v>0</v>
      </c>
      <c r="R123" s="508">
        <v>0</v>
      </c>
      <c r="S123" s="508">
        <v>0</v>
      </c>
      <c r="T123" s="508">
        <v>0</v>
      </c>
      <c r="U123" s="508">
        <v>0</v>
      </c>
      <c r="V123" s="508">
        <v>0</v>
      </c>
      <c r="W123" s="508">
        <v>0</v>
      </c>
      <c r="X123" s="508">
        <v>0</v>
      </c>
      <c r="Y123" s="508">
        <v>0</v>
      </c>
      <c r="Z123" s="508">
        <v>0</v>
      </c>
      <c r="AA123" s="508">
        <v>0</v>
      </c>
      <c r="AB123" s="508">
        <v>0</v>
      </c>
      <c r="AC123" s="508">
        <v>0</v>
      </c>
      <c r="AD123" s="508">
        <v>0</v>
      </c>
      <c r="AE123" s="508">
        <v>0</v>
      </c>
      <c r="AF123" s="508">
        <v>0</v>
      </c>
      <c r="AG123" s="508">
        <v>0</v>
      </c>
      <c r="AH123" s="508">
        <v>0</v>
      </c>
      <c r="AI123" s="508">
        <v>0</v>
      </c>
      <c r="AJ123" s="508">
        <v>0</v>
      </c>
      <c r="AK123" s="508">
        <v>0</v>
      </c>
      <c r="AL123" s="508">
        <v>0</v>
      </c>
      <c r="AM123" s="508">
        <v>0</v>
      </c>
      <c r="AN123" s="508">
        <v>0</v>
      </c>
      <c r="AO123" s="508">
        <v>0</v>
      </c>
      <c r="AP123" s="508">
        <v>0</v>
      </c>
      <c r="AQ123" s="508">
        <v>0</v>
      </c>
      <c r="AR123" s="508">
        <v>0</v>
      </c>
      <c r="AS123" s="508">
        <v>0</v>
      </c>
      <c r="AT123" s="508">
        <v>0</v>
      </c>
      <c r="AU123" s="508">
        <v>0</v>
      </c>
      <c r="AV123" s="508">
        <v>0</v>
      </c>
      <c r="AW123" s="508">
        <v>0</v>
      </c>
      <c r="AX123" s="508">
        <v>0</v>
      </c>
      <c r="AY123" s="508">
        <v>0</v>
      </c>
      <c r="AZ123" s="508">
        <v>0</v>
      </c>
      <c r="BA123" s="508">
        <v>0</v>
      </c>
      <c r="BB123" s="508">
        <v>0</v>
      </c>
      <c r="BC123" s="508">
        <v>0</v>
      </c>
      <c r="BD123" s="508"/>
      <c r="BE123" s="508">
        <v>0</v>
      </c>
      <c r="BF123" s="508">
        <v>0</v>
      </c>
      <c r="BG123" s="508">
        <v>0</v>
      </c>
      <c r="BH123" s="508">
        <v>0</v>
      </c>
      <c r="BI123" s="508">
        <v>0</v>
      </c>
      <c r="BJ123" s="508">
        <v>0</v>
      </c>
      <c r="BK123" s="508">
        <v>0</v>
      </c>
      <c r="BL123" s="508">
        <v>0</v>
      </c>
      <c r="BM123" s="508">
        <v>0</v>
      </c>
      <c r="BN123" s="508">
        <v>0</v>
      </c>
      <c r="BO123" s="508">
        <v>0</v>
      </c>
      <c r="BP123" s="508">
        <v>0</v>
      </c>
      <c r="BQ123" s="508">
        <v>0</v>
      </c>
      <c r="BR123" s="508">
        <v>0</v>
      </c>
      <c r="BS123" s="508">
        <v>0</v>
      </c>
      <c r="BT123" s="508">
        <v>0</v>
      </c>
      <c r="BU123" s="508">
        <v>0</v>
      </c>
      <c r="BV123" s="508">
        <v>0</v>
      </c>
      <c r="BW123" s="508"/>
    </row>
    <row r="124" spans="1:75" ht="15" customHeight="1">
      <c r="A124" s="55">
        <v>121</v>
      </c>
      <c r="B124" s="75" t="s">
        <v>150</v>
      </c>
      <c r="C124" s="55">
        <v>28</v>
      </c>
      <c r="D124" s="508">
        <v>0</v>
      </c>
      <c r="E124" s="508">
        <v>0</v>
      </c>
      <c r="F124" s="508">
        <v>0</v>
      </c>
      <c r="G124" s="508">
        <v>0</v>
      </c>
      <c r="H124" s="508">
        <v>0</v>
      </c>
      <c r="I124" s="508">
        <v>0</v>
      </c>
      <c r="J124" s="508">
        <v>0</v>
      </c>
      <c r="K124" s="508">
        <v>0</v>
      </c>
      <c r="L124" s="508">
        <v>0</v>
      </c>
      <c r="M124" s="508">
        <v>0</v>
      </c>
      <c r="N124" s="508">
        <v>0</v>
      </c>
      <c r="O124" s="508">
        <v>0</v>
      </c>
      <c r="P124" s="508">
        <v>0</v>
      </c>
      <c r="Q124" s="508">
        <v>0</v>
      </c>
      <c r="R124" s="508">
        <v>0</v>
      </c>
      <c r="S124" s="508">
        <v>0</v>
      </c>
      <c r="T124" s="508">
        <v>0</v>
      </c>
      <c r="U124" s="508">
        <v>0</v>
      </c>
      <c r="V124" s="508">
        <v>0</v>
      </c>
      <c r="W124" s="508">
        <v>0</v>
      </c>
      <c r="X124" s="508">
        <v>0</v>
      </c>
      <c r="Y124" s="508">
        <v>0</v>
      </c>
      <c r="Z124" s="508">
        <v>0</v>
      </c>
      <c r="AA124" s="508">
        <v>0</v>
      </c>
      <c r="AB124" s="508">
        <v>0</v>
      </c>
      <c r="AC124" s="508">
        <v>0</v>
      </c>
      <c r="AD124" s="508">
        <v>0</v>
      </c>
      <c r="AE124" s="508">
        <v>0</v>
      </c>
      <c r="AF124" s="508">
        <v>0</v>
      </c>
      <c r="AG124" s="508">
        <v>0</v>
      </c>
      <c r="AH124" s="508">
        <v>0</v>
      </c>
      <c r="AI124" s="508">
        <v>0</v>
      </c>
      <c r="AJ124" s="508">
        <v>0</v>
      </c>
      <c r="AK124" s="508">
        <v>0</v>
      </c>
      <c r="AL124" s="508">
        <v>0</v>
      </c>
      <c r="AM124" s="508">
        <v>0</v>
      </c>
      <c r="AN124" s="508">
        <v>0</v>
      </c>
      <c r="AO124" s="508">
        <v>0</v>
      </c>
      <c r="AP124" s="508">
        <v>0</v>
      </c>
      <c r="AQ124" s="508">
        <v>0</v>
      </c>
      <c r="AR124" s="508">
        <v>0</v>
      </c>
      <c r="AS124" s="508">
        <v>0</v>
      </c>
      <c r="AT124" s="508">
        <v>0</v>
      </c>
      <c r="AU124" s="508">
        <v>0</v>
      </c>
      <c r="AV124" s="508">
        <v>0</v>
      </c>
      <c r="AW124" s="508">
        <v>0</v>
      </c>
      <c r="AX124" s="508">
        <v>0</v>
      </c>
      <c r="AY124" s="508">
        <v>0</v>
      </c>
      <c r="AZ124" s="508">
        <v>0</v>
      </c>
      <c r="BA124" s="508">
        <v>0</v>
      </c>
      <c r="BB124" s="508"/>
      <c r="BC124" s="508"/>
      <c r="BD124" s="508">
        <v>0</v>
      </c>
      <c r="BE124" s="508">
        <v>0</v>
      </c>
      <c r="BF124" s="508">
        <v>0</v>
      </c>
      <c r="BG124" s="508">
        <v>0</v>
      </c>
      <c r="BH124" s="508">
        <v>0</v>
      </c>
      <c r="BI124" s="508">
        <v>0</v>
      </c>
      <c r="BJ124" s="508">
        <v>0</v>
      </c>
      <c r="BK124" s="508">
        <v>0</v>
      </c>
      <c r="BL124" s="508">
        <v>0</v>
      </c>
      <c r="BM124" s="508">
        <v>0</v>
      </c>
      <c r="BN124" s="508">
        <v>0</v>
      </c>
      <c r="BO124" s="508">
        <v>0</v>
      </c>
      <c r="BP124" s="508">
        <v>0</v>
      </c>
      <c r="BQ124" s="508">
        <v>0</v>
      </c>
      <c r="BR124" s="508">
        <v>0</v>
      </c>
      <c r="BS124" s="508">
        <v>0</v>
      </c>
      <c r="BT124" s="508">
        <v>0</v>
      </c>
      <c r="BU124" s="508">
        <v>0</v>
      </c>
      <c r="BV124" s="508">
        <v>0</v>
      </c>
      <c r="BW124" s="508"/>
    </row>
    <row r="125" spans="1:75" ht="15" customHeight="1">
      <c r="A125" s="55">
        <v>122</v>
      </c>
      <c r="B125" s="75" t="s">
        <v>151</v>
      </c>
      <c r="C125" s="55">
        <v>28</v>
      </c>
      <c r="D125" s="508">
        <v>0</v>
      </c>
      <c r="E125" s="508">
        <v>0</v>
      </c>
      <c r="F125" s="508">
        <v>0</v>
      </c>
      <c r="G125" s="508">
        <v>0</v>
      </c>
      <c r="H125" s="508">
        <v>0</v>
      </c>
      <c r="I125" s="508">
        <v>0</v>
      </c>
      <c r="J125" s="508">
        <v>0</v>
      </c>
      <c r="K125" s="508">
        <v>0</v>
      </c>
      <c r="L125" s="508">
        <v>0</v>
      </c>
      <c r="M125" s="508">
        <v>0</v>
      </c>
      <c r="N125" s="508">
        <v>0</v>
      </c>
      <c r="O125" s="508">
        <v>0</v>
      </c>
      <c r="P125" s="508">
        <v>0</v>
      </c>
      <c r="Q125" s="508">
        <v>0</v>
      </c>
      <c r="R125" s="508">
        <v>0</v>
      </c>
      <c r="S125" s="508">
        <v>0</v>
      </c>
      <c r="T125" s="508">
        <v>0</v>
      </c>
      <c r="U125" s="508">
        <v>0</v>
      </c>
      <c r="V125" s="508">
        <v>0</v>
      </c>
      <c r="W125" s="508">
        <v>0</v>
      </c>
      <c r="X125" s="508">
        <v>0</v>
      </c>
      <c r="Y125" s="508">
        <v>0</v>
      </c>
      <c r="Z125" s="508">
        <v>0</v>
      </c>
      <c r="AA125" s="508">
        <v>0</v>
      </c>
      <c r="AB125" s="508">
        <v>0</v>
      </c>
      <c r="AC125" s="508">
        <v>0</v>
      </c>
      <c r="AD125" s="508">
        <v>0</v>
      </c>
      <c r="AE125" s="508">
        <v>0</v>
      </c>
      <c r="AF125" s="508">
        <v>0</v>
      </c>
      <c r="AG125" s="508">
        <v>0</v>
      </c>
      <c r="AH125" s="508">
        <v>0</v>
      </c>
      <c r="AI125" s="508">
        <v>0</v>
      </c>
      <c r="AJ125" s="508">
        <v>0</v>
      </c>
      <c r="AK125" s="508">
        <v>0</v>
      </c>
      <c r="AL125" s="508">
        <v>0</v>
      </c>
      <c r="AM125" s="508">
        <v>0</v>
      </c>
      <c r="AN125" s="508">
        <v>0</v>
      </c>
      <c r="AO125" s="508">
        <v>0</v>
      </c>
      <c r="AP125" s="508">
        <v>0</v>
      </c>
      <c r="AQ125" s="508">
        <v>0</v>
      </c>
      <c r="AR125" s="508">
        <v>0</v>
      </c>
      <c r="AS125" s="508">
        <v>0</v>
      </c>
      <c r="AT125" s="508">
        <v>0</v>
      </c>
      <c r="AU125" s="508">
        <v>0</v>
      </c>
      <c r="AV125" s="508">
        <v>0</v>
      </c>
      <c r="AW125" s="508">
        <v>0</v>
      </c>
      <c r="AX125" s="508">
        <v>0</v>
      </c>
      <c r="AY125" s="508">
        <v>0</v>
      </c>
      <c r="AZ125" s="508">
        <v>0</v>
      </c>
      <c r="BA125" s="508">
        <v>0</v>
      </c>
      <c r="BB125" s="508">
        <v>0</v>
      </c>
      <c r="BC125" s="508">
        <v>0</v>
      </c>
      <c r="BD125" s="508">
        <v>0</v>
      </c>
      <c r="BE125" s="508">
        <v>0</v>
      </c>
      <c r="BF125" s="508">
        <v>0</v>
      </c>
      <c r="BG125" s="508">
        <v>0</v>
      </c>
      <c r="BH125" s="508">
        <v>0</v>
      </c>
      <c r="BI125" s="508">
        <v>0</v>
      </c>
      <c r="BJ125" s="508">
        <v>0</v>
      </c>
      <c r="BK125" s="508">
        <v>0</v>
      </c>
      <c r="BL125" s="508">
        <v>0</v>
      </c>
      <c r="BM125" s="508">
        <v>0</v>
      </c>
      <c r="BN125" s="508">
        <v>0</v>
      </c>
      <c r="BO125" s="508">
        <v>0</v>
      </c>
      <c r="BP125" s="508">
        <v>0</v>
      </c>
      <c r="BQ125" s="508">
        <v>0</v>
      </c>
      <c r="BR125" s="508">
        <v>0</v>
      </c>
      <c r="BS125" s="508">
        <v>0</v>
      </c>
      <c r="BT125" s="508">
        <v>0</v>
      </c>
      <c r="BU125" s="508">
        <v>0</v>
      </c>
      <c r="BV125" s="508">
        <v>0</v>
      </c>
      <c r="BW125" s="508"/>
    </row>
    <row r="126" spans="1:75" ht="15" customHeight="1">
      <c r="A126" s="77">
        <v>123</v>
      </c>
      <c r="B126" s="78" t="s">
        <v>152</v>
      </c>
      <c r="C126" s="77">
        <v>28</v>
      </c>
      <c r="D126" s="509">
        <f t="shared" ref="D126:AY126" si="52">SUM(D127:D128)</f>
        <v>0</v>
      </c>
      <c r="E126" s="509">
        <f t="shared" si="52"/>
        <v>0</v>
      </c>
      <c r="F126" s="509">
        <f t="shared" si="52"/>
        <v>0</v>
      </c>
      <c r="G126" s="509">
        <f t="shared" si="52"/>
        <v>0</v>
      </c>
      <c r="H126" s="509">
        <f t="shared" si="52"/>
        <v>0</v>
      </c>
      <c r="I126" s="509">
        <f t="shared" si="52"/>
        <v>0</v>
      </c>
      <c r="J126" s="509">
        <f t="shared" si="52"/>
        <v>0</v>
      </c>
      <c r="K126" s="509">
        <f t="shared" si="52"/>
        <v>0</v>
      </c>
      <c r="L126" s="509">
        <f t="shared" si="52"/>
        <v>0</v>
      </c>
      <c r="M126" s="509">
        <f t="shared" si="52"/>
        <v>0</v>
      </c>
      <c r="N126" s="509">
        <f t="shared" si="52"/>
        <v>0</v>
      </c>
      <c r="O126" s="509">
        <f t="shared" si="52"/>
        <v>0</v>
      </c>
      <c r="P126" s="509">
        <f t="shared" si="52"/>
        <v>0</v>
      </c>
      <c r="Q126" s="509">
        <f t="shared" si="52"/>
        <v>0</v>
      </c>
      <c r="R126" s="509">
        <f t="shared" si="52"/>
        <v>0</v>
      </c>
      <c r="S126" s="509">
        <f t="shared" si="52"/>
        <v>0</v>
      </c>
      <c r="T126" s="509">
        <f t="shared" si="52"/>
        <v>0</v>
      </c>
      <c r="U126" s="509">
        <f t="shared" si="52"/>
        <v>0</v>
      </c>
      <c r="V126" s="509">
        <f t="shared" si="52"/>
        <v>0</v>
      </c>
      <c r="W126" s="509">
        <f t="shared" si="52"/>
        <v>0</v>
      </c>
      <c r="X126" s="509">
        <f t="shared" si="52"/>
        <v>0</v>
      </c>
      <c r="Y126" s="509">
        <f t="shared" si="52"/>
        <v>0</v>
      </c>
      <c r="Z126" s="509">
        <f t="shared" si="52"/>
        <v>0</v>
      </c>
      <c r="AA126" s="509">
        <f t="shared" si="52"/>
        <v>0</v>
      </c>
      <c r="AB126" s="509">
        <f t="shared" si="52"/>
        <v>0</v>
      </c>
      <c r="AC126" s="509">
        <f t="shared" si="52"/>
        <v>0</v>
      </c>
      <c r="AD126" s="509">
        <f t="shared" si="52"/>
        <v>0</v>
      </c>
      <c r="AE126" s="509">
        <f t="shared" si="52"/>
        <v>0</v>
      </c>
      <c r="AF126" s="509">
        <f t="shared" si="52"/>
        <v>0</v>
      </c>
      <c r="AG126" s="509">
        <f t="shared" si="52"/>
        <v>0</v>
      </c>
      <c r="AH126" s="509">
        <f t="shared" si="52"/>
        <v>0</v>
      </c>
      <c r="AI126" s="509">
        <f t="shared" si="52"/>
        <v>0</v>
      </c>
      <c r="AJ126" s="509">
        <f t="shared" si="52"/>
        <v>0</v>
      </c>
      <c r="AK126" s="509">
        <f t="shared" si="52"/>
        <v>0</v>
      </c>
      <c r="AL126" s="509">
        <f t="shared" si="52"/>
        <v>0</v>
      </c>
      <c r="AM126" s="509">
        <f t="shared" si="52"/>
        <v>0</v>
      </c>
      <c r="AN126" s="509">
        <f t="shared" si="52"/>
        <v>103851514758</v>
      </c>
      <c r="AO126" s="509">
        <f t="shared" si="52"/>
        <v>97113202906</v>
      </c>
      <c r="AP126" s="509">
        <f t="shared" si="52"/>
        <v>94369881618</v>
      </c>
      <c r="AQ126" s="509">
        <f t="shared" si="52"/>
        <v>96038222035</v>
      </c>
      <c r="AR126" s="509">
        <f t="shared" si="52"/>
        <v>90346413861</v>
      </c>
      <c r="AS126" s="509">
        <f t="shared" si="52"/>
        <v>78203765216</v>
      </c>
      <c r="AT126" s="509">
        <f t="shared" si="52"/>
        <v>63009488882</v>
      </c>
      <c r="AU126" s="509">
        <f t="shared" si="52"/>
        <v>52963168023</v>
      </c>
      <c r="AV126" s="509">
        <f t="shared" si="52"/>
        <v>61080811621</v>
      </c>
      <c r="AW126" s="509">
        <f t="shared" si="52"/>
        <v>54735064957</v>
      </c>
      <c r="AX126" s="509">
        <f t="shared" si="52"/>
        <v>48682915285</v>
      </c>
      <c r="AY126" s="509">
        <f t="shared" si="52"/>
        <v>138257269259</v>
      </c>
      <c r="AZ126" s="509">
        <v>140460126085.0593</v>
      </c>
      <c r="BA126" s="509">
        <v>154520354771.0593</v>
      </c>
      <c r="BB126" s="509">
        <v>160264614654.0593</v>
      </c>
      <c r="BC126" s="509">
        <v>163523824888.0593</v>
      </c>
      <c r="BD126" s="509">
        <v>172822344017.0593</v>
      </c>
      <c r="BE126" s="509">
        <v>173507845261.0593</v>
      </c>
      <c r="BF126" s="509">
        <v>176751834231.0593</v>
      </c>
      <c r="BG126" s="509">
        <v>179300987413.0593</v>
      </c>
      <c r="BH126" s="509">
        <v>168112900433.0593</v>
      </c>
      <c r="BI126" s="509">
        <v>163231117544.0593</v>
      </c>
      <c r="BJ126" s="509">
        <v>155244063568.0593</v>
      </c>
      <c r="BK126" s="509">
        <v>157128352153</v>
      </c>
      <c r="BL126" s="509">
        <v>154060178758.80554</v>
      </c>
      <c r="BM126" s="509">
        <v>146325508577.63403</v>
      </c>
      <c r="BN126" s="509">
        <v>139238900501.04236</v>
      </c>
      <c r="BO126" s="509">
        <v>144035731522.87311</v>
      </c>
      <c r="BP126" s="509">
        <v>153420147916.64191</v>
      </c>
      <c r="BQ126" s="509">
        <v>161916875714.1232</v>
      </c>
      <c r="BR126" s="509">
        <f t="shared" ref="BR126:BW126" si="53">SUM(BR127:BR128)</f>
        <v>0</v>
      </c>
      <c r="BS126" s="509">
        <f t="shared" si="53"/>
        <v>0</v>
      </c>
      <c r="BT126" s="509">
        <f t="shared" si="53"/>
        <v>0</v>
      </c>
      <c r="BU126" s="509">
        <f t="shared" si="53"/>
        <v>0</v>
      </c>
      <c r="BV126" s="509">
        <f t="shared" si="53"/>
        <v>0</v>
      </c>
      <c r="BW126" s="509">
        <f t="shared" si="53"/>
        <v>0</v>
      </c>
    </row>
    <row r="127" spans="1:75" ht="15" customHeight="1">
      <c r="A127" s="55">
        <v>124</v>
      </c>
      <c r="B127" s="79" t="s">
        <v>153</v>
      </c>
      <c r="C127" s="55">
        <v>28</v>
      </c>
      <c r="D127" s="508"/>
      <c r="E127" s="508"/>
      <c r="F127" s="508"/>
      <c r="G127" s="508"/>
      <c r="H127" s="508"/>
      <c r="I127" s="508"/>
      <c r="J127" s="508"/>
      <c r="K127" s="508"/>
      <c r="L127" s="508"/>
      <c r="M127" s="508"/>
      <c r="N127" s="508"/>
      <c r="O127" s="508"/>
      <c r="P127" s="508"/>
      <c r="Q127" s="508"/>
      <c r="R127" s="508"/>
      <c r="S127" s="508"/>
      <c r="T127" s="508"/>
      <c r="U127" s="508"/>
      <c r="V127" s="508"/>
      <c r="W127" s="508"/>
      <c r="X127" s="508"/>
      <c r="Y127" s="508"/>
      <c r="Z127" s="508"/>
      <c r="AA127" s="508"/>
      <c r="AB127" s="508"/>
      <c r="AC127" s="508"/>
      <c r="AD127" s="508"/>
      <c r="AE127" s="508"/>
      <c r="AF127" s="508"/>
      <c r="AG127" s="508"/>
      <c r="AH127" s="508"/>
      <c r="AI127" s="508"/>
      <c r="AJ127" s="508"/>
      <c r="AK127" s="508"/>
      <c r="AL127" s="508"/>
      <c r="AM127" s="508"/>
      <c r="AN127" s="508">
        <v>106616032141</v>
      </c>
      <c r="AO127" s="508">
        <v>106089690091</v>
      </c>
      <c r="AP127" s="508">
        <v>99638196434</v>
      </c>
      <c r="AQ127" s="508">
        <v>96598905145</v>
      </c>
      <c r="AR127" s="508">
        <v>98504096257</v>
      </c>
      <c r="AS127" s="508">
        <v>93134079207</v>
      </c>
      <c r="AT127" s="508">
        <v>81298575935</v>
      </c>
      <c r="AU127" s="508">
        <v>66817200404</v>
      </c>
      <c r="AV127" s="508">
        <v>57599901812</v>
      </c>
      <c r="AW127" s="508">
        <v>66581916057</v>
      </c>
      <c r="AX127" s="508">
        <v>60563420421</v>
      </c>
      <c r="AY127" s="508">
        <v>55535997499</v>
      </c>
      <c r="AZ127" s="508">
        <v>138224470360.0593</v>
      </c>
      <c r="BA127" s="508">
        <v>140880640376.0593</v>
      </c>
      <c r="BB127" s="508">
        <v>154990749683.0593</v>
      </c>
      <c r="BC127" s="508">
        <v>160654483791.0593</v>
      </c>
      <c r="BD127" s="508">
        <v>163622890749.0593</v>
      </c>
      <c r="BE127" s="508">
        <v>172956662424.0593</v>
      </c>
      <c r="BF127" s="508">
        <v>173023220426.0593</v>
      </c>
      <c r="BG127" s="508">
        <v>175296913344.0593</v>
      </c>
      <c r="BH127" s="508">
        <v>176341535191.0593</v>
      </c>
      <c r="BI127" s="508">
        <v>165198375485.0593</v>
      </c>
      <c r="BJ127" s="508">
        <v>160112642275.0593</v>
      </c>
      <c r="BK127" s="508">
        <v>152017169935</v>
      </c>
      <c r="BL127" s="508">
        <v>157128352153</v>
      </c>
      <c r="BM127" s="508">
        <v>154060178758.80554</v>
      </c>
      <c r="BN127" s="508">
        <v>146325508577.63403</v>
      </c>
      <c r="BO127" s="508">
        <v>139238900501.04236</v>
      </c>
      <c r="BP127" s="508">
        <v>144035731522.87311</v>
      </c>
      <c r="BQ127" s="508">
        <v>153365000860.64194</v>
      </c>
      <c r="BR127" s="508"/>
      <c r="BS127" s="508"/>
      <c r="BT127" s="508"/>
      <c r="BU127" s="508"/>
      <c r="BV127" s="508"/>
      <c r="BW127" s="508"/>
    </row>
    <row r="128" spans="1:75" ht="15" customHeight="1">
      <c r="A128" s="55">
        <v>125</v>
      </c>
      <c r="B128" s="79" t="s">
        <v>154</v>
      </c>
      <c r="C128" s="55">
        <v>28</v>
      </c>
      <c r="D128" s="508"/>
      <c r="E128" s="508"/>
      <c r="F128" s="508"/>
      <c r="G128" s="508"/>
      <c r="H128" s="508"/>
      <c r="I128" s="508"/>
      <c r="J128" s="508"/>
      <c r="K128" s="508"/>
      <c r="L128" s="508"/>
      <c r="M128" s="508"/>
      <c r="N128" s="508"/>
      <c r="O128" s="508"/>
      <c r="P128" s="508"/>
      <c r="Q128" s="508"/>
      <c r="R128" s="508"/>
      <c r="S128" s="508"/>
      <c r="T128" s="508"/>
      <c r="U128" s="508"/>
      <c r="V128" s="508"/>
      <c r="W128" s="508"/>
      <c r="X128" s="508"/>
      <c r="Y128" s="508"/>
      <c r="Z128" s="508"/>
      <c r="AA128" s="508"/>
      <c r="AB128" s="508"/>
      <c r="AC128" s="508"/>
      <c r="AD128" s="508"/>
      <c r="AE128" s="508"/>
      <c r="AF128" s="508"/>
      <c r="AG128" s="508"/>
      <c r="AH128" s="508"/>
      <c r="AI128" s="508"/>
      <c r="AJ128" s="508"/>
      <c r="AK128" s="508"/>
      <c r="AL128" s="508"/>
      <c r="AM128" s="508"/>
      <c r="AN128" s="508">
        <v>-2764517383</v>
      </c>
      <c r="AO128" s="508">
        <v>-8976487185</v>
      </c>
      <c r="AP128" s="508">
        <v>-5268314816</v>
      </c>
      <c r="AQ128" s="508">
        <v>-560683110</v>
      </c>
      <c r="AR128" s="508">
        <v>-8157682396</v>
      </c>
      <c r="AS128" s="508">
        <v>-14930313991</v>
      </c>
      <c r="AT128" s="508">
        <v>-18289087053</v>
      </c>
      <c r="AU128" s="508">
        <v>-13854032381</v>
      </c>
      <c r="AV128" s="508">
        <v>3480909809</v>
      </c>
      <c r="AW128" s="508">
        <v>-11846851100</v>
      </c>
      <c r="AX128" s="508">
        <v>-11880505136</v>
      </c>
      <c r="AY128" s="508">
        <v>82721271760</v>
      </c>
      <c r="AZ128" s="508">
        <v>2235655725</v>
      </c>
      <c r="BA128" s="508">
        <v>13639714395</v>
      </c>
      <c r="BB128" s="508">
        <v>5273864971</v>
      </c>
      <c r="BC128" s="508">
        <v>2869341097</v>
      </c>
      <c r="BD128" s="508">
        <v>9199453268</v>
      </c>
      <c r="BE128" s="508">
        <v>551182837</v>
      </c>
      <c r="BF128" s="508">
        <v>3728613805</v>
      </c>
      <c r="BG128" s="508">
        <v>4004074069</v>
      </c>
      <c r="BH128" s="508">
        <v>-8228634758</v>
      </c>
      <c r="BI128" s="508">
        <v>-1967257941</v>
      </c>
      <c r="BJ128" s="508">
        <v>-4868578707</v>
      </c>
      <c r="BK128" s="508">
        <v>5111182218</v>
      </c>
      <c r="BL128" s="508">
        <v>-3068173394.1944447</v>
      </c>
      <c r="BM128" s="508">
        <v>-7734670181.1715136</v>
      </c>
      <c r="BN128" s="508">
        <v>-7086608076.5916672</v>
      </c>
      <c r="BO128" s="508">
        <v>4796831021.8307524</v>
      </c>
      <c r="BP128" s="508">
        <v>9384416393.7688103</v>
      </c>
      <c r="BQ128" s="508">
        <v>8551874853.4812737</v>
      </c>
      <c r="BR128" s="508"/>
      <c r="BS128" s="508"/>
      <c r="BT128" s="508"/>
      <c r="BU128" s="508"/>
      <c r="BV128" s="508"/>
      <c r="BW128" s="508"/>
    </row>
    <row r="129" spans="1:75" s="81" customFormat="1" ht="15" customHeight="1">
      <c r="A129" s="80">
        <v>126</v>
      </c>
      <c r="B129" s="511" t="s">
        <v>350</v>
      </c>
      <c r="C129" s="80">
        <v>28</v>
      </c>
      <c r="D129" s="510">
        <f t="shared" ref="D129:AY129" si="54">SUM(D82,D114)</f>
        <v>0</v>
      </c>
      <c r="E129" s="510">
        <f t="shared" si="54"/>
        <v>0</v>
      </c>
      <c r="F129" s="510">
        <f t="shared" si="54"/>
        <v>0</v>
      </c>
      <c r="G129" s="510">
        <f t="shared" si="54"/>
        <v>0</v>
      </c>
      <c r="H129" s="510">
        <f t="shared" si="54"/>
        <v>0</v>
      </c>
      <c r="I129" s="510">
        <f t="shared" si="54"/>
        <v>0</v>
      </c>
      <c r="J129" s="510">
        <f t="shared" si="54"/>
        <v>0</v>
      </c>
      <c r="K129" s="510">
        <f t="shared" si="54"/>
        <v>0</v>
      </c>
      <c r="L129" s="510">
        <f t="shared" si="54"/>
        <v>0</v>
      </c>
      <c r="M129" s="510">
        <f t="shared" si="54"/>
        <v>0</v>
      </c>
      <c r="N129" s="510">
        <f t="shared" si="54"/>
        <v>0</v>
      </c>
      <c r="O129" s="510">
        <f t="shared" si="54"/>
        <v>0</v>
      </c>
      <c r="P129" s="510">
        <f t="shared" si="54"/>
        <v>0</v>
      </c>
      <c r="Q129" s="510">
        <f t="shared" si="54"/>
        <v>0</v>
      </c>
      <c r="R129" s="510">
        <f t="shared" si="54"/>
        <v>0</v>
      </c>
      <c r="S129" s="510">
        <f t="shared" si="54"/>
        <v>0</v>
      </c>
      <c r="T129" s="510">
        <f t="shared" si="54"/>
        <v>0</v>
      </c>
      <c r="U129" s="510">
        <f t="shared" si="54"/>
        <v>0</v>
      </c>
      <c r="V129" s="510">
        <f t="shared" si="54"/>
        <v>0</v>
      </c>
      <c r="W129" s="510">
        <f t="shared" si="54"/>
        <v>0</v>
      </c>
      <c r="X129" s="510">
        <f t="shared" si="54"/>
        <v>0</v>
      </c>
      <c r="Y129" s="510">
        <f t="shared" si="54"/>
        <v>0</v>
      </c>
      <c r="Z129" s="510">
        <f t="shared" si="54"/>
        <v>0</v>
      </c>
      <c r="AA129" s="510">
        <f t="shared" si="54"/>
        <v>0</v>
      </c>
      <c r="AB129" s="510">
        <f t="shared" si="54"/>
        <v>0</v>
      </c>
      <c r="AC129" s="510">
        <f t="shared" si="54"/>
        <v>0</v>
      </c>
      <c r="AD129" s="510">
        <f t="shared" si="54"/>
        <v>0</v>
      </c>
      <c r="AE129" s="510">
        <f t="shared" si="54"/>
        <v>0</v>
      </c>
      <c r="AF129" s="510">
        <f t="shared" si="54"/>
        <v>0</v>
      </c>
      <c r="AG129" s="510">
        <f t="shared" si="54"/>
        <v>0</v>
      </c>
      <c r="AH129" s="510">
        <f t="shared" si="54"/>
        <v>0</v>
      </c>
      <c r="AI129" s="510">
        <f t="shared" si="54"/>
        <v>0</v>
      </c>
      <c r="AJ129" s="510">
        <f t="shared" si="54"/>
        <v>0</v>
      </c>
      <c r="AK129" s="510">
        <f t="shared" si="54"/>
        <v>0</v>
      </c>
      <c r="AL129" s="510">
        <f t="shared" si="54"/>
        <v>0</v>
      </c>
      <c r="AM129" s="510">
        <f t="shared" si="54"/>
        <v>0</v>
      </c>
      <c r="AN129" s="510">
        <f t="shared" si="54"/>
        <v>1175130402352</v>
      </c>
      <c r="AO129" s="510">
        <f t="shared" si="54"/>
        <v>1156870558457</v>
      </c>
      <c r="AP129" s="510">
        <f t="shared" si="54"/>
        <v>1193502357108.8599</v>
      </c>
      <c r="AQ129" s="510">
        <f t="shared" si="54"/>
        <v>1254540608128.8818</v>
      </c>
      <c r="AR129" s="510">
        <f t="shared" si="54"/>
        <v>1298938884161</v>
      </c>
      <c r="AS129" s="510">
        <f t="shared" si="54"/>
        <v>1325603983311</v>
      </c>
      <c r="AT129" s="510">
        <f t="shared" si="54"/>
        <v>1267478798902</v>
      </c>
      <c r="AU129" s="510">
        <f t="shared" si="54"/>
        <v>1218290040966</v>
      </c>
      <c r="AV129" s="510">
        <f t="shared" si="54"/>
        <v>1260492317013</v>
      </c>
      <c r="AW129" s="510">
        <f t="shared" si="54"/>
        <v>1282720707132</v>
      </c>
      <c r="AX129" s="510">
        <f t="shared" si="54"/>
        <v>1380932210078</v>
      </c>
      <c r="AY129" s="507">
        <f t="shared" si="54"/>
        <v>1365896363032.4819</v>
      </c>
      <c r="AZ129" s="507">
        <v>1283726765238.0593</v>
      </c>
      <c r="BA129" s="507">
        <v>1194704439780.0593</v>
      </c>
      <c r="BB129" s="507">
        <v>1249189875834.5413</v>
      </c>
      <c r="BC129" s="507">
        <v>1322043976415.0593</v>
      </c>
      <c r="BD129" s="507">
        <v>1378213576430.0593</v>
      </c>
      <c r="BE129" s="507">
        <v>1412639543305.5413</v>
      </c>
      <c r="BF129" s="507">
        <v>1406218085865.5415</v>
      </c>
      <c r="BG129" s="507">
        <v>1467398603299.5415</v>
      </c>
      <c r="BH129" s="507">
        <v>1453327615283.5413</v>
      </c>
      <c r="BI129" s="507">
        <v>1402480690157.5413</v>
      </c>
      <c r="BJ129" s="507">
        <v>1380736689250.5413</v>
      </c>
      <c r="BK129" s="507">
        <v>1377306550833</v>
      </c>
      <c r="BL129" s="507">
        <v>1424323112774.8057</v>
      </c>
      <c r="BM129" s="507">
        <v>1439263177992.0342</v>
      </c>
      <c r="BN129" s="507">
        <v>1395428857252.0425</v>
      </c>
      <c r="BO129" s="507">
        <v>1377879974068.873</v>
      </c>
      <c r="BP129" s="507">
        <v>1458807030447.6418</v>
      </c>
      <c r="BQ129" s="507">
        <v>1525860293577.123</v>
      </c>
      <c r="BR129" s="507">
        <f t="shared" ref="BR129:BW129" si="55">SUM(BR82,BR114)</f>
        <v>0</v>
      </c>
      <c r="BS129" s="507">
        <f t="shared" si="55"/>
        <v>0</v>
      </c>
      <c r="BT129" s="507">
        <f t="shared" si="55"/>
        <v>0</v>
      </c>
      <c r="BU129" s="507">
        <f t="shared" si="55"/>
        <v>0</v>
      </c>
      <c r="BV129" s="507">
        <f t="shared" si="55"/>
        <v>0</v>
      </c>
      <c r="BW129" s="507">
        <f t="shared" si="55"/>
        <v>0</v>
      </c>
    </row>
    <row r="130" spans="1:75" ht="15" customHeight="1">
      <c r="A130" s="21"/>
      <c r="B130" s="20"/>
      <c r="C130" s="21"/>
      <c r="D130" s="21"/>
      <c r="E130" s="21"/>
      <c r="F130" s="21"/>
      <c r="G130" s="21"/>
      <c r="H130" s="21"/>
      <c r="I130" s="21"/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3"/>
      <c r="U130" s="23"/>
      <c r="V130" s="23"/>
      <c r="W130" s="23"/>
      <c r="X130" s="24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75" ht="1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</row>
    <row r="132" spans="1:75" ht="1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</row>
    <row r="133" spans="1:75" ht="1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</row>
    <row r="134" spans="1:75" ht="1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</row>
    <row r="135" spans="1:75" ht="1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</row>
    <row r="136" spans="1:75" ht="1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</row>
    <row r="137" spans="1:75" ht="1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</row>
    <row r="138" spans="1:75" ht="1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</row>
    <row r="139" spans="1:75" ht="1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</row>
    <row r="140" spans="1:75" ht="1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</row>
    <row r="141" spans="1:75" ht="1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</row>
    <row r="142" spans="1:75" ht="1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</row>
    <row r="143" spans="1:75" ht="1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</row>
    <row r="144" spans="1:75" ht="1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</row>
    <row r="145" spans="1:39" ht="1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</row>
    <row r="146" spans="1:39" ht="1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</row>
    <row r="147" spans="1:39" ht="1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</row>
    <row r="148" spans="1:39" ht="1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</row>
    <row r="149" spans="1:39" ht="1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</row>
    <row r="150" spans="1:39" ht="1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</row>
    <row r="151" spans="1:39" ht="15" customHeight="1">
      <c r="A151" s="82"/>
      <c r="B151" s="83"/>
      <c r="C151" s="82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5"/>
      <c r="O151" s="85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</row>
    <row r="152" spans="1:39" ht="1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</row>
    <row r="153" spans="1:39" ht="1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</row>
    <row r="154" spans="1:39" ht="1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</row>
    <row r="155" spans="1:39" ht="1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</row>
    <row r="156" spans="1:39" ht="1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</row>
    <row r="157" spans="1:39" ht="1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</row>
    <row r="158" spans="1:39" ht="13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</row>
    <row r="159" spans="1:39" ht="1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</row>
    <row r="160" spans="1:39" ht="1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</row>
    <row r="161" s="44" customFormat="1" ht="15" customHeight="1"/>
    <row r="162" s="44" customFormat="1" ht="13.2"/>
    <row r="163" s="44" customFormat="1" ht="15" customHeight="1"/>
    <row r="164" s="44" customFormat="1" ht="15" customHeight="1"/>
    <row r="165" s="44" customFormat="1" ht="13.2"/>
    <row r="166" s="44" customFormat="1" ht="15" customHeight="1"/>
    <row r="167" s="44" customFormat="1" ht="15" customHeight="1"/>
    <row r="168" s="44" customFormat="1" ht="15" customHeight="1"/>
    <row r="169" s="44" customFormat="1" ht="15" customHeight="1"/>
    <row r="170" s="44" customFormat="1" ht="15" customHeight="1"/>
    <row r="171" s="44" customFormat="1" ht="15" customHeight="1"/>
    <row r="172" s="44" customFormat="1" ht="15" customHeight="1"/>
    <row r="173" s="44" customFormat="1" ht="15" customHeight="1"/>
    <row r="174" s="44" customFormat="1" ht="13.2"/>
    <row r="175" s="44" customFormat="1" ht="13.2"/>
    <row r="176" s="44" customFormat="1" ht="13.2"/>
    <row r="177" s="44" customFormat="1" ht="13.2"/>
    <row r="178" s="44" customFormat="1" ht="15" customHeight="1"/>
    <row r="179" s="44" customFormat="1" ht="15" customHeight="1"/>
    <row r="180" s="44" customFormat="1" ht="15" customHeight="1"/>
    <row r="181" s="44" customFormat="1" ht="15" customHeight="1"/>
    <row r="182" s="44" customFormat="1" ht="15" customHeight="1"/>
    <row r="183" s="44" customFormat="1" ht="13.2"/>
    <row r="184" s="44" customFormat="1" ht="13.2"/>
    <row r="185" s="44" customFormat="1" ht="15" customHeight="1"/>
    <row r="186" s="44" customFormat="1" ht="15" customHeight="1"/>
    <row r="187" s="44" customFormat="1" ht="15" customHeight="1"/>
    <row r="188" s="44" customFormat="1" ht="15" customHeight="1"/>
    <row r="189" s="44" customFormat="1" ht="15" customHeight="1"/>
    <row r="190" s="44" customFormat="1" ht="15" customHeight="1"/>
    <row r="191" s="44" customFormat="1" ht="15" customHeight="1"/>
    <row r="192" s="44" customFormat="1" ht="15" customHeight="1"/>
    <row r="193" spans="1:39" ht="1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</row>
    <row r="194" spans="1:39" ht="15" customHeight="1"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</row>
    <row r="195" spans="1:39" ht="1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</row>
    <row r="196" spans="1:39" ht="1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</row>
    <row r="197" spans="1:39" ht="1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</row>
    <row r="198" spans="1:39" ht="1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</row>
    <row r="199" spans="1:39" ht="1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</row>
    <row r="200" spans="1:39" ht="1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</row>
    <row r="201" spans="1:39" ht="1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</row>
    <row r="202" spans="1:39" ht="1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</row>
    <row r="203" spans="1:39" ht="1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</row>
    <row r="204" spans="1:39" ht="1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</row>
    <row r="205" spans="1:39" ht="1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</row>
    <row r="206" spans="1:39" ht="1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</row>
    <row r="207" spans="1:39" ht="1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</row>
    <row r="208" spans="1:39" ht="1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</row>
    <row r="209" s="44" customFormat="1" ht="15" customHeight="1"/>
    <row r="210" s="44" customFormat="1" ht="15" customHeight="1"/>
    <row r="211" s="44" customFormat="1" ht="15" customHeight="1"/>
    <row r="212" s="44" customFormat="1" ht="15" customHeight="1"/>
    <row r="213" s="44" customFormat="1" ht="15" customHeight="1"/>
    <row r="214" s="44" customFormat="1" ht="15" customHeight="1"/>
    <row r="215" s="44" customFormat="1" ht="15" customHeight="1"/>
    <row r="216" s="44" customFormat="1" ht="15" customHeight="1"/>
    <row r="217" s="44" customFormat="1" ht="15" customHeight="1"/>
    <row r="218" s="44" customFormat="1" ht="15" customHeight="1"/>
    <row r="219" s="44" customFormat="1" ht="15" customHeight="1"/>
    <row r="220" s="44" customFormat="1" ht="15" customHeight="1"/>
    <row r="221" s="44" customFormat="1" ht="15" customHeight="1"/>
    <row r="222" s="44" customFormat="1" ht="15" customHeight="1"/>
    <row r="223" s="44" customFormat="1" ht="15" customHeight="1"/>
    <row r="224" s="44" customFormat="1" ht="15" customHeight="1"/>
    <row r="225" s="44" customFormat="1" ht="15" customHeight="1"/>
    <row r="226" s="44" customFormat="1" ht="15" customHeight="1"/>
    <row r="227" s="44" customFormat="1" ht="15" customHeight="1"/>
    <row r="228" s="44" customFormat="1" ht="15" customHeight="1"/>
    <row r="229" s="44" customFormat="1" ht="15" customHeight="1"/>
    <row r="230" s="44" customFormat="1" ht="15" customHeight="1"/>
    <row r="231" s="44" customFormat="1" ht="15" customHeight="1"/>
    <row r="232" s="44" customFormat="1" ht="15" customHeight="1"/>
    <row r="233" s="44" customFormat="1" ht="15" customHeight="1"/>
    <row r="234" s="44" customFormat="1" ht="15" customHeight="1"/>
    <row r="235" s="44" customFormat="1" ht="15" customHeight="1"/>
    <row r="236" s="44" customFormat="1" ht="15" customHeight="1"/>
    <row r="237" s="44" customFormat="1" ht="15" customHeight="1"/>
    <row r="238" s="44" customFormat="1" ht="15" customHeight="1"/>
    <row r="239" s="44" customFormat="1" ht="15" customHeight="1"/>
    <row r="240" s="44" customFormat="1" ht="15" customHeight="1"/>
    <row r="241" s="44" customFormat="1" ht="15" customHeight="1"/>
    <row r="242" s="44" customFormat="1" ht="15" customHeight="1"/>
    <row r="243" s="44" customFormat="1" ht="15" customHeight="1"/>
    <row r="244" s="44" customFormat="1" ht="15" customHeight="1"/>
    <row r="245" s="44" customFormat="1" ht="15" customHeight="1"/>
    <row r="246" s="44" customFormat="1" ht="15" customHeight="1"/>
    <row r="247" s="44" customFormat="1" ht="15" customHeight="1"/>
    <row r="248" s="44" customFormat="1" ht="15" customHeight="1"/>
    <row r="249" s="44" customFormat="1" ht="15" customHeight="1"/>
    <row r="251" s="44" customFormat="1" ht="15" customHeight="1"/>
    <row r="252" s="44" customFormat="1" ht="15" customHeight="1"/>
    <row r="253" s="44" customFormat="1" ht="15" customHeight="1"/>
    <row r="254" s="44" customFormat="1" ht="15" customHeight="1"/>
    <row r="255" s="44" customFormat="1" ht="15" customHeight="1"/>
    <row r="256" s="44" customFormat="1" ht="15" customHeight="1"/>
    <row r="257" s="44" customFormat="1" ht="15" customHeight="1"/>
    <row r="258" s="44" customFormat="1" ht="15" customHeight="1"/>
    <row r="259" s="44" customFormat="1" ht="15" customHeight="1"/>
    <row r="260" s="44" customFormat="1" ht="15" customHeight="1"/>
    <row r="261" s="44" customFormat="1" ht="15" customHeight="1"/>
    <row r="262" s="44" customFormat="1" ht="15" customHeight="1"/>
    <row r="263" s="44" customFormat="1" ht="15" customHeight="1"/>
    <row r="264" s="44" customFormat="1" ht="15" customHeight="1"/>
    <row r="265" s="44" customFormat="1" ht="15" customHeight="1"/>
    <row r="266" s="44" customFormat="1" ht="15" customHeight="1"/>
    <row r="267" s="44" customFormat="1" ht="15" customHeight="1"/>
    <row r="268" s="44" customFormat="1" ht="15" customHeight="1"/>
    <row r="269" s="44" customFormat="1" ht="15" customHeight="1"/>
    <row r="270" s="44" customFormat="1" ht="15" customHeight="1"/>
    <row r="271" s="44" customFormat="1" ht="15" customHeight="1"/>
    <row r="272" s="44" customFormat="1" ht="15" customHeight="1"/>
    <row r="273" s="44" customFormat="1" ht="15" customHeight="1"/>
    <row r="274" s="44" customFormat="1" ht="15" customHeight="1"/>
    <row r="275" s="44" customFormat="1" ht="15" customHeight="1"/>
    <row r="276" s="44" customFormat="1" ht="15" customHeight="1"/>
    <row r="277" s="44" customFormat="1" ht="15" customHeight="1"/>
    <row r="278" s="44" customFormat="1" ht="15" customHeight="1"/>
    <row r="279" s="44" customFormat="1" ht="15" customHeight="1"/>
    <row r="280" s="44" customFormat="1" ht="15" customHeight="1"/>
    <row r="281" s="44" customFormat="1" ht="15" customHeight="1"/>
    <row r="282" s="44" customFormat="1" ht="15" customHeight="1"/>
    <row r="283" s="44" customFormat="1" ht="15" customHeight="1"/>
    <row r="284" s="44" customFormat="1" ht="15" customHeight="1"/>
    <row r="285" s="44" customFormat="1" ht="15" customHeight="1"/>
    <row r="286" s="44" customFormat="1" ht="15" customHeight="1"/>
    <row r="287" s="44" customFormat="1" ht="15" customHeight="1"/>
    <row r="288" s="44" customFormat="1" ht="15" customHeight="1"/>
    <row r="289" s="89" customFormat="1" ht="15" customHeight="1"/>
    <row r="290" s="44" customFormat="1" ht="15" customHeight="1"/>
    <row r="291" s="44" customFormat="1" ht="15" customHeight="1"/>
    <row r="292" s="44" customFormat="1" ht="15" customHeight="1"/>
    <row r="293" s="44" customFormat="1" ht="15" customHeight="1"/>
    <row r="294" s="44" customFormat="1" ht="15" customHeight="1"/>
    <row r="295" s="44" customFormat="1" ht="15" customHeight="1"/>
    <row r="296" s="44" customFormat="1" ht="15" customHeight="1"/>
    <row r="297" s="44" customFormat="1" ht="15" customHeight="1"/>
    <row r="298" s="44" customFormat="1" ht="15" customHeight="1"/>
    <row r="299" s="44" customFormat="1" ht="15" customHeight="1"/>
    <row r="300" s="44" customFormat="1" ht="15" customHeight="1"/>
    <row r="301" s="44" customFormat="1" ht="15" customHeight="1"/>
    <row r="302" s="44" customFormat="1" ht="15" customHeight="1"/>
    <row r="303" s="44" customFormat="1" ht="15" customHeight="1"/>
    <row r="304" s="44" customFormat="1" ht="15" customHeight="1"/>
    <row r="315" spans="4:24" ht="15" customHeight="1"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</row>
  </sheetData>
  <sheetProtection algorithmName="SHA-512" hashValue="6qEOXDpKtBUJbzkQpQbhw8cvImkvUd5jLS3PcyG+FFT1RCpdqpRdYSv/6o/ZTCjP4DnU53Gt+TEJfZkT00mjbA==" saltValue="5By56/EVz0Cf3r6ZEKSaIA==" spinCount="100000" sheet="1" objects="1" scenarios="1"/>
  <protectedRanges>
    <protectedRange sqref="D4:BW129" name="BS"/>
  </protectedRanges>
  <phoneticPr fontId="51" type="noConversion"/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A50-7006-4226-9158-4AFC110AD560}">
  <sheetPr>
    <tabColor theme="9" tint="0.59999389629810485"/>
  </sheetPr>
  <dimension ref="A1:BW23"/>
  <sheetViews>
    <sheetView showGridLines="0" tabSelected="1" zoomScale="85" zoomScaleNormal="85" workbookViewId="0">
      <pane xSplit="3" ySplit="3" topLeftCell="BD4" activePane="bottomRight" state="frozen"/>
      <selection pane="topRight" activeCell="BL10" sqref="BL10"/>
      <selection pane="bottomLeft" activeCell="BL10" sqref="BL10"/>
      <selection pane="bottomRight" activeCell="AZ23" sqref="AZ23:BK23"/>
    </sheetView>
  </sheetViews>
  <sheetFormatPr defaultRowHeight="14.4"/>
  <cols>
    <col min="1" max="1" width="7" hidden="1" customWidth="1"/>
    <col min="2" max="2" width="56" bestFit="1" customWidth="1"/>
    <col min="3" max="3" width="12.109375" hidden="1" customWidth="1"/>
    <col min="4" max="10" width="15.5546875" customWidth="1"/>
    <col min="11" max="11" width="16.33203125" customWidth="1"/>
    <col min="12" max="14" width="15.5546875" customWidth="1"/>
    <col min="15" max="15" width="16.6640625" customWidth="1"/>
    <col min="16" max="16" width="15.5546875" customWidth="1"/>
    <col min="17" max="17" width="16.33203125" customWidth="1"/>
    <col min="18" max="44" width="16.6640625" customWidth="1"/>
    <col min="45" max="46" width="17.44140625" customWidth="1"/>
    <col min="47" max="49" width="18" customWidth="1"/>
    <col min="50" max="50" width="16.6640625" customWidth="1"/>
    <col min="51" max="51" width="18" customWidth="1"/>
    <col min="52" max="52" width="16.6640625" customWidth="1"/>
    <col min="53" max="59" width="18" customWidth="1"/>
    <col min="60" max="60" width="17.44140625" customWidth="1"/>
    <col min="61" max="63" width="16.6640625" customWidth="1"/>
    <col min="64" max="64" width="16.5546875" bestFit="1" customWidth="1"/>
    <col min="65" max="65" width="15.44140625" bestFit="1" customWidth="1"/>
    <col min="66" max="75" width="18" customWidth="1"/>
  </cols>
  <sheetData>
    <row r="1" spans="1:75" ht="17.399999999999999">
      <c r="B1" s="40" t="str">
        <f>'Thong tin'!A1</f>
        <v>CÔNG TY CP NHỰA TÁI CHẾ DUY TÂN</v>
      </c>
    </row>
    <row r="2" spans="1:75">
      <c r="B2" s="46" t="s">
        <v>243</v>
      </c>
      <c r="AZ2" s="506"/>
    </row>
    <row r="3" spans="1:75" ht="27.6">
      <c r="A3" s="175" t="s">
        <v>351</v>
      </c>
      <c r="B3" s="176" t="s">
        <v>352</v>
      </c>
      <c r="C3" s="175" t="s">
        <v>246</v>
      </c>
      <c r="D3" s="175" t="s">
        <v>247</v>
      </c>
      <c r="E3" s="175" t="s">
        <v>248</v>
      </c>
      <c r="F3" s="175" t="s">
        <v>249</v>
      </c>
      <c r="G3" s="175" t="s">
        <v>250</v>
      </c>
      <c r="H3" s="175" t="s">
        <v>251</v>
      </c>
      <c r="I3" s="175" t="s">
        <v>252</v>
      </c>
      <c r="J3" s="175" t="s">
        <v>253</v>
      </c>
      <c r="K3" s="175" t="s">
        <v>254</v>
      </c>
      <c r="L3" s="175" t="s">
        <v>255</v>
      </c>
      <c r="M3" s="175" t="s">
        <v>256</v>
      </c>
      <c r="N3" s="175" t="s">
        <v>257</v>
      </c>
      <c r="O3" s="175" t="s">
        <v>258</v>
      </c>
      <c r="P3" s="175" t="s">
        <v>259</v>
      </c>
      <c r="Q3" s="175" t="s">
        <v>260</v>
      </c>
      <c r="R3" s="175" t="s">
        <v>261</v>
      </c>
      <c r="S3" s="175" t="s">
        <v>262</v>
      </c>
      <c r="T3" s="175" t="s">
        <v>263</v>
      </c>
      <c r="U3" s="175" t="s">
        <v>264</v>
      </c>
      <c r="V3" s="175" t="s">
        <v>265</v>
      </c>
      <c r="W3" s="175" t="s">
        <v>266</v>
      </c>
      <c r="X3" s="175" t="s">
        <v>267</v>
      </c>
      <c r="Y3" s="175" t="s">
        <v>268</v>
      </c>
      <c r="Z3" s="175" t="s">
        <v>269</v>
      </c>
      <c r="AA3" s="175" t="s">
        <v>270</v>
      </c>
      <c r="AB3" s="175" t="s">
        <v>271</v>
      </c>
      <c r="AC3" s="175" t="s">
        <v>272</v>
      </c>
      <c r="AD3" s="175" t="s">
        <v>273</v>
      </c>
      <c r="AE3" s="175" t="s">
        <v>274</v>
      </c>
      <c r="AF3" s="175" t="s">
        <v>275</v>
      </c>
      <c r="AG3" s="175" t="s">
        <v>276</v>
      </c>
      <c r="AH3" s="175" t="s">
        <v>277</v>
      </c>
      <c r="AI3" s="175" t="s">
        <v>278</v>
      </c>
      <c r="AJ3" s="175" t="s">
        <v>279</v>
      </c>
      <c r="AK3" s="175" t="s">
        <v>280</v>
      </c>
      <c r="AL3" s="175" t="s">
        <v>281</v>
      </c>
      <c r="AM3" s="175" t="s">
        <v>282</v>
      </c>
      <c r="AN3" s="175" t="s">
        <v>283</v>
      </c>
      <c r="AO3" s="175" t="s">
        <v>284</v>
      </c>
      <c r="AP3" s="175" t="s">
        <v>285</v>
      </c>
      <c r="AQ3" s="175" t="s">
        <v>286</v>
      </c>
      <c r="AR3" s="175" t="s">
        <v>287</v>
      </c>
      <c r="AS3" s="175" t="s">
        <v>288</v>
      </c>
      <c r="AT3" s="175" t="s">
        <v>289</v>
      </c>
      <c r="AU3" s="175" t="s">
        <v>290</v>
      </c>
      <c r="AV3" s="175" t="s">
        <v>291</v>
      </c>
      <c r="AW3" s="175" t="s">
        <v>292</v>
      </c>
      <c r="AX3" s="175" t="s">
        <v>293</v>
      </c>
      <c r="AY3" s="175" t="s">
        <v>294</v>
      </c>
      <c r="AZ3" s="175" t="s">
        <v>295</v>
      </c>
      <c r="BA3" s="175" t="s">
        <v>296</v>
      </c>
      <c r="BB3" s="175" t="s">
        <v>297</v>
      </c>
      <c r="BC3" s="175" t="s">
        <v>298</v>
      </c>
      <c r="BD3" s="175" t="s">
        <v>299</v>
      </c>
      <c r="BE3" s="175" t="s">
        <v>300</v>
      </c>
      <c r="BF3" s="175" t="s">
        <v>301</v>
      </c>
      <c r="BG3" s="175" t="s">
        <v>302</v>
      </c>
      <c r="BH3" s="175" t="s">
        <v>303</v>
      </c>
      <c r="BI3" s="175" t="s">
        <v>304</v>
      </c>
      <c r="BJ3" s="175" t="s">
        <v>305</v>
      </c>
      <c r="BK3" s="175" t="s">
        <v>306</v>
      </c>
      <c r="BL3" s="175" t="s">
        <v>307</v>
      </c>
      <c r="BM3" s="175" t="s">
        <v>308</v>
      </c>
      <c r="BN3" s="175" t="s">
        <v>309</v>
      </c>
      <c r="BO3" s="175" t="s">
        <v>310</v>
      </c>
      <c r="BP3" s="175" t="s">
        <v>311</v>
      </c>
      <c r="BQ3" s="175" t="s">
        <v>312</v>
      </c>
      <c r="BR3" s="175" t="s">
        <v>313</v>
      </c>
      <c r="BS3" s="175" t="s">
        <v>314</v>
      </c>
      <c r="BT3" s="175" t="s">
        <v>315</v>
      </c>
      <c r="BU3" s="175" t="s">
        <v>316</v>
      </c>
      <c r="BV3" s="175" t="s">
        <v>317</v>
      </c>
      <c r="BW3" s="175" t="s">
        <v>318</v>
      </c>
    </row>
    <row r="4" spans="1:75">
      <c r="A4" s="91">
        <v>1</v>
      </c>
      <c r="B4" s="92" t="s">
        <v>353</v>
      </c>
      <c r="C4" s="91">
        <v>28</v>
      </c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  <c r="Z4" s="512"/>
      <c r="AA4" s="512"/>
      <c r="AB4" s="512"/>
      <c r="AC4" s="512"/>
      <c r="AD4" s="512"/>
      <c r="AE4" s="512"/>
      <c r="AF4" s="512"/>
      <c r="AG4" s="512"/>
      <c r="AH4" s="512"/>
      <c r="AI4" s="512"/>
      <c r="AJ4" s="512"/>
      <c r="AK4" s="512"/>
      <c r="AL4" s="512"/>
      <c r="AM4" s="512"/>
      <c r="AN4" s="512"/>
      <c r="AO4" s="512"/>
      <c r="AP4" s="512"/>
      <c r="AQ4" s="512"/>
      <c r="AR4" s="512"/>
      <c r="AS4" s="512"/>
      <c r="AT4" s="512"/>
      <c r="AU4" s="512"/>
      <c r="AV4" s="512"/>
      <c r="AW4" s="512"/>
      <c r="AX4" s="512"/>
      <c r="AY4" s="512"/>
      <c r="AZ4" s="512">
        <v>3616.4013</v>
      </c>
      <c r="BA4" s="512">
        <v>6002.0379999999996</v>
      </c>
      <c r="BB4" s="512">
        <v>4987.3979999999992</v>
      </c>
      <c r="BC4" s="512">
        <v>4085.9469999999997</v>
      </c>
      <c r="BD4" s="512">
        <v>4800.6903000000002</v>
      </c>
      <c r="BE4" s="512">
        <v>4045.3530000000001</v>
      </c>
      <c r="BF4" s="512">
        <v>4698.9850999999999</v>
      </c>
      <c r="BG4" s="512">
        <v>5678.89</v>
      </c>
      <c r="BH4" s="512">
        <v>3116.5699999999997</v>
      </c>
      <c r="BI4" s="512">
        <v>3435.779</v>
      </c>
      <c r="BJ4" s="512">
        <v>3062.1559999999999</v>
      </c>
      <c r="BK4" s="512">
        <v>3190.5890000000004</v>
      </c>
      <c r="BL4" s="512">
        <v>4402.0519999999997</v>
      </c>
      <c r="BM4" s="512">
        <v>3277.83</v>
      </c>
      <c r="BN4" s="512">
        <v>6446.3829999999998</v>
      </c>
      <c r="BO4" s="512">
        <v>5783.4650000000001</v>
      </c>
      <c r="BP4" s="512">
        <v>5176.4000000000005</v>
      </c>
      <c r="BQ4" s="512">
        <v>4118.6154999999999</v>
      </c>
      <c r="BR4" s="512"/>
      <c r="BS4" s="512"/>
      <c r="BT4" s="512"/>
      <c r="BU4" s="512"/>
      <c r="BV4" s="512"/>
      <c r="BW4" s="512"/>
    </row>
    <row r="5" spans="1:75">
      <c r="A5" s="59">
        <v>2</v>
      </c>
      <c r="B5" s="93" t="s">
        <v>354</v>
      </c>
      <c r="C5" s="59">
        <v>28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130037940981</v>
      </c>
      <c r="AO5" s="3">
        <v>84645791256</v>
      </c>
      <c r="AP5" s="3">
        <v>115625416433</v>
      </c>
      <c r="AQ5" s="3">
        <v>117647266094</v>
      </c>
      <c r="AR5" s="3">
        <v>128085507494</v>
      </c>
      <c r="AS5" s="3">
        <v>95661572209</v>
      </c>
      <c r="AT5" s="3">
        <v>74679662458</v>
      </c>
      <c r="AU5" s="3">
        <v>178936926222</v>
      </c>
      <c r="AV5" s="3">
        <v>180140886766</v>
      </c>
      <c r="AW5" s="3">
        <v>143211413018</v>
      </c>
      <c r="AX5" s="3">
        <v>97197472020</v>
      </c>
      <c r="AY5" s="3">
        <v>128687104846</v>
      </c>
      <c r="AZ5" s="3">
        <v>114983880947</v>
      </c>
      <c r="BA5" s="3">
        <v>188477338235</v>
      </c>
      <c r="BB5" s="3">
        <v>150716555192</v>
      </c>
      <c r="BC5" s="3">
        <v>125691833422</v>
      </c>
      <c r="BD5" s="3">
        <v>153638670524</v>
      </c>
      <c r="BE5" s="3">
        <v>120188501523</v>
      </c>
      <c r="BF5" s="3">
        <v>138030275641</v>
      </c>
      <c r="BG5" s="3">
        <v>169482496928</v>
      </c>
      <c r="BH5" s="3">
        <v>91503288423</v>
      </c>
      <c r="BI5" s="3">
        <v>109010675108</v>
      </c>
      <c r="BJ5" s="3">
        <v>89868450986</v>
      </c>
      <c r="BK5" s="3">
        <v>100768484341</v>
      </c>
      <c r="BL5" s="3">
        <v>126470480720</v>
      </c>
      <c r="BM5" s="3">
        <v>96582496962</v>
      </c>
      <c r="BN5" s="3">
        <v>173962786425</v>
      </c>
      <c r="BO5" s="3">
        <v>159236581985</v>
      </c>
      <c r="BP5" s="3">
        <v>161004715441</v>
      </c>
      <c r="BQ5" s="3">
        <v>123197887319</v>
      </c>
      <c r="BR5" s="3"/>
      <c r="BS5" s="3"/>
      <c r="BT5" s="3"/>
      <c r="BU5" s="3"/>
      <c r="BV5" s="3"/>
      <c r="BW5" s="3"/>
    </row>
    <row r="6" spans="1:75">
      <c r="A6" s="55">
        <v>3</v>
      </c>
      <c r="B6" s="94" t="s">
        <v>355</v>
      </c>
      <c r="C6" s="55">
        <v>28</v>
      </c>
      <c r="D6" s="508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  <c r="AL6" s="508"/>
      <c r="AM6" s="508"/>
      <c r="AN6" s="508">
        <v>0</v>
      </c>
      <c r="AO6" s="508">
        <v>1166125000</v>
      </c>
      <c r="AP6" s="508">
        <v>0</v>
      </c>
      <c r="AQ6" s="508">
        <v>0</v>
      </c>
      <c r="AR6" s="508">
        <v>136455000</v>
      </c>
      <c r="AS6" s="508">
        <v>0</v>
      </c>
      <c r="AT6" s="508">
        <v>0</v>
      </c>
      <c r="AU6" s="508">
        <v>6345077301</v>
      </c>
      <c r="AV6" s="508">
        <v>4671587529</v>
      </c>
      <c r="AW6" s="508">
        <v>2922205276</v>
      </c>
      <c r="AX6" s="508">
        <v>49359030</v>
      </c>
      <c r="AY6" s="508">
        <v>4680420540</v>
      </c>
      <c r="AZ6" s="508">
        <v>513935495</v>
      </c>
      <c r="BA6" s="508">
        <v>477877176</v>
      </c>
      <c r="BB6" s="508">
        <v>477350452</v>
      </c>
      <c r="BC6" s="508">
        <v>304590498</v>
      </c>
      <c r="BD6" s="508">
        <v>1607115262</v>
      </c>
      <c r="BE6" s="508">
        <v>708638196</v>
      </c>
      <c r="BF6" s="508">
        <v>26953743</v>
      </c>
      <c r="BG6" s="508">
        <v>1000293545</v>
      </c>
      <c r="BH6" s="508">
        <v>6773818500</v>
      </c>
      <c r="BI6" s="508">
        <v>0</v>
      </c>
      <c r="BJ6" s="508">
        <v>1479093000</v>
      </c>
      <c r="BK6" s="508">
        <v>1103092320</v>
      </c>
      <c r="BL6" s="508">
        <v>687876997</v>
      </c>
      <c r="BM6" s="508">
        <v>33305556</v>
      </c>
      <c r="BN6" s="508">
        <v>956126160</v>
      </c>
      <c r="BO6" s="508">
        <v>86574074</v>
      </c>
      <c r="BP6" s="508">
        <v>1221964024</v>
      </c>
      <c r="BQ6" s="508">
        <v>259219891</v>
      </c>
      <c r="BR6" s="508"/>
      <c r="BS6" s="508"/>
      <c r="BT6" s="508"/>
      <c r="BU6" s="508"/>
      <c r="BV6" s="508"/>
      <c r="BW6" s="508"/>
    </row>
    <row r="7" spans="1:75">
      <c r="A7" s="95">
        <v>4</v>
      </c>
      <c r="B7" s="93" t="s">
        <v>356</v>
      </c>
      <c r="C7" s="95">
        <v>28</v>
      </c>
      <c r="D7" s="9">
        <f>D5-D6</f>
        <v>0</v>
      </c>
      <c r="E7" s="9">
        <f t="shared" ref="E7:BP7" si="0">E5-E6</f>
        <v>0</v>
      </c>
      <c r="F7" s="9">
        <f t="shared" si="0"/>
        <v>0</v>
      </c>
      <c r="G7" s="9">
        <f t="shared" si="0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  <c r="L7" s="9">
        <f t="shared" si="0"/>
        <v>0</v>
      </c>
      <c r="M7" s="9">
        <f t="shared" si="0"/>
        <v>0</v>
      </c>
      <c r="N7" s="9">
        <f t="shared" si="0"/>
        <v>0</v>
      </c>
      <c r="O7" s="9">
        <f t="shared" si="0"/>
        <v>0</v>
      </c>
      <c r="P7" s="9">
        <f t="shared" si="0"/>
        <v>0</v>
      </c>
      <c r="Q7" s="9">
        <f t="shared" si="0"/>
        <v>0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0"/>
        <v>0</v>
      </c>
      <c r="W7" s="9">
        <f t="shared" si="0"/>
        <v>0</v>
      </c>
      <c r="X7" s="9">
        <f t="shared" si="0"/>
        <v>0</v>
      </c>
      <c r="Y7" s="9">
        <f t="shared" si="0"/>
        <v>0</v>
      </c>
      <c r="Z7" s="9">
        <f t="shared" si="0"/>
        <v>0</v>
      </c>
      <c r="AA7" s="9">
        <f t="shared" si="0"/>
        <v>0</v>
      </c>
      <c r="AB7" s="9">
        <f t="shared" si="0"/>
        <v>0</v>
      </c>
      <c r="AC7" s="9">
        <f t="shared" si="0"/>
        <v>0</v>
      </c>
      <c r="AD7" s="9">
        <f t="shared" si="0"/>
        <v>0</v>
      </c>
      <c r="AE7" s="9">
        <f t="shared" si="0"/>
        <v>0</v>
      </c>
      <c r="AF7" s="9">
        <f t="shared" si="0"/>
        <v>0</v>
      </c>
      <c r="AG7" s="9">
        <f t="shared" si="0"/>
        <v>0</v>
      </c>
      <c r="AH7" s="9">
        <f t="shared" si="0"/>
        <v>0</v>
      </c>
      <c r="AI7" s="9">
        <f t="shared" si="0"/>
        <v>0</v>
      </c>
      <c r="AJ7" s="9">
        <f t="shared" si="0"/>
        <v>0</v>
      </c>
      <c r="AK7" s="9">
        <f t="shared" si="0"/>
        <v>0</v>
      </c>
      <c r="AL7" s="9">
        <f t="shared" si="0"/>
        <v>0</v>
      </c>
      <c r="AM7" s="9">
        <f t="shared" si="0"/>
        <v>0</v>
      </c>
      <c r="AN7" s="9">
        <f t="shared" si="0"/>
        <v>130037940981</v>
      </c>
      <c r="AO7" s="9">
        <f t="shared" si="0"/>
        <v>83479666256</v>
      </c>
      <c r="AP7" s="9">
        <f t="shared" si="0"/>
        <v>115625416433</v>
      </c>
      <c r="AQ7" s="9">
        <f t="shared" si="0"/>
        <v>117647266094</v>
      </c>
      <c r="AR7" s="9">
        <f t="shared" si="0"/>
        <v>127949052494</v>
      </c>
      <c r="AS7" s="9">
        <f t="shared" si="0"/>
        <v>95661572209</v>
      </c>
      <c r="AT7" s="9">
        <f t="shared" si="0"/>
        <v>74679662458</v>
      </c>
      <c r="AU7" s="9">
        <f t="shared" si="0"/>
        <v>172591848921</v>
      </c>
      <c r="AV7" s="9">
        <f t="shared" si="0"/>
        <v>175469299237</v>
      </c>
      <c r="AW7" s="9">
        <f t="shared" si="0"/>
        <v>140289207742</v>
      </c>
      <c r="AX7" s="9">
        <f t="shared" si="0"/>
        <v>97148112990</v>
      </c>
      <c r="AY7" s="9">
        <f t="shared" si="0"/>
        <v>124006684306</v>
      </c>
      <c r="AZ7" s="9">
        <v>114469945452</v>
      </c>
      <c r="BA7" s="9">
        <v>187999461059</v>
      </c>
      <c r="BB7" s="9">
        <v>150239204740</v>
      </c>
      <c r="BC7" s="9">
        <v>125387242924</v>
      </c>
      <c r="BD7" s="9">
        <v>152031555262</v>
      </c>
      <c r="BE7" s="9">
        <v>119479863327</v>
      </c>
      <c r="BF7" s="9">
        <v>138003321898</v>
      </c>
      <c r="BG7" s="9">
        <v>168482203383</v>
      </c>
      <c r="BH7" s="9">
        <v>84729469923</v>
      </c>
      <c r="BI7" s="9">
        <v>109010675108</v>
      </c>
      <c r="BJ7" s="9">
        <v>88389357986</v>
      </c>
      <c r="BK7" s="9">
        <v>99665392021</v>
      </c>
      <c r="BL7" s="9">
        <f>BL5-BL6</f>
        <v>125782603723</v>
      </c>
      <c r="BM7" s="9">
        <f>BM5-BM6</f>
        <v>96549191406</v>
      </c>
      <c r="BN7" s="9">
        <v>173006660265</v>
      </c>
      <c r="BO7" s="9">
        <v>159150007911</v>
      </c>
      <c r="BP7" s="9">
        <f t="shared" si="0"/>
        <v>159782751417</v>
      </c>
      <c r="BQ7" s="9">
        <v>122938667428</v>
      </c>
      <c r="BR7" s="9">
        <f t="shared" ref="BR7:BW7" si="1">BR5-BR6</f>
        <v>0</v>
      </c>
      <c r="BS7" s="9">
        <f t="shared" si="1"/>
        <v>0</v>
      </c>
      <c r="BT7" s="9">
        <f t="shared" si="1"/>
        <v>0</v>
      </c>
      <c r="BU7" s="9">
        <f t="shared" si="1"/>
        <v>0</v>
      </c>
      <c r="BV7" s="9">
        <f t="shared" si="1"/>
        <v>0</v>
      </c>
      <c r="BW7" s="9">
        <f t="shared" si="1"/>
        <v>0</v>
      </c>
    </row>
    <row r="8" spans="1:75">
      <c r="A8" s="96">
        <v>5</v>
      </c>
      <c r="B8" s="94" t="s">
        <v>357</v>
      </c>
      <c r="C8" s="96">
        <v>28</v>
      </c>
      <c r="D8" s="513"/>
      <c r="E8" s="513"/>
      <c r="F8" s="513"/>
      <c r="G8" s="513"/>
      <c r="H8" s="513"/>
      <c r="I8" s="513"/>
      <c r="J8" s="513"/>
      <c r="K8" s="513"/>
      <c r="L8" s="513"/>
      <c r="M8" s="513"/>
      <c r="N8" s="513"/>
      <c r="O8" s="513"/>
      <c r="P8" s="513"/>
      <c r="Q8" s="513"/>
      <c r="R8" s="513"/>
      <c r="S8" s="513"/>
      <c r="T8" s="513"/>
      <c r="U8" s="513"/>
      <c r="V8" s="513"/>
      <c r="W8" s="513"/>
      <c r="X8" s="513"/>
      <c r="Y8" s="513"/>
      <c r="Z8" s="513"/>
      <c r="AA8" s="513"/>
      <c r="AB8" s="513"/>
      <c r="AC8" s="513"/>
      <c r="AD8" s="513"/>
      <c r="AE8" s="513"/>
      <c r="AF8" s="513"/>
      <c r="AG8" s="513"/>
      <c r="AH8" s="513"/>
      <c r="AI8" s="513"/>
      <c r="AJ8" s="513"/>
      <c r="AK8" s="513"/>
      <c r="AL8" s="513"/>
      <c r="AM8" s="513"/>
      <c r="AN8" s="513">
        <v>120065457134</v>
      </c>
      <c r="AO8" s="513">
        <v>83995360322</v>
      </c>
      <c r="AP8" s="513">
        <v>109165390822</v>
      </c>
      <c r="AQ8" s="513">
        <v>105655387173</v>
      </c>
      <c r="AR8" s="513">
        <v>125507167216</v>
      </c>
      <c r="AS8" s="513">
        <v>98477492806</v>
      </c>
      <c r="AT8" s="513">
        <v>80393606783</v>
      </c>
      <c r="AU8" s="513">
        <v>167228552558</v>
      </c>
      <c r="AV8" s="513">
        <v>152083786508</v>
      </c>
      <c r="AW8" s="513">
        <v>135696763155</v>
      </c>
      <c r="AX8" s="513">
        <v>92718574459</v>
      </c>
      <c r="AY8" s="513">
        <v>-4137926966</v>
      </c>
      <c r="AZ8" s="513">
        <v>97986840184</v>
      </c>
      <c r="BA8" s="513">
        <v>155693128574</v>
      </c>
      <c r="BB8" s="513">
        <v>129053280797</v>
      </c>
      <c r="BC8" s="513">
        <v>108257691858</v>
      </c>
      <c r="BD8" s="513">
        <v>128243821985</v>
      </c>
      <c r="BE8" s="513">
        <v>104299018492</v>
      </c>
      <c r="BF8" s="513">
        <v>124260554437</v>
      </c>
      <c r="BG8" s="513">
        <v>150760754200</v>
      </c>
      <c r="BH8" s="513">
        <v>81919659396</v>
      </c>
      <c r="BI8" s="513">
        <v>98239930365</v>
      </c>
      <c r="BJ8" s="513">
        <v>80093235439</v>
      </c>
      <c r="BK8" s="513">
        <v>67988837293</v>
      </c>
      <c r="BL8" s="513">
        <v>114204897263.19444</v>
      </c>
      <c r="BM8" s="513">
        <v>89643992316.171509</v>
      </c>
      <c r="BN8" s="513">
        <v>163965172379.59167</v>
      </c>
      <c r="BO8" s="513">
        <v>139017443039.16925</v>
      </c>
      <c r="BP8" s="513">
        <v>134579580692.2312</v>
      </c>
      <c r="BQ8" s="513">
        <v>99754336516.518723</v>
      </c>
      <c r="BR8" s="513"/>
      <c r="BS8" s="513"/>
      <c r="BT8" s="513"/>
      <c r="BU8" s="513"/>
      <c r="BV8" s="513"/>
      <c r="BW8" s="513"/>
    </row>
    <row r="9" spans="1:75">
      <c r="A9" s="97">
        <v>6</v>
      </c>
      <c r="B9" s="93" t="s">
        <v>358</v>
      </c>
      <c r="C9" s="97">
        <v>28</v>
      </c>
      <c r="D9" s="4">
        <f>D7-D8</f>
        <v>0</v>
      </c>
      <c r="E9" s="4">
        <f t="shared" ref="E9:AY9" si="2">E7-E8</f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f t="shared" si="2"/>
        <v>0</v>
      </c>
      <c r="Z9" s="4">
        <f t="shared" si="2"/>
        <v>0</v>
      </c>
      <c r="AA9" s="4">
        <f t="shared" si="2"/>
        <v>0</v>
      </c>
      <c r="AB9" s="4">
        <f t="shared" si="2"/>
        <v>0</v>
      </c>
      <c r="AC9" s="4">
        <f t="shared" si="2"/>
        <v>0</v>
      </c>
      <c r="AD9" s="4">
        <f t="shared" si="2"/>
        <v>0</v>
      </c>
      <c r="AE9" s="4">
        <f t="shared" si="2"/>
        <v>0</v>
      </c>
      <c r="AF9" s="4">
        <f t="shared" si="2"/>
        <v>0</v>
      </c>
      <c r="AG9" s="4">
        <f t="shared" si="2"/>
        <v>0</v>
      </c>
      <c r="AH9" s="4">
        <f t="shared" si="2"/>
        <v>0</v>
      </c>
      <c r="AI9" s="4">
        <f t="shared" si="2"/>
        <v>0</v>
      </c>
      <c r="AJ9" s="4">
        <f t="shared" si="2"/>
        <v>0</v>
      </c>
      <c r="AK9" s="4">
        <f t="shared" si="2"/>
        <v>0</v>
      </c>
      <c r="AL9" s="4">
        <f t="shared" si="2"/>
        <v>0</v>
      </c>
      <c r="AM9" s="4">
        <f t="shared" si="2"/>
        <v>0</v>
      </c>
      <c r="AN9" s="4">
        <f t="shared" si="2"/>
        <v>9972483847</v>
      </c>
      <c r="AO9" s="4">
        <f t="shared" si="2"/>
        <v>-515694066</v>
      </c>
      <c r="AP9" s="4">
        <f t="shared" si="2"/>
        <v>6460025611</v>
      </c>
      <c r="AQ9" s="4">
        <f t="shared" si="2"/>
        <v>11991878921</v>
      </c>
      <c r="AR9" s="4">
        <f t="shared" si="2"/>
        <v>2441885278</v>
      </c>
      <c r="AS9" s="4">
        <f t="shared" si="2"/>
        <v>-2815920597</v>
      </c>
      <c r="AT9" s="4">
        <f t="shared" si="2"/>
        <v>-5713944325</v>
      </c>
      <c r="AU9" s="4">
        <f t="shared" si="2"/>
        <v>5363296363</v>
      </c>
      <c r="AV9" s="4">
        <f t="shared" si="2"/>
        <v>23385512729</v>
      </c>
      <c r="AW9" s="4">
        <f t="shared" si="2"/>
        <v>4592444587</v>
      </c>
      <c r="AX9" s="4">
        <f t="shared" si="2"/>
        <v>4429538531</v>
      </c>
      <c r="AY9" s="4">
        <f t="shared" si="2"/>
        <v>128144611272</v>
      </c>
      <c r="AZ9" s="4">
        <v>16483105268</v>
      </c>
      <c r="BA9" s="4">
        <v>32306332485</v>
      </c>
      <c r="BB9" s="4">
        <v>21185923943</v>
      </c>
      <c r="BC9" s="4">
        <v>17129551066</v>
      </c>
      <c r="BD9" s="4">
        <v>23787733277</v>
      </c>
      <c r="BE9" s="4">
        <v>15180844835</v>
      </c>
      <c r="BF9" s="4">
        <v>13742767461</v>
      </c>
      <c r="BG9" s="4">
        <v>17721449183</v>
      </c>
      <c r="BH9" s="4">
        <v>2809810527</v>
      </c>
      <c r="BI9" s="4">
        <v>10770744743</v>
      </c>
      <c r="BJ9" s="4">
        <v>8296122547</v>
      </c>
      <c r="BK9" s="4">
        <v>31676554728</v>
      </c>
      <c r="BL9" s="4">
        <f>BL7-BL8</f>
        <v>11577706459.805557</v>
      </c>
      <c r="BM9" s="4">
        <f>BM7-BM8</f>
        <v>6905199089.8284912</v>
      </c>
      <c r="BN9" s="4">
        <v>9041487885.4083328</v>
      </c>
      <c r="BO9" s="4">
        <v>20132564871.830753</v>
      </c>
      <c r="BP9" s="4">
        <f>BP7-BP8</f>
        <v>25203170724.768799</v>
      </c>
      <c r="BQ9" s="4">
        <v>23184330911.481274</v>
      </c>
      <c r="BR9" s="4">
        <f t="shared" ref="BR9:BW9" si="3">BR7-BR8</f>
        <v>0</v>
      </c>
      <c r="BS9" s="4">
        <f t="shared" si="3"/>
        <v>0</v>
      </c>
      <c r="BT9" s="4">
        <f t="shared" si="3"/>
        <v>0</v>
      </c>
      <c r="BU9" s="4">
        <f t="shared" si="3"/>
        <v>0</v>
      </c>
      <c r="BV9" s="4">
        <f t="shared" si="3"/>
        <v>0</v>
      </c>
      <c r="BW9" s="4">
        <f t="shared" si="3"/>
        <v>0</v>
      </c>
    </row>
    <row r="10" spans="1:75">
      <c r="A10" s="97">
        <v>7</v>
      </c>
      <c r="B10" s="93" t="s">
        <v>359</v>
      </c>
      <c r="C10" s="97">
        <v>28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/>
      <c r="BM10" s="4">
        <v>0</v>
      </c>
      <c r="BN10" s="4">
        <v>0</v>
      </c>
      <c r="BO10" s="4">
        <v>0</v>
      </c>
      <c r="BP10" s="4"/>
      <c r="BQ10" s="4">
        <v>0</v>
      </c>
      <c r="BR10" s="4"/>
      <c r="BS10" s="4"/>
      <c r="BT10" s="4"/>
      <c r="BU10" s="4"/>
      <c r="BV10" s="4"/>
      <c r="BW10" s="4"/>
    </row>
    <row r="11" spans="1:75">
      <c r="A11" s="55">
        <v>8</v>
      </c>
      <c r="B11" s="94" t="s">
        <v>360</v>
      </c>
      <c r="C11" s="55">
        <v>28</v>
      </c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  <c r="AJ11" s="508"/>
      <c r="AK11" s="508"/>
      <c r="AL11" s="508"/>
      <c r="AM11" s="508"/>
      <c r="AN11" s="508">
        <v>712260969</v>
      </c>
      <c r="AO11" s="508">
        <v>1111471110</v>
      </c>
      <c r="AP11" s="508">
        <v>1004651784</v>
      </c>
      <c r="AQ11" s="508">
        <v>1746021208</v>
      </c>
      <c r="AR11" s="508">
        <v>1032867505</v>
      </c>
      <c r="AS11" s="508">
        <v>591086157</v>
      </c>
      <c r="AT11" s="508">
        <v>376652862</v>
      </c>
      <c r="AU11" s="508">
        <v>1253018630</v>
      </c>
      <c r="AV11" s="508">
        <v>1560156089</v>
      </c>
      <c r="AW11" s="508">
        <v>2831268643</v>
      </c>
      <c r="AX11" s="508">
        <v>886951972</v>
      </c>
      <c r="AY11" s="508">
        <v>2195155035</v>
      </c>
      <c r="AZ11" s="508">
        <v>830662240</v>
      </c>
      <c r="BA11" s="508">
        <v>1805467216</v>
      </c>
      <c r="BB11" s="508">
        <v>941747687</v>
      </c>
      <c r="BC11" s="508">
        <v>1368536357</v>
      </c>
      <c r="BD11" s="508">
        <v>2440495098</v>
      </c>
      <c r="BE11" s="508">
        <v>1651919997</v>
      </c>
      <c r="BF11" s="508">
        <v>1450067480</v>
      </c>
      <c r="BG11" s="508">
        <v>1506125345</v>
      </c>
      <c r="BH11" s="508">
        <v>1236220214</v>
      </c>
      <c r="BI11" s="508">
        <v>2769344197</v>
      </c>
      <c r="BJ11" s="508">
        <v>564107321</v>
      </c>
      <c r="BK11" s="508">
        <v>727547755</v>
      </c>
      <c r="BL11" s="508">
        <v>1119033075</v>
      </c>
      <c r="BM11" s="508">
        <v>334221183</v>
      </c>
      <c r="BN11" s="508">
        <v>895384046</v>
      </c>
      <c r="BO11" s="508">
        <v>2939826098</v>
      </c>
      <c r="BP11" s="508">
        <v>1281094644</v>
      </c>
      <c r="BQ11" s="508">
        <v>1680409032</v>
      </c>
      <c r="BR11" s="508"/>
      <c r="BS11" s="508"/>
      <c r="BT11" s="508"/>
      <c r="BU11" s="508"/>
      <c r="BV11" s="508"/>
      <c r="BW11" s="508"/>
    </row>
    <row r="12" spans="1:75">
      <c r="A12" s="59">
        <v>9</v>
      </c>
      <c r="B12" s="93" t="s">
        <v>361</v>
      </c>
      <c r="C12" s="59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801399604</v>
      </c>
      <c r="AO12" s="3">
        <v>695500231</v>
      </c>
      <c r="AP12" s="3">
        <v>663502461</v>
      </c>
      <c r="AQ12" s="3">
        <v>1555671370</v>
      </c>
      <c r="AR12" s="3">
        <v>936492932</v>
      </c>
      <c r="AS12" s="3">
        <v>1103852896</v>
      </c>
      <c r="AT12" s="3">
        <v>1608708972</v>
      </c>
      <c r="AU12" s="3">
        <v>1489581015</v>
      </c>
      <c r="AV12" s="3">
        <v>1372261307</v>
      </c>
      <c r="AW12" s="3">
        <v>636041020</v>
      </c>
      <c r="AX12" s="3">
        <v>1257673070</v>
      </c>
      <c r="AY12" s="3">
        <v>993026233</v>
      </c>
      <c r="AZ12" s="3">
        <v>1529745602</v>
      </c>
      <c r="BA12" s="3">
        <v>1349010483</v>
      </c>
      <c r="BB12" s="3">
        <v>902730488</v>
      </c>
      <c r="BC12" s="3">
        <v>1450570894</v>
      </c>
      <c r="BD12" s="3">
        <v>858169737</v>
      </c>
      <c r="BE12" s="3">
        <v>1483876982</v>
      </c>
      <c r="BF12" s="3">
        <v>1318435167</v>
      </c>
      <c r="BG12" s="3">
        <v>1366041150</v>
      </c>
      <c r="BH12" s="3">
        <v>1603769193</v>
      </c>
      <c r="BI12" s="3">
        <v>2900732378</v>
      </c>
      <c r="BJ12" s="3">
        <v>1301741764</v>
      </c>
      <c r="BK12" s="3">
        <v>2479436989</v>
      </c>
      <c r="BL12" s="3">
        <v>1532817392</v>
      </c>
      <c r="BM12" s="3">
        <v>1578519037</v>
      </c>
      <c r="BN12" s="3">
        <v>1510605035</v>
      </c>
      <c r="BO12" s="3">
        <v>1999303711</v>
      </c>
      <c r="BP12" s="3">
        <v>1209081371</v>
      </c>
      <c r="BQ12" s="3">
        <v>1216707545</v>
      </c>
      <c r="BR12" s="3"/>
      <c r="BS12" s="3"/>
      <c r="BT12" s="3"/>
      <c r="BU12" s="3"/>
      <c r="BV12" s="3"/>
      <c r="BW12" s="3"/>
    </row>
    <row r="13" spans="1:75">
      <c r="A13" s="55">
        <v>10</v>
      </c>
      <c r="B13" s="98" t="s">
        <v>362</v>
      </c>
      <c r="C13" s="55">
        <v>28</v>
      </c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>
        <v>460461775</v>
      </c>
      <c r="AO13" s="508">
        <v>563909516</v>
      </c>
      <c r="AP13" s="508">
        <v>587315920</v>
      </c>
      <c r="AQ13" s="508">
        <v>905708142</v>
      </c>
      <c r="AR13" s="508">
        <v>974310029</v>
      </c>
      <c r="AS13" s="508">
        <v>1115056080</v>
      </c>
      <c r="AT13" s="508">
        <v>1160823006</v>
      </c>
      <c r="AU13" s="508">
        <v>939585045</v>
      </c>
      <c r="AV13" s="508">
        <v>859444105</v>
      </c>
      <c r="AW13" s="508">
        <v>840165515</v>
      </c>
      <c r="AX13" s="508">
        <v>889159081</v>
      </c>
      <c r="AY13" s="508">
        <v>1032562923</v>
      </c>
      <c r="AZ13" s="508">
        <v>1114824276</v>
      </c>
      <c r="BA13" s="508">
        <v>928379281</v>
      </c>
      <c r="BB13" s="508">
        <v>673966789</v>
      </c>
      <c r="BC13" s="508">
        <v>888393452</v>
      </c>
      <c r="BD13" s="508">
        <v>1186588729</v>
      </c>
      <c r="BE13" s="508">
        <v>1448899822</v>
      </c>
      <c r="BF13" s="508">
        <v>1245210526</v>
      </c>
      <c r="BG13" s="508">
        <v>1303560910</v>
      </c>
      <c r="BH13" s="508">
        <v>1595764355</v>
      </c>
      <c r="BI13" s="508">
        <v>1368802426</v>
      </c>
      <c r="BJ13" s="508">
        <v>1256132292</v>
      </c>
      <c r="BK13" s="508">
        <v>1256103396</v>
      </c>
      <c r="BL13" s="508">
        <v>1240115065</v>
      </c>
      <c r="BM13" s="508">
        <v>1156279418</v>
      </c>
      <c r="BN13" s="508">
        <v>959718564</v>
      </c>
      <c r="BO13" s="508">
        <v>1062084475</v>
      </c>
      <c r="BP13" s="508">
        <v>838836791</v>
      </c>
      <c r="BQ13" s="508">
        <v>856841656</v>
      </c>
      <c r="BR13" s="508"/>
      <c r="BS13" s="508"/>
      <c r="BT13" s="508"/>
      <c r="BU13" s="508"/>
      <c r="BV13" s="508"/>
      <c r="BW13" s="508"/>
    </row>
    <row r="14" spans="1:75">
      <c r="A14" s="55">
        <v>11</v>
      </c>
      <c r="B14" s="94" t="s">
        <v>363</v>
      </c>
      <c r="C14" s="55">
        <v>28</v>
      </c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8"/>
      <c r="U14" s="508"/>
      <c r="V14" s="508"/>
      <c r="W14" s="508"/>
      <c r="X14" s="508"/>
      <c r="Y14" s="508"/>
      <c r="Z14" s="508"/>
      <c r="AA14" s="508"/>
      <c r="AB14" s="508"/>
      <c r="AC14" s="508"/>
      <c r="AD14" s="508"/>
      <c r="AE14" s="508"/>
      <c r="AF14" s="508"/>
      <c r="AG14" s="508"/>
      <c r="AH14" s="508"/>
      <c r="AI14" s="508"/>
      <c r="AJ14" s="508"/>
      <c r="AK14" s="508"/>
      <c r="AL14" s="508"/>
      <c r="AM14" s="508"/>
      <c r="AN14" s="508">
        <v>4849994610</v>
      </c>
      <c r="AO14" s="508">
        <v>1560472559</v>
      </c>
      <c r="AP14" s="508">
        <v>4219375143</v>
      </c>
      <c r="AQ14" s="508">
        <v>4926459549</v>
      </c>
      <c r="AR14" s="508">
        <v>2125110954</v>
      </c>
      <c r="AS14" s="508">
        <v>2824966874</v>
      </c>
      <c r="AT14" s="508">
        <v>2596964337</v>
      </c>
      <c r="AU14" s="508">
        <v>8480107205</v>
      </c>
      <c r="AV14" s="508">
        <v>7368729523</v>
      </c>
      <c r="AW14" s="508">
        <v>4936551194</v>
      </c>
      <c r="AX14" s="508">
        <v>2249627546</v>
      </c>
      <c r="AY14" s="508">
        <v>10540748080</v>
      </c>
      <c r="AZ14" s="508">
        <v>4181224849</v>
      </c>
      <c r="BA14" s="508">
        <v>6634982258</v>
      </c>
      <c r="BB14" s="508">
        <v>5629444776</v>
      </c>
      <c r="BC14" s="508">
        <v>4622826734</v>
      </c>
      <c r="BD14" s="508">
        <v>5242336575</v>
      </c>
      <c r="BE14" s="508">
        <v>5451129528</v>
      </c>
      <c r="BF14" s="508">
        <v>4248972349</v>
      </c>
      <c r="BG14" s="508">
        <v>5750995751</v>
      </c>
      <c r="BH14" s="508">
        <v>3513998286</v>
      </c>
      <c r="BI14" s="508">
        <v>7273403934</v>
      </c>
      <c r="BJ14" s="508">
        <v>3829549635</v>
      </c>
      <c r="BK14" s="508">
        <v>5362380917</v>
      </c>
      <c r="BL14" s="508">
        <v>4308598004</v>
      </c>
      <c r="BM14" s="508">
        <v>3594645336</v>
      </c>
      <c r="BN14" s="508">
        <v>7012095788</v>
      </c>
      <c r="BO14" s="508">
        <v>6469509126</v>
      </c>
      <c r="BP14" s="508">
        <v>6626905090</v>
      </c>
      <c r="BQ14" s="508">
        <v>4571840296</v>
      </c>
      <c r="BR14" s="508"/>
      <c r="BS14" s="508"/>
      <c r="BT14" s="508"/>
      <c r="BU14" s="508"/>
      <c r="BV14" s="508"/>
      <c r="BW14" s="508"/>
    </row>
    <row r="15" spans="1:75">
      <c r="A15" s="55">
        <v>12</v>
      </c>
      <c r="B15" s="94" t="s">
        <v>364</v>
      </c>
      <c r="C15" s="55">
        <v>28</v>
      </c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8"/>
      <c r="S15" s="508"/>
      <c r="T15" s="508"/>
      <c r="U15" s="508"/>
      <c r="V15" s="508"/>
      <c r="W15" s="508"/>
      <c r="X15" s="508"/>
      <c r="Y15" s="508"/>
      <c r="Z15" s="508"/>
      <c r="AA15" s="508"/>
      <c r="AB15" s="508"/>
      <c r="AC15" s="508"/>
      <c r="AD15" s="508"/>
      <c r="AE15" s="508"/>
      <c r="AF15" s="508"/>
      <c r="AG15" s="508"/>
      <c r="AH15" s="508"/>
      <c r="AI15" s="508"/>
      <c r="AJ15" s="508"/>
      <c r="AK15" s="508"/>
      <c r="AL15" s="508"/>
      <c r="AM15" s="508"/>
      <c r="AN15" s="508">
        <v>5698695249</v>
      </c>
      <c r="AO15" s="508">
        <v>5090845577</v>
      </c>
      <c r="AP15" s="508">
        <v>5285019459</v>
      </c>
      <c r="AQ15" s="508">
        <v>5584474639</v>
      </c>
      <c r="AR15" s="508">
        <v>6069340865</v>
      </c>
      <c r="AS15" s="508">
        <v>5881960019</v>
      </c>
      <c r="AT15" s="508">
        <v>5698093117</v>
      </c>
      <c r="AU15" s="508">
        <v>6840474838</v>
      </c>
      <c r="AV15" s="508">
        <v>8084946891</v>
      </c>
      <c r="AW15" s="508">
        <v>8025871294</v>
      </c>
      <c r="AX15" s="508">
        <v>9126335400</v>
      </c>
      <c r="AY15" s="508">
        <v>7087963087</v>
      </c>
      <c r="AZ15" s="508">
        <v>8548199037</v>
      </c>
      <c r="BA15" s="508">
        <v>8928537962</v>
      </c>
      <c r="BB15" s="508">
        <v>8618282018</v>
      </c>
      <c r="BC15" s="508">
        <v>8518246563</v>
      </c>
      <c r="BD15" s="508">
        <v>9277438311</v>
      </c>
      <c r="BE15" s="508">
        <v>9026767632</v>
      </c>
      <c r="BF15" s="508">
        <v>8998978187</v>
      </c>
      <c r="BG15" s="508">
        <v>9320823983</v>
      </c>
      <c r="BH15" s="508">
        <v>10936858648</v>
      </c>
      <c r="BI15" s="508">
        <v>5273319876</v>
      </c>
      <c r="BJ15" s="508">
        <v>11469860627</v>
      </c>
      <c r="BK15" s="508">
        <v>17451279792</v>
      </c>
      <c r="BL15" s="508">
        <v>9741945070</v>
      </c>
      <c r="BM15" s="508">
        <v>9621802832</v>
      </c>
      <c r="BN15" s="508">
        <v>8391794513</v>
      </c>
      <c r="BO15" s="508">
        <v>9291402760</v>
      </c>
      <c r="BP15" s="508">
        <v>9149183956</v>
      </c>
      <c r="BQ15" s="508">
        <v>9341015977</v>
      </c>
      <c r="BR15" s="508"/>
      <c r="BS15" s="508"/>
      <c r="BT15" s="508"/>
      <c r="BU15" s="508"/>
      <c r="BV15" s="508"/>
      <c r="BW15" s="508"/>
    </row>
    <row r="16" spans="1:75">
      <c r="A16" s="59">
        <v>13</v>
      </c>
      <c r="B16" s="93" t="s">
        <v>365</v>
      </c>
      <c r="C16" s="59">
        <v>28</v>
      </c>
      <c r="D16" s="3">
        <f>SUM(D9:D11)-D12-D14-D15</f>
        <v>0</v>
      </c>
      <c r="E16" s="3">
        <f t="shared" ref="E16:BP16" si="4">SUM(E9:E11)-E12-E14-E15</f>
        <v>0</v>
      </c>
      <c r="F16" s="3">
        <f t="shared" si="4"/>
        <v>0</v>
      </c>
      <c r="G16" s="3">
        <f t="shared" si="4"/>
        <v>0</v>
      </c>
      <c r="H16" s="3">
        <f t="shared" si="4"/>
        <v>0</v>
      </c>
      <c r="I16" s="3">
        <f t="shared" si="4"/>
        <v>0</v>
      </c>
      <c r="J16" s="3">
        <f t="shared" si="4"/>
        <v>0</v>
      </c>
      <c r="K16" s="3">
        <f t="shared" si="4"/>
        <v>0</v>
      </c>
      <c r="L16" s="3">
        <f t="shared" si="4"/>
        <v>0</v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  <c r="S16" s="3">
        <f t="shared" si="4"/>
        <v>0</v>
      </c>
      <c r="T16" s="3">
        <f t="shared" si="4"/>
        <v>0</v>
      </c>
      <c r="U16" s="3">
        <f t="shared" si="4"/>
        <v>0</v>
      </c>
      <c r="V16" s="3">
        <f t="shared" si="4"/>
        <v>0</v>
      </c>
      <c r="W16" s="3">
        <f t="shared" si="4"/>
        <v>0</v>
      </c>
      <c r="X16" s="3">
        <f t="shared" si="4"/>
        <v>0</v>
      </c>
      <c r="Y16" s="3">
        <f t="shared" si="4"/>
        <v>0</v>
      </c>
      <c r="Z16" s="3">
        <f t="shared" si="4"/>
        <v>0</v>
      </c>
      <c r="AA16" s="3">
        <f t="shared" si="4"/>
        <v>0</v>
      </c>
      <c r="AB16" s="3">
        <f t="shared" si="4"/>
        <v>0</v>
      </c>
      <c r="AC16" s="3">
        <f t="shared" si="4"/>
        <v>0</v>
      </c>
      <c r="AD16" s="3">
        <f t="shared" si="4"/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3">
        <f t="shared" si="4"/>
        <v>0</v>
      </c>
      <c r="AI16" s="3">
        <f t="shared" si="4"/>
        <v>0</v>
      </c>
      <c r="AJ16" s="3">
        <f t="shared" si="4"/>
        <v>0</v>
      </c>
      <c r="AK16" s="3">
        <f t="shared" si="4"/>
        <v>0</v>
      </c>
      <c r="AL16" s="3">
        <f t="shared" si="4"/>
        <v>0</v>
      </c>
      <c r="AM16" s="3">
        <f t="shared" si="4"/>
        <v>0</v>
      </c>
      <c r="AN16" s="3">
        <f t="shared" si="4"/>
        <v>-665344647</v>
      </c>
      <c r="AO16" s="3">
        <f t="shared" si="4"/>
        <v>-6751041323</v>
      </c>
      <c r="AP16" s="3">
        <f t="shared" si="4"/>
        <v>-2703219668</v>
      </c>
      <c r="AQ16" s="3">
        <f t="shared" si="4"/>
        <v>1671294571</v>
      </c>
      <c r="AR16" s="3">
        <f t="shared" si="4"/>
        <v>-5656191968</v>
      </c>
      <c r="AS16" s="3">
        <f t="shared" si="4"/>
        <v>-12035614229</v>
      </c>
      <c r="AT16" s="3">
        <f t="shared" si="4"/>
        <v>-15241057889</v>
      </c>
      <c r="AU16" s="3">
        <f t="shared" si="4"/>
        <v>-10193848065</v>
      </c>
      <c r="AV16" s="3">
        <f t="shared" si="4"/>
        <v>8119731097</v>
      </c>
      <c r="AW16" s="3">
        <f t="shared" si="4"/>
        <v>-6174750278</v>
      </c>
      <c r="AX16" s="3">
        <f t="shared" si="4"/>
        <v>-7317145513</v>
      </c>
      <c r="AY16" s="3">
        <f t="shared" si="4"/>
        <v>111718028907</v>
      </c>
      <c r="AZ16" s="3">
        <v>3054598020</v>
      </c>
      <c r="BA16" s="3">
        <v>17199268998</v>
      </c>
      <c r="BB16" s="3">
        <v>6977214348</v>
      </c>
      <c r="BC16" s="3">
        <v>3906443232</v>
      </c>
      <c r="BD16" s="3">
        <v>10850283752</v>
      </c>
      <c r="BE16" s="3">
        <v>870990690</v>
      </c>
      <c r="BF16" s="3">
        <v>626449238</v>
      </c>
      <c r="BG16" s="3">
        <v>2789713644</v>
      </c>
      <c r="BH16" s="3">
        <v>-12008595386</v>
      </c>
      <c r="BI16" s="3">
        <v>-1907367248</v>
      </c>
      <c r="BJ16" s="3">
        <v>-7740922158</v>
      </c>
      <c r="BK16" s="3">
        <v>7111004785</v>
      </c>
      <c r="BL16" s="531">
        <f>BL9+BL10+BL11-BL12-BL14-BL15</f>
        <v>-2886620931.1944427</v>
      </c>
      <c r="BM16" s="531">
        <f>BM9+BM10+BM11-BM12-BM14-BM15</f>
        <v>-7555546932.1715088</v>
      </c>
      <c r="BN16" s="4">
        <v>-6977623404.5916672</v>
      </c>
      <c r="BO16" s="4">
        <v>5312175372.8307533</v>
      </c>
      <c r="BP16" s="4">
        <f t="shared" si="4"/>
        <v>9499094951.7687988</v>
      </c>
      <c r="BQ16" s="4">
        <v>9735176125.4812737</v>
      </c>
      <c r="BR16" s="4">
        <f t="shared" ref="BR16:BW16" si="5">SUM(BR9:BR11)-BR12-BR14-BR15</f>
        <v>0</v>
      </c>
      <c r="BS16" s="4">
        <f t="shared" si="5"/>
        <v>0</v>
      </c>
      <c r="BT16" s="4">
        <f t="shared" si="5"/>
        <v>0</v>
      </c>
      <c r="BU16" s="4">
        <f t="shared" si="5"/>
        <v>0</v>
      </c>
      <c r="BV16" s="4">
        <f t="shared" si="5"/>
        <v>0</v>
      </c>
      <c r="BW16" s="4">
        <f t="shared" si="5"/>
        <v>0</v>
      </c>
    </row>
    <row r="17" spans="1:75">
      <c r="A17" s="55">
        <v>14</v>
      </c>
      <c r="B17" s="94" t="s">
        <v>366</v>
      </c>
      <c r="C17" s="55">
        <v>28</v>
      </c>
      <c r="D17" s="508"/>
      <c r="E17" s="508"/>
      <c r="F17" s="508"/>
      <c r="G17" s="508"/>
      <c r="H17" s="508"/>
      <c r="I17" s="508"/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>
        <v>1945</v>
      </c>
      <c r="AO17" s="508">
        <v>1109349</v>
      </c>
      <c r="AP17" s="508">
        <v>0</v>
      </c>
      <c r="AQ17" s="508">
        <v>81700000</v>
      </c>
      <c r="AR17" s="508">
        <v>4696127</v>
      </c>
      <c r="AS17" s="508">
        <v>64937878</v>
      </c>
      <c r="AT17" s="508">
        <v>54384750</v>
      </c>
      <c r="AU17" s="508">
        <v>184242778</v>
      </c>
      <c r="AV17" s="508">
        <v>5869054</v>
      </c>
      <c r="AW17" s="508">
        <v>3145774</v>
      </c>
      <c r="AX17" s="508">
        <v>1405742798</v>
      </c>
      <c r="AY17" s="508">
        <v>7237102</v>
      </c>
      <c r="AZ17" s="508">
        <v>105489733</v>
      </c>
      <c r="BA17" s="508">
        <v>7492780</v>
      </c>
      <c r="BB17" s="508">
        <v>22177722</v>
      </c>
      <c r="BC17" s="508">
        <v>54899780</v>
      </c>
      <c r="BD17" s="508">
        <v>136977736</v>
      </c>
      <c r="BE17" s="508">
        <v>60909877</v>
      </c>
      <c r="BF17" s="508">
        <v>45395718</v>
      </c>
      <c r="BG17" s="508">
        <v>516819765</v>
      </c>
      <c r="BH17" s="508">
        <v>15045562</v>
      </c>
      <c r="BI17" s="508">
        <v>25464983</v>
      </c>
      <c r="BJ17" s="508">
        <v>8392356</v>
      </c>
      <c r="BK17" s="508">
        <v>173856388</v>
      </c>
      <c r="BL17" s="508">
        <v>62317597</v>
      </c>
      <c r="BM17" s="508">
        <v>20729933</v>
      </c>
      <c r="BN17" s="508">
        <v>83481212</v>
      </c>
      <c r="BO17" s="508">
        <v>164659578</v>
      </c>
      <c r="BP17" s="508">
        <v>182616632</v>
      </c>
      <c r="BQ17" s="508">
        <v>98404889</v>
      </c>
      <c r="BR17" s="508"/>
      <c r="BS17" s="508"/>
      <c r="BT17" s="508"/>
      <c r="BU17" s="508"/>
      <c r="BV17" s="508"/>
      <c r="BW17" s="508"/>
    </row>
    <row r="18" spans="1:75">
      <c r="A18" s="55">
        <v>15</v>
      </c>
      <c r="B18" s="94" t="s">
        <v>367</v>
      </c>
      <c r="C18" s="55">
        <v>28</v>
      </c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>
        <v>54643068</v>
      </c>
      <c r="AO18" s="508">
        <v>9000870</v>
      </c>
      <c r="AP18" s="508">
        <v>40101620</v>
      </c>
      <c r="AQ18" s="508">
        <v>84654154</v>
      </c>
      <c r="AR18" s="508">
        <v>40312330</v>
      </c>
      <c r="AS18" s="508">
        <v>171972294</v>
      </c>
      <c r="AT18" s="508">
        <v>7603195</v>
      </c>
      <c r="AU18" s="508">
        <v>4413241</v>
      </c>
      <c r="AV18" s="508">
        <v>7331553</v>
      </c>
      <c r="AW18" s="508">
        <v>177107310</v>
      </c>
      <c r="AX18" s="508">
        <v>140746957</v>
      </c>
      <c r="AY18" s="508">
        <v>8816704270</v>
      </c>
      <c r="AZ18" s="508">
        <v>60241342</v>
      </c>
      <c r="BA18" s="508">
        <v>133833312</v>
      </c>
      <c r="BB18" s="508">
        <v>2500000</v>
      </c>
      <c r="BC18" s="508">
        <v>24808640</v>
      </c>
      <c r="BD18" s="508">
        <v>6500600</v>
      </c>
      <c r="BE18" s="508">
        <v>57323484</v>
      </c>
      <c r="BF18" s="508">
        <v>259624976</v>
      </c>
      <c r="BG18" s="508">
        <v>553180625</v>
      </c>
      <c r="BH18" s="508">
        <v>543708002</v>
      </c>
      <c r="BI18" s="508">
        <v>3516569246</v>
      </c>
      <c r="BJ18" s="508">
        <v>1108557251</v>
      </c>
      <c r="BK18" s="508">
        <v>1609092429</v>
      </c>
      <c r="BL18" s="508">
        <v>243870060</v>
      </c>
      <c r="BM18" s="508">
        <v>199853182</v>
      </c>
      <c r="BN18" s="508">
        <v>38712958</v>
      </c>
      <c r="BO18" s="508">
        <v>574336056</v>
      </c>
      <c r="BP18" s="508">
        <v>146865976</v>
      </c>
      <c r="BQ18" s="508">
        <v>124315595</v>
      </c>
      <c r="BR18" s="508"/>
      <c r="BS18" s="508"/>
      <c r="BT18" s="508"/>
      <c r="BU18" s="508"/>
      <c r="BV18" s="508"/>
      <c r="BW18" s="508"/>
    </row>
    <row r="19" spans="1:75">
      <c r="A19" s="59">
        <v>16</v>
      </c>
      <c r="B19" s="93" t="s">
        <v>368</v>
      </c>
      <c r="C19" s="59">
        <v>28</v>
      </c>
      <c r="D19" s="3">
        <f>D17-D18</f>
        <v>0</v>
      </c>
      <c r="E19" s="3">
        <f t="shared" ref="E19:BP19" si="6">E17-E18</f>
        <v>0</v>
      </c>
      <c r="F19" s="3">
        <f t="shared" si="6"/>
        <v>0</v>
      </c>
      <c r="G19" s="3">
        <f t="shared" si="6"/>
        <v>0</v>
      </c>
      <c r="H19" s="3">
        <f t="shared" si="6"/>
        <v>0</v>
      </c>
      <c r="I19" s="3">
        <f t="shared" si="6"/>
        <v>0</v>
      </c>
      <c r="J19" s="3">
        <f t="shared" si="6"/>
        <v>0</v>
      </c>
      <c r="K19" s="3">
        <f t="shared" si="6"/>
        <v>0</v>
      </c>
      <c r="L19" s="3">
        <f t="shared" si="6"/>
        <v>0</v>
      </c>
      <c r="M19" s="3">
        <f t="shared" si="6"/>
        <v>0</v>
      </c>
      <c r="N19" s="3">
        <f t="shared" si="6"/>
        <v>0</v>
      </c>
      <c r="O19" s="3">
        <f t="shared" si="6"/>
        <v>0</v>
      </c>
      <c r="P19" s="3">
        <f t="shared" si="6"/>
        <v>0</v>
      </c>
      <c r="Q19" s="3">
        <f t="shared" si="6"/>
        <v>0</v>
      </c>
      <c r="R19" s="3">
        <f t="shared" si="6"/>
        <v>0</v>
      </c>
      <c r="S19" s="3">
        <f t="shared" si="6"/>
        <v>0</v>
      </c>
      <c r="T19" s="3">
        <f t="shared" si="6"/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3">
        <f t="shared" si="6"/>
        <v>0</v>
      </c>
      <c r="Y19" s="3">
        <f t="shared" si="6"/>
        <v>0</v>
      </c>
      <c r="Z19" s="3">
        <f t="shared" si="6"/>
        <v>0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3">
        <f t="shared" si="6"/>
        <v>0</v>
      </c>
      <c r="AI19" s="3">
        <f t="shared" si="6"/>
        <v>0</v>
      </c>
      <c r="AJ19" s="3">
        <f t="shared" si="6"/>
        <v>0</v>
      </c>
      <c r="AK19" s="3">
        <f t="shared" si="6"/>
        <v>0</v>
      </c>
      <c r="AL19" s="3">
        <f t="shared" si="6"/>
        <v>0</v>
      </c>
      <c r="AM19" s="3">
        <f t="shared" si="6"/>
        <v>0</v>
      </c>
      <c r="AN19" s="3">
        <f t="shared" si="6"/>
        <v>-54641123</v>
      </c>
      <c r="AO19" s="3">
        <f t="shared" si="6"/>
        <v>-7891521</v>
      </c>
      <c r="AP19" s="3">
        <f t="shared" si="6"/>
        <v>-40101620</v>
      </c>
      <c r="AQ19" s="3">
        <f t="shared" si="6"/>
        <v>-2954154</v>
      </c>
      <c r="AR19" s="3">
        <f t="shared" si="6"/>
        <v>-35616203</v>
      </c>
      <c r="AS19" s="3">
        <f t="shared" si="6"/>
        <v>-107034416</v>
      </c>
      <c r="AT19" s="3">
        <f t="shared" si="6"/>
        <v>46781555</v>
      </c>
      <c r="AU19" s="3">
        <f t="shared" si="6"/>
        <v>179829537</v>
      </c>
      <c r="AV19" s="3">
        <f t="shared" si="6"/>
        <v>-1462499</v>
      </c>
      <c r="AW19" s="3">
        <f t="shared" si="6"/>
        <v>-173961536</v>
      </c>
      <c r="AX19" s="3">
        <f t="shared" si="6"/>
        <v>1264995841</v>
      </c>
      <c r="AY19" s="3">
        <f t="shared" si="6"/>
        <v>-8809467168</v>
      </c>
      <c r="AZ19" s="3">
        <v>45248391</v>
      </c>
      <c r="BA19" s="3">
        <v>-126340532</v>
      </c>
      <c r="BB19" s="3">
        <v>19677722</v>
      </c>
      <c r="BC19" s="3">
        <v>30091140</v>
      </c>
      <c r="BD19" s="3">
        <v>130477136</v>
      </c>
      <c r="BE19" s="3">
        <v>3586393</v>
      </c>
      <c r="BF19" s="3">
        <v>-214229258</v>
      </c>
      <c r="BG19" s="3">
        <v>-36360860</v>
      </c>
      <c r="BH19" s="3">
        <v>-528662440</v>
      </c>
      <c r="BI19" s="3">
        <v>-3491104263</v>
      </c>
      <c r="BJ19" s="3">
        <v>-1100164895</v>
      </c>
      <c r="BK19" s="3">
        <v>-1435236041</v>
      </c>
      <c r="BL19" s="3">
        <f t="shared" si="6"/>
        <v>-181552463</v>
      </c>
      <c r="BM19" s="3">
        <f>BM17-BM18</f>
        <v>-179123249</v>
      </c>
      <c r="BN19" s="4">
        <v>44768254</v>
      </c>
      <c r="BO19" s="4">
        <v>-409676478</v>
      </c>
      <c r="BP19" s="4">
        <f t="shared" si="6"/>
        <v>35750656</v>
      </c>
      <c r="BQ19" s="4">
        <v>-25910706</v>
      </c>
      <c r="BR19" s="4">
        <f t="shared" ref="BR19:BW19" si="7">BR17-BR18</f>
        <v>0</v>
      </c>
      <c r="BS19" s="4">
        <f t="shared" si="7"/>
        <v>0</v>
      </c>
      <c r="BT19" s="4">
        <f t="shared" si="7"/>
        <v>0</v>
      </c>
      <c r="BU19" s="4">
        <f t="shared" si="7"/>
        <v>0</v>
      </c>
      <c r="BV19" s="4">
        <f t="shared" si="7"/>
        <v>0</v>
      </c>
      <c r="BW19" s="4">
        <f t="shared" si="7"/>
        <v>0</v>
      </c>
    </row>
    <row r="20" spans="1:75">
      <c r="A20" s="95">
        <v>17</v>
      </c>
      <c r="B20" s="93" t="s">
        <v>369</v>
      </c>
      <c r="C20" s="95">
        <v>28</v>
      </c>
      <c r="D20" s="9">
        <f>SUM(D16,D19)</f>
        <v>0</v>
      </c>
      <c r="E20" s="9">
        <f t="shared" ref="E20:BP20" si="8">SUM(E16,E19)</f>
        <v>0</v>
      </c>
      <c r="F20" s="9">
        <f t="shared" si="8"/>
        <v>0</v>
      </c>
      <c r="G20" s="9">
        <f t="shared" si="8"/>
        <v>0</v>
      </c>
      <c r="H20" s="9">
        <f t="shared" si="8"/>
        <v>0</v>
      </c>
      <c r="I20" s="9">
        <f t="shared" si="8"/>
        <v>0</v>
      </c>
      <c r="J20" s="9">
        <f t="shared" si="8"/>
        <v>0</v>
      </c>
      <c r="K20" s="9">
        <f t="shared" si="8"/>
        <v>0</v>
      </c>
      <c r="L20" s="9">
        <f t="shared" si="8"/>
        <v>0</v>
      </c>
      <c r="M20" s="9">
        <f t="shared" si="8"/>
        <v>0</v>
      </c>
      <c r="N20" s="9">
        <f t="shared" si="8"/>
        <v>0</v>
      </c>
      <c r="O20" s="9">
        <f t="shared" si="8"/>
        <v>0</v>
      </c>
      <c r="P20" s="9">
        <f t="shared" si="8"/>
        <v>0</v>
      </c>
      <c r="Q20" s="9">
        <f t="shared" si="8"/>
        <v>0</v>
      </c>
      <c r="R20" s="9">
        <f t="shared" si="8"/>
        <v>0</v>
      </c>
      <c r="S20" s="9">
        <f t="shared" si="8"/>
        <v>0</v>
      </c>
      <c r="T20" s="9">
        <f t="shared" si="8"/>
        <v>0</v>
      </c>
      <c r="U20" s="9">
        <f t="shared" si="8"/>
        <v>0</v>
      </c>
      <c r="V20" s="9">
        <f t="shared" si="8"/>
        <v>0</v>
      </c>
      <c r="W20" s="9">
        <f t="shared" si="8"/>
        <v>0</v>
      </c>
      <c r="X20" s="9">
        <f t="shared" si="8"/>
        <v>0</v>
      </c>
      <c r="Y20" s="9">
        <f t="shared" si="8"/>
        <v>0</v>
      </c>
      <c r="Z20" s="9">
        <f t="shared" si="8"/>
        <v>0</v>
      </c>
      <c r="AA20" s="9">
        <f t="shared" si="8"/>
        <v>0</v>
      </c>
      <c r="AB20" s="9">
        <f t="shared" si="8"/>
        <v>0</v>
      </c>
      <c r="AC20" s="9">
        <f t="shared" si="8"/>
        <v>0</v>
      </c>
      <c r="AD20" s="9">
        <f t="shared" si="8"/>
        <v>0</v>
      </c>
      <c r="AE20" s="9">
        <f t="shared" si="8"/>
        <v>0</v>
      </c>
      <c r="AF20" s="9">
        <f t="shared" si="8"/>
        <v>0</v>
      </c>
      <c r="AG20" s="9">
        <f t="shared" si="8"/>
        <v>0</v>
      </c>
      <c r="AH20" s="9">
        <f t="shared" si="8"/>
        <v>0</v>
      </c>
      <c r="AI20" s="9">
        <f t="shared" si="8"/>
        <v>0</v>
      </c>
      <c r="AJ20" s="9">
        <f t="shared" si="8"/>
        <v>0</v>
      </c>
      <c r="AK20" s="9">
        <f t="shared" si="8"/>
        <v>0</v>
      </c>
      <c r="AL20" s="9">
        <f t="shared" si="8"/>
        <v>0</v>
      </c>
      <c r="AM20" s="9">
        <f t="shared" si="8"/>
        <v>0</v>
      </c>
      <c r="AN20" s="9">
        <f t="shared" si="8"/>
        <v>-719985770</v>
      </c>
      <c r="AO20" s="9">
        <f t="shared" si="8"/>
        <v>-6758932844</v>
      </c>
      <c r="AP20" s="9">
        <f t="shared" si="8"/>
        <v>-2743321288</v>
      </c>
      <c r="AQ20" s="9">
        <f t="shared" si="8"/>
        <v>1668340417</v>
      </c>
      <c r="AR20" s="9">
        <f t="shared" si="8"/>
        <v>-5691808171</v>
      </c>
      <c r="AS20" s="9">
        <f t="shared" si="8"/>
        <v>-12142648645</v>
      </c>
      <c r="AT20" s="9">
        <f t="shared" si="8"/>
        <v>-15194276334</v>
      </c>
      <c r="AU20" s="9">
        <f t="shared" si="8"/>
        <v>-10014018528</v>
      </c>
      <c r="AV20" s="9">
        <f t="shared" si="8"/>
        <v>8118268598</v>
      </c>
      <c r="AW20" s="9">
        <f t="shared" si="8"/>
        <v>-6348711814</v>
      </c>
      <c r="AX20" s="9">
        <f t="shared" si="8"/>
        <v>-6052149672</v>
      </c>
      <c r="AY20" s="9">
        <f t="shared" si="8"/>
        <v>102908561739</v>
      </c>
      <c r="AZ20" s="9">
        <v>3099846411</v>
      </c>
      <c r="BA20" s="9">
        <v>17072928466</v>
      </c>
      <c r="BB20" s="9">
        <v>6996892070</v>
      </c>
      <c r="BC20" s="9">
        <v>3936534372</v>
      </c>
      <c r="BD20" s="9">
        <v>10980760888</v>
      </c>
      <c r="BE20" s="9">
        <v>874577083</v>
      </c>
      <c r="BF20" s="9">
        <v>412219980</v>
      </c>
      <c r="BG20" s="9">
        <v>2753352784</v>
      </c>
      <c r="BH20" s="9">
        <v>-12537257826</v>
      </c>
      <c r="BI20" s="9">
        <v>-5398471511</v>
      </c>
      <c r="BJ20" s="9">
        <v>-8841087053</v>
      </c>
      <c r="BK20" s="9">
        <v>5675768744</v>
      </c>
      <c r="BL20" s="531">
        <f>BL16+BL19</f>
        <v>-3068173394.1944427</v>
      </c>
      <c r="BM20" s="531">
        <f>BM16+BM19</f>
        <v>-7734670181.1715088</v>
      </c>
      <c r="BN20" s="4">
        <v>-6932855150.5916672</v>
      </c>
      <c r="BO20" s="4">
        <v>4902498894.8307533</v>
      </c>
      <c r="BP20" s="4">
        <f t="shared" si="8"/>
        <v>9534845607.7687988</v>
      </c>
      <c r="BQ20" s="4">
        <v>9709265419.4812737</v>
      </c>
      <c r="BR20" s="4">
        <f t="shared" ref="BR20:BW20" si="9">SUM(BR16,BR19)</f>
        <v>0</v>
      </c>
      <c r="BS20" s="4">
        <f t="shared" si="9"/>
        <v>0</v>
      </c>
      <c r="BT20" s="4">
        <f t="shared" si="9"/>
        <v>0</v>
      </c>
      <c r="BU20" s="4">
        <f t="shared" si="9"/>
        <v>0</v>
      </c>
      <c r="BV20" s="4">
        <f t="shared" si="9"/>
        <v>0</v>
      </c>
      <c r="BW20" s="4">
        <f t="shared" si="9"/>
        <v>0</v>
      </c>
    </row>
    <row r="21" spans="1:75">
      <c r="A21" s="55">
        <v>18</v>
      </c>
      <c r="B21" s="99" t="s">
        <v>370</v>
      </c>
      <c r="C21" s="55">
        <v>28</v>
      </c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  <c r="AK21" s="508"/>
      <c r="AL21" s="508"/>
      <c r="AM21" s="508"/>
      <c r="AN21" s="508">
        <v>0</v>
      </c>
      <c r="AO21" s="508">
        <v>0</v>
      </c>
      <c r="AP21" s="508">
        <v>0</v>
      </c>
      <c r="AQ21" s="508">
        <v>0</v>
      </c>
      <c r="AR21" s="508">
        <v>0</v>
      </c>
      <c r="AS21" s="508">
        <v>0</v>
      </c>
      <c r="AT21" s="508">
        <v>0</v>
      </c>
      <c r="AU21" s="508">
        <v>32927331</v>
      </c>
      <c r="AV21" s="508">
        <v>0</v>
      </c>
      <c r="AW21" s="508">
        <v>0</v>
      </c>
      <c r="AX21" s="508">
        <v>0</v>
      </c>
      <c r="AY21" s="508">
        <v>11495266455</v>
      </c>
      <c r="AZ21" s="508">
        <v>864190686</v>
      </c>
      <c r="BA21" s="508">
        <v>3020742780</v>
      </c>
      <c r="BB21" s="508">
        <v>1252632187</v>
      </c>
      <c r="BC21" s="508">
        <v>677293488</v>
      </c>
      <c r="BD21" s="508">
        <v>1681800759</v>
      </c>
      <c r="BE21" s="508">
        <v>189264839</v>
      </c>
      <c r="BF21" s="508">
        <v>-1000088030</v>
      </c>
      <c r="BG21" s="508">
        <v>204199602</v>
      </c>
      <c r="BH21" s="508">
        <v>-1349170846</v>
      </c>
      <c r="BI21" s="508">
        <v>-516688622</v>
      </c>
      <c r="BJ21" s="508">
        <v>-854033077</v>
      </c>
      <c r="BK21" s="508">
        <v>3791480158</v>
      </c>
      <c r="BL21" s="504"/>
      <c r="BM21" s="513"/>
      <c r="BN21" s="508">
        <v>153752926</v>
      </c>
      <c r="BO21" s="508">
        <v>105667873</v>
      </c>
      <c r="BP21" s="508">
        <v>150429214</v>
      </c>
      <c r="BQ21" s="508">
        <v>1157390566</v>
      </c>
      <c r="BR21" s="508"/>
      <c r="BS21" s="508"/>
      <c r="BT21" s="508"/>
      <c r="BU21" s="508"/>
      <c r="BV21" s="508"/>
      <c r="BW21" s="508"/>
    </row>
    <row r="22" spans="1:75">
      <c r="A22" s="55">
        <v>19</v>
      </c>
      <c r="B22" s="94" t="s">
        <v>371</v>
      </c>
      <c r="C22" s="55">
        <v>28</v>
      </c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  <c r="AK22" s="508"/>
      <c r="AL22" s="508"/>
      <c r="AM22" s="508"/>
      <c r="AN22" s="508">
        <v>0</v>
      </c>
      <c r="AO22" s="508">
        <v>0</v>
      </c>
      <c r="AP22" s="508">
        <v>0</v>
      </c>
      <c r="AQ22" s="508">
        <v>0</v>
      </c>
      <c r="AR22" s="508">
        <v>0</v>
      </c>
      <c r="AS22" s="508">
        <v>0</v>
      </c>
      <c r="AT22" s="508">
        <v>0</v>
      </c>
      <c r="AU22" s="508">
        <v>0</v>
      </c>
      <c r="AV22" s="508">
        <v>0</v>
      </c>
      <c r="AW22" s="508">
        <v>0</v>
      </c>
      <c r="AX22" s="508">
        <v>0</v>
      </c>
      <c r="AY22" s="508">
        <v>1838941310</v>
      </c>
      <c r="AZ22" s="508">
        <v>0</v>
      </c>
      <c r="BA22" s="508">
        <v>-8043000</v>
      </c>
      <c r="BB22" s="508">
        <v>0</v>
      </c>
      <c r="BC22" s="508">
        <v>0</v>
      </c>
      <c r="BD22" s="508">
        <v>0</v>
      </c>
      <c r="BE22" s="508">
        <v>0</v>
      </c>
      <c r="BF22" s="508">
        <v>-1830898310</v>
      </c>
      <c r="BG22" s="508">
        <v>0</v>
      </c>
      <c r="BH22" s="508">
        <v>0</v>
      </c>
      <c r="BI22" s="508">
        <v>0</v>
      </c>
      <c r="BJ22" s="508">
        <v>0</v>
      </c>
      <c r="BK22" s="508">
        <v>0</v>
      </c>
      <c r="BL22" s="508"/>
      <c r="BM22" s="508"/>
      <c r="BN22" s="508">
        <v>0</v>
      </c>
      <c r="BO22" s="508">
        <v>0</v>
      </c>
      <c r="BP22" s="508">
        <v>0</v>
      </c>
      <c r="BQ22" s="508">
        <v>0</v>
      </c>
      <c r="BR22" s="508"/>
      <c r="BS22" s="508"/>
      <c r="BT22" s="508"/>
      <c r="BU22" s="508"/>
      <c r="BV22" s="508"/>
      <c r="BW22" s="508"/>
    </row>
    <row r="23" spans="1:75">
      <c r="A23" s="97">
        <v>20</v>
      </c>
      <c r="B23" s="93" t="s">
        <v>372</v>
      </c>
      <c r="C23" s="97">
        <v>28</v>
      </c>
      <c r="D23" s="4">
        <f>D20-D21-D22</f>
        <v>0</v>
      </c>
      <c r="E23" s="4">
        <f t="shared" ref="E23:BP23" si="10">E20-E21-E22</f>
        <v>0</v>
      </c>
      <c r="F23" s="4">
        <f t="shared" si="10"/>
        <v>0</v>
      </c>
      <c r="G23" s="4">
        <f t="shared" si="10"/>
        <v>0</v>
      </c>
      <c r="H23" s="4">
        <f t="shared" si="10"/>
        <v>0</v>
      </c>
      <c r="I23" s="4">
        <f t="shared" si="10"/>
        <v>0</v>
      </c>
      <c r="J23" s="4">
        <f t="shared" si="10"/>
        <v>0</v>
      </c>
      <c r="K23" s="4">
        <f t="shared" si="10"/>
        <v>0</v>
      </c>
      <c r="L23" s="4">
        <f t="shared" si="10"/>
        <v>0</v>
      </c>
      <c r="M23" s="4">
        <f t="shared" si="10"/>
        <v>0</v>
      </c>
      <c r="N23" s="4">
        <f t="shared" si="10"/>
        <v>0</v>
      </c>
      <c r="O23" s="4">
        <f t="shared" si="10"/>
        <v>0</v>
      </c>
      <c r="P23" s="4">
        <f t="shared" si="10"/>
        <v>0</v>
      </c>
      <c r="Q23" s="4">
        <f t="shared" si="10"/>
        <v>0</v>
      </c>
      <c r="R23" s="4">
        <f t="shared" si="10"/>
        <v>0</v>
      </c>
      <c r="S23" s="4">
        <f t="shared" si="10"/>
        <v>0</v>
      </c>
      <c r="T23" s="4">
        <f t="shared" si="10"/>
        <v>0</v>
      </c>
      <c r="U23" s="4">
        <f t="shared" si="10"/>
        <v>0</v>
      </c>
      <c r="V23" s="4">
        <f t="shared" si="10"/>
        <v>0</v>
      </c>
      <c r="W23" s="4">
        <f t="shared" si="10"/>
        <v>0</v>
      </c>
      <c r="X23" s="4">
        <f t="shared" si="10"/>
        <v>0</v>
      </c>
      <c r="Y23" s="4">
        <f t="shared" si="10"/>
        <v>0</v>
      </c>
      <c r="Z23" s="4">
        <f t="shared" si="10"/>
        <v>0</v>
      </c>
      <c r="AA23" s="4">
        <f t="shared" si="10"/>
        <v>0</v>
      </c>
      <c r="AB23" s="4">
        <f t="shared" si="10"/>
        <v>0</v>
      </c>
      <c r="AC23" s="4">
        <f t="shared" si="10"/>
        <v>0</v>
      </c>
      <c r="AD23" s="4">
        <f t="shared" si="10"/>
        <v>0</v>
      </c>
      <c r="AE23" s="4">
        <f t="shared" si="10"/>
        <v>0</v>
      </c>
      <c r="AF23" s="4">
        <f t="shared" si="10"/>
        <v>0</v>
      </c>
      <c r="AG23" s="4">
        <f t="shared" si="10"/>
        <v>0</v>
      </c>
      <c r="AH23" s="4">
        <f t="shared" si="10"/>
        <v>0</v>
      </c>
      <c r="AI23" s="4">
        <f t="shared" si="10"/>
        <v>0</v>
      </c>
      <c r="AJ23" s="4">
        <f t="shared" si="10"/>
        <v>0</v>
      </c>
      <c r="AK23" s="4">
        <f t="shared" si="10"/>
        <v>0</v>
      </c>
      <c r="AL23" s="4">
        <f t="shared" si="10"/>
        <v>0</v>
      </c>
      <c r="AM23" s="4">
        <f t="shared" si="10"/>
        <v>0</v>
      </c>
      <c r="AN23" s="4">
        <f t="shared" si="10"/>
        <v>-719985770</v>
      </c>
      <c r="AO23" s="4">
        <f t="shared" si="10"/>
        <v>-6758932844</v>
      </c>
      <c r="AP23" s="4">
        <f t="shared" si="10"/>
        <v>-2743321288</v>
      </c>
      <c r="AQ23" s="4">
        <f t="shared" si="10"/>
        <v>1668340417</v>
      </c>
      <c r="AR23" s="4">
        <f t="shared" si="10"/>
        <v>-5691808171</v>
      </c>
      <c r="AS23" s="4">
        <f t="shared" si="10"/>
        <v>-12142648645</v>
      </c>
      <c r="AT23" s="4">
        <f t="shared" si="10"/>
        <v>-15194276334</v>
      </c>
      <c r="AU23" s="4">
        <f t="shared" si="10"/>
        <v>-10046945859</v>
      </c>
      <c r="AV23" s="4">
        <f t="shared" si="10"/>
        <v>8118268598</v>
      </c>
      <c r="AW23" s="4">
        <f t="shared" si="10"/>
        <v>-6348711814</v>
      </c>
      <c r="AX23" s="4">
        <f t="shared" si="10"/>
        <v>-6052149672</v>
      </c>
      <c r="AY23" s="4">
        <f t="shared" si="10"/>
        <v>89574353974</v>
      </c>
      <c r="AZ23" s="4">
        <v>2235655725</v>
      </c>
      <c r="BA23" s="4">
        <v>14060228686</v>
      </c>
      <c r="BB23" s="4">
        <v>5744259883</v>
      </c>
      <c r="BC23" s="4">
        <v>3259240884</v>
      </c>
      <c r="BD23" s="4">
        <v>9298960129</v>
      </c>
      <c r="BE23" s="4">
        <v>685312244</v>
      </c>
      <c r="BF23" s="4">
        <v>3243206320</v>
      </c>
      <c r="BG23" s="4">
        <v>2549153182</v>
      </c>
      <c r="BH23" s="4">
        <v>-11188086980</v>
      </c>
      <c r="BI23" s="4">
        <v>-4881782889</v>
      </c>
      <c r="BJ23" s="4">
        <v>-7987053976</v>
      </c>
      <c r="BK23" s="4">
        <v>1884288586</v>
      </c>
      <c r="BL23" s="531">
        <f>BL20-BL21</f>
        <v>-3068173394.1944427</v>
      </c>
      <c r="BM23" s="531">
        <f>BM20-BM21</f>
        <v>-7734670181.1715088</v>
      </c>
      <c r="BN23" s="4">
        <v>-7086608076.5916672</v>
      </c>
      <c r="BO23" s="4">
        <v>4796831021.8307533</v>
      </c>
      <c r="BP23" s="4">
        <f t="shared" si="10"/>
        <v>9384416393.7687988</v>
      </c>
      <c r="BQ23" s="4">
        <v>8551874853.4812737</v>
      </c>
      <c r="BR23" s="4">
        <f t="shared" ref="BR23:BW23" si="11">BR20-BR21-BR22</f>
        <v>0</v>
      </c>
      <c r="BS23" s="4">
        <f t="shared" si="11"/>
        <v>0</v>
      </c>
      <c r="BT23" s="4">
        <f t="shared" si="11"/>
        <v>0</v>
      </c>
      <c r="BU23" s="4">
        <f t="shared" si="11"/>
        <v>0</v>
      </c>
      <c r="BV23" s="4">
        <f t="shared" si="11"/>
        <v>0</v>
      </c>
      <c r="BW23" s="4">
        <f t="shared" si="11"/>
        <v>0</v>
      </c>
    </row>
  </sheetData>
  <sheetProtection algorithmName="SHA-512" hashValue="IfzK6U3OgSv6jo7Tw6Jhy3YWozkfkrypT496Xx9bz9nTQr5bXJpIA/d6lfo4mFRwjFzB2lPYtGPPlaih+XMvQA==" saltValue="BW/l2BDIKr9k9SKCVxOJJQ==" spinCount="100000" sheet="1" objects="1" scenarios="1"/>
  <protectedRanges>
    <protectedRange sqref="BL22 D21:BK22 BM21:BW22 D4:BW20 D23:BW23" name="PL"/>
  </protectedRanges>
  <conditionalFormatting sqref="BL16:BW16">
    <cfRule type="cellIs" dxfId="3" priority="1" operator="lessThan">
      <formula>0</formula>
    </cfRule>
  </conditionalFormatting>
  <conditionalFormatting sqref="BL20:BW20">
    <cfRule type="cellIs" dxfId="2" priority="3" operator="lessThan">
      <formula>0</formula>
    </cfRule>
  </conditionalFormatting>
  <conditionalFormatting sqref="BL23:BW23">
    <cfRule type="cellIs" dxfId="1" priority="4" operator="lessThan">
      <formula>0</formula>
    </cfRule>
  </conditionalFormatting>
  <conditionalFormatting sqref="BN19:BW19">
    <cfRule type="cellIs" dxfId="0" priority="2" operator="lessThan">
      <formula>0</formula>
    </cfRule>
  </conditionalFormatting>
  <pageMargins left="0.7" right="0.7" top="0.75" bottom="0.75" header="0.3" footer="0.3"/>
  <ignoredErrors>
    <ignoredError sqref="BM7:BM15 BL7 BL9:BL10 BL16 BL19:BL23" unlockedFormula="1"/>
    <ignoredError sqref="BM16:BM23" formula="1" unlockedFormula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5394-5B77-4071-BB64-AC21CE5C40FB}">
  <sheetPr>
    <tabColor theme="9" tint="0.59999389629810485"/>
  </sheetPr>
  <dimension ref="A1:BW44"/>
  <sheetViews>
    <sheetView showGridLines="0" zoomScale="80" zoomScaleNormal="80" workbookViewId="0">
      <pane xSplit="3" ySplit="3" topLeftCell="BE4" activePane="bottomRight" state="frozen"/>
      <selection pane="topRight" activeCell="BL10" sqref="BL10"/>
      <selection pane="bottomLeft" activeCell="BL10" sqref="BL10"/>
      <selection pane="bottomRight" activeCell="BK9" sqref="BK9"/>
    </sheetView>
  </sheetViews>
  <sheetFormatPr defaultRowHeight="14.4"/>
  <cols>
    <col min="1" max="1" width="7" hidden="1" customWidth="1"/>
    <col min="2" max="2" width="67.109375" customWidth="1"/>
    <col min="3" max="3" width="14.5546875" hidden="1" customWidth="1"/>
    <col min="4" max="7" width="17.6640625" customWidth="1"/>
    <col min="8" max="8" width="19.109375" customWidth="1"/>
    <col min="9" max="9" width="17.6640625" customWidth="1"/>
    <col min="10" max="10" width="19.109375" customWidth="1"/>
    <col min="11" max="11" width="20.33203125" customWidth="1"/>
    <col min="12" max="13" width="17.6640625" customWidth="1"/>
    <col min="14" max="16" width="19.109375" customWidth="1"/>
    <col min="17" max="17" width="18.109375" customWidth="1"/>
    <col min="18" max="22" width="19.109375" customWidth="1"/>
    <col min="23" max="23" width="18.109375" customWidth="1"/>
    <col min="24" max="26" width="19.109375" customWidth="1"/>
    <col min="27" max="27" width="20.33203125" customWidth="1"/>
    <col min="28" max="30" width="19.109375" customWidth="1"/>
    <col min="31" max="31" width="20.33203125" customWidth="1"/>
    <col min="32" max="40" width="19.109375" customWidth="1"/>
    <col min="41" max="41" width="18.109375" customWidth="1"/>
    <col min="42" max="48" width="19.109375" customWidth="1"/>
    <col min="49" max="49" width="19.5546875" customWidth="1"/>
    <col min="50" max="50" width="19.109375" customWidth="1"/>
    <col min="51" max="51" width="20.33203125" customWidth="1"/>
    <col min="52" max="52" width="19.109375" customWidth="1"/>
    <col min="53" max="53" width="20.33203125" customWidth="1"/>
    <col min="54" max="63" width="19.109375" customWidth="1"/>
    <col min="64" max="65" width="18.109375" bestFit="1" customWidth="1"/>
    <col min="66" max="75" width="20.5546875" customWidth="1"/>
  </cols>
  <sheetData>
    <row r="1" spans="1:75" ht="17.399999999999999">
      <c r="B1" s="40" t="str">
        <f>'Thong tin'!A1</f>
        <v>CÔNG TY CP NHỰA TÁI CHẾ DUY TÂN</v>
      </c>
    </row>
    <row r="2" spans="1:75">
      <c r="B2" s="46" t="s">
        <v>243</v>
      </c>
    </row>
    <row r="3" spans="1:75" ht="27.6">
      <c r="A3" s="100" t="s">
        <v>373</v>
      </c>
      <c r="B3" s="50" t="s">
        <v>374</v>
      </c>
      <c r="C3" s="49" t="s">
        <v>246</v>
      </c>
      <c r="D3" s="49" t="s">
        <v>247</v>
      </c>
      <c r="E3" s="49" t="s">
        <v>248</v>
      </c>
      <c r="F3" s="49" t="s">
        <v>249</v>
      </c>
      <c r="G3" s="49" t="s">
        <v>250</v>
      </c>
      <c r="H3" s="49" t="s">
        <v>251</v>
      </c>
      <c r="I3" s="49" t="s">
        <v>252</v>
      </c>
      <c r="J3" s="49" t="s">
        <v>253</v>
      </c>
      <c r="K3" s="49" t="s">
        <v>254</v>
      </c>
      <c r="L3" s="49" t="s">
        <v>255</v>
      </c>
      <c r="M3" s="49" t="s">
        <v>256</v>
      </c>
      <c r="N3" s="49" t="s">
        <v>257</v>
      </c>
      <c r="O3" s="49" t="s">
        <v>258</v>
      </c>
      <c r="P3" s="49" t="s">
        <v>259</v>
      </c>
      <c r="Q3" s="49" t="s">
        <v>260</v>
      </c>
      <c r="R3" s="49" t="s">
        <v>261</v>
      </c>
      <c r="S3" s="49" t="s">
        <v>262</v>
      </c>
      <c r="T3" s="49" t="s">
        <v>263</v>
      </c>
      <c r="U3" s="49" t="s">
        <v>264</v>
      </c>
      <c r="V3" s="49" t="s">
        <v>265</v>
      </c>
      <c r="W3" s="49" t="s">
        <v>266</v>
      </c>
      <c r="X3" s="49" t="s">
        <v>267</v>
      </c>
      <c r="Y3" s="49" t="s">
        <v>268</v>
      </c>
      <c r="Z3" s="49" t="s">
        <v>269</v>
      </c>
      <c r="AA3" s="49" t="s">
        <v>270</v>
      </c>
      <c r="AB3" s="49" t="s">
        <v>271</v>
      </c>
      <c r="AC3" s="49" t="s">
        <v>272</v>
      </c>
      <c r="AD3" s="49" t="s">
        <v>273</v>
      </c>
      <c r="AE3" s="49" t="s">
        <v>274</v>
      </c>
      <c r="AF3" s="49" t="s">
        <v>275</v>
      </c>
      <c r="AG3" s="49" t="s">
        <v>276</v>
      </c>
      <c r="AH3" s="49" t="s">
        <v>277</v>
      </c>
      <c r="AI3" s="49" t="s">
        <v>278</v>
      </c>
      <c r="AJ3" s="49" t="s">
        <v>279</v>
      </c>
      <c r="AK3" s="49" t="s">
        <v>280</v>
      </c>
      <c r="AL3" s="49" t="s">
        <v>281</v>
      </c>
      <c r="AM3" s="49" t="s">
        <v>282</v>
      </c>
      <c r="AN3" s="49" t="s">
        <v>283</v>
      </c>
      <c r="AO3" s="49" t="s">
        <v>284</v>
      </c>
      <c r="AP3" s="49" t="s">
        <v>285</v>
      </c>
      <c r="AQ3" s="49" t="s">
        <v>286</v>
      </c>
      <c r="AR3" s="49" t="s">
        <v>287</v>
      </c>
      <c r="AS3" s="49" t="s">
        <v>288</v>
      </c>
      <c r="AT3" s="49" t="s">
        <v>289</v>
      </c>
      <c r="AU3" s="49" t="s">
        <v>290</v>
      </c>
      <c r="AV3" s="49" t="s">
        <v>291</v>
      </c>
      <c r="AW3" s="49" t="s">
        <v>292</v>
      </c>
      <c r="AX3" s="49" t="s">
        <v>293</v>
      </c>
      <c r="AY3" s="49" t="s">
        <v>294</v>
      </c>
      <c r="AZ3" s="49" t="s">
        <v>295</v>
      </c>
      <c r="BA3" s="49" t="s">
        <v>296</v>
      </c>
      <c r="BB3" s="49" t="s">
        <v>297</v>
      </c>
      <c r="BC3" s="49" t="s">
        <v>298</v>
      </c>
      <c r="BD3" s="49" t="s">
        <v>299</v>
      </c>
      <c r="BE3" s="49" t="s">
        <v>300</v>
      </c>
      <c r="BF3" s="49" t="s">
        <v>301</v>
      </c>
      <c r="BG3" s="49" t="s">
        <v>302</v>
      </c>
      <c r="BH3" s="49" t="s">
        <v>303</v>
      </c>
      <c r="BI3" s="49" t="s">
        <v>304</v>
      </c>
      <c r="BJ3" s="49" t="s">
        <v>305</v>
      </c>
      <c r="BK3" s="49" t="s">
        <v>306</v>
      </c>
      <c r="BL3" s="49" t="s">
        <v>307</v>
      </c>
      <c r="BM3" s="49" t="s">
        <v>308</v>
      </c>
      <c r="BN3" s="49" t="s">
        <v>309</v>
      </c>
      <c r="BO3" s="49" t="s">
        <v>310</v>
      </c>
      <c r="BP3" s="49" t="s">
        <v>311</v>
      </c>
      <c r="BQ3" s="49" t="s">
        <v>312</v>
      </c>
      <c r="BR3" s="49" t="s">
        <v>313</v>
      </c>
      <c r="BS3" s="49" t="s">
        <v>314</v>
      </c>
      <c r="BT3" s="49" t="s">
        <v>315</v>
      </c>
      <c r="BU3" s="49" t="s">
        <v>316</v>
      </c>
      <c r="BV3" s="49" t="s">
        <v>317</v>
      </c>
      <c r="BW3" s="49" t="s">
        <v>318</v>
      </c>
    </row>
    <row r="4" spans="1:75">
      <c r="A4" s="101">
        <v>1</v>
      </c>
      <c r="B4" s="102" t="s">
        <v>201</v>
      </c>
      <c r="C4" s="103">
        <v>28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1"/>
      <c r="AQ4" s="521"/>
      <c r="AR4" s="521"/>
      <c r="AS4" s="521"/>
      <c r="AT4" s="521"/>
      <c r="AU4" s="521"/>
      <c r="AV4" s="521"/>
      <c r="AW4" s="521"/>
      <c r="AX4" s="521"/>
      <c r="AY4" s="521"/>
      <c r="AZ4" s="521"/>
      <c r="BA4" s="521"/>
      <c r="BB4" s="521"/>
      <c r="BC4" s="521"/>
      <c r="BD4" s="521"/>
      <c r="BE4" s="521"/>
      <c r="BF4" s="521"/>
      <c r="BG4" s="521"/>
      <c r="BH4" s="521"/>
      <c r="BI4" s="521"/>
      <c r="BJ4" s="521"/>
      <c r="BK4" s="521"/>
      <c r="BL4" s="521"/>
      <c r="BM4" s="521"/>
      <c r="BN4" s="521"/>
      <c r="BO4" s="521"/>
      <c r="BP4" s="521"/>
      <c r="BQ4" s="521"/>
      <c r="BR4" s="521"/>
      <c r="BS4" s="521"/>
      <c r="BT4" s="521"/>
      <c r="BU4" s="521"/>
      <c r="BV4" s="521"/>
      <c r="BW4" s="521"/>
    </row>
    <row r="5" spans="1:75">
      <c r="A5" s="101">
        <v>2</v>
      </c>
      <c r="B5" s="102" t="s">
        <v>375</v>
      </c>
      <c r="C5" s="104">
        <v>28</v>
      </c>
      <c r="D5" s="10">
        <f>'Ket qua kinh doanh'!D$20</f>
        <v>0</v>
      </c>
      <c r="E5" s="10">
        <f>'Ket qua kinh doanh'!E$20</f>
        <v>0</v>
      </c>
      <c r="F5" s="10">
        <f>'Ket qua kinh doanh'!F$20</f>
        <v>0</v>
      </c>
      <c r="G5" s="10">
        <f>'Ket qua kinh doanh'!G$20</f>
        <v>0</v>
      </c>
      <c r="H5" s="10">
        <f>'Ket qua kinh doanh'!H$20</f>
        <v>0</v>
      </c>
      <c r="I5" s="10">
        <f>'Ket qua kinh doanh'!I$20</f>
        <v>0</v>
      </c>
      <c r="J5" s="10">
        <f>'Ket qua kinh doanh'!J$20</f>
        <v>0</v>
      </c>
      <c r="K5" s="10">
        <f>'Ket qua kinh doanh'!K$20</f>
        <v>0</v>
      </c>
      <c r="L5" s="10">
        <f>'Ket qua kinh doanh'!L$20</f>
        <v>0</v>
      </c>
      <c r="M5" s="10">
        <f>'Ket qua kinh doanh'!M$20</f>
        <v>0</v>
      </c>
      <c r="N5" s="10">
        <f>'Ket qua kinh doanh'!N$20</f>
        <v>0</v>
      </c>
      <c r="O5" s="10">
        <f>'Ket qua kinh doanh'!O$20</f>
        <v>0</v>
      </c>
      <c r="P5" s="10">
        <f>'Ket qua kinh doanh'!P$20</f>
        <v>0</v>
      </c>
      <c r="Q5" s="10">
        <f>'Ket qua kinh doanh'!Q$20</f>
        <v>0</v>
      </c>
      <c r="R5" s="10">
        <f>'Ket qua kinh doanh'!R$20</f>
        <v>0</v>
      </c>
      <c r="S5" s="10">
        <f>'Ket qua kinh doanh'!S$20</f>
        <v>0</v>
      </c>
      <c r="T5" s="10">
        <f>'Ket qua kinh doanh'!T$20</f>
        <v>0</v>
      </c>
      <c r="U5" s="10">
        <f>'Ket qua kinh doanh'!U$20</f>
        <v>0</v>
      </c>
      <c r="V5" s="10">
        <f>'Ket qua kinh doanh'!V$20</f>
        <v>0</v>
      </c>
      <c r="W5" s="10">
        <f>'Ket qua kinh doanh'!W$20</f>
        <v>0</v>
      </c>
      <c r="X5" s="10">
        <f>'Ket qua kinh doanh'!X$20</f>
        <v>0</v>
      </c>
      <c r="Y5" s="10">
        <f>'Ket qua kinh doanh'!Y$20</f>
        <v>0</v>
      </c>
      <c r="Z5" s="10">
        <f>'Ket qua kinh doanh'!Z$20</f>
        <v>0</v>
      </c>
      <c r="AA5" s="10">
        <f>'Ket qua kinh doanh'!AA$20</f>
        <v>0</v>
      </c>
      <c r="AB5" s="10">
        <f>'Ket qua kinh doanh'!AB$20</f>
        <v>0</v>
      </c>
      <c r="AC5" s="10">
        <f>'Ket qua kinh doanh'!AC$20</f>
        <v>0</v>
      </c>
      <c r="AD5" s="10">
        <f>'Ket qua kinh doanh'!AD$20</f>
        <v>0</v>
      </c>
      <c r="AE5" s="10">
        <f>'Ket qua kinh doanh'!AE$20</f>
        <v>0</v>
      </c>
      <c r="AF5" s="10">
        <f>'Ket qua kinh doanh'!AF$20</f>
        <v>0</v>
      </c>
      <c r="AG5" s="10">
        <f>'Ket qua kinh doanh'!AG$20</f>
        <v>0</v>
      </c>
      <c r="AH5" s="10">
        <f>'Ket qua kinh doanh'!AH$20</f>
        <v>0</v>
      </c>
      <c r="AI5" s="10">
        <f>'Ket qua kinh doanh'!AI$20</f>
        <v>0</v>
      </c>
      <c r="AJ5" s="10">
        <f>'Ket qua kinh doanh'!AJ$20</f>
        <v>0</v>
      </c>
      <c r="AK5" s="10">
        <f>'Ket qua kinh doanh'!AK$20</f>
        <v>0</v>
      </c>
      <c r="AL5" s="10">
        <f>'Ket qua kinh doanh'!AL$20</f>
        <v>0</v>
      </c>
      <c r="AM5" s="10">
        <f>'Ket qua kinh doanh'!AM$20</f>
        <v>0</v>
      </c>
      <c r="AN5" s="10">
        <f>'Ket qua kinh doanh'!AN$20</f>
        <v>-719985770</v>
      </c>
      <c r="AO5" s="10">
        <f>'Ket qua kinh doanh'!AO$20</f>
        <v>-6758932844</v>
      </c>
      <c r="AP5" s="10">
        <f>'Ket qua kinh doanh'!AP$20</f>
        <v>-2743321288</v>
      </c>
      <c r="AQ5" s="10">
        <f>'Ket qua kinh doanh'!AQ$20</f>
        <v>1668340417</v>
      </c>
      <c r="AR5" s="10">
        <f>'Ket qua kinh doanh'!AR$20</f>
        <v>-5691808171</v>
      </c>
      <c r="AS5" s="10">
        <f>'Ket qua kinh doanh'!AS$20</f>
        <v>-12142648645</v>
      </c>
      <c r="AT5" s="10">
        <f>'Ket qua kinh doanh'!AT$20</f>
        <v>-15194276334</v>
      </c>
      <c r="AU5" s="10">
        <f>'Ket qua kinh doanh'!AU$20</f>
        <v>-10014018528</v>
      </c>
      <c r="AV5" s="10">
        <f>'Ket qua kinh doanh'!AV$20</f>
        <v>8118268598</v>
      </c>
      <c r="AW5" s="10">
        <f>'Ket qua kinh doanh'!AW$20</f>
        <v>-6348711814</v>
      </c>
      <c r="AX5" s="10">
        <f>'Ket qua kinh doanh'!AX$20</f>
        <v>-6052149672</v>
      </c>
      <c r="AY5" s="10">
        <f>'Ket qua kinh doanh'!AY$20</f>
        <v>102908561739</v>
      </c>
      <c r="AZ5" s="10">
        <f>'Ket qua kinh doanh'!AZ$20</f>
        <v>3099846411</v>
      </c>
      <c r="BA5" s="10">
        <f>'Ket qua kinh doanh'!BA$20</f>
        <v>17072928466</v>
      </c>
      <c r="BB5" s="10">
        <f>'Ket qua kinh doanh'!BB$20</f>
        <v>6996892070</v>
      </c>
      <c r="BC5" s="10">
        <f>'Ket qua kinh doanh'!BC$20</f>
        <v>3936534372</v>
      </c>
      <c r="BD5" s="10">
        <f>'Ket qua kinh doanh'!BD$20</f>
        <v>10980760888</v>
      </c>
      <c r="BE5" s="10">
        <f>'Ket qua kinh doanh'!BE$20</f>
        <v>874577083</v>
      </c>
      <c r="BF5" s="10">
        <f>'Ket qua kinh doanh'!BF$20</f>
        <v>412219980</v>
      </c>
      <c r="BG5" s="10">
        <f>'Ket qua kinh doanh'!BG$20</f>
        <v>2753352784</v>
      </c>
      <c r="BH5" s="10">
        <f>'Ket qua kinh doanh'!BH$20</f>
        <v>-12537257826</v>
      </c>
      <c r="BI5" s="10">
        <f>'Ket qua kinh doanh'!BI$20</f>
        <v>-5398471511</v>
      </c>
      <c r="BJ5" s="10">
        <f>'Ket qua kinh doanh'!BJ$20</f>
        <v>-8841087053</v>
      </c>
      <c r="BK5" s="10">
        <f>'Ket qua kinh doanh'!BK$20</f>
        <v>5675768744</v>
      </c>
      <c r="BL5" s="10">
        <f>'Ket qua kinh doanh'!BL$20</f>
        <v>-3068173394.1944427</v>
      </c>
      <c r="BM5" s="10">
        <f>'Ket qua kinh doanh'!BM$20</f>
        <v>-7734670181.1715088</v>
      </c>
      <c r="BN5" s="10">
        <f>'Ket qua kinh doanh'!BN$20</f>
        <v>-6932855150.5916672</v>
      </c>
      <c r="BO5" s="10">
        <f>'Ket qua kinh doanh'!BO$20</f>
        <v>4902498894.8307533</v>
      </c>
      <c r="BP5" s="10">
        <f>'Ket qua kinh doanh'!BP$20</f>
        <v>9534845607.7687988</v>
      </c>
      <c r="BQ5" s="10">
        <f>'Ket qua kinh doanh'!BQ$20</f>
        <v>9709265419.4812737</v>
      </c>
      <c r="BR5" s="10">
        <f>'Ket qua kinh doanh'!BR$20</f>
        <v>0</v>
      </c>
      <c r="BS5" s="10">
        <f>'Ket qua kinh doanh'!BS$20</f>
        <v>0</v>
      </c>
      <c r="BT5" s="10">
        <f>'Ket qua kinh doanh'!BT$20</f>
        <v>0</v>
      </c>
      <c r="BU5" s="10">
        <f>'Ket qua kinh doanh'!BU$20</f>
        <v>0</v>
      </c>
      <c r="BV5" s="10">
        <f>'Ket qua kinh doanh'!BV$20</f>
        <v>0</v>
      </c>
      <c r="BW5" s="10">
        <f>'Ket qua kinh doanh'!BW$20</f>
        <v>0</v>
      </c>
    </row>
    <row r="6" spans="1:75">
      <c r="A6" s="105">
        <v>3</v>
      </c>
      <c r="B6" s="106" t="s">
        <v>376</v>
      </c>
      <c r="C6" s="107">
        <v>28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532"/>
      <c r="BM6" s="532"/>
      <c r="BN6" s="11"/>
      <c r="BO6" s="11"/>
      <c r="BP6" s="11"/>
      <c r="BQ6" s="11"/>
      <c r="BR6" s="11"/>
      <c r="BS6" s="11"/>
      <c r="BT6" s="11"/>
      <c r="BU6" s="11"/>
      <c r="BV6" s="11"/>
      <c r="BW6" s="11"/>
    </row>
    <row r="7" spans="1:75">
      <c r="A7" s="108">
        <v>4</v>
      </c>
      <c r="B7" s="109" t="s">
        <v>377</v>
      </c>
      <c r="C7" s="110">
        <v>28</v>
      </c>
      <c r="D7" s="514"/>
      <c r="E7" s="514"/>
      <c r="F7" s="514"/>
      <c r="G7" s="514"/>
      <c r="H7" s="514"/>
      <c r="I7" s="514"/>
      <c r="J7" s="514"/>
      <c r="K7" s="514"/>
      <c r="L7" s="514"/>
      <c r="M7" s="514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  <c r="AA7" s="514"/>
      <c r="AB7" s="514"/>
      <c r="AC7" s="514"/>
      <c r="AD7" s="514"/>
      <c r="AE7" s="514"/>
      <c r="AF7" s="514"/>
      <c r="AG7" s="514"/>
      <c r="AH7" s="514"/>
      <c r="AI7" s="514"/>
      <c r="AJ7" s="514"/>
      <c r="AK7" s="514"/>
      <c r="AL7" s="514"/>
      <c r="AM7" s="514"/>
      <c r="AN7" s="514">
        <v>3935422859</v>
      </c>
      <c r="AO7" s="514">
        <v>3945256529</v>
      </c>
      <c r="AP7" s="514">
        <v>3941710034</v>
      </c>
      <c r="AQ7" s="514">
        <v>4176778135</v>
      </c>
      <c r="AR7" s="514">
        <v>4265236429</v>
      </c>
      <c r="AS7" s="514">
        <v>4239641424</v>
      </c>
      <c r="AT7" s="514">
        <v>4278667037</v>
      </c>
      <c r="AU7" s="514">
        <v>4312396443</v>
      </c>
      <c r="AV7" s="514">
        <v>4447445993</v>
      </c>
      <c r="AW7" s="514">
        <v>4467524904</v>
      </c>
      <c r="AX7" s="514">
        <v>4494861573</v>
      </c>
      <c r="AY7" s="514">
        <v>4792296828</v>
      </c>
      <c r="AZ7" s="514">
        <v>4869731514</v>
      </c>
      <c r="BA7" s="514">
        <v>4871682917</v>
      </c>
      <c r="BB7" s="514">
        <v>5074245337</v>
      </c>
      <c r="BC7" s="514">
        <v>5011765623</v>
      </c>
      <c r="BD7" s="514">
        <v>5177413937</v>
      </c>
      <c r="BE7" s="514">
        <v>5167876130</v>
      </c>
      <c r="BF7" s="514">
        <v>5183350523</v>
      </c>
      <c r="BG7" s="514">
        <v>5211232124</v>
      </c>
      <c r="BH7" s="514">
        <v>5551091503</v>
      </c>
      <c r="BI7" s="514">
        <v>5404448152</v>
      </c>
      <c r="BJ7" s="514">
        <v>5569475846</v>
      </c>
      <c r="BK7" s="514">
        <v>5597408199</v>
      </c>
      <c r="BL7" s="514">
        <v>2875404568</v>
      </c>
      <c r="BM7" s="514">
        <v>2852699400</v>
      </c>
      <c r="BN7" s="514">
        <v>2866645065</v>
      </c>
      <c r="BO7" s="514">
        <v>3030293681</v>
      </c>
      <c r="BP7" s="514">
        <v>3022628687</v>
      </c>
      <c r="BQ7" s="514">
        <v>3092938663</v>
      </c>
      <c r="BR7" s="514"/>
      <c r="BS7" s="514"/>
      <c r="BT7" s="514"/>
      <c r="BU7" s="514"/>
      <c r="BV7" s="514"/>
      <c r="BW7" s="514"/>
    </row>
    <row r="8" spans="1:75">
      <c r="A8" s="108">
        <v>5</v>
      </c>
      <c r="B8" s="109" t="s">
        <v>378</v>
      </c>
      <c r="C8" s="110">
        <v>28</v>
      </c>
      <c r="D8" s="514"/>
      <c r="E8" s="514"/>
      <c r="F8" s="514"/>
      <c r="G8" s="514"/>
      <c r="H8" s="514"/>
      <c r="I8" s="514"/>
      <c r="J8" s="514"/>
      <c r="K8" s="514"/>
      <c r="L8" s="514"/>
      <c r="M8" s="514"/>
      <c r="N8" s="514"/>
      <c r="O8" s="514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514"/>
      <c r="AA8" s="514"/>
      <c r="AB8" s="514"/>
      <c r="AC8" s="514"/>
      <c r="AD8" s="514"/>
      <c r="AE8" s="514"/>
      <c r="AF8" s="514"/>
      <c r="AG8" s="514"/>
      <c r="AH8" s="514"/>
      <c r="AI8" s="514"/>
      <c r="AJ8" s="514"/>
      <c r="AK8" s="514"/>
      <c r="AL8" s="514"/>
      <c r="AM8" s="514"/>
      <c r="AN8" s="514">
        <v>0</v>
      </c>
      <c r="AO8" s="514">
        <v>0</v>
      </c>
      <c r="AP8" s="514">
        <v>0</v>
      </c>
      <c r="AQ8" s="514">
        <v>0</v>
      </c>
      <c r="AR8" s="514">
        <v>0</v>
      </c>
      <c r="AS8" s="514">
        <v>0</v>
      </c>
      <c r="AT8" s="514">
        <v>0</v>
      </c>
      <c r="AU8" s="514">
        <v>0</v>
      </c>
      <c r="AV8" s="514">
        <v>0</v>
      </c>
      <c r="AW8" s="514">
        <v>0</v>
      </c>
      <c r="AX8" s="514">
        <v>0</v>
      </c>
      <c r="AY8" s="514">
        <v>0</v>
      </c>
      <c r="AZ8" s="514">
        <v>0</v>
      </c>
      <c r="BA8" s="514">
        <v>0</v>
      </c>
      <c r="BB8" s="514">
        <v>0</v>
      </c>
      <c r="BC8" s="514">
        <v>0</v>
      </c>
      <c r="BD8" s="514">
        <v>0</v>
      </c>
      <c r="BE8" s="514">
        <v>0</v>
      </c>
      <c r="BF8" s="514">
        <v>0</v>
      </c>
      <c r="BG8" s="514">
        <v>0</v>
      </c>
      <c r="BH8" s="514">
        <v>0</v>
      </c>
      <c r="BI8" s="514">
        <v>0</v>
      </c>
      <c r="BJ8" s="514">
        <v>0</v>
      </c>
      <c r="BK8" s="514">
        <v>0</v>
      </c>
      <c r="BL8" s="514">
        <v>0</v>
      </c>
      <c r="BM8" s="514">
        <v>0</v>
      </c>
      <c r="BN8" s="514">
        <v>0</v>
      </c>
      <c r="BO8" s="514">
        <v>0</v>
      </c>
      <c r="BP8" s="514">
        <v>0</v>
      </c>
      <c r="BQ8" s="514">
        <v>0</v>
      </c>
      <c r="BR8" s="514"/>
      <c r="BS8" s="514"/>
      <c r="BT8" s="514"/>
      <c r="BU8" s="514"/>
      <c r="BV8" s="514"/>
      <c r="BW8" s="514"/>
    </row>
    <row r="9" spans="1:75">
      <c r="A9" s="111">
        <v>6</v>
      </c>
      <c r="B9" s="112" t="s">
        <v>379</v>
      </c>
      <c r="C9" s="113">
        <v>28</v>
      </c>
      <c r="D9" s="515"/>
      <c r="E9" s="515"/>
      <c r="F9" s="515"/>
      <c r="G9" s="515"/>
      <c r="H9" s="515"/>
      <c r="I9" s="515"/>
      <c r="J9" s="515"/>
      <c r="K9" s="515"/>
      <c r="L9" s="515"/>
      <c r="M9" s="515"/>
      <c r="N9" s="515"/>
      <c r="O9" s="515"/>
      <c r="P9" s="515"/>
      <c r="Q9" s="515"/>
      <c r="R9" s="515"/>
      <c r="S9" s="515"/>
      <c r="T9" s="515"/>
      <c r="U9" s="515"/>
      <c r="V9" s="515"/>
      <c r="W9" s="515"/>
      <c r="X9" s="515"/>
      <c r="Y9" s="515"/>
      <c r="Z9" s="515"/>
      <c r="AA9" s="515"/>
      <c r="AB9" s="515"/>
      <c r="AC9" s="515"/>
      <c r="AD9" s="515"/>
      <c r="AE9" s="515"/>
      <c r="AF9" s="515"/>
      <c r="AG9" s="515"/>
      <c r="AH9" s="515"/>
      <c r="AI9" s="515"/>
      <c r="AJ9" s="515"/>
      <c r="AK9" s="515"/>
      <c r="AL9" s="515"/>
      <c r="AM9" s="515"/>
      <c r="AN9" s="515">
        <v>-55279705</v>
      </c>
      <c r="AO9" s="515">
        <v>-427077314</v>
      </c>
      <c r="AP9" s="515">
        <v>-320017067</v>
      </c>
      <c r="AQ9" s="515">
        <v>-242395730</v>
      </c>
      <c r="AR9" s="515">
        <v>-818581781</v>
      </c>
      <c r="AS9" s="515">
        <v>-185223798</v>
      </c>
      <c r="AT9" s="515">
        <v>-180874896</v>
      </c>
      <c r="AU9" s="515">
        <v>-263960563</v>
      </c>
      <c r="AV9" s="515">
        <v>-297048858</v>
      </c>
      <c r="AW9" s="515">
        <v>-1429021178</v>
      </c>
      <c r="AX9" s="515">
        <v>-522578257</v>
      </c>
      <c r="AY9" s="515">
        <v>-1311270209</v>
      </c>
      <c r="AZ9" s="515">
        <v>-357780096</v>
      </c>
      <c r="BA9" s="515">
        <v>-1275864519</v>
      </c>
      <c r="BB9" s="515">
        <v>-608968263</v>
      </c>
      <c r="BC9" s="515">
        <v>-658231709</v>
      </c>
      <c r="BD9" s="515">
        <v>-1643945913</v>
      </c>
      <c r="BE9" s="515">
        <v>-645043805</v>
      </c>
      <c r="BF9" s="515">
        <v>-757881624</v>
      </c>
      <c r="BG9" s="515">
        <v>-621393506</v>
      </c>
      <c r="BH9" s="515">
        <v>-844098636</v>
      </c>
      <c r="BI9" s="515">
        <v>-1011211322</v>
      </c>
      <c r="BJ9" s="515">
        <v>-120205688</v>
      </c>
      <c r="BK9" s="515">
        <v>-252471998</v>
      </c>
      <c r="BL9" s="515">
        <v>-282378363</v>
      </c>
      <c r="BM9" s="515">
        <v>-195993248</v>
      </c>
      <c r="BN9" s="515">
        <v>-773200542</v>
      </c>
      <c r="BO9" s="515">
        <v>-16042566</v>
      </c>
      <c r="BP9" s="515">
        <v>-618868933</v>
      </c>
      <c r="BQ9" s="515">
        <v>-301467078</v>
      </c>
      <c r="BR9" s="515"/>
      <c r="BS9" s="515"/>
      <c r="BT9" s="515"/>
      <c r="BU9" s="515"/>
      <c r="BV9" s="515"/>
      <c r="BW9" s="515"/>
    </row>
    <row r="10" spans="1:75">
      <c r="A10" s="108">
        <v>7</v>
      </c>
      <c r="B10" s="109" t="s">
        <v>380</v>
      </c>
      <c r="C10" s="110">
        <v>28</v>
      </c>
      <c r="D10" s="514"/>
      <c r="E10" s="514"/>
      <c r="F10" s="514"/>
      <c r="G10" s="514"/>
      <c r="H10" s="514"/>
      <c r="I10" s="514"/>
      <c r="J10" s="514"/>
      <c r="K10" s="514"/>
      <c r="L10" s="514"/>
      <c r="M10" s="514"/>
      <c r="N10" s="514"/>
      <c r="O10" s="514"/>
      <c r="P10" s="514"/>
      <c r="Q10" s="514"/>
      <c r="R10" s="514"/>
      <c r="S10" s="514"/>
      <c r="T10" s="514"/>
      <c r="U10" s="514"/>
      <c r="V10" s="514"/>
      <c r="W10" s="514"/>
      <c r="X10" s="514"/>
      <c r="Y10" s="514"/>
      <c r="Z10" s="514"/>
      <c r="AA10" s="514"/>
      <c r="AB10" s="514"/>
      <c r="AC10" s="514"/>
      <c r="AD10" s="514"/>
      <c r="AE10" s="514"/>
      <c r="AF10" s="514"/>
      <c r="AG10" s="514"/>
      <c r="AH10" s="514"/>
      <c r="AI10" s="514"/>
      <c r="AJ10" s="514"/>
      <c r="AK10" s="514"/>
      <c r="AL10" s="514"/>
      <c r="AM10" s="514"/>
      <c r="AN10" s="514">
        <v>-9368981</v>
      </c>
      <c r="AO10" s="514">
        <v>-10886349</v>
      </c>
      <c r="AP10" s="514">
        <v>-181577162</v>
      </c>
      <c r="AQ10" s="514">
        <v>-11461163</v>
      </c>
      <c r="AR10" s="514">
        <v>-11369270</v>
      </c>
      <c r="AS10" s="514">
        <v>-12784224</v>
      </c>
      <c r="AT10" s="514">
        <v>-33383947</v>
      </c>
      <c r="AU10" s="514">
        <v>-11556024</v>
      </c>
      <c r="AV10" s="514">
        <v>-11870459</v>
      </c>
      <c r="AW10" s="514">
        <v>-208264097</v>
      </c>
      <c r="AX10" s="514">
        <v>-22078194</v>
      </c>
      <c r="AY10" s="514">
        <v>-1325725860</v>
      </c>
      <c r="AZ10" s="514">
        <v>-454865223</v>
      </c>
      <c r="BA10" s="514">
        <v>-1295538741</v>
      </c>
      <c r="BB10" s="514">
        <v>-11304824</v>
      </c>
      <c r="BC10" s="514">
        <v>-62271990</v>
      </c>
      <c r="BD10" s="514">
        <v>-11802821</v>
      </c>
      <c r="BE10" s="514">
        <v>-11455724</v>
      </c>
      <c r="BF10" s="514">
        <v>-57423350</v>
      </c>
      <c r="BG10" s="514">
        <v>-8302038</v>
      </c>
      <c r="BH10" s="514">
        <v>-8471618</v>
      </c>
      <c r="BI10" s="514">
        <v>-770249979</v>
      </c>
      <c r="BJ10" s="514">
        <v>-92067047</v>
      </c>
      <c r="BK10" s="514">
        <v>-383755372</v>
      </c>
      <c r="BL10" s="514">
        <v>-67576364</v>
      </c>
      <c r="BM10" s="514">
        <v>-27632237</v>
      </c>
      <c r="BN10" s="514">
        <v>-2057175685</v>
      </c>
      <c r="BO10" s="514">
        <v>-1975329984</v>
      </c>
      <c r="BP10" s="514">
        <v>-92506890</v>
      </c>
      <c r="BQ10" s="514">
        <v>-256480165</v>
      </c>
      <c r="BR10" s="514"/>
      <c r="BS10" s="514"/>
      <c r="BT10" s="514"/>
      <c r="BU10" s="514"/>
      <c r="BV10" s="514"/>
      <c r="BW10" s="514"/>
    </row>
    <row r="11" spans="1:75">
      <c r="A11" s="108">
        <v>8</v>
      </c>
      <c r="B11" s="109" t="s">
        <v>381</v>
      </c>
      <c r="C11" s="110">
        <v>28</v>
      </c>
      <c r="D11" s="516"/>
      <c r="E11" s="516"/>
      <c r="F11" s="516"/>
      <c r="G11" s="516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>
        <v>422755791</v>
      </c>
      <c r="AO11" s="516">
        <v>563909516</v>
      </c>
      <c r="AP11" s="516">
        <v>567924561</v>
      </c>
      <c r="AQ11" s="516">
        <v>840791009</v>
      </c>
      <c r="AR11" s="516">
        <v>961855770</v>
      </c>
      <c r="AS11" s="516">
        <v>1030712173</v>
      </c>
      <c r="AT11" s="516">
        <v>1160823006</v>
      </c>
      <c r="AU11" s="516">
        <v>939585045</v>
      </c>
      <c r="AV11" s="516">
        <v>859444105</v>
      </c>
      <c r="AW11" s="516">
        <v>840165515</v>
      </c>
      <c r="AX11" s="516">
        <v>889159081</v>
      </c>
      <c r="AY11" s="516">
        <v>1032562923</v>
      </c>
      <c r="AZ11" s="516">
        <v>739360517</v>
      </c>
      <c r="BA11" s="516">
        <v>1303843040</v>
      </c>
      <c r="BB11" s="516">
        <v>673966789</v>
      </c>
      <c r="BC11" s="516">
        <v>888393452</v>
      </c>
      <c r="BD11" s="516">
        <v>1186588729</v>
      </c>
      <c r="BE11" s="516">
        <v>1448899822</v>
      </c>
      <c r="BF11" s="516">
        <v>1242023326</v>
      </c>
      <c r="BG11" s="516">
        <v>1303560910</v>
      </c>
      <c r="BH11" s="516">
        <v>1595764355</v>
      </c>
      <c r="BI11" s="516">
        <v>1368802426</v>
      </c>
      <c r="BJ11" s="516">
        <v>1256132292</v>
      </c>
      <c r="BK11" s="516">
        <v>1256103396</v>
      </c>
      <c r="BL11" s="516">
        <v>1240115065</v>
      </c>
      <c r="BM11" s="516">
        <v>1156279418</v>
      </c>
      <c r="BN11" s="516">
        <v>959718564</v>
      </c>
      <c r="BO11" s="516">
        <v>1062084475</v>
      </c>
      <c r="BP11" s="516">
        <v>838836791</v>
      </c>
      <c r="BQ11" s="516">
        <v>856841656</v>
      </c>
      <c r="BR11" s="516"/>
      <c r="BS11" s="516"/>
      <c r="BT11" s="516"/>
      <c r="BU11" s="516"/>
      <c r="BV11" s="516"/>
      <c r="BW11" s="516"/>
    </row>
    <row r="12" spans="1:75">
      <c r="A12" s="108">
        <v>9</v>
      </c>
      <c r="B12" s="109" t="s">
        <v>382</v>
      </c>
      <c r="C12" s="114">
        <v>28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>
        <v>-25035000</v>
      </c>
      <c r="AO12" s="12">
        <v>-4500869</v>
      </c>
      <c r="AP12" s="12">
        <v>-15342970</v>
      </c>
      <c r="AQ12" s="12">
        <v>-1400000</v>
      </c>
      <c r="AR12" s="12">
        <v>583594</v>
      </c>
      <c r="AS12" s="12">
        <v>2638761</v>
      </c>
      <c r="AT12" s="12">
        <v>-1603193</v>
      </c>
      <c r="AU12" s="12">
        <v>2915785</v>
      </c>
      <c r="AV12" s="12">
        <v>1137535</v>
      </c>
      <c r="AW12" s="12">
        <v>-2150926</v>
      </c>
      <c r="AX12" s="12">
        <v>2544907</v>
      </c>
      <c r="AY12" s="12">
        <v>-153600711</v>
      </c>
      <c r="AZ12" s="12">
        <v>5872690</v>
      </c>
      <c r="BA12" s="12">
        <v>-3800000</v>
      </c>
      <c r="BB12" s="12">
        <v>3397640</v>
      </c>
      <c r="BC12" s="12">
        <v>13981280</v>
      </c>
      <c r="BD12" s="12">
        <v>15477736</v>
      </c>
      <c r="BE12" s="12">
        <v>18540080</v>
      </c>
      <c r="BF12" s="12">
        <v>-93607732</v>
      </c>
      <c r="BG12" s="12">
        <v>15000048</v>
      </c>
      <c r="BH12" s="12">
        <v>10984820</v>
      </c>
      <c r="BI12" s="12">
        <v>24070392</v>
      </c>
      <c r="BJ12" s="12">
        <v>6071410</v>
      </c>
      <c r="BK12" s="12">
        <v>-425329940</v>
      </c>
      <c r="BL12" s="12">
        <v>-128152205</v>
      </c>
      <c r="BM12" s="12">
        <v>-37583728</v>
      </c>
      <c r="BN12" s="12">
        <v>-297709653</v>
      </c>
      <c r="BO12" s="12">
        <v>-461506970</v>
      </c>
      <c r="BP12" s="12">
        <v>-202818144</v>
      </c>
      <c r="BQ12" s="12">
        <v>-280901247</v>
      </c>
      <c r="BR12" s="12"/>
      <c r="BS12" s="12"/>
      <c r="BT12" s="12"/>
      <c r="BU12" s="12"/>
      <c r="BV12" s="12"/>
      <c r="BW12" s="12"/>
    </row>
    <row r="13" spans="1:75">
      <c r="A13" s="115">
        <v>10</v>
      </c>
      <c r="B13" s="116" t="s">
        <v>383</v>
      </c>
      <c r="C13" s="117">
        <v>28</v>
      </c>
      <c r="D13" s="13">
        <f>SUM(D5:D12)</f>
        <v>0</v>
      </c>
      <c r="E13" s="13">
        <f t="shared" ref="E13:BP13" si="0">SUM(E5:E12)</f>
        <v>0</v>
      </c>
      <c r="F13" s="13">
        <f t="shared" si="0"/>
        <v>0</v>
      </c>
      <c r="G13" s="13">
        <f t="shared" si="0"/>
        <v>0</v>
      </c>
      <c r="H13" s="13">
        <f t="shared" si="0"/>
        <v>0</v>
      </c>
      <c r="I13" s="13">
        <f t="shared" si="0"/>
        <v>0</v>
      </c>
      <c r="J13" s="13">
        <f t="shared" si="0"/>
        <v>0</v>
      </c>
      <c r="K13" s="13">
        <f t="shared" si="0"/>
        <v>0</v>
      </c>
      <c r="L13" s="13">
        <f t="shared" si="0"/>
        <v>0</v>
      </c>
      <c r="M13" s="13">
        <f t="shared" si="0"/>
        <v>0</v>
      </c>
      <c r="N13" s="13">
        <f t="shared" si="0"/>
        <v>0</v>
      </c>
      <c r="O13" s="13">
        <f t="shared" si="0"/>
        <v>0</v>
      </c>
      <c r="P13" s="13">
        <f t="shared" si="0"/>
        <v>0</v>
      </c>
      <c r="Q13" s="13">
        <f t="shared" si="0"/>
        <v>0</v>
      </c>
      <c r="R13" s="13">
        <f t="shared" si="0"/>
        <v>0</v>
      </c>
      <c r="S13" s="13">
        <f t="shared" si="0"/>
        <v>0</v>
      </c>
      <c r="T13" s="13">
        <f t="shared" si="0"/>
        <v>0</v>
      </c>
      <c r="U13" s="13">
        <f t="shared" si="0"/>
        <v>0</v>
      </c>
      <c r="V13" s="13">
        <f t="shared" si="0"/>
        <v>0</v>
      </c>
      <c r="W13" s="13">
        <f t="shared" si="0"/>
        <v>0</v>
      </c>
      <c r="X13" s="13">
        <f t="shared" si="0"/>
        <v>0</v>
      </c>
      <c r="Y13" s="13">
        <f t="shared" si="0"/>
        <v>0</v>
      </c>
      <c r="Z13" s="13">
        <f t="shared" si="0"/>
        <v>0</v>
      </c>
      <c r="AA13" s="13">
        <f t="shared" si="0"/>
        <v>0</v>
      </c>
      <c r="AB13" s="13">
        <f t="shared" si="0"/>
        <v>0</v>
      </c>
      <c r="AC13" s="13">
        <f t="shared" si="0"/>
        <v>0</v>
      </c>
      <c r="AD13" s="13">
        <f t="shared" si="0"/>
        <v>0</v>
      </c>
      <c r="AE13" s="13">
        <f t="shared" si="0"/>
        <v>0</v>
      </c>
      <c r="AF13" s="13">
        <f t="shared" si="0"/>
        <v>0</v>
      </c>
      <c r="AG13" s="13">
        <f t="shared" si="0"/>
        <v>0</v>
      </c>
      <c r="AH13" s="13">
        <f t="shared" si="0"/>
        <v>0</v>
      </c>
      <c r="AI13" s="13">
        <f t="shared" si="0"/>
        <v>0</v>
      </c>
      <c r="AJ13" s="13">
        <f t="shared" si="0"/>
        <v>0</v>
      </c>
      <c r="AK13" s="13">
        <f t="shared" si="0"/>
        <v>0</v>
      </c>
      <c r="AL13" s="13">
        <f t="shared" si="0"/>
        <v>0</v>
      </c>
      <c r="AM13" s="13">
        <f t="shared" si="0"/>
        <v>0</v>
      </c>
      <c r="AN13" s="13">
        <f t="shared" si="0"/>
        <v>3548509194</v>
      </c>
      <c r="AO13" s="13">
        <f t="shared" si="0"/>
        <v>-2692231331</v>
      </c>
      <c r="AP13" s="13">
        <f t="shared" si="0"/>
        <v>1249376108</v>
      </c>
      <c r="AQ13" s="13">
        <f t="shared" si="0"/>
        <v>6430652668</v>
      </c>
      <c r="AR13" s="13">
        <f t="shared" si="0"/>
        <v>-1294083429</v>
      </c>
      <c r="AS13" s="13">
        <f t="shared" si="0"/>
        <v>-7067664309</v>
      </c>
      <c r="AT13" s="13">
        <f t="shared" si="0"/>
        <v>-9970648327</v>
      </c>
      <c r="AU13" s="13">
        <f t="shared" si="0"/>
        <v>-5034637842</v>
      </c>
      <c r="AV13" s="13">
        <f t="shared" si="0"/>
        <v>13117376914</v>
      </c>
      <c r="AW13" s="13">
        <f t="shared" si="0"/>
        <v>-2680457596</v>
      </c>
      <c r="AX13" s="13">
        <f t="shared" si="0"/>
        <v>-1210240562</v>
      </c>
      <c r="AY13" s="13">
        <f t="shared" si="0"/>
        <v>105942824710</v>
      </c>
      <c r="AZ13" s="13">
        <f t="shared" si="0"/>
        <v>7902165813</v>
      </c>
      <c r="BA13" s="13">
        <f t="shared" si="0"/>
        <v>20673251163</v>
      </c>
      <c r="BB13" s="13">
        <f t="shared" si="0"/>
        <v>12128228749</v>
      </c>
      <c r="BC13" s="13">
        <f t="shared" si="0"/>
        <v>9130171028</v>
      </c>
      <c r="BD13" s="13">
        <f t="shared" si="0"/>
        <v>15704492556</v>
      </c>
      <c r="BE13" s="13">
        <f t="shared" si="0"/>
        <v>6853393586</v>
      </c>
      <c r="BF13" s="13">
        <f t="shared" si="0"/>
        <v>5928681123</v>
      </c>
      <c r="BG13" s="13">
        <f t="shared" si="0"/>
        <v>8653450322</v>
      </c>
      <c r="BH13" s="13">
        <f t="shared" si="0"/>
        <v>-6231987402</v>
      </c>
      <c r="BI13" s="13">
        <f t="shared" si="0"/>
        <v>-382611842</v>
      </c>
      <c r="BJ13" s="13">
        <f t="shared" si="0"/>
        <v>-2221680240</v>
      </c>
      <c r="BK13" s="13">
        <f t="shared" si="0"/>
        <v>11467723029</v>
      </c>
      <c r="BL13" s="13">
        <f t="shared" si="0"/>
        <v>569239306.80555725</v>
      </c>
      <c r="BM13" s="13">
        <f t="shared" si="0"/>
        <v>-3986900576.1715088</v>
      </c>
      <c r="BN13" s="13">
        <f t="shared" si="0"/>
        <v>-6234577401.5916672</v>
      </c>
      <c r="BO13" s="13">
        <f t="shared" si="0"/>
        <v>6541997530.8307533</v>
      </c>
      <c r="BP13" s="13">
        <f t="shared" si="0"/>
        <v>12482117118.768799</v>
      </c>
      <c r="BQ13" s="13">
        <f t="shared" ref="BQ13" si="1">SUM(BQ5:BQ12)</f>
        <v>12820197248.481274</v>
      </c>
      <c r="BR13" s="13"/>
      <c r="BS13" s="13"/>
      <c r="BT13" s="13"/>
      <c r="BU13" s="13"/>
      <c r="BV13" s="13"/>
      <c r="BW13" s="13"/>
    </row>
    <row r="14" spans="1:75">
      <c r="A14" s="118">
        <v>11</v>
      </c>
      <c r="B14" s="119" t="s">
        <v>384</v>
      </c>
      <c r="C14" s="110">
        <v>28</v>
      </c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>
        <v>-12246234123.139999</v>
      </c>
      <c r="AO14" s="514">
        <v>10826066152</v>
      </c>
      <c r="AP14" s="514">
        <v>-15227377699.860001</v>
      </c>
      <c r="AQ14" s="514">
        <v>-18242361446</v>
      </c>
      <c r="AR14" s="514">
        <v>-17831483386.748001</v>
      </c>
      <c r="AS14" s="514">
        <v>-24693912300</v>
      </c>
      <c r="AT14" s="514">
        <v>90882621825.229996</v>
      </c>
      <c r="AU14" s="514">
        <v>-25565536759</v>
      </c>
      <c r="AV14" s="514">
        <v>-37899408750</v>
      </c>
      <c r="AW14" s="514">
        <v>1909176260</v>
      </c>
      <c r="AX14" s="514">
        <v>-52509399614</v>
      </c>
      <c r="AY14" s="514">
        <v>52498955385.517998</v>
      </c>
      <c r="AZ14" s="514">
        <v>56768185813.482101</v>
      </c>
      <c r="BA14" s="514">
        <v>-30360525509.000099</v>
      </c>
      <c r="BB14" s="514">
        <v>-21020361595.482002</v>
      </c>
      <c r="BC14" s="514">
        <v>42835361084.481995</v>
      </c>
      <c r="BD14" s="514">
        <v>-43963636110</v>
      </c>
      <c r="BE14" s="514">
        <v>-4112398302.4820004</v>
      </c>
      <c r="BF14" s="514">
        <v>16922063061</v>
      </c>
      <c r="BG14" s="514">
        <v>-41954236295</v>
      </c>
      <c r="BH14" s="514">
        <v>72991548929</v>
      </c>
      <c r="BI14" s="514">
        <v>58464143238</v>
      </c>
      <c r="BJ14" s="514">
        <v>28256716493</v>
      </c>
      <c r="BK14" s="514">
        <v>-3535093080</v>
      </c>
      <c r="BL14" s="514">
        <v>53673466483</v>
      </c>
      <c r="BM14" s="514">
        <v>10541636704.599998</v>
      </c>
      <c r="BN14" s="514">
        <v>262286900</v>
      </c>
      <c r="BO14" s="514">
        <v>21974278959</v>
      </c>
      <c r="BP14" s="514">
        <v>-77088604901</v>
      </c>
      <c r="BQ14" s="514">
        <v>11314739001</v>
      </c>
      <c r="BR14" s="514"/>
      <c r="BS14" s="514"/>
      <c r="BT14" s="514"/>
      <c r="BU14" s="514"/>
      <c r="BV14" s="514"/>
      <c r="BW14" s="514"/>
    </row>
    <row r="15" spans="1:75">
      <c r="A15" s="120">
        <v>12</v>
      </c>
      <c r="B15" s="121" t="s">
        <v>385</v>
      </c>
      <c r="C15" s="110">
        <v>28</v>
      </c>
      <c r="D15" s="514"/>
      <c r="E15" s="514"/>
      <c r="F15" s="514"/>
      <c r="G15" s="514"/>
      <c r="H15" s="514"/>
      <c r="I15" s="514"/>
      <c r="J15" s="514"/>
      <c r="K15" s="514"/>
      <c r="L15" s="514"/>
      <c r="M15" s="514"/>
      <c r="N15" s="514"/>
      <c r="O15" s="514"/>
      <c r="P15" s="514"/>
      <c r="Q15" s="514"/>
      <c r="R15" s="514"/>
      <c r="S15" s="514"/>
      <c r="T15" s="514"/>
      <c r="U15" s="514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>
        <v>-49549238548</v>
      </c>
      <c r="AO15" s="514">
        <v>-7205281194</v>
      </c>
      <c r="AP15" s="514">
        <v>-39860295459</v>
      </c>
      <c r="AQ15" s="514">
        <v>-40452344147.022003</v>
      </c>
      <c r="AR15" s="514">
        <v>-40018610715.370003</v>
      </c>
      <c r="AS15" s="514">
        <v>-22253771084</v>
      </c>
      <c r="AT15" s="514">
        <v>-21156666302.23</v>
      </c>
      <c r="AU15" s="514">
        <v>40083282616</v>
      </c>
      <c r="AV15" s="514">
        <v>-10488525390</v>
      </c>
      <c r="AW15" s="514">
        <v>4230963655</v>
      </c>
      <c r="AX15" s="514">
        <v>-41785285643</v>
      </c>
      <c r="AY15" s="514">
        <v>-14397208765</v>
      </c>
      <c r="AZ15" s="514">
        <v>34011025895</v>
      </c>
      <c r="BA15" s="514">
        <v>80139198645</v>
      </c>
      <c r="BB15" s="514">
        <v>19508416867</v>
      </c>
      <c r="BC15" s="514">
        <v>-54306536082</v>
      </c>
      <c r="BD15" s="514">
        <v>-5114288511</v>
      </c>
      <c r="BE15" s="514">
        <v>-19711706985</v>
      </c>
      <c r="BF15" s="514">
        <v>-14594923828</v>
      </c>
      <c r="BG15" s="514">
        <v>1610031161</v>
      </c>
      <c r="BH15" s="514">
        <v>-3350477118</v>
      </c>
      <c r="BI15" s="514">
        <v>20252490813</v>
      </c>
      <c r="BJ15" s="514">
        <v>-2228980661</v>
      </c>
      <c r="BK15" s="514">
        <v>-12498581725</v>
      </c>
      <c r="BL15" s="514">
        <v>21674615442.194443</v>
      </c>
      <c r="BM15" s="514">
        <v>30827088923.171513</v>
      </c>
      <c r="BN15" s="514">
        <v>80461160034.591675</v>
      </c>
      <c r="BO15" s="514">
        <v>59925649917.16925</v>
      </c>
      <c r="BP15" s="514">
        <v>6975646285.2311888</v>
      </c>
      <c r="BQ15" s="514">
        <v>-33506945635.481274</v>
      </c>
      <c r="BR15" s="514"/>
      <c r="BS15" s="514"/>
      <c r="BT15" s="514"/>
      <c r="BU15" s="514"/>
      <c r="BV15" s="514"/>
      <c r="BW15" s="514"/>
    </row>
    <row r="16" spans="1:75">
      <c r="A16" s="122">
        <v>13</v>
      </c>
      <c r="B16" s="123" t="s">
        <v>386</v>
      </c>
      <c r="C16" s="113">
        <v>28</v>
      </c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/>
      <c r="S16" s="517"/>
      <c r="T16" s="517"/>
      <c r="U16" s="517"/>
      <c r="V16" s="517"/>
      <c r="W16" s="517"/>
      <c r="X16" s="517"/>
      <c r="Y16" s="517"/>
      <c r="Z16" s="517"/>
      <c r="AA16" s="517"/>
      <c r="AB16" s="517"/>
      <c r="AC16" s="517"/>
      <c r="AD16" s="517"/>
      <c r="AE16" s="517"/>
      <c r="AF16" s="517"/>
      <c r="AG16" s="517"/>
      <c r="AH16" s="517"/>
      <c r="AI16" s="517"/>
      <c r="AJ16" s="517"/>
      <c r="AK16" s="517"/>
      <c r="AL16" s="517"/>
      <c r="AM16" s="517"/>
      <c r="AN16" s="517">
        <v>8012642277.1399994</v>
      </c>
      <c r="AO16" s="517">
        <v>4278312829</v>
      </c>
      <c r="AP16" s="517">
        <v>3821000527.8600006</v>
      </c>
      <c r="AQ16" s="517">
        <v>17456991667.021999</v>
      </c>
      <c r="AR16" s="517">
        <v>27971780976.118</v>
      </c>
      <c r="AS16" s="517">
        <v>28656935853</v>
      </c>
      <c r="AT16" s="517">
        <v>13949162110</v>
      </c>
      <c r="AU16" s="517">
        <v>15821078146</v>
      </c>
      <c r="AV16" s="517">
        <v>36706376899</v>
      </c>
      <c r="AW16" s="517">
        <v>12026587562</v>
      </c>
      <c r="AX16" s="517">
        <v>46633842767</v>
      </c>
      <c r="AY16" s="517">
        <v>-144613571973.51801</v>
      </c>
      <c r="AZ16" s="517">
        <v>-21447246879.482002</v>
      </c>
      <c r="BA16" s="517">
        <v>-17371395733</v>
      </c>
      <c r="BB16" s="517">
        <v>-27710273222.517998</v>
      </c>
      <c r="BC16" s="517">
        <v>-27154040090.482002</v>
      </c>
      <c r="BD16" s="517">
        <v>7561434255</v>
      </c>
      <c r="BE16" s="517">
        <v>5449153266.4820023</v>
      </c>
      <c r="BF16" s="517">
        <v>-28894530585.999901</v>
      </c>
      <c r="BG16" s="517">
        <v>-675180367</v>
      </c>
      <c r="BH16" s="517">
        <v>-35040432495.000099</v>
      </c>
      <c r="BI16" s="517">
        <v>-11083861146</v>
      </c>
      <c r="BJ16" s="517">
        <v>-26268904249</v>
      </c>
      <c r="BK16" s="517">
        <v>-13522847859</v>
      </c>
      <c r="BL16" s="517">
        <v>-10264950362</v>
      </c>
      <c r="BM16" s="517">
        <v>-31219289111.599998</v>
      </c>
      <c r="BN16" s="517">
        <v>-14745698633</v>
      </c>
      <c r="BO16" s="517">
        <v>-17720667110</v>
      </c>
      <c r="BP16" s="517">
        <v>4374295809</v>
      </c>
      <c r="BQ16" s="517">
        <v>10126405639</v>
      </c>
      <c r="BR16" s="517"/>
      <c r="BS16" s="517"/>
      <c r="BT16" s="517"/>
      <c r="BU16" s="517"/>
      <c r="BV16" s="517"/>
      <c r="BW16" s="517"/>
    </row>
    <row r="17" spans="1:75">
      <c r="A17" s="118">
        <v>14</v>
      </c>
      <c r="B17" s="119" t="s">
        <v>387</v>
      </c>
      <c r="C17" s="110">
        <v>28</v>
      </c>
      <c r="D17" s="514"/>
      <c r="E17" s="514"/>
      <c r="F17" s="514"/>
      <c r="G17" s="514"/>
      <c r="H17" s="514"/>
      <c r="I17" s="514"/>
      <c r="J17" s="514"/>
      <c r="K17" s="514"/>
      <c r="L17" s="514"/>
      <c r="M17" s="514"/>
      <c r="N17" s="514"/>
      <c r="O17" s="514"/>
      <c r="P17" s="514"/>
      <c r="Q17" s="514"/>
      <c r="R17" s="514"/>
      <c r="S17" s="514"/>
      <c r="T17" s="514"/>
      <c r="U17" s="514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>
        <v>138419414</v>
      </c>
      <c r="AO17" s="514">
        <v>-195536893</v>
      </c>
      <c r="AP17" s="514">
        <v>208271418</v>
      </c>
      <c r="AQ17" s="514">
        <v>-156105027</v>
      </c>
      <c r="AR17" s="514">
        <v>163996298</v>
      </c>
      <c r="AS17" s="514">
        <v>223255844</v>
      </c>
      <c r="AT17" s="514">
        <v>-51586114</v>
      </c>
      <c r="AU17" s="514">
        <v>-547678801</v>
      </c>
      <c r="AV17" s="514">
        <v>259681006</v>
      </c>
      <c r="AW17" s="514">
        <v>-52949085</v>
      </c>
      <c r="AX17" s="514">
        <v>371337406</v>
      </c>
      <c r="AY17" s="514">
        <v>-201730567</v>
      </c>
      <c r="AZ17" s="514">
        <v>-594058884</v>
      </c>
      <c r="BA17" s="514">
        <v>-4016083188</v>
      </c>
      <c r="BB17" s="514">
        <v>609477126</v>
      </c>
      <c r="BC17" s="514">
        <v>1329395572</v>
      </c>
      <c r="BD17" s="514">
        <v>730927901</v>
      </c>
      <c r="BE17" s="514">
        <v>-6018972917</v>
      </c>
      <c r="BF17" s="514">
        <v>-908214055</v>
      </c>
      <c r="BG17" s="514">
        <v>-861781925</v>
      </c>
      <c r="BH17" s="514">
        <v>2426045734</v>
      </c>
      <c r="BI17" s="514">
        <v>1597604553</v>
      </c>
      <c r="BJ17" s="514">
        <v>2650850606</v>
      </c>
      <c r="BK17" s="514">
        <v>110030657</v>
      </c>
      <c r="BL17" s="514">
        <v>2029033267</v>
      </c>
      <c r="BM17" s="514">
        <v>1056446575</v>
      </c>
      <c r="BN17" s="514">
        <v>-110001747</v>
      </c>
      <c r="BO17" s="514">
        <v>-779099093</v>
      </c>
      <c r="BP17" s="514">
        <v>-1203019891</v>
      </c>
      <c r="BQ17" s="514">
        <v>1463521399</v>
      </c>
      <c r="BR17" s="514"/>
      <c r="BS17" s="514"/>
      <c r="BT17" s="514"/>
      <c r="BU17" s="514"/>
      <c r="BV17" s="514"/>
      <c r="BW17" s="514"/>
    </row>
    <row r="18" spans="1:75">
      <c r="A18" s="118">
        <v>15</v>
      </c>
      <c r="B18" s="119" t="s">
        <v>388</v>
      </c>
      <c r="C18" s="110">
        <v>28</v>
      </c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516"/>
      <c r="X18" s="516"/>
      <c r="Y18" s="516"/>
      <c r="Z18" s="516"/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>
        <v>0</v>
      </c>
      <c r="AO18" s="516">
        <v>0</v>
      </c>
      <c r="AP18" s="516">
        <v>0</v>
      </c>
      <c r="AQ18" s="516">
        <v>0</v>
      </c>
      <c r="AR18" s="516">
        <v>0</v>
      </c>
      <c r="AS18" s="516">
        <v>0</v>
      </c>
      <c r="AT18" s="516">
        <v>0</v>
      </c>
      <c r="AU18" s="516">
        <v>0</v>
      </c>
      <c r="AV18" s="516">
        <v>0</v>
      </c>
      <c r="AW18" s="516">
        <v>0</v>
      </c>
      <c r="AX18" s="516">
        <v>0</v>
      </c>
      <c r="AY18" s="516">
        <v>0</v>
      </c>
      <c r="AZ18" s="516">
        <v>0</v>
      </c>
      <c r="BA18" s="516">
        <v>0</v>
      </c>
      <c r="BB18" s="516">
        <v>0</v>
      </c>
      <c r="BC18" s="516">
        <v>0</v>
      </c>
      <c r="BD18" s="516">
        <v>0</v>
      </c>
      <c r="BE18" s="516">
        <v>0</v>
      </c>
      <c r="BF18" s="516">
        <v>0</v>
      </c>
      <c r="BG18" s="516">
        <v>0</v>
      </c>
      <c r="BH18" s="516">
        <v>0</v>
      </c>
      <c r="BI18" s="516">
        <v>0</v>
      </c>
      <c r="BJ18" s="516">
        <v>0</v>
      </c>
      <c r="BK18" s="516">
        <v>0</v>
      </c>
      <c r="BL18" s="516">
        <v>0</v>
      </c>
      <c r="BM18" s="516">
        <v>0</v>
      </c>
      <c r="BN18" s="516">
        <v>0</v>
      </c>
      <c r="BO18" s="516">
        <v>0</v>
      </c>
      <c r="BP18" s="516">
        <v>0</v>
      </c>
      <c r="BQ18" s="516">
        <v>0</v>
      </c>
      <c r="BR18" s="516"/>
      <c r="BS18" s="516"/>
      <c r="BT18" s="516"/>
      <c r="BU18" s="516"/>
      <c r="BV18" s="516"/>
      <c r="BW18" s="516"/>
    </row>
    <row r="19" spans="1:75">
      <c r="A19" s="118">
        <v>16</v>
      </c>
      <c r="B19" s="119" t="s">
        <v>389</v>
      </c>
      <c r="C19" s="110">
        <v>28</v>
      </c>
      <c r="D19" s="514"/>
      <c r="E19" s="514"/>
      <c r="F19" s="514"/>
      <c r="G19" s="514"/>
      <c r="H19" s="514"/>
      <c r="I19" s="514"/>
      <c r="J19" s="514"/>
      <c r="K19" s="514"/>
      <c r="L19" s="514"/>
      <c r="M19" s="514"/>
      <c r="N19" s="514"/>
      <c r="O19" s="514"/>
      <c r="P19" s="514"/>
      <c r="Q19" s="514"/>
      <c r="R19" s="514"/>
      <c r="S19" s="514"/>
      <c r="T19" s="514"/>
      <c r="U19" s="514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>
        <v>-422755791</v>
      </c>
      <c r="AO19" s="514">
        <v>-563909516</v>
      </c>
      <c r="AP19" s="514">
        <v>-567924561</v>
      </c>
      <c r="AQ19" s="514">
        <v>-840791009</v>
      </c>
      <c r="AR19" s="514">
        <v>-961855770</v>
      </c>
      <c r="AS19" s="514">
        <v>-1030712173</v>
      </c>
      <c r="AT19" s="514">
        <v>-1160823006</v>
      </c>
      <c r="AU19" s="514">
        <v>-939585045</v>
      </c>
      <c r="AV19" s="514">
        <v>-859444105</v>
      </c>
      <c r="AW19" s="514">
        <v>-840165515</v>
      </c>
      <c r="AX19" s="514">
        <v>-889159081</v>
      </c>
      <c r="AY19" s="514">
        <v>-1032562923</v>
      </c>
      <c r="AZ19" s="514">
        <v>-739360517</v>
      </c>
      <c r="BA19" s="514">
        <v>-1303843040</v>
      </c>
      <c r="BB19" s="514">
        <v>-673966789</v>
      </c>
      <c r="BC19" s="514">
        <v>-888393452</v>
      </c>
      <c r="BD19" s="514">
        <v>-1186588729</v>
      </c>
      <c r="BE19" s="514">
        <v>-1448899822</v>
      </c>
      <c r="BF19" s="514">
        <v>-1242023326</v>
      </c>
      <c r="BG19" s="514">
        <v>-1303560910</v>
      </c>
      <c r="BH19" s="514">
        <v>-1595764355</v>
      </c>
      <c r="BI19" s="514">
        <v>-1368802426</v>
      </c>
      <c r="BJ19" s="514">
        <v>-1256132292</v>
      </c>
      <c r="BK19" s="514">
        <v>-1256103396</v>
      </c>
      <c r="BL19" s="514">
        <v>-1240115065</v>
      </c>
      <c r="BM19" s="514">
        <v>-1156279418</v>
      </c>
      <c r="BN19" s="514">
        <v>-959718564</v>
      </c>
      <c r="BO19" s="514">
        <v>-1062084475</v>
      </c>
      <c r="BP19" s="514">
        <v>-838836791</v>
      </c>
      <c r="BQ19" s="514">
        <v>-856841656</v>
      </c>
      <c r="BR19" s="514"/>
      <c r="BS19" s="514"/>
      <c r="BT19" s="514"/>
      <c r="BU19" s="514"/>
      <c r="BV19" s="514"/>
      <c r="BW19" s="514"/>
    </row>
    <row r="20" spans="1:75">
      <c r="A20" s="118">
        <v>17</v>
      </c>
      <c r="B20" s="119" t="s">
        <v>390</v>
      </c>
      <c r="C20" s="110">
        <v>28</v>
      </c>
      <c r="D20" s="514"/>
      <c r="E20" s="514"/>
      <c r="F20" s="514"/>
      <c r="G20" s="514"/>
      <c r="H20" s="514"/>
      <c r="I20" s="514"/>
      <c r="J20" s="514"/>
      <c r="K20" s="514"/>
      <c r="L20" s="514"/>
      <c r="M20" s="514"/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>
        <v>0</v>
      </c>
      <c r="AO20" s="514">
        <v>-6372627736</v>
      </c>
      <c r="AP20" s="514">
        <v>0</v>
      </c>
      <c r="AQ20" s="514">
        <v>-1567047590</v>
      </c>
      <c r="AR20" s="514">
        <v>0</v>
      </c>
      <c r="AS20" s="514">
        <v>0</v>
      </c>
      <c r="AT20" s="514">
        <v>-4839738089</v>
      </c>
      <c r="AU20" s="514">
        <v>0</v>
      </c>
      <c r="AV20" s="514">
        <v>0</v>
      </c>
      <c r="AW20" s="514">
        <v>0</v>
      </c>
      <c r="AX20" s="514">
        <v>0</v>
      </c>
      <c r="AY20" s="514">
        <v>0</v>
      </c>
      <c r="AZ20" s="514">
        <v>0</v>
      </c>
      <c r="BA20" s="514">
        <v>0</v>
      </c>
      <c r="BB20" s="514">
        <v>0</v>
      </c>
      <c r="BC20" s="514">
        <v>0</v>
      </c>
      <c r="BD20" s="514">
        <v>0</v>
      </c>
      <c r="BE20" s="514">
        <v>0</v>
      </c>
      <c r="BF20" s="514">
        <v>0</v>
      </c>
      <c r="BG20" s="514">
        <v>0</v>
      </c>
      <c r="BH20" s="514">
        <v>0</v>
      </c>
      <c r="BI20" s="514">
        <v>0</v>
      </c>
      <c r="BJ20" s="514">
        <v>0</v>
      </c>
      <c r="BK20" s="514">
        <v>0</v>
      </c>
      <c r="BL20" s="514">
        <v>0</v>
      </c>
      <c r="BM20" s="514">
        <v>0</v>
      </c>
      <c r="BN20" s="514">
        <v>0</v>
      </c>
      <c r="BO20" s="514">
        <v>0</v>
      </c>
      <c r="BP20" s="514">
        <v>0</v>
      </c>
      <c r="BQ20" s="514">
        <v>0</v>
      </c>
      <c r="BR20" s="514"/>
      <c r="BS20" s="514"/>
      <c r="BT20" s="514"/>
      <c r="BU20" s="514"/>
      <c r="BV20" s="514"/>
      <c r="BW20" s="514"/>
    </row>
    <row r="21" spans="1:75">
      <c r="A21" s="118">
        <v>18</v>
      </c>
      <c r="B21" s="119" t="s">
        <v>391</v>
      </c>
      <c r="C21" s="124">
        <v>28</v>
      </c>
      <c r="D21" s="518"/>
      <c r="E21" s="518"/>
      <c r="F21" s="518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8"/>
      <c r="AB21" s="518"/>
      <c r="AC21" s="518"/>
      <c r="AD21" s="518"/>
      <c r="AE21" s="518"/>
      <c r="AF21" s="518"/>
      <c r="AG21" s="518"/>
      <c r="AH21" s="518"/>
      <c r="AI21" s="518"/>
      <c r="AJ21" s="518"/>
      <c r="AK21" s="518"/>
      <c r="AL21" s="518"/>
      <c r="AM21" s="518"/>
      <c r="AN21" s="518">
        <v>33300285459</v>
      </c>
      <c r="AO21" s="518">
        <v>581261898</v>
      </c>
      <c r="AP21" s="518">
        <v>295846464</v>
      </c>
      <c r="AQ21" s="518">
        <v>6044827458</v>
      </c>
      <c r="AR21" s="518">
        <v>0</v>
      </c>
      <c r="AS21" s="518">
        <v>183077251</v>
      </c>
      <c r="AT21" s="518">
        <v>0</v>
      </c>
      <c r="AU21" s="518">
        <v>0</v>
      </c>
      <c r="AV21" s="518">
        <v>0</v>
      </c>
      <c r="AW21" s="518">
        <v>0</v>
      </c>
      <c r="AX21" s="518">
        <v>44753129</v>
      </c>
      <c r="AY21" s="518">
        <v>100064303</v>
      </c>
      <c r="AZ21" s="518">
        <v>0</v>
      </c>
      <c r="BA21" s="518">
        <v>310813567</v>
      </c>
      <c r="BB21" s="518">
        <v>0</v>
      </c>
      <c r="BC21" s="518">
        <v>0</v>
      </c>
      <c r="BD21" s="518">
        <v>1602926131</v>
      </c>
      <c r="BE21" s="518">
        <v>1730001720</v>
      </c>
      <c r="BF21" s="518">
        <v>0</v>
      </c>
      <c r="BG21" s="518">
        <v>1684422467</v>
      </c>
      <c r="BH21" s="518">
        <v>0</v>
      </c>
      <c r="BI21" s="518">
        <v>0</v>
      </c>
      <c r="BJ21" s="518">
        <v>0</v>
      </c>
      <c r="BK21" s="518">
        <v>0</v>
      </c>
      <c r="BL21" s="518">
        <v>0</v>
      </c>
      <c r="BM21" s="518">
        <v>0</v>
      </c>
      <c r="BN21" s="518">
        <v>0</v>
      </c>
      <c r="BO21" s="518">
        <v>157635856</v>
      </c>
      <c r="BP21" s="518">
        <v>0</v>
      </c>
      <c r="BQ21" s="518">
        <v>132731165</v>
      </c>
      <c r="BR21" s="518"/>
      <c r="BS21" s="518"/>
      <c r="BT21" s="518"/>
      <c r="BU21" s="518"/>
      <c r="BV21" s="518"/>
      <c r="BW21" s="518"/>
    </row>
    <row r="22" spans="1:75">
      <c r="A22" s="118">
        <v>19</v>
      </c>
      <c r="B22" s="119" t="s">
        <v>392</v>
      </c>
      <c r="C22" s="114">
        <v>28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>
        <v>-556985123</v>
      </c>
      <c r="AO22" s="12">
        <v>0</v>
      </c>
      <c r="AP22" s="12">
        <v>-2626029698</v>
      </c>
      <c r="AQ22" s="12">
        <v>-1520939337</v>
      </c>
      <c r="AR22" s="12">
        <v>-231157127</v>
      </c>
      <c r="AS22" s="12">
        <v>-168183405</v>
      </c>
      <c r="AT22" s="12">
        <v>-7757502843</v>
      </c>
      <c r="AU22" s="12">
        <v>-843147474</v>
      </c>
      <c r="AV22" s="12">
        <v>-778536028</v>
      </c>
      <c r="AW22" s="12">
        <v>-88004798</v>
      </c>
      <c r="AX22" s="12">
        <v>0</v>
      </c>
      <c r="AY22" s="12">
        <v>0</v>
      </c>
      <c r="AZ22" s="12">
        <v>-2457877506</v>
      </c>
      <c r="BA22" s="12">
        <v>0</v>
      </c>
      <c r="BB22" s="12">
        <v>-46111316</v>
      </c>
      <c r="BC22" s="12">
        <v>-2524601239</v>
      </c>
      <c r="BD22" s="12">
        <v>0</v>
      </c>
      <c r="BE22" s="12">
        <v>0</v>
      </c>
      <c r="BF22" s="12">
        <v>-5614800575</v>
      </c>
      <c r="BG22" s="12">
        <v>0</v>
      </c>
      <c r="BH22" s="12">
        <v>-1710474573</v>
      </c>
      <c r="BI22" s="12">
        <v>-325905289</v>
      </c>
      <c r="BJ22" s="12">
        <v>-569293452</v>
      </c>
      <c r="BK22" s="12">
        <v>-1260571042</v>
      </c>
      <c r="BL22" s="12">
        <v>-8060010807</v>
      </c>
      <c r="BM22" s="12">
        <v>-2359246078</v>
      </c>
      <c r="BN22" s="12">
        <v>-3215980617</v>
      </c>
      <c r="BO22" s="12">
        <v>0</v>
      </c>
      <c r="BP22" s="12">
        <v>-270608817</v>
      </c>
      <c r="BQ22" s="12">
        <v>0</v>
      </c>
      <c r="BR22" s="12"/>
      <c r="BS22" s="12"/>
      <c r="BT22" s="12"/>
      <c r="BU22" s="12"/>
      <c r="BV22" s="12"/>
      <c r="BW22" s="12"/>
    </row>
    <row r="23" spans="1:75">
      <c r="A23" s="101">
        <v>20</v>
      </c>
      <c r="B23" s="125" t="s">
        <v>220</v>
      </c>
      <c r="C23" s="126">
        <v>28</v>
      </c>
      <c r="D23" s="14">
        <f>SUM(D13:D22)</f>
        <v>0</v>
      </c>
      <c r="E23" s="14">
        <f t="shared" ref="E23:BK23" si="2">SUM(E13:E22)</f>
        <v>0</v>
      </c>
      <c r="F23" s="14">
        <f t="shared" si="2"/>
        <v>0</v>
      </c>
      <c r="G23" s="14">
        <f t="shared" si="2"/>
        <v>0</v>
      </c>
      <c r="H23" s="14">
        <f t="shared" si="2"/>
        <v>0</v>
      </c>
      <c r="I23" s="14">
        <f t="shared" si="2"/>
        <v>0</v>
      </c>
      <c r="J23" s="14">
        <f t="shared" si="2"/>
        <v>0</v>
      </c>
      <c r="K23" s="14">
        <f t="shared" si="2"/>
        <v>0</v>
      </c>
      <c r="L23" s="14">
        <f t="shared" si="2"/>
        <v>0</v>
      </c>
      <c r="M23" s="14">
        <f t="shared" si="2"/>
        <v>0</v>
      </c>
      <c r="N23" s="14">
        <f t="shared" si="2"/>
        <v>0</v>
      </c>
      <c r="O23" s="14">
        <f t="shared" si="2"/>
        <v>0</v>
      </c>
      <c r="P23" s="14">
        <f t="shared" si="2"/>
        <v>0</v>
      </c>
      <c r="Q23" s="14">
        <f t="shared" si="2"/>
        <v>0</v>
      </c>
      <c r="R23" s="14">
        <f t="shared" si="2"/>
        <v>0</v>
      </c>
      <c r="S23" s="14">
        <f t="shared" si="2"/>
        <v>0</v>
      </c>
      <c r="T23" s="14">
        <f t="shared" si="2"/>
        <v>0</v>
      </c>
      <c r="U23" s="14">
        <f t="shared" si="2"/>
        <v>0</v>
      </c>
      <c r="V23" s="14">
        <f t="shared" si="2"/>
        <v>0</v>
      </c>
      <c r="W23" s="14">
        <f t="shared" si="2"/>
        <v>0</v>
      </c>
      <c r="X23" s="14">
        <f t="shared" si="2"/>
        <v>0</v>
      </c>
      <c r="Y23" s="14">
        <f t="shared" si="2"/>
        <v>0</v>
      </c>
      <c r="Z23" s="14">
        <f t="shared" si="2"/>
        <v>0</v>
      </c>
      <c r="AA23" s="14">
        <f t="shared" si="2"/>
        <v>0</v>
      </c>
      <c r="AB23" s="14">
        <f t="shared" si="2"/>
        <v>0</v>
      </c>
      <c r="AC23" s="14">
        <f t="shared" si="2"/>
        <v>0</v>
      </c>
      <c r="AD23" s="14">
        <f t="shared" si="2"/>
        <v>0</v>
      </c>
      <c r="AE23" s="14">
        <f t="shared" si="2"/>
        <v>0</v>
      </c>
      <c r="AF23" s="14">
        <f t="shared" si="2"/>
        <v>0</v>
      </c>
      <c r="AG23" s="14">
        <f t="shared" si="2"/>
        <v>0</v>
      </c>
      <c r="AH23" s="14">
        <f t="shared" si="2"/>
        <v>0</v>
      </c>
      <c r="AI23" s="14">
        <f t="shared" si="2"/>
        <v>0</v>
      </c>
      <c r="AJ23" s="14">
        <f t="shared" si="2"/>
        <v>0</v>
      </c>
      <c r="AK23" s="14">
        <f t="shared" si="2"/>
        <v>0</v>
      </c>
      <c r="AL23" s="14">
        <f t="shared" si="2"/>
        <v>0</v>
      </c>
      <c r="AM23" s="14">
        <f t="shared" si="2"/>
        <v>0</v>
      </c>
      <c r="AN23" s="14">
        <f t="shared" si="2"/>
        <v>-17775357241</v>
      </c>
      <c r="AO23" s="14">
        <f t="shared" si="2"/>
        <v>-1343945791</v>
      </c>
      <c r="AP23" s="14">
        <f t="shared" si="2"/>
        <v>-52707132900</v>
      </c>
      <c r="AQ23" s="14">
        <f t="shared" si="2"/>
        <v>-32847116763</v>
      </c>
      <c r="AR23" s="14">
        <f t="shared" si="2"/>
        <v>-32201413154.000004</v>
      </c>
      <c r="AS23" s="14">
        <f t="shared" si="2"/>
        <v>-26150974323</v>
      </c>
      <c r="AT23" s="14">
        <f t="shared" si="2"/>
        <v>59894819254</v>
      </c>
      <c r="AU23" s="14">
        <f t="shared" si="2"/>
        <v>22973774841</v>
      </c>
      <c r="AV23" s="14">
        <f t="shared" si="2"/>
        <v>57520546</v>
      </c>
      <c r="AW23" s="14">
        <f t="shared" si="2"/>
        <v>14505150483</v>
      </c>
      <c r="AX23" s="14">
        <f t="shared" si="2"/>
        <v>-49344151598</v>
      </c>
      <c r="AY23" s="14">
        <f t="shared" si="2"/>
        <v>-1703229830</v>
      </c>
      <c r="AZ23" s="14">
        <f t="shared" si="2"/>
        <v>73442833735.000092</v>
      </c>
      <c r="BA23" s="14">
        <f t="shared" si="2"/>
        <v>48071415904.999908</v>
      </c>
      <c r="BB23" s="14">
        <f t="shared" si="2"/>
        <v>-17204590181</v>
      </c>
      <c r="BC23" s="14">
        <f t="shared" si="2"/>
        <v>-31578643179.000008</v>
      </c>
      <c r="BD23" s="14">
        <f t="shared" si="2"/>
        <v>-24664732507</v>
      </c>
      <c r="BE23" s="14">
        <f t="shared" si="2"/>
        <v>-17259429454</v>
      </c>
      <c r="BF23" s="14">
        <f t="shared" si="2"/>
        <v>-28403748185.999901</v>
      </c>
      <c r="BG23" s="14">
        <f t="shared" si="2"/>
        <v>-32846855547</v>
      </c>
      <c r="BH23" s="14">
        <f t="shared" si="2"/>
        <v>27488458719.999901</v>
      </c>
      <c r="BI23" s="14">
        <f t="shared" si="2"/>
        <v>67153057901</v>
      </c>
      <c r="BJ23" s="14">
        <f t="shared" si="2"/>
        <v>-1637423795</v>
      </c>
      <c r="BK23" s="14">
        <f t="shared" si="2"/>
        <v>-20495443416</v>
      </c>
      <c r="BL23" s="14">
        <v>58381278265</v>
      </c>
      <c r="BM23" s="14">
        <v>3703457019</v>
      </c>
      <c r="BN23" s="14">
        <v>55457469972</v>
      </c>
      <c r="BO23" s="14">
        <v>69037711585</v>
      </c>
      <c r="BP23" s="14">
        <v>-55569011187</v>
      </c>
      <c r="BQ23" s="14">
        <f t="shared" ref="BQ23:BW23" si="3">SUM(BQ13:BQ22)</f>
        <v>1493807161</v>
      </c>
      <c r="BR23" s="14">
        <f t="shared" si="3"/>
        <v>0</v>
      </c>
      <c r="BS23" s="14">
        <f t="shared" si="3"/>
        <v>0</v>
      </c>
      <c r="BT23" s="14">
        <f t="shared" si="3"/>
        <v>0</v>
      </c>
      <c r="BU23" s="14">
        <f t="shared" si="3"/>
        <v>0</v>
      </c>
      <c r="BV23" s="14">
        <f t="shared" si="3"/>
        <v>0</v>
      </c>
      <c r="BW23" s="14">
        <f t="shared" si="3"/>
        <v>0</v>
      </c>
    </row>
    <row r="24" spans="1:75">
      <c r="A24" s="101">
        <v>21</v>
      </c>
      <c r="B24" s="102" t="s">
        <v>221</v>
      </c>
      <c r="C24" s="127">
        <v>28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>
        <v>0</v>
      </c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/>
      <c r="BS24" s="15"/>
      <c r="BT24" s="15"/>
      <c r="BU24" s="15"/>
      <c r="BV24" s="15"/>
      <c r="BW24" s="15"/>
    </row>
    <row r="25" spans="1:75">
      <c r="A25" s="128">
        <v>22</v>
      </c>
      <c r="B25" s="129" t="s">
        <v>393</v>
      </c>
      <c r="C25" s="113">
        <v>28</v>
      </c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517"/>
      <c r="W25" s="517"/>
      <c r="X25" s="517"/>
      <c r="Y25" s="517"/>
      <c r="Z25" s="517"/>
      <c r="AA25" s="517"/>
      <c r="AB25" s="517"/>
      <c r="AC25" s="517"/>
      <c r="AD25" s="517"/>
      <c r="AE25" s="517"/>
      <c r="AF25" s="517"/>
      <c r="AG25" s="517"/>
      <c r="AH25" s="517"/>
      <c r="AI25" s="517"/>
      <c r="AJ25" s="517"/>
      <c r="AK25" s="517"/>
      <c r="AL25" s="517"/>
      <c r="AM25" s="517"/>
      <c r="AN25" s="517">
        <v>-4433253562</v>
      </c>
      <c r="AO25" s="517">
        <v>-4806499635</v>
      </c>
      <c r="AP25" s="517">
        <v>-1178976480</v>
      </c>
      <c r="AQ25" s="517">
        <v>-2137822833</v>
      </c>
      <c r="AR25" s="517">
        <v>-1997868497</v>
      </c>
      <c r="AS25" s="517">
        <v>-779289764</v>
      </c>
      <c r="AT25" s="517">
        <v>-1731396930</v>
      </c>
      <c r="AU25" s="517">
        <v>-587684497</v>
      </c>
      <c r="AV25" s="517">
        <v>-737051257</v>
      </c>
      <c r="AW25" s="517">
        <v>-2432817561</v>
      </c>
      <c r="AX25" s="517">
        <v>-4956702014.9965801</v>
      </c>
      <c r="AY25" s="517">
        <v>-10070018910.996582</v>
      </c>
      <c r="AZ25" s="517">
        <v>-9821622713</v>
      </c>
      <c r="BA25" s="517">
        <v>-2791142302</v>
      </c>
      <c r="BB25" s="517">
        <v>-5471315854</v>
      </c>
      <c r="BC25" s="517">
        <v>-3883627959</v>
      </c>
      <c r="BD25" s="517">
        <v>-9506285511</v>
      </c>
      <c r="BE25" s="517">
        <v>-7002001812</v>
      </c>
      <c r="BF25" s="517">
        <v>1109740305</v>
      </c>
      <c r="BG25" s="517">
        <v>-4865692586</v>
      </c>
      <c r="BH25" s="517">
        <v>-12299284463</v>
      </c>
      <c r="BI25" s="517">
        <v>-16012258392</v>
      </c>
      <c r="BJ25" s="517">
        <v>-5017993937</v>
      </c>
      <c r="BK25" s="517">
        <v>-12497879821</v>
      </c>
      <c r="BL25" s="517">
        <v>-10076408181</v>
      </c>
      <c r="BM25" s="517">
        <v>-30351439535</v>
      </c>
      <c r="BN25" s="517">
        <v>-11017403141</v>
      </c>
      <c r="BO25" s="517">
        <v>-5497964272</v>
      </c>
      <c r="BP25" s="517">
        <v>-3477189108</v>
      </c>
      <c r="BQ25" s="517">
        <v>-4456593429</v>
      </c>
      <c r="BR25" s="517"/>
      <c r="BS25" s="517"/>
      <c r="BT25" s="517"/>
      <c r="BU25" s="517"/>
      <c r="BV25" s="517"/>
      <c r="BW25" s="517"/>
    </row>
    <row r="26" spans="1:75">
      <c r="A26" s="128">
        <v>23</v>
      </c>
      <c r="B26" s="129" t="s">
        <v>394</v>
      </c>
      <c r="C26" s="124">
        <v>28</v>
      </c>
      <c r="D26" s="519"/>
      <c r="E26" s="519"/>
      <c r="F26" s="519"/>
      <c r="G26" s="519"/>
      <c r="H26" s="519"/>
      <c r="I26" s="519"/>
      <c r="J26" s="519"/>
      <c r="K26" s="519"/>
      <c r="L26" s="519"/>
      <c r="M26" s="519"/>
      <c r="N26" s="519"/>
      <c r="O26" s="519"/>
      <c r="P26" s="519"/>
      <c r="Q26" s="519"/>
      <c r="R26" s="519"/>
      <c r="S26" s="519"/>
      <c r="T26" s="519"/>
      <c r="U26" s="519"/>
      <c r="V26" s="519"/>
      <c r="W26" s="519"/>
      <c r="X26" s="519"/>
      <c r="Y26" s="519"/>
      <c r="Z26" s="519"/>
      <c r="AA26" s="519"/>
      <c r="AB26" s="519"/>
      <c r="AC26" s="519"/>
      <c r="AD26" s="519"/>
      <c r="AE26" s="519"/>
      <c r="AF26" s="519"/>
      <c r="AG26" s="519"/>
      <c r="AH26" s="519"/>
      <c r="AI26" s="519"/>
      <c r="AJ26" s="519"/>
      <c r="AK26" s="519"/>
      <c r="AL26" s="519"/>
      <c r="AM26" s="519"/>
      <c r="AN26" s="519">
        <v>0</v>
      </c>
      <c r="AO26" s="519">
        <v>0</v>
      </c>
      <c r="AP26" s="519">
        <v>0</v>
      </c>
      <c r="AQ26" s="519">
        <v>81700000</v>
      </c>
      <c r="AR26" s="519">
        <v>0</v>
      </c>
      <c r="AS26" s="519">
        <v>0</v>
      </c>
      <c r="AT26" s="519">
        <v>0</v>
      </c>
      <c r="AU26" s="519">
        <v>0</v>
      </c>
      <c r="AV26" s="519">
        <v>0</v>
      </c>
      <c r="AW26" s="519">
        <v>0</v>
      </c>
      <c r="AX26" s="519">
        <v>0</v>
      </c>
      <c r="AY26" s="519">
        <v>0</v>
      </c>
      <c r="AZ26" s="519">
        <v>0</v>
      </c>
      <c r="BA26" s="519">
        <v>0</v>
      </c>
      <c r="BB26" s="519">
        <v>0</v>
      </c>
      <c r="BC26" s="519">
        <v>623633187</v>
      </c>
      <c r="BD26" s="519">
        <v>95000000</v>
      </c>
      <c r="BE26" s="519">
        <v>226000000</v>
      </c>
      <c r="BF26" s="519">
        <v>0</v>
      </c>
      <c r="BG26" s="519">
        <v>226000000</v>
      </c>
      <c r="BH26" s="519">
        <v>0</v>
      </c>
      <c r="BI26" s="519">
        <v>0</v>
      </c>
      <c r="BJ26" s="519">
        <v>0</v>
      </c>
      <c r="BK26" s="519">
        <v>0</v>
      </c>
      <c r="BL26" s="519">
        <v>0</v>
      </c>
      <c r="BM26" s="519">
        <v>0</v>
      </c>
      <c r="BN26" s="519">
        <v>0</v>
      </c>
      <c r="BO26" s="519">
        <v>0</v>
      </c>
      <c r="BP26" s="519">
        <v>0</v>
      </c>
      <c r="BQ26" s="519">
        <v>0</v>
      </c>
      <c r="BR26" s="519"/>
      <c r="BS26" s="519"/>
      <c r="BT26" s="519"/>
      <c r="BU26" s="519"/>
      <c r="BV26" s="519"/>
      <c r="BW26" s="519"/>
    </row>
    <row r="27" spans="1:75">
      <c r="A27" s="128">
        <v>24</v>
      </c>
      <c r="B27" s="129" t="s">
        <v>395</v>
      </c>
      <c r="C27" s="124">
        <v>28</v>
      </c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>
        <v>0</v>
      </c>
      <c r="AO27" s="520">
        <v>0</v>
      </c>
      <c r="AP27" s="520">
        <v>0</v>
      </c>
      <c r="AQ27" s="520">
        <v>0</v>
      </c>
      <c r="AR27" s="520">
        <v>0</v>
      </c>
      <c r="AS27" s="520">
        <v>0</v>
      </c>
      <c r="AT27" s="520">
        <v>0</v>
      </c>
      <c r="AU27" s="520">
        <v>0</v>
      </c>
      <c r="AV27" s="520">
        <v>0</v>
      </c>
      <c r="AW27" s="520">
        <v>0</v>
      </c>
      <c r="AX27" s="520">
        <v>0</v>
      </c>
      <c r="AY27" s="520">
        <v>0</v>
      </c>
      <c r="AZ27" s="520">
        <v>-2000000000</v>
      </c>
      <c r="BA27" s="520">
        <v>2000000000</v>
      </c>
      <c r="BB27" s="520">
        <v>-37000000000</v>
      </c>
      <c r="BC27" s="520">
        <v>-30000000000</v>
      </c>
      <c r="BD27" s="520">
        <v>-10000000000</v>
      </c>
      <c r="BE27" s="520">
        <v>0</v>
      </c>
      <c r="BF27" s="520">
        <v>0</v>
      </c>
      <c r="BG27" s="520">
        <v>0</v>
      </c>
      <c r="BH27" s="520">
        <v>0</v>
      </c>
      <c r="BI27" s="520">
        <v>-20000000000</v>
      </c>
      <c r="BJ27" s="520">
        <v>-20000000000</v>
      </c>
      <c r="BK27" s="520">
        <v>-5500000000</v>
      </c>
      <c r="BL27" s="520">
        <v>0</v>
      </c>
      <c r="BM27" s="520">
        <v>-12000000000</v>
      </c>
      <c r="BN27" s="520">
        <v>-18200000000</v>
      </c>
      <c r="BO27" s="520">
        <v>-20800000000</v>
      </c>
      <c r="BP27" s="520">
        <v>-37000000000</v>
      </c>
      <c r="BQ27" s="520">
        <v>-34455263957</v>
      </c>
      <c r="BR27" s="520"/>
      <c r="BS27" s="520"/>
      <c r="BT27" s="520"/>
      <c r="BU27" s="520"/>
      <c r="BV27" s="520"/>
      <c r="BW27" s="520"/>
    </row>
    <row r="28" spans="1:75">
      <c r="A28" s="128">
        <v>25</v>
      </c>
      <c r="B28" s="129" t="s">
        <v>396</v>
      </c>
      <c r="C28" s="124">
        <v>28</v>
      </c>
      <c r="D28" s="519"/>
      <c r="E28" s="519"/>
      <c r="F28" s="519"/>
      <c r="G28" s="519"/>
      <c r="H28" s="519"/>
      <c r="I28" s="519"/>
      <c r="J28" s="519"/>
      <c r="K28" s="519"/>
      <c r="L28" s="519"/>
      <c r="M28" s="519"/>
      <c r="N28" s="519"/>
      <c r="O28" s="519"/>
      <c r="P28" s="519"/>
      <c r="Q28" s="519"/>
      <c r="R28" s="519"/>
      <c r="S28" s="519"/>
      <c r="T28" s="519"/>
      <c r="U28" s="519"/>
      <c r="V28" s="519"/>
      <c r="W28" s="519"/>
      <c r="X28" s="519"/>
      <c r="Y28" s="519"/>
      <c r="Z28" s="519"/>
      <c r="AA28" s="519"/>
      <c r="AB28" s="519"/>
      <c r="AC28" s="519"/>
      <c r="AD28" s="519"/>
      <c r="AE28" s="519"/>
      <c r="AF28" s="519"/>
      <c r="AG28" s="519"/>
      <c r="AH28" s="519"/>
      <c r="AI28" s="519"/>
      <c r="AJ28" s="519"/>
      <c r="AK28" s="519"/>
      <c r="AL28" s="519"/>
      <c r="AM28" s="519"/>
      <c r="AN28" s="519">
        <v>0</v>
      </c>
      <c r="AO28" s="519">
        <v>0</v>
      </c>
      <c r="AP28" s="519">
        <v>0</v>
      </c>
      <c r="AQ28" s="519">
        <v>0</v>
      </c>
      <c r="AR28" s="519">
        <v>0</v>
      </c>
      <c r="AS28" s="519">
        <v>0</v>
      </c>
      <c r="AT28" s="519">
        <v>0</v>
      </c>
      <c r="AU28" s="519">
        <v>0</v>
      </c>
      <c r="AV28" s="519">
        <v>0</v>
      </c>
      <c r="AW28" s="519">
        <v>0</v>
      </c>
      <c r="AX28" s="519">
        <v>0</v>
      </c>
      <c r="AY28" s="519">
        <v>0</v>
      </c>
      <c r="AZ28" s="519">
        <v>0</v>
      </c>
      <c r="BA28" s="519">
        <v>0</v>
      </c>
      <c r="BB28" s="519">
        <v>0</v>
      </c>
      <c r="BC28" s="519">
        <v>5500000000</v>
      </c>
      <c r="BD28" s="519">
        <v>0</v>
      </c>
      <c r="BE28" s="519">
        <v>0</v>
      </c>
      <c r="BF28" s="519">
        <v>15000000000</v>
      </c>
      <c r="BG28" s="519">
        <v>0</v>
      </c>
      <c r="BH28" s="519">
        <v>12000000000</v>
      </c>
      <c r="BI28" s="519">
        <v>10000000000</v>
      </c>
      <c r="BJ28" s="519">
        <v>30000000000</v>
      </c>
      <c r="BK28" s="519">
        <v>25000000000</v>
      </c>
      <c r="BL28" s="519">
        <v>0</v>
      </c>
      <c r="BM28" s="519">
        <v>0</v>
      </c>
      <c r="BN28" s="519">
        <v>3000000000</v>
      </c>
      <c r="BO28" s="519">
        <v>6200000000</v>
      </c>
      <c r="BP28" s="519">
        <v>42000000000</v>
      </c>
      <c r="BQ28" s="519">
        <v>10000000000</v>
      </c>
      <c r="BR28" s="519"/>
      <c r="BS28" s="519"/>
      <c r="BT28" s="519"/>
      <c r="BU28" s="519"/>
      <c r="BV28" s="519"/>
      <c r="BW28" s="519"/>
    </row>
    <row r="29" spans="1:75">
      <c r="A29" s="128">
        <v>26</v>
      </c>
      <c r="B29" s="129" t="s">
        <v>397</v>
      </c>
      <c r="C29" s="110">
        <v>28</v>
      </c>
      <c r="D29" s="514"/>
      <c r="E29" s="514"/>
      <c r="F29" s="514"/>
      <c r="G29" s="514"/>
      <c r="H29" s="514"/>
      <c r="I29" s="514"/>
      <c r="J29" s="514"/>
      <c r="K29" s="514"/>
      <c r="L29" s="514"/>
      <c r="M29" s="514"/>
      <c r="N29" s="514"/>
      <c r="O29" s="514"/>
      <c r="P29" s="514"/>
      <c r="Q29" s="514"/>
      <c r="R29" s="514"/>
      <c r="S29" s="514"/>
      <c r="T29" s="514"/>
      <c r="U29" s="514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>
        <v>0</v>
      </c>
      <c r="AO29" s="514">
        <v>0</v>
      </c>
      <c r="AP29" s="514">
        <v>0</v>
      </c>
      <c r="AQ29" s="514">
        <v>0</v>
      </c>
      <c r="AR29" s="514">
        <v>0</v>
      </c>
      <c r="AS29" s="514">
        <v>0</v>
      </c>
      <c r="AT29" s="514">
        <v>0</v>
      </c>
      <c r="AU29" s="514">
        <v>0</v>
      </c>
      <c r="AV29" s="514">
        <v>-830000000</v>
      </c>
      <c r="AW29" s="514">
        <v>0</v>
      </c>
      <c r="AX29" s="514">
        <v>0</v>
      </c>
      <c r="AY29" s="514">
        <v>0</v>
      </c>
      <c r="AZ29" s="514">
        <v>0</v>
      </c>
      <c r="BA29" s="514">
        <v>0</v>
      </c>
      <c r="BB29" s="514">
        <v>0</v>
      </c>
      <c r="BC29" s="514">
        <v>0</v>
      </c>
      <c r="BD29" s="514">
        <v>0</v>
      </c>
      <c r="BE29" s="514">
        <v>0</v>
      </c>
      <c r="BF29" s="514">
        <v>0</v>
      </c>
      <c r="BG29" s="514">
        <v>0</v>
      </c>
      <c r="BH29" s="514">
        <v>0</v>
      </c>
      <c r="BI29" s="514">
        <v>0</v>
      </c>
      <c r="BJ29" s="514">
        <v>0</v>
      </c>
      <c r="BK29" s="514">
        <v>0</v>
      </c>
      <c r="BL29" s="514">
        <v>0</v>
      </c>
      <c r="BM29" s="514">
        <v>0</v>
      </c>
      <c r="BN29" s="514">
        <v>0</v>
      </c>
      <c r="BO29" s="514">
        <v>0</v>
      </c>
      <c r="BP29" s="514">
        <v>0</v>
      </c>
      <c r="BQ29" s="514">
        <v>0</v>
      </c>
      <c r="BR29" s="514"/>
      <c r="BS29" s="514"/>
      <c r="BT29" s="514"/>
      <c r="BU29" s="514"/>
      <c r="BV29" s="514"/>
      <c r="BW29" s="514"/>
    </row>
    <row r="30" spans="1:75">
      <c r="A30" s="128">
        <v>27</v>
      </c>
      <c r="B30" s="129" t="s">
        <v>398</v>
      </c>
      <c r="C30" s="124">
        <v>28</v>
      </c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>
        <v>0</v>
      </c>
      <c r="AO30" s="518">
        <v>0</v>
      </c>
      <c r="AP30" s="518">
        <v>0</v>
      </c>
      <c r="AQ30" s="518">
        <v>0</v>
      </c>
      <c r="AR30" s="518">
        <v>0</v>
      </c>
      <c r="AS30" s="518">
        <v>0</v>
      </c>
      <c r="AT30" s="518">
        <v>0</v>
      </c>
      <c r="AU30" s="518">
        <v>0</v>
      </c>
      <c r="AV30" s="518">
        <v>0</v>
      </c>
      <c r="AW30" s="518">
        <v>0</v>
      </c>
      <c r="AX30" s="518">
        <v>0</v>
      </c>
      <c r="AY30" s="518">
        <v>0</v>
      </c>
      <c r="AZ30" s="518">
        <v>0</v>
      </c>
      <c r="BA30" s="518">
        <v>0</v>
      </c>
      <c r="BB30" s="518">
        <v>0</v>
      </c>
      <c r="BC30" s="518">
        <v>0</v>
      </c>
      <c r="BD30" s="518">
        <v>0</v>
      </c>
      <c r="BE30" s="518">
        <v>0</v>
      </c>
      <c r="BF30" s="518">
        <v>0</v>
      </c>
      <c r="BG30" s="518">
        <v>0</v>
      </c>
      <c r="BH30" s="518">
        <v>0</v>
      </c>
      <c r="BI30" s="518">
        <v>0</v>
      </c>
      <c r="BJ30" s="518">
        <v>0</v>
      </c>
      <c r="BK30" s="518">
        <v>0</v>
      </c>
      <c r="BL30" s="518">
        <v>0</v>
      </c>
      <c r="BM30" s="518">
        <v>0</v>
      </c>
      <c r="BN30" s="518">
        <v>0</v>
      </c>
      <c r="BO30" s="518">
        <v>0</v>
      </c>
      <c r="BP30" s="518">
        <v>0</v>
      </c>
      <c r="BQ30" s="518">
        <v>0</v>
      </c>
      <c r="BR30" s="518"/>
      <c r="BS30" s="518"/>
      <c r="BT30" s="518"/>
      <c r="BU30" s="518"/>
      <c r="BV30" s="518"/>
      <c r="BW30" s="518"/>
    </row>
    <row r="31" spans="1:75">
      <c r="A31" s="128">
        <v>28</v>
      </c>
      <c r="B31" s="129" t="s">
        <v>399</v>
      </c>
      <c r="C31" s="110">
        <v>28</v>
      </c>
      <c r="D31" s="514"/>
      <c r="E31" s="514"/>
      <c r="F31" s="514"/>
      <c r="G31" s="514"/>
      <c r="H31" s="514"/>
      <c r="I31" s="514"/>
      <c r="J31" s="514"/>
      <c r="K31" s="514"/>
      <c r="L31" s="514"/>
      <c r="M31" s="514"/>
      <c r="N31" s="514"/>
      <c r="O31" s="514"/>
      <c r="P31" s="514"/>
      <c r="Q31" s="514"/>
      <c r="R31" s="514"/>
      <c r="S31" s="514"/>
      <c r="T31" s="514"/>
      <c r="U31" s="514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>
        <v>9408148</v>
      </c>
      <c r="AO31" s="514">
        <v>10891376</v>
      </c>
      <c r="AP31" s="514">
        <v>181597914</v>
      </c>
      <c r="AQ31" s="514">
        <v>11428642</v>
      </c>
      <c r="AR31" s="514">
        <v>11345250</v>
      </c>
      <c r="AS31" s="514">
        <v>12767732</v>
      </c>
      <c r="AT31" s="514">
        <v>33371970</v>
      </c>
      <c r="AU31" s="514">
        <v>11541316</v>
      </c>
      <c r="AV31" s="514">
        <v>11865736</v>
      </c>
      <c r="AW31" s="514">
        <v>208247257</v>
      </c>
      <c r="AX31" s="514">
        <v>12331934</v>
      </c>
      <c r="AY31" s="514">
        <v>1325716773</v>
      </c>
      <c r="AZ31" s="514">
        <v>454849601</v>
      </c>
      <c r="BA31" s="514">
        <v>1295527254</v>
      </c>
      <c r="BB31" s="514">
        <v>11296757</v>
      </c>
      <c r="BC31" s="514">
        <v>62251036</v>
      </c>
      <c r="BD31" s="514">
        <v>11791098</v>
      </c>
      <c r="BE31" s="514">
        <v>11447590</v>
      </c>
      <c r="BF31" s="514">
        <v>57408816</v>
      </c>
      <c r="BG31" s="514">
        <v>8291385</v>
      </c>
      <c r="BH31" s="514">
        <v>8446685</v>
      </c>
      <c r="BI31" s="514">
        <v>770203083</v>
      </c>
      <c r="BJ31" s="514">
        <v>88716910</v>
      </c>
      <c r="BK31" s="514">
        <v>376705999</v>
      </c>
      <c r="BL31" s="514">
        <v>67565511</v>
      </c>
      <c r="BM31" s="514">
        <v>27624348</v>
      </c>
      <c r="BN31" s="514">
        <v>2057170916</v>
      </c>
      <c r="BO31" s="514">
        <v>1975289056</v>
      </c>
      <c r="BP31" s="514">
        <v>92474856</v>
      </c>
      <c r="BQ31" s="514">
        <v>256452948</v>
      </c>
      <c r="BR31" s="514"/>
      <c r="BS31" s="514"/>
      <c r="BT31" s="514"/>
      <c r="BU31" s="514"/>
      <c r="BV31" s="514"/>
      <c r="BW31" s="514"/>
    </row>
    <row r="32" spans="1:75">
      <c r="A32" s="101">
        <v>29</v>
      </c>
      <c r="B32" s="102" t="s">
        <v>229</v>
      </c>
      <c r="C32" s="126">
        <v>28</v>
      </c>
      <c r="D32" s="16">
        <f>SUM(D25:D31)</f>
        <v>0</v>
      </c>
      <c r="E32" s="16">
        <f t="shared" ref="E32:BJ32" si="4">SUM(E25:E31)</f>
        <v>0</v>
      </c>
      <c r="F32" s="16">
        <f t="shared" si="4"/>
        <v>0</v>
      </c>
      <c r="G32" s="16">
        <f t="shared" si="4"/>
        <v>0</v>
      </c>
      <c r="H32" s="16">
        <f t="shared" si="4"/>
        <v>0</v>
      </c>
      <c r="I32" s="16">
        <f t="shared" si="4"/>
        <v>0</v>
      </c>
      <c r="J32" s="16">
        <f t="shared" si="4"/>
        <v>0</v>
      </c>
      <c r="K32" s="16">
        <f t="shared" si="4"/>
        <v>0</v>
      </c>
      <c r="L32" s="16">
        <f t="shared" si="4"/>
        <v>0</v>
      </c>
      <c r="M32" s="16">
        <f t="shared" si="4"/>
        <v>0</v>
      </c>
      <c r="N32" s="16">
        <f t="shared" si="4"/>
        <v>0</v>
      </c>
      <c r="O32" s="16">
        <f t="shared" si="4"/>
        <v>0</v>
      </c>
      <c r="P32" s="16">
        <f t="shared" si="4"/>
        <v>0</v>
      </c>
      <c r="Q32" s="16">
        <f t="shared" si="4"/>
        <v>0</v>
      </c>
      <c r="R32" s="16">
        <f t="shared" si="4"/>
        <v>0</v>
      </c>
      <c r="S32" s="16">
        <f t="shared" si="4"/>
        <v>0</v>
      </c>
      <c r="T32" s="16">
        <f t="shared" si="4"/>
        <v>0</v>
      </c>
      <c r="U32" s="16">
        <f t="shared" si="4"/>
        <v>0</v>
      </c>
      <c r="V32" s="16">
        <f t="shared" si="4"/>
        <v>0</v>
      </c>
      <c r="W32" s="16">
        <f t="shared" si="4"/>
        <v>0</v>
      </c>
      <c r="X32" s="16">
        <f t="shared" si="4"/>
        <v>0</v>
      </c>
      <c r="Y32" s="16">
        <f t="shared" si="4"/>
        <v>0</v>
      </c>
      <c r="Z32" s="16">
        <f t="shared" si="4"/>
        <v>0</v>
      </c>
      <c r="AA32" s="16">
        <f t="shared" si="4"/>
        <v>0</v>
      </c>
      <c r="AB32" s="16">
        <f t="shared" si="4"/>
        <v>0</v>
      </c>
      <c r="AC32" s="16">
        <f t="shared" si="4"/>
        <v>0</v>
      </c>
      <c r="AD32" s="16">
        <f t="shared" si="4"/>
        <v>0</v>
      </c>
      <c r="AE32" s="16">
        <f t="shared" si="4"/>
        <v>0</v>
      </c>
      <c r="AF32" s="16">
        <f t="shared" si="4"/>
        <v>0</v>
      </c>
      <c r="AG32" s="16">
        <f t="shared" si="4"/>
        <v>0</v>
      </c>
      <c r="AH32" s="16">
        <f t="shared" si="4"/>
        <v>0</v>
      </c>
      <c r="AI32" s="16">
        <f t="shared" si="4"/>
        <v>0</v>
      </c>
      <c r="AJ32" s="16">
        <f t="shared" si="4"/>
        <v>0</v>
      </c>
      <c r="AK32" s="16">
        <f t="shared" si="4"/>
        <v>0</v>
      </c>
      <c r="AL32" s="16">
        <f t="shared" si="4"/>
        <v>0</v>
      </c>
      <c r="AM32" s="16">
        <f t="shared" si="4"/>
        <v>0</v>
      </c>
      <c r="AN32" s="16">
        <f t="shared" si="4"/>
        <v>-4423845414</v>
      </c>
      <c r="AO32" s="16">
        <f t="shared" si="4"/>
        <v>-4795608259</v>
      </c>
      <c r="AP32" s="16">
        <f t="shared" si="4"/>
        <v>-997378566</v>
      </c>
      <c r="AQ32" s="16">
        <f t="shared" si="4"/>
        <v>-2044694191</v>
      </c>
      <c r="AR32" s="16">
        <f t="shared" si="4"/>
        <v>-1986523247</v>
      </c>
      <c r="AS32" s="16">
        <f t="shared" si="4"/>
        <v>-766522032</v>
      </c>
      <c r="AT32" s="16">
        <f t="shared" si="4"/>
        <v>-1698024960</v>
      </c>
      <c r="AU32" s="16">
        <f t="shared" si="4"/>
        <v>-576143181</v>
      </c>
      <c r="AV32" s="16">
        <f t="shared" si="4"/>
        <v>-1555185521</v>
      </c>
      <c r="AW32" s="16">
        <f t="shared" si="4"/>
        <v>-2224570304</v>
      </c>
      <c r="AX32" s="16">
        <f t="shared" si="4"/>
        <v>-4944370080.9965801</v>
      </c>
      <c r="AY32" s="16">
        <f t="shared" si="4"/>
        <v>-8744302137.996582</v>
      </c>
      <c r="AZ32" s="16">
        <f t="shared" si="4"/>
        <v>-11366773112</v>
      </c>
      <c r="BA32" s="16">
        <f t="shared" si="4"/>
        <v>504384952</v>
      </c>
      <c r="BB32" s="16">
        <f t="shared" si="4"/>
        <v>-42460019097</v>
      </c>
      <c r="BC32" s="16">
        <f t="shared" si="4"/>
        <v>-27697743736</v>
      </c>
      <c r="BD32" s="16">
        <f t="shared" si="4"/>
        <v>-19399494413</v>
      </c>
      <c r="BE32" s="16">
        <f t="shared" si="4"/>
        <v>-6764554222</v>
      </c>
      <c r="BF32" s="16">
        <f t="shared" si="4"/>
        <v>16167149121</v>
      </c>
      <c r="BG32" s="16">
        <f t="shared" si="4"/>
        <v>-4631401201</v>
      </c>
      <c r="BH32" s="16">
        <f t="shared" si="4"/>
        <v>-290837778</v>
      </c>
      <c r="BI32" s="16">
        <f t="shared" si="4"/>
        <v>-25242055309</v>
      </c>
      <c r="BJ32" s="16">
        <f t="shared" si="4"/>
        <v>5070722973</v>
      </c>
      <c r="BK32" s="16">
        <f>SUM(BK25:BK31)</f>
        <v>7378826178</v>
      </c>
      <c r="BL32" s="16">
        <v>-10008842670</v>
      </c>
      <c r="BM32" s="16">
        <v>-42323815187</v>
      </c>
      <c r="BN32" s="16">
        <v>-24160232225</v>
      </c>
      <c r="BO32" s="16">
        <v>-18122675216</v>
      </c>
      <c r="BP32" s="16">
        <v>1615285748</v>
      </c>
      <c r="BQ32" s="16">
        <f t="shared" ref="BQ32:BW32" si="5">SUM(BQ25:BQ31)</f>
        <v>-28655404438</v>
      </c>
      <c r="BR32" s="16">
        <f t="shared" si="5"/>
        <v>0</v>
      </c>
      <c r="BS32" s="16">
        <f t="shared" si="5"/>
        <v>0</v>
      </c>
      <c r="BT32" s="16">
        <f t="shared" si="5"/>
        <v>0</v>
      </c>
      <c r="BU32" s="16">
        <f t="shared" si="5"/>
        <v>0</v>
      </c>
      <c r="BV32" s="16">
        <f t="shared" si="5"/>
        <v>0</v>
      </c>
      <c r="BW32" s="16">
        <f t="shared" si="5"/>
        <v>0</v>
      </c>
    </row>
    <row r="33" spans="1:75">
      <c r="A33" s="101">
        <v>30</v>
      </c>
      <c r="B33" s="102" t="s">
        <v>230</v>
      </c>
      <c r="C33" s="127">
        <v>28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128">
        <v>31</v>
      </c>
      <c r="B34" s="129" t="s">
        <v>400</v>
      </c>
      <c r="C34" s="114">
        <v>28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20000000000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500000000</v>
      </c>
      <c r="BK34" s="12">
        <v>5500000000</v>
      </c>
      <c r="BL34" s="12">
        <v>94000000000</v>
      </c>
      <c r="BM34" s="12">
        <v>0</v>
      </c>
      <c r="BN34" s="12">
        <v>0</v>
      </c>
      <c r="BO34" s="12">
        <v>0</v>
      </c>
      <c r="BP34" s="12">
        <v>0</v>
      </c>
      <c r="BQ34" s="12">
        <v>32000000000</v>
      </c>
      <c r="BR34" s="12"/>
      <c r="BS34" s="12"/>
      <c r="BT34" s="12"/>
      <c r="BU34" s="12"/>
      <c r="BV34" s="12"/>
      <c r="BW34" s="12"/>
    </row>
    <row r="35" spans="1:75">
      <c r="A35" s="130">
        <v>32</v>
      </c>
      <c r="B35" s="131" t="s">
        <v>401</v>
      </c>
      <c r="C35" s="132">
        <v>28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/>
      <c r="BS35" s="17"/>
      <c r="BT35" s="17"/>
      <c r="BU35" s="17"/>
      <c r="BV35" s="17"/>
      <c r="BW35" s="17"/>
    </row>
    <row r="36" spans="1:75">
      <c r="A36" s="128">
        <v>33</v>
      </c>
      <c r="B36" s="129" t="s">
        <v>402</v>
      </c>
      <c r="C36" s="110">
        <v>28</v>
      </c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514"/>
      <c r="O36" s="514"/>
      <c r="P36" s="514"/>
      <c r="Q36" s="514"/>
      <c r="R36" s="514"/>
      <c r="S36" s="514"/>
      <c r="T36" s="514"/>
      <c r="U36" s="514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>
        <v>57270669795</v>
      </c>
      <c r="AO36" s="514">
        <v>2700000000</v>
      </c>
      <c r="AP36" s="514">
        <v>51941747542</v>
      </c>
      <c r="AQ36" s="514">
        <v>43144705866</v>
      </c>
      <c r="AR36" s="514">
        <v>34881897765</v>
      </c>
      <c r="AS36" s="514">
        <v>19187776584</v>
      </c>
      <c r="AT36" s="514">
        <v>4706000000</v>
      </c>
      <c r="AU36" s="514">
        <v>51191060696</v>
      </c>
      <c r="AV36" s="514">
        <v>84691804308</v>
      </c>
      <c r="AW36" s="514">
        <v>102825721496</v>
      </c>
      <c r="AX36" s="514">
        <v>83853569555</v>
      </c>
      <c r="AY36" s="514">
        <v>37383794832</v>
      </c>
      <c r="AZ36" s="514">
        <v>2310562000</v>
      </c>
      <c r="BA36" s="514">
        <v>5428000000</v>
      </c>
      <c r="BB36" s="514">
        <v>58529191203</v>
      </c>
      <c r="BC36" s="514">
        <v>90358841948</v>
      </c>
      <c r="BD36" s="514">
        <v>46360978617</v>
      </c>
      <c r="BE36" s="514">
        <v>47723278583</v>
      </c>
      <c r="BF36" s="514">
        <v>49379624959</v>
      </c>
      <c r="BG36" s="514">
        <v>76433887270</v>
      </c>
      <c r="BH36" s="514">
        <v>74543374853</v>
      </c>
      <c r="BI36" s="514">
        <v>35990648109</v>
      </c>
      <c r="BJ36" s="514">
        <v>46874996976</v>
      </c>
      <c r="BK36" s="514">
        <v>40177257513</v>
      </c>
      <c r="BL36" s="514">
        <v>56609988510</v>
      </c>
      <c r="BM36" s="514">
        <v>47431035680</v>
      </c>
      <c r="BN36" s="514">
        <v>28824946157</v>
      </c>
      <c r="BO36" s="514">
        <v>0</v>
      </c>
      <c r="BP36" s="514">
        <v>104042294769</v>
      </c>
      <c r="BQ36" s="514">
        <v>70714568555</v>
      </c>
      <c r="BR36" s="514"/>
      <c r="BS36" s="514"/>
      <c r="BT36" s="514"/>
      <c r="BU36" s="514"/>
      <c r="BV36" s="514"/>
      <c r="BW36" s="514"/>
    </row>
    <row r="37" spans="1:75">
      <c r="A37" s="128">
        <v>34</v>
      </c>
      <c r="B37" s="129" t="s">
        <v>403</v>
      </c>
      <c r="C37" s="110">
        <v>28</v>
      </c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>
        <v>0</v>
      </c>
      <c r="AO37" s="514">
        <v>-7768970250</v>
      </c>
      <c r="AP37" s="514">
        <v>-8016000000</v>
      </c>
      <c r="AQ37" s="514">
        <v>-295193392</v>
      </c>
      <c r="AR37" s="514">
        <v>-2906560000</v>
      </c>
      <c r="AS37" s="514">
        <v>-6016005797</v>
      </c>
      <c r="AT37" s="514">
        <v>-26451297542</v>
      </c>
      <c r="AU37" s="514">
        <v>-94694168939</v>
      </c>
      <c r="AV37" s="514">
        <v>-70491152886</v>
      </c>
      <c r="AW37" s="514">
        <v>-86950072394</v>
      </c>
      <c r="AX37" s="514">
        <v>-46997210051</v>
      </c>
      <c r="AY37" s="514">
        <v>-30836777778</v>
      </c>
      <c r="AZ37" s="514">
        <v>-33725113955</v>
      </c>
      <c r="BA37" s="514">
        <v>-100211784973</v>
      </c>
      <c r="BB37" s="514">
        <v>-4197000000</v>
      </c>
      <c r="BC37" s="514">
        <v>-15728148401</v>
      </c>
      <c r="BD37" s="514">
        <v>-22093621349</v>
      </c>
      <c r="BE37" s="514">
        <v>-30106272270</v>
      </c>
      <c r="BF37" s="514">
        <v>-37490126842</v>
      </c>
      <c r="BG37" s="514">
        <v>-32982546300</v>
      </c>
      <c r="BH37" s="514">
        <v>-59818118843</v>
      </c>
      <c r="BI37" s="514">
        <v>-86548152225</v>
      </c>
      <c r="BJ37" s="514">
        <v>-53673092111</v>
      </c>
      <c r="BK37" s="514">
        <v>-51123323764</v>
      </c>
      <c r="BL37" s="514">
        <v>-101278931518</v>
      </c>
      <c r="BM37" s="514">
        <v>-9737588663</v>
      </c>
      <c r="BN37" s="514">
        <v>-71496103739</v>
      </c>
      <c r="BO37" s="514">
        <v>-31484303775</v>
      </c>
      <c r="BP37" s="514">
        <v>-59390127409</v>
      </c>
      <c r="BQ37" s="514">
        <v>-78678918453</v>
      </c>
      <c r="BR37" s="514"/>
      <c r="BS37" s="514"/>
      <c r="BT37" s="514"/>
      <c r="BU37" s="514"/>
      <c r="BV37" s="514"/>
      <c r="BW37" s="514"/>
    </row>
    <row r="38" spans="1:75">
      <c r="A38" s="128">
        <v>35</v>
      </c>
      <c r="B38" s="129" t="s">
        <v>404</v>
      </c>
      <c r="C38" s="110">
        <v>28</v>
      </c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514"/>
      <c r="T38" s="514"/>
      <c r="U38" s="514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>
        <v>0</v>
      </c>
      <c r="AO38" s="514">
        <v>0</v>
      </c>
      <c r="AP38" s="514">
        <v>0</v>
      </c>
      <c r="AQ38" s="514">
        <v>0</v>
      </c>
      <c r="AR38" s="514">
        <v>0</v>
      </c>
      <c r="AS38" s="514">
        <v>0</v>
      </c>
      <c r="AT38" s="514">
        <v>0</v>
      </c>
      <c r="AU38" s="514">
        <v>0</v>
      </c>
      <c r="AV38" s="514">
        <v>0</v>
      </c>
      <c r="AW38" s="514">
        <v>0</v>
      </c>
      <c r="AX38" s="514">
        <v>0</v>
      </c>
      <c r="AY38" s="514">
        <v>0</v>
      </c>
      <c r="AZ38" s="514">
        <v>-777777778</v>
      </c>
      <c r="BA38" s="514">
        <v>-777777778</v>
      </c>
      <c r="BB38" s="514">
        <v>-777777778</v>
      </c>
      <c r="BC38" s="514">
        <v>-777777778</v>
      </c>
      <c r="BD38" s="514">
        <v>-777777778</v>
      </c>
      <c r="BE38" s="514">
        <v>-777777778</v>
      </c>
      <c r="BF38" s="514">
        <v>-777777778</v>
      </c>
      <c r="BG38" s="514">
        <v>-777777778</v>
      </c>
      <c r="BH38" s="514">
        <v>-777777778</v>
      </c>
      <c r="BI38" s="514">
        <v>-777777778</v>
      </c>
      <c r="BJ38" s="514">
        <v>-777777778</v>
      </c>
      <c r="BK38" s="514">
        <v>-777777778</v>
      </c>
      <c r="BL38" s="514">
        <v>-1647651024</v>
      </c>
      <c r="BM38" s="514">
        <v>-738238085</v>
      </c>
      <c r="BN38" s="514">
        <v>-738238085</v>
      </c>
      <c r="BO38" s="514">
        <v>-738238085</v>
      </c>
      <c r="BP38" s="514">
        <v>-738238085</v>
      </c>
      <c r="BQ38" s="514">
        <v>-738238085</v>
      </c>
      <c r="BR38" s="514"/>
      <c r="BS38" s="514"/>
      <c r="BT38" s="514"/>
      <c r="BU38" s="514"/>
      <c r="BV38" s="514"/>
      <c r="BW38" s="514"/>
    </row>
    <row r="39" spans="1:75">
      <c r="A39" s="128">
        <v>36</v>
      </c>
      <c r="B39" s="129" t="s">
        <v>405</v>
      </c>
      <c r="C39" s="114">
        <v>28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/>
      <c r="BR39" s="12"/>
      <c r="BS39" s="12"/>
      <c r="BT39" s="12"/>
      <c r="BU39" s="12"/>
      <c r="BV39" s="12"/>
      <c r="BW39" s="12"/>
    </row>
    <row r="40" spans="1:75">
      <c r="A40" s="101">
        <v>37</v>
      </c>
      <c r="B40" s="102" t="s">
        <v>406</v>
      </c>
      <c r="C40" s="126">
        <v>28</v>
      </c>
      <c r="D40" s="16">
        <f>SUM(D34:D39)</f>
        <v>0</v>
      </c>
      <c r="E40" s="16">
        <f t="shared" ref="E40:BK40" si="6">SUM(E34:E39)</f>
        <v>0</v>
      </c>
      <c r="F40" s="16">
        <f t="shared" si="6"/>
        <v>0</v>
      </c>
      <c r="G40" s="16">
        <f t="shared" si="6"/>
        <v>0</v>
      </c>
      <c r="H40" s="16">
        <f t="shared" si="6"/>
        <v>0</v>
      </c>
      <c r="I40" s="16">
        <f t="shared" si="6"/>
        <v>0</v>
      </c>
      <c r="J40" s="16">
        <f t="shared" si="6"/>
        <v>0</v>
      </c>
      <c r="K40" s="16">
        <f t="shared" si="6"/>
        <v>0</v>
      </c>
      <c r="L40" s="16">
        <f t="shared" si="6"/>
        <v>0</v>
      </c>
      <c r="M40" s="16">
        <f t="shared" si="6"/>
        <v>0</v>
      </c>
      <c r="N40" s="16">
        <f t="shared" si="6"/>
        <v>0</v>
      </c>
      <c r="O40" s="16">
        <f t="shared" si="6"/>
        <v>0</v>
      </c>
      <c r="P40" s="16">
        <f t="shared" si="6"/>
        <v>0</v>
      </c>
      <c r="Q40" s="16">
        <f t="shared" si="6"/>
        <v>0</v>
      </c>
      <c r="R40" s="16">
        <f t="shared" si="6"/>
        <v>0</v>
      </c>
      <c r="S40" s="16">
        <f t="shared" si="6"/>
        <v>0</v>
      </c>
      <c r="T40" s="16">
        <f t="shared" si="6"/>
        <v>0</v>
      </c>
      <c r="U40" s="16">
        <f t="shared" si="6"/>
        <v>0</v>
      </c>
      <c r="V40" s="16">
        <f t="shared" si="6"/>
        <v>0</v>
      </c>
      <c r="W40" s="16">
        <f t="shared" si="6"/>
        <v>0</v>
      </c>
      <c r="X40" s="16">
        <f t="shared" si="6"/>
        <v>0</v>
      </c>
      <c r="Y40" s="16">
        <f t="shared" si="6"/>
        <v>0</v>
      </c>
      <c r="Z40" s="16">
        <f t="shared" si="6"/>
        <v>0</v>
      </c>
      <c r="AA40" s="16">
        <f t="shared" si="6"/>
        <v>0</v>
      </c>
      <c r="AB40" s="16">
        <f t="shared" si="6"/>
        <v>0</v>
      </c>
      <c r="AC40" s="16">
        <f t="shared" si="6"/>
        <v>0</v>
      </c>
      <c r="AD40" s="16">
        <f t="shared" si="6"/>
        <v>0</v>
      </c>
      <c r="AE40" s="16">
        <f t="shared" si="6"/>
        <v>0</v>
      </c>
      <c r="AF40" s="16">
        <f t="shared" si="6"/>
        <v>0</v>
      </c>
      <c r="AG40" s="16">
        <f t="shared" si="6"/>
        <v>0</v>
      </c>
      <c r="AH40" s="16">
        <f t="shared" si="6"/>
        <v>0</v>
      </c>
      <c r="AI40" s="16">
        <f t="shared" si="6"/>
        <v>0</v>
      </c>
      <c r="AJ40" s="16">
        <f t="shared" si="6"/>
        <v>0</v>
      </c>
      <c r="AK40" s="16">
        <f t="shared" si="6"/>
        <v>0</v>
      </c>
      <c r="AL40" s="16">
        <f t="shared" si="6"/>
        <v>0</v>
      </c>
      <c r="AM40" s="16">
        <f t="shared" si="6"/>
        <v>0</v>
      </c>
      <c r="AN40" s="16">
        <f t="shared" si="6"/>
        <v>57270669795</v>
      </c>
      <c r="AO40" s="16">
        <f t="shared" si="6"/>
        <v>-5068970250</v>
      </c>
      <c r="AP40" s="16">
        <f t="shared" si="6"/>
        <v>43925747542</v>
      </c>
      <c r="AQ40" s="16">
        <f t="shared" si="6"/>
        <v>42849512474</v>
      </c>
      <c r="AR40" s="16">
        <f t="shared" si="6"/>
        <v>31975337765</v>
      </c>
      <c r="AS40" s="16">
        <f t="shared" si="6"/>
        <v>13171770787</v>
      </c>
      <c r="AT40" s="16">
        <f t="shared" si="6"/>
        <v>-21745297542</v>
      </c>
      <c r="AU40" s="16">
        <f t="shared" si="6"/>
        <v>-43503108243</v>
      </c>
      <c r="AV40" s="16">
        <f t="shared" si="6"/>
        <v>14200651422</v>
      </c>
      <c r="AW40" s="16">
        <f t="shared" si="6"/>
        <v>15875649102</v>
      </c>
      <c r="AX40" s="16">
        <f t="shared" si="6"/>
        <v>56856359504</v>
      </c>
      <c r="AY40" s="16">
        <f t="shared" si="6"/>
        <v>6547017054</v>
      </c>
      <c r="AZ40" s="16">
        <f t="shared" si="6"/>
        <v>-32192329733</v>
      </c>
      <c r="BA40" s="16">
        <f t="shared" si="6"/>
        <v>-95561562751</v>
      </c>
      <c r="BB40" s="16">
        <f t="shared" si="6"/>
        <v>53554413425</v>
      </c>
      <c r="BC40" s="16">
        <f t="shared" si="6"/>
        <v>73852915769</v>
      </c>
      <c r="BD40" s="16">
        <f t="shared" si="6"/>
        <v>23489579490</v>
      </c>
      <c r="BE40" s="16">
        <f t="shared" si="6"/>
        <v>16839228535</v>
      </c>
      <c r="BF40" s="16">
        <f t="shared" si="6"/>
        <v>11111720339</v>
      </c>
      <c r="BG40" s="16">
        <f t="shared" si="6"/>
        <v>42673563192</v>
      </c>
      <c r="BH40" s="16">
        <f t="shared" si="6"/>
        <v>13947478232</v>
      </c>
      <c r="BI40" s="16">
        <f t="shared" si="6"/>
        <v>-51335281894</v>
      </c>
      <c r="BJ40" s="16">
        <f t="shared" si="6"/>
        <v>-7075872913</v>
      </c>
      <c r="BK40" s="16">
        <f t="shared" si="6"/>
        <v>-6223844029</v>
      </c>
      <c r="BL40" s="16">
        <v>47683405968</v>
      </c>
      <c r="BM40" s="16">
        <v>36955208932</v>
      </c>
      <c r="BN40" s="16">
        <v>-43409395667</v>
      </c>
      <c r="BO40" s="16">
        <v>-32222541860</v>
      </c>
      <c r="BP40" s="16">
        <v>43913929275</v>
      </c>
      <c r="BQ40" s="16">
        <f t="shared" ref="BQ40:BW40" si="7">SUM(BQ34:BQ39)</f>
        <v>23297412017</v>
      </c>
      <c r="BR40" s="16">
        <f t="shared" si="7"/>
        <v>0</v>
      </c>
      <c r="BS40" s="16">
        <f t="shared" si="7"/>
        <v>0</v>
      </c>
      <c r="BT40" s="16">
        <f t="shared" si="7"/>
        <v>0</v>
      </c>
      <c r="BU40" s="16">
        <f t="shared" si="7"/>
        <v>0</v>
      </c>
      <c r="BV40" s="16">
        <f t="shared" si="7"/>
        <v>0</v>
      </c>
      <c r="BW40" s="16">
        <f t="shared" si="7"/>
        <v>0</v>
      </c>
    </row>
    <row r="41" spans="1:75">
      <c r="A41" s="133">
        <v>38</v>
      </c>
      <c r="B41" s="134" t="s">
        <v>238</v>
      </c>
      <c r="C41" s="135">
        <v>28</v>
      </c>
      <c r="D41" s="18">
        <f>SUM(D23,D32,D40)</f>
        <v>0</v>
      </c>
      <c r="E41" s="18">
        <f t="shared" ref="E41:BK41" si="8">SUM(E23,E32,E40)</f>
        <v>0</v>
      </c>
      <c r="F41" s="18">
        <f t="shared" si="8"/>
        <v>0</v>
      </c>
      <c r="G41" s="18">
        <f t="shared" si="8"/>
        <v>0</v>
      </c>
      <c r="H41" s="18">
        <f t="shared" si="8"/>
        <v>0</v>
      </c>
      <c r="I41" s="18">
        <f t="shared" si="8"/>
        <v>0</v>
      </c>
      <c r="J41" s="18">
        <f t="shared" si="8"/>
        <v>0</v>
      </c>
      <c r="K41" s="18">
        <f t="shared" si="8"/>
        <v>0</v>
      </c>
      <c r="L41" s="18">
        <f t="shared" si="8"/>
        <v>0</v>
      </c>
      <c r="M41" s="18">
        <f t="shared" si="8"/>
        <v>0</v>
      </c>
      <c r="N41" s="18">
        <f t="shared" si="8"/>
        <v>0</v>
      </c>
      <c r="O41" s="18">
        <f t="shared" si="8"/>
        <v>0</v>
      </c>
      <c r="P41" s="18">
        <f t="shared" si="8"/>
        <v>0</v>
      </c>
      <c r="Q41" s="18">
        <f t="shared" si="8"/>
        <v>0</v>
      </c>
      <c r="R41" s="18">
        <f t="shared" si="8"/>
        <v>0</v>
      </c>
      <c r="S41" s="18">
        <f t="shared" si="8"/>
        <v>0</v>
      </c>
      <c r="T41" s="18">
        <f t="shared" si="8"/>
        <v>0</v>
      </c>
      <c r="U41" s="18">
        <f t="shared" si="8"/>
        <v>0</v>
      </c>
      <c r="V41" s="18">
        <f t="shared" si="8"/>
        <v>0</v>
      </c>
      <c r="W41" s="18">
        <f t="shared" si="8"/>
        <v>0</v>
      </c>
      <c r="X41" s="18">
        <f t="shared" si="8"/>
        <v>0</v>
      </c>
      <c r="Y41" s="18">
        <f t="shared" si="8"/>
        <v>0</v>
      </c>
      <c r="Z41" s="18">
        <f t="shared" si="8"/>
        <v>0</v>
      </c>
      <c r="AA41" s="18">
        <f t="shared" si="8"/>
        <v>0</v>
      </c>
      <c r="AB41" s="18">
        <f t="shared" si="8"/>
        <v>0</v>
      </c>
      <c r="AC41" s="18">
        <f t="shared" si="8"/>
        <v>0</v>
      </c>
      <c r="AD41" s="18">
        <f t="shared" si="8"/>
        <v>0</v>
      </c>
      <c r="AE41" s="18">
        <f t="shared" si="8"/>
        <v>0</v>
      </c>
      <c r="AF41" s="18">
        <f t="shared" si="8"/>
        <v>0</v>
      </c>
      <c r="AG41" s="18">
        <f t="shared" si="8"/>
        <v>0</v>
      </c>
      <c r="AH41" s="18">
        <f t="shared" si="8"/>
        <v>0</v>
      </c>
      <c r="AI41" s="18">
        <f t="shared" si="8"/>
        <v>0</v>
      </c>
      <c r="AJ41" s="18">
        <f t="shared" si="8"/>
        <v>0</v>
      </c>
      <c r="AK41" s="18">
        <f t="shared" si="8"/>
        <v>0</v>
      </c>
      <c r="AL41" s="18">
        <f t="shared" si="8"/>
        <v>0</v>
      </c>
      <c r="AM41" s="18">
        <f t="shared" si="8"/>
        <v>0</v>
      </c>
      <c r="AN41" s="18">
        <f t="shared" si="8"/>
        <v>35071467140</v>
      </c>
      <c r="AO41" s="18">
        <f t="shared" si="8"/>
        <v>-11208524300</v>
      </c>
      <c r="AP41" s="18">
        <f t="shared" si="8"/>
        <v>-9778763924</v>
      </c>
      <c r="AQ41" s="18">
        <f t="shared" si="8"/>
        <v>7957701520</v>
      </c>
      <c r="AR41" s="18">
        <f t="shared" si="8"/>
        <v>-2212598636.0000038</v>
      </c>
      <c r="AS41" s="18">
        <f t="shared" si="8"/>
        <v>-13745725568</v>
      </c>
      <c r="AT41" s="18">
        <f t="shared" si="8"/>
        <v>36451496752</v>
      </c>
      <c r="AU41" s="18">
        <f t="shared" si="8"/>
        <v>-21105476583</v>
      </c>
      <c r="AV41" s="18">
        <f t="shared" si="8"/>
        <v>12702986447</v>
      </c>
      <c r="AW41" s="18">
        <f t="shared" si="8"/>
        <v>28156229281</v>
      </c>
      <c r="AX41" s="18">
        <f t="shared" si="8"/>
        <v>2567837825.003418</v>
      </c>
      <c r="AY41" s="18">
        <f t="shared" si="8"/>
        <v>-3900514913.996582</v>
      </c>
      <c r="AZ41" s="18">
        <f t="shared" si="8"/>
        <v>29883730890.000092</v>
      </c>
      <c r="BA41" s="18">
        <f t="shared" si="8"/>
        <v>-46985761894.000092</v>
      </c>
      <c r="BB41" s="18">
        <f t="shared" si="8"/>
        <v>-6110195853</v>
      </c>
      <c r="BC41" s="18">
        <f t="shared" si="8"/>
        <v>14576528853.999992</v>
      </c>
      <c r="BD41" s="18">
        <f t="shared" si="8"/>
        <v>-20574647430</v>
      </c>
      <c r="BE41" s="18">
        <f t="shared" si="8"/>
        <v>-7184755141</v>
      </c>
      <c r="BF41" s="18">
        <f t="shared" si="8"/>
        <v>-1124878725.9999008</v>
      </c>
      <c r="BG41" s="18">
        <f t="shared" si="8"/>
        <v>5195306444</v>
      </c>
      <c r="BH41" s="18">
        <f t="shared" si="8"/>
        <v>41145099173.999901</v>
      </c>
      <c r="BI41" s="18">
        <f t="shared" si="8"/>
        <v>-9424279302</v>
      </c>
      <c r="BJ41" s="18">
        <f t="shared" si="8"/>
        <v>-3642573735</v>
      </c>
      <c r="BK41" s="18">
        <f t="shared" si="8"/>
        <v>-19340461267</v>
      </c>
      <c r="BL41" s="18">
        <v>96055841563</v>
      </c>
      <c r="BM41" s="18">
        <v>-1665149236</v>
      </c>
      <c r="BN41" s="18">
        <v>-12112157920</v>
      </c>
      <c r="BO41" s="18">
        <v>18692494509</v>
      </c>
      <c r="BP41" s="18">
        <v>-10039796164</v>
      </c>
      <c r="BQ41" s="18">
        <f t="shared" ref="BQ41:BW41" si="9">SUM(BQ23,BQ32,BQ40)</f>
        <v>-3864185260</v>
      </c>
      <c r="BR41" s="18">
        <f t="shared" si="9"/>
        <v>0</v>
      </c>
      <c r="BS41" s="18">
        <f t="shared" si="9"/>
        <v>0</v>
      </c>
      <c r="BT41" s="18">
        <f t="shared" si="9"/>
        <v>0</v>
      </c>
      <c r="BU41" s="18">
        <f t="shared" si="9"/>
        <v>0</v>
      </c>
      <c r="BV41" s="18">
        <f t="shared" si="9"/>
        <v>0</v>
      </c>
      <c r="BW41" s="18">
        <f t="shared" si="9"/>
        <v>0</v>
      </c>
    </row>
    <row r="42" spans="1:75">
      <c r="A42" s="101">
        <v>39</v>
      </c>
      <c r="B42" s="102" t="s">
        <v>239</v>
      </c>
      <c r="C42" s="126">
        <v>28</v>
      </c>
      <c r="D42" s="16"/>
      <c r="E42" s="16">
        <f>D44</f>
        <v>0</v>
      </c>
      <c r="F42" s="16">
        <f t="shared" ref="F42:BK42" si="10">E44</f>
        <v>0</v>
      </c>
      <c r="G42" s="16">
        <f t="shared" si="10"/>
        <v>0</v>
      </c>
      <c r="H42" s="16">
        <f t="shared" si="10"/>
        <v>0</v>
      </c>
      <c r="I42" s="16">
        <f t="shared" si="10"/>
        <v>0</v>
      </c>
      <c r="J42" s="16">
        <f t="shared" si="10"/>
        <v>0</v>
      </c>
      <c r="K42" s="16">
        <f t="shared" si="10"/>
        <v>0</v>
      </c>
      <c r="L42" s="16">
        <f t="shared" si="10"/>
        <v>0</v>
      </c>
      <c r="M42" s="16">
        <f t="shared" si="10"/>
        <v>0</v>
      </c>
      <c r="N42" s="16">
        <f t="shared" si="10"/>
        <v>0</v>
      </c>
      <c r="O42" s="16">
        <f t="shared" si="10"/>
        <v>0</v>
      </c>
      <c r="P42" s="16">
        <f t="shared" si="10"/>
        <v>0</v>
      </c>
      <c r="Q42" s="16">
        <f t="shared" si="10"/>
        <v>0</v>
      </c>
      <c r="R42" s="16">
        <f t="shared" si="10"/>
        <v>0</v>
      </c>
      <c r="S42" s="16">
        <f t="shared" si="10"/>
        <v>0</v>
      </c>
      <c r="T42" s="16">
        <f t="shared" si="10"/>
        <v>0</v>
      </c>
      <c r="U42" s="16">
        <f t="shared" si="10"/>
        <v>0</v>
      </c>
      <c r="V42" s="16">
        <f t="shared" si="10"/>
        <v>0</v>
      </c>
      <c r="W42" s="16">
        <f t="shared" si="10"/>
        <v>0</v>
      </c>
      <c r="X42" s="16">
        <f t="shared" si="10"/>
        <v>0</v>
      </c>
      <c r="Y42" s="16">
        <f t="shared" si="10"/>
        <v>0</v>
      </c>
      <c r="Z42" s="16">
        <f t="shared" si="10"/>
        <v>0</v>
      </c>
      <c r="AA42" s="16">
        <f t="shared" si="10"/>
        <v>0</v>
      </c>
      <c r="AB42" s="16">
        <f t="shared" si="10"/>
        <v>0</v>
      </c>
      <c r="AC42" s="16">
        <f t="shared" si="10"/>
        <v>0</v>
      </c>
      <c r="AD42" s="16">
        <f t="shared" si="10"/>
        <v>0</v>
      </c>
      <c r="AE42" s="16">
        <f t="shared" si="10"/>
        <v>0</v>
      </c>
      <c r="AF42" s="16">
        <f t="shared" si="10"/>
        <v>0</v>
      </c>
      <c r="AG42" s="16">
        <f t="shared" si="10"/>
        <v>0</v>
      </c>
      <c r="AH42" s="16">
        <f t="shared" si="10"/>
        <v>0</v>
      </c>
      <c r="AI42" s="16">
        <f t="shared" si="10"/>
        <v>0</v>
      </c>
      <c r="AJ42" s="16">
        <f t="shared" si="10"/>
        <v>0</v>
      </c>
      <c r="AK42" s="16">
        <f t="shared" si="10"/>
        <v>0</v>
      </c>
      <c r="AL42" s="16">
        <f t="shared" si="10"/>
        <v>0</v>
      </c>
      <c r="AM42" s="16">
        <f t="shared" si="10"/>
        <v>0</v>
      </c>
      <c r="AN42" s="16">
        <v>14272680117.99658</v>
      </c>
      <c r="AO42" s="16">
        <f t="shared" si="10"/>
        <v>49288867552.996582</v>
      </c>
      <c r="AP42" s="16">
        <f t="shared" si="10"/>
        <v>38507420566.996582</v>
      </c>
      <c r="AQ42" s="16">
        <f t="shared" si="10"/>
        <v>29048673709.996582</v>
      </c>
      <c r="AR42" s="16">
        <f t="shared" si="10"/>
        <v>37248770959.996582</v>
      </c>
      <c r="AS42" s="16">
        <f t="shared" si="10"/>
        <v>35854754104.996582</v>
      </c>
      <c r="AT42" s="16">
        <f t="shared" si="10"/>
        <v>22294252334.996582</v>
      </c>
      <c r="AU42" s="16">
        <f t="shared" si="10"/>
        <v>58926623982.996582</v>
      </c>
      <c r="AV42" s="16">
        <f t="shared" si="10"/>
        <v>38085107962.996582</v>
      </c>
      <c r="AW42" s="16">
        <f t="shared" si="10"/>
        <v>51085143267.996582</v>
      </c>
      <c r="AX42" s="16">
        <f t="shared" si="10"/>
        <v>80670393726.996582</v>
      </c>
      <c r="AY42" s="16">
        <f t="shared" si="10"/>
        <v>83760809809</v>
      </c>
      <c r="AZ42" s="559">
        <v>78515947311.006836</v>
      </c>
      <c r="BA42" s="16">
        <f t="shared" si="10"/>
        <v>108757458297.00693</v>
      </c>
      <c r="BB42" s="16">
        <f t="shared" si="10"/>
        <v>63047560922.006836</v>
      </c>
      <c r="BC42" s="16">
        <f t="shared" si="10"/>
        <v>57546333332.006836</v>
      </c>
      <c r="BD42" s="16">
        <f t="shared" si="10"/>
        <v>72781093895.006836</v>
      </c>
      <c r="BE42" s="16">
        <f t="shared" si="10"/>
        <v>53850392378.006836</v>
      </c>
      <c r="BF42" s="16">
        <f t="shared" si="10"/>
        <v>47310681042.006836</v>
      </c>
      <c r="BG42" s="16">
        <f t="shared" si="10"/>
        <v>46943683940.006935</v>
      </c>
      <c r="BH42" s="16">
        <f t="shared" si="10"/>
        <v>52760383890.006935</v>
      </c>
      <c r="BI42" s="16">
        <f t="shared" si="10"/>
        <v>94749581700.006836</v>
      </c>
      <c r="BJ42" s="16">
        <f t="shared" si="10"/>
        <v>86336513720.006836</v>
      </c>
      <c r="BK42" s="16">
        <f t="shared" si="10"/>
        <v>82814145673.006836</v>
      </c>
      <c r="BL42" s="16">
        <v>63726156404</v>
      </c>
      <c r="BM42" s="16">
        <v>160064376330</v>
      </c>
      <c r="BN42" s="16">
        <v>158595220342</v>
      </c>
      <c r="BO42" s="16">
        <v>147256262964</v>
      </c>
      <c r="BP42" s="16">
        <v>165964800039</v>
      </c>
      <c r="BQ42" s="16">
        <v>156543872808</v>
      </c>
      <c r="BR42" s="16"/>
      <c r="BS42" s="16"/>
      <c r="BT42" s="16"/>
      <c r="BU42" s="16"/>
      <c r="BV42" s="16"/>
      <c r="BW42" s="16"/>
    </row>
    <row r="43" spans="1:75">
      <c r="A43" s="136">
        <v>40</v>
      </c>
      <c r="B43" s="137" t="s">
        <v>240</v>
      </c>
      <c r="C43" s="138">
        <v>28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>
        <v>-55279705</v>
      </c>
      <c r="AO43" s="19">
        <v>427077314</v>
      </c>
      <c r="AP43" s="19">
        <v>320017067</v>
      </c>
      <c r="AQ43" s="19">
        <v>242395730</v>
      </c>
      <c r="AR43" s="19">
        <v>818581781</v>
      </c>
      <c r="AS43" s="19">
        <v>185223798</v>
      </c>
      <c r="AT43" s="19">
        <v>180874896</v>
      </c>
      <c r="AU43" s="19">
        <v>263960563</v>
      </c>
      <c r="AV43" s="19">
        <v>297048858</v>
      </c>
      <c r="AW43" s="19">
        <v>1429021178</v>
      </c>
      <c r="AX43" s="19">
        <v>522578257</v>
      </c>
      <c r="AY43" s="19">
        <v>1311270209</v>
      </c>
      <c r="AZ43" s="19">
        <v>357780096</v>
      </c>
      <c r="BA43" s="19">
        <v>1275864519</v>
      </c>
      <c r="BB43" s="19">
        <v>608968263</v>
      </c>
      <c r="BC43" s="19">
        <v>658231709</v>
      </c>
      <c r="BD43" s="19">
        <v>1643945913</v>
      </c>
      <c r="BE43" s="19">
        <v>645043805</v>
      </c>
      <c r="BF43" s="19">
        <v>757881624</v>
      </c>
      <c r="BG43" s="19">
        <v>621393506</v>
      </c>
      <c r="BH43" s="19">
        <v>844098636</v>
      </c>
      <c r="BI43" s="19">
        <v>1011211322</v>
      </c>
      <c r="BJ43" s="19">
        <v>120205688</v>
      </c>
      <c r="BK43" s="19">
        <v>252471998</v>
      </c>
      <c r="BL43" s="514">
        <v>282378363</v>
      </c>
      <c r="BM43" s="514">
        <v>195993248</v>
      </c>
      <c r="BN43" s="19">
        <v>773200542</v>
      </c>
      <c r="BO43" s="19">
        <v>16042566</v>
      </c>
      <c r="BP43" s="19">
        <v>618868933</v>
      </c>
      <c r="BQ43" s="19">
        <v>301467078</v>
      </c>
      <c r="BR43" s="19"/>
      <c r="BS43" s="19"/>
      <c r="BT43" s="19"/>
      <c r="BU43" s="19"/>
      <c r="BV43" s="19"/>
      <c r="BW43" s="19"/>
    </row>
    <row r="44" spans="1:75">
      <c r="A44" s="101">
        <v>41</v>
      </c>
      <c r="B44" s="102" t="s">
        <v>241</v>
      </c>
      <c r="C44" s="126">
        <v>28</v>
      </c>
      <c r="D44" s="16">
        <f>SUM(D41:D43)</f>
        <v>0</v>
      </c>
      <c r="E44" s="16">
        <f t="shared" ref="E44:BP44" si="11">SUM(E41:E43)</f>
        <v>0</v>
      </c>
      <c r="F44" s="16">
        <f t="shared" si="11"/>
        <v>0</v>
      </c>
      <c r="G44" s="16">
        <f t="shared" si="11"/>
        <v>0</v>
      </c>
      <c r="H44" s="16">
        <f t="shared" si="11"/>
        <v>0</v>
      </c>
      <c r="I44" s="16">
        <f t="shared" si="11"/>
        <v>0</v>
      </c>
      <c r="J44" s="16">
        <f t="shared" si="11"/>
        <v>0</v>
      </c>
      <c r="K44" s="16">
        <f t="shared" si="11"/>
        <v>0</v>
      </c>
      <c r="L44" s="16">
        <f t="shared" si="11"/>
        <v>0</v>
      </c>
      <c r="M44" s="16">
        <f t="shared" si="11"/>
        <v>0</v>
      </c>
      <c r="N44" s="16">
        <f t="shared" si="11"/>
        <v>0</v>
      </c>
      <c r="O44" s="16">
        <f t="shared" si="11"/>
        <v>0</v>
      </c>
      <c r="P44" s="16">
        <f t="shared" si="11"/>
        <v>0</v>
      </c>
      <c r="Q44" s="16">
        <f t="shared" si="11"/>
        <v>0</v>
      </c>
      <c r="R44" s="16">
        <f t="shared" si="11"/>
        <v>0</v>
      </c>
      <c r="S44" s="16">
        <f t="shared" si="11"/>
        <v>0</v>
      </c>
      <c r="T44" s="16">
        <f t="shared" si="11"/>
        <v>0</v>
      </c>
      <c r="U44" s="16">
        <f t="shared" si="11"/>
        <v>0</v>
      </c>
      <c r="V44" s="16">
        <f t="shared" si="11"/>
        <v>0</v>
      </c>
      <c r="W44" s="16">
        <f t="shared" si="11"/>
        <v>0</v>
      </c>
      <c r="X44" s="16">
        <f t="shared" si="11"/>
        <v>0</v>
      </c>
      <c r="Y44" s="16">
        <f t="shared" si="11"/>
        <v>0</v>
      </c>
      <c r="Z44" s="16">
        <f t="shared" si="11"/>
        <v>0</v>
      </c>
      <c r="AA44" s="16">
        <f t="shared" si="11"/>
        <v>0</v>
      </c>
      <c r="AB44" s="16">
        <f t="shared" si="11"/>
        <v>0</v>
      </c>
      <c r="AC44" s="16">
        <f t="shared" si="11"/>
        <v>0</v>
      </c>
      <c r="AD44" s="16">
        <f t="shared" si="11"/>
        <v>0</v>
      </c>
      <c r="AE44" s="16">
        <f t="shared" si="11"/>
        <v>0</v>
      </c>
      <c r="AF44" s="16">
        <f t="shared" si="11"/>
        <v>0</v>
      </c>
      <c r="AG44" s="16">
        <f t="shared" si="11"/>
        <v>0</v>
      </c>
      <c r="AH44" s="16">
        <f t="shared" si="11"/>
        <v>0</v>
      </c>
      <c r="AI44" s="16">
        <f t="shared" si="11"/>
        <v>0</v>
      </c>
      <c r="AJ44" s="16">
        <f t="shared" si="11"/>
        <v>0</v>
      </c>
      <c r="AK44" s="16">
        <f t="shared" si="11"/>
        <v>0</v>
      </c>
      <c r="AL44" s="16">
        <f t="shared" si="11"/>
        <v>0</v>
      </c>
      <c r="AM44" s="16">
        <f t="shared" si="11"/>
        <v>0</v>
      </c>
      <c r="AN44" s="16">
        <f t="shared" si="11"/>
        <v>49288867552.996582</v>
      </c>
      <c r="AO44" s="16">
        <f t="shared" si="11"/>
        <v>38507420566.996582</v>
      </c>
      <c r="AP44" s="16">
        <f t="shared" si="11"/>
        <v>29048673709.996582</v>
      </c>
      <c r="AQ44" s="16">
        <f t="shared" si="11"/>
        <v>37248770959.996582</v>
      </c>
      <c r="AR44" s="16">
        <f t="shared" si="11"/>
        <v>35854754104.996582</v>
      </c>
      <c r="AS44" s="16">
        <f t="shared" si="11"/>
        <v>22294252334.996582</v>
      </c>
      <c r="AT44" s="16">
        <f t="shared" si="11"/>
        <v>58926623982.996582</v>
      </c>
      <c r="AU44" s="16">
        <f t="shared" si="11"/>
        <v>38085107962.996582</v>
      </c>
      <c r="AV44" s="16">
        <f t="shared" si="11"/>
        <v>51085143267.996582</v>
      </c>
      <c r="AW44" s="16">
        <f t="shared" si="11"/>
        <v>80670393726.996582</v>
      </c>
      <c r="AX44" s="16">
        <f t="shared" si="11"/>
        <v>83760809809</v>
      </c>
      <c r="AY44" s="559">
        <f t="shared" si="11"/>
        <v>81171565104.003418</v>
      </c>
      <c r="AZ44" s="16">
        <f t="shared" si="11"/>
        <v>108757458297.00693</v>
      </c>
      <c r="BA44" s="16">
        <f t="shared" si="11"/>
        <v>63047560922.006836</v>
      </c>
      <c r="BB44" s="16">
        <f t="shared" si="11"/>
        <v>57546333332.006836</v>
      </c>
      <c r="BC44" s="16">
        <f t="shared" si="11"/>
        <v>72781093895.006836</v>
      </c>
      <c r="BD44" s="16">
        <f t="shared" si="11"/>
        <v>53850392378.006836</v>
      </c>
      <c r="BE44" s="16">
        <f t="shared" si="11"/>
        <v>47310681042.006836</v>
      </c>
      <c r="BF44" s="16">
        <f t="shared" si="11"/>
        <v>46943683940.006935</v>
      </c>
      <c r="BG44" s="16">
        <f t="shared" si="11"/>
        <v>52760383890.006935</v>
      </c>
      <c r="BH44" s="16">
        <f t="shared" si="11"/>
        <v>94749581700.006836</v>
      </c>
      <c r="BI44" s="16">
        <f t="shared" si="11"/>
        <v>86336513720.006836</v>
      </c>
      <c r="BJ44" s="16">
        <f t="shared" si="11"/>
        <v>82814145673.006836</v>
      </c>
      <c r="BK44" s="16">
        <f t="shared" si="11"/>
        <v>63726156404.006836</v>
      </c>
      <c r="BL44" s="16">
        <f t="shared" si="11"/>
        <v>160064376330</v>
      </c>
      <c r="BM44" s="16">
        <f t="shared" si="11"/>
        <v>158595220342</v>
      </c>
      <c r="BN44" s="16">
        <f t="shared" si="11"/>
        <v>147256262964</v>
      </c>
      <c r="BO44" s="16">
        <f t="shared" si="11"/>
        <v>165964800039</v>
      </c>
      <c r="BP44" s="16">
        <f t="shared" si="11"/>
        <v>156543872808</v>
      </c>
      <c r="BQ44" s="16">
        <f t="shared" ref="BQ44:BW44" si="12">SUM(BQ41:BQ43)</f>
        <v>152981154626</v>
      </c>
      <c r="BR44" s="16">
        <f t="shared" si="12"/>
        <v>0</v>
      </c>
      <c r="BS44" s="16">
        <f t="shared" si="12"/>
        <v>0</v>
      </c>
      <c r="BT44" s="16">
        <f t="shared" si="12"/>
        <v>0</v>
      </c>
      <c r="BU44" s="16">
        <f t="shared" si="12"/>
        <v>0</v>
      </c>
      <c r="BV44" s="16">
        <f t="shared" si="12"/>
        <v>0</v>
      </c>
      <c r="BW44" s="16">
        <f t="shared" si="12"/>
        <v>0</v>
      </c>
    </row>
  </sheetData>
  <sheetProtection algorithmName="SHA-512" hashValue="le8TvGJ4I69woTTpDeEEsblkh18/4oXKFw7wP4UZ53JDDPyadPV62kqLYg9A1xmIliXlQMQ8uSEcGveY/y1FGA==" saltValue="oTiVphJbBvtWQe+OQEksow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B84F-98B8-4CD1-B755-0358D9CE0820}">
  <sheetPr>
    <tabColor theme="9" tint="0.59999389629810485"/>
  </sheetPr>
  <dimension ref="A1:BW57"/>
  <sheetViews>
    <sheetView showGridLines="0" zoomScale="85" zoomScaleNormal="85" workbookViewId="0">
      <pane xSplit="3" ySplit="3" topLeftCell="BF23" activePane="bottomRight" state="frozen"/>
      <selection pane="topRight" activeCell="BL10" sqref="BL10"/>
      <selection pane="bottomLeft" activeCell="BL10" sqref="BL10"/>
      <selection pane="bottomRight" activeCell="BJ50" sqref="BJ50:BJ53"/>
    </sheetView>
  </sheetViews>
  <sheetFormatPr defaultRowHeight="14.4"/>
  <cols>
    <col min="1" max="1" width="10.6640625" hidden="1" customWidth="1"/>
    <col min="2" max="2" width="52.33203125" customWidth="1"/>
    <col min="3" max="3" width="12" hidden="1" customWidth="1"/>
    <col min="4" max="75" width="16" customWidth="1"/>
  </cols>
  <sheetData>
    <row r="1" spans="1:75" ht="17.399999999999999">
      <c r="B1" s="40" t="str">
        <f>'Thong tin'!A1</f>
        <v>CÔNG TY CP NHỰA TÁI CHẾ DUY TÂN</v>
      </c>
    </row>
    <row r="2" spans="1:75">
      <c r="B2" s="46" t="s">
        <v>243</v>
      </c>
    </row>
    <row r="3" spans="1:75" ht="27.6">
      <c r="A3" s="139" t="s">
        <v>407</v>
      </c>
      <c r="B3" s="140" t="s">
        <v>408</v>
      </c>
      <c r="C3" s="141" t="s">
        <v>246</v>
      </c>
      <c r="D3" s="49" t="s">
        <v>247</v>
      </c>
      <c r="E3" s="49" t="s">
        <v>248</v>
      </c>
      <c r="F3" s="49" t="s">
        <v>249</v>
      </c>
      <c r="G3" s="49" t="s">
        <v>250</v>
      </c>
      <c r="H3" s="49" t="s">
        <v>251</v>
      </c>
      <c r="I3" s="49" t="s">
        <v>252</v>
      </c>
      <c r="J3" s="49" t="s">
        <v>253</v>
      </c>
      <c r="K3" s="49" t="s">
        <v>254</v>
      </c>
      <c r="L3" s="49" t="s">
        <v>255</v>
      </c>
      <c r="M3" s="49" t="s">
        <v>256</v>
      </c>
      <c r="N3" s="49" t="s">
        <v>257</v>
      </c>
      <c r="O3" s="49" t="s">
        <v>258</v>
      </c>
      <c r="P3" s="49" t="s">
        <v>259</v>
      </c>
      <c r="Q3" s="49" t="s">
        <v>260</v>
      </c>
      <c r="R3" s="49" t="s">
        <v>261</v>
      </c>
      <c r="S3" s="49" t="s">
        <v>262</v>
      </c>
      <c r="T3" s="49" t="s">
        <v>263</v>
      </c>
      <c r="U3" s="49" t="s">
        <v>264</v>
      </c>
      <c r="V3" s="49" t="s">
        <v>265</v>
      </c>
      <c r="W3" s="49" t="s">
        <v>266</v>
      </c>
      <c r="X3" s="49" t="s">
        <v>267</v>
      </c>
      <c r="Y3" s="49" t="s">
        <v>268</v>
      </c>
      <c r="Z3" s="49" t="s">
        <v>269</v>
      </c>
      <c r="AA3" s="49" t="s">
        <v>270</v>
      </c>
      <c r="AB3" s="49" t="s">
        <v>271</v>
      </c>
      <c r="AC3" s="49" t="s">
        <v>272</v>
      </c>
      <c r="AD3" s="49" t="s">
        <v>273</v>
      </c>
      <c r="AE3" s="49" t="s">
        <v>274</v>
      </c>
      <c r="AF3" s="49" t="s">
        <v>275</v>
      </c>
      <c r="AG3" s="49" t="s">
        <v>276</v>
      </c>
      <c r="AH3" s="49" t="s">
        <v>277</v>
      </c>
      <c r="AI3" s="49" t="s">
        <v>278</v>
      </c>
      <c r="AJ3" s="49" t="s">
        <v>279</v>
      </c>
      <c r="AK3" s="49" t="s">
        <v>280</v>
      </c>
      <c r="AL3" s="49" t="s">
        <v>281</v>
      </c>
      <c r="AM3" s="49" t="s">
        <v>282</v>
      </c>
      <c r="AN3" s="49" t="s">
        <v>283</v>
      </c>
      <c r="AO3" s="49" t="s">
        <v>284</v>
      </c>
      <c r="AP3" s="49" t="s">
        <v>285</v>
      </c>
      <c r="AQ3" s="49" t="s">
        <v>286</v>
      </c>
      <c r="AR3" s="49" t="s">
        <v>287</v>
      </c>
      <c r="AS3" s="49" t="s">
        <v>288</v>
      </c>
      <c r="AT3" s="49" t="s">
        <v>289</v>
      </c>
      <c r="AU3" s="49" t="s">
        <v>290</v>
      </c>
      <c r="AV3" s="49" t="s">
        <v>291</v>
      </c>
      <c r="AW3" s="49" t="s">
        <v>292</v>
      </c>
      <c r="AX3" s="49" t="s">
        <v>293</v>
      </c>
      <c r="AY3" s="49" t="s">
        <v>294</v>
      </c>
      <c r="AZ3" s="49" t="s">
        <v>295</v>
      </c>
      <c r="BA3" s="49" t="s">
        <v>296</v>
      </c>
      <c r="BB3" s="49" t="s">
        <v>297</v>
      </c>
      <c r="BC3" s="49" t="s">
        <v>298</v>
      </c>
      <c r="BD3" s="49" t="s">
        <v>299</v>
      </c>
      <c r="BE3" s="49" t="s">
        <v>300</v>
      </c>
      <c r="BF3" s="49" t="s">
        <v>301</v>
      </c>
      <c r="BG3" s="49" t="s">
        <v>302</v>
      </c>
      <c r="BH3" s="49" t="s">
        <v>303</v>
      </c>
      <c r="BI3" s="49" t="s">
        <v>304</v>
      </c>
      <c r="BJ3" s="49" t="s">
        <v>305</v>
      </c>
      <c r="BK3" s="49" t="s">
        <v>306</v>
      </c>
      <c r="BL3" s="49" t="s">
        <v>307</v>
      </c>
      <c r="BM3" s="49" t="s">
        <v>308</v>
      </c>
      <c r="BN3" s="49" t="s">
        <v>309</v>
      </c>
      <c r="BO3" s="49" t="s">
        <v>310</v>
      </c>
      <c r="BP3" s="49" t="s">
        <v>311</v>
      </c>
      <c r="BQ3" s="49" t="s">
        <v>312</v>
      </c>
      <c r="BR3" s="49" t="s">
        <v>313</v>
      </c>
      <c r="BS3" s="49" t="s">
        <v>314</v>
      </c>
      <c r="BT3" s="49" t="s">
        <v>315</v>
      </c>
      <c r="BU3" s="49" t="s">
        <v>316</v>
      </c>
      <c r="BV3" s="49" t="s">
        <v>317</v>
      </c>
      <c r="BW3" s="49" t="s">
        <v>318</v>
      </c>
    </row>
    <row r="4" spans="1:75">
      <c r="A4" s="142">
        <v>1</v>
      </c>
      <c r="B4" s="143" t="s">
        <v>409</v>
      </c>
      <c r="C4" s="144">
        <v>28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>
        <v>478</v>
      </c>
      <c r="AO4" s="26">
        <v>465</v>
      </c>
      <c r="AP4" s="26">
        <v>505</v>
      </c>
      <c r="AQ4" s="26">
        <v>528</v>
      </c>
      <c r="AR4" s="26">
        <v>550</v>
      </c>
      <c r="AS4" s="26">
        <v>557</v>
      </c>
      <c r="AT4" s="26">
        <v>561</v>
      </c>
      <c r="AU4" s="26">
        <v>558</v>
      </c>
      <c r="AV4" s="26">
        <v>591</v>
      </c>
      <c r="AW4" s="26">
        <v>606</v>
      </c>
      <c r="AX4" s="26">
        <v>619</v>
      </c>
      <c r="AY4" s="26">
        <v>626</v>
      </c>
      <c r="AZ4" s="26">
        <v>729.7037037037037</v>
      </c>
      <c r="BA4" s="26">
        <v>739.96153846153845</v>
      </c>
      <c r="BB4" s="26">
        <v>806.22916666666663</v>
      </c>
      <c r="BC4" s="26">
        <v>805.57407407407402</v>
      </c>
      <c r="BD4" s="26">
        <v>802.74</v>
      </c>
      <c r="BE4" s="26">
        <v>841.75480769230774</v>
      </c>
      <c r="BF4" s="26">
        <v>893.15384615384619</v>
      </c>
      <c r="BG4" s="26">
        <v>913.73076923076928</v>
      </c>
      <c r="BH4" s="26">
        <v>924.2037037037037</v>
      </c>
      <c r="BI4" s="26">
        <v>875.40865384615381</v>
      </c>
      <c r="BJ4" s="26">
        <v>822.38461538461536</v>
      </c>
      <c r="BK4" s="26">
        <v>815.42788461538464</v>
      </c>
      <c r="BL4" s="26">
        <v>821.32</v>
      </c>
      <c r="BM4" s="26">
        <v>829.40909090909088</v>
      </c>
      <c r="BN4" s="26">
        <v>828.09635416666663</v>
      </c>
      <c r="BO4" s="26">
        <v>826.35185185185185</v>
      </c>
      <c r="BP4" s="26">
        <v>840.78</v>
      </c>
      <c r="BQ4" s="26">
        <v>892.92824074074076</v>
      </c>
      <c r="BR4" s="26"/>
      <c r="BS4" s="26"/>
      <c r="BT4" s="26"/>
      <c r="BU4" s="26"/>
      <c r="BV4" s="26"/>
      <c r="BW4" s="26"/>
    </row>
    <row r="5" spans="1:75">
      <c r="A5" s="142">
        <v>2</v>
      </c>
      <c r="B5" s="143" t="s">
        <v>410</v>
      </c>
      <c r="C5" s="144">
        <v>28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>
        <v>442.7037037037037</v>
      </c>
      <c r="BA5" s="26">
        <v>454.96153846153845</v>
      </c>
      <c r="BB5" s="26">
        <v>509.22916666666669</v>
      </c>
      <c r="BC5" s="26">
        <v>502.57407407407408</v>
      </c>
      <c r="BD5" s="26">
        <v>493.74</v>
      </c>
      <c r="BE5" s="26">
        <v>524.75480769230762</v>
      </c>
      <c r="BF5" s="26">
        <v>574.15384615384619</v>
      </c>
      <c r="BG5" s="26">
        <v>591.73076923076928</v>
      </c>
      <c r="BH5" s="26">
        <v>602.2037037037037</v>
      </c>
      <c r="BI5" s="26">
        <v>550.40865384615381</v>
      </c>
      <c r="BJ5" s="26">
        <v>493.38461538461536</v>
      </c>
      <c r="BK5" s="26">
        <v>495.42788461538464</v>
      </c>
      <c r="BL5" s="26">
        <v>491.32</v>
      </c>
      <c r="BM5" s="26">
        <v>506.40909090909088</v>
      </c>
      <c r="BN5" s="26">
        <v>503.09635416666669</v>
      </c>
      <c r="BO5" s="26">
        <v>504.35185185185185</v>
      </c>
      <c r="BP5" s="26">
        <v>521.78</v>
      </c>
      <c r="BQ5" s="26">
        <v>574.92824074074076</v>
      </c>
      <c r="BR5" s="26"/>
      <c r="BS5" s="26"/>
      <c r="BT5" s="26"/>
      <c r="BU5" s="26"/>
      <c r="BV5" s="26"/>
      <c r="BW5" s="26"/>
    </row>
    <row r="6" spans="1:75">
      <c r="A6" s="142">
        <v>3</v>
      </c>
      <c r="B6" s="143" t="s">
        <v>411</v>
      </c>
      <c r="C6" s="144">
        <v>28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>
        <v>10135.67625</v>
      </c>
      <c r="BA6" s="26">
        <v>8393.15</v>
      </c>
      <c r="BB6" s="26">
        <v>10491.245000000001</v>
      </c>
      <c r="BC6" s="26">
        <v>11142.671249999999</v>
      </c>
      <c r="BD6" s="26">
        <v>10712.43375</v>
      </c>
      <c r="BE6" s="26">
        <v>12617.004999999999</v>
      </c>
      <c r="BF6" s="26">
        <v>12562.8375</v>
      </c>
      <c r="BG6" s="26">
        <v>12228.68</v>
      </c>
      <c r="BH6" s="26">
        <v>12970.86</v>
      </c>
      <c r="BI6" s="26">
        <v>12241.221250000001</v>
      </c>
      <c r="BJ6" s="26">
        <v>11109.344999999999</v>
      </c>
      <c r="BK6" s="26">
        <v>10934.63625</v>
      </c>
      <c r="BL6" s="26">
        <v>9721.098750000001</v>
      </c>
      <c r="BM6" s="26">
        <v>7952.42</v>
      </c>
      <c r="BN6" s="26">
        <v>9804.5962499999987</v>
      </c>
      <c r="BO6" s="26">
        <v>11832.626249999999</v>
      </c>
      <c r="BP6" s="26">
        <v>10054.33625</v>
      </c>
      <c r="BQ6" s="26">
        <v>13260.33</v>
      </c>
      <c r="BR6" s="26"/>
      <c r="BS6" s="26"/>
      <c r="BT6" s="26"/>
      <c r="BU6" s="26"/>
      <c r="BV6" s="26"/>
      <c r="BW6" s="26"/>
    </row>
    <row r="7" spans="1:75">
      <c r="A7" s="142">
        <v>4</v>
      </c>
      <c r="B7" s="143" t="s">
        <v>412</v>
      </c>
      <c r="C7" s="144">
        <v>28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>
        <v>2549.0929999999998</v>
      </c>
      <c r="BA7" s="26">
        <v>4251.2479999999996</v>
      </c>
      <c r="BB7" s="26">
        <v>6804.4576000000006</v>
      </c>
      <c r="BC7" s="26">
        <v>5953.753999999999</v>
      </c>
      <c r="BD7" s="26">
        <v>6946.0355</v>
      </c>
      <c r="BE7" s="26">
        <v>6500.8678</v>
      </c>
      <c r="BF7" s="26">
        <v>7412.5526</v>
      </c>
      <c r="BG7" s="26">
        <v>7342.6915000000008</v>
      </c>
      <c r="BH7" s="26">
        <v>7034.5499</v>
      </c>
      <c r="BI7" s="26">
        <v>5348.8582000000006</v>
      </c>
      <c r="BJ7" s="26">
        <v>3941.8167000000003</v>
      </c>
      <c r="BK7" s="26">
        <v>5467.8132999999998</v>
      </c>
      <c r="BL7" s="26">
        <v>5161.3962499999998</v>
      </c>
      <c r="BM7" s="26">
        <v>3284.6660000000002</v>
      </c>
      <c r="BN7" s="26">
        <v>7091.869999999999</v>
      </c>
      <c r="BO7" s="26">
        <v>6687.1723999999995</v>
      </c>
      <c r="BP7" s="26">
        <v>6074.1306000000004</v>
      </c>
      <c r="BQ7" s="26">
        <v>6530.0542000000005</v>
      </c>
      <c r="BR7" s="26"/>
      <c r="BS7" s="26"/>
      <c r="BT7" s="26"/>
      <c r="BU7" s="26"/>
      <c r="BV7" s="26"/>
      <c r="BW7" s="26"/>
    </row>
    <row r="8" spans="1:75">
      <c r="A8" s="142">
        <v>5</v>
      </c>
      <c r="B8" s="143" t="s">
        <v>413</v>
      </c>
      <c r="C8" s="144">
        <v>28</v>
      </c>
      <c r="D8" s="26">
        <f>'Ket qua kinh doanh'!D4</f>
        <v>0</v>
      </c>
      <c r="E8" s="26">
        <f>'Ket qua kinh doanh'!E4</f>
        <v>0</v>
      </c>
      <c r="F8" s="26">
        <f>'Ket qua kinh doanh'!F4</f>
        <v>0</v>
      </c>
      <c r="G8" s="26">
        <f>'Ket qua kinh doanh'!G4</f>
        <v>0</v>
      </c>
      <c r="H8" s="26">
        <f>'Ket qua kinh doanh'!H4</f>
        <v>0</v>
      </c>
      <c r="I8" s="26">
        <f>'Ket qua kinh doanh'!I4</f>
        <v>0</v>
      </c>
      <c r="J8" s="26">
        <f>'Ket qua kinh doanh'!J4</f>
        <v>0</v>
      </c>
      <c r="K8" s="26">
        <f>'Ket qua kinh doanh'!K4</f>
        <v>0</v>
      </c>
      <c r="L8" s="26">
        <f>'Ket qua kinh doanh'!L4</f>
        <v>0</v>
      </c>
      <c r="M8" s="26">
        <f>'Ket qua kinh doanh'!M4</f>
        <v>0</v>
      </c>
      <c r="N8" s="26">
        <f>'Ket qua kinh doanh'!N4</f>
        <v>0</v>
      </c>
      <c r="O8" s="26">
        <f>'Ket qua kinh doanh'!O4</f>
        <v>0</v>
      </c>
      <c r="P8" s="26">
        <f>'Ket qua kinh doanh'!P4</f>
        <v>0</v>
      </c>
      <c r="Q8" s="26">
        <f>'Ket qua kinh doanh'!Q4</f>
        <v>0</v>
      </c>
      <c r="R8" s="26">
        <f>'Ket qua kinh doanh'!R4</f>
        <v>0</v>
      </c>
      <c r="S8" s="26">
        <f>'Ket qua kinh doanh'!S4</f>
        <v>0</v>
      </c>
      <c r="T8" s="26">
        <f>'Ket qua kinh doanh'!T4</f>
        <v>0</v>
      </c>
      <c r="U8" s="26">
        <f>'Ket qua kinh doanh'!U4</f>
        <v>0</v>
      </c>
      <c r="V8" s="26">
        <f>'Ket qua kinh doanh'!V4</f>
        <v>0</v>
      </c>
      <c r="W8" s="26">
        <f>'Ket qua kinh doanh'!W4</f>
        <v>0</v>
      </c>
      <c r="X8" s="26">
        <f>'Ket qua kinh doanh'!X4</f>
        <v>0</v>
      </c>
      <c r="Y8" s="26">
        <f>'Ket qua kinh doanh'!Y4</f>
        <v>0</v>
      </c>
      <c r="Z8" s="26">
        <f>'Ket qua kinh doanh'!Z4</f>
        <v>0</v>
      </c>
      <c r="AA8" s="26">
        <f>'Ket qua kinh doanh'!AA4</f>
        <v>0</v>
      </c>
      <c r="AB8" s="26">
        <f>'Ket qua kinh doanh'!AB4</f>
        <v>0</v>
      </c>
      <c r="AC8" s="26">
        <f>'Ket qua kinh doanh'!AC4</f>
        <v>0</v>
      </c>
      <c r="AD8" s="26">
        <f>'Ket qua kinh doanh'!AD4</f>
        <v>0</v>
      </c>
      <c r="AE8" s="26">
        <f>'Ket qua kinh doanh'!AE4</f>
        <v>0</v>
      </c>
      <c r="AF8" s="26">
        <f>'Ket qua kinh doanh'!AF4</f>
        <v>0</v>
      </c>
      <c r="AG8" s="26">
        <f>'Ket qua kinh doanh'!AG4</f>
        <v>0</v>
      </c>
      <c r="AH8" s="26">
        <f>'Ket qua kinh doanh'!AH4</f>
        <v>0</v>
      </c>
      <c r="AI8" s="26">
        <f>'Ket qua kinh doanh'!AI4</f>
        <v>0</v>
      </c>
      <c r="AJ8" s="26">
        <f>'Ket qua kinh doanh'!AJ4</f>
        <v>0</v>
      </c>
      <c r="AK8" s="26">
        <f>'Ket qua kinh doanh'!AK4</f>
        <v>0</v>
      </c>
      <c r="AL8" s="26">
        <f>'Ket qua kinh doanh'!AL4</f>
        <v>0</v>
      </c>
      <c r="AM8" s="26">
        <f>'Ket qua kinh doanh'!AM4</f>
        <v>0</v>
      </c>
      <c r="AN8" s="26">
        <v>5108.3249999999998</v>
      </c>
      <c r="AO8" s="26">
        <v>3038.375</v>
      </c>
      <c r="AP8" s="26">
        <v>4394.3999999999996</v>
      </c>
      <c r="AQ8" s="26">
        <v>4434.75</v>
      </c>
      <c r="AR8" s="26">
        <v>4827.2020000000002</v>
      </c>
      <c r="AS8" s="26">
        <v>3532.75</v>
      </c>
      <c r="AT8" s="26">
        <v>2953.134</v>
      </c>
      <c r="AU8" s="26">
        <v>5764.9472000000005</v>
      </c>
      <c r="AV8" s="26">
        <v>5789.67</v>
      </c>
      <c r="AW8" s="26">
        <v>4984.4519999999993</v>
      </c>
      <c r="AX8" s="26">
        <v>3194.5280000000002</v>
      </c>
      <c r="AY8" s="26">
        <v>3774.598</v>
      </c>
      <c r="AZ8" s="26">
        <v>4326.8272999999999</v>
      </c>
      <c r="BA8" s="26">
        <v>7040.1739999999991</v>
      </c>
      <c r="BB8" s="26">
        <v>6707.6939999999995</v>
      </c>
      <c r="BC8" s="26">
        <v>4085.9470000000001</v>
      </c>
      <c r="BD8" s="26">
        <v>4800.6902999999984</v>
      </c>
      <c r="BE8" s="26">
        <v>4045.3530000000005</v>
      </c>
      <c r="BF8" s="26">
        <v>4698.9850999999999</v>
      </c>
      <c r="BG8" s="26">
        <v>5678.89</v>
      </c>
      <c r="BH8" s="26">
        <v>3116.57</v>
      </c>
      <c r="BI8" s="26">
        <v>3435.7789999999995</v>
      </c>
      <c r="BJ8" s="26">
        <v>3062.1559999999999</v>
      </c>
      <c r="BK8" s="26">
        <v>3190.5889999999999</v>
      </c>
      <c r="BL8" s="26">
        <f>'Ket qua kinh doanh'!BL4</f>
        <v>4402.0519999999997</v>
      </c>
      <c r="BM8" s="26">
        <f>'Ket qua kinh doanh'!BM4</f>
        <v>3277.83</v>
      </c>
      <c r="BN8" s="26">
        <f>'Ket qua kinh doanh'!BN4</f>
        <v>6446.3829999999998</v>
      </c>
      <c r="BO8" s="26">
        <f>'Ket qua kinh doanh'!BO4</f>
        <v>5783.4650000000001</v>
      </c>
      <c r="BP8" s="26">
        <v>5176.3999999999996</v>
      </c>
      <c r="BQ8" s="26">
        <f>'Ket qua kinh doanh'!BQ4</f>
        <v>4118.6154999999999</v>
      </c>
      <c r="BR8" s="26">
        <f>'Ket qua kinh doanh'!BR4</f>
        <v>0</v>
      </c>
      <c r="BS8" s="26">
        <f>'Ket qua kinh doanh'!BS4</f>
        <v>0</v>
      </c>
      <c r="BT8" s="26">
        <f>'Ket qua kinh doanh'!BT4</f>
        <v>0</v>
      </c>
      <c r="BU8" s="26">
        <f>'Ket qua kinh doanh'!BU4</f>
        <v>0</v>
      </c>
      <c r="BV8" s="26">
        <f>'Ket qua kinh doanh'!BV4</f>
        <v>0</v>
      </c>
      <c r="BW8" s="26">
        <f>'Ket qua kinh doanh'!BW4</f>
        <v>0</v>
      </c>
    </row>
    <row r="9" spans="1:75">
      <c r="A9" s="145">
        <v>6</v>
      </c>
      <c r="B9" s="146" t="s">
        <v>414</v>
      </c>
      <c r="C9" s="147">
        <v>28</v>
      </c>
      <c r="D9" s="27">
        <f>'Ket qua kinh doanh'!D5</f>
        <v>0</v>
      </c>
      <c r="E9" s="27">
        <f>'Ket qua kinh doanh'!E5</f>
        <v>0</v>
      </c>
      <c r="F9" s="27">
        <f>'Ket qua kinh doanh'!F5</f>
        <v>0</v>
      </c>
      <c r="G9" s="27">
        <f>'Ket qua kinh doanh'!G5</f>
        <v>0</v>
      </c>
      <c r="H9" s="27">
        <f>'Ket qua kinh doanh'!H5</f>
        <v>0</v>
      </c>
      <c r="I9" s="27">
        <f>'Ket qua kinh doanh'!I5</f>
        <v>0</v>
      </c>
      <c r="J9" s="27">
        <f>'Ket qua kinh doanh'!J5</f>
        <v>0</v>
      </c>
      <c r="K9" s="27">
        <f>'Ket qua kinh doanh'!K5</f>
        <v>0</v>
      </c>
      <c r="L9" s="27">
        <f>'Ket qua kinh doanh'!L5</f>
        <v>0</v>
      </c>
      <c r="M9" s="27">
        <f>'Ket qua kinh doanh'!M5</f>
        <v>0</v>
      </c>
      <c r="N9" s="27">
        <f>'Ket qua kinh doanh'!N5</f>
        <v>0</v>
      </c>
      <c r="O9" s="27">
        <f>'Ket qua kinh doanh'!O5</f>
        <v>0</v>
      </c>
      <c r="P9" s="27">
        <f>'Ket qua kinh doanh'!P5</f>
        <v>0</v>
      </c>
      <c r="Q9" s="27">
        <f>'Ket qua kinh doanh'!Q5</f>
        <v>0</v>
      </c>
      <c r="R9" s="27">
        <f>'Ket qua kinh doanh'!R5</f>
        <v>0</v>
      </c>
      <c r="S9" s="27">
        <f>'Ket qua kinh doanh'!S5</f>
        <v>0</v>
      </c>
      <c r="T9" s="27">
        <f>'Ket qua kinh doanh'!T5</f>
        <v>0</v>
      </c>
      <c r="U9" s="27">
        <f>'Ket qua kinh doanh'!U5</f>
        <v>0</v>
      </c>
      <c r="V9" s="27">
        <f>'Ket qua kinh doanh'!V5</f>
        <v>0</v>
      </c>
      <c r="W9" s="27">
        <f>'Ket qua kinh doanh'!W5</f>
        <v>0</v>
      </c>
      <c r="X9" s="27">
        <f>'Ket qua kinh doanh'!X5</f>
        <v>0</v>
      </c>
      <c r="Y9" s="27">
        <f>'Ket qua kinh doanh'!Y5</f>
        <v>0</v>
      </c>
      <c r="Z9" s="27">
        <f>'Ket qua kinh doanh'!Z5</f>
        <v>0</v>
      </c>
      <c r="AA9" s="27">
        <f>'Ket qua kinh doanh'!AA5</f>
        <v>0</v>
      </c>
      <c r="AB9" s="27">
        <f>'Ket qua kinh doanh'!AB5</f>
        <v>0</v>
      </c>
      <c r="AC9" s="27">
        <f>'Ket qua kinh doanh'!AC5</f>
        <v>0</v>
      </c>
      <c r="AD9" s="27">
        <f>'Ket qua kinh doanh'!AD5</f>
        <v>0</v>
      </c>
      <c r="AE9" s="27">
        <f>'Ket qua kinh doanh'!AE5</f>
        <v>0</v>
      </c>
      <c r="AF9" s="27">
        <f>'Ket qua kinh doanh'!AF5</f>
        <v>0</v>
      </c>
      <c r="AG9" s="27">
        <f>'Ket qua kinh doanh'!AG5</f>
        <v>0</v>
      </c>
      <c r="AH9" s="27">
        <f>'Ket qua kinh doanh'!AH5</f>
        <v>0</v>
      </c>
      <c r="AI9" s="27">
        <f>'Ket qua kinh doanh'!AI5</f>
        <v>0</v>
      </c>
      <c r="AJ9" s="27">
        <f>'Ket qua kinh doanh'!AJ5</f>
        <v>0</v>
      </c>
      <c r="AK9" s="27">
        <f>'Ket qua kinh doanh'!AK5</f>
        <v>0</v>
      </c>
      <c r="AL9" s="27">
        <f>'Ket qua kinh doanh'!AL5</f>
        <v>0</v>
      </c>
      <c r="AM9" s="27">
        <f>'Ket qua kinh doanh'!AM5</f>
        <v>0</v>
      </c>
      <c r="AN9" s="27">
        <f>'Ket qua kinh doanh'!AN5</f>
        <v>130037940981</v>
      </c>
      <c r="AO9" s="27">
        <f>'Ket qua kinh doanh'!AO5</f>
        <v>84645791256</v>
      </c>
      <c r="AP9" s="27">
        <f>'Ket qua kinh doanh'!AP5</f>
        <v>115625416433</v>
      </c>
      <c r="AQ9" s="27">
        <f>'Ket qua kinh doanh'!AQ5</f>
        <v>117647266094</v>
      </c>
      <c r="AR9" s="27">
        <f>'Ket qua kinh doanh'!AR5</f>
        <v>128085507494</v>
      </c>
      <c r="AS9" s="27">
        <f>'Ket qua kinh doanh'!AS5</f>
        <v>95661572209</v>
      </c>
      <c r="AT9" s="27">
        <f>'Ket qua kinh doanh'!AT5</f>
        <v>74679662458</v>
      </c>
      <c r="AU9" s="27">
        <f>'Ket qua kinh doanh'!AU5</f>
        <v>178936926222</v>
      </c>
      <c r="AV9" s="27">
        <f>'Ket qua kinh doanh'!AV5</f>
        <v>180140886766</v>
      </c>
      <c r="AW9" s="27">
        <f>'Ket qua kinh doanh'!AW5</f>
        <v>143211413018</v>
      </c>
      <c r="AX9" s="27">
        <f>'Ket qua kinh doanh'!AX5</f>
        <v>97197472020</v>
      </c>
      <c r="AY9" s="27">
        <f>'Ket qua kinh doanh'!AY5</f>
        <v>128687104846</v>
      </c>
      <c r="AZ9" s="27">
        <f>'Ket qua kinh doanh'!AZ5</f>
        <v>114983880947</v>
      </c>
      <c r="BA9" s="27">
        <f>'Ket qua kinh doanh'!BA5</f>
        <v>188477338235</v>
      </c>
      <c r="BB9" s="27">
        <f>'Ket qua kinh doanh'!BB5</f>
        <v>150716555192</v>
      </c>
      <c r="BC9" s="27">
        <f>'Ket qua kinh doanh'!BC5</f>
        <v>125691833422</v>
      </c>
      <c r="BD9" s="27">
        <f>'Ket qua kinh doanh'!BD5</f>
        <v>153638670524</v>
      </c>
      <c r="BE9" s="27">
        <f>'Ket qua kinh doanh'!BE5</f>
        <v>120188501523</v>
      </c>
      <c r="BF9" s="27">
        <f>'Ket qua kinh doanh'!BF5</f>
        <v>138030275641</v>
      </c>
      <c r="BG9" s="27">
        <f>'Ket qua kinh doanh'!BG5</f>
        <v>169482496928</v>
      </c>
      <c r="BH9" s="27">
        <f>'Ket qua kinh doanh'!BH5</f>
        <v>91503288423</v>
      </c>
      <c r="BI9" s="27">
        <f>'Ket qua kinh doanh'!BI5</f>
        <v>109010675108</v>
      </c>
      <c r="BJ9" s="27">
        <f>'Ket qua kinh doanh'!BJ5</f>
        <v>89868450986</v>
      </c>
      <c r="BK9" s="27">
        <f>'Ket qua kinh doanh'!BK5</f>
        <v>100768484341</v>
      </c>
      <c r="BL9" s="27">
        <f>'Ket qua kinh doanh'!BL5</f>
        <v>126470480720</v>
      </c>
      <c r="BM9" s="27">
        <f>'Ket qua kinh doanh'!BM5</f>
        <v>96582496962</v>
      </c>
      <c r="BN9" s="27">
        <f>'Ket qua kinh doanh'!BN5</f>
        <v>173962786425</v>
      </c>
      <c r="BO9" s="27">
        <f>'Ket qua kinh doanh'!BO5</f>
        <v>159236581985</v>
      </c>
      <c r="BP9" s="27">
        <f>'Ket qua kinh doanh'!BP5</f>
        <v>161004715441</v>
      </c>
      <c r="BQ9" s="27">
        <f>'Ket qua kinh doanh'!BQ5</f>
        <v>123197887319</v>
      </c>
      <c r="BR9" s="27">
        <f>'Ket qua kinh doanh'!BR5</f>
        <v>0</v>
      </c>
      <c r="BS9" s="27">
        <f>'Ket qua kinh doanh'!BS5</f>
        <v>0</v>
      </c>
      <c r="BT9" s="27">
        <f>'Ket qua kinh doanh'!BT5</f>
        <v>0</v>
      </c>
      <c r="BU9" s="27">
        <f>'Ket qua kinh doanh'!BU5</f>
        <v>0</v>
      </c>
      <c r="BV9" s="27">
        <f>'Ket qua kinh doanh'!BV5</f>
        <v>0</v>
      </c>
      <c r="BW9" s="27">
        <f>'Ket qua kinh doanh'!BW5</f>
        <v>0</v>
      </c>
    </row>
    <row r="10" spans="1:75">
      <c r="A10" s="148">
        <v>7</v>
      </c>
      <c r="B10" s="149" t="s">
        <v>415</v>
      </c>
      <c r="C10" s="150">
        <v>28</v>
      </c>
      <c r="D10" s="28">
        <f>'Ket qua kinh doanh'!D6</f>
        <v>0</v>
      </c>
      <c r="E10" s="28">
        <f>'Ket qua kinh doanh'!E6</f>
        <v>0</v>
      </c>
      <c r="F10" s="28">
        <f>'Ket qua kinh doanh'!F6</f>
        <v>0</v>
      </c>
      <c r="G10" s="28">
        <f>'Ket qua kinh doanh'!G6</f>
        <v>0</v>
      </c>
      <c r="H10" s="28">
        <f>'Ket qua kinh doanh'!H6</f>
        <v>0</v>
      </c>
      <c r="I10" s="28">
        <f>'Ket qua kinh doanh'!I6</f>
        <v>0</v>
      </c>
      <c r="J10" s="28">
        <f>'Ket qua kinh doanh'!J6</f>
        <v>0</v>
      </c>
      <c r="K10" s="28">
        <f>'Ket qua kinh doanh'!K6</f>
        <v>0</v>
      </c>
      <c r="L10" s="28">
        <f>'Ket qua kinh doanh'!L6</f>
        <v>0</v>
      </c>
      <c r="M10" s="28">
        <f>'Ket qua kinh doanh'!M6</f>
        <v>0</v>
      </c>
      <c r="N10" s="28">
        <f>'Ket qua kinh doanh'!N6</f>
        <v>0</v>
      </c>
      <c r="O10" s="28">
        <f>'Ket qua kinh doanh'!O6</f>
        <v>0</v>
      </c>
      <c r="P10" s="28">
        <f>'Ket qua kinh doanh'!P6</f>
        <v>0</v>
      </c>
      <c r="Q10" s="28">
        <f>'Ket qua kinh doanh'!Q6</f>
        <v>0</v>
      </c>
      <c r="R10" s="28">
        <f>'Ket qua kinh doanh'!R6</f>
        <v>0</v>
      </c>
      <c r="S10" s="28">
        <f>'Ket qua kinh doanh'!S6</f>
        <v>0</v>
      </c>
      <c r="T10" s="28">
        <f>'Ket qua kinh doanh'!T6</f>
        <v>0</v>
      </c>
      <c r="U10" s="28">
        <f>'Ket qua kinh doanh'!U6</f>
        <v>0</v>
      </c>
      <c r="V10" s="28">
        <f>'Ket qua kinh doanh'!V6</f>
        <v>0</v>
      </c>
      <c r="W10" s="28">
        <f>'Ket qua kinh doanh'!W6</f>
        <v>0</v>
      </c>
      <c r="X10" s="28">
        <f>'Ket qua kinh doanh'!X6</f>
        <v>0</v>
      </c>
      <c r="Y10" s="28">
        <f>'Ket qua kinh doanh'!Y6</f>
        <v>0</v>
      </c>
      <c r="Z10" s="28">
        <f>'Ket qua kinh doanh'!Z6</f>
        <v>0</v>
      </c>
      <c r="AA10" s="28">
        <f>'Ket qua kinh doanh'!AA6</f>
        <v>0</v>
      </c>
      <c r="AB10" s="28">
        <f>'Ket qua kinh doanh'!AB6</f>
        <v>0</v>
      </c>
      <c r="AC10" s="28">
        <f>'Ket qua kinh doanh'!AC6</f>
        <v>0</v>
      </c>
      <c r="AD10" s="28">
        <f>'Ket qua kinh doanh'!AD6</f>
        <v>0</v>
      </c>
      <c r="AE10" s="28">
        <f>'Ket qua kinh doanh'!AE6</f>
        <v>0</v>
      </c>
      <c r="AF10" s="28">
        <f>'Ket qua kinh doanh'!AF6</f>
        <v>0</v>
      </c>
      <c r="AG10" s="28">
        <f>'Ket qua kinh doanh'!AG6</f>
        <v>0</v>
      </c>
      <c r="AH10" s="28">
        <f>'Ket qua kinh doanh'!AH6</f>
        <v>0</v>
      </c>
      <c r="AI10" s="28">
        <f>'Ket qua kinh doanh'!AI6</f>
        <v>0</v>
      </c>
      <c r="AJ10" s="28">
        <f>'Ket qua kinh doanh'!AJ6</f>
        <v>0</v>
      </c>
      <c r="AK10" s="28">
        <f>'Ket qua kinh doanh'!AK6</f>
        <v>0</v>
      </c>
      <c r="AL10" s="28">
        <f>'Ket qua kinh doanh'!AL6</f>
        <v>0</v>
      </c>
      <c r="AM10" s="28">
        <f>'Ket qua kinh doanh'!AM6</f>
        <v>0</v>
      </c>
      <c r="AN10" s="28">
        <f>'Ket qua kinh doanh'!AN6</f>
        <v>0</v>
      </c>
      <c r="AO10" s="28">
        <f>'Ket qua kinh doanh'!AO6</f>
        <v>1166125000</v>
      </c>
      <c r="AP10" s="28">
        <f>'Ket qua kinh doanh'!AP6</f>
        <v>0</v>
      </c>
      <c r="AQ10" s="28">
        <f>'Ket qua kinh doanh'!AQ6</f>
        <v>0</v>
      </c>
      <c r="AR10" s="28">
        <f>'Ket qua kinh doanh'!AR6</f>
        <v>136455000</v>
      </c>
      <c r="AS10" s="28">
        <f>'Ket qua kinh doanh'!AS6</f>
        <v>0</v>
      </c>
      <c r="AT10" s="28">
        <f>'Ket qua kinh doanh'!AT6</f>
        <v>0</v>
      </c>
      <c r="AU10" s="28">
        <f>'Ket qua kinh doanh'!AU6</f>
        <v>6345077301</v>
      </c>
      <c r="AV10" s="28">
        <f>'Ket qua kinh doanh'!AV6</f>
        <v>4671587529</v>
      </c>
      <c r="AW10" s="28">
        <f>'Ket qua kinh doanh'!AW6</f>
        <v>2922205276</v>
      </c>
      <c r="AX10" s="28">
        <f>'Ket qua kinh doanh'!AX6</f>
        <v>49359030</v>
      </c>
      <c r="AY10" s="28">
        <f>'Ket qua kinh doanh'!AY6</f>
        <v>4680420540</v>
      </c>
      <c r="AZ10" s="28">
        <f>'Ket qua kinh doanh'!AZ6</f>
        <v>513935495</v>
      </c>
      <c r="BA10" s="28">
        <f>'Ket qua kinh doanh'!BA6</f>
        <v>477877176</v>
      </c>
      <c r="BB10" s="28">
        <f>'Ket qua kinh doanh'!BB6</f>
        <v>477350452</v>
      </c>
      <c r="BC10" s="28">
        <f>'Ket qua kinh doanh'!BC6</f>
        <v>304590498</v>
      </c>
      <c r="BD10" s="28">
        <f>'Ket qua kinh doanh'!BD6</f>
        <v>1607115262</v>
      </c>
      <c r="BE10" s="28">
        <f>'Ket qua kinh doanh'!BE6</f>
        <v>708638196</v>
      </c>
      <c r="BF10" s="28">
        <f>'Ket qua kinh doanh'!BF6</f>
        <v>26953743</v>
      </c>
      <c r="BG10" s="28">
        <f>'Ket qua kinh doanh'!BG6</f>
        <v>1000293545</v>
      </c>
      <c r="BH10" s="28">
        <f>'Ket qua kinh doanh'!BH6</f>
        <v>6773818500</v>
      </c>
      <c r="BI10" s="28">
        <f>'Ket qua kinh doanh'!BI6</f>
        <v>0</v>
      </c>
      <c r="BJ10" s="28">
        <f>'Ket qua kinh doanh'!BJ6</f>
        <v>1479093000</v>
      </c>
      <c r="BK10" s="28">
        <f>'Ket qua kinh doanh'!BK6</f>
        <v>1103092320</v>
      </c>
      <c r="BL10" s="28">
        <f>'Ket qua kinh doanh'!BL6</f>
        <v>687876997</v>
      </c>
      <c r="BM10" s="28">
        <f>'Ket qua kinh doanh'!BM6</f>
        <v>33305556</v>
      </c>
      <c r="BN10" s="28">
        <f>'Ket qua kinh doanh'!BN6</f>
        <v>956126160</v>
      </c>
      <c r="BO10" s="28">
        <f>'Ket qua kinh doanh'!BO6</f>
        <v>86574074</v>
      </c>
      <c r="BP10" s="28">
        <f>'Ket qua kinh doanh'!BP6</f>
        <v>1221964024</v>
      </c>
      <c r="BQ10" s="28">
        <f>'Ket qua kinh doanh'!BQ6</f>
        <v>259219891</v>
      </c>
      <c r="BR10" s="28">
        <f>'Ket qua kinh doanh'!BR6</f>
        <v>0</v>
      </c>
      <c r="BS10" s="28">
        <f>'Ket qua kinh doanh'!BS6</f>
        <v>0</v>
      </c>
      <c r="BT10" s="28">
        <f>'Ket qua kinh doanh'!BT6</f>
        <v>0</v>
      </c>
      <c r="BU10" s="28">
        <f>'Ket qua kinh doanh'!BU6</f>
        <v>0</v>
      </c>
      <c r="BV10" s="28">
        <f>'Ket qua kinh doanh'!BV6</f>
        <v>0</v>
      </c>
      <c r="BW10" s="28">
        <f>'Ket qua kinh doanh'!BW6</f>
        <v>0</v>
      </c>
    </row>
    <row r="11" spans="1:75">
      <c r="A11" s="148">
        <v>8</v>
      </c>
      <c r="B11" s="149" t="s">
        <v>416</v>
      </c>
      <c r="C11" s="151">
        <v>28</v>
      </c>
      <c r="D11" s="29" t="str">
        <f t="shared" ref="D11:BJ11" si="0">IFERROR(D10/D9,"")</f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29" t="str">
        <f t="shared" si="0"/>
        <v/>
      </c>
      <c r="AB11" s="29" t="str">
        <f t="shared" si="0"/>
        <v/>
      </c>
      <c r="AC11" s="29" t="str">
        <f t="shared" si="0"/>
        <v/>
      </c>
      <c r="AD11" s="29" t="str">
        <f t="shared" si="0"/>
        <v/>
      </c>
      <c r="AE11" s="29" t="str">
        <f t="shared" si="0"/>
        <v/>
      </c>
      <c r="AF11" s="29" t="str">
        <f t="shared" si="0"/>
        <v/>
      </c>
      <c r="AG11" s="29" t="str">
        <f t="shared" si="0"/>
        <v/>
      </c>
      <c r="AH11" s="29" t="str">
        <f t="shared" si="0"/>
        <v/>
      </c>
      <c r="AI11" s="29" t="str">
        <f t="shared" si="0"/>
        <v/>
      </c>
      <c r="AJ11" s="29" t="str">
        <f t="shared" si="0"/>
        <v/>
      </c>
      <c r="AK11" s="29" t="str">
        <f t="shared" si="0"/>
        <v/>
      </c>
      <c r="AL11" s="29" t="str">
        <f t="shared" si="0"/>
        <v/>
      </c>
      <c r="AM11" s="29" t="str">
        <f t="shared" si="0"/>
        <v/>
      </c>
      <c r="AN11" s="29">
        <f t="shared" si="0"/>
        <v>0</v>
      </c>
      <c r="AO11" s="29">
        <f t="shared" si="0"/>
        <v>1.3776526661239531E-2</v>
      </c>
      <c r="AP11" s="29">
        <f t="shared" si="0"/>
        <v>0</v>
      </c>
      <c r="AQ11" s="29">
        <f t="shared" si="0"/>
        <v>0</v>
      </c>
      <c r="AR11" s="29">
        <f t="shared" si="0"/>
        <v>1.0653430092892597E-3</v>
      </c>
      <c r="AS11" s="29">
        <f t="shared" si="0"/>
        <v>0</v>
      </c>
      <c r="AT11" s="29">
        <f t="shared" si="0"/>
        <v>0</v>
      </c>
      <c r="AU11" s="29">
        <f t="shared" si="0"/>
        <v>3.5459854122719826E-2</v>
      </c>
      <c r="AV11" s="29">
        <f t="shared" si="0"/>
        <v>2.593296620699061E-2</v>
      </c>
      <c r="AW11" s="29">
        <f t="shared" si="0"/>
        <v>2.0404835162353387E-2</v>
      </c>
      <c r="AX11" s="29">
        <f t="shared" si="0"/>
        <v>5.0782215806850978E-4</v>
      </c>
      <c r="AY11" s="29">
        <f t="shared" si="0"/>
        <v>3.6370548126022917E-2</v>
      </c>
      <c r="AZ11" s="29">
        <f t="shared" si="0"/>
        <v>4.4696307931795277E-3</v>
      </c>
      <c r="BA11" s="29">
        <f t="shared" si="0"/>
        <v>2.5354622496003543E-3</v>
      </c>
      <c r="BB11" s="29">
        <f t="shared" si="0"/>
        <v>3.167206491628583E-3</v>
      </c>
      <c r="BC11" s="29">
        <f t="shared" si="0"/>
        <v>2.4233117594630229E-3</v>
      </c>
      <c r="BD11" s="29">
        <f t="shared" si="0"/>
        <v>1.0460356474830023E-2</v>
      </c>
      <c r="BE11" s="29">
        <f t="shared" si="0"/>
        <v>5.8960565030789632E-3</v>
      </c>
      <c r="BF11" s="29">
        <f t="shared" si="0"/>
        <v>1.9527413732117304E-4</v>
      </c>
      <c r="BG11" s="29">
        <f t="shared" si="0"/>
        <v>5.9020463064392266E-3</v>
      </c>
      <c r="BH11" s="29">
        <f t="shared" si="0"/>
        <v>7.4028142777624512E-2</v>
      </c>
      <c r="BI11" s="29">
        <f t="shared" si="0"/>
        <v>0</v>
      </c>
      <c r="BJ11" s="29">
        <f t="shared" si="0"/>
        <v>1.6458423214954689E-2</v>
      </c>
      <c r="BK11" s="29">
        <f t="shared" ref="BK11:BW11" si="1">IFERROR(BK10/BK9,"")</f>
        <v>1.0946798765645235E-2</v>
      </c>
      <c r="BL11" s="29">
        <f t="shared" ref="BL11:BO11" si="2">IFERROR(BL10/BL9,"")</f>
        <v>5.439032041974514E-3</v>
      </c>
      <c r="BM11" s="29">
        <f t="shared" si="2"/>
        <v>3.448404943713967E-4</v>
      </c>
      <c r="BN11" s="29">
        <f t="shared" si="2"/>
        <v>5.4961533995215211E-3</v>
      </c>
      <c r="BO11" s="29">
        <f t="shared" si="2"/>
        <v>5.4368206677630918E-4</v>
      </c>
      <c r="BP11" s="29">
        <f t="shared" si="1"/>
        <v>7.5896163702595864E-3</v>
      </c>
      <c r="BQ11" s="29">
        <f t="shared" si="1"/>
        <v>2.1040936386254264E-3</v>
      </c>
      <c r="BR11" s="29" t="str">
        <f t="shared" si="1"/>
        <v/>
      </c>
      <c r="BS11" s="29" t="str">
        <f t="shared" si="1"/>
        <v/>
      </c>
      <c r="BT11" s="29" t="str">
        <f t="shared" si="1"/>
        <v/>
      </c>
      <c r="BU11" s="29" t="str">
        <f t="shared" si="1"/>
        <v/>
      </c>
      <c r="BV11" s="29" t="str">
        <f t="shared" si="1"/>
        <v/>
      </c>
      <c r="BW11" s="29" t="str">
        <f t="shared" si="1"/>
        <v/>
      </c>
    </row>
    <row r="12" spans="1:75">
      <c r="A12" s="145">
        <v>9</v>
      </c>
      <c r="B12" s="146" t="s">
        <v>417</v>
      </c>
      <c r="C12" s="152">
        <v>28</v>
      </c>
      <c r="D12" s="30">
        <f>'Ket qua kinh doanh'!D7</f>
        <v>0</v>
      </c>
      <c r="E12" s="30">
        <f>'Ket qua kinh doanh'!E7</f>
        <v>0</v>
      </c>
      <c r="F12" s="30">
        <f>'Ket qua kinh doanh'!F7</f>
        <v>0</v>
      </c>
      <c r="G12" s="30">
        <f>'Ket qua kinh doanh'!G7</f>
        <v>0</v>
      </c>
      <c r="H12" s="30">
        <f>'Ket qua kinh doanh'!H7</f>
        <v>0</v>
      </c>
      <c r="I12" s="30">
        <f>'Ket qua kinh doanh'!I7</f>
        <v>0</v>
      </c>
      <c r="J12" s="30">
        <f>'Ket qua kinh doanh'!J7</f>
        <v>0</v>
      </c>
      <c r="K12" s="30">
        <f>'Ket qua kinh doanh'!K7</f>
        <v>0</v>
      </c>
      <c r="L12" s="30">
        <f>'Ket qua kinh doanh'!L7</f>
        <v>0</v>
      </c>
      <c r="M12" s="30">
        <f>'Ket qua kinh doanh'!M7</f>
        <v>0</v>
      </c>
      <c r="N12" s="30">
        <f>'Ket qua kinh doanh'!N7</f>
        <v>0</v>
      </c>
      <c r="O12" s="30">
        <f>'Ket qua kinh doanh'!O7</f>
        <v>0</v>
      </c>
      <c r="P12" s="30">
        <f>'Ket qua kinh doanh'!P7</f>
        <v>0</v>
      </c>
      <c r="Q12" s="30">
        <f>'Ket qua kinh doanh'!Q7</f>
        <v>0</v>
      </c>
      <c r="R12" s="30">
        <f>'Ket qua kinh doanh'!R7</f>
        <v>0</v>
      </c>
      <c r="S12" s="30">
        <f>'Ket qua kinh doanh'!S7</f>
        <v>0</v>
      </c>
      <c r="T12" s="30">
        <f>'Ket qua kinh doanh'!T7</f>
        <v>0</v>
      </c>
      <c r="U12" s="30">
        <f>'Ket qua kinh doanh'!U7</f>
        <v>0</v>
      </c>
      <c r="V12" s="30">
        <f>'Ket qua kinh doanh'!V7</f>
        <v>0</v>
      </c>
      <c r="W12" s="30">
        <f>'Ket qua kinh doanh'!W7</f>
        <v>0</v>
      </c>
      <c r="X12" s="30">
        <f>'Ket qua kinh doanh'!X7</f>
        <v>0</v>
      </c>
      <c r="Y12" s="30">
        <f>'Ket qua kinh doanh'!Y7</f>
        <v>0</v>
      </c>
      <c r="Z12" s="30">
        <f>'Ket qua kinh doanh'!Z7</f>
        <v>0</v>
      </c>
      <c r="AA12" s="30">
        <f>'Ket qua kinh doanh'!AA7</f>
        <v>0</v>
      </c>
      <c r="AB12" s="30">
        <f>'Ket qua kinh doanh'!AB7</f>
        <v>0</v>
      </c>
      <c r="AC12" s="30">
        <f>'Ket qua kinh doanh'!AC7</f>
        <v>0</v>
      </c>
      <c r="AD12" s="30">
        <f>'Ket qua kinh doanh'!AD7</f>
        <v>0</v>
      </c>
      <c r="AE12" s="30">
        <f>'Ket qua kinh doanh'!AE7</f>
        <v>0</v>
      </c>
      <c r="AF12" s="30">
        <f>'Ket qua kinh doanh'!AF7</f>
        <v>0</v>
      </c>
      <c r="AG12" s="30">
        <f>'Ket qua kinh doanh'!AG7</f>
        <v>0</v>
      </c>
      <c r="AH12" s="30">
        <f>'Ket qua kinh doanh'!AH7</f>
        <v>0</v>
      </c>
      <c r="AI12" s="30">
        <f>'Ket qua kinh doanh'!AI7</f>
        <v>0</v>
      </c>
      <c r="AJ12" s="30">
        <f>'Ket qua kinh doanh'!AJ7</f>
        <v>0</v>
      </c>
      <c r="AK12" s="30">
        <f>'Ket qua kinh doanh'!AK7</f>
        <v>0</v>
      </c>
      <c r="AL12" s="30">
        <f>'Ket qua kinh doanh'!AL7</f>
        <v>0</v>
      </c>
      <c r="AM12" s="30">
        <f>'Ket qua kinh doanh'!AM7</f>
        <v>0</v>
      </c>
      <c r="AN12" s="30">
        <f>'Ket qua kinh doanh'!AN7</f>
        <v>130037940981</v>
      </c>
      <c r="AO12" s="30">
        <f>'Ket qua kinh doanh'!AO7</f>
        <v>83479666256</v>
      </c>
      <c r="AP12" s="30">
        <f>'Ket qua kinh doanh'!AP7</f>
        <v>115625416433</v>
      </c>
      <c r="AQ12" s="30">
        <f>'Ket qua kinh doanh'!AQ7</f>
        <v>117647266094</v>
      </c>
      <c r="AR12" s="30">
        <f>'Ket qua kinh doanh'!AR7</f>
        <v>127949052494</v>
      </c>
      <c r="AS12" s="30">
        <f>'Ket qua kinh doanh'!AS7</f>
        <v>95661572209</v>
      </c>
      <c r="AT12" s="30">
        <f>'Ket qua kinh doanh'!AT7</f>
        <v>74679662458</v>
      </c>
      <c r="AU12" s="30">
        <f>'Ket qua kinh doanh'!AU7</f>
        <v>172591848921</v>
      </c>
      <c r="AV12" s="30">
        <f>'Ket qua kinh doanh'!AV7</f>
        <v>175469299237</v>
      </c>
      <c r="AW12" s="30">
        <f>'Ket qua kinh doanh'!AW7</f>
        <v>140289207742</v>
      </c>
      <c r="AX12" s="30">
        <f>'Ket qua kinh doanh'!AX7</f>
        <v>97148112990</v>
      </c>
      <c r="AY12" s="30">
        <f>'Ket qua kinh doanh'!AY7</f>
        <v>124006684306</v>
      </c>
      <c r="AZ12" s="30">
        <f>'Ket qua kinh doanh'!AZ7</f>
        <v>114469945452</v>
      </c>
      <c r="BA12" s="30">
        <f>'Ket qua kinh doanh'!BA7</f>
        <v>187999461059</v>
      </c>
      <c r="BB12" s="30">
        <f>'Ket qua kinh doanh'!BB7</f>
        <v>150239204740</v>
      </c>
      <c r="BC12" s="30">
        <f>'Ket qua kinh doanh'!BC7</f>
        <v>125387242924</v>
      </c>
      <c r="BD12" s="30">
        <f>'Ket qua kinh doanh'!BD7</f>
        <v>152031555262</v>
      </c>
      <c r="BE12" s="30">
        <f>'Ket qua kinh doanh'!BE7</f>
        <v>119479863327</v>
      </c>
      <c r="BF12" s="30">
        <f>'Ket qua kinh doanh'!BF7</f>
        <v>138003321898</v>
      </c>
      <c r="BG12" s="30">
        <f>'Ket qua kinh doanh'!BG7</f>
        <v>168482203383</v>
      </c>
      <c r="BH12" s="30">
        <f>'Ket qua kinh doanh'!BH7</f>
        <v>84729469923</v>
      </c>
      <c r="BI12" s="30">
        <f>'Ket qua kinh doanh'!BI7</f>
        <v>109010675108</v>
      </c>
      <c r="BJ12" s="30">
        <f>'Ket qua kinh doanh'!BJ7</f>
        <v>88389357986</v>
      </c>
      <c r="BK12" s="30">
        <f>'Ket qua kinh doanh'!BK7</f>
        <v>99665392021</v>
      </c>
      <c r="BL12" s="30">
        <f>'Ket qua kinh doanh'!BL7</f>
        <v>125782603723</v>
      </c>
      <c r="BM12" s="30">
        <f>'Ket qua kinh doanh'!BM7</f>
        <v>96549191406</v>
      </c>
      <c r="BN12" s="30">
        <f>'Ket qua kinh doanh'!BN7</f>
        <v>173006660265</v>
      </c>
      <c r="BO12" s="30">
        <f>'Ket qua kinh doanh'!BO7</f>
        <v>159150007911</v>
      </c>
      <c r="BP12" s="30">
        <f>'Ket qua kinh doanh'!BP7</f>
        <v>159782751417</v>
      </c>
      <c r="BQ12" s="30">
        <f>'Ket qua kinh doanh'!BQ7</f>
        <v>122938667428</v>
      </c>
      <c r="BR12" s="30">
        <f>'Ket qua kinh doanh'!BR7</f>
        <v>0</v>
      </c>
      <c r="BS12" s="30">
        <f>'Ket qua kinh doanh'!BS7</f>
        <v>0</v>
      </c>
      <c r="BT12" s="30">
        <f>'Ket qua kinh doanh'!BT7</f>
        <v>0</v>
      </c>
      <c r="BU12" s="30">
        <f>'Ket qua kinh doanh'!BU7</f>
        <v>0</v>
      </c>
      <c r="BV12" s="30">
        <f>'Ket qua kinh doanh'!BV7</f>
        <v>0</v>
      </c>
      <c r="BW12" s="30">
        <f>'Ket qua kinh doanh'!BW7</f>
        <v>0</v>
      </c>
    </row>
    <row r="13" spans="1:75">
      <c r="A13" s="142">
        <v>10</v>
      </c>
      <c r="B13" s="143" t="s">
        <v>418</v>
      </c>
      <c r="C13" s="153">
        <v>28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>
        <v>82123174705</v>
      </c>
      <c r="BA13" s="31">
        <v>127754884829</v>
      </c>
      <c r="BB13" s="31">
        <v>103667980875</v>
      </c>
      <c r="BC13" s="31">
        <v>89699052245</v>
      </c>
      <c r="BD13" s="31">
        <v>114824058990</v>
      </c>
      <c r="BE13" s="31">
        <v>70054412500</v>
      </c>
      <c r="BF13" s="31">
        <v>88123126474</v>
      </c>
      <c r="BG13" s="31">
        <v>94069028914</v>
      </c>
      <c r="BH13" s="31">
        <v>24953975916</v>
      </c>
      <c r="BI13" s="31">
        <v>27056388040</v>
      </c>
      <c r="BJ13" s="31">
        <v>21625208400</v>
      </c>
      <c r="BK13" s="31">
        <v>29216515900</v>
      </c>
      <c r="BL13" s="31">
        <v>70701288516</v>
      </c>
      <c r="BM13" s="31">
        <v>58540341826</v>
      </c>
      <c r="BN13" s="31">
        <v>80759624796</v>
      </c>
      <c r="BO13" s="31">
        <v>67176948835</v>
      </c>
      <c r="BP13" s="31">
        <v>87346708460</v>
      </c>
      <c r="BQ13" s="31">
        <v>55103643980</v>
      </c>
      <c r="BR13" s="31"/>
      <c r="BS13" s="31"/>
      <c r="BT13" s="31"/>
      <c r="BU13" s="31"/>
      <c r="BV13" s="31"/>
      <c r="BW13" s="31"/>
    </row>
    <row r="14" spans="1:75">
      <c r="A14" s="142">
        <v>11</v>
      </c>
      <c r="B14" s="143" t="s">
        <v>419</v>
      </c>
      <c r="C14" s="153">
        <v>28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>
        <v>32346770747</v>
      </c>
      <c r="BA14" s="31">
        <v>60244576230</v>
      </c>
      <c r="BB14" s="31">
        <v>46391851263</v>
      </c>
      <c r="BC14" s="31">
        <v>35688190679</v>
      </c>
      <c r="BD14" s="31">
        <v>37207496272</v>
      </c>
      <c r="BE14" s="31">
        <v>49425450827</v>
      </c>
      <c r="BF14" s="31">
        <v>49880195424</v>
      </c>
      <c r="BG14" s="31">
        <v>74230980822</v>
      </c>
      <c r="BH14" s="31">
        <v>58357137207</v>
      </c>
      <c r="BI14" s="31">
        <v>72199340668</v>
      </c>
      <c r="BJ14" s="31">
        <v>63368898385</v>
      </c>
      <c r="BK14" s="31">
        <v>62153588621</v>
      </c>
      <c r="BL14" s="31">
        <v>54914430207</v>
      </c>
      <c r="BM14" s="31">
        <v>37428902690</v>
      </c>
      <c r="BN14" s="31">
        <v>91166520469.000031</v>
      </c>
      <c r="BO14" s="31">
        <v>91973059076</v>
      </c>
      <c r="BP14" s="31">
        <v>70759017702</v>
      </c>
      <c r="BQ14" s="31">
        <v>65521139168</v>
      </c>
      <c r="BR14" s="31"/>
      <c r="BS14" s="31"/>
      <c r="BT14" s="31"/>
      <c r="BU14" s="31"/>
      <c r="BV14" s="31"/>
      <c r="BW14" s="31"/>
    </row>
    <row r="15" spans="1:75">
      <c r="A15" s="142">
        <v>12</v>
      </c>
      <c r="B15" s="143" t="s">
        <v>420</v>
      </c>
      <c r="C15" s="153">
        <v>28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>
        <v>0</v>
      </c>
      <c r="BA15" s="31">
        <v>0</v>
      </c>
      <c r="BB15" s="31">
        <v>179372602</v>
      </c>
      <c r="BC15" s="31">
        <v>0</v>
      </c>
      <c r="BD15" s="31">
        <v>0</v>
      </c>
      <c r="BE15" s="31">
        <v>0</v>
      </c>
      <c r="BF15" s="31">
        <v>0</v>
      </c>
      <c r="BG15" s="31">
        <v>182193647</v>
      </c>
      <c r="BH15" s="31">
        <v>1418356800</v>
      </c>
      <c r="BI15" s="31">
        <v>9754946400</v>
      </c>
      <c r="BJ15" s="31">
        <v>3395251201</v>
      </c>
      <c r="BK15" s="31">
        <v>8295287500</v>
      </c>
      <c r="BL15" s="31">
        <v>166885000</v>
      </c>
      <c r="BM15" s="31">
        <v>579946890</v>
      </c>
      <c r="BN15" s="31">
        <v>1080515000</v>
      </c>
      <c r="BO15" s="31">
        <v>0</v>
      </c>
      <c r="BP15" s="31">
        <v>1677025255</v>
      </c>
      <c r="BQ15" s="31">
        <v>2313884280</v>
      </c>
      <c r="BR15" s="31"/>
      <c r="BS15" s="31"/>
      <c r="BT15" s="31"/>
      <c r="BU15" s="31"/>
      <c r="BV15" s="31"/>
      <c r="BW15" s="31"/>
    </row>
    <row r="16" spans="1:75">
      <c r="A16" s="145">
        <v>13</v>
      </c>
      <c r="B16" s="146" t="s">
        <v>421</v>
      </c>
      <c r="C16" s="147">
        <v>28</v>
      </c>
      <c r="D16" s="27">
        <f>'Ket qua kinh doanh'!D8</f>
        <v>0</v>
      </c>
      <c r="E16" s="27">
        <f>'Ket qua kinh doanh'!E8</f>
        <v>0</v>
      </c>
      <c r="F16" s="27">
        <f>'Ket qua kinh doanh'!F8</f>
        <v>0</v>
      </c>
      <c r="G16" s="27">
        <f>'Ket qua kinh doanh'!G8</f>
        <v>0</v>
      </c>
      <c r="H16" s="27">
        <f>'Ket qua kinh doanh'!H8</f>
        <v>0</v>
      </c>
      <c r="I16" s="27">
        <f>'Ket qua kinh doanh'!I8</f>
        <v>0</v>
      </c>
      <c r="J16" s="27">
        <f>'Ket qua kinh doanh'!J8</f>
        <v>0</v>
      </c>
      <c r="K16" s="27">
        <f>'Ket qua kinh doanh'!K8</f>
        <v>0</v>
      </c>
      <c r="L16" s="27">
        <f>'Ket qua kinh doanh'!L8</f>
        <v>0</v>
      </c>
      <c r="M16" s="27">
        <f>'Ket qua kinh doanh'!M8</f>
        <v>0</v>
      </c>
      <c r="N16" s="27">
        <f>'Ket qua kinh doanh'!N8</f>
        <v>0</v>
      </c>
      <c r="O16" s="27">
        <f>'Ket qua kinh doanh'!O8</f>
        <v>0</v>
      </c>
      <c r="P16" s="27">
        <f>'Ket qua kinh doanh'!P8</f>
        <v>0</v>
      </c>
      <c r="Q16" s="27">
        <f>'Ket qua kinh doanh'!Q8</f>
        <v>0</v>
      </c>
      <c r="R16" s="27">
        <f>'Ket qua kinh doanh'!R8</f>
        <v>0</v>
      </c>
      <c r="S16" s="27">
        <f>'Ket qua kinh doanh'!S8</f>
        <v>0</v>
      </c>
      <c r="T16" s="27">
        <f>'Ket qua kinh doanh'!T8</f>
        <v>0</v>
      </c>
      <c r="U16" s="27">
        <f>'Ket qua kinh doanh'!U8</f>
        <v>0</v>
      </c>
      <c r="V16" s="27">
        <f>'Ket qua kinh doanh'!V8</f>
        <v>0</v>
      </c>
      <c r="W16" s="27">
        <f>'Ket qua kinh doanh'!W8</f>
        <v>0</v>
      </c>
      <c r="X16" s="27">
        <f>'Ket qua kinh doanh'!X8</f>
        <v>0</v>
      </c>
      <c r="Y16" s="27">
        <f>'Ket qua kinh doanh'!Y8</f>
        <v>0</v>
      </c>
      <c r="Z16" s="27">
        <f>'Ket qua kinh doanh'!Z8</f>
        <v>0</v>
      </c>
      <c r="AA16" s="27">
        <f>'Ket qua kinh doanh'!AA8</f>
        <v>0</v>
      </c>
      <c r="AB16" s="27">
        <f>'Ket qua kinh doanh'!AB8</f>
        <v>0</v>
      </c>
      <c r="AC16" s="27">
        <f>'Ket qua kinh doanh'!AC8</f>
        <v>0</v>
      </c>
      <c r="AD16" s="27">
        <f>'Ket qua kinh doanh'!AD8</f>
        <v>0</v>
      </c>
      <c r="AE16" s="27">
        <f>'Ket qua kinh doanh'!AE8</f>
        <v>0</v>
      </c>
      <c r="AF16" s="27">
        <f>'Ket qua kinh doanh'!AF8</f>
        <v>0</v>
      </c>
      <c r="AG16" s="27">
        <f>'Ket qua kinh doanh'!AG8</f>
        <v>0</v>
      </c>
      <c r="AH16" s="27">
        <f>'Ket qua kinh doanh'!AH8</f>
        <v>0</v>
      </c>
      <c r="AI16" s="27">
        <f>'Ket qua kinh doanh'!AI8</f>
        <v>0</v>
      </c>
      <c r="AJ16" s="27">
        <f>'Ket qua kinh doanh'!AJ8</f>
        <v>0</v>
      </c>
      <c r="AK16" s="27">
        <f>'Ket qua kinh doanh'!AK8</f>
        <v>0</v>
      </c>
      <c r="AL16" s="27">
        <f>'Ket qua kinh doanh'!AL8</f>
        <v>0</v>
      </c>
      <c r="AM16" s="27">
        <f>'Ket qua kinh doanh'!AM8</f>
        <v>0</v>
      </c>
      <c r="AN16" s="27">
        <f>'Ket qua kinh doanh'!AN8</f>
        <v>120065457134</v>
      </c>
      <c r="AO16" s="27">
        <f>'Ket qua kinh doanh'!AO8</f>
        <v>83995360322</v>
      </c>
      <c r="AP16" s="27">
        <f>'Ket qua kinh doanh'!AP8</f>
        <v>109165390822</v>
      </c>
      <c r="AQ16" s="27">
        <f>'Ket qua kinh doanh'!AQ8</f>
        <v>105655387173</v>
      </c>
      <c r="AR16" s="27">
        <f>'Ket qua kinh doanh'!AR8</f>
        <v>125507167216</v>
      </c>
      <c r="AS16" s="27">
        <f>'Ket qua kinh doanh'!AS8</f>
        <v>98477492806</v>
      </c>
      <c r="AT16" s="27">
        <f>'Ket qua kinh doanh'!AT8</f>
        <v>80393606783</v>
      </c>
      <c r="AU16" s="27">
        <f>'Ket qua kinh doanh'!AU8</f>
        <v>167228552558</v>
      </c>
      <c r="AV16" s="27">
        <f>'Ket qua kinh doanh'!AV8</f>
        <v>152083786508</v>
      </c>
      <c r="AW16" s="27">
        <f>'Ket qua kinh doanh'!AW8</f>
        <v>135696763155</v>
      </c>
      <c r="AX16" s="27">
        <f>'Ket qua kinh doanh'!AX8</f>
        <v>92718574459</v>
      </c>
      <c r="AY16" s="27">
        <f>'Ket qua kinh doanh'!AY8</f>
        <v>-4137926966</v>
      </c>
      <c r="AZ16" s="27">
        <f>'Ket qua kinh doanh'!AZ8</f>
        <v>97986840184</v>
      </c>
      <c r="BA16" s="27">
        <f>'Ket qua kinh doanh'!BA8</f>
        <v>155693128574</v>
      </c>
      <c r="BB16" s="27">
        <f>'Ket qua kinh doanh'!BB8</f>
        <v>129053280797</v>
      </c>
      <c r="BC16" s="27">
        <f>'Ket qua kinh doanh'!BC8</f>
        <v>108257691858</v>
      </c>
      <c r="BD16" s="27">
        <f>'Ket qua kinh doanh'!BD8</f>
        <v>128243821985</v>
      </c>
      <c r="BE16" s="27">
        <f>'Ket qua kinh doanh'!BE8</f>
        <v>104299018492</v>
      </c>
      <c r="BF16" s="27">
        <f>'Ket qua kinh doanh'!BF8</f>
        <v>124260554437</v>
      </c>
      <c r="BG16" s="27">
        <f>'Ket qua kinh doanh'!BG8</f>
        <v>150760754200</v>
      </c>
      <c r="BH16" s="27">
        <f>'Ket qua kinh doanh'!BH8</f>
        <v>81919659396</v>
      </c>
      <c r="BI16" s="27">
        <f>'Ket qua kinh doanh'!BI8</f>
        <v>98239930365</v>
      </c>
      <c r="BJ16" s="27">
        <f>'Ket qua kinh doanh'!BJ8</f>
        <v>80093235439</v>
      </c>
      <c r="BK16" s="27">
        <f>'Ket qua kinh doanh'!BK8</f>
        <v>67988837293</v>
      </c>
      <c r="BL16" s="27">
        <f>'Ket qua kinh doanh'!BL8</f>
        <v>114204897263.19444</v>
      </c>
      <c r="BM16" s="27">
        <f>'Ket qua kinh doanh'!BM8</f>
        <v>89643992316.171509</v>
      </c>
      <c r="BN16" s="27">
        <f>'Ket qua kinh doanh'!BN8</f>
        <v>163965172379.59167</v>
      </c>
      <c r="BO16" s="27">
        <f>'Ket qua kinh doanh'!BO8</f>
        <v>139017443039.16925</v>
      </c>
      <c r="BP16" s="27">
        <f>'Ket qua kinh doanh'!BP8</f>
        <v>134579580692.2312</v>
      </c>
      <c r="BQ16" s="27">
        <f>'Ket qua kinh doanh'!BQ8</f>
        <v>99754336516.518723</v>
      </c>
      <c r="BR16" s="27">
        <f>'Ket qua kinh doanh'!BR8</f>
        <v>0</v>
      </c>
      <c r="BS16" s="27">
        <f>'Ket qua kinh doanh'!BS8</f>
        <v>0</v>
      </c>
      <c r="BT16" s="27">
        <f>'Ket qua kinh doanh'!BT8</f>
        <v>0</v>
      </c>
      <c r="BU16" s="27">
        <f>'Ket qua kinh doanh'!BU8</f>
        <v>0</v>
      </c>
      <c r="BV16" s="27">
        <f>'Ket qua kinh doanh'!BV8</f>
        <v>0</v>
      </c>
      <c r="BW16" s="27">
        <f>'Ket qua kinh doanh'!BW8</f>
        <v>0</v>
      </c>
    </row>
    <row r="17" spans="1:75">
      <c r="A17" s="142">
        <v>14</v>
      </c>
      <c r="B17" s="143" t="s">
        <v>422</v>
      </c>
      <c r="C17" s="153">
        <v>28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>
        <v>67143228194.529724</v>
      </c>
      <c r="BA17" s="31">
        <v>109046600974.12549</v>
      </c>
      <c r="BB17" s="31">
        <v>92857754572.999847</v>
      </c>
      <c r="BC17" s="31">
        <v>75661427983.000046</v>
      </c>
      <c r="BD17" s="31">
        <v>93812925840.457138</v>
      </c>
      <c r="BE17" s="31">
        <v>74996464282.503586</v>
      </c>
      <c r="BF17" s="31">
        <v>88897117985.837891</v>
      </c>
      <c r="BG17" s="31">
        <v>105067791650.16876</v>
      </c>
      <c r="BH17" s="31">
        <v>58058611074.984695</v>
      </c>
      <c r="BI17" s="31">
        <v>62055305067.370407</v>
      </c>
      <c r="BJ17" s="31">
        <v>50828256654.000031</v>
      </c>
      <c r="BK17" s="31">
        <v>53355803779.177734</v>
      </c>
      <c r="BL17" s="31">
        <v>79928784859.298553</v>
      </c>
      <c r="BM17" s="31">
        <v>55273811053.1717</v>
      </c>
      <c r="BN17" s="31">
        <v>113545353974.59161</v>
      </c>
      <c r="BO17" s="31">
        <v>96321787559.169617</v>
      </c>
      <c r="BP17" s="31">
        <v>91758159940.23114</v>
      </c>
      <c r="BQ17" s="31">
        <v>71523175988.86496</v>
      </c>
      <c r="BR17" s="31"/>
      <c r="BS17" s="31"/>
      <c r="BT17" s="31"/>
      <c r="BU17" s="31"/>
      <c r="BV17" s="31"/>
      <c r="BW17" s="31"/>
    </row>
    <row r="18" spans="1:75">
      <c r="A18" s="142">
        <v>15</v>
      </c>
      <c r="B18" s="143" t="s">
        <v>423</v>
      </c>
      <c r="C18" s="153">
        <v>28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>
        <v>3251260170</v>
      </c>
      <c r="BA18" s="31">
        <v>4315309924</v>
      </c>
      <c r="BB18" s="31">
        <v>6623355231</v>
      </c>
      <c r="BC18" s="31">
        <v>6273807206</v>
      </c>
      <c r="BD18" s="31">
        <v>6722994944</v>
      </c>
      <c r="BE18" s="31">
        <v>6507752698</v>
      </c>
      <c r="BF18" s="31">
        <v>7271316533</v>
      </c>
      <c r="BG18" s="31">
        <v>7436976178</v>
      </c>
      <c r="BH18" s="31">
        <v>7216018373</v>
      </c>
      <c r="BI18" s="31">
        <v>6406802012</v>
      </c>
      <c r="BJ18" s="31">
        <v>4428291360</v>
      </c>
      <c r="BK18" s="31">
        <v>5049014702</v>
      </c>
      <c r="BL18" s="31">
        <v>4270809981</v>
      </c>
      <c r="BM18" s="31">
        <v>2618542807</v>
      </c>
      <c r="BN18" s="31">
        <v>5985356645</v>
      </c>
      <c r="BO18" s="31">
        <v>5974706459</v>
      </c>
      <c r="BP18" s="31">
        <v>6100052815</v>
      </c>
      <c r="BQ18" s="31">
        <v>6309176050</v>
      </c>
      <c r="BR18" s="31"/>
      <c r="BS18" s="31"/>
      <c r="BT18" s="31"/>
      <c r="BU18" s="31"/>
      <c r="BV18" s="31"/>
      <c r="BW18" s="31"/>
    </row>
    <row r="19" spans="1:75">
      <c r="A19" s="142">
        <v>16</v>
      </c>
      <c r="B19" s="143" t="s">
        <v>424</v>
      </c>
      <c r="C19" s="153">
        <v>28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>
        <v>326525959</v>
      </c>
      <c r="BA19" s="31">
        <v>301395737</v>
      </c>
      <c r="BB19" s="31">
        <v>353064382</v>
      </c>
      <c r="BC19" s="31">
        <v>367893640</v>
      </c>
      <c r="BD19" s="31">
        <v>583268535</v>
      </c>
      <c r="BE19" s="31">
        <v>409683221</v>
      </c>
      <c r="BF19" s="31">
        <v>382580514</v>
      </c>
      <c r="BG19" s="31">
        <v>409675223</v>
      </c>
      <c r="BH19" s="31">
        <v>681336938</v>
      </c>
      <c r="BI19" s="31">
        <v>434513561</v>
      </c>
      <c r="BJ19" s="31">
        <v>359300470</v>
      </c>
      <c r="BK19" s="31">
        <v>371608824</v>
      </c>
      <c r="BL19" s="31">
        <v>578015294</v>
      </c>
      <c r="BM19" s="31">
        <v>422132130</v>
      </c>
      <c r="BN19" s="31">
        <v>522055933</v>
      </c>
      <c r="BO19" s="31">
        <v>564796416</v>
      </c>
      <c r="BP19" s="31">
        <v>422670248</v>
      </c>
      <c r="BQ19" s="31">
        <v>442060664</v>
      </c>
      <c r="BR19" s="31"/>
      <c r="BS19" s="31"/>
      <c r="BT19" s="31"/>
      <c r="BU19" s="31"/>
      <c r="BV19" s="31"/>
      <c r="BW19" s="31"/>
    </row>
    <row r="20" spans="1:75">
      <c r="A20" s="142">
        <v>17</v>
      </c>
      <c r="B20" s="143" t="s">
        <v>425</v>
      </c>
      <c r="C20" s="153">
        <v>28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>
        <v>2949057104</v>
      </c>
      <c r="BA20" s="31">
        <v>2960606111</v>
      </c>
      <c r="BB20" s="31">
        <v>3210763690</v>
      </c>
      <c r="BC20" s="31">
        <v>3407507701</v>
      </c>
      <c r="BD20" s="31">
        <v>3397220306</v>
      </c>
      <c r="BE20" s="31">
        <v>3796425559</v>
      </c>
      <c r="BF20" s="31">
        <v>4750657524</v>
      </c>
      <c r="BG20" s="31">
        <v>4234296763</v>
      </c>
      <c r="BH20" s="31">
        <v>4420779952</v>
      </c>
      <c r="BI20" s="31">
        <v>3919907639</v>
      </c>
      <c r="BJ20" s="31">
        <v>3348887414</v>
      </c>
      <c r="BK20" s="31">
        <v>3371565251</v>
      </c>
      <c r="BL20" s="31">
        <v>3369239242</v>
      </c>
      <c r="BM20" s="31">
        <v>2825123136</v>
      </c>
      <c r="BN20" s="31">
        <v>3196674035</v>
      </c>
      <c r="BO20" s="31">
        <v>3797149210</v>
      </c>
      <c r="BP20" s="31">
        <v>3568332659</v>
      </c>
      <c r="BQ20" s="31">
        <v>4374319280</v>
      </c>
      <c r="BR20" s="31"/>
      <c r="BS20" s="31"/>
      <c r="BT20" s="31"/>
      <c r="BU20" s="31"/>
      <c r="BV20" s="31"/>
      <c r="BW20" s="31"/>
    </row>
    <row r="21" spans="1:75">
      <c r="A21" s="142">
        <v>18</v>
      </c>
      <c r="B21" s="143" t="s">
        <v>426</v>
      </c>
      <c r="C21" s="153">
        <v>28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>
        <v>4192168500</v>
      </c>
      <c r="BA21" s="31">
        <v>3900186978</v>
      </c>
      <c r="BB21" s="31">
        <v>3964240422</v>
      </c>
      <c r="BC21" s="31">
        <v>4516035115</v>
      </c>
      <c r="BD21" s="31">
        <v>4443139973</v>
      </c>
      <c r="BE21" s="31">
        <v>4575468853</v>
      </c>
      <c r="BF21" s="31">
        <v>4598145771</v>
      </c>
      <c r="BG21" s="31">
        <v>4672815279</v>
      </c>
      <c r="BH21" s="31">
        <v>4899878296</v>
      </c>
      <c r="BI21" s="31">
        <v>4454337337</v>
      </c>
      <c r="BJ21" s="31">
        <v>4259125777</v>
      </c>
      <c r="BK21" s="31">
        <v>4344310092</v>
      </c>
      <c r="BL21" s="31">
        <v>4513795276</v>
      </c>
      <c r="BM21" s="31">
        <v>4342835287</v>
      </c>
      <c r="BN21" s="31">
        <v>4322762647</v>
      </c>
      <c r="BO21" s="31">
        <v>4812054993</v>
      </c>
      <c r="BP21" s="31">
        <v>4489880642</v>
      </c>
      <c r="BQ21" s="31">
        <v>4876788095</v>
      </c>
      <c r="BR21" s="31"/>
      <c r="BS21" s="31"/>
      <c r="BT21" s="31"/>
      <c r="BU21" s="31"/>
      <c r="BV21" s="31"/>
      <c r="BW21" s="31"/>
    </row>
    <row r="22" spans="1:75">
      <c r="A22" s="142">
        <v>19</v>
      </c>
      <c r="B22" s="143" t="s">
        <v>427</v>
      </c>
      <c r="C22" s="153">
        <v>28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>
        <v>1675698427</v>
      </c>
      <c r="BA22" s="31">
        <v>1626184954</v>
      </c>
      <c r="BB22" s="31">
        <v>1356835578</v>
      </c>
      <c r="BC22" s="31">
        <v>1541863078</v>
      </c>
      <c r="BD22" s="31">
        <v>1500159780</v>
      </c>
      <c r="BE22" s="31">
        <v>1467104733</v>
      </c>
      <c r="BF22" s="31">
        <v>1575589708</v>
      </c>
      <c r="BG22" s="31">
        <v>1615432940</v>
      </c>
      <c r="BH22" s="31">
        <v>1719256066</v>
      </c>
      <c r="BI22" s="31">
        <v>1740788419</v>
      </c>
      <c r="BJ22" s="31">
        <v>1545910890</v>
      </c>
      <c r="BK22" s="31">
        <v>2993316055</v>
      </c>
      <c r="BL22" s="31">
        <v>1624785435</v>
      </c>
      <c r="BM22" s="31">
        <v>1299310177</v>
      </c>
      <c r="BN22" s="31">
        <v>1475732840</v>
      </c>
      <c r="BO22" s="31">
        <v>1467375826</v>
      </c>
      <c r="BP22" s="31">
        <v>1646650093</v>
      </c>
      <c r="BQ22" s="31">
        <v>1684151675</v>
      </c>
      <c r="BR22" s="31"/>
      <c r="BS22" s="31"/>
      <c r="BT22" s="31"/>
      <c r="BU22" s="31"/>
      <c r="BV22" s="31"/>
      <c r="BW22" s="31"/>
    </row>
    <row r="23" spans="1:75">
      <c r="A23" s="142">
        <v>20</v>
      </c>
      <c r="B23" s="143" t="s">
        <v>428</v>
      </c>
      <c r="C23" s="153">
        <v>28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>
        <v>993813247</v>
      </c>
      <c r="BA23" s="31">
        <v>1029989791</v>
      </c>
      <c r="BB23" s="31">
        <v>1054911744</v>
      </c>
      <c r="BC23" s="31">
        <v>1033128648</v>
      </c>
      <c r="BD23" s="31">
        <v>1076619003</v>
      </c>
      <c r="BE23" s="31">
        <v>1289653808</v>
      </c>
      <c r="BF23" s="31">
        <v>1417209241</v>
      </c>
      <c r="BG23" s="31">
        <v>1173670726</v>
      </c>
      <c r="BH23" s="31">
        <v>1195654144</v>
      </c>
      <c r="BI23" s="31">
        <v>1181884289</v>
      </c>
      <c r="BJ23" s="31">
        <v>1154570693</v>
      </c>
      <c r="BK23" s="31">
        <v>1159218542</v>
      </c>
      <c r="BL23" s="31">
        <v>1049980318</v>
      </c>
      <c r="BM23" s="31">
        <v>803311946</v>
      </c>
      <c r="BN23" s="31">
        <v>984172110</v>
      </c>
      <c r="BO23" s="31">
        <v>1096164248</v>
      </c>
      <c r="BP23" s="31">
        <v>1220547179</v>
      </c>
      <c r="BQ23" s="31">
        <v>1184377906</v>
      </c>
      <c r="BR23" s="31"/>
      <c r="BS23" s="31"/>
      <c r="BT23" s="31"/>
      <c r="BU23" s="31"/>
      <c r="BV23" s="31"/>
      <c r="BW23" s="31"/>
    </row>
    <row r="24" spans="1:75">
      <c r="A24" s="154">
        <v>21</v>
      </c>
      <c r="B24" s="155" t="s">
        <v>429</v>
      </c>
      <c r="C24" s="153">
        <v>28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>
        <v>9128660634</v>
      </c>
      <c r="BA24" s="31">
        <v>9462226893</v>
      </c>
      <c r="BB24" s="31">
        <v>9535095259</v>
      </c>
      <c r="BC24" s="31">
        <v>9450740739</v>
      </c>
      <c r="BD24" s="31">
        <v>9387242241</v>
      </c>
      <c r="BE24" s="31">
        <v>10481152587</v>
      </c>
      <c r="BF24" s="31">
        <v>11016325098</v>
      </c>
      <c r="BG24" s="31">
        <v>8992006812</v>
      </c>
      <c r="BH24" s="31">
        <v>11321150000</v>
      </c>
      <c r="BI24" s="31">
        <v>11488517829</v>
      </c>
      <c r="BJ24" s="31">
        <v>10943333428</v>
      </c>
      <c r="BK24" s="31">
        <v>10019452622</v>
      </c>
      <c r="BL24" s="31">
        <v>11374303028</v>
      </c>
      <c r="BM24" s="31">
        <v>11087797928</v>
      </c>
      <c r="BN24" s="31">
        <v>11706825135</v>
      </c>
      <c r="BO24" s="31">
        <v>12006379676</v>
      </c>
      <c r="BP24" s="31">
        <v>12092848518</v>
      </c>
      <c r="BQ24" s="31">
        <v>11539934690</v>
      </c>
      <c r="BR24" s="31"/>
      <c r="BS24" s="31"/>
      <c r="BT24" s="31"/>
      <c r="BU24" s="31"/>
      <c r="BV24" s="31"/>
      <c r="BW24" s="31"/>
    </row>
    <row r="25" spans="1:75">
      <c r="A25" s="142">
        <v>22</v>
      </c>
      <c r="B25" s="143" t="s">
        <v>430</v>
      </c>
      <c r="C25" s="153">
        <v>28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>
        <v>4623346762</v>
      </c>
      <c r="BA25" s="31">
        <v>4623033432</v>
      </c>
      <c r="BB25" s="31">
        <v>4821679460</v>
      </c>
      <c r="BC25" s="31">
        <v>4742744507</v>
      </c>
      <c r="BD25" s="31">
        <v>4908392818</v>
      </c>
      <c r="BE25" s="31">
        <v>4917572507</v>
      </c>
      <c r="BF25" s="31">
        <v>4926486608</v>
      </c>
      <c r="BG25" s="31">
        <v>9148502920</v>
      </c>
      <c r="BH25" s="31">
        <v>5285312950</v>
      </c>
      <c r="BI25" s="31">
        <v>5092497073</v>
      </c>
      <c r="BJ25" s="31">
        <v>5259864849</v>
      </c>
      <c r="BK25" s="31">
        <v>5296762203</v>
      </c>
      <c r="BL25" s="31">
        <v>2762583548</v>
      </c>
      <c r="BM25" s="31">
        <v>2737202670</v>
      </c>
      <c r="BN25" s="31">
        <v>2756129479</v>
      </c>
      <c r="BO25" s="31">
        <v>2919495774</v>
      </c>
      <c r="BP25" s="31">
        <v>2970584680</v>
      </c>
      <c r="BQ25" s="31">
        <v>2982835411</v>
      </c>
      <c r="BR25" s="31"/>
      <c r="BS25" s="31"/>
      <c r="BT25" s="31"/>
      <c r="BU25" s="31"/>
      <c r="BV25" s="31"/>
      <c r="BW25" s="31"/>
    </row>
    <row r="26" spans="1:75">
      <c r="A26" s="142">
        <v>23</v>
      </c>
      <c r="B26" s="143" t="s">
        <v>431</v>
      </c>
      <c r="C26" s="153">
        <v>28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>
        <v>53004285.057142869</v>
      </c>
      <c r="BA26" s="31">
        <v>1987103388.9999981</v>
      </c>
      <c r="BB26" s="31">
        <v>992269874.00000405</v>
      </c>
      <c r="BC26" s="31">
        <v>704892709.00000119</v>
      </c>
      <c r="BD26" s="31">
        <v>558895565.99999797</v>
      </c>
      <c r="BE26" s="31">
        <v>701703110.00000083</v>
      </c>
      <c r="BF26" s="31">
        <v>276397244.00000024</v>
      </c>
      <c r="BG26" s="31">
        <v>898330000</v>
      </c>
      <c r="BH26" s="31">
        <v>1255492885.9999974</v>
      </c>
      <c r="BI26" s="31">
        <v>887333518.00000048</v>
      </c>
      <c r="BJ26" s="31">
        <v>923681913.99999988</v>
      </c>
      <c r="BK26" s="31">
        <v>675421007.66224766</v>
      </c>
      <c r="BL26" s="31">
        <v>240626866.33775303</v>
      </c>
      <c r="BM26" s="31">
        <v>211742210.99999991</v>
      </c>
      <c r="BN26" s="31">
        <v>1138515788.0000031</v>
      </c>
      <c r="BO26" s="31">
        <v>256511998.99999976</v>
      </c>
      <c r="BP26" s="31">
        <v>908677723.99999881</v>
      </c>
      <c r="BQ26" s="31">
        <v>108452973.51249526</v>
      </c>
      <c r="BR26" s="31"/>
      <c r="BS26" s="31"/>
      <c r="BT26" s="31"/>
      <c r="BU26" s="31"/>
      <c r="BV26" s="31"/>
      <c r="BW26" s="31"/>
    </row>
    <row r="27" spans="1:75">
      <c r="A27" s="142">
        <v>24</v>
      </c>
      <c r="B27" s="143" t="s">
        <v>432</v>
      </c>
      <c r="C27" s="153">
        <v>28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>
        <v>822606797.81318665</v>
      </c>
      <c r="BA27" s="31">
        <v>3409451165.8744297</v>
      </c>
      <c r="BB27" s="31">
        <v>2021336942</v>
      </c>
      <c r="BC27" s="31">
        <v>2288115861</v>
      </c>
      <c r="BD27" s="31">
        <v>1464958481.5430465</v>
      </c>
      <c r="BE27" s="31">
        <v>-1564788072.5037079</v>
      </c>
      <c r="BF27" s="31">
        <v>-1140588347.8378301</v>
      </c>
      <c r="BG27" s="31">
        <v>2450838410.0000019</v>
      </c>
      <c r="BH27" s="31">
        <v>-759081656.98476839</v>
      </c>
      <c r="BI27" s="31">
        <v>3967605892.6295834</v>
      </c>
      <c r="BJ27" s="31">
        <v>367901957</v>
      </c>
      <c r="BK27" s="31">
        <v>-14902564477.614695</v>
      </c>
      <c r="BL27" s="31">
        <v>1980703966.0335846</v>
      </c>
      <c r="BM27" s="31">
        <v>1087203674.0002899</v>
      </c>
      <c r="BN27" s="31">
        <v>2018596022.0001526</v>
      </c>
      <c r="BO27" s="31">
        <v>374861159.00018311</v>
      </c>
      <c r="BP27" s="31">
        <v>3079241289.9998627</v>
      </c>
      <c r="BQ27" s="31">
        <v>988061780.6655755</v>
      </c>
      <c r="BR27" s="31"/>
      <c r="BS27" s="31"/>
      <c r="BT27" s="31"/>
      <c r="BU27" s="31"/>
      <c r="BV27" s="31"/>
      <c r="BW27" s="31"/>
    </row>
    <row r="28" spans="1:75">
      <c r="A28" s="142">
        <v>25</v>
      </c>
      <c r="B28" s="143" t="s">
        <v>433</v>
      </c>
      <c r="C28" s="153">
        <v>28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>
        <v>2827470103.5999451</v>
      </c>
      <c r="BA28" s="31">
        <v>13031039225.000092</v>
      </c>
      <c r="BB28" s="31">
        <v>2261973642.0001526</v>
      </c>
      <c r="BC28" s="31">
        <v>-1730465329.0000458</v>
      </c>
      <c r="BD28" s="31">
        <v>388004496.99981689</v>
      </c>
      <c r="BE28" s="31">
        <v>-3279174793.9998779</v>
      </c>
      <c r="BF28" s="31">
        <v>289316557.99993896</v>
      </c>
      <c r="BG28" s="31">
        <v>4660417298.8312378</v>
      </c>
      <c r="BH28" s="31">
        <v>-13374749626.999924</v>
      </c>
      <c r="BI28" s="31">
        <v>-3389562271.9999847</v>
      </c>
      <c r="BJ28" s="31">
        <v>-3325889967.0000305</v>
      </c>
      <c r="BK28" s="31">
        <v>-3745071307.2252808</v>
      </c>
      <c r="BL28" s="31">
        <v>2511269449.5245514</v>
      </c>
      <c r="BM28" s="31">
        <v>6934979296.999527</v>
      </c>
      <c r="BN28" s="31">
        <v>16312997770.999908</v>
      </c>
      <c r="BO28" s="31">
        <v>9426159719.9994507</v>
      </c>
      <c r="BP28" s="31">
        <v>6321934904.0001831</v>
      </c>
      <c r="BQ28" s="31">
        <v>-6258997997.524292</v>
      </c>
      <c r="BR28" s="31"/>
      <c r="BS28" s="31"/>
      <c r="BT28" s="31"/>
      <c r="BU28" s="31"/>
      <c r="BV28" s="31"/>
      <c r="BW28" s="31"/>
    </row>
    <row r="29" spans="1:75">
      <c r="A29" s="148">
        <v>26</v>
      </c>
      <c r="B29" s="149" t="s">
        <v>434</v>
      </c>
      <c r="C29" s="156">
        <v>28</v>
      </c>
      <c r="D29" s="32" t="str">
        <f t="shared" ref="D29:BJ29" si="3">IFERROR(D16/D12,"")</f>
        <v/>
      </c>
      <c r="E29" s="32" t="str">
        <f t="shared" si="3"/>
        <v/>
      </c>
      <c r="F29" s="32" t="str">
        <f t="shared" si="3"/>
        <v/>
      </c>
      <c r="G29" s="32" t="str">
        <f t="shared" si="3"/>
        <v/>
      </c>
      <c r="H29" s="32" t="str">
        <f t="shared" si="3"/>
        <v/>
      </c>
      <c r="I29" s="32" t="str">
        <f t="shared" si="3"/>
        <v/>
      </c>
      <c r="J29" s="32" t="str">
        <f t="shared" si="3"/>
        <v/>
      </c>
      <c r="K29" s="32" t="str">
        <f t="shared" si="3"/>
        <v/>
      </c>
      <c r="L29" s="32" t="str">
        <f t="shared" si="3"/>
        <v/>
      </c>
      <c r="M29" s="32" t="str">
        <f t="shared" si="3"/>
        <v/>
      </c>
      <c r="N29" s="32" t="str">
        <f t="shared" si="3"/>
        <v/>
      </c>
      <c r="O29" s="32" t="str">
        <f t="shared" si="3"/>
        <v/>
      </c>
      <c r="P29" s="32" t="str">
        <f t="shared" si="3"/>
        <v/>
      </c>
      <c r="Q29" s="32" t="str">
        <f t="shared" si="3"/>
        <v/>
      </c>
      <c r="R29" s="32" t="str">
        <f t="shared" si="3"/>
        <v/>
      </c>
      <c r="S29" s="32" t="str">
        <f t="shared" si="3"/>
        <v/>
      </c>
      <c r="T29" s="32" t="str">
        <f t="shared" si="3"/>
        <v/>
      </c>
      <c r="U29" s="32" t="str">
        <f t="shared" si="3"/>
        <v/>
      </c>
      <c r="V29" s="32" t="str">
        <f t="shared" si="3"/>
        <v/>
      </c>
      <c r="W29" s="32" t="str">
        <f t="shared" si="3"/>
        <v/>
      </c>
      <c r="X29" s="32" t="str">
        <f t="shared" si="3"/>
        <v/>
      </c>
      <c r="Y29" s="32" t="str">
        <f t="shared" si="3"/>
        <v/>
      </c>
      <c r="Z29" s="32" t="str">
        <f t="shared" si="3"/>
        <v/>
      </c>
      <c r="AA29" s="32" t="str">
        <f t="shared" si="3"/>
        <v/>
      </c>
      <c r="AB29" s="32" t="str">
        <f t="shared" si="3"/>
        <v/>
      </c>
      <c r="AC29" s="32" t="str">
        <f t="shared" si="3"/>
        <v/>
      </c>
      <c r="AD29" s="32" t="str">
        <f t="shared" si="3"/>
        <v/>
      </c>
      <c r="AE29" s="32" t="str">
        <f t="shared" si="3"/>
        <v/>
      </c>
      <c r="AF29" s="32" t="str">
        <f t="shared" si="3"/>
        <v/>
      </c>
      <c r="AG29" s="32" t="str">
        <f t="shared" si="3"/>
        <v/>
      </c>
      <c r="AH29" s="32" t="str">
        <f t="shared" si="3"/>
        <v/>
      </c>
      <c r="AI29" s="32" t="str">
        <f t="shared" si="3"/>
        <v/>
      </c>
      <c r="AJ29" s="32" t="str">
        <f t="shared" si="3"/>
        <v/>
      </c>
      <c r="AK29" s="32" t="str">
        <f t="shared" si="3"/>
        <v/>
      </c>
      <c r="AL29" s="32" t="str">
        <f t="shared" si="3"/>
        <v/>
      </c>
      <c r="AM29" s="32" t="str">
        <f t="shared" si="3"/>
        <v/>
      </c>
      <c r="AN29" s="32">
        <f t="shared" si="3"/>
        <v>0.92331096777011346</v>
      </c>
      <c r="AO29" s="32">
        <f t="shared" si="3"/>
        <v>1.006177481165516</v>
      </c>
      <c r="AP29" s="32">
        <f t="shared" si="3"/>
        <v>0.94412970945066121</v>
      </c>
      <c r="AQ29" s="32">
        <f t="shared" si="3"/>
        <v>0.89806920875306606</v>
      </c>
      <c r="AR29" s="32">
        <f t="shared" si="3"/>
        <v>0.98091517498252279</v>
      </c>
      <c r="AS29" s="32">
        <f t="shared" si="3"/>
        <v>1.0294362776188521</v>
      </c>
      <c r="AT29" s="32">
        <f t="shared" si="3"/>
        <v>1.0765127229680977</v>
      </c>
      <c r="AU29" s="32">
        <f t="shared" si="3"/>
        <v>0.96892497301274683</v>
      </c>
      <c r="AV29" s="32">
        <f t="shared" si="3"/>
        <v>0.86672590116511472</v>
      </c>
      <c r="AW29" s="32">
        <f t="shared" si="3"/>
        <v>0.96726444848526216</v>
      </c>
      <c r="AX29" s="32">
        <f t="shared" si="3"/>
        <v>0.95440427616482926</v>
      </c>
      <c r="AY29" s="32">
        <f t="shared" si="3"/>
        <v>-3.3368580001616806E-2</v>
      </c>
      <c r="AZ29" s="32">
        <f t="shared" si="3"/>
        <v>0.85600495219147488</v>
      </c>
      <c r="BA29" s="32">
        <f t="shared" si="3"/>
        <v>0.82815731330814146</v>
      </c>
      <c r="BB29" s="32">
        <f t="shared" si="3"/>
        <v>0.85898538281227055</v>
      </c>
      <c r="BC29" s="32">
        <f t="shared" si="3"/>
        <v>0.86338681139689299</v>
      </c>
      <c r="BD29" s="32">
        <f t="shared" si="3"/>
        <v>0.84353423711277586</v>
      </c>
      <c r="BE29" s="32">
        <f t="shared" si="3"/>
        <v>0.87294223133272164</v>
      </c>
      <c r="BF29" s="32">
        <f t="shared" si="3"/>
        <v>0.90041712567500765</v>
      </c>
      <c r="BG29" s="32">
        <f t="shared" si="3"/>
        <v>0.89481708556057438</v>
      </c>
      <c r="BH29" s="32">
        <f t="shared" si="3"/>
        <v>0.96683786019724327</v>
      </c>
      <c r="BI29" s="32">
        <f t="shared" si="3"/>
        <v>0.90119550463907216</v>
      </c>
      <c r="BJ29" s="32">
        <f t="shared" si="3"/>
        <v>0.9061411607004316</v>
      </c>
      <c r="BK29" s="32">
        <f t="shared" ref="BK29:BW29" si="4">IFERROR(BK16/BK12,"")</f>
        <v>0.68217097143082939</v>
      </c>
      <c r="BL29" s="32">
        <f t="shared" si="4"/>
        <v>0.90795462872352262</v>
      </c>
      <c r="BM29" s="32">
        <f t="shared" si="4"/>
        <v>0.92847999046629648</v>
      </c>
      <c r="BN29" s="32">
        <f t="shared" si="4"/>
        <v>0.94773907622076992</v>
      </c>
      <c r="BO29" s="32">
        <f t="shared" si="4"/>
        <v>0.87349944158916226</v>
      </c>
      <c r="BP29" s="32">
        <f t="shared" si="4"/>
        <v>0.84226601118543942</v>
      </c>
      <c r="BQ29" s="32">
        <f t="shared" si="4"/>
        <v>0.81141546922119223</v>
      </c>
      <c r="BR29" s="32" t="str">
        <f t="shared" si="4"/>
        <v/>
      </c>
      <c r="BS29" s="32" t="str">
        <f t="shared" si="4"/>
        <v/>
      </c>
      <c r="BT29" s="32" t="str">
        <f t="shared" si="4"/>
        <v/>
      </c>
      <c r="BU29" s="32" t="str">
        <f t="shared" si="4"/>
        <v/>
      </c>
      <c r="BV29" s="32" t="str">
        <f t="shared" si="4"/>
        <v/>
      </c>
      <c r="BW29" s="32" t="str">
        <f t="shared" si="4"/>
        <v/>
      </c>
    </row>
    <row r="30" spans="1:75">
      <c r="A30" s="145">
        <v>27</v>
      </c>
      <c r="B30" s="146" t="s">
        <v>435</v>
      </c>
      <c r="C30" s="147">
        <v>28</v>
      </c>
      <c r="D30" s="27">
        <f>'Ket qua kinh doanh'!D9</f>
        <v>0</v>
      </c>
      <c r="E30" s="27">
        <f>'Ket qua kinh doanh'!E9</f>
        <v>0</v>
      </c>
      <c r="F30" s="27">
        <f>'Ket qua kinh doanh'!F9</f>
        <v>0</v>
      </c>
      <c r="G30" s="27">
        <f>'Ket qua kinh doanh'!G9</f>
        <v>0</v>
      </c>
      <c r="H30" s="27">
        <f>'Ket qua kinh doanh'!H9</f>
        <v>0</v>
      </c>
      <c r="I30" s="27">
        <f>'Ket qua kinh doanh'!I9</f>
        <v>0</v>
      </c>
      <c r="J30" s="27">
        <f>'Ket qua kinh doanh'!J9</f>
        <v>0</v>
      </c>
      <c r="K30" s="27">
        <f>'Ket qua kinh doanh'!K9</f>
        <v>0</v>
      </c>
      <c r="L30" s="27">
        <f>'Ket qua kinh doanh'!L9</f>
        <v>0</v>
      </c>
      <c r="M30" s="27">
        <f>'Ket qua kinh doanh'!M9</f>
        <v>0</v>
      </c>
      <c r="N30" s="27">
        <f>'Ket qua kinh doanh'!N9</f>
        <v>0</v>
      </c>
      <c r="O30" s="27">
        <f>'Ket qua kinh doanh'!O9</f>
        <v>0</v>
      </c>
      <c r="P30" s="27">
        <f>'Ket qua kinh doanh'!P9</f>
        <v>0</v>
      </c>
      <c r="Q30" s="27">
        <f>'Ket qua kinh doanh'!Q9</f>
        <v>0</v>
      </c>
      <c r="R30" s="27">
        <f>'Ket qua kinh doanh'!R9</f>
        <v>0</v>
      </c>
      <c r="S30" s="27">
        <f>'Ket qua kinh doanh'!S9</f>
        <v>0</v>
      </c>
      <c r="T30" s="27">
        <f>'Ket qua kinh doanh'!T9</f>
        <v>0</v>
      </c>
      <c r="U30" s="27">
        <f>'Ket qua kinh doanh'!U9</f>
        <v>0</v>
      </c>
      <c r="V30" s="27">
        <f>'Ket qua kinh doanh'!V9</f>
        <v>0</v>
      </c>
      <c r="W30" s="27">
        <f>'Ket qua kinh doanh'!W9</f>
        <v>0</v>
      </c>
      <c r="X30" s="27">
        <f>'Ket qua kinh doanh'!X9</f>
        <v>0</v>
      </c>
      <c r="Y30" s="27">
        <f>'Ket qua kinh doanh'!Y9</f>
        <v>0</v>
      </c>
      <c r="Z30" s="27">
        <f>'Ket qua kinh doanh'!Z9</f>
        <v>0</v>
      </c>
      <c r="AA30" s="27">
        <f>'Ket qua kinh doanh'!AA9</f>
        <v>0</v>
      </c>
      <c r="AB30" s="27">
        <f>'Ket qua kinh doanh'!AB9</f>
        <v>0</v>
      </c>
      <c r="AC30" s="27">
        <f>'Ket qua kinh doanh'!AC9</f>
        <v>0</v>
      </c>
      <c r="AD30" s="27">
        <f>'Ket qua kinh doanh'!AD9</f>
        <v>0</v>
      </c>
      <c r="AE30" s="27">
        <f>'Ket qua kinh doanh'!AE9</f>
        <v>0</v>
      </c>
      <c r="AF30" s="27">
        <f>'Ket qua kinh doanh'!AF9</f>
        <v>0</v>
      </c>
      <c r="AG30" s="27">
        <f>'Ket qua kinh doanh'!AG9</f>
        <v>0</v>
      </c>
      <c r="AH30" s="27">
        <f>'Ket qua kinh doanh'!AH9</f>
        <v>0</v>
      </c>
      <c r="AI30" s="27">
        <f>'Ket qua kinh doanh'!AI9</f>
        <v>0</v>
      </c>
      <c r="AJ30" s="27">
        <f>'Ket qua kinh doanh'!AJ9</f>
        <v>0</v>
      </c>
      <c r="AK30" s="27">
        <f>'Ket qua kinh doanh'!AK9</f>
        <v>0</v>
      </c>
      <c r="AL30" s="27">
        <f>'Ket qua kinh doanh'!AL9</f>
        <v>0</v>
      </c>
      <c r="AM30" s="27">
        <f>'Ket qua kinh doanh'!AM9</f>
        <v>0</v>
      </c>
      <c r="AN30" s="27">
        <f>'Ket qua kinh doanh'!AN9</f>
        <v>9972483847</v>
      </c>
      <c r="AO30" s="27">
        <f>'Ket qua kinh doanh'!AO9</f>
        <v>-515694066</v>
      </c>
      <c r="AP30" s="27">
        <f>'Ket qua kinh doanh'!AP9</f>
        <v>6460025611</v>
      </c>
      <c r="AQ30" s="27">
        <f>'Ket qua kinh doanh'!AQ9</f>
        <v>11991878921</v>
      </c>
      <c r="AR30" s="27">
        <f>'Ket qua kinh doanh'!AR9</f>
        <v>2441885278</v>
      </c>
      <c r="AS30" s="27">
        <f>'Ket qua kinh doanh'!AS9</f>
        <v>-2815920597</v>
      </c>
      <c r="AT30" s="27">
        <f>'Ket qua kinh doanh'!AT9</f>
        <v>-5713944325</v>
      </c>
      <c r="AU30" s="27">
        <f>'Ket qua kinh doanh'!AU9</f>
        <v>5363296363</v>
      </c>
      <c r="AV30" s="27">
        <f>'Ket qua kinh doanh'!AV9</f>
        <v>23385512729</v>
      </c>
      <c r="AW30" s="27">
        <f>'Ket qua kinh doanh'!AW9</f>
        <v>4592444587</v>
      </c>
      <c r="AX30" s="27">
        <f>'Ket qua kinh doanh'!AX9</f>
        <v>4429538531</v>
      </c>
      <c r="AY30" s="27">
        <f>'Ket qua kinh doanh'!AY9</f>
        <v>128144611272</v>
      </c>
      <c r="AZ30" s="27">
        <f>'Ket qua kinh doanh'!AZ9</f>
        <v>16483105268</v>
      </c>
      <c r="BA30" s="27">
        <f>'Ket qua kinh doanh'!BA9</f>
        <v>32306332485</v>
      </c>
      <c r="BB30" s="27">
        <f>'Ket qua kinh doanh'!BB9</f>
        <v>21185923943</v>
      </c>
      <c r="BC30" s="27">
        <f>'Ket qua kinh doanh'!BC9</f>
        <v>17129551066</v>
      </c>
      <c r="BD30" s="27">
        <f>'Ket qua kinh doanh'!BD9</f>
        <v>23787733277</v>
      </c>
      <c r="BE30" s="27">
        <f>'Ket qua kinh doanh'!BE9</f>
        <v>15180844835</v>
      </c>
      <c r="BF30" s="27">
        <f>'Ket qua kinh doanh'!BF9</f>
        <v>13742767461</v>
      </c>
      <c r="BG30" s="27">
        <f>'Ket qua kinh doanh'!BG9</f>
        <v>17721449183</v>
      </c>
      <c r="BH30" s="27">
        <f>'Ket qua kinh doanh'!BH9</f>
        <v>2809810527</v>
      </c>
      <c r="BI30" s="27">
        <f>'Ket qua kinh doanh'!BI9</f>
        <v>10770744743</v>
      </c>
      <c r="BJ30" s="27">
        <f>'Ket qua kinh doanh'!BJ9</f>
        <v>8296122547</v>
      </c>
      <c r="BK30" s="27">
        <f>'Ket qua kinh doanh'!BK9</f>
        <v>31676554728</v>
      </c>
      <c r="BL30" s="27">
        <f>'Ket qua kinh doanh'!BL9</f>
        <v>11577706459.805557</v>
      </c>
      <c r="BM30" s="27">
        <f>'Ket qua kinh doanh'!BM9</f>
        <v>6905199089.8284912</v>
      </c>
      <c r="BN30" s="27">
        <f>'Ket qua kinh doanh'!BN9</f>
        <v>9041487885.4083328</v>
      </c>
      <c r="BO30" s="27">
        <f>'Ket qua kinh doanh'!BO9</f>
        <v>20132564871.830753</v>
      </c>
      <c r="BP30" s="27">
        <f>'Ket qua kinh doanh'!BP9</f>
        <v>25203170724.768799</v>
      </c>
      <c r="BQ30" s="27">
        <f>'Ket qua kinh doanh'!BQ9</f>
        <v>23184330911.481274</v>
      </c>
      <c r="BR30" s="27">
        <f>'Ket qua kinh doanh'!BR9</f>
        <v>0</v>
      </c>
      <c r="BS30" s="27">
        <f>'Ket qua kinh doanh'!BS9</f>
        <v>0</v>
      </c>
      <c r="BT30" s="27">
        <f>'Ket qua kinh doanh'!BT9</f>
        <v>0</v>
      </c>
      <c r="BU30" s="27">
        <f>'Ket qua kinh doanh'!BU9</f>
        <v>0</v>
      </c>
      <c r="BV30" s="27">
        <f>'Ket qua kinh doanh'!BV9</f>
        <v>0</v>
      </c>
      <c r="BW30" s="27">
        <f>'Ket qua kinh doanh'!BW9</f>
        <v>0</v>
      </c>
    </row>
    <row r="31" spans="1:75">
      <c r="A31" s="148">
        <v>28</v>
      </c>
      <c r="B31" s="149" t="s">
        <v>436</v>
      </c>
      <c r="C31" s="151">
        <v>28</v>
      </c>
      <c r="D31" s="29" t="str">
        <f t="shared" ref="D31:BJ31" si="5">IFERROR(D30/D12,"")</f>
        <v/>
      </c>
      <c r="E31" s="29" t="str">
        <f t="shared" si="5"/>
        <v/>
      </c>
      <c r="F31" s="29" t="str">
        <f t="shared" si="5"/>
        <v/>
      </c>
      <c r="G31" s="29" t="str">
        <f t="shared" si="5"/>
        <v/>
      </c>
      <c r="H31" s="29" t="str">
        <f t="shared" si="5"/>
        <v/>
      </c>
      <c r="I31" s="29" t="str">
        <f t="shared" si="5"/>
        <v/>
      </c>
      <c r="J31" s="29" t="str">
        <f t="shared" si="5"/>
        <v/>
      </c>
      <c r="K31" s="29" t="str">
        <f t="shared" si="5"/>
        <v/>
      </c>
      <c r="L31" s="29" t="str">
        <f t="shared" si="5"/>
        <v/>
      </c>
      <c r="M31" s="29" t="str">
        <f t="shared" si="5"/>
        <v/>
      </c>
      <c r="N31" s="29" t="str">
        <f t="shared" si="5"/>
        <v/>
      </c>
      <c r="O31" s="29" t="str">
        <f t="shared" si="5"/>
        <v/>
      </c>
      <c r="P31" s="29" t="str">
        <f t="shared" si="5"/>
        <v/>
      </c>
      <c r="Q31" s="29" t="str">
        <f t="shared" si="5"/>
        <v/>
      </c>
      <c r="R31" s="29" t="str">
        <f t="shared" si="5"/>
        <v/>
      </c>
      <c r="S31" s="29" t="str">
        <f t="shared" si="5"/>
        <v/>
      </c>
      <c r="T31" s="29" t="str">
        <f t="shared" si="5"/>
        <v/>
      </c>
      <c r="U31" s="29" t="str">
        <f t="shared" si="5"/>
        <v/>
      </c>
      <c r="V31" s="29" t="str">
        <f t="shared" si="5"/>
        <v/>
      </c>
      <c r="W31" s="29" t="str">
        <f t="shared" si="5"/>
        <v/>
      </c>
      <c r="X31" s="29" t="str">
        <f t="shared" si="5"/>
        <v/>
      </c>
      <c r="Y31" s="29" t="str">
        <f t="shared" si="5"/>
        <v/>
      </c>
      <c r="Z31" s="29" t="str">
        <f t="shared" si="5"/>
        <v/>
      </c>
      <c r="AA31" s="29" t="str">
        <f t="shared" si="5"/>
        <v/>
      </c>
      <c r="AB31" s="29" t="str">
        <f t="shared" si="5"/>
        <v/>
      </c>
      <c r="AC31" s="29" t="str">
        <f t="shared" si="5"/>
        <v/>
      </c>
      <c r="AD31" s="29" t="str">
        <f t="shared" si="5"/>
        <v/>
      </c>
      <c r="AE31" s="29" t="str">
        <f t="shared" si="5"/>
        <v/>
      </c>
      <c r="AF31" s="29" t="str">
        <f t="shared" si="5"/>
        <v/>
      </c>
      <c r="AG31" s="29" t="str">
        <f t="shared" si="5"/>
        <v/>
      </c>
      <c r="AH31" s="29" t="str">
        <f t="shared" si="5"/>
        <v/>
      </c>
      <c r="AI31" s="29" t="str">
        <f t="shared" si="5"/>
        <v/>
      </c>
      <c r="AJ31" s="29" t="str">
        <f t="shared" si="5"/>
        <v/>
      </c>
      <c r="AK31" s="29" t="str">
        <f t="shared" si="5"/>
        <v/>
      </c>
      <c r="AL31" s="29" t="str">
        <f t="shared" si="5"/>
        <v/>
      </c>
      <c r="AM31" s="29" t="str">
        <f t="shared" si="5"/>
        <v/>
      </c>
      <c r="AN31" s="29">
        <f t="shared" si="5"/>
        <v>7.66890322298866E-2</v>
      </c>
      <c r="AO31" s="29">
        <f t="shared" si="5"/>
        <v>-6.1774811655159814E-3</v>
      </c>
      <c r="AP31" s="29">
        <f t="shared" si="5"/>
        <v>5.5870290549338772E-2</v>
      </c>
      <c r="AQ31" s="29">
        <f t="shared" si="5"/>
        <v>0.10193079124693391</v>
      </c>
      <c r="AR31" s="29">
        <f t="shared" si="5"/>
        <v>1.9084825017477242E-2</v>
      </c>
      <c r="AS31" s="29">
        <f t="shared" si="5"/>
        <v>-2.9436277618852195E-2</v>
      </c>
      <c r="AT31" s="29">
        <f t="shared" si="5"/>
        <v>-7.6512722968097704E-2</v>
      </c>
      <c r="AU31" s="29">
        <f t="shared" si="5"/>
        <v>3.1075026987253188E-2</v>
      </c>
      <c r="AV31" s="29">
        <f t="shared" si="5"/>
        <v>0.13327409883488528</v>
      </c>
      <c r="AW31" s="29">
        <f t="shared" si="5"/>
        <v>3.2735551514737844E-2</v>
      </c>
      <c r="AX31" s="29">
        <f t="shared" si="5"/>
        <v>4.5595723835170708E-2</v>
      </c>
      <c r="AY31" s="29">
        <f t="shared" si="5"/>
        <v>1.0333685800016168</v>
      </c>
      <c r="AZ31" s="29">
        <f t="shared" si="5"/>
        <v>0.1439950478085251</v>
      </c>
      <c r="BA31" s="29">
        <f t="shared" si="5"/>
        <v>0.17184268669185856</v>
      </c>
      <c r="BB31" s="29">
        <f t="shared" si="5"/>
        <v>0.1410146171877294</v>
      </c>
      <c r="BC31" s="29">
        <f t="shared" si="5"/>
        <v>0.13661318860310695</v>
      </c>
      <c r="BD31" s="29">
        <f t="shared" si="5"/>
        <v>0.15646576288722411</v>
      </c>
      <c r="BE31" s="29">
        <f t="shared" si="5"/>
        <v>0.12705776866727836</v>
      </c>
      <c r="BF31" s="29">
        <f t="shared" si="5"/>
        <v>9.9582874324992354E-2</v>
      </c>
      <c r="BG31" s="29">
        <f t="shared" si="5"/>
        <v>0.10518291443942565</v>
      </c>
      <c r="BH31" s="29">
        <f t="shared" si="5"/>
        <v>3.3162139802756757E-2</v>
      </c>
      <c r="BI31" s="29">
        <f t="shared" si="5"/>
        <v>9.8804495360927863E-2</v>
      </c>
      <c r="BJ31" s="29">
        <f t="shared" si="5"/>
        <v>9.3858839299568439E-2</v>
      </c>
      <c r="BK31" s="29">
        <f t="shared" ref="BK31:BW31" si="6">IFERROR(BK30/BK12,"")</f>
        <v>0.31782902856917061</v>
      </c>
      <c r="BL31" s="29">
        <f t="shared" si="6"/>
        <v>9.2045371276477356E-2</v>
      </c>
      <c r="BM31" s="29">
        <f t="shared" si="6"/>
        <v>7.1520009533703577E-2</v>
      </c>
      <c r="BN31" s="29">
        <f t="shared" si="6"/>
        <v>5.2260923779230167E-2</v>
      </c>
      <c r="BO31" s="29">
        <f t="shared" si="6"/>
        <v>0.12650055841083779</v>
      </c>
      <c r="BP31" s="29">
        <f t="shared" si="6"/>
        <v>0.15773398881456063</v>
      </c>
      <c r="BQ31" s="29">
        <f t="shared" si="6"/>
        <v>0.18858453077880774</v>
      </c>
      <c r="BR31" s="29" t="str">
        <f t="shared" si="6"/>
        <v/>
      </c>
      <c r="BS31" s="29" t="str">
        <f t="shared" si="6"/>
        <v/>
      </c>
      <c r="BT31" s="29" t="str">
        <f t="shared" si="6"/>
        <v/>
      </c>
      <c r="BU31" s="29" t="str">
        <f t="shared" si="6"/>
        <v/>
      </c>
      <c r="BV31" s="29" t="str">
        <f t="shared" si="6"/>
        <v/>
      </c>
      <c r="BW31" s="29" t="str">
        <f t="shared" si="6"/>
        <v/>
      </c>
    </row>
    <row r="32" spans="1:75">
      <c r="A32" s="145">
        <v>29</v>
      </c>
      <c r="B32" s="146" t="s">
        <v>437</v>
      </c>
      <c r="C32" s="147">
        <v>28</v>
      </c>
      <c r="D32" s="27">
        <f>'Ket qua kinh doanh'!D20</f>
        <v>0</v>
      </c>
      <c r="E32" s="27">
        <f>'Ket qua kinh doanh'!E20</f>
        <v>0</v>
      </c>
      <c r="F32" s="27">
        <f>'Ket qua kinh doanh'!F20</f>
        <v>0</v>
      </c>
      <c r="G32" s="27">
        <f>'Ket qua kinh doanh'!G20</f>
        <v>0</v>
      </c>
      <c r="H32" s="27">
        <f>'Ket qua kinh doanh'!H20</f>
        <v>0</v>
      </c>
      <c r="I32" s="27">
        <f>'Ket qua kinh doanh'!I20</f>
        <v>0</v>
      </c>
      <c r="J32" s="27">
        <f>'Ket qua kinh doanh'!J20</f>
        <v>0</v>
      </c>
      <c r="K32" s="27">
        <f>'Ket qua kinh doanh'!K20</f>
        <v>0</v>
      </c>
      <c r="L32" s="27">
        <f>'Ket qua kinh doanh'!L20</f>
        <v>0</v>
      </c>
      <c r="M32" s="27">
        <f>'Ket qua kinh doanh'!M20</f>
        <v>0</v>
      </c>
      <c r="N32" s="27">
        <f>'Ket qua kinh doanh'!N20</f>
        <v>0</v>
      </c>
      <c r="O32" s="27">
        <f>'Ket qua kinh doanh'!O20</f>
        <v>0</v>
      </c>
      <c r="P32" s="27">
        <f>'Ket qua kinh doanh'!P20</f>
        <v>0</v>
      </c>
      <c r="Q32" s="27">
        <f>'Ket qua kinh doanh'!Q20</f>
        <v>0</v>
      </c>
      <c r="R32" s="27">
        <f>'Ket qua kinh doanh'!R20</f>
        <v>0</v>
      </c>
      <c r="S32" s="27">
        <f>'Ket qua kinh doanh'!S20</f>
        <v>0</v>
      </c>
      <c r="T32" s="27">
        <f>'Ket qua kinh doanh'!T20</f>
        <v>0</v>
      </c>
      <c r="U32" s="27">
        <f>'Ket qua kinh doanh'!U20</f>
        <v>0</v>
      </c>
      <c r="V32" s="27">
        <f>'Ket qua kinh doanh'!V20</f>
        <v>0</v>
      </c>
      <c r="W32" s="27">
        <f>'Ket qua kinh doanh'!W20</f>
        <v>0</v>
      </c>
      <c r="X32" s="27">
        <f>'Ket qua kinh doanh'!X20</f>
        <v>0</v>
      </c>
      <c r="Y32" s="27">
        <f>'Ket qua kinh doanh'!Y20</f>
        <v>0</v>
      </c>
      <c r="Z32" s="27">
        <f>'Ket qua kinh doanh'!Z20</f>
        <v>0</v>
      </c>
      <c r="AA32" s="27">
        <f>'Ket qua kinh doanh'!AA20</f>
        <v>0</v>
      </c>
      <c r="AB32" s="27">
        <f>'Ket qua kinh doanh'!AB20</f>
        <v>0</v>
      </c>
      <c r="AC32" s="27">
        <f>'Ket qua kinh doanh'!AC20</f>
        <v>0</v>
      </c>
      <c r="AD32" s="27">
        <f>'Ket qua kinh doanh'!AD20</f>
        <v>0</v>
      </c>
      <c r="AE32" s="27">
        <f>'Ket qua kinh doanh'!AE20</f>
        <v>0</v>
      </c>
      <c r="AF32" s="27">
        <f>'Ket qua kinh doanh'!AF20</f>
        <v>0</v>
      </c>
      <c r="AG32" s="27">
        <f>'Ket qua kinh doanh'!AG20</f>
        <v>0</v>
      </c>
      <c r="AH32" s="27">
        <f>'Ket qua kinh doanh'!AH20</f>
        <v>0</v>
      </c>
      <c r="AI32" s="27">
        <f>'Ket qua kinh doanh'!AI20</f>
        <v>0</v>
      </c>
      <c r="AJ32" s="27">
        <f>'Ket qua kinh doanh'!AJ20</f>
        <v>0</v>
      </c>
      <c r="AK32" s="27">
        <f>'Ket qua kinh doanh'!AK20</f>
        <v>0</v>
      </c>
      <c r="AL32" s="27">
        <f>'Ket qua kinh doanh'!AL20</f>
        <v>0</v>
      </c>
      <c r="AM32" s="27">
        <f>'Ket qua kinh doanh'!AM20</f>
        <v>0</v>
      </c>
      <c r="AN32" s="27">
        <f>'Ket qua kinh doanh'!AN20</f>
        <v>-719985770</v>
      </c>
      <c r="AO32" s="27">
        <f>'Ket qua kinh doanh'!AO20</f>
        <v>-6758932844</v>
      </c>
      <c r="AP32" s="27">
        <f>'Ket qua kinh doanh'!AP20</f>
        <v>-2743321288</v>
      </c>
      <c r="AQ32" s="27">
        <f>'Ket qua kinh doanh'!AQ20</f>
        <v>1668340417</v>
      </c>
      <c r="AR32" s="27">
        <f>'Ket qua kinh doanh'!AR20</f>
        <v>-5691808171</v>
      </c>
      <c r="AS32" s="27">
        <f>'Ket qua kinh doanh'!AS20</f>
        <v>-12142648645</v>
      </c>
      <c r="AT32" s="27">
        <f>'Ket qua kinh doanh'!AT20</f>
        <v>-15194276334</v>
      </c>
      <c r="AU32" s="27">
        <f>'Ket qua kinh doanh'!AU20</f>
        <v>-10014018528</v>
      </c>
      <c r="AV32" s="27">
        <f>'Ket qua kinh doanh'!AV20</f>
        <v>8118268598</v>
      </c>
      <c r="AW32" s="27">
        <f>'Ket qua kinh doanh'!AW20</f>
        <v>-6348711814</v>
      </c>
      <c r="AX32" s="27">
        <f>'Ket qua kinh doanh'!AX20</f>
        <v>-6052149672</v>
      </c>
      <c r="AY32" s="27">
        <f>'Ket qua kinh doanh'!AY20</f>
        <v>102908561739</v>
      </c>
      <c r="AZ32" s="27">
        <f>'Ket qua kinh doanh'!AZ20</f>
        <v>3099846411</v>
      </c>
      <c r="BA32" s="27">
        <f>'Ket qua kinh doanh'!BA20</f>
        <v>17072928466</v>
      </c>
      <c r="BB32" s="27">
        <f>'Ket qua kinh doanh'!BB20</f>
        <v>6996892070</v>
      </c>
      <c r="BC32" s="27">
        <f>'Ket qua kinh doanh'!BC20</f>
        <v>3936534372</v>
      </c>
      <c r="BD32" s="27">
        <f>'Ket qua kinh doanh'!BD20</f>
        <v>10980760888</v>
      </c>
      <c r="BE32" s="27">
        <f>'Ket qua kinh doanh'!BE20</f>
        <v>874577083</v>
      </c>
      <c r="BF32" s="27">
        <f>'Ket qua kinh doanh'!BF20</f>
        <v>412219980</v>
      </c>
      <c r="BG32" s="27">
        <f>'Ket qua kinh doanh'!BG20</f>
        <v>2753352784</v>
      </c>
      <c r="BH32" s="27">
        <f>'Ket qua kinh doanh'!BH20</f>
        <v>-12537257826</v>
      </c>
      <c r="BI32" s="27">
        <f>'Ket qua kinh doanh'!BI20</f>
        <v>-5398471511</v>
      </c>
      <c r="BJ32" s="27">
        <f>'Ket qua kinh doanh'!BJ20</f>
        <v>-8841087053</v>
      </c>
      <c r="BK32" s="27">
        <f>'Ket qua kinh doanh'!BK20</f>
        <v>5675768744</v>
      </c>
      <c r="BL32" s="27">
        <f>'Ket qua kinh doanh'!BL20</f>
        <v>-3068173394.1944427</v>
      </c>
      <c r="BM32" s="27">
        <f>'Ket qua kinh doanh'!BM20</f>
        <v>-7734670181.1715088</v>
      </c>
      <c r="BN32" s="27">
        <f>'Ket qua kinh doanh'!BN20</f>
        <v>-6932855150.5916672</v>
      </c>
      <c r="BO32" s="27">
        <f>'Ket qua kinh doanh'!BO20</f>
        <v>4902498894.8307533</v>
      </c>
      <c r="BP32" s="27">
        <f>'Ket qua kinh doanh'!BP20</f>
        <v>9534845607.7687988</v>
      </c>
      <c r="BQ32" s="27">
        <f>'Ket qua kinh doanh'!BQ20</f>
        <v>9709265419.4812737</v>
      </c>
      <c r="BR32" s="27">
        <f>'Ket qua kinh doanh'!BR20</f>
        <v>0</v>
      </c>
      <c r="BS32" s="27">
        <f>'Ket qua kinh doanh'!BS20</f>
        <v>0</v>
      </c>
      <c r="BT32" s="27">
        <f>'Ket qua kinh doanh'!BT20</f>
        <v>0</v>
      </c>
      <c r="BU32" s="27">
        <f>'Ket qua kinh doanh'!BU20</f>
        <v>0</v>
      </c>
      <c r="BV32" s="27">
        <f>'Ket qua kinh doanh'!BV20</f>
        <v>0</v>
      </c>
      <c r="BW32" s="27">
        <f>'Ket qua kinh doanh'!BW20</f>
        <v>0</v>
      </c>
    </row>
    <row r="33" spans="1:75">
      <c r="A33" s="148">
        <v>30</v>
      </c>
      <c r="B33" s="149" t="s">
        <v>438</v>
      </c>
      <c r="C33" s="151">
        <v>28</v>
      </c>
      <c r="D33" s="29" t="str">
        <f t="shared" ref="D33:BJ33" si="7">IFERROR(D32/D12,"")</f>
        <v/>
      </c>
      <c r="E33" s="29" t="str">
        <f t="shared" si="7"/>
        <v/>
      </c>
      <c r="F33" s="29" t="str">
        <f t="shared" si="7"/>
        <v/>
      </c>
      <c r="G33" s="29" t="str">
        <f t="shared" si="7"/>
        <v/>
      </c>
      <c r="H33" s="29" t="str">
        <f t="shared" si="7"/>
        <v/>
      </c>
      <c r="I33" s="29" t="str">
        <f t="shared" si="7"/>
        <v/>
      </c>
      <c r="J33" s="29" t="str">
        <f t="shared" si="7"/>
        <v/>
      </c>
      <c r="K33" s="29" t="str">
        <f t="shared" si="7"/>
        <v/>
      </c>
      <c r="L33" s="29" t="str">
        <f t="shared" si="7"/>
        <v/>
      </c>
      <c r="M33" s="29" t="str">
        <f t="shared" si="7"/>
        <v/>
      </c>
      <c r="N33" s="29" t="str">
        <f t="shared" si="7"/>
        <v/>
      </c>
      <c r="O33" s="29" t="str">
        <f t="shared" si="7"/>
        <v/>
      </c>
      <c r="P33" s="29" t="str">
        <f t="shared" si="7"/>
        <v/>
      </c>
      <c r="Q33" s="29" t="str">
        <f t="shared" si="7"/>
        <v/>
      </c>
      <c r="R33" s="29" t="str">
        <f t="shared" si="7"/>
        <v/>
      </c>
      <c r="S33" s="29" t="str">
        <f t="shared" si="7"/>
        <v/>
      </c>
      <c r="T33" s="29" t="str">
        <f t="shared" si="7"/>
        <v/>
      </c>
      <c r="U33" s="29" t="str">
        <f t="shared" si="7"/>
        <v/>
      </c>
      <c r="V33" s="29" t="str">
        <f t="shared" si="7"/>
        <v/>
      </c>
      <c r="W33" s="29" t="str">
        <f t="shared" si="7"/>
        <v/>
      </c>
      <c r="X33" s="29" t="str">
        <f t="shared" si="7"/>
        <v/>
      </c>
      <c r="Y33" s="29" t="str">
        <f t="shared" si="7"/>
        <v/>
      </c>
      <c r="Z33" s="29" t="str">
        <f t="shared" si="7"/>
        <v/>
      </c>
      <c r="AA33" s="29" t="str">
        <f t="shared" si="7"/>
        <v/>
      </c>
      <c r="AB33" s="29" t="str">
        <f t="shared" si="7"/>
        <v/>
      </c>
      <c r="AC33" s="29" t="str">
        <f t="shared" si="7"/>
        <v/>
      </c>
      <c r="AD33" s="29" t="str">
        <f t="shared" si="7"/>
        <v/>
      </c>
      <c r="AE33" s="29" t="str">
        <f t="shared" si="7"/>
        <v/>
      </c>
      <c r="AF33" s="29" t="str">
        <f t="shared" si="7"/>
        <v/>
      </c>
      <c r="AG33" s="29" t="str">
        <f t="shared" si="7"/>
        <v/>
      </c>
      <c r="AH33" s="29" t="str">
        <f t="shared" si="7"/>
        <v/>
      </c>
      <c r="AI33" s="29" t="str">
        <f t="shared" si="7"/>
        <v/>
      </c>
      <c r="AJ33" s="29" t="str">
        <f t="shared" si="7"/>
        <v/>
      </c>
      <c r="AK33" s="29" t="str">
        <f t="shared" si="7"/>
        <v/>
      </c>
      <c r="AL33" s="29" t="str">
        <f t="shared" si="7"/>
        <v/>
      </c>
      <c r="AM33" s="29" t="str">
        <f t="shared" si="7"/>
        <v/>
      </c>
      <c r="AN33" s="29">
        <f t="shared" si="7"/>
        <v>-5.5367361599888603E-3</v>
      </c>
      <c r="AO33" s="29">
        <f t="shared" si="7"/>
        <v>-8.0965019951959982E-2</v>
      </c>
      <c r="AP33" s="29">
        <f t="shared" si="7"/>
        <v>-2.3725936499347768E-2</v>
      </c>
      <c r="AQ33" s="29">
        <f t="shared" si="7"/>
        <v>1.418086856065995E-2</v>
      </c>
      <c r="AR33" s="29">
        <f t="shared" si="7"/>
        <v>-4.4484957567520161E-2</v>
      </c>
      <c r="AS33" s="29">
        <f t="shared" si="7"/>
        <v>-0.12693340036760967</v>
      </c>
      <c r="AT33" s="29">
        <f t="shared" si="7"/>
        <v>-0.20345936007069251</v>
      </c>
      <c r="AU33" s="29">
        <f t="shared" si="7"/>
        <v>-5.8021387398101802E-2</v>
      </c>
      <c r="AV33" s="29">
        <f t="shared" si="7"/>
        <v>4.6266034191171812E-2</v>
      </c>
      <c r="AW33" s="29">
        <f t="shared" si="7"/>
        <v>-4.5254456249233722E-2</v>
      </c>
      <c r="AX33" s="29">
        <f t="shared" si="7"/>
        <v>-6.2298170141739981E-2</v>
      </c>
      <c r="AY33" s="29">
        <f t="shared" si="7"/>
        <v>0.82986302161794689</v>
      </c>
      <c r="AZ33" s="29">
        <f t="shared" si="7"/>
        <v>2.7080002517340589E-2</v>
      </c>
      <c r="BA33" s="29">
        <f t="shared" si="7"/>
        <v>9.0813709623571687E-2</v>
      </c>
      <c r="BB33" s="29">
        <f t="shared" si="7"/>
        <v>4.6571679356986993E-2</v>
      </c>
      <c r="BC33" s="29">
        <f t="shared" si="7"/>
        <v>3.1395014996749078E-2</v>
      </c>
      <c r="BD33" s="29">
        <f t="shared" si="7"/>
        <v>7.2226853623095319E-2</v>
      </c>
      <c r="BE33" s="29">
        <f t="shared" si="7"/>
        <v>7.3198701324791648E-3</v>
      </c>
      <c r="BF33" s="29">
        <f t="shared" si="7"/>
        <v>2.987029401398591E-3</v>
      </c>
      <c r="BG33" s="29">
        <f t="shared" si="7"/>
        <v>1.6342098623561899E-2</v>
      </c>
      <c r="BH33" s="29">
        <f t="shared" si="7"/>
        <v>-0.14796808993840682</v>
      </c>
      <c r="BI33" s="29">
        <f t="shared" si="7"/>
        <v>-4.9522411503750245E-2</v>
      </c>
      <c r="BJ33" s="29">
        <f t="shared" si="7"/>
        <v>-0.10002433838698478</v>
      </c>
      <c r="BK33" s="29">
        <f t="shared" ref="BK33:BW33" si="8">IFERROR(BK32/BK12,"")</f>
        <v>5.6948240797608934E-2</v>
      </c>
      <c r="BL33" s="29">
        <f t="shared" si="8"/>
        <v>-2.4392668806182547E-2</v>
      </c>
      <c r="BM33" s="29">
        <f t="shared" si="8"/>
        <v>-8.0111185485193429E-2</v>
      </c>
      <c r="BN33" s="29">
        <f t="shared" si="8"/>
        <v>-4.0072764481855115E-2</v>
      </c>
      <c r="BO33" s="29">
        <f t="shared" si="8"/>
        <v>3.0804264223300151E-2</v>
      </c>
      <c r="BP33" s="29">
        <f t="shared" si="8"/>
        <v>5.9673810365705994E-2</v>
      </c>
      <c r="BQ33" s="29">
        <f t="shared" si="8"/>
        <v>7.8976497977477925E-2</v>
      </c>
      <c r="BR33" s="29" t="str">
        <f t="shared" si="8"/>
        <v/>
      </c>
      <c r="BS33" s="29" t="str">
        <f t="shared" si="8"/>
        <v/>
      </c>
      <c r="BT33" s="29" t="str">
        <f t="shared" si="8"/>
        <v/>
      </c>
      <c r="BU33" s="29" t="str">
        <f t="shared" si="8"/>
        <v/>
      </c>
      <c r="BV33" s="29" t="str">
        <f t="shared" si="8"/>
        <v/>
      </c>
      <c r="BW33" s="29" t="str">
        <f t="shared" si="8"/>
        <v/>
      </c>
    </row>
    <row r="34" spans="1:75">
      <c r="A34" s="145">
        <v>31</v>
      </c>
      <c r="B34" s="146" t="s">
        <v>439</v>
      </c>
      <c r="C34" s="147">
        <v>28</v>
      </c>
      <c r="D34" s="27">
        <f>'Ket qua kinh doanh'!D20+'Ket qua kinh doanh'!D13+'Luu chuyen tien te'!D7</f>
        <v>0</v>
      </c>
      <c r="E34" s="27">
        <f>'Ket qua kinh doanh'!E20+'Ket qua kinh doanh'!E13+'Luu chuyen tien te'!E7</f>
        <v>0</v>
      </c>
      <c r="F34" s="27">
        <f>'Ket qua kinh doanh'!F20+'Ket qua kinh doanh'!F13+'Luu chuyen tien te'!F7</f>
        <v>0</v>
      </c>
      <c r="G34" s="27">
        <f>'Ket qua kinh doanh'!G20+'Ket qua kinh doanh'!G13+'Luu chuyen tien te'!G7</f>
        <v>0</v>
      </c>
      <c r="H34" s="27">
        <f>'Ket qua kinh doanh'!H20+'Ket qua kinh doanh'!H13+'Luu chuyen tien te'!H7</f>
        <v>0</v>
      </c>
      <c r="I34" s="27">
        <f>'Ket qua kinh doanh'!I20+'Ket qua kinh doanh'!I13+'Luu chuyen tien te'!I7</f>
        <v>0</v>
      </c>
      <c r="J34" s="27">
        <f>'Ket qua kinh doanh'!J20+'Ket qua kinh doanh'!J13+'Luu chuyen tien te'!J7</f>
        <v>0</v>
      </c>
      <c r="K34" s="27">
        <f>'Ket qua kinh doanh'!K20+'Ket qua kinh doanh'!K13+'Luu chuyen tien te'!K7</f>
        <v>0</v>
      </c>
      <c r="L34" s="27">
        <f>'Ket qua kinh doanh'!L20+'Ket qua kinh doanh'!L13+'Luu chuyen tien te'!L7</f>
        <v>0</v>
      </c>
      <c r="M34" s="27">
        <f>'Ket qua kinh doanh'!M20+'Ket qua kinh doanh'!M13+'Luu chuyen tien te'!M7</f>
        <v>0</v>
      </c>
      <c r="N34" s="27">
        <f>'Ket qua kinh doanh'!N20+'Ket qua kinh doanh'!N13+'Luu chuyen tien te'!N7</f>
        <v>0</v>
      </c>
      <c r="O34" s="27">
        <f>'Ket qua kinh doanh'!O20+'Ket qua kinh doanh'!O13+'Luu chuyen tien te'!O7</f>
        <v>0</v>
      </c>
      <c r="P34" s="27">
        <f>'Ket qua kinh doanh'!P20+'Ket qua kinh doanh'!P13+'Luu chuyen tien te'!P7</f>
        <v>0</v>
      </c>
      <c r="Q34" s="27">
        <f>'Ket qua kinh doanh'!Q20+'Ket qua kinh doanh'!Q13+'Luu chuyen tien te'!Q7</f>
        <v>0</v>
      </c>
      <c r="R34" s="27">
        <f>'Ket qua kinh doanh'!R20+'Ket qua kinh doanh'!R13+'Luu chuyen tien te'!R7</f>
        <v>0</v>
      </c>
      <c r="S34" s="27">
        <f>'Ket qua kinh doanh'!S20+'Ket qua kinh doanh'!S13+'Luu chuyen tien te'!S7</f>
        <v>0</v>
      </c>
      <c r="T34" s="27">
        <f>'Ket qua kinh doanh'!T20+'Ket qua kinh doanh'!T13+'Luu chuyen tien te'!T7</f>
        <v>0</v>
      </c>
      <c r="U34" s="27">
        <f>'Ket qua kinh doanh'!U20+'Ket qua kinh doanh'!U13+'Luu chuyen tien te'!U7</f>
        <v>0</v>
      </c>
      <c r="V34" s="27">
        <f>'Ket qua kinh doanh'!V20+'Ket qua kinh doanh'!V13+'Luu chuyen tien te'!V7</f>
        <v>0</v>
      </c>
      <c r="W34" s="27">
        <f>'Ket qua kinh doanh'!W20+'Ket qua kinh doanh'!W13+'Luu chuyen tien te'!W7</f>
        <v>0</v>
      </c>
      <c r="X34" s="27">
        <f>'Ket qua kinh doanh'!X20+'Ket qua kinh doanh'!X13+'Luu chuyen tien te'!X7</f>
        <v>0</v>
      </c>
      <c r="Y34" s="27">
        <f>'Ket qua kinh doanh'!Y20+'Ket qua kinh doanh'!Y13+'Luu chuyen tien te'!Y7</f>
        <v>0</v>
      </c>
      <c r="Z34" s="27">
        <f>'Ket qua kinh doanh'!Z20+'Ket qua kinh doanh'!Z13+'Luu chuyen tien te'!Z7</f>
        <v>0</v>
      </c>
      <c r="AA34" s="27">
        <f>'Ket qua kinh doanh'!AA20+'Ket qua kinh doanh'!AA13+'Luu chuyen tien te'!AA7</f>
        <v>0</v>
      </c>
      <c r="AB34" s="27">
        <f>'Ket qua kinh doanh'!AB20+'Ket qua kinh doanh'!AB13+'Luu chuyen tien te'!AB7</f>
        <v>0</v>
      </c>
      <c r="AC34" s="27">
        <f>'Ket qua kinh doanh'!AC20+'Ket qua kinh doanh'!AC13+'Luu chuyen tien te'!AC7</f>
        <v>0</v>
      </c>
      <c r="AD34" s="27">
        <f>'Ket qua kinh doanh'!AD20+'Ket qua kinh doanh'!AD13+'Luu chuyen tien te'!AD7</f>
        <v>0</v>
      </c>
      <c r="AE34" s="27">
        <f>'Ket qua kinh doanh'!AE20+'Ket qua kinh doanh'!AE13+'Luu chuyen tien te'!AE7</f>
        <v>0</v>
      </c>
      <c r="AF34" s="27">
        <f>'Ket qua kinh doanh'!AF20+'Ket qua kinh doanh'!AF13+'Luu chuyen tien te'!AF7</f>
        <v>0</v>
      </c>
      <c r="AG34" s="27">
        <f>'Ket qua kinh doanh'!AG20+'Ket qua kinh doanh'!AG13+'Luu chuyen tien te'!AG7</f>
        <v>0</v>
      </c>
      <c r="AH34" s="27">
        <f>'Ket qua kinh doanh'!AH20+'Ket qua kinh doanh'!AH13+'Luu chuyen tien te'!AH7</f>
        <v>0</v>
      </c>
      <c r="AI34" s="27">
        <f>'Ket qua kinh doanh'!AI20+'Ket qua kinh doanh'!AI13+'Luu chuyen tien te'!AI7</f>
        <v>0</v>
      </c>
      <c r="AJ34" s="27">
        <f>'Ket qua kinh doanh'!AJ20+'Ket qua kinh doanh'!AJ13+'Luu chuyen tien te'!AJ7</f>
        <v>0</v>
      </c>
      <c r="AK34" s="27">
        <f>'Ket qua kinh doanh'!AK20+'Ket qua kinh doanh'!AK13+'Luu chuyen tien te'!AK7</f>
        <v>0</v>
      </c>
      <c r="AL34" s="27">
        <f>'Ket qua kinh doanh'!AL20+'Ket qua kinh doanh'!AL13+'Luu chuyen tien te'!AL7</f>
        <v>0</v>
      </c>
      <c r="AM34" s="27">
        <f>'Ket qua kinh doanh'!AM20+'Ket qua kinh doanh'!AM13+'Luu chuyen tien te'!AM7</f>
        <v>0</v>
      </c>
      <c r="AN34" s="27">
        <f>'Ket qua kinh doanh'!AN20+'Ket qua kinh doanh'!AN13+'Luu chuyen tien te'!AN7</f>
        <v>3675898864</v>
      </c>
      <c r="AO34" s="27">
        <f>'Ket qua kinh doanh'!AO20+'Ket qua kinh doanh'!AO13+'Luu chuyen tien te'!AO7</f>
        <v>-2249766799</v>
      </c>
      <c r="AP34" s="27">
        <f>'Ket qua kinh doanh'!AP20+'Ket qua kinh doanh'!AP13+'Luu chuyen tien te'!AP7</f>
        <v>1785704666</v>
      </c>
      <c r="AQ34" s="27">
        <f>'Ket qua kinh doanh'!AQ20+'Ket qua kinh doanh'!AQ13+'Luu chuyen tien te'!AQ7</f>
        <v>6750826694</v>
      </c>
      <c r="AR34" s="27">
        <f>'Ket qua kinh doanh'!AR20+'Ket qua kinh doanh'!AR13+'Luu chuyen tien te'!AR7</f>
        <v>-452261713</v>
      </c>
      <c r="AS34" s="27">
        <f>'Ket qua kinh doanh'!AS20+'Ket qua kinh doanh'!AS13+'Luu chuyen tien te'!AS7</f>
        <v>-6787951141</v>
      </c>
      <c r="AT34" s="27">
        <f>'Ket qua kinh doanh'!AT20+'Ket qua kinh doanh'!AT13+'Luu chuyen tien te'!AT7</f>
        <v>-9754786291</v>
      </c>
      <c r="AU34" s="27">
        <f>'Ket qua kinh doanh'!AU20+'Ket qua kinh doanh'!AU13+'Luu chuyen tien te'!AU7</f>
        <v>-4762037040</v>
      </c>
      <c r="AV34" s="27">
        <f>'Ket qua kinh doanh'!AV20+'Ket qua kinh doanh'!AV13+'Luu chuyen tien te'!AV7</f>
        <v>13425158696</v>
      </c>
      <c r="AW34" s="27">
        <f>'Ket qua kinh doanh'!AW20+'Ket qua kinh doanh'!AW13+'Luu chuyen tien te'!AW7</f>
        <v>-1041021395</v>
      </c>
      <c r="AX34" s="27">
        <f>'Ket qua kinh doanh'!AX20+'Ket qua kinh doanh'!AX13+'Luu chuyen tien te'!AX7</f>
        <v>-668129018</v>
      </c>
      <c r="AY34" s="27">
        <f>'Ket qua kinh doanh'!AY20+'Ket qua kinh doanh'!AY13+'Luu chuyen tien te'!AY7</f>
        <v>108733421490</v>
      </c>
      <c r="AZ34" s="27">
        <f>'Ket qua kinh doanh'!AZ20+'Ket qua kinh doanh'!AZ13+'Luu chuyen tien te'!AZ7</f>
        <v>9084402201</v>
      </c>
      <c r="BA34" s="27">
        <f>'Ket qua kinh doanh'!BA20+'Ket qua kinh doanh'!BA13+'Luu chuyen tien te'!BA7</f>
        <v>22872990664</v>
      </c>
      <c r="BB34" s="27">
        <f>'Ket qua kinh doanh'!BB20+'Ket qua kinh doanh'!BB13+'Luu chuyen tien te'!BB7</f>
        <v>12745104196</v>
      </c>
      <c r="BC34" s="27">
        <f>'Ket qua kinh doanh'!BC20+'Ket qua kinh doanh'!BC13+'Luu chuyen tien te'!BC7</f>
        <v>9836693447</v>
      </c>
      <c r="BD34" s="27">
        <f>'Ket qua kinh doanh'!BD20+'Ket qua kinh doanh'!BD13+'Luu chuyen tien te'!BD7</f>
        <v>17344763554</v>
      </c>
      <c r="BE34" s="27">
        <f>'Ket qua kinh doanh'!BE20+'Ket qua kinh doanh'!BE13+'Luu chuyen tien te'!BE7</f>
        <v>7491353035</v>
      </c>
      <c r="BF34" s="27">
        <f>'Ket qua kinh doanh'!BF20+'Ket qua kinh doanh'!BF13+'Luu chuyen tien te'!BF7</f>
        <v>6840781029</v>
      </c>
      <c r="BG34" s="27">
        <f>'Ket qua kinh doanh'!BG20+'Ket qua kinh doanh'!BG13+'Luu chuyen tien te'!BG7</f>
        <v>9268145818</v>
      </c>
      <c r="BH34" s="27">
        <f>'Ket qua kinh doanh'!BH20+'Ket qua kinh doanh'!BH13+'Luu chuyen tien te'!BH7</f>
        <v>-5390401968</v>
      </c>
      <c r="BI34" s="27">
        <f>'Ket qua kinh doanh'!BI20+'Ket qua kinh doanh'!BI13+'Luu chuyen tien te'!BI7</f>
        <v>1374779067</v>
      </c>
      <c r="BJ34" s="27">
        <f>'Ket qua kinh doanh'!BJ20+'Ket qua kinh doanh'!BJ13+'Luu chuyen tien te'!BJ7</f>
        <v>-2015478915</v>
      </c>
      <c r="BK34" s="27">
        <f>'Ket qua kinh doanh'!BK20+'Ket qua kinh doanh'!BK13+'Luu chuyen tien te'!BK7</f>
        <v>12529280339</v>
      </c>
      <c r="BL34" s="27">
        <f>'Ket qua kinh doanh'!BL20+'Ket qua kinh doanh'!BL13+'Luu chuyen tien te'!BL7</f>
        <v>1047346238.8055573</v>
      </c>
      <c r="BM34" s="27">
        <f>'Ket qua kinh doanh'!BM20+'Ket qua kinh doanh'!BM13+'Luu chuyen tien te'!BM7</f>
        <v>-3725691363.1715088</v>
      </c>
      <c r="BN34" s="27">
        <f>'Ket qua kinh doanh'!BN20+'Ket qua kinh doanh'!BN13+'Luu chuyen tien te'!BN7</f>
        <v>-3106491521.5916672</v>
      </c>
      <c r="BO34" s="27">
        <f>'Ket qua kinh doanh'!BO20+'Ket qua kinh doanh'!BO13+'Luu chuyen tien te'!BO7</f>
        <v>8994877050.8307533</v>
      </c>
      <c r="BP34" s="27">
        <f>'Ket qua kinh doanh'!BP20+'Ket qua kinh doanh'!BP13+'Luu chuyen tien te'!BP7</f>
        <v>13396311085.768799</v>
      </c>
      <c r="BQ34" s="27">
        <f>'Ket qua kinh doanh'!BQ20+'Ket qua kinh doanh'!BQ13+'Luu chuyen tien te'!BQ7</f>
        <v>13659045738.481274</v>
      </c>
      <c r="BR34" s="27">
        <f>'Ket qua kinh doanh'!BR20+'Ket qua kinh doanh'!BR13+'Luu chuyen tien te'!BR7</f>
        <v>0</v>
      </c>
      <c r="BS34" s="27">
        <f>'Ket qua kinh doanh'!BS20+'Ket qua kinh doanh'!BS13+'Luu chuyen tien te'!BS7</f>
        <v>0</v>
      </c>
      <c r="BT34" s="27">
        <f>'Ket qua kinh doanh'!BT20+'Ket qua kinh doanh'!BT13+'Luu chuyen tien te'!BT7</f>
        <v>0</v>
      </c>
      <c r="BU34" s="27">
        <f>'Ket qua kinh doanh'!BU20+'Ket qua kinh doanh'!BU13+'Luu chuyen tien te'!BU7</f>
        <v>0</v>
      </c>
      <c r="BV34" s="27">
        <f>'Ket qua kinh doanh'!BV20+'Ket qua kinh doanh'!BV13+'Luu chuyen tien te'!BV7</f>
        <v>0</v>
      </c>
      <c r="BW34" s="27">
        <f>'Ket qua kinh doanh'!BW20+'Ket qua kinh doanh'!BW13+'Luu chuyen tien te'!BW7</f>
        <v>0</v>
      </c>
    </row>
    <row r="35" spans="1:75">
      <c r="A35" s="148">
        <v>32</v>
      </c>
      <c r="B35" s="149" t="s">
        <v>440</v>
      </c>
      <c r="C35" s="151">
        <v>28</v>
      </c>
      <c r="D35" s="29" t="str">
        <f t="shared" ref="D35:BJ35" si="9">IFERROR(D34/D12,"")</f>
        <v/>
      </c>
      <c r="E35" s="29" t="str">
        <f t="shared" si="9"/>
        <v/>
      </c>
      <c r="F35" s="29" t="str">
        <f t="shared" si="9"/>
        <v/>
      </c>
      <c r="G35" s="29" t="str">
        <f t="shared" si="9"/>
        <v/>
      </c>
      <c r="H35" s="29" t="str">
        <f t="shared" si="9"/>
        <v/>
      </c>
      <c r="I35" s="29" t="str">
        <f t="shared" si="9"/>
        <v/>
      </c>
      <c r="J35" s="29" t="str">
        <f t="shared" si="9"/>
        <v/>
      </c>
      <c r="K35" s="29" t="str">
        <f t="shared" si="9"/>
        <v/>
      </c>
      <c r="L35" s="29" t="str">
        <f t="shared" si="9"/>
        <v/>
      </c>
      <c r="M35" s="29" t="str">
        <f t="shared" si="9"/>
        <v/>
      </c>
      <c r="N35" s="29" t="str">
        <f t="shared" si="9"/>
        <v/>
      </c>
      <c r="O35" s="29" t="str">
        <f t="shared" si="9"/>
        <v/>
      </c>
      <c r="P35" s="29" t="str">
        <f t="shared" si="9"/>
        <v/>
      </c>
      <c r="Q35" s="29" t="str">
        <f t="shared" si="9"/>
        <v/>
      </c>
      <c r="R35" s="29" t="str">
        <f t="shared" si="9"/>
        <v/>
      </c>
      <c r="S35" s="29" t="str">
        <f t="shared" si="9"/>
        <v/>
      </c>
      <c r="T35" s="29" t="str">
        <f t="shared" si="9"/>
        <v/>
      </c>
      <c r="U35" s="29" t="str">
        <f t="shared" si="9"/>
        <v/>
      </c>
      <c r="V35" s="29" t="str">
        <f t="shared" si="9"/>
        <v/>
      </c>
      <c r="W35" s="29" t="str">
        <f t="shared" si="9"/>
        <v/>
      </c>
      <c r="X35" s="29" t="str">
        <f t="shared" si="9"/>
        <v/>
      </c>
      <c r="Y35" s="29" t="str">
        <f t="shared" si="9"/>
        <v/>
      </c>
      <c r="Z35" s="29" t="str">
        <f t="shared" si="9"/>
        <v/>
      </c>
      <c r="AA35" s="29" t="str">
        <f t="shared" si="9"/>
        <v/>
      </c>
      <c r="AB35" s="29" t="str">
        <f t="shared" si="9"/>
        <v/>
      </c>
      <c r="AC35" s="29" t="str">
        <f t="shared" si="9"/>
        <v/>
      </c>
      <c r="AD35" s="29" t="str">
        <f t="shared" si="9"/>
        <v/>
      </c>
      <c r="AE35" s="29" t="str">
        <f t="shared" si="9"/>
        <v/>
      </c>
      <c r="AF35" s="29" t="str">
        <f t="shared" si="9"/>
        <v/>
      </c>
      <c r="AG35" s="29" t="str">
        <f t="shared" si="9"/>
        <v/>
      </c>
      <c r="AH35" s="29" t="str">
        <f t="shared" si="9"/>
        <v/>
      </c>
      <c r="AI35" s="29" t="str">
        <f t="shared" si="9"/>
        <v/>
      </c>
      <c r="AJ35" s="29" t="str">
        <f t="shared" si="9"/>
        <v/>
      </c>
      <c r="AK35" s="29" t="str">
        <f t="shared" si="9"/>
        <v/>
      </c>
      <c r="AL35" s="29" t="str">
        <f t="shared" si="9"/>
        <v/>
      </c>
      <c r="AM35" s="29" t="str">
        <f t="shared" si="9"/>
        <v/>
      </c>
      <c r="AN35" s="29">
        <f t="shared" si="9"/>
        <v>2.8267895017940109E-2</v>
      </c>
      <c r="AO35" s="29">
        <f t="shared" si="9"/>
        <v>-2.6949877735505449E-2</v>
      </c>
      <c r="AP35" s="29">
        <f t="shared" si="9"/>
        <v>1.5443876624087574E-2</v>
      </c>
      <c r="AQ35" s="29">
        <f t="shared" si="9"/>
        <v>5.7381925803580501E-2</v>
      </c>
      <c r="AR35" s="29">
        <f t="shared" si="9"/>
        <v>-3.5347015408434402E-3</v>
      </c>
      <c r="AS35" s="29">
        <f t="shared" si="9"/>
        <v>-7.0957971777526135E-2</v>
      </c>
      <c r="AT35" s="29">
        <f t="shared" si="9"/>
        <v>-0.1306217244418601</v>
      </c>
      <c r="AU35" s="29">
        <f t="shared" si="9"/>
        <v>-2.7591320620127979E-2</v>
      </c>
      <c r="AV35" s="29">
        <f t="shared" si="9"/>
        <v>7.6510014882245167E-2</v>
      </c>
      <c r="AW35" s="29">
        <f t="shared" si="9"/>
        <v>-7.4205379854628507E-3</v>
      </c>
      <c r="AX35" s="29">
        <f t="shared" si="9"/>
        <v>-6.8774266162923234E-3</v>
      </c>
      <c r="AY35" s="29">
        <f t="shared" si="9"/>
        <v>0.87683516496327274</v>
      </c>
      <c r="AZ35" s="29">
        <f t="shared" si="9"/>
        <v>7.9360588188707643E-2</v>
      </c>
      <c r="BA35" s="29">
        <f t="shared" si="9"/>
        <v>0.12166519273596084</v>
      </c>
      <c r="BB35" s="29">
        <f t="shared" si="9"/>
        <v>8.4832079736153698E-2</v>
      </c>
      <c r="BC35" s="29">
        <f t="shared" si="9"/>
        <v>7.8450512329729105E-2</v>
      </c>
      <c r="BD35" s="29">
        <f t="shared" si="9"/>
        <v>0.11408660211433942</v>
      </c>
      <c r="BE35" s="29">
        <f t="shared" si="9"/>
        <v>6.2699712122177398E-2</v>
      </c>
      <c r="BF35" s="29">
        <f t="shared" si="9"/>
        <v>4.9569683793960463E-2</v>
      </c>
      <c r="BG35" s="29">
        <f t="shared" si="9"/>
        <v>5.5009642750999087E-2</v>
      </c>
      <c r="BH35" s="29">
        <f t="shared" si="9"/>
        <v>-6.3618974282485904E-2</v>
      </c>
      <c r="BI35" s="29">
        <f t="shared" si="9"/>
        <v>1.2611416869384278E-2</v>
      </c>
      <c r="BJ35" s="29">
        <f t="shared" si="9"/>
        <v>-2.2802280284909774E-2</v>
      </c>
      <c r="BK35" s="29">
        <f t="shared" ref="BK35:BW35" si="10">IFERROR(BK34/BK12,"")</f>
        <v>0.12571345062647241</v>
      </c>
      <c r="BL35" s="29">
        <f t="shared" si="10"/>
        <v>8.3266382457150914E-3</v>
      </c>
      <c r="BM35" s="29">
        <f t="shared" si="10"/>
        <v>-3.8588529939153668E-2</v>
      </c>
      <c r="BN35" s="29">
        <f t="shared" si="10"/>
        <v>-1.7955907112670411E-2</v>
      </c>
      <c r="BO35" s="29">
        <f t="shared" si="10"/>
        <v>5.6518231880081815E-2</v>
      </c>
      <c r="BP35" s="29">
        <f t="shared" si="10"/>
        <v>8.3840783607532152E-2</v>
      </c>
      <c r="BQ35" s="29">
        <f t="shared" si="10"/>
        <v>0.11110455338618992</v>
      </c>
      <c r="BR35" s="29" t="str">
        <f t="shared" si="10"/>
        <v/>
      </c>
      <c r="BS35" s="29" t="str">
        <f t="shared" si="10"/>
        <v/>
      </c>
      <c r="BT35" s="29" t="str">
        <f t="shared" si="10"/>
        <v/>
      </c>
      <c r="BU35" s="29" t="str">
        <f t="shared" si="10"/>
        <v/>
      </c>
      <c r="BV35" s="29" t="str">
        <f t="shared" si="10"/>
        <v/>
      </c>
      <c r="BW35" s="29" t="str">
        <f t="shared" si="10"/>
        <v/>
      </c>
    </row>
    <row r="36" spans="1:75">
      <c r="A36" s="145">
        <v>33</v>
      </c>
      <c r="B36" s="146" t="s">
        <v>441</v>
      </c>
      <c r="C36" s="147">
        <v>28</v>
      </c>
      <c r="D36" s="27">
        <f>'Ket qua kinh doanh'!D21+'Ket qua kinh doanh'!D22</f>
        <v>0</v>
      </c>
      <c r="E36" s="27">
        <f>'Ket qua kinh doanh'!E21+'Ket qua kinh doanh'!E22</f>
        <v>0</v>
      </c>
      <c r="F36" s="27">
        <f>'Ket qua kinh doanh'!F21+'Ket qua kinh doanh'!F22</f>
        <v>0</v>
      </c>
      <c r="G36" s="27">
        <f>'Ket qua kinh doanh'!G21+'Ket qua kinh doanh'!G22</f>
        <v>0</v>
      </c>
      <c r="H36" s="27">
        <f>'Ket qua kinh doanh'!H21+'Ket qua kinh doanh'!H22</f>
        <v>0</v>
      </c>
      <c r="I36" s="27">
        <f>'Ket qua kinh doanh'!I21+'Ket qua kinh doanh'!I22</f>
        <v>0</v>
      </c>
      <c r="J36" s="27">
        <f>'Ket qua kinh doanh'!J21+'Ket qua kinh doanh'!J22</f>
        <v>0</v>
      </c>
      <c r="K36" s="27">
        <f>'Ket qua kinh doanh'!K21+'Ket qua kinh doanh'!K22</f>
        <v>0</v>
      </c>
      <c r="L36" s="27">
        <f>'Ket qua kinh doanh'!L21+'Ket qua kinh doanh'!L22</f>
        <v>0</v>
      </c>
      <c r="M36" s="27">
        <f>'Ket qua kinh doanh'!M21+'Ket qua kinh doanh'!M22</f>
        <v>0</v>
      </c>
      <c r="N36" s="27">
        <f>'Ket qua kinh doanh'!N21+'Ket qua kinh doanh'!N22</f>
        <v>0</v>
      </c>
      <c r="O36" s="27">
        <f>'Ket qua kinh doanh'!O21+'Ket qua kinh doanh'!O22</f>
        <v>0</v>
      </c>
      <c r="P36" s="27">
        <f>'Ket qua kinh doanh'!P21+'Ket qua kinh doanh'!P22</f>
        <v>0</v>
      </c>
      <c r="Q36" s="27">
        <f>'Ket qua kinh doanh'!Q21+'Ket qua kinh doanh'!Q22</f>
        <v>0</v>
      </c>
      <c r="R36" s="27">
        <f>'Ket qua kinh doanh'!R21+'Ket qua kinh doanh'!R22</f>
        <v>0</v>
      </c>
      <c r="S36" s="27">
        <f>'Ket qua kinh doanh'!S21+'Ket qua kinh doanh'!S22</f>
        <v>0</v>
      </c>
      <c r="T36" s="27">
        <f>'Ket qua kinh doanh'!T21+'Ket qua kinh doanh'!T22</f>
        <v>0</v>
      </c>
      <c r="U36" s="27">
        <f>'Ket qua kinh doanh'!U21+'Ket qua kinh doanh'!U22</f>
        <v>0</v>
      </c>
      <c r="V36" s="27">
        <f>'Ket qua kinh doanh'!V21+'Ket qua kinh doanh'!V22</f>
        <v>0</v>
      </c>
      <c r="W36" s="27">
        <f>'Ket qua kinh doanh'!W21+'Ket qua kinh doanh'!W22</f>
        <v>0</v>
      </c>
      <c r="X36" s="27">
        <f>'Ket qua kinh doanh'!X21+'Ket qua kinh doanh'!X22</f>
        <v>0</v>
      </c>
      <c r="Y36" s="27">
        <f>'Ket qua kinh doanh'!Y21+'Ket qua kinh doanh'!Y22</f>
        <v>0</v>
      </c>
      <c r="Z36" s="27">
        <f>'Ket qua kinh doanh'!Z21+'Ket qua kinh doanh'!Z22</f>
        <v>0</v>
      </c>
      <c r="AA36" s="27">
        <f>'Ket qua kinh doanh'!AA21+'Ket qua kinh doanh'!AA22</f>
        <v>0</v>
      </c>
      <c r="AB36" s="27">
        <f>'Ket qua kinh doanh'!AB21+'Ket qua kinh doanh'!AB22</f>
        <v>0</v>
      </c>
      <c r="AC36" s="27">
        <f>'Ket qua kinh doanh'!AC21+'Ket qua kinh doanh'!AC22</f>
        <v>0</v>
      </c>
      <c r="AD36" s="27">
        <f>'Ket qua kinh doanh'!AD21+'Ket qua kinh doanh'!AD22</f>
        <v>0</v>
      </c>
      <c r="AE36" s="27">
        <f>'Ket qua kinh doanh'!AE21+'Ket qua kinh doanh'!AE22</f>
        <v>0</v>
      </c>
      <c r="AF36" s="27">
        <f>'Ket qua kinh doanh'!AF21+'Ket qua kinh doanh'!AF22</f>
        <v>0</v>
      </c>
      <c r="AG36" s="27">
        <f>'Ket qua kinh doanh'!AG21+'Ket qua kinh doanh'!AG22</f>
        <v>0</v>
      </c>
      <c r="AH36" s="27">
        <f>'Ket qua kinh doanh'!AH21+'Ket qua kinh doanh'!AH22</f>
        <v>0</v>
      </c>
      <c r="AI36" s="27">
        <f>'Ket qua kinh doanh'!AI21+'Ket qua kinh doanh'!AI22</f>
        <v>0</v>
      </c>
      <c r="AJ36" s="27">
        <f>'Ket qua kinh doanh'!AJ21+'Ket qua kinh doanh'!AJ22</f>
        <v>0</v>
      </c>
      <c r="AK36" s="27">
        <f>'Ket qua kinh doanh'!AK21+'Ket qua kinh doanh'!AK22</f>
        <v>0</v>
      </c>
      <c r="AL36" s="27">
        <f>'Ket qua kinh doanh'!AL21+'Ket qua kinh doanh'!AL22</f>
        <v>0</v>
      </c>
      <c r="AM36" s="27">
        <f>'Ket qua kinh doanh'!AM21+'Ket qua kinh doanh'!AM22</f>
        <v>0</v>
      </c>
      <c r="AN36" s="27">
        <f>'Ket qua kinh doanh'!AN21+'Ket qua kinh doanh'!AN22</f>
        <v>0</v>
      </c>
      <c r="AO36" s="27">
        <f>'Ket qua kinh doanh'!AO21+'Ket qua kinh doanh'!AO22</f>
        <v>0</v>
      </c>
      <c r="AP36" s="27">
        <f>'Ket qua kinh doanh'!AP21+'Ket qua kinh doanh'!AP22</f>
        <v>0</v>
      </c>
      <c r="AQ36" s="27">
        <f>'Ket qua kinh doanh'!AQ21+'Ket qua kinh doanh'!AQ22</f>
        <v>0</v>
      </c>
      <c r="AR36" s="27">
        <f>'Ket qua kinh doanh'!AR21+'Ket qua kinh doanh'!AR22</f>
        <v>0</v>
      </c>
      <c r="AS36" s="27">
        <f>'Ket qua kinh doanh'!AS21+'Ket qua kinh doanh'!AS22</f>
        <v>0</v>
      </c>
      <c r="AT36" s="27">
        <f>'Ket qua kinh doanh'!AT21+'Ket qua kinh doanh'!AT22</f>
        <v>0</v>
      </c>
      <c r="AU36" s="27">
        <f>'Ket qua kinh doanh'!AU21+'Ket qua kinh doanh'!AU22</f>
        <v>32927331</v>
      </c>
      <c r="AV36" s="27">
        <f>'Ket qua kinh doanh'!AV21+'Ket qua kinh doanh'!AV22</f>
        <v>0</v>
      </c>
      <c r="AW36" s="27">
        <f>'Ket qua kinh doanh'!AW21+'Ket qua kinh doanh'!AW22</f>
        <v>0</v>
      </c>
      <c r="AX36" s="27">
        <f>'Ket qua kinh doanh'!AX21+'Ket qua kinh doanh'!AX22</f>
        <v>0</v>
      </c>
      <c r="AY36" s="27">
        <f>'Ket qua kinh doanh'!AY21+'Ket qua kinh doanh'!AY22</f>
        <v>13334207765</v>
      </c>
      <c r="AZ36" s="27">
        <f>'Ket qua kinh doanh'!AZ21+'Ket qua kinh doanh'!AZ22</f>
        <v>864190686</v>
      </c>
      <c r="BA36" s="27">
        <f>'Ket qua kinh doanh'!BA21+'Ket qua kinh doanh'!BA22</f>
        <v>3012699780</v>
      </c>
      <c r="BB36" s="27">
        <f>'Ket qua kinh doanh'!BB21+'Ket qua kinh doanh'!BB22</f>
        <v>1252632187</v>
      </c>
      <c r="BC36" s="27">
        <f>'Ket qua kinh doanh'!BC21+'Ket qua kinh doanh'!BC22</f>
        <v>677293488</v>
      </c>
      <c r="BD36" s="27">
        <f>'Ket qua kinh doanh'!BD21+'Ket qua kinh doanh'!BD22</f>
        <v>1681800759</v>
      </c>
      <c r="BE36" s="27">
        <f>'Ket qua kinh doanh'!BE21+'Ket qua kinh doanh'!BE22</f>
        <v>189264839</v>
      </c>
      <c r="BF36" s="27">
        <f>'Ket qua kinh doanh'!BF21+'Ket qua kinh doanh'!BF22</f>
        <v>-2830986340</v>
      </c>
      <c r="BG36" s="27">
        <f>'Ket qua kinh doanh'!BG21+'Ket qua kinh doanh'!BG22</f>
        <v>204199602</v>
      </c>
      <c r="BH36" s="27">
        <f>'Ket qua kinh doanh'!BH21+'Ket qua kinh doanh'!BH22</f>
        <v>-1349170846</v>
      </c>
      <c r="BI36" s="27">
        <f>'Ket qua kinh doanh'!BI21+'Ket qua kinh doanh'!BI22</f>
        <v>-516688622</v>
      </c>
      <c r="BJ36" s="27">
        <f>'Ket qua kinh doanh'!BJ21+'Ket qua kinh doanh'!BJ22</f>
        <v>-854033077</v>
      </c>
      <c r="BK36" s="27">
        <f>'Ket qua kinh doanh'!BK21+'Ket qua kinh doanh'!BK22</f>
        <v>3791480158</v>
      </c>
      <c r="BL36" s="27">
        <f>'Ket qua kinh doanh'!BL21+'Ket qua kinh doanh'!BL22</f>
        <v>0</v>
      </c>
      <c r="BM36" s="27">
        <f>'Ket qua kinh doanh'!BM21+'Ket qua kinh doanh'!BM22</f>
        <v>0</v>
      </c>
      <c r="BN36" s="27">
        <f>'Ket qua kinh doanh'!BN21+'Ket qua kinh doanh'!BN22</f>
        <v>153752926</v>
      </c>
      <c r="BO36" s="27">
        <f>'Ket qua kinh doanh'!BO21+'Ket qua kinh doanh'!BO22</f>
        <v>105667873</v>
      </c>
      <c r="BP36" s="27">
        <f>'Ket qua kinh doanh'!BP21+'Ket qua kinh doanh'!BP22</f>
        <v>150429214</v>
      </c>
      <c r="BQ36" s="27">
        <f>'Ket qua kinh doanh'!BQ21+'Ket qua kinh doanh'!BQ22</f>
        <v>1157390566</v>
      </c>
      <c r="BR36" s="27">
        <f>'Ket qua kinh doanh'!BR21+'Ket qua kinh doanh'!BR22</f>
        <v>0</v>
      </c>
      <c r="BS36" s="27">
        <f>'Ket qua kinh doanh'!BS21+'Ket qua kinh doanh'!BS22</f>
        <v>0</v>
      </c>
      <c r="BT36" s="27">
        <f>'Ket qua kinh doanh'!BT21+'Ket qua kinh doanh'!BT22</f>
        <v>0</v>
      </c>
      <c r="BU36" s="27">
        <f>'Ket qua kinh doanh'!BU21+'Ket qua kinh doanh'!BU22</f>
        <v>0</v>
      </c>
      <c r="BV36" s="27">
        <f>'Ket qua kinh doanh'!BV21+'Ket qua kinh doanh'!BV22</f>
        <v>0</v>
      </c>
      <c r="BW36" s="27">
        <f>'Ket qua kinh doanh'!BW21+'Ket qua kinh doanh'!BW22</f>
        <v>0</v>
      </c>
    </row>
    <row r="37" spans="1:75">
      <c r="A37" s="148">
        <v>34</v>
      </c>
      <c r="B37" s="149" t="s">
        <v>442</v>
      </c>
      <c r="C37" s="151">
        <v>28</v>
      </c>
      <c r="D37" s="29" t="str">
        <f t="shared" ref="D37:BJ37" si="11">IFERROR(D36/D12,"")</f>
        <v/>
      </c>
      <c r="E37" s="29" t="str">
        <f t="shared" si="11"/>
        <v/>
      </c>
      <c r="F37" s="29" t="str">
        <f t="shared" si="11"/>
        <v/>
      </c>
      <c r="G37" s="29" t="str">
        <f t="shared" si="11"/>
        <v/>
      </c>
      <c r="H37" s="29" t="str">
        <f t="shared" si="11"/>
        <v/>
      </c>
      <c r="I37" s="29" t="str">
        <f t="shared" si="11"/>
        <v/>
      </c>
      <c r="J37" s="29" t="str">
        <f t="shared" si="11"/>
        <v/>
      </c>
      <c r="K37" s="29" t="str">
        <f t="shared" si="11"/>
        <v/>
      </c>
      <c r="L37" s="29" t="str">
        <f t="shared" si="11"/>
        <v/>
      </c>
      <c r="M37" s="29" t="str">
        <f t="shared" si="11"/>
        <v/>
      </c>
      <c r="N37" s="29" t="str">
        <f t="shared" si="11"/>
        <v/>
      </c>
      <c r="O37" s="29" t="str">
        <f t="shared" si="11"/>
        <v/>
      </c>
      <c r="P37" s="29" t="str">
        <f t="shared" si="11"/>
        <v/>
      </c>
      <c r="Q37" s="29" t="str">
        <f t="shared" si="11"/>
        <v/>
      </c>
      <c r="R37" s="29" t="str">
        <f t="shared" si="11"/>
        <v/>
      </c>
      <c r="S37" s="29" t="str">
        <f t="shared" si="11"/>
        <v/>
      </c>
      <c r="T37" s="29" t="str">
        <f t="shared" si="11"/>
        <v/>
      </c>
      <c r="U37" s="29" t="str">
        <f t="shared" si="11"/>
        <v/>
      </c>
      <c r="V37" s="29" t="str">
        <f t="shared" si="11"/>
        <v/>
      </c>
      <c r="W37" s="29" t="str">
        <f t="shared" si="11"/>
        <v/>
      </c>
      <c r="X37" s="29" t="str">
        <f t="shared" si="11"/>
        <v/>
      </c>
      <c r="Y37" s="29" t="str">
        <f t="shared" si="11"/>
        <v/>
      </c>
      <c r="Z37" s="29" t="str">
        <f t="shared" si="11"/>
        <v/>
      </c>
      <c r="AA37" s="29" t="str">
        <f t="shared" si="11"/>
        <v/>
      </c>
      <c r="AB37" s="29" t="str">
        <f t="shared" si="11"/>
        <v/>
      </c>
      <c r="AC37" s="29" t="str">
        <f t="shared" si="11"/>
        <v/>
      </c>
      <c r="AD37" s="29" t="str">
        <f t="shared" si="11"/>
        <v/>
      </c>
      <c r="AE37" s="29" t="str">
        <f t="shared" si="11"/>
        <v/>
      </c>
      <c r="AF37" s="29" t="str">
        <f t="shared" si="11"/>
        <v/>
      </c>
      <c r="AG37" s="29" t="str">
        <f t="shared" si="11"/>
        <v/>
      </c>
      <c r="AH37" s="29" t="str">
        <f t="shared" si="11"/>
        <v/>
      </c>
      <c r="AI37" s="29" t="str">
        <f t="shared" si="11"/>
        <v/>
      </c>
      <c r="AJ37" s="29" t="str">
        <f t="shared" si="11"/>
        <v/>
      </c>
      <c r="AK37" s="29" t="str">
        <f t="shared" si="11"/>
        <v/>
      </c>
      <c r="AL37" s="29" t="str">
        <f t="shared" si="11"/>
        <v/>
      </c>
      <c r="AM37" s="29" t="str">
        <f t="shared" si="11"/>
        <v/>
      </c>
      <c r="AN37" s="29">
        <f t="shared" si="11"/>
        <v>0</v>
      </c>
      <c r="AO37" s="29">
        <f t="shared" si="11"/>
        <v>0</v>
      </c>
      <c r="AP37" s="29">
        <f t="shared" si="11"/>
        <v>0</v>
      </c>
      <c r="AQ37" s="29">
        <f t="shared" si="11"/>
        <v>0</v>
      </c>
      <c r="AR37" s="29">
        <f t="shared" si="11"/>
        <v>0</v>
      </c>
      <c r="AS37" s="29">
        <f t="shared" si="11"/>
        <v>0</v>
      </c>
      <c r="AT37" s="29">
        <f t="shared" si="11"/>
        <v>0</v>
      </c>
      <c r="AU37" s="29">
        <f t="shared" si="11"/>
        <v>1.9078149522038979E-4</v>
      </c>
      <c r="AV37" s="29">
        <f t="shared" si="11"/>
        <v>0</v>
      </c>
      <c r="AW37" s="29">
        <f t="shared" si="11"/>
        <v>0</v>
      </c>
      <c r="AX37" s="29">
        <f t="shared" si="11"/>
        <v>0</v>
      </c>
      <c r="AY37" s="29">
        <f t="shared" si="11"/>
        <v>0.10752813720989741</v>
      </c>
      <c r="AZ37" s="29">
        <f t="shared" si="11"/>
        <v>7.5494985394430536E-3</v>
      </c>
      <c r="BA37" s="29">
        <f t="shared" si="11"/>
        <v>1.6025044768902409E-2</v>
      </c>
      <c r="BB37" s="29">
        <f t="shared" si="11"/>
        <v>8.3375853138185352E-3</v>
      </c>
      <c r="BC37" s="29">
        <f t="shared" si="11"/>
        <v>5.4016140095729092E-3</v>
      </c>
      <c r="BD37" s="29">
        <f t="shared" si="11"/>
        <v>1.1062182164102105E-2</v>
      </c>
      <c r="BE37" s="29">
        <f t="shared" si="11"/>
        <v>1.5840731126550429E-3</v>
      </c>
      <c r="BF37" s="29">
        <f t="shared" si="11"/>
        <v>-2.0513899963164783E-2</v>
      </c>
      <c r="BG37" s="29">
        <f t="shared" si="11"/>
        <v>1.211995082565521E-3</v>
      </c>
      <c r="BH37" s="29">
        <f t="shared" si="11"/>
        <v>-1.5923277311024043E-2</v>
      </c>
      <c r="BI37" s="29">
        <f t="shared" si="11"/>
        <v>-4.7397983866084839E-3</v>
      </c>
      <c r="BJ37" s="29">
        <f t="shared" si="11"/>
        <v>-9.6621708366211954E-3</v>
      </c>
      <c r="BK37" s="29">
        <f t="shared" ref="BK37:BW37" si="12">IFERROR(BK36/BK12,"")</f>
        <v>3.804209346009612E-2</v>
      </c>
      <c r="BL37" s="29">
        <f t="shared" si="12"/>
        <v>0</v>
      </c>
      <c r="BM37" s="29">
        <f t="shared" si="12"/>
        <v>0</v>
      </c>
      <c r="BN37" s="29">
        <f t="shared" si="12"/>
        <v>8.8871102282704942E-4</v>
      </c>
      <c r="BO37" s="29">
        <f t="shared" si="12"/>
        <v>6.639514153156164E-4</v>
      </c>
      <c r="BP37" s="29">
        <f t="shared" si="12"/>
        <v>9.4146090654936094E-4</v>
      </c>
      <c r="BQ37" s="29">
        <f t="shared" si="12"/>
        <v>9.4143737703829833E-3</v>
      </c>
      <c r="BR37" s="29" t="str">
        <f t="shared" si="12"/>
        <v/>
      </c>
      <c r="BS37" s="29" t="str">
        <f t="shared" si="12"/>
        <v/>
      </c>
      <c r="BT37" s="29" t="str">
        <f t="shared" si="12"/>
        <v/>
      </c>
      <c r="BU37" s="29" t="str">
        <f t="shared" si="12"/>
        <v/>
      </c>
      <c r="BV37" s="29" t="str">
        <f t="shared" si="12"/>
        <v/>
      </c>
      <c r="BW37" s="29" t="str">
        <f t="shared" si="12"/>
        <v/>
      </c>
    </row>
    <row r="38" spans="1:75">
      <c r="A38" s="145">
        <v>35</v>
      </c>
      <c r="B38" s="146" t="s">
        <v>443</v>
      </c>
      <c r="C38" s="147">
        <v>28</v>
      </c>
      <c r="D38" s="27">
        <f>'Ket qua kinh doanh'!D23</f>
        <v>0</v>
      </c>
      <c r="E38" s="27">
        <f>'Ket qua kinh doanh'!E23</f>
        <v>0</v>
      </c>
      <c r="F38" s="27">
        <f>'Ket qua kinh doanh'!F23</f>
        <v>0</v>
      </c>
      <c r="G38" s="27">
        <f>'Ket qua kinh doanh'!G23</f>
        <v>0</v>
      </c>
      <c r="H38" s="27">
        <f>'Ket qua kinh doanh'!H23</f>
        <v>0</v>
      </c>
      <c r="I38" s="27">
        <f>'Ket qua kinh doanh'!I23</f>
        <v>0</v>
      </c>
      <c r="J38" s="27">
        <f>'Ket qua kinh doanh'!J23</f>
        <v>0</v>
      </c>
      <c r="K38" s="27">
        <f>'Ket qua kinh doanh'!K23</f>
        <v>0</v>
      </c>
      <c r="L38" s="27">
        <f>'Ket qua kinh doanh'!L23</f>
        <v>0</v>
      </c>
      <c r="M38" s="27">
        <f>'Ket qua kinh doanh'!M23</f>
        <v>0</v>
      </c>
      <c r="N38" s="27">
        <f>'Ket qua kinh doanh'!N23</f>
        <v>0</v>
      </c>
      <c r="O38" s="27">
        <f>'Ket qua kinh doanh'!O23</f>
        <v>0</v>
      </c>
      <c r="P38" s="27">
        <f>'Ket qua kinh doanh'!P23</f>
        <v>0</v>
      </c>
      <c r="Q38" s="27">
        <f>'Ket qua kinh doanh'!Q23</f>
        <v>0</v>
      </c>
      <c r="R38" s="27">
        <f>'Ket qua kinh doanh'!R23</f>
        <v>0</v>
      </c>
      <c r="S38" s="27">
        <f>'Ket qua kinh doanh'!S23</f>
        <v>0</v>
      </c>
      <c r="T38" s="27">
        <f>'Ket qua kinh doanh'!T23</f>
        <v>0</v>
      </c>
      <c r="U38" s="27">
        <f>'Ket qua kinh doanh'!U23</f>
        <v>0</v>
      </c>
      <c r="V38" s="27">
        <f>'Ket qua kinh doanh'!V23</f>
        <v>0</v>
      </c>
      <c r="W38" s="27">
        <f>'Ket qua kinh doanh'!W23</f>
        <v>0</v>
      </c>
      <c r="X38" s="27">
        <f>'Ket qua kinh doanh'!X23</f>
        <v>0</v>
      </c>
      <c r="Y38" s="27">
        <f>'Ket qua kinh doanh'!Y23</f>
        <v>0</v>
      </c>
      <c r="Z38" s="27">
        <f>'Ket qua kinh doanh'!Z23</f>
        <v>0</v>
      </c>
      <c r="AA38" s="27">
        <f>'Ket qua kinh doanh'!AA23</f>
        <v>0</v>
      </c>
      <c r="AB38" s="27">
        <f>'Ket qua kinh doanh'!AB23</f>
        <v>0</v>
      </c>
      <c r="AC38" s="27">
        <f>'Ket qua kinh doanh'!AC23</f>
        <v>0</v>
      </c>
      <c r="AD38" s="27">
        <f>'Ket qua kinh doanh'!AD23</f>
        <v>0</v>
      </c>
      <c r="AE38" s="27">
        <f>'Ket qua kinh doanh'!AE23</f>
        <v>0</v>
      </c>
      <c r="AF38" s="27">
        <f>'Ket qua kinh doanh'!AF23</f>
        <v>0</v>
      </c>
      <c r="AG38" s="27">
        <f>'Ket qua kinh doanh'!AG23</f>
        <v>0</v>
      </c>
      <c r="AH38" s="27">
        <f>'Ket qua kinh doanh'!AH23</f>
        <v>0</v>
      </c>
      <c r="AI38" s="27">
        <f>'Ket qua kinh doanh'!AI23</f>
        <v>0</v>
      </c>
      <c r="AJ38" s="27">
        <f>'Ket qua kinh doanh'!AJ23</f>
        <v>0</v>
      </c>
      <c r="AK38" s="27">
        <f>'Ket qua kinh doanh'!AK23</f>
        <v>0</v>
      </c>
      <c r="AL38" s="27">
        <f>'Ket qua kinh doanh'!AL23</f>
        <v>0</v>
      </c>
      <c r="AM38" s="27">
        <f>'Ket qua kinh doanh'!AM23</f>
        <v>0</v>
      </c>
      <c r="AN38" s="27">
        <f>'Ket qua kinh doanh'!AN23</f>
        <v>-719985770</v>
      </c>
      <c r="AO38" s="27">
        <f>'Ket qua kinh doanh'!AO23</f>
        <v>-6758932844</v>
      </c>
      <c r="AP38" s="27">
        <f>'Ket qua kinh doanh'!AP23</f>
        <v>-2743321288</v>
      </c>
      <c r="AQ38" s="27">
        <f>'Ket qua kinh doanh'!AQ23</f>
        <v>1668340417</v>
      </c>
      <c r="AR38" s="27">
        <f>'Ket qua kinh doanh'!AR23</f>
        <v>-5691808171</v>
      </c>
      <c r="AS38" s="27">
        <f>'Ket qua kinh doanh'!AS23</f>
        <v>-12142648645</v>
      </c>
      <c r="AT38" s="27">
        <f>'Ket qua kinh doanh'!AT23</f>
        <v>-15194276334</v>
      </c>
      <c r="AU38" s="27">
        <f>'Ket qua kinh doanh'!AU23</f>
        <v>-10046945859</v>
      </c>
      <c r="AV38" s="27">
        <f>'Ket qua kinh doanh'!AV23</f>
        <v>8118268598</v>
      </c>
      <c r="AW38" s="27">
        <f>'Ket qua kinh doanh'!AW23</f>
        <v>-6348711814</v>
      </c>
      <c r="AX38" s="27">
        <f>'Ket qua kinh doanh'!AX23</f>
        <v>-6052149672</v>
      </c>
      <c r="AY38" s="27">
        <f>'Ket qua kinh doanh'!AY23</f>
        <v>89574353974</v>
      </c>
      <c r="AZ38" s="27">
        <f>'Ket qua kinh doanh'!AZ23</f>
        <v>2235655725</v>
      </c>
      <c r="BA38" s="27">
        <f>'Ket qua kinh doanh'!BA23</f>
        <v>14060228686</v>
      </c>
      <c r="BB38" s="27">
        <f>'Ket qua kinh doanh'!BB23</f>
        <v>5744259883</v>
      </c>
      <c r="BC38" s="27">
        <f>'Ket qua kinh doanh'!BC23</f>
        <v>3259240884</v>
      </c>
      <c r="BD38" s="27">
        <f>'Ket qua kinh doanh'!BD23</f>
        <v>9298960129</v>
      </c>
      <c r="BE38" s="27">
        <f>'Ket qua kinh doanh'!BE23</f>
        <v>685312244</v>
      </c>
      <c r="BF38" s="27">
        <f>'Ket qua kinh doanh'!BF23</f>
        <v>3243206320</v>
      </c>
      <c r="BG38" s="27">
        <f>'Ket qua kinh doanh'!BG23</f>
        <v>2549153182</v>
      </c>
      <c r="BH38" s="27">
        <f>'Ket qua kinh doanh'!BH23</f>
        <v>-11188086980</v>
      </c>
      <c r="BI38" s="27">
        <f>'Ket qua kinh doanh'!BI23</f>
        <v>-4881782889</v>
      </c>
      <c r="BJ38" s="27">
        <f>'Ket qua kinh doanh'!BJ23</f>
        <v>-7987053976</v>
      </c>
      <c r="BK38" s="27">
        <f>'Ket qua kinh doanh'!BK23</f>
        <v>1884288586</v>
      </c>
      <c r="BL38" s="27">
        <f>'Ket qua kinh doanh'!BL23</f>
        <v>-3068173394.1944427</v>
      </c>
      <c r="BM38" s="27">
        <f>'Ket qua kinh doanh'!BM23</f>
        <v>-7734670181.1715088</v>
      </c>
      <c r="BN38" s="27">
        <f>'Ket qua kinh doanh'!BN23</f>
        <v>-7086608076.5916672</v>
      </c>
      <c r="BO38" s="27">
        <f>'Ket qua kinh doanh'!BO23</f>
        <v>4796831021.8307533</v>
      </c>
      <c r="BP38" s="27">
        <f>'Ket qua kinh doanh'!BP23</f>
        <v>9384416393.7687988</v>
      </c>
      <c r="BQ38" s="27">
        <f>'Ket qua kinh doanh'!BQ23</f>
        <v>8551874853.4812737</v>
      </c>
      <c r="BR38" s="27">
        <f>'Ket qua kinh doanh'!BR23</f>
        <v>0</v>
      </c>
      <c r="BS38" s="27">
        <f>'Ket qua kinh doanh'!BS23</f>
        <v>0</v>
      </c>
      <c r="BT38" s="27">
        <f>'Ket qua kinh doanh'!BT23</f>
        <v>0</v>
      </c>
      <c r="BU38" s="27">
        <f>'Ket qua kinh doanh'!BU23</f>
        <v>0</v>
      </c>
      <c r="BV38" s="27">
        <f>'Ket qua kinh doanh'!BV23</f>
        <v>0</v>
      </c>
      <c r="BW38" s="27">
        <f>'Ket qua kinh doanh'!BW23</f>
        <v>0</v>
      </c>
    </row>
    <row r="39" spans="1:75">
      <c r="A39" s="148">
        <v>36</v>
      </c>
      <c r="B39" s="149" t="s">
        <v>444</v>
      </c>
      <c r="C39" s="151">
        <v>28</v>
      </c>
      <c r="D39" s="29" t="str">
        <f t="shared" ref="D39:BJ39" si="13">IFERROR(D38/D12,"")</f>
        <v/>
      </c>
      <c r="E39" s="29" t="str">
        <f t="shared" si="13"/>
        <v/>
      </c>
      <c r="F39" s="29" t="str">
        <f t="shared" si="13"/>
        <v/>
      </c>
      <c r="G39" s="29" t="str">
        <f t="shared" si="13"/>
        <v/>
      </c>
      <c r="H39" s="29" t="str">
        <f t="shared" si="13"/>
        <v/>
      </c>
      <c r="I39" s="29" t="str">
        <f t="shared" si="13"/>
        <v/>
      </c>
      <c r="J39" s="29" t="str">
        <f t="shared" si="13"/>
        <v/>
      </c>
      <c r="K39" s="29" t="str">
        <f t="shared" si="13"/>
        <v/>
      </c>
      <c r="L39" s="29" t="str">
        <f t="shared" si="13"/>
        <v/>
      </c>
      <c r="M39" s="29" t="str">
        <f t="shared" si="13"/>
        <v/>
      </c>
      <c r="N39" s="29" t="str">
        <f t="shared" si="13"/>
        <v/>
      </c>
      <c r="O39" s="29" t="str">
        <f t="shared" si="13"/>
        <v/>
      </c>
      <c r="P39" s="29" t="str">
        <f t="shared" si="13"/>
        <v/>
      </c>
      <c r="Q39" s="29" t="str">
        <f t="shared" si="13"/>
        <v/>
      </c>
      <c r="R39" s="29" t="str">
        <f t="shared" si="13"/>
        <v/>
      </c>
      <c r="S39" s="29" t="str">
        <f t="shared" si="13"/>
        <v/>
      </c>
      <c r="T39" s="29" t="str">
        <f t="shared" si="13"/>
        <v/>
      </c>
      <c r="U39" s="29" t="str">
        <f t="shared" si="13"/>
        <v/>
      </c>
      <c r="V39" s="29" t="str">
        <f t="shared" si="13"/>
        <v/>
      </c>
      <c r="W39" s="29" t="str">
        <f t="shared" si="13"/>
        <v/>
      </c>
      <c r="X39" s="29" t="str">
        <f t="shared" si="13"/>
        <v/>
      </c>
      <c r="Y39" s="29" t="str">
        <f t="shared" si="13"/>
        <v/>
      </c>
      <c r="Z39" s="29" t="str">
        <f t="shared" si="13"/>
        <v/>
      </c>
      <c r="AA39" s="29" t="str">
        <f t="shared" si="13"/>
        <v/>
      </c>
      <c r="AB39" s="29" t="str">
        <f t="shared" si="13"/>
        <v/>
      </c>
      <c r="AC39" s="29" t="str">
        <f t="shared" si="13"/>
        <v/>
      </c>
      <c r="AD39" s="29" t="str">
        <f t="shared" si="13"/>
        <v/>
      </c>
      <c r="AE39" s="29" t="str">
        <f t="shared" si="13"/>
        <v/>
      </c>
      <c r="AF39" s="29" t="str">
        <f t="shared" si="13"/>
        <v/>
      </c>
      <c r="AG39" s="29" t="str">
        <f t="shared" si="13"/>
        <v/>
      </c>
      <c r="AH39" s="29" t="str">
        <f t="shared" si="13"/>
        <v/>
      </c>
      <c r="AI39" s="29" t="str">
        <f t="shared" si="13"/>
        <v/>
      </c>
      <c r="AJ39" s="29" t="str">
        <f t="shared" si="13"/>
        <v/>
      </c>
      <c r="AK39" s="29" t="str">
        <f t="shared" si="13"/>
        <v/>
      </c>
      <c r="AL39" s="29" t="str">
        <f t="shared" si="13"/>
        <v/>
      </c>
      <c r="AM39" s="29" t="str">
        <f t="shared" si="13"/>
        <v/>
      </c>
      <c r="AN39" s="29">
        <f t="shared" si="13"/>
        <v>-5.5367361599888603E-3</v>
      </c>
      <c r="AO39" s="29">
        <f t="shared" si="13"/>
        <v>-8.0965019951959982E-2</v>
      </c>
      <c r="AP39" s="29">
        <f t="shared" si="13"/>
        <v>-2.3725936499347768E-2</v>
      </c>
      <c r="AQ39" s="29">
        <f t="shared" si="13"/>
        <v>1.418086856065995E-2</v>
      </c>
      <c r="AR39" s="29">
        <f t="shared" si="13"/>
        <v>-4.4484957567520161E-2</v>
      </c>
      <c r="AS39" s="29">
        <f t="shared" si="13"/>
        <v>-0.12693340036760967</v>
      </c>
      <c r="AT39" s="29">
        <f t="shared" si="13"/>
        <v>-0.20345936007069251</v>
      </c>
      <c r="AU39" s="29">
        <f t="shared" si="13"/>
        <v>-5.8212168893322196E-2</v>
      </c>
      <c r="AV39" s="29">
        <f t="shared" si="13"/>
        <v>4.6266034191171812E-2</v>
      </c>
      <c r="AW39" s="29">
        <f t="shared" si="13"/>
        <v>-4.5254456249233722E-2</v>
      </c>
      <c r="AX39" s="29">
        <f t="shared" si="13"/>
        <v>-6.2298170141739981E-2</v>
      </c>
      <c r="AY39" s="29">
        <f t="shared" si="13"/>
        <v>0.72233488440804949</v>
      </c>
      <c r="AZ39" s="29">
        <f t="shared" si="13"/>
        <v>1.9530503977897535E-2</v>
      </c>
      <c r="BA39" s="29">
        <f t="shared" si="13"/>
        <v>7.4788664854669284E-2</v>
      </c>
      <c r="BB39" s="29">
        <f t="shared" si="13"/>
        <v>3.8234094043168458E-2</v>
      </c>
      <c r="BC39" s="29">
        <f t="shared" si="13"/>
        <v>2.5993400987176171E-2</v>
      </c>
      <c r="BD39" s="29">
        <f t="shared" si="13"/>
        <v>6.1164671458993208E-2</v>
      </c>
      <c r="BE39" s="29">
        <f t="shared" si="13"/>
        <v>5.7357970198241223E-3</v>
      </c>
      <c r="BF39" s="29">
        <f t="shared" si="13"/>
        <v>2.3500929364563376E-2</v>
      </c>
      <c r="BG39" s="29">
        <f t="shared" si="13"/>
        <v>1.5130103540996377E-2</v>
      </c>
      <c r="BH39" s="29">
        <f t="shared" si="13"/>
        <v>-0.13204481262738277</v>
      </c>
      <c r="BI39" s="29">
        <f t="shared" si="13"/>
        <v>-4.4782613117141767E-2</v>
      </c>
      <c r="BJ39" s="29">
        <f t="shared" si="13"/>
        <v>-9.0362167550363595E-2</v>
      </c>
      <c r="BK39" s="29">
        <f t="shared" ref="BK39:BW39" si="14">IFERROR(BK38/BK12,"")</f>
        <v>1.8906147337512814E-2</v>
      </c>
      <c r="BL39" s="29">
        <f t="shared" si="14"/>
        <v>-2.4392668806182547E-2</v>
      </c>
      <c r="BM39" s="29">
        <f t="shared" si="14"/>
        <v>-8.0111185485193429E-2</v>
      </c>
      <c r="BN39" s="29">
        <f t="shared" si="14"/>
        <v>-4.0961475504682168E-2</v>
      </c>
      <c r="BO39" s="29">
        <f t="shared" si="14"/>
        <v>3.0140312807984536E-2</v>
      </c>
      <c r="BP39" s="29">
        <f t="shared" si="14"/>
        <v>5.8732349459156633E-2</v>
      </c>
      <c r="BQ39" s="29">
        <f t="shared" si="14"/>
        <v>6.9562124207094941E-2</v>
      </c>
      <c r="BR39" s="29" t="str">
        <f t="shared" si="14"/>
        <v/>
      </c>
      <c r="BS39" s="29" t="str">
        <f t="shared" si="14"/>
        <v/>
      </c>
      <c r="BT39" s="29" t="str">
        <f t="shared" si="14"/>
        <v/>
      </c>
      <c r="BU39" s="29" t="str">
        <f t="shared" si="14"/>
        <v/>
      </c>
      <c r="BV39" s="29" t="str">
        <f t="shared" si="14"/>
        <v/>
      </c>
      <c r="BW39" s="29" t="str">
        <f t="shared" si="14"/>
        <v/>
      </c>
    </row>
    <row r="40" spans="1:75">
      <c r="A40" s="157">
        <v>37</v>
      </c>
      <c r="B40" s="158" t="s">
        <v>445</v>
      </c>
      <c r="C40" s="147">
        <v>28</v>
      </c>
      <c r="D40" s="27">
        <f>'Ket qua kinh doanh'!D14</f>
        <v>0</v>
      </c>
      <c r="E40" s="27">
        <f>'Ket qua kinh doanh'!E14</f>
        <v>0</v>
      </c>
      <c r="F40" s="27">
        <f>'Ket qua kinh doanh'!F14</f>
        <v>0</v>
      </c>
      <c r="G40" s="27">
        <f>'Ket qua kinh doanh'!G14</f>
        <v>0</v>
      </c>
      <c r="H40" s="27">
        <f>'Ket qua kinh doanh'!H14</f>
        <v>0</v>
      </c>
      <c r="I40" s="27">
        <f>'Ket qua kinh doanh'!I14</f>
        <v>0</v>
      </c>
      <c r="J40" s="27">
        <f>'Ket qua kinh doanh'!J14</f>
        <v>0</v>
      </c>
      <c r="K40" s="27">
        <f>'Ket qua kinh doanh'!K14</f>
        <v>0</v>
      </c>
      <c r="L40" s="27">
        <f>'Ket qua kinh doanh'!L14</f>
        <v>0</v>
      </c>
      <c r="M40" s="27">
        <f>'Ket qua kinh doanh'!M14</f>
        <v>0</v>
      </c>
      <c r="N40" s="27">
        <f>'Ket qua kinh doanh'!N14</f>
        <v>0</v>
      </c>
      <c r="O40" s="27">
        <f>'Ket qua kinh doanh'!O14</f>
        <v>0</v>
      </c>
      <c r="P40" s="27">
        <f>'Ket qua kinh doanh'!P14</f>
        <v>0</v>
      </c>
      <c r="Q40" s="27">
        <f>'Ket qua kinh doanh'!Q14</f>
        <v>0</v>
      </c>
      <c r="R40" s="27">
        <f>'Ket qua kinh doanh'!R14</f>
        <v>0</v>
      </c>
      <c r="S40" s="27">
        <f>'Ket qua kinh doanh'!S14</f>
        <v>0</v>
      </c>
      <c r="T40" s="27">
        <f>'Ket qua kinh doanh'!T14</f>
        <v>0</v>
      </c>
      <c r="U40" s="27">
        <f>'Ket qua kinh doanh'!U14</f>
        <v>0</v>
      </c>
      <c r="V40" s="27">
        <f>'Ket qua kinh doanh'!V14</f>
        <v>0</v>
      </c>
      <c r="W40" s="27">
        <f>'Ket qua kinh doanh'!W14</f>
        <v>0</v>
      </c>
      <c r="X40" s="27">
        <f>'Ket qua kinh doanh'!X14</f>
        <v>0</v>
      </c>
      <c r="Y40" s="27">
        <f>'Ket qua kinh doanh'!Y14</f>
        <v>0</v>
      </c>
      <c r="Z40" s="27">
        <f>'Ket qua kinh doanh'!Z14</f>
        <v>0</v>
      </c>
      <c r="AA40" s="27">
        <f>'Ket qua kinh doanh'!AA14</f>
        <v>0</v>
      </c>
      <c r="AB40" s="27">
        <f>'Ket qua kinh doanh'!AB14</f>
        <v>0</v>
      </c>
      <c r="AC40" s="27">
        <f>'Ket qua kinh doanh'!AC14</f>
        <v>0</v>
      </c>
      <c r="AD40" s="27">
        <f>'Ket qua kinh doanh'!AD14</f>
        <v>0</v>
      </c>
      <c r="AE40" s="27">
        <f>'Ket qua kinh doanh'!AE14</f>
        <v>0</v>
      </c>
      <c r="AF40" s="27">
        <f>'Ket qua kinh doanh'!AF14</f>
        <v>0</v>
      </c>
      <c r="AG40" s="27">
        <f>'Ket qua kinh doanh'!AG14</f>
        <v>0</v>
      </c>
      <c r="AH40" s="27">
        <f>'Ket qua kinh doanh'!AH14</f>
        <v>0</v>
      </c>
      <c r="AI40" s="27">
        <f>'Ket qua kinh doanh'!AI14</f>
        <v>0</v>
      </c>
      <c r="AJ40" s="27">
        <f>'Ket qua kinh doanh'!AJ14</f>
        <v>0</v>
      </c>
      <c r="AK40" s="27">
        <f>'Ket qua kinh doanh'!AK14</f>
        <v>0</v>
      </c>
      <c r="AL40" s="27">
        <f>'Ket qua kinh doanh'!AL14</f>
        <v>0</v>
      </c>
      <c r="AM40" s="27">
        <f>'Ket qua kinh doanh'!AM14</f>
        <v>0</v>
      </c>
      <c r="AN40" s="27">
        <f>'Ket qua kinh doanh'!AN14</f>
        <v>4849994610</v>
      </c>
      <c r="AO40" s="27">
        <f>'Ket qua kinh doanh'!AO14</f>
        <v>1560472559</v>
      </c>
      <c r="AP40" s="27">
        <f>'Ket qua kinh doanh'!AP14</f>
        <v>4219375143</v>
      </c>
      <c r="AQ40" s="27">
        <f>'Ket qua kinh doanh'!AQ14</f>
        <v>4926459549</v>
      </c>
      <c r="AR40" s="27">
        <f>'Ket qua kinh doanh'!AR14</f>
        <v>2125110954</v>
      </c>
      <c r="AS40" s="27">
        <f>'Ket qua kinh doanh'!AS14</f>
        <v>2824966874</v>
      </c>
      <c r="AT40" s="27">
        <f>'Ket qua kinh doanh'!AT14</f>
        <v>2596964337</v>
      </c>
      <c r="AU40" s="27">
        <f>'Ket qua kinh doanh'!AU14</f>
        <v>8480107205</v>
      </c>
      <c r="AV40" s="27">
        <f>'Ket qua kinh doanh'!AV14</f>
        <v>7368729523</v>
      </c>
      <c r="AW40" s="27">
        <f>'Ket qua kinh doanh'!AW14</f>
        <v>4936551194</v>
      </c>
      <c r="AX40" s="27">
        <f>'Ket qua kinh doanh'!AX14</f>
        <v>2249627546</v>
      </c>
      <c r="AY40" s="27">
        <f>'Ket qua kinh doanh'!AY14</f>
        <v>10540748080</v>
      </c>
      <c r="AZ40" s="27">
        <f>'Ket qua kinh doanh'!AZ14</f>
        <v>4181224849</v>
      </c>
      <c r="BA40" s="27">
        <f>'Ket qua kinh doanh'!BA14</f>
        <v>6634982258</v>
      </c>
      <c r="BB40" s="27">
        <f>'Ket qua kinh doanh'!BB14</f>
        <v>5629444776</v>
      </c>
      <c r="BC40" s="27">
        <f>'Ket qua kinh doanh'!BC14</f>
        <v>4622826734</v>
      </c>
      <c r="BD40" s="27">
        <f>'Ket qua kinh doanh'!BD14</f>
        <v>5242336575</v>
      </c>
      <c r="BE40" s="27">
        <f>'Ket qua kinh doanh'!BE14</f>
        <v>5451129528</v>
      </c>
      <c r="BF40" s="27">
        <f>'Ket qua kinh doanh'!BF14</f>
        <v>4248972349</v>
      </c>
      <c r="BG40" s="27">
        <f>'Ket qua kinh doanh'!BG14</f>
        <v>5750995751</v>
      </c>
      <c r="BH40" s="27">
        <f>'Ket qua kinh doanh'!BH14</f>
        <v>3513998286</v>
      </c>
      <c r="BI40" s="27">
        <f>'Ket qua kinh doanh'!BI14</f>
        <v>7273403934</v>
      </c>
      <c r="BJ40" s="27">
        <f>'Ket qua kinh doanh'!BJ14</f>
        <v>3829549635</v>
      </c>
      <c r="BK40" s="27">
        <f>'Ket qua kinh doanh'!BK14</f>
        <v>5362380917</v>
      </c>
      <c r="BL40" s="27">
        <f>'Ket qua kinh doanh'!BL14</f>
        <v>4308598004</v>
      </c>
      <c r="BM40" s="27">
        <f>'Ket qua kinh doanh'!BM14</f>
        <v>3594645336</v>
      </c>
      <c r="BN40" s="27">
        <f>'Ket qua kinh doanh'!BN14</f>
        <v>7012095788</v>
      </c>
      <c r="BO40" s="27">
        <f>'Ket qua kinh doanh'!BO14</f>
        <v>6469509126</v>
      </c>
      <c r="BP40" s="27">
        <f>'Ket qua kinh doanh'!BP14</f>
        <v>6626905090</v>
      </c>
      <c r="BQ40" s="27">
        <f>'Ket qua kinh doanh'!BQ14</f>
        <v>4571840296</v>
      </c>
      <c r="BR40" s="27">
        <f>'Ket qua kinh doanh'!BR14</f>
        <v>0</v>
      </c>
      <c r="BS40" s="27">
        <f>'Ket qua kinh doanh'!BS14</f>
        <v>0</v>
      </c>
      <c r="BT40" s="27">
        <f>'Ket qua kinh doanh'!BT14</f>
        <v>0</v>
      </c>
      <c r="BU40" s="27">
        <f>'Ket qua kinh doanh'!BU14</f>
        <v>0</v>
      </c>
      <c r="BV40" s="27">
        <f>'Ket qua kinh doanh'!BV14</f>
        <v>0</v>
      </c>
      <c r="BW40" s="27">
        <f>'Ket qua kinh doanh'!BW14</f>
        <v>0</v>
      </c>
    </row>
    <row r="41" spans="1:75">
      <c r="A41" s="154">
        <v>38</v>
      </c>
      <c r="B41" s="155" t="s">
        <v>446</v>
      </c>
      <c r="C41" s="153">
        <v>28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>
        <v>288795517</v>
      </c>
      <c r="BA41" s="31">
        <v>279028018</v>
      </c>
      <c r="BB41" s="31">
        <v>270260675</v>
      </c>
      <c r="BC41" s="31">
        <v>309710404</v>
      </c>
      <c r="BD41" s="31">
        <v>258112283</v>
      </c>
      <c r="BE41" s="31">
        <v>282054651</v>
      </c>
      <c r="BF41" s="31">
        <v>289537898</v>
      </c>
      <c r="BG41" s="31">
        <v>498259089</v>
      </c>
      <c r="BH41" s="31">
        <v>423087222</v>
      </c>
      <c r="BI41" s="31">
        <v>293219183</v>
      </c>
      <c r="BJ41" s="31">
        <v>422268800</v>
      </c>
      <c r="BK41" s="31">
        <v>595895367</v>
      </c>
      <c r="BL41" s="31">
        <v>341154818</v>
      </c>
      <c r="BM41" s="31">
        <v>335336818</v>
      </c>
      <c r="BN41" s="31">
        <v>750055065</v>
      </c>
      <c r="BO41" s="31">
        <v>440065248</v>
      </c>
      <c r="BP41" s="31">
        <v>437914065</v>
      </c>
      <c r="BQ41" s="31">
        <v>439282065</v>
      </c>
      <c r="BR41" s="31"/>
      <c r="BS41" s="31"/>
      <c r="BT41" s="31"/>
      <c r="BU41" s="31"/>
      <c r="BV41" s="31"/>
      <c r="BW41" s="31"/>
    </row>
    <row r="42" spans="1:75">
      <c r="A42" s="154">
        <v>39</v>
      </c>
      <c r="B42" s="155" t="s">
        <v>447</v>
      </c>
      <c r="C42" s="153">
        <v>28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>
        <v>97010894</v>
      </c>
      <c r="BA42" s="31">
        <v>95175273</v>
      </c>
      <c r="BB42" s="31">
        <v>401976600</v>
      </c>
      <c r="BC42" s="31">
        <v>430175717</v>
      </c>
      <c r="BD42" s="31">
        <v>280510436</v>
      </c>
      <c r="BE42" s="31">
        <v>209412230</v>
      </c>
      <c r="BF42" s="31">
        <v>161033060</v>
      </c>
      <c r="BG42" s="31">
        <v>271837714</v>
      </c>
      <c r="BH42" s="31">
        <v>121884793</v>
      </c>
      <c r="BI42" s="31">
        <v>232382183</v>
      </c>
      <c r="BJ42" s="31">
        <v>224656192</v>
      </c>
      <c r="BK42" s="31">
        <v>174447947</v>
      </c>
      <c r="BL42" s="31">
        <v>205905799</v>
      </c>
      <c r="BM42" s="31">
        <v>178301259</v>
      </c>
      <c r="BN42" s="31">
        <v>326162648</v>
      </c>
      <c r="BO42" s="31">
        <v>349961700</v>
      </c>
      <c r="BP42" s="31">
        <v>291018290</v>
      </c>
      <c r="BQ42" s="31">
        <v>91205336</v>
      </c>
      <c r="BR42" s="31"/>
      <c r="BS42" s="31"/>
      <c r="BT42" s="31"/>
      <c r="BU42" s="31"/>
      <c r="BV42" s="31"/>
      <c r="BW42" s="31"/>
    </row>
    <row r="43" spans="1:75">
      <c r="A43" s="154">
        <v>40</v>
      </c>
      <c r="B43" s="155" t="s">
        <v>448</v>
      </c>
      <c r="C43" s="153">
        <v>28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>
        <v>1156648724</v>
      </c>
      <c r="BA43" s="31">
        <v>1395989840</v>
      </c>
      <c r="BB43" s="31">
        <v>718938840</v>
      </c>
      <c r="BC43" s="31">
        <v>873725670</v>
      </c>
      <c r="BD43" s="31">
        <v>801811330</v>
      </c>
      <c r="BE43" s="31">
        <v>2343197427</v>
      </c>
      <c r="BF43" s="31">
        <v>962161347</v>
      </c>
      <c r="BG43" s="31">
        <v>1102469718</v>
      </c>
      <c r="BH43" s="31">
        <v>793146505</v>
      </c>
      <c r="BI43" s="31">
        <v>728694366</v>
      </c>
      <c r="BJ43" s="31">
        <v>819335524</v>
      </c>
      <c r="BK43" s="31">
        <v>914940436</v>
      </c>
      <c r="BL43" s="31">
        <v>1284224102</v>
      </c>
      <c r="BM43" s="31">
        <v>828225273</v>
      </c>
      <c r="BN43" s="31">
        <v>2221270799</v>
      </c>
      <c r="BO43" s="31">
        <v>2175577325</v>
      </c>
      <c r="BP43" s="31">
        <v>2044593710</v>
      </c>
      <c r="BQ43" s="31">
        <v>849929652</v>
      </c>
      <c r="BR43" s="31"/>
      <c r="BS43" s="31"/>
      <c r="BT43" s="31"/>
      <c r="BU43" s="31"/>
      <c r="BV43" s="31"/>
      <c r="BW43" s="31"/>
    </row>
    <row r="44" spans="1:75">
      <c r="A44" s="154">
        <v>41</v>
      </c>
      <c r="B44" s="155" t="s">
        <v>449</v>
      </c>
      <c r="C44" s="153">
        <v>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>
        <v>424528148</v>
      </c>
      <c r="BA44" s="31">
        <v>821805186</v>
      </c>
      <c r="BB44" s="31">
        <v>830298814</v>
      </c>
      <c r="BC44" s="31">
        <v>864075557</v>
      </c>
      <c r="BD44" s="31">
        <v>825497036</v>
      </c>
      <c r="BE44" s="31">
        <v>1143377036</v>
      </c>
      <c r="BF44" s="31">
        <v>1150793707</v>
      </c>
      <c r="BG44" s="31">
        <v>1817641347</v>
      </c>
      <c r="BH44" s="31">
        <v>1291571184</v>
      </c>
      <c r="BI44" s="31">
        <v>1239022223</v>
      </c>
      <c r="BJ44" s="31">
        <v>942546706</v>
      </c>
      <c r="BK44" s="31">
        <v>1088877912</v>
      </c>
      <c r="BL44" s="31">
        <v>921880148</v>
      </c>
      <c r="BM44" s="31">
        <v>632106741</v>
      </c>
      <c r="BN44" s="31">
        <v>1322520832</v>
      </c>
      <c r="BO44" s="31">
        <v>1462297700</v>
      </c>
      <c r="BP44" s="31">
        <v>1291328250</v>
      </c>
      <c r="BQ44" s="31">
        <v>1306177720</v>
      </c>
      <c r="BR44" s="31"/>
      <c r="BS44" s="31"/>
      <c r="BT44" s="31"/>
      <c r="BU44" s="31"/>
      <c r="BV44" s="31"/>
      <c r="BW44" s="31"/>
    </row>
    <row r="45" spans="1:75">
      <c r="A45" s="154">
        <v>42</v>
      </c>
      <c r="B45" s="155" t="s">
        <v>450</v>
      </c>
      <c r="C45" s="153">
        <v>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>
        <v>1442696903</v>
      </c>
      <c r="BA45" s="31">
        <v>3574837862</v>
      </c>
      <c r="BB45" s="31">
        <v>1969857757</v>
      </c>
      <c r="BC45" s="31">
        <v>1503984454</v>
      </c>
      <c r="BD45" s="31">
        <v>2462711733</v>
      </c>
      <c r="BE45" s="31">
        <v>1186353811</v>
      </c>
      <c r="BF45" s="31">
        <v>1311037332</v>
      </c>
      <c r="BG45" s="31">
        <v>1643007682</v>
      </c>
      <c r="BH45" s="31">
        <v>437205501</v>
      </c>
      <c r="BI45" s="31">
        <v>492312502</v>
      </c>
      <c r="BJ45" s="31">
        <v>653246467</v>
      </c>
      <c r="BK45" s="31">
        <v>692122387</v>
      </c>
      <c r="BL45" s="31">
        <v>1092685189</v>
      </c>
      <c r="BM45" s="31">
        <v>1193026840</v>
      </c>
      <c r="BN45" s="31">
        <v>1805602205</v>
      </c>
      <c r="BO45" s="31">
        <v>1237377546</v>
      </c>
      <c r="BP45" s="31">
        <v>1647931878</v>
      </c>
      <c r="BQ45" s="31">
        <v>1084057458</v>
      </c>
      <c r="BR45" s="31"/>
      <c r="BS45" s="31"/>
      <c r="BT45" s="31"/>
      <c r="BU45" s="31"/>
      <c r="BV45" s="31"/>
      <c r="BW45" s="31"/>
    </row>
    <row r="46" spans="1:75">
      <c r="A46" s="154">
        <v>43</v>
      </c>
      <c r="B46" s="155" t="s">
        <v>451</v>
      </c>
      <c r="C46" s="153">
        <v>28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>
        <v>6948276</v>
      </c>
      <c r="BA46" s="31">
        <v>6948296</v>
      </c>
      <c r="BB46" s="31">
        <v>6948276</v>
      </c>
      <c r="BC46" s="31">
        <v>6948275</v>
      </c>
      <c r="BD46" s="31">
        <v>6948276</v>
      </c>
      <c r="BE46" s="31">
        <v>6948276</v>
      </c>
      <c r="BF46" s="31">
        <v>6948276</v>
      </c>
      <c r="BG46" s="31">
        <v>6948276</v>
      </c>
      <c r="BH46" s="31">
        <v>6948276</v>
      </c>
      <c r="BI46" s="31">
        <v>47333567</v>
      </c>
      <c r="BJ46" s="31">
        <v>47333566</v>
      </c>
      <c r="BK46" s="31">
        <v>47333566</v>
      </c>
      <c r="BL46" s="31">
        <v>19541270</v>
      </c>
      <c r="BM46" s="31">
        <v>19541269</v>
      </c>
      <c r="BN46" s="31">
        <v>19541270</v>
      </c>
      <c r="BO46" s="31">
        <v>19541270</v>
      </c>
      <c r="BP46" s="31">
        <v>19541270</v>
      </c>
      <c r="BQ46" s="31">
        <v>19541269</v>
      </c>
      <c r="BR46" s="31"/>
      <c r="BS46" s="31"/>
      <c r="BT46" s="31"/>
      <c r="BU46" s="31"/>
      <c r="BV46" s="31"/>
      <c r="BW46" s="31"/>
    </row>
    <row r="47" spans="1:75">
      <c r="A47" s="154">
        <v>44</v>
      </c>
      <c r="B47" s="155" t="s">
        <v>452</v>
      </c>
      <c r="C47" s="153">
        <v>28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>
        <v>764596387</v>
      </c>
      <c r="BA47" s="31">
        <v>461197843</v>
      </c>
      <c r="BB47" s="31">
        <v>1431163814</v>
      </c>
      <c r="BC47" s="31">
        <v>634206657</v>
      </c>
      <c r="BD47" s="31">
        <v>606745481</v>
      </c>
      <c r="BE47" s="31">
        <v>279786097</v>
      </c>
      <c r="BF47" s="31">
        <v>367460729</v>
      </c>
      <c r="BG47" s="31">
        <v>410831925</v>
      </c>
      <c r="BH47" s="31">
        <v>440154805</v>
      </c>
      <c r="BI47" s="31">
        <v>4240439910</v>
      </c>
      <c r="BJ47" s="31">
        <v>720162380</v>
      </c>
      <c r="BK47" s="31">
        <v>1848763302</v>
      </c>
      <c r="BL47" s="31">
        <v>443206678</v>
      </c>
      <c r="BM47" s="31">
        <v>408107136</v>
      </c>
      <c r="BN47" s="31">
        <v>566942969</v>
      </c>
      <c r="BO47" s="31">
        <v>784688337</v>
      </c>
      <c r="BP47" s="31">
        <v>894577627</v>
      </c>
      <c r="BQ47" s="31">
        <v>781646796</v>
      </c>
      <c r="BR47" s="31"/>
      <c r="BS47" s="31"/>
      <c r="BT47" s="31"/>
      <c r="BU47" s="31"/>
      <c r="BV47" s="31"/>
      <c r="BW47" s="31"/>
    </row>
    <row r="48" spans="1:75">
      <c r="A48" s="159">
        <v>45</v>
      </c>
      <c r="B48" s="160" t="s">
        <v>453</v>
      </c>
      <c r="C48" s="151">
        <v>28</v>
      </c>
      <c r="D48" s="29" t="str">
        <f t="shared" ref="D48:BJ48" si="15">IFERROR(D40/D12,"")</f>
        <v/>
      </c>
      <c r="E48" s="29" t="str">
        <f t="shared" si="15"/>
        <v/>
      </c>
      <c r="F48" s="29" t="str">
        <f t="shared" si="15"/>
        <v/>
      </c>
      <c r="G48" s="29" t="str">
        <f t="shared" si="15"/>
        <v/>
      </c>
      <c r="H48" s="29" t="str">
        <f t="shared" si="15"/>
        <v/>
      </c>
      <c r="I48" s="29" t="str">
        <f t="shared" si="15"/>
        <v/>
      </c>
      <c r="J48" s="29" t="str">
        <f t="shared" si="15"/>
        <v/>
      </c>
      <c r="K48" s="29" t="str">
        <f t="shared" si="15"/>
        <v/>
      </c>
      <c r="L48" s="29" t="str">
        <f t="shared" si="15"/>
        <v/>
      </c>
      <c r="M48" s="29" t="str">
        <f t="shared" si="15"/>
        <v/>
      </c>
      <c r="N48" s="29" t="str">
        <f t="shared" si="15"/>
        <v/>
      </c>
      <c r="O48" s="29" t="str">
        <f t="shared" si="15"/>
        <v/>
      </c>
      <c r="P48" s="29" t="str">
        <f t="shared" si="15"/>
        <v/>
      </c>
      <c r="Q48" s="29" t="str">
        <f t="shared" si="15"/>
        <v/>
      </c>
      <c r="R48" s="29" t="str">
        <f t="shared" si="15"/>
        <v/>
      </c>
      <c r="S48" s="29" t="str">
        <f t="shared" si="15"/>
        <v/>
      </c>
      <c r="T48" s="29" t="str">
        <f t="shared" si="15"/>
        <v/>
      </c>
      <c r="U48" s="29" t="str">
        <f t="shared" si="15"/>
        <v/>
      </c>
      <c r="V48" s="29" t="str">
        <f t="shared" si="15"/>
        <v/>
      </c>
      <c r="W48" s="29" t="str">
        <f t="shared" si="15"/>
        <v/>
      </c>
      <c r="X48" s="29" t="str">
        <f t="shared" si="15"/>
        <v/>
      </c>
      <c r="Y48" s="29" t="str">
        <f t="shared" si="15"/>
        <v/>
      </c>
      <c r="Z48" s="29" t="str">
        <f t="shared" si="15"/>
        <v/>
      </c>
      <c r="AA48" s="29" t="str">
        <f t="shared" si="15"/>
        <v/>
      </c>
      <c r="AB48" s="29" t="str">
        <f t="shared" si="15"/>
        <v/>
      </c>
      <c r="AC48" s="29" t="str">
        <f t="shared" si="15"/>
        <v/>
      </c>
      <c r="AD48" s="29" t="str">
        <f t="shared" si="15"/>
        <v/>
      </c>
      <c r="AE48" s="29" t="str">
        <f t="shared" si="15"/>
        <v/>
      </c>
      <c r="AF48" s="29" t="str">
        <f t="shared" si="15"/>
        <v/>
      </c>
      <c r="AG48" s="29" t="str">
        <f t="shared" si="15"/>
        <v/>
      </c>
      <c r="AH48" s="29" t="str">
        <f t="shared" si="15"/>
        <v/>
      </c>
      <c r="AI48" s="29" t="str">
        <f t="shared" si="15"/>
        <v/>
      </c>
      <c r="AJ48" s="29" t="str">
        <f t="shared" si="15"/>
        <v/>
      </c>
      <c r="AK48" s="29" t="str">
        <f t="shared" si="15"/>
        <v/>
      </c>
      <c r="AL48" s="29" t="str">
        <f t="shared" si="15"/>
        <v/>
      </c>
      <c r="AM48" s="29" t="str">
        <f t="shared" si="15"/>
        <v/>
      </c>
      <c r="AN48" s="29">
        <f t="shared" si="15"/>
        <v>3.7296765647101708E-2</v>
      </c>
      <c r="AO48" s="29">
        <f t="shared" si="15"/>
        <v>1.8692846162257422E-2</v>
      </c>
      <c r="AP48" s="29">
        <f t="shared" si="15"/>
        <v>3.6491761700550913E-2</v>
      </c>
      <c r="AQ48" s="29">
        <f t="shared" si="15"/>
        <v>4.1874832391462169E-2</v>
      </c>
      <c r="AR48" s="29">
        <f t="shared" si="15"/>
        <v>1.6609040181049049E-2</v>
      </c>
      <c r="AS48" s="29">
        <f t="shared" si="15"/>
        <v>2.9530843041425808E-2</v>
      </c>
      <c r="AT48" s="29">
        <f t="shared" si="15"/>
        <v>3.4774719803541403E-2</v>
      </c>
      <c r="AU48" s="29">
        <f t="shared" si="15"/>
        <v>4.9133880064530608E-2</v>
      </c>
      <c r="AV48" s="29">
        <f t="shared" si="15"/>
        <v>4.1994409022214907E-2</v>
      </c>
      <c r="AW48" s="29">
        <f t="shared" si="15"/>
        <v>3.5188388853678643E-2</v>
      </c>
      <c r="AX48" s="29">
        <f t="shared" si="15"/>
        <v>2.3156677744544218E-2</v>
      </c>
      <c r="AY48" s="29">
        <f t="shared" si="15"/>
        <v>8.5001450841065598E-2</v>
      </c>
      <c r="AZ48" s="29">
        <f t="shared" si="15"/>
        <v>3.6526835340838774E-2</v>
      </c>
      <c r="BA48" s="29">
        <f t="shared" si="15"/>
        <v>3.5292559992593481E-2</v>
      </c>
      <c r="BB48" s="29">
        <f t="shared" si="15"/>
        <v>3.7469878689401798E-2</v>
      </c>
      <c r="BC48" s="29">
        <f t="shared" si="15"/>
        <v>3.6868397663086014E-2</v>
      </c>
      <c r="BD48" s="29">
        <f t="shared" si="15"/>
        <v>3.4481897958392536E-2</v>
      </c>
      <c r="BE48" s="29">
        <f t="shared" si="15"/>
        <v>4.5623834646353806E-2</v>
      </c>
      <c r="BF48" s="29">
        <f t="shared" si="15"/>
        <v>3.0788913560649424E-2</v>
      </c>
      <c r="BG48" s="29">
        <f t="shared" si="15"/>
        <v>3.4134143758356619E-2</v>
      </c>
      <c r="BH48" s="29">
        <f t="shared" si="15"/>
        <v>4.1473153192076298E-2</v>
      </c>
      <c r="BI48" s="29">
        <f t="shared" si="15"/>
        <v>6.6721941927192274E-2</v>
      </c>
      <c r="BJ48" s="29">
        <f t="shared" si="15"/>
        <v>4.3325913008742105E-2</v>
      </c>
      <c r="BK48" s="29">
        <f t="shared" ref="BK48:BW48" si="16">IFERROR(BK40/BK12,"")</f>
        <v>5.3803841115380543E-2</v>
      </c>
      <c r="BL48" s="29">
        <f t="shared" si="16"/>
        <v>3.425432354293164E-2</v>
      </c>
      <c r="BM48" s="29">
        <f t="shared" si="16"/>
        <v>3.7231231910416732E-2</v>
      </c>
      <c r="BN48" s="29">
        <f t="shared" si="16"/>
        <v>4.0530785215201204E-2</v>
      </c>
      <c r="BO48" s="29">
        <f t="shared" si="16"/>
        <v>4.0650385198962004E-2</v>
      </c>
      <c r="BP48" s="29">
        <f t="shared" si="16"/>
        <v>4.1474471000346874E-2</v>
      </c>
      <c r="BQ48" s="29">
        <f t="shared" si="16"/>
        <v>3.7187976668752606E-2</v>
      </c>
      <c r="BR48" s="29" t="str">
        <f t="shared" si="16"/>
        <v/>
      </c>
      <c r="BS48" s="29" t="str">
        <f t="shared" si="16"/>
        <v/>
      </c>
      <c r="BT48" s="29" t="str">
        <f t="shared" si="16"/>
        <v/>
      </c>
      <c r="BU48" s="29" t="str">
        <f t="shared" si="16"/>
        <v/>
      </c>
      <c r="BV48" s="29" t="str">
        <f t="shared" si="16"/>
        <v/>
      </c>
      <c r="BW48" s="29" t="str">
        <f t="shared" si="16"/>
        <v/>
      </c>
    </row>
    <row r="49" spans="1:75">
      <c r="A49" s="157">
        <v>46</v>
      </c>
      <c r="B49" s="158" t="s">
        <v>454</v>
      </c>
      <c r="C49" s="147">
        <v>28</v>
      </c>
      <c r="D49" s="27">
        <f>'Ket qua kinh doanh'!D15</f>
        <v>0</v>
      </c>
      <c r="E49" s="27">
        <f>'Ket qua kinh doanh'!E15</f>
        <v>0</v>
      </c>
      <c r="F49" s="27">
        <f>'Ket qua kinh doanh'!F15</f>
        <v>0</v>
      </c>
      <c r="G49" s="27">
        <f>'Ket qua kinh doanh'!G15</f>
        <v>0</v>
      </c>
      <c r="H49" s="27">
        <f>'Ket qua kinh doanh'!H15</f>
        <v>0</v>
      </c>
      <c r="I49" s="27">
        <f>'Ket qua kinh doanh'!I15</f>
        <v>0</v>
      </c>
      <c r="J49" s="27">
        <f>'Ket qua kinh doanh'!J15</f>
        <v>0</v>
      </c>
      <c r="K49" s="27">
        <f>'Ket qua kinh doanh'!K15</f>
        <v>0</v>
      </c>
      <c r="L49" s="27">
        <f>'Ket qua kinh doanh'!L15</f>
        <v>0</v>
      </c>
      <c r="M49" s="27">
        <f>'Ket qua kinh doanh'!M15</f>
        <v>0</v>
      </c>
      <c r="N49" s="27">
        <f>'Ket qua kinh doanh'!N15</f>
        <v>0</v>
      </c>
      <c r="O49" s="27">
        <f>'Ket qua kinh doanh'!O15</f>
        <v>0</v>
      </c>
      <c r="P49" s="27">
        <f>'Ket qua kinh doanh'!P15</f>
        <v>0</v>
      </c>
      <c r="Q49" s="27">
        <f>'Ket qua kinh doanh'!Q15</f>
        <v>0</v>
      </c>
      <c r="R49" s="27">
        <f>'Ket qua kinh doanh'!R15</f>
        <v>0</v>
      </c>
      <c r="S49" s="27">
        <f>'Ket qua kinh doanh'!S15</f>
        <v>0</v>
      </c>
      <c r="T49" s="27">
        <f>'Ket qua kinh doanh'!T15</f>
        <v>0</v>
      </c>
      <c r="U49" s="27">
        <f>'Ket qua kinh doanh'!U15</f>
        <v>0</v>
      </c>
      <c r="V49" s="27">
        <f>'Ket qua kinh doanh'!V15</f>
        <v>0</v>
      </c>
      <c r="W49" s="27">
        <f>'Ket qua kinh doanh'!W15</f>
        <v>0</v>
      </c>
      <c r="X49" s="27">
        <f>'Ket qua kinh doanh'!X15</f>
        <v>0</v>
      </c>
      <c r="Y49" s="27">
        <f>'Ket qua kinh doanh'!Y15</f>
        <v>0</v>
      </c>
      <c r="Z49" s="27">
        <f>'Ket qua kinh doanh'!Z15</f>
        <v>0</v>
      </c>
      <c r="AA49" s="27">
        <f>'Ket qua kinh doanh'!AA15</f>
        <v>0</v>
      </c>
      <c r="AB49" s="27">
        <f>'Ket qua kinh doanh'!AB15</f>
        <v>0</v>
      </c>
      <c r="AC49" s="27">
        <f>'Ket qua kinh doanh'!AC15</f>
        <v>0</v>
      </c>
      <c r="AD49" s="27">
        <f>'Ket qua kinh doanh'!AD15</f>
        <v>0</v>
      </c>
      <c r="AE49" s="27">
        <f>'Ket qua kinh doanh'!AE15</f>
        <v>0</v>
      </c>
      <c r="AF49" s="27">
        <f>'Ket qua kinh doanh'!AF15</f>
        <v>0</v>
      </c>
      <c r="AG49" s="27">
        <f>'Ket qua kinh doanh'!AG15</f>
        <v>0</v>
      </c>
      <c r="AH49" s="27">
        <f>'Ket qua kinh doanh'!AH15</f>
        <v>0</v>
      </c>
      <c r="AI49" s="27">
        <f>'Ket qua kinh doanh'!AI15</f>
        <v>0</v>
      </c>
      <c r="AJ49" s="27">
        <f>'Ket qua kinh doanh'!AJ15</f>
        <v>0</v>
      </c>
      <c r="AK49" s="27">
        <f>'Ket qua kinh doanh'!AK15</f>
        <v>0</v>
      </c>
      <c r="AL49" s="27">
        <f>'Ket qua kinh doanh'!AL15</f>
        <v>0</v>
      </c>
      <c r="AM49" s="27">
        <f>'Ket qua kinh doanh'!AM15</f>
        <v>0</v>
      </c>
      <c r="AN49" s="27">
        <f>'Ket qua kinh doanh'!AN15</f>
        <v>5698695249</v>
      </c>
      <c r="AO49" s="27">
        <f>'Ket qua kinh doanh'!AO15</f>
        <v>5090845577</v>
      </c>
      <c r="AP49" s="27">
        <f>'Ket qua kinh doanh'!AP15</f>
        <v>5285019459</v>
      </c>
      <c r="AQ49" s="27">
        <f>'Ket qua kinh doanh'!AQ15</f>
        <v>5584474639</v>
      </c>
      <c r="AR49" s="27">
        <f>'Ket qua kinh doanh'!AR15</f>
        <v>6069340865</v>
      </c>
      <c r="AS49" s="27">
        <f>'Ket qua kinh doanh'!AS15</f>
        <v>5881960019</v>
      </c>
      <c r="AT49" s="27">
        <f>'Ket qua kinh doanh'!AT15</f>
        <v>5698093117</v>
      </c>
      <c r="AU49" s="27">
        <f>'Ket qua kinh doanh'!AU15</f>
        <v>6840474838</v>
      </c>
      <c r="AV49" s="27">
        <f>'Ket qua kinh doanh'!AV15</f>
        <v>8084946891</v>
      </c>
      <c r="AW49" s="27">
        <f>'Ket qua kinh doanh'!AW15</f>
        <v>8025871294</v>
      </c>
      <c r="AX49" s="27">
        <f>'Ket qua kinh doanh'!AX15</f>
        <v>9126335400</v>
      </c>
      <c r="AY49" s="27">
        <f>'Ket qua kinh doanh'!AY15</f>
        <v>7087963087</v>
      </c>
      <c r="AZ49" s="27">
        <f>'Ket qua kinh doanh'!AZ15</f>
        <v>8548199037</v>
      </c>
      <c r="BA49" s="27">
        <f>'Ket qua kinh doanh'!BA15</f>
        <v>8928537962</v>
      </c>
      <c r="BB49" s="27">
        <f>'Ket qua kinh doanh'!BB15</f>
        <v>8618282018</v>
      </c>
      <c r="BC49" s="27">
        <f>'Ket qua kinh doanh'!BC15</f>
        <v>8518246563</v>
      </c>
      <c r="BD49" s="27">
        <f>'Ket qua kinh doanh'!BD15</f>
        <v>9277438311</v>
      </c>
      <c r="BE49" s="27">
        <f>'Ket qua kinh doanh'!BE15</f>
        <v>9026767632</v>
      </c>
      <c r="BF49" s="27">
        <f>'Ket qua kinh doanh'!BF15</f>
        <v>8998978187</v>
      </c>
      <c r="BG49" s="27">
        <f>'Ket qua kinh doanh'!BG15</f>
        <v>9320823983</v>
      </c>
      <c r="BH49" s="27">
        <f>'Ket qua kinh doanh'!BH15</f>
        <v>10936858648</v>
      </c>
      <c r="BI49" s="27">
        <f>'Ket qua kinh doanh'!BI15</f>
        <v>5273319876</v>
      </c>
      <c r="BJ49" s="27">
        <f>'Ket qua kinh doanh'!BJ15</f>
        <v>11469860627</v>
      </c>
      <c r="BK49" s="27">
        <f>'Ket qua kinh doanh'!BK15</f>
        <v>17451279792</v>
      </c>
      <c r="BL49" s="27">
        <f>'Ket qua kinh doanh'!BL15</f>
        <v>9741945070</v>
      </c>
      <c r="BM49" s="27">
        <f>'Ket qua kinh doanh'!BM15</f>
        <v>9621802832</v>
      </c>
      <c r="BN49" s="27">
        <f>'Ket qua kinh doanh'!BN15</f>
        <v>8391794513</v>
      </c>
      <c r="BO49" s="27">
        <f>'Ket qua kinh doanh'!BO15</f>
        <v>9291402760</v>
      </c>
      <c r="BP49" s="27">
        <f>'Ket qua kinh doanh'!BP15</f>
        <v>9149183956</v>
      </c>
      <c r="BQ49" s="27">
        <f>'Ket qua kinh doanh'!BQ15</f>
        <v>9341015977</v>
      </c>
      <c r="BR49" s="27">
        <f>'Ket qua kinh doanh'!BR15</f>
        <v>0</v>
      </c>
      <c r="BS49" s="27">
        <f>'Ket qua kinh doanh'!BS15</f>
        <v>0</v>
      </c>
      <c r="BT49" s="27">
        <f>'Ket qua kinh doanh'!BT15</f>
        <v>0</v>
      </c>
      <c r="BU49" s="27">
        <f>'Ket qua kinh doanh'!BU15</f>
        <v>0</v>
      </c>
      <c r="BV49" s="27">
        <f>'Ket qua kinh doanh'!BV15</f>
        <v>0</v>
      </c>
      <c r="BW49" s="27">
        <f>'Ket qua kinh doanh'!BW15</f>
        <v>0</v>
      </c>
    </row>
    <row r="50" spans="1:75">
      <c r="A50" s="154">
        <v>47</v>
      </c>
      <c r="B50" s="155" t="s">
        <v>455</v>
      </c>
      <c r="C50" s="153">
        <v>28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>
        <v>4074069350</v>
      </c>
      <c r="BA50" s="31">
        <v>4120291369</v>
      </c>
      <c r="BB50" s="31">
        <v>4035630823</v>
      </c>
      <c r="BC50" s="31">
        <v>4480736243</v>
      </c>
      <c r="BD50" s="31">
        <v>4525607200</v>
      </c>
      <c r="BE50" s="31">
        <v>4676431375</v>
      </c>
      <c r="BF50" s="31">
        <v>4328214358</v>
      </c>
      <c r="BG50" s="31">
        <v>4756650624</v>
      </c>
      <c r="BH50" s="31">
        <v>4705142738</v>
      </c>
      <c r="BI50" s="31">
        <v>4673353003</v>
      </c>
      <c r="BJ50" s="31">
        <v>4832761768</v>
      </c>
      <c r="BK50" s="31">
        <v>7041545906</v>
      </c>
      <c r="BL50" s="31">
        <v>5179517353</v>
      </c>
      <c r="BM50" s="31">
        <v>4967516487</v>
      </c>
      <c r="BN50" s="31">
        <v>4754110471</v>
      </c>
      <c r="BO50" s="31">
        <v>5538904710</v>
      </c>
      <c r="BP50" s="31">
        <v>5077015292</v>
      </c>
      <c r="BQ50" s="31">
        <v>5284454764</v>
      </c>
      <c r="BR50" s="31"/>
      <c r="BS50" s="31"/>
      <c r="BT50" s="31"/>
      <c r="BU50" s="31"/>
      <c r="BV50" s="31"/>
      <c r="BW50" s="31"/>
    </row>
    <row r="51" spans="1:75">
      <c r="A51" s="154">
        <v>48</v>
      </c>
      <c r="B51" s="155" t="s">
        <v>456</v>
      </c>
      <c r="C51" s="153">
        <v>28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>
        <v>1635338155</v>
      </c>
      <c r="BA51" s="31">
        <v>1414370788</v>
      </c>
      <c r="BB51" s="31">
        <v>1164862181</v>
      </c>
      <c r="BC51" s="31">
        <v>1299772455</v>
      </c>
      <c r="BD51" s="31">
        <v>1242600016</v>
      </c>
      <c r="BE51" s="31">
        <v>1288990209</v>
      </c>
      <c r="BF51" s="31">
        <v>1405100685</v>
      </c>
      <c r="BG51" s="31">
        <v>1096825413</v>
      </c>
      <c r="BH51" s="31">
        <v>2845866669</v>
      </c>
      <c r="BI51" s="31">
        <v>1566223822</v>
      </c>
      <c r="BJ51" s="31">
        <v>1501145077</v>
      </c>
      <c r="BK51" s="31">
        <v>4873377549</v>
      </c>
      <c r="BL51" s="31">
        <v>1894697090</v>
      </c>
      <c r="BM51" s="31">
        <v>1963925619</v>
      </c>
      <c r="BN51" s="31">
        <v>1526117631</v>
      </c>
      <c r="BO51" s="31">
        <v>1802591944</v>
      </c>
      <c r="BP51" s="31">
        <v>1804620716</v>
      </c>
      <c r="BQ51" s="31">
        <v>1724576053</v>
      </c>
      <c r="BR51" s="31"/>
      <c r="BS51" s="31"/>
      <c r="BT51" s="31"/>
      <c r="BU51" s="31"/>
      <c r="BV51" s="31"/>
      <c r="BW51" s="31"/>
    </row>
    <row r="52" spans="1:75">
      <c r="A52" s="154">
        <v>49</v>
      </c>
      <c r="B52" s="155" t="s">
        <v>457</v>
      </c>
      <c r="C52" s="153">
        <v>28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>
        <v>431484232</v>
      </c>
      <c r="BA52" s="31">
        <v>431484233</v>
      </c>
      <c r="BB52" s="31">
        <v>435388958</v>
      </c>
      <c r="BC52" s="31">
        <v>476844198</v>
      </c>
      <c r="BD52" s="31">
        <v>476844200</v>
      </c>
      <c r="BE52" s="31">
        <v>492943662</v>
      </c>
      <c r="BF52" s="31">
        <v>340503127</v>
      </c>
      <c r="BG52" s="31">
        <v>358231270</v>
      </c>
      <c r="BH52" s="31">
        <v>485290546</v>
      </c>
      <c r="BI52" s="31">
        <v>347950846</v>
      </c>
      <c r="BJ52" s="31">
        <v>347950849</v>
      </c>
      <c r="BK52" s="31">
        <v>308444264</v>
      </c>
      <c r="BL52" s="31">
        <v>93279750</v>
      </c>
      <c r="BM52" s="31">
        <v>95955461</v>
      </c>
      <c r="BN52" s="31">
        <v>90974316</v>
      </c>
      <c r="BO52" s="31">
        <v>91256637</v>
      </c>
      <c r="BP52" s="31">
        <v>90561980</v>
      </c>
      <c r="BQ52" s="31">
        <v>90561983</v>
      </c>
      <c r="BR52" s="31"/>
      <c r="BS52" s="31"/>
      <c r="BT52" s="31"/>
      <c r="BU52" s="31"/>
      <c r="BV52" s="31"/>
      <c r="BW52" s="31"/>
    </row>
    <row r="53" spans="1:75">
      <c r="A53" s="154">
        <v>50</v>
      </c>
      <c r="B53" s="155" t="s">
        <v>458</v>
      </c>
      <c r="C53" s="153">
        <v>28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>
        <v>2407307300</v>
      </c>
      <c r="BA53" s="31">
        <v>2962391572</v>
      </c>
      <c r="BB53" s="31">
        <v>2982400056</v>
      </c>
      <c r="BC53" s="31">
        <v>2260893667</v>
      </c>
      <c r="BD53" s="31">
        <v>3032386895</v>
      </c>
      <c r="BE53" s="31">
        <v>2568402386</v>
      </c>
      <c r="BF53" s="31">
        <v>2925160017</v>
      </c>
      <c r="BG53" s="31">
        <v>3109116676</v>
      </c>
      <c r="BH53" s="31">
        <v>2900558695</v>
      </c>
      <c r="BI53" s="31">
        <v>-1314207795</v>
      </c>
      <c r="BJ53" s="31">
        <v>4788002933</v>
      </c>
      <c r="BK53" s="31">
        <v>5227912073</v>
      </c>
      <c r="BL53" s="31">
        <v>2574450877</v>
      </c>
      <c r="BM53" s="31">
        <v>2594405265</v>
      </c>
      <c r="BN53" s="31">
        <v>2020592095</v>
      </c>
      <c r="BO53" s="31">
        <v>1858649469</v>
      </c>
      <c r="BP53" s="31">
        <v>2176985968</v>
      </c>
      <c r="BQ53" s="31">
        <v>2241423177</v>
      </c>
      <c r="BR53" s="31"/>
      <c r="BS53" s="31"/>
      <c r="BT53" s="31"/>
      <c r="BU53" s="31"/>
      <c r="BV53" s="31"/>
      <c r="BW53" s="31"/>
    </row>
    <row r="54" spans="1:75">
      <c r="A54" s="159">
        <v>51</v>
      </c>
      <c r="B54" s="160" t="s">
        <v>459</v>
      </c>
      <c r="C54" s="151">
        <v>28</v>
      </c>
      <c r="D54" s="29" t="str">
        <f t="shared" ref="D54:BJ54" si="17">IFERROR(D49/D12,"")</f>
        <v/>
      </c>
      <c r="E54" s="29" t="str">
        <f t="shared" si="17"/>
        <v/>
      </c>
      <c r="F54" s="29" t="str">
        <f t="shared" si="17"/>
        <v/>
      </c>
      <c r="G54" s="29" t="str">
        <f t="shared" si="17"/>
        <v/>
      </c>
      <c r="H54" s="29" t="str">
        <f t="shared" si="17"/>
        <v/>
      </c>
      <c r="I54" s="29" t="str">
        <f t="shared" si="17"/>
        <v/>
      </c>
      <c r="J54" s="29" t="str">
        <f t="shared" si="17"/>
        <v/>
      </c>
      <c r="K54" s="29" t="str">
        <f t="shared" si="17"/>
        <v/>
      </c>
      <c r="L54" s="29" t="str">
        <f t="shared" si="17"/>
        <v/>
      </c>
      <c r="M54" s="29" t="str">
        <f t="shared" si="17"/>
        <v/>
      </c>
      <c r="N54" s="29" t="str">
        <f t="shared" si="17"/>
        <v/>
      </c>
      <c r="O54" s="29" t="str">
        <f t="shared" si="17"/>
        <v/>
      </c>
      <c r="P54" s="29" t="str">
        <f t="shared" si="17"/>
        <v/>
      </c>
      <c r="Q54" s="29" t="str">
        <f t="shared" si="17"/>
        <v/>
      </c>
      <c r="R54" s="29" t="str">
        <f t="shared" si="17"/>
        <v/>
      </c>
      <c r="S54" s="29" t="str">
        <f t="shared" si="17"/>
        <v/>
      </c>
      <c r="T54" s="29" t="str">
        <f t="shared" si="17"/>
        <v/>
      </c>
      <c r="U54" s="29" t="str">
        <f t="shared" si="17"/>
        <v/>
      </c>
      <c r="V54" s="29" t="str">
        <f t="shared" si="17"/>
        <v/>
      </c>
      <c r="W54" s="29" t="str">
        <f t="shared" si="17"/>
        <v/>
      </c>
      <c r="X54" s="29" t="str">
        <f t="shared" si="17"/>
        <v/>
      </c>
      <c r="Y54" s="29" t="str">
        <f t="shared" si="17"/>
        <v/>
      </c>
      <c r="Z54" s="29" t="str">
        <f t="shared" si="17"/>
        <v/>
      </c>
      <c r="AA54" s="29" t="str">
        <f t="shared" si="17"/>
        <v/>
      </c>
      <c r="AB54" s="29" t="str">
        <f t="shared" si="17"/>
        <v/>
      </c>
      <c r="AC54" s="29" t="str">
        <f t="shared" si="17"/>
        <v/>
      </c>
      <c r="AD54" s="29" t="str">
        <f t="shared" si="17"/>
        <v/>
      </c>
      <c r="AE54" s="29" t="str">
        <f t="shared" si="17"/>
        <v/>
      </c>
      <c r="AF54" s="29" t="str">
        <f t="shared" si="17"/>
        <v/>
      </c>
      <c r="AG54" s="29" t="str">
        <f t="shared" si="17"/>
        <v/>
      </c>
      <c r="AH54" s="29" t="str">
        <f t="shared" si="17"/>
        <v/>
      </c>
      <c r="AI54" s="29" t="str">
        <f t="shared" si="17"/>
        <v/>
      </c>
      <c r="AJ54" s="29" t="str">
        <f t="shared" si="17"/>
        <v/>
      </c>
      <c r="AK54" s="29" t="str">
        <f t="shared" si="17"/>
        <v/>
      </c>
      <c r="AL54" s="29" t="str">
        <f t="shared" si="17"/>
        <v/>
      </c>
      <c r="AM54" s="29" t="str">
        <f t="shared" si="17"/>
        <v/>
      </c>
      <c r="AN54" s="29">
        <f t="shared" si="17"/>
        <v>4.3823327299781251E-2</v>
      </c>
      <c r="AO54" s="29">
        <f t="shared" si="17"/>
        <v>6.0983060969462148E-2</v>
      </c>
      <c r="AP54" s="29">
        <f t="shared" si="17"/>
        <v>4.57081117806174E-2</v>
      </c>
      <c r="AQ54" s="29">
        <f t="shared" si="17"/>
        <v>4.7467950802511746E-2</v>
      </c>
      <c r="AR54" s="29">
        <f t="shared" si="17"/>
        <v>4.7435606178362386E-2</v>
      </c>
      <c r="AS54" s="29">
        <f t="shared" si="17"/>
        <v>6.1487176963276123E-2</v>
      </c>
      <c r="AT54" s="29">
        <f t="shared" si="17"/>
        <v>7.630046694713731E-2</v>
      </c>
      <c r="AU54" s="29">
        <f t="shared" si="17"/>
        <v>3.9633823270130632E-2</v>
      </c>
      <c r="AV54" s="29">
        <f t="shared" si="17"/>
        <v>4.6076133694931763E-2</v>
      </c>
      <c r="AW54" s="29">
        <f t="shared" si="17"/>
        <v>5.7209470515793656E-2</v>
      </c>
      <c r="AX54" s="29">
        <f t="shared" si="17"/>
        <v>9.3942487600756838E-2</v>
      </c>
      <c r="AY54" s="29">
        <f t="shared" si="17"/>
        <v>5.7157911500235574E-2</v>
      </c>
      <c r="AZ54" s="29">
        <f t="shared" si="17"/>
        <v>7.467636158335085E-2</v>
      </c>
      <c r="BA54" s="29">
        <f t="shared" si="17"/>
        <v>4.7492359348827874E-2</v>
      </c>
      <c r="BB54" s="29">
        <f t="shared" si="17"/>
        <v>5.7363735603596755E-2</v>
      </c>
      <c r="BC54" s="29">
        <f t="shared" si="17"/>
        <v>6.7935512133105114E-2</v>
      </c>
      <c r="BD54" s="29">
        <f t="shared" si="17"/>
        <v>6.1023109939327698E-2</v>
      </c>
      <c r="BE54" s="29">
        <f t="shared" si="17"/>
        <v>7.555053530062196E-2</v>
      </c>
      <c r="BF54" s="29">
        <f t="shared" si="17"/>
        <v>6.5208417183256345E-2</v>
      </c>
      <c r="BG54" s="29">
        <f t="shared" si="17"/>
        <v>5.532230583316599E-2</v>
      </c>
      <c r="BH54" s="29">
        <f t="shared" si="17"/>
        <v>0.12907974826160415</v>
      </c>
      <c r="BI54" s="29">
        <f t="shared" si="17"/>
        <v>4.8374343804178543E-2</v>
      </c>
      <c r="BJ54" s="29">
        <f t="shared" si="17"/>
        <v>0.1297651763554693</v>
      </c>
      <c r="BK54" s="29">
        <f t="shared" ref="BK54:BW54" si="18">IFERROR(BK49/BK12,"")</f>
        <v>0.17509869211494122</v>
      </c>
      <c r="BL54" s="29">
        <f t="shared" ref="BL54:BO54" si="19">IFERROR(BL49/BL12,"")</f>
        <v>7.7450655191188697E-2</v>
      </c>
      <c r="BM54" s="29">
        <f t="shared" si="19"/>
        <v>9.965700066341579E-2</v>
      </c>
      <c r="BN54" s="29">
        <f t="shared" si="19"/>
        <v>4.8505615333802828E-2</v>
      </c>
      <c r="BO54" s="29">
        <f t="shared" si="19"/>
        <v>5.8381415633959287E-2</v>
      </c>
      <c r="BP54" s="29">
        <f t="shared" si="18"/>
        <v>5.7260147762273277E-2</v>
      </c>
      <c r="BQ54" s="29">
        <f t="shared" si="18"/>
        <v>7.5981106452700412E-2</v>
      </c>
      <c r="BR54" s="29" t="str">
        <f t="shared" si="18"/>
        <v/>
      </c>
      <c r="BS54" s="29" t="str">
        <f t="shared" si="18"/>
        <v/>
      </c>
      <c r="BT54" s="29" t="str">
        <f t="shared" si="18"/>
        <v/>
      </c>
      <c r="BU54" s="29" t="str">
        <f t="shared" si="18"/>
        <v/>
      </c>
      <c r="BV54" s="29" t="str">
        <f t="shared" si="18"/>
        <v/>
      </c>
      <c r="BW54" s="29" t="str">
        <f t="shared" si="18"/>
        <v/>
      </c>
    </row>
    <row r="55" spans="1:75">
      <c r="A55" s="157">
        <v>52</v>
      </c>
      <c r="B55" s="158" t="s">
        <v>460</v>
      </c>
      <c r="C55" s="150">
        <v>28</v>
      </c>
      <c r="D55" s="28">
        <f>'Ket qua kinh doanh'!D12</f>
        <v>0</v>
      </c>
      <c r="E55" s="28">
        <f>'Ket qua kinh doanh'!E12</f>
        <v>0</v>
      </c>
      <c r="F55" s="28">
        <f>'Ket qua kinh doanh'!F12</f>
        <v>0</v>
      </c>
      <c r="G55" s="28">
        <f>'Ket qua kinh doanh'!G12</f>
        <v>0</v>
      </c>
      <c r="H55" s="28">
        <f>'Ket qua kinh doanh'!H12</f>
        <v>0</v>
      </c>
      <c r="I55" s="28">
        <f>'Ket qua kinh doanh'!I12</f>
        <v>0</v>
      </c>
      <c r="J55" s="28">
        <f>'Ket qua kinh doanh'!J12</f>
        <v>0</v>
      </c>
      <c r="K55" s="28">
        <f>'Ket qua kinh doanh'!K12</f>
        <v>0</v>
      </c>
      <c r="L55" s="28">
        <f>'Ket qua kinh doanh'!L12</f>
        <v>0</v>
      </c>
      <c r="M55" s="28">
        <f>'Ket qua kinh doanh'!M12</f>
        <v>0</v>
      </c>
      <c r="N55" s="28">
        <f>'Ket qua kinh doanh'!N12</f>
        <v>0</v>
      </c>
      <c r="O55" s="28">
        <f>'Ket qua kinh doanh'!O12</f>
        <v>0</v>
      </c>
      <c r="P55" s="28">
        <f>'Ket qua kinh doanh'!P12</f>
        <v>0</v>
      </c>
      <c r="Q55" s="28">
        <f>'Ket qua kinh doanh'!Q12</f>
        <v>0</v>
      </c>
      <c r="R55" s="28">
        <f>'Ket qua kinh doanh'!R12</f>
        <v>0</v>
      </c>
      <c r="S55" s="28">
        <f>'Ket qua kinh doanh'!S12</f>
        <v>0</v>
      </c>
      <c r="T55" s="28">
        <f>'Ket qua kinh doanh'!T12</f>
        <v>0</v>
      </c>
      <c r="U55" s="28">
        <f>'Ket qua kinh doanh'!U12</f>
        <v>0</v>
      </c>
      <c r="V55" s="28">
        <f>'Ket qua kinh doanh'!V12</f>
        <v>0</v>
      </c>
      <c r="W55" s="28">
        <f>'Ket qua kinh doanh'!W12</f>
        <v>0</v>
      </c>
      <c r="X55" s="28">
        <f>'Ket qua kinh doanh'!X12</f>
        <v>0</v>
      </c>
      <c r="Y55" s="28">
        <f>'Ket qua kinh doanh'!Y12</f>
        <v>0</v>
      </c>
      <c r="Z55" s="28">
        <f>'Ket qua kinh doanh'!Z12</f>
        <v>0</v>
      </c>
      <c r="AA55" s="28">
        <f>'Ket qua kinh doanh'!AA12</f>
        <v>0</v>
      </c>
      <c r="AB55" s="28">
        <f>'Ket qua kinh doanh'!AB12</f>
        <v>0</v>
      </c>
      <c r="AC55" s="28">
        <f>'Ket qua kinh doanh'!AC12</f>
        <v>0</v>
      </c>
      <c r="AD55" s="28">
        <f>'Ket qua kinh doanh'!AD12</f>
        <v>0</v>
      </c>
      <c r="AE55" s="28">
        <f>'Ket qua kinh doanh'!AE12</f>
        <v>0</v>
      </c>
      <c r="AF55" s="28">
        <f>'Ket qua kinh doanh'!AF12</f>
        <v>0</v>
      </c>
      <c r="AG55" s="28">
        <f>'Ket qua kinh doanh'!AG12</f>
        <v>0</v>
      </c>
      <c r="AH55" s="28">
        <f>'Ket qua kinh doanh'!AH12</f>
        <v>0</v>
      </c>
      <c r="AI55" s="28">
        <f>'Ket qua kinh doanh'!AI12</f>
        <v>0</v>
      </c>
      <c r="AJ55" s="28">
        <f>'Ket qua kinh doanh'!AJ12</f>
        <v>0</v>
      </c>
      <c r="AK55" s="28">
        <f>'Ket qua kinh doanh'!AK12</f>
        <v>0</v>
      </c>
      <c r="AL55" s="28">
        <f>'Ket qua kinh doanh'!AL12</f>
        <v>0</v>
      </c>
      <c r="AM55" s="28">
        <f>'Ket qua kinh doanh'!AM12</f>
        <v>0</v>
      </c>
      <c r="AN55" s="28">
        <f>'Ket qua kinh doanh'!AN12</f>
        <v>801399604</v>
      </c>
      <c r="AO55" s="28">
        <f>'Ket qua kinh doanh'!AO12</f>
        <v>695500231</v>
      </c>
      <c r="AP55" s="28">
        <f>'Ket qua kinh doanh'!AP12</f>
        <v>663502461</v>
      </c>
      <c r="AQ55" s="28">
        <f>'Ket qua kinh doanh'!AQ12</f>
        <v>1555671370</v>
      </c>
      <c r="AR55" s="28">
        <f>'Ket qua kinh doanh'!AR12</f>
        <v>936492932</v>
      </c>
      <c r="AS55" s="28">
        <f>'Ket qua kinh doanh'!AS12</f>
        <v>1103852896</v>
      </c>
      <c r="AT55" s="28">
        <f>'Ket qua kinh doanh'!AT12</f>
        <v>1608708972</v>
      </c>
      <c r="AU55" s="28">
        <f>'Ket qua kinh doanh'!AU12</f>
        <v>1489581015</v>
      </c>
      <c r="AV55" s="28">
        <f>'Ket qua kinh doanh'!AV12</f>
        <v>1372261307</v>
      </c>
      <c r="AW55" s="28">
        <f>'Ket qua kinh doanh'!AW12</f>
        <v>636041020</v>
      </c>
      <c r="AX55" s="28">
        <f>'Ket qua kinh doanh'!AX12</f>
        <v>1257673070</v>
      </c>
      <c r="AY55" s="28">
        <f>'Ket qua kinh doanh'!AY12</f>
        <v>993026233</v>
      </c>
      <c r="AZ55" s="28">
        <f>'Ket qua kinh doanh'!AZ12</f>
        <v>1529745602</v>
      </c>
      <c r="BA55" s="28">
        <f>'Ket qua kinh doanh'!BA12</f>
        <v>1349010483</v>
      </c>
      <c r="BB55" s="28">
        <f>'Ket qua kinh doanh'!BB12</f>
        <v>902730488</v>
      </c>
      <c r="BC55" s="28">
        <f>'Ket qua kinh doanh'!BC12</f>
        <v>1450570894</v>
      </c>
      <c r="BD55" s="28">
        <f>'Ket qua kinh doanh'!BD12</f>
        <v>858169737</v>
      </c>
      <c r="BE55" s="28">
        <f>'Ket qua kinh doanh'!BE12</f>
        <v>1483876982</v>
      </c>
      <c r="BF55" s="28">
        <f>'Ket qua kinh doanh'!BF12</f>
        <v>1318435167</v>
      </c>
      <c r="BG55" s="28">
        <f>'Ket qua kinh doanh'!BG12</f>
        <v>1366041150</v>
      </c>
      <c r="BH55" s="28">
        <f>'Ket qua kinh doanh'!BH12</f>
        <v>1603769193</v>
      </c>
      <c r="BI55" s="28">
        <f>'Ket qua kinh doanh'!BI12</f>
        <v>2900732378</v>
      </c>
      <c r="BJ55" s="28">
        <f>'Ket qua kinh doanh'!BJ12</f>
        <v>1301741764</v>
      </c>
      <c r="BK55" s="28">
        <f>'Ket qua kinh doanh'!BK12</f>
        <v>2479436989</v>
      </c>
      <c r="BL55" s="28">
        <f>'Ket qua kinh doanh'!BL12</f>
        <v>1532817392</v>
      </c>
      <c r="BM55" s="28">
        <f>'Ket qua kinh doanh'!BM12</f>
        <v>1578519037</v>
      </c>
      <c r="BN55" s="28">
        <f>'Ket qua kinh doanh'!BN12</f>
        <v>1510605035</v>
      </c>
      <c r="BO55" s="28">
        <f>'Ket qua kinh doanh'!BO12</f>
        <v>1999303711</v>
      </c>
      <c r="BP55" s="28">
        <f>'Ket qua kinh doanh'!BP12</f>
        <v>1209081371</v>
      </c>
      <c r="BQ55" s="28">
        <f>'Ket qua kinh doanh'!BQ12</f>
        <v>1216707545</v>
      </c>
      <c r="BR55" s="28">
        <f>'Ket qua kinh doanh'!BR12</f>
        <v>0</v>
      </c>
      <c r="BS55" s="28">
        <f>'Ket qua kinh doanh'!BS12</f>
        <v>0</v>
      </c>
      <c r="BT55" s="28">
        <f>'Ket qua kinh doanh'!BT12</f>
        <v>0</v>
      </c>
      <c r="BU55" s="28">
        <f>'Ket qua kinh doanh'!BU12</f>
        <v>0</v>
      </c>
      <c r="BV55" s="28">
        <f>'Ket qua kinh doanh'!BV12</f>
        <v>0</v>
      </c>
      <c r="BW55" s="28">
        <f>'Ket qua kinh doanh'!BW12</f>
        <v>0</v>
      </c>
    </row>
    <row r="56" spans="1:75">
      <c r="A56" s="142">
        <v>53</v>
      </c>
      <c r="B56" s="143" t="s">
        <v>461</v>
      </c>
      <c r="C56" s="153">
        <v>28</v>
      </c>
      <c r="D56" s="31">
        <f>'Ket qua kinh doanh'!D13</f>
        <v>0</v>
      </c>
      <c r="E56" s="31">
        <f>'Ket qua kinh doanh'!E13</f>
        <v>0</v>
      </c>
      <c r="F56" s="31">
        <f>'Ket qua kinh doanh'!F13</f>
        <v>0</v>
      </c>
      <c r="G56" s="31">
        <f>'Ket qua kinh doanh'!G13</f>
        <v>0</v>
      </c>
      <c r="H56" s="31">
        <f>'Ket qua kinh doanh'!H13</f>
        <v>0</v>
      </c>
      <c r="I56" s="31">
        <f>'Ket qua kinh doanh'!I13</f>
        <v>0</v>
      </c>
      <c r="J56" s="31">
        <f>'Ket qua kinh doanh'!J13</f>
        <v>0</v>
      </c>
      <c r="K56" s="31">
        <f>'Ket qua kinh doanh'!K13</f>
        <v>0</v>
      </c>
      <c r="L56" s="31">
        <f>'Ket qua kinh doanh'!L13</f>
        <v>0</v>
      </c>
      <c r="M56" s="31">
        <f>'Ket qua kinh doanh'!M13</f>
        <v>0</v>
      </c>
      <c r="N56" s="31">
        <f>'Ket qua kinh doanh'!N13</f>
        <v>0</v>
      </c>
      <c r="O56" s="31">
        <f>'Ket qua kinh doanh'!O13</f>
        <v>0</v>
      </c>
      <c r="P56" s="31">
        <f>'Ket qua kinh doanh'!P13</f>
        <v>0</v>
      </c>
      <c r="Q56" s="31">
        <f>'Ket qua kinh doanh'!Q13</f>
        <v>0</v>
      </c>
      <c r="R56" s="31">
        <f>'Ket qua kinh doanh'!R13</f>
        <v>0</v>
      </c>
      <c r="S56" s="31">
        <f>'Ket qua kinh doanh'!S13</f>
        <v>0</v>
      </c>
      <c r="T56" s="31">
        <f>'Ket qua kinh doanh'!T13</f>
        <v>0</v>
      </c>
      <c r="U56" s="31">
        <f>'Ket qua kinh doanh'!U13</f>
        <v>0</v>
      </c>
      <c r="V56" s="31">
        <f>'Ket qua kinh doanh'!V13</f>
        <v>0</v>
      </c>
      <c r="W56" s="31">
        <f>'Ket qua kinh doanh'!W13</f>
        <v>0</v>
      </c>
      <c r="X56" s="31">
        <f>'Ket qua kinh doanh'!X13</f>
        <v>0</v>
      </c>
      <c r="Y56" s="31">
        <f>'Ket qua kinh doanh'!Y13</f>
        <v>0</v>
      </c>
      <c r="Z56" s="31">
        <f>'Ket qua kinh doanh'!Z13</f>
        <v>0</v>
      </c>
      <c r="AA56" s="31">
        <f>'Ket qua kinh doanh'!AA13</f>
        <v>0</v>
      </c>
      <c r="AB56" s="31">
        <f>'Ket qua kinh doanh'!AB13</f>
        <v>0</v>
      </c>
      <c r="AC56" s="31">
        <f>'Ket qua kinh doanh'!AC13</f>
        <v>0</v>
      </c>
      <c r="AD56" s="31">
        <f>'Ket qua kinh doanh'!AD13</f>
        <v>0</v>
      </c>
      <c r="AE56" s="31">
        <f>'Ket qua kinh doanh'!AE13</f>
        <v>0</v>
      </c>
      <c r="AF56" s="31">
        <f>'Ket qua kinh doanh'!AF13</f>
        <v>0</v>
      </c>
      <c r="AG56" s="31">
        <f>'Ket qua kinh doanh'!AG13</f>
        <v>0</v>
      </c>
      <c r="AH56" s="31">
        <f>'Ket qua kinh doanh'!AH13</f>
        <v>0</v>
      </c>
      <c r="AI56" s="31">
        <f>'Ket qua kinh doanh'!AI13</f>
        <v>0</v>
      </c>
      <c r="AJ56" s="31">
        <f>'Ket qua kinh doanh'!AJ13</f>
        <v>0</v>
      </c>
      <c r="AK56" s="31">
        <f>'Ket qua kinh doanh'!AK13</f>
        <v>0</v>
      </c>
      <c r="AL56" s="31">
        <f>'Ket qua kinh doanh'!AL13</f>
        <v>0</v>
      </c>
      <c r="AM56" s="31">
        <f>'Ket qua kinh doanh'!AM13</f>
        <v>0</v>
      </c>
      <c r="AN56" s="31">
        <f>'Ket qua kinh doanh'!AN13</f>
        <v>460461775</v>
      </c>
      <c r="AO56" s="31">
        <f>'Ket qua kinh doanh'!AO13</f>
        <v>563909516</v>
      </c>
      <c r="AP56" s="31">
        <f>'Ket qua kinh doanh'!AP13</f>
        <v>587315920</v>
      </c>
      <c r="AQ56" s="31">
        <f>'Ket qua kinh doanh'!AQ13</f>
        <v>905708142</v>
      </c>
      <c r="AR56" s="31">
        <f>'Ket qua kinh doanh'!AR13</f>
        <v>974310029</v>
      </c>
      <c r="AS56" s="31">
        <f>'Ket qua kinh doanh'!AS13</f>
        <v>1115056080</v>
      </c>
      <c r="AT56" s="31">
        <f>'Ket qua kinh doanh'!AT13</f>
        <v>1160823006</v>
      </c>
      <c r="AU56" s="31">
        <f>'Ket qua kinh doanh'!AU13</f>
        <v>939585045</v>
      </c>
      <c r="AV56" s="31">
        <f>'Ket qua kinh doanh'!AV13</f>
        <v>859444105</v>
      </c>
      <c r="AW56" s="31">
        <f>'Ket qua kinh doanh'!AW13</f>
        <v>840165515</v>
      </c>
      <c r="AX56" s="31">
        <f>'Ket qua kinh doanh'!AX13</f>
        <v>889159081</v>
      </c>
      <c r="AY56" s="31">
        <f>'Ket qua kinh doanh'!AY13</f>
        <v>1032562923</v>
      </c>
      <c r="AZ56" s="31">
        <f>'Ket qua kinh doanh'!AZ13</f>
        <v>1114824276</v>
      </c>
      <c r="BA56" s="31">
        <f>'Ket qua kinh doanh'!BA13</f>
        <v>928379281</v>
      </c>
      <c r="BB56" s="31">
        <f>'Ket qua kinh doanh'!BB13</f>
        <v>673966789</v>
      </c>
      <c r="BC56" s="31">
        <f>'Ket qua kinh doanh'!BC13</f>
        <v>888393452</v>
      </c>
      <c r="BD56" s="31">
        <f>'Ket qua kinh doanh'!BD13</f>
        <v>1186588729</v>
      </c>
      <c r="BE56" s="31">
        <f>'Ket qua kinh doanh'!BE13</f>
        <v>1448899822</v>
      </c>
      <c r="BF56" s="31">
        <f>'Ket qua kinh doanh'!BF13</f>
        <v>1245210526</v>
      </c>
      <c r="BG56" s="31">
        <f>'Ket qua kinh doanh'!BG13</f>
        <v>1303560910</v>
      </c>
      <c r="BH56" s="31">
        <f>'Ket qua kinh doanh'!BH13</f>
        <v>1595764355</v>
      </c>
      <c r="BI56" s="31">
        <f>'Ket qua kinh doanh'!BI13</f>
        <v>1368802426</v>
      </c>
      <c r="BJ56" s="31">
        <f>'Ket qua kinh doanh'!BJ13</f>
        <v>1256132292</v>
      </c>
      <c r="BK56" s="31">
        <f>'Ket qua kinh doanh'!BK13</f>
        <v>1256103396</v>
      </c>
      <c r="BL56" s="31">
        <f>'Ket qua kinh doanh'!BL13</f>
        <v>1240115065</v>
      </c>
      <c r="BM56" s="31">
        <f>'Ket qua kinh doanh'!BM13</f>
        <v>1156279418</v>
      </c>
      <c r="BN56" s="31">
        <f>'Ket qua kinh doanh'!BN13</f>
        <v>959718564</v>
      </c>
      <c r="BO56" s="31">
        <f>'Ket qua kinh doanh'!BO13</f>
        <v>1062084475</v>
      </c>
      <c r="BP56" s="31">
        <f>'Ket qua kinh doanh'!BP13</f>
        <v>838836791</v>
      </c>
      <c r="BQ56" s="31">
        <f>'Ket qua kinh doanh'!BQ13</f>
        <v>856841656</v>
      </c>
      <c r="BR56" s="31">
        <f>'Ket qua kinh doanh'!BR13</f>
        <v>0</v>
      </c>
      <c r="BS56" s="31">
        <f>'Ket qua kinh doanh'!BS13</f>
        <v>0</v>
      </c>
      <c r="BT56" s="31">
        <f>'Ket qua kinh doanh'!BT13</f>
        <v>0</v>
      </c>
      <c r="BU56" s="31">
        <f>'Ket qua kinh doanh'!BU13</f>
        <v>0</v>
      </c>
      <c r="BV56" s="31">
        <f>'Ket qua kinh doanh'!BV13</f>
        <v>0</v>
      </c>
      <c r="BW56" s="31">
        <f>'Ket qua kinh doanh'!BW13</f>
        <v>0</v>
      </c>
    </row>
    <row r="57" spans="1:75">
      <c r="A57" s="161">
        <v>54</v>
      </c>
      <c r="B57" s="162" t="s">
        <v>462</v>
      </c>
      <c r="C57" s="151">
        <v>28</v>
      </c>
      <c r="D57" s="29" t="str">
        <f t="shared" ref="D57:BJ57" si="20">IFERROR(D56/D12,"")</f>
        <v/>
      </c>
      <c r="E57" s="29" t="str">
        <f t="shared" si="20"/>
        <v/>
      </c>
      <c r="F57" s="29" t="str">
        <f t="shared" si="20"/>
        <v/>
      </c>
      <c r="G57" s="29" t="str">
        <f t="shared" si="20"/>
        <v/>
      </c>
      <c r="H57" s="29" t="str">
        <f t="shared" si="20"/>
        <v/>
      </c>
      <c r="I57" s="29" t="str">
        <f t="shared" si="20"/>
        <v/>
      </c>
      <c r="J57" s="29" t="str">
        <f t="shared" si="20"/>
        <v/>
      </c>
      <c r="K57" s="29" t="str">
        <f t="shared" si="20"/>
        <v/>
      </c>
      <c r="L57" s="29" t="str">
        <f t="shared" si="20"/>
        <v/>
      </c>
      <c r="M57" s="29" t="str">
        <f t="shared" si="20"/>
        <v/>
      </c>
      <c r="N57" s="29" t="str">
        <f t="shared" si="20"/>
        <v/>
      </c>
      <c r="O57" s="29" t="str">
        <f t="shared" si="20"/>
        <v/>
      </c>
      <c r="P57" s="29" t="str">
        <f t="shared" si="20"/>
        <v/>
      </c>
      <c r="Q57" s="29" t="str">
        <f t="shared" si="20"/>
        <v/>
      </c>
      <c r="R57" s="29" t="str">
        <f t="shared" si="20"/>
        <v/>
      </c>
      <c r="S57" s="29" t="str">
        <f t="shared" si="20"/>
        <v/>
      </c>
      <c r="T57" s="29" t="str">
        <f t="shared" si="20"/>
        <v/>
      </c>
      <c r="U57" s="29" t="str">
        <f t="shared" si="20"/>
        <v/>
      </c>
      <c r="V57" s="29" t="str">
        <f t="shared" si="20"/>
        <v/>
      </c>
      <c r="W57" s="29" t="str">
        <f t="shared" si="20"/>
        <v/>
      </c>
      <c r="X57" s="29" t="str">
        <f t="shared" si="20"/>
        <v/>
      </c>
      <c r="Y57" s="29" t="str">
        <f t="shared" si="20"/>
        <v/>
      </c>
      <c r="Z57" s="29" t="str">
        <f t="shared" si="20"/>
        <v/>
      </c>
      <c r="AA57" s="29" t="str">
        <f t="shared" si="20"/>
        <v/>
      </c>
      <c r="AB57" s="29" t="str">
        <f t="shared" si="20"/>
        <v/>
      </c>
      <c r="AC57" s="29" t="str">
        <f t="shared" si="20"/>
        <v/>
      </c>
      <c r="AD57" s="29" t="str">
        <f t="shared" si="20"/>
        <v/>
      </c>
      <c r="AE57" s="29" t="str">
        <f t="shared" si="20"/>
        <v/>
      </c>
      <c r="AF57" s="29" t="str">
        <f t="shared" si="20"/>
        <v/>
      </c>
      <c r="AG57" s="29" t="str">
        <f t="shared" si="20"/>
        <v/>
      </c>
      <c r="AH57" s="29" t="str">
        <f t="shared" si="20"/>
        <v/>
      </c>
      <c r="AI57" s="29" t="str">
        <f t="shared" si="20"/>
        <v/>
      </c>
      <c r="AJ57" s="29" t="str">
        <f t="shared" si="20"/>
        <v/>
      </c>
      <c r="AK57" s="29" t="str">
        <f t="shared" si="20"/>
        <v/>
      </c>
      <c r="AL57" s="29" t="str">
        <f t="shared" si="20"/>
        <v/>
      </c>
      <c r="AM57" s="29" t="str">
        <f t="shared" si="20"/>
        <v/>
      </c>
      <c r="AN57" s="29">
        <f t="shared" si="20"/>
        <v>3.540980205671502E-3</v>
      </c>
      <c r="AO57" s="29">
        <f t="shared" si="20"/>
        <v>6.7550523533564041E-3</v>
      </c>
      <c r="AP57" s="29">
        <f t="shared" si="20"/>
        <v>5.0794707437038684E-3</v>
      </c>
      <c r="AQ57" s="29">
        <f t="shared" si="20"/>
        <v>7.6985056437804556E-3</v>
      </c>
      <c r="AR57" s="29">
        <f t="shared" si="20"/>
        <v>7.6148280116860494E-3</v>
      </c>
      <c r="AS57" s="29">
        <f t="shared" si="20"/>
        <v>1.1656259188003327E-2</v>
      </c>
      <c r="AT57" s="29">
        <f t="shared" si="20"/>
        <v>1.5544031236788856E-2</v>
      </c>
      <c r="AU57" s="29">
        <f t="shared" si="20"/>
        <v>5.4439711427512064E-3</v>
      </c>
      <c r="AV57" s="29">
        <f t="shared" si="20"/>
        <v>4.8979742253326044E-3</v>
      </c>
      <c r="AW57" s="29">
        <f t="shared" si="20"/>
        <v>5.9888107469044461E-3</v>
      </c>
      <c r="AX57" s="29">
        <f t="shared" si="20"/>
        <v>9.1526129909648996E-3</v>
      </c>
      <c r="AY57" s="29">
        <f t="shared" si="20"/>
        <v>8.3266714917724794E-3</v>
      </c>
      <c r="AZ57" s="29">
        <f t="shared" si="20"/>
        <v>9.7390129050727355E-3</v>
      </c>
      <c r="BA57" s="29">
        <f t="shared" si="20"/>
        <v>4.9382018212735523E-3</v>
      </c>
      <c r="BB57" s="29">
        <f t="shared" si="20"/>
        <v>4.4859581769375653E-3</v>
      </c>
      <c r="BC57" s="29">
        <f t="shared" si="20"/>
        <v>7.0851980734473524E-3</v>
      </c>
      <c r="BD57" s="29">
        <f t="shared" si="20"/>
        <v>7.8048844988470997E-3</v>
      </c>
      <c r="BE57" s="29">
        <f t="shared" si="20"/>
        <v>1.2126728150287215E-2</v>
      </c>
      <c r="BF57" s="29">
        <f t="shared" si="20"/>
        <v>9.0230474808450679E-3</v>
      </c>
      <c r="BG57" s="29">
        <f t="shared" si="20"/>
        <v>7.7370837027617503E-3</v>
      </c>
      <c r="BH57" s="29">
        <f t="shared" si="20"/>
        <v>1.8833640248784634E-2</v>
      </c>
      <c r="BI57" s="29">
        <f t="shared" si="20"/>
        <v>1.2556590670077845E-2</v>
      </c>
      <c r="BJ57" s="29">
        <f t="shared" si="20"/>
        <v>1.4211352142629648E-2</v>
      </c>
      <c r="BK57" s="29">
        <f t="shared" ref="BK57:BW57" si="21">IFERROR(BK56/BK12,"")</f>
        <v>1.2603205290511803E-2</v>
      </c>
      <c r="BL57" s="29">
        <f t="shared" ref="BL57:BO57" si="22">IFERROR(BL56/BL12,"")</f>
        <v>9.8591937858990165E-3</v>
      </c>
      <c r="BM57" s="29">
        <f t="shared" si="22"/>
        <v>1.197606526954449E-2</v>
      </c>
      <c r="BN57" s="29">
        <f t="shared" si="22"/>
        <v>5.5472925870597555E-3</v>
      </c>
      <c r="BO57" s="29">
        <f t="shared" si="22"/>
        <v>6.6734805039654144E-3</v>
      </c>
      <c r="BP57" s="29">
        <f t="shared" si="21"/>
        <v>5.2498582203707907E-3</v>
      </c>
      <c r="BQ57" s="29">
        <f t="shared" si="21"/>
        <v>6.9696676719049038E-3</v>
      </c>
      <c r="BR57" s="29" t="str">
        <f t="shared" si="21"/>
        <v/>
      </c>
      <c r="BS57" s="29" t="str">
        <f t="shared" si="21"/>
        <v/>
      </c>
      <c r="BT57" s="29" t="str">
        <f t="shared" si="21"/>
        <v/>
      </c>
      <c r="BU57" s="29" t="str">
        <f t="shared" si="21"/>
        <v/>
      </c>
      <c r="BV57" s="29" t="str">
        <f t="shared" si="21"/>
        <v/>
      </c>
      <c r="BW57" s="29" t="str">
        <f t="shared" si="21"/>
        <v/>
      </c>
    </row>
  </sheetData>
  <sheetProtection algorithmName="SHA-512" hashValue="HyTpRQrHtLd7pEEO37QsyJ0XfthqgQJGjJq4fJxJmvwwTzvpuDmlUqDpsNlMpWhsECOM1Sa2b49dfuLnW8967Q==" saltValue="q5mxITSzvS14E3nknKamoQ==" spinCount="100000" sheet="1" objects="1" scenarios="1"/>
  <protectedRanges>
    <protectedRange sqref="D4:BW57" name="Element"/>
  </protectedRanges>
  <pageMargins left="0.7" right="0.7" top="0.75" bottom="0.75" header="0.3" footer="0.3"/>
  <ignoredErrors>
    <ignoredError sqref="BL29:BM29 BL31:BM31 BL33:BM33 BL35:BM35 BL37:BM37 BL39:BM39" unlockedFormula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90F1-B473-4AB0-843A-4DB2A1AF5F0A}">
  <sheetPr>
    <tabColor theme="9" tint="0.59999389629810485"/>
  </sheetPr>
  <dimension ref="A1:BW74"/>
  <sheetViews>
    <sheetView showGridLines="0" zoomScale="80" zoomScaleNormal="80" workbookViewId="0">
      <pane xSplit="3" ySplit="3" topLeftCell="BE4" activePane="bottomRight" state="frozen"/>
      <selection pane="topRight" activeCell="BL10" sqref="BL10"/>
      <selection pane="bottomLeft" activeCell="BL10" sqref="BL10"/>
      <selection pane="bottomRight" activeCell="BM30" sqref="BM30"/>
    </sheetView>
  </sheetViews>
  <sheetFormatPr defaultRowHeight="14.4"/>
  <cols>
    <col min="1" max="1" width="7" hidden="1" customWidth="1"/>
    <col min="2" max="2" width="46.44140625" customWidth="1"/>
    <col min="3" max="3" width="9.109375" hidden="1" customWidth="1"/>
    <col min="4" max="56" width="16.5546875" bestFit="1" customWidth="1"/>
    <col min="57" max="58" width="17.33203125" bestFit="1" customWidth="1"/>
    <col min="59" max="64" width="16.5546875" bestFit="1" customWidth="1"/>
    <col min="65" max="75" width="17.109375" customWidth="1"/>
  </cols>
  <sheetData>
    <row r="1" spans="1:75" ht="17.399999999999999">
      <c r="B1" s="40" t="str">
        <f>'Thong tin'!A1</f>
        <v>CÔNG TY CP NHỰA TÁI CHẾ DUY TÂN</v>
      </c>
    </row>
    <row r="2" spans="1:75">
      <c r="B2" s="46" t="s">
        <v>243</v>
      </c>
    </row>
    <row r="3" spans="1:75" ht="27.6">
      <c r="A3" s="163" t="s">
        <v>463</v>
      </c>
      <c r="B3" s="164" t="s">
        <v>464</v>
      </c>
      <c r="C3" s="165" t="s">
        <v>246</v>
      </c>
      <c r="D3" s="49" t="s">
        <v>247</v>
      </c>
      <c r="E3" s="49" t="s">
        <v>248</v>
      </c>
      <c r="F3" s="49" t="s">
        <v>249</v>
      </c>
      <c r="G3" s="49" t="s">
        <v>250</v>
      </c>
      <c r="H3" s="49" t="s">
        <v>251</v>
      </c>
      <c r="I3" s="49" t="s">
        <v>252</v>
      </c>
      <c r="J3" s="49" t="s">
        <v>253</v>
      </c>
      <c r="K3" s="49" t="s">
        <v>254</v>
      </c>
      <c r="L3" s="49" t="s">
        <v>255</v>
      </c>
      <c r="M3" s="49" t="s">
        <v>256</v>
      </c>
      <c r="N3" s="49" t="s">
        <v>257</v>
      </c>
      <c r="O3" s="49" t="s">
        <v>258</v>
      </c>
      <c r="P3" s="49" t="s">
        <v>259</v>
      </c>
      <c r="Q3" s="49" t="s">
        <v>260</v>
      </c>
      <c r="R3" s="49" t="s">
        <v>261</v>
      </c>
      <c r="S3" s="49" t="s">
        <v>262</v>
      </c>
      <c r="T3" s="49" t="s">
        <v>263</v>
      </c>
      <c r="U3" s="49" t="s">
        <v>264</v>
      </c>
      <c r="V3" s="49" t="s">
        <v>265</v>
      </c>
      <c r="W3" s="49" t="s">
        <v>266</v>
      </c>
      <c r="X3" s="49" t="s">
        <v>267</v>
      </c>
      <c r="Y3" s="49" t="s">
        <v>268</v>
      </c>
      <c r="Z3" s="49" t="s">
        <v>269</v>
      </c>
      <c r="AA3" s="49" t="s">
        <v>270</v>
      </c>
      <c r="AB3" s="49" t="s">
        <v>271</v>
      </c>
      <c r="AC3" s="49" t="s">
        <v>272</v>
      </c>
      <c r="AD3" s="49" t="s">
        <v>273</v>
      </c>
      <c r="AE3" s="49" t="s">
        <v>274</v>
      </c>
      <c r="AF3" s="49" t="s">
        <v>275</v>
      </c>
      <c r="AG3" s="49" t="s">
        <v>276</v>
      </c>
      <c r="AH3" s="49" t="s">
        <v>277</v>
      </c>
      <c r="AI3" s="49" t="s">
        <v>278</v>
      </c>
      <c r="AJ3" s="49" t="s">
        <v>279</v>
      </c>
      <c r="AK3" s="49" t="s">
        <v>280</v>
      </c>
      <c r="AL3" s="49" t="s">
        <v>281</v>
      </c>
      <c r="AM3" s="49" t="s">
        <v>282</v>
      </c>
      <c r="AN3" s="49" t="s">
        <v>283</v>
      </c>
      <c r="AO3" s="49" t="s">
        <v>284</v>
      </c>
      <c r="AP3" s="49" t="s">
        <v>285</v>
      </c>
      <c r="AQ3" s="49" t="s">
        <v>286</v>
      </c>
      <c r="AR3" s="49" t="s">
        <v>287</v>
      </c>
      <c r="AS3" s="49" t="s">
        <v>288</v>
      </c>
      <c r="AT3" s="49" t="s">
        <v>289</v>
      </c>
      <c r="AU3" s="49" t="s">
        <v>290</v>
      </c>
      <c r="AV3" s="49" t="s">
        <v>291</v>
      </c>
      <c r="AW3" s="49" t="s">
        <v>292</v>
      </c>
      <c r="AX3" s="49" t="s">
        <v>293</v>
      </c>
      <c r="AY3" s="49" t="s">
        <v>294</v>
      </c>
      <c r="AZ3" s="49" t="s">
        <v>295</v>
      </c>
      <c r="BA3" s="49" t="s">
        <v>296</v>
      </c>
      <c r="BB3" s="49" t="s">
        <v>297</v>
      </c>
      <c r="BC3" s="49" t="s">
        <v>298</v>
      </c>
      <c r="BD3" s="49" t="s">
        <v>299</v>
      </c>
      <c r="BE3" s="49" t="s">
        <v>300</v>
      </c>
      <c r="BF3" s="49" t="s">
        <v>301</v>
      </c>
      <c r="BG3" s="49" t="s">
        <v>302</v>
      </c>
      <c r="BH3" s="49" t="s">
        <v>303</v>
      </c>
      <c r="BI3" s="49" t="s">
        <v>304</v>
      </c>
      <c r="BJ3" s="49" t="s">
        <v>305</v>
      </c>
      <c r="BK3" s="49" t="s">
        <v>306</v>
      </c>
      <c r="BL3" s="49" t="s">
        <v>307</v>
      </c>
      <c r="BM3" s="49" t="s">
        <v>308</v>
      </c>
      <c r="BN3" s="49" t="s">
        <v>309</v>
      </c>
      <c r="BO3" s="49" t="s">
        <v>310</v>
      </c>
      <c r="BP3" s="49" t="s">
        <v>311</v>
      </c>
      <c r="BQ3" s="49" t="s">
        <v>312</v>
      </c>
      <c r="BR3" s="49" t="s">
        <v>313</v>
      </c>
      <c r="BS3" s="49" t="s">
        <v>314</v>
      </c>
      <c r="BT3" s="49" t="s">
        <v>315</v>
      </c>
      <c r="BU3" s="49" t="s">
        <v>316</v>
      </c>
      <c r="BV3" s="49" t="s">
        <v>317</v>
      </c>
      <c r="BW3" s="49" t="s">
        <v>318</v>
      </c>
    </row>
    <row r="4" spans="1:75">
      <c r="A4" s="166">
        <v>1</v>
      </c>
      <c r="B4" s="167" t="s">
        <v>465</v>
      </c>
      <c r="C4" s="168">
        <v>28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f t="shared" ref="AZ4:BK4" si="0">SUM(AZ5:AZ12)</f>
        <v>0</v>
      </c>
      <c r="BA4" s="33">
        <f t="shared" si="0"/>
        <v>0</v>
      </c>
      <c r="BB4" s="33">
        <f t="shared" si="0"/>
        <v>0</v>
      </c>
      <c r="BC4" s="33">
        <f t="shared" si="0"/>
        <v>0</v>
      </c>
      <c r="BD4" s="33">
        <f t="shared" si="0"/>
        <v>0</v>
      </c>
      <c r="BE4" s="33">
        <f t="shared" si="0"/>
        <v>0</v>
      </c>
      <c r="BF4" s="33">
        <f t="shared" si="0"/>
        <v>0</v>
      </c>
      <c r="BG4" s="33">
        <f t="shared" si="0"/>
        <v>0</v>
      </c>
      <c r="BH4" s="33">
        <f t="shared" si="0"/>
        <v>0</v>
      </c>
      <c r="BI4" s="33">
        <f t="shared" si="0"/>
        <v>0</v>
      </c>
      <c r="BJ4" s="33">
        <f t="shared" si="0"/>
        <v>0</v>
      </c>
      <c r="BK4" s="33">
        <f t="shared" si="0"/>
        <v>0</v>
      </c>
      <c r="BL4" s="33">
        <f>SUM(BL5:BL12)</f>
        <v>580900000000</v>
      </c>
      <c r="BM4" s="33">
        <f>SUM(BM5:BM12)</f>
        <v>580900000000</v>
      </c>
      <c r="BN4" s="33">
        <f>SUM(BN5:BN12)</f>
        <v>580900000000</v>
      </c>
      <c r="BO4" s="33">
        <f>SUM(BO5:BO12)</f>
        <v>580900000000</v>
      </c>
      <c r="BP4" s="33">
        <f>SUM(BP5:BP12)</f>
        <v>580900000000</v>
      </c>
      <c r="BQ4" s="33"/>
      <c r="BR4" s="33"/>
      <c r="BS4" s="33"/>
      <c r="BT4" s="33"/>
      <c r="BU4" s="33"/>
      <c r="BV4" s="33"/>
      <c r="BW4" s="33"/>
    </row>
    <row r="5" spans="1:75">
      <c r="A5" s="169">
        <v>2</v>
      </c>
      <c r="B5" s="170" t="s">
        <v>466</v>
      </c>
      <c r="C5" s="169">
        <v>28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>
        <v>150000000000</v>
      </c>
      <c r="BM5" s="34">
        <v>150000000000</v>
      </c>
      <c r="BN5" s="34">
        <v>150000000000</v>
      </c>
      <c r="BO5" s="34">
        <v>150000000000</v>
      </c>
      <c r="BP5" s="34">
        <v>150000000000</v>
      </c>
      <c r="BQ5" s="34"/>
      <c r="BR5" s="34"/>
      <c r="BS5" s="34"/>
      <c r="BT5" s="34"/>
      <c r="BU5" s="34"/>
      <c r="BV5" s="34"/>
      <c r="BW5" s="34"/>
    </row>
    <row r="6" spans="1:75">
      <c r="A6" s="169">
        <v>3</v>
      </c>
      <c r="B6" s="170" t="s">
        <v>467</v>
      </c>
      <c r="C6" s="169">
        <v>28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>
        <v>131000000000</v>
      </c>
      <c r="BM6" s="34">
        <v>131000000000</v>
      </c>
      <c r="BN6" s="34">
        <v>131000000000</v>
      </c>
      <c r="BO6" s="34">
        <v>131000000000</v>
      </c>
      <c r="BP6" s="34">
        <v>131000000000</v>
      </c>
      <c r="BQ6" s="34"/>
      <c r="BR6" s="34"/>
      <c r="BS6" s="34"/>
      <c r="BT6" s="34"/>
      <c r="BU6" s="34"/>
      <c r="BV6" s="34"/>
      <c r="BW6" s="34"/>
    </row>
    <row r="7" spans="1:75">
      <c r="A7" s="169">
        <v>4</v>
      </c>
      <c r="B7" s="170" t="s">
        <v>468</v>
      </c>
      <c r="C7" s="169">
        <v>28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>
        <v>100000000000</v>
      </c>
      <c r="BM7" s="34">
        <v>100000000000</v>
      </c>
      <c r="BN7" s="34">
        <v>100000000000</v>
      </c>
      <c r="BO7" s="34">
        <v>100000000000</v>
      </c>
      <c r="BP7" s="34">
        <v>100000000000</v>
      </c>
      <c r="BQ7" s="34"/>
      <c r="BR7" s="34"/>
      <c r="BS7" s="34"/>
      <c r="BT7" s="34"/>
      <c r="BU7" s="34"/>
      <c r="BV7" s="34"/>
      <c r="BW7" s="34"/>
    </row>
    <row r="8" spans="1:75">
      <c r="A8" s="169">
        <v>5</v>
      </c>
      <c r="B8" s="170" t="s">
        <v>469</v>
      </c>
      <c r="C8" s="169">
        <v>28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>
        <v>99900000000</v>
      </c>
      <c r="BM8" s="34">
        <v>99900000000</v>
      </c>
      <c r="BN8" s="34">
        <v>99900000000</v>
      </c>
      <c r="BO8" s="34">
        <v>99900000000</v>
      </c>
      <c r="BP8" s="34">
        <v>99900000000</v>
      </c>
      <c r="BQ8" s="34"/>
      <c r="BR8" s="34"/>
      <c r="BS8" s="34"/>
      <c r="BT8" s="34"/>
      <c r="BU8" s="34"/>
      <c r="BV8" s="34"/>
      <c r="BW8" s="34"/>
    </row>
    <row r="9" spans="1:75">
      <c r="A9" s="169">
        <v>6</v>
      </c>
      <c r="B9" s="170" t="s">
        <v>470</v>
      </c>
      <c r="C9" s="169">
        <v>28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>
        <v>100000000000</v>
      </c>
      <c r="BM9" s="34">
        <v>100000000000</v>
      </c>
      <c r="BN9" s="34">
        <v>100000000000</v>
      </c>
      <c r="BO9" s="34">
        <v>100000000000</v>
      </c>
      <c r="BP9" s="34">
        <v>100000000000</v>
      </c>
      <c r="BQ9" s="34"/>
      <c r="BR9" s="34"/>
      <c r="BS9" s="34"/>
      <c r="BT9" s="34"/>
      <c r="BU9" s="34"/>
      <c r="BV9" s="34"/>
      <c r="BW9" s="34"/>
    </row>
    <row r="10" spans="1:75">
      <c r="A10" s="169">
        <v>7</v>
      </c>
      <c r="B10" s="170" t="s">
        <v>471</v>
      </c>
      <c r="C10" s="169">
        <v>28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</row>
    <row r="11" spans="1:75">
      <c r="A11" s="169">
        <v>8</v>
      </c>
      <c r="B11" s="170" t="s">
        <v>472</v>
      </c>
      <c r="C11" s="169">
        <v>28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</row>
    <row r="12" spans="1:75">
      <c r="A12" s="169">
        <v>9</v>
      </c>
      <c r="B12" s="87"/>
      <c r="C12" s="169">
        <v>28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</row>
    <row r="13" spans="1:75">
      <c r="A13" s="166">
        <v>10</v>
      </c>
      <c r="B13" s="167" t="s">
        <v>473</v>
      </c>
      <c r="C13" s="168">
        <v>28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>
        <f t="shared" ref="AN13:BK13" si="1">SUM(AN14:AN21)</f>
        <v>0</v>
      </c>
      <c r="AO13" s="33">
        <f t="shared" si="1"/>
        <v>0</v>
      </c>
      <c r="AP13" s="33">
        <f t="shared" si="1"/>
        <v>0</v>
      </c>
      <c r="AQ13" s="33">
        <f t="shared" si="1"/>
        <v>0</v>
      </c>
      <c r="AR13" s="33">
        <f t="shared" si="1"/>
        <v>0</v>
      </c>
      <c r="AS13" s="33">
        <f t="shared" si="1"/>
        <v>0</v>
      </c>
      <c r="AT13" s="33">
        <f t="shared" si="1"/>
        <v>0</v>
      </c>
      <c r="AU13" s="33">
        <f t="shared" si="1"/>
        <v>0</v>
      </c>
      <c r="AV13" s="33">
        <f t="shared" si="1"/>
        <v>0</v>
      </c>
      <c r="AW13" s="33">
        <f t="shared" si="1"/>
        <v>0</v>
      </c>
      <c r="AX13" s="33">
        <f t="shared" si="1"/>
        <v>0</v>
      </c>
      <c r="AY13" s="33">
        <f t="shared" si="1"/>
        <v>0</v>
      </c>
      <c r="AZ13" s="33">
        <f t="shared" si="1"/>
        <v>134925554251</v>
      </c>
      <c r="BA13" s="33">
        <f t="shared" si="1"/>
        <v>43611829278</v>
      </c>
      <c r="BB13" s="33">
        <f t="shared" si="1"/>
        <v>98003020481</v>
      </c>
      <c r="BC13" s="33">
        <f t="shared" si="1"/>
        <v>172928907420</v>
      </c>
      <c r="BD13" s="33">
        <f t="shared" si="1"/>
        <v>200666324688</v>
      </c>
      <c r="BE13" s="33">
        <f t="shared" si="1"/>
        <v>238388679271</v>
      </c>
      <c r="BF13" s="33">
        <f t="shared" si="1"/>
        <v>250573370780</v>
      </c>
      <c r="BG13" s="33">
        <f t="shared" si="1"/>
        <v>294832243750</v>
      </c>
      <c r="BH13" s="33">
        <f t="shared" si="1"/>
        <v>309616499760</v>
      </c>
      <c r="BI13" s="33">
        <f t="shared" si="1"/>
        <v>259354189036</v>
      </c>
      <c r="BJ13" s="33">
        <f t="shared" si="1"/>
        <v>253300426901</v>
      </c>
      <c r="BK13" s="33">
        <f t="shared" si="1"/>
        <v>253367122218</v>
      </c>
      <c r="BL13" s="33">
        <f>SUM(BL14:BL21)</f>
        <v>216818798145</v>
      </c>
      <c r="BM13" s="33">
        <f>SUM(BM14:BM21)</f>
        <v>231846507077</v>
      </c>
      <c r="BN13" s="33">
        <f>SUM(BN14:BN21)</f>
        <v>179737111410</v>
      </c>
      <c r="BO13" s="33">
        <f>SUM(BO14:BO21)</f>
        <v>147514569550</v>
      </c>
      <c r="BP13" s="33">
        <f>SUM(BP14:BP21)</f>
        <v>116595603825</v>
      </c>
      <c r="BQ13" s="33"/>
      <c r="BR13" s="33"/>
      <c r="BS13" s="33"/>
      <c r="BT13" s="33"/>
      <c r="BU13" s="33"/>
      <c r="BV13" s="33"/>
      <c r="BW13" s="33"/>
    </row>
    <row r="14" spans="1:75">
      <c r="A14" s="169">
        <v>11</v>
      </c>
      <c r="B14" s="170" t="s">
        <v>466</v>
      </c>
      <c r="C14" s="169">
        <v>28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>
        <v>62031000000</v>
      </c>
      <c r="BA14" s="34">
        <v>18977000000</v>
      </c>
      <c r="BB14" s="34">
        <v>48865000000</v>
      </c>
      <c r="BC14" s="34">
        <v>90981000000</v>
      </c>
      <c r="BD14" s="34">
        <v>88582000000</v>
      </c>
      <c r="BE14" s="34">
        <v>82124851218</v>
      </c>
      <c r="BF14" s="34">
        <v>72804000000</v>
      </c>
      <c r="BG14" s="34">
        <v>92313391942</v>
      </c>
      <c r="BH14" s="34">
        <v>80862028656</v>
      </c>
      <c r="BI14" s="34">
        <v>66989028656</v>
      </c>
      <c r="BJ14" s="34">
        <v>66989028656</v>
      </c>
      <c r="BK14" s="34">
        <v>77306590224</v>
      </c>
      <c r="BL14" s="34">
        <v>70992760790</v>
      </c>
      <c r="BM14" s="34">
        <v>93830069710</v>
      </c>
      <c r="BN14" s="34">
        <v>76798128278</v>
      </c>
      <c r="BO14" s="34">
        <v>76518747400</v>
      </c>
      <c r="BP14" s="34">
        <v>59864310020</v>
      </c>
      <c r="BQ14" s="34"/>
      <c r="BR14" s="34"/>
      <c r="BS14" s="34"/>
      <c r="BT14" s="34"/>
      <c r="BU14" s="34"/>
      <c r="BV14" s="34"/>
      <c r="BW14" s="34"/>
    </row>
    <row r="15" spans="1:75">
      <c r="A15" s="169">
        <v>12</v>
      </c>
      <c r="B15" s="170" t="s">
        <v>467</v>
      </c>
      <c r="C15" s="169">
        <v>28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>
        <v>59227549743</v>
      </c>
      <c r="BA15" s="34">
        <v>10967824770</v>
      </c>
      <c r="BB15" s="34">
        <v>35192821797</v>
      </c>
      <c r="BC15" s="34">
        <v>59696932940</v>
      </c>
      <c r="BD15" s="34">
        <v>74003145708</v>
      </c>
      <c r="BE15" s="34">
        <v>102247404832</v>
      </c>
      <c r="BF15" s="34">
        <v>105000758801</v>
      </c>
      <c r="BG15" s="34">
        <v>98339501677</v>
      </c>
      <c r="BH15" s="34">
        <v>80174525410</v>
      </c>
      <c r="BI15" s="34">
        <v>55270634444</v>
      </c>
      <c r="BJ15" s="34">
        <v>31305599367</v>
      </c>
      <c r="BK15" s="34">
        <v>25039164491</v>
      </c>
      <c r="BL15" s="34">
        <v>18996798180</v>
      </c>
      <c r="BM15" s="34">
        <v>18996798180</v>
      </c>
      <c r="BN15" s="34">
        <v>32128413884</v>
      </c>
      <c r="BO15" s="34">
        <v>13206538480</v>
      </c>
      <c r="BP15" s="34">
        <v>13201037710</v>
      </c>
      <c r="BQ15" s="34"/>
      <c r="BR15" s="34"/>
      <c r="BS15" s="34"/>
      <c r="BT15" s="34"/>
      <c r="BU15" s="34"/>
      <c r="BV15" s="34"/>
      <c r="BW15" s="34"/>
    </row>
    <row r="16" spans="1:75">
      <c r="A16" s="169">
        <v>13</v>
      </c>
      <c r="B16" s="170" t="s">
        <v>468</v>
      </c>
      <c r="C16" s="169">
        <v>28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>
        <v>13667004508</v>
      </c>
      <c r="BA16" s="34">
        <v>13667004508</v>
      </c>
      <c r="BB16" s="34">
        <v>13667004508</v>
      </c>
      <c r="BC16" s="34">
        <v>21972780304</v>
      </c>
      <c r="BD16" s="34">
        <v>32049798323</v>
      </c>
      <c r="BE16" s="34">
        <v>39585571449</v>
      </c>
      <c r="BF16" s="34">
        <v>54125127716</v>
      </c>
      <c r="BG16" s="34">
        <v>80169222070</v>
      </c>
      <c r="BH16" s="34">
        <v>87240583973</v>
      </c>
      <c r="BI16" s="34">
        <v>64730980597</v>
      </c>
      <c r="BJ16" s="34">
        <v>55405837410</v>
      </c>
      <c r="BK16" s="34">
        <v>51149160926</v>
      </c>
      <c r="BL16" s="34">
        <v>18836413663</v>
      </c>
      <c r="BM16" s="34">
        <v>11765051760</v>
      </c>
      <c r="BN16" s="34">
        <v>8000000000</v>
      </c>
      <c r="BO16" s="34">
        <v>8000000000</v>
      </c>
      <c r="BP16" s="34"/>
      <c r="BQ16" s="34"/>
      <c r="BR16" s="34"/>
      <c r="BS16" s="34"/>
      <c r="BT16" s="34"/>
      <c r="BU16" s="34"/>
      <c r="BV16" s="34"/>
      <c r="BW16" s="34"/>
    </row>
    <row r="17" spans="1:75">
      <c r="A17" s="169">
        <v>14</v>
      </c>
      <c r="B17" s="170" t="s">
        <v>469</v>
      </c>
      <c r="C17" s="169">
        <v>28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>
        <v>278194176</v>
      </c>
      <c r="BC17" s="34">
        <v>278194176</v>
      </c>
      <c r="BD17" s="34">
        <v>6031380657</v>
      </c>
      <c r="BE17" s="34">
        <v>14430851772</v>
      </c>
      <c r="BF17" s="34">
        <v>18498731431</v>
      </c>
      <c r="BG17" s="34">
        <v>23865375229</v>
      </c>
      <c r="BH17" s="34">
        <v>56646971705</v>
      </c>
      <c r="BI17" s="34">
        <v>67671155323</v>
      </c>
      <c r="BJ17" s="34">
        <v>95052324284</v>
      </c>
      <c r="BK17" s="34">
        <v>99872206577</v>
      </c>
      <c r="BL17" s="34">
        <v>99872206577</v>
      </c>
      <c r="BM17" s="34">
        <v>99872206577</v>
      </c>
      <c r="BN17" s="34">
        <v>56166426483</v>
      </c>
      <c r="BO17" s="34">
        <v>43883378990</v>
      </c>
      <c r="BP17" s="34">
        <v>38362589500</v>
      </c>
      <c r="BQ17" s="34"/>
      <c r="BR17" s="34"/>
      <c r="BS17" s="34"/>
      <c r="BT17" s="34"/>
      <c r="BU17" s="34"/>
      <c r="BV17" s="34"/>
      <c r="BW17" s="34"/>
    </row>
    <row r="18" spans="1:75">
      <c r="A18" s="169">
        <v>15</v>
      </c>
      <c r="B18" s="170" t="s">
        <v>470</v>
      </c>
      <c r="C18" s="169">
        <v>28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>
        <v>144752832</v>
      </c>
      <c r="BG18" s="34">
        <v>144752832</v>
      </c>
      <c r="BH18" s="34">
        <v>4692390016</v>
      </c>
      <c r="BI18" s="34">
        <v>4692390016</v>
      </c>
      <c r="BJ18" s="34">
        <v>4547637184</v>
      </c>
      <c r="BK18" s="34"/>
      <c r="BL18" s="34">
        <v>0</v>
      </c>
      <c r="BM18" s="34">
        <v>0</v>
      </c>
      <c r="BN18" s="34">
        <v>0</v>
      </c>
      <c r="BO18" s="34">
        <v>0</v>
      </c>
      <c r="BP18" s="34"/>
      <c r="BQ18" s="34"/>
      <c r="BR18" s="34"/>
      <c r="BS18" s="34"/>
      <c r="BT18" s="34"/>
      <c r="BU18" s="34"/>
      <c r="BV18" s="34"/>
      <c r="BW18" s="34"/>
    </row>
    <row r="19" spans="1:75">
      <c r="A19" s="169">
        <v>16</v>
      </c>
      <c r="B19" s="170" t="s">
        <v>471</v>
      </c>
      <c r="C19" s="169">
        <v>28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>
        <v>8120618935</v>
      </c>
      <c r="BM19" s="34">
        <v>7382380850</v>
      </c>
      <c r="BN19" s="34">
        <v>6644142765</v>
      </c>
      <c r="BO19" s="34">
        <v>5905904680</v>
      </c>
      <c r="BP19" s="34">
        <v>5167666595</v>
      </c>
      <c r="BQ19" s="34"/>
      <c r="BR19" s="34"/>
      <c r="BS19" s="34"/>
      <c r="BT19" s="34"/>
      <c r="BU19" s="34"/>
      <c r="BV19" s="34"/>
      <c r="BW19" s="34"/>
    </row>
    <row r="20" spans="1:75">
      <c r="A20" s="169">
        <v>17</v>
      </c>
      <c r="B20" s="170" t="s">
        <v>472</v>
      </c>
      <c r="C20" s="169">
        <v>28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</row>
    <row r="21" spans="1:75">
      <c r="A21" s="169">
        <v>18</v>
      </c>
      <c r="B21" s="87"/>
      <c r="C21" s="169">
        <v>28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</row>
    <row r="22" spans="1:75">
      <c r="A22" s="171">
        <v>19</v>
      </c>
      <c r="B22" s="172" t="s">
        <v>474</v>
      </c>
      <c r="C22" s="169">
        <v>28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</row>
    <row r="23" spans="1:75">
      <c r="A23" s="169">
        <v>20</v>
      </c>
      <c r="B23" s="170" t="str">
        <f t="shared" ref="B23:B29" si="2">B14</f>
        <v>ACB</v>
      </c>
      <c r="C23" s="169">
        <v>28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>
        <v>4.2999999999999997E-2</v>
      </c>
      <c r="BM23" s="37">
        <v>4.2999999999999997E-2</v>
      </c>
      <c r="BN23" s="37">
        <v>4.2999999999999997E-2</v>
      </c>
      <c r="BO23" s="37"/>
      <c r="BP23" s="37">
        <v>4.2999999999999997E-2</v>
      </c>
      <c r="BQ23" s="37"/>
      <c r="BR23" s="37"/>
      <c r="BS23" s="37"/>
      <c r="BT23" s="37"/>
      <c r="BU23" s="37"/>
      <c r="BV23" s="37"/>
      <c r="BW23" s="37"/>
    </row>
    <row r="24" spans="1:75">
      <c r="A24" s="169">
        <v>21</v>
      </c>
      <c r="B24" s="170" t="str">
        <f t="shared" si="2"/>
        <v>VietinBank</v>
      </c>
      <c r="C24" s="169">
        <v>28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>
        <v>4.2999999999999997E-2</v>
      </c>
      <c r="BM24" s="37">
        <v>4.2999999999999997E-2</v>
      </c>
      <c r="BN24" s="37">
        <v>4.2999999999999997E-2</v>
      </c>
      <c r="BO24" s="37"/>
      <c r="BP24" s="37">
        <v>4.2999999999999997E-2</v>
      </c>
      <c r="BQ24" s="37"/>
      <c r="BR24" s="37"/>
      <c r="BS24" s="37"/>
      <c r="BT24" s="37"/>
      <c r="BU24" s="37"/>
      <c r="BV24" s="37"/>
      <c r="BW24" s="37"/>
    </row>
    <row r="25" spans="1:75">
      <c r="A25" s="169">
        <v>22</v>
      </c>
      <c r="B25" s="170" t="str">
        <f t="shared" si="2"/>
        <v>Vietcombank</v>
      </c>
      <c r="C25" s="169">
        <v>28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>
        <v>5.1174134571775887E-2</v>
      </c>
      <c r="BM25" s="37">
        <v>5.7890326826747419E-2</v>
      </c>
      <c r="BN25" s="37">
        <v>5.8000000000000003E-2</v>
      </c>
      <c r="BO25" s="37"/>
      <c r="BP25" s="37"/>
      <c r="BQ25" s="37"/>
      <c r="BR25" s="37"/>
      <c r="BS25" s="37"/>
      <c r="BT25" s="37"/>
      <c r="BU25" s="37"/>
      <c r="BV25" s="37"/>
      <c r="BW25" s="37"/>
    </row>
    <row r="26" spans="1:75">
      <c r="A26" s="169">
        <v>23</v>
      </c>
      <c r="B26" s="170" t="str">
        <f t="shared" si="2"/>
        <v>BIDV</v>
      </c>
      <c r="C26" s="169">
        <v>28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>
        <v>0.04</v>
      </c>
      <c r="BM26" s="37">
        <v>0.04</v>
      </c>
      <c r="BN26" s="37">
        <v>0.04</v>
      </c>
      <c r="BO26" s="37"/>
      <c r="BP26" s="37">
        <v>0.04</v>
      </c>
      <c r="BQ26" s="37"/>
      <c r="BR26" s="37"/>
      <c r="BS26" s="37"/>
      <c r="BT26" s="37"/>
      <c r="BU26" s="37"/>
      <c r="BV26" s="37"/>
      <c r="BW26" s="37"/>
    </row>
    <row r="27" spans="1:75">
      <c r="A27" s="169">
        <v>24</v>
      </c>
      <c r="B27" s="170" t="str">
        <f t="shared" si="2"/>
        <v>Standard Chartered</v>
      </c>
      <c r="C27" s="169">
        <v>28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</row>
    <row r="28" spans="1:75">
      <c r="A28" s="169">
        <v>25</v>
      </c>
      <c r="B28" s="170" t="str">
        <f t="shared" si="2"/>
        <v>VILC</v>
      </c>
      <c r="C28" s="169">
        <v>28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</row>
    <row r="29" spans="1:75">
      <c r="A29" s="169">
        <v>26</v>
      </c>
      <c r="B29" s="170" t="str">
        <f t="shared" si="2"/>
        <v>IVB</v>
      </c>
      <c r="C29" s="169">
        <v>28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</row>
    <row r="30" spans="1:75">
      <c r="A30" s="169">
        <v>27</v>
      </c>
      <c r="B30" s="170"/>
      <c r="C30" s="169">
        <v>28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</row>
    <row r="31" spans="1:75">
      <c r="A31" s="166">
        <v>28</v>
      </c>
      <c r="B31" s="167" t="s">
        <v>475</v>
      </c>
      <c r="C31" s="166">
        <v>28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>
        <f t="shared" ref="AN31:BP31" si="3">SUM(AN32:AN39)</f>
        <v>0</v>
      </c>
      <c r="AO31" s="33">
        <f t="shared" si="3"/>
        <v>0</v>
      </c>
      <c r="AP31" s="33">
        <f t="shared" si="3"/>
        <v>0</v>
      </c>
      <c r="AQ31" s="33">
        <f t="shared" si="3"/>
        <v>0</v>
      </c>
      <c r="AR31" s="33">
        <f t="shared" si="3"/>
        <v>0</v>
      </c>
      <c r="AS31" s="33">
        <f t="shared" si="3"/>
        <v>0</v>
      </c>
      <c r="AT31" s="33">
        <f t="shared" si="3"/>
        <v>0</v>
      </c>
      <c r="AU31" s="33">
        <f t="shared" si="3"/>
        <v>0</v>
      </c>
      <c r="AV31" s="33">
        <f t="shared" si="3"/>
        <v>0</v>
      </c>
      <c r="AW31" s="33">
        <f t="shared" si="3"/>
        <v>0</v>
      </c>
      <c r="AX31" s="33">
        <f t="shared" si="3"/>
        <v>0</v>
      </c>
      <c r="AY31" s="33">
        <f t="shared" si="3"/>
        <v>0</v>
      </c>
      <c r="AZ31" s="33">
        <f t="shared" si="3"/>
        <v>108410341946</v>
      </c>
      <c r="BA31" s="33">
        <f t="shared" si="3"/>
        <v>104162504168</v>
      </c>
      <c r="BB31" s="33">
        <f t="shared" si="3"/>
        <v>103325726390</v>
      </c>
      <c r="BC31" s="33">
        <f t="shared" si="3"/>
        <v>102252755220</v>
      </c>
      <c r="BD31" s="33">
        <f t="shared" si="3"/>
        <v>98004917442</v>
      </c>
      <c r="BE31" s="33">
        <f t="shared" si="3"/>
        <v>77121791394</v>
      </c>
      <c r="BF31" s="33">
        <f t="shared" si="3"/>
        <v>76048820224</v>
      </c>
      <c r="BG31" s="33">
        <f t="shared" si="3"/>
        <v>74463510446</v>
      </c>
      <c r="BH31" s="33">
        <f t="shared" si="3"/>
        <v>73626732668</v>
      </c>
      <c r="BI31" s="33">
        <f t="shared" si="3"/>
        <v>72553761498</v>
      </c>
      <c r="BJ31" s="33">
        <f t="shared" si="3"/>
        <v>71031650720</v>
      </c>
      <c r="BK31" s="33">
        <f t="shared" si="3"/>
        <v>59241111374</v>
      </c>
      <c r="BL31" s="33">
        <f t="shared" si="3"/>
        <v>49472841415</v>
      </c>
      <c r="BM31" s="33">
        <f t="shared" si="3"/>
        <v>71400341415</v>
      </c>
      <c r="BN31" s="33">
        <f t="shared" si="3"/>
        <v>80100341415</v>
      </c>
      <c r="BO31" s="33">
        <f t="shared" si="3"/>
        <v>80100341415</v>
      </c>
      <c r="BP31" s="33">
        <f t="shared" si="3"/>
        <v>154933236415</v>
      </c>
      <c r="BQ31" s="33"/>
      <c r="BR31" s="33"/>
      <c r="BS31" s="33"/>
      <c r="BT31" s="33"/>
      <c r="BU31" s="33"/>
      <c r="BV31" s="33"/>
      <c r="BW31" s="33"/>
    </row>
    <row r="32" spans="1:75">
      <c r="A32" s="169">
        <v>29</v>
      </c>
      <c r="B32" s="170" t="str">
        <f>B14</f>
        <v>ACB</v>
      </c>
      <c r="C32" s="169">
        <v>28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>
        <v>81965897502</v>
      </c>
      <c r="BA32" s="34">
        <v>78495837502</v>
      </c>
      <c r="BB32" s="34">
        <v>78436837502</v>
      </c>
      <c r="BC32" s="34">
        <v>78141644110</v>
      </c>
      <c r="BD32" s="34">
        <v>74671584110</v>
      </c>
      <c r="BE32" s="34">
        <v>54566235840</v>
      </c>
      <c r="BF32" s="34">
        <v>54271042448</v>
      </c>
      <c r="BG32" s="34">
        <v>51904970448</v>
      </c>
      <c r="BH32" s="34">
        <v>51845970448</v>
      </c>
      <c r="BI32" s="34">
        <v>51550777056</v>
      </c>
      <c r="BJ32" s="34">
        <v>49748205056</v>
      </c>
      <c r="BK32" s="34">
        <v>38808143488</v>
      </c>
      <c r="BL32" s="34">
        <v>38808143488</v>
      </c>
      <c r="BM32" s="34">
        <v>38808143488</v>
      </c>
      <c r="BN32" s="34">
        <v>38808143488</v>
      </c>
      <c r="BO32" s="34">
        <v>38808143488</v>
      </c>
      <c r="BP32" s="34">
        <v>38808143488</v>
      </c>
      <c r="BQ32" s="34"/>
      <c r="BR32" s="34"/>
      <c r="BS32" s="34"/>
      <c r="BT32" s="34"/>
      <c r="BU32" s="34"/>
      <c r="BV32" s="34"/>
      <c r="BW32" s="34"/>
    </row>
    <row r="33" spans="1:75">
      <c r="A33" s="169">
        <v>30</v>
      </c>
      <c r="B33" s="170" t="str">
        <f>B15</f>
        <v>VietinBank</v>
      </c>
      <c r="C33" s="169">
        <v>28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>
        <v>1558540000</v>
      </c>
      <c r="BH33" s="34">
        <v>1558540000</v>
      </c>
      <c r="BI33" s="34">
        <v>1558540000</v>
      </c>
      <c r="BJ33" s="34">
        <v>2616779000</v>
      </c>
      <c r="BK33" s="34">
        <v>2544079000</v>
      </c>
      <c r="BL33" s="34">
        <v>2544079000</v>
      </c>
      <c r="BM33" s="34">
        <v>2544079000</v>
      </c>
      <c r="BN33" s="34">
        <v>11244079000</v>
      </c>
      <c r="BO33" s="34">
        <v>11244079000</v>
      </c>
      <c r="BP33" s="34">
        <v>86860099000</v>
      </c>
      <c r="BQ33" s="34"/>
      <c r="BR33" s="34"/>
      <c r="BS33" s="34"/>
      <c r="BT33" s="34"/>
      <c r="BU33" s="34"/>
      <c r="BV33" s="34"/>
      <c r="BW33" s="34"/>
    </row>
    <row r="34" spans="1:75">
      <c r="A34" s="169">
        <v>31</v>
      </c>
      <c r="B34" s="170" t="str">
        <f>B16</f>
        <v>Vietcombank</v>
      </c>
      <c r="C34" s="169">
        <v>28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>
        <v>0</v>
      </c>
      <c r="BM34" s="34">
        <v>21927500000</v>
      </c>
      <c r="BN34" s="34">
        <v>21927500000</v>
      </c>
      <c r="BO34" s="34">
        <v>21927500000</v>
      </c>
      <c r="BP34" s="34">
        <v>21144375000</v>
      </c>
      <c r="BQ34" s="34"/>
      <c r="BR34" s="34"/>
      <c r="BS34" s="34"/>
      <c r="BT34" s="34"/>
      <c r="BU34" s="34"/>
      <c r="BV34" s="34"/>
      <c r="BW34" s="34"/>
    </row>
    <row r="35" spans="1:75">
      <c r="A35" s="169">
        <v>32</v>
      </c>
      <c r="B35" s="170" t="s">
        <v>469</v>
      </c>
      <c r="C35" s="169">
        <v>28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>
        <v>0</v>
      </c>
      <c r="BM35" s="34">
        <v>0</v>
      </c>
      <c r="BN35" s="34">
        <v>0</v>
      </c>
      <c r="BO35" s="34">
        <v>0</v>
      </c>
      <c r="BP35" s="34"/>
      <c r="BQ35" s="34"/>
      <c r="BR35" s="34"/>
      <c r="BS35" s="34"/>
      <c r="BT35" s="34"/>
      <c r="BU35" s="34"/>
      <c r="BV35" s="34"/>
      <c r="BW35" s="34"/>
    </row>
    <row r="36" spans="1:75">
      <c r="A36" s="169">
        <v>33</v>
      </c>
      <c r="B36" s="170" t="str">
        <f>B18</f>
        <v>Standard Chartered</v>
      </c>
      <c r="C36" s="169">
        <v>28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>
        <v>0</v>
      </c>
      <c r="BM36" s="34">
        <v>0</v>
      </c>
      <c r="BN36" s="34">
        <v>0</v>
      </c>
      <c r="BO36" s="34">
        <v>0</v>
      </c>
      <c r="BP36" s="34"/>
      <c r="BQ36" s="34"/>
      <c r="BR36" s="34"/>
      <c r="BS36" s="34"/>
      <c r="BT36" s="34"/>
      <c r="BU36" s="34"/>
      <c r="BV36" s="34"/>
      <c r="BW36" s="34"/>
    </row>
    <row r="37" spans="1:75">
      <c r="A37" s="169">
        <v>34</v>
      </c>
      <c r="B37" s="170" t="s">
        <v>471</v>
      </c>
      <c r="C37" s="169">
        <v>28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>
        <v>26444444444</v>
      </c>
      <c r="BA37" s="34">
        <v>25666666666</v>
      </c>
      <c r="BB37" s="34">
        <v>24888888888</v>
      </c>
      <c r="BC37" s="34">
        <v>24111111110</v>
      </c>
      <c r="BD37" s="34">
        <v>23333333332</v>
      </c>
      <c r="BE37" s="34">
        <v>22555555554</v>
      </c>
      <c r="BF37" s="34">
        <v>21777777776</v>
      </c>
      <c r="BG37" s="34">
        <v>20999999998</v>
      </c>
      <c r="BH37" s="34">
        <v>20222222220</v>
      </c>
      <c r="BI37" s="34">
        <v>19444444442</v>
      </c>
      <c r="BJ37" s="34">
        <v>18666666664</v>
      </c>
      <c r="BK37" s="34">
        <v>17888888886</v>
      </c>
      <c r="BL37" s="34">
        <v>8120618927</v>
      </c>
      <c r="BM37" s="34">
        <v>8120618927</v>
      </c>
      <c r="BN37" s="34">
        <v>8120618927</v>
      </c>
      <c r="BO37" s="34">
        <v>8120618927</v>
      </c>
      <c r="BP37" s="34">
        <v>8120618927</v>
      </c>
      <c r="BQ37" s="34"/>
      <c r="BR37" s="34"/>
      <c r="BS37" s="34"/>
      <c r="BT37" s="34"/>
      <c r="BU37" s="34"/>
      <c r="BV37" s="34"/>
      <c r="BW37" s="34"/>
    </row>
    <row r="38" spans="1:75">
      <c r="A38" s="169">
        <v>35</v>
      </c>
      <c r="B38" s="170" t="s">
        <v>472</v>
      </c>
      <c r="C38" s="169">
        <v>28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>
        <v>0</v>
      </c>
      <c r="BM38" s="34">
        <v>0</v>
      </c>
      <c r="BN38" s="34"/>
      <c r="BO38" s="34"/>
      <c r="BP38" s="34"/>
      <c r="BQ38" s="34"/>
      <c r="BR38" s="34"/>
      <c r="BS38" s="34"/>
      <c r="BT38" s="34"/>
      <c r="BU38" s="34"/>
      <c r="BV38" s="34"/>
      <c r="BW38" s="34"/>
    </row>
    <row r="39" spans="1:75">
      <c r="A39" s="169">
        <v>36</v>
      </c>
      <c r="B39" s="87"/>
      <c r="C39" s="169">
        <v>28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>
        <v>0</v>
      </c>
      <c r="BM39" s="34">
        <v>0</v>
      </c>
      <c r="BN39" s="34"/>
      <c r="BO39" s="34"/>
      <c r="BP39" s="34"/>
      <c r="BQ39" s="34"/>
      <c r="BR39" s="34"/>
      <c r="BS39" s="34"/>
      <c r="BT39" s="34"/>
      <c r="BU39" s="34"/>
      <c r="BV39" s="34"/>
      <c r="BW39" s="34"/>
    </row>
    <row r="40" spans="1:75">
      <c r="A40" s="171">
        <v>37</v>
      </c>
      <c r="B40" s="172" t="s">
        <v>476</v>
      </c>
      <c r="C40" s="169">
        <v>28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>
        <v>0</v>
      </c>
      <c r="BM40" s="34">
        <v>0</v>
      </c>
      <c r="BN40" s="34"/>
      <c r="BO40" s="34"/>
      <c r="BP40" s="34"/>
      <c r="BQ40" s="34"/>
      <c r="BR40" s="34"/>
      <c r="BS40" s="34"/>
      <c r="BT40" s="34"/>
      <c r="BU40" s="34"/>
      <c r="BV40" s="34"/>
      <c r="BW40" s="34"/>
    </row>
    <row r="41" spans="1:75">
      <c r="A41" s="169">
        <v>38</v>
      </c>
      <c r="B41" s="170" t="str">
        <f t="shared" ref="B41:B47" si="4">B32</f>
        <v>ACB</v>
      </c>
      <c r="C41" s="169">
        <v>28</v>
      </c>
      <c r="D41" s="533"/>
      <c r="E41" s="533"/>
      <c r="F41" s="533"/>
      <c r="G41" s="533"/>
      <c r="H41" s="533"/>
      <c r="I41" s="533"/>
      <c r="J41" s="533"/>
      <c r="K41" s="533"/>
      <c r="L41" s="533"/>
      <c r="M41" s="533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  <c r="BG41" s="533"/>
      <c r="BH41" s="533"/>
      <c r="BI41" s="533"/>
      <c r="BJ41" s="533"/>
      <c r="BK41" s="533"/>
      <c r="BL41" s="533">
        <v>7.46E-2</v>
      </c>
      <c r="BM41" s="533">
        <v>7.6100000000000001E-2</v>
      </c>
      <c r="BN41" s="533">
        <v>7.7600000000000002E-2</v>
      </c>
      <c r="BO41" s="533"/>
      <c r="BP41" s="533">
        <v>7.8E-2</v>
      </c>
      <c r="BQ41" s="533"/>
      <c r="BR41" s="533"/>
      <c r="BS41" s="533"/>
      <c r="BT41" s="533"/>
      <c r="BU41" s="533"/>
      <c r="BV41" s="533"/>
      <c r="BW41" s="533"/>
    </row>
    <row r="42" spans="1:75">
      <c r="A42" s="169">
        <v>39</v>
      </c>
      <c r="B42" s="170" t="str">
        <f t="shared" si="4"/>
        <v>VietinBank</v>
      </c>
      <c r="C42" s="169">
        <v>28</v>
      </c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533"/>
      <c r="BH42" s="533"/>
      <c r="BI42" s="533"/>
      <c r="BJ42" s="533"/>
      <c r="BK42" s="533"/>
      <c r="BL42" s="533">
        <v>6.3213215863186636E-2</v>
      </c>
      <c r="BM42" s="533">
        <v>6.3213215863186636E-2</v>
      </c>
      <c r="BN42" s="533">
        <v>7.996408386167124E-2</v>
      </c>
      <c r="BO42" s="533"/>
      <c r="BP42" s="533">
        <v>8.6418915847655209E-2</v>
      </c>
      <c r="BQ42" s="533"/>
      <c r="BR42" s="533"/>
      <c r="BS42" s="533"/>
      <c r="BT42" s="533"/>
      <c r="BU42" s="533"/>
      <c r="BV42" s="533"/>
      <c r="BW42" s="533"/>
    </row>
    <row r="43" spans="1:75">
      <c r="A43" s="169">
        <v>40</v>
      </c>
      <c r="B43" s="170" t="str">
        <f t="shared" si="4"/>
        <v>Vietcombank</v>
      </c>
      <c r="C43" s="169">
        <v>28</v>
      </c>
      <c r="D43" s="534"/>
      <c r="E43" s="534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34"/>
      <c r="W43" s="534"/>
      <c r="X43" s="534"/>
      <c r="Y43" s="534"/>
      <c r="Z43" s="534"/>
      <c r="AA43" s="534"/>
      <c r="AB43" s="534"/>
      <c r="AC43" s="534"/>
      <c r="AD43" s="534"/>
      <c r="AE43" s="534"/>
      <c r="AF43" s="534"/>
      <c r="AG43" s="534"/>
      <c r="AH43" s="534"/>
      <c r="AI43" s="534"/>
      <c r="AJ43" s="534"/>
      <c r="AK43" s="534"/>
      <c r="AL43" s="534"/>
      <c r="AM43" s="534"/>
      <c r="AN43" s="534"/>
      <c r="AO43" s="534"/>
      <c r="AP43" s="534"/>
      <c r="AQ43" s="534"/>
      <c r="AR43" s="534"/>
      <c r="AS43" s="534"/>
      <c r="AT43" s="534"/>
      <c r="AU43" s="534"/>
      <c r="AV43" s="534"/>
      <c r="AW43" s="534"/>
      <c r="AX43" s="534"/>
      <c r="AY43" s="534"/>
      <c r="AZ43" s="534"/>
      <c r="BA43" s="534"/>
      <c r="BB43" s="534"/>
      <c r="BC43" s="534"/>
      <c r="BD43" s="534"/>
      <c r="BE43" s="534"/>
      <c r="BF43" s="534"/>
      <c r="BG43" s="534"/>
      <c r="BH43" s="534"/>
      <c r="BI43" s="534"/>
      <c r="BJ43" s="534"/>
      <c r="BK43" s="534"/>
      <c r="BL43" s="534">
        <v>0</v>
      </c>
      <c r="BM43" s="534">
        <v>8.5000000000000006E-2</v>
      </c>
      <c r="BN43" s="534">
        <v>8.5000000000000006E-2</v>
      </c>
      <c r="BO43" s="534"/>
      <c r="BP43" s="534">
        <v>8.5000000000000006E-2</v>
      </c>
      <c r="BQ43" s="534"/>
      <c r="BR43" s="534"/>
      <c r="BS43" s="534"/>
      <c r="BT43" s="534"/>
      <c r="BU43" s="534"/>
      <c r="BV43" s="534"/>
      <c r="BW43" s="534"/>
    </row>
    <row r="44" spans="1:75">
      <c r="A44" s="169">
        <v>41</v>
      </c>
      <c r="B44" s="170" t="str">
        <f t="shared" si="4"/>
        <v>BIDV</v>
      </c>
      <c r="C44" s="169">
        <v>28</v>
      </c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34"/>
      <c r="Q44" s="534"/>
      <c r="R44" s="534"/>
      <c r="S44" s="534"/>
      <c r="T44" s="534"/>
      <c r="U44" s="534"/>
      <c r="V44" s="534"/>
      <c r="W44" s="534"/>
      <c r="X44" s="534"/>
      <c r="Y44" s="534"/>
      <c r="Z44" s="534"/>
      <c r="AA44" s="534"/>
      <c r="AB44" s="534"/>
      <c r="AC44" s="534"/>
      <c r="AD44" s="534"/>
      <c r="AE44" s="534"/>
      <c r="AF44" s="534"/>
      <c r="AG44" s="534"/>
      <c r="AH44" s="534"/>
      <c r="AI44" s="534"/>
      <c r="AJ44" s="534"/>
      <c r="AK44" s="534"/>
      <c r="AL44" s="534"/>
      <c r="AM44" s="534"/>
      <c r="AN44" s="534"/>
      <c r="AO44" s="534"/>
      <c r="AP44" s="534"/>
      <c r="AQ44" s="534"/>
      <c r="AR44" s="534"/>
      <c r="AS44" s="534"/>
      <c r="AT44" s="534"/>
      <c r="AU44" s="534"/>
      <c r="AV44" s="534"/>
      <c r="AW44" s="534"/>
      <c r="AX44" s="534"/>
      <c r="AY44" s="534"/>
      <c r="AZ44" s="534"/>
      <c r="BA44" s="534"/>
      <c r="BB44" s="534"/>
      <c r="BC44" s="534"/>
      <c r="BD44" s="534"/>
      <c r="BE44" s="534"/>
      <c r="BF44" s="534"/>
      <c r="BG44" s="534"/>
      <c r="BH44" s="534"/>
      <c r="BI44" s="534"/>
      <c r="BJ44" s="534"/>
      <c r="BK44" s="534"/>
      <c r="BL44" s="534">
        <v>0</v>
      </c>
      <c r="BM44" s="534">
        <v>0</v>
      </c>
      <c r="BN44" s="534">
        <v>0</v>
      </c>
      <c r="BO44" s="534"/>
      <c r="BP44" s="534"/>
      <c r="BQ44" s="534"/>
      <c r="BR44" s="534"/>
      <c r="BS44" s="534"/>
      <c r="BT44" s="534"/>
      <c r="BU44" s="534"/>
      <c r="BV44" s="534"/>
      <c r="BW44" s="534"/>
    </row>
    <row r="45" spans="1:75">
      <c r="A45" s="169">
        <v>42</v>
      </c>
      <c r="B45" s="170" t="str">
        <f t="shared" si="4"/>
        <v>Standard Chartered</v>
      </c>
      <c r="C45" s="169">
        <v>28</v>
      </c>
      <c r="D45" s="534"/>
      <c r="E45" s="534"/>
      <c r="F45" s="534"/>
      <c r="G45" s="534"/>
      <c r="H45" s="534"/>
      <c r="I45" s="534"/>
      <c r="J45" s="534"/>
      <c r="K45" s="534"/>
      <c r="L45" s="534"/>
      <c r="M45" s="534"/>
      <c r="N45" s="534"/>
      <c r="O45" s="534"/>
      <c r="P45" s="534"/>
      <c r="Q45" s="534"/>
      <c r="R45" s="534"/>
      <c r="S45" s="534"/>
      <c r="T45" s="534"/>
      <c r="U45" s="534"/>
      <c r="V45" s="534"/>
      <c r="W45" s="534"/>
      <c r="X45" s="534"/>
      <c r="Y45" s="534"/>
      <c r="Z45" s="534"/>
      <c r="AA45" s="534"/>
      <c r="AB45" s="534"/>
      <c r="AC45" s="534"/>
      <c r="AD45" s="534"/>
      <c r="AE45" s="534"/>
      <c r="AF45" s="534"/>
      <c r="AG45" s="534"/>
      <c r="AH45" s="534"/>
      <c r="AI45" s="534"/>
      <c r="AJ45" s="534"/>
      <c r="AK45" s="534"/>
      <c r="AL45" s="534"/>
      <c r="AM45" s="534"/>
      <c r="AN45" s="534"/>
      <c r="AO45" s="534"/>
      <c r="AP45" s="534"/>
      <c r="AQ45" s="534"/>
      <c r="AR45" s="534"/>
      <c r="AS45" s="534"/>
      <c r="AT45" s="534"/>
      <c r="AU45" s="534"/>
      <c r="AV45" s="534"/>
      <c r="AW45" s="534"/>
      <c r="AX45" s="534"/>
      <c r="AY45" s="534"/>
      <c r="AZ45" s="534"/>
      <c r="BA45" s="534"/>
      <c r="BB45" s="534"/>
      <c r="BC45" s="534"/>
      <c r="BD45" s="534"/>
      <c r="BE45" s="534"/>
      <c r="BF45" s="534"/>
      <c r="BG45" s="534"/>
      <c r="BH45" s="534"/>
      <c r="BI45" s="534"/>
      <c r="BJ45" s="534"/>
      <c r="BK45" s="534"/>
      <c r="BL45" s="534">
        <v>0</v>
      </c>
      <c r="BM45" s="534">
        <v>0</v>
      </c>
      <c r="BN45" s="534">
        <v>0</v>
      </c>
      <c r="BO45" s="534"/>
      <c r="BP45" s="534"/>
      <c r="BQ45" s="534"/>
      <c r="BR45" s="534"/>
      <c r="BS45" s="534"/>
      <c r="BT45" s="534"/>
      <c r="BU45" s="534"/>
      <c r="BV45" s="534"/>
      <c r="BW45" s="534"/>
    </row>
    <row r="46" spans="1:75">
      <c r="A46" s="169">
        <v>43</v>
      </c>
      <c r="B46" s="170" t="str">
        <f t="shared" si="4"/>
        <v>VILC</v>
      </c>
      <c r="C46" s="169">
        <v>28</v>
      </c>
      <c r="D46" s="534"/>
      <c r="E46" s="534"/>
      <c r="F46" s="534"/>
      <c r="G46" s="534"/>
      <c r="H46" s="534"/>
      <c r="I46" s="534"/>
      <c r="J46" s="534"/>
      <c r="K46" s="534"/>
      <c r="L46" s="534"/>
      <c r="M46" s="534"/>
      <c r="N46" s="534"/>
      <c r="O46" s="534"/>
      <c r="P46" s="534"/>
      <c r="Q46" s="534"/>
      <c r="R46" s="534"/>
      <c r="S46" s="534"/>
      <c r="T46" s="534"/>
      <c r="U46" s="534"/>
      <c r="V46" s="534"/>
      <c r="W46" s="534"/>
      <c r="X46" s="534"/>
      <c r="Y46" s="534"/>
      <c r="Z46" s="534"/>
      <c r="AA46" s="534"/>
      <c r="AB46" s="534"/>
      <c r="AC46" s="534"/>
      <c r="AD46" s="534"/>
      <c r="AE46" s="534"/>
      <c r="AF46" s="534"/>
      <c r="AG46" s="534"/>
      <c r="AH46" s="534"/>
      <c r="AI46" s="534"/>
      <c r="AJ46" s="534"/>
      <c r="AK46" s="534"/>
      <c r="AL46" s="534"/>
      <c r="AM46" s="534"/>
      <c r="AN46" s="534"/>
      <c r="AO46" s="534"/>
      <c r="AP46" s="534"/>
      <c r="AQ46" s="534"/>
      <c r="AR46" s="534"/>
      <c r="AS46" s="534"/>
      <c r="AT46" s="534"/>
      <c r="AU46" s="534"/>
      <c r="AV46" s="534"/>
      <c r="AW46" s="534"/>
      <c r="AX46" s="534"/>
      <c r="AY46" s="534"/>
      <c r="AZ46" s="534"/>
      <c r="BA46" s="534"/>
      <c r="BB46" s="534"/>
      <c r="BC46" s="534"/>
      <c r="BD46" s="534"/>
      <c r="BE46" s="534"/>
      <c r="BF46" s="534"/>
      <c r="BG46" s="534"/>
      <c r="BH46" s="534"/>
      <c r="BI46" s="534"/>
      <c r="BJ46" s="534"/>
      <c r="BK46" s="534"/>
      <c r="BL46" s="534">
        <v>6.3E-2</v>
      </c>
      <c r="BM46" s="534">
        <v>6.3700000000000007E-2</v>
      </c>
      <c r="BN46" s="534">
        <v>6.4000000000000001E-2</v>
      </c>
      <c r="BO46" s="534"/>
      <c r="BP46" s="534">
        <v>7.0000000000000007E-2</v>
      </c>
      <c r="BQ46" s="534"/>
      <c r="BR46" s="534"/>
      <c r="BS46" s="534"/>
      <c r="BT46" s="534"/>
      <c r="BU46" s="534"/>
      <c r="BV46" s="534"/>
      <c r="BW46" s="534"/>
    </row>
    <row r="47" spans="1:75">
      <c r="A47" s="169">
        <v>44</v>
      </c>
      <c r="B47" s="170" t="str">
        <f t="shared" si="4"/>
        <v>IVB</v>
      </c>
      <c r="C47" s="169">
        <v>28</v>
      </c>
      <c r="D47" s="534"/>
      <c r="E47" s="534"/>
      <c r="F47" s="534"/>
      <c r="G47" s="534"/>
      <c r="H47" s="534"/>
      <c r="I47" s="534"/>
      <c r="J47" s="534"/>
      <c r="K47" s="534"/>
      <c r="L47" s="534"/>
      <c r="M47" s="534"/>
      <c r="N47" s="534"/>
      <c r="O47" s="534"/>
      <c r="P47" s="534"/>
      <c r="Q47" s="534"/>
      <c r="R47" s="534"/>
      <c r="S47" s="534"/>
      <c r="T47" s="534"/>
      <c r="U47" s="534"/>
      <c r="V47" s="534"/>
      <c r="W47" s="534"/>
      <c r="X47" s="534"/>
      <c r="Y47" s="534"/>
      <c r="Z47" s="534"/>
      <c r="AA47" s="534"/>
      <c r="AB47" s="534"/>
      <c r="AC47" s="534"/>
      <c r="AD47" s="534"/>
      <c r="AE47" s="534"/>
      <c r="AF47" s="534"/>
      <c r="AG47" s="534"/>
      <c r="AH47" s="534"/>
      <c r="AI47" s="534"/>
      <c r="AJ47" s="534"/>
      <c r="AK47" s="534"/>
      <c r="AL47" s="534"/>
      <c r="AM47" s="534"/>
      <c r="AN47" s="534"/>
      <c r="AO47" s="534"/>
      <c r="AP47" s="534"/>
      <c r="AQ47" s="534"/>
      <c r="AR47" s="534"/>
      <c r="AS47" s="534"/>
      <c r="AT47" s="534"/>
      <c r="AU47" s="534"/>
      <c r="AV47" s="534"/>
      <c r="AW47" s="534"/>
      <c r="AX47" s="534"/>
      <c r="AY47" s="534"/>
      <c r="AZ47" s="534"/>
      <c r="BA47" s="534"/>
      <c r="BB47" s="534"/>
      <c r="BC47" s="534"/>
      <c r="BD47" s="534"/>
      <c r="BE47" s="534"/>
      <c r="BF47" s="534"/>
      <c r="BG47" s="534"/>
      <c r="BH47" s="534"/>
      <c r="BI47" s="534"/>
      <c r="BJ47" s="534"/>
      <c r="BK47" s="534"/>
      <c r="BL47" s="534"/>
      <c r="BM47" s="534"/>
      <c r="BN47" s="534"/>
      <c r="BO47" s="534"/>
      <c r="BP47" s="534"/>
      <c r="BQ47" s="534"/>
      <c r="BR47" s="534"/>
      <c r="BS47" s="534"/>
      <c r="BT47" s="534"/>
      <c r="BU47" s="534"/>
      <c r="BV47" s="534"/>
      <c r="BW47" s="534"/>
    </row>
    <row r="48" spans="1:75">
      <c r="A48" s="169">
        <v>45</v>
      </c>
      <c r="B48" s="170"/>
      <c r="C48" s="169">
        <v>28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</row>
    <row r="49" spans="1:75" ht="15" thickBot="1">
      <c r="A49" s="173">
        <v>46</v>
      </c>
      <c r="B49" s="174" t="s">
        <v>477</v>
      </c>
      <c r="C49" s="173">
        <v>28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>
        <v>140439156315</v>
      </c>
      <c r="AO49" s="35">
        <v>135370186065</v>
      </c>
      <c r="AP49" s="35">
        <v>179295933607</v>
      </c>
      <c r="AQ49" s="35">
        <v>222145446081</v>
      </c>
      <c r="AR49" s="35">
        <v>254120783846</v>
      </c>
      <c r="AS49" s="35">
        <v>267292554633</v>
      </c>
      <c r="AT49" s="35">
        <v>245551657091</v>
      </c>
      <c r="AU49" s="35">
        <v>202048548848</v>
      </c>
      <c r="AV49" s="35">
        <v>216249200270</v>
      </c>
      <c r="AW49" s="35">
        <v>232124849372</v>
      </c>
      <c r="AX49" s="35">
        <v>268981208876</v>
      </c>
      <c r="AY49" s="35">
        <v>275528225930</v>
      </c>
      <c r="AZ49" s="35">
        <v>243335896197</v>
      </c>
      <c r="BA49" s="35">
        <v>147774333446</v>
      </c>
      <c r="BB49" s="35">
        <v>201328746871</v>
      </c>
      <c r="BC49" s="35">
        <v>275181662640</v>
      </c>
      <c r="BD49" s="35">
        <v>298671242130</v>
      </c>
      <c r="BE49" s="35">
        <v>315510470665</v>
      </c>
      <c r="BF49" s="35">
        <v>326622191004</v>
      </c>
      <c r="BG49" s="35">
        <v>369295754196</v>
      </c>
      <c r="BH49" s="35">
        <v>383243232428</v>
      </c>
      <c r="BI49" s="35">
        <v>331907950534</v>
      </c>
      <c r="BJ49" s="35">
        <v>324332077621</v>
      </c>
      <c r="BK49" s="35">
        <v>312608233592</v>
      </c>
      <c r="BL49" s="35">
        <f t="shared" ref="BL49:BM49" si="5">BL31+BL13</f>
        <v>266291639560</v>
      </c>
      <c r="BM49" s="35">
        <f t="shared" si="5"/>
        <v>303246848492</v>
      </c>
      <c r="BN49" s="35">
        <f t="shared" ref="BN49:BO49" si="6">BN31+BN13</f>
        <v>259837452825</v>
      </c>
      <c r="BO49" s="35">
        <f t="shared" si="6"/>
        <v>227614910965</v>
      </c>
      <c r="BP49" s="35">
        <f t="shared" ref="BP49" si="7">BP31+BP13</f>
        <v>271528840240</v>
      </c>
      <c r="BQ49" s="35"/>
      <c r="BR49" s="35"/>
      <c r="BS49" s="35"/>
      <c r="BT49" s="35"/>
      <c r="BU49" s="35"/>
      <c r="BV49" s="35"/>
      <c r="BW49" s="35"/>
    </row>
    <row r="50" spans="1:75" ht="15" thickTop="1">
      <c r="A50" s="169">
        <v>47</v>
      </c>
      <c r="B50" s="170" t="str">
        <f t="shared" ref="B50:B55" si="8">B32</f>
        <v>ACB</v>
      </c>
      <c r="C50" s="169">
        <v>28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>
        <f t="shared" ref="AY50:BK50" si="9">AY14+AY32</f>
        <v>0</v>
      </c>
      <c r="AZ50" s="36">
        <f t="shared" si="9"/>
        <v>143996897502</v>
      </c>
      <c r="BA50" s="36">
        <f t="shared" si="9"/>
        <v>97472837502</v>
      </c>
      <c r="BB50" s="36">
        <f t="shared" si="9"/>
        <v>127301837502</v>
      </c>
      <c r="BC50" s="36">
        <f t="shared" si="9"/>
        <v>169122644110</v>
      </c>
      <c r="BD50" s="36">
        <f t="shared" si="9"/>
        <v>163253584110</v>
      </c>
      <c r="BE50" s="36">
        <f t="shared" si="9"/>
        <v>136691087058</v>
      </c>
      <c r="BF50" s="36">
        <f t="shared" si="9"/>
        <v>127075042448</v>
      </c>
      <c r="BG50" s="36">
        <f t="shared" si="9"/>
        <v>144218362390</v>
      </c>
      <c r="BH50" s="36">
        <f t="shared" si="9"/>
        <v>132707999104</v>
      </c>
      <c r="BI50" s="36">
        <f t="shared" si="9"/>
        <v>118539805712</v>
      </c>
      <c r="BJ50" s="36">
        <f t="shared" si="9"/>
        <v>116737233712</v>
      </c>
      <c r="BK50" s="36">
        <f t="shared" si="9"/>
        <v>116114733712</v>
      </c>
      <c r="BL50" s="36">
        <f t="shared" ref="BL50:BM50" si="10">BL14+BL32</f>
        <v>109800904278</v>
      </c>
      <c r="BM50" s="36">
        <f t="shared" si="10"/>
        <v>132638213198</v>
      </c>
      <c r="BN50" s="36">
        <f t="shared" ref="BN50" si="11">BN14+BN32</f>
        <v>115606271766</v>
      </c>
      <c r="BO50" s="36">
        <v>115326890888</v>
      </c>
      <c r="BP50" s="36">
        <v>115326890888</v>
      </c>
      <c r="BQ50" s="36"/>
      <c r="BR50" s="36"/>
      <c r="BS50" s="36"/>
      <c r="BT50" s="36"/>
      <c r="BU50" s="36"/>
      <c r="BV50" s="36"/>
      <c r="BW50" s="36"/>
    </row>
    <row r="51" spans="1:75">
      <c r="A51" s="169">
        <v>48</v>
      </c>
      <c r="B51" s="170" t="str">
        <f t="shared" si="8"/>
        <v>VietinBank</v>
      </c>
      <c r="C51" s="169">
        <v>28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>
        <f t="shared" ref="AY51:BK51" si="12">AY15+AY33</f>
        <v>0</v>
      </c>
      <c r="AZ51" s="38">
        <f t="shared" si="12"/>
        <v>59227549743</v>
      </c>
      <c r="BA51" s="38">
        <f t="shared" si="12"/>
        <v>10967824770</v>
      </c>
      <c r="BB51" s="38">
        <f t="shared" si="12"/>
        <v>35192821797</v>
      </c>
      <c r="BC51" s="38">
        <f t="shared" si="12"/>
        <v>59696932940</v>
      </c>
      <c r="BD51" s="38">
        <f t="shared" si="12"/>
        <v>74003145708</v>
      </c>
      <c r="BE51" s="38">
        <f t="shared" si="12"/>
        <v>102247404832</v>
      </c>
      <c r="BF51" s="38">
        <f t="shared" si="12"/>
        <v>105000758801</v>
      </c>
      <c r="BG51" s="38">
        <f t="shared" si="12"/>
        <v>99898041677</v>
      </c>
      <c r="BH51" s="38">
        <f t="shared" si="12"/>
        <v>81733065410</v>
      </c>
      <c r="BI51" s="38">
        <f t="shared" si="12"/>
        <v>56829174444</v>
      </c>
      <c r="BJ51" s="38">
        <f t="shared" si="12"/>
        <v>33922378367</v>
      </c>
      <c r="BK51" s="38">
        <f t="shared" si="12"/>
        <v>27583243491</v>
      </c>
      <c r="BL51" s="38">
        <f t="shared" ref="BL51:BM51" si="13">BL15+BL33</f>
        <v>21540877180</v>
      </c>
      <c r="BM51" s="38">
        <f t="shared" si="13"/>
        <v>21540877180</v>
      </c>
      <c r="BN51" s="38">
        <f t="shared" ref="BN51" si="14">BN15+BN33</f>
        <v>43372492884</v>
      </c>
      <c r="BO51" s="38">
        <v>24450617480</v>
      </c>
      <c r="BP51" s="38">
        <v>24450617480</v>
      </c>
      <c r="BQ51" s="38"/>
      <c r="BR51" s="38"/>
      <c r="BS51" s="38"/>
      <c r="BT51" s="38"/>
      <c r="BU51" s="38"/>
      <c r="BV51" s="38"/>
      <c r="BW51" s="38"/>
    </row>
    <row r="52" spans="1:75">
      <c r="A52" s="169">
        <v>49</v>
      </c>
      <c r="B52" s="170" t="str">
        <f t="shared" si="8"/>
        <v>Vietcombank</v>
      </c>
      <c r="C52" s="169">
        <v>28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>
        <f t="shared" ref="AY52:BK52" si="15">AY16+AY34</f>
        <v>0</v>
      </c>
      <c r="AZ52" s="38">
        <f t="shared" si="15"/>
        <v>13667004508</v>
      </c>
      <c r="BA52" s="38">
        <f t="shared" si="15"/>
        <v>13667004508</v>
      </c>
      <c r="BB52" s="38">
        <f t="shared" si="15"/>
        <v>13667004508</v>
      </c>
      <c r="BC52" s="38">
        <f t="shared" si="15"/>
        <v>21972780304</v>
      </c>
      <c r="BD52" s="38">
        <f t="shared" si="15"/>
        <v>32049798323</v>
      </c>
      <c r="BE52" s="38">
        <f t="shared" si="15"/>
        <v>39585571449</v>
      </c>
      <c r="BF52" s="38">
        <f t="shared" si="15"/>
        <v>54125127716</v>
      </c>
      <c r="BG52" s="38">
        <f t="shared" si="15"/>
        <v>80169222070</v>
      </c>
      <c r="BH52" s="38">
        <f t="shared" si="15"/>
        <v>87240583973</v>
      </c>
      <c r="BI52" s="38">
        <f t="shared" si="15"/>
        <v>64730980597</v>
      </c>
      <c r="BJ52" s="38">
        <f t="shared" si="15"/>
        <v>55405837410</v>
      </c>
      <c r="BK52" s="38">
        <f t="shared" si="15"/>
        <v>51149160926</v>
      </c>
      <c r="BL52" s="38">
        <f t="shared" ref="BL52:BM52" si="16">BL16+BL34</f>
        <v>18836413663</v>
      </c>
      <c r="BM52" s="38">
        <f t="shared" si="16"/>
        <v>33692551760</v>
      </c>
      <c r="BN52" s="38">
        <f t="shared" ref="BN52" si="17">BN16+BN34</f>
        <v>29927500000</v>
      </c>
      <c r="BO52" s="38">
        <v>29927500000</v>
      </c>
      <c r="BP52" s="38">
        <v>29927500000</v>
      </c>
      <c r="BQ52" s="38"/>
      <c r="BR52" s="38"/>
      <c r="BS52" s="38"/>
      <c r="BT52" s="38"/>
      <c r="BU52" s="38"/>
      <c r="BV52" s="38"/>
      <c r="BW52" s="38"/>
    </row>
    <row r="53" spans="1:75">
      <c r="A53" s="169">
        <v>50</v>
      </c>
      <c r="B53" s="170" t="str">
        <f t="shared" si="8"/>
        <v>BIDV</v>
      </c>
      <c r="C53" s="169">
        <v>28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>
        <f t="shared" ref="AY53:BK53" si="18">AY17+AY35</f>
        <v>0</v>
      </c>
      <c r="AZ53" s="38">
        <f t="shared" si="18"/>
        <v>0</v>
      </c>
      <c r="BA53" s="38">
        <f t="shared" si="18"/>
        <v>0</v>
      </c>
      <c r="BB53" s="38">
        <f t="shared" si="18"/>
        <v>278194176</v>
      </c>
      <c r="BC53" s="38">
        <f t="shared" si="18"/>
        <v>278194176</v>
      </c>
      <c r="BD53" s="38">
        <f t="shared" si="18"/>
        <v>6031380657</v>
      </c>
      <c r="BE53" s="38">
        <f t="shared" si="18"/>
        <v>14430851772</v>
      </c>
      <c r="BF53" s="38">
        <f t="shared" si="18"/>
        <v>18498731431</v>
      </c>
      <c r="BG53" s="38">
        <f t="shared" si="18"/>
        <v>23865375229</v>
      </c>
      <c r="BH53" s="38">
        <f t="shared" si="18"/>
        <v>56646971705</v>
      </c>
      <c r="BI53" s="38">
        <f t="shared" si="18"/>
        <v>67671155323</v>
      </c>
      <c r="BJ53" s="38">
        <f t="shared" si="18"/>
        <v>95052324284</v>
      </c>
      <c r="BK53" s="38">
        <f t="shared" si="18"/>
        <v>99872206577</v>
      </c>
      <c r="BL53" s="38">
        <f t="shared" ref="BL53:BM53" si="19">BL17+BL35</f>
        <v>99872206577</v>
      </c>
      <c r="BM53" s="38">
        <f t="shared" si="19"/>
        <v>99872206577</v>
      </c>
      <c r="BN53" s="38">
        <f t="shared" ref="BN53" si="20">BN17+BN35</f>
        <v>56166426483</v>
      </c>
      <c r="BO53" s="38">
        <v>43883378990</v>
      </c>
      <c r="BP53" s="38">
        <v>43883378990</v>
      </c>
      <c r="BQ53" s="38"/>
      <c r="BR53" s="38"/>
      <c r="BS53" s="38"/>
      <c r="BT53" s="38"/>
      <c r="BU53" s="38"/>
      <c r="BV53" s="38"/>
      <c r="BW53" s="38"/>
    </row>
    <row r="54" spans="1:75">
      <c r="A54" s="169">
        <v>51</v>
      </c>
      <c r="B54" s="170" t="str">
        <f t="shared" si="8"/>
        <v>Standard Chartered</v>
      </c>
      <c r="C54" s="169">
        <v>28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>
        <f t="shared" ref="AY54:BK54" si="21">AY18+AY36</f>
        <v>0</v>
      </c>
      <c r="AZ54" s="38">
        <f t="shared" si="21"/>
        <v>0</v>
      </c>
      <c r="BA54" s="38">
        <f t="shared" si="21"/>
        <v>0</v>
      </c>
      <c r="BB54" s="38">
        <f t="shared" si="21"/>
        <v>0</v>
      </c>
      <c r="BC54" s="38">
        <f t="shared" si="21"/>
        <v>0</v>
      </c>
      <c r="BD54" s="38">
        <f t="shared" si="21"/>
        <v>0</v>
      </c>
      <c r="BE54" s="38">
        <f t="shared" si="21"/>
        <v>0</v>
      </c>
      <c r="BF54" s="38">
        <f t="shared" si="21"/>
        <v>144752832</v>
      </c>
      <c r="BG54" s="38">
        <f t="shared" si="21"/>
        <v>144752832</v>
      </c>
      <c r="BH54" s="38">
        <f t="shared" si="21"/>
        <v>4692390016</v>
      </c>
      <c r="BI54" s="38">
        <f t="shared" si="21"/>
        <v>4692390016</v>
      </c>
      <c r="BJ54" s="38">
        <f t="shared" si="21"/>
        <v>4547637184</v>
      </c>
      <c r="BK54" s="38">
        <f t="shared" si="21"/>
        <v>0</v>
      </c>
      <c r="BL54" s="38">
        <f t="shared" ref="BL54:BM54" si="22">BL18+BL36</f>
        <v>0</v>
      </c>
      <c r="BM54" s="38">
        <f t="shared" si="22"/>
        <v>0</v>
      </c>
      <c r="BN54" s="38">
        <f t="shared" ref="BN54" si="23">BN18+BN36</f>
        <v>0</v>
      </c>
      <c r="BO54" s="38">
        <v>0</v>
      </c>
      <c r="BP54" s="38">
        <v>0</v>
      </c>
      <c r="BQ54" s="38"/>
      <c r="BR54" s="38"/>
      <c r="BS54" s="38"/>
      <c r="BT54" s="38"/>
      <c r="BU54" s="38"/>
      <c r="BV54" s="38"/>
      <c r="BW54" s="38"/>
    </row>
    <row r="55" spans="1:75">
      <c r="A55" s="169">
        <v>52</v>
      </c>
      <c r="B55" s="170" t="str">
        <f t="shared" si="8"/>
        <v>VILC</v>
      </c>
      <c r="C55" s="169">
        <v>28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>
        <f t="shared" ref="AY55:BK55" si="24">AY19+AY37</f>
        <v>0</v>
      </c>
      <c r="AZ55" s="38">
        <f t="shared" si="24"/>
        <v>26444444444</v>
      </c>
      <c r="BA55" s="38">
        <f t="shared" si="24"/>
        <v>25666666666</v>
      </c>
      <c r="BB55" s="38">
        <f t="shared" si="24"/>
        <v>24888888888</v>
      </c>
      <c r="BC55" s="38">
        <f t="shared" si="24"/>
        <v>24111111110</v>
      </c>
      <c r="BD55" s="38">
        <f t="shared" si="24"/>
        <v>23333333332</v>
      </c>
      <c r="BE55" s="38">
        <f t="shared" si="24"/>
        <v>22555555554</v>
      </c>
      <c r="BF55" s="38">
        <f t="shared" si="24"/>
        <v>21777777776</v>
      </c>
      <c r="BG55" s="38">
        <f t="shared" si="24"/>
        <v>20999999998</v>
      </c>
      <c r="BH55" s="38">
        <f t="shared" si="24"/>
        <v>20222222220</v>
      </c>
      <c r="BI55" s="38">
        <f t="shared" si="24"/>
        <v>19444444442</v>
      </c>
      <c r="BJ55" s="38">
        <f t="shared" si="24"/>
        <v>18666666664</v>
      </c>
      <c r="BK55" s="38">
        <f t="shared" si="24"/>
        <v>17888888886</v>
      </c>
      <c r="BL55" s="38">
        <f t="shared" ref="BL55:BM55" si="25">BL19+BL37</f>
        <v>16241237862</v>
      </c>
      <c r="BM55" s="38">
        <f t="shared" si="25"/>
        <v>15502999777</v>
      </c>
      <c r="BN55" s="38">
        <f t="shared" ref="BN55" si="26">BN19+BN37</f>
        <v>14764761692</v>
      </c>
      <c r="BO55" s="38">
        <v>14026523607</v>
      </c>
      <c r="BP55" s="38">
        <v>14026523607</v>
      </c>
      <c r="BQ55" s="38"/>
      <c r="BR55" s="38"/>
      <c r="BS55" s="38"/>
      <c r="BT55" s="38"/>
      <c r="BU55" s="38"/>
      <c r="BV55" s="38"/>
      <c r="BW55" s="38"/>
    </row>
    <row r="56" spans="1:75">
      <c r="A56" s="169">
        <v>53</v>
      </c>
      <c r="B56" s="170" t="s">
        <v>472</v>
      </c>
      <c r="C56" s="169">
        <v>28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</row>
    <row r="57" spans="1:75">
      <c r="A57" s="169">
        <v>54</v>
      </c>
      <c r="B57" s="87"/>
      <c r="C57" s="169">
        <v>28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</row>
    <row r="58" spans="1:75" ht="15" thickBot="1">
      <c r="A58" s="173">
        <v>55</v>
      </c>
      <c r="B58" s="174" t="s">
        <v>478</v>
      </c>
      <c r="C58" s="169">
        <v>28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>
        <f>SUM(AZ59:AZ65)</f>
        <v>0</v>
      </c>
      <c r="BA58" s="35">
        <f t="shared" ref="BA58:BM58" si="27">SUM(BA59:BA65)</f>
        <v>0</v>
      </c>
      <c r="BB58" s="35">
        <f t="shared" si="27"/>
        <v>0</v>
      </c>
      <c r="BC58" s="35">
        <f t="shared" si="27"/>
        <v>0</v>
      </c>
      <c r="BD58" s="35">
        <f t="shared" si="27"/>
        <v>0</v>
      </c>
      <c r="BE58" s="35">
        <f t="shared" si="27"/>
        <v>0</v>
      </c>
      <c r="BF58" s="35">
        <f t="shared" si="27"/>
        <v>0</v>
      </c>
      <c r="BG58" s="35">
        <f t="shared" si="27"/>
        <v>0</v>
      </c>
      <c r="BH58" s="35">
        <f t="shared" si="27"/>
        <v>0</v>
      </c>
      <c r="BI58" s="35">
        <f t="shared" si="27"/>
        <v>0</v>
      </c>
      <c r="BJ58" s="35">
        <f t="shared" si="27"/>
        <v>0</v>
      </c>
      <c r="BK58" s="35">
        <f t="shared" si="27"/>
        <v>0</v>
      </c>
      <c r="BL58" s="35">
        <f t="shared" si="27"/>
        <v>0</v>
      </c>
      <c r="BM58" s="35">
        <f t="shared" si="27"/>
        <v>0</v>
      </c>
      <c r="BN58" s="35">
        <f t="shared" ref="BN58" si="28">SUM(BN59:BN65)</f>
        <v>0</v>
      </c>
      <c r="BO58" s="35"/>
      <c r="BP58" s="35"/>
      <c r="BQ58" s="35"/>
      <c r="BR58" s="35"/>
      <c r="BS58" s="35"/>
      <c r="BT58" s="35"/>
      <c r="BU58" s="35"/>
      <c r="BV58" s="35"/>
      <c r="BW58" s="35"/>
    </row>
    <row r="59" spans="1:75" ht="15" thickTop="1">
      <c r="A59" s="169">
        <v>56</v>
      </c>
      <c r="B59" s="170" t="str">
        <f t="shared" ref="B59:B64" si="29">B50</f>
        <v>ACB</v>
      </c>
      <c r="C59" s="169">
        <v>28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</row>
    <row r="60" spans="1:75">
      <c r="A60" s="169">
        <v>57</v>
      </c>
      <c r="B60" s="170" t="str">
        <f t="shared" si="29"/>
        <v>VietinBank</v>
      </c>
      <c r="C60" s="169">
        <v>28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</row>
    <row r="61" spans="1:75">
      <c r="A61" s="169">
        <v>58</v>
      </c>
      <c r="B61" s="170" t="str">
        <f t="shared" si="29"/>
        <v>Vietcombank</v>
      </c>
      <c r="C61" s="169">
        <v>28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</row>
    <row r="62" spans="1:75">
      <c r="A62" s="169">
        <v>59</v>
      </c>
      <c r="B62" s="170" t="str">
        <f t="shared" si="29"/>
        <v>BIDV</v>
      </c>
      <c r="C62" s="169">
        <v>28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</row>
    <row r="63" spans="1:75">
      <c r="A63" s="169">
        <v>60</v>
      </c>
      <c r="B63" s="170" t="str">
        <f t="shared" si="29"/>
        <v>Standard Chartered</v>
      </c>
      <c r="C63" s="169">
        <v>28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</row>
    <row r="64" spans="1:75">
      <c r="A64" s="169">
        <v>61</v>
      </c>
      <c r="B64" s="170" t="str">
        <f t="shared" si="29"/>
        <v>VILC</v>
      </c>
      <c r="C64" s="169">
        <v>28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</row>
    <row r="65" spans="1:75">
      <c r="A65" s="169">
        <v>62</v>
      </c>
      <c r="B65" s="170" t="s">
        <v>472</v>
      </c>
      <c r="C65" s="169">
        <v>28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</row>
    <row r="66" spans="1:75">
      <c r="A66" s="169">
        <v>63</v>
      </c>
      <c r="B66" s="170"/>
      <c r="C66" s="169">
        <v>28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</row>
    <row r="67" spans="1:75" ht="15" thickBot="1">
      <c r="A67" s="173">
        <v>64</v>
      </c>
      <c r="B67" s="174" t="s">
        <v>479</v>
      </c>
      <c r="C67" s="169">
        <v>28</v>
      </c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5"/>
      <c r="AV67" s="505"/>
      <c r="AW67" s="505"/>
      <c r="AX67" s="505"/>
      <c r="AY67" s="505"/>
      <c r="AZ67" s="35">
        <f>SUM(AZ68:AZ74)</f>
        <v>12042000000</v>
      </c>
      <c r="BA67" s="35">
        <f t="shared" ref="BA67:BM67" si="30">SUM(BA68:BA74)</f>
        <v>10042000000</v>
      </c>
      <c r="BB67" s="35">
        <f t="shared" si="30"/>
        <v>30842000000</v>
      </c>
      <c r="BC67" s="35">
        <f t="shared" si="30"/>
        <v>30842000000</v>
      </c>
      <c r="BD67" s="35">
        <f t="shared" si="30"/>
        <v>30042000000</v>
      </c>
      <c r="BE67" s="35">
        <f t="shared" si="30"/>
        <v>30042000000</v>
      </c>
      <c r="BF67" s="35">
        <f t="shared" si="30"/>
        <v>29042000000</v>
      </c>
      <c r="BG67" s="35">
        <f t="shared" si="30"/>
        <v>29742000000</v>
      </c>
      <c r="BH67" s="35">
        <f t="shared" si="30"/>
        <v>29742000000</v>
      </c>
      <c r="BI67" s="35">
        <f t="shared" si="30"/>
        <v>62742000000</v>
      </c>
      <c r="BJ67" s="35">
        <f t="shared" si="30"/>
        <v>62742000000</v>
      </c>
      <c r="BK67" s="35">
        <f t="shared" si="30"/>
        <v>54242000000</v>
      </c>
      <c r="BL67" s="35">
        <f t="shared" si="30"/>
        <v>148242000000</v>
      </c>
      <c r="BM67" s="35">
        <f t="shared" si="30"/>
        <v>145242000000</v>
      </c>
      <c r="BN67" s="35">
        <f t="shared" ref="BN67:BP67" si="31">SUM(BN68:BN74)</f>
        <v>149442000000</v>
      </c>
      <c r="BO67" s="35">
        <f t="shared" si="31"/>
        <v>164042000000</v>
      </c>
      <c r="BP67" s="35">
        <f t="shared" si="31"/>
        <v>156042000000</v>
      </c>
      <c r="BQ67" s="35"/>
      <c r="BR67" s="35"/>
      <c r="BS67" s="35"/>
      <c r="BT67" s="35"/>
      <c r="BU67" s="35"/>
      <c r="BV67" s="35"/>
      <c r="BW67" s="35"/>
    </row>
    <row r="68" spans="1:75" ht="15" thickTop="1">
      <c r="A68" s="169">
        <v>65</v>
      </c>
      <c r="B68" s="170" t="str">
        <f t="shared" ref="B68:B73" si="32">B50</f>
        <v>ACB</v>
      </c>
      <c r="C68" s="169">
        <v>28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>
        <v>12042000000</v>
      </c>
      <c r="BA68" s="34">
        <v>10042000000</v>
      </c>
      <c r="BB68" s="34">
        <v>10842000000</v>
      </c>
      <c r="BC68" s="34">
        <v>10842000000</v>
      </c>
      <c r="BD68" s="34">
        <v>10042000000</v>
      </c>
      <c r="BE68" s="34">
        <v>10042000000</v>
      </c>
      <c r="BF68" s="34">
        <v>9042000000</v>
      </c>
      <c r="BG68" s="34">
        <v>9742000000</v>
      </c>
      <c r="BH68" s="34">
        <v>9742000000</v>
      </c>
      <c r="BI68" s="34">
        <v>12742000000</v>
      </c>
      <c r="BJ68" s="34">
        <v>12742000000</v>
      </c>
      <c r="BK68" s="34">
        <v>24242000000</v>
      </c>
      <c r="BL68" s="34">
        <v>118242000000</v>
      </c>
      <c r="BM68" s="34">
        <v>115242000000</v>
      </c>
      <c r="BN68" s="34">
        <v>113242000000</v>
      </c>
      <c r="BO68" s="34">
        <v>116042000000</v>
      </c>
      <c r="BP68" s="34">
        <v>126042000000</v>
      </c>
      <c r="BQ68" s="34"/>
      <c r="BR68" s="34"/>
      <c r="BS68" s="34"/>
      <c r="BT68" s="34"/>
      <c r="BU68" s="34"/>
      <c r="BV68" s="34"/>
      <c r="BW68" s="34"/>
    </row>
    <row r="69" spans="1:75">
      <c r="A69" s="169">
        <v>66</v>
      </c>
      <c r="B69" s="170" t="str">
        <f t="shared" si="32"/>
        <v>VietinBank</v>
      </c>
      <c r="C69" s="169">
        <v>28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</row>
    <row r="70" spans="1:75">
      <c r="A70" s="169">
        <v>67</v>
      </c>
      <c r="B70" s="170" t="str">
        <f t="shared" si="32"/>
        <v>Vietcombank</v>
      </c>
      <c r="C70" s="169">
        <v>28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</row>
    <row r="71" spans="1:75">
      <c r="A71" s="169">
        <v>68</v>
      </c>
      <c r="B71" s="170" t="str">
        <f t="shared" si="32"/>
        <v>BIDV</v>
      </c>
      <c r="C71" s="169">
        <v>28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>
        <v>20000000000</v>
      </c>
      <c r="BC71" s="34">
        <v>20000000000</v>
      </c>
      <c r="BD71" s="34">
        <v>20000000000</v>
      </c>
      <c r="BE71" s="34">
        <v>20000000000</v>
      </c>
      <c r="BF71" s="34">
        <v>20000000000</v>
      </c>
      <c r="BG71" s="34">
        <v>20000000000</v>
      </c>
      <c r="BH71" s="34">
        <v>20000000000</v>
      </c>
      <c r="BI71" s="34">
        <v>50000000000</v>
      </c>
      <c r="BJ71" s="34">
        <v>50000000000</v>
      </c>
      <c r="BK71" s="34">
        <v>30000000000</v>
      </c>
      <c r="BL71" s="34">
        <v>30000000000</v>
      </c>
      <c r="BM71" s="34">
        <v>30000000000</v>
      </c>
      <c r="BN71" s="34">
        <v>36200000000</v>
      </c>
      <c r="BO71" s="34">
        <v>48000000000</v>
      </c>
      <c r="BP71" s="34">
        <v>30000000000</v>
      </c>
      <c r="BQ71" s="34"/>
      <c r="BR71" s="34"/>
      <c r="BS71" s="34"/>
      <c r="BT71" s="34"/>
      <c r="BU71" s="34"/>
      <c r="BV71" s="34"/>
      <c r="BW71" s="34"/>
    </row>
    <row r="72" spans="1:75">
      <c r="A72" s="169">
        <v>69</v>
      </c>
      <c r="B72" s="170" t="str">
        <f t="shared" si="32"/>
        <v>Standard Chartered</v>
      </c>
      <c r="C72" s="169">
        <v>28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</row>
    <row r="73" spans="1:75">
      <c r="A73" s="169">
        <v>70</v>
      </c>
      <c r="B73" s="170" t="str">
        <f t="shared" si="32"/>
        <v>VILC</v>
      </c>
      <c r="C73" s="169">
        <v>28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</row>
    <row r="74" spans="1:75">
      <c r="A74" s="169">
        <v>71</v>
      </c>
      <c r="B74" s="170" t="s">
        <v>472</v>
      </c>
      <c r="C74" s="169">
        <v>28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</row>
  </sheetData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7293-9F43-4F19-BE52-95EEB643BCBE}">
  <sheetPr>
    <tabColor theme="9" tint="0.59999389629810485"/>
  </sheetPr>
  <dimension ref="A1:T483"/>
  <sheetViews>
    <sheetView showGridLines="0" zoomScale="85" zoomScaleNormal="85" workbookViewId="0">
      <pane xSplit="5" ySplit="6" topLeftCell="F7" activePane="bottomRight" state="frozen"/>
      <selection pane="topRight" activeCell="D8" sqref="D8:E8"/>
      <selection pane="bottomLeft" activeCell="D8" sqref="D8:E8"/>
      <selection pane="bottomRight" activeCell="G491" sqref="G491"/>
    </sheetView>
  </sheetViews>
  <sheetFormatPr defaultColWidth="8.6640625" defaultRowHeight="13.2"/>
  <cols>
    <col min="1" max="1" width="3.44140625" style="361" customWidth="1"/>
    <col min="2" max="2" width="49.88671875" style="359" customWidth="1"/>
    <col min="3" max="3" width="12.109375" style="359" bestFit="1" customWidth="1"/>
    <col min="4" max="4" width="25" style="359" bestFit="1" customWidth="1"/>
    <col min="5" max="5" width="7.88671875" style="359" customWidth="1"/>
    <col min="6" max="6" width="17.5546875" style="360" bestFit="1" customWidth="1"/>
    <col min="7" max="17" width="11.44140625" style="359" customWidth="1"/>
    <col min="18" max="18" width="17.5546875" style="360" bestFit="1" customWidth="1"/>
    <col min="19" max="19" width="16.33203125" style="359" customWidth="1"/>
    <col min="20" max="20" width="11.33203125" style="359" bestFit="1" customWidth="1"/>
    <col min="21" max="16384" width="8.6640625" style="359"/>
  </cols>
  <sheetData>
    <row r="1" spans="1:18">
      <c r="A1" s="358" t="str">
        <f>'Thong tin'!$A$1</f>
        <v>CÔNG TY CP NHỰA TÁI CHẾ DUY TÂN</v>
      </c>
    </row>
    <row r="2" spans="1:18" ht="13.35" customHeight="1">
      <c r="B2" s="362" t="s">
        <v>480</v>
      </c>
      <c r="C2" s="362"/>
      <c r="D2" s="362"/>
      <c r="E2" s="362"/>
    </row>
    <row r="4" spans="1:18">
      <c r="A4" s="363" t="s">
        <v>481</v>
      </c>
      <c r="B4" s="364" t="s">
        <v>482</v>
      </c>
      <c r="C4" s="364"/>
      <c r="D4" s="365"/>
      <c r="E4" s="365"/>
    </row>
    <row r="5" spans="1:18">
      <c r="F5" s="366" t="s">
        <v>483</v>
      </c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8"/>
    </row>
    <row r="6" spans="1:18" s="374" customFormat="1" ht="26.25" customHeight="1">
      <c r="A6" s="369"/>
      <c r="B6" s="370" t="s">
        <v>484</v>
      </c>
      <c r="C6" s="370" t="s">
        <v>485</v>
      </c>
      <c r="D6" s="370" t="s">
        <v>486</v>
      </c>
      <c r="E6" s="371" t="s">
        <v>487</v>
      </c>
      <c r="F6" s="372" t="s">
        <v>488</v>
      </c>
      <c r="G6" s="372" t="s">
        <v>489</v>
      </c>
      <c r="H6" s="372" t="s">
        <v>490</v>
      </c>
      <c r="I6" s="372" t="s">
        <v>491</v>
      </c>
      <c r="J6" s="372" t="s">
        <v>492</v>
      </c>
      <c r="K6" s="372" t="s">
        <v>493</v>
      </c>
      <c r="L6" s="372" t="s">
        <v>494</v>
      </c>
      <c r="M6" s="372" t="s">
        <v>495</v>
      </c>
      <c r="N6" s="372" t="s">
        <v>496</v>
      </c>
      <c r="O6" s="372" t="s">
        <v>497</v>
      </c>
      <c r="P6" s="372" t="s">
        <v>498</v>
      </c>
      <c r="Q6" s="372" t="s">
        <v>499</v>
      </c>
      <c r="R6" s="373" t="s">
        <v>500</v>
      </c>
    </row>
    <row r="7" spans="1:18" s="374" customFormat="1">
      <c r="A7" s="375" t="s">
        <v>501</v>
      </c>
      <c r="B7" s="376" t="s">
        <v>502</v>
      </c>
      <c r="C7" s="376"/>
      <c r="D7" s="370"/>
      <c r="E7" s="377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9"/>
    </row>
    <row r="8" spans="1:18">
      <c r="A8" s="380">
        <v>1</v>
      </c>
      <c r="B8" s="381" t="s">
        <v>503</v>
      </c>
      <c r="C8" s="381" t="s">
        <v>504</v>
      </c>
      <c r="D8" s="382" t="s">
        <v>505</v>
      </c>
      <c r="E8" s="383">
        <v>511</v>
      </c>
      <c r="F8" s="384"/>
      <c r="G8" s="384"/>
      <c r="H8" s="384"/>
      <c r="I8" s="384"/>
      <c r="J8" s="385"/>
      <c r="K8" s="384"/>
      <c r="L8" s="384"/>
      <c r="M8" s="384"/>
      <c r="N8" s="384"/>
      <c r="O8" s="384"/>
      <c r="P8" s="384"/>
      <c r="Q8" s="384"/>
      <c r="R8" s="386">
        <f>SUM(F8:Q8)</f>
        <v>0</v>
      </c>
    </row>
    <row r="9" spans="1:18">
      <c r="A9" s="387"/>
      <c r="B9" s="388"/>
      <c r="C9" s="388"/>
      <c r="D9" s="389" t="s">
        <v>506</v>
      </c>
      <c r="E9" s="390">
        <v>511</v>
      </c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86">
        <f t="shared" ref="R9:R80" si="0">SUM(F9:Q9)</f>
        <v>0</v>
      </c>
    </row>
    <row r="10" spans="1:18">
      <c r="A10" s="387"/>
      <c r="B10" s="388"/>
      <c r="C10" s="391"/>
      <c r="D10" s="391" t="s">
        <v>507</v>
      </c>
      <c r="E10" s="392">
        <v>711</v>
      </c>
      <c r="F10" s="384"/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6">
        <f t="shared" si="0"/>
        <v>0</v>
      </c>
    </row>
    <row r="11" spans="1:18">
      <c r="A11" s="393"/>
      <c r="B11" s="388"/>
      <c r="C11" s="388"/>
      <c r="D11" s="388" t="s">
        <v>508</v>
      </c>
      <c r="E11" s="392">
        <v>515</v>
      </c>
      <c r="F11" s="384"/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6">
        <f t="shared" si="0"/>
        <v>0</v>
      </c>
    </row>
    <row r="12" spans="1:18">
      <c r="A12" s="393"/>
      <c r="B12" s="388"/>
      <c r="C12" s="388"/>
      <c r="D12" s="388" t="s">
        <v>509</v>
      </c>
      <c r="E12" s="392">
        <v>112</v>
      </c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6">
        <f t="shared" si="0"/>
        <v>0</v>
      </c>
    </row>
    <row r="13" spans="1:18">
      <c r="A13" s="393"/>
      <c r="B13" s="388"/>
      <c r="C13" s="388"/>
      <c r="D13" s="394" t="s">
        <v>510</v>
      </c>
      <c r="E13" s="395">
        <v>511</v>
      </c>
      <c r="F13" s="384"/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6">
        <f t="shared" si="0"/>
        <v>0</v>
      </c>
    </row>
    <row r="14" spans="1:18">
      <c r="A14" s="396"/>
      <c r="B14" s="397"/>
      <c r="C14" s="436"/>
      <c r="D14" s="398" t="s">
        <v>511</v>
      </c>
      <c r="E14" s="399" t="s">
        <v>512</v>
      </c>
      <c r="F14" s="400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1">
        <f t="shared" si="0"/>
        <v>0</v>
      </c>
    </row>
    <row r="15" spans="1:18">
      <c r="A15" s="535">
        <v>2</v>
      </c>
      <c r="B15" s="536" t="s">
        <v>513</v>
      </c>
      <c r="C15" s="536" t="s">
        <v>514</v>
      </c>
      <c r="D15" s="537" t="s">
        <v>505</v>
      </c>
      <c r="E15" s="538">
        <v>511</v>
      </c>
      <c r="F15" s="384"/>
      <c r="G15" s="384"/>
      <c r="H15" s="384"/>
      <c r="I15" s="384"/>
      <c r="J15" s="385"/>
      <c r="K15" s="384"/>
      <c r="L15" s="384"/>
      <c r="M15" s="384"/>
      <c r="N15" s="384"/>
      <c r="O15" s="384"/>
      <c r="P15" s="384"/>
      <c r="Q15" s="384"/>
      <c r="R15" s="386">
        <f t="shared" si="0"/>
        <v>0</v>
      </c>
    </row>
    <row r="16" spans="1:18">
      <c r="A16" s="380"/>
      <c r="B16" s="402"/>
      <c r="C16" s="402"/>
      <c r="D16" s="394" t="s">
        <v>515</v>
      </c>
      <c r="E16" s="390">
        <v>511</v>
      </c>
      <c r="F16" s="403"/>
      <c r="G16" s="404"/>
      <c r="H16" s="404"/>
      <c r="I16" s="404"/>
      <c r="J16" s="404"/>
      <c r="K16" s="404"/>
      <c r="L16" s="404"/>
      <c r="M16" s="404"/>
      <c r="N16" s="404"/>
      <c r="O16" s="404"/>
      <c r="P16" s="404"/>
      <c r="Q16" s="404"/>
      <c r="R16" s="386">
        <f t="shared" si="0"/>
        <v>0</v>
      </c>
    </row>
    <row r="17" spans="1:18">
      <c r="A17" s="380"/>
      <c r="B17" s="402"/>
      <c r="C17" s="402"/>
      <c r="D17" s="394" t="s">
        <v>506</v>
      </c>
      <c r="E17" s="390">
        <v>511</v>
      </c>
      <c r="F17" s="404"/>
      <c r="G17" s="404"/>
      <c r="H17" s="404"/>
      <c r="I17" s="404"/>
      <c r="J17" s="404"/>
      <c r="K17" s="404"/>
      <c r="L17" s="404"/>
      <c r="M17" s="404"/>
      <c r="N17" s="404"/>
      <c r="O17" s="404"/>
      <c r="P17" s="404"/>
      <c r="Q17" s="404"/>
      <c r="R17" s="386">
        <f t="shared" si="0"/>
        <v>0</v>
      </c>
    </row>
    <row r="18" spans="1:18">
      <c r="A18" s="405"/>
      <c r="B18" s="402"/>
      <c r="C18" s="402"/>
      <c r="D18" s="394" t="s">
        <v>516</v>
      </c>
      <c r="E18" s="395">
        <v>511</v>
      </c>
      <c r="F18" s="404"/>
      <c r="G18" s="404"/>
      <c r="H18" s="404"/>
      <c r="I18" s="404"/>
      <c r="J18" s="404"/>
      <c r="K18" s="404"/>
      <c r="L18" s="404"/>
      <c r="M18" s="404"/>
      <c r="N18" s="404"/>
      <c r="O18" s="404"/>
      <c r="P18" s="404"/>
      <c r="Q18" s="404"/>
      <c r="R18" s="386">
        <f t="shared" si="0"/>
        <v>0</v>
      </c>
    </row>
    <row r="19" spans="1:18">
      <c r="A19" s="405"/>
      <c r="B19" s="402"/>
      <c r="C19" s="402"/>
      <c r="D19" s="394" t="s">
        <v>517</v>
      </c>
      <c r="E19" s="395">
        <v>511</v>
      </c>
      <c r="F19" s="404"/>
      <c r="G19" s="404"/>
      <c r="H19" s="404"/>
      <c r="I19" s="404"/>
      <c r="J19" s="404"/>
      <c r="K19" s="404"/>
      <c r="L19" s="404"/>
      <c r="M19" s="404"/>
      <c r="N19" s="404"/>
      <c r="O19" s="404"/>
      <c r="P19" s="404"/>
      <c r="Q19" s="404"/>
      <c r="R19" s="386">
        <f t="shared" si="0"/>
        <v>0</v>
      </c>
    </row>
    <row r="20" spans="1:18">
      <c r="A20" s="405"/>
      <c r="B20" s="402"/>
      <c r="C20" s="402"/>
      <c r="D20" s="394" t="s">
        <v>507</v>
      </c>
      <c r="E20" s="395">
        <v>711</v>
      </c>
      <c r="F20" s="404"/>
      <c r="G20" s="404"/>
      <c r="H20" s="404"/>
      <c r="I20" s="404"/>
      <c r="J20" s="404"/>
      <c r="K20" s="404"/>
      <c r="L20" s="404"/>
      <c r="M20" s="404"/>
      <c r="N20" s="404"/>
      <c r="O20" s="404"/>
      <c r="P20" s="404"/>
      <c r="Q20" s="404"/>
      <c r="R20" s="386">
        <f t="shared" si="0"/>
        <v>0</v>
      </c>
    </row>
    <row r="21" spans="1:18">
      <c r="A21" s="405"/>
      <c r="B21" s="402"/>
      <c r="C21" s="493"/>
      <c r="D21" s="406" t="s">
        <v>518</v>
      </c>
      <c r="E21" s="390">
        <v>511</v>
      </c>
      <c r="F21" s="404"/>
      <c r="G21" s="404"/>
      <c r="H21" s="404"/>
      <c r="I21" s="404"/>
      <c r="J21" s="404"/>
      <c r="K21" s="404"/>
      <c r="L21" s="404"/>
      <c r="M21" s="404"/>
      <c r="N21" s="404"/>
      <c r="O21" s="404"/>
      <c r="P21" s="404"/>
      <c r="Q21" s="404"/>
      <c r="R21" s="386">
        <f t="shared" si="0"/>
        <v>0</v>
      </c>
    </row>
    <row r="22" spans="1:18">
      <c r="A22" s="407"/>
      <c r="B22" s="408"/>
      <c r="C22" s="494"/>
      <c r="D22" s="409" t="s">
        <v>511</v>
      </c>
      <c r="E22" s="399" t="s">
        <v>512</v>
      </c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1">
        <f t="shared" si="0"/>
        <v>0</v>
      </c>
    </row>
    <row r="23" spans="1:18">
      <c r="A23" s="535">
        <v>3</v>
      </c>
      <c r="B23" s="536" t="s">
        <v>519</v>
      </c>
      <c r="C23" s="536" t="s">
        <v>520</v>
      </c>
      <c r="D23" s="537" t="s">
        <v>505</v>
      </c>
      <c r="E23" s="538">
        <v>511</v>
      </c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39"/>
      <c r="R23" s="540">
        <f t="shared" si="0"/>
        <v>0</v>
      </c>
    </row>
    <row r="24" spans="1:18">
      <c r="A24" s="405"/>
      <c r="B24" s="402"/>
      <c r="C24" s="402"/>
      <c r="D24" s="394" t="s">
        <v>515</v>
      </c>
      <c r="E24" s="390">
        <v>511</v>
      </c>
      <c r="F24" s="403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386">
        <f t="shared" si="0"/>
        <v>0</v>
      </c>
    </row>
    <row r="25" spans="1:18">
      <c r="A25" s="405"/>
      <c r="B25" s="402"/>
      <c r="C25" s="402"/>
      <c r="D25" s="394" t="s">
        <v>506</v>
      </c>
      <c r="E25" s="390">
        <v>511</v>
      </c>
      <c r="F25" s="404"/>
      <c r="G25" s="404"/>
      <c r="H25" s="404"/>
      <c r="I25" s="404"/>
      <c r="J25" s="404"/>
      <c r="K25" s="404"/>
      <c r="L25" s="404"/>
      <c r="M25" s="404"/>
      <c r="N25" s="404"/>
      <c r="O25" s="404"/>
      <c r="P25" s="404"/>
      <c r="Q25" s="404"/>
      <c r="R25" s="386">
        <f t="shared" si="0"/>
        <v>0</v>
      </c>
    </row>
    <row r="26" spans="1:18">
      <c r="A26" s="405"/>
      <c r="B26" s="402"/>
      <c r="C26" s="402"/>
      <c r="D26" s="394" t="s">
        <v>521</v>
      </c>
      <c r="E26" s="395">
        <v>511</v>
      </c>
      <c r="F26" s="404"/>
      <c r="G26" s="404"/>
      <c r="H26" s="404"/>
      <c r="I26" s="404"/>
      <c r="J26" s="404"/>
      <c r="K26" s="404"/>
      <c r="L26" s="404"/>
      <c r="M26" s="404"/>
      <c r="N26" s="404"/>
      <c r="O26" s="404"/>
      <c r="P26" s="404"/>
      <c r="Q26" s="404"/>
      <c r="R26" s="386">
        <f t="shared" si="0"/>
        <v>0</v>
      </c>
    </row>
    <row r="27" spans="1:18">
      <c r="A27" s="405"/>
      <c r="B27" s="402"/>
      <c r="C27" s="402"/>
      <c r="D27" s="394" t="s">
        <v>517</v>
      </c>
      <c r="E27" s="395">
        <v>511</v>
      </c>
      <c r="F27" s="404"/>
      <c r="G27" s="404"/>
      <c r="H27" s="404"/>
      <c r="I27" s="404"/>
      <c r="J27" s="404"/>
      <c r="K27" s="404"/>
      <c r="L27" s="404"/>
      <c r="M27" s="404"/>
      <c r="N27" s="404"/>
      <c r="O27" s="404"/>
      <c r="P27" s="404"/>
      <c r="Q27" s="404"/>
      <c r="R27" s="386">
        <f t="shared" si="0"/>
        <v>0</v>
      </c>
    </row>
    <row r="28" spans="1:18">
      <c r="A28" s="405"/>
      <c r="B28" s="402"/>
      <c r="C28" s="402"/>
      <c r="D28" s="394" t="s">
        <v>511</v>
      </c>
      <c r="E28" s="395">
        <v>711</v>
      </c>
      <c r="F28" s="404"/>
      <c r="G28" s="404"/>
      <c r="H28" s="404"/>
      <c r="I28" s="404"/>
      <c r="J28" s="404"/>
      <c r="K28" s="404"/>
      <c r="L28" s="404"/>
      <c r="M28" s="404"/>
      <c r="N28" s="404"/>
      <c r="O28" s="404"/>
      <c r="P28" s="404"/>
      <c r="Q28" s="404"/>
      <c r="R28" s="386">
        <f t="shared" si="0"/>
        <v>0</v>
      </c>
    </row>
    <row r="29" spans="1:18">
      <c r="A29" s="535">
        <v>4</v>
      </c>
      <c r="B29" s="536" t="s">
        <v>522</v>
      </c>
      <c r="C29" s="536" t="s">
        <v>523</v>
      </c>
      <c r="D29" s="537" t="s">
        <v>505</v>
      </c>
      <c r="E29" s="538">
        <v>511</v>
      </c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39"/>
      <c r="R29" s="540">
        <f t="shared" si="0"/>
        <v>0</v>
      </c>
    </row>
    <row r="30" spans="1:18">
      <c r="A30" s="405"/>
      <c r="B30" s="402"/>
      <c r="C30" s="402"/>
      <c r="D30" s="394" t="s">
        <v>515</v>
      </c>
      <c r="E30" s="395">
        <v>511</v>
      </c>
      <c r="F30" s="404"/>
      <c r="G30" s="404"/>
      <c r="H30" s="404"/>
      <c r="I30" s="404"/>
      <c r="J30" s="404"/>
      <c r="K30" s="404"/>
      <c r="L30" s="404"/>
      <c r="M30" s="404"/>
      <c r="N30" s="404"/>
      <c r="O30" s="404"/>
      <c r="P30" s="404"/>
      <c r="Q30" s="404"/>
      <c r="R30" s="386">
        <f t="shared" si="0"/>
        <v>0</v>
      </c>
    </row>
    <row r="31" spans="1:18">
      <c r="A31" s="405"/>
      <c r="B31" s="402"/>
      <c r="C31" s="402"/>
      <c r="D31" s="394" t="s">
        <v>506</v>
      </c>
      <c r="E31" s="395">
        <v>511</v>
      </c>
      <c r="F31" s="404"/>
      <c r="G31" s="404"/>
      <c r="H31" s="404"/>
      <c r="I31" s="404"/>
      <c r="J31" s="404"/>
      <c r="K31" s="404"/>
      <c r="L31" s="404"/>
      <c r="M31" s="404"/>
      <c r="N31" s="404"/>
      <c r="O31" s="404"/>
      <c r="P31" s="404"/>
      <c r="Q31" s="404"/>
      <c r="R31" s="386">
        <f t="shared" si="0"/>
        <v>0</v>
      </c>
    </row>
    <row r="32" spans="1:18">
      <c r="A32" s="405"/>
      <c r="B32" s="402"/>
      <c r="C32" s="402"/>
      <c r="D32" s="394" t="s">
        <v>516</v>
      </c>
      <c r="E32" s="395">
        <v>511</v>
      </c>
      <c r="F32" s="404"/>
      <c r="G32" s="404"/>
      <c r="H32" s="404"/>
      <c r="I32" s="404"/>
      <c r="J32" s="404"/>
      <c r="K32" s="404"/>
      <c r="L32" s="404"/>
      <c r="M32" s="404"/>
      <c r="N32" s="404"/>
      <c r="O32" s="404"/>
      <c r="P32" s="404"/>
      <c r="Q32" s="404"/>
      <c r="R32" s="386">
        <f t="shared" si="0"/>
        <v>0</v>
      </c>
    </row>
    <row r="33" spans="1:19">
      <c r="A33" s="405"/>
      <c r="B33" s="402"/>
      <c r="C33" s="402"/>
      <c r="D33" s="394" t="s">
        <v>518</v>
      </c>
      <c r="E33" s="395">
        <v>511</v>
      </c>
      <c r="F33" s="404"/>
      <c r="G33" s="404"/>
      <c r="H33" s="404"/>
      <c r="I33" s="404"/>
      <c r="J33" s="404"/>
      <c r="K33" s="404"/>
      <c r="L33" s="404"/>
      <c r="M33" s="404"/>
      <c r="N33" s="404"/>
      <c r="O33" s="404"/>
      <c r="P33" s="404"/>
      <c r="Q33" s="404"/>
      <c r="R33" s="386">
        <f t="shared" si="0"/>
        <v>0</v>
      </c>
    </row>
    <row r="34" spans="1:19">
      <c r="A34" s="405"/>
      <c r="B34" s="402"/>
      <c r="C34" s="402"/>
      <c r="D34" s="394" t="s">
        <v>507</v>
      </c>
      <c r="E34" s="395">
        <v>711</v>
      </c>
      <c r="F34" s="403"/>
      <c r="G34" s="404"/>
      <c r="H34" s="404"/>
      <c r="I34" s="404"/>
      <c r="J34" s="404"/>
      <c r="K34" s="404"/>
      <c r="L34" s="404"/>
      <c r="M34" s="404"/>
      <c r="N34" s="404"/>
      <c r="O34" s="404"/>
      <c r="P34" s="404"/>
      <c r="Q34" s="404"/>
      <c r="R34" s="386">
        <f t="shared" si="0"/>
        <v>0</v>
      </c>
    </row>
    <row r="35" spans="1:19">
      <c r="A35" s="407"/>
      <c r="B35" s="402"/>
      <c r="C35" s="402"/>
      <c r="D35" s="394" t="s">
        <v>511</v>
      </c>
      <c r="E35" s="412">
        <v>7118</v>
      </c>
      <c r="F35" s="404"/>
      <c r="G35" s="404"/>
      <c r="H35" s="404"/>
      <c r="I35" s="404"/>
      <c r="J35" s="404"/>
      <c r="K35" s="404"/>
      <c r="L35" s="404"/>
      <c r="M35" s="404"/>
      <c r="N35" s="404"/>
      <c r="O35" s="404"/>
      <c r="P35" s="404"/>
      <c r="Q35" s="404"/>
      <c r="R35" s="386">
        <f t="shared" si="0"/>
        <v>0</v>
      </c>
    </row>
    <row r="36" spans="1:19">
      <c r="A36" s="535">
        <v>5</v>
      </c>
      <c r="B36" s="536" t="s">
        <v>524</v>
      </c>
      <c r="C36" s="536" t="s">
        <v>525</v>
      </c>
      <c r="D36" s="537" t="s">
        <v>505</v>
      </c>
      <c r="E36" s="538">
        <v>511</v>
      </c>
      <c r="F36" s="541"/>
      <c r="G36" s="539"/>
      <c r="H36" s="539"/>
      <c r="I36" s="539"/>
      <c r="J36" s="539"/>
      <c r="K36" s="539"/>
      <c r="L36" s="539"/>
      <c r="M36" s="539"/>
      <c r="N36" s="539"/>
      <c r="O36" s="539"/>
      <c r="P36" s="539"/>
      <c r="Q36" s="539"/>
      <c r="R36" s="540">
        <f t="shared" si="0"/>
        <v>0</v>
      </c>
    </row>
    <row r="37" spans="1:19">
      <c r="A37" s="407"/>
      <c r="B37" s="402"/>
      <c r="C37" s="402"/>
      <c r="D37" s="394" t="s">
        <v>515</v>
      </c>
      <c r="E37" s="395">
        <v>511</v>
      </c>
      <c r="F37" s="403"/>
      <c r="G37" s="404"/>
      <c r="H37" s="404"/>
      <c r="I37" s="404"/>
      <c r="J37" s="404"/>
      <c r="K37" s="404"/>
      <c r="L37" s="404"/>
      <c r="M37" s="404"/>
      <c r="N37" s="404"/>
      <c r="O37" s="404"/>
      <c r="P37" s="404"/>
      <c r="Q37" s="404"/>
      <c r="R37" s="386">
        <f t="shared" si="0"/>
        <v>0</v>
      </c>
    </row>
    <row r="38" spans="1:19">
      <c r="A38" s="407"/>
      <c r="B38" s="402"/>
      <c r="C38" s="402"/>
      <c r="D38" s="394" t="s">
        <v>507</v>
      </c>
      <c r="E38" s="395">
        <v>711</v>
      </c>
      <c r="F38" s="404"/>
      <c r="G38" s="404"/>
      <c r="H38" s="404"/>
      <c r="I38" s="404"/>
      <c r="J38" s="404"/>
      <c r="K38" s="404"/>
      <c r="L38" s="404"/>
      <c r="M38" s="404"/>
      <c r="N38" s="404"/>
      <c r="O38" s="404"/>
      <c r="P38" s="404"/>
      <c r="Q38" s="404"/>
      <c r="R38" s="386">
        <f t="shared" si="0"/>
        <v>0</v>
      </c>
    </row>
    <row r="39" spans="1:19">
      <c r="A39" s="407"/>
      <c r="B39" s="402"/>
      <c r="C39" s="402"/>
      <c r="D39" s="394" t="s">
        <v>506</v>
      </c>
      <c r="E39" s="395">
        <v>511</v>
      </c>
      <c r="F39" s="404"/>
      <c r="G39" s="404"/>
      <c r="H39" s="404"/>
      <c r="I39" s="404"/>
      <c r="J39" s="404"/>
      <c r="K39" s="404"/>
      <c r="L39" s="404"/>
      <c r="M39" s="404"/>
      <c r="N39" s="404"/>
      <c r="O39" s="404"/>
      <c r="P39" s="404"/>
      <c r="Q39" s="404"/>
      <c r="R39" s="386">
        <f t="shared" si="0"/>
        <v>0</v>
      </c>
    </row>
    <row r="40" spans="1:19">
      <c r="A40" s="407"/>
      <c r="B40" s="402"/>
      <c r="C40" s="402"/>
      <c r="D40" s="394" t="s">
        <v>518</v>
      </c>
      <c r="E40" s="395">
        <v>511</v>
      </c>
      <c r="F40" s="404"/>
      <c r="G40" s="404"/>
      <c r="H40" s="404"/>
      <c r="I40" s="404"/>
      <c r="J40" s="404"/>
      <c r="K40" s="404"/>
      <c r="L40" s="404"/>
      <c r="M40" s="404"/>
      <c r="N40" s="404"/>
      <c r="O40" s="404"/>
      <c r="P40" s="404"/>
      <c r="Q40" s="404"/>
      <c r="R40" s="386">
        <f t="shared" si="0"/>
        <v>0</v>
      </c>
    </row>
    <row r="41" spans="1:19">
      <c r="A41" s="407"/>
      <c r="B41" s="402"/>
      <c r="C41" s="402"/>
      <c r="D41" s="394" t="s">
        <v>516</v>
      </c>
      <c r="E41" s="395">
        <v>511</v>
      </c>
      <c r="F41" s="404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386">
        <f t="shared" si="0"/>
        <v>0</v>
      </c>
    </row>
    <row r="42" spans="1:19">
      <c r="A42" s="407"/>
      <c r="B42" s="402"/>
      <c r="C42" s="402"/>
      <c r="D42" s="394" t="s">
        <v>526</v>
      </c>
      <c r="E42" s="395">
        <v>711</v>
      </c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386">
        <f t="shared" si="0"/>
        <v>0</v>
      </c>
    </row>
    <row r="43" spans="1:19">
      <c r="A43" s="407"/>
      <c r="B43" s="402"/>
      <c r="C43" s="402"/>
      <c r="D43" s="394" t="s">
        <v>511</v>
      </c>
      <c r="E43" s="395" t="s">
        <v>512</v>
      </c>
      <c r="F43" s="404"/>
      <c r="G43" s="404"/>
      <c r="H43" s="404"/>
      <c r="I43" s="404"/>
      <c r="J43" s="404"/>
      <c r="K43" s="404"/>
      <c r="L43" s="404"/>
      <c r="M43" s="404"/>
      <c r="N43" s="404"/>
      <c r="O43" s="404"/>
      <c r="P43" s="404"/>
      <c r="Q43" s="404"/>
      <c r="R43" s="386">
        <f t="shared" si="0"/>
        <v>0</v>
      </c>
    </row>
    <row r="44" spans="1:19">
      <c r="A44" s="535">
        <v>6</v>
      </c>
      <c r="B44" s="536" t="s">
        <v>527</v>
      </c>
      <c r="C44" s="536" t="s">
        <v>528</v>
      </c>
      <c r="D44" s="537" t="s">
        <v>505</v>
      </c>
      <c r="E44" s="538">
        <v>511</v>
      </c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40">
        <f t="shared" si="0"/>
        <v>0</v>
      </c>
      <c r="S44" s="413"/>
    </row>
    <row r="45" spans="1:19">
      <c r="A45" s="380"/>
      <c r="B45" s="414"/>
      <c r="C45" s="414"/>
      <c r="D45" s="394" t="s">
        <v>515</v>
      </c>
      <c r="E45" s="390">
        <v>511</v>
      </c>
      <c r="F45" s="404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386">
        <f t="shared" si="0"/>
        <v>0</v>
      </c>
    </row>
    <row r="46" spans="1:19">
      <c r="A46" s="380"/>
      <c r="B46" s="414"/>
      <c r="C46" s="414"/>
      <c r="D46" s="394" t="s">
        <v>506</v>
      </c>
      <c r="E46" s="390">
        <v>511</v>
      </c>
      <c r="F46" s="403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386">
        <f t="shared" si="0"/>
        <v>0</v>
      </c>
    </row>
    <row r="47" spans="1:19">
      <c r="A47" s="380"/>
      <c r="B47" s="414"/>
      <c r="C47" s="414"/>
      <c r="D47" s="394" t="s">
        <v>529</v>
      </c>
      <c r="E47" s="390">
        <v>511</v>
      </c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386">
        <f t="shared" si="0"/>
        <v>0</v>
      </c>
    </row>
    <row r="48" spans="1:19">
      <c r="A48" s="380"/>
      <c r="B48" s="414"/>
      <c r="C48" s="414"/>
      <c r="D48" s="394" t="s">
        <v>516</v>
      </c>
      <c r="E48" s="395">
        <v>511</v>
      </c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386">
        <f t="shared" si="0"/>
        <v>0</v>
      </c>
    </row>
    <row r="49" spans="1:19">
      <c r="A49" s="380"/>
      <c r="B49" s="414"/>
      <c r="C49" s="414"/>
      <c r="D49" s="394" t="s">
        <v>530</v>
      </c>
      <c r="E49" s="395">
        <v>511</v>
      </c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386">
        <f t="shared" si="0"/>
        <v>0</v>
      </c>
    </row>
    <row r="50" spans="1:19">
      <c r="A50" s="380"/>
      <c r="B50" s="414"/>
      <c r="C50" s="414"/>
      <c r="D50" s="394" t="s">
        <v>507</v>
      </c>
      <c r="E50" s="395">
        <v>711</v>
      </c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386">
        <f t="shared" si="0"/>
        <v>0</v>
      </c>
    </row>
    <row r="51" spans="1:19">
      <c r="A51" s="415"/>
      <c r="B51" s="416"/>
      <c r="C51" s="416"/>
      <c r="D51" s="417" t="s">
        <v>511</v>
      </c>
      <c r="E51" s="399" t="s">
        <v>512</v>
      </c>
      <c r="F51" s="410"/>
      <c r="G51" s="410"/>
      <c r="H51" s="410"/>
      <c r="I51" s="410"/>
      <c r="J51" s="410"/>
      <c r="K51" s="410"/>
      <c r="L51" s="410"/>
      <c r="M51" s="410"/>
      <c r="N51" s="410"/>
      <c r="O51" s="410"/>
      <c r="P51" s="410"/>
      <c r="Q51" s="410"/>
      <c r="R51" s="411">
        <f t="shared" si="0"/>
        <v>0</v>
      </c>
    </row>
    <row r="52" spans="1:19">
      <c r="A52" s="535">
        <v>7</v>
      </c>
      <c r="B52" s="536" t="s">
        <v>531</v>
      </c>
      <c r="C52" s="536" t="s">
        <v>532</v>
      </c>
      <c r="D52" s="537" t="s">
        <v>505</v>
      </c>
      <c r="E52" s="542">
        <v>511</v>
      </c>
      <c r="F52" s="539"/>
      <c r="G52" s="539"/>
      <c r="H52" s="539"/>
      <c r="I52" s="539"/>
      <c r="J52" s="539"/>
      <c r="K52" s="539"/>
      <c r="L52" s="539"/>
      <c r="M52" s="539"/>
      <c r="N52" s="539"/>
      <c r="O52" s="539"/>
      <c r="P52" s="539"/>
      <c r="Q52" s="539"/>
      <c r="R52" s="540">
        <f t="shared" si="0"/>
        <v>0</v>
      </c>
    </row>
    <row r="53" spans="1:19">
      <c r="A53" s="380"/>
      <c r="B53" s="418"/>
      <c r="C53" s="418"/>
      <c r="D53" s="406" t="s">
        <v>515</v>
      </c>
      <c r="E53" s="419">
        <v>511</v>
      </c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6">
        <f t="shared" si="0"/>
        <v>0</v>
      </c>
    </row>
    <row r="54" spans="1:19">
      <c r="A54" s="380"/>
      <c r="B54" s="418"/>
      <c r="C54" s="418"/>
      <c r="D54" s="406" t="s">
        <v>506</v>
      </c>
      <c r="E54" s="419">
        <v>511</v>
      </c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6">
        <f t="shared" si="0"/>
        <v>0</v>
      </c>
    </row>
    <row r="55" spans="1:19">
      <c r="A55" s="380"/>
      <c r="B55" s="418"/>
      <c r="C55" s="418"/>
      <c r="D55" s="406" t="s">
        <v>529</v>
      </c>
      <c r="E55" s="419">
        <v>511</v>
      </c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6">
        <f t="shared" si="0"/>
        <v>0</v>
      </c>
    </row>
    <row r="56" spans="1:19">
      <c r="A56" s="380"/>
      <c r="B56" s="418"/>
      <c r="C56" s="418"/>
      <c r="D56" s="406" t="s">
        <v>516</v>
      </c>
      <c r="E56" s="419">
        <v>511</v>
      </c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6">
        <f t="shared" si="0"/>
        <v>0</v>
      </c>
    </row>
    <row r="57" spans="1:19">
      <c r="A57" s="380"/>
      <c r="B57" s="418"/>
      <c r="C57" s="418"/>
      <c r="D57" s="406" t="s">
        <v>530</v>
      </c>
      <c r="E57" s="419">
        <v>511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6">
        <f t="shared" si="0"/>
        <v>0</v>
      </c>
    </row>
    <row r="58" spans="1:19">
      <c r="A58" s="380"/>
      <c r="B58" s="418"/>
      <c r="C58" s="418"/>
      <c r="D58" s="406" t="s">
        <v>507</v>
      </c>
      <c r="E58" s="419">
        <v>711</v>
      </c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6">
        <f t="shared" si="0"/>
        <v>0</v>
      </c>
    </row>
    <row r="59" spans="1:19">
      <c r="A59" s="380"/>
      <c r="B59" s="418"/>
      <c r="C59" s="418"/>
      <c r="D59" s="406" t="s">
        <v>511</v>
      </c>
      <c r="E59" s="419" t="s">
        <v>512</v>
      </c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6">
        <f t="shared" si="0"/>
        <v>0</v>
      </c>
    </row>
    <row r="60" spans="1:19">
      <c r="A60" s="535">
        <v>8</v>
      </c>
      <c r="B60" s="536" t="s">
        <v>533</v>
      </c>
      <c r="C60" s="536" t="s">
        <v>534</v>
      </c>
      <c r="D60" s="537" t="s">
        <v>505</v>
      </c>
      <c r="E60" s="538">
        <v>511</v>
      </c>
      <c r="F60" s="539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40">
        <f t="shared" si="0"/>
        <v>0</v>
      </c>
      <c r="S60" s="413"/>
    </row>
    <row r="61" spans="1:19">
      <c r="A61" s="380"/>
      <c r="B61" s="418"/>
      <c r="C61" s="418"/>
      <c r="D61" s="406" t="s">
        <v>535</v>
      </c>
      <c r="E61" s="390">
        <v>511</v>
      </c>
      <c r="F61" s="404"/>
      <c r="G61" s="404"/>
      <c r="H61" s="404"/>
      <c r="I61" s="404"/>
      <c r="J61" s="404"/>
      <c r="K61" s="404"/>
      <c r="L61" s="404"/>
      <c r="M61" s="404"/>
      <c r="N61" s="404"/>
      <c r="O61" s="404"/>
      <c r="P61" s="404"/>
      <c r="Q61" s="404"/>
      <c r="R61" s="386">
        <f t="shared" si="0"/>
        <v>0</v>
      </c>
    </row>
    <row r="62" spans="1:19">
      <c r="A62" s="380"/>
      <c r="B62" s="418"/>
      <c r="C62" s="418"/>
      <c r="D62" s="394" t="s">
        <v>515</v>
      </c>
      <c r="E62" s="390">
        <v>511</v>
      </c>
      <c r="F62" s="403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386">
        <f t="shared" si="0"/>
        <v>0</v>
      </c>
    </row>
    <row r="63" spans="1:19">
      <c r="A63" s="380"/>
      <c r="B63" s="418"/>
      <c r="C63" s="418"/>
      <c r="D63" s="394" t="s">
        <v>506</v>
      </c>
      <c r="E63" s="390">
        <v>511</v>
      </c>
      <c r="F63" s="404"/>
      <c r="G63" s="404"/>
      <c r="H63" s="404"/>
      <c r="I63" s="404"/>
      <c r="J63" s="404"/>
      <c r="K63" s="404"/>
      <c r="L63" s="404"/>
      <c r="M63" s="404"/>
      <c r="N63" s="404"/>
      <c r="O63" s="404"/>
      <c r="P63" s="404"/>
      <c r="Q63" s="404"/>
      <c r="R63" s="386">
        <f t="shared" si="0"/>
        <v>0</v>
      </c>
    </row>
    <row r="64" spans="1:19">
      <c r="A64" s="380"/>
      <c r="B64" s="418"/>
      <c r="C64" s="418"/>
      <c r="D64" s="394" t="s">
        <v>530</v>
      </c>
      <c r="E64" s="395">
        <v>511</v>
      </c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386">
        <f t="shared" si="0"/>
        <v>0</v>
      </c>
    </row>
    <row r="65" spans="1:18">
      <c r="A65" s="380"/>
      <c r="B65" s="414"/>
      <c r="C65" s="414"/>
      <c r="D65" s="394" t="s">
        <v>507</v>
      </c>
      <c r="E65" s="395">
        <v>711</v>
      </c>
      <c r="F65" s="404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386">
        <f t="shared" si="0"/>
        <v>0</v>
      </c>
    </row>
    <row r="66" spans="1:18">
      <c r="A66" s="380"/>
      <c r="B66" s="414"/>
      <c r="C66" s="414"/>
      <c r="D66" s="394" t="s">
        <v>521</v>
      </c>
      <c r="E66" s="395">
        <v>511</v>
      </c>
      <c r="F66" s="404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386">
        <f t="shared" si="0"/>
        <v>0</v>
      </c>
    </row>
    <row r="67" spans="1:18">
      <c r="A67" s="380"/>
      <c r="B67" s="414"/>
      <c r="C67" s="418"/>
      <c r="D67" s="406" t="s">
        <v>511</v>
      </c>
      <c r="E67" s="395">
        <v>711</v>
      </c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386">
        <f t="shared" si="0"/>
        <v>0</v>
      </c>
    </row>
    <row r="68" spans="1:18">
      <c r="A68" s="535">
        <v>9</v>
      </c>
      <c r="B68" s="536" t="s">
        <v>536</v>
      </c>
      <c r="C68" s="536" t="s">
        <v>537</v>
      </c>
      <c r="D68" s="537" t="s">
        <v>505</v>
      </c>
      <c r="E68" s="538">
        <v>511</v>
      </c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40">
        <f t="shared" si="0"/>
        <v>0</v>
      </c>
    </row>
    <row r="69" spans="1:18">
      <c r="A69" s="380"/>
      <c r="B69" s="414"/>
      <c r="C69" s="414"/>
      <c r="D69" s="394" t="s">
        <v>515</v>
      </c>
      <c r="E69" s="390">
        <v>511</v>
      </c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386">
        <f t="shared" si="0"/>
        <v>0</v>
      </c>
    </row>
    <row r="70" spans="1:18">
      <c r="A70" s="380"/>
      <c r="B70" s="414"/>
      <c r="C70" s="414"/>
      <c r="D70" s="394" t="s">
        <v>506</v>
      </c>
      <c r="E70" s="390">
        <v>511</v>
      </c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404"/>
      <c r="Q70" s="404"/>
      <c r="R70" s="386">
        <f t="shared" si="0"/>
        <v>0</v>
      </c>
    </row>
    <row r="71" spans="1:18">
      <c r="A71" s="380"/>
      <c r="B71" s="414"/>
      <c r="C71" s="414"/>
      <c r="D71" s="394" t="s">
        <v>530</v>
      </c>
      <c r="E71" s="395">
        <v>511</v>
      </c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386">
        <f t="shared" si="0"/>
        <v>0</v>
      </c>
    </row>
    <row r="72" spans="1:18">
      <c r="A72" s="380"/>
      <c r="B72" s="414"/>
      <c r="C72" s="414"/>
      <c r="D72" s="394" t="s">
        <v>511</v>
      </c>
      <c r="E72" s="395">
        <v>711</v>
      </c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404"/>
      <c r="Q72" s="404"/>
      <c r="R72" s="386">
        <f t="shared" si="0"/>
        <v>0</v>
      </c>
    </row>
    <row r="73" spans="1:18">
      <c r="A73" s="535">
        <v>10</v>
      </c>
      <c r="B73" s="420" t="s">
        <v>538</v>
      </c>
      <c r="C73" s="536" t="s">
        <v>539</v>
      </c>
      <c r="D73" s="537" t="s">
        <v>505</v>
      </c>
      <c r="E73" s="538">
        <v>511</v>
      </c>
      <c r="F73" s="541"/>
      <c r="G73" s="539"/>
      <c r="H73" s="539"/>
      <c r="I73" s="539"/>
      <c r="J73" s="539"/>
      <c r="K73" s="539"/>
      <c r="L73" s="539"/>
      <c r="M73" s="539"/>
      <c r="N73" s="539"/>
      <c r="O73" s="539"/>
      <c r="P73" s="539"/>
      <c r="Q73" s="539"/>
      <c r="R73" s="540">
        <f t="shared" si="0"/>
        <v>0</v>
      </c>
    </row>
    <row r="74" spans="1:18">
      <c r="A74" s="380"/>
      <c r="B74" s="414"/>
      <c r="C74" s="418"/>
      <c r="D74" s="406" t="s">
        <v>515</v>
      </c>
      <c r="E74" s="395">
        <v>511</v>
      </c>
      <c r="F74" s="404"/>
      <c r="G74" s="404"/>
      <c r="H74" s="404"/>
      <c r="I74" s="404"/>
      <c r="J74" s="404"/>
      <c r="K74" s="404"/>
      <c r="L74" s="404"/>
      <c r="M74" s="404"/>
      <c r="N74" s="404"/>
      <c r="O74" s="404"/>
      <c r="P74" s="404"/>
      <c r="Q74" s="404"/>
      <c r="R74" s="421">
        <f t="shared" si="0"/>
        <v>0</v>
      </c>
    </row>
    <row r="75" spans="1:18">
      <c r="A75" s="405"/>
      <c r="B75" s="416"/>
      <c r="C75" s="416"/>
      <c r="D75" s="394" t="s">
        <v>506</v>
      </c>
      <c r="E75" s="395">
        <v>511</v>
      </c>
      <c r="F75" s="410"/>
      <c r="G75" s="410"/>
      <c r="H75" s="410"/>
      <c r="I75" s="410"/>
      <c r="J75" s="410"/>
      <c r="K75" s="410"/>
      <c r="L75" s="410"/>
      <c r="M75" s="410"/>
      <c r="N75" s="410"/>
      <c r="O75" s="410"/>
      <c r="P75" s="410"/>
      <c r="Q75" s="410"/>
      <c r="R75" s="421">
        <f t="shared" si="0"/>
        <v>0</v>
      </c>
    </row>
    <row r="76" spans="1:18">
      <c r="A76" s="405"/>
      <c r="B76" s="416"/>
      <c r="C76" s="416"/>
      <c r="D76" s="394" t="s">
        <v>530</v>
      </c>
      <c r="E76" s="395">
        <v>511</v>
      </c>
      <c r="F76" s="410"/>
      <c r="G76" s="410"/>
      <c r="H76" s="410"/>
      <c r="I76" s="410"/>
      <c r="J76" s="410"/>
      <c r="K76" s="410"/>
      <c r="L76" s="410"/>
      <c r="M76" s="410"/>
      <c r="N76" s="410"/>
      <c r="O76" s="410"/>
      <c r="P76" s="410"/>
      <c r="Q76" s="410"/>
      <c r="R76" s="421">
        <f t="shared" si="0"/>
        <v>0</v>
      </c>
    </row>
    <row r="77" spans="1:18">
      <c r="A77" s="396"/>
      <c r="B77" s="416"/>
      <c r="C77" s="416"/>
      <c r="D77" s="417" t="s">
        <v>511</v>
      </c>
      <c r="E77" s="422">
        <v>711</v>
      </c>
      <c r="F77" s="410"/>
      <c r="G77" s="410"/>
      <c r="H77" s="410"/>
      <c r="I77" s="410"/>
      <c r="J77" s="410"/>
      <c r="K77" s="410"/>
      <c r="L77" s="410"/>
      <c r="M77" s="410"/>
      <c r="N77" s="410"/>
      <c r="O77" s="410"/>
      <c r="P77" s="410"/>
      <c r="Q77" s="410"/>
      <c r="R77" s="401">
        <f t="shared" si="0"/>
        <v>0</v>
      </c>
    </row>
    <row r="78" spans="1:18">
      <c r="A78" s="535">
        <v>11</v>
      </c>
      <c r="B78" s="536" t="s">
        <v>540</v>
      </c>
      <c r="C78" s="420" t="s">
        <v>541</v>
      </c>
      <c r="D78" s="423" t="s">
        <v>506</v>
      </c>
      <c r="E78" s="424">
        <v>511</v>
      </c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40">
        <f t="shared" si="0"/>
        <v>0</v>
      </c>
    </row>
    <row r="79" spans="1:18">
      <c r="A79" s="405"/>
      <c r="B79" s="416"/>
      <c r="C79" s="416"/>
      <c r="D79" s="417" t="s">
        <v>505</v>
      </c>
      <c r="E79" s="422">
        <v>511</v>
      </c>
      <c r="F79" s="404"/>
      <c r="G79" s="404"/>
      <c r="H79" s="404"/>
      <c r="I79" s="404"/>
      <c r="J79" s="404"/>
      <c r="K79" s="404"/>
      <c r="L79" s="404"/>
      <c r="M79" s="404"/>
      <c r="N79" s="404"/>
      <c r="O79" s="404"/>
      <c r="P79" s="404"/>
      <c r="Q79" s="404"/>
      <c r="R79" s="386">
        <f t="shared" si="0"/>
        <v>0</v>
      </c>
    </row>
    <row r="80" spans="1:18">
      <c r="A80" s="405"/>
      <c r="B80" s="416"/>
      <c r="C80" s="416"/>
      <c r="D80" s="417" t="s">
        <v>515</v>
      </c>
      <c r="E80" s="422">
        <v>511</v>
      </c>
      <c r="F80" s="404"/>
      <c r="G80" s="404"/>
      <c r="H80" s="404"/>
      <c r="I80" s="404"/>
      <c r="J80" s="404"/>
      <c r="K80" s="404"/>
      <c r="L80" s="404"/>
      <c r="M80" s="404"/>
      <c r="N80" s="404"/>
      <c r="O80" s="404"/>
      <c r="P80" s="404"/>
      <c r="Q80" s="404"/>
      <c r="R80" s="386">
        <f t="shared" si="0"/>
        <v>0</v>
      </c>
    </row>
    <row r="81" spans="1:19">
      <c r="A81" s="405"/>
      <c r="B81" s="416"/>
      <c r="C81" s="416"/>
      <c r="D81" s="417" t="s">
        <v>507</v>
      </c>
      <c r="E81" s="422">
        <v>711</v>
      </c>
      <c r="F81" s="404"/>
      <c r="G81" s="404"/>
      <c r="H81" s="404"/>
      <c r="I81" s="404"/>
      <c r="J81" s="404"/>
      <c r="K81" s="404"/>
      <c r="L81" s="404"/>
      <c r="M81" s="404"/>
      <c r="N81" s="404"/>
      <c r="O81" s="404"/>
      <c r="P81" s="404"/>
      <c r="Q81" s="404"/>
      <c r="R81" s="386">
        <f t="shared" ref="R81:R126" si="1">SUM(F81:Q81)</f>
        <v>0</v>
      </c>
    </row>
    <row r="82" spans="1:19">
      <c r="A82" s="405"/>
      <c r="B82" s="416"/>
      <c r="C82" s="414"/>
      <c r="D82" s="394" t="s">
        <v>508</v>
      </c>
      <c r="E82" s="395">
        <v>515</v>
      </c>
      <c r="F82" s="404"/>
      <c r="G82" s="404"/>
      <c r="H82" s="404"/>
      <c r="I82" s="404"/>
      <c r="J82" s="404"/>
      <c r="K82" s="404"/>
      <c r="L82" s="404"/>
      <c r="M82" s="404"/>
      <c r="N82" s="404"/>
      <c r="O82" s="404"/>
      <c r="P82" s="404"/>
      <c r="Q82" s="404"/>
      <c r="R82" s="386">
        <f t="shared" si="1"/>
        <v>0</v>
      </c>
    </row>
    <row r="83" spans="1:19">
      <c r="A83" s="396"/>
      <c r="B83" s="416"/>
      <c r="C83" s="495"/>
      <c r="D83" s="409" t="s">
        <v>511</v>
      </c>
      <c r="E83" s="425">
        <v>7118</v>
      </c>
      <c r="F83" s="410"/>
      <c r="G83" s="410"/>
      <c r="H83" s="410"/>
      <c r="I83" s="410"/>
      <c r="J83" s="410"/>
      <c r="K83" s="410"/>
      <c r="L83" s="410"/>
      <c r="M83" s="410"/>
      <c r="N83" s="410"/>
      <c r="O83" s="410"/>
      <c r="P83" s="410"/>
      <c r="Q83" s="410"/>
      <c r="R83" s="411">
        <f t="shared" si="1"/>
        <v>0</v>
      </c>
    </row>
    <row r="84" spans="1:19">
      <c r="A84" s="535">
        <v>12</v>
      </c>
      <c r="B84" s="536" t="s">
        <v>542</v>
      </c>
      <c r="C84" s="536" t="s">
        <v>543</v>
      </c>
      <c r="D84" s="537" t="s">
        <v>505</v>
      </c>
      <c r="E84" s="538">
        <v>511521</v>
      </c>
      <c r="F84" s="539"/>
      <c r="G84" s="539"/>
      <c r="H84" s="539"/>
      <c r="I84" s="539"/>
      <c r="J84" s="539"/>
      <c r="K84" s="539"/>
      <c r="L84" s="539"/>
      <c r="M84" s="539"/>
      <c r="N84" s="539"/>
      <c r="O84" s="539"/>
      <c r="P84" s="539"/>
      <c r="Q84" s="539"/>
      <c r="R84" s="540">
        <f t="shared" si="1"/>
        <v>0</v>
      </c>
    </row>
    <row r="85" spans="1:19">
      <c r="A85" s="405"/>
      <c r="B85" s="414"/>
      <c r="C85" s="414"/>
      <c r="D85" s="394" t="s">
        <v>515</v>
      </c>
      <c r="E85" s="390">
        <v>511</v>
      </c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386">
        <f t="shared" si="1"/>
        <v>0</v>
      </c>
    </row>
    <row r="86" spans="1:19">
      <c r="A86" s="405"/>
      <c r="B86" s="414"/>
      <c r="C86" s="414"/>
      <c r="D86" s="394" t="s">
        <v>506</v>
      </c>
      <c r="E86" s="390">
        <v>511</v>
      </c>
      <c r="F86" s="404"/>
      <c r="G86" s="404"/>
      <c r="H86" s="404"/>
      <c r="I86" s="404"/>
      <c r="J86" s="404"/>
      <c r="K86" s="404"/>
      <c r="L86" s="404"/>
      <c r="M86" s="404"/>
      <c r="N86" s="404"/>
      <c r="O86" s="404"/>
      <c r="P86" s="404"/>
      <c r="Q86" s="404"/>
      <c r="R86" s="386">
        <f t="shared" si="1"/>
        <v>0</v>
      </c>
    </row>
    <row r="87" spans="1:19">
      <c r="A87" s="405"/>
      <c r="B87" s="414"/>
      <c r="C87" s="414"/>
      <c r="D87" s="394" t="s">
        <v>530</v>
      </c>
      <c r="E87" s="395">
        <v>511</v>
      </c>
      <c r="F87" s="404"/>
      <c r="G87" s="404"/>
      <c r="H87" s="404"/>
      <c r="I87" s="404"/>
      <c r="J87" s="404"/>
      <c r="K87" s="404"/>
      <c r="L87" s="404"/>
      <c r="M87" s="404"/>
      <c r="N87" s="404"/>
      <c r="O87" s="404"/>
      <c r="P87" s="404"/>
      <c r="Q87" s="404"/>
      <c r="R87" s="386">
        <f t="shared" si="1"/>
        <v>0</v>
      </c>
    </row>
    <row r="88" spans="1:19">
      <c r="A88" s="405"/>
      <c r="B88" s="414"/>
      <c r="C88" s="414"/>
      <c r="D88" s="394" t="s">
        <v>507</v>
      </c>
      <c r="E88" s="395">
        <v>711</v>
      </c>
      <c r="F88" s="404"/>
      <c r="G88" s="404"/>
      <c r="H88" s="404"/>
      <c r="I88" s="404"/>
      <c r="J88" s="404"/>
      <c r="K88" s="404"/>
      <c r="L88" s="404"/>
      <c r="M88" s="404"/>
      <c r="N88" s="404"/>
      <c r="O88" s="404"/>
      <c r="P88" s="404"/>
      <c r="Q88" s="404"/>
      <c r="R88" s="386">
        <f t="shared" si="1"/>
        <v>0</v>
      </c>
    </row>
    <row r="89" spans="1:19">
      <c r="A89" s="405"/>
      <c r="B89" s="414"/>
      <c r="C89" s="414"/>
      <c r="D89" s="394" t="s">
        <v>508</v>
      </c>
      <c r="E89" s="395">
        <v>515</v>
      </c>
      <c r="F89" s="404"/>
      <c r="G89" s="404"/>
      <c r="H89" s="404"/>
      <c r="I89" s="404"/>
      <c r="J89" s="404"/>
      <c r="K89" s="404"/>
      <c r="L89" s="404"/>
      <c r="M89" s="404"/>
      <c r="N89" s="404"/>
      <c r="O89" s="404"/>
      <c r="P89" s="404"/>
      <c r="Q89" s="404"/>
      <c r="R89" s="386">
        <f t="shared" si="1"/>
        <v>0</v>
      </c>
    </row>
    <row r="90" spans="1:19">
      <c r="A90" s="407"/>
      <c r="B90" s="416"/>
      <c r="C90" s="416"/>
      <c r="D90" s="417" t="s">
        <v>511</v>
      </c>
      <c r="E90" s="425">
        <v>7118</v>
      </c>
      <c r="F90" s="410"/>
      <c r="G90" s="410"/>
      <c r="H90" s="410"/>
      <c r="I90" s="410"/>
      <c r="J90" s="410"/>
      <c r="K90" s="410"/>
      <c r="L90" s="410"/>
      <c r="M90" s="410"/>
      <c r="N90" s="410"/>
      <c r="O90" s="410"/>
      <c r="P90" s="410"/>
      <c r="Q90" s="410"/>
      <c r="R90" s="411">
        <f t="shared" si="1"/>
        <v>0</v>
      </c>
    </row>
    <row r="91" spans="1:19">
      <c r="A91" s="426">
        <v>13</v>
      </c>
      <c r="B91" s="536" t="s">
        <v>544</v>
      </c>
      <c r="C91" s="536" t="s">
        <v>545</v>
      </c>
      <c r="D91" s="537" t="s">
        <v>506</v>
      </c>
      <c r="E91" s="424">
        <v>511</v>
      </c>
      <c r="F91" s="539"/>
      <c r="G91" s="539"/>
      <c r="H91" s="539"/>
      <c r="I91" s="539"/>
      <c r="J91" s="539"/>
      <c r="K91" s="539"/>
      <c r="L91" s="539"/>
      <c r="M91" s="539"/>
      <c r="N91" s="539"/>
      <c r="O91" s="539"/>
      <c r="P91" s="539"/>
      <c r="Q91" s="539"/>
      <c r="R91" s="540">
        <f t="shared" si="1"/>
        <v>0</v>
      </c>
      <c r="S91" s="413"/>
    </row>
    <row r="92" spans="1:19">
      <c r="A92" s="407"/>
      <c r="B92" s="416"/>
      <c r="C92" s="416"/>
      <c r="D92" s="394" t="s">
        <v>505</v>
      </c>
      <c r="E92" s="422">
        <v>511</v>
      </c>
      <c r="F92" s="404"/>
      <c r="G92" s="404"/>
      <c r="H92" s="404"/>
      <c r="I92" s="404"/>
      <c r="J92" s="404"/>
      <c r="K92" s="404"/>
      <c r="L92" s="404"/>
      <c r="M92" s="404"/>
      <c r="N92" s="404"/>
      <c r="O92" s="404"/>
      <c r="P92" s="404"/>
      <c r="Q92" s="404"/>
      <c r="R92" s="386">
        <f t="shared" si="1"/>
        <v>0</v>
      </c>
    </row>
    <row r="93" spans="1:19">
      <c r="A93" s="407"/>
      <c r="B93" s="416"/>
      <c r="C93" s="416"/>
      <c r="D93" s="417" t="s">
        <v>515</v>
      </c>
      <c r="E93" s="422">
        <v>511</v>
      </c>
      <c r="F93" s="404"/>
      <c r="G93" s="404"/>
      <c r="H93" s="404"/>
      <c r="I93" s="404"/>
      <c r="J93" s="404"/>
      <c r="K93" s="404"/>
      <c r="L93" s="404"/>
      <c r="M93" s="404"/>
      <c r="N93" s="404"/>
      <c r="O93" s="404"/>
      <c r="P93" s="404"/>
      <c r="Q93" s="404"/>
      <c r="R93" s="386">
        <f t="shared" si="1"/>
        <v>0</v>
      </c>
    </row>
    <row r="94" spans="1:19">
      <c r="A94" s="407"/>
      <c r="B94" s="416"/>
      <c r="C94" s="416"/>
      <c r="D94" s="417" t="s">
        <v>507</v>
      </c>
      <c r="E94" s="422">
        <v>711</v>
      </c>
      <c r="F94" s="404"/>
      <c r="G94" s="404"/>
      <c r="H94" s="404"/>
      <c r="I94" s="404"/>
      <c r="J94" s="404"/>
      <c r="K94" s="404"/>
      <c r="L94" s="404"/>
      <c r="M94" s="404"/>
      <c r="N94" s="404"/>
      <c r="O94" s="404"/>
      <c r="P94" s="404"/>
      <c r="Q94" s="404"/>
      <c r="R94" s="386">
        <f t="shared" si="1"/>
        <v>0</v>
      </c>
    </row>
    <row r="95" spans="1:19">
      <c r="A95" s="407"/>
      <c r="B95" s="414"/>
      <c r="C95" s="414"/>
      <c r="D95" s="394" t="s">
        <v>508</v>
      </c>
      <c r="E95" s="395">
        <v>515</v>
      </c>
      <c r="F95" s="404"/>
      <c r="G95" s="404"/>
      <c r="H95" s="404"/>
      <c r="I95" s="404"/>
      <c r="J95" s="404"/>
      <c r="K95" s="404"/>
      <c r="L95" s="404"/>
      <c r="M95" s="404"/>
      <c r="N95" s="404"/>
      <c r="O95" s="404"/>
      <c r="P95" s="404"/>
      <c r="Q95" s="404"/>
      <c r="R95" s="386">
        <f t="shared" si="1"/>
        <v>0</v>
      </c>
    </row>
    <row r="96" spans="1:19">
      <c r="A96" s="407"/>
      <c r="B96" s="427"/>
      <c r="C96" s="429"/>
      <c r="D96" s="409" t="s">
        <v>511</v>
      </c>
      <c r="E96" s="425">
        <v>7118</v>
      </c>
      <c r="F96" s="410"/>
      <c r="G96" s="410"/>
      <c r="H96" s="410"/>
      <c r="I96" s="410"/>
      <c r="J96" s="410"/>
      <c r="K96" s="410"/>
      <c r="L96" s="410"/>
      <c r="M96" s="410"/>
      <c r="N96" s="410"/>
      <c r="O96" s="410"/>
      <c r="P96" s="410"/>
      <c r="Q96" s="410"/>
      <c r="R96" s="411">
        <f t="shared" si="1"/>
        <v>0</v>
      </c>
    </row>
    <row r="97" spans="1:20">
      <c r="A97" s="535">
        <v>14</v>
      </c>
      <c r="B97" s="536" t="s">
        <v>546</v>
      </c>
      <c r="C97" s="536" t="s">
        <v>547</v>
      </c>
      <c r="D97" s="537" t="s">
        <v>505</v>
      </c>
      <c r="E97" s="538">
        <v>511</v>
      </c>
      <c r="F97" s="539"/>
      <c r="G97" s="539"/>
      <c r="H97" s="539"/>
      <c r="I97" s="539"/>
      <c r="J97" s="539"/>
      <c r="K97" s="539"/>
      <c r="L97" s="539"/>
      <c r="M97" s="539"/>
      <c r="N97" s="539"/>
      <c r="O97" s="539"/>
      <c r="P97" s="539"/>
      <c r="Q97" s="539"/>
      <c r="R97" s="540">
        <f t="shared" si="1"/>
        <v>0</v>
      </c>
      <c r="S97" s="428"/>
      <c r="T97" s="428"/>
    </row>
    <row r="98" spans="1:20">
      <c r="A98" s="407"/>
      <c r="B98" s="416"/>
      <c r="C98" s="416"/>
      <c r="D98" s="417" t="s">
        <v>515</v>
      </c>
      <c r="E98" s="422">
        <v>511</v>
      </c>
      <c r="F98" s="404"/>
      <c r="G98" s="404"/>
      <c r="H98" s="404"/>
      <c r="I98" s="404"/>
      <c r="J98" s="404"/>
      <c r="K98" s="404"/>
      <c r="L98" s="404"/>
      <c r="M98" s="404"/>
      <c r="N98" s="404"/>
      <c r="O98" s="404"/>
      <c r="P98" s="404"/>
      <c r="Q98" s="404"/>
      <c r="R98" s="386">
        <f t="shared" si="1"/>
        <v>0</v>
      </c>
    </row>
    <row r="99" spans="1:20">
      <c r="A99" s="407"/>
      <c r="B99" s="416"/>
      <c r="C99" s="416"/>
      <c r="D99" s="394" t="s">
        <v>506</v>
      </c>
      <c r="E99" s="422">
        <v>511</v>
      </c>
      <c r="F99" s="404"/>
      <c r="G99" s="404"/>
      <c r="H99" s="404"/>
      <c r="I99" s="404"/>
      <c r="J99" s="404"/>
      <c r="K99" s="404"/>
      <c r="L99" s="404"/>
      <c r="M99" s="404"/>
      <c r="N99" s="404"/>
      <c r="O99" s="404"/>
      <c r="P99" s="404"/>
      <c r="Q99" s="404"/>
      <c r="R99" s="386">
        <f t="shared" si="1"/>
        <v>0</v>
      </c>
    </row>
    <row r="100" spans="1:20">
      <c r="A100" s="407"/>
      <c r="B100" s="416"/>
      <c r="C100" s="416"/>
      <c r="D100" s="417" t="s">
        <v>511</v>
      </c>
      <c r="E100" s="425">
        <v>7118</v>
      </c>
      <c r="F100" s="410"/>
      <c r="G100" s="410"/>
      <c r="H100" s="410"/>
      <c r="I100" s="410"/>
      <c r="J100" s="410"/>
      <c r="K100" s="410"/>
      <c r="L100" s="410"/>
      <c r="M100" s="410"/>
      <c r="N100" s="410"/>
      <c r="O100" s="410"/>
      <c r="P100" s="410"/>
      <c r="Q100" s="410"/>
      <c r="R100" s="411">
        <f t="shared" si="1"/>
        <v>0</v>
      </c>
    </row>
    <row r="101" spans="1:20">
      <c r="A101" s="535">
        <v>15</v>
      </c>
      <c r="B101" s="536" t="s">
        <v>548</v>
      </c>
      <c r="C101" s="536" t="s">
        <v>549</v>
      </c>
      <c r="D101" s="537" t="s">
        <v>505</v>
      </c>
      <c r="E101" s="538">
        <v>511</v>
      </c>
      <c r="F101" s="539"/>
      <c r="G101" s="539"/>
      <c r="H101" s="539"/>
      <c r="I101" s="539"/>
      <c r="J101" s="539"/>
      <c r="K101" s="539"/>
      <c r="L101" s="539"/>
      <c r="M101" s="539"/>
      <c r="N101" s="539"/>
      <c r="O101" s="539"/>
      <c r="P101" s="539"/>
      <c r="Q101" s="539"/>
      <c r="R101" s="540">
        <f t="shared" si="1"/>
        <v>0</v>
      </c>
    </row>
    <row r="102" spans="1:20">
      <c r="A102" s="407"/>
      <c r="B102" s="416"/>
      <c r="C102" s="416"/>
      <c r="D102" s="417" t="s">
        <v>515</v>
      </c>
      <c r="E102" s="422">
        <v>511</v>
      </c>
      <c r="F102" s="404"/>
      <c r="G102" s="404"/>
      <c r="H102" s="404"/>
      <c r="I102" s="404"/>
      <c r="J102" s="404"/>
      <c r="K102" s="404"/>
      <c r="L102" s="404"/>
      <c r="M102" s="404"/>
      <c r="N102" s="404"/>
      <c r="O102" s="404"/>
      <c r="P102" s="404"/>
      <c r="Q102" s="404"/>
      <c r="R102" s="386">
        <f t="shared" si="1"/>
        <v>0</v>
      </c>
    </row>
    <row r="103" spans="1:20">
      <c r="A103" s="407"/>
      <c r="B103" s="416"/>
      <c r="C103" s="416"/>
      <c r="D103" s="417" t="s">
        <v>511</v>
      </c>
      <c r="E103" s="422">
        <v>511</v>
      </c>
      <c r="F103" s="410"/>
      <c r="G103" s="410"/>
      <c r="H103" s="410"/>
      <c r="I103" s="410"/>
      <c r="J103" s="410"/>
      <c r="K103" s="410"/>
      <c r="L103" s="410"/>
      <c r="M103" s="410"/>
      <c r="N103" s="410"/>
      <c r="O103" s="410"/>
      <c r="P103" s="410"/>
      <c r="Q103" s="410"/>
      <c r="R103" s="411">
        <f t="shared" si="1"/>
        <v>0</v>
      </c>
    </row>
    <row r="104" spans="1:20">
      <c r="A104" s="426">
        <v>16</v>
      </c>
      <c r="B104" s="536" t="s">
        <v>550</v>
      </c>
      <c r="C104" s="536" t="s">
        <v>551</v>
      </c>
      <c r="D104" s="537" t="s">
        <v>505</v>
      </c>
      <c r="E104" s="424">
        <v>511</v>
      </c>
      <c r="F104" s="539"/>
      <c r="G104" s="539"/>
      <c r="H104" s="539"/>
      <c r="I104" s="539"/>
      <c r="J104" s="539"/>
      <c r="K104" s="539"/>
      <c r="L104" s="539"/>
      <c r="M104" s="539"/>
      <c r="N104" s="539"/>
      <c r="O104" s="539"/>
      <c r="P104" s="539"/>
      <c r="Q104" s="539"/>
      <c r="R104" s="540">
        <f t="shared" si="1"/>
        <v>0</v>
      </c>
    </row>
    <row r="105" spans="1:20">
      <c r="A105" s="407"/>
      <c r="B105" s="414"/>
      <c r="C105" s="418"/>
      <c r="D105" s="406" t="s">
        <v>515</v>
      </c>
      <c r="E105" s="422">
        <v>511</v>
      </c>
      <c r="F105" s="404"/>
      <c r="G105" s="404"/>
      <c r="H105" s="404"/>
      <c r="I105" s="404"/>
      <c r="J105" s="404"/>
      <c r="K105" s="404"/>
      <c r="L105" s="404"/>
      <c r="M105" s="404"/>
      <c r="N105" s="404"/>
      <c r="O105" s="404"/>
      <c r="P105" s="404"/>
      <c r="Q105" s="404"/>
      <c r="R105" s="386">
        <f t="shared" si="1"/>
        <v>0</v>
      </c>
    </row>
    <row r="106" spans="1:20">
      <c r="A106" s="407"/>
      <c r="B106" s="429"/>
      <c r="C106" s="495"/>
      <c r="D106" s="409" t="s">
        <v>511</v>
      </c>
      <c r="E106" s="430">
        <v>7118</v>
      </c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0"/>
      <c r="R106" s="411">
        <f t="shared" si="1"/>
        <v>0</v>
      </c>
    </row>
    <row r="107" spans="1:20">
      <c r="A107" s="535">
        <v>17</v>
      </c>
      <c r="B107" s="536" t="s">
        <v>552</v>
      </c>
      <c r="C107" s="536" t="s">
        <v>553</v>
      </c>
      <c r="D107" s="537" t="s">
        <v>505</v>
      </c>
      <c r="E107" s="538">
        <v>511</v>
      </c>
      <c r="F107" s="539"/>
      <c r="G107" s="539"/>
      <c r="H107" s="539"/>
      <c r="I107" s="539"/>
      <c r="J107" s="539"/>
      <c r="K107" s="539"/>
      <c r="L107" s="539"/>
      <c r="M107" s="539"/>
      <c r="N107" s="539"/>
      <c r="O107" s="539"/>
      <c r="P107" s="539"/>
      <c r="Q107" s="539"/>
      <c r="R107" s="540">
        <f t="shared" si="1"/>
        <v>0</v>
      </c>
    </row>
    <row r="108" spans="1:20">
      <c r="A108" s="407"/>
      <c r="B108" s="416"/>
      <c r="C108" s="416"/>
      <c r="D108" s="417" t="s">
        <v>515</v>
      </c>
      <c r="E108" s="422">
        <v>511</v>
      </c>
      <c r="F108" s="404"/>
      <c r="G108" s="404"/>
      <c r="H108" s="404"/>
      <c r="I108" s="404"/>
      <c r="J108" s="404"/>
      <c r="K108" s="404"/>
      <c r="L108" s="404"/>
      <c r="M108" s="404"/>
      <c r="N108" s="404"/>
      <c r="O108" s="404"/>
      <c r="P108" s="404"/>
      <c r="Q108" s="404"/>
      <c r="R108" s="386">
        <f t="shared" si="1"/>
        <v>0</v>
      </c>
    </row>
    <row r="109" spans="1:20">
      <c r="A109" s="407"/>
      <c r="B109" s="416"/>
      <c r="C109" s="416"/>
      <c r="D109" s="394" t="s">
        <v>506</v>
      </c>
      <c r="E109" s="422">
        <v>511</v>
      </c>
      <c r="F109" s="404"/>
      <c r="G109" s="404"/>
      <c r="H109" s="404"/>
      <c r="I109" s="404"/>
      <c r="J109" s="404"/>
      <c r="K109" s="404"/>
      <c r="L109" s="404"/>
      <c r="M109" s="404"/>
      <c r="N109" s="404"/>
      <c r="O109" s="404"/>
      <c r="P109" s="404"/>
      <c r="Q109" s="404"/>
      <c r="R109" s="386">
        <f t="shared" si="1"/>
        <v>0</v>
      </c>
    </row>
    <row r="110" spans="1:20">
      <c r="A110" s="407"/>
      <c r="B110" s="416"/>
      <c r="C110" s="416"/>
      <c r="D110" s="417" t="s">
        <v>511</v>
      </c>
      <c r="E110" s="430">
        <v>7118</v>
      </c>
      <c r="F110" s="410"/>
      <c r="G110" s="410"/>
      <c r="H110" s="410"/>
      <c r="I110" s="410"/>
      <c r="J110" s="410"/>
      <c r="K110" s="410"/>
      <c r="L110" s="410"/>
      <c r="M110" s="410"/>
      <c r="N110" s="410"/>
      <c r="O110" s="410"/>
      <c r="P110" s="410"/>
      <c r="Q110" s="410"/>
      <c r="R110" s="411">
        <f t="shared" si="1"/>
        <v>0</v>
      </c>
    </row>
    <row r="111" spans="1:20">
      <c r="A111" s="535">
        <v>18</v>
      </c>
      <c r="B111" s="536" t="s">
        <v>554</v>
      </c>
      <c r="C111" s="536" t="s">
        <v>555</v>
      </c>
      <c r="D111" s="537" t="s">
        <v>505</v>
      </c>
      <c r="E111" s="538">
        <v>511</v>
      </c>
      <c r="F111" s="539"/>
      <c r="G111" s="539"/>
      <c r="H111" s="539"/>
      <c r="I111" s="539"/>
      <c r="J111" s="539"/>
      <c r="K111" s="539"/>
      <c r="L111" s="539"/>
      <c r="M111" s="539"/>
      <c r="N111" s="539"/>
      <c r="O111" s="539"/>
      <c r="P111" s="539"/>
      <c r="Q111" s="539"/>
      <c r="R111" s="540">
        <f t="shared" si="1"/>
        <v>0</v>
      </c>
    </row>
    <row r="112" spans="1:20">
      <c r="A112" s="407"/>
      <c r="B112" s="416"/>
      <c r="C112" s="416"/>
      <c r="D112" s="417" t="s">
        <v>515</v>
      </c>
      <c r="E112" s="422">
        <v>511</v>
      </c>
      <c r="F112" s="404"/>
      <c r="G112" s="404"/>
      <c r="H112" s="404"/>
      <c r="I112" s="404"/>
      <c r="J112" s="404"/>
      <c r="K112" s="404"/>
      <c r="L112" s="404"/>
      <c r="M112" s="404"/>
      <c r="N112" s="404"/>
      <c r="O112" s="404"/>
      <c r="P112" s="404"/>
      <c r="Q112" s="404"/>
      <c r="R112" s="386">
        <f t="shared" si="1"/>
        <v>0</v>
      </c>
    </row>
    <row r="113" spans="1:19">
      <c r="A113" s="407"/>
      <c r="B113" s="416"/>
      <c r="C113" s="416"/>
      <c r="D113" s="394" t="s">
        <v>506</v>
      </c>
      <c r="E113" s="422">
        <v>511</v>
      </c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404"/>
      <c r="Q113" s="404"/>
      <c r="R113" s="386">
        <f t="shared" si="1"/>
        <v>0</v>
      </c>
    </row>
    <row r="114" spans="1:19">
      <c r="A114" s="407"/>
      <c r="B114" s="416"/>
      <c r="C114" s="416"/>
      <c r="D114" s="417" t="s">
        <v>511</v>
      </c>
      <c r="E114" s="431">
        <v>7118</v>
      </c>
      <c r="F114" s="410"/>
      <c r="G114" s="410"/>
      <c r="H114" s="410"/>
      <c r="I114" s="410"/>
      <c r="J114" s="410"/>
      <c r="K114" s="410"/>
      <c r="L114" s="410"/>
      <c r="M114" s="410"/>
      <c r="N114" s="410"/>
      <c r="O114" s="410"/>
      <c r="P114" s="410"/>
      <c r="Q114" s="410"/>
      <c r="R114" s="411">
        <f t="shared" si="1"/>
        <v>0</v>
      </c>
    </row>
    <row r="115" spans="1:19">
      <c r="A115" s="535">
        <v>19</v>
      </c>
      <c r="B115" s="536" t="s">
        <v>556</v>
      </c>
      <c r="C115" s="536" t="s">
        <v>557</v>
      </c>
      <c r="D115" s="537" t="s">
        <v>505</v>
      </c>
      <c r="E115" s="538">
        <v>511</v>
      </c>
      <c r="F115" s="539"/>
      <c r="G115" s="539"/>
      <c r="H115" s="539"/>
      <c r="I115" s="539"/>
      <c r="J115" s="539"/>
      <c r="K115" s="539"/>
      <c r="L115" s="539"/>
      <c r="M115" s="539"/>
      <c r="N115" s="539"/>
      <c r="O115" s="539"/>
      <c r="P115" s="539"/>
      <c r="Q115" s="539"/>
      <c r="R115" s="540">
        <f t="shared" si="1"/>
        <v>0</v>
      </c>
      <c r="S115" s="413"/>
    </row>
    <row r="116" spans="1:19">
      <c r="A116" s="407"/>
      <c r="B116" s="414"/>
      <c r="C116" s="414"/>
      <c r="D116" s="394" t="s">
        <v>515</v>
      </c>
      <c r="E116" s="422">
        <v>511</v>
      </c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404"/>
      <c r="Q116" s="404"/>
      <c r="R116" s="386">
        <f t="shared" si="1"/>
        <v>0</v>
      </c>
    </row>
    <row r="117" spans="1:19">
      <c r="A117" s="407"/>
      <c r="B117" s="429"/>
      <c r="C117" s="429"/>
      <c r="D117" s="432" t="s">
        <v>511</v>
      </c>
      <c r="E117" s="422">
        <v>511</v>
      </c>
      <c r="F117" s="433"/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1">
        <f t="shared" si="1"/>
        <v>0</v>
      </c>
    </row>
    <row r="118" spans="1:19">
      <c r="A118" s="426">
        <v>20</v>
      </c>
      <c r="B118" s="536" t="s">
        <v>558</v>
      </c>
      <c r="C118" s="536" t="s">
        <v>559</v>
      </c>
      <c r="D118" s="537" t="s">
        <v>505</v>
      </c>
      <c r="E118" s="434">
        <v>511</v>
      </c>
      <c r="F118" s="541"/>
      <c r="G118" s="539"/>
      <c r="H118" s="539"/>
      <c r="I118" s="539"/>
      <c r="J118" s="539"/>
      <c r="K118" s="539"/>
      <c r="L118" s="539"/>
      <c r="M118" s="539"/>
      <c r="N118" s="539"/>
      <c r="O118" s="539"/>
      <c r="P118" s="539"/>
      <c r="Q118" s="539"/>
      <c r="R118" s="540">
        <f t="shared" si="1"/>
        <v>0</v>
      </c>
    </row>
    <row r="119" spans="1:19">
      <c r="A119" s="407"/>
      <c r="B119" s="414"/>
      <c r="C119" s="414"/>
      <c r="D119" s="394" t="s">
        <v>515</v>
      </c>
      <c r="E119" s="431">
        <v>511</v>
      </c>
      <c r="F119" s="403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386">
        <f t="shared" si="1"/>
        <v>0</v>
      </c>
    </row>
    <row r="120" spans="1:19">
      <c r="A120" s="407"/>
      <c r="B120" s="429"/>
      <c r="C120" s="429"/>
      <c r="D120" s="432" t="s">
        <v>511</v>
      </c>
      <c r="E120" s="431">
        <v>7118</v>
      </c>
      <c r="F120" s="433"/>
      <c r="G120" s="410"/>
      <c r="H120" s="410"/>
      <c r="I120" s="410"/>
      <c r="J120" s="410"/>
      <c r="K120" s="410"/>
      <c r="L120" s="410"/>
      <c r="M120" s="410"/>
      <c r="N120" s="410"/>
      <c r="O120" s="410"/>
      <c r="P120" s="410"/>
      <c r="Q120" s="410"/>
      <c r="R120" s="411">
        <f t="shared" si="1"/>
        <v>0</v>
      </c>
    </row>
    <row r="121" spans="1:19">
      <c r="A121" s="426">
        <v>21</v>
      </c>
      <c r="B121" s="536" t="s">
        <v>560</v>
      </c>
      <c r="C121" s="536" t="s">
        <v>561</v>
      </c>
      <c r="D121" s="537" t="s">
        <v>505</v>
      </c>
      <c r="E121" s="424">
        <v>511</v>
      </c>
      <c r="F121" s="539"/>
      <c r="G121" s="539"/>
      <c r="H121" s="539"/>
      <c r="I121" s="539"/>
      <c r="J121" s="539"/>
      <c r="K121" s="539"/>
      <c r="L121" s="539"/>
      <c r="M121" s="539"/>
      <c r="N121" s="539"/>
      <c r="O121" s="539"/>
      <c r="P121" s="539"/>
      <c r="Q121" s="539"/>
      <c r="R121" s="540">
        <f t="shared" si="1"/>
        <v>0</v>
      </c>
    </row>
    <row r="122" spans="1:19">
      <c r="A122" s="405"/>
      <c r="B122" s="414"/>
      <c r="C122" s="414"/>
      <c r="D122" s="394" t="s">
        <v>515</v>
      </c>
      <c r="E122" s="395">
        <v>511</v>
      </c>
      <c r="F122" s="404"/>
      <c r="G122" s="404"/>
      <c r="H122" s="404"/>
      <c r="I122" s="404"/>
      <c r="J122" s="404"/>
      <c r="K122" s="404"/>
      <c r="L122" s="404"/>
      <c r="M122" s="404"/>
      <c r="N122" s="404"/>
      <c r="O122" s="404"/>
      <c r="P122" s="404"/>
      <c r="Q122" s="404"/>
      <c r="R122" s="421">
        <f t="shared" si="1"/>
        <v>0</v>
      </c>
    </row>
    <row r="123" spans="1:19">
      <c r="A123" s="396"/>
      <c r="B123" s="429"/>
      <c r="C123" s="429"/>
      <c r="D123" s="432" t="s">
        <v>511</v>
      </c>
      <c r="E123" s="430">
        <v>7118</v>
      </c>
      <c r="F123" s="400"/>
      <c r="G123" s="400"/>
      <c r="H123" s="400"/>
      <c r="I123" s="400"/>
      <c r="J123" s="400"/>
      <c r="K123" s="400"/>
      <c r="L123" s="400"/>
      <c r="M123" s="400"/>
      <c r="N123" s="400"/>
      <c r="O123" s="400"/>
      <c r="P123" s="400"/>
      <c r="Q123" s="400"/>
      <c r="R123" s="401">
        <f t="shared" si="1"/>
        <v>0</v>
      </c>
    </row>
    <row r="124" spans="1:19">
      <c r="A124" s="535">
        <v>22</v>
      </c>
      <c r="B124" s="536" t="s">
        <v>562</v>
      </c>
      <c r="C124" s="536" t="s">
        <v>563</v>
      </c>
      <c r="D124" s="537" t="s">
        <v>505</v>
      </c>
      <c r="E124" s="538">
        <v>511</v>
      </c>
      <c r="F124" s="539"/>
      <c r="G124" s="539"/>
      <c r="H124" s="539"/>
      <c r="I124" s="539"/>
      <c r="J124" s="539"/>
      <c r="K124" s="539"/>
      <c r="L124" s="539"/>
      <c r="M124" s="539"/>
      <c r="N124" s="539"/>
      <c r="O124" s="539"/>
      <c r="P124" s="539"/>
      <c r="Q124" s="539"/>
      <c r="R124" s="540">
        <f t="shared" si="1"/>
        <v>0</v>
      </c>
    </row>
    <row r="125" spans="1:19">
      <c r="A125" s="405"/>
      <c r="B125" s="414"/>
      <c r="C125" s="414"/>
      <c r="D125" s="394" t="s">
        <v>515</v>
      </c>
      <c r="E125" s="422">
        <v>511</v>
      </c>
      <c r="F125" s="410"/>
      <c r="G125" s="410"/>
      <c r="H125" s="410"/>
      <c r="I125" s="410"/>
      <c r="J125" s="410"/>
      <c r="K125" s="410"/>
      <c r="L125" s="410"/>
      <c r="M125" s="410"/>
      <c r="N125" s="410"/>
      <c r="O125" s="410"/>
      <c r="P125" s="410"/>
      <c r="Q125" s="410"/>
      <c r="R125" s="421">
        <f t="shared" si="1"/>
        <v>0</v>
      </c>
    </row>
    <row r="126" spans="1:19">
      <c r="A126" s="435"/>
      <c r="B126" s="436"/>
      <c r="C126" s="436"/>
      <c r="D126" s="436" t="s">
        <v>511</v>
      </c>
      <c r="E126" s="431">
        <v>7118</v>
      </c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1">
        <f t="shared" si="1"/>
        <v>0</v>
      </c>
    </row>
    <row r="127" spans="1:19">
      <c r="A127" s="437" t="s">
        <v>564</v>
      </c>
      <c r="B127" s="376" t="s">
        <v>565</v>
      </c>
      <c r="C127" s="376"/>
      <c r="D127" s="376"/>
      <c r="E127" s="376"/>
      <c r="F127" s="522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438"/>
    </row>
    <row r="128" spans="1:19">
      <c r="A128" s="380">
        <v>1</v>
      </c>
      <c r="B128" s="381" t="s">
        <v>503</v>
      </c>
      <c r="C128" s="381" t="s">
        <v>504</v>
      </c>
      <c r="D128" s="388" t="s">
        <v>566</v>
      </c>
      <c r="E128" s="383">
        <v>641</v>
      </c>
      <c r="F128" s="404"/>
      <c r="G128" s="404"/>
      <c r="H128" s="404"/>
      <c r="I128" s="404"/>
      <c r="J128" s="404"/>
      <c r="K128" s="404"/>
      <c r="L128" s="404"/>
      <c r="M128" s="404"/>
      <c r="N128" s="404"/>
      <c r="O128" s="404"/>
      <c r="P128" s="404"/>
      <c r="Q128" s="404"/>
      <c r="R128" s="386">
        <f t="shared" ref="R128:R199" si="2">SUM(F128:Q128)</f>
        <v>0</v>
      </c>
      <c r="S128" s="413"/>
    </row>
    <row r="129" spans="1:18">
      <c r="A129" s="405"/>
      <c r="B129" s="479"/>
      <c r="C129" s="498"/>
      <c r="D129" s="391" t="s">
        <v>567</v>
      </c>
      <c r="E129" s="383">
        <v>642</v>
      </c>
      <c r="F129" s="404"/>
      <c r="G129" s="404"/>
      <c r="H129" s="404"/>
      <c r="I129" s="404"/>
      <c r="J129" s="404"/>
      <c r="K129" s="404"/>
      <c r="L129" s="404"/>
      <c r="M129" s="404"/>
      <c r="N129" s="404"/>
      <c r="O129" s="404"/>
      <c r="P129" s="404"/>
      <c r="Q129" s="404"/>
      <c r="R129" s="386">
        <f t="shared" si="2"/>
        <v>0</v>
      </c>
    </row>
    <row r="130" spans="1:18">
      <c r="A130" s="405"/>
      <c r="B130" s="479"/>
      <c r="C130" s="498"/>
      <c r="D130" s="388" t="s">
        <v>568</v>
      </c>
      <c r="E130" s="383">
        <v>627</v>
      </c>
      <c r="F130" s="404"/>
      <c r="G130" s="404"/>
      <c r="H130" s="404"/>
      <c r="I130" s="404"/>
      <c r="J130" s="404"/>
      <c r="K130" s="404"/>
      <c r="L130" s="404"/>
      <c r="M130" s="404"/>
      <c r="N130" s="404"/>
      <c r="O130" s="404"/>
      <c r="P130" s="404"/>
      <c r="Q130" s="404"/>
      <c r="R130" s="386">
        <f t="shared" si="2"/>
        <v>0</v>
      </c>
    </row>
    <row r="131" spans="1:18">
      <c r="A131" s="405"/>
      <c r="B131" s="479"/>
      <c r="C131" s="498"/>
      <c r="D131" s="391" t="s">
        <v>569</v>
      </c>
      <c r="E131" s="383">
        <v>211</v>
      </c>
      <c r="F131" s="404"/>
      <c r="G131" s="404"/>
      <c r="H131" s="404"/>
      <c r="I131" s="404"/>
      <c r="J131" s="404"/>
      <c r="K131" s="404"/>
      <c r="L131" s="404"/>
      <c r="M131" s="404"/>
      <c r="N131" s="404"/>
      <c r="O131" s="404"/>
      <c r="P131" s="404"/>
      <c r="Q131" s="404"/>
      <c r="R131" s="386">
        <f t="shared" si="2"/>
        <v>0</v>
      </c>
    </row>
    <row r="132" spans="1:18">
      <c r="A132" s="405"/>
      <c r="B132" s="479"/>
      <c r="C132" s="498"/>
      <c r="D132" s="391" t="s">
        <v>570</v>
      </c>
      <c r="E132" s="383">
        <v>153</v>
      </c>
      <c r="F132" s="404"/>
      <c r="G132" s="404"/>
      <c r="H132" s="404"/>
      <c r="I132" s="404"/>
      <c r="J132" s="404"/>
      <c r="K132" s="404"/>
      <c r="L132" s="404"/>
      <c r="M132" s="404"/>
      <c r="N132" s="404"/>
      <c r="O132" s="404"/>
      <c r="P132" s="404"/>
      <c r="Q132" s="404"/>
      <c r="R132" s="386">
        <f t="shared" si="2"/>
        <v>0</v>
      </c>
    </row>
    <row r="133" spans="1:18">
      <c r="A133" s="405"/>
      <c r="B133" s="479"/>
      <c r="C133" s="498"/>
      <c r="D133" s="391" t="s">
        <v>571</v>
      </c>
      <c r="E133" s="383">
        <v>642</v>
      </c>
      <c r="F133" s="404"/>
      <c r="G133" s="404"/>
      <c r="H133" s="404"/>
      <c r="I133" s="404"/>
      <c r="J133" s="404"/>
      <c r="K133" s="404"/>
      <c r="L133" s="404"/>
      <c r="M133" s="404"/>
      <c r="N133" s="404"/>
      <c r="O133" s="404"/>
      <c r="P133" s="404"/>
      <c r="Q133" s="404"/>
      <c r="R133" s="439">
        <f t="shared" si="2"/>
        <v>0</v>
      </c>
    </row>
    <row r="134" spans="1:18">
      <c r="A134" s="396"/>
      <c r="B134" s="475"/>
      <c r="C134" s="475"/>
      <c r="D134" s="397" t="s">
        <v>572</v>
      </c>
      <c r="E134" s="440"/>
      <c r="F134" s="524"/>
      <c r="G134" s="445"/>
      <c r="H134" s="445"/>
      <c r="I134" s="445"/>
      <c r="J134" s="445"/>
      <c r="K134" s="445"/>
      <c r="L134" s="445"/>
      <c r="M134" s="445"/>
      <c r="N134" s="445"/>
      <c r="O134" s="445"/>
      <c r="P134" s="445"/>
      <c r="Q134" s="445"/>
      <c r="R134" s="441">
        <f t="shared" si="2"/>
        <v>0</v>
      </c>
    </row>
    <row r="135" spans="1:18">
      <c r="A135" s="535">
        <v>2</v>
      </c>
      <c r="B135" s="536" t="s">
        <v>513</v>
      </c>
      <c r="C135" s="536" t="s">
        <v>514</v>
      </c>
      <c r="D135" s="537" t="s">
        <v>573</v>
      </c>
      <c r="E135" s="442">
        <v>1548</v>
      </c>
      <c r="F135" s="385"/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6">
        <f t="shared" si="2"/>
        <v>0</v>
      </c>
    </row>
    <row r="136" spans="1:18">
      <c r="A136" s="380"/>
      <c r="B136" s="414"/>
      <c r="C136" s="414"/>
      <c r="D136" s="394" t="s">
        <v>574</v>
      </c>
      <c r="E136" s="442">
        <v>152</v>
      </c>
      <c r="F136" s="385"/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6">
        <f t="shared" si="2"/>
        <v>0</v>
      </c>
    </row>
    <row r="137" spans="1:18">
      <c r="A137" s="380"/>
      <c r="B137" s="414"/>
      <c r="C137" s="414"/>
      <c r="D137" s="394" t="s">
        <v>575</v>
      </c>
      <c r="E137" s="442" t="s">
        <v>576</v>
      </c>
      <c r="F137" s="385"/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6">
        <f t="shared" si="2"/>
        <v>0</v>
      </c>
    </row>
    <row r="138" spans="1:18">
      <c r="A138" s="405"/>
      <c r="B138" s="414"/>
      <c r="C138" s="414"/>
      <c r="D138" s="394" t="s">
        <v>577</v>
      </c>
      <c r="E138" s="443">
        <v>641</v>
      </c>
      <c r="F138" s="385"/>
      <c r="G138" s="385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6">
        <f t="shared" si="2"/>
        <v>0</v>
      </c>
    </row>
    <row r="139" spans="1:18">
      <c r="A139" s="405"/>
      <c r="B139" s="414"/>
      <c r="C139" s="414"/>
      <c r="D139" s="394" t="s">
        <v>569</v>
      </c>
      <c r="E139" s="443">
        <v>211</v>
      </c>
      <c r="F139" s="385"/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6">
        <f t="shared" si="2"/>
        <v>0</v>
      </c>
    </row>
    <row r="140" spans="1:18">
      <c r="A140" s="407"/>
      <c r="B140" s="416"/>
      <c r="C140" s="416"/>
      <c r="D140" s="417" t="s">
        <v>572</v>
      </c>
      <c r="E140" s="431"/>
      <c r="F140" s="444"/>
      <c r="G140" s="444"/>
      <c r="H140" s="444"/>
      <c r="I140" s="444"/>
      <c r="J140" s="444"/>
      <c r="K140" s="444"/>
      <c r="L140" s="444"/>
      <c r="M140" s="444"/>
      <c r="N140" s="444"/>
      <c r="O140" s="444"/>
      <c r="P140" s="444"/>
      <c r="Q140" s="444"/>
      <c r="R140" s="411">
        <f t="shared" si="2"/>
        <v>0</v>
      </c>
    </row>
    <row r="141" spans="1:18">
      <c r="A141" s="535">
        <v>3</v>
      </c>
      <c r="B141" s="536" t="s">
        <v>519</v>
      </c>
      <c r="C141" s="536" t="s">
        <v>520</v>
      </c>
      <c r="D141" s="537" t="s">
        <v>578</v>
      </c>
      <c r="E141" s="543" t="s">
        <v>576</v>
      </c>
      <c r="F141" s="541"/>
      <c r="G141" s="541"/>
      <c r="H141" s="541"/>
      <c r="I141" s="541"/>
      <c r="J141" s="541"/>
      <c r="K141" s="541"/>
      <c r="L141" s="541"/>
      <c r="M141" s="541"/>
      <c r="N141" s="541"/>
      <c r="O141" s="541"/>
      <c r="P141" s="541"/>
      <c r="Q141" s="541"/>
      <c r="R141" s="540">
        <f t="shared" si="2"/>
        <v>0</v>
      </c>
    </row>
    <row r="142" spans="1:18">
      <c r="A142" s="405"/>
      <c r="B142" s="414"/>
      <c r="C142" s="414"/>
      <c r="D142" s="394" t="s">
        <v>574</v>
      </c>
      <c r="E142" s="442">
        <v>152</v>
      </c>
      <c r="F142" s="385"/>
      <c r="G142" s="385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6">
        <f t="shared" si="2"/>
        <v>0</v>
      </c>
    </row>
    <row r="143" spans="1:18">
      <c r="A143" s="405"/>
      <c r="B143" s="414"/>
      <c r="C143" s="414"/>
      <c r="D143" s="394" t="s">
        <v>575</v>
      </c>
      <c r="E143" s="442" t="s">
        <v>576</v>
      </c>
      <c r="F143" s="385"/>
      <c r="G143" s="385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6">
        <f t="shared" si="2"/>
        <v>0</v>
      </c>
    </row>
    <row r="144" spans="1:18">
      <c r="A144" s="405"/>
      <c r="B144" s="414"/>
      <c r="C144" s="414"/>
      <c r="D144" s="394" t="s">
        <v>569</v>
      </c>
      <c r="E144" s="443">
        <v>211</v>
      </c>
      <c r="F144" s="385"/>
      <c r="G144" s="385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6">
        <f t="shared" si="2"/>
        <v>0</v>
      </c>
    </row>
    <row r="145" spans="1:18">
      <c r="A145" s="407"/>
      <c r="B145" s="416"/>
      <c r="C145" s="416"/>
      <c r="D145" s="417" t="s">
        <v>572</v>
      </c>
      <c r="E145" s="431"/>
      <c r="F145" s="444"/>
      <c r="G145" s="444"/>
      <c r="H145" s="444"/>
      <c r="I145" s="444"/>
      <c r="J145" s="444"/>
      <c r="K145" s="444"/>
      <c r="L145" s="444"/>
      <c r="M145" s="444"/>
      <c r="N145" s="444"/>
      <c r="O145" s="444"/>
      <c r="P145" s="444"/>
      <c r="Q145" s="444"/>
      <c r="R145" s="411">
        <f t="shared" si="2"/>
        <v>0</v>
      </c>
    </row>
    <row r="146" spans="1:18">
      <c r="A146" s="535">
        <v>4</v>
      </c>
      <c r="B146" s="536" t="s">
        <v>522</v>
      </c>
      <c r="C146" s="536" t="s">
        <v>523</v>
      </c>
      <c r="D146" s="537" t="s">
        <v>578</v>
      </c>
      <c r="E146" s="543" t="s">
        <v>576</v>
      </c>
      <c r="F146" s="541"/>
      <c r="G146" s="541"/>
      <c r="H146" s="541"/>
      <c r="I146" s="541"/>
      <c r="J146" s="541"/>
      <c r="K146" s="541"/>
      <c r="L146" s="541"/>
      <c r="M146" s="541"/>
      <c r="N146" s="541"/>
      <c r="O146" s="541"/>
      <c r="P146" s="541"/>
      <c r="Q146" s="541"/>
      <c r="R146" s="540">
        <f t="shared" si="2"/>
        <v>0</v>
      </c>
    </row>
    <row r="147" spans="1:18">
      <c r="A147" s="405"/>
      <c r="B147" s="414"/>
      <c r="C147" s="414"/>
      <c r="D147" s="394" t="s">
        <v>574</v>
      </c>
      <c r="E147" s="442">
        <v>152</v>
      </c>
      <c r="F147" s="385"/>
      <c r="G147" s="385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6">
        <f t="shared" si="2"/>
        <v>0</v>
      </c>
    </row>
    <row r="148" spans="1:18">
      <c r="A148" s="405"/>
      <c r="B148" s="414"/>
      <c r="C148" s="414"/>
      <c r="D148" s="394" t="s">
        <v>575</v>
      </c>
      <c r="E148" s="442" t="s">
        <v>576</v>
      </c>
      <c r="F148" s="385"/>
      <c r="G148" s="385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6">
        <f t="shared" si="2"/>
        <v>0</v>
      </c>
    </row>
    <row r="149" spans="1:18">
      <c r="A149" s="405"/>
      <c r="B149" s="414"/>
      <c r="C149" s="414"/>
      <c r="D149" s="394" t="s">
        <v>569</v>
      </c>
      <c r="E149" s="443">
        <v>211</v>
      </c>
      <c r="F149" s="385"/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6">
        <f t="shared" si="2"/>
        <v>0</v>
      </c>
    </row>
    <row r="150" spans="1:18">
      <c r="A150" s="405"/>
      <c r="B150" s="414"/>
      <c r="C150" s="414"/>
      <c r="D150" s="394" t="s">
        <v>572</v>
      </c>
      <c r="E150" s="443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6">
        <f t="shared" si="2"/>
        <v>0</v>
      </c>
    </row>
    <row r="151" spans="1:18">
      <c r="A151" s="535">
        <v>5</v>
      </c>
      <c r="B151" s="536" t="s">
        <v>524</v>
      </c>
      <c r="C151" s="536" t="s">
        <v>525</v>
      </c>
      <c r="D151" s="537" t="s">
        <v>573</v>
      </c>
      <c r="E151" s="543">
        <v>1548</v>
      </c>
      <c r="F151" s="541"/>
      <c r="G151" s="541"/>
      <c r="H151" s="541"/>
      <c r="I151" s="541"/>
      <c r="J151" s="541"/>
      <c r="K151" s="541"/>
      <c r="L151" s="541"/>
      <c r="M151" s="541"/>
      <c r="N151" s="541"/>
      <c r="O151" s="541"/>
      <c r="P151" s="541"/>
      <c r="Q151" s="541"/>
      <c r="R151" s="540">
        <f t="shared" si="2"/>
        <v>0</v>
      </c>
    </row>
    <row r="152" spans="1:18">
      <c r="A152" s="407"/>
      <c r="B152" s="416"/>
      <c r="C152" s="416"/>
      <c r="D152" s="417" t="s">
        <v>574</v>
      </c>
      <c r="E152" s="442">
        <v>152</v>
      </c>
      <c r="F152" s="385"/>
      <c r="G152" s="385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6">
        <f t="shared" si="2"/>
        <v>0</v>
      </c>
    </row>
    <row r="153" spans="1:18">
      <c r="A153" s="407"/>
      <c r="B153" s="416"/>
      <c r="C153" s="416"/>
      <c r="D153" s="394" t="s">
        <v>579</v>
      </c>
      <c r="E153" s="443">
        <v>641</v>
      </c>
      <c r="F153" s="385"/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6">
        <f t="shared" si="2"/>
        <v>0</v>
      </c>
    </row>
    <row r="154" spans="1:18">
      <c r="A154" s="407"/>
      <c r="B154" s="416"/>
      <c r="C154" s="416"/>
      <c r="D154" s="417" t="s">
        <v>568</v>
      </c>
      <c r="E154" s="443">
        <v>627</v>
      </c>
      <c r="F154" s="385"/>
      <c r="G154" s="385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6">
        <f t="shared" si="2"/>
        <v>0</v>
      </c>
    </row>
    <row r="155" spans="1:18">
      <c r="A155" s="407"/>
      <c r="B155" s="416"/>
      <c r="C155" s="416"/>
      <c r="D155" s="417" t="s">
        <v>572</v>
      </c>
      <c r="E155" s="431"/>
      <c r="F155" s="444"/>
      <c r="G155" s="444"/>
      <c r="H155" s="444"/>
      <c r="I155" s="444"/>
      <c r="J155" s="444"/>
      <c r="K155" s="444"/>
      <c r="L155" s="444"/>
      <c r="M155" s="444"/>
      <c r="N155" s="444"/>
      <c r="O155" s="444"/>
      <c r="P155" s="444"/>
      <c r="Q155" s="444"/>
      <c r="R155" s="411">
        <f t="shared" si="2"/>
        <v>0</v>
      </c>
    </row>
    <row r="156" spans="1:18">
      <c r="A156" s="535">
        <v>6</v>
      </c>
      <c r="B156" s="536" t="s">
        <v>527</v>
      </c>
      <c r="C156" s="536" t="s">
        <v>528</v>
      </c>
      <c r="D156" s="537" t="s">
        <v>573</v>
      </c>
      <c r="E156" s="543">
        <v>1548</v>
      </c>
      <c r="F156" s="541"/>
      <c r="G156" s="541"/>
      <c r="H156" s="541"/>
      <c r="I156" s="541"/>
      <c r="J156" s="541"/>
      <c r="K156" s="541"/>
      <c r="L156" s="541"/>
      <c r="M156" s="541"/>
      <c r="N156" s="541"/>
      <c r="O156" s="541"/>
      <c r="P156" s="541"/>
      <c r="Q156" s="541"/>
      <c r="R156" s="540">
        <f t="shared" si="2"/>
        <v>0</v>
      </c>
    </row>
    <row r="157" spans="1:18">
      <c r="A157" s="380"/>
      <c r="B157" s="414"/>
      <c r="C157" s="414"/>
      <c r="D157" s="394" t="s">
        <v>574</v>
      </c>
      <c r="E157" s="443">
        <v>152</v>
      </c>
      <c r="F157" s="385"/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6">
        <f t="shared" si="2"/>
        <v>0</v>
      </c>
    </row>
    <row r="158" spans="1:18">
      <c r="A158" s="380"/>
      <c r="B158" s="414"/>
      <c r="C158" s="414"/>
      <c r="D158" s="394" t="s">
        <v>575</v>
      </c>
      <c r="E158" s="442" t="s">
        <v>576</v>
      </c>
      <c r="F158" s="385"/>
      <c r="G158" s="385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6">
        <f t="shared" si="2"/>
        <v>0</v>
      </c>
    </row>
    <row r="159" spans="1:18">
      <c r="A159" s="380"/>
      <c r="B159" s="414"/>
      <c r="C159" s="414"/>
      <c r="D159" s="394" t="s">
        <v>568</v>
      </c>
      <c r="E159" s="443">
        <v>627</v>
      </c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6">
        <f t="shared" si="2"/>
        <v>0</v>
      </c>
    </row>
    <row r="160" spans="1:18">
      <c r="A160" s="380"/>
      <c r="B160" s="414"/>
      <c r="C160" s="414"/>
      <c r="D160" s="394" t="s">
        <v>570</v>
      </c>
      <c r="E160" s="443">
        <v>153</v>
      </c>
      <c r="F160" s="385"/>
      <c r="G160" s="385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6">
        <f t="shared" si="2"/>
        <v>0</v>
      </c>
    </row>
    <row r="161" spans="1:18">
      <c r="A161" s="380"/>
      <c r="B161" s="414"/>
      <c r="C161" s="414"/>
      <c r="D161" s="394" t="s">
        <v>569</v>
      </c>
      <c r="E161" s="443">
        <v>211</v>
      </c>
      <c r="F161" s="385"/>
      <c r="G161" s="385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6">
        <f t="shared" si="2"/>
        <v>0</v>
      </c>
    </row>
    <row r="162" spans="1:18">
      <c r="A162" s="380"/>
      <c r="B162" s="414"/>
      <c r="C162" s="418"/>
      <c r="D162" s="406" t="s">
        <v>508</v>
      </c>
      <c r="E162" s="442">
        <v>635</v>
      </c>
      <c r="F162" s="385"/>
      <c r="G162" s="385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6">
        <f t="shared" si="2"/>
        <v>0</v>
      </c>
    </row>
    <row r="163" spans="1:18">
      <c r="A163" s="407"/>
      <c r="B163" s="498"/>
      <c r="C163" s="498"/>
      <c r="D163" s="391" t="s">
        <v>572</v>
      </c>
      <c r="E163" s="391"/>
      <c r="F163" s="444"/>
      <c r="G163" s="444"/>
      <c r="H163" s="444"/>
      <c r="I163" s="444"/>
      <c r="J163" s="444"/>
      <c r="K163" s="444"/>
      <c r="L163" s="444"/>
      <c r="M163" s="444"/>
      <c r="N163" s="444"/>
      <c r="O163" s="444"/>
      <c r="P163" s="444"/>
      <c r="Q163" s="444"/>
      <c r="R163" s="411">
        <f t="shared" si="2"/>
        <v>0</v>
      </c>
    </row>
    <row r="164" spans="1:18">
      <c r="A164" s="535">
        <v>7</v>
      </c>
      <c r="B164" s="536" t="s">
        <v>531</v>
      </c>
      <c r="C164" s="536" t="s">
        <v>532</v>
      </c>
      <c r="D164" s="544" t="s">
        <v>573</v>
      </c>
      <c r="E164" s="545">
        <v>1548</v>
      </c>
      <c r="F164" s="541"/>
      <c r="G164" s="541"/>
      <c r="H164" s="541"/>
      <c r="I164" s="541"/>
      <c r="J164" s="541"/>
      <c r="K164" s="541"/>
      <c r="L164" s="541"/>
      <c r="M164" s="541"/>
      <c r="N164" s="541"/>
      <c r="O164" s="541"/>
      <c r="P164" s="541"/>
      <c r="Q164" s="541"/>
      <c r="R164" s="540">
        <f t="shared" si="2"/>
        <v>0</v>
      </c>
    </row>
    <row r="165" spans="1:18">
      <c r="A165" s="405"/>
      <c r="B165" s="479"/>
      <c r="C165" s="479"/>
      <c r="D165" s="388" t="s">
        <v>574</v>
      </c>
      <c r="E165" s="392">
        <v>152</v>
      </c>
      <c r="F165" s="403"/>
      <c r="G165" s="403"/>
      <c r="H165" s="403"/>
      <c r="I165" s="403"/>
      <c r="J165" s="403"/>
      <c r="K165" s="403"/>
      <c r="L165" s="403"/>
      <c r="M165" s="403"/>
      <c r="N165" s="403"/>
      <c r="O165" s="403"/>
      <c r="P165" s="403"/>
      <c r="Q165" s="403"/>
      <c r="R165" s="421">
        <f t="shared" si="2"/>
        <v>0</v>
      </c>
    </row>
    <row r="166" spans="1:18">
      <c r="A166" s="405"/>
      <c r="B166" s="479"/>
      <c r="C166" s="479"/>
      <c r="D166" s="388" t="s">
        <v>575</v>
      </c>
      <c r="E166" s="392" t="s">
        <v>576</v>
      </c>
      <c r="F166" s="403"/>
      <c r="G166" s="403"/>
      <c r="H166" s="403"/>
      <c r="I166" s="403"/>
      <c r="J166" s="403"/>
      <c r="K166" s="403"/>
      <c r="L166" s="403"/>
      <c r="M166" s="403"/>
      <c r="N166" s="403"/>
      <c r="O166" s="403"/>
      <c r="P166" s="403"/>
      <c r="Q166" s="403"/>
      <c r="R166" s="421">
        <f t="shared" si="2"/>
        <v>0</v>
      </c>
    </row>
    <row r="167" spans="1:18">
      <c r="A167" s="405"/>
      <c r="B167" s="479"/>
      <c r="C167" s="479"/>
      <c r="D167" s="388" t="s">
        <v>568</v>
      </c>
      <c r="E167" s="392">
        <v>627</v>
      </c>
      <c r="F167" s="403"/>
      <c r="G167" s="403"/>
      <c r="H167" s="403"/>
      <c r="I167" s="403"/>
      <c r="J167" s="403"/>
      <c r="K167" s="403"/>
      <c r="L167" s="403"/>
      <c r="M167" s="403"/>
      <c r="N167" s="403"/>
      <c r="O167" s="403"/>
      <c r="P167" s="403"/>
      <c r="Q167" s="403"/>
      <c r="R167" s="421">
        <f t="shared" si="2"/>
        <v>0</v>
      </c>
    </row>
    <row r="168" spans="1:18">
      <c r="A168" s="405"/>
      <c r="B168" s="479"/>
      <c r="C168" s="479"/>
      <c r="D168" s="388" t="s">
        <v>570</v>
      </c>
      <c r="E168" s="392">
        <v>153</v>
      </c>
      <c r="F168" s="403"/>
      <c r="G168" s="403"/>
      <c r="H168" s="403"/>
      <c r="I168" s="403"/>
      <c r="J168" s="403"/>
      <c r="K168" s="403"/>
      <c r="L168" s="403"/>
      <c r="M168" s="403"/>
      <c r="N168" s="403"/>
      <c r="O168" s="403"/>
      <c r="P168" s="403"/>
      <c r="Q168" s="403"/>
      <c r="R168" s="421">
        <f t="shared" si="2"/>
        <v>0</v>
      </c>
    </row>
    <row r="169" spans="1:18">
      <c r="A169" s="405"/>
      <c r="B169" s="479"/>
      <c r="C169" s="479"/>
      <c r="D169" s="388" t="s">
        <v>569</v>
      </c>
      <c r="E169" s="392">
        <v>211</v>
      </c>
      <c r="F169" s="403"/>
      <c r="G169" s="403"/>
      <c r="H169" s="403"/>
      <c r="I169" s="403"/>
      <c r="J169" s="403"/>
      <c r="K169" s="403"/>
      <c r="L169" s="403"/>
      <c r="M169" s="403"/>
      <c r="N169" s="403"/>
      <c r="O169" s="403"/>
      <c r="P169" s="403"/>
      <c r="Q169" s="403"/>
      <c r="R169" s="421">
        <f t="shared" si="2"/>
        <v>0</v>
      </c>
    </row>
    <row r="170" spans="1:18">
      <c r="A170" s="405"/>
      <c r="B170" s="479"/>
      <c r="C170" s="479"/>
      <c r="D170" s="388" t="s">
        <v>508</v>
      </c>
      <c r="E170" s="392">
        <v>635</v>
      </c>
      <c r="F170" s="403"/>
      <c r="G170" s="403"/>
      <c r="H170" s="403"/>
      <c r="I170" s="403"/>
      <c r="J170" s="403"/>
      <c r="K170" s="403"/>
      <c r="L170" s="403"/>
      <c r="M170" s="403"/>
      <c r="N170" s="403"/>
      <c r="O170" s="403"/>
      <c r="P170" s="403"/>
      <c r="Q170" s="403"/>
      <c r="R170" s="421">
        <f t="shared" si="2"/>
        <v>0</v>
      </c>
    </row>
    <row r="171" spans="1:18">
      <c r="A171" s="396"/>
      <c r="B171" s="475"/>
      <c r="C171" s="475"/>
      <c r="D171" s="397" t="s">
        <v>572</v>
      </c>
      <c r="E171" s="440"/>
      <c r="F171" s="445"/>
      <c r="G171" s="445"/>
      <c r="H171" s="445"/>
      <c r="I171" s="445"/>
      <c r="J171" s="445"/>
      <c r="K171" s="445"/>
      <c r="L171" s="445"/>
      <c r="M171" s="445"/>
      <c r="N171" s="445"/>
      <c r="O171" s="445"/>
      <c r="P171" s="445"/>
      <c r="Q171" s="445"/>
      <c r="R171" s="401">
        <f t="shared" si="2"/>
        <v>0</v>
      </c>
    </row>
    <row r="172" spans="1:18">
      <c r="A172" s="535">
        <v>8</v>
      </c>
      <c r="B172" s="536" t="s">
        <v>533</v>
      </c>
      <c r="C172" s="536" t="s">
        <v>534</v>
      </c>
      <c r="D172" s="537" t="s">
        <v>573</v>
      </c>
      <c r="E172" s="543">
        <v>1548</v>
      </c>
      <c r="F172" s="541"/>
      <c r="G172" s="541"/>
      <c r="H172" s="541"/>
      <c r="I172" s="541"/>
      <c r="J172" s="541"/>
      <c r="K172" s="541"/>
      <c r="L172" s="541"/>
      <c r="M172" s="541"/>
      <c r="N172" s="541"/>
      <c r="O172" s="541"/>
      <c r="P172" s="541"/>
      <c r="Q172" s="541"/>
      <c r="R172" s="540">
        <f t="shared" si="2"/>
        <v>0</v>
      </c>
    </row>
    <row r="173" spans="1:18">
      <c r="A173" s="380"/>
      <c r="B173" s="418"/>
      <c r="C173" s="418"/>
      <c r="D173" s="394" t="s">
        <v>574</v>
      </c>
      <c r="E173" s="442">
        <v>152</v>
      </c>
      <c r="F173" s="385"/>
      <c r="G173" s="385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6">
        <f t="shared" si="2"/>
        <v>0</v>
      </c>
    </row>
    <row r="174" spans="1:18">
      <c r="A174" s="380"/>
      <c r="B174" s="418"/>
      <c r="C174" s="418"/>
      <c r="D174" s="394" t="s">
        <v>575</v>
      </c>
      <c r="E174" s="442" t="s">
        <v>576</v>
      </c>
      <c r="F174" s="385"/>
      <c r="G174" s="385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6">
        <f t="shared" si="2"/>
        <v>0</v>
      </c>
    </row>
    <row r="175" spans="1:18">
      <c r="A175" s="380"/>
      <c r="B175" s="418"/>
      <c r="C175" s="418"/>
      <c r="D175" s="394" t="s">
        <v>577</v>
      </c>
      <c r="E175" s="442">
        <v>627</v>
      </c>
      <c r="F175" s="385"/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6">
        <f t="shared" si="2"/>
        <v>0</v>
      </c>
    </row>
    <row r="176" spans="1:18">
      <c r="A176" s="380"/>
      <c r="B176" s="418"/>
      <c r="C176" s="418"/>
      <c r="D176" s="394" t="s">
        <v>568</v>
      </c>
      <c r="E176" s="443">
        <v>627</v>
      </c>
      <c r="F176" s="385"/>
      <c r="G176" s="385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386">
        <f t="shared" si="2"/>
        <v>0</v>
      </c>
    </row>
    <row r="177" spans="1:18">
      <c r="A177" s="380"/>
      <c r="B177" s="418"/>
      <c r="C177" s="418"/>
      <c r="D177" s="394" t="s">
        <v>570</v>
      </c>
      <c r="E177" s="443">
        <v>153</v>
      </c>
      <c r="F177" s="385"/>
      <c r="G177" s="385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6">
        <f t="shared" si="2"/>
        <v>0</v>
      </c>
    </row>
    <row r="178" spans="1:18">
      <c r="A178" s="380"/>
      <c r="B178" s="414"/>
      <c r="C178" s="414"/>
      <c r="D178" s="394" t="s">
        <v>569</v>
      </c>
      <c r="E178" s="443">
        <v>211</v>
      </c>
      <c r="F178" s="385"/>
      <c r="G178" s="385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6">
        <f t="shared" si="2"/>
        <v>0</v>
      </c>
    </row>
    <row r="179" spans="1:18">
      <c r="A179" s="380"/>
      <c r="B179" s="414"/>
      <c r="C179" s="414"/>
      <c r="D179" s="394" t="s">
        <v>580</v>
      </c>
      <c r="E179" s="442">
        <v>627</v>
      </c>
      <c r="F179" s="385"/>
      <c r="G179" s="385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6">
        <f t="shared" si="2"/>
        <v>0</v>
      </c>
    </row>
    <row r="180" spans="1:18">
      <c r="A180" s="380"/>
      <c r="B180" s="414"/>
      <c r="C180" s="414"/>
      <c r="D180" s="394" t="s">
        <v>508</v>
      </c>
      <c r="E180" s="442">
        <v>635</v>
      </c>
      <c r="F180" s="385"/>
      <c r="G180" s="385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6">
        <f t="shared" si="2"/>
        <v>0</v>
      </c>
    </row>
    <row r="181" spans="1:18">
      <c r="A181" s="415"/>
      <c r="B181" s="416"/>
      <c r="C181" s="495"/>
      <c r="D181" s="409" t="s">
        <v>572</v>
      </c>
      <c r="E181" s="425">
        <v>156</v>
      </c>
      <c r="F181" s="444"/>
      <c r="G181" s="444"/>
      <c r="H181" s="444"/>
      <c r="I181" s="444"/>
      <c r="J181" s="444"/>
      <c r="K181" s="444"/>
      <c r="L181" s="444"/>
      <c r="M181" s="444"/>
      <c r="N181" s="444"/>
      <c r="O181" s="444"/>
      <c r="P181" s="444"/>
      <c r="Q181" s="444"/>
      <c r="R181" s="411">
        <f t="shared" si="2"/>
        <v>0</v>
      </c>
    </row>
    <row r="182" spans="1:18">
      <c r="A182" s="535">
        <v>9</v>
      </c>
      <c r="B182" s="536" t="s">
        <v>536</v>
      </c>
      <c r="C182" s="536" t="s">
        <v>537</v>
      </c>
      <c r="D182" s="537" t="s">
        <v>578</v>
      </c>
      <c r="E182" s="543" t="s">
        <v>576</v>
      </c>
      <c r="F182" s="541"/>
      <c r="G182" s="541"/>
      <c r="H182" s="541"/>
      <c r="I182" s="541"/>
      <c r="J182" s="541"/>
      <c r="K182" s="541"/>
      <c r="L182" s="541"/>
      <c r="M182" s="541"/>
      <c r="N182" s="541"/>
      <c r="O182" s="541"/>
      <c r="P182" s="541"/>
      <c r="Q182" s="541"/>
      <c r="R182" s="540">
        <f t="shared" si="2"/>
        <v>0</v>
      </c>
    </row>
    <row r="183" spans="1:18">
      <c r="A183" s="380"/>
      <c r="B183" s="414"/>
      <c r="C183" s="414"/>
      <c r="D183" s="394" t="s">
        <v>574</v>
      </c>
      <c r="E183" s="442">
        <v>152</v>
      </c>
      <c r="F183" s="385"/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6">
        <f t="shared" si="2"/>
        <v>0</v>
      </c>
    </row>
    <row r="184" spans="1:18">
      <c r="A184" s="380"/>
      <c r="B184" s="414"/>
      <c r="C184" s="414"/>
      <c r="D184" s="394" t="s">
        <v>575</v>
      </c>
      <c r="E184" s="442" t="s">
        <v>576</v>
      </c>
      <c r="F184" s="385"/>
      <c r="G184" s="385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6">
        <f t="shared" si="2"/>
        <v>0</v>
      </c>
    </row>
    <row r="185" spans="1:18">
      <c r="A185" s="380"/>
      <c r="B185" s="414"/>
      <c r="C185" s="414"/>
      <c r="D185" s="394" t="s">
        <v>569</v>
      </c>
      <c r="E185" s="443">
        <v>211</v>
      </c>
      <c r="F185" s="385"/>
      <c r="G185" s="385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6">
        <f t="shared" si="2"/>
        <v>0</v>
      </c>
    </row>
    <row r="186" spans="1:18">
      <c r="A186" s="415"/>
      <c r="B186" s="416"/>
      <c r="C186" s="416"/>
      <c r="D186" s="417" t="s">
        <v>572</v>
      </c>
      <c r="E186" s="431"/>
      <c r="F186" s="444"/>
      <c r="G186" s="444"/>
      <c r="H186" s="444"/>
      <c r="I186" s="444"/>
      <c r="J186" s="444"/>
      <c r="K186" s="444"/>
      <c r="L186" s="444"/>
      <c r="M186" s="444"/>
      <c r="N186" s="444"/>
      <c r="O186" s="444"/>
      <c r="P186" s="444"/>
      <c r="Q186" s="444"/>
      <c r="R186" s="411">
        <f t="shared" si="2"/>
        <v>0</v>
      </c>
    </row>
    <row r="187" spans="1:18">
      <c r="A187" s="535">
        <v>10</v>
      </c>
      <c r="B187" s="546" t="s">
        <v>538</v>
      </c>
      <c r="C187" s="546" t="s">
        <v>539</v>
      </c>
      <c r="D187" s="537" t="s">
        <v>580</v>
      </c>
      <c r="E187" s="543">
        <v>627</v>
      </c>
      <c r="F187" s="541"/>
      <c r="G187" s="541"/>
      <c r="H187" s="541"/>
      <c r="I187" s="541"/>
      <c r="J187" s="541"/>
      <c r="K187" s="541"/>
      <c r="L187" s="541"/>
      <c r="M187" s="541"/>
      <c r="N187" s="541"/>
      <c r="O187" s="541"/>
      <c r="P187" s="541"/>
      <c r="Q187" s="541"/>
      <c r="R187" s="540">
        <f t="shared" si="2"/>
        <v>0</v>
      </c>
    </row>
    <row r="188" spans="1:18">
      <c r="A188" s="407"/>
      <c r="B188" s="498"/>
      <c r="C188" s="498"/>
      <c r="D188" s="417" t="s">
        <v>569</v>
      </c>
      <c r="E188" s="431">
        <v>211</v>
      </c>
      <c r="F188" s="385"/>
      <c r="G188" s="385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6">
        <f t="shared" si="2"/>
        <v>0</v>
      </c>
    </row>
    <row r="189" spans="1:18">
      <c r="A189" s="407"/>
      <c r="B189" s="498"/>
      <c r="C189" s="498"/>
      <c r="D189" s="417" t="s">
        <v>572</v>
      </c>
      <c r="E189" s="431">
        <v>156</v>
      </c>
      <c r="F189" s="444"/>
      <c r="G189" s="444"/>
      <c r="H189" s="444"/>
      <c r="I189" s="444"/>
      <c r="J189" s="444"/>
      <c r="K189" s="444"/>
      <c r="L189" s="444"/>
      <c r="M189" s="444"/>
      <c r="N189" s="444"/>
      <c r="O189" s="444"/>
      <c r="P189" s="444"/>
      <c r="Q189" s="444"/>
      <c r="R189" s="411">
        <f t="shared" si="2"/>
        <v>0</v>
      </c>
    </row>
    <row r="190" spans="1:18">
      <c r="A190" s="535">
        <v>11</v>
      </c>
      <c r="B190" s="536" t="s">
        <v>540</v>
      </c>
      <c r="C190" s="536" t="s">
        <v>541</v>
      </c>
      <c r="D190" s="537" t="s">
        <v>573</v>
      </c>
      <c r="E190" s="543">
        <v>1548</v>
      </c>
      <c r="F190" s="541"/>
      <c r="G190" s="541"/>
      <c r="H190" s="541"/>
      <c r="I190" s="541"/>
      <c r="J190" s="541"/>
      <c r="K190" s="541"/>
      <c r="L190" s="541"/>
      <c r="M190" s="541"/>
      <c r="N190" s="541"/>
      <c r="O190" s="541"/>
      <c r="P190" s="541"/>
      <c r="Q190" s="541"/>
      <c r="R190" s="540">
        <f t="shared" si="2"/>
        <v>0</v>
      </c>
    </row>
    <row r="191" spans="1:18">
      <c r="A191" s="405"/>
      <c r="B191" s="414"/>
      <c r="C191" s="418"/>
      <c r="D191" s="406" t="s">
        <v>578</v>
      </c>
      <c r="E191" s="442" t="s">
        <v>576</v>
      </c>
      <c r="F191" s="385"/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6">
        <f t="shared" si="2"/>
        <v>0</v>
      </c>
    </row>
    <row r="192" spans="1:18">
      <c r="A192" s="405"/>
      <c r="B192" s="414"/>
      <c r="C192" s="414"/>
      <c r="D192" s="394" t="s">
        <v>574</v>
      </c>
      <c r="E192" s="442">
        <v>152</v>
      </c>
      <c r="F192" s="385"/>
      <c r="G192" s="385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6">
        <f t="shared" si="2"/>
        <v>0</v>
      </c>
    </row>
    <row r="193" spans="1:18">
      <c r="A193" s="405"/>
      <c r="B193" s="414"/>
      <c r="C193" s="414"/>
      <c r="D193" s="394" t="s">
        <v>575</v>
      </c>
      <c r="E193" s="442" t="s">
        <v>576</v>
      </c>
      <c r="F193" s="385"/>
      <c r="G193" s="385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6">
        <f t="shared" si="2"/>
        <v>0</v>
      </c>
    </row>
    <row r="194" spans="1:18">
      <c r="A194" s="405"/>
      <c r="B194" s="414"/>
      <c r="C194" s="414"/>
      <c r="D194" s="394" t="s">
        <v>569</v>
      </c>
      <c r="E194" s="443">
        <v>211</v>
      </c>
      <c r="F194" s="385"/>
      <c r="G194" s="385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6">
        <f t="shared" si="2"/>
        <v>0</v>
      </c>
    </row>
    <row r="195" spans="1:18">
      <c r="A195" s="407"/>
      <c r="B195" s="416"/>
      <c r="C195" s="416"/>
      <c r="D195" s="417" t="s">
        <v>572</v>
      </c>
      <c r="E195" s="431">
        <v>211</v>
      </c>
      <c r="F195" s="444"/>
      <c r="G195" s="444"/>
      <c r="H195" s="444"/>
      <c r="I195" s="444"/>
      <c r="J195" s="444"/>
      <c r="K195" s="444"/>
      <c r="L195" s="444"/>
      <c r="M195" s="444"/>
      <c r="N195" s="444"/>
      <c r="O195" s="444"/>
      <c r="P195" s="444"/>
      <c r="Q195" s="444"/>
      <c r="R195" s="411">
        <f t="shared" si="2"/>
        <v>0</v>
      </c>
    </row>
    <row r="196" spans="1:18">
      <c r="A196" s="535">
        <v>12</v>
      </c>
      <c r="B196" s="536" t="s">
        <v>542</v>
      </c>
      <c r="C196" s="536" t="s">
        <v>543</v>
      </c>
      <c r="D196" s="537" t="s">
        <v>578</v>
      </c>
      <c r="E196" s="543" t="s">
        <v>576</v>
      </c>
      <c r="F196" s="541"/>
      <c r="G196" s="541"/>
      <c r="H196" s="541"/>
      <c r="I196" s="541"/>
      <c r="J196" s="541"/>
      <c r="K196" s="541"/>
      <c r="L196" s="541"/>
      <c r="M196" s="541"/>
      <c r="N196" s="541"/>
      <c r="O196" s="541"/>
      <c r="P196" s="541"/>
      <c r="Q196" s="541"/>
      <c r="R196" s="540">
        <f t="shared" si="2"/>
        <v>0</v>
      </c>
    </row>
    <row r="197" spans="1:18">
      <c r="A197" s="407"/>
      <c r="B197" s="416"/>
      <c r="C197" s="416"/>
      <c r="D197" s="417" t="s">
        <v>569</v>
      </c>
      <c r="E197" s="431">
        <v>211</v>
      </c>
      <c r="F197" s="385"/>
      <c r="G197" s="385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6">
        <f t="shared" si="2"/>
        <v>0</v>
      </c>
    </row>
    <row r="198" spans="1:18">
      <c r="A198" s="407"/>
      <c r="B198" s="416"/>
      <c r="C198" s="416"/>
      <c r="D198" s="417" t="s">
        <v>572</v>
      </c>
      <c r="E198" s="431">
        <v>152</v>
      </c>
      <c r="F198" s="444"/>
      <c r="G198" s="444"/>
      <c r="H198" s="444"/>
      <c r="I198" s="444"/>
      <c r="J198" s="444"/>
      <c r="K198" s="444"/>
      <c r="L198" s="444"/>
      <c r="M198" s="444"/>
      <c r="N198" s="444"/>
      <c r="O198" s="444"/>
      <c r="P198" s="444"/>
      <c r="Q198" s="444"/>
      <c r="R198" s="411">
        <f t="shared" si="2"/>
        <v>0</v>
      </c>
    </row>
    <row r="199" spans="1:18">
      <c r="A199" s="535">
        <v>13</v>
      </c>
      <c r="B199" s="536" t="s">
        <v>544</v>
      </c>
      <c r="C199" s="536" t="s">
        <v>545</v>
      </c>
      <c r="D199" s="537" t="s">
        <v>581</v>
      </c>
      <c r="E199" s="543">
        <v>152</v>
      </c>
      <c r="F199" s="541"/>
      <c r="G199" s="541"/>
      <c r="H199" s="541"/>
      <c r="I199" s="541"/>
      <c r="J199" s="541"/>
      <c r="K199" s="541"/>
      <c r="L199" s="541"/>
      <c r="M199" s="541"/>
      <c r="N199" s="541"/>
      <c r="O199" s="541"/>
      <c r="P199" s="541"/>
      <c r="Q199" s="541"/>
      <c r="R199" s="540">
        <f t="shared" si="2"/>
        <v>0</v>
      </c>
    </row>
    <row r="200" spans="1:18">
      <c r="A200" s="407"/>
      <c r="B200" s="414"/>
      <c r="C200" s="416"/>
      <c r="D200" s="417" t="s">
        <v>574</v>
      </c>
      <c r="E200" s="431" t="s">
        <v>582</v>
      </c>
      <c r="F200" s="385"/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6">
        <f t="shared" ref="R200:R232" si="3">SUM(F200:Q200)</f>
        <v>0</v>
      </c>
    </row>
    <row r="201" spans="1:18">
      <c r="A201" s="407"/>
      <c r="B201" s="414"/>
      <c r="C201" s="416"/>
      <c r="D201" s="417" t="s">
        <v>574</v>
      </c>
      <c r="E201" s="431" t="s">
        <v>582</v>
      </c>
      <c r="F201" s="385"/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6">
        <f t="shared" si="3"/>
        <v>0</v>
      </c>
    </row>
    <row r="202" spans="1:18">
      <c r="A202" s="407"/>
      <c r="B202" s="416"/>
      <c r="C202" s="416"/>
      <c r="D202" s="417" t="s">
        <v>572</v>
      </c>
      <c r="E202" s="431"/>
      <c r="F202" s="444"/>
      <c r="G202" s="444"/>
      <c r="H202" s="444"/>
      <c r="I202" s="444"/>
      <c r="J202" s="444"/>
      <c r="K202" s="444"/>
      <c r="L202" s="444"/>
      <c r="M202" s="444"/>
      <c r="N202" s="444"/>
      <c r="O202" s="444"/>
      <c r="P202" s="444"/>
      <c r="Q202" s="444"/>
      <c r="R202" s="411">
        <f t="shared" si="3"/>
        <v>0</v>
      </c>
    </row>
    <row r="203" spans="1:18">
      <c r="A203" s="535">
        <v>14</v>
      </c>
      <c r="B203" s="536" t="s">
        <v>546</v>
      </c>
      <c r="C203" s="536" t="s">
        <v>547</v>
      </c>
      <c r="D203" s="537" t="s">
        <v>578</v>
      </c>
      <c r="E203" s="543" t="s">
        <v>576</v>
      </c>
      <c r="F203" s="541"/>
      <c r="G203" s="541"/>
      <c r="H203" s="541"/>
      <c r="I203" s="541"/>
      <c r="J203" s="541"/>
      <c r="K203" s="541"/>
      <c r="L203" s="541"/>
      <c r="M203" s="541"/>
      <c r="N203" s="541"/>
      <c r="O203" s="541"/>
      <c r="P203" s="541"/>
      <c r="Q203" s="541"/>
      <c r="R203" s="540">
        <f t="shared" si="3"/>
        <v>0</v>
      </c>
    </row>
    <row r="204" spans="1:18">
      <c r="A204" s="407"/>
      <c r="B204" s="414"/>
      <c r="C204" s="416"/>
      <c r="D204" s="417" t="s">
        <v>569</v>
      </c>
      <c r="E204" s="431">
        <v>211</v>
      </c>
      <c r="F204" s="385"/>
      <c r="G204" s="385"/>
      <c r="H204" s="385"/>
      <c r="I204" s="385"/>
      <c r="J204" s="385"/>
      <c r="K204" s="385"/>
      <c r="L204" s="385"/>
      <c r="M204" s="385"/>
      <c r="N204" s="385"/>
      <c r="O204" s="385"/>
      <c r="P204" s="385"/>
      <c r="Q204" s="385"/>
      <c r="R204" s="386">
        <f t="shared" si="3"/>
        <v>0</v>
      </c>
    </row>
    <row r="205" spans="1:18">
      <c r="A205" s="407"/>
      <c r="B205" s="416"/>
      <c r="C205" s="416"/>
      <c r="D205" s="417" t="s">
        <v>572</v>
      </c>
      <c r="E205" s="431">
        <v>152</v>
      </c>
      <c r="F205" s="444"/>
      <c r="G205" s="444"/>
      <c r="H205" s="444"/>
      <c r="I205" s="444"/>
      <c r="J205" s="444"/>
      <c r="K205" s="444"/>
      <c r="L205" s="444"/>
      <c r="M205" s="444"/>
      <c r="N205" s="444"/>
      <c r="O205" s="444"/>
      <c r="P205" s="444"/>
      <c r="Q205" s="444"/>
      <c r="R205" s="411">
        <f t="shared" si="3"/>
        <v>0</v>
      </c>
    </row>
    <row r="206" spans="1:18">
      <c r="A206" s="535">
        <v>15</v>
      </c>
      <c r="B206" s="546" t="s">
        <v>548</v>
      </c>
      <c r="C206" s="546" t="s">
        <v>549</v>
      </c>
      <c r="D206" s="537" t="s">
        <v>578</v>
      </c>
      <c r="E206" s="543" t="s">
        <v>576</v>
      </c>
      <c r="F206" s="541"/>
      <c r="G206" s="541"/>
      <c r="H206" s="541"/>
      <c r="I206" s="541"/>
      <c r="J206" s="541"/>
      <c r="K206" s="541"/>
      <c r="L206" s="541"/>
      <c r="M206" s="541"/>
      <c r="N206" s="541"/>
      <c r="O206" s="541"/>
      <c r="P206" s="541"/>
      <c r="Q206" s="541"/>
      <c r="R206" s="540">
        <f t="shared" si="3"/>
        <v>0</v>
      </c>
    </row>
    <row r="207" spans="1:18">
      <c r="A207" s="415"/>
      <c r="B207" s="381"/>
      <c r="C207" s="462"/>
      <c r="D207" s="406" t="s">
        <v>583</v>
      </c>
      <c r="E207" s="425" t="s">
        <v>584</v>
      </c>
      <c r="F207" s="385"/>
      <c r="G207" s="385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6"/>
    </row>
    <row r="208" spans="1:18">
      <c r="A208" s="407"/>
      <c r="B208" s="479"/>
      <c r="C208" s="498"/>
      <c r="D208" s="417" t="s">
        <v>569</v>
      </c>
      <c r="E208" s="431">
        <v>211</v>
      </c>
      <c r="F208" s="385"/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6">
        <f t="shared" si="3"/>
        <v>0</v>
      </c>
    </row>
    <row r="209" spans="1:18">
      <c r="A209" s="407"/>
      <c r="B209" s="498"/>
      <c r="C209" s="498"/>
      <c r="D209" s="417" t="s">
        <v>572</v>
      </c>
      <c r="E209" s="431">
        <v>152</v>
      </c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R209" s="411">
        <f t="shared" si="3"/>
        <v>0</v>
      </c>
    </row>
    <row r="210" spans="1:18">
      <c r="A210" s="535">
        <v>16</v>
      </c>
      <c r="B210" s="546" t="s">
        <v>550</v>
      </c>
      <c r="C210" s="546" t="s">
        <v>551</v>
      </c>
      <c r="D210" s="537" t="s">
        <v>578</v>
      </c>
      <c r="E210" s="543" t="s">
        <v>576</v>
      </c>
      <c r="F210" s="541"/>
      <c r="G210" s="541"/>
      <c r="H210" s="541"/>
      <c r="I210" s="541"/>
      <c r="J210" s="541"/>
      <c r="K210" s="541"/>
      <c r="L210" s="541"/>
      <c r="M210" s="541"/>
      <c r="N210" s="541"/>
      <c r="O210" s="541"/>
      <c r="P210" s="541"/>
      <c r="Q210" s="541"/>
      <c r="R210" s="540">
        <f t="shared" si="3"/>
        <v>0</v>
      </c>
    </row>
    <row r="211" spans="1:18">
      <c r="A211" s="415"/>
      <c r="B211" s="381"/>
      <c r="C211" s="462"/>
      <c r="D211" s="406" t="s">
        <v>583</v>
      </c>
      <c r="E211" s="425">
        <v>627</v>
      </c>
      <c r="F211" s="385"/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6"/>
    </row>
    <row r="212" spans="1:18">
      <c r="A212" s="407"/>
      <c r="B212" s="479"/>
      <c r="C212" s="498"/>
      <c r="D212" s="417" t="s">
        <v>569</v>
      </c>
      <c r="E212" s="431">
        <v>211</v>
      </c>
      <c r="F212" s="385"/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6">
        <f t="shared" si="3"/>
        <v>0</v>
      </c>
    </row>
    <row r="213" spans="1:18">
      <c r="A213" s="407"/>
      <c r="B213" s="498"/>
      <c r="C213" s="498"/>
      <c r="D213" s="417" t="s">
        <v>572</v>
      </c>
      <c r="E213" s="431">
        <v>152</v>
      </c>
      <c r="F213" s="444"/>
      <c r="G213" s="444"/>
      <c r="H213" s="444"/>
      <c r="I213" s="444"/>
      <c r="J213" s="444"/>
      <c r="K213" s="444"/>
      <c r="L213" s="444"/>
      <c r="M213" s="444"/>
      <c r="N213" s="444"/>
      <c r="O213" s="444"/>
      <c r="P213" s="444"/>
      <c r="Q213" s="444"/>
      <c r="R213" s="411">
        <f t="shared" si="3"/>
        <v>0</v>
      </c>
    </row>
    <row r="214" spans="1:18">
      <c r="A214" s="535">
        <v>17</v>
      </c>
      <c r="B214" s="546" t="s">
        <v>552</v>
      </c>
      <c r="C214" s="546" t="s">
        <v>553</v>
      </c>
      <c r="D214" s="537" t="s">
        <v>578</v>
      </c>
      <c r="E214" s="543" t="s">
        <v>576</v>
      </c>
      <c r="F214" s="541"/>
      <c r="G214" s="541"/>
      <c r="H214" s="541"/>
      <c r="I214" s="541"/>
      <c r="J214" s="541"/>
      <c r="K214" s="541"/>
      <c r="L214" s="541"/>
      <c r="M214" s="541"/>
      <c r="N214" s="541"/>
      <c r="O214" s="541"/>
      <c r="P214" s="541"/>
      <c r="Q214" s="541"/>
      <c r="R214" s="540">
        <f t="shared" si="3"/>
        <v>0</v>
      </c>
    </row>
    <row r="215" spans="1:18">
      <c r="A215" s="407"/>
      <c r="B215" s="479"/>
      <c r="C215" s="498"/>
      <c r="D215" s="417" t="s">
        <v>569</v>
      </c>
      <c r="E215" s="431">
        <v>211</v>
      </c>
      <c r="F215" s="385"/>
      <c r="G215" s="385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6">
        <f t="shared" si="3"/>
        <v>0</v>
      </c>
    </row>
    <row r="216" spans="1:18">
      <c r="A216" s="407"/>
      <c r="B216" s="498"/>
      <c r="C216" s="498"/>
      <c r="D216" s="417" t="s">
        <v>572</v>
      </c>
      <c r="E216" s="431">
        <v>152</v>
      </c>
      <c r="F216" s="444"/>
      <c r="G216" s="444"/>
      <c r="H216" s="444"/>
      <c r="I216" s="444"/>
      <c r="J216" s="444"/>
      <c r="K216" s="444"/>
      <c r="L216" s="444"/>
      <c r="M216" s="444"/>
      <c r="N216" s="444"/>
      <c r="O216" s="444"/>
      <c r="P216" s="444"/>
      <c r="Q216" s="444"/>
      <c r="R216" s="411">
        <f t="shared" si="3"/>
        <v>0</v>
      </c>
    </row>
    <row r="217" spans="1:18">
      <c r="A217" s="535">
        <v>18</v>
      </c>
      <c r="B217" s="536" t="s">
        <v>554</v>
      </c>
      <c r="C217" s="536" t="s">
        <v>555</v>
      </c>
      <c r="D217" s="537" t="s">
        <v>578</v>
      </c>
      <c r="E217" s="543" t="s">
        <v>576</v>
      </c>
      <c r="F217" s="541"/>
      <c r="G217" s="541"/>
      <c r="H217" s="541"/>
      <c r="I217" s="541"/>
      <c r="J217" s="541"/>
      <c r="K217" s="541"/>
      <c r="L217" s="541"/>
      <c r="M217" s="541"/>
      <c r="N217" s="541"/>
      <c r="O217" s="541"/>
      <c r="P217" s="541"/>
      <c r="Q217" s="541"/>
      <c r="R217" s="540">
        <f t="shared" si="3"/>
        <v>0</v>
      </c>
    </row>
    <row r="218" spans="1:18">
      <c r="A218" s="407"/>
      <c r="B218" s="414"/>
      <c r="C218" s="414"/>
      <c r="D218" s="394" t="s">
        <v>569</v>
      </c>
      <c r="E218" s="443">
        <v>211</v>
      </c>
      <c r="F218" s="403"/>
      <c r="G218" s="403"/>
      <c r="H218" s="403"/>
      <c r="I218" s="403"/>
      <c r="J218" s="403"/>
      <c r="K218" s="403"/>
      <c r="L218" s="403"/>
      <c r="M218" s="403"/>
      <c r="N218" s="403"/>
      <c r="O218" s="403"/>
      <c r="P218" s="403"/>
      <c r="Q218" s="403"/>
      <c r="R218" s="421">
        <f t="shared" si="3"/>
        <v>0</v>
      </c>
    </row>
    <row r="219" spans="1:18">
      <c r="A219" s="407"/>
      <c r="B219" s="498"/>
      <c r="C219" s="498"/>
      <c r="D219" s="417" t="s">
        <v>572</v>
      </c>
      <c r="E219" s="431">
        <v>152</v>
      </c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46">
        <f t="shared" si="3"/>
        <v>0</v>
      </c>
    </row>
    <row r="220" spans="1:18">
      <c r="A220" s="535">
        <v>19</v>
      </c>
      <c r="B220" s="536" t="s">
        <v>556</v>
      </c>
      <c r="C220" s="536" t="s">
        <v>557</v>
      </c>
      <c r="D220" s="537" t="s">
        <v>578</v>
      </c>
      <c r="E220" s="543" t="s">
        <v>576</v>
      </c>
      <c r="F220" s="541"/>
      <c r="G220" s="541"/>
      <c r="H220" s="541"/>
      <c r="I220" s="541"/>
      <c r="J220" s="541"/>
      <c r="K220" s="541"/>
      <c r="L220" s="541"/>
      <c r="M220" s="541"/>
      <c r="N220" s="541"/>
      <c r="O220" s="541"/>
      <c r="P220" s="541"/>
      <c r="Q220" s="541"/>
      <c r="R220" s="540">
        <f t="shared" si="3"/>
        <v>0</v>
      </c>
    </row>
    <row r="221" spans="1:18">
      <c r="A221" s="407"/>
      <c r="B221" s="479"/>
      <c r="C221" s="498"/>
      <c r="D221" s="417" t="s">
        <v>569</v>
      </c>
      <c r="E221" s="431">
        <v>211</v>
      </c>
      <c r="F221" s="385"/>
      <c r="G221" s="385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6">
        <f t="shared" si="3"/>
        <v>0</v>
      </c>
    </row>
    <row r="222" spans="1:18">
      <c r="A222" s="407"/>
      <c r="B222" s="498"/>
      <c r="C222" s="498"/>
      <c r="D222" s="417" t="s">
        <v>572</v>
      </c>
      <c r="E222" s="431">
        <v>152</v>
      </c>
      <c r="F222" s="444"/>
      <c r="G222" s="444"/>
      <c r="H222" s="444"/>
      <c r="I222" s="444"/>
      <c r="J222" s="444"/>
      <c r="K222" s="444"/>
      <c r="L222" s="444"/>
      <c r="M222" s="444"/>
      <c r="N222" s="444"/>
      <c r="O222" s="444"/>
      <c r="P222" s="444"/>
      <c r="Q222" s="444"/>
      <c r="R222" s="411">
        <f t="shared" si="3"/>
        <v>0</v>
      </c>
    </row>
    <row r="223" spans="1:18">
      <c r="A223" s="535">
        <v>20</v>
      </c>
      <c r="B223" s="546" t="s">
        <v>558</v>
      </c>
      <c r="C223" s="547" t="s">
        <v>559</v>
      </c>
      <c r="D223" s="548" t="s">
        <v>578</v>
      </c>
      <c r="E223" s="543" t="s">
        <v>576</v>
      </c>
      <c r="F223" s="541"/>
      <c r="G223" s="541"/>
      <c r="H223" s="541"/>
      <c r="I223" s="541"/>
      <c r="J223" s="541"/>
      <c r="K223" s="541"/>
      <c r="L223" s="541"/>
      <c r="M223" s="541"/>
      <c r="N223" s="541"/>
      <c r="O223" s="541"/>
      <c r="P223" s="541"/>
      <c r="Q223" s="541"/>
      <c r="R223" s="540">
        <f t="shared" si="3"/>
        <v>0</v>
      </c>
    </row>
    <row r="224" spans="1:18">
      <c r="A224" s="407"/>
      <c r="B224" s="479"/>
      <c r="C224" s="498"/>
      <c r="D224" s="417" t="s">
        <v>569</v>
      </c>
      <c r="E224" s="431">
        <v>211</v>
      </c>
      <c r="F224" s="385"/>
      <c r="G224" s="385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6">
        <f t="shared" si="3"/>
        <v>0</v>
      </c>
    </row>
    <row r="225" spans="1:18">
      <c r="A225" s="407"/>
      <c r="B225" s="498"/>
      <c r="C225" s="498"/>
      <c r="D225" s="417" t="s">
        <v>572</v>
      </c>
      <c r="E225" s="431">
        <v>152</v>
      </c>
      <c r="F225" s="444"/>
      <c r="G225" s="444"/>
      <c r="H225" s="444"/>
      <c r="I225" s="444"/>
      <c r="J225" s="444"/>
      <c r="K225" s="444"/>
      <c r="L225" s="444"/>
      <c r="M225" s="444"/>
      <c r="N225" s="444"/>
      <c r="O225" s="444"/>
      <c r="P225" s="444"/>
      <c r="Q225" s="444"/>
      <c r="R225" s="411">
        <f t="shared" si="3"/>
        <v>0</v>
      </c>
    </row>
    <row r="226" spans="1:18">
      <c r="A226" s="535">
        <v>21</v>
      </c>
      <c r="B226" s="546" t="s">
        <v>560</v>
      </c>
      <c r="C226" s="546" t="s">
        <v>561</v>
      </c>
      <c r="D226" s="537" t="s">
        <v>578</v>
      </c>
      <c r="E226" s="543" t="s">
        <v>576</v>
      </c>
      <c r="F226" s="541"/>
      <c r="G226" s="541"/>
      <c r="H226" s="541"/>
      <c r="I226" s="541"/>
      <c r="J226" s="541"/>
      <c r="K226" s="541"/>
      <c r="L226" s="541"/>
      <c r="M226" s="541"/>
      <c r="N226" s="541"/>
      <c r="O226" s="541"/>
      <c r="P226" s="541"/>
      <c r="Q226" s="541"/>
      <c r="R226" s="540">
        <f t="shared" si="3"/>
        <v>0</v>
      </c>
    </row>
    <row r="227" spans="1:18">
      <c r="A227" s="407"/>
      <c r="B227" s="479"/>
      <c r="C227" s="498"/>
      <c r="D227" s="417" t="s">
        <v>569</v>
      </c>
      <c r="E227" s="431">
        <v>211</v>
      </c>
      <c r="F227" s="385"/>
      <c r="G227" s="385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6">
        <f t="shared" si="3"/>
        <v>0</v>
      </c>
    </row>
    <row r="228" spans="1:18">
      <c r="A228" s="407"/>
      <c r="B228" s="498"/>
      <c r="C228" s="498"/>
      <c r="D228" s="417" t="s">
        <v>572</v>
      </c>
      <c r="E228" s="431">
        <v>152</v>
      </c>
      <c r="F228" s="444"/>
      <c r="G228" s="444"/>
      <c r="H228" s="444"/>
      <c r="I228" s="444"/>
      <c r="J228" s="444"/>
      <c r="K228" s="444"/>
      <c r="L228" s="444"/>
      <c r="M228" s="444"/>
      <c r="N228" s="444"/>
      <c r="O228" s="444"/>
      <c r="P228" s="444"/>
      <c r="Q228" s="444"/>
      <c r="R228" s="411">
        <f t="shared" si="3"/>
        <v>0</v>
      </c>
    </row>
    <row r="229" spans="1:18">
      <c r="A229" s="535">
        <v>22</v>
      </c>
      <c r="B229" s="546" t="s">
        <v>562</v>
      </c>
      <c r="C229" s="546" t="s">
        <v>563</v>
      </c>
      <c r="D229" s="537" t="s">
        <v>578</v>
      </c>
      <c r="E229" s="543" t="s">
        <v>576</v>
      </c>
      <c r="F229" s="541"/>
      <c r="G229" s="541"/>
      <c r="H229" s="541"/>
      <c r="I229" s="541"/>
      <c r="J229" s="541"/>
      <c r="K229" s="541"/>
      <c r="L229" s="541"/>
      <c r="M229" s="541"/>
      <c r="N229" s="541"/>
      <c r="O229" s="541"/>
      <c r="P229" s="541"/>
      <c r="Q229" s="541"/>
      <c r="R229" s="540">
        <f t="shared" si="3"/>
        <v>0</v>
      </c>
    </row>
    <row r="230" spans="1:18">
      <c r="A230" s="407"/>
      <c r="B230" s="479"/>
      <c r="C230" s="498"/>
      <c r="D230" s="417" t="s">
        <v>569</v>
      </c>
      <c r="E230" s="431">
        <v>211</v>
      </c>
      <c r="F230" s="385"/>
      <c r="G230" s="385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/>
      <c r="R230" s="386">
        <f t="shared" si="3"/>
        <v>0</v>
      </c>
    </row>
    <row r="231" spans="1:18">
      <c r="A231" s="407"/>
      <c r="B231" s="479"/>
      <c r="C231" s="498"/>
      <c r="D231" s="417" t="s">
        <v>572</v>
      </c>
      <c r="E231" s="431">
        <v>152</v>
      </c>
      <c r="F231" s="385"/>
      <c r="G231" s="385"/>
      <c r="H231" s="385"/>
      <c r="I231" s="385"/>
      <c r="J231" s="385"/>
      <c r="K231" s="385"/>
      <c r="L231" s="385"/>
      <c r="M231" s="385"/>
      <c r="N231" s="385"/>
      <c r="O231" s="385"/>
      <c r="P231" s="385"/>
      <c r="Q231" s="385"/>
      <c r="R231" s="386">
        <f t="shared" si="3"/>
        <v>0</v>
      </c>
    </row>
    <row r="232" spans="1:18">
      <c r="A232" s="407"/>
      <c r="B232" s="498"/>
      <c r="C232" s="498"/>
      <c r="D232" s="391"/>
      <c r="E232" s="391"/>
      <c r="F232" s="385"/>
      <c r="G232" s="385"/>
      <c r="H232" s="385"/>
      <c r="I232" s="385"/>
      <c r="J232" s="385"/>
      <c r="K232" s="385"/>
      <c r="L232" s="385"/>
      <c r="M232" s="385"/>
      <c r="N232" s="385"/>
      <c r="O232" s="385"/>
      <c r="P232" s="385"/>
      <c r="Q232" s="385"/>
      <c r="R232" s="386">
        <f t="shared" si="3"/>
        <v>0</v>
      </c>
    </row>
    <row r="233" spans="1:18">
      <c r="A233" s="437" t="s">
        <v>585</v>
      </c>
      <c r="B233" s="376" t="s">
        <v>586</v>
      </c>
      <c r="C233" s="376"/>
      <c r="D233" s="447" t="s">
        <v>587</v>
      </c>
      <c r="E233" s="448" t="s">
        <v>588</v>
      </c>
      <c r="F233" s="522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438"/>
    </row>
    <row r="234" spans="1:18">
      <c r="A234" s="449"/>
      <c r="B234" s="479" t="s">
        <v>503</v>
      </c>
      <c r="C234" s="381" t="s">
        <v>504</v>
      </c>
      <c r="D234" s="544" t="s">
        <v>589</v>
      </c>
      <c r="E234" s="450">
        <v>128</v>
      </c>
      <c r="F234" s="549"/>
      <c r="G234" s="541"/>
      <c r="H234" s="541"/>
      <c r="I234" s="541"/>
      <c r="J234" s="541"/>
      <c r="K234" s="541"/>
      <c r="L234" s="541"/>
      <c r="M234" s="541"/>
      <c r="N234" s="541"/>
      <c r="O234" s="541"/>
      <c r="P234" s="541"/>
      <c r="Q234" s="541"/>
      <c r="R234" s="386">
        <f t="shared" ref="R234:R241" si="4">SUM(F234:Q234)</f>
        <v>0</v>
      </c>
    </row>
    <row r="235" spans="1:18">
      <c r="A235" s="449"/>
      <c r="B235" s="499"/>
      <c r="C235" s="443"/>
      <c r="D235" s="388"/>
      <c r="E235" s="450">
        <v>138</v>
      </c>
      <c r="F235" s="525"/>
      <c r="G235" s="403"/>
      <c r="H235" s="403"/>
      <c r="I235" s="403"/>
      <c r="J235" s="403"/>
      <c r="K235" s="403"/>
      <c r="L235" s="403"/>
      <c r="M235" s="403"/>
      <c r="N235" s="403"/>
      <c r="O235" s="403"/>
      <c r="P235" s="403"/>
      <c r="Q235" s="403"/>
      <c r="R235" s="386">
        <f t="shared" si="4"/>
        <v>0</v>
      </c>
    </row>
    <row r="236" spans="1:18">
      <c r="A236" s="449"/>
      <c r="B236" s="414" t="s">
        <v>550</v>
      </c>
      <c r="C236" s="414" t="s">
        <v>551</v>
      </c>
      <c r="D236" s="388" t="s">
        <v>484</v>
      </c>
      <c r="E236" s="450">
        <v>128</v>
      </c>
      <c r="F236" s="525"/>
      <c r="G236" s="403"/>
      <c r="H236" s="403"/>
      <c r="I236" s="403"/>
      <c r="J236" s="403"/>
      <c r="K236" s="403"/>
      <c r="L236" s="403"/>
      <c r="M236" s="403"/>
      <c r="N236" s="403"/>
      <c r="O236" s="403"/>
      <c r="P236" s="403"/>
      <c r="Q236" s="403"/>
      <c r="R236" s="386">
        <f t="shared" si="4"/>
        <v>0</v>
      </c>
    </row>
    <row r="237" spans="1:18">
      <c r="A237" s="449"/>
      <c r="B237" s="414"/>
      <c r="C237" s="418"/>
      <c r="D237" s="382"/>
      <c r="E237" s="452">
        <v>138</v>
      </c>
      <c r="F237" s="525"/>
      <c r="G237" s="403"/>
      <c r="H237" s="403"/>
      <c r="I237" s="403"/>
      <c r="J237" s="403"/>
      <c r="K237" s="403"/>
      <c r="L237" s="403"/>
      <c r="M237" s="403"/>
      <c r="N237" s="403"/>
      <c r="O237" s="403"/>
      <c r="P237" s="403"/>
      <c r="Q237" s="403"/>
      <c r="R237" s="386">
        <f t="shared" si="4"/>
        <v>0</v>
      </c>
    </row>
    <row r="238" spans="1:18">
      <c r="A238" s="449"/>
      <c r="B238" s="414" t="s">
        <v>538</v>
      </c>
      <c r="C238" s="414" t="s">
        <v>539</v>
      </c>
      <c r="D238" s="388" t="s">
        <v>484</v>
      </c>
      <c r="E238" s="452">
        <v>128</v>
      </c>
      <c r="F238" s="525"/>
      <c r="G238" s="403"/>
      <c r="H238" s="403"/>
      <c r="I238" s="403"/>
      <c r="J238" s="403"/>
      <c r="K238" s="403"/>
      <c r="L238" s="403"/>
      <c r="M238" s="403"/>
      <c r="N238" s="403"/>
      <c r="O238" s="403"/>
      <c r="P238" s="403"/>
      <c r="Q238" s="403"/>
      <c r="R238" s="386">
        <f t="shared" si="4"/>
        <v>0</v>
      </c>
    </row>
    <row r="239" spans="1:18">
      <c r="A239" s="449"/>
      <c r="B239" s="479" t="s">
        <v>590</v>
      </c>
      <c r="C239" s="381"/>
      <c r="D239" s="453" t="s">
        <v>591</v>
      </c>
      <c r="E239" s="452">
        <v>128</v>
      </c>
      <c r="F239" s="525"/>
      <c r="G239" s="403"/>
      <c r="H239" s="403"/>
      <c r="I239" s="403"/>
      <c r="J239" s="403"/>
      <c r="K239" s="403"/>
      <c r="L239" s="403"/>
      <c r="M239" s="403"/>
      <c r="N239" s="403"/>
      <c r="O239" s="403"/>
      <c r="P239" s="403"/>
      <c r="Q239" s="403"/>
      <c r="R239" s="386">
        <f t="shared" si="4"/>
        <v>0</v>
      </c>
    </row>
    <row r="240" spans="1:18">
      <c r="A240" s="449"/>
      <c r="B240" s="479" t="s">
        <v>592</v>
      </c>
      <c r="C240" s="479"/>
      <c r="D240" s="454"/>
      <c r="E240" s="450">
        <v>138</v>
      </c>
      <c r="F240" s="525"/>
      <c r="G240" s="403"/>
      <c r="H240" s="403"/>
      <c r="I240" s="403"/>
      <c r="J240" s="403"/>
      <c r="K240" s="403"/>
      <c r="L240" s="403"/>
      <c r="M240" s="403"/>
      <c r="N240" s="403"/>
      <c r="O240" s="403"/>
      <c r="P240" s="403"/>
      <c r="Q240" s="403"/>
      <c r="R240" s="386">
        <f t="shared" si="4"/>
        <v>0</v>
      </c>
    </row>
    <row r="241" spans="1:18">
      <c r="A241" s="455"/>
      <c r="B241" s="475" t="s">
        <v>593</v>
      </c>
      <c r="C241" s="475"/>
      <c r="D241" s="456"/>
      <c r="E241" s="457">
        <v>138</v>
      </c>
      <c r="F241" s="524"/>
      <c r="G241" s="445"/>
      <c r="H241" s="445"/>
      <c r="I241" s="445"/>
      <c r="J241" s="445"/>
      <c r="K241" s="445"/>
      <c r="L241" s="445"/>
      <c r="M241" s="445"/>
      <c r="N241" s="445"/>
      <c r="O241" s="445"/>
      <c r="P241" s="445"/>
      <c r="Q241" s="445"/>
      <c r="R241" s="386">
        <f t="shared" si="4"/>
        <v>0</v>
      </c>
    </row>
    <row r="242" spans="1:18">
      <c r="A242" s="437" t="s">
        <v>594</v>
      </c>
      <c r="B242" s="376" t="s">
        <v>595</v>
      </c>
      <c r="C242" s="376"/>
      <c r="D242" s="447" t="s">
        <v>587</v>
      </c>
      <c r="E242" s="448" t="s">
        <v>588</v>
      </c>
      <c r="F242" s="522"/>
      <c r="G242" s="523"/>
      <c r="H242" s="523"/>
      <c r="I242" s="523"/>
      <c r="J242" s="523"/>
      <c r="K242" s="523"/>
      <c r="L242" s="523"/>
      <c r="M242" s="523"/>
      <c r="N242" s="523"/>
      <c r="O242" s="523"/>
      <c r="P242" s="523"/>
      <c r="Q242" s="523"/>
      <c r="R242" s="438"/>
    </row>
    <row r="243" spans="1:18">
      <c r="A243" s="458"/>
      <c r="B243" s="388" t="s">
        <v>503</v>
      </c>
      <c r="C243" s="382" t="s">
        <v>504</v>
      </c>
      <c r="D243" s="544" t="s">
        <v>589</v>
      </c>
      <c r="E243" s="450">
        <v>128</v>
      </c>
      <c r="F243" s="549"/>
      <c r="G243" s="541"/>
      <c r="H243" s="541"/>
      <c r="I243" s="541"/>
      <c r="J243" s="541"/>
      <c r="K243" s="541"/>
      <c r="L243" s="541"/>
      <c r="M243" s="541"/>
      <c r="N243" s="541"/>
      <c r="O243" s="541"/>
      <c r="P243" s="541"/>
      <c r="Q243" s="541"/>
      <c r="R243" s="386">
        <f t="shared" ref="R243:R248" si="5">SUM(F243:Q243)</f>
        <v>0</v>
      </c>
    </row>
    <row r="244" spans="1:18">
      <c r="A244" s="458"/>
      <c r="B244" s="451"/>
      <c r="C244" s="392"/>
      <c r="D244" s="388"/>
      <c r="E244" s="450">
        <v>138</v>
      </c>
      <c r="F244" s="525"/>
      <c r="G244" s="403"/>
      <c r="H244" s="403"/>
      <c r="I244" s="403"/>
      <c r="J244" s="403"/>
      <c r="K244" s="403"/>
      <c r="L244" s="403"/>
      <c r="M244" s="403"/>
      <c r="N244" s="403"/>
      <c r="O244" s="403"/>
      <c r="P244" s="403"/>
      <c r="Q244" s="403"/>
      <c r="R244" s="386">
        <f t="shared" si="5"/>
        <v>0</v>
      </c>
    </row>
    <row r="245" spans="1:18">
      <c r="A245" s="458"/>
      <c r="B245" s="414" t="s">
        <v>550</v>
      </c>
      <c r="C245" s="414" t="s">
        <v>551</v>
      </c>
      <c r="D245" s="388" t="s">
        <v>484</v>
      </c>
      <c r="E245" s="450">
        <v>128</v>
      </c>
      <c r="F245" s="525"/>
      <c r="G245" s="403"/>
      <c r="H245" s="403"/>
      <c r="I245" s="403"/>
      <c r="J245" s="403"/>
      <c r="K245" s="403"/>
      <c r="L245" s="403"/>
      <c r="M245" s="403"/>
      <c r="N245" s="403"/>
      <c r="O245" s="403"/>
      <c r="P245" s="403"/>
      <c r="Q245" s="403"/>
      <c r="R245" s="386">
        <f t="shared" si="5"/>
        <v>0</v>
      </c>
    </row>
    <row r="246" spans="1:18">
      <c r="A246" s="458"/>
      <c r="B246" s="414"/>
      <c r="C246" s="418"/>
      <c r="D246" s="382"/>
      <c r="E246" s="452">
        <v>138</v>
      </c>
      <c r="F246" s="525"/>
      <c r="G246" s="403"/>
      <c r="H246" s="403"/>
      <c r="I246" s="403"/>
      <c r="J246" s="403"/>
      <c r="K246" s="403"/>
      <c r="L246" s="403"/>
      <c r="M246" s="403"/>
      <c r="N246" s="403"/>
      <c r="O246" s="403"/>
      <c r="P246" s="403"/>
      <c r="Q246" s="403"/>
      <c r="R246" s="386">
        <f t="shared" si="5"/>
        <v>0</v>
      </c>
    </row>
    <row r="247" spans="1:18">
      <c r="A247" s="458"/>
      <c r="B247" s="414" t="s">
        <v>538</v>
      </c>
      <c r="C247" s="414" t="s">
        <v>539</v>
      </c>
      <c r="D247" s="388" t="s">
        <v>484</v>
      </c>
      <c r="E247" s="452">
        <v>128</v>
      </c>
      <c r="F247" s="525"/>
      <c r="G247" s="403"/>
      <c r="H247" s="403"/>
      <c r="I247" s="403"/>
      <c r="J247" s="403"/>
      <c r="K247" s="403"/>
      <c r="L247" s="403"/>
      <c r="M247" s="403"/>
      <c r="N247" s="403"/>
      <c r="O247" s="403"/>
      <c r="P247" s="403"/>
      <c r="Q247" s="403"/>
      <c r="R247" s="386">
        <f t="shared" si="5"/>
        <v>0</v>
      </c>
    </row>
    <row r="248" spans="1:18">
      <c r="A248" s="458"/>
      <c r="B248" s="388" t="s">
        <v>590</v>
      </c>
      <c r="C248" s="382"/>
      <c r="D248" s="453" t="s">
        <v>591</v>
      </c>
      <c r="E248" s="452">
        <v>128</v>
      </c>
      <c r="F248" s="524"/>
      <c r="G248" s="445"/>
      <c r="H248" s="445"/>
      <c r="I248" s="445"/>
      <c r="J248" s="445"/>
      <c r="K248" s="445"/>
      <c r="L248" s="445"/>
      <c r="M248" s="445"/>
      <c r="N248" s="445"/>
      <c r="O248" s="445"/>
      <c r="P248" s="445"/>
      <c r="Q248" s="445"/>
      <c r="R248" s="386">
        <f t="shared" si="5"/>
        <v>0</v>
      </c>
    </row>
    <row r="249" spans="1:18">
      <c r="A249" s="437" t="s">
        <v>596</v>
      </c>
      <c r="B249" s="376" t="s">
        <v>597</v>
      </c>
      <c r="C249" s="376"/>
      <c r="D249" s="447" t="s">
        <v>587</v>
      </c>
      <c r="E249" s="448" t="s">
        <v>588</v>
      </c>
      <c r="F249" s="522"/>
      <c r="G249" s="523"/>
      <c r="H249" s="523"/>
      <c r="I249" s="523"/>
      <c r="J249" s="523"/>
      <c r="K249" s="523"/>
      <c r="L249" s="523"/>
      <c r="M249" s="523"/>
      <c r="N249" s="523"/>
      <c r="O249" s="523"/>
      <c r="P249" s="523"/>
      <c r="Q249" s="523"/>
      <c r="R249" s="438"/>
    </row>
    <row r="250" spans="1:18">
      <c r="A250" s="449"/>
      <c r="B250" s="536" t="s">
        <v>533</v>
      </c>
      <c r="C250" s="536" t="s">
        <v>534</v>
      </c>
      <c r="D250" s="546" t="s">
        <v>484</v>
      </c>
      <c r="E250" s="450">
        <v>341</v>
      </c>
      <c r="F250" s="549"/>
      <c r="G250" s="541"/>
      <c r="H250" s="541"/>
      <c r="I250" s="541"/>
      <c r="J250" s="541"/>
      <c r="K250" s="541"/>
      <c r="L250" s="541"/>
      <c r="M250" s="541"/>
      <c r="N250" s="541"/>
      <c r="O250" s="541"/>
      <c r="P250" s="541"/>
      <c r="Q250" s="541"/>
      <c r="R250" s="386">
        <f t="shared" ref="R250:R252" si="6">SUM(F250:Q250)</f>
        <v>0</v>
      </c>
    </row>
    <row r="251" spans="1:18">
      <c r="A251" s="449"/>
      <c r="B251" s="414" t="s">
        <v>513</v>
      </c>
      <c r="C251" s="418" t="s">
        <v>514</v>
      </c>
      <c r="D251" s="381" t="s">
        <v>484</v>
      </c>
      <c r="E251" s="450">
        <v>338</v>
      </c>
      <c r="F251" s="525"/>
      <c r="G251" s="403"/>
      <c r="H251" s="403"/>
      <c r="I251" s="403"/>
      <c r="J251" s="403"/>
      <c r="K251" s="403"/>
      <c r="L251" s="403"/>
      <c r="M251" s="403"/>
      <c r="N251" s="403"/>
      <c r="O251" s="403"/>
      <c r="P251" s="403"/>
      <c r="Q251" s="403"/>
      <c r="R251" s="386">
        <f t="shared" si="6"/>
        <v>0</v>
      </c>
    </row>
    <row r="252" spans="1:18">
      <c r="A252" s="458"/>
      <c r="B252" s="388" t="s">
        <v>590</v>
      </c>
      <c r="C252" s="459"/>
      <c r="D252" s="459"/>
      <c r="E252" s="450">
        <v>341</v>
      </c>
      <c r="F252" s="526"/>
      <c r="G252" s="445"/>
      <c r="H252" s="445"/>
      <c r="I252" s="445"/>
      <c r="J252" s="445"/>
      <c r="K252" s="445"/>
      <c r="L252" s="445"/>
      <c r="M252" s="445"/>
      <c r="N252" s="445"/>
      <c r="O252" s="445"/>
      <c r="P252" s="445"/>
      <c r="Q252" s="445"/>
      <c r="R252" s="460">
        <f t="shared" si="6"/>
        <v>0</v>
      </c>
    </row>
    <row r="253" spans="1:18">
      <c r="A253" s="437" t="s">
        <v>598</v>
      </c>
      <c r="B253" s="376" t="s">
        <v>599</v>
      </c>
      <c r="C253" s="376"/>
      <c r="D253" s="447" t="s">
        <v>587</v>
      </c>
      <c r="E253" s="448" t="s">
        <v>588</v>
      </c>
      <c r="F253" s="522"/>
      <c r="G253" s="523"/>
      <c r="H253" s="523"/>
      <c r="I253" s="523"/>
      <c r="J253" s="523"/>
      <c r="K253" s="523"/>
      <c r="L253" s="523"/>
      <c r="M253" s="523"/>
      <c r="N253" s="523"/>
      <c r="O253" s="523"/>
      <c r="P253" s="523"/>
      <c r="Q253" s="523"/>
      <c r="R253" s="438"/>
    </row>
    <row r="254" spans="1:18">
      <c r="A254" s="461"/>
      <c r="B254" s="536" t="s">
        <v>533</v>
      </c>
      <c r="C254" s="536" t="s">
        <v>534</v>
      </c>
      <c r="D254" s="546" t="s">
        <v>484</v>
      </c>
      <c r="E254" s="450">
        <v>341</v>
      </c>
      <c r="F254" s="549"/>
      <c r="G254" s="541"/>
      <c r="H254" s="541"/>
      <c r="I254" s="541"/>
      <c r="J254" s="541"/>
      <c r="K254" s="541"/>
      <c r="L254" s="541"/>
      <c r="M254" s="541"/>
      <c r="N254" s="541"/>
      <c r="O254" s="541"/>
      <c r="P254" s="541"/>
      <c r="Q254" s="541"/>
      <c r="R254" s="386">
        <f t="shared" ref="R254:R256" si="7">SUM(F254:Q254)</f>
        <v>0</v>
      </c>
    </row>
    <row r="255" spans="1:18">
      <c r="A255" s="461"/>
      <c r="B255" s="479" t="s">
        <v>590</v>
      </c>
      <c r="C255" s="462"/>
      <c r="D255" s="462"/>
      <c r="E255" s="463"/>
      <c r="F255" s="527"/>
      <c r="G255" s="403"/>
      <c r="H255" s="403"/>
      <c r="I255" s="403"/>
      <c r="J255" s="403"/>
      <c r="K255" s="403"/>
      <c r="L255" s="403"/>
      <c r="M255" s="403"/>
      <c r="N255" s="403"/>
      <c r="O255" s="403"/>
      <c r="P255" s="403"/>
      <c r="Q255" s="403"/>
      <c r="R255" s="460">
        <f t="shared" si="7"/>
        <v>0</v>
      </c>
    </row>
    <row r="256" spans="1:18">
      <c r="A256" s="455"/>
      <c r="B256" s="414"/>
      <c r="C256" s="416"/>
      <c r="D256" s="397"/>
      <c r="E256" s="397"/>
      <c r="F256" s="524"/>
      <c r="G256" s="445"/>
      <c r="H256" s="445"/>
      <c r="I256" s="445"/>
      <c r="J256" s="445"/>
      <c r="K256" s="445"/>
      <c r="L256" s="445"/>
      <c r="M256" s="445"/>
      <c r="N256" s="445"/>
      <c r="O256" s="445"/>
      <c r="P256" s="445"/>
      <c r="Q256" s="445"/>
      <c r="R256" s="386">
        <f t="shared" si="7"/>
        <v>0</v>
      </c>
    </row>
    <row r="257" spans="1:18">
      <c r="A257" s="437" t="s">
        <v>600</v>
      </c>
      <c r="B257" s="376" t="s">
        <v>601</v>
      </c>
      <c r="C257" s="376"/>
      <c r="D257" s="447" t="s">
        <v>587</v>
      </c>
      <c r="E257" s="448" t="s">
        <v>588</v>
      </c>
      <c r="F257" s="522"/>
      <c r="G257" s="523"/>
      <c r="H257" s="523"/>
      <c r="I257" s="523"/>
      <c r="J257" s="523"/>
      <c r="K257" s="523"/>
      <c r="L257" s="523"/>
      <c r="M257" s="523"/>
      <c r="N257" s="523"/>
      <c r="O257" s="523"/>
      <c r="P257" s="523"/>
      <c r="Q257" s="523"/>
      <c r="R257" s="438"/>
    </row>
    <row r="258" spans="1:18">
      <c r="A258" s="550"/>
      <c r="B258" s="536"/>
      <c r="C258" s="536"/>
      <c r="D258" s="544" t="s">
        <v>602</v>
      </c>
      <c r="E258" s="551">
        <v>515</v>
      </c>
      <c r="F258" s="549"/>
      <c r="G258" s="541"/>
      <c r="H258" s="541"/>
      <c r="I258" s="541"/>
      <c r="J258" s="541"/>
      <c r="K258" s="541"/>
      <c r="L258" s="541"/>
      <c r="M258" s="541"/>
      <c r="N258" s="541"/>
      <c r="O258" s="541"/>
      <c r="P258" s="541"/>
      <c r="Q258" s="541"/>
      <c r="R258" s="386">
        <f t="shared" ref="R258:R266" si="8">SUM(F258:Q258)</f>
        <v>0</v>
      </c>
    </row>
    <row r="259" spans="1:18">
      <c r="A259" s="449"/>
      <c r="B259" s="479"/>
      <c r="C259" s="479"/>
      <c r="D259" s="388"/>
      <c r="E259" s="392">
        <v>138</v>
      </c>
      <c r="F259" s="525"/>
      <c r="G259" s="403"/>
      <c r="H259" s="403"/>
      <c r="I259" s="403"/>
      <c r="J259" s="403"/>
      <c r="K259" s="403"/>
      <c r="L259" s="403"/>
      <c r="M259" s="403"/>
      <c r="N259" s="403"/>
      <c r="O259" s="403"/>
      <c r="P259" s="403"/>
      <c r="Q259" s="403"/>
      <c r="R259" s="386">
        <f t="shared" si="8"/>
        <v>0</v>
      </c>
    </row>
    <row r="260" spans="1:18">
      <c r="A260" s="449"/>
      <c r="B260" s="479"/>
      <c r="C260" s="479"/>
      <c r="D260" s="388" t="s">
        <v>602</v>
      </c>
      <c r="E260" s="450">
        <v>515</v>
      </c>
      <c r="F260" s="525"/>
      <c r="G260" s="403"/>
      <c r="H260" s="403"/>
      <c r="I260" s="403"/>
      <c r="J260" s="403"/>
      <c r="K260" s="403"/>
      <c r="L260" s="403"/>
      <c r="M260" s="403"/>
      <c r="N260" s="403"/>
      <c r="O260" s="403"/>
      <c r="P260" s="403"/>
      <c r="Q260" s="403"/>
      <c r="R260" s="386">
        <f t="shared" si="8"/>
        <v>0</v>
      </c>
    </row>
    <row r="261" spans="1:18">
      <c r="A261" s="449"/>
      <c r="B261" s="479"/>
      <c r="C261" s="479"/>
      <c r="D261" s="388"/>
      <c r="E261" s="392">
        <v>138</v>
      </c>
      <c r="F261" s="525"/>
      <c r="G261" s="403"/>
      <c r="H261" s="403"/>
      <c r="I261" s="403"/>
      <c r="J261" s="403"/>
      <c r="K261" s="403"/>
      <c r="L261" s="403"/>
      <c r="M261" s="403"/>
      <c r="N261" s="403"/>
      <c r="O261" s="403"/>
      <c r="P261" s="403"/>
      <c r="Q261" s="403"/>
      <c r="R261" s="386">
        <f t="shared" si="8"/>
        <v>0</v>
      </c>
    </row>
    <row r="262" spans="1:18">
      <c r="A262" s="449"/>
      <c r="B262" s="500"/>
      <c r="C262" s="443"/>
      <c r="D262" s="388" t="s">
        <v>602</v>
      </c>
      <c r="E262" s="450">
        <v>515</v>
      </c>
      <c r="F262" s="525"/>
      <c r="G262" s="403"/>
      <c r="H262" s="403"/>
      <c r="I262" s="403"/>
      <c r="J262" s="403"/>
      <c r="K262" s="403"/>
      <c r="L262" s="403"/>
      <c r="M262" s="403"/>
      <c r="N262" s="403"/>
      <c r="O262" s="403"/>
      <c r="P262" s="403"/>
      <c r="Q262" s="403"/>
      <c r="R262" s="386">
        <f t="shared" si="8"/>
        <v>0</v>
      </c>
    </row>
    <row r="263" spans="1:18">
      <c r="A263" s="449"/>
      <c r="B263" s="501"/>
      <c r="C263" s="479"/>
      <c r="D263" s="388"/>
      <c r="E263" s="392">
        <v>138</v>
      </c>
      <c r="F263" s="525"/>
      <c r="G263" s="403"/>
      <c r="H263" s="403"/>
      <c r="I263" s="403"/>
      <c r="J263" s="403"/>
      <c r="K263" s="403"/>
      <c r="L263" s="403"/>
      <c r="M263" s="403"/>
      <c r="N263" s="403"/>
      <c r="O263" s="403"/>
      <c r="P263" s="403"/>
      <c r="Q263" s="403"/>
      <c r="R263" s="386">
        <f t="shared" si="8"/>
        <v>0</v>
      </c>
    </row>
    <row r="264" spans="1:18">
      <c r="A264" s="449"/>
      <c r="B264" s="500"/>
      <c r="C264" s="443"/>
      <c r="D264" s="388" t="s">
        <v>602</v>
      </c>
      <c r="E264" s="450">
        <v>515</v>
      </c>
      <c r="F264" s="525"/>
      <c r="G264" s="403"/>
      <c r="H264" s="403"/>
      <c r="I264" s="403"/>
      <c r="J264" s="403"/>
      <c r="K264" s="403"/>
      <c r="L264" s="403"/>
      <c r="M264" s="403"/>
      <c r="N264" s="403"/>
      <c r="O264" s="403"/>
      <c r="P264" s="403"/>
      <c r="Q264" s="403"/>
      <c r="R264" s="386">
        <f t="shared" si="8"/>
        <v>0</v>
      </c>
    </row>
    <row r="265" spans="1:18">
      <c r="A265" s="449"/>
      <c r="B265" s="501"/>
      <c r="C265" s="479"/>
      <c r="D265" s="388"/>
      <c r="E265" s="392">
        <v>138</v>
      </c>
      <c r="F265" s="525"/>
      <c r="G265" s="403"/>
      <c r="H265" s="403"/>
      <c r="I265" s="403"/>
      <c r="J265" s="403"/>
      <c r="K265" s="403"/>
      <c r="L265" s="403"/>
      <c r="M265" s="403"/>
      <c r="N265" s="403"/>
      <c r="O265" s="403"/>
      <c r="P265" s="403"/>
      <c r="Q265" s="403"/>
      <c r="R265" s="386">
        <f t="shared" si="8"/>
        <v>0</v>
      </c>
    </row>
    <row r="266" spans="1:18">
      <c r="A266" s="455"/>
      <c r="B266" s="475"/>
      <c r="C266" s="475"/>
      <c r="D266" s="397"/>
      <c r="E266" s="396"/>
      <c r="F266" s="524"/>
      <c r="G266" s="445"/>
      <c r="H266" s="445"/>
      <c r="I266" s="445"/>
      <c r="J266" s="445"/>
      <c r="K266" s="445"/>
      <c r="L266" s="445"/>
      <c r="M266" s="445"/>
      <c r="N266" s="445"/>
      <c r="O266" s="445"/>
      <c r="P266" s="445"/>
      <c r="Q266" s="445"/>
      <c r="R266" s="386">
        <f t="shared" si="8"/>
        <v>0</v>
      </c>
    </row>
    <row r="267" spans="1:18">
      <c r="A267" s="437" t="s">
        <v>603</v>
      </c>
      <c r="B267" s="376" t="s">
        <v>604</v>
      </c>
      <c r="C267" s="376"/>
      <c r="D267" s="447" t="s">
        <v>587</v>
      </c>
      <c r="E267" s="448" t="s">
        <v>588</v>
      </c>
      <c r="F267" s="522"/>
      <c r="G267" s="523"/>
      <c r="H267" s="523"/>
      <c r="I267" s="523"/>
      <c r="J267" s="523"/>
      <c r="K267" s="523"/>
      <c r="L267" s="523"/>
      <c r="M267" s="523"/>
      <c r="N267" s="523"/>
      <c r="O267" s="523"/>
      <c r="P267" s="523"/>
      <c r="Q267" s="523"/>
      <c r="R267" s="438"/>
    </row>
    <row r="268" spans="1:18">
      <c r="A268" s="458"/>
      <c r="B268" s="479" t="s">
        <v>503</v>
      </c>
      <c r="C268" s="381" t="s">
        <v>504</v>
      </c>
      <c r="D268" s="544"/>
      <c r="E268" s="450" t="s">
        <v>605</v>
      </c>
      <c r="F268" s="549"/>
      <c r="G268" s="541"/>
      <c r="H268" s="541"/>
      <c r="I268" s="541"/>
      <c r="J268" s="541"/>
      <c r="K268" s="541"/>
      <c r="L268" s="541"/>
      <c r="M268" s="541"/>
      <c r="N268" s="541"/>
      <c r="O268" s="541"/>
      <c r="P268" s="541"/>
      <c r="Q268" s="541"/>
      <c r="R268" s="386">
        <f t="shared" ref="R268:R272" si="9">SUM(F268:Q268)</f>
        <v>0</v>
      </c>
    </row>
    <row r="269" spans="1:18">
      <c r="A269" s="458"/>
      <c r="B269" s="479"/>
      <c r="C269" s="381"/>
      <c r="D269" s="382"/>
      <c r="E269" s="450" t="s">
        <v>606</v>
      </c>
      <c r="F269" s="525"/>
      <c r="G269" s="403"/>
      <c r="H269" s="403"/>
      <c r="I269" s="403"/>
      <c r="J269" s="403"/>
      <c r="K269" s="403"/>
      <c r="L269" s="403"/>
      <c r="M269" s="403"/>
      <c r="N269" s="403"/>
      <c r="O269" s="403"/>
      <c r="P269" s="403"/>
      <c r="Q269" s="403"/>
      <c r="R269" s="386">
        <f t="shared" si="9"/>
        <v>0</v>
      </c>
    </row>
    <row r="270" spans="1:18">
      <c r="A270" s="458"/>
      <c r="B270" s="479" t="s">
        <v>590</v>
      </c>
      <c r="C270" s="381"/>
      <c r="D270" s="453"/>
      <c r="E270" s="450" t="s">
        <v>606</v>
      </c>
      <c r="F270" s="525"/>
      <c r="G270" s="403"/>
      <c r="H270" s="403"/>
      <c r="I270" s="403"/>
      <c r="J270" s="403"/>
      <c r="K270" s="403"/>
      <c r="L270" s="403"/>
      <c r="M270" s="403"/>
      <c r="N270" s="403"/>
      <c r="O270" s="403"/>
      <c r="P270" s="403"/>
      <c r="Q270" s="403"/>
      <c r="R270" s="386">
        <f t="shared" si="9"/>
        <v>0</v>
      </c>
    </row>
    <row r="271" spans="1:18">
      <c r="A271" s="458"/>
      <c r="B271" s="414" t="s">
        <v>607</v>
      </c>
      <c r="C271" s="418"/>
      <c r="D271" s="453"/>
      <c r="E271" s="450" t="s">
        <v>606</v>
      </c>
      <c r="F271" s="525"/>
      <c r="G271" s="403"/>
      <c r="H271" s="403"/>
      <c r="I271" s="403"/>
      <c r="J271" s="403"/>
      <c r="K271" s="403"/>
      <c r="L271" s="403"/>
      <c r="M271" s="403"/>
      <c r="N271" s="403"/>
      <c r="O271" s="403"/>
      <c r="P271" s="403"/>
      <c r="Q271" s="403"/>
      <c r="R271" s="386">
        <f t="shared" si="9"/>
        <v>0</v>
      </c>
    </row>
    <row r="272" spans="1:18">
      <c r="A272" s="458"/>
      <c r="B272" s="414" t="s">
        <v>608</v>
      </c>
      <c r="C272" s="418"/>
      <c r="D272" s="453"/>
      <c r="E272" s="450" t="s">
        <v>606</v>
      </c>
      <c r="F272" s="524"/>
      <c r="G272" s="445"/>
      <c r="H272" s="445"/>
      <c r="I272" s="445"/>
      <c r="J272" s="445"/>
      <c r="K272" s="445"/>
      <c r="L272" s="445"/>
      <c r="M272" s="445"/>
      <c r="N272" s="445"/>
      <c r="O272" s="445"/>
      <c r="P272" s="445"/>
      <c r="Q272" s="445"/>
      <c r="R272" s="386">
        <f t="shared" si="9"/>
        <v>0</v>
      </c>
    </row>
    <row r="273" spans="1:18">
      <c r="A273" s="437" t="s">
        <v>609</v>
      </c>
      <c r="B273" s="376" t="s">
        <v>610</v>
      </c>
      <c r="C273" s="376"/>
      <c r="D273" s="447" t="s">
        <v>587</v>
      </c>
      <c r="E273" s="448" t="s">
        <v>588</v>
      </c>
      <c r="F273" s="522"/>
      <c r="G273" s="523"/>
      <c r="H273" s="523"/>
      <c r="I273" s="523"/>
      <c r="J273" s="523"/>
      <c r="K273" s="523"/>
      <c r="L273" s="523"/>
      <c r="M273" s="523"/>
      <c r="N273" s="523"/>
      <c r="O273" s="523"/>
      <c r="P273" s="523"/>
      <c r="Q273" s="523"/>
      <c r="R273" s="438"/>
    </row>
    <row r="274" spans="1:18">
      <c r="A274" s="458"/>
      <c r="B274" s="479" t="s">
        <v>503</v>
      </c>
      <c r="C274" s="381" t="s">
        <v>504</v>
      </c>
      <c r="D274" s="544"/>
      <c r="E274" s="450" t="s">
        <v>611</v>
      </c>
      <c r="F274" s="549"/>
      <c r="G274" s="541"/>
      <c r="H274" s="541"/>
      <c r="I274" s="541"/>
      <c r="J274" s="541"/>
      <c r="K274" s="541"/>
      <c r="L274" s="541"/>
      <c r="M274" s="541"/>
      <c r="N274" s="541"/>
      <c r="O274" s="541"/>
      <c r="P274" s="541"/>
      <c r="Q274" s="541"/>
      <c r="R274" s="386">
        <f t="shared" ref="R274:R281" si="10">SUM(F274:Q274)</f>
        <v>0</v>
      </c>
    </row>
    <row r="275" spans="1:18">
      <c r="A275" s="458"/>
      <c r="B275" s="479"/>
      <c r="C275" s="381"/>
      <c r="D275" s="382"/>
      <c r="E275" s="450"/>
      <c r="F275" s="525"/>
      <c r="G275" s="403"/>
      <c r="H275" s="403"/>
      <c r="I275" s="403"/>
      <c r="J275" s="403"/>
      <c r="K275" s="403"/>
      <c r="L275" s="403"/>
      <c r="M275" s="403"/>
      <c r="N275" s="403"/>
      <c r="O275" s="403"/>
      <c r="P275" s="403"/>
      <c r="Q275" s="403"/>
      <c r="R275" s="386">
        <f t="shared" si="10"/>
        <v>0</v>
      </c>
    </row>
    <row r="276" spans="1:18">
      <c r="A276" s="458"/>
      <c r="B276" s="479" t="s">
        <v>590</v>
      </c>
      <c r="C276" s="381"/>
      <c r="D276" s="453"/>
      <c r="E276" s="450" t="s">
        <v>611</v>
      </c>
      <c r="F276" s="525"/>
      <c r="G276" s="403"/>
      <c r="H276" s="403"/>
      <c r="I276" s="403"/>
      <c r="J276" s="403"/>
      <c r="K276" s="403"/>
      <c r="L276" s="403"/>
      <c r="M276" s="403"/>
      <c r="N276" s="403"/>
      <c r="O276" s="403"/>
      <c r="P276" s="403"/>
      <c r="Q276" s="403"/>
      <c r="R276" s="386">
        <f t="shared" si="10"/>
        <v>0</v>
      </c>
    </row>
    <row r="277" spans="1:18">
      <c r="A277" s="458"/>
      <c r="B277" s="479"/>
      <c r="C277" s="381"/>
      <c r="D277" s="453"/>
      <c r="E277" s="450" t="s">
        <v>612</v>
      </c>
      <c r="F277" s="525"/>
      <c r="G277" s="403"/>
      <c r="H277" s="403"/>
      <c r="I277" s="403"/>
      <c r="J277" s="403"/>
      <c r="K277" s="403"/>
      <c r="L277" s="403"/>
      <c r="M277" s="403"/>
      <c r="N277" s="403"/>
      <c r="O277" s="403"/>
      <c r="P277" s="403"/>
      <c r="Q277" s="403"/>
      <c r="R277" s="386">
        <f t="shared" si="10"/>
        <v>0</v>
      </c>
    </row>
    <row r="278" spans="1:18">
      <c r="A278" s="458"/>
      <c r="B278" s="414" t="s">
        <v>607</v>
      </c>
      <c r="C278" s="418"/>
      <c r="D278" s="453"/>
      <c r="E278" s="450" t="s">
        <v>611</v>
      </c>
      <c r="F278" s="525"/>
      <c r="G278" s="403"/>
      <c r="H278" s="403"/>
      <c r="I278" s="403"/>
      <c r="J278" s="403"/>
      <c r="K278" s="403"/>
      <c r="L278" s="403"/>
      <c r="M278" s="403"/>
      <c r="N278" s="403"/>
      <c r="O278" s="403"/>
      <c r="P278" s="403"/>
      <c r="Q278" s="403"/>
      <c r="R278" s="386">
        <f t="shared" si="10"/>
        <v>0</v>
      </c>
    </row>
    <row r="279" spans="1:18">
      <c r="B279" s="414"/>
      <c r="C279" s="418"/>
      <c r="D279" s="453"/>
      <c r="E279" s="450" t="s">
        <v>612</v>
      </c>
      <c r="F279" s="525"/>
      <c r="G279" s="403"/>
      <c r="H279" s="403"/>
      <c r="I279" s="403"/>
      <c r="J279" s="403"/>
      <c r="K279" s="403"/>
      <c r="L279" s="403"/>
      <c r="M279" s="403"/>
      <c r="N279" s="403"/>
      <c r="O279" s="403"/>
      <c r="P279" s="403"/>
      <c r="Q279" s="403"/>
      <c r="R279" s="386">
        <f t="shared" si="10"/>
        <v>0</v>
      </c>
    </row>
    <row r="280" spans="1:18">
      <c r="A280" s="458"/>
      <c r="B280" s="414" t="s">
        <v>608</v>
      </c>
      <c r="C280" s="418"/>
      <c r="D280" s="453" t="s">
        <v>613</v>
      </c>
      <c r="E280" s="450" t="s">
        <v>611</v>
      </c>
      <c r="F280" s="525"/>
      <c r="G280" s="403"/>
      <c r="H280" s="403"/>
      <c r="I280" s="403"/>
      <c r="J280" s="403"/>
      <c r="K280" s="403"/>
      <c r="L280" s="403"/>
      <c r="M280" s="403"/>
      <c r="N280" s="403"/>
      <c r="O280" s="403"/>
      <c r="P280" s="403"/>
      <c r="Q280" s="403"/>
      <c r="R280" s="386">
        <f t="shared" si="10"/>
        <v>0</v>
      </c>
    </row>
    <row r="281" spans="1:18">
      <c r="A281" s="464"/>
      <c r="B281" s="429"/>
      <c r="C281" s="496"/>
      <c r="D281" s="465"/>
      <c r="E281" s="457" t="s">
        <v>612</v>
      </c>
      <c r="F281" s="524"/>
      <c r="G281" s="445"/>
      <c r="H281" s="445"/>
      <c r="I281" s="445"/>
      <c r="J281" s="445"/>
      <c r="K281" s="445"/>
      <c r="L281" s="445"/>
      <c r="M281" s="445"/>
      <c r="N281" s="445"/>
      <c r="O281" s="445"/>
      <c r="P281" s="445"/>
      <c r="Q281" s="445"/>
      <c r="R281" s="401">
        <f t="shared" si="10"/>
        <v>0</v>
      </c>
    </row>
    <row r="282" spans="1:18">
      <c r="B282" s="427"/>
      <c r="C282" s="427"/>
      <c r="D282" s="466"/>
      <c r="E282" s="467"/>
    </row>
    <row r="284" spans="1:18">
      <c r="A284" s="363" t="s">
        <v>614</v>
      </c>
      <c r="B284" s="364" t="s">
        <v>615</v>
      </c>
      <c r="C284" s="364"/>
      <c r="D284" s="365"/>
    </row>
    <row r="285" spans="1:18">
      <c r="F285" s="366" t="s">
        <v>616</v>
      </c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</row>
    <row r="286" spans="1:18">
      <c r="A286" s="552" t="s">
        <v>501</v>
      </c>
      <c r="B286" s="553" t="s">
        <v>617</v>
      </c>
      <c r="C286" s="553"/>
      <c r="D286" s="554" t="s">
        <v>588</v>
      </c>
      <c r="E286" s="544"/>
      <c r="F286" s="468" t="s">
        <v>488</v>
      </c>
      <c r="G286" s="468" t="s">
        <v>489</v>
      </c>
      <c r="H286" s="468" t="s">
        <v>490</v>
      </c>
      <c r="I286" s="468" t="s">
        <v>491</v>
      </c>
      <c r="J286" s="468" t="s">
        <v>492</v>
      </c>
      <c r="K286" s="468" t="s">
        <v>493</v>
      </c>
      <c r="L286" s="468" t="s">
        <v>494</v>
      </c>
      <c r="M286" s="468" t="s">
        <v>495</v>
      </c>
      <c r="N286" s="468" t="s">
        <v>496</v>
      </c>
      <c r="O286" s="468" t="s">
        <v>497</v>
      </c>
      <c r="P286" s="468" t="s">
        <v>498</v>
      </c>
      <c r="Q286" s="468" t="s">
        <v>499</v>
      </c>
    </row>
    <row r="287" spans="1:18">
      <c r="A287" s="555">
        <v>1</v>
      </c>
      <c r="B287" s="546" t="s">
        <v>503</v>
      </c>
      <c r="C287" s="546" t="s">
        <v>504</v>
      </c>
      <c r="D287" s="545">
        <v>131</v>
      </c>
      <c r="E287" s="544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41"/>
    </row>
    <row r="288" spans="1:18">
      <c r="A288" s="469"/>
      <c r="B288" s="470"/>
      <c r="C288" s="470"/>
      <c r="D288" s="471">
        <v>138</v>
      </c>
      <c r="E288" s="436"/>
      <c r="F288" s="472"/>
      <c r="G288" s="472"/>
      <c r="H288" s="472"/>
      <c r="I288" s="472"/>
      <c r="J288" s="472"/>
      <c r="K288" s="472"/>
      <c r="L288" s="472"/>
      <c r="M288" s="472"/>
      <c r="N288" s="472"/>
      <c r="O288" s="472"/>
      <c r="P288" s="472"/>
      <c r="Q288" s="473"/>
    </row>
    <row r="289" spans="1:17">
      <c r="A289" s="555">
        <v>2</v>
      </c>
      <c r="B289" s="546" t="s">
        <v>513</v>
      </c>
      <c r="C289" s="546" t="s">
        <v>514</v>
      </c>
      <c r="D289" s="545">
        <v>131</v>
      </c>
      <c r="E289" s="544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41"/>
    </row>
    <row r="290" spans="1:17">
      <c r="A290" s="469"/>
      <c r="B290" s="470"/>
      <c r="C290" s="470"/>
      <c r="D290" s="471">
        <v>138</v>
      </c>
      <c r="E290" s="436"/>
      <c r="F290" s="472"/>
      <c r="G290" s="472"/>
      <c r="H290" s="472"/>
      <c r="I290" s="472"/>
      <c r="J290" s="472"/>
      <c r="K290" s="472"/>
      <c r="L290" s="472"/>
      <c r="M290" s="472"/>
      <c r="N290" s="472"/>
      <c r="O290" s="472"/>
      <c r="P290" s="472"/>
      <c r="Q290" s="473"/>
    </row>
    <row r="291" spans="1:17" s="360" customFormat="1">
      <c r="A291" s="555">
        <v>3</v>
      </c>
      <c r="B291" s="546" t="s">
        <v>519</v>
      </c>
      <c r="C291" s="546" t="s">
        <v>520</v>
      </c>
      <c r="D291" s="545">
        <v>131</v>
      </c>
      <c r="E291" s="544"/>
      <c r="F291" s="556"/>
      <c r="G291" s="556"/>
      <c r="H291" s="556"/>
      <c r="I291" s="556"/>
      <c r="J291" s="556"/>
      <c r="K291" s="556"/>
      <c r="L291" s="556"/>
      <c r="M291" s="556"/>
      <c r="N291" s="556"/>
      <c r="O291" s="556"/>
      <c r="P291" s="556"/>
      <c r="Q291" s="541"/>
    </row>
    <row r="292" spans="1:17" s="360" customFormat="1">
      <c r="A292" s="469"/>
      <c r="B292" s="470"/>
      <c r="C292" s="470"/>
      <c r="D292" s="471">
        <v>138</v>
      </c>
      <c r="E292" s="436"/>
      <c r="F292" s="472"/>
      <c r="G292" s="472"/>
      <c r="H292" s="472"/>
      <c r="I292" s="472"/>
      <c r="J292" s="472"/>
      <c r="K292" s="472"/>
      <c r="L292" s="472"/>
      <c r="M292" s="472"/>
      <c r="N292" s="472"/>
      <c r="O292" s="472"/>
      <c r="P292" s="472"/>
      <c r="Q292" s="473"/>
    </row>
    <row r="293" spans="1:17" s="360" customFormat="1">
      <c r="A293" s="555">
        <v>4</v>
      </c>
      <c r="B293" s="546" t="s">
        <v>522</v>
      </c>
      <c r="C293" s="546" t="s">
        <v>523</v>
      </c>
      <c r="D293" s="545">
        <v>131</v>
      </c>
      <c r="E293" s="544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41"/>
    </row>
    <row r="294" spans="1:17" s="360" customFormat="1">
      <c r="A294" s="469"/>
      <c r="B294" s="470"/>
      <c r="C294" s="470"/>
      <c r="D294" s="471">
        <v>138</v>
      </c>
      <c r="E294" s="436"/>
      <c r="F294" s="472"/>
      <c r="G294" s="472"/>
      <c r="H294" s="472"/>
      <c r="I294" s="472"/>
      <c r="J294" s="472"/>
      <c r="K294" s="472"/>
      <c r="L294" s="472"/>
      <c r="M294" s="472"/>
      <c r="N294" s="472"/>
      <c r="O294" s="472"/>
      <c r="P294" s="472"/>
      <c r="Q294" s="473"/>
    </row>
    <row r="295" spans="1:17" s="360" customFormat="1">
      <c r="A295" s="555">
        <v>5</v>
      </c>
      <c r="B295" s="546" t="s">
        <v>524</v>
      </c>
      <c r="C295" s="546" t="s">
        <v>525</v>
      </c>
      <c r="D295" s="545">
        <v>131</v>
      </c>
      <c r="E295" s="544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41"/>
    </row>
    <row r="296" spans="1:17" s="360" customFormat="1">
      <c r="A296" s="469"/>
      <c r="B296" s="470"/>
      <c r="C296" s="470"/>
      <c r="D296" s="471">
        <v>138</v>
      </c>
      <c r="E296" s="436"/>
      <c r="F296" s="472"/>
      <c r="G296" s="472"/>
      <c r="H296" s="472"/>
      <c r="I296" s="472"/>
      <c r="J296" s="472"/>
      <c r="K296" s="472"/>
      <c r="L296" s="472"/>
      <c r="M296" s="472"/>
      <c r="N296" s="472"/>
      <c r="O296" s="472"/>
      <c r="P296" s="472"/>
      <c r="Q296" s="473"/>
    </row>
    <row r="297" spans="1:17" s="360" customFormat="1">
      <c r="A297" s="555">
        <v>6</v>
      </c>
      <c r="B297" s="546" t="s">
        <v>527</v>
      </c>
      <c r="C297" s="546" t="s">
        <v>528</v>
      </c>
      <c r="D297" s="545">
        <v>131</v>
      </c>
      <c r="E297" s="544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41"/>
    </row>
    <row r="298" spans="1:17" s="360" customFormat="1">
      <c r="A298" s="469"/>
      <c r="B298" s="470"/>
      <c r="C298" s="470"/>
      <c r="D298" s="471">
        <v>138</v>
      </c>
      <c r="E298" s="436"/>
      <c r="F298" s="472"/>
      <c r="G298" s="472"/>
      <c r="H298" s="472"/>
      <c r="I298" s="472"/>
      <c r="J298" s="472"/>
      <c r="K298" s="472"/>
      <c r="L298" s="472"/>
      <c r="M298" s="472"/>
      <c r="N298" s="472"/>
      <c r="O298" s="472"/>
      <c r="P298" s="472"/>
      <c r="Q298" s="473"/>
    </row>
    <row r="299" spans="1:17" s="360" customFormat="1">
      <c r="A299" s="555">
        <v>7</v>
      </c>
      <c r="B299" s="536" t="s">
        <v>531</v>
      </c>
      <c r="C299" s="536" t="s">
        <v>532</v>
      </c>
      <c r="D299" s="545">
        <v>131</v>
      </c>
      <c r="E299" s="544"/>
      <c r="F299" s="556"/>
      <c r="G299" s="556"/>
      <c r="H299" s="556"/>
      <c r="I299" s="556"/>
      <c r="J299" s="556"/>
      <c r="K299" s="556"/>
      <c r="L299" s="556"/>
      <c r="M299" s="556"/>
      <c r="N299" s="556"/>
      <c r="O299" s="556"/>
      <c r="P299" s="556"/>
      <c r="Q299" s="541"/>
    </row>
    <row r="300" spans="1:17" s="360" customFormat="1">
      <c r="A300" s="474"/>
      <c r="B300" s="475"/>
      <c r="C300" s="475"/>
      <c r="D300" s="440">
        <v>138</v>
      </c>
      <c r="E300" s="397"/>
      <c r="F300" s="476"/>
      <c r="G300" s="476"/>
      <c r="H300" s="476"/>
      <c r="I300" s="476"/>
      <c r="J300" s="476"/>
      <c r="K300" s="476"/>
      <c r="L300" s="476"/>
      <c r="M300" s="476"/>
      <c r="N300" s="476"/>
      <c r="O300" s="476"/>
      <c r="P300" s="476"/>
      <c r="Q300" s="445"/>
    </row>
    <row r="301" spans="1:17" s="360" customFormat="1">
      <c r="A301" s="555">
        <v>8</v>
      </c>
      <c r="B301" s="546" t="s">
        <v>533</v>
      </c>
      <c r="C301" s="546" t="s">
        <v>534</v>
      </c>
      <c r="D301" s="545">
        <v>131</v>
      </c>
      <c r="E301" s="544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41"/>
    </row>
    <row r="302" spans="1:17" s="360" customFormat="1">
      <c r="A302" s="469"/>
      <c r="B302" s="470"/>
      <c r="C302" s="470"/>
      <c r="D302" s="471">
        <v>138</v>
      </c>
      <c r="E302" s="436"/>
      <c r="F302" s="472"/>
      <c r="G302" s="472"/>
      <c r="H302" s="472"/>
      <c r="I302" s="472"/>
      <c r="J302" s="472"/>
      <c r="K302" s="472"/>
      <c r="L302" s="472"/>
      <c r="M302" s="472"/>
      <c r="N302" s="472"/>
      <c r="O302" s="472"/>
      <c r="P302" s="472"/>
      <c r="Q302" s="473"/>
    </row>
    <row r="303" spans="1:17" s="360" customFormat="1">
      <c r="A303" s="555">
        <v>9</v>
      </c>
      <c r="B303" s="546" t="s">
        <v>536</v>
      </c>
      <c r="C303" s="546" t="s">
        <v>537</v>
      </c>
      <c r="D303" s="545">
        <v>131</v>
      </c>
      <c r="E303" s="544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41"/>
    </row>
    <row r="304" spans="1:17" s="360" customFormat="1">
      <c r="A304" s="469"/>
      <c r="B304" s="470"/>
      <c r="C304" s="470"/>
      <c r="D304" s="471">
        <v>138</v>
      </c>
      <c r="E304" s="436"/>
      <c r="F304" s="472"/>
      <c r="G304" s="472"/>
      <c r="H304" s="472"/>
      <c r="I304" s="472"/>
      <c r="J304" s="472"/>
      <c r="K304" s="472"/>
      <c r="L304" s="472"/>
      <c r="M304" s="472"/>
      <c r="N304" s="472"/>
      <c r="O304" s="472"/>
      <c r="P304" s="472"/>
      <c r="Q304" s="473"/>
    </row>
    <row r="305" spans="1:17" s="360" customFormat="1">
      <c r="A305" s="555">
        <v>10</v>
      </c>
      <c r="B305" s="546" t="s">
        <v>538</v>
      </c>
      <c r="C305" s="546" t="s">
        <v>539</v>
      </c>
      <c r="D305" s="545">
        <v>131</v>
      </c>
      <c r="E305" s="544"/>
      <c r="F305" s="556"/>
      <c r="G305" s="556"/>
      <c r="H305" s="556"/>
      <c r="I305" s="556"/>
      <c r="J305" s="556"/>
      <c r="K305" s="556"/>
      <c r="L305" s="556"/>
      <c r="M305" s="556"/>
      <c r="N305" s="556"/>
      <c r="O305" s="556"/>
      <c r="P305" s="556"/>
      <c r="Q305" s="541"/>
    </row>
    <row r="306" spans="1:17" s="360" customFormat="1">
      <c r="A306" s="469"/>
      <c r="B306" s="470"/>
      <c r="C306" s="470"/>
      <c r="D306" s="471">
        <v>138</v>
      </c>
      <c r="E306" s="436"/>
      <c r="F306" s="472"/>
      <c r="G306" s="472"/>
      <c r="H306" s="472"/>
      <c r="I306" s="472"/>
      <c r="J306" s="472"/>
      <c r="K306" s="472"/>
      <c r="L306" s="472"/>
      <c r="M306" s="472"/>
      <c r="N306" s="472"/>
      <c r="O306" s="472"/>
      <c r="P306" s="472"/>
      <c r="Q306" s="473"/>
    </row>
    <row r="307" spans="1:17" s="360" customFormat="1">
      <c r="A307" s="555">
        <v>11</v>
      </c>
      <c r="B307" s="546" t="s">
        <v>540</v>
      </c>
      <c r="C307" s="546" t="s">
        <v>541</v>
      </c>
      <c r="D307" s="545">
        <v>131</v>
      </c>
      <c r="E307" s="544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41"/>
    </row>
    <row r="308" spans="1:17" s="360" customFormat="1">
      <c r="A308" s="469"/>
      <c r="B308" s="470"/>
      <c r="C308" s="470"/>
      <c r="D308" s="471">
        <v>138</v>
      </c>
      <c r="E308" s="436"/>
      <c r="F308" s="472"/>
      <c r="G308" s="472"/>
      <c r="H308" s="472"/>
      <c r="I308" s="472"/>
      <c r="J308" s="472"/>
      <c r="K308" s="472"/>
      <c r="L308" s="472"/>
      <c r="M308" s="472"/>
      <c r="N308" s="472"/>
      <c r="O308" s="472"/>
      <c r="P308" s="472"/>
      <c r="Q308" s="473"/>
    </row>
    <row r="309" spans="1:17" s="360" customFormat="1">
      <c r="A309" s="555">
        <v>12</v>
      </c>
      <c r="B309" s="546" t="s">
        <v>542</v>
      </c>
      <c r="C309" s="546" t="s">
        <v>543</v>
      </c>
      <c r="D309" s="545">
        <v>131</v>
      </c>
      <c r="E309" s="544"/>
      <c r="F309" s="556"/>
      <c r="G309" s="556"/>
      <c r="H309" s="556"/>
      <c r="I309" s="556"/>
      <c r="J309" s="556"/>
      <c r="K309" s="556"/>
      <c r="L309" s="556"/>
      <c r="M309" s="556"/>
      <c r="N309" s="556"/>
      <c r="O309" s="556"/>
      <c r="P309" s="556"/>
      <c r="Q309" s="541"/>
    </row>
    <row r="310" spans="1:17" s="360" customFormat="1">
      <c r="A310" s="469"/>
      <c r="B310" s="470"/>
      <c r="C310" s="470"/>
      <c r="D310" s="471">
        <v>138</v>
      </c>
      <c r="E310" s="436"/>
      <c r="F310" s="472"/>
      <c r="G310" s="472"/>
      <c r="H310" s="472"/>
      <c r="I310" s="472"/>
      <c r="J310" s="472"/>
      <c r="K310" s="472"/>
      <c r="L310" s="472"/>
      <c r="M310" s="472"/>
      <c r="N310" s="472"/>
      <c r="O310" s="472"/>
      <c r="P310" s="472"/>
      <c r="Q310" s="473"/>
    </row>
    <row r="311" spans="1:17" s="360" customFormat="1">
      <c r="A311" s="555">
        <v>13</v>
      </c>
      <c r="B311" s="546" t="s">
        <v>544</v>
      </c>
      <c r="C311" s="546" t="s">
        <v>545</v>
      </c>
      <c r="D311" s="545">
        <v>131</v>
      </c>
      <c r="E311" s="544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41"/>
    </row>
    <row r="312" spans="1:17" s="360" customFormat="1">
      <c r="A312" s="469"/>
      <c r="B312" s="470"/>
      <c r="C312" s="470"/>
      <c r="D312" s="471">
        <v>138</v>
      </c>
      <c r="E312" s="436"/>
      <c r="F312" s="472"/>
      <c r="G312" s="472"/>
      <c r="H312" s="472"/>
      <c r="I312" s="472"/>
      <c r="J312" s="472"/>
      <c r="K312" s="472"/>
      <c r="L312" s="472"/>
      <c r="M312" s="472"/>
      <c r="N312" s="472"/>
      <c r="O312" s="472"/>
      <c r="P312" s="472"/>
      <c r="Q312" s="473"/>
    </row>
    <row r="313" spans="1:17" s="360" customFormat="1">
      <c r="A313" s="555">
        <v>14</v>
      </c>
      <c r="B313" s="546" t="s">
        <v>546</v>
      </c>
      <c r="C313" s="546" t="s">
        <v>547</v>
      </c>
      <c r="D313" s="545">
        <v>131</v>
      </c>
      <c r="E313" s="544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41"/>
    </row>
    <row r="314" spans="1:17" s="360" customFormat="1">
      <c r="A314" s="469"/>
      <c r="B314" s="470"/>
      <c r="C314" s="470"/>
      <c r="D314" s="471">
        <v>138</v>
      </c>
      <c r="E314" s="436"/>
      <c r="F314" s="472"/>
      <c r="G314" s="472"/>
      <c r="H314" s="472"/>
      <c r="I314" s="472"/>
      <c r="J314" s="472"/>
      <c r="K314" s="472"/>
      <c r="L314" s="472"/>
      <c r="M314" s="472"/>
      <c r="N314" s="472"/>
      <c r="O314" s="472"/>
      <c r="P314" s="472"/>
      <c r="Q314" s="473"/>
    </row>
    <row r="315" spans="1:17" s="360" customFormat="1">
      <c r="A315" s="555">
        <v>15</v>
      </c>
      <c r="B315" s="546" t="s">
        <v>548</v>
      </c>
      <c r="C315" s="546" t="s">
        <v>549</v>
      </c>
      <c r="D315" s="545">
        <v>131</v>
      </c>
      <c r="E315" s="544"/>
      <c r="F315" s="556"/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41"/>
    </row>
    <row r="316" spans="1:17" s="360" customFormat="1">
      <c r="A316" s="469"/>
      <c r="B316" s="470"/>
      <c r="C316" s="470"/>
      <c r="D316" s="471">
        <v>138</v>
      </c>
      <c r="E316" s="436"/>
      <c r="F316" s="472"/>
      <c r="G316" s="472"/>
      <c r="H316" s="472"/>
      <c r="I316" s="472"/>
      <c r="J316" s="472"/>
      <c r="K316" s="472"/>
      <c r="L316" s="472"/>
      <c r="M316" s="472"/>
      <c r="N316" s="472"/>
      <c r="O316" s="472"/>
      <c r="P316" s="472"/>
      <c r="Q316" s="473"/>
    </row>
    <row r="317" spans="1:17" s="360" customFormat="1">
      <c r="A317" s="555">
        <v>16</v>
      </c>
      <c r="B317" s="546" t="s">
        <v>550</v>
      </c>
      <c r="C317" s="546" t="s">
        <v>551</v>
      </c>
      <c r="D317" s="545">
        <v>131</v>
      </c>
      <c r="E317" s="544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41"/>
    </row>
    <row r="318" spans="1:17" s="360" customFormat="1">
      <c r="A318" s="469"/>
      <c r="B318" s="470"/>
      <c r="C318" s="470"/>
      <c r="D318" s="471">
        <v>138</v>
      </c>
      <c r="E318" s="436"/>
      <c r="F318" s="472"/>
      <c r="G318" s="472"/>
      <c r="H318" s="472"/>
      <c r="I318" s="472"/>
      <c r="J318" s="472"/>
      <c r="K318" s="472"/>
      <c r="L318" s="472"/>
      <c r="M318" s="472"/>
      <c r="N318" s="472"/>
      <c r="O318" s="472"/>
      <c r="P318" s="472"/>
      <c r="Q318" s="473"/>
    </row>
    <row r="319" spans="1:17" s="360" customFormat="1">
      <c r="A319" s="555">
        <v>17</v>
      </c>
      <c r="B319" s="546" t="s">
        <v>552</v>
      </c>
      <c r="C319" s="546" t="s">
        <v>553</v>
      </c>
      <c r="D319" s="545">
        <v>131</v>
      </c>
      <c r="E319" s="544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41"/>
    </row>
    <row r="320" spans="1:17" s="360" customFormat="1">
      <c r="A320" s="469"/>
      <c r="B320" s="470"/>
      <c r="C320" s="470"/>
      <c r="D320" s="471">
        <v>138</v>
      </c>
      <c r="E320" s="436"/>
      <c r="F320" s="472"/>
      <c r="G320" s="472"/>
      <c r="H320" s="472"/>
      <c r="I320" s="472"/>
      <c r="J320" s="472"/>
      <c r="K320" s="472"/>
      <c r="L320" s="472"/>
      <c r="M320" s="472"/>
      <c r="N320" s="472"/>
      <c r="O320" s="472"/>
      <c r="P320" s="472"/>
      <c r="Q320" s="473"/>
    </row>
    <row r="321" spans="1:17" s="360" customFormat="1">
      <c r="A321" s="555">
        <v>18</v>
      </c>
      <c r="B321" s="546" t="s">
        <v>554</v>
      </c>
      <c r="C321" s="546" t="s">
        <v>555</v>
      </c>
      <c r="D321" s="545">
        <v>131</v>
      </c>
      <c r="E321" s="544"/>
      <c r="F321" s="556"/>
      <c r="G321" s="556"/>
      <c r="H321" s="556"/>
      <c r="I321" s="556"/>
      <c r="J321" s="556"/>
      <c r="K321" s="556"/>
      <c r="L321" s="556"/>
      <c r="M321" s="556"/>
      <c r="N321" s="556"/>
      <c r="O321" s="556"/>
      <c r="P321" s="556"/>
      <c r="Q321" s="541"/>
    </row>
    <row r="322" spans="1:17" s="360" customFormat="1">
      <c r="A322" s="469"/>
      <c r="B322" s="470"/>
      <c r="C322" s="470"/>
      <c r="D322" s="471">
        <v>138</v>
      </c>
      <c r="E322" s="436"/>
      <c r="F322" s="472"/>
      <c r="G322" s="472"/>
      <c r="H322" s="472"/>
      <c r="I322" s="472"/>
      <c r="J322" s="472"/>
      <c r="K322" s="472"/>
      <c r="L322" s="472"/>
      <c r="M322" s="472"/>
      <c r="N322" s="472"/>
      <c r="O322" s="472"/>
      <c r="P322" s="472"/>
      <c r="Q322" s="473"/>
    </row>
    <row r="323" spans="1:17" s="360" customFormat="1">
      <c r="A323" s="555">
        <v>19</v>
      </c>
      <c r="B323" s="536" t="s">
        <v>556</v>
      </c>
      <c r="C323" s="536" t="s">
        <v>557</v>
      </c>
      <c r="D323" s="545">
        <v>131</v>
      </c>
      <c r="E323" s="544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41"/>
    </row>
    <row r="324" spans="1:17" s="360" customFormat="1">
      <c r="A324" s="469"/>
      <c r="B324" s="470"/>
      <c r="C324" s="470"/>
      <c r="D324" s="471">
        <v>138</v>
      </c>
      <c r="E324" s="436"/>
      <c r="F324" s="472"/>
      <c r="G324" s="472"/>
      <c r="H324" s="472"/>
      <c r="I324" s="472"/>
      <c r="J324" s="472"/>
      <c r="K324" s="472"/>
      <c r="L324" s="472"/>
      <c r="M324" s="472"/>
      <c r="N324" s="472"/>
      <c r="O324" s="472"/>
      <c r="P324" s="472"/>
      <c r="Q324" s="473"/>
    </row>
    <row r="325" spans="1:17" s="360" customFormat="1">
      <c r="A325" s="555">
        <v>20</v>
      </c>
      <c r="B325" s="546" t="s">
        <v>558</v>
      </c>
      <c r="C325" s="546" t="s">
        <v>559</v>
      </c>
      <c r="D325" s="545">
        <v>131</v>
      </c>
      <c r="E325" s="544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41"/>
    </row>
    <row r="326" spans="1:17" s="360" customFormat="1">
      <c r="A326" s="469"/>
      <c r="B326" s="470"/>
      <c r="C326" s="470"/>
      <c r="D326" s="471">
        <v>138</v>
      </c>
      <c r="E326" s="436"/>
      <c r="F326" s="472"/>
      <c r="G326" s="472"/>
      <c r="H326" s="472"/>
      <c r="I326" s="472"/>
      <c r="J326" s="472"/>
      <c r="K326" s="472"/>
      <c r="L326" s="472"/>
      <c r="M326" s="472"/>
      <c r="N326" s="472"/>
      <c r="O326" s="472"/>
      <c r="P326" s="472"/>
      <c r="Q326" s="473"/>
    </row>
    <row r="327" spans="1:17" s="360" customFormat="1">
      <c r="A327" s="555">
        <v>21</v>
      </c>
      <c r="B327" s="546" t="s">
        <v>560</v>
      </c>
      <c r="C327" s="546" t="s">
        <v>561</v>
      </c>
      <c r="D327" s="545">
        <v>131</v>
      </c>
      <c r="E327" s="544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41"/>
    </row>
    <row r="328" spans="1:17" s="360" customFormat="1">
      <c r="A328" s="469"/>
      <c r="B328" s="470"/>
      <c r="C328" s="470"/>
      <c r="D328" s="471">
        <v>138</v>
      </c>
      <c r="E328" s="436"/>
      <c r="F328" s="472"/>
      <c r="G328" s="472"/>
      <c r="H328" s="472"/>
      <c r="I328" s="472"/>
      <c r="J328" s="472"/>
      <c r="K328" s="472"/>
      <c r="L328" s="472"/>
      <c r="M328" s="472"/>
      <c r="N328" s="472"/>
      <c r="O328" s="472"/>
      <c r="P328" s="472"/>
      <c r="Q328" s="473"/>
    </row>
    <row r="329" spans="1:17" s="360" customFormat="1">
      <c r="A329" s="555">
        <v>22</v>
      </c>
      <c r="B329" s="546" t="s">
        <v>562</v>
      </c>
      <c r="C329" s="546" t="s">
        <v>563</v>
      </c>
      <c r="D329" s="545">
        <v>131</v>
      </c>
      <c r="E329" s="544"/>
      <c r="F329" s="556"/>
      <c r="G329" s="556"/>
      <c r="H329" s="556"/>
      <c r="I329" s="556"/>
      <c r="J329" s="556"/>
      <c r="K329" s="556"/>
      <c r="L329" s="556"/>
      <c r="M329" s="556"/>
      <c r="N329" s="556"/>
      <c r="O329" s="556"/>
      <c r="P329" s="556"/>
      <c r="Q329" s="541"/>
    </row>
    <row r="330" spans="1:17" s="360" customFormat="1">
      <c r="A330" s="461"/>
      <c r="B330" s="479"/>
      <c r="C330" s="498"/>
      <c r="D330" s="477">
        <v>138</v>
      </c>
      <c r="E330" s="459"/>
      <c r="F330" s="445"/>
      <c r="G330" s="445"/>
      <c r="H330" s="445"/>
      <c r="I330" s="445"/>
      <c r="J330" s="445"/>
      <c r="K330" s="445"/>
      <c r="L330" s="445"/>
      <c r="M330" s="445"/>
      <c r="N330" s="445"/>
      <c r="O330" s="445"/>
      <c r="P330" s="445"/>
      <c r="Q330" s="445"/>
    </row>
    <row r="331" spans="1:17" s="360" customFormat="1">
      <c r="A331" s="437" t="s">
        <v>564</v>
      </c>
      <c r="B331" s="376" t="s">
        <v>618</v>
      </c>
      <c r="C331" s="376"/>
      <c r="D331" s="438"/>
      <c r="E331" s="438"/>
      <c r="F331" s="468" t="s">
        <v>488</v>
      </c>
      <c r="G331" s="468" t="s">
        <v>489</v>
      </c>
      <c r="H331" s="468" t="s">
        <v>490</v>
      </c>
      <c r="I331" s="468" t="s">
        <v>491</v>
      </c>
      <c r="J331" s="468" t="s">
        <v>492</v>
      </c>
      <c r="K331" s="468" t="s">
        <v>493</v>
      </c>
      <c r="L331" s="468" t="s">
        <v>494</v>
      </c>
      <c r="M331" s="468" t="s">
        <v>495</v>
      </c>
      <c r="N331" s="468" t="s">
        <v>496</v>
      </c>
      <c r="O331" s="468" t="s">
        <v>497</v>
      </c>
      <c r="P331" s="468" t="s">
        <v>498</v>
      </c>
      <c r="Q331" s="468" t="s">
        <v>499</v>
      </c>
    </row>
    <row r="332" spans="1:17" s="360" customFormat="1">
      <c r="A332" s="555">
        <v>1</v>
      </c>
      <c r="B332" s="546" t="s">
        <v>503</v>
      </c>
      <c r="C332" s="546" t="s">
        <v>504</v>
      </c>
      <c r="D332" s="545">
        <v>131</v>
      </c>
      <c r="E332" s="544"/>
      <c r="F332" s="549"/>
      <c r="G332" s="541"/>
      <c r="H332" s="541"/>
      <c r="I332" s="541"/>
      <c r="J332" s="541"/>
      <c r="K332" s="541"/>
      <c r="L332" s="541"/>
      <c r="M332" s="541"/>
      <c r="N332" s="541"/>
      <c r="O332" s="541"/>
      <c r="P332" s="541"/>
      <c r="Q332" s="541"/>
    </row>
    <row r="333" spans="1:17" s="360" customFormat="1">
      <c r="A333" s="478">
        <v>2</v>
      </c>
      <c r="B333" s="479" t="s">
        <v>513</v>
      </c>
      <c r="C333" s="479" t="s">
        <v>514</v>
      </c>
      <c r="D333" s="392">
        <v>131</v>
      </c>
      <c r="E333" s="388"/>
      <c r="F333" s="525"/>
      <c r="G333" s="403"/>
      <c r="H333" s="403"/>
      <c r="I333" s="403"/>
      <c r="J333" s="403"/>
      <c r="K333" s="403"/>
      <c r="L333" s="403"/>
      <c r="M333" s="403"/>
      <c r="N333" s="403"/>
      <c r="O333" s="403"/>
      <c r="P333" s="403"/>
      <c r="Q333" s="403"/>
    </row>
    <row r="334" spans="1:17" s="360" customFormat="1">
      <c r="A334" s="478">
        <v>3</v>
      </c>
      <c r="B334" s="414" t="s">
        <v>519</v>
      </c>
      <c r="C334" s="414" t="s">
        <v>520</v>
      </c>
      <c r="D334" s="392">
        <v>131</v>
      </c>
      <c r="E334" s="388"/>
      <c r="F334" s="525"/>
      <c r="G334" s="403"/>
      <c r="H334" s="403"/>
      <c r="I334" s="403"/>
      <c r="J334" s="403"/>
      <c r="K334" s="403"/>
      <c r="L334" s="403"/>
      <c r="M334" s="403"/>
      <c r="N334" s="403"/>
      <c r="O334" s="403"/>
      <c r="P334" s="403"/>
      <c r="Q334" s="403"/>
    </row>
    <row r="335" spans="1:17" s="360" customFormat="1">
      <c r="A335" s="478">
        <v>4</v>
      </c>
      <c r="B335" s="414" t="s">
        <v>522</v>
      </c>
      <c r="C335" s="414" t="s">
        <v>523</v>
      </c>
      <c r="D335" s="392">
        <v>131</v>
      </c>
      <c r="E335" s="388"/>
      <c r="F335" s="525"/>
      <c r="G335" s="403"/>
      <c r="H335" s="403"/>
      <c r="I335" s="403"/>
      <c r="J335" s="403"/>
      <c r="K335" s="403"/>
      <c r="L335" s="403"/>
      <c r="M335" s="403"/>
      <c r="N335" s="403"/>
      <c r="O335" s="403"/>
      <c r="P335" s="403"/>
      <c r="Q335" s="403"/>
    </row>
    <row r="336" spans="1:17" s="360" customFormat="1">
      <c r="A336" s="478">
        <v>5</v>
      </c>
      <c r="B336" s="414" t="s">
        <v>524</v>
      </c>
      <c r="C336" s="414" t="s">
        <v>525</v>
      </c>
      <c r="D336" s="392">
        <v>131</v>
      </c>
      <c r="E336" s="388"/>
      <c r="F336" s="525"/>
      <c r="G336" s="403"/>
      <c r="H336" s="403"/>
      <c r="I336" s="403"/>
      <c r="J336" s="403"/>
      <c r="K336" s="403"/>
      <c r="L336" s="403"/>
      <c r="M336" s="403"/>
      <c r="N336" s="403"/>
      <c r="O336" s="403"/>
      <c r="P336" s="403"/>
      <c r="Q336" s="403"/>
    </row>
    <row r="337" spans="1:17" s="360" customFormat="1">
      <c r="A337" s="478">
        <v>6</v>
      </c>
      <c r="B337" s="414" t="s">
        <v>527</v>
      </c>
      <c r="C337" s="414" t="s">
        <v>528</v>
      </c>
      <c r="D337" s="392">
        <v>131</v>
      </c>
      <c r="E337" s="388"/>
      <c r="F337" s="525"/>
      <c r="G337" s="403"/>
      <c r="H337" s="403"/>
      <c r="I337" s="403"/>
      <c r="J337" s="403"/>
      <c r="K337" s="403"/>
      <c r="L337" s="403"/>
      <c r="M337" s="403"/>
      <c r="N337" s="403"/>
      <c r="O337" s="403"/>
      <c r="P337" s="403"/>
      <c r="Q337" s="403"/>
    </row>
    <row r="338" spans="1:17" s="360" customFormat="1">
      <c r="A338" s="478">
        <v>7</v>
      </c>
      <c r="B338" s="418" t="s">
        <v>531</v>
      </c>
      <c r="C338" s="418" t="s">
        <v>532</v>
      </c>
      <c r="D338" s="392">
        <v>131</v>
      </c>
      <c r="E338" s="388"/>
      <c r="F338" s="525"/>
      <c r="G338" s="403"/>
      <c r="H338" s="403"/>
      <c r="I338" s="403"/>
      <c r="J338" s="403"/>
      <c r="K338" s="403"/>
      <c r="L338" s="403"/>
      <c r="M338" s="403"/>
      <c r="N338" s="403"/>
      <c r="O338" s="403"/>
      <c r="P338" s="403"/>
      <c r="Q338" s="403"/>
    </row>
    <row r="339" spans="1:17" s="360" customFormat="1">
      <c r="A339" s="478">
        <v>8</v>
      </c>
      <c r="B339" s="414" t="s">
        <v>533</v>
      </c>
      <c r="C339" s="414" t="s">
        <v>534</v>
      </c>
      <c r="D339" s="392">
        <v>131</v>
      </c>
      <c r="E339" s="388"/>
      <c r="F339" s="525"/>
      <c r="G339" s="403"/>
      <c r="H339" s="403"/>
      <c r="I339" s="403"/>
      <c r="J339" s="403"/>
      <c r="K339" s="403"/>
      <c r="L339" s="403"/>
      <c r="M339" s="403"/>
      <c r="N339" s="403"/>
      <c r="O339" s="403"/>
      <c r="P339" s="403"/>
      <c r="Q339" s="403"/>
    </row>
    <row r="340" spans="1:17" s="360" customFormat="1">
      <c r="A340" s="478">
        <v>9</v>
      </c>
      <c r="B340" s="414" t="s">
        <v>536</v>
      </c>
      <c r="C340" s="414" t="s">
        <v>537</v>
      </c>
      <c r="D340" s="392">
        <v>131</v>
      </c>
      <c r="E340" s="388"/>
      <c r="F340" s="525"/>
      <c r="G340" s="403"/>
      <c r="H340" s="403"/>
      <c r="I340" s="403"/>
      <c r="J340" s="403"/>
      <c r="K340" s="403"/>
      <c r="L340" s="403"/>
      <c r="M340" s="403"/>
      <c r="N340" s="403"/>
      <c r="O340" s="403"/>
      <c r="P340" s="403"/>
      <c r="Q340" s="403"/>
    </row>
    <row r="341" spans="1:17" s="360" customFormat="1">
      <c r="A341" s="478">
        <v>10</v>
      </c>
      <c r="B341" s="414" t="s">
        <v>538</v>
      </c>
      <c r="C341" s="414" t="s">
        <v>539</v>
      </c>
      <c r="D341" s="392">
        <v>131</v>
      </c>
      <c r="E341" s="388"/>
      <c r="F341" s="525"/>
      <c r="G341" s="403"/>
      <c r="H341" s="403"/>
      <c r="I341" s="403"/>
      <c r="J341" s="403"/>
      <c r="K341" s="403"/>
      <c r="L341" s="403"/>
      <c r="M341" s="403"/>
      <c r="N341" s="403"/>
      <c r="O341" s="403"/>
      <c r="P341" s="403"/>
      <c r="Q341" s="403"/>
    </row>
    <row r="342" spans="1:17" s="360" customFormat="1">
      <c r="A342" s="478">
        <v>11</v>
      </c>
      <c r="B342" s="414" t="s">
        <v>540</v>
      </c>
      <c r="C342" s="414" t="s">
        <v>541</v>
      </c>
      <c r="D342" s="392">
        <v>131</v>
      </c>
      <c r="E342" s="388"/>
      <c r="F342" s="525"/>
      <c r="G342" s="403"/>
      <c r="H342" s="403"/>
      <c r="I342" s="403"/>
      <c r="J342" s="403"/>
      <c r="K342" s="403"/>
      <c r="L342" s="403"/>
      <c r="M342" s="403"/>
      <c r="N342" s="403"/>
      <c r="O342" s="403"/>
      <c r="P342" s="403"/>
      <c r="Q342" s="403"/>
    </row>
    <row r="343" spans="1:17" s="360" customFormat="1">
      <c r="A343" s="478">
        <v>12</v>
      </c>
      <c r="B343" s="414" t="s">
        <v>542</v>
      </c>
      <c r="C343" s="414" t="s">
        <v>543</v>
      </c>
      <c r="D343" s="392">
        <v>131</v>
      </c>
      <c r="E343" s="388"/>
      <c r="F343" s="525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</row>
    <row r="344" spans="1:17" s="360" customFormat="1">
      <c r="A344" s="478">
        <v>13</v>
      </c>
      <c r="B344" s="414" t="s">
        <v>544</v>
      </c>
      <c r="C344" s="414" t="s">
        <v>545</v>
      </c>
      <c r="D344" s="392">
        <v>131</v>
      </c>
      <c r="E344" s="388"/>
      <c r="F344" s="525"/>
      <c r="G344" s="403"/>
      <c r="H344" s="403"/>
      <c r="I344" s="403"/>
      <c r="J344" s="403"/>
      <c r="K344" s="403"/>
      <c r="L344" s="403"/>
      <c r="M344" s="403"/>
      <c r="N344" s="403"/>
      <c r="O344" s="403"/>
      <c r="P344" s="403"/>
      <c r="Q344" s="403"/>
    </row>
    <row r="345" spans="1:17" s="360" customFormat="1">
      <c r="A345" s="478">
        <v>14</v>
      </c>
      <c r="B345" s="416" t="s">
        <v>546</v>
      </c>
      <c r="C345" s="416" t="s">
        <v>547</v>
      </c>
      <c r="D345" s="392">
        <v>131</v>
      </c>
      <c r="E345" s="391"/>
      <c r="F345" s="528"/>
      <c r="G345" s="433"/>
      <c r="H345" s="433"/>
      <c r="I345" s="433"/>
      <c r="J345" s="433"/>
      <c r="K345" s="433"/>
      <c r="L345" s="433"/>
      <c r="M345" s="433"/>
      <c r="N345" s="433"/>
      <c r="O345" s="433"/>
      <c r="P345" s="433"/>
      <c r="Q345" s="433"/>
    </row>
    <row r="346" spans="1:17" s="360" customFormat="1">
      <c r="A346" s="478">
        <v>15</v>
      </c>
      <c r="B346" s="416" t="s">
        <v>548</v>
      </c>
      <c r="C346" s="416" t="s">
        <v>549</v>
      </c>
      <c r="D346" s="392">
        <v>131</v>
      </c>
      <c r="E346" s="391"/>
      <c r="F346" s="528"/>
      <c r="G346" s="433"/>
      <c r="H346" s="433"/>
      <c r="I346" s="433"/>
      <c r="J346" s="433"/>
      <c r="K346" s="433"/>
      <c r="L346" s="433"/>
      <c r="M346" s="433"/>
      <c r="N346" s="433"/>
      <c r="O346" s="433"/>
      <c r="P346" s="433"/>
      <c r="Q346" s="433"/>
    </row>
    <row r="347" spans="1:17" s="360" customFormat="1">
      <c r="A347" s="478">
        <v>16</v>
      </c>
      <c r="B347" s="416" t="s">
        <v>550</v>
      </c>
      <c r="C347" s="416" t="s">
        <v>551</v>
      </c>
      <c r="D347" s="392">
        <v>131</v>
      </c>
      <c r="E347" s="391"/>
      <c r="F347" s="528"/>
      <c r="G347" s="433"/>
      <c r="H347" s="433"/>
      <c r="I347" s="433"/>
      <c r="J347" s="433"/>
      <c r="K347" s="433"/>
      <c r="L347" s="433"/>
      <c r="M347" s="433"/>
      <c r="N347" s="433"/>
      <c r="O347" s="433"/>
      <c r="P347" s="433"/>
      <c r="Q347" s="433"/>
    </row>
    <row r="348" spans="1:17" s="360" customFormat="1">
      <c r="A348" s="478">
        <v>17</v>
      </c>
      <c r="B348" s="416" t="s">
        <v>552</v>
      </c>
      <c r="C348" s="416" t="s">
        <v>553</v>
      </c>
      <c r="D348" s="392">
        <v>131</v>
      </c>
      <c r="E348" s="391"/>
      <c r="F348" s="528"/>
      <c r="G348" s="433"/>
      <c r="H348" s="433"/>
      <c r="I348" s="433"/>
      <c r="J348" s="433"/>
      <c r="K348" s="433"/>
      <c r="L348" s="433"/>
      <c r="M348" s="433"/>
      <c r="N348" s="433"/>
      <c r="O348" s="433"/>
      <c r="P348" s="433"/>
      <c r="Q348" s="433"/>
    </row>
    <row r="349" spans="1:17" s="360" customFormat="1">
      <c r="A349" s="478">
        <v>18</v>
      </c>
      <c r="B349" s="414" t="s">
        <v>554</v>
      </c>
      <c r="C349" s="414" t="s">
        <v>555</v>
      </c>
      <c r="D349" s="392">
        <v>131</v>
      </c>
      <c r="E349" s="391"/>
      <c r="F349" s="528"/>
      <c r="G349" s="433"/>
      <c r="H349" s="433"/>
      <c r="I349" s="433"/>
      <c r="J349" s="433"/>
      <c r="K349" s="433"/>
      <c r="L349" s="433"/>
      <c r="M349" s="433"/>
      <c r="N349" s="433"/>
      <c r="O349" s="433"/>
      <c r="P349" s="433"/>
      <c r="Q349" s="433"/>
    </row>
    <row r="350" spans="1:17" s="360" customFormat="1">
      <c r="A350" s="478">
        <v>19</v>
      </c>
      <c r="B350" s="418" t="s">
        <v>556</v>
      </c>
      <c r="C350" s="418" t="s">
        <v>557</v>
      </c>
      <c r="D350" s="392">
        <v>131</v>
      </c>
      <c r="E350" s="391"/>
      <c r="F350" s="528"/>
      <c r="G350" s="433"/>
      <c r="H350" s="433"/>
      <c r="I350" s="433"/>
      <c r="J350" s="433"/>
      <c r="K350" s="433"/>
      <c r="L350" s="433"/>
      <c r="M350" s="433"/>
      <c r="N350" s="433"/>
      <c r="O350" s="433"/>
      <c r="P350" s="433"/>
      <c r="Q350" s="433"/>
    </row>
    <row r="351" spans="1:17" s="360" customFormat="1">
      <c r="A351" s="478">
        <v>20</v>
      </c>
      <c r="B351" s="416" t="s">
        <v>558</v>
      </c>
      <c r="C351" s="416" t="s">
        <v>559</v>
      </c>
      <c r="D351" s="392">
        <v>131</v>
      </c>
      <c r="E351" s="391"/>
      <c r="F351" s="528"/>
      <c r="G351" s="433"/>
      <c r="H351" s="433"/>
      <c r="I351" s="433"/>
      <c r="J351" s="433"/>
      <c r="K351" s="433"/>
      <c r="L351" s="433"/>
      <c r="M351" s="433"/>
      <c r="N351" s="433"/>
      <c r="O351" s="433"/>
      <c r="P351" s="433"/>
      <c r="Q351" s="433"/>
    </row>
    <row r="352" spans="1:17" s="360" customFormat="1">
      <c r="A352" s="478">
        <v>21</v>
      </c>
      <c r="B352" s="416" t="s">
        <v>560</v>
      </c>
      <c r="C352" s="416" t="s">
        <v>561</v>
      </c>
      <c r="D352" s="392">
        <v>131</v>
      </c>
      <c r="E352" s="391"/>
      <c r="F352" s="528"/>
      <c r="G352" s="433"/>
      <c r="H352" s="433"/>
      <c r="I352" s="433"/>
      <c r="J352" s="433"/>
      <c r="K352" s="433"/>
      <c r="L352" s="433"/>
      <c r="M352" s="433"/>
      <c r="N352" s="433"/>
      <c r="O352" s="433"/>
      <c r="P352" s="433"/>
      <c r="Q352" s="433"/>
    </row>
    <row r="353" spans="1:17" s="360" customFormat="1">
      <c r="A353" s="478">
        <v>22</v>
      </c>
      <c r="B353" s="416" t="s">
        <v>562</v>
      </c>
      <c r="C353" s="416" t="s">
        <v>563</v>
      </c>
      <c r="D353" s="392">
        <v>131</v>
      </c>
      <c r="E353" s="391"/>
      <c r="F353" s="528"/>
      <c r="G353" s="433"/>
      <c r="H353" s="433"/>
      <c r="I353" s="433"/>
      <c r="J353" s="433"/>
      <c r="K353" s="433"/>
      <c r="L353" s="433"/>
      <c r="M353" s="433"/>
      <c r="N353" s="433"/>
      <c r="O353" s="433"/>
      <c r="P353" s="433"/>
      <c r="Q353" s="433"/>
    </row>
    <row r="354" spans="1:17" s="360" customFormat="1">
      <c r="A354" s="474"/>
      <c r="B354" s="475"/>
      <c r="C354" s="475"/>
      <c r="D354" s="397"/>
      <c r="E354" s="397"/>
      <c r="F354" s="524"/>
      <c r="G354" s="445"/>
      <c r="H354" s="445"/>
      <c r="I354" s="445"/>
      <c r="J354" s="445"/>
      <c r="K354" s="445"/>
      <c r="L354" s="445"/>
      <c r="M354" s="445"/>
      <c r="N354" s="445"/>
      <c r="O354" s="445"/>
      <c r="P354" s="445"/>
      <c r="Q354" s="445"/>
    </row>
    <row r="355" spans="1:17" s="360" customFormat="1">
      <c r="A355" s="437" t="s">
        <v>585</v>
      </c>
      <c r="B355" s="376" t="s">
        <v>619</v>
      </c>
      <c r="C355" s="497"/>
      <c r="D355" s="382"/>
      <c r="E355" s="382"/>
      <c r="F355" s="468" t="s">
        <v>488</v>
      </c>
      <c r="G355" s="468" t="s">
        <v>489</v>
      </c>
      <c r="H355" s="468" t="s">
        <v>490</v>
      </c>
      <c r="I355" s="468" t="s">
        <v>491</v>
      </c>
      <c r="J355" s="468" t="s">
        <v>492</v>
      </c>
      <c r="K355" s="468" t="s">
        <v>493</v>
      </c>
      <c r="L355" s="468" t="s">
        <v>494</v>
      </c>
      <c r="M355" s="468" t="s">
        <v>495</v>
      </c>
      <c r="N355" s="468" t="s">
        <v>496</v>
      </c>
      <c r="O355" s="468" t="s">
        <v>497</v>
      </c>
      <c r="P355" s="468" t="s">
        <v>498</v>
      </c>
      <c r="Q355" s="468" t="s">
        <v>499</v>
      </c>
    </row>
    <row r="356" spans="1:17" s="360" customFormat="1">
      <c r="A356" s="535">
        <v>1</v>
      </c>
      <c r="B356" s="546" t="s">
        <v>503</v>
      </c>
      <c r="C356" s="546" t="s">
        <v>504</v>
      </c>
      <c r="D356" s="545">
        <v>331</v>
      </c>
      <c r="E356" s="544"/>
      <c r="F356" s="549"/>
      <c r="G356" s="541"/>
      <c r="H356" s="541"/>
      <c r="I356" s="541"/>
      <c r="J356" s="541"/>
      <c r="K356" s="541"/>
      <c r="L356" s="541"/>
      <c r="M356" s="541"/>
      <c r="N356" s="541"/>
      <c r="O356" s="541"/>
      <c r="P356" s="541"/>
      <c r="Q356" s="541"/>
    </row>
    <row r="357" spans="1:17" s="360" customFormat="1">
      <c r="A357" s="396"/>
      <c r="B357" s="475"/>
      <c r="C357" s="475"/>
      <c r="D357" s="440">
        <v>338</v>
      </c>
      <c r="E357" s="480"/>
      <c r="F357" s="524"/>
      <c r="G357" s="445"/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</row>
    <row r="358" spans="1:17" s="360" customFormat="1">
      <c r="A358" s="535">
        <v>2</v>
      </c>
      <c r="B358" s="546" t="s">
        <v>513</v>
      </c>
      <c r="C358" s="546" t="s">
        <v>514</v>
      </c>
      <c r="D358" s="545">
        <v>331</v>
      </c>
      <c r="E358" s="544"/>
      <c r="F358" s="549"/>
      <c r="G358" s="541"/>
      <c r="H358" s="541"/>
      <c r="I358" s="541"/>
      <c r="J358" s="541"/>
      <c r="K358" s="541"/>
      <c r="L358" s="541"/>
      <c r="M358" s="541"/>
      <c r="N358" s="541"/>
      <c r="O358" s="541"/>
      <c r="P358" s="541"/>
      <c r="Q358" s="541"/>
    </row>
    <row r="359" spans="1:17" s="360" customFormat="1">
      <c r="A359" s="396"/>
      <c r="B359" s="475"/>
      <c r="C359" s="475"/>
      <c r="D359" s="440">
        <v>338</v>
      </c>
      <c r="E359" s="480"/>
      <c r="F359" s="524"/>
      <c r="G359" s="445"/>
      <c r="H359" s="445"/>
      <c r="I359" s="445"/>
      <c r="J359" s="445"/>
      <c r="K359" s="445"/>
      <c r="L359" s="445"/>
      <c r="M359" s="445"/>
      <c r="N359" s="445"/>
      <c r="O359" s="445"/>
      <c r="P359" s="445"/>
      <c r="Q359" s="445"/>
    </row>
    <row r="360" spans="1:17" s="360" customFormat="1">
      <c r="A360" s="535">
        <v>3</v>
      </c>
      <c r="B360" s="546" t="s">
        <v>519</v>
      </c>
      <c r="C360" s="546" t="s">
        <v>520</v>
      </c>
      <c r="D360" s="545">
        <v>331</v>
      </c>
      <c r="E360" s="544"/>
      <c r="F360" s="549"/>
      <c r="G360" s="541"/>
      <c r="H360" s="541"/>
      <c r="I360" s="541"/>
      <c r="J360" s="541"/>
      <c r="K360" s="541"/>
      <c r="L360" s="541"/>
      <c r="M360" s="541"/>
      <c r="N360" s="541"/>
      <c r="O360" s="541"/>
      <c r="P360" s="541"/>
      <c r="Q360" s="541"/>
    </row>
    <row r="361" spans="1:17" s="360" customFormat="1">
      <c r="A361" s="396"/>
      <c r="B361" s="475"/>
      <c r="C361" s="475"/>
      <c r="D361" s="440">
        <v>338</v>
      </c>
      <c r="E361" s="480"/>
      <c r="F361" s="524"/>
      <c r="G361" s="445"/>
      <c r="H361" s="445"/>
      <c r="I361" s="445"/>
      <c r="J361" s="445"/>
      <c r="K361" s="445"/>
      <c r="L361" s="445"/>
      <c r="M361" s="445"/>
      <c r="N361" s="445"/>
      <c r="O361" s="445"/>
      <c r="P361" s="445"/>
      <c r="Q361" s="445"/>
    </row>
    <row r="362" spans="1:17" s="360" customFormat="1">
      <c r="A362" s="535">
        <v>4</v>
      </c>
      <c r="B362" s="546" t="s">
        <v>522</v>
      </c>
      <c r="C362" s="546" t="s">
        <v>523</v>
      </c>
      <c r="D362" s="545">
        <v>331</v>
      </c>
      <c r="E362" s="544"/>
      <c r="F362" s="549"/>
      <c r="G362" s="541"/>
      <c r="H362" s="541"/>
      <c r="I362" s="541"/>
      <c r="J362" s="541"/>
      <c r="K362" s="541"/>
      <c r="L362" s="541"/>
      <c r="M362" s="541"/>
      <c r="N362" s="541"/>
      <c r="O362" s="541"/>
      <c r="P362" s="541"/>
      <c r="Q362" s="541"/>
    </row>
    <row r="363" spans="1:17" s="360" customFormat="1">
      <c r="A363" s="396"/>
      <c r="B363" s="475"/>
      <c r="C363" s="475"/>
      <c r="D363" s="440">
        <v>338</v>
      </c>
      <c r="E363" s="480"/>
      <c r="F363" s="524"/>
      <c r="G363" s="445"/>
      <c r="H363" s="445"/>
      <c r="I363" s="445"/>
      <c r="J363" s="445"/>
      <c r="K363" s="445"/>
      <c r="L363" s="445"/>
      <c r="M363" s="445"/>
      <c r="N363" s="445"/>
      <c r="O363" s="445"/>
      <c r="P363" s="445"/>
      <c r="Q363" s="445"/>
    </row>
    <row r="364" spans="1:17" s="360" customFormat="1">
      <c r="A364" s="535">
        <v>5</v>
      </c>
      <c r="B364" s="546" t="s">
        <v>524</v>
      </c>
      <c r="C364" s="546" t="s">
        <v>525</v>
      </c>
      <c r="D364" s="545">
        <v>331</v>
      </c>
      <c r="E364" s="544"/>
      <c r="F364" s="549"/>
      <c r="G364" s="541"/>
      <c r="H364" s="541"/>
      <c r="I364" s="541"/>
      <c r="J364" s="541"/>
      <c r="K364" s="541"/>
      <c r="L364" s="541"/>
      <c r="M364" s="541"/>
      <c r="N364" s="541"/>
      <c r="O364" s="541"/>
      <c r="P364" s="541"/>
      <c r="Q364" s="541"/>
    </row>
    <row r="365" spans="1:17" s="360" customFormat="1">
      <c r="A365" s="396"/>
      <c r="B365" s="475"/>
      <c r="C365" s="475"/>
      <c r="D365" s="440">
        <v>338</v>
      </c>
      <c r="E365" s="480"/>
      <c r="F365" s="524"/>
      <c r="G365" s="445"/>
      <c r="H365" s="445"/>
      <c r="I365" s="445"/>
      <c r="J365" s="445"/>
      <c r="K365" s="445"/>
      <c r="L365" s="445"/>
      <c r="M365" s="445"/>
      <c r="N365" s="445"/>
      <c r="O365" s="445"/>
      <c r="P365" s="445"/>
      <c r="Q365" s="445"/>
    </row>
    <row r="366" spans="1:17" s="360" customFormat="1">
      <c r="A366" s="535">
        <v>6</v>
      </c>
      <c r="B366" s="546" t="s">
        <v>527</v>
      </c>
      <c r="C366" s="546" t="s">
        <v>528</v>
      </c>
      <c r="D366" s="545">
        <v>331</v>
      </c>
      <c r="E366" s="544"/>
      <c r="F366" s="549"/>
      <c r="G366" s="541"/>
      <c r="H366" s="541"/>
      <c r="I366" s="541"/>
      <c r="J366" s="541"/>
      <c r="K366" s="541"/>
      <c r="L366" s="541"/>
      <c r="M366" s="541"/>
      <c r="N366" s="541"/>
      <c r="O366" s="541"/>
      <c r="P366" s="541"/>
      <c r="Q366" s="541"/>
    </row>
    <row r="367" spans="1:17" s="360" customFormat="1">
      <c r="A367" s="396"/>
      <c r="B367" s="475"/>
      <c r="C367" s="475"/>
      <c r="D367" s="440">
        <v>338</v>
      </c>
      <c r="E367" s="397"/>
      <c r="F367" s="524"/>
      <c r="G367" s="445"/>
      <c r="H367" s="445"/>
      <c r="I367" s="445"/>
      <c r="J367" s="445"/>
      <c r="K367" s="445"/>
      <c r="L367" s="445"/>
      <c r="M367" s="445"/>
      <c r="N367" s="445"/>
      <c r="O367" s="445"/>
      <c r="P367" s="445"/>
      <c r="Q367" s="445"/>
    </row>
    <row r="368" spans="1:17" s="360" customFormat="1">
      <c r="A368" s="535">
        <v>7</v>
      </c>
      <c r="B368" s="536" t="s">
        <v>531</v>
      </c>
      <c r="C368" s="536" t="s">
        <v>532</v>
      </c>
      <c r="D368" s="545">
        <v>331</v>
      </c>
      <c r="E368" s="557"/>
      <c r="F368" s="549"/>
      <c r="G368" s="541"/>
      <c r="H368" s="541"/>
      <c r="I368" s="541"/>
      <c r="J368" s="541"/>
      <c r="K368" s="541"/>
      <c r="L368" s="541"/>
      <c r="M368" s="541"/>
      <c r="N368" s="541"/>
      <c r="O368" s="541"/>
      <c r="P368" s="541"/>
      <c r="Q368" s="541"/>
    </row>
    <row r="369" spans="1:17" s="360" customFormat="1">
      <c r="A369" s="396"/>
      <c r="B369" s="475"/>
      <c r="C369" s="475"/>
      <c r="D369" s="440">
        <v>338</v>
      </c>
      <c r="E369" s="481"/>
      <c r="F369" s="524"/>
      <c r="G369" s="445"/>
      <c r="H369" s="445"/>
      <c r="I369" s="445"/>
      <c r="J369" s="445"/>
      <c r="K369" s="445"/>
      <c r="L369" s="445"/>
      <c r="M369" s="445"/>
      <c r="N369" s="445"/>
      <c r="O369" s="445"/>
      <c r="P369" s="445"/>
      <c r="Q369" s="445"/>
    </row>
    <row r="370" spans="1:17" s="360" customFormat="1">
      <c r="A370" s="535">
        <v>8</v>
      </c>
      <c r="B370" s="546" t="s">
        <v>533</v>
      </c>
      <c r="C370" s="546" t="s">
        <v>534</v>
      </c>
      <c r="D370" s="545">
        <v>331</v>
      </c>
      <c r="E370" s="544"/>
      <c r="F370" s="549"/>
      <c r="G370" s="541"/>
      <c r="H370" s="541"/>
      <c r="I370" s="541"/>
      <c r="J370" s="541"/>
      <c r="K370" s="541"/>
      <c r="L370" s="541"/>
      <c r="M370" s="541"/>
      <c r="N370" s="541"/>
      <c r="O370" s="541"/>
      <c r="P370" s="541"/>
      <c r="Q370" s="541"/>
    </row>
    <row r="371" spans="1:17" s="360" customFormat="1">
      <c r="A371" s="396"/>
      <c r="B371" s="475"/>
      <c r="C371" s="475"/>
      <c r="D371" s="440">
        <v>338</v>
      </c>
      <c r="E371" s="480"/>
      <c r="F371" s="524"/>
      <c r="G371" s="445"/>
      <c r="H371" s="445"/>
      <c r="I371" s="445"/>
      <c r="J371" s="445"/>
      <c r="K371" s="445"/>
      <c r="L371" s="445"/>
      <c r="M371" s="445"/>
      <c r="N371" s="445"/>
      <c r="O371" s="445"/>
      <c r="P371" s="445"/>
      <c r="Q371" s="445"/>
    </row>
    <row r="372" spans="1:17" s="360" customFormat="1">
      <c r="A372" s="535">
        <v>9</v>
      </c>
      <c r="B372" s="546" t="s">
        <v>536</v>
      </c>
      <c r="C372" s="546" t="s">
        <v>537</v>
      </c>
      <c r="D372" s="545">
        <v>331</v>
      </c>
      <c r="E372" s="544"/>
      <c r="F372" s="549"/>
      <c r="G372" s="541"/>
      <c r="H372" s="541"/>
      <c r="I372" s="541"/>
      <c r="J372" s="541"/>
      <c r="K372" s="541"/>
      <c r="L372" s="541"/>
      <c r="M372" s="541"/>
      <c r="N372" s="541"/>
      <c r="O372" s="541"/>
      <c r="P372" s="541"/>
      <c r="Q372" s="541"/>
    </row>
    <row r="373" spans="1:17" s="360" customFormat="1">
      <c r="A373" s="396"/>
      <c r="B373" s="475"/>
      <c r="C373" s="475"/>
      <c r="D373" s="440">
        <v>338</v>
      </c>
      <c r="E373" s="480"/>
      <c r="F373" s="524"/>
      <c r="G373" s="445"/>
      <c r="H373" s="445"/>
      <c r="I373" s="445"/>
      <c r="J373" s="445"/>
      <c r="K373" s="445"/>
      <c r="L373" s="445"/>
      <c r="M373" s="445"/>
      <c r="N373" s="445"/>
      <c r="O373" s="445"/>
      <c r="P373" s="445"/>
      <c r="Q373" s="445"/>
    </row>
    <row r="374" spans="1:17" s="360" customFormat="1">
      <c r="A374" s="535">
        <v>10</v>
      </c>
      <c r="B374" s="546" t="s">
        <v>538</v>
      </c>
      <c r="C374" s="546" t="s">
        <v>539</v>
      </c>
      <c r="D374" s="545">
        <v>331</v>
      </c>
      <c r="E374" s="544"/>
      <c r="F374" s="549"/>
      <c r="G374" s="541"/>
      <c r="H374" s="541"/>
      <c r="I374" s="541"/>
      <c r="J374" s="541"/>
      <c r="K374" s="541"/>
      <c r="L374" s="541"/>
      <c r="M374" s="541"/>
      <c r="N374" s="541"/>
      <c r="O374" s="541"/>
      <c r="P374" s="541"/>
      <c r="Q374" s="541"/>
    </row>
    <row r="375" spans="1:17" s="360" customFormat="1">
      <c r="A375" s="396"/>
      <c r="B375" s="475"/>
      <c r="C375" s="475"/>
      <c r="D375" s="440">
        <v>338</v>
      </c>
      <c r="E375" s="480"/>
      <c r="F375" s="524"/>
      <c r="G375" s="445"/>
      <c r="H375" s="445"/>
      <c r="I375" s="445"/>
      <c r="J375" s="445"/>
      <c r="K375" s="445"/>
      <c r="L375" s="445"/>
      <c r="M375" s="445"/>
      <c r="N375" s="445"/>
      <c r="O375" s="445"/>
      <c r="P375" s="445"/>
      <c r="Q375" s="445"/>
    </row>
    <row r="376" spans="1:17" s="360" customFormat="1">
      <c r="A376" s="535">
        <v>11</v>
      </c>
      <c r="B376" s="546" t="s">
        <v>540</v>
      </c>
      <c r="C376" s="546" t="s">
        <v>541</v>
      </c>
      <c r="D376" s="545">
        <v>331</v>
      </c>
      <c r="E376" s="544"/>
      <c r="F376" s="549"/>
      <c r="G376" s="541"/>
      <c r="H376" s="541"/>
      <c r="I376" s="541"/>
      <c r="J376" s="541"/>
      <c r="K376" s="541"/>
      <c r="L376" s="541"/>
      <c r="M376" s="541"/>
      <c r="N376" s="541"/>
      <c r="O376" s="541"/>
      <c r="P376" s="541"/>
      <c r="Q376" s="541"/>
    </row>
    <row r="377" spans="1:17" s="360" customFormat="1">
      <c r="A377" s="396"/>
      <c r="B377" s="475"/>
      <c r="C377" s="475"/>
      <c r="D377" s="440">
        <v>338</v>
      </c>
      <c r="E377" s="480"/>
      <c r="F377" s="524"/>
      <c r="G377" s="445"/>
      <c r="H377" s="445"/>
      <c r="I377" s="445"/>
      <c r="J377" s="445"/>
      <c r="K377" s="445"/>
      <c r="L377" s="445"/>
      <c r="M377" s="445"/>
      <c r="N377" s="445"/>
      <c r="O377" s="445"/>
      <c r="P377" s="445"/>
      <c r="Q377" s="445"/>
    </row>
    <row r="378" spans="1:17" s="360" customFormat="1">
      <c r="A378" s="535">
        <v>12</v>
      </c>
      <c r="B378" s="546" t="s">
        <v>542</v>
      </c>
      <c r="C378" s="546" t="s">
        <v>543</v>
      </c>
      <c r="D378" s="545">
        <v>331</v>
      </c>
      <c r="E378" s="544"/>
      <c r="F378" s="549"/>
      <c r="G378" s="541"/>
      <c r="H378" s="541"/>
      <c r="I378" s="541"/>
      <c r="J378" s="541"/>
      <c r="K378" s="541"/>
      <c r="L378" s="541"/>
      <c r="M378" s="541"/>
      <c r="N378" s="541"/>
      <c r="O378" s="541"/>
      <c r="P378" s="541"/>
      <c r="Q378" s="541"/>
    </row>
    <row r="379" spans="1:17" s="360" customFormat="1">
      <c r="A379" s="396"/>
      <c r="B379" s="475"/>
      <c r="C379" s="475"/>
      <c r="D379" s="440">
        <v>338</v>
      </c>
      <c r="E379" s="480"/>
      <c r="F379" s="524"/>
      <c r="G379" s="445"/>
      <c r="H379" s="445"/>
      <c r="I379" s="445"/>
      <c r="J379" s="445"/>
      <c r="K379" s="445"/>
      <c r="L379" s="445"/>
      <c r="M379" s="445"/>
      <c r="N379" s="445"/>
      <c r="O379" s="445"/>
      <c r="P379" s="445"/>
      <c r="Q379" s="445"/>
    </row>
    <row r="380" spans="1:17" s="360" customFormat="1">
      <c r="A380" s="535">
        <v>13</v>
      </c>
      <c r="B380" s="546" t="s">
        <v>544</v>
      </c>
      <c r="C380" s="546" t="s">
        <v>545</v>
      </c>
      <c r="D380" s="545">
        <v>331</v>
      </c>
      <c r="E380" s="544"/>
      <c r="F380" s="549"/>
      <c r="G380" s="541"/>
      <c r="H380" s="541"/>
      <c r="I380" s="541"/>
      <c r="J380" s="541"/>
      <c r="K380" s="541"/>
      <c r="L380" s="541"/>
      <c r="M380" s="541"/>
      <c r="N380" s="541"/>
      <c r="O380" s="541"/>
      <c r="P380" s="541"/>
      <c r="Q380" s="541"/>
    </row>
    <row r="381" spans="1:17" s="360" customFormat="1">
      <c r="A381" s="396"/>
      <c r="B381" s="475"/>
      <c r="C381" s="475"/>
      <c r="D381" s="440">
        <v>338</v>
      </c>
      <c r="E381" s="480"/>
      <c r="F381" s="524"/>
      <c r="G381" s="445"/>
      <c r="H381" s="445"/>
      <c r="I381" s="445"/>
      <c r="J381" s="445"/>
      <c r="K381" s="445"/>
      <c r="L381" s="445"/>
      <c r="M381" s="445"/>
      <c r="N381" s="445"/>
      <c r="O381" s="445"/>
      <c r="P381" s="445"/>
      <c r="Q381" s="445"/>
    </row>
    <row r="382" spans="1:17" s="360" customFormat="1">
      <c r="A382" s="535">
        <v>14</v>
      </c>
      <c r="B382" s="546" t="s">
        <v>546</v>
      </c>
      <c r="C382" s="546" t="s">
        <v>547</v>
      </c>
      <c r="D382" s="545">
        <v>331</v>
      </c>
      <c r="E382" s="544"/>
      <c r="F382" s="549"/>
      <c r="G382" s="541"/>
      <c r="H382" s="541"/>
      <c r="I382" s="541"/>
      <c r="J382" s="541"/>
      <c r="K382" s="541"/>
      <c r="L382" s="541"/>
      <c r="M382" s="541"/>
      <c r="N382" s="541"/>
      <c r="O382" s="541"/>
      <c r="P382" s="541"/>
      <c r="Q382" s="541"/>
    </row>
    <row r="383" spans="1:17" s="360" customFormat="1">
      <c r="A383" s="396"/>
      <c r="B383" s="475"/>
      <c r="C383" s="475"/>
      <c r="D383" s="440">
        <v>338</v>
      </c>
      <c r="E383" s="480"/>
      <c r="F383" s="524"/>
      <c r="G383" s="445"/>
      <c r="H383" s="445"/>
      <c r="I383" s="445"/>
      <c r="J383" s="445"/>
      <c r="K383" s="445"/>
      <c r="L383" s="445"/>
      <c r="M383" s="445"/>
      <c r="N383" s="445"/>
      <c r="O383" s="445"/>
      <c r="P383" s="445"/>
      <c r="Q383" s="445"/>
    </row>
    <row r="384" spans="1:17" s="360" customFormat="1">
      <c r="A384" s="535">
        <v>15</v>
      </c>
      <c r="B384" s="546" t="s">
        <v>548</v>
      </c>
      <c r="C384" s="546" t="s">
        <v>549</v>
      </c>
      <c r="D384" s="545">
        <v>331</v>
      </c>
      <c r="E384" s="544"/>
      <c r="F384" s="549"/>
      <c r="G384" s="541"/>
      <c r="H384" s="541"/>
      <c r="I384" s="541"/>
      <c r="J384" s="541"/>
      <c r="K384" s="541"/>
      <c r="L384" s="541"/>
      <c r="M384" s="541"/>
      <c r="N384" s="541"/>
      <c r="O384" s="541"/>
      <c r="P384" s="541"/>
      <c r="Q384" s="541"/>
    </row>
    <row r="385" spans="1:17" s="360" customFormat="1">
      <c r="A385" s="396"/>
      <c r="B385" s="475"/>
      <c r="C385" s="475"/>
      <c r="D385" s="440">
        <v>338</v>
      </c>
      <c r="E385" s="480"/>
      <c r="F385" s="524"/>
      <c r="G385" s="445"/>
      <c r="H385" s="445"/>
      <c r="I385" s="445"/>
      <c r="J385" s="445"/>
      <c r="K385" s="445"/>
      <c r="L385" s="445"/>
      <c r="M385" s="445"/>
      <c r="N385" s="445"/>
      <c r="O385" s="445"/>
      <c r="P385" s="445"/>
      <c r="Q385" s="445"/>
    </row>
    <row r="386" spans="1:17" s="360" customFormat="1">
      <c r="A386" s="535">
        <v>16</v>
      </c>
      <c r="B386" s="546" t="s">
        <v>550</v>
      </c>
      <c r="C386" s="546" t="s">
        <v>551</v>
      </c>
      <c r="D386" s="545">
        <v>331</v>
      </c>
      <c r="E386" s="544"/>
      <c r="F386" s="549"/>
      <c r="G386" s="541"/>
      <c r="H386" s="541"/>
      <c r="I386" s="541"/>
      <c r="J386" s="541"/>
      <c r="K386" s="541"/>
      <c r="L386" s="541"/>
      <c r="M386" s="541"/>
      <c r="N386" s="541"/>
      <c r="O386" s="541"/>
      <c r="P386" s="541"/>
      <c r="Q386" s="541"/>
    </row>
    <row r="387" spans="1:17" s="360" customFormat="1">
      <c r="A387" s="396"/>
      <c r="B387" s="475"/>
      <c r="C387" s="475"/>
      <c r="D387" s="440">
        <v>338</v>
      </c>
      <c r="E387" s="480"/>
      <c r="F387" s="524"/>
      <c r="G387" s="445"/>
      <c r="H387" s="445"/>
      <c r="I387" s="445"/>
      <c r="J387" s="445"/>
      <c r="K387" s="445"/>
      <c r="L387" s="445"/>
      <c r="M387" s="445"/>
      <c r="N387" s="445"/>
      <c r="O387" s="445"/>
      <c r="P387" s="445"/>
      <c r="Q387" s="445"/>
    </row>
    <row r="388" spans="1:17" s="360" customFormat="1">
      <c r="A388" s="535">
        <v>17</v>
      </c>
      <c r="B388" s="546" t="s">
        <v>552</v>
      </c>
      <c r="C388" s="546" t="s">
        <v>553</v>
      </c>
      <c r="D388" s="545">
        <v>331</v>
      </c>
      <c r="E388" s="544"/>
      <c r="F388" s="549"/>
      <c r="G388" s="541"/>
      <c r="H388" s="541"/>
      <c r="I388" s="541"/>
      <c r="J388" s="541"/>
      <c r="K388" s="541"/>
      <c r="L388" s="541"/>
      <c r="M388" s="541"/>
      <c r="N388" s="541"/>
      <c r="O388" s="541"/>
      <c r="P388" s="541"/>
      <c r="Q388" s="541"/>
    </row>
    <row r="389" spans="1:17" s="360" customFormat="1">
      <c r="A389" s="396"/>
      <c r="B389" s="475"/>
      <c r="C389" s="475"/>
      <c r="D389" s="440">
        <v>338</v>
      </c>
      <c r="E389" s="480"/>
      <c r="F389" s="524"/>
      <c r="G389" s="445"/>
      <c r="H389" s="445"/>
      <c r="I389" s="445"/>
      <c r="J389" s="445"/>
      <c r="K389" s="445"/>
      <c r="L389" s="445"/>
      <c r="M389" s="445"/>
      <c r="N389" s="445"/>
      <c r="O389" s="445"/>
      <c r="P389" s="445"/>
      <c r="Q389" s="445"/>
    </row>
    <row r="390" spans="1:17" s="360" customFormat="1">
      <c r="A390" s="535">
        <v>18</v>
      </c>
      <c r="B390" s="546" t="s">
        <v>554</v>
      </c>
      <c r="C390" s="546" t="s">
        <v>555</v>
      </c>
      <c r="D390" s="545">
        <v>331</v>
      </c>
      <c r="E390" s="544"/>
      <c r="F390" s="549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</row>
    <row r="391" spans="1:17" s="360" customFormat="1">
      <c r="A391" s="396"/>
      <c r="B391" s="475"/>
      <c r="C391" s="475"/>
      <c r="D391" s="440">
        <v>338</v>
      </c>
      <c r="E391" s="480"/>
      <c r="F391" s="524"/>
      <c r="G391" s="445"/>
      <c r="H391" s="445"/>
      <c r="I391" s="445"/>
      <c r="J391" s="445"/>
      <c r="K391" s="445"/>
      <c r="L391" s="445"/>
      <c r="M391" s="445"/>
      <c r="N391" s="445"/>
      <c r="O391" s="445"/>
      <c r="P391" s="445"/>
      <c r="Q391" s="445"/>
    </row>
    <row r="392" spans="1:17" s="360" customFormat="1">
      <c r="A392" s="535">
        <v>19</v>
      </c>
      <c r="B392" s="536" t="s">
        <v>556</v>
      </c>
      <c r="C392" s="536" t="s">
        <v>557</v>
      </c>
      <c r="D392" s="545">
        <v>331</v>
      </c>
      <c r="E392" s="544"/>
      <c r="F392" s="549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</row>
    <row r="393" spans="1:17" s="360" customFormat="1">
      <c r="A393" s="396"/>
      <c r="B393" s="475"/>
      <c r="C393" s="475"/>
      <c r="D393" s="440">
        <v>338</v>
      </c>
      <c r="E393" s="480"/>
      <c r="F393" s="524"/>
      <c r="G393" s="445"/>
      <c r="H393" s="445"/>
      <c r="I393" s="445"/>
      <c r="J393" s="445"/>
      <c r="K393" s="445"/>
      <c r="L393" s="445"/>
      <c r="M393" s="445"/>
      <c r="N393" s="445"/>
      <c r="O393" s="445"/>
      <c r="P393" s="445"/>
      <c r="Q393" s="445"/>
    </row>
    <row r="394" spans="1:17" s="360" customFormat="1">
      <c r="A394" s="535">
        <v>20</v>
      </c>
      <c r="B394" s="546" t="s">
        <v>558</v>
      </c>
      <c r="C394" s="546" t="s">
        <v>559</v>
      </c>
      <c r="D394" s="545">
        <v>331</v>
      </c>
      <c r="E394" s="544"/>
      <c r="F394" s="549"/>
      <c r="G394" s="541"/>
      <c r="H394" s="541"/>
      <c r="I394" s="541"/>
      <c r="J394" s="541"/>
      <c r="K394" s="541"/>
      <c r="L394" s="541"/>
      <c r="M394" s="541"/>
      <c r="N394" s="541"/>
      <c r="O394" s="541"/>
      <c r="P394" s="541"/>
      <c r="Q394" s="541"/>
    </row>
    <row r="395" spans="1:17" s="360" customFormat="1">
      <c r="A395" s="396"/>
      <c r="B395" s="475"/>
      <c r="C395" s="475"/>
      <c r="D395" s="440">
        <v>338</v>
      </c>
      <c r="E395" s="397"/>
      <c r="F395" s="524"/>
      <c r="G395" s="445"/>
      <c r="H395" s="445"/>
      <c r="I395" s="445"/>
      <c r="J395" s="445"/>
      <c r="K395" s="445"/>
      <c r="L395" s="445"/>
      <c r="M395" s="445"/>
      <c r="N395" s="445"/>
      <c r="O395" s="445"/>
      <c r="P395" s="445"/>
      <c r="Q395" s="445"/>
    </row>
    <row r="396" spans="1:17" s="360" customFormat="1">
      <c r="A396" s="535">
        <v>21</v>
      </c>
      <c r="B396" s="546" t="s">
        <v>560</v>
      </c>
      <c r="C396" s="546" t="s">
        <v>561</v>
      </c>
      <c r="D396" s="545">
        <v>331</v>
      </c>
      <c r="E396" s="544"/>
      <c r="F396" s="549"/>
      <c r="G396" s="541"/>
      <c r="H396" s="541"/>
      <c r="I396" s="541"/>
      <c r="J396" s="541"/>
      <c r="K396" s="541"/>
      <c r="L396" s="541"/>
      <c r="M396" s="541"/>
      <c r="N396" s="541"/>
      <c r="O396" s="541"/>
      <c r="P396" s="541"/>
      <c r="Q396" s="541"/>
    </row>
    <row r="397" spans="1:17" s="360" customFormat="1">
      <c r="A397" s="396"/>
      <c r="B397" s="475"/>
      <c r="C397" s="475"/>
      <c r="D397" s="440">
        <v>338</v>
      </c>
      <c r="E397" s="397"/>
      <c r="F397" s="524"/>
      <c r="G397" s="445"/>
      <c r="H397" s="445"/>
      <c r="I397" s="445"/>
      <c r="J397" s="445"/>
      <c r="K397" s="445"/>
      <c r="L397" s="445"/>
      <c r="M397" s="445"/>
      <c r="N397" s="445"/>
      <c r="O397" s="445"/>
      <c r="P397" s="445"/>
      <c r="Q397" s="445"/>
    </row>
    <row r="398" spans="1:17" s="360" customFormat="1">
      <c r="A398" s="380">
        <v>22</v>
      </c>
      <c r="B398" s="381" t="s">
        <v>562</v>
      </c>
      <c r="C398" s="381" t="s">
        <v>563</v>
      </c>
      <c r="D398" s="383">
        <v>331</v>
      </c>
      <c r="E398" s="382"/>
      <c r="F398" s="529"/>
      <c r="G398" s="385"/>
      <c r="H398" s="385"/>
      <c r="I398" s="385"/>
      <c r="J398" s="385"/>
      <c r="K398" s="385"/>
      <c r="L398" s="385"/>
      <c r="M398" s="385"/>
      <c r="N398" s="385"/>
      <c r="O398" s="385"/>
      <c r="P398" s="385"/>
      <c r="Q398" s="385"/>
    </row>
    <row r="399" spans="1:17" s="360" customFormat="1">
      <c r="A399" s="455"/>
      <c r="B399" s="475"/>
      <c r="C399" s="475"/>
      <c r="D399" s="440">
        <v>338</v>
      </c>
      <c r="E399" s="397"/>
      <c r="F399" s="524"/>
      <c r="G399" s="445"/>
      <c r="H399" s="445"/>
      <c r="I399" s="445"/>
      <c r="J399" s="445"/>
      <c r="K399" s="445"/>
      <c r="L399" s="445"/>
      <c r="M399" s="445"/>
      <c r="N399" s="445"/>
      <c r="O399" s="445"/>
      <c r="P399" s="445"/>
      <c r="Q399" s="445"/>
    </row>
    <row r="400" spans="1:17" s="360" customFormat="1">
      <c r="A400" s="437" t="s">
        <v>594</v>
      </c>
      <c r="B400" s="376" t="s">
        <v>620</v>
      </c>
      <c r="C400" s="376"/>
      <c r="D400" s="438"/>
      <c r="E400" s="382"/>
      <c r="F400" s="468" t="s">
        <v>488</v>
      </c>
      <c r="G400" s="468" t="s">
        <v>489</v>
      </c>
      <c r="H400" s="468" t="s">
        <v>490</v>
      </c>
      <c r="I400" s="468" t="s">
        <v>491</v>
      </c>
      <c r="J400" s="468" t="s">
        <v>492</v>
      </c>
      <c r="K400" s="468" t="s">
        <v>493</v>
      </c>
      <c r="L400" s="468" t="s">
        <v>494</v>
      </c>
      <c r="M400" s="468" t="s">
        <v>495</v>
      </c>
      <c r="N400" s="468" t="s">
        <v>496</v>
      </c>
      <c r="O400" s="468" t="s">
        <v>497</v>
      </c>
      <c r="P400" s="468" t="s">
        <v>498</v>
      </c>
      <c r="Q400" s="468" t="s">
        <v>499</v>
      </c>
    </row>
    <row r="401" spans="1:17" s="360" customFormat="1">
      <c r="A401" s="535">
        <v>1</v>
      </c>
      <c r="B401" s="544" t="s">
        <v>503</v>
      </c>
      <c r="C401" s="544" t="s">
        <v>504</v>
      </c>
      <c r="D401" s="545">
        <v>331</v>
      </c>
      <c r="E401" s="544"/>
      <c r="F401" s="549"/>
      <c r="G401" s="541"/>
      <c r="H401" s="541"/>
      <c r="I401" s="541"/>
      <c r="J401" s="541"/>
      <c r="K401" s="541"/>
      <c r="L401" s="541"/>
      <c r="M401" s="541"/>
      <c r="N401" s="541"/>
      <c r="O401" s="541"/>
      <c r="P401" s="541"/>
      <c r="Q401" s="541"/>
    </row>
    <row r="402" spans="1:17" s="360" customFormat="1">
      <c r="A402" s="405">
        <v>2</v>
      </c>
      <c r="B402" s="388" t="s">
        <v>513</v>
      </c>
      <c r="C402" s="388" t="s">
        <v>514</v>
      </c>
      <c r="D402" s="392">
        <v>331</v>
      </c>
      <c r="E402" s="388"/>
      <c r="F402" s="525"/>
      <c r="G402" s="403"/>
      <c r="H402" s="403"/>
      <c r="I402" s="403"/>
      <c r="J402" s="403"/>
      <c r="K402" s="403"/>
      <c r="L402" s="403"/>
      <c r="M402" s="403"/>
      <c r="N402" s="403"/>
      <c r="O402" s="403"/>
      <c r="P402" s="403"/>
      <c r="Q402" s="403"/>
    </row>
    <row r="403" spans="1:17" s="360" customFormat="1">
      <c r="A403" s="405">
        <v>3</v>
      </c>
      <c r="B403" s="414" t="s">
        <v>519</v>
      </c>
      <c r="C403" s="414" t="s">
        <v>520</v>
      </c>
      <c r="D403" s="392">
        <v>331</v>
      </c>
      <c r="E403" s="388"/>
      <c r="F403" s="525"/>
      <c r="G403" s="403"/>
      <c r="H403" s="403"/>
      <c r="I403" s="403"/>
      <c r="J403" s="403"/>
      <c r="K403" s="403"/>
      <c r="L403" s="403"/>
      <c r="M403" s="403"/>
      <c r="N403" s="403"/>
      <c r="O403" s="403"/>
      <c r="P403" s="403"/>
      <c r="Q403" s="403"/>
    </row>
    <row r="404" spans="1:17" s="360" customFormat="1">
      <c r="A404" s="405">
        <v>4</v>
      </c>
      <c r="B404" s="414" t="s">
        <v>522</v>
      </c>
      <c r="C404" s="414" t="s">
        <v>523</v>
      </c>
      <c r="D404" s="392">
        <v>331</v>
      </c>
      <c r="E404" s="388"/>
      <c r="F404" s="525"/>
      <c r="G404" s="403"/>
      <c r="H404" s="403"/>
      <c r="I404" s="403"/>
      <c r="J404" s="403"/>
      <c r="K404" s="403"/>
      <c r="L404" s="525"/>
      <c r="M404" s="403"/>
      <c r="N404" s="403"/>
      <c r="O404" s="403"/>
      <c r="P404" s="403"/>
      <c r="Q404" s="403"/>
    </row>
    <row r="405" spans="1:17" s="360" customFormat="1">
      <c r="A405" s="387">
        <v>5</v>
      </c>
      <c r="B405" s="414" t="s">
        <v>524</v>
      </c>
      <c r="C405" s="414" t="s">
        <v>525</v>
      </c>
      <c r="D405" s="392">
        <v>331</v>
      </c>
      <c r="E405" s="388"/>
      <c r="F405" s="525"/>
      <c r="G405" s="403"/>
      <c r="H405" s="403"/>
      <c r="I405" s="403"/>
      <c r="J405" s="403"/>
      <c r="K405" s="403"/>
      <c r="L405" s="403"/>
      <c r="M405" s="403"/>
      <c r="N405" s="403"/>
      <c r="O405" s="403"/>
      <c r="P405" s="403"/>
      <c r="Q405" s="403"/>
    </row>
    <row r="406" spans="1:17" s="360" customFormat="1">
      <c r="A406" s="405">
        <v>6</v>
      </c>
      <c r="B406" s="414" t="s">
        <v>527</v>
      </c>
      <c r="C406" s="414" t="s">
        <v>528</v>
      </c>
      <c r="D406" s="392">
        <v>331</v>
      </c>
      <c r="E406" s="388"/>
      <c r="F406" s="525"/>
      <c r="G406" s="403"/>
      <c r="H406" s="403"/>
      <c r="I406" s="403"/>
      <c r="J406" s="403"/>
      <c r="K406" s="403"/>
      <c r="L406" s="403"/>
      <c r="M406" s="403"/>
      <c r="N406" s="403"/>
      <c r="O406" s="403"/>
      <c r="P406" s="403"/>
      <c r="Q406" s="403"/>
    </row>
    <row r="407" spans="1:17" s="360" customFormat="1">
      <c r="A407" s="405">
        <v>7</v>
      </c>
      <c r="B407" s="418" t="s">
        <v>531</v>
      </c>
      <c r="C407" s="418" t="s">
        <v>532</v>
      </c>
      <c r="D407" s="392">
        <v>331</v>
      </c>
      <c r="E407" s="388"/>
      <c r="F407" s="525"/>
      <c r="G407" s="403"/>
      <c r="H407" s="403"/>
      <c r="I407" s="403"/>
      <c r="J407" s="403"/>
      <c r="K407" s="403"/>
      <c r="L407" s="403"/>
      <c r="M407" s="403"/>
      <c r="N407" s="403"/>
      <c r="O407" s="403"/>
      <c r="P407" s="403"/>
      <c r="Q407" s="403"/>
    </row>
    <row r="408" spans="1:17" s="360" customFormat="1">
      <c r="A408" s="405">
        <v>8</v>
      </c>
      <c r="B408" s="414" t="s">
        <v>533</v>
      </c>
      <c r="C408" s="414" t="s">
        <v>534</v>
      </c>
      <c r="D408" s="392">
        <v>331</v>
      </c>
      <c r="E408" s="388"/>
      <c r="F408" s="525"/>
      <c r="G408" s="403"/>
      <c r="H408" s="403"/>
      <c r="I408" s="403"/>
      <c r="J408" s="403"/>
      <c r="K408" s="403"/>
      <c r="L408" s="403"/>
      <c r="M408" s="403"/>
      <c r="N408" s="403"/>
      <c r="O408" s="403"/>
      <c r="P408" s="403"/>
      <c r="Q408" s="403"/>
    </row>
    <row r="409" spans="1:17" s="360" customFormat="1">
      <c r="A409" s="405">
        <v>9</v>
      </c>
      <c r="B409" s="414" t="s">
        <v>536</v>
      </c>
      <c r="C409" s="414" t="s">
        <v>537</v>
      </c>
      <c r="D409" s="392">
        <v>331</v>
      </c>
      <c r="E409" s="388"/>
      <c r="F409" s="525"/>
      <c r="G409" s="403"/>
      <c r="H409" s="403"/>
      <c r="I409" s="403"/>
      <c r="J409" s="403"/>
      <c r="K409" s="403"/>
      <c r="L409" s="403"/>
      <c r="M409" s="403"/>
      <c r="N409" s="403"/>
      <c r="O409" s="403"/>
      <c r="P409" s="403"/>
      <c r="Q409" s="403"/>
    </row>
    <row r="410" spans="1:17" s="360" customFormat="1">
      <c r="A410" s="405">
        <v>10</v>
      </c>
      <c r="B410" s="388" t="s">
        <v>538</v>
      </c>
      <c r="C410" s="388" t="s">
        <v>539</v>
      </c>
      <c r="D410" s="392">
        <v>331</v>
      </c>
      <c r="E410" s="388"/>
      <c r="F410" s="525"/>
      <c r="G410" s="403"/>
      <c r="H410" s="403"/>
      <c r="I410" s="403"/>
      <c r="J410" s="403"/>
      <c r="K410" s="403"/>
      <c r="L410" s="403"/>
      <c r="M410" s="403"/>
      <c r="N410" s="403"/>
      <c r="O410" s="403"/>
      <c r="P410" s="403"/>
      <c r="Q410" s="403"/>
    </row>
    <row r="411" spans="1:17" s="360" customFormat="1">
      <c r="A411" s="405">
        <v>11</v>
      </c>
      <c r="B411" s="414" t="s">
        <v>540</v>
      </c>
      <c r="C411" s="414" t="s">
        <v>541</v>
      </c>
      <c r="D411" s="392">
        <v>331</v>
      </c>
      <c r="E411" s="388"/>
      <c r="F411" s="525"/>
      <c r="G411" s="403"/>
      <c r="H411" s="403"/>
      <c r="I411" s="403"/>
      <c r="J411" s="403"/>
      <c r="K411" s="403"/>
      <c r="L411" s="403"/>
      <c r="M411" s="403"/>
      <c r="N411" s="403"/>
      <c r="O411" s="403"/>
      <c r="P411" s="403"/>
      <c r="Q411" s="403"/>
    </row>
    <row r="412" spans="1:17" s="360" customFormat="1">
      <c r="A412" s="405">
        <v>12</v>
      </c>
      <c r="B412" s="414" t="s">
        <v>542</v>
      </c>
      <c r="C412" s="414" t="s">
        <v>543</v>
      </c>
      <c r="D412" s="392">
        <v>331</v>
      </c>
      <c r="E412" s="388"/>
      <c r="F412" s="525"/>
      <c r="G412" s="403"/>
      <c r="H412" s="403"/>
      <c r="I412" s="403"/>
      <c r="J412" s="403"/>
      <c r="K412" s="403"/>
      <c r="L412" s="403"/>
      <c r="M412" s="403"/>
      <c r="N412" s="403"/>
      <c r="O412" s="403"/>
      <c r="P412" s="403"/>
      <c r="Q412" s="403"/>
    </row>
    <row r="413" spans="1:17" s="360" customFormat="1">
      <c r="A413" s="405">
        <v>13</v>
      </c>
      <c r="B413" s="388" t="s">
        <v>544</v>
      </c>
      <c r="C413" s="388" t="s">
        <v>545</v>
      </c>
      <c r="D413" s="392">
        <v>331</v>
      </c>
      <c r="E413" s="388"/>
      <c r="F413" s="527"/>
      <c r="G413" s="403"/>
      <c r="H413" s="403"/>
      <c r="I413" s="403"/>
      <c r="J413" s="403"/>
      <c r="K413" s="403"/>
      <c r="L413" s="403"/>
      <c r="M413" s="403"/>
      <c r="N413" s="403"/>
      <c r="O413" s="403"/>
      <c r="P413" s="403"/>
      <c r="Q413" s="403"/>
    </row>
    <row r="414" spans="1:17" s="360" customFormat="1">
      <c r="A414" s="405">
        <v>14</v>
      </c>
      <c r="B414" s="388" t="s">
        <v>546</v>
      </c>
      <c r="C414" s="388" t="s">
        <v>547</v>
      </c>
      <c r="D414" s="392">
        <v>331</v>
      </c>
      <c r="E414" s="388"/>
      <c r="F414" s="527"/>
      <c r="G414" s="403"/>
      <c r="H414" s="403"/>
      <c r="I414" s="403"/>
      <c r="J414" s="403"/>
      <c r="K414" s="403"/>
      <c r="L414" s="403"/>
      <c r="M414" s="403"/>
      <c r="N414" s="403"/>
      <c r="O414" s="403"/>
      <c r="P414" s="403"/>
      <c r="Q414" s="403"/>
    </row>
    <row r="415" spans="1:17" s="360" customFormat="1">
      <c r="A415" s="405">
        <v>15</v>
      </c>
      <c r="B415" s="388" t="s">
        <v>548</v>
      </c>
      <c r="C415" s="388" t="s">
        <v>549</v>
      </c>
      <c r="D415" s="392">
        <v>331</v>
      </c>
      <c r="E415" s="388"/>
      <c r="F415" s="527"/>
      <c r="G415" s="403"/>
      <c r="H415" s="403"/>
      <c r="I415" s="403"/>
      <c r="J415" s="403"/>
      <c r="K415" s="403"/>
      <c r="L415" s="403"/>
      <c r="M415" s="403"/>
      <c r="N415" s="403"/>
      <c r="O415" s="403"/>
      <c r="P415" s="403"/>
      <c r="Q415" s="403"/>
    </row>
    <row r="416" spans="1:17" s="360" customFormat="1">
      <c r="A416" s="405">
        <v>16</v>
      </c>
      <c r="B416" s="388" t="s">
        <v>550</v>
      </c>
      <c r="C416" s="388" t="s">
        <v>551</v>
      </c>
      <c r="D416" s="392">
        <v>331</v>
      </c>
      <c r="E416" s="388"/>
      <c r="F416" s="527"/>
      <c r="G416" s="403"/>
      <c r="H416" s="403"/>
      <c r="I416" s="403"/>
      <c r="J416" s="403"/>
      <c r="K416" s="403"/>
      <c r="L416" s="403"/>
      <c r="M416" s="403"/>
      <c r="N416" s="403"/>
      <c r="O416" s="403"/>
      <c r="P416" s="403"/>
      <c r="Q416" s="403"/>
    </row>
    <row r="417" spans="1:17" s="360" customFormat="1">
      <c r="A417" s="405">
        <v>17</v>
      </c>
      <c r="B417" s="388" t="s">
        <v>552</v>
      </c>
      <c r="C417" s="388" t="s">
        <v>553</v>
      </c>
      <c r="D417" s="392">
        <v>331</v>
      </c>
      <c r="E417" s="388"/>
      <c r="F417" s="527"/>
      <c r="G417" s="403"/>
      <c r="H417" s="403"/>
      <c r="I417" s="403"/>
      <c r="J417" s="403"/>
      <c r="K417" s="403"/>
      <c r="L417" s="403"/>
      <c r="M417" s="403"/>
      <c r="N417" s="403"/>
      <c r="O417" s="403"/>
      <c r="P417" s="403"/>
      <c r="Q417" s="403"/>
    </row>
    <row r="418" spans="1:17" s="360" customFormat="1">
      <c r="A418" s="405">
        <v>18</v>
      </c>
      <c r="B418" s="388" t="s">
        <v>554</v>
      </c>
      <c r="C418" s="388" t="s">
        <v>555</v>
      </c>
      <c r="D418" s="392">
        <v>331</v>
      </c>
      <c r="E418" s="388"/>
      <c r="F418" s="527"/>
      <c r="G418" s="403"/>
      <c r="H418" s="403"/>
      <c r="I418" s="403"/>
      <c r="J418" s="403"/>
      <c r="K418" s="403"/>
      <c r="L418" s="403"/>
      <c r="M418" s="403"/>
      <c r="N418" s="403"/>
      <c r="O418" s="403"/>
      <c r="P418" s="403"/>
      <c r="Q418" s="403"/>
    </row>
    <row r="419" spans="1:17" s="360" customFormat="1">
      <c r="A419" s="405">
        <v>19</v>
      </c>
      <c r="B419" s="418" t="s">
        <v>556</v>
      </c>
      <c r="C419" s="418" t="s">
        <v>557</v>
      </c>
      <c r="D419" s="392">
        <v>331</v>
      </c>
      <c r="E419" s="388"/>
      <c r="F419" s="527"/>
      <c r="G419" s="403"/>
      <c r="H419" s="403"/>
      <c r="I419" s="403"/>
      <c r="J419" s="403"/>
      <c r="K419" s="403"/>
      <c r="L419" s="403"/>
      <c r="M419" s="403"/>
      <c r="N419" s="403"/>
      <c r="O419" s="403"/>
      <c r="P419" s="403"/>
      <c r="Q419" s="403"/>
    </row>
    <row r="420" spans="1:17" s="360" customFormat="1">
      <c r="A420" s="405">
        <v>20</v>
      </c>
      <c r="B420" s="388" t="s">
        <v>558</v>
      </c>
      <c r="C420" s="388" t="s">
        <v>559</v>
      </c>
      <c r="D420" s="392">
        <v>331</v>
      </c>
      <c r="E420" s="388"/>
      <c r="F420" s="527"/>
      <c r="G420" s="403"/>
      <c r="H420" s="403"/>
      <c r="I420" s="403"/>
      <c r="J420" s="403"/>
      <c r="K420" s="403"/>
      <c r="L420" s="403"/>
      <c r="M420" s="403"/>
      <c r="N420" s="403"/>
      <c r="O420" s="403"/>
      <c r="P420" s="403"/>
      <c r="Q420" s="403"/>
    </row>
    <row r="421" spans="1:17" s="360" customFormat="1">
      <c r="A421" s="405">
        <v>21</v>
      </c>
      <c r="B421" s="388" t="s">
        <v>560</v>
      </c>
      <c r="C421" s="388" t="s">
        <v>561</v>
      </c>
      <c r="D421" s="392">
        <v>331</v>
      </c>
      <c r="E421" s="388"/>
      <c r="F421" s="527"/>
      <c r="G421" s="403"/>
      <c r="H421" s="403"/>
      <c r="I421" s="403"/>
      <c r="J421" s="403"/>
      <c r="K421" s="403"/>
      <c r="L421" s="403"/>
      <c r="M421" s="403"/>
      <c r="N421" s="403"/>
      <c r="O421" s="403"/>
      <c r="P421" s="403"/>
      <c r="Q421" s="403"/>
    </row>
    <row r="422" spans="1:17" s="360" customFormat="1">
      <c r="A422" s="405">
        <v>22</v>
      </c>
      <c r="B422" s="388" t="s">
        <v>562</v>
      </c>
      <c r="C422" s="388" t="s">
        <v>563</v>
      </c>
      <c r="D422" s="392">
        <v>331</v>
      </c>
      <c r="E422" s="388"/>
      <c r="F422" s="527"/>
      <c r="G422" s="403"/>
      <c r="H422" s="403"/>
      <c r="I422" s="403"/>
      <c r="J422" s="403"/>
      <c r="K422" s="403"/>
      <c r="L422" s="403"/>
      <c r="M422" s="403"/>
      <c r="N422" s="403"/>
      <c r="O422" s="403"/>
      <c r="P422" s="403"/>
      <c r="Q422" s="403"/>
    </row>
    <row r="423" spans="1:17" s="360" customFormat="1">
      <c r="A423" s="455"/>
      <c r="B423" s="397"/>
      <c r="C423" s="397"/>
      <c r="D423" s="397"/>
      <c r="E423" s="397"/>
      <c r="F423" s="524"/>
      <c r="G423" s="445"/>
      <c r="H423" s="445"/>
      <c r="I423" s="445"/>
      <c r="J423" s="445"/>
      <c r="K423" s="445"/>
      <c r="L423" s="445"/>
      <c r="M423" s="445"/>
      <c r="N423" s="445"/>
      <c r="O423" s="445"/>
      <c r="P423" s="445"/>
      <c r="Q423" s="445"/>
    </row>
    <row r="424" spans="1:17" s="360" customFormat="1">
      <c r="A424" s="437" t="s">
        <v>621</v>
      </c>
      <c r="B424" s="376" t="s">
        <v>622</v>
      </c>
      <c r="C424" s="376"/>
      <c r="D424" s="438"/>
      <c r="E424" s="438"/>
      <c r="F424" s="468" t="s">
        <v>488</v>
      </c>
      <c r="G424" s="468" t="s">
        <v>489</v>
      </c>
      <c r="H424" s="468" t="s">
        <v>490</v>
      </c>
      <c r="I424" s="468" t="s">
        <v>491</v>
      </c>
      <c r="J424" s="468" t="s">
        <v>492</v>
      </c>
      <c r="K424" s="468" t="s">
        <v>493</v>
      </c>
      <c r="L424" s="468" t="s">
        <v>494</v>
      </c>
      <c r="M424" s="468" t="s">
        <v>495</v>
      </c>
      <c r="N424" s="468" t="s">
        <v>496</v>
      </c>
      <c r="O424" s="468" t="s">
        <v>497</v>
      </c>
      <c r="P424" s="468" t="s">
        <v>498</v>
      </c>
      <c r="Q424" s="468" t="s">
        <v>499</v>
      </c>
    </row>
    <row r="425" spans="1:17" s="360" customFormat="1">
      <c r="A425" s="449"/>
      <c r="B425" s="482" t="s">
        <v>623</v>
      </c>
      <c r="C425" s="482"/>
      <c r="D425" s="483"/>
      <c r="E425" s="388"/>
      <c r="F425" s="539"/>
      <c r="G425" s="541"/>
      <c r="H425" s="541"/>
      <c r="I425" s="541"/>
      <c r="J425" s="541"/>
      <c r="K425" s="541"/>
      <c r="L425" s="541"/>
      <c r="M425" s="541"/>
      <c r="N425" s="541"/>
      <c r="O425" s="541"/>
      <c r="P425" s="541"/>
      <c r="Q425" s="541"/>
    </row>
    <row r="426" spans="1:17" s="360" customFormat="1">
      <c r="A426" s="405">
        <v>1</v>
      </c>
      <c r="B426" s="479" t="s">
        <v>503</v>
      </c>
      <c r="C426" s="479" t="s">
        <v>504</v>
      </c>
      <c r="D426" s="392">
        <v>128</v>
      </c>
      <c r="E426" s="388"/>
      <c r="F426" s="525"/>
      <c r="G426" s="403"/>
      <c r="H426" s="403"/>
      <c r="I426" s="403"/>
      <c r="J426" s="403"/>
      <c r="K426" s="403"/>
      <c r="L426" s="403"/>
      <c r="M426" s="403"/>
      <c r="N426" s="403"/>
      <c r="O426" s="403"/>
      <c r="P426" s="403"/>
      <c r="Q426" s="403"/>
    </row>
    <row r="427" spans="1:17" s="360" customFormat="1">
      <c r="A427" s="405">
        <v>2</v>
      </c>
      <c r="B427" s="414" t="s">
        <v>513</v>
      </c>
      <c r="C427" s="414" t="s">
        <v>514</v>
      </c>
      <c r="D427" s="392">
        <v>128</v>
      </c>
      <c r="E427" s="388"/>
      <c r="F427" s="525"/>
      <c r="G427" s="403"/>
      <c r="H427" s="403"/>
      <c r="I427" s="403"/>
      <c r="J427" s="403"/>
      <c r="K427" s="403"/>
      <c r="L427" s="403"/>
      <c r="M427" s="403"/>
      <c r="N427" s="403"/>
      <c r="O427" s="403"/>
      <c r="P427" s="403"/>
      <c r="Q427" s="403"/>
    </row>
    <row r="428" spans="1:17" s="360" customFormat="1">
      <c r="A428" s="405">
        <v>3</v>
      </c>
      <c r="B428" s="479" t="s">
        <v>519</v>
      </c>
      <c r="C428" s="479" t="s">
        <v>520</v>
      </c>
      <c r="D428" s="392">
        <v>128</v>
      </c>
      <c r="E428" s="388"/>
      <c r="F428" s="525"/>
      <c r="G428" s="403"/>
      <c r="H428" s="403"/>
      <c r="I428" s="403"/>
      <c r="J428" s="403"/>
      <c r="K428" s="403"/>
      <c r="L428" s="403"/>
      <c r="M428" s="403"/>
      <c r="N428" s="403"/>
      <c r="O428" s="403"/>
      <c r="P428" s="403"/>
      <c r="Q428" s="403"/>
    </row>
    <row r="429" spans="1:17" s="360" customFormat="1">
      <c r="A429" s="405">
        <v>4</v>
      </c>
      <c r="B429" s="479" t="s">
        <v>522</v>
      </c>
      <c r="C429" s="479" t="s">
        <v>523</v>
      </c>
      <c r="D429" s="392">
        <v>128</v>
      </c>
      <c r="E429" s="388"/>
      <c r="F429" s="525"/>
      <c r="G429" s="403"/>
      <c r="H429" s="403"/>
      <c r="I429" s="403"/>
      <c r="J429" s="403"/>
      <c r="K429" s="403"/>
      <c r="L429" s="403"/>
      <c r="M429" s="403"/>
      <c r="N429" s="403"/>
      <c r="O429" s="403"/>
      <c r="P429" s="403"/>
      <c r="Q429" s="403"/>
    </row>
    <row r="430" spans="1:17" s="360" customFormat="1">
      <c r="A430" s="405">
        <v>5</v>
      </c>
      <c r="B430" s="479" t="s">
        <v>524</v>
      </c>
      <c r="C430" s="479" t="s">
        <v>525</v>
      </c>
      <c r="D430" s="392">
        <v>128</v>
      </c>
      <c r="E430" s="388"/>
      <c r="F430" s="525"/>
      <c r="G430" s="403"/>
      <c r="H430" s="403"/>
      <c r="I430" s="403"/>
      <c r="J430" s="403"/>
      <c r="K430" s="403"/>
      <c r="L430" s="403"/>
      <c r="M430" s="403"/>
      <c r="N430" s="403"/>
      <c r="O430" s="403"/>
      <c r="P430" s="403"/>
      <c r="Q430" s="403"/>
    </row>
    <row r="431" spans="1:17" s="360" customFormat="1">
      <c r="A431" s="405">
        <v>6</v>
      </c>
      <c r="B431" s="479" t="s">
        <v>527</v>
      </c>
      <c r="C431" s="479" t="s">
        <v>528</v>
      </c>
      <c r="D431" s="392">
        <v>128</v>
      </c>
      <c r="E431" s="388"/>
      <c r="F431" s="525"/>
      <c r="G431" s="403"/>
      <c r="H431" s="403"/>
      <c r="I431" s="403"/>
      <c r="J431" s="403"/>
      <c r="K431" s="403"/>
      <c r="L431" s="403"/>
      <c r="M431" s="403"/>
      <c r="N431" s="403"/>
      <c r="O431" s="403"/>
      <c r="P431" s="403"/>
      <c r="Q431" s="403"/>
    </row>
    <row r="432" spans="1:17" s="360" customFormat="1">
      <c r="A432" s="405">
        <v>7</v>
      </c>
      <c r="B432" s="418" t="s">
        <v>531</v>
      </c>
      <c r="C432" s="418" t="s">
        <v>532</v>
      </c>
      <c r="D432" s="392">
        <v>128</v>
      </c>
      <c r="E432" s="388"/>
      <c r="F432" s="525"/>
      <c r="G432" s="403"/>
      <c r="H432" s="403"/>
      <c r="I432" s="403"/>
      <c r="J432" s="403"/>
      <c r="K432" s="403"/>
      <c r="L432" s="403"/>
      <c r="M432" s="403"/>
      <c r="N432" s="403"/>
      <c r="O432" s="403"/>
      <c r="P432" s="403"/>
      <c r="Q432" s="403"/>
    </row>
    <row r="433" spans="1:17" s="360" customFormat="1">
      <c r="A433" s="405">
        <v>8</v>
      </c>
      <c r="B433" s="479" t="s">
        <v>533</v>
      </c>
      <c r="C433" s="479" t="s">
        <v>534</v>
      </c>
      <c r="D433" s="392">
        <v>128</v>
      </c>
      <c r="E433" s="388"/>
      <c r="F433" s="525"/>
      <c r="G433" s="403"/>
      <c r="H433" s="403"/>
      <c r="I433" s="403"/>
      <c r="J433" s="403"/>
      <c r="K433" s="403"/>
      <c r="L433" s="403"/>
      <c r="M433" s="403"/>
      <c r="N433" s="403"/>
      <c r="O433" s="403"/>
      <c r="P433" s="403"/>
      <c r="Q433" s="403"/>
    </row>
    <row r="434" spans="1:17" s="360" customFormat="1">
      <c r="A434" s="405">
        <v>9</v>
      </c>
      <c r="B434" s="479" t="s">
        <v>536</v>
      </c>
      <c r="C434" s="479" t="s">
        <v>537</v>
      </c>
      <c r="D434" s="392">
        <v>128</v>
      </c>
      <c r="E434" s="388"/>
      <c r="F434" s="525"/>
      <c r="G434" s="403"/>
      <c r="H434" s="403"/>
      <c r="I434" s="403"/>
      <c r="J434" s="403"/>
      <c r="K434" s="403"/>
      <c r="L434" s="403"/>
      <c r="M434" s="403"/>
      <c r="N434" s="403"/>
      <c r="O434" s="403"/>
      <c r="P434" s="403"/>
      <c r="Q434" s="403"/>
    </row>
    <row r="435" spans="1:17" s="360" customFormat="1">
      <c r="A435" s="405">
        <v>10</v>
      </c>
      <c r="B435" s="479" t="s">
        <v>538</v>
      </c>
      <c r="C435" s="479" t="s">
        <v>539</v>
      </c>
      <c r="D435" s="392">
        <v>128</v>
      </c>
      <c r="E435" s="388"/>
      <c r="F435" s="525"/>
      <c r="G435" s="403"/>
      <c r="H435" s="403"/>
      <c r="I435" s="403"/>
      <c r="J435" s="403"/>
      <c r="K435" s="403"/>
      <c r="L435" s="403"/>
      <c r="M435" s="403"/>
      <c r="N435" s="403"/>
      <c r="O435" s="403"/>
      <c r="P435" s="403"/>
      <c r="Q435" s="403"/>
    </row>
    <row r="436" spans="1:17" s="360" customFormat="1">
      <c r="A436" s="405">
        <v>11</v>
      </c>
      <c r="B436" s="479" t="s">
        <v>540</v>
      </c>
      <c r="C436" s="479" t="s">
        <v>541</v>
      </c>
      <c r="D436" s="392">
        <v>128</v>
      </c>
      <c r="E436" s="388"/>
      <c r="F436" s="525"/>
      <c r="G436" s="403"/>
      <c r="H436" s="403"/>
      <c r="I436" s="403"/>
      <c r="J436" s="403"/>
      <c r="K436" s="403"/>
      <c r="L436" s="403"/>
      <c r="M436" s="403"/>
      <c r="N436" s="403"/>
      <c r="O436" s="403"/>
      <c r="P436" s="403"/>
      <c r="Q436" s="403"/>
    </row>
    <row r="437" spans="1:17" s="360" customFormat="1">
      <c r="A437" s="405">
        <v>12</v>
      </c>
      <c r="B437" s="479" t="s">
        <v>542</v>
      </c>
      <c r="C437" s="479" t="s">
        <v>543</v>
      </c>
      <c r="D437" s="392">
        <v>128</v>
      </c>
      <c r="E437" s="388"/>
      <c r="F437" s="525"/>
      <c r="G437" s="403"/>
      <c r="H437" s="403"/>
      <c r="I437" s="403"/>
      <c r="J437" s="403"/>
      <c r="K437" s="403"/>
      <c r="L437" s="403"/>
      <c r="M437" s="403"/>
      <c r="N437" s="403"/>
      <c r="O437" s="403"/>
      <c r="P437" s="403"/>
      <c r="Q437" s="403"/>
    </row>
    <row r="438" spans="1:17" s="360" customFormat="1">
      <c r="A438" s="405">
        <v>13</v>
      </c>
      <c r="B438" s="479" t="s">
        <v>544</v>
      </c>
      <c r="C438" s="479" t="s">
        <v>545</v>
      </c>
      <c r="D438" s="392">
        <v>128</v>
      </c>
      <c r="E438" s="388"/>
      <c r="F438" s="525"/>
      <c r="G438" s="403"/>
      <c r="H438" s="403"/>
      <c r="I438" s="403"/>
      <c r="J438" s="403"/>
      <c r="K438" s="403"/>
      <c r="L438" s="403"/>
      <c r="M438" s="403"/>
      <c r="N438" s="403"/>
      <c r="O438" s="403"/>
      <c r="P438" s="403"/>
      <c r="Q438" s="403"/>
    </row>
    <row r="439" spans="1:17" s="360" customFormat="1">
      <c r="A439" s="405">
        <v>14</v>
      </c>
      <c r="B439" s="479" t="s">
        <v>546</v>
      </c>
      <c r="C439" s="479" t="s">
        <v>547</v>
      </c>
      <c r="D439" s="392">
        <v>128</v>
      </c>
      <c r="E439" s="388"/>
      <c r="F439" s="525"/>
      <c r="G439" s="403"/>
      <c r="H439" s="403"/>
      <c r="I439" s="403"/>
      <c r="J439" s="403"/>
      <c r="K439" s="403"/>
      <c r="L439" s="403"/>
      <c r="M439" s="403"/>
      <c r="N439" s="403"/>
      <c r="O439" s="403"/>
      <c r="P439" s="403"/>
      <c r="Q439" s="403"/>
    </row>
    <row r="440" spans="1:17" s="360" customFormat="1">
      <c r="A440" s="405">
        <v>15</v>
      </c>
      <c r="B440" s="479" t="s">
        <v>548</v>
      </c>
      <c r="C440" s="479" t="s">
        <v>549</v>
      </c>
      <c r="D440" s="392">
        <v>128</v>
      </c>
      <c r="E440" s="388"/>
      <c r="F440" s="525"/>
      <c r="G440" s="403"/>
      <c r="H440" s="403"/>
      <c r="I440" s="403"/>
      <c r="J440" s="403"/>
      <c r="K440" s="403"/>
      <c r="L440" s="403"/>
      <c r="M440" s="403"/>
      <c r="N440" s="403"/>
      <c r="O440" s="403"/>
      <c r="P440" s="403"/>
      <c r="Q440" s="403"/>
    </row>
    <row r="441" spans="1:17" s="360" customFormat="1">
      <c r="A441" s="405">
        <v>16</v>
      </c>
      <c r="B441" s="479" t="s">
        <v>550</v>
      </c>
      <c r="C441" s="479" t="s">
        <v>551</v>
      </c>
      <c r="D441" s="392">
        <v>128</v>
      </c>
      <c r="E441" s="388"/>
      <c r="F441" s="525"/>
      <c r="G441" s="403"/>
      <c r="H441" s="403"/>
      <c r="I441" s="403"/>
      <c r="J441" s="403"/>
      <c r="K441" s="403"/>
      <c r="L441" s="403"/>
      <c r="M441" s="403"/>
      <c r="N441" s="403"/>
      <c r="O441" s="403"/>
      <c r="P441" s="403"/>
      <c r="Q441" s="403"/>
    </row>
    <row r="442" spans="1:17" s="360" customFormat="1">
      <c r="A442" s="405">
        <v>17</v>
      </c>
      <c r="B442" s="479" t="s">
        <v>552</v>
      </c>
      <c r="C442" s="479" t="s">
        <v>553</v>
      </c>
      <c r="D442" s="392">
        <v>128</v>
      </c>
      <c r="E442" s="388"/>
      <c r="F442" s="525"/>
      <c r="G442" s="403"/>
      <c r="H442" s="403"/>
      <c r="I442" s="403"/>
      <c r="J442" s="403"/>
      <c r="K442" s="403"/>
      <c r="L442" s="403"/>
      <c r="M442" s="403"/>
      <c r="N442" s="403"/>
      <c r="O442" s="403"/>
      <c r="P442" s="403"/>
      <c r="Q442" s="403"/>
    </row>
    <row r="443" spans="1:17" s="360" customFormat="1">
      <c r="A443" s="405">
        <v>18</v>
      </c>
      <c r="B443" s="479" t="s">
        <v>554</v>
      </c>
      <c r="C443" s="479" t="s">
        <v>555</v>
      </c>
      <c r="D443" s="392">
        <v>128</v>
      </c>
      <c r="E443" s="388"/>
      <c r="F443" s="525"/>
      <c r="G443" s="403"/>
      <c r="H443" s="403"/>
      <c r="I443" s="403"/>
      <c r="J443" s="403"/>
      <c r="K443" s="403"/>
      <c r="L443" s="403"/>
      <c r="M443" s="403"/>
      <c r="N443" s="403"/>
      <c r="O443" s="403"/>
      <c r="P443" s="403"/>
      <c r="Q443" s="403"/>
    </row>
    <row r="444" spans="1:17" s="360" customFormat="1">
      <c r="A444" s="405">
        <v>19</v>
      </c>
      <c r="B444" s="418" t="s">
        <v>556</v>
      </c>
      <c r="C444" s="418" t="s">
        <v>557</v>
      </c>
      <c r="D444" s="392">
        <v>128</v>
      </c>
      <c r="E444" s="388"/>
      <c r="F444" s="525"/>
      <c r="G444" s="403"/>
      <c r="H444" s="403"/>
      <c r="I444" s="403"/>
      <c r="J444" s="403"/>
      <c r="K444" s="403"/>
      <c r="L444" s="403"/>
      <c r="M444" s="403"/>
      <c r="N444" s="403"/>
      <c r="O444" s="403"/>
      <c r="P444" s="403"/>
      <c r="Q444" s="403"/>
    </row>
    <row r="445" spans="1:17" s="360" customFormat="1">
      <c r="A445" s="405">
        <v>20</v>
      </c>
      <c r="B445" s="479" t="s">
        <v>558</v>
      </c>
      <c r="C445" s="479" t="s">
        <v>559</v>
      </c>
      <c r="D445" s="392">
        <v>128</v>
      </c>
      <c r="E445" s="388"/>
      <c r="F445" s="525"/>
      <c r="G445" s="403"/>
      <c r="H445" s="403"/>
      <c r="I445" s="403"/>
      <c r="J445" s="403"/>
      <c r="K445" s="403"/>
      <c r="L445" s="403"/>
      <c r="M445" s="403"/>
      <c r="N445" s="403"/>
      <c r="O445" s="403"/>
      <c r="P445" s="403"/>
      <c r="Q445" s="403"/>
    </row>
    <row r="446" spans="1:17" s="360" customFormat="1">
      <c r="A446" s="405">
        <v>21</v>
      </c>
      <c r="B446" s="479" t="s">
        <v>560</v>
      </c>
      <c r="C446" s="479" t="s">
        <v>561</v>
      </c>
      <c r="D446" s="392">
        <v>128</v>
      </c>
      <c r="E446" s="388"/>
      <c r="F446" s="525"/>
      <c r="G446" s="403"/>
      <c r="H446" s="403"/>
      <c r="I446" s="403"/>
      <c r="J446" s="403"/>
      <c r="K446" s="403"/>
      <c r="L446" s="403"/>
      <c r="M446" s="403"/>
      <c r="N446" s="403"/>
      <c r="O446" s="403"/>
      <c r="P446" s="403"/>
      <c r="Q446" s="403"/>
    </row>
    <row r="447" spans="1:17" s="360" customFormat="1">
      <c r="A447" s="405">
        <v>22</v>
      </c>
      <c r="B447" s="479" t="s">
        <v>562</v>
      </c>
      <c r="C447" s="479" t="s">
        <v>563</v>
      </c>
      <c r="D447" s="392">
        <v>128</v>
      </c>
      <c r="E447" s="388"/>
      <c r="F447" s="525"/>
      <c r="G447" s="403"/>
      <c r="H447" s="403"/>
      <c r="I447" s="403"/>
      <c r="J447" s="403"/>
      <c r="K447" s="403"/>
      <c r="L447" s="403"/>
      <c r="M447" s="403"/>
      <c r="N447" s="403"/>
      <c r="O447" s="403"/>
      <c r="P447" s="403"/>
      <c r="Q447" s="403"/>
    </row>
    <row r="448" spans="1:17" s="360" customFormat="1">
      <c r="A448" s="405"/>
      <c r="B448" s="479"/>
      <c r="C448" s="479"/>
      <c r="D448" s="392"/>
      <c r="E448" s="388"/>
      <c r="F448" s="525"/>
      <c r="G448" s="403"/>
      <c r="H448" s="403"/>
      <c r="I448" s="403"/>
      <c r="J448" s="403"/>
      <c r="K448" s="403"/>
      <c r="L448" s="403"/>
      <c r="M448" s="403"/>
      <c r="N448" s="403"/>
      <c r="O448" s="403"/>
      <c r="P448" s="403"/>
      <c r="Q448" s="403"/>
    </row>
    <row r="449" spans="1:17" s="360" customFormat="1">
      <c r="A449" s="449"/>
      <c r="B449" s="482" t="s">
        <v>624</v>
      </c>
      <c r="C449" s="482"/>
      <c r="D449" s="483"/>
      <c r="E449" s="388"/>
      <c r="F449" s="404"/>
      <c r="G449" s="403"/>
      <c r="H449" s="403"/>
      <c r="I449" s="403"/>
      <c r="J449" s="403"/>
      <c r="K449" s="403"/>
      <c r="L449" s="403"/>
      <c r="M449" s="403"/>
      <c r="N449" s="403"/>
      <c r="O449" s="403"/>
      <c r="P449" s="403"/>
      <c r="Q449" s="403"/>
    </row>
    <row r="450" spans="1:17" s="360" customFormat="1">
      <c r="A450" s="407"/>
      <c r="B450" s="388" t="s">
        <v>590</v>
      </c>
      <c r="C450" s="388"/>
      <c r="D450" s="392">
        <v>128</v>
      </c>
      <c r="E450" s="391"/>
      <c r="F450" s="525"/>
      <c r="G450" s="403"/>
      <c r="H450" s="403"/>
      <c r="I450" s="403"/>
      <c r="J450" s="403"/>
      <c r="K450" s="403"/>
      <c r="L450" s="403"/>
      <c r="M450" s="403"/>
      <c r="N450" s="403"/>
      <c r="O450" s="403"/>
      <c r="P450" s="403"/>
      <c r="Q450" s="403"/>
    </row>
    <row r="451" spans="1:17" s="360" customFormat="1">
      <c r="A451" s="407"/>
      <c r="B451" s="498"/>
      <c r="C451" s="498"/>
      <c r="D451" s="477"/>
      <c r="E451" s="391"/>
      <c r="F451" s="524"/>
      <c r="G451" s="445"/>
      <c r="H451" s="445"/>
      <c r="I451" s="445"/>
      <c r="J451" s="445"/>
      <c r="K451" s="445"/>
      <c r="L451" s="445"/>
      <c r="M451" s="445"/>
      <c r="N451" s="445"/>
      <c r="O451" s="445"/>
      <c r="P451" s="445"/>
      <c r="Q451" s="445"/>
    </row>
    <row r="452" spans="1:17" s="360" customFormat="1">
      <c r="A452" s="437" t="s">
        <v>625</v>
      </c>
      <c r="B452" s="376" t="s">
        <v>626</v>
      </c>
      <c r="C452" s="376"/>
      <c r="D452" s="438"/>
      <c r="E452" s="438"/>
      <c r="F452" s="468" t="s">
        <v>488</v>
      </c>
      <c r="G452" s="468" t="s">
        <v>489</v>
      </c>
      <c r="H452" s="468" t="s">
        <v>490</v>
      </c>
      <c r="I452" s="468" t="s">
        <v>491</v>
      </c>
      <c r="J452" s="468" t="s">
        <v>492</v>
      </c>
      <c r="K452" s="468" t="s">
        <v>493</v>
      </c>
      <c r="L452" s="468" t="s">
        <v>494</v>
      </c>
      <c r="M452" s="468" t="s">
        <v>495</v>
      </c>
      <c r="N452" s="468" t="s">
        <v>496</v>
      </c>
      <c r="O452" s="468" t="s">
        <v>497</v>
      </c>
      <c r="P452" s="468" t="s">
        <v>498</v>
      </c>
      <c r="Q452" s="468" t="s">
        <v>499</v>
      </c>
    </row>
    <row r="453" spans="1:17" s="360" customFormat="1">
      <c r="A453" s="449"/>
      <c r="B453" s="484" t="s">
        <v>623</v>
      </c>
      <c r="C453" s="484"/>
      <c r="D453" s="482"/>
      <c r="E453" s="388"/>
      <c r="F453" s="539"/>
      <c r="G453" s="541"/>
      <c r="H453" s="541"/>
      <c r="I453" s="541"/>
      <c r="J453" s="541"/>
      <c r="K453" s="541"/>
      <c r="L453" s="541"/>
      <c r="M453" s="541"/>
      <c r="N453" s="541"/>
      <c r="O453" s="541"/>
      <c r="P453" s="541"/>
      <c r="Q453" s="541"/>
    </row>
    <row r="454" spans="1:17" s="360" customFormat="1">
      <c r="A454" s="405">
        <v>1</v>
      </c>
      <c r="B454" s="418" t="s">
        <v>503</v>
      </c>
      <c r="C454" s="418" t="s">
        <v>504</v>
      </c>
      <c r="D454" s="392">
        <v>341</v>
      </c>
      <c r="E454" s="388"/>
      <c r="F454" s="525"/>
      <c r="G454" s="403"/>
      <c r="H454" s="403"/>
      <c r="I454" s="403"/>
      <c r="J454" s="403"/>
      <c r="K454" s="403"/>
      <c r="L454" s="403"/>
      <c r="M454" s="403"/>
      <c r="N454" s="403"/>
      <c r="O454" s="403"/>
      <c r="P454" s="403"/>
      <c r="Q454" s="403"/>
    </row>
    <row r="455" spans="1:17" s="360" customFormat="1">
      <c r="A455" s="405">
        <v>2</v>
      </c>
      <c r="B455" s="414" t="s">
        <v>513</v>
      </c>
      <c r="C455" s="414" t="s">
        <v>514</v>
      </c>
      <c r="D455" s="392">
        <v>341</v>
      </c>
      <c r="E455" s="388"/>
      <c r="F455" s="525"/>
      <c r="G455" s="403"/>
      <c r="H455" s="403"/>
      <c r="I455" s="403"/>
      <c r="J455" s="403"/>
      <c r="K455" s="403"/>
      <c r="L455" s="403"/>
      <c r="M455" s="403"/>
      <c r="N455" s="403"/>
      <c r="O455" s="403"/>
      <c r="P455" s="403"/>
      <c r="Q455" s="403"/>
    </row>
    <row r="456" spans="1:17" s="360" customFormat="1">
      <c r="A456" s="405">
        <v>3</v>
      </c>
      <c r="B456" s="479" t="s">
        <v>519</v>
      </c>
      <c r="C456" s="479" t="s">
        <v>520</v>
      </c>
      <c r="D456" s="392">
        <v>341</v>
      </c>
      <c r="E456" s="388"/>
      <c r="F456" s="525"/>
      <c r="G456" s="403"/>
      <c r="H456" s="403"/>
      <c r="I456" s="403"/>
      <c r="J456" s="403"/>
      <c r="K456" s="403"/>
      <c r="L456" s="403"/>
      <c r="M456" s="403"/>
      <c r="N456" s="403"/>
      <c r="O456" s="403"/>
      <c r="P456" s="403"/>
      <c r="Q456" s="403"/>
    </row>
    <row r="457" spans="1:17" s="360" customFormat="1">
      <c r="A457" s="405">
        <v>4</v>
      </c>
      <c r="B457" s="479" t="s">
        <v>522</v>
      </c>
      <c r="C457" s="479" t="s">
        <v>523</v>
      </c>
      <c r="D457" s="392">
        <v>341</v>
      </c>
      <c r="E457" s="388"/>
      <c r="F457" s="525"/>
      <c r="G457" s="403"/>
      <c r="H457" s="403"/>
      <c r="I457" s="403"/>
      <c r="J457" s="403"/>
      <c r="K457" s="403"/>
      <c r="L457" s="403"/>
      <c r="M457" s="403"/>
      <c r="N457" s="403"/>
      <c r="O457" s="403"/>
      <c r="P457" s="403"/>
      <c r="Q457" s="403"/>
    </row>
    <row r="458" spans="1:17" s="360" customFormat="1">
      <c r="A458" s="405">
        <v>5</v>
      </c>
      <c r="B458" s="479" t="s">
        <v>524</v>
      </c>
      <c r="C458" s="479" t="s">
        <v>525</v>
      </c>
      <c r="D458" s="392">
        <v>341</v>
      </c>
      <c r="E458" s="388"/>
      <c r="F458" s="525"/>
      <c r="G458" s="403"/>
      <c r="H458" s="403"/>
      <c r="I458" s="403"/>
      <c r="J458" s="403"/>
      <c r="K458" s="403"/>
      <c r="L458" s="403"/>
      <c r="M458" s="403"/>
      <c r="N458" s="403"/>
      <c r="O458" s="403"/>
      <c r="P458" s="403"/>
      <c r="Q458" s="403"/>
    </row>
    <row r="459" spans="1:17" s="360" customFormat="1">
      <c r="A459" s="405">
        <v>6</v>
      </c>
      <c r="B459" s="479" t="s">
        <v>527</v>
      </c>
      <c r="C459" s="479" t="s">
        <v>528</v>
      </c>
      <c r="D459" s="392">
        <v>341</v>
      </c>
      <c r="E459" s="388"/>
      <c r="F459" s="525"/>
      <c r="G459" s="403"/>
      <c r="H459" s="403"/>
      <c r="I459" s="403"/>
      <c r="J459" s="403"/>
      <c r="K459" s="403"/>
      <c r="L459" s="403"/>
      <c r="M459" s="403"/>
      <c r="N459" s="403"/>
      <c r="O459" s="403"/>
      <c r="P459" s="403"/>
      <c r="Q459" s="403"/>
    </row>
    <row r="460" spans="1:17" s="360" customFormat="1">
      <c r="A460" s="405">
        <v>7</v>
      </c>
      <c r="B460" s="418" t="s">
        <v>531</v>
      </c>
      <c r="C460" s="418" t="s">
        <v>532</v>
      </c>
      <c r="D460" s="392">
        <v>341</v>
      </c>
      <c r="E460" s="388"/>
      <c r="F460" s="525"/>
      <c r="G460" s="403"/>
      <c r="H460" s="403"/>
      <c r="I460" s="403"/>
      <c r="J460" s="403"/>
      <c r="K460" s="403"/>
      <c r="L460" s="403"/>
      <c r="M460" s="403"/>
      <c r="N460" s="403"/>
      <c r="O460" s="403"/>
      <c r="P460" s="403"/>
      <c r="Q460" s="403"/>
    </row>
    <row r="461" spans="1:17" s="360" customFormat="1">
      <c r="A461" s="405">
        <v>8</v>
      </c>
      <c r="B461" s="479" t="s">
        <v>533</v>
      </c>
      <c r="C461" s="479" t="s">
        <v>534</v>
      </c>
      <c r="D461" s="392">
        <v>341</v>
      </c>
      <c r="E461" s="388"/>
      <c r="F461" s="525"/>
      <c r="G461" s="403"/>
      <c r="H461" s="403"/>
      <c r="I461" s="403"/>
      <c r="J461" s="403"/>
      <c r="K461" s="403"/>
      <c r="L461" s="403"/>
      <c r="M461" s="403"/>
      <c r="N461" s="403"/>
      <c r="O461" s="403"/>
      <c r="P461" s="403"/>
      <c r="Q461" s="403"/>
    </row>
    <row r="462" spans="1:17" s="360" customFormat="1">
      <c r="A462" s="405">
        <v>9</v>
      </c>
      <c r="B462" s="479" t="s">
        <v>536</v>
      </c>
      <c r="C462" s="479" t="s">
        <v>537</v>
      </c>
      <c r="D462" s="392">
        <v>341</v>
      </c>
      <c r="E462" s="388"/>
      <c r="F462" s="525"/>
      <c r="G462" s="403"/>
      <c r="H462" s="403"/>
      <c r="I462" s="403"/>
      <c r="J462" s="403"/>
      <c r="K462" s="403"/>
      <c r="L462" s="403"/>
      <c r="M462" s="403"/>
      <c r="N462" s="403"/>
      <c r="O462" s="403"/>
      <c r="P462" s="403"/>
      <c r="Q462" s="403"/>
    </row>
    <row r="463" spans="1:17" s="360" customFormat="1">
      <c r="A463" s="405">
        <v>10</v>
      </c>
      <c r="B463" s="479" t="s">
        <v>538</v>
      </c>
      <c r="C463" s="479" t="s">
        <v>539</v>
      </c>
      <c r="D463" s="392">
        <v>341</v>
      </c>
      <c r="E463" s="388"/>
      <c r="F463" s="525"/>
      <c r="G463" s="403"/>
      <c r="H463" s="403"/>
      <c r="I463" s="403"/>
      <c r="J463" s="403"/>
      <c r="K463" s="403"/>
      <c r="L463" s="403"/>
      <c r="M463" s="403"/>
      <c r="N463" s="403"/>
      <c r="O463" s="403"/>
      <c r="P463" s="403"/>
      <c r="Q463" s="403"/>
    </row>
    <row r="464" spans="1:17" s="360" customFormat="1">
      <c r="A464" s="405">
        <v>11</v>
      </c>
      <c r="B464" s="479" t="s">
        <v>540</v>
      </c>
      <c r="C464" s="479" t="s">
        <v>541</v>
      </c>
      <c r="D464" s="392">
        <v>341</v>
      </c>
      <c r="E464" s="388"/>
      <c r="F464" s="525"/>
      <c r="G464" s="403"/>
      <c r="H464" s="403"/>
      <c r="I464" s="403"/>
      <c r="J464" s="403"/>
      <c r="K464" s="403"/>
      <c r="L464" s="403"/>
      <c r="M464" s="403"/>
      <c r="N464" s="403"/>
      <c r="O464" s="403"/>
      <c r="P464" s="403"/>
      <c r="Q464" s="403"/>
    </row>
    <row r="465" spans="1:17" s="360" customFormat="1">
      <c r="A465" s="405">
        <v>12</v>
      </c>
      <c r="B465" s="479" t="s">
        <v>542</v>
      </c>
      <c r="C465" s="479" t="s">
        <v>543</v>
      </c>
      <c r="D465" s="392">
        <v>341</v>
      </c>
      <c r="E465" s="388"/>
      <c r="F465" s="525"/>
      <c r="G465" s="403"/>
      <c r="H465" s="403"/>
      <c r="I465" s="403"/>
      <c r="J465" s="403"/>
      <c r="K465" s="403"/>
      <c r="L465" s="403"/>
      <c r="M465" s="403"/>
      <c r="N465" s="403"/>
      <c r="O465" s="403"/>
      <c r="P465" s="403"/>
      <c r="Q465" s="403"/>
    </row>
    <row r="466" spans="1:17" s="360" customFormat="1">
      <c r="A466" s="405">
        <v>13</v>
      </c>
      <c r="B466" s="479" t="s">
        <v>544</v>
      </c>
      <c r="C466" s="479" t="s">
        <v>545</v>
      </c>
      <c r="D466" s="392">
        <v>341</v>
      </c>
      <c r="E466" s="388"/>
      <c r="F466" s="525"/>
      <c r="G466" s="403"/>
      <c r="H466" s="403"/>
      <c r="I466" s="403"/>
      <c r="J466" s="403"/>
      <c r="K466" s="403"/>
      <c r="L466" s="403"/>
      <c r="M466" s="403"/>
      <c r="N466" s="403"/>
      <c r="O466" s="403"/>
      <c r="P466" s="403"/>
      <c r="Q466" s="403"/>
    </row>
    <row r="467" spans="1:17" s="360" customFormat="1">
      <c r="A467" s="405">
        <v>14</v>
      </c>
      <c r="B467" s="479" t="s">
        <v>546</v>
      </c>
      <c r="C467" s="479" t="s">
        <v>547</v>
      </c>
      <c r="D467" s="392">
        <v>341</v>
      </c>
      <c r="E467" s="388"/>
      <c r="F467" s="525"/>
      <c r="G467" s="403"/>
      <c r="H467" s="403"/>
      <c r="I467" s="403"/>
      <c r="J467" s="403"/>
      <c r="K467" s="403"/>
      <c r="L467" s="403"/>
      <c r="M467" s="403"/>
      <c r="N467" s="403"/>
      <c r="O467" s="403"/>
      <c r="P467" s="403"/>
      <c r="Q467" s="403"/>
    </row>
    <row r="468" spans="1:17" s="360" customFormat="1">
      <c r="A468" s="405">
        <v>15</v>
      </c>
      <c r="B468" s="479" t="s">
        <v>548</v>
      </c>
      <c r="C468" s="479" t="s">
        <v>549</v>
      </c>
      <c r="D468" s="392">
        <v>341</v>
      </c>
      <c r="E468" s="388"/>
      <c r="F468" s="525"/>
      <c r="G468" s="403"/>
      <c r="H468" s="403"/>
      <c r="I468" s="403"/>
      <c r="J468" s="403"/>
      <c r="K468" s="403"/>
      <c r="L468" s="403"/>
      <c r="M468" s="403"/>
      <c r="N468" s="403"/>
      <c r="O468" s="403"/>
      <c r="P468" s="403"/>
      <c r="Q468" s="403"/>
    </row>
    <row r="469" spans="1:17" s="360" customFormat="1">
      <c r="A469" s="405">
        <v>16</v>
      </c>
      <c r="B469" s="479" t="s">
        <v>550</v>
      </c>
      <c r="C469" s="479" t="s">
        <v>551</v>
      </c>
      <c r="D469" s="392">
        <v>341</v>
      </c>
      <c r="E469" s="388"/>
      <c r="F469" s="525"/>
      <c r="G469" s="403"/>
      <c r="H469" s="403"/>
      <c r="I469" s="403"/>
      <c r="J469" s="403"/>
      <c r="K469" s="403"/>
      <c r="L469" s="403"/>
      <c r="M469" s="403"/>
      <c r="N469" s="403"/>
      <c r="O469" s="403"/>
      <c r="P469" s="403"/>
      <c r="Q469" s="403"/>
    </row>
    <row r="470" spans="1:17" s="360" customFormat="1">
      <c r="A470" s="405">
        <v>17</v>
      </c>
      <c r="B470" s="479" t="s">
        <v>552</v>
      </c>
      <c r="C470" s="479" t="s">
        <v>553</v>
      </c>
      <c r="D470" s="392">
        <v>341</v>
      </c>
      <c r="E470" s="388"/>
      <c r="F470" s="525"/>
      <c r="G470" s="403"/>
      <c r="H470" s="403"/>
      <c r="I470" s="403"/>
      <c r="J470" s="403"/>
      <c r="K470" s="403"/>
      <c r="L470" s="403"/>
      <c r="M470" s="403"/>
      <c r="N470" s="403"/>
      <c r="O470" s="403"/>
      <c r="P470" s="403"/>
      <c r="Q470" s="403"/>
    </row>
    <row r="471" spans="1:17" s="360" customFormat="1">
      <c r="A471" s="405">
        <v>18</v>
      </c>
      <c r="B471" s="479" t="s">
        <v>554</v>
      </c>
      <c r="C471" s="479" t="s">
        <v>555</v>
      </c>
      <c r="D471" s="392">
        <v>341</v>
      </c>
      <c r="E471" s="388"/>
      <c r="F471" s="525"/>
      <c r="G471" s="403"/>
      <c r="H471" s="403"/>
      <c r="I471" s="403"/>
      <c r="J471" s="403"/>
      <c r="K471" s="403"/>
      <c r="L471" s="403"/>
      <c r="M471" s="403"/>
      <c r="N471" s="403"/>
      <c r="O471" s="403"/>
      <c r="P471" s="403"/>
      <c r="Q471" s="403"/>
    </row>
    <row r="472" spans="1:17" s="360" customFormat="1">
      <c r="A472" s="405">
        <v>19</v>
      </c>
      <c r="B472" s="418" t="s">
        <v>556</v>
      </c>
      <c r="C472" s="418" t="s">
        <v>557</v>
      </c>
      <c r="D472" s="392">
        <v>341</v>
      </c>
      <c r="E472" s="388"/>
      <c r="F472" s="525"/>
      <c r="G472" s="403"/>
      <c r="H472" s="403"/>
      <c r="I472" s="403"/>
      <c r="J472" s="403"/>
      <c r="K472" s="403"/>
      <c r="L472" s="403"/>
      <c r="M472" s="403"/>
      <c r="N472" s="403"/>
      <c r="O472" s="403"/>
      <c r="P472" s="403"/>
      <c r="Q472" s="403"/>
    </row>
    <row r="473" spans="1:17" s="360" customFormat="1">
      <c r="A473" s="405">
        <v>20</v>
      </c>
      <c r="B473" s="479" t="s">
        <v>558</v>
      </c>
      <c r="C473" s="479" t="s">
        <v>559</v>
      </c>
      <c r="D473" s="392">
        <v>341</v>
      </c>
      <c r="E473" s="388"/>
      <c r="F473" s="525"/>
      <c r="G473" s="403"/>
      <c r="H473" s="403"/>
      <c r="I473" s="403"/>
      <c r="J473" s="403"/>
      <c r="K473" s="403"/>
      <c r="L473" s="403"/>
      <c r="M473" s="403"/>
      <c r="N473" s="403"/>
      <c r="O473" s="403"/>
      <c r="P473" s="403"/>
      <c r="Q473" s="403"/>
    </row>
    <row r="474" spans="1:17" s="360" customFormat="1">
      <c r="A474" s="405">
        <v>21</v>
      </c>
      <c r="B474" s="479" t="s">
        <v>560</v>
      </c>
      <c r="C474" s="479" t="s">
        <v>561</v>
      </c>
      <c r="D474" s="392">
        <v>341</v>
      </c>
      <c r="E474" s="388"/>
      <c r="F474" s="525"/>
      <c r="G474" s="403"/>
      <c r="H474" s="403"/>
      <c r="I474" s="403"/>
      <c r="J474" s="403"/>
      <c r="K474" s="403"/>
      <c r="L474" s="403"/>
      <c r="M474" s="403"/>
      <c r="N474" s="403"/>
      <c r="O474" s="403"/>
      <c r="P474" s="403"/>
      <c r="Q474" s="403"/>
    </row>
    <row r="475" spans="1:17" s="360" customFormat="1">
      <c r="A475" s="405">
        <v>22</v>
      </c>
      <c r="B475" s="479" t="s">
        <v>562</v>
      </c>
      <c r="C475" s="479" t="s">
        <v>563</v>
      </c>
      <c r="D475" s="392">
        <v>341</v>
      </c>
      <c r="E475" s="388"/>
      <c r="F475" s="525"/>
      <c r="G475" s="403"/>
      <c r="H475" s="403"/>
      <c r="I475" s="403"/>
      <c r="J475" s="403"/>
      <c r="K475" s="403"/>
      <c r="L475" s="403"/>
      <c r="M475" s="403"/>
      <c r="N475" s="403"/>
      <c r="O475" s="403"/>
      <c r="P475" s="403"/>
      <c r="Q475" s="403"/>
    </row>
    <row r="476" spans="1:17" s="360" customFormat="1">
      <c r="A476" s="449"/>
      <c r="B476" s="479"/>
      <c r="C476" s="479"/>
      <c r="D476" s="392"/>
      <c r="E476" s="388"/>
      <c r="F476" s="525"/>
      <c r="G476" s="403"/>
      <c r="H476" s="403"/>
      <c r="I476" s="403"/>
      <c r="J476" s="403"/>
      <c r="K476" s="403"/>
      <c r="L476" s="403"/>
      <c r="M476" s="403"/>
      <c r="N476" s="403"/>
      <c r="O476" s="403"/>
      <c r="P476" s="403"/>
      <c r="Q476" s="403"/>
    </row>
    <row r="477" spans="1:17" s="360" customFormat="1">
      <c r="A477" s="449"/>
      <c r="B477" s="484" t="s">
        <v>624</v>
      </c>
      <c r="C477" s="484"/>
      <c r="D477" s="483"/>
      <c r="E477" s="388"/>
      <c r="F477" s="525"/>
      <c r="G477" s="403"/>
      <c r="H477" s="403"/>
      <c r="I477" s="403"/>
      <c r="J477" s="403"/>
      <c r="K477" s="403"/>
      <c r="L477" s="403"/>
      <c r="M477" s="403"/>
      <c r="N477" s="403"/>
      <c r="O477" s="403"/>
      <c r="P477" s="403"/>
      <c r="Q477" s="403"/>
    </row>
    <row r="478" spans="1:17" s="360" customFormat="1">
      <c r="A478" s="449"/>
      <c r="B478" s="479" t="s">
        <v>590</v>
      </c>
      <c r="C478" s="479"/>
      <c r="D478" s="392">
        <v>341</v>
      </c>
      <c r="E478" s="388"/>
      <c r="F478" s="525"/>
      <c r="G478" s="403"/>
      <c r="H478" s="403"/>
      <c r="I478" s="403"/>
      <c r="J478" s="403"/>
      <c r="K478" s="403"/>
      <c r="L478" s="403"/>
      <c r="M478" s="403"/>
      <c r="N478" s="403"/>
      <c r="O478" s="403"/>
      <c r="P478" s="403"/>
      <c r="Q478" s="403"/>
    </row>
    <row r="479" spans="1:17" s="360" customFormat="1">
      <c r="A479" s="449"/>
      <c r="B479" s="479" t="s">
        <v>627</v>
      </c>
      <c r="C479" s="479"/>
      <c r="D479" s="392">
        <v>341</v>
      </c>
      <c r="E479" s="388"/>
      <c r="F479" s="525"/>
      <c r="G479" s="403"/>
      <c r="H479" s="403"/>
      <c r="I479" s="403"/>
      <c r="J479" s="403"/>
      <c r="K479" s="403"/>
      <c r="L479" s="403"/>
      <c r="M479" s="403"/>
      <c r="N479" s="403"/>
      <c r="O479" s="403"/>
      <c r="P479" s="403"/>
      <c r="Q479" s="403"/>
    </row>
    <row r="480" spans="1:17" s="360" customFormat="1">
      <c r="A480" s="485"/>
      <c r="B480" s="475"/>
      <c r="C480" s="475"/>
      <c r="D480" s="397"/>
      <c r="E480" s="397"/>
      <c r="F480" s="524"/>
      <c r="G480" s="445"/>
      <c r="H480" s="445"/>
      <c r="I480" s="445"/>
      <c r="J480" s="445"/>
      <c r="K480" s="445"/>
      <c r="L480" s="445"/>
      <c r="M480" s="445"/>
      <c r="N480" s="445"/>
      <c r="O480" s="445"/>
      <c r="P480" s="445"/>
      <c r="Q480" s="445"/>
    </row>
    <row r="481" spans="1:17" s="360" customFormat="1">
      <c r="A481" s="437" t="s">
        <v>628</v>
      </c>
      <c r="B481" s="376" t="s">
        <v>629</v>
      </c>
      <c r="C481" s="376"/>
      <c r="D481" s="438"/>
      <c r="E481" s="438"/>
      <c r="F481" s="372" t="s">
        <v>488</v>
      </c>
      <c r="G481" s="372" t="s">
        <v>489</v>
      </c>
      <c r="H481" s="372" t="s">
        <v>490</v>
      </c>
      <c r="I481" s="372" t="s">
        <v>491</v>
      </c>
      <c r="J481" s="372" t="s">
        <v>492</v>
      </c>
      <c r="K481" s="372" t="s">
        <v>493</v>
      </c>
      <c r="L481" s="372" t="s">
        <v>494</v>
      </c>
      <c r="M481" s="372" t="s">
        <v>495</v>
      </c>
      <c r="N481" s="372" t="s">
        <v>496</v>
      </c>
      <c r="O481" s="372" t="s">
        <v>497</v>
      </c>
      <c r="P481" s="372" t="s">
        <v>498</v>
      </c>
      <c r="Q481" s="372" t="s">
        <v>499</v>
      </c>
    </row>
    <row r="482" spans="1:17" s="360" customFormat="1">
      <c r="A482" s="558"/>
      <c r="B482" s="544" t="s">
        <v>590</v>
      </c>
      <c r="C482" s="544"/>
      <c r="D482" s="544" t="s">
        <v>630</v>
      </c>
      <c r="E482" s="544"/>
      <c r="F482" s="549"/>
      <c r="G482" s="541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</row>
    <row r="483" spans="1:17" s="360" customFormat="1">
      <c r="A483" s="485"/>
      <c r="B483" s="429"/>
      <c r="C483" s="429"/>
      <c r="D483" s="397"/>
      <c r="E483" s="397"/>
      <c r="F483" s="524"/>
      <c r="G483" s="445"/>
      <c r="H483" s="445"/>
      <c r="I483" s="445"/>
      <c r="J483" s="445"/>
      <c r="K483" s="445"/>
      <c r="L483" s="445"/>
      <c r="M483" s="445"/>
      <c r="N483" s="445"/>
      <c r="O483" s="445"/>
      <c r="P483" s="445"/>
      <c r="Q483" s="44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FD88B-F6EF-4B04-AADB-8C1B378E2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03073-E41F-463D-B9BD-57EB165E48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AB8DC-37FE-4FC9-A449-8FEEE1FA64D2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543c1bda-7ab4-496b-90de-e61f6375a79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Danh, Hoàng Duy</cp:lastModifiedBy>
  <cp:revision/>
  <dcterms:created xsi:type="dcterms:W3CDTF">2025-10-27T03:57:45Z</dcterms:created>
  <dcterms:modified xsi:type="dcterms:W3CDTF">2026-07-13T04:44:27Z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