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Data\GĐ Tài chính\Báo cáo Consolidate\Dữ liệu Thọ Share\"/>
    </mc:Choice>
  </mc:AlternateContent>
  <xr:revisionPtr revIDLastSave="0" documentId="13_ncr:1_{D76B69F0-E4D5-45E3-872C-F24B072F1DD0}" xr6:coauthVersionLast="47" xr6:coauthVersionMax="47" xr10:uidLastSave="{00000000-0000-0000-0000-000000000000}"/>
  <workbookProtection workbookAlgorithmName="SHA-512" workbookHashValue="hZ1hWZfUK7Qsj5uqA1N3G8rTHF5UiWfwKEEORxP+PxrthexebMsuTlNVKTnnzRw95ALxV0WkKqRucSlQ8Av9Lw==" workbookSaltValue="+S5VqcvTrDP1KPq1An9nFA==" workbookSpinCount="100000" lockStructure="1"/>
  <bookViews>
    <workbookView xWindow="-110" yWindow="-110" windowWidth="19420" windowHeight="10300" tabRatio="853" firstSheet="3" activeTab="10" xr2:uid="{46F8877F-5390-4559-8B83-54747D31648D}"/>
  </bookViews>
  <sheets>
    <sheet name="Thong tin" sheetId="6" r:id="rId1"/>
    <sheet name="BIA" sheetId="7" r:id="rId2"/>
    <sheet name="Index" sheetId="8" r:id="rId3"/>
    <sheet name="THTC in" sheetId="9" r:id="rId4"/>
    <sheet name="KQKD in" sheetId="10" r:id="rId5"/>
    <sheet name="LCTT_GT in" sheetId="11" r:id="rId6"/>
    <sheet name="Tinh hinh tai chinh" sheetId="1" r:id="rId7"/>
    <sheet name="Ket qua kinh doanh" sheetId="2" r:id="rId8"/>
    <sheet name="Luu chuyen tien te" sheetId="3" r:id="rId9"/>
    <sheet name="KQKD theo yeu to" sheetId="4" r:id="rId10"/>
    <sheet name="No vay" sheetId="5" r:id="rId11"/>
    <sheet name="Giao dich voi BLQ" sheetId="12" state="hidden" r:id="rId12"/>
  </sheets>
  <definedNames>
    <definedName name="_" hidden="1">#N/A</definedName>
    <definedName name="_?" localSheetId="11" hidden="1">{"revable",#N/A,FALSE,"REVABLE"}</definedName>
    <definedName name="_?" hidden="1">{"revable",#N/A,FALSE,"REVABLE"}</definedName>
    <definedName name="_??" localSheetId="11" hidden="1">{"sales",#N/A,FALSE,"SALES"}</definedName>
    <definedName name="_??" hidden="1">{"sales",#N/A,FALSE,"SALES"}</definedName>
    <definedName name="_????" localSheetId="11" hidden="1">{"hilight1",#N/A,FALSE,"HILIGHT1"}</definedName>
    <definedName name="_????" hidden="1">{"hilight1",#N/A,FALSE,"HILIGHT1"}</definedName>
    <definedName name="_?????" localSheetId="11" hidden="1">{"PRINT_EST",#N/A,FALSE,"ESTMON"}</definedName>
    <definedName name="_?????" hidden="1">{"PRINT_EST",#N/A,FALSE,"ESTMON"}</definedName>
    <definedName name="_??????" localSheetId="11" hidden="1">{"lev1bt",#N/A,FALSE,"1_LEVB-T"}</definedName>
    <definedName name="_??????" hidden="1">{"lev1bt",#N/A,FALSE,"1_LEVB-T"}</definedName>
    <definedName name="_??????????" localSheetId="11" hidden="1">{"revsale",#N/A,FALSE,"REV-?????"}</definedName>
    <definedName name="_??????????" hidden="1">{"revsale",#N/A,FALSE,"REV-?????"}</definedName>
    <definedName name="_????????????????????_0904" localSheetId="11" hidden="1">{"balance",#N/A,FALSE,"BALANCE"}</definedName>
    <definedName name="_????????????????????_0904" hidden="1">{"balance",#N/A,FALSE,"BALANCE"}</definedName>
    <definedName name="_?7" localSheetId="11" hidden="1">{"PRINT_EST",#N/A,FALSE,"ESTMON"}</definedName>
    <definedName name="_?7" hidden="1">{"PRINT_EST",#N/A,FALSE,"ESTMON"}</definedName>
    <definedName name="__" hidden="1">#N/A</definedName>
    <definedName name="__?" localSheetId="11" hidden="1">{"revable",#N/A,FALSE,"REVABLE"}</definedName>
    <definedName name="__?" hidden="1">{"revable",#N/A,FALSE,"REVABLE"}</definedName>
    <definedName name="__??" localSheetId="11" hidden="1">{"sales",#N/A,FALSE,"SALES"}</definedName>
    <definedName name="__??" hidden="1">{"sales",#N/A,FALSE,"SALES"}</definedName>
    <definedName name="__????" localSheetId="11" hidden="1">{"hilight1",#N/A,FALSE,"HILIGHT1"}</definedName>
    <definedName name="__????" hidden="1">{"hilight1",#N/A,FALSE,"HILIGHT1"}</definedName>
    <definedName name="__?????" localSheetId="11" hidden="1">{"PRINT_EST",#N/A,FALSE,"ESTMON"}</definedName>
    <definedName name="__?????" hidden="1">{"PRINT_EST",#N/A,FALSE,"ESTMON"}</definedName>
    <definedName name="__??????" localSheetId="11" hidden="1">{"lev1bt",#N/A,FALSE,"1_LEVB-T"}</definedName>
    <definedName name="__??????" hidden="1">{"lev1bt",#N/A,FALSE,"1_LEVB-T"}</definedName>
    <definedName name="__??????????" localSheetId="11" hidden="1">{"revsale",#N/A,FALSE,"REV-?????"}</definedName>
    <definedName name="__??????????" hidden="1">{"revsale",#N/A,FALSE,"REV-?????"}</definedName>
    <definedName name="__????????????????????_0904" localSheetId="11" hidden="1">{"balance",#N/A,FALSE,"BALANCE"}</definedName>
    <definedName name="__????????????????????_0904" hidden="1">{"balance",#N/A,FALSE,"BALANCE"}</definedName>
    <definedName name="__?7" localSheetId="11" hidden="1">{"PRINT_EST",#N/A,FALSE,"ESTMON"}</definedName>
    <definedName name="__?7" hidden="1">{"PRINT_EST",#N/A,FALSE,"ESTMON"}</definedName>
    <definedName name="___???" localSheetId="11" hidden="1">{"revable",#N/A,FALSE,"REVABLE"}</definedName>
    <definedName name="___???" hidden="1">{"revable",#N/A,FALSE,"REVABLE"}</definedName>
    <definedName name="____???" localSheetId="11" hidden="1">{"revable",#N/A,FALSE,"REVABLE"}</definedName>
    <definedName name="____???" hidden="1">{"revable",#N/A,FALSE,"REVABLE"}</definedName>
    <definedName name="_______mar03" localSheetId="11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_______mar03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______mar03" localSheetId="11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______mar03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_____a10" localSheetId="11" hidden="1">{"sales",#N/A,FALSE,"SALES"}</definedName>
    <definedName name="_____a10" hidden="1">{"sales",#N/A,FALSE,"SALES"}</definedName>
    <definedName name="_____mar03" localSheetId="11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_____mar03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____a1" localSheetId="11" hidden="1">{"cashflow",#N/A,FALSE,"CASHFLOW "}</definedName>
    <definedName name="____a1" hidden="1">{"cashflow",#N/A,FALSE,"CASHFLOW "}</definedName>
    <definedName name="____a10" localSheetId="11" hidden="1">{"sales",#N/A,FALSE,"SALES"}</definedName>
    <definedName name="____a10" hidden="1">{"sales",#N/A,FALSE,"SALES"}</definedName>
    <definedName name="____a2" localSheetId="11" hidden="1">{"hilight1",#N/A,FALSE,"HILIGHT1"}</definedName>
    <definedName name="____a2" hidden="1">{"hilight1",#N/A,FALSE,"HILIGHT1"}</definedName>
    <definedName name="____a3" localSheetId="11" hidden="1">{"hilight2",#N/A,FALSE,"HILIGHT2"}</definedName>
    <definedName name="____a3" hidden="1">{"hilight2",#N/A,FALSE,"HILIGHT2"}</definedName>
    <definedName name="____a4" localSheetId="11" hidden="1">{"hilight3",#N/A,FALSE,"HILIGHT3"}</definedName>
    <definedName name="____a4" hidden="1">{"hilight3",#N/A,FALSE,"HILIGHT3"}</definedName>
    <definedName name="____a5" localSheetId="11" hidden="1">{"income",#N/A,FALSE,"INCOME"}</definedName>
    <definedName name="____a5" hidden="1">{"income",#N/A,FALSE,"INCOME"}</definedName>
    <definedName name="____a6" localSheetId="11" hidden="1">{"index",#N/A,FALSE,"INDEX"}</definedName>
    <definedName name="____a6" hidden="1">{"index",#N/A,FALSE,"INDEX"}</definedName>
    <definedName name="____a7" localSheetId="11" hidden="1">{"PRINT_EST",#N/A,FALSE,"ESTMON"}</definedName>
    <definedName name="____a7" hidden="1">{"PRINT_EST",#N/A,FALSE,"ESTMON"}</definedName>
    <definedName name="____a8" localSheetId="11" hidden="1">{"revsale",#N/A,FALSE,"REV-?????"}</definedName>
    <definedName name="____a8" hidden="1">{"revsale",#N/A,FALSE,"REV-?????"}</definedName>
    <definedName name="____a9" localSheetId="11" hidden="1">{"revable",#N/A,FALSE,"REVABLE"}</definedName>
    <definedName name="____a9" hidden="1">{"revable",#N/A,FALSE,"REVABLE"}</definedName>
    <definedName name="____mar03" localSheetId="11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____mar03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____nnn2" localSheetId="11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____nnn2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____NSO2" localSheetId="11" hidden="1">{"'Sheet1'!$L$16"}</definedName>
    <definedName name="____NSO2" localSheetId="6" hidden="1">{"'Sheet1'!$L$16"}</definedName>
    <definedName name="____NSO2" hidden="1">{"'Sheet1'!$L$16"}</definedName>
    <definedName name="___a1" localSheetId="11" hidden="1">{"cashflow",#N/A,FALSE,"CASHFLOW "}</definedName>
    <definedName name="___a1" hidden="1">{"cashflow",#N/A,FALSE,"CASHFLOW "}</definedName>
    <definedName name="___a10" localSheetId="11" hidden="1">{"sales",#N/A,FALSE,"SALES"}</definedName>
    <definedName name="___a10" hidden="1">{"sales",#N/A,FALSE,"SALES"}</definedName>
    <definedName name="___a2" localSheetId="11" hidden="1">{"hilight1",#N/A,FALSE,"HILIGHT1"}</definedName>
    <definedName name="___a2" hidden="1">{"hilight1",#N/A,FALSE,"HILIGHT1"}</definedName>
    <definedName name="___a3" localSheetId="11" hidden="1">{"hilight2",#N/A,FALSE,"HILIGHT2"}</definedName>
    <definedName name="___a3" hidden="1">{"hilight2",#N/A,FALSE,"HILIGHT2"}</definedName>
    <definedName name="___a4" localSheetId="11" hidden="1">{"hilight3",#N/A,FALSE,"HILIGHT3"}</definedName>
    <definedName name="___a4" hidden="1">{"hilight3",#N/A,FALSE,"HILIGHT3"}</definedName>
    <definedName name="___a5" localSheetId="11" hidden="1">{"income",#N/A,FALSE,"INCOME"}</definedName>
    <definedName name="___a5" hidden="1">{"income",#N/A,FALSE,"INCOME"}</definedName>
    <definedName name="___a6" localSheetId="11" hidden="1">{"index",#N/A,FALSE,"INDEX"}</definedName>
    <definedName name="___a6" hidden="1">{"index",#N/A,FALSE,"INDEX"}</definedName>
    <definedName name="___a7" localSheetId="11" hidden="1">{"PRINT_EST",#N/A,FALSE,"ESTMON"}</definedName>
    <definedName name="___a7" hidden="1">{"PRINT_EST",#N/A,FALSE,"ESTMON"}</definedName>
    <definedName name="___a8" localSheetId="11" hidden="1">{"revsale",#N/A,FALSE,"REV-?????"}</definedName>
    <definedName name="___a8" hidden="1">{"revsale",#N/A,FALSE,"REV-?????"}</definedName>
    <definedName name="___a9" localSheetId="11" hidden="1">{"revable",#N/A,FALSE,"REVABLE"}</definedName>
    <definedName name="___a9" hidden="1">{"revable",#N/A,FALSE,"REVABLE"}</definedName>
    <definedName name="___h2" localSheetId="11" hidden="1">{"'Sheet1'!$L$16"}</definedName>
    <definedName name="___h2" localSheetId="6" hidden="1">{"'Sheet1'!$L$16"}</definedName>
    <definedName name="___h2" hidden="1">{"'Sheet1'!$L$16"}</definedName>
    <definedName name="___mar03" localSheetId="11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___mar03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___nnn2" localSheetId="11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___nnn2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___NSO2" localSheetId="11" hidden="1">{"'Sheet1'!$L$16"}</definedName>
    <definedName name="___NSO2" localSheetId="6" hidden="1">{"'Sheet1'!$L$16"}</definedName>
    <definedName name="___NSO2" hidden="1">{"'Sheet1'!$L$16"}</definedName>
    <definedName name="___tm2" localSheetId="11" hidden="1">{#N/A,#N/A,FALSE,"Chi tiÆt"}</definedName>
    <definedName name="___tm2" localSheetId="5" hidden="1">{#N/A,#N/A,FALSE,"Chi tiÆt"}</definedName>
    <definedName name="___tm2" localSheetId="6" hidden="1">{#N/A,#N/A,FALSE,"Chi tiÆt"}</definedName>
    <definedName name="___tm2" hidden="1">{#N/A,#N/A,FALSE,"Chi tiÆt"}</definedName>
    <definedName name="__16_???" localSheetId="11" hidden="1">{"revable",#N/A,FALSE,"REVABLE"}</definedName>
    <definedName name="__16_???" hidden="1">{"revable",#N/A,FALSE,"REVABLE"}</definedName>
    <definedName name="__17_????" localSheetId="11" hidden="1">{"hilight1",#N/A,FALSE,"HILIGHT1"}</definedName>
    <definedName name="__17_????" hidden="1">{"hilight1",#N/A,FALSE,"HILIGHT1"}</definedName>
    <definedName name="__18_?????" localSheetId="11" hidden="1">{"PRINT_EST",#N/A,FALSE,"ESTMON"}</definedName>
    <definedName name="__18_?????" hidden="1">{"PRINT_EST",#N/A,FALSE,"ESTMON"}</definedName>
    <definedName name="__19_??????" localSheetId="11" hidden="1">{"lev1bt",#N/A,FALSE,"1_LEVB-T"}</definedName>
    <definedName name="__19_??????" hidden="1">{"lev1bt",#N/A,FALSE,"1_LEVB-T"}</definedName>
    <definedName name="__20_??????????" localSheetId="11" hidden="1">{"revsale",#N/A,FALSE,"REV-?????"}</definedName>
    <definedName name="__20_??????????" hidden="1">{"revsale",#N/A,FALSE,"REV-?????"}</definedName>
    <definedName name="__23_????????????????????_0904" localSheetId="11" hidden="1">{"balance",#N/A,FALSE,"BALANCE"}</definedName>
    <definedName name="__23_????????????????????_0904" hidden="1">{"balance",#N/A,FALSE,"BALANCE"}</definedName>
    <definedName name="__32_?7" localSheetId="11" hidden="1">{"PRINT_EST",#N/A,FALSE,"ESTMON"}</definedName>
    <definedName name="__32_?7" hidden="1">{"PRINT_EST",#N/A,FALSE,"ESTMON"}</definedName>
    <definedName name="__a1" localSheetId="11" hidden="1">{"cashflow",#N/A,FALSE,"CASHFLOW "}</definedName>
    <definedName name="__a1" hidden="1">{"cashflow",#N/A,FALSE,"CASHFLOW "}</definedName>
    <definedName name="__a10" localSheetId="11" hidden="1">{"sales",#N/A,FALSE,"SALES"}</definedName>
    <definedName name="__a10" hidden="1">{"sales",#N/A,FALSE,"SALES"}</definedName>
    <definedName name="__A123" hidden="1">#REF!</definedName>
    <definedName name="__a2" localSheetId="11" hidden="1">{"hilight1",#N/A,FALSE,"HILIGHT1"}</definedName>
    <definedName name="__a2" hidden="1">{"hilight1",#N/A,FALSE,"HILIGHT1"}</definedName>
    <definedName name="__a3" localSheetId="11" hidden="1">{"hilight2",#N/A,FALSE,"HILIGHT2"}</definedName>
    <definedName name="__a3" hidden="1">{"hilight2",#N/A,FALSE,"HILIGHT2"}</definedName>
    <definedName name="__a4" localSheetId="11" hidden="1">{"hilight3",#N/A,FALSE,"HILIGHT3"}</definedName>
    <definedName name="__a4" hidden="1">{"hilight3",#N/A,FALSE,"HILIGHT3"}</definedName>
    <definedName name="__a5" localSheetId="11" hidden="1">{"income",#N/A,FALSE,"INCOME"}</definedName>
    <definedName name="__a5" hidden="1">{"income",#N/A,FALSE,"INCOME"}</definedName>
    <definedName name="__a6" localSheetId="11" hidden="1">{"index",#N/A,FALSE,"INDEX"}</definedName>
    <definedName name="__a6" hidden="1">{"index",#N/A,FALSE,"INDEX"}</definedName>
    <definedName name="__a7" localSheetId="11" hidden="1">{"PRINT_EST",#N/A,FALSE,"ESTMON"}</definedName>
    <definedName name="__a7" hidden="1">{"PRINT_EST",#N/A,FALSE,"ESTMON"}</definedName>
    <definedName name="__a8" localSheetId="11" hidden="1">{"revsale",#N/A,FALSE,"REV-ยุพดี"}</definedName>
    <definedName name="__a8" hidden="1">{"revsale",#N/A,FALSE,"REV-ยุพดี"}</definedName>
    <definedName name="__a9" localSheetId="11" hidden="1">{"revable",#N/A,FALSE,"REVABLE"}</definedName>
    <definedName name="__a9" hidden="1">{"revable",#N/A,FALSE,"REVABLE"}</definedName>
    <definedName name="__cad2" localSheetId="11" hidden="1">{#N/A,#N/A,TRUE,"BT M200 da 10x20"}</definedName>
    <definedName name="__cad2" localSheetId="6" hidden="1">{#N/A,#N/A,TRUE,"BT M200 da 10x20"}</definedName>
    <definedName name="__cad2" hidden="1">{#N/A,#N/A,TRUE,"BT M200 da 10x20"}</definedName>
    <definedName name="__f5" localSheetId="11" hidden="1">{"'Sheet1'!$L$16"}</definedName>
    <definedName name="__f5" localSheetId="6" hidden="1">{"'Sheet1'!$L$16"}</definedName>
    <definedName name="__f5" hidden="1">{"'Sheet1'!$L$16"}</definedName>
    <definedName name="__FDS_HYPERLINK_TOGGLE_STATE__" hidden="1">"ON"</definedName>
    <definedName name="__h2" localSheetId="11" hidden="1">{"'Sheet1'!$L$16"}</definedName>
    <definedName name="__h2" localSheetId="6" hidden="1">{"'Sheet1'!$L$16"}</definedName>
    <definedName name="__h2" hidden="1">{"'Sheet1'!$L$16"}</definedName>
    <definedName name="__huy1" localSheetId="11" hidden="1">{"'Sheet1'!$L$16"}</definedName>
    <definedName name="__huy1" localSheetId="6" hidden="1">{"'Sheet1'!$L$16"}</definedName>
    <definedName name="__huy1" hidden="1">{"'Sheet1'!$L$16"}</definedName>
    <definedName name="__IntlFixup" hidden="1">TRUE</definedName>
    <definedName name="__mar03" localSheetId="11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__mar03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__nnn2" localSheetId="11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__nnn2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__NS03" localSheetId="11" hidden="1">{"'Sheet1'!$L$16"}</definedName>
    <definedName name="__NS03" localSheetId="6" hidden="1">{"'Sheet1'!$L$16"}</definedName>
    <definedName name="__NS03" hidden="1">{"'Sheet1'!$L$16"}</definedName>
    <definedName name="__NSO2" localSheetId="11" hidden="1">{"'Sheet1'!$L$16"}</definedName>
    <definedName name="__NSO2" localSheetId="6" hidden="1">{"'Sheet1'!$L$16"}</definedName>
    <definedName name="__NSO2" hidden="1">{"'Sheet1'!$L$16"}</definedName>
    <definedName name="__T01" hidden="1">#REF!</definedName>
    <definedName name="__tm2" localSheetId="11" hidden="1">{#N/A,#N/A,FALSE,"Chi tiÆt"}</definedName>
    <definedName name="__tm2" localSheetId="5" hidden="1">{#N/A,#N/A,FALSE,"Chi tiÆt"}</definedName>
    <definedName name="__tm2" localSheetId="6" hidden="1">{#N/A,#N/A,FALSE,"Chi tiÆt"}</definedName>
    <definedName name="__tm2" hidden="1">{#N/A,#N/A,FALSE,"Chi tiÆt"}</definedName>
    <definedName name="__xlfn.BAHTTEXT" hidden="1">#NAME?</definedName>
    <definedName name="_1_" hidden="1">#REF!</definedName>
    <definedName name="_10_0_0_F" hidden="1">#REF!</definedName>
    <definedName name="_100_????????????????????_0904" localSheetId="11" hidden="1">{"balance",#N/A,FALSE,"BALANCE"}</definedName>
    <definedName name="_100_????????????????????_0904" hidden="1">{"balance",#N/A,FALSE,"BALANCE"}</definedName>
    <definedName name="_10F" hidden="1">#REF!</definedName>
    <definedName name="_11_?" localSheetId="11" hidden="1">{"revable",#N/A,FALSE,"REVABLE"}</definedName>
    <definedName name="_11_?" hidden="1">{"revable",#N/A,FALSE,"REVABLE"}</definedName>
    <definedName name="_11_0_0_F" hidden="1">#REF!</definedName>
    <definedName name="_115_?7" localSheetId="11" hidden="1">{"PRINT_EST",#N/A,FALSE,"ESTMON"}</definedName>
    <definedName name="_115_?7" hidden="1">{"PRINT_EST",#N/A,FALSE,"ESTMON"}</definedName>
    <definedName name="_119_?7" localSheetId="11" hidden="1">{"PRINT_EST",#N/A,FALSE,"ESTMON"}</definedName>
    <definedName name="_119_?7" hidden="1">{"PRINT_EST",#N/A,FALSE,"ESTMON"}</definedName>
    <definedName name="_119F" hidden="1">#REF!</definedName>
    <definedName name="_12_??" localSheetId="11" hidden="1">{"sales",#N/A,FALSE,"SALES"}</definedName>
    <definedName name="_12_??" hidden="1">{"sales",#N/A,FALSE,"SALES"}</definedName>
    <definedName name="_12_0_0_F" hidden="1">#REF!</definedName>
    <definedName name="_132_0_0_F" hidden="1">#REF!</definedName>
    <definedName name="_133_0_0_F" hidden="1">#REF!</definedName>
    <definedName name="_139____0_0_F" hidden="1">#REF!</definedName>
    <definedName name="_14_?" localSheetId="11" hidden="1">{"revable",#N/A,FALSE,"REVABLE"}</definedName>
    <definedName name="_14_?" hidden="1">{"revable",#N/A,FALSE,"REVABLE"}</definedName>
    <definedName name="_143___0_0_F" hidden="1">#REF!</definedName>
    <definedName name="_14F" hidden="1">#REF!</definedName>
    <definedName name="_15_??" localSheetId="11" hidden="1">{"sales",#N/A,FALSE,"SALES"}</definedName>
    <definedName name="_15_??" hidden="1">{"sales",#N/A,FALSE,"SALES"}</definedName>
    <definedName name="_15_0_0_F" hidden="1">#REF!</definedName>
    <definedName name="_16_???" localSheetId="11" hidden="1">{"revable",#N/A,FALSE,"REVABLE"}</definedName>
    <definedName name="_16_???" hidden="1">{"revable",#N/A,FALSE,"REVABLE"}</definedName>
    <definedName name="_17_????" localSheetId="11" hidden="1">{"hilight1",#N/A,FALSE,"HILIGHT1"}</definedName>
    <definedName name="_17_????" hidden="1">{"hilight1",#N/A,FALSE,"HILIGHT1"}</definedName>
    <definedName name="_18_?????" localSheetId="11" hidden="1">{"PRINT_EST",#N/A,FALSE,"ESTMON"}</definedName>
    <definedName name="_18_?????" hidden="1">{"PRINT_EST",#N/A,FALSE,"ESTMON"}</definedName>
    <definedName name="_19_??????" localSheetId="11" hidden="1">{"lev1bt",#N/A,FALSE,"1_LEVB-T"}</definedName>
    <definedName name="_19_??????" hidden="1">{"lev1bt",#N/A,FALSE,"1_LEVB-T"}</definedName>
    <definedName name="_2_0_0_F" hidden="1">#REF!</definedName>
    <definedName name="_20_???" localSheetId="11" hidden="1">{"revable",#N/A,FALSE,"REVABLE"}</definedName>
    <definedName name="_20_???" hidden="1">{"revable",#N/A,FALSE,"REVABLE"}</definedName>
    <definedName name="_20_??????????" localSheetId="11" hidden="1">{"revsale",#N/A,FALSE,"REV-?????"}</definedName>
    <definedName name="_20_??????????" hidden="1">{"revsale",#N/A,FALSE,"REV-?????"}</definedName>
    <definedName name="_23_????????????????????_0904" localSheetId="11" hidden="1">{"balance",#N/A,FALSE,"BALANCE"}</definedName>
    <definedName name="_23_????????????????????_0904" hidden="1">{"balance",#N/A,FALSE,"BALANCE"}</definedName>
    <definedName name="_26_????" localSheetId="11" hidden="1">{"hilight1",#N/A,FALSE,"HILIGHT1"}</definedName>
    <definedName name="_26_????" hidden="1">{"hilight1",#N/A,FALSE,"HILIGHT1"}</definedName>
    <definedName name="_32_?????" localSheetId="11" hidden="1">{"PRINT_EST",#N/A,FALSE,"ESTMON"}</definedName>
    <definedName name="_32_?????" hidden="1">{"PRINT_EST",#N/A,FALSE,"ESTMON"}</definedName>
    <definedName name="_32_?7" localSheetId="11" hidden="1">{"PRINT_EST",#N/A,FALSE,"ESTMON"}</definedName>
    <definedName name="_32_?7" hidden="1">{"PRINT_EST",#N/A,FALSE,"ESTMON"}</definedName>
    <definedName name="_35F" hidden="1">#REF!</definedName>
    <definedName name="_38_??????" localSheetId="11" hidden="1">{"lev1bt",#N/A,FALSE,"1_LEVB-T"}</definedName>
    <definedName name="_38_??????" hidden="1">{"lev1bt",#N/A,FALSE,"1_LEVB-T"}</definedName>
    <definedName name="_38_0_0_F" hidden="1">#REF!</definedName>
    <definedName name="_40_0_0_F" hidden="1">#REF!</definedName>
    <definedName name="_41_0_0_F" hidden="1">#REF!</definedName>
    <definedName name="_43_?" localSheetId="11" hidden="1">{"revable",#N/A,FALSE,"REVABLE"}</definedName>
    <definedName name="_43_?" hidden="1">{"revable",#N/A,FALSE,"REVABLE"}</definedName>
    <definedName name="_44_??????????" localSheetId="11" hidden="1">{"revsale",#N/A,FALSE,"REV-?????"}</definedName>
    <definedName name="_44_??????????" hidden="1">{"revsale",#N/A,FALSE,"REV-?????"}</definedName>
    <definedName name="_44_______F" hidden="1">#REF!</definedName>
    <definedName name="_47___0_0_F" hidden="1">#REF!</definedName>
    <definedName name="_5__0_0_F" hidden="1">#REF!</definedName>
    <definedName name="_50_??" localSheetId="11" hidden="1">{"sales",#N/A,FALSE,"SALES"}</definedName>
    <definedName name="_50_??" hidden="1">{"sales",#N/A,FALSE,"SALES"}</definedName>
    <definedName name="_50F" hidden="1">#REF!</definedName>
    <definedName name="_53_0_0_F" hidden="1">#REF!</definedName>
    <definedName name="_57_???" localSheetId="11" hidden="1">{"revable",#N/A,FALSE,"REVABLE"}</definedName>
    <definedName name="_57_???" hidden="1">{"revable",#N/A,FALSE,"REVABLE"}</definedName>
    <definedName name="_6_?" localSheetId="11" hidden="1">{"revable",#N/A,FALSE,"REVABLE"}</definedName>
    <definedName name="_6_?" hidden="1">{"revable",#N/A,FALSE,"REVABLE"}</definedName>
    <definedName name="_6_____F" hidden="1">#REF!</definedName>
    <definedName name="_64_????" localSheetId="11" hidden="1">{"hilight1",#N/A,FALSE,"HILIGHT1"}</definedName>
    <definedName name="_64_????" hidden="1">{"hilight1",#N/A,FALSE,"HILIGHT1"}</definedName>
    <definedName name="_65_????????????????????_0904" localSheetId="11" hidden="1">{"balance",#N/A,FALSE,"BALANCE"}</definedName>
    <definedName name="_65_????????????????????_0904" hidden="1">{"balance",#N/A,FALSE,"BALANCE"}</definedName>
    <definedName name="_7_0_0_F" hidden="1">#REF!</definedName>
    <definedName name="_71_?????" localSheetId="11" hidden="1">{"PRINT_EST",#N/A,FALSE,"ESTMON"}</definedName>
    <definedName name="_71_?????" hidden="1">{"PRINT_EST",#N/A,FALSE,"ESTMON"}</definedName>
    <definedName name="_78_??????" localSheetId="11" hidden="1">{"lev1bt",#N/A,FALSE,"1_LEVB-T"}</definedName>
    <definedName name="_78_??????" hidden="1">{"lev1bt",#N/A,FALSE,"1_LEVB-T"}</definedName>
    <definedName name="_85_??????????" localSheetId="11" hidden="1">{"revsale",#N/A,FALSE,"REV-?????"}</definedName>
    <definedName name="_85_??????????" hidden="1">{"revsale",#N/A,FALSE,"REV-?????"}</definedName>
    <definedName name="_8F" hidden="1">#REF!</definedName>
    <definedName name="_a1" localSheetId="11" hidden="1">{"'Sheet1'!$L$16"}</definedName>
    <definedName name="_a1" localSheetId="5" hidden="1">{"'Sheet1'!$L$16"}</definedName>
    <definedName name="_a1" localSheetId="6" hidden="1">{"'Sheet1'!$L$16"}</definedName>
    <definedName name="_a1" hidden="1">{"'Sheet1'!$L$16"}</definedName>
    <definedName name="_a10" localSheetId="11" hidden="1">{"sales",#N/A,FALSE,"SALES"}</definedName>
    <definedName name="_a10" hidden="1">{"sales",#N/A,FALSE,"SALES"}</definedName>
    <definedName name="_A123" hidden="1">#REF!</definedName>
    <definedName name="_a2" localSheetId="11" hidden="1">{"'Sheet1'!$L$16"}</definedName>
    <definedName name="_a2" localSheetId="6" hidden="1">{"'Sheet1'!$L$16"}</definedName>
    <definedName name="_a2" hidden="1">{"'Sheet1'!$L$16"}</definedName>
    <definedName name="_a3" localSheetId="11" hidden="1">{"hilight2",#N/A,FALSE,"HILIGHT2"}</definedName>
    <definedName name="_a3" hidden="1">{"hilight2",#N/A,FALSE,"HILIGHT2"}</definedName>
    <definedName name="_a4" localSheetId="11" hidden="1">{"hilight3",#N/A,FALSE,"HILIGHT3"}</definedName>
    <definedName name="_a4" hidden="1">{"hilight3",#N/A,FALSE,"HILIGHT3"}</definedName>
    <definedName name="_a5" localSheetId="11" hidden="1">{"income",#N/A,FALSE,"INCOME"}</definedName>
    <definedName name="_a5" hidden="1">{"income",#N/A,FALSE,"INCOME"}</definedName>
    <definedName name="_a6" localSheetId="11" hidden="1">{"index",#N/A,FALSE,"INDEX"}</definedName>
    <definedName name="_a6" hidden="1">{"index",#N/A,FALSE,"INDEX"}</definedName>
    <definedName name="_a7" localSheetId="11" hidden="1">{"PRINT_EST",#N/A,FALSE,"ESTMON"}</definedName>
    <definedName name="_a7" hidden="1">{"PRINT_EST",#N/A,FALSE,"ESTMON"}</definedName>
    <definedName name="_a8" localSheetId="11" hidden="1">{"revsale",#N/A,FALSE,"REV-ยุพดี"}</definedName>
    <definedName name="_a8" hidden="1">{"revsale",#N/A,FALSE,"REV-ยุพดี"}</definedName>
    <definedName name="_a9" localSheetId="11" hidden="1">{"revable",#N/A,FALSE,"REVABLE"}</definedName>
    <definedName name="_a9" hidden="1">{"revable",#N/A,FALSE,"REVABLE"}</definedName>
    <definedName name="_Builtin155" hidden="1">#N/A</definedName>
    <definedName name="_cad2" localSheetId="11" hidden="1">{#N/A,#N/A,TRUE,"BT M200 da 10x20"}</definedName>
    <definedName name="_cad2" localSheetId="6" hidden="1">{#N/A,#N/A,TRUE,"BT M200 da 10x20"}</definedName>
    <definedName name="_cad2" hidden="1">{#N/A,#N/A,TRUE,"BT M200 da 10x20"}</definedName>
    <definedName name="_CD2" localSheetId="11" hidden="1">{"'Sheet1'!$L$16"}</definedName>
    <definedName name="_CD2" localSheetId="5" hidden="1">{"'Sheet1'!$L$16"}</definedName>
    <definedName name="_CD2" localSheetId="6" hidden="1">{"'Sheet1'!$L$16"}</definedName>
    <definedName name="_CD2" hidden="1">{"'Sheet1'!$L$16"}</definedName>
    <definedName name="_f5" localSheetId="11" hidden="1">{"'Sheet1'!$L$16"}</definedName>
    <definedName name="_f5" localSheetId="6" hidden="1">{"'Sheet1'!$L$16"}</definedName>
    <definedName name="_f5" hidden="1">{"'Sheet1'!$L$16"}</definedName>
    <definedName name="_Fill" localSheetId="5" hidden="1">#REF!</definedName>
    <definedName name="_Fill" localSheetId="6" hidden="1">#REF!</definedName>
    <definedName name="_Fill" hidden="1">#REF!</definedName>
    <definedName name="_xlnm._FilterDatabase" localSheetId="11" hidden="1">'Giao dich voi BLQ'!$A$8:$R$8</definedName>
    <definedName name="_xlnm._FilterDatabase" localSheetId="6" hidden="1">'Tinh hinh tai chinh'!$B$3:$O$194</definedName>
    <definedName name="_xlnm._FilterDatabase" hidden="1">#REF!</definedName>
    <definedName name="_Goi8" localSheetId="11" hidden="1">{"'Sheet1'!$L$16"}</definedName>
    <definedName name="_Goi8" localSheetId="5" hidden="1">{"'Sheet1'!$L$16"}</definedName>
    <definedName name="_Goi8" localSheetId="6" hidden="1">{"'Sheet1'!$L$16"}</definedName>
    <definedName name="_Goi8" hidden="1">{"'Sheet1'!$L$16"}</definedName>
    <definedName name="_h2" localSheetId="11" hidden="1">{"'Sheet1'!$L$16"}</definedName>
    <definedName name="_h2" localSheetId="6" hidden="1">{"'Sheet1'!$L$16"}</definedName>
    <definedName name="_h2" hidden="1">{"'Sheet1'!$L$16"}</definedName>
    <definedName name="_huy1" localSheetId="11" hidden="1">{"'Sheet1'!$L$16"}</definedName>
    <definedName name="_huy1" localSheetId="6" hidden="1">{"'Sheet1'!$L$16"}</definedName>
    <definedName name="_huy1" hidden="1">{"'Sheet1'!$L$16"}</definedName>
    <definedName name="_Key1" localSheetId="5" hidden="1">#REF!</definedName>
    <definedName name="_Key1" localSheetId="6" hidden="1">#REF!</definedName>
    <definedName name="_Key1" hidden="1">#REF!</definedName>
    <definedName name="_Key2" localSheetId="5" hidden="1">#REF!</definedName>
    <definedName name="_Key2" localSheetId="6" hidden="1">#REF!</definedName>
    <definedName name="_Key2" hidden="1">#REF!</definedName>
    <definedName name="_key3" hidden="1">#REF!</definedName>
    <definedName name="_key4" hidden="1">#REF!</definedName>
    <definedName name="_mar03" localSheetId="11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_mar03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_nnn2" localSheetId="11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_nnn2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_NS03" localSheetId="11" hidden="1">{"'Sheet1'!$L$16"}</definedName>
    <definedName name="_NS03" localSheetId="6" hidden="1">{"'Sheet1'!$L$16"}</definedName>
    <definedName name="_NS03" hidden="1">{"'Sheet1'!$L$16"}</definedName>
    <definedName name="_NSO2" localSheetId="11" hidden="1">{"'Sheet1'!$L$16"}</definedName>
    <definedName name="_NSO2" localSheetId="5" hidden="1">{"'Sheet1'!$L$16"}</definedName>
    <definedName name="_NSO2" localSheetId="6" hidden="1">{"'Sheet1'!$L$16"}</definedName>
    <definedName name="_NSO2" hidden="1">{"'Sheet1'!$L$16"}</definedName>
    <definedName name="_Order1" hidden="1">255</definedName>
    <definedName name="_Order2" hidden="1">255</definedName>
    <definedName name="_Parse_In" localSheetId="5" hidden="1">#REF!</definedName>
    <definedName name="_Parse_In" hidden="1">#REF!</definedName>
    <definedName name="_Parse_Out" localSheetId="5" hidden="1">#REF!</definedName>
    <definedName name="_Parse_Out" hidden="1">#REF!</definedName>
    <definedName name="_PL3" localSheetId="11" hidden="1">{"'Sheet1'!$L$16"}</definedName>
    <definedName name="_PL3" localSheetId="5" hidden="1">{"'Sheet1'!$L$16"}</definedName>
    <definedName name="_PL3" localSheetId="6" hidden="1">{"'Sheet1'!$L$16"}</definedName>
    <definedName name="_PL3" hidden="1">{"'Sheet1'!$L$16"}</definedName>
    <definedName name="_Regression_Out" localSheetId="5" hidden="1">#REF!</definedName>
    <definedName name="_Regression_Out" hidden="1">#REF!</definedName>
    <definedName name="_Regression_X" localSheetId="5" hidden="1">#REF!</definedName>
    <definedName name="_Regression_X" hidden="1">#REF!</definedName>
    <definedName name="_Regression_Y" localSheetId="5" hidden="1">#REF!</definedName>
    <definedName name="_Regression_Y" hidden="1">#REF!</definedName>
    <definedName name="_Sort" localSheetId="5" hidden="1">#REF!</definedName>
    <definedName name="_Sort" localSheetId="6" hidden="1">#REF!</definedName>
    <definedName name="_Sort" hidden="1">#REF!</definedName>
    <definedName name="_T01" hidden="1">#REF!</definedName>
    <definedName name="_Table1_In1" localSheetId="6" hidden="1">#REF!</definedName>
    <definedName name="_Table1_In1" hidden="1">#REF!</definedName>
    <definedName name="_Table1_Out" localSheetId="6" hidden="1">#REF!</definedName>
    <definedName name="_Table1_Out" hidden="1">#REF!</definedName>
    <definedName name="_Table2_In1" localSheetId="6" hidden="1">#REF!</definedName>
    <definedName name="_Table2_In1" hidden="1">#REF!</definedName>
    <definedName name="_Table2_In2" localSheetId="6" hidden="1">#REF!</definedName>
    <definedName name="_Table2_In2" hidden="1">#REF!</definedName>
    <definedName name="_Table2_Out" localSheetId="6" hidden="1">#REF!</definedName>
    <definedName name="_Table2_Out" hidden="1">#REF!</definedName>
    <definedName name="_tm2" localSheetId="11" hidden="1">{#N/A,#N/A,FALSE,"Chi tiÆt"}</definedName>
    <definedName name="_tm2" localSheetId="5" hidden="1">{#N/A,#N/A,FALSE,"Chi tiÆt"}</definedName>
    <definedName name="_tm2" localSheetId="6" hidden="1">{#N/A,#N/A,FALSE,"Chi tiÆt"}</definedName>
    <definedName name="_tm2" hidden="1">{#N/A,#N/A,FALSE,"Chi tiÆt"}</definedName>
    <definedName name="_tr" hidden="1">#REF!</definedName>
    <definedName name="_ww2" localSheetId="11" hidden="1">{#N/A,#N/A,FALSE,"Admin";#N/A,#N/A,FALSE,"Other"}</definedName>
    <definedName name="_ww2" localSheetId="5" hidden="1">{#N/A,#N/A,FALSE,"Admin";#N/A,#N/A,FALSE,"Other"}</definedName>
    <definedName name="_ww2" localSheetId="6" hidden="1">{#N/A,#N/A,FALSE,"Admin";#N/A,#N/A,FALSE,"Other"}</definedName>
    <definedName name="_ww2" hidden="1">{#N/A,#N/A,FALSE,"Admin";#N/A,#N/A,FALSE,"Other"}</definedName>
    <definedName name="â" localSheetId="11" hidden="1">{"'Sheet1'!$L$16"}</definedName>
    <definedName name="â" localSheetId="5" hidden="1">{"'Sheet1'!$L$16"}</definedName>
    <definedName name="â" localSheetId="6" hidden="1">{"'Sheet1'!$L$16"}</definedName>
    <definedName name="â" hidden="1">{"'Sheet1'!$L$16"}</definedName>
    <definedName name="AA" localSheetId="11" hidden="1">{"F3 detail",#N/A,FALSE,"F1";"F3 Presentation",#N/A,FALSE,"F3 "}</definedName>
    <definedName name="AA" localSheetId="6" hidden="1">{"F3 detail",#N/A,FALSE,"F1";"F3 Presentation",#N/A,FALSE,"F3 "}</definedName>
    <definedName name="AA" hidden="1">{"F3 detail",#N/A,FALSE,"F1";"F3 Presentation",#N/A,FALSE,"F3 "}</definedName>
    <definedName name="aaa" localSheetId="11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aaa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aaaa" localSheetId="11" hidden="1">{#N/A,#N/A,TRUE," L.MAROC";#N/A,#N/A,TRUE,"SIE";#N/A,#N/A,TRUE,"ELIM L.GROUPE";#N/A,#N/A,TRUE,"ACTIVITE CIMENTIERE";#N/A,#N/A,TRUE,"ELIM ACTIVITE CIMENTIERE";#N/A,#N/A,TRUE,"SYNTHES L. CIMENT";#N/A,#N/A,TRUE,"BOUSKOURA";#N/A,#N/A,TRUE,"MEKNES";#N/A,#N/A,TRUE,"ELIM L.CIMENT";#N/A,#N/A,TRUE,"SYNTHESE L.CEMENTOS";#N/A,#N/A,TRUE,"TANGER";#N/A,#N/A,TRUE,"TETOUAN";#N/A,#N/A,TRUE,"ELIM L.CEMENTOS"}</definedName>
    <definedName name="aaaa" localSheetId="5" hidden="1">{#N/A,#N/A,TRUE," L.MAROC";#N/A,#N/A,TRUE,"SIE";#N/A,#N/A,TRUE,"ELIM L.GROUPE";#N/A,#N/A,TRUE,"ACTIVITE CIMENTIERE";#N/A,#N/A,TRUE,"ELIM ACTIVITE CIMENTIERE";#N/A,#N/A,TRUE,"SYNTHES L. CIMENT";#N/A,#N/A,TRUE,"BOUSKOURA";#N/A,#N/A,TRUE,"MEKNES";#N/A,#N/A,TRUE,"ELIM L.CIMENT";#N/A,#N/A,TRUE,"SYNTHESE L.CEMENTOS";#N/A,#N/A,TRUE,"TANGER";#N/A,#N/A,TRUE,"TETOUAN";#N/A,#N/A,TRUE,"ELIM L.CEMENTOS"}</definedName>
    <definedName name="aaaa" localSheetId="6" hidden="1">{#N/A,#N/A,TRUE," L.MAROC";#N/A,#N/A,TRUE,"SIE";#N/A,#N/A,TRUE,"ELIM L.GROUPE";#N/A,#N/A,TRUE,"ACTIVITE CIMENTIERE";#N/A,#N/A,TRUE,"ELIM ACTIVITE CIMENTIERE";#N/A,#N/A,TRUE,"SYNTHES L. CIMENT";#N/A,#N/A,TRUE,"BOUSKOURA";#N/A,#N/A,TRUE,"MEKNES";#N/A,#N/A,TRUE,"ELIM L.CIMENT";#N/A,#N/A,TRUE,"SYNTHESE L.CEMENTOS";#N/A,#N/A,TRUE,"TANGER";#N/A,#N/A,TRUE,"TETOUAN";#N/A,#N/A,TRUE,"ELIM L.CEMENTOS"}</definedName>
    <definedName name="aaaa" hidden="1">{#N/A,#N/A,TRUE," L.MAROC";#N/A,#N/A,TRUE,"SIE";#N/A,#N/A,TRUE,"ELIM L.GROUPE";#N/A,#N/A,TRUE,"ACTIVITE CIMENTIERE";#N/A,#N/A,TRUE,"ELIM ACTIVITE CIMENTIERE";#N/A,#N/A,TRUE,"SYNTHES L. CIMENT";#N/A,#N/A,TRUE,"BOUSKOURA";#N/A,#N/A,TRUE,"MEKNES";#N/A,#N/A,TRUE,"ELIM L.CIMENT";#N/A,#N/A,TRUE,"SYNTHESE L.CEMENTOS";#N/A,#N/A,TRUE,"TANGER";#N/A,#N/A,TRUE,"TETOUAN";#N/A,#N/A,TRUE,"ELIM L.CEMENTOS"}</definedName>
    <definedName name="aaaaa" localSheetId="11" hidden="1">{"Profit",#N/A,FALSE,"448k";"Capital",#N/A,FALSE,"448k"}</definedName>
    <definedName name="aaaaa" localSheetId="6" hidden="1">{"Profit",#N/A,FALSE,"448k";"Capital",#N/A,FALSE,"448k"}</definedName>
    <definedName name="aaaaa" hidden="1">{"Profit",#N/A,FALSE,"448k";"Capital",#N/A,FALSE,"448k"}</definedName>
    <definedName name="AAAAAAAAAAAAA" hidden="1">#REF!</definedName>
    <definedName name="AccessOpt" hidden="1">"Yes"</definedName>
    <definedName name="anscount" hidden="1">2</definedName>
    <definedName name="AS2DocOpenMode" hidden="1">"AS2DocumentEdit"</definedName>
    <definedName name="asdf" hidden="1">#REF!</definedName>
    <definedName name="ass" localSheetId="11" hidden="1">{"revable",#N/A,FALSE,"REVABLE"}</definedName>
    <definedName name="ass" hidden="1">{"revable",#N/A,FALSE,"REVABLE"}</definedName>
    <definedName name="banking1" localSheetId="11" hidden="1">{"'Sheet1'!$L$16"}</definedName>
    <definedName name="banking1" localSheetId="5" hidden="1">{"'Sheet1'!$L$16"}</definedName>
    <definedName name="banking1" localSheetId="6" hidden="1">{"'Sheet1'!$L$16"}</definedName>
    <definedName name="banking1" hidden="1">{"'Sheet1'!$L$16"}</definedName>
    <definedName name="BBB" localSheetId="11" hidden="1">{#N/A,#N/A,FALSE,"SYSOC";#N/A,#N/A,FALSE,"RESU-GESTION";#N/A,#N/A,FALSE,"EVOL-MNA";#N/A,#N/A,FALSE,"VTAS-ANALI";#N/A,#N/A,FALSE,"ANALI-GSFIJOS";#N/A,#N/A,FALSE,"DETA-RUBROS";#N/A,#N/A,FALSE,"ANALI-CNF";#N/A,#N/A,FALSE,"BILAN";#N/A,#N/A,FALSE,"TAB_FIN";#N/A,#N/A,FALSE,"IND_ECO"}</definedName>
    <definedName name="BBB" localSheetId="6" hidden="1">{#N/A,#N/A,FALSE,"SYSOC";#N/A,#N/A,FALSE,"RESU-GESTION";#N/A,#N/A,FALSE,"EVOL-MNA";#N/A,#N/A,FALSE,"VTAS-ANALI";#N/A,#N/A,FALSE,"ANALI-GSFIJOS";#N/A,#N/A,FALSE,"DETA-RUBROS";#N/A,#N/A,FALSE,"ANALI-CNF";#N/A,#N/A,FALSE,"BILAN";#N/A,#N/A,FALSE,"TAB_FIN";#N/A,#N/A,FALSE,"IND_ECO"}</definedName>
    <definedName name="BBB" hidden="1">{#N/A,#N/A,FALSE,"SYSOC";#N/A,#N/A,FALSE,"RESU-GESTION";#N/A,#N/A,FALSE,"EVOL-MNA";#N/A,#N/A,FALSE,"VTAS-ANALI";#N/A,#N/A,FALSE,"ANALI-GSFIJOS";#N/A,#N/A,FALSE,"DETA-RUBROS";#N/A,#N/A,FALSE,"ANALI-CNF";#N/A,#N/A,FALSE,"BILAN";#N/A,#N/A,FALSE,"TAB_FIN";#N/A,#N/A,FALSE,"IND_ECO"}</definedName>
    <definedName name="bi" localSheetId="11" hidden="1">{"HK PR",#N/A,FALSE,"HK";"SUMMARY",#N/A,FALSE,"PAYROLL";"SUMMARY",#N/A,FALSE,"PAYROLL";"HK PR",#N/A,FALSE,"HK"}</definedName>
    <definedName name="bi" localSheetId="5" hidden="1">{"HK PR",#N/A,FALSE,"HK";"SUMMARY",#N/A,FALSE,"PAYROLL";"SUMMARY",#N/A,FALSE,"PAYROLL";"HK PR",#N/A,FALSE,"HK"}</definedName>
    <definedName name="bi" localSheetId="6" hidden="1">{"HK PR",#N/A,FALSE,"HK";"SUMMARY",#N/A,FALSE,"PAYROLL";"SUMMARY",#N/A,FALSE,"PAYROLL";"HK PR",#N/A,FALSE,"HK"}</definedName>
    <definedName name="bi" hidden="1">{"HK PR",#N/A,FALSE,"HK";"SUMMARY",#N/A,FALSE,"PAYROLL";"SUMMARY",#N/A,FALSE,"PAYROLL";"HK PR",#N/A,FALSE,"HK"}</definedName>
    <definedName name="bieudo" localSheetId="11" hidden="1">{"'Sheet1'!$L$16"}</definedName>
    <definedName name="bieudo" localSheetId="6" hidden="1">{"'Sheet1'!$L$16"}</definedName>
    <definedName name="bieudo" hidden="1">{"'Sheet1'!$L$16"}</definedName>
    <definedName name="bieudo1" localSheetId="11" hidden="1">{"'Sheet1'!$L$16"}</definedName>
    <definedName name="bieudo1" localSheetId="6" hidden="1">{"'Sheet1'!$L$16"}</definedName>
    <definedName name="bieudo1" hidden="1">{"'Sheet1'!$L$16"}</definedName>
    <definedName name="binh1" localSheetId="11" hidden="1">{"'Sheet1'!$L$16"}</definedName>
    <definedName name="binh1" localSheetId="6" hidden="1">{"'Sheet1'!$L$16"}</definedName>
    <definedName name="binh1" hidden="1">{"'Sheet1'!$L$16"}</definedName>
    <definedName name="BO005BDC81E98343A093AADEF94EB59FAF" hidden="1">#REF!</definedName>
    <definedName name="BO00D8F3CF7CD2475BB9B1385DA290D0F5" hidden="1">#REF!</definedName>
    <definedName name="BO01D0E16CBD0C473996504B44510A2B25" localSheetId="6" hidden="1">#REF!</definedName>
    <definedName name="BO01D0E16CBD0C473996504B44510A2B25" hidden="1">#REF!</definedName>
    <definedName name="BO02DC581C85D44A4389CC4C44151E1DB0" hidden="1">#REF!</definedName>
    <definedName name="BO048C4D3FE93F49AA8198D2880A899608" localSheetId="6" hidden="1">#REF!</definedName>
    <definedName name="BO048C4D3FE93F49AA8198D2880A899608" hidden="1">#REF!</definedName>
    <definedName name="BO05995E7AB6704082ADAB4A0B58C5CEEF" hidden="1">#REF!</definedName>
    <definedName name="BO069278A1412F47DE85C43EB68CAF717F" hidden="1">#REF!</definedName>
    <definedName name="BO0789E5305658448CB66B462D6CE4F4BA" hidden="1">#REF!</definedName>
    <definedName name="BO08108BE3901A43B4BB727284F0DE1350" hidden="1">#REF!</definedName>
    <definedName name="BO096CE2A90C4A41B5B366879C41DFCDAA" hidden="1">#REF!</definedName>
    <definedName name="BO099F887F9C5F4068BA6B8F1084394257" localSheetId="6" hidden="1">#REF!</definedName>
    <definedName name="BO099F887F9C5F4068BA6B8F1084394257" hidden="1">#REF!</definedName>
    <definedName name="BO09B01FBE487D42169A0B01DC62FE7DDC" localSheetId="6" hidden="1">#REF!</definedName>
    <definedName name="BO09B01FBE487D42169A0B01DC62FE7DDC" hidden="1">#REF!</definedName>
    <definedName name="BO09C3E790E8D9462BAE7754E47C08E4E9" localSheetId="6" hidden="1">#REF!</definedName>
    <definedName name="BO09C3E790E8D9462BAE7754E47C08E4E9" hidden="1">#REF!</definedName>
    <definedName name="BO0C6EB03FCF5943CFBD625011881D07ED" hidden="1">#REF!</definedName>
    <definedName name="BO0DBD8E3011484F65BB422F97E0DD5E0F" hidden="1">#REF!</definedName>
    <definedName name="BO0E1E2F80FC8D4C0DB3564683D16EEFC1" localSheetId="6" hidden="1">#REF!</definedName>
    <definedName name="BO0E1E2F80FC8D4C0DB3564683D16EEFC1" hidden="1">#REF!</definedName>
    <definedName name="BO0F40139F378C4754978E7B648F5EF76C" hidden="1">#REF!</definedName>
    <definedName name="BO100DAFF26E56419D9A8CFC5AE2565CB4" localSheetId="6" hidden="1">#REF!</definedName>
    <definedName name="BO100DAFF26E56419D9A8CFC5AE2565CB4" hidden="1">#REF!</definedName>
    <definedName name="BO1011EFDB7313475AB25630C77E2CD7FB" hidden="1">#REF!</definedName>
    <definedName name="BO10494918D7FB4CDC81288D2F49DA6940" hidden="1">#REF!</definedName>
    <definedName name="BO107CF8CCC73047BAA48A0F3417125FB3" hidden="1">#REF!</definedName>
    <definedName name="BO113AADB3EE164AB287BD823572C08C85" hidden="1">#REF!</definedName>
    <definedName name="BO113DBA7EFF8042ED8AB3ECF88DF64EDF" hidden="1">#REF!</definedName>
    <definedName name="BO113E1DCC2AFC49139CF1B61A6B72D8D0" hidden="1">#REF!</definedName>
    <definedName name="BO115150121C404B92B8292215FD47A676" hidden="1">#REF!</definedName>
    <definedName name="BO142B466C524B45059DA17FB555951F6C" hidden="1">#REF!</definedName>
    <definedName name="BO195858CCF4FE4B8BB30D59A947338D91" hidden="1">#REF!</definedName>
    <definedName name="BO1B5944B18CAE4F4EA64888896EA98CE3" hidden="1">#REF!</definedName>
    <definedName name="BO1B88135960FA42718BA4F85F97379171" hidden="1">#REF!</definedName>
    <definedName name="BO1BB6877A87E34858B9490BC9C17E86A9" hidden="1">#REF!</definedName>
    <definedName name="BO1BD3FB86C9A0455BB37599C94BB564CE" localSheetId="6" hidden="1">#REF!</definedName>
    <definedName name="BO1BD3FB86C9A0455BB37599C94BB564CE" hidden="1">#REF!</definedName>
    <definedName name="BO1FCF13EA22DA4A34A96BB43C0482914C" hidden="1">#REF!</definedName>
    <definedName name="BO225AD737FABD40FEB1BD400F18DAFD79" hidden="1">#REF!</definedName>
    <definedName name="BO23C787C3A9AF4D63ADA1DC818379D5A3" hidden="1">#REF!</definedName>
    <definedName name="BO24A8918ECB1C4B1EAAC4F1A0663C1145" hidden="1">#REF!</definedName>
    <definedName name="BO24BA25EDB1A44A8E8DBB72F1D4D29577" hidden="1">#REF!</definedName>
    <definedName name="BO260C75EB0FE34E039A2639B39BA79B3D" hidden="1">#REF!</definedName>
    <definedName name="BO2672883EFAC5493481EFB4B31BDD63E6" localSheetId="6" hidden="1">#REF!</definedName>
    <definedName name="BO2672883EFAC5493481EFB4B31BDD63E6" hidden="1">#REF!</definedName>
    <definedName name="BO276A19D8C2B04DC29C9152E8680B3A3A" localSheetId="6" hidden="1">#REF!</definedName>
    <definedName name="BO276A19D8C2B04DC29C9152E8680B3A3A" hidden="1">#REF!</definedName>
    <definedName name="BO29A9074E43644BCEA73805D4C27C8D57" hidden="1">#REF!</definedName>
    <definedName name="BO29AEF4B23C8C4922BB345307749DFED9" hidden="1">#REF!</definedName>
    <definedName name="BO29B8A7989C614484827322D582CB22D3" hidden="1">#REF!</definedName>
    <definedName name="BO29EA5B2BE6EF4D02A0D124032B2C74A3" hidden="1">#REF!</definedName>
    <definedName name="BO2BA86B254A414DDB8F10CD94B5839C2C" hidden="1">#REF!</definedName>
    <definedName name="BO2C8C60696A424B1EACBBFDDE272D0A50" hidden="1">#REF!</definedName>
    <definedName name="BO2C9B63E184774916BE8749B98B8AE796" localSheetId="6" hidden="1">#REF!</definedName>
    <definedName name="BO2C9B63E184774916BE8749B98B8AE796" hidden="1">#REF!</definedName>
    <definedName name="BO2DDB0BD841F340A8880296264AC1AD09" hidden="1">#REF!</definedName>
    <definedName name="BO2EC6D26CDEB347D78EAE0F11E5C52867" hidden="1">#REF!</definedName>
    <definedName name="BO2FB9B240E0EA492F83769264D9892D15" hidden="1">#REF!</definedName>
    <definedName name="BO3289F49EFC034457B8AB42EB6E44BB67" hidden="1">#REF!</definedName>
    <definedName name="BO33D5D2E635444CE09A98AAF2ADA7433D" hidden="1">#REF!</definedName>
    <definedName name="BO35264F09D5384B21A7EBC93B5F190AEB" hidden="1">#REF!</definedName>
    <definedName name="BO3728122716B1408E8B7F370B9BBFDADD" localSheetId="6" hidden="1">#REF!</definedName>
    <definedName name="BO3728122716B1408E8B7F370B9BBFDADD" hidden="1">#REF!</definedName>
    <definedName name="BO375D335D9054414FAE3AF4C765CD8FED" hidden="1">#REF!</definedName>
    <definedName name="BO37987DC4E7E64BA0A01C92162B351132" hidden="1">#REF!</definedName>
    <definedName name="BO37A8522087C146439B47E95567DA2B00" localSheetId="6" hidden="1">#REF!</definedName>
    <definedName name="BO37A8522087C146439B47E95567DA2B00" hidden="1">#REF!</definedName>
    <definedName name="BO38ACFF41E1054C7884A26494448FE045" hidden="1">#REF!</definedName>
    <definedName name="BO3909BFA3143A4B58B6B8CEB581E9528C" localSheetId="6" hidden="1">#REF!</definedName>
    <definedName name="BO3909BFA3143A4B58B6B8CEB581E9528C" hidden="1">#REF!</definedName>
    <definedName name="BO3B6144B377CE45D39F7399D88759882F" hidden="1">#REF!</definedName>
    <definedName name="BO3C82848169FA4D11A8672F7A9FE72C51" hidden="1">#REF!</definedName>
    <definedName name="BO3CCC9B2BC38C4D488D8B1493A73B781B" hidden="1">#REF!</definedName>
    <definedName name="BO3D4564B23F3B4C9895009145888A42D0" hidden="1">#REF!</definedName>
    <definedName name="BO3E0B648F64D242B6B9E0CABA98A66A26" hidden="1">#REF!</definedName>
    <definedName name="BO4057EC314CEC47798B0627DC202DE337" localSheetId="6" hidden="1">#REF!</definedName>
    <definedName name="BO4057EC314CEC47798B0627DC202DE337" hidden="1">#REF!</definedName>
    <definedName name="BO4325C4CE5A6A40EDB239CE3FEA93D616" localSheetId="6" hidden="1">#REF!</definedName>
    <definedName name="BO4325C4CE5A6A40EDB239CE3FEA93D616" hidden="1">#REF!</definedName>
    <definedName name="BO434317F8DA9741658242E88E107EFF2F" hidden="1">#REF!</definedName>
    <definedName name="BO448A7EE0DCBB4BDF9A056D395A4E5D46" hidden="1">#REF!</definedName>
    <definedName name="BO4654F35AE4A94B88914D5564F493E506" hidden="1">#REF!</definedName>
    <definedName name="BO48158C876A054053A8BF1B1066B5769F" hidden="1">#REF!</definedName>
    <definedName name="BO481EEF2746434CA3955011739E810936" hidden="1">#REF!</definedName>
    <definedName name="BO492FF71352564A0B906D969350494321" hidden="1">#REF!</definedName>
    <definedName name="BO4989BD6C49D9472F9577212E5508BA42" hidden="1">#REF!</definedName>
    <definedName name="BO4AAF3ED43D1F4BA0A617F05B5FA98022" localSheetId="6" hidden="1">#REF!</definedName>
    <definedName name="BO4AAF3ED43D1F4BA0A617F05B5FA98022" hidden="1">#REF!</definedName>
    <definedName name="BO4B85FA2CA3EB4164B387DE75A013145C" hidden="1">#REF!</definedName>
    <definedName name="BO4CBA748CA1904ABEAC4916C51F3632CD" hidden="1">#REF!</definedName>
    <definedName name="BO4D312C5249F84A419336714CC3247A5D" hidden="1">#REF!</definedName>
    <definedName name="BO4DD3E06B30D0453591537146FB44B655" hidden="1">#REF!</definedName>
    <definedName name="BO5060B8055B22479FB2B032CFBC156B9A" hidden="1">#REF!</definedName>
    <definedName name="BO5124F12717414DAC96ABA4A8269ECB84" hidden="1">#REF!</definedName>
    <definedName name="BO51F608F52D8F4C42869432170B976399" hidden="1">#REF!</definedName>
    <definedName name="BO535460E4AB39414AB1F623062720C048" hidden="1">#REF!</definedName>
    <definedName name="BO53C1AD7020A246D19C492B988C284605" hidden="1">#REF!</definedName>
    <definedName name="BO54DB55663F334C03B8ADD851DEA5C745" hidden="1">#REF!</definedName>
    <definedName name="BO5625EF84032E4129A4F1C26C707CB6A3" hidden="1">#REF!</definedName>
    <definedName name="BO563FCE97DF97426EB7D91F44C76515D6" hidden="1">#REF!</definedName>
    <definedName name="BO58B0760CD8F245CEA3CCE06D7CF1481E" hidden="1">#REF!</definedName>
    <definedName name="BO58C4AC72229D4A05A6B102FC5BA2C9B0" hidden="1">#REF!</definedName>
    <definedName name="BO590F0D7F6F8D46C29B2EED8932DD87BD" hidden="1">#REF!</definedName>
    <definedName name="BO59D768DCFA394415A9FA22D804593B67" hidden="1">#REF!</definedName>
    <definedName name="BO5C902D60CF47456FA169B1087280482B" localSheetId="6" hidden="1">#REF!</definedName>
    <definedName name="BO5C902D60CF47456FA169B1087280482B" hidden="1">#REF!</definedName>
    <definedName name="BO5C93DD374DC2423B967014357CA2D571" hidden="1">#REF!</definedName>
    <definedName name="BO5D05E09EECF5457DA33727FC8D15191F" hidden="1">#REF!</definedName>
    <definedName name="BO5D45774D31BA47B8AE1E174DE6B88DC5" localSheetId="6" hidden="1">#REF!</definedName>
    <definedName name="BO5D45774D31BA47B8AE1E174DE6B88DC5" hidden="1">#REF!</definedName>
    <definedName name="BO5D9DFDE61A224480A6661F17796BBA5F" hidden="1">#REF!</definedName>
    <definedName name="BO5E15162F9C004ABAA5599FEAD7B0B618" localSheetId="6" hidden="1">#REF!</definedName>
    <definedName name="BO5E15162F9C004ABAA5599FEAD7B0B618" hidden="1">#REF!</definedName>
    <definedName name="BO5EB0027199674D819EBA32CE0557D9DA" hidden="1">#REF!</definedName>
    <definedName name="BO627607EF9B44464A878AD3A742DE38FE" hidden="1">#REF!</definedName>
    <definedName name="BO63ED429219D8463DABEF3E421AFA5D2E" hidden="1">#REF!</definedName>
    <definedName name="BO6469F20DC373405B993702B81D5913A5" hidden="1">#REF!</definedName>
    <definedName name="BO650C13AE83C343EBACC8BB1D5111021D" hidden="1">#REF!</definedName>
    <definedName name="BO65A8281E60C44053BCA2C62905C7294C" localSheetId="6" hidden="1">#REF!</definedName>
    <definedName name="BO65A8281E60C44053BCA2C62905C7294C" hidden="1">#REF!</definedName>
    <definedName name="BO67533EA6D04240D48B3A9395CDECDB8D" localSheetId="6" hidden="1">#REF!</definedName>
    <definedName name="BO67533EA6D04240D48B3A9395CDECDB8D" hidden="1">#REF!</definedName>
    <definedName name="BO68983402BEF841C6A14B8790F2BB14F3" hidden="1">#REF!</definedName>
    <definedName name="BO6918ADAA8D3B4DDAB0A5DA0166130D2D" hidden="1">#REF!</definedName>
    <definedName name="BO693FC971D6ED4A55A86888919A9DB0CF" hidden="1">#REF!</definedName>
    <definedName name="BO69BDD9E0EAF141A0AE757EC95ED2148A" hidden="1">#REF!</definedName>
    <definedName name="BO69FC4A14559D4FC7A82396779DCCF87F" hidden="1">#REF!</definedName>
    <definedName name="BO6AD23BDF244147F8AF7DA4DDD31EE46C" hidden="1">#REF!</definedName>
    <definedName name="BO6B2CF716FD1A4BC3928BCB0EC72E3B0D" hidden="1">#REF!</definedName>
    <definedName name="BO6B9770CD5DD64888A71AF866E1317654" hidden="1">#REF!</definedName>
    <definedName name="BO6CAC87F339424FCBA71C90521188D9F3" hidden="1">#REF!</definedName>
    <definedName name="BO6D170E9FBADE4FC38A06EEAB1545E1EA" hidden="1">#REF!</definedName>
    <definedName name="BO6F3A5D1BC4944DBFBC8CE1F552DF33DA" hidden="1">#REF!</definedName>
    <definedName name="BO6F5267EB45D64C5F926243284B69BCA6" hidden="1">#REF!</definedName>
    <definedName name="BO6FC857D8CD534A2BBA93AA618401DDF0" hidden="1">#REF!</definedName>
    <definedName name="BO7061C029DB7E4C3CB5AA4DDE2460392C" hidden="1">#REF!</definedName>
    <definedName name="BO71A1222E47594EE5868DB4CC220999C8" hidden="1">#REF!</definedName>
    <definedName name="BO720382D08E8E4C7CA64CA1B2D5DF0FB5" hidden="1">#REF!</definedName>
    <definedName name="BO7307D59A4B214EAE86562607C85423E4" hidden="1">#REF!</definedName>
    <definedName name="BO733E15FC2902430994339FF32CD32B87" localSheetId="6" hidden="1">#REF!</definedName>
    <definedName name="BO733E15FC2902430994339FF32CD32B87" hidden="1">#REF!</definedName>
    <definedName name="BO760478BC3AC541D48B8B653180858CA8" hidden="1">#REF!</definedName>
    <definedName name="BO7700E20E746149E291ACCD677C9D0766" hidden="1">#REF!</definedName>
    <definedName name="BO7764E7B14F1F4E928E4376007F22ABAF" hidden="1">#REF!</definedName>
    <definedName name="BO78B26688225A431E92C72662FBF21F94" hidden="1">#REF!</definedName>
    <definedName name="BO7A14BDFD5B2841A8BDFFCCE11C18BE90" hidden="1">#REF!</definedName>
    <definedName name="BO7A77E7DD81CB4CC68FEEABE2F3743C94" hidden="1">#REF!</definedName>
    <definedName name="BO7C7DABCD75A7494CA0243D508880E90D" hidden="1">#REF!</definedName>
    <definedName name="BO7CB713453E414A90B10F3550A0F253EC" hidden="1">#REF!</definedName>
    <definedName name="BO7D74CA4352B94CADA69060B858A229A7" hidden="1">#REF!</definedName>
    <definedName name="BO8140CB8CB4934D52A45138EFCF43482F" hidden="1">#REF!</definedName>
    <definedName name="BO81EB4DF8F6194B6D99943B71E32D1F8E" hidden="1">#REF!</definedName>
    <definedName name="BO849DAABD57DE400C976DE83FBD70852D" hidden="1">#REF!</definedName>
    <definedName name="BO86D1438E23664D2B9FCD09512F3A93F8" hidden="1">#REF!</definedName>
    <definedName name="BO8703EEC12706416FB6ED04E179922738" hidden="1">#REF!</definedName>
    <definedName name="BO879CBD59307A43159AF2A4CED84C7472" hidden="1">#REF!</definedName>
    <definedName name="BO8B0E799EB2E747E08CC00A5CB7983720" hidden="1">#REF!</definedName>
    <definedName name="BO8C2C15F699E14EDC94E42D4D15367A0D" hidden="1">#REF!</definedName>
    <definedName name="BO8CC5B39B3E324C918A32819C9A07A727" hidden="1">#REF!</definedName>
    <definedName name="BO8D4A19F885E642D98251152558F518D0" hidden="1">#REF!</definedName>
    <definedName name="BO8E9F198DEB16434A9D0753A88CDF5215" hidden="1">#REF!</definedName>
    <definedName name="BO8F69E36AA533438FB255DE448D2F78C1" localSheetId="6" hidden="1">#REF!</definedName>
    <definedName name="BO8F69E36AA533438FB255DE448D2F78C1" hidden="1">#REF!</definedName>
    <definedName name="BO8FB6EDE92460437DB46269B760A9FF87" hidden="1">#REF!</definedName>
    <definedName name="BO904BCFDAB4C44A96A1BAD24E7B5C4CFB" localSheetId="6" hidden="1">#REF!</definedName>
    <definedName name="BO904BCFDAB4C44A96A1BAD24E7B5C4CFB" hidden="1">#REF!</definedName>
    <definedName name="BO91B1C71622B84DC09FCF82790CCC6703" localSheetId="6" hidden="1">#REF!</definedName>
    <definedName name="BO91B1C71622B84DC09FCF82790CCC6703" hidden="1">#REF!</definedName>
    <definedName name="BO9268349F1CCF49DEB0561574CF57C558" localSheetId="6" hidden="1">#REF!</definedName>
    <definedName name="BO9268349F1CCF49DEB0561574CF57C558" hidden="1">#REF!</definedName>
    <definedName name="BO930FD1E9B9EB478BBAD94346BAE68338" hidden="1">#REF!</definedName>
    <definedName name="BO93E74F3970FD46C489BC2A92AE9C7404" hidden="1">#REF!</definedName>
    <definedName name="BO94ACFBA87DCA4A049A7A7B2CF5A0099B" hidden="1">#REF!</definedName>
    <definedName name="BO985BAF614F20419688C24910DA7EDD6A" hidden="1">#REF!</definedName>
    <definedName name="BO99F730DA3CE3438682559D78DBEB1137" hidden="1">#REF!</definedName>
    <definedName name="BO9A2A567F0CC545CC9043BF9A4C5F101F" hidden="1">#REF!</definedName>
    <definedName name="BO9B3B4252A5054C8AA9BB04D57CE43C60" hidden="1">#REF!</definedName>
    <definedName name="BO9B3B6F3CBDDD4CB0B98E9DAC2E6DFBB4" hidden="1">#REF!</definedName>
    <definedName name="BO9B9AF7C9673C48CD8E8EAE4AC4E281CA" hidden="1">#REF!</definedName>
    <definedName name="BO9BCF658BBEEB42C89189AA47132AC73A" hidden="1">#REF!</definedName>
    <definedName name="BO9DBFA7A314A14358A1BDB1236CC63047" hidden="1">#REF!</definedName>
    <definedName name="BO9F8DFCDB096345B68BCF462FC11B9706" hidden="1">#REF!</definedName>
    <definedName name="BO9FDB53228D304274A31FEEB51F85A06C" hidden="1">#REF!</definedName>
    <definedName name="BOA12F3EEDA20B4FD9B8C4F5748C7E15C6" localSheetId="6" hidden="1">#REF!</definedName>
    <definedName name="BOA12F3EEDA20B4FD9B8C4F5748C7E15C6" hidden="1">#REF!</definedName>
    <definedName name="BOA1352C67E57F45F18A3132F095B04042" hidden="1">#REF!</definedName>
    <definedName name="BOA3C4CE09FB0449E9B7E9CA671975ACCF" hidden="1">#REF!</definedName>
    <definedName name="BOA57BAACC082A40159BEF18E4E3DB2ACD" hidden="1">#REF!</definedName>
    <definedName name="BOA71E9E0A6B654860B10DCBA2CFBBCEE1" hidden="1">#REF!</definedName>
    <definedName name="BOA879FFE6ECBE4F8ABCD12D7BCBA427F4" hidden="1">#REF!</definedName>
    <definedName name="BOA8B6E7E580EC46D5A167ECCE259105F9" hidden="1">#REF!</definedName>
    <definedName name="BOA8D1E2E64BB645C680E24AB89AEDFCE3" hidden="1">#REF!</definedName>
    <definedName name="BOAAB11C84339D4299BFC1AA6D04698F2A" localSheetId="6" hidden="1">#REF!</definedName>
    <definedName name="BOAAB11C84339D4299BFC1AA6D04698F2A" hidden="1">#REF!</definedName>
    <definedName name="BOAC589E242BED4D2782DB5354106024F8" hidden="1">#REF!</definedName>
    <definedName name="BOAC99D26F3C3749C0B07E837B64380195" hidden="1">#REF!</definedName>
    <definedName name="BOAD616A0644E843968166BAAF341567A8" hidden="1">#REF!</definedName>
    <definedName name="BOAE62644DF78A4A79879DE7E6C0CC7E80" hidden="1">#REF!</definedName>
    <definedName name="BOAECC4E2710DA49978423665B98EFB884" hidden="1">#REF!</definedName>
    <definedName name="BOAF8E97A633AE4FB7BA6538C295FFDAB0" hidden="1">#REF!</definedName>
    <definedName name="BOB2121768159748418F929263EFA12598" hidden="1">#REF!</definedName>
    <definedName name="BOB49D75FC4F944B8BA43274A1AC9F7C6C" hidden="1">#REF!</definedName>
    <definedName name="BOB596E9268DED478AB9C99865ADF4A688" hidden="1">#REF!</definedName>
    <definedName name="BOB61F1D7767114687812A69756748869E" localSheetId="6" hidden="1">#REF!</definedName>
    <definedName name="BOB61F1D7767114687812A69756748869E" hidden="1">#REF!</definedName>
    <definedName name="BOB6870DB4AF074130A54E1277C2C63A76" hidden="1">#REF!</definedName>
    <definedName name="BOBAE47B872A5345298D6CFC1292FF0229" hidden="1">#REF!</definedName>
    <definedName name="BOBB2CD22C468846029AA7E79B86A82CEF" hidden="1">#REF!</definedName>
    <definedName name="BOBC7C71DE64364CBC9244EA234BE295B4" hidden="1">#REF!</definedName>
    <definedName name="BOBD17ACF591A04BA2A7F3EA73A1F5EFD0" localSheetId="6" hidden="1">#REF!</definedName>
    <definedName name="BOBD17ACF591A04BA2A7F3EA73A1F5EFD0" hidden="1">#REF!</definedName>
    <definedName name="BOBE9E067C7210472B81073CBDC8230580" localSheetId="6" hidden="1">#REF!</definedName>
    <definedName name="BOBE9E067C7210472B81073CBDC8230580" hidden="1">#REF!</definedName>
    <definedName name="BOBEA7B5BBB87048D49DF67B697A931813" hidden="1">#REF!</definedName>
    <definedName name="BOC156AACB264943ED8DE9584787C81FE3" hidden="1">#REF!</definedName>
    <definedName name="BOC2A368458B8C466A8EAB350D814B6553" hidden="1">#REF!</definedName>
    <definedName name="BOC4A6BB89CD2B435293F191D82C0F58C9" hidden="1">#REF!</definedName>
    <definedName name="BOC54204551F1D42B9BD6174DBDD9D741F" hidden="1">#REF!</definedName>
    <definedName name="BOC5B50A3B093A4281A75D4209F6A75893" hidden="1">#REF!</definedName>
    <definedName name="BOC5FB79A4E3E540F8AE42FE861B1410EC" hidden="1">#REF!</definedName>
    <definedName name="BOC96D8191DBAE4D6183DEA37F46B8436D" hidden="1">#REF!</definedName>
    <definedName name="BOCCF334A9BDB64C2697AE9352A937B6E5" localSheetId="6" hidden="1">#REF!</definedName>
    <definedName name="BOCCF334A9BDB64C2697AE9352A937B6E5" hidden="1">#REF!</definedName>
    <definedName name="BOCDED67C8566647ED9C954DE6FCEBFBFF" hidden="1">#REF!</definedName>
    <definedName name="BOD0382903153C4298A06C72FB4C2F82BC" localSheetId="6" hidden="1">#REF!</definedName>
    <definedName name="BOD0382903153C4298A06C72FB4C2F82BC" hidden="1">#REF!</definedName>
    <definedName name="BOD14638B491F746CA808EE455711E2DFA" hidden="1">#REF!</definedName>
    <definedName name="BOD3AC1AE62968479AA5A373821C711DA4" hidden="1">#REF!</definedName>
    <definedName name="BOD4D26CA1C52F43BDBE4F64A3B560F6ED" localSheetId="6" hidden="1">#REF!</definedName>
    <definedName name="BOD4D26CA1C52F43BDBE4F64A3B560F6ED" hidden="1">#REF!</definedName>
    <definedName name="BOD5FBDB6792ED490294B58B91280CB793" hidden="1">#REF!</definedName>
    <definedName name="BOD7619C4CBE234EA9ACB18176025ACAF4" hidden="1">#REF!</definedName>
    <definedName name="BOD789790B96514DC59042719B5805E3D6" localSheetId="6" hidden="1">#REF!</definedName>
    <definedName name="BOD789790B96514DC59042719B5805E3D6" hidden="1">#REF!</definedName>
    <definedName name="BODCACB442AFF147DA8534A6D75C35399F" hidden="1">#REF!</definedName>
    <definedName name="BODEC00C0FE625435EAB16BBF3CF5423FA" hidden="1">#REF!</definedName>
    <definedName name="BODFAFE6B7B5DD494DA46E02F336EB4451" hidden="1">#REF!</definedName>
    <definedName name="BOE026125E78E5458981F88E04737F5FDD" hidden="1">#REF!</definedName>
    <definedName name="BOE51DFD1C9562469194F32690B232F3D3" hidden="1">#REF!</definedName>
    <definedName name="BOE798598350E04FBFAF7A6A194F1568BE" hidden="1">#REF!</definedName>
    <definedName name="BOE84FCC406C184191AFE42CCF04997FEE" localSheetId="6" hidden="1">#REF!</definedName>
    <definedName name="BOE84FCC406C184191AFE42CCF04997FEE" hidden="1">#REF!</definedName>
    <definedName name="BOE8C9C3ED265B48589109A08A9505A1D1" localSheetId="6" hidden="1">#REF!</definedName>
    <definedName name="BOE8C9C3ED265B48589109A08A9505A1D1" hidden="1">#REF!</definedName>
    <definedName name="BOEAFDF322262145CB86BF48DC1DB6B5A2" localSheetId="6" hidden="1">#REF!</definedName>
    <definedName name="BOEAFDF322262145CB86BF48DC1DB6B5A2" hidden="1">#REF!</definedName>
    <definedName name="BOEB217BD039004C72ABA77A436DA8A424" hidden="1">#REF!</definedName>
    <definedName name="BOEF3940E6E677491BAE23FF17364EF17E" hidden="1">#REF!</definedName>
    <definedName name="BOEFFA9E855A8D4352994E68849AF48905" hidden="1">#REF!</definedName>
    <definedName name="BOF02333F78A05422AA5A1F733A8834CD6" hidden="1">#REF!</definedName>
    <definedName name="BOF0CBC11E611C46CAA732EB2558A413AB" hidden="1">#REF!</definedName>
    <definedName name="BOF0DBB60FBA7B487483C6404113C66C6E" hidden="1">#REF!</definedName>
    <definedName name="BOF15E20C21B1C4680B293AE7291F7DD0F" hidden="1">#REF!</definedName>
    <definedName name="BOF28675E81D624568B83E5006EE4DAB41" hidden="1">#REF!</definedName>
    <definedName name="BOF2EBB03F32CB43D982795A06A0CE7F14" localSheetId="6" hidden="1">#REF!</definedName>
    <definedName name="BOF2EBB03F32CB43D982795A06A0CE7F14" hidden="1">#REF!</definedName>
    <definedName name="BOF37F793DBD86486CB8F124C4A5B4790A" hidden="1">#REF!</definedName>
    <definedName name="BOF3F8EC36F0584B21B040E4FAE9B8810F" localSheetId="6" hidden="1">#REF!</definedName>
    <definedName name="BOF3F8EC36F0584B21B040E4FAE9B8810F" hidden="1">#REF!</definedName>
    <definedName name="BOF4F541C0A6C94B61A4CE373A6C565169" hidden="1">#REF!</definedName>
    <definedName name="BOF5497173AE06489E9550275FB325A5AD" hidden="1">#REF!</definedName>
    <definedName name="BOF6AE8BD0902148AA869657E40D971E11" hidden="1">#REF!</definedName>
    <definedName name="BOF6C9B9EED16443ED8CB7FF99A5DBCC26" localSheetId="6" hidden="1">#REF!</definedName>
    <definedName name="BOF6C9B9EED16443ED8CB7FF99A5DBCC26" hidden="1">#REF!</definedName>
    <definedName name="BOF770BE81EB0647A29E9CE4D634384356" hidden="1">#REF!</definedName>
    <definedName name="BOF7C0B15686234EACBE0FB09FC35AFFF4" hidden="1">#REF!</definedName>
    <definedName name="BOF9A745490A1F4A0695067659AAAB07E4" hidden="1">#REF!</definedName>
    <definedName name="BOFA2F87762DFD484D94075FC95CB64240" hidden="1">#REF!</definedName>
    <definedName name="BOFB8FF5299BAC4A3980A0C9D97B2C2A8F" hidden="1">#REF!</definedName>
    <definedName name="BOFC3CE9B777E942BF8427BC366D3B0A70" localSheetId="6" hidden="1">#REF!</definedName>
    <definedName name="BOFC3CE9B777E942BF8427BC366D3B0A70" hidden="1">#REF!</definedName>
    <definedName name="BOFC9287FB937E45768ACB07545CEEA2D9" hidden="1">#REF!</definedName>
    <definedName name="BOFCBD10D75B584C3B8A3E8226942B145A" hidden="1">#REF!</definedName>
    <definedName name="BOFEBB355536364ED8B2C1BF3DA875F9C0" hidden="1">#REF!</definedName>
    <definedName name="caccccc" localSheetId="11" hidden="1">{"'Sheet1'!$L$16"}</definedName>
    <definedName name="caccccc" localSheetId="6" hidden="1">{"'Sheet1'!$L$16"}</definedName>
    <definedName name="caccccc" hidden="1">{"'Sheet1'!$L$16"}</definedName>
    <definedName name="CAP1B" localSheetId="11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CAP1B" localSheetId="5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CAP1B" localSheetId="6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CAP1B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CAP1C" localSheetId="11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CAP1C" localSheetId="5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CAP1C" localSheetId="6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CAP1C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ccc" localSheetId="11" hidden="1">{"PRINT_EST",#N/A,FALSE,"ESTMON"}</definedName>
    <definedName name="ccc" hidden="1">{"PRINT_EST",#N/A,FALSE,"ESTMON"}</definedName>
    <definedName name="CCÑCangdung10.2" localSheetId="11" hidden="1">{"'Sheet1'!$L$16"}</definedName>
    <definedName name="CCÑCangdung10.2" localSheetId="5" hidden="1">{"'Sheet1'!$L$16"}</definedName>
    <definedName name="CCÑCangdung10.2" localSheetId="6" hidden="1">{"'Sheet1'!$L$16"}</definedName>
    <definedName name="CCÑCangdung10.2" hidden="1">{"'Sheet1'!$L$16"}</definedName>
    <definedName name="Chart3" localSheetId="11" hidden="1">{"'Sheet1'!$L$16"}</definedName>
    <definedName name="Chart3" localSheetId="5" hidden="1">{"'Sheet1'!$L$16"}</definedName>
    <definedName name="Chart3" localSheetId="6" hidden="1">{"'Sheet1'!$L$16"}</definedName>
    <definedName name="Chart3" hidden="1">{"'Sheet1'!$L$16"}</definedName>
    <definedName name="Chiphi" localSheetId="11" hidden="1">{"'Sheet1'!$L$16"}</definedName>
    <definedName name="Chiphi" localSheetId="5" hidden="1">{"'Sheet1'!$L$16"}</definedName>
    <definedName name="Chiphi" localSheetId="6" hidden="1">{"'Sheet1'!$L$16"}</definedName>
    <definedName name="Chiphi" hidden="1">{"'Sheet1'!$L$16"}</definedName>
    <definedName name="CIQWBGuid" hidden="1">"31f98984-787e-48fc-adc8-ee1c3151ce60"</definedName>
    <definedName name="Code" localSheetId="5" hidden="1">#REF!</definedName>
    <definedName name="Code" hidden="1">#REF!</definedName>
    <definedName name="CP" localSheetId="11" hidden="1">{"'Sheet1'!$L$16"}</definedName>
    <definedName name="CP" localSheetId="5" hidden="1">{"'Sheet1'!$L$16"}</definedName>
    <definedName name="CP" localSheetId="6" hidden="1">{"'Sheet1'!$L$16"}</definedName>
    <definedName name="CP" hidden="1">{"'Sheet1'!$L$16"}</definedName>
    <definedName name="CT" localSheetId="11" hidden="1">{#N/A,#N/A,TRUE,"BT M200 da 10x20"}</definedName>
    <definedName name="CT" localSheetId="6" hidden="1">{#N/A,#N/A,TRUE,"BT M200 da 10x20"}</definedName>
    <definedName name="CT" hidden="1">{#N/A,#N/A,TRUE,"BT M200 da 10x20"}</definedName>
    <definedName name="d" localSheetId="5" hidden="1">#REF!</definedName>
    <definedName name="d" hidden="1">#REF!</definedName>
    <definedName name="da" localSheetId="11" hidden="1">{"'Sheet1'!$L$16"}</definedName>
    <definedName name="da" localSheetId="6" hidden="1">{"'Sheet1'!$L$16"}</definedName>
    <definedName name="da" hidden="1">{"'Sheet1'!$L$16"}</definedName>
    <definedName name="data1" hidden="1">#REF!</definedName>
    <definedName name="data2" localSheetId="5" hidden="1">#REF!</definedName>
    <definedName name="data2" hidden="1">#REF!</definedName>
    <definedName name="data3" localSheetId="5" hidden="1">#REF!</definedName>
    <definedName name="data3" hidden="1">#REF!</definedName>
    <definedName name="dd" localSheetId="11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dd" localSheetId="5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dd" localSheetId="6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dd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ddd" localSheetId="11" hidden="1">{"'Sheet1'!$L$16"}</definedName>
    <definedName name="ddd" localSheetId="6" hidden="1">{"'Sheet1'!$L$16"}</definedName>
    <definedName name="ddd" hidden="1">{"'Sheet1'!$L$16"}</definedName>
    <definedName name="DenDK" localSheetId="11" hidden="1">{"'Sheet1'!$L$16"}</definedName>
    <definedName name="DenDK" localSheetId="5" hidden="1">{"'Sheet1'!$L$16"}</definedName>
    <definedName name="DenDK" localSheetId="6" hidden="1">{"'Sheet1'!$L$16"}</definedName>
    <definedName name="DenDK" hidden="1">{"'Sheet1'!$L$16"}</definedName>
    <definedName name="deryhrfm" localSheetId="11" hidden="1">{"'Sheet1'!$L$16"}</definedName>
    <definedName name="deryhrfm" localSheetId="6" hidden="1">{"'Sheet1'!$L$16"}</definedName>
    <definedName name="deryhrfm" hidden="1">{"'Sheet1'!$L$16"}</definedName>
    <definedName name="df" localSheetId="5" hidden="1">#REF!</definedName>
    <definedName name="df" hidden="1">#REF!</definedName>
    <definedName name="dfdsfsdfds" localSheetId="11" hidden="1">{"HK PR",#N/A,FALSE,"HK";"SUMMARY",#N/A,FALSE,"PAYROLL";"SUMMARY",#N/A,FALSE,"PAYROLL";"HK PR",#N/A,FALSE,"HK"}</definedName>
    <definedName name="dfdsfsdfds" localSheetId="5" hidden="1">{"HK PR",#N/A,FALSE,"HK";"SUMMARY",#N/A,FALSE,"PAYROLL";"SUMMARY",#N/A,FALSE,"PAYROLL";"HK PR",#N/A,FALSE,"HK"}</definedName>
    <definedName name="dfdsfsdfds" localSheetId="6" hidden="1">{"HK PR",#N/A,FALSE,"HK";"SUMMARY",#N/A,FALSE,"PAYROLL";"SUMMARY",#N/A,FALSE,"PAYROLL";"HK PR",#N/A,FALSE,"HK"}</definedName>
    <definedName name="dfdsfsdfds" hidden="1">{"HK PR",#N/A,FALSE,"HK";"SUMMARY",#N/A,FALSE,"PAYROLL";"SUMMARY",#N/A,FALSE,"PAYROLL";"HK PR",#N/A,FALSE,"HK"}</definedName>
    <definedName name="dfsd" localSheetId="11" hidden="1">{"HK PR",#N/A,FALSE,"HK";"SUMMARY",#N/A,FALSE,"PAYROLL";"SUMMARY",#N/A,FALSE,"PAYROLL";"HK PR",#N/A,FALSE,"HK"}</definedName>
    <definedName name="dfsd" localSheetId="5" hidden="1">{"HK PR",#N/A,FALSE,"HK";"SUMMARY",#N/A,FALSE,"PAYROLL";"SUMMARY",#N/A,FALSE,"PAYROLL";"HK PR",#N/A,FALSE,"HK"}</definedName>
    <definedName name="dfsd" localSheetId="6" hidden="1">{"HK PR",#N/A,FALSE,"HK";"SUMMARY",#N/A,FALSE,"PAYROLL";"SUMMARY",#N/A,FALSE,"PAYROLL";"HK PR",#N/A,FALSE,"HK"}</definedName>
    <definedName name="dfsd" hidden="1">{"HK PR",#N/A,FALSE,"HK";"SUMMARY",#N/A,FALSE,"PAYROLL";"SUMMARY",#N/A,FALSE,"PAYROLL";"HK PR",#N/A,FALSE,"HK"}</definedName>
    <definedName name="dfsdfsdf" localSheetId="11" hidden="1">{"HK PR",#N/A,FALSE,"HK";"SUMMARY",#N/A,FALSE,"PAYROLL";"SUMMARY",#N/A,FALSE,"PAYROLL";"HK PR",#N/A,FALSE,"HK"}</definedName>
    <definedName name="dfsdfsdf" localSheetId="5" hidden="1">{"HK PR",#N/A,FALSE,"HK";"SUMMARY",#N/A,FALSE,"PAYROLL";"SUMMARY",#N/A,FALSE,"PAYROLL";"HK PR",#N/A,FALSE,"HK"}</definedName>
    <definedName name="dfsdfsdf" localSheetId="6" hidden="1">{"HK PR",#N/A,FALSE,"HK";"SUMMARY",#N/A,FALSE,"PAYROLL";"SUMMARY",#N/A,FALSE,"PAYROLL";"HK PR",#N/A,FALSE,"HK"}</definedName>
    <definedName name="dfsdfsdf" hidden="1">{"HK PR",#N/A,FALSE,"HK";"SUMMARY",#N/A,FALSE,"PAYROLL";"SUMMARY",#N/A,FALSE,"PAYROLL";"HK PR",#N/A,FALSE,"HK"}</definedName>
    <definedName name="dfsdsd" localSheetId="11" hidden="1">{"HK PR",#N/A,FALSE,"HK";"SUMMARY",#N/A,FALSE,"PAYROLL";"SUMMARY",#N/A,FALSE,"PAYROLL";"HK PR",#N/A,FALSE,"HK"}</definedName>
    <definedName name="dfsdsd" localSheetId="5" hidden="1">{"HK PR",#N/A,FALSE,"HK";"SUMMARY",#N/A,FALSE,"PAYROLL";"SUMMARY",#N/A,FALSE,"PAYROLL";"HK PR",#N/A,FALSE,"HK"}</definedName>
    <definedName name="dfsdsd" localSheetId="6" hidden="1">{"HK PR",#N/A,FALSE,"HK";"SUMMARY",#N/A,FALSE,"PAYROLL";"SUMMARY",#N/A,FALSE,"PAYROLL";"HK PR",#N/A,FALSE,"HK"}</definedName>
    <definedName name="dfsdsd" hidden="1">{"HK PR",#N/A,FALSE,"HK";"SUMMARY",#N/A,FALSE,"PAYROLL";"SUMMARY",#N/A,FALSE,"PAYROLL";"HK PR",#N/A,FALSE,"HK"}</definedName>
    <definedName name="DGFDGJEROYTMHTRH" localSheetId="11" hidden="1">{#N/A,#N/A,TRUE,"BT M200 da 10x20"}</definedName>
    <definedName name="DGFDGJEROYTMHTRH" localSheetId="6" hidden="1">{#N/A,#N/A,TRUE,"BT M200 da 10x20"}</definedName>
    <definedName name="DGFDGJEROYTMHTRH" hidden="1">{#N/A,#N/A,TRUE,"BT M200 da 10x20"}</definedName>
    <definedName name="Discount" localSheetId="5" hidden="1">#REF!</definedName>
    <definedName name="Discount" hidden="1">#REF!</definedName>
    <definedName name="display_area_2" localSheetId="5" hidden="1">#REF!</definedName>
    <definedName name="display_area_2" hidden="1">#REF!</definedName>
    <definedName name="djt" localSheetId="11" hidden="1">{"'Sheet1'!$L$16"}</definedName>
    <definedName name="djt" localSheetId="6" hidden="1">{"'Sheet1'!$L$16"}</definedName>
    <definedName name="djt" hidden="1">{"'Sheet1'!$L$16"}</definedName>
    <definedName name="DN" hidden="1">#REF!</definedName>
    <definedName name="ds\" hidden="1">#REF!</definedName>
    <definedName name="dsad" localSheetId="11" hidden="1">{#N/A,#N/A,FALSE,"SYSOC";#N/A,#N/A,FALSE,"RESU-GESTION";#N/A,#N/A,FALSE,"EVOL-MNA";#N/A,#N/A,FALSE,"VTAS-ANALI";#N/A,#N/A,FALSE,"ANALI-GSFIJOS";#N/A,#N/A,FALSE,"DETA-RUBROS";#N/A,#N/A,FALSE,"ANALI-CNF";#N/A,#N/A,FALSE,"BILAN";#N/A,#N/A,FALSE,"TAB_FIN";#N/A,#N/A,FALSE,"IND_ECO"}</definedName>
    <definedName name="dsad" localSheetId="6" hidden="1">{#N/A,#N/A,FALSE,"SYSOC";#N/A,#N/A,FALSE,"RESU-GESTION";#N/A,#N/A,FALSE,"EVOL-MNA";#N/A,#N/A,FALSE,"VTAS-ANALI";#N/A,#N/A,FALSE,"ANALI-GSFIJOS";#N/A,#N/A,FALSE,"DETA-RUBROS";#N/A,#N/A,FALSE,"ANALI-CNF";#N/A,#N/A,FALSE,"BILAN";#N/A,#N/A,FALSE,"TAB_FIN";#N/A,#N/A,FALSE,"IND_ECO"}</definedName>
    <definedName name="dsad" hidden="1">{#N/A,#N/A,FALSE,"SYSOC";#N/A,#N/A,FALSE,"RESU-GESTION";#N/A,#N/A,FALSE,"EVOL-MNA";#N/A,#N/A,FALSE,"VTAS-ANALI";#N/A,#N/A,FALSE,"ANALI-GSFIJOS";#N/A,#N/A,FALSE,"DETA-RUBROS";#N/A,#N/A,FALSE,"ANALI-CNF";#N/A,#N/A,FALSE,"BILAN";#N/A,#N/A,FALSE,"TAB_FIN";#N/A,#N/A,FALSE,"IND_ECO"}</definedName>
    <definedName name="dsds" localSheetId="11" hidden="1">{#N/A,#N/A,FALSE,"Title";#N/A,#N/A,FALSE,"Bal.sheet";#N/A,#N/A,FALSE,"Income";#N/A,#N/A,FALSE,"sale";#N/A,#N/A,FALSE,"cash";#N/A,#N/A,FALSE,"AR";#N/A,#N/A,FALSE,"AR-other";#N/A,#N/A,FALSE,"asset";#N/A,#N/A,FALSE,"Pre-Op";#N/A,#N/A,FALSE,"AP";#N/A,#N/A,FALSE,"Parent";#N/A,#N/A,FALSE,"Qty";#N/A,#N/A,FALSE,"COGS";#N/A,#N/A,FALSE,"GOH-Sell";#N/A,#N/A,FALSE,"Interest"}</definedName>
    <definedName name="dsds" localSheetId="5" hidden="1">{#N/A,#N/A,FALSE,"Title";#N/A,#N/A,FALSE,"Bal.sheet";#N/A,#N/A,FALSE,"Income";#N/A,#N/A,FALSE,"sale";#N/A,#N/A,FALSE,"cash";#N/A,#N/A,FALSE,"AR";#N/A,#N/A,FALSE,"AR-other";#N/A,#N/A,FALSE,"asset";#N/A,#N/A,FALSE,"Pre-Op";#N/A,#N/A,FALSE,"AP";#N/A,#N/A,FALSE,"Parent";#N/A,#N/A,FALSE,"Qty";#N/A,#N/A,FALSE,"COGS";#N/A,#N/A,FALSE,"GOH-Sell";#N/A,#N/A,FALSE,"Interest"}</definedName>
    <definedName name="dsds" localSheetId="6" hidden="1">{#N/A,#N/A,FALSE,"Title";#N/A,#N/A,FALSE,"Bal.sheet";#N/A,#N/A,FALSE,"Income";#N/A,#N/A,FALSE,"sale";#N/A,#N/A,FALSE,"cash";#N/A,#N/A,FALSE,"AR";#N/A,#N/A,FALSE,"AR-other";#N/A,#N/A,FALSE,"asset";#N/A,#N/A,FALSE,"Pre-Op";#N/A,#N/A,FALSE,"AP";#N/A,#N/A,FALSE,"Parent";#N/A,#N/A,FALSE,"Qty";#N/A,#N/A,FALSE,"COGS";#N/A,#N/A,FALSE,"GOH-Sell";#N/A,#N/A,FALSE,"Interest"}</definedName>
    <definedName name="dsds" hidden="1">{#N/A,#N/A,FALSE,"Title";#N/A,#N/A,FALSE,"Bal.sheet";#N/A,#N/A,FALSE,"Income";#N/A,#N/A,FALSE,"sale";#N/A,#N/A,FALSE,"cash";#N/A,#N/A,FALSE,"AR";#N/A,#N/A,FALSE,"AR-other";#N/A,#N/A,FALSE,"asset";#N/A,#N/A,FALSE,"Pre-Op";#N/A,#N/A,FALSE,"AP";#N/A,#N/A,FALSE,"Parent";#N/A,#N/A,FALSE,"Qty";#N/A,#N/A,FALSE,"COGS";#N/A,#N/A,FALSE,"GOH-Sell";#N/A,#N/A,FALSE,"Interest"}</definedName>
    <definedName name="dsovd" localSheetId="11" hidden="1">{"'Sheet1'!$L$16"}</definedName>
    <definedName name="dsovd" localSheetId="5" hidden="1">{"'Sheet1'!$L$16"}</definedName>
    <definedName name="dsovd" localSheetId="6" hidden="1">{"'Sheet1'!$L$16"}</definedName>
    <definedName name="dsovd" hidden="1">{"'Sheet1'!$L$16"}</definedName>
    <definedName name="DWPRICE" localSheetId="6" hidden="1">#REF!</definedName>
    <definedName name="DWPRICE" hidden="1">#REF!</definedName>
    <definedName name="eee" localSheetId="11" hidden="1">{"revsale",#N/A,FALSE,"REV-ยุพดี"}</definedName>
    <definedName name="eee" hidden="1">{"revsale",#N/A,FALSE,"REV-ยุพดี"}</definedName>
    <definedName name="EVOLUTION_DES_ROI" localSheetId="11" hidden="1">{#N/A,#N/A,FALSE,"SYSOC";#N/A,#N/A,FALSE,"RESU-GESTION";#N/A,#N/A,FALSE,"EVOL-MNA";#N/A,#N/A,FALSE,"VTAS-ANALI";#N/A,#N/A,FALSE,"ANALI-GSFIJOS";#N/A,#N/A,FALSE,"DETA-RUBROS";#N/A,#N/A,FALSE,"ANALI-CNF";#N/A,#N/A,FALSE,"BILAN";#N/A,#N/A,FALSE,"TAB_FIN";#N/A,#N/A,FALSE,"IND_ECO"}</definedName>
    <definedName name="EVOLUTION_DES_ROI" localSheetId="6" hidden="1">{#N/A,#N/A,FALSE,"SYSOC";#N/A,#N/A,FALSE,"RESU-GESTION";#N/A,#N/A,FALSE,"EVOL-MNA";#N/A,#N/A,FALSE,"VTAS-ANALI";#N/A,#N/A,FALSE,"ANALI-GSFIJOS";#N/A,#N/A,FALSE,"DETA-RUBROS";#N/A,#N/A,FALSE,"ANALI-CNF";#N/A,#N/A,FALSE,"BILAN";#N/A,#N/A,FALSE,"TAB_FIN";#N/A,#N/A,FALSE,"IND_ECO"}</definedName>
    <definedName name="EVOLUTION_DES_ROI" hidden="1">{#N/A,#N/A,FALSE,"SYSOC";#N/A,#N/A,FALSE,"RESU-GESTION";#N/A,#N/A,FALSE,"EVOL-MNA";#N/A,#N/A,FALSE,"VTAS-ANALI";#N/A,#N/A,FALSE,"ANALI-GSFIJOS";#N/A,#N/A,FALSE,"DETA-RUBROS";#N/A,#N/A,FALSE,"ANALI-CNF";#N/A,#N/A,FALSE,"BILAN";#N/A,#N/A,FALSE,"TAB_FIN";#N/A,#N/A,FALSE,"IND_ECO"}</definedName>
    <definedName name="f" localSheetId="11" hidden="1">{"index",#N/A,FALSE,"INDEX"}</definedName>
    <definedName name="f" hidden="1">{"index",#N/A,FALSE,"INDEX"}</definedName>
    <definedName name="FCode" localSheetId="5" hidden="1">#REF!</definedName>
    <definedName name="FCode" hidden="1">#REF!</definedName>
    <definedName name="fdfdf" localSheetId="11" hidden="1">{"HK PR",#N/A,FALSE,"HK";"SUMMARY",#N/A,FALSE,"PAYROLL";"SUMMARY",#N/A,FALSE,"PAYROLL";"HK PR",#N/A,FALSE,"HK"}</definedName>
    <definedName name="fdfdf" localSheetId="5" hidden="1">{"HK PR",#N/A,FALSE,"HK";"SUMMARY",#N/A,FALSE,"PAYROLL";"SUMMARY",#N/A,FALSE,"PAYROLL";"HK PR",#N/A,FALSE,"HK"}</definedName>
    <definedName name="fdfdf" localSheetId="6" hidden="1">{"HK PR",#N/A,FALSE,"HK";"SUMMARY",#N/A,FALSE,"PAYROLL";"SUMMARY",#N/A,FALSE,"PAYROLL";"HK PR",#N/A,FALSE,"HK"}</definedName>
    <definedName name="fdfdf" hidden="1">{"HK PR",#N/A,FALSE,"HK";"SUMMARY",#N/A,FALSE,"PAYROLL";"SUMMARY",#N/A,FALSE,"PAYROLL";"HK PR",#N/A,FALSE,"HK"}</definedName>
    <definedName name="ff" localSheetId="11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ff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ffff" localSheetId="11" hidden="1">{#N/A,#N/A,FALSE,"Title";#N/A,#N/A,FALSE,"Contents";#N/A,#N/A,FALSE,"Executive summary";#N/A,#N/A,FALSE,"Assumptions";#N/A,#N/A,FALSE,"Nybron";#N/A,#N/A,FALSE,"Trading Nybron";#N/A,#N/A,FALSE,"Transactions Nybron";#N/A,#N/A,FALSE,"DCF Nybron";#N/A,#N/A,FALSE,"Poggenpohl";#N/A,#N/A,FALSE,"Trading Poggenpohl";#N/A,#N/A,FALSE,"Transactions Poggenpohl";#N/A,#N/A,FALSE,"DCF Poggenpohl";#N/A,#N/A,FALSE,"Elit";#N/A,#N/A,FALSE,"DCF Elit";#N/A,#N/A,FALSE,"LBO"}</definedName>
    <definedName name="ffff" localSheetId="5" hidden="1">{#N/A,#N/A,FALSE,"Title";#N/A,#N/A,FALSE,"Contents";#N/A,#N/A,FALSE,"Executive summary";#N/A,#N/A,FALSE,"Assumptions";#N/A,#N/A,FALSE,"Nybron";#N/A,#N/A,FALSE,"Trading Nybron";#N/A,#N/A,FALSE,"Transactions Nybron";#N/A,#N/A,FALSE,"DCF Nybron";#N/A,#N/A,FALSE,"Poggenpohl";#N/A,#N/A,FALSE,"Trading Poggenpohl";#N/A,#N/A,FALSE,"Transactions Poggenpohl";#N/A,#N/A,FALSE,"DCF Poggenpohl";#N/A,#N/A,FALSE,"Elit";#N/A,#N/A,FALSE,"DCF Elit";#N/A,#N/A,FALSE,"LBO"}</definedName>
    <definedName name="ffff" localSheetId="6" hidden="1">{#N/A,#N/A,FALSE,"Title";#N/A,#N/A,FALSE,"Contents";#N/A,#N/A,FALSE,"Executive summary";#N/A,#N/A,FALSE,"Assumptions";#N/A,#N/A,FALSE,"Nybron";#N/A,#N/A,FALSE,"Trading Nybron";#N/A,#N/A,FALSE,"Transactions Nybron";#N/A,#N/A,FALSE,"DCF Nybron";#N/A,#N/A,FALSE,"Poggenpohl";#N/A,#N/A,FALSE,"Trading Poggenpohl";#N/A,#N/A,FALSE,"Transactions Poggenpohl";#N/A,#N/A,FALSE,"DCF Poggenpohl";#N/A,#N/A,FALSE,"Elit";#N/A,#N/A,FALSE,"DCF Elit";#N/A,#N/A,FALSE,"LBO"}</definedName>
    <definedName name="ffff" hidden="1">{#N/A,#N/A,FALSE,"Title";#N/A,#N/A,FALSE,"Contents";#N/A,#N/A,FALSE,"Executive summary";#N/A,#N/A,FALSE,"Assumptions";#N/A,#N/A,FALSE,"Nybron";#N/A,#N/A,FALSE,"Trading Nybron";#N/A,#N/A,FALSE,"Transactions Nybron";#N/A,#N/A,FALSE,"DCF Nybron";#N/A,#N/A,FALSE,"Poggenpohl";#N/A,#N/A,FALSE,"Trading Poggenpohl";#N/A,#N/A,FALSE,"Transactions Poggenpohl";#N/A,#N/A,FALSE,"DCF Poggenpohl";#N/A,#N/A,FALSE,"Elit";#N/A,#N/A,FALSE,"DCF Elit";#N/A,#N/A,FALSE,"LBO"}</definedName>
    <definedName name="fgafg" hidden="1">#REF!</definedName>
    <definedName name="fgfgfgfg" localSheetId="5" hidden="1">#REF!</definedName>
    <definedName name="fgfgfgfg" hidden="1">#REF!</definedName>
    <definedName name="fggdfg" localSheetId="11" hidden="1">{"HK PR",#N/A,FALSE,"HK";"SUMMARY",#N/A,FALSE,"PAYROLL";"SUMMARY",#N/A,FALSE,"PAYROLL";"HK PR",#N/A,FALSE,"HK"}</definedName>
    <definedName name="fggdfg" localSheetId="5" hidden="1">{"HK PR",#N/A,FALSE,"HK";"SUMMARY",#N/A,FALSE,"PAYROLL";"SUMMARY",#N/A,FALSE,"PAYROLL";"HK PR",#N/A,FALSE,"HK"}</definedName>
    <definedName name="fggdfg" localSheetId="6" hidden="1">{"HK PR",#N/A,FALSE,"HK";"SUMMARY",#N/A,FALSE,"PAYROLL";"SUMMARY",#N/A,FALSE,"PAYROLL";"HK PR",#N/A,FALSE,"HK"}</definedName>
    <definedName name="fggdfg" hidden="1">{"HK PR",#N/A,FALSE,"HK";"SUMMARY",#N/A,FALSE,"PAYROLL";"SUMMARY",#N/A,FALSE,"PAYROLL";"HK PR",#N/A,FALSE,"HK"}</definedName>
    <definedName name="FiCo" hidden="1">#REF!</definedName>
    <definedName name="FOREVER" localSheetId="11" hidden="1">{#N/A,#N/A,FALSE,"Chi tiÆt"}</definedName>
    <definedName name="FOREVER" localSheetId="5" hidden="1">{#N/A,#N/A,FALSE,"Chi tiÆt"}</definedName>
    <definedName name="FOREVER" localSheetId="6" hidden="1">{#N/A,#N/A,FALSE,"Chi tiÆt"}</definedName>
    <definedName name="FOREVER" hidden="1">{#N/A,#N/A,FALSE,"Chi tiÆt"}</definedName>
    <definedName name="fre" localSheetId="11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fre" localSheetId="5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fre" localSheetId="6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fre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fsdfdsf" localSheetId="11" hidden="1">{"HK PR",#N/A,FALSE,"HK";"SUMMARY",#N/A,FALSE,"PAYROLL";"SUMMARY",#N/A,FALSE,"PAYROLL";"HK PR",#N/A,FALSE,"HK"}</definedName>
    <definedName name="fsdfdsf" localSheetId="5" hidden="1">{"HK PR",#N/A,FALSE,"HK";"SUMMARY",#N/A,FALSE,"PAYROLL";"SUMMARY",#N/A,FALSE,"PAYROLL";"HK PR",#N/A,FALSE,"HK"}</definedName>
    <definedName name="fsdfdsf" localSheetId="6" hidden="1">{"HK PR",#N/A,FALSE,"HK";"SUMMARY",#N/A,FALSE,"PAYROLL";"SUMMARY",#N/A,FALSE,"PAYROLL";"HK PR",#N/A,FALSE,"HK"}</definedName>
    <definedName name="fsdfdsf" hidden="1">{"HK PR",#N/A,FALSE,"HK";"SUMMARY",#N/A,FALSE,"PAYROLL";"SUMMARY",#N/A,FALSE,"PAYROLL";"HK PR",#N/A,FALSE,"HK"}</definedName>
    <definedName name="g" localSheetId="11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g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ggg" localSheetId="11" hidden="1">{"index",#N/A,FALSE,"INDEX"}</definedName>
    <definedName name="ggg" hidden="1">{"index",#N/A,FALSE,"INDEX"}</definedName>
    <definedName name="ghdfgdf" localSheetId="11" hidden="1">{"HK PR",#N/A,FALSE,"HK";"SUMMARY",#N/A,FALSE,"PAYROLL";"SUMMARY",#N/A,FALSE,"PAYROLL";"HK PR",#N/A,FALSE,"HK"}</definedName>
    <definedName name="ghdfgdf" localSheetId="5" hidden="1">{"HK PR",#N/A,FALSE,"HK";"SUMMARY",#N/A,FALSE,"PAYROLL";"SUMMARY",#N/A,FALSE,"PAYROLL";"HK PR",#N/A,FALSE,"HK"}</definedName>
    <definedName name="ghdfgdf" localSheetId="6" hidden="1">{"HK PR",#N/A,FALSE,"HK";"SUMMARY",#N/A,FALSE,"PAYROLL";"SUMMARY",#N/A,FALSE,"PAYROLL";"HK PR",#N/A,FALSE,"HK"}</definedName>
    <definedName name="ghdfgdf" hidden="1">{"HK PR",#N/A,FALSE,"HK";"SUMMARY",#N/A,FALSE,"PAYROLL";"SUMMARY",#N/A,FALSE,"PAYROLL";"HK PR",#N/A,FALSE,"HK"}</definedName>
    <definedName name="GHF" localSheetId="11" hidden="1">{#N/A,#N/A,FALSE,"sum";#N/A,#N/A,FALSE,"MARTV";#N/A,#N/A,FALSE,"APRTV"}</definedName>
    <definedName name="GHF" localSheetId="6" hidden="1">{#N/A,#N/A,FALSE,"sum";#N/A,#N/A,FALSE,"MARTV";#N/A,#N/A,FALSE,"APRTV"}</definedName>
    <definedName name="GHF" hidden="1">{#N/A,#N/A,FALSE,"sum";#N/A,#N/A,FALSE,"MARTV";#N/A,#N/A,FALSE,"APRTV"}</definedName>
    <definedName name="GJVIF" localSheetId="11" hidden="1">{"Profit",#N/A,FALSE,"4500(12)";"Capital",#N/A,FALSE,"4500(12)";"Profit",#N/A,FALSE,"Cisco4000";"Capital",#N/A,FALSE,"Cisco4000"}</definedName>
    <definedName name="GJVIF" localSheetId="6" hidden="1">{"Profit",#N/A,FALSE,"4500(12)";"Capital",#N/A,FALSE,"4500(12)";"Profit",#N/A,FALSE,"Cisco4000";"Capital",#N/A,FALSE,"Cisco4000"}</definedName>
    <definedName name="GJVIF" hidden="1">{"Profit",#N/A,FALSE,"4500(12)";"Capital",#N/A,FALSE,"4500(12)";"Profit",#N/A,FALSE,"Cisco4000";"Capital",#N/A,FALSE,"Cisco4000"}</definedName>
    <definedName name="gnfg" localSheetId="11" hidden="1">{"HK PR",#N/A,FALSE,"HK";"SUMMARY",#N/A,FALSE,"PAYROLL";"SUMMARY",#N/A,FALSE,"PAYROLL";"HK PR",#N/A,FALSE,"HK"}</definedName>
    <definedName name="gnfg" localSheetId="5" hidden="1">{"HK PR",#N/A,FALSE,"HK";"SUMMARY",#N/A,FALSE,"PAYROLL";"SUMMARY",#N/A,FALSE,"PAYROLL";"HK PR",#N/A,FALSE,"HK"}</definedName>
    <definedName name="gnfg" localSheetId="6" hidden="1">{"HK PR",#N/A,FALSE,"HK";"SUMMARY",#N/A,FALSE,"PAYROLL";"SUMMARY",#N/A,FALSE,"PAYROLL";"HK PR",#N/A,FALSE,"HK"}</definedName>
    <definedName name="gnfg" hidden="1">{"HK PR",#N/A,FALSE,"HK";"SUMMARY",#N/A,FALSE,"PAYROLL";"SUMMARY",#N/A,FALSE,"PAYROLL";"HK PR",#N/A,FALSE,"HK"}</definedName>
    <definedName name="GTM" localSheetId="11" hidden="1">{"'Sheet1'!$L$16"}</definedName>
    <definedName name="GTM" localSheetId="5" hidden="1">{"'Sheet1'!$L$16"}</definedName>
    <definedName name="GTM" localSheetId="6" hidden="1">{"'Sheet1'!$L$16"}</definedName>
    <definedName name="GTM" hidden="1">{"'Sheet1'!$L$16"}</definedName>
    <definedName name="h" localSheetId="11" hidden="1">{"'Sheet1'!$L$16"}</definedName>
    <definedName name="h" localSheetId="6" hidden="1">{"'Sheet1'!$L$16"}</definedName>
    <definedName name="h" hidden="1">{"'Sheet1'!$L$16"}</definedName>
    <definedName name="ha" localSheetId="11" hidden="1">{"Reader",#N/A,FALSE,"Summary";"Reader",#N/A,FALSE,"Buildup";"Reader",#N/A,FALSE,"Financials";"Reader",#N/A,FALSE,"Debt &amp; Other"}</definedName>
    <definedName name="ha" localSheetId="5" hidden="1">{"Reader",#N/A,FALSE,"Summary";"Reader",#N/A,FALSE,"Buildup";"Reader",#N/A,FALSE,"Financials";"Reader",#N/A,FALSE,"Debt &amp; Other"}</definedName>
    <definedName name="ha" localSheetId="6" hidden="1">{"Reader",#N/A,FALSE,"Summary";"Reader",#N/A,FALSE,"Buildup";"Reader",#N/A,FALSE,"Financials";"Reader",#N/A,FALSE,"Debt &amp; Other"}</definedName>
    <definedName name="ha" hidden="1">{"Reader",#N/A,FALSE,"Summary";"Reader",#N/A,FALSE,"Buildup";"Reader",#N/A,FALSE,"Financials";"Reader",#N/A,FALSE,"Debt &amp; Other"}</definedName>
    <definedName name="hanh" localSheetId="11" hidden="1">{"'Sheet1'!$L$16"}</definedName>
    <definedName name="hanh" localSheetId="6" hidden="1">{"'Sheet1'!$L$16"}</definedName>
    <definedName name="hanh" hidden="1">{"'Sheet1'!$L$16"}</definedName>
    <definedName name="hbbbbbb" localSheetId="11" hidden="1">{"'Sheet1'!$L$16"}</definedName>
    <definedName name="hbbbbbb" localSheetId="5" hidden="1">{"'Sheet1'!$L$16"}</definedName>
    <definedName name="hbbbbbb" localSheetId="6" hidden="1">{"'Sheet1'!$L$16"}</definedName>
    <definedName name="hbbbbbb" hidden="1">{"'Sheet1'!$L$16"}</definedName>
    <definedName name="hfgdas" hidden="1">#REF!</definedName>
    <definedName name="hghghg" localSheetId="11" hidden="1">{"HK PR",#N/A,FALSE,"HK";"SUMMARY",#N/A,FALSE,"PAYROLL";"SUMMARY",#N/A,FALSE,"PAYROLL";"HK PR",#N/A,FALSE,"HK"}</definedName>
    <definedName name="hghghg" localSheetId="5" hidden="1">{"HK PR",#N/A,FALSE,"HK";"SUMMARY",#N/A,FALSE,"PAYROLL";"SUMMARY",#N/A,FALSE,"PAYROLL";"HK PR",#N/A,FALSE,"HK"}</definedName>
    <definedName name="hghghg" localSheetId="6" hidden="1">{"HK PR",#N/A,FALSE,"HK";"SUMMARY",#N/A,FALSE,"PAYROLL";"SUMMARY",#N/A,FALSE,"PAYROLL";"HK PR",#N/A,FALSE,"HK"}</definedName>
    <definedName name="hghghg" hidden="1">{"HK PR",#N/A,FALSE,"HK";"SUMMARY",#N/A,FALSE,"PAYROLL";"SUMMARY",#N/A,FALSE,"PAYROLL";"HK PR",#N/A,FALSE,"HK"}</definedName>
    <definedName name="hghghghg" localSheetId="11" hidden="1">{"'Sheet1'!$L$16"}</definedName>
    <definedName name="hghghghg" localSheetId="5" hidden="1">{"'Sheet1'!$L$16"}</definedName>
    <definedName name="hghghghg" localSheetId="6" hidden="1">{"'Sheet1'!$L$16"}</definedName>
    <definedName name="hghghghg" hidden="1">{"'Sheet1'!$L$16"}</definedName>
    <definedName name="hh" localSheetId="11" hidden="1">{"'Sheet1'!$L$16"}</definedName>
    <definedName name="hh" localSheetId="6" hidden="1">{"'Sheet1'!$L$16"}</definedName>
    <definedName name="hh" hidden="1">{"'Sheet1'!$L$16"}</definedName>
    <definedName name="hhh" localSheetId="11" hidden="1">{"'Sheet1'!$L$16"}</definedName>
    <definedName name="hhh" localSheetId="5" hidden="1">{"'Sheet1'!$L$16"}</definedName>
    <definedName name="hhh" localSheetId="6" hidden="1">{"'Sheet1'!$L$16"}</definedName>
    <definedName name="hhh" hidden="1">{"'Sheet1'!$L$16"}</definedName>
    <definedName name="hhhh" localSheetId="11" hidden="1">{"'Sheet1'!$L$16"}</definedName>
    <definedName name="hhhh" localSheetId="5" hidden="1">{"'Sheet1'!$L$16"}</definedName>
    <definedName name="hhhh" localSheetId="6" hidden="1">{"'Sheet1'!$L$16"}</definedName>
    <definedName name="hhhh" hidden="1">{"'Sheet1'!$L$16"}</definedName>
    <definedName name="hhhhh" localSheetId="11" hidden="1">{"'Sheet1'!$L$16"}</definedName>
    <definedName name="hhhhh" localSheetId="5" hidden="1">{"'Sheet1'!$L$16"}</definedName>
    <definedName name="hhhhh" localSheetId="6" hidden="1">{"'Sheet1'!$L$16"}</definedName>
    <definedName name="hhhhh" hidden="1">{"'Sheet1'!$L$16"}</definedName>
    <definedName name="hhhhhh" localSheetId="11" hidden="1">{"'Sheet1'!$L$16"}</definedName>
    <definedName name="hhhhhh" localSheetId="5" hidden="1">{"'Sheet1'!$L$16"}</definedName>
    <definedName name="hhhhhh" localSheetId="6" hidden="1">{"'Sheet1'!$L$16"}</definedName>
    <definedName name="hhhhhh" hidden="1">{"'Sheet1'!$L$16"}</definedName>
    <definedName name="HiddenRows" localSheetId="5" hidden="1">#REF!</definedName>
    <definedName name="HiddenRows" hidden="1">#REF!</definedName>
    <definedName name="HIEU" localSheetId="11" hidden="1">{"'Sheet1'!$L$16"}</definedName>
    <definedName name="HIEU" localSheetId="5" hidden="1">{"'Sheet1'!$L$16"}</definedName>
    <definedName name="HIEU" localSheetId="6" hidden="1">{"'Sheet1'!$L$16"}</definedName>
    <definedName name="HIEU" hidden="1">{"'Sheet1'!$L$16"}</definedName>
    <definedName name="hjjkl" localSheetId="11" hidden="1">{"'Sheet1'!$L$16"}</definedName>
    <definedName name="hjjkl" localSheetId="6" hidden="1">{"'Sheet1'!$L$16"}</definedName>
    <definedName name="hjjkl" hidden="1">{"'Sheet1'!$L$16"}</definedName>
    <definedName name="HK" localSheetId="11" hidden="1">{"Reader",#N/A,FALSE,"Summary";"Reader",#N/A,FALSE,"Buildup";"Reader",#N/A,FALSE,"Financials";"Reader",#N/A,FALSE,"Debt &amp; Other"}</definedName>
    <definedName name="HK" localSheetId="5" hidden="1">{"Reader",#N/A,FALSE,"Summary";"Reader",#N/A,FALSE,"Buildup";"Reader",#N/A,FALSE,"Financials";"Reader",#N/A,FALSE,"Debt &amp; Other"}</definedName>
    <definedName name="HK" localSheetId="6" hidden="1">{"Reader",#N/A,FALSE,"Summary";"Reader",#N/A,FALSE,"Buildup";"Reader",#N/A,FALSE,"Financials";"Reader",#N/A,FALSE,"Debt &amp; Other"}</definedName>
    <definedName name="HK" hidden="1">{"Reader",#N/A,FALSE,"Summary";"Reader",#N/A,FALSE,"Buildup";"Reader",#N/A,FALSE,"Financials";"Reader",#N/A,FALSE,"Debt &amp; Other"}</definedName>
    <definedName name="hka" localSheetId="11" hidden="1">{"Reader",#N/A,FALSE,"Summary";"Reader",#N/A,FALSE,"Buildup";"Reader",#N/A,FALSE,"Financials";"Reader",#N/A,FALSE,"Debt &amp; Other"}</definedName>
    <definedName name="hka" localSheetId="5" hidden="1">{"Reader",#N/A,FALSE,"Summary";"Reader",#N/A,FALSE,"Buildup";"Reader",#N/A,FALSE,"Financials";"Reader",#N/A,FALSE,"Debt &amp; Other"}</definedName>
    <definedName name="hka" localSheetId="6" hidden="1">{"Reader",#N/A,FALSE,"Summary";"Reader",#N/A,FALSE,"Buildup";"Reader",#N/A,FALSE,"Financials";"Reader",#N/A,FALSE,"Debt &amp; Other"}</definedName>
    <definedName name="hka" hidden="1">{"Reader",#N/A,FALSE,"Summary";"Reader",#N/A,FALSE,"Buildup";"Reader",#N/A,FALSE,"Financials";"Reader",#N/A,FALSE,"Debt &amp; Other"}</definedName>
    <definedName name="hp" localSheetId="11" hidden="1">{"Reader",#N/A,FALSE,"Summary";"Reader",#N/A,FALSE,"Buildup";"Reader",#N/A,FALSE,"Financials";"Reader",#N/A,FALSE,"Debt &amp; Other"}</definedName>
    <definedName name="hp" localSheetId="5" hidden="1">{"Reader",#N/A,FALSE,"Summary";"Reader",#N/A,FALSE,"Buildup";"Reader",#N/A,FALSE,"Financials";"Reader",#N/A,FALSE,"Debt &amp; Other"}</definedName>
    <definedName name="hp" localSheetId="6" hidden="1">{"Reader",#N/A,FALSE,"Summary";"Reader",#N/A,FALSE,"Buildup";"Reader",#N/A,FALSE,"Financials";"Reader",#N/A,FALSE,"Debt &amp; Other"}</definedName>
    <definedName name="hp" hidden="1">{"Reader",#N/A,FALSE,"Summary";"Reader",#N/A,FALSE,"Buildup";"Reader",#N/A,FALSE,"Financials";"Reader",#N/A,FALSE,"Debt &amp; Other"}</definedName>
    <definedName name="htg" localSheetId="11" hidden="1">{#N/A,#N/A,TRUE,"BT M200 da 10x20"}</definedName>
    <definedName name="htg" localSheetId="6" hidden="1">{#N/A,#N/A,TRUE,"BT M200 da 10x20"}</definedName>
    <definedName name="htg" hidden="1">{#N/A,#N/A,TRUE,"BT M200 da 10x20"}</definedName>
    <definedName name="html" localSheetId="11" hidden="1">{"'Sheet1'!$L$16"}</definedName>
    <definedName name="html" localSheetId="5" hidden="1">{"'Sheet1'!$L$16"}</definedName>
    <definedName name="html" localSheetId="6" hidden="1">{"'Sheet1'!$L$16"}</definedName>
    <definedName name="html" hidden="1">{"'Sheet1'!$L$16"}</definedName>
    <definedName name="HTML_CodePage" hidden="1">950</definedName>
    <definedName name="HTML_Control" localSheetId="11" hidden="1">{"'Sheet1'!$L$16"}</definedName>
    <definedName name="HTML_Control" localSheetId="5" hidden="1">{"'Sheet1'!$L$16"}</definedName>
    <definedName name="HTML_Control" localSheetId="6" hidden="1">{"'Sheet1'!$L$16"}</definedName>
    <definedName name="HTML_Control" hidden="1">{"'Sheet1'!$L$16"}</definedName>
    <definedName name="HTML_Description" hidden="1">""</definedName>
    <definedName name="HTML_Email" hidden="1">""</definedName>
    <definedName name="HTML_Header" hidden="1">"Sheet1"</definedName>
    <definedName name="HTML_LastUpdate" hidden="1">"2000/9/14"</definedName>
    <definedName name="HTML_LineAfter" hidden="1">FALSE</definedName>
    <definedName name="HTML_LineBefore" hidden="1">FALSE</definedName>
    <definedName name="HTML_Name" hidden="1">"J.C.WONG"</definedName>
    <definedName name="HTML_OBDlg2" hidden="1">TRUE</definedName>
    <definedName name="HTML_OBDlg4" hidden="1">TRUE</definedName>
    <definedName name="HTML_OS" hidden="1">0</definedName>
    <definedName name="HTML_PathFile" localSheetId="6" hidden="1">"C:\2689\Q\國內\00q3961台化龍德PTA3建造\MyHTML.htm"</definedName>
    <definedName name="HTML_PathFile" hidden="1">"C:\2689\Q\??\00q3961????PTA3??\MyHTML.htm"</definedName>
    <definedName name="HTML_Title" hidden="1">"00Q3961-SUM"</definedName>
    <definedName name="HTML1_1" hidden="1">"[FCFF3]Sheet1!$A$1:$L$34"</definedName>
    <definedName name="HTML1_10" hidden="1">""</definedName>
    <definedName name="HTML1_11" hidden="1">1</definedName>
    <definedName name="HTML1_12" hidden="1">"Aswath:Adobe SiteMill™ 1.0.2:MyHomePage:FCFF3.html"</definedName>
    <definedName name="HTML1_2" hidden="1">1</definedName>
    <definedName name="HTML1_3" hidden="1">"FCFF3"</definedName>
    <definedName name="HTML1_4" hidden="1">"Three-Stage FCFF Model"</definedName>
    <definedName name="HTML1_5" hidden="1">""</definedName>
    <definedName name="HTML1_6" hidden="1">-4146</definedName>
    <definedName name="HTML1_7" hidden="1">-4146</definedName>
    <definedName name="HTML1_8" hidden="1">"10/22/96"</definedName>
    <definedName name="HTML1_9" hidden="1">"Aswath Damodaran"</definedName>
    <definedName name="HTMLCount" hidden="1">1</definedName>
    <definedName name="htmll" localSheetId="11" hidden="1">{"'Sheet1'!$L$16"}</definedName>
    <definedName name="htmll" localSheetId="5" hidden="1">{"'Sheet1'!$L$16"}</definedName>
    <definedName name="htmll" localSheetId="6" hidden="1">{"'Sheet1'!$L$16"}</definedName>
    <definedName name="htmll" hidden="1">{"'Sheet1'!$L$16"}</definedName>
    <definedName name="huong" localSheetId="11" hidden="1">{"HK PR",#N/A,FALSE,"HK";"SUMMARY",#N/A,FALSE,"PAYROLL";"SUMMARY",#N/A,FALSE,"PAYROLL";"HK PR",#N/A,FALSE,"HK"}</definedName>
    <definedName name="huong" localSheetId="5" hidden="1">{"HK PR",#N/A,FALSE,"HK";"SUMMARY",#N/A,FALSE,"PAYROLL";"SUMMARY",#N/A,FALSE,"PAYROLL";"HK PR",#N/A,FALSE,"HK"}</definedName>
    <definedName name="huong" localSheetId="6" hidden="1">{"HK PR",#N/A,FALSE,"HK";"SUMMARY",#N/A,FALSE,"PAYROLL";"SUMMARY",#N/A,FALSE,"PAYROLL";"HK PR",#N/A,FALSE,"HK"}</definedName>
    <definedName name="huong" hidden="1">{"HK PR",#N/A,FALSE,"HK";"SUMMARY",#N/A,FALSE,"PAYROLL";"SUMMARY",#N/A,FALSE,"PAYROLL";"HK PR",#N/A,FALSE,"HK"}</definedName>
    <definedName name="huongu" localSheetId="11" hidden="1">{"HK PR",#N/A,FALSE,"HK";"SUMMARY",#N/A,FALSE,"PAYROLL";"SUMMARY",#N/A,FALSE,"PAYROLL";"HK PR",#N/A,FALSE,"HK"}</definedName>
    <definedName name="huongu" localSheetId="5" hidden="1">{"HK PR",#N/A,FALSE,"HK";"SUMMARY",#N/A,FALSE,"PAYROLL";"SUMMARY",#N/A,FALSE,"PAYROLL";"HK PR",#N/A,FALSE,"HK"}</definedName>
    <definedName name="huongu" localSheetId="6" hidden="1">{"HK PR",#N/A,FALSE,"HK";"SUMMARY",#N/A,FALSE,"PAYROLL";"SUMMARY",#N/A,FALSE,"PAYROLL";"HK PR",#N/A,FALSE,"HK"}</definedName>
    <definedName name="huongu" hidden="1">{"HK PR",#N/A,FALSE,"HK";"SUMMARY",#N/A,FALSE,"PAYROLL";"SUMMARY",#N/A,FALSE,"PAYROLL";"HK PR",#N/A,FALSE,"HK"}</definedName>
    <definedName name="huy" localSheetId="11" hidden="1">{"'Sheet1'!$L$16"}</definedName>
    <definedName name="huy" localSheetId="5" hidden="1">{"'Sheet1'!$L$16"}</definedName>
    <definedName name="huy" localSheetId="6" hidden="1">{"'Sheet1'!$L$16"}</definedName>
    <definedName name="huy" hidden="1">{"'Sheet1'!$L$16"}</definedName>
    <definedName name="huyy" localSheetId="11" hidden="1">{"'Sheet1'!$L$16"}</definedName>
    <definedName name="huyy" localSheetId="5" hidden="1">{"'Sheet1'!$L$16"}</definedName>
    <definedName name="huyy" localSheetId="6" hidden="1">{"'Sheet1'!$L$16"}</definedName>
    <definedName name="huyy" hidden="1">{"'Sheet1'!$L$16"}</definedName>
    <definedName name="huyyy" localSheetId="11" hidden="1">{"'Sheet1'!$L$16"}</definedName>
    <definedName name="huyyy" localSheetId="5" hidden="1">{"'Sheet1'!$L$16"}</definedName>
    <definedName name="huyyy" localSheetId="6" hidden="1">{"'Sheet1'!$L$16"}</definedName>
    <definedName name="huyyy" hidden="1">{"'Sheet1'!$L$16"}</definedName>
    <definedName name="i" localSheetId="11" hidden="1">{"hilight3",#N/A,FALSE,"HILIGHT3"}</definedName>
    <definedName name="i" hidden="1">{"hilight3",#N/A,FALSE,"HILIGHT3"}</definedName>
    <definedName name="ii" localSheetId="11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ii" localSheetId="5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ii" localSheetId="6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ii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in" localSheetId="5" hidden="1">#REF!</definedName>
    <definedName name="in" hidden="1">#REF!</definedName>
    <definedName name="IQ_ACCOUNT_CHANGE" hidden="1">"c413"</definedName>
    <definedName name="IQ_ACCOUNTS_PAY" hidden="1">"c32"</definedName>
    <definedName name="IQ_ACCR_INT_PAY" hidden="1">"c1"</definedName>
    <definedName name="IQ_ACCR_INT_PAY_CF" hidden="1">"c2"</definedName>
    <definedName name="IQ_ACCR_INT_RECEIV" hidden="1">"c3"</definedName>
    <definedName name="IQ_ACCR_INT_RECEIV_CF" hidden="1">"c4"</definedName>
    <definedName name="IQ_ACCRUED_EXP" hidden="1">"c8"</definedName>
    <definedName name="IQ_ACCT_RECV_10YR_ANN_GROWTH" hidden="1">"c1924"</definedName>
    <definedName name="IQ_ACCT_RECV_1YR_ANN_GROWTH" hidden="1">"c1919"</definedName>
    <definedName name="IQ_ACCT_RECV_2YR_ANN_GROWTH" hidden="1">"c1920"</definedName>
    <definedName name="IQ_ACCT_RECV_3YR_ANN_GROWTH" hidden="1">"c1921"</definedName>
    <definedName name="IQ_ACCT_RECV_5YR_ANN_GROWTH" hidden="1">"c1922"</definedName>
    <definedName name="IQ_ACCT_RECV_7YR_ANN_GROWTH" hidden="1">"c1923"</definedName>
    <definedName name="IQ_ACCUM_DEP" hidden="1">"c7"</definedName>
    <definedName name="IQ_ACCUMULATED_PENSION_OBLIGATION" hidden="1">"c2244"</definedName>
    <definedName name="IQ_ACCUMULATED_PENSION_OBLIGATION_DOMESTIC" hidden="1">"c2657"</definedName>
    <definedName name="IQ_ACCUMULATED_PENSION_OBLIGATION_FOREIGN" hidden="1">"c2665"</definedName>
    <definedName name="IQ_ACQ_COST_SUB" hidden="1">"c2125"</definedName>
    <definedName name="IQ_ACQ_COSTS_CAPITALIZED" hidden="1">"c5"</definedName>
    <definedName name="IQ_ACQUIRE_REAL_ESTATE_CF" hidden="1">"c6"</definedName>
    <definedName name="IQ_ACQUISITION_RE_ASSETS" hidden="1">"c1628"</definedName>
    <definedName name="IQ_AD" hidden="1">"c7"</definedName>
    <definedName name="IQ_ADD_PAID_IN" hidden="1">"c39"</definedName>
    <definedName name="IQ_ADDIN" hidden="1">"AUTO"</definedName>
    <definedName name="IQ_ADJ_AVG_BANK_ASSETS" hidden="1">"c2671"</definedName>
    <definedName name="IQ_ADMIN_RATIO" hidden="1">"c2784"</definedName>
    <definedName name="IQ_ADVERTISING" hidden="1">"c2246"</definedName>
    <definedName name="IQ_ADVERTISING_MARKETING" hidden="1">"c1566"</definedName>
    <definedName name="IQ_AE" hidden="1">"c8"</definedName>
    <definedName name="IQ_AE_BNK" hidden="1">"c9"</definedName>
    <definedName name="IQ_AE_BR" hidden="1">"c10"</definedName>
    <definedName name="IQ_AE_FIN" hidden="1">"c11"</definedName>
    <definedName name="IQ_AE_INS" hidden="1">"c12"</definedName>
    <definedName name="IQ_AE_REIT" hidden="1">"c13"</definedName>
    <definedName name="IQ_AE_UTI" hidden="1">"c14"</definedName>
    <definedName name="IQ_AH_EARNED" hidden="1">"c2744"</definedName>
    <definedName name="IQ_AH_POLICY_BENEFITS_EXP" hidden="1">"c2789"</definedName>
    <definedName name="IQ_AIR_AIRPLANES_NOT_IN_SERVICE" hidden="1">"c2842"</definedName>
    <definedName name="IQ_AIR_AIRPLANES_SUBLEASED" hidden="1">"c2841"</definedName>
    <definedName name="IQ_AIR_ASK" hidden="1">"c2813"</definedName>
    <definedName name="IQ_AIR_ASK_INCREASE" hidden="1">"c2826"</definedName>
    <definedName name="IQ_AIR_ASM" hidden="1">"c2812"</definedName>
    <definedName name="IQ_AIR_ASM_INCREASE" hidden="1">"c2825"</definedName>
    <definedName name="IQ_AIR_AVG_AGE" hidden="1">"c2843"</definedName>
    <definedName name="IQ_AIR_BREAK_EVEN_FACTOR" hidden="1">"c2822"</definedName>
    <definedName name="IQ_AIR_CAPITAL_LEASE" hidden="1">"c2833"</definedName>
    <definedName name="IQ_AIR_COMPLETION_FACTOR" hidden="1">"c2824"</definedName>
    <definedName name="IQ_AIR_ENPLANED_PSGRS" hidden="1">"c2809"</definedName>
    <definedName name="IQ_AIR_FUEL_CONSUMED" hidden="1">"c2806"</definedName>
    <definedName name="IQ_AIR_FUEL_CONSUMED_L" hidden="1">"c2807"</definedName>
    <definedName name="IQ_AIR_FUEL_COST" hidden="1">"c2803"</definedName>
    <definedName name="IQ_AIR_FUEL_COST_L" hidden="1">"c2804"</definedName>
    <definedName name="IQ_AIR_FUEL_EXP" hidden="1">"c2802"</definedName>
    <definedName name="IQ_AIR_FUEL_EXP_PERCENT" hidden="1">"c2805"</definedName>
    <definedName name="IQ_AIR_LEASED" hidden="1">"c2835"</definedName>
    <definedName name="IQ_AIR_LOAD_FACTOR" hidden="1">"c2823"</definedName>
    <definedName name="IQ_AIR_NEW_AIRPLANES" hidden="1">"c2839"</definedName>
    <definedName name="IQ_AIR_OPER_EXP_ASK" hidden="1">"c2821"</definedName>
    <definedName name="IQ_AIR_OPER_EXP_ASM" hidden="1">"c2820"</definedName>
    <definedName name="IQ_AIR_OPER_LEASE" hidden="1">"c2834"</definedName>
    <definedName name="IQ_AIR_OPER_REV_YIELD_ASK" hidden="1">"c2819"</definedName>
    <definedName name="IQ_AIR_OPER_REV_YIELD_ASM" hidden="1">"c2818"</definedName>
    <definedName name="IQ_AIR_OPTIONS" hidden="1">"c2837"</definedName>
    <definedName name="IQ_AIR_ORDERS" hidden="1">"c2836"</definedName>
    <definedName name="IQ_AIR_OWNED" hidden="1">"c2832"</definedName>
    <definedName name="IQ_AIR_PSGR_REV_YIELD_ASK" hidden="1">"c2817"</definedName>
    <definedName name="IQ_AIR_PSGR_REV_YIELD_ASM" hidden="1">"c2816"</definedName>
    <definedName name="IQ_AIR_PSGR_REV_YIELD_RPK" hidden="1">"c2815"</definedName>
    <definedName name="IQ_AIR_PSGR_REV_YIELD_RPM" hidden="1">"c2814"</definedName>
    <definedName name="IQ_AIR_PURCHASE_RIGHTS" hidden="1">"c2838"</definedName>
    <definedName name="IQ_AIR_RETIRED_AIRPLANES" hidden="1">"c2840"</definedName>
    <definedName name="IQ_AIR_REV_PSGRS_CARRIED" hidden="1">"c2808"</definedName>
    <definedName name="IQ_AIR_REV_SCHEDULED_SERVICE" hidden="1">"c2830"</definedName>
    <definedName name="IQ_AIR_RPK" hidden="1">"c2811"</definedName>
    <definedName name="IQ_AIR_RPM" hidden="1">"c2810"</definedName>
    <definedName name="IQ_AIR_STAGE_LENGTH" hidden="1">"c2828"</definedName>
    <definedName name="IQ_AIR_STAGE_LENGTH_KM" hidden="1">"c2829"</definedName>
    <definedName name="IQ_AIR_TOTAL" hidden="1">"c2831"</definedName>
    <definedName name="IQ_AIR_UTILIZATION" hidden="1">"c2827"</definedName>
    <definedName name="IQ_ALLOW_BORROW_CONST" hidden="1">"c15"</definedName>
    <definedName name="IQ_ALLOW_CONST" hidden="1">"c16"</definedName>
    <definedName name="IQ_ALLOW_DOUBT_ACCT" hidden="1">"c2092"</definedName>
    <definedName name="IQ_ALLOW_EQUITY_CONST" hidden="1">"c16"</definedName>
    <definedName name="IQ_ALLOW_LL" hidden="1">"c17"</definedName>
    <definedName name="IQ_ALLOWANCE_10YR_ANN_GROWTH" hidden="1">"c18"</definedName>
    <definedName name="IQ_ALLOWANCE_1YR_ANN_GROWTH" hidden="1">"c19"</definedName>
    <definedName name="IQ_ALLOWANCE_2YR_ANN_GROWTH" hidden="1">"c20"</definedName>
    <definedName name="IQ_ALLOWANCE_3YR_ANN_GROWTH" hidden="1">"c21"</definedName>
    <definedName name="IQ_ALLOWANCE_5YR_ANN_GROWTH" hidden="1">"c22"</definedName>
    <definedName name="IQ_ALLOWANCE_7YR_ANN_GROWTH" hidden="1">"c23"</definedName>
    <definedName name="IQ_ALLOWANCE_CHARGE_OFFS" hidden="1">"c24"</definedName>
    <definedName name="IQ_ALLOWANCE_NON_PERF_LOANS" hidden="1">"c25"</definedName>
    <definedName name="IQ_ALLOWANCE_TOTAL_LOANS" hidden="1">"c26"</definedName>
    <definedName name="IQ_AMORTIZATION" hidden="1">"c1471"</definedName>
    <definedName name="IQ_AMT_OUT" hidden="1">"c2145"</definedName>
    <definedName name="IQ_ANNU_DISTRIBUTION_UNIT" hidden="1">"c3004"</definedName>
    <definedName name="IQ_ANNUALIZED_DIVIDEND" hidden="1">"c1579"</definedName>
    <definedName name="IQ_ANNUITY_LIAB" hidden="1">"c27"</definedName>
    <definedName name="IQ_ANNUITY_PAY" hidden="1">"c28"</definedName>
    <definedName name="IQ_ANNUITY_POLICY_EXP" hidden="1">"c29"</definedName>
    <definedName name="IQ_ANNUITY_REC" hidden="1">"c30"</definedName>
    <definedName name="IQ_ANNUITY_REV" hidden="1">"c31"</definedName>
    <definedName name="IQ_AP" hidden="1">"c32"</definedName>
    <definedName name="IQ_AP_BNK" hidden="1">"c33"</definedName>
    <definedName name="IQ_AP_BR" hidden="1">"c34"</definedName>
    <definedName name="IQ_AP_FIN" hidden="1">"c35"</definedName>
    <definedName name="IQ_AP_INS" hidden="1">"c36"</definedName>
    <definedName name="IQ_AP_REIT" hidden="1">"c37"</definedName>
    <definedName name="IQ_AP_UTI" hidden="1">"c38"</definedName>
    <definedName name="IQ_APIC" hidden="1">"c39"</definedName>
    <definedName name="IQ_AR" hidden="1">"c40"</definedName>
    <definedName name="IQ_AR_BR" hidden="1">"c41"</definedName>
    <definedName name="IQ_AR_LT" hidden="1">"c42"</definedName>
    <definedName name="IQ_AR_REIT" hidden="1">"c43"</definedName>
    <definedName name="IQ_AR_TURNS" hidden="1">"c44"</definedName>
    <definedName name="IQ_AR_UTI" hidden="1">"c45"</definedName>
    <definedName name="IQ_ARPU" hidden="1">"c2126"</definedName>
    <definedName name="IQ_ASSET_MGMT_FEE" hidden="1">"c46"</definedName>
    <definedName name="IQ_ASSET_TURNS" hidden="1">"c47"</definedName>
    <definedName name="IQ_ASSET_WRITEDOWN" hidden="1">"c48"</definedName>
    <definedName name="IQ_ASSET_WRITEDOWN_BNK" hidden="1">"c49"</definedName>
    <definedName name="IQ_ASSET_WRITEDOWN_BR" hidden="1">"c50"</definedName>
    <definedName name="IQ_ASSET_WRITEDOWN_CF" hidden="1">"c51"</definedName>
    <definedName name="IQ_ASSET_WRITEDOWN_CF_BNK" hidden="1">"c52"</definedName>
    <definedName name="IQ_ASSET_WRITEDOWN_CF_BR" hidden="1">"c53"</definedName>
    <definedName name="IQ_ASSET_WRITEDOWN_CF_FIN" hidden="1">"c54"</definedName>
    <definedName name="IQ_ASSET_WRITEDOWN_CF_INS" hidden="1">"c55"</definedName>
    <definedName name="IQ_ASSET_WRITEDOWN_CF_REIT" hidden="1">"c56"</definedName>
    <definedName name="IQ_ASSET_WRITEDOWN_CF_UTI" hidden="1">"c57"</definedName>
    <definedName name="IQ_ASSET_WRITEDOWN_FIN" hidden="1">"c58"</definedName>
    <definedName name="IQ_ASSET_WRITEDOWN_INS" hidden="1">"c59"</definedName>
    <definedName name="IQ_ASSET_WRITEDOWN_REIT" hidden="1">"c60"</definedName>
    <definedName name="IQ_ASSET_WRITEDOWN_UTI" hidden="1">"c61"</definedName>
    <definedName name="IQ_ASSETS_CAP_LEASE_DEPR" hidden="1">"c2068"</definedName>
    <definedName name="IQ_ASSETS_CAP_LEASE_GROSS" hidden="1">"c2069"</definedName>
    <definedName name="IQ_ASSETS_OPER_LEASE_DEPR" hidden="1">"c2070"</definedName>
    <definedName name="IQ_ASSETS_OPER_LEASE_GROSS" hidden="1">"c2071"</definedName>
    <definedName name="IQ_ASSUMED_AH_EARNED" hidden="1">"c2741"</definedName>
    <definedName name="IQ_ASSUMED_EARNED" hidden="1">"c2731"</definedName>
    <definedName name="IQ_ASSUMED_LIFE_EARNED" hidden="1">"c2736"</definedName>
    <definedName name="IQ_ASSUMED_LIFE_IN_FORCE" hidden="1">"c2766"</definedName>
    <definedName name="IQ_ASSUMED_PC_EARNED" hidden="1">"c2746"</definedName>
    <definedName name="IQ_ASSUMED_WRITTEN" hidden="1">"c2725"</definedName>
    <definedName name="IQ_AUDITOR_NAME" hidden="1">"c1539"</definedName>
    <definedName name="IQ_AUDITOR_OPINION" hidden="1">"c1540"</definedName>
    <definedName name="IQ_AUTO_WRITTEN" hidden="1">"c62"</definedName>
    <definedName name="IQ_AVG_BANK_ASSETS" hidden="1">"c2072"</definedName>
    <definedName name="IQ_AVG_BANK_LOANS" hidden="1">"c2073"</definedName>
    <definedName name="IQ_AVG_BROKER_REC" hidden="1">"c63"</definedName>
    <definedName name="IQ_AVG_BROKER_REC_NO" hidden="1">"c64"</definedName>
    <definedName name="IQ_AVG_DAILY_VOL" hidden="1">"c65"</definedName>
    <definedName name="IQ_AVG_INT_BEAR_LIAB" hidden="1">"c66"</definedName>
    <definedName name="IQ_AVG_INT_BEAR_LIAB_10YR_ANN_GROWTH" hidden="1">"c67"</definedName>
    <definedName name="IQ_AVG_INT_BEAR_LIAB_1YR_ANN_GROWTH" hidden="1">"c68"</definedName>
    <definedName name="IQ_AVG_INT_BEAR_LIAB_2YR_ANN_GROWTH" hidden="1">"c69"</definedName>
    <definedName name="IQ_AVG_INT_BEAR_LIAB_3YR_ANN_GROWTH" hidden="1">"c70"</definedName>
    <definedName name="IQ_AVG_INT_BEAR_LIAB_5YR_ANN_GROWTH" hidden="1">"c71"</definedName>
    <definedName name="IQ_AVG_INT_BEAR_LIAB_7YR_ANN_GROWTH" hidden="1">"c72"</definedName>
    <definedName name="IQ_AVG_INT_EARN_ASSETS" hidden="1">"c73"</definedName>
    <definedName name="IQ_AVG_INT_EARN_ASSETS_10YR_ANN_GROWTH" hidden="1">"c74"</definedName>
    <definedName name="IQ_AVG_INT_EARN_ASSETS_1YR_ANN_GROWTH" hidden="1">"c75"</definedName>
    <definedName name="IQ_AVG_INT_EARN_ASSETS_2YR_ANN_GROWTH" hidden="1">"c76"</definedName>
    <definedName name="IQ_AVG_INT_EARN_ASSETS_3YR_ANN_GROWTH" hidden="1">"c77"</definedName>
    <definedName name="IQ_AVG_INT_EARN_ASSETS_5YR_ANN_GROWTH" hidden="1">"c78"</definedName>
    <definedName name="IQ_AVG_INT_EARN_ASSETS_7YR_ANN_GROWTH" hidden="1">"c79"</definedName>
    <definedName name="IQ_AVG_MKTCAP" hidden="1">"c80"</definedName>
    <definedName name="IQ_AVG_PRICE" hidden="1">"c81"</definedName>
    <definedName name="IQ_AVG_PRICE_TARGET" hidden="1">"c82"</definedName>
    <definedName name="IQ_AVG_SHAREOUTSTANDING" hidden="1">"c83"</definedName>
    <definedName name="IQ_AVG_TEV" hidden="1">"c84"</definedName>
    <definedName name="IQ_AVG_VOLUME" hidden="1">"c65"</definedName>
    <definedName name="IQ_BANK_DEBT" hidden="1">"c2544"</definedName>
    <definedName name="IQ_BANK_DEBT_PCT" hidden="1">"c2545"</definedName>
    <definedName name="IQ_BASIC_EPS_EXCL" hidden="1">"c85"</definedName>
    <definedName name="IQ_BASIC_EPS_INCL" hidden="1">"c86"</definedName>
    <definedName name="IQ_BASIC_NORMAL_EPS" hidden="1">"c1592"</definedName>
    <definedName name="IQ_BASIC_WEIGHT" hidden="1">"c87"</definedName>
    <definedName name="IQ_BENCHMARK_SECURITY" hidden="1">"c2154"</definedName>
    <definedName name="IQ_BENCHMARK_SPRD" hidden="1">"c2153"</definedName>
    <definedName name="IQ_BETA" hidden="1">"c88"</definedName>
    <definedName name="IQ_BETA_1YR" hidden="1">"c1966"</definedName>
    <definedName name="IQ_BETA_1YR_RSQ" hidden="1">"c2132"</definedName>
    <definedName name="IQ_BETA_2YR" hidden="1">"c1965"</definedName>
    <definedName name="IQ_BETA_2YR_RSQ" hidden="1">"c2131"</definedName>
    <definedName name="IQ_BETA_5YR" hidden="1">"c88"</definedName>
    <definedName name="IQ_BETA_5YR_RSQ" hidden="1">"c2130"</definedName>
    <definedName name="IQ_BIG_INT_BEAR_CD" hidden="1">"c89"</definedName>
    <definedName name="IQ_BOARD_MEMBER" hidden="1">"c96"</definedName>
    <definedName name="IQ_BOARD_MEMBER_BACKGROUND" hidden="1">"c2101"</definedName>
    <definedName name="IQ_BOARD_MEMBER_TITLE" hidden="1">"c97"</definedName>
    <definedName name="IQ_BOND_COUPON" hidden="1">"c2183"</definedName>
    <definedName name="IQ_BOND_COUPON_TYPE" hidden="1">"c2184"</definedName>
    <definedName name="IQ_BOND_PRICE" hidden="1">"c2162"</definedName>
    <definedName name="IQ_BROK_COMISSION" hidden="1">"c98"</definedName>
    <definedName name="IQ_BUILDINGS" hidden="1">"c99"</definedName>
    <definedName name="IQ_BUSINESS_DESCRIPTION" hidden="1">"c322"</definedName>
    <definedName name="IQ_BV_OVER_SHARES" hidden="1">"c100"</definedName>
    <definedName name="IQ_BV_SHARE" hidden="1">"c100"</definedName>
    <definedName name="IQ_CABLE_ARPU" hidden="1">"c2869"</definedName>
    <definedName name="IQ_CABLE_ARPU_ANALOG" hidden="1">"c2864"</definedName>
    <definedName name="IQ_CABLE_ARPU_BASIC" hidden="1">"c2866"</definedName>
    <definedName name="IQ_CABLE_ARPU_BBAND" hidden="1">"c2867"</definedName>
    <definedName name="IQ_CABLE_ARPU_DIG" hidden="1">"c2865"</definedName>
    <definedName name="IQ_CABLE_ARPU_PHONE" hidden="1">"c2868"</definedName>
    <definedName name="IQ_CABLE_BASIC_PENETRATION" hidden="1">"c2850"</definedName>
    <definedName name="IQ_CABLE_BBAND_PENETRATION" hidden="1">"c2852"</definedName>
    <definedName name="IQ_CABLE_BBAND_PENETRATION_THP" hidden="1">"c2851"</definedName>
    <definedName name="IQ_CABLE_CHURN" hidden="1">"c2874"</definedName>
    <definedName name="IQ_CABLE_CHURN_BASIC" hidden="1">"c2871"</definedName>
    <definedName name="IQ_CABLE_CHURN_BBAND" hidden="1">"c2872"</definedName>
    <definedName name="IQ_CABLE_CHURN_DIG" hidden="1">"c2870"</definedName>
    <definedName name="IQ_CABLE_CHURN_PHONE" hidden="1">"c2873"</definedName>
    <definedName name="IQ_CABLE_HOMES_PER_MILE" hidden="1">"c2849"</definedName>
    <definedName name="IQ_CABLE_HP_BBAND" hidden="1">"c2845"</definedName>
    <definedName name="IQ_CABLE_HP_DIG" hidden="1">"c2844"</definedName>
    <definedName name="IQ_CABLE_HP_PHONE" hidden="1">"c2846"</definedName>
    <definedName name="IQ_CABLE_MILES_PASSED" hidden="1">"c2848"</definedName>
    <definedName name="IQ_CABLE_OTHER_REV" hidden="1">"c2882"</definedName>
    <definedName name="IQ_CABLE_PHONE_PENETRATION" hidden="1">"c2853"</definedName>
    <definedName name="IQ_CABLE_PROGRAMMING_COSTS" hidden="1">"c2884"</definedName>
    <definedName name="IQ_CABLE_REV_ADVERT" hidden="1">"c2880"</definedName>
    <definedName name="IQ_CABLE_REV_ANALOG" hidden="1">"c2875"</definedName>
    <definedName name="IQ_CABLE_REV_BASIC" hidden="1">"c2877"</definedName>
    <definedName name="IQ_CABLE_REV_BBAND" hidden="1">"c2878"</definedName>
    <definedName name="IQ_CABLE_REV_COMMERCIAL" hidden="1">"c2881"</definedName>
    <definedName name="IQ_CABLE_REV_DIG" hidden="1">"c2876"</definedName>
    <definedName name="IQ_CABLE_REV_PHONE" hidden="1">"c2879"</definedName>
    <definedName name="IQ_CABLE_RGU" hidden="1">"c2863"</definedName>
    <definedName name="IQ_CABLE_SUBS_ANALOG" hidden="1">"c2855"</definedName>
    <definedName name="IQ_CABLE_SUBS_BASIC" hidden="1">"c2857"</definedName>
    <definedName name="IQ_CABLE_SUBS_BBAND" hidden="1">"c2858"</definedName>
    <definedName name="IQ_CABLE_SUBS_BUNDLED" hidden="1">"c2861"</definedName>
    <definedName name="IQ_CABLE_SUBS_DIG" hidden="1">"c2856"</definedName>
    <definedName name="IQ_CABLE_SUBS_NON_VIDEO" hidden="1">"c2860"</definedName>
    <definedName name="IQ_CABLE_SUBS_PHONE" hidden="1">"c2859"</definedName>
    <definedName name="IQ_CABLE_SUBS_TOTAL" hidden="1">"c2862"</definedName>
    <definedName name="IQ_CABLE_THP" hidden="1">"c2847"</definedName>
    <definedName name="IQ_CABLE_TOTAL_PENETRATION" hidden="1">"c2854"</definedName>
    <definedName name="IQ_CABLE_TOTAL_REV" hidden="1">"c2883"</definedName>
    <definedName name="IQ_CAL_Q" hidden="1">"c101"</definedName>
    <definedName name="IQ_CAL_Y" hidden="1">"c102"</definedName>
    <definedName name="IQ_CALL_DATE_SCHEDULE" hidden="1">"c2481"</definedName>
    <definedName name="IQ_CALL_FEATURE" hidden="1">"c2197"</definedName>
    <definedName name="IQ_CALL_PRICE_SCHEDULE" hidden="1">"c2482"</definedName>
    <definedName name="IQ_CALLABLE" hidden="1">"c2196"</definedName>
    <definedName name="IQ_CAPEX" hidden="1">"c103"</definedName>
    <definedName name="IQ_CAPEX_10YR_ANN_GROWTH" hidden="1">"c104"</definedName>
    <definedName name="IQ_CAPEX_1YR_ANN_GROWTH" hidden="1">"c105"</definedName>
    <definedName name="IQ_CAPEX_2YR_ANN_GROWTH" hidden="1">"c106"</definedName>
    <definedName name="IQ_CAPEX_3YR_ANN_GROWTH" hidden="1">"c107"</definedName>
    <definedName name="IQ_CAPEX_5YR_ANN_GROWTH" hidden="1">"c108"</definedName>
    <definedName name="IQ_CAPEX_7YR_ANN_GROWTH" hidden="1">"c109"</definedName>
    <definedName name="IQ_CAPEX_BNK" hidden="1">"c110"</definedName>
    <definedName name="IQ_CAPEX_BR" hidden="1">"c111"</definedName>
    <definedName name="IQ_CAPEX_FIN" hidden="1">"c112"</definedName>
    <definedName name="IQ_CAPEX_INS" hidden="1">"c113"</definedName>
    <definedName name="IQ_CAPEX_UTI" hidden="1">"c114"</definedName>
    <definedName name="IQ_CAPITAL_LEASE" hidden="1">"c115"</definedName>
    <definedName name="IQ_CAPITAL_LEASES" hidden="1">"c115"</definedName>
    <definedName name="IQ_CAPITAL_LEASES_TOTAL" hidden="1">"c3031"</definedName>
    <definedName name="IQ_CAPITAL_LEASES_TOTAL_PCT" hidden="1">"c2506"</definedName>
    <definedName name="IQ_CAPITALIZED_INTEREST" hidden="1">"c2076"</definedName>
    <definedName name="IQ_CASH" hidden="1">"c118"</definedName>
    <definedName name="IQ_CASH_ACQUIRE_CF" hidden="1">"c1630"</definedName>
    <definedName name="IQ_CASH_CONVERSION" hidden="1">"c117"</definedName>
    <definedName name="IQ_CASH_DUE_BANKS" hidden="1">"c118"</definedName>
    <definedName name="IQ_CASH_EQUIV" hidden="1">"c118"</definedName>
    <definedName name="IQ_CASH_FINAN" hidden="1">"c119"</definedName>
    <definedName name="IQ_CASH_INTEREST" hidden="1">"c120"</definedName>
    <definedName name="IQ_CASH_INVEST" hidden="1">"c121"</definedName>
    <definedName name="IQ_CASH_OPER" hidden="1">"c122"</definedName>
    <definedName name="IQ_CASH_SEGREG" hidden="1">"c123"</definedName>
    <definedName name="IQ_CASH_SHARE" hidden="1">"c1911"</definedName>
    <definedName name="IQ_CASH_ST" hidden="1">"c124"</definedName>
    <definedName name="IQ_CASH_ST_INVEST" hidden="1">"c124"</definedName>
    <definedName name="IQ_CASH_TAXES" hidden="1">"c125"</definedName>
    <definedName name="IQ_CEDED_AH_EARNED" hidden="1">"c2743"</definedName>
    <definedName name="IQ_CEDED_CLAIM_EXP_INCUR" hidden="1">"c2756"</definedName>
    <definedName name="IQ_CEDED_CLAIM_EXP_PAID" hidden="1">"c2759"</definedName>
    <definedName name="IQ_CEDED_CLAIM_EXP_RES" hidden="1">"c2753"</definedName>
    <definedName name="IQ_CEDED_EARNED" hidden="1">"c2733"</definedName>
    <definedName name="IQ_CEDED_LIFE_EARNED" hidden="1">"c2738"</definedName>
    <definedName name="IQ_CEDED_LIFE_IN_FORCE" hidden="1">"c2768"</definedName>
    <definedName name="IQ_CEDED_PC_EARNED" hidden="1">"c2748"</definedName>
    <definedName name="IQ_CEDED_WRITTEN" hidden="1">"c2727"</definedName>
    <definedName name="IQ_CFO_10YR_ANN_GROWTH" hidden="1">"c126"</definedName>
    <definedName name="IQ_CFO_1YR_ANN_GROWTH" hidden="1">"c127"</definedName>
    <definedName name="IQ_CFO_2YR_ANN_GROWTH" hidden="1">"c128"</definedName>
    <definedName name="IQ_CFO_3YR_ANN_GROWTH" hidden="1">"c129"</definedName>
    <definedName name="IQ_CFO_5YR_ANN_GROWTH" hidden="1">"c130"</definedName>
    <definedName name="IQ_CFO_7YR_ANN_GROWTH" hidden="1">"c131"</definedName>
    <definedName name="IQ_CFO_CURRENT_LIAB" hidden="1">"c132"</definedName>
    <definedName name="IQ_CFPS_ACT_OR_EST" hidden="1">"c2217"</definedName>
    <definedName name="IQ_CFPS_EST" hidden="1">"c1667"</definedName>
    <definedName name="IQ_CFPS_HIGH_EST" hidden="1">"c1669"</definedName>
    <definedName name="IQ_CFPS_LOW_EST" hidden="1">"c1670"</definedName>
    <definedName name="IQ_CFPS_MEDIAN_EST" hidden="1">"c1668"</definedName>
    <definedName name="IQ_CFPS_NUM_EST" hidden="1">"c1671"</definedName>
    <definedName name="IQ_CFPS_STDDEV_EST" hidden="1">"c1672"</definedName>
    <definedName name="IQ_CH" hidden="1">110000</definedName>
    <definedName name="IQ_CHANGE_AP" hidden="1">"c133"</definedName>
    <definedName name="IQ_CHANGE_AP_BNK" hidden="1">"c134"</definedName>
    <definedName name="IQ_CHANGE_AP_BR" hidden="1">"c135"</definedName>
    <definedName name="IQ_CHANGE_AP_FIN" hidden="1">"c136"</definedName>
    <definedName name="IQ_CHANGE_AP_INS" hidden="1">"c137"</definedName>
    <definedName name="IQ_CHANGE_AP_REIT" hidden="1">"c138"</definedName>
    <definedName name="IQ_CHANGE_AP_UTI" hidden="1">"c139"</definedName>
    <definedName name="IQ_CHANGE_AR" hidden="1">"c140"</definedName>
    <definedName name="IQ_CHANGE_AR_BNK" hidden="1">"c141"</definedName>
    <definedName name="IQ_CHANGE_AR_BR" hidden="1">"c142"</definedName>
    <definedName name="IQ_CHANGE_AR_FIN" hidden="1">"c143"</definedName>
    <definedName name="IQ_CHANGE_AR_INS" hidden="1">"c144"</definedName>
    <definedName name="IQ_CHANGE_AR_REIT" hidden="1">"c145"</definedName>
    <definedName name="IQ_CHANGE_AR_UTI" hidden="1">"c146"</definedName>
    <definedName name="IQ_CHANGE_DEF_TAX" hidden="1">"c147"</definedName>
    <definedName name="IQ_CHANGE_DEPOSIT_ACCT" hidden="1">"c148"</definedName>
    <definedName name="IQ_CHANGE_INC_TAX" hidden="1">"c149"</definedName>
    <definedName name="IQ_CHANGE_INS_RES_LIAB" hidden="1">"c150"</definedName>
    <definedName name="IQ_CHANGE_INVENTORY" hidden="1">"c151"</definedName>
    <definedName name="IQ_CHANGE_NET_WORKING_CAPITAL" hidden="1">"c1909"</definedName>
    <definedName name="IQ_CHANGE_OTHER_WORK_CAP" hidden="1">"c152"</definedName>
    <definedName name="IQ_CHANGE_OTHER_WORK_CAP_BNK" hidden="1">"c153"</definedName>
    <definedName name="IQ_CHANGE_OTHER_WORK_CAP_BR" hidden="1">"c154"</definedName>
    <definedName name="IQ_CHANGE_OTHER_WORK_CAP_FIN" hidden="1">"c155"</definedName>
    <definedName name="IQ_CHANGE_OTHER_WORK_CAP_INS" hidden="1">"c156"</definedName>
    <definedName name="IQ_CHANGE_OTHER_WORK_CAP_REIT" hidden="1">"c157"</definedName>
    <definedName name="IQ_CHANGE_OTHER_WORK_CAP_UTI" hidden="1">"c158"</definedName>
    <definedName name="IQ_CHANGE_TRADING_ASSETS" hidden="1">"c159"</definedName>
    <definedName name="IQ_CHANGE_UNEARN_REV" hidden="1">"c160"</definedName>
    <definedName name="IQ_CHANGE_WORK_CAP" hidden="1">"c161"</definedName>
    <definedName name="IQ_CHANGES_WORK_CAP" hidden="1">"c161"</definedName>
    <definedName name="IQ_CHARGE_OFFS_GROSS" hidden="1">"c162"</definedName>
    <definedName name="IQ_CHARGE_OFFS_NET" hidden="1">"c163"</definedName>
    <definedName name="IQ_CHARGE_OFFS_RECOVERED" hidden="1">"c164"</definedName>
    <definedName name="IQ_CHARGE_OFFS_TOTAL_AVG_LOANS" hidden="1">"c165"</definedName>
    <definedName name="IQ_CITY" hidden="1">"c166"</definedName>
    <definedName name="IQ_CL_DUE_AFTER_FIVE" hidden="1">"c167"</definedName>
    <definedName name="IQ_CL_DUE_CY" hidden="1">"c168"</definedName>
    <definedName name="IQ_CL_DUE_CY1" hidden="1">"c169"</definedName>
    <definedName name="IQ_CL_DUE_CY2" hidden="1">"c170"</definedName>
    <definedName name="IQ_CL_DUE_CY3" hidden="1">"c171"</definedName>
    <definedName name="IQ_CL_DUE_CY4" hidden="1">"c172"</definedName>
    <definedName name="IQ_CL_DUE_NEXT_FIVE" hidden="1">"c173"</definedName>
    <definedName name="IQ_CL_OBLIGATION_IMMEDIATE" hidden="1">"c2253"</definedName>
    <definedName name="IQ_CLASSA_OPTIONS_BEG_OS" hidden="1">"c2679"</definedName>
    <definedName name="IQ_CLASSA_OPTIONS_CANCELLED" hidden="1">"c2682"</definedName>
    <definedName name="IQ_CLASSA_OPTIONS_END_OS" hidden="1">"c2683"</definedName>
    <definedName name="IQ_CLASSA_OPTIONS_EXERCISED" hidden="1">"c2681"</definedName>
    <definedName name="IQ_CLASSA_OPTIONS_GRANTED" hidden="1">"c2680"</definedName>
    <definedName name="IQ_CLASSA_OPTIONS_STRIKE_PRICE_OS" hidden="1">"c2684"</definedName>
    <definedName name="IQ_CLASSA_OUTSTANDING_BS_DATE" hidden="1">"c1971"</definedName>
    <definedName name="IQ_CLASSA_OUTSTANDING_FILING_DATE" hidden="1">"c1973"</definedName>
    <definedName name="IQ_CLASSA_STRIKE_PRICE_GRANTED" hidden="1">"c2685"</definedName>
    <definedName name="IQ_CLASSA_WARRANTS_BEG_OS" hidden="1">"c2705"</definedName>
    <definedName name="IQ_CLASSA_WARRANTS_CANCELLED" hidden="1">"c2708"</definedName>
    <definedName name="IQ_CLASSA_WARRANTS_END_OS" hidden="1">"c2709"</definedName>
    <definedName name="IQ_CLASSA_WARRANTS_EXERCISED" hidden="1">"c2707"</definedName>
    <definedName name="IQ_CLASSA_WARRANTS_ISSUED" hidden="1">"c2706"</definedName>
    <definedName name="IQ_CLASSA_WARRANTS_STRIKE_PRICE_ISSUED" hidden="1">"c2711"</definedName>
    <definedName name="IQ_CLASSA_WARRANTS_STRIKE_PRICE_OS" hidden="1">"c2710"</definedName>
    <definedName name="IQ_CLOSEPRICE" hidden="1">"c174"</definedName>
    <definedName name="IQ_CLOSEPRICE_ADJ" hidden="1">"c2115"</definedName>
    <definedName name="IQ_COGS" hidden="1">"c175"</definedName>
    <definedName name="IQ_COMBINED_RATIO" hidden="1">"c176"</definedName>
    <definedName name="IQ_COMMERCIAL_DOM" hidden="1">"c177"</definedName>
    <definedName name="IQ_COMMERCIAL_FIRE_WRITTEN" hidden="1">"c178"</definedName>
    <definedName name="IQ_COMMERCIAL_MORT" hidden="1">"c179"</definedName>
    <definedName name="IQ_COMMISS_FEES" hidden="1">"c180"</definedName>
    <definedName name="IQ_COMMISSION_DEF" hidden="1">"c181"</definedName>
    <definedName name="IQ_COMMON" hidden="1">"c182"</definedName>
    <definedName name="IQ_COMMON_APIC" hidden="1">"c183"</definedName>
    <definedName name="IQ_COMMON_APIC_BNK" hidden="1">"c184"</definedName>
    <definedName name="IQ_COMMON_APIC_BR" hidden="1">"c185"</definedName>
    <definedName name="IQ_COMMON_APIC_FIN" hidden="1">"c186"</definedName>
    <definedName name="IQ_COMMON_APIC_INS" hidden="1">"c187"</definedName>
    <definedName name="IQ_COMMON_APIC_REIT" hidden="1">"c188"</definedName>
    <definedName name="IQ_COMMON_APIC_UTI" hidden="1">"c189"</definedName>
    <definedName name="IQ_COMMON_DIV" hidden="1">"c3006"</definedName>
    <definedName name="IQ_COMMON_DIV_CF" hidden="1">"c190"</definedName>
    <definedName name="IQ_COMMON_EQUITY_10YR_ANN_GROWTH" hidden="1">"c191"</definedName>
    <definedName name="IQ_COMMON_EQUITY_1YR_ANN_GROWTH" hidden="1">"c192"</definedName>
    <definedName name="IQ_COMMON_EQUITY_2YR_ANN_GROWTH" hidden="1">"c193"</definedName>
    <definedName name="IQ_COMMON_EQUITY_3YR_ANN_GROWTH" hidden="1">"c194"</definedName>
    <definedName name="IQ_COMMON_EQUITY_5YR_ANN_GROWTH" hidden="1">"c195"</definedName>
    <definedName name="IQ_COMMON_EQUITY_7YR_ANN_GROWTH" hidden="1">"c196"</definedName>
    <definedName name="IQ_COMMON_ISSUED" hidden="1">"c197"</definedName>
    <definedName name="IQ_COMMON_ISSUED_BNK" hidden="1">"c198"</definedName>
    <definedName name="IQ_COMMON_ISSUED_BR" hidden="1">"c199"</definedName>
    <definedName name="IQ_COMMON_ISSUED_FIN" hidden="1">"c200"</definedName>
    <definedName name="IQ_COMMON_ISSUED_INS" hidden="1">"c201"</definedName>
    <definedName name="IQ_COMMON_ISSUED_REIT" hidden="1">"c202"</definedName>
    <definedName name="IQ_COMMON_ISSUED_UTI" hidden="1">"c203"</definedName>
    <definedName name="IQ_COMMON_PER_ADR" hidden="1">"c204"</definedName>
    <definedName name="IQ_COMMON_PREF_DIV_CF" hidden="1">"c205"</definedName>
    <definedName name="IQ_COMMON_REP" hidden="1">"c206"</definedName>
    <definedName name="IQ_COMMON_REP_BNK" hidden="1">"c207"</definedName>
    <definedName name="IQ_COMMON_REP_BR" hidden="1">"c208"</definedName>
    <definedName name="IQ_COMMON_REP_FIN" hidden="1">"c209"</definedName>
    <definedName name="IQ_COMMON_REP_INS" hidden="1">"c210"</definedName>
    <definedName name="IQ_COMMON_REP_REIT" hidden="1">"c211"</definedName>
    <definedName name="IQ_COMMON_REP_UTI" hidden="1">"c212"</definedName>
    <definedName name="IQ_COMMON_STOCK" hidden="1">"c182"</definedName>
    <definedName name="IQ_COMP_BENEFITS" hidden="1">"c213"</definedName>
    <definedName name="IQ_COMPANY_ADDRESS" hidden="1">"c214"</definedName>
    <definedName name="IQ_COMPANY_NAME" hidden="1">"c215"</definedName>
    <definedName name="IQ_COMPANY_NAME_LONG" hidden="1">"c1585"</definedName>
    <definedName name="IQ_COMPANY_PHONE" hidden="1">"c216"</definedName>
    <definedName name="IQ_COMPANY_STATUS" hidden="1">"c2097"</definedName>
    <definedName name="IQ_COMPANY_STREET1" hidden="1">"c217"</definedName>
    <definedName name="IQ_COMPANY_STREET2" hidden="1">"c218"</definedName>
    <definedName name="IQ_COMPANY_TICKER" hidden="1">"c219"</definedName>
    <definedName name="IQ_COMPANY_TYPE" hidden="1">"c2096"</definedName>
    <definedName name="IQ_COMPANY_WEBSITE" hidden="1">"c220"</definedName>
    <definedName name="IQ_COMPANY_ZIP" hidden="1">"c221"</definedName>
    <definedName name="IQ_CONSTRUCTION_LOANS" hidden="1">"c222"</definedName>
    <definedName name="IQ_CONSUMER_LOANS" hidden="1">"c223"</definedName>
    <definedName name="IQ_CONV_DATE" hidden="1">"c2191"</definedName>
    <definedName name="IQ_CONV_EXP_DATE" hidden="1">"c3043"</definedName>
    <definedName name="IQ_CONV_PREMIUM" hidden="1">"c2195"</definedName>
    <definedName name="IQ_CONV_PRICE" hidden="1">"c2193"</definedName>
    <definedName name="IQ_CONV_RATE" hidden="1">"c2192"</definedName>
    <definedName name="IQ_CONV_RATIO" hidden="1">"c2192"</definedName>
    <definedName name="IQ_CONV_SECURITY" hidden="1">"c2189"</definedName>
    <definedName name="IQ_CONV_SECURITY_ISSUER" hidden="1">"c2190"</definedName>
    <definedName name="IQ_CONV_SECURITY_PRICE" hidden="1">"c2194"</definedName>
    <definedName name="IQ_CONVERT" hidden="1">"c2536"</definedName>
    <definedName name="IQ_CONVERT_PCT" hidden="1">"c2537"</definedName>
    <definedName name="IQ_CONVEXITY" hidden="1">"c2182"</definedName>
    <definedName name="IQ_COST_BORROWING" hidden="1">"c2936"</definedName>
    <definedName name="IQ_COST_BORROWINGS" hidden="1">"c225"</definedName>
    <definedName name="IQ_COST_REV" hidden="1">"c226"</definedName>
    <definedName name="IQ_COST_REVENUE" hidden="1">"c226"</definedName>
    <definedName name="IQ_COST_SAVINGS" hidden="1">"c227"</definedName>
    <definedName name="IQ_COST_SERVICE" hidden="1">"c228"</definedName>
    <definedName name="IQ_COST_TOTAL_BORROWINGS" hidden="1">"c229"</definedName>
    <definedName name="IQ_COUNTRY_NAME" hidden="1">"c230"</definedName>
    <definedName name="IQ_COVERED_POPS" hidden="1">"c2124"</definedName>
    <definedName name="IQ_CP" hidden="1">"c2495"</definedName>
    <definedName name="IQ_CP_PCT" hidden="1">"c2496"</definedName>
    <definedName name="IQ_CQ" hidden="1">5000</definedName>
    <definedName name="IQ_CREDIT_CARD_FEE_BNK" hidden="1">"c231"</definedName>
    <definedName name="IQ_CREDIT_CARD_FEE_FIN" hidden="1">"c1583"</definedName>
    <definedName name="IQ_CREDIT_LOSS_CF" hidden="1">"c232"</definedName>
    <definedName name="IQ_CUMULATIVE_SPLIT_FACTOR" hidden="1">"c2094"</definedName>
    <definedName name="IQ_CURR_DOMESTIC_TAXES" hidden="1">"c2074"</definedName>
    <definedName name="IQ_CURR_FOREIGN_TAXES" hidden="1">"c2075"</definedName>
    <definedName name="IQ_CURRENCY_FACTOR_BS" hidden="1">"c233"</definedName>
    <definedName name="IQ_CURRENCY_FACTOR_IS" hidden="1">"c234"</definedName>
    <definedName name="IQ_CURRENCY_GAIN" hidden="1">"c235"</definedName>
    <definedName name="IQ_CURRENCY_GAIN_BR" hidden="1">"c236"</definedName>
    <definedName name="IQ_CURRENCY_GAIN_FIN" hidden="1">"c237"</definedName>
    <definedName name="IQ_CURRENCY_GAIN_INS" hidden="1">"c238"</definedName>
    <definedName name="IQ_CURRENCY_GAIN_REIT" hidden="1">"c239"</definedName>
    <definedName name="IQ_CURRENCY_GAIN_UTI" hidden="1">"c240"</definedName>
    <definedName name="IQ_CURRENT_PORT" hidden="1">"c241"</definedName>
    <definedName name="IQ_CURRENT_PORT_BNK" hidden="1">"c242"</definedName>
    <definedName name="IQ_CURRENT_PORT_DEBT" hidden="1">"c243"</definedName>
    <definedName name="IQ_CURRENT_PORT_DEBT_BNK" hidden="1">"c244"</definedName>
    <definedName name="IQ_CURRENT_PORT_DEBT_BR" hidden="1">"c1567"</definedName>
    <definedName name="IQ_CURRENT_PORT_DEBT_FIN" hidden="1">"c1568"</definedName>
    <definedName name="IQ_CURRENT_PORT_DEBT_INS" hidden="1">"c1569"</definedName>
    <definedName name="IQ_CURRENT_PORT_DEBT_REIT" hidden="1">"c1570"</definedName>
    <definedName name="IQ_CURRENT_PORT_DEBT_UTI" hidden="1">"c1571"</definedName>
    <definedName name="IQ_CURRENT_PORT_LEASES" hidden="1">"c245"</definedName>
    <definedName name="IQ_CURRENT_PORT_PCT" hidden="1">"c2541"</definedName>
    <definedName name="IQ_CURRENT_RATIO" hidden="1">"c246"</definedName>
    <definedName name="IQ_CY" hidden="1">10000</definedName>
    <definedName name="IQ_DA" hidden="1">"c247"</definedName>
    <definedName name="IQ_DA_BR" hidden="1">"c248"</definedName>
    <definedName name="IQ_DA_CF" hidden="1">"c249"</definedName>
    <definedName name="IQ_DA_CF_BNK" hidden="1">"c250"</definedName>
    <definedName name="IQ_DA_CF_BR" hidden="1">"c251"</definedName>
    <definedName name="IQ_DA_CF_FIN" hidden="1">"c252"</definedName>
    <definedName name="IQ_DA_CF_INS" hidden="1">"c253"</definedName>
    <definedName name="IQ_DA_CF_REIT" hidden="1">"c254"</definedName>
    <definedName name="IQ_DA_CF_UTI" hidden="1">"c255"</definedName>
    <definedName name="IQ_DA_FIN" hidden="1">"c256"</definedName>
    <definedName name="IQ_DA_INS" hidden="1">"c257"</definedName>
    <definedName name="IQ_DA_REIT" hidden="1">"c258"</definedName>
    <definedName name="IQ_DA_SUPPL" hidden="1">"c259"</definedName>
    <definedName name="IQ_DA_SUPPL_BR" hidden="1">"c260"</definedName>
    <definedName name="IQ_DA_SUPPL_CF" hidden="1">"c261"</definedName>
    <definedName name="IQ_DA_SUPPL_CF_BNK" hidden="1">"c262"</definedName>
    <definedName name="IQ_DA_SUPPL_CF_BR" hidden="1">"c263"</definedName>
    <definedName name="IQ_DA_SUPPL_CF_FIN" hidden="1">"c264"</definedName>
    <definedName name="IQ_DA_SUPPL_CF_INS" hidden="1">"c265"</definedName>
    <definedName name="IQ_DA_SUPPL_CF_REIT" hidden="1">"c266"</definedName>
    <definedName name="IQ_DA_SUPPL_CF_UTI" hidden="1">"c267"</definedName>
    <definedName name="IQ_DA_SUPPL_FIN" hidden="1">"c268"</definedName>
    <definedName name="IQ_DA_SUPPL_INS" hidden="1">"c269"</definedName>
    <definedName name="IQ_DA_SUPPL_REIT" hidden="1">"c270"</definedName>
    <definedName name="IQ_DA_SUPPL_UTI" hidden="1">"c271"</definedName>
    <definedName name="IQ_DA_UTI" hidden="1">"c272"</definedName>
    <definedName name="IQ_DAILY" hidden="1">500000</definedName>
    <definedName name="IQ_DATED_DATE" hidden="1">"c2185"</definedName>
    <definedName name="IQ_DAY_COUNT" hidden="1">"c2161"</definedName>
    <definedName name="IQ_DAYS_COVER_SHORT" hidden="1">"c1578"</definedName>
    <definedName name="IQ_DAYS_INVENTORY_OUT" hidden="1">"c273"</definedName>
    <definedName name="IQ_DAYS_PAY_OUTST" hidden="1">"c274"</definedName>
    <definedName name="IQ_DAYS_PAYABLE_OUT" hidden="1">"c274"</definedName>
    <definedName name="IQ_DAYS_SALES_OUT" hidden="1">"c275"</definedName>
    <definedName name="IQ_DAYS_SALES_OUTST" hidden="1">"c275"</definedName>
    <definedName name="IQ_DEBT_ADJ" hidden="1">"c2515"</definedName>
    <definedName name="IQ_DEBT_ADJ_PCT" hidden="1">"c2516"</definedName>
    <definedName name="IQ_DEBT_EQUIV_NET_PBO" hidden="1">"c2938"</definedName>
    <definedName name="IQ_DEBT_EQUIV_OPER_LEASE" hidden="1">"c2935"</definedName>
    <definedName name="IQ_DEF_ACQ_CST" hidden="1">"c301"</definedName>
    <definedName name="IQ_DEF_AMORT" hidden="1">"c276"</definedName>
    <definedName name="IQ_DEF_AMORT_BNK" hidden="1">"c277"</definedName>
    <definedName name="IQ_DEF_AMORT_BR" hidden="1">"c278"</definedName>
    <definedName name="IQ_DEF_AMORT_FIN" hidden="1">"c279"</definedName>
    <definedName name="IQ_DEF_AMORT_INS" hidden="1">"c280"</definedName>
    <definedName name="IQ_DEF_AMORT_REIT" hidden="1">"c281"</definedName>
    <definedName name="IQ_DEF_AMORT_UTI" hidden="1">"c282"</definedName>
    <definedName name="IQ_DEF_BENEFIT_INTEREST_COST" hidden="1">"c283"</definedName>
    <definedName name="IQ_DEF_BENEFIT_INTEREST_COST_DOMESTIC" hidden="1">"c2652"</definedName>
    <definedName name="IQ_DEF_BENEFIT_INTEREST_COST_FOREIGN" hidden="1">"c2660"</definedName>
    <definedName name="IQ_DEF_BENEFIT_OTHER_COST" hidden="1">"c284"</definedName>
    <definedName name="IQ_DEF_BENEFIT_OTHER_COST_DOMESTIC" hidden="1">"c2654"</definedName>
    <definedName name="IQ_DEF_BENEFIT_OTHER_COST_FOREIGN" hidden="1">"c2662"</definedName>
    <definedName name="IQ_DEF_BENEFIT_ROA" hidden="1">"c285"</definedName>
    <definedName name="IQ_DEF_BENEFIT_ROA_DOMESTIC" hidden="1">"c2653"</definedName>
    <definedName name="IQ_DEF_BENEFIT_ROA_FOREIGN" hidden="1">"c2661"</definedName>
    <definedName name="IQ_DEF_BENEFIT_SERVICE_COST" hidden="1">"c286"</definedName>
    <definedName name="IQ_DEF_BENEFIT_SERVICE_COST_DOMESTIC" hidden="1">"c2651"</definedName>
    <definedName name="IQ_DEF_BENEFIT_SERVICE_COST_FOREIGN" hidden="1">"c2659"</definedName>
    <definedName name="IQ_DEF_BENEFIT_TOTAL_COST" hidden="1">"c287"</definedName>
    <definedName name="IQ_DEF_BENEFIT_TOTAL_COST_DOMESTIC" hidden="1">"c2655"</definedName>
    <definedName name="IQ_DEF_BENEFIT_TOTAL_COST_FOREIGN" hidden="1">"c2663"</definedName>
    <definedName name="IQ_DEF_CHARGES_BR" hidden="1">"c288"</definedName>
    <definedName name="IQ_DEF_CHARGES_CF" hidden="1">"c289"</definedName>
    <definedName name="IQ_DEF_CHARGES_FIN" hidden="1">"c290"</definedName>
    <definedName name="IQ_DEF_CHARGES_INS" hidden="1">"c291"</definedName>
    <definedName name="IQ_DEF_CHARGES_LT" hidden="1">"c292"</definedName>
    <definedName name="IQ_DEF_CHARGES_LT_BNK" hidden="1">"c293"</definedName>
    <definedName name="IQ_DEF_CHARGES_LT_BR" hidden="1">"c294"</definedName>
    <definedName name="IQ_DEF_CHARGES_LT_FIN" hidden="1">"c295"</definedName>
    <definedName name="IQ_DEF_CHARGES_LT_INS" hidden="1">"c296"</definedName>
    <definedName name="IQ_DEF_CHARGES_LT_REIT" hidden="1">"c297"</definedName>
    <definedName name="IQ_DEF_CHARGES_LT_UTI" hidden="1">"c298"</definedName>
    <definedName name="IQ_DEF_CHARGES_REIT" hidden="1">"c299"</definedName>
    <definedName name="IQ_DEF_CONTRIBUTION_TOTAL_COST" hidden="1">"c300"</definedName>
    <definedName name="IQ_DEF_INC_TAX" hidden="1">"c313"</definedName>
    <definedName name="IQ_DEF_POLICY_ACQ_COSTS" hidden="1">"c301"</definedName>
    <definedName name="IQ_DEF_POLICY_ACQ_COSTS_CF" hidden="1">"c302"</definedName>
    <definedName name="IQ_DEF_POLICY_AMORT" hidden="1">"c303"</definedName>
    <definedName name="IQ_DEF_TAX_ASSET_LT_BR" hidden="1">"c304"</definedName>
    <definedName name="IQ_DEF_TAX_ASSET_LT_FIN" hidden="1">"c305"</definedName>
    <definedName name="IQ_DEF_TAX_ASSET_LT_INS" hidden="1">"c306"</definedName>
    <definedName name="IQ_DEF_TAX_ASSET_LT_REIT" hidden="1">"c307"</definedName>
    <definedName name="IQ_DEF_TAX_ASSET_LT_UTI" hidden="1">"c308"</definedName>
    <definedName name="IQ_DEF_TAX_ASSETS_CURRENT" hidden="1">"c309"</definedName>
    <definedName name="IQ_DEF_TAX_ASSETS_LT" hidden="1">"c310"</definedName>
    <definedName name="IQ_DEF_TAX_ASSETS_LT_BNK" hidden="1">"c311"</definedName>
    <definedName name="IQ_DEF_TAX_LIAB_CURRENT" hidden="1">"c312"</definedName>
    <definedName name="IQ_DEF_TAX_LIAB_LT" hidden="1">"c313"</definedName>
    <definedName name="IQ_DEF_TAX_LIAB_LT_BNK" hidden="1">"c314"</definedName>
    <definedName name="IQ_DEF_TAX_LIAB_LT_BR" hidden="1">"c315"</definedName>
    <definedName name="IQ_DEF_TAX_LIAB_LT_FIN" hidden="1">"c316"</definedName>
    <definedName name="IQ_DEF_TAX_LIAB_LT_INS" hidden="1">"c317"</definedName>
    <definedName name="IQ_DEF_TAX_LIAB_LT_REIT" hidden="1">"c318"</definedName>
    <definedName name="IQ_DEF_TAX_LIAB_LT_UTI" hidden="1">"c319"</definedName>
    <definedName name="IQ_DEFERRED_DOMESTIC_TAXES" hidden="1">"c2077"</definedName>
    <definedName name="IQ_DEFERRED_FOREIGN_TAXES" hidden="1">"c2078"</definedName>
    <definedName name="IQ_DEFERRED_INC_TAX" hidden="1">"c315"</definedName>
    <definedName name="IQ_DEFERRED_TAXES" hidden="1">"c147"</definedName>
    <definedName name="IQ_DEMAND_DEP" hidden="1">"c320"</definedName>
    <definedName name="IQ_DEPOSITS_FIN" hidden="1">"c321"</definedName>
    <definedName name="IQ_DEPRE_AMORT" hidden="1">"c247"</definedName>
    <definedName name="IQ_DEPRE_AMORT_SUPPL" hidden="1">"c1593"</definedName>
    <definedName name="IQ_DEPRE_DEPLE" hidden="1">"c261"</definedName>
    <definedName name="IQ_DEPRE_SUPP" hidden="1">"c1443"</definedName>
    <definedName name="IQ_DESCRIPTION_LONG" hidden="1">"c322"</definedName>
    <definedName name="IQ_DEVELOP_LAND" hidden="1">"c323"</definedName>
    <definedName name="IQ_DIFF_LASTCLOSE_TARGET_PRICE" hidden="1">"c1854"</definedName>
    <definedName name="IQ_DILUT_ADJUST" hidden="1">"c1621"</definedName>
    <definedName name="IQ_DILUT_EPS_EXCL" hidden="1">"c324"</definedName>
    <definedName name="IQ_DILUT_EPS_INCL" hidden="1">"c325"</definedName>
    <definedName name="IQ_DILUT_EPS_NORM" hidden="1">"c1903"</definedName>
    <definedName name="IQ_DILUT_NI" hidden="1">"c2079"</definedName>
    <definedName name="IQ_DILUT_NORMAL_EPS" hidden="1">"c1594"</definedName>
    <definedName name="IQ_DILUT_WEIGHT" hidden="1">"c326"</definedName>
    <definedName name="IQ_DIRECT_AH_EARNED" hidden="1">"c2740"</definedName>
    <definedName name="IQ_DIRECT_EARNED" hidden="1">"c2730"</definedName>
    <definedName name="IQ_DIRECT_LIFE_EARNED" hidden="1">"c2735"</definedName>
    <definedName name="IQ_DIRECT_LIFE_IN_FORCE" hidden="1">"c2765"</definedName>
    <definedName name="IQ_DIRECT_PC_EARNED" hidden="1">"c2745"</definedName>
    <definedName name="IQ_DIRECT_WRITTEN" hidden="1">"c2724"</definedName>
    <definedName name="IQ_DISCONT_OPER" hidden="1">"c333"</definedName>
    <definedName name="IQ_DISCOUNT_RATE_PENSION_DOMESTIC" hidden="1">"c327"</definedName>
    <definedName name="IQ_DISCOUNT_RATE_PENSION_FOREIGN" hidden="1">"c328"</definedName>
    <definedName name="IQ_DISTR_EXCESS_EARN" hidden="1">"c329"</definedName>
    <definedName name="IQ_DISTRIBUTABLE_CASH" hidden="1">"c3002"</definedName>
    <definedName name="IQ_DISTRIBUTABLE_CASH_PAYOUT" hidden="1">"c3005"</definedName>
    <definedName name="IQ_DISTRIBUTABLE_CASH_SHARE" hidden="1">"c3003"</definedName>
    <definedName name="IQ_DIV_AMOUNT" hidden="1">"c3041"</definedName>
    <definedName name="IQ_DIV_PAYMENT_DATE" hidden="1">"c2205"</definedName>
    <definedName name="IQ_DIV_RECORD_DATE" hidden="1">"c2204"</definedName>
    <definedName name="IQ_DIV_SHARE" hidden="1">"c330"</definedName>
    <definedName name="IQ_DIVEST_CF" hidden="1">"c331"</definedName>
    <definedName name="IQ_DIVID_SHARE" hidden="1">"c330"</definedName>
    <definedName name="IQ_DIVIDEND_YIELD" hidden="1">"c332"</definedName>
    <definedName name="IQ_DNTM" hidden="1">700000</definedName>
    <definedName name="IQ_DO" hidden="1">"c333"</definedName>
    <definedName name="IQ_DO_ASSETS_CURRENT" hidden="1">"c334"</definedName>
    <definedName name="IQ_DO_ASSETS_LT" hidden="1">"c335"</definedName>
    <definedName name="IQ_DO_CF" hidden="1">"c336"</definedName>
    <definedName name="IQ_DPAC_ACC" hidden="1">"c2799"</definedName>
    <definedName name="IQ_DPAC_AMORT" hidden="1">"c2795"</definedName>
    <definedName name="IQ_DPAC_BEG" hidden="1">"c2791"</definedName>
    <definedName name="IQ_DPAC_COMMISSIONS" hidden="1">"c2792"</definedName>
    <definedName name="IQ_DPAC_END" hidden="1">"c2801"</definedName>
    <definedName name="IQ_DPAC_FX" hidden="1">"c2798"</definedName>
    <definedName name="IQ_DPAC_OTHER_ADJ" hidden="1">"c2800"</definedName>
    <definedName name="IQ_DPAC_OTHERS" hidden="1">"c2793"</definedName>
    <definedName name="IQ_DPAC_PERIOD" hidden="1">"c2794"</definedName>
    <definedName name="IQ_DPAC_REAL_GAIN" hidden="1">"c2797"</definedName>
    <definedName name="IQ_DPAC_UNREAL_GAIN" hidden="1">"c2796"</definedName>
    <definedName name="IQ_DPS_10YR_ANN_GROWTH" hidden="1">"c337"</definedName>
    <definedName name="IQ_DPS_1YR_ANN_GROWTH" hidden="1">"c338"</definedName>
    <definedName name="IQ_DPS_2YR_ANN_GROWTH" hidden="1">"c339"</definedName>
    <definedName name="IQ_DPS_3YR_ANN_GROWTH" hidden="1">"c340"</definedName>
    <definedName name="IQ_DPS_5YR_ANN_GROWTH" hidden="1">"c341"</definedName>
    <definedName name="IQ_DPS_7YR_ANN_GROWTH" hidden="1">"c342"</definedName>
    <definedName name="IQ_DPS_ACT_OR_EST" hidden="1">"c2218"</definedName>
    <definedName name="IQ_DPS_EST" hidden="1">"c1674"</definedName>
    <definedName name="IQ_DPS_HIGH_EST" hidden="1">"c1676"</definedName>
    <definedName name="IQ_DPS_LOW_EST" hidden="1">"c1677"</definedName>
    <definedName name="IQ_DPS_MEDIAN_EST" hidden="1">"c1675"</definedName>
    <definedName name="IQ_DPS_NUM_EST" hidden="1">"c1678"</definedName>
    <definedName name="IQ_DPS_STDDEV_EST" hidden="1">"c1679"</definedName>
    <definedName name="IQ_DURATION" hidden="1">"c2181"</definedName>
    <definedName name="IQ_EARNING_ASSET_YIELD" hidden="1">"c343"</definedName>
    <definedName name="IQ_EARNING_CO" hidden="1">"c344"</definedName>
    <definedName name="IQ_EARNING_CO_10YR_ANN_GROWTH" hidden="1">"c345"</definedName>
    <definedName name="IQ_EARNING_CO_1YR_ANN_GROWTH" hidden="1">"c346"</definedName>
    <definedName name="IQ_EARNING_CO_2YR_ANN_GROWTH" hidden="1">"c347"</definedName>
    <definedName name="IQ_EARNING_CO_3YR_ANN_GROWTH" hidden="1">"c348"</definedName>
    <definedName name="IQ_EARNING_CO_5YR_ANN_GROWTH" hidden="1">"c349"</definedName>
    <definedName name="IQ_EARNING_CO_7YR_ANN_GROWTH" hidden="1">"c350"</definedName>
    <definedName name="IQ_EARNING_CO_MARGIN" hidden="1">"c351"</definedName>
    <definedName name="IQ_EARNINGS_ANNOUNCE_DATE" hidden="1">"c1649"</definedName>
    <definedName name="IQ_EBIT" hidden="1">"c352"</definedName>
    <definedName name="IQ_EBIT_10YR_ANN_GROWTH" hidden="1">"c353"</definedName>
    <definedName name="IQ_EBIT_1YR_ANN_GROWTH" hidden="1">"c354"</definedName>
    <definedName name="IQ_EBIT_2YR_ANN_GROWTH" hidden="1">"c355"</definedName>
    <definedName name="IQ_EBIT_3YR_ANN_GROWTH" hidden="1">"c356"</definedName>
    <definedName name="IQ_EBIT_5YR_ANN_GROWTH" hidden="1">"c357"</definedName>
    <definedName name="IQ_EBIT_7YR_ANN_GROWTH" hidden="1">"c358"</definedName>
    <definedName name="IQ_EBIT_ACT_OR_EST" hidden="1">"c2219"</definedName>
    <definedName name="IQ_EBIT_EST" hidden="1">"c1681"</definedName>
    <definedName name="IQ_EBIT_HIGH_EST" hidden="1">"c1683"</definedName>
    <definedName name="IQ_EBIT_INT" hidden="1">"c360"</definedName>
    <definedName name="IQ_EBIT_LOW_EST" hidden="1">"c1684"</definedName>
    <definedName name="IQ_EBIT_MARGIN" hidden="1">"c359"</definedName>
    <definedName name="IQ_EBIT_MEDIAN_EST" hidden="1">"c1682"</definedName>
    <definedName name="IQ_EBIT_NUM_EST" hidden="1">"c1685"</definedName>
    <definedName name="IQ_EBIT_OVER_IE" hidden="1">"c360"</definedName>
    <definedName name="IQ_EBIT_STDDEV_EST" hidden="1">"c1686"</definedName>
    <definedName name="IQ_EBITA" hidden="1">"c1910"</definedName>
    <definedName name="IQ_EBITA_10YR_ANN_GROWTH" hidden="1">"c1954"</definedName>
    <definedName name="IQ_EBITA_1YR_ANN_GROWTH" hidden="1">"c1949"</definedName>
    <definedName name="IQ_EBITA_2YR_ANN_GROWTH" hidden="1">"c1950"</definedName>
    <definedName name="IQ_EBITA_3YR_ANN_GROWTH" hidden="1">"c1951"</definedName>
    <definedName name="IQ_EBITA_5YR_ANN_GROWTH" hidden="1">"c1952"</definedName>
    <definedName name="IQ_EBITA_7YR_ANN_GROWTH" hidden="1">"c1953"</definedName>
    <definedName name="IQ_EBITA_MARGIN" hidden="1">"c1963"</definedName>
    <definedName name="IQ_EBITDA" hidden="1">"c361"</definedName>
    <definedName name="IQ_EBITDA_10YR_ANN_GROWTH" hidden="1">"c362"</definedName>
    <definedName name="IQ_EBITDA_1YR_ANN_GROWTH" hidden="1">"c363"</definedName>
    <definedName name="IQ_EBITDA_2YR_ANN_GROWTH" hidden="1">"c364"</definedName>
    <definedName name="IQ_EBITDA_3YR_ANN_GROWTH" hidden="1">"c365"</definedName>
    <definedName name="IQ_EBITDA_5YR_ANN_GROWTH" hidden="1">"c366"</definedName>
    <definedName name="IQ_EBITDA_7YR_ANN_GROWTH" hidden="1">"c367"</definedName>
    <definedName name="IQ_EBITDA_ACT_OR_EST" hidden="1">"c2215"</definedName>
    <definedName name="IQ_EBITDA_CAPEX_INT" hidden="1">"c368"</definedName>
    <definedName name="IQ_EBITDA_CAPEX_OVER_TOTAL_IE" hidden="1">"c368"</definedName>
    <definedName name="IQ_EBITDA_EST" hidden="1">"c369"</definedName>
    <definedName name="IQ_EBITDA_HIGH_EST" hidden="1">"c370"</definedName>
    <definedName name="IQ_EBITDA_INT" hidden="1">"c373"</definedName>
    <definedName name="IQ_EBITDA_LOW_EST" hidden="1">"c371"</definedName>
    <definedName name="IQ_EBITDA_MARGIN" hidden="1">"c372"</definedName>
    <definedName name="IQ_EBITDA_MEDIAN_EST" hidden="1">"c1663"</definedName>
    <definedName name="IQ_EBITDA_NUM_EST" hidden="1">"c374"</definedName>
    <definedName name="IQ_EBITDA_OVER_TOTAL_IE" hidden="1">"c373"</definedName>
    <definedName name="IQ_EBITDA_STDDEV_EST" hidden="1">"c375"</definedName>
    <definedName name="IQ_EBITDAR" hidden="1">"c2989"</definedName>
    <definedName name="IQ_EBT" hidden="1">"c376"</definedName>
    <definedName name="IQ_EBT_BNK" hidden="1">"c377"</definedName>
    <definedName name="IQ_EBT_BR" hidden="1">"c378"</definedName>
    <definedName name="IQ_EBT_EXCL" hidden="1">"c379"</definedName>
    <definedName name="IQ_EBT_EXCL_BNK" hidden="1">"c380"</definedName>
    <definedName name="IQ_EBT_EXCL_BR" hidden="1">"c381"</definedName>
    <definedName name="IQ_EBT_EXCL_FIN" hidden="1">"c382"</definedName>
    <definedName name="IQ_EBT_EXCL_INS" hidden="1">"c383"</definedName>
    <definedName name="IQ_EBT_EXCL_MARGIN" hidden="1">"c1462"</definedName>
    <definedName name="IQ_EBT_EXCL_REIT" hidden="1">"c384"</definedName>
    <definedName name="IQ_EBT_EXCL_UTI" hidden="1">"c385"</definedName>
    <definedName name="IQ_EBT_FIN" hidden="1">"c386"</definedName>
    <definedName name="IQ_EBT_INCL_MARGIN" hidden="1">"c387"</definedName>
    <definedName name="IQ_EBT_INS" hidden="1">"c388"</definedName>
    <definedName name="IQ_EBT_REIT" hidden="1">"c389"</definedName>
    <definedName name="IQ_EBT_UTI" hidden="1">"c390"</definedName>
    <definedName name="IQ_EFFECT_SPECIAL_CHARGE" hidden="1">"c1595"</definedName>
    <definedName name="IQ_EFFECT_TAX_RATE" hidden="1">"c1899"</definedName>
    <definedName name="IQ_EFFICIENCY_RATIO" hidden="1">"c391"</definedName>
    <definedName name="IQ_EMPLOYEES" hidden="1">"c392"</definedName>
    <definedName name="IQ_ENTERPRISE_VALUE" hidden="1">"c84"</definedName>
    <definedName name="IQ_EPS_10YR_ANN_GROWTH" hidden="1">"c393"</definedName>
    <definedName name="IQ_EPS_1YR_ANN_GROWTH" hidden="1">"c394"</definedName>
    <definedName name="IQ_EPS_2YR_ANN_GROWTH" hidden="1">"c395"</definedName>
    <definedName name="IQ_EPS_3YR_ANN_GROWTH" hidden="1">"c396"</definedName>
    <definedName name="IQ_EPS_5YR_ANN_GROWTH" hidden="1">"c397"</definedName>
    <definedName name="IQ_EPS_7YR_ANN_GROWTH" hidden="1">"c398"</definedName>
    <definedName name="IQ_EPS_ACT_OR_EST" hidden="1">"c2213"</definedName>
    <definedName name="IQ_EPS_EST" hidden="1">"c399"</definedName>
    <definedName name="IQ_EPS_GW_ACT_OR_EST" hidden="1">"c2223"</definedName>
    <definedName name="IQ_EPS_GW_EST" hidden="1">"c1737"</definedName>
    <definedName name="IQ_EPS_GW_HIGH_EST" hidden="1">"c1739"</definedName>
    <definedName name="IQ_EPS_GW_LOW_EST" hidden="1">"c1740"</definedName>
    <definedName name="IQ_EPS_GW_MEDIAN_EST" hidden="1">"c1738"</definedName>
    <definedName name="IQ_EPS_GW_NUM_EST" hidden="1">"c1741"</definedName>
    <definedName name="IQ_EPS_GW_STDDEV_EST" hidden="1">"c1742"</definedName>
    <definedName name="IQ_EPS_HIGH_EST" hidden="1">"c400"</definedName>
    <definedName name="IQ_EPS_LOW_EST" hidden="1">"c401"</definedName>
    <definedName name="IQ_EPS_MEDIAN_EST" hidden="1">"c1661"</definedName>
    <definedName name="IQ_EPS_NORM" hidden="1">"c1902"</definedName>
    <definedName name="IQ_EPS_NORM_EST" hidden="1">"c2226"</definedName>
    <definedName name="IQ_EPS_NORM_HIGH_EST" hidden="1">"c2228"</definedName>
    <definedName name="IQ_EPS_NORM_LOW_EST" hidden="1">"c2229"</definedName>
    <definedName name="IQ_EPS_NORM_MEDIAN_EST" hidden="1">"c2227"</definedName>
    <definedName name="IQ_EPS_NORM_NUM_EST" hidden="1">"c2230"</definedName>
    <definedName name="IQ_EPS_NORM_STDDEV_EST" hidden="1">"c2231"</definedName>
    <definedName name="IQ_EPS_NUM_EST" hidden="1">"c402"</definedName>
    <definedName name="IQ_EPS_REPORT_ACT_OR_EST" hidden="1">"c2224"</definedName>
    <definedName name="IQ_EPS_REPORTED_EST" hidden="1">"c1744"</definedName>
    <definedName name="IQ_EPS_REPORTED_HIGH_EST" hidden="1">"c1746"</definedName>
    <definedName name="IQ_EPS_REPORTED_LOW_EST" hidden="1">"c1747"</definedName>
    <definedName name="IQ_EPS_REPORTED_MEDIAN_EST" hidden="1">"c1745"</definedName>
    <definedName name="IQ_EPS_REPORTED_NUM_EST" hidden="1">"c1748"</definedName>
    <definedName name="IQ_EPS_REPORTED_STDDEV_EST" hidden="1">"c1749"</definedName>
    <definedName name="IQ_EPS_STDDEV_EST" hidden="1">"c403"</definedName>
    <definedName name="IQ_EQUITY_AFFIL" hidden="1">"c552"</definedName>
    <definedName name="IQ_EQUITY_METHOD" hidden="1">"c404"</definedName>
    <definedName name="IQ_EQV_OVER_BV" hidden="1">"c1596"</definedName>
    <definedName name="IQ_EQV_OVER_LTM_PRETAX_INC" hidden="1">"c739"</definedName>
    <definedName name="IQ_ESOP_DEBT" hidden="1">"c1597"</definedName>
    <definedName name="IQ_EST_ACT_CFPS" hidden="1">"c1673"</definedName>
    <definedName name="IQ_EST_ACT_DPS" hidden="1">"c1680"</definedName>
    <definedName name="IQ_EST_ACT_EBIT" hidden="1">"c1687"</definedName>
    <definedName name="IQ_EST_ACT_EBITDA" hidden="1">"c1664"</definedName>
    <definedName name="IQ_EST_ACT_EPS" hidden="1">"c1648"</definedName>
    <definedName name="IQ_EST_ACT_EPS_GW" hidden="1">"c1743"</definedName>
    <definedName name="IQ_EST_ACT_EPS_NORM" hidden="1">"c2232"</definedName>
    <definedName name="IQ_EST_ACT_EPS_REPORTED" hidden="1">"c1750"</definedName>
    <definedName name="IQ_EST_ACT_FFO" hidden="1">"c1666"</definedName>
    <definedName name="IQ_EST_ACT_NAV" hidden="1">"c1757"</definedName>
    <definedName name="IQ_EST_ACT_NI" hidden="1">"c1722"</definedName>
    <definedName name="IQ_EST_ACT_NI_GW" hidden="1">"c1729"</definedName>
    <definedName name="IQ_EST_ACT_NI_REPORTED" hidden="1">"c1736"</definedName>
    <definedName name="IQ_EST_ACT_OPER_INC" hidden="1">"c1694"</definedName>
    <definedName name="IQ_EST_ACT_PRETAX_GW_INC" hidden="1">"c1708"</definedName>
    <definedName name="IQ_EST_ACT_PRETAX_INC" hidden="1">"c1701"</definedName>
    <definedName name="IQ_EST_ACT_PRETAX_REPORT_INC" hidden="1">"c1715"</definedName>
    <definedName name="IQ_EST_ACT_REV" hidden="1">"c2113"</definedName>
    <definedName name="IQ_EST_CFPS_DIFF" hidden="1">"c1871"</definedName>
    <definedName name="IQ_EST_CFPS_GROWTH_1YR" hidden="1">"c1774"</definedName>
    <definedName name="IQ_EST_CFPS_GROWTH_2YR" hidden="1">"c1775"</definedName>
    <definedName name="IQ_EST_CFPS_GROWTH_Q_1YR" hidden="1">"c1776"</definedName>
    <definedName name="IQ_EST_CFPS_SEQ_GROWTH_Q" hidden="1">"c1777"</definedName>
    <definedName name="IQ_EST_CFPS_SURPRISE_PERCENT" hidden="1">"c1872"</definedName>
    <definedName name="IQ_EST_CURRENCY" hidden="1">"c2140"</definedName>
    <definedName name="IQ_EST_DATE" hidden="1">"c1634"</definedName>
    <definedName name="IQ_EST_DPS_DIFF" hidden="1">"c1873"</definedName>
    <definedName name="IQ_EST_DPS_GROWTH_1YR" hidden="1">"c1778"</definedName>
    <definedName name="IQ_EST_DPS_GROWTH_2YR" hidden="1">"c1779"</definedName>
    <definedName name="IQ_EST_DPS_GROWTH_Q_1YR" hidden="1">"c1780"</definedName>
    <definedName name="IQ_EST_DPS_SEQ_GROWTH_Q" hidden="1">"c1781"</definedName>
    <definedName name="IQ_EST_DPS_SURPRISE_PERCENT" hidden="1">"c1874"</definedName>
    <definedName name="IQ_EST_EBIT_DIFF" hidden="1">"c1875"</definedName>
    <definedName name="IQ_EST_EBIT_SURPRISE_PERCENT" hidden="1">"c1876"</definedName>
    <definedName name="IQ_EST_EBITDA_DIFF" hidden="1">"c1867"</definedName>
    <definedName name="IQ_EST_EBITDA_GROWTH_1YR" hidden="1">"c1766"</definedName>
    <definedName name="IQ_EST_EBITDA_GROWTH_2YR" hidden="1">"c1767"</definedName>
    <definedName name="IQ_EST_EBITDA_GROWTH_Q_1YR" hidden="1">"c1768"</definedName>
    <definedName name="IQ_EST_EBITDA_SEQ_GROWTH_Q" hidden="1">"c1769"</definedName>
    <definedName name="IQ_EST_EBITDA_SURPRISE_PERCENT" hidden="1">"c1868"</definedName>
    <definedName name="IQ_EST_EPS_DIFF" hidden="1">"c1864"</definedName>
    <definedName name="IQ_EST_EPS_GROWTH_1YR" hidden="1">"c1636"</definedName>
    <definedName name="IQ_EST_EPS_GROWTH_2YR" hidden="1">"c1637"</definedName>
    <definedName name="IQ_EST_EPS_GROWTH_5YR" hidden="1">"c1655"</definedName>
    <definedName name="IQ_EST_EPS_GROWTH_5YR_HIGH" hidden="1">"c1657"</definedName>
    <definedName name="IQ_EST_EPS_GROWTH_5YR_LOW" hidden="1">"c1658"</definedName>
    <definedName name="IQ_EST_EPS_GROWTH_5YR_MEDIAN" hidden="1">"c1656"</definedName>
    <definedName name="IQ_EST_EPS_GROWTH_5YR_NUM" hidden="1">"c1659"</definedName>
    <definedName name="IQ_EST_EPS_GROWTH_5YR_STDDEV" hidden="1">"c1660"</definedName>
    <definedName name="IQ_EST_EPS_GROWTH_Q_1YR" hidden="1">"c1641"</definedName>
    <definedName name="IQ_EST_EPS_GW_DIFF" hidden="1">"c1891"</definedName>
    <definedName name="IQ_EST_EPS_GW_SURPRISE_PERCENT" hidden="1">"c1892"</definedName>
    <definedName name="IQ_EST_EPS_NORM_DIFF" hidden="1">"c2247"</definedName>
    <definedName name="IQ_EST_EPS_NORM_SURPRISE_PERCENT" hidden="1">"c2248"</definedName>
    <definedName name="IQ_EST_EPS_REPORT_DIFF" hidden="1">"c1893"</definedName>
    <definedName name="IQ_EST_EPS_REPORT_SURPRISE_PERCENT" hidden="1">"c1894"</definedName>
    <definedName name="IQ_EST_EPS_SEQ_GROWTH_Q" hidden="1">"c1764"</definedName>
    <definedName name="IQ_EST_EPS_SURPRISE" hidden="1">"c1635"</definedName>
    <definedName name="IQ_EST_EPS_SURPRISE_PERCENT" hidden="1">"c1635"</definedName>
    <definedName name="IQ_EST_FFO_DIFF" hidden="1">"c1869"</definedName>
    <definedName name="IQ_EST_FFO_GROWTH_1YR" hidden="1">"c1770"</definedName>
    <definedName name="IQ_EST_FFO_GROWTH_2YR" hidden="1">"c1771"</definedName>
    <definedName name="IQ_EST_FFO_GROWTH_Q_1YR" hidden="1">"c1772"</definedName>
    <definedName name="IQ_EST_FFO_SEQ_GROWTH_Q" hidden="1">"c1773"</definedName>
    <definedName name="IQ_EST_FFO_SURPRISE_PERCENT" hidden="1">"c1870"</definedName>
    <definedName name="IQ_EST_NAV_DIFF" hidden="1">"c1895"</definedName>
    <definedName name="IQ_EST_NAV_SURPRISE_PERCENT" hidden="1">"c1896"</definedName>
    <definedName name="IQ_EST_NI_DIFF" hidden="1">"c1885"</definedName>
    <definedName name="IQ_EST_NI_GW_DIFF" hidden="1">"c1887"</definedName>
    <definedName name="IQ_EST_NI_GW_SURPRISE_PERCENT" hidden="1">"c1888"</definedName>
    <definedName name="IQ_EST_NI_REPORT_DIFF" hidden="1">"c1889"</definedName>
    <definedName name="IQ_EST_NI_REPORT_SURPRISE_PERCENT" hidden="1">"c1890"</definedName>
    <definedName name="IQ_EST_NI_SURPRISE_PERCENT" hidden="1">"c1886"</definedName>
    <definedName name="IQ_EST_NUM_BUY" hidden="1">"c1759"</definedName>
    <definedName name="IQ_EST_NUM_HOLD" hidden="1">"c1761"</definedName>
    <definedName name="IQ_EST_NUM_NO_OPINION" hidden="1">"c1758"</definedName>
    <definedName name="IQ_EST_NUM_OUTPERFORM" hidden="1">"c1760"</definedName>
    <definedName name="IQ_EST_NUM_SELL" hidden="1">"c1763"</definedName>
    <definedName name="IQ_EST_NUM_UNDERPERFORM" hidden="1">"c1762"</definedName>
    <definedName name="IQ_EST_OPER_INC_DIFF" hidden="1">"c1877"</definedName>
    <definedName name="IQ_EST_OPER_INC_SURPRISE_PERCENT" hidden="1">"c1878"</definedName>
    <definedName name="IQ_EST_PRE_TAX_DIFF" hidden="1">"c1879"</definedName>
    <definedName name="IQ_EST_PRE_TAX_GW_DIFF" hidden="1">"c1881"</definedName>
    <definedName name="IQ_EST_PRE_TAX_GW_SURPRISE_PERCENT" hidden="1">"c1882"</definedName>
    <definedName name="IQ_EST_PRE_TAX_REPORT_DIFF" hidden="1">"c1883"</definedName>
    <definedName name="IQ_EST_PRE_TAX_REPORT_SURPRISE_PERCENT" hidden="1">"c1884"</definedName>
    <definedName name="IQ_EST_PRE_TAX_SURPRISE_PERCENT" hidden="1">"c1880"</definedName>
    <definedName name="IQ_EST_REV_DIFF" hidden="1">"c1865"</definedName>
    <definedName name="IQ_EST_REV_GROWTH_1YR" hidden="1">"c1638"</definedName>
    <definedName name="IQ_EST_REV_GROWTH_2YR" hidden="1">"c1639"</definedName>
    <definedName name="IQ_EST_REV_GROWTH_Q_1YR" hidden="1">"c1640"</definedName>
    <definedName name="IQ_EST_REV_SEQ_GROWTH_Q" hidden="1">"c1765"</definedName>
    <definedName name="IQ_EST_REV_SURPRISE_PERCENT" hidden="1">"c1866"</definedName>
    <definedName name="IQ_EV_OVER_EMPLOYEE" hidden="1">"c1225"</definedName>
    <definedName name="IQ_EV_OVER_LTM_EBIT" hidden="1">"c1221"</definedName>
    <definedName name="IQ_EV_OVER_LTM_EBITDA" hidden="1">"c1223"</definedName>
    <definedName name="IQ_EV_OVER_LTM_REVENUE" hidden="1">"c1227"</definedName>
    <definedName name="IQ_EVAL_DATE" hidden="1">"c2180"</definedName>
    <definedName name="IQ_EXCHANGE" hidden="1">"c405"</definedName>
    <definedName name="IQ_EXERCISE_PRICE" hidden="1">"c406"</definedName>
    <definedName name="IQ_EXERCISED" hidden="1">"c406"</definedName>
    <definedName name="IQ_EXP_RETURN_PENSION_DOMESTIC" hidden="1">"c407"</definedName>
    <definedName name="IQ_EXP_RETURN_PENSION_FOREIGN" hidden="1">"c408"</definedName>
    <definedName name="IQ_EXPLORE_DRILL" hidden="1">"c409"</definedName>
    <definedName name="IQ_EXTRA_ACC_ITEMS" hidden="1">"c410"</definedName>
    <definedName name="IQ_EXTRA_ACC_ITEMS_BNK" hidden="1">"c411"</definedName>
    <definedName name="IQ_EXTRA_ACC_ITEMS_BR" hidden="1">"c412"</definedName>
    <definedName name="IQ_EXTRA_ACC_ITEMS_FIN" hidden="1">"c413"</definedName>
    <definedName name="IQ_EXTRA_ACC_ITEMS_INS" hidden="1">"c414"</definedName>
    <definedName name="IQ_EXTRA_ACC_ITEMS_REIT" hidden="1">"c415"</definedName>
    <definedName name="IQ_EXTRA_ACC_ITEMS_UTI" hidden="1">"c416"</definedName>
    <definedName name="IQ_EXTRA_ITEMS" hidden="1">"c413"</definedName>
    <definedName name="IQ_FDIC" hidden="1">"c417"</definedName>
    <definedName name="IQ_FEDFUNDS_SOLD" hidden="1">"c2256"</definedName>
    <definedName name="IQ_FFO" hidden="1">"c1574"</definedName>
    <definedName name="IQ_FFO_ACT_OR_EST" hidden="1">"c2216"</definedName>
    <definedName name="IQ_FFO_EST" hidden="1">"c418"</definedName>
    <definedName name="IQ_FFO_HIGH_EST" hidden="1">"c419"</definedName>
    <definedName name="IQ_FFO_LOW_EST" hidden="1">"c420"</definedName>
    <definedName name="IQ_FFO_MEDIAN_EST" hidden="1">"c1665"</definedName>
    <definedName name="IQ_FFO_NUM_EST" hidden="1">"c421"</definedName>
    <definedName name="IQ_FFO_STDDEV_EST" hidden="1">"c422"</definedName>
    <definedName name="IQ_FH" hidden="1">100000</definedName>
    <definedName name="IQ_FHLB_DEBT" hidden="1">"c423"</definedName>
    <definedName name="IQ_FHLB_DUE_CY" hidden="1">"c2080"</definedName>
    <definedName name="IQ_FHLB_DUE_CY1" hidden="1">"c2081"</definedName>
    <definedName name="IQ_FHLB_DUE_CY2" hidden="1">"c2082"</definedName>
    <definedName name="IQ_FHLB_DUE_CY3" hidden="1">"c2083"</definedName>
    <definedName name="IQ_FHLB_DUE_CY4" hidden="1">"c2084"</definedName>
    <definedName name="IQ_FHLB_DUE_NEXT_FIVE" hidden="1">"c2085"</definedName>
    <definedName name="IQ_FILING_CURRENCY" hidden="1">"c2129"</definedName>
    <definedName name="IQ_FILINGDATE_BS" hidden="1">"c424"</definedName>
    <definedName name="IQ_FILINGDATE_CF" hidden="1">"c425"</definedName>
    <definedName name="IQ_FILINGDATE_IS" hidden="1">"c426"</definedName>
    <definedName name="IQ_FILM_RIGHTS" hidden="1">"c2254"</definedName>
    <definedName name="IQ_FIN_DIV_ASSETS_CURRENT" hidden="1">"c427"</definedName>
    <definedName name="IQ_FIN_DIV_ASSETS_LT" hidden="1">"c428"</definedName>
    <definedName name="IQ_FIN_DIV_DEBT_CURRENT" hidden="1">"c429"</definedName>
    <definedName name="IQ_FIN_DIV_DEBT_LT" hidden="1">"c430"</definedName>
    <definedName name="IQ_FIN_DIV_EXP" hidden="1">"c431"</definedName>
    <definedName name="IQ_FIN_DIV_INT_EXP" hidden="1">"c432"</definedName>
    <definedName name="IQ_FIN_DIV_LIAB_CURRENT" hidden="1">"c433"</definedName>
    <definedName name="IQ_FIN_DIV_LIAB_LT" hidden="1">"c434"</definedName>
    <definedName name="IQ_FIN_DIV_LOANS_CURRENT" hidden="1">"c435"</definedName>
    <definedName name="IQ_FIN_DIV_LOANS_LT" hidden="1">"c436"</definedName>
    <definedName name="IQ_FIN_DIV_REV" hidden="1">"c437"</definedName>
    <definedName name="IQ_FINANCING_CASH" hidden="1">"c893"</definedName>
    <definedName name="IQ_FINANCING_CASH_SUPPL" hidden="1">"c899"</definedName>
    <definedName name="IQ_FINISHED_INV" hidden="1">"c438"</definedName>
    <definedName name="IQ_FIRST_INT_DATE" hidden="1">"c2186"</definedName>
    <definedName name="IQ_FIRST_YEAR_LIFE" hidden="1">"c439"</definedName>
    <definedName name="IQ_FIRST_YEAR_LIFE_PREM" hidden="1">"c2787"</definedName>
    <definedName name="IQ_FIRST_YEAR_PREM" hidden="1">"c2786"</definedName>
    <definedName name="IQ_FIRSTPRICINGDATE" hidden="1">"c3050"</definedName>
    <definedName name="IQ_FISCAL_Q" hidden="1">"c440"</definedName>
    <definedName name="IQ_FISCAL_Y" hidden="1">"c441"</definedName>
    <definedName name="IQ_FIVE_PERCENT_OWNER" hidden="1">"c442"</definedName>
    <definedName name="IQ_FIVEPERCENT_PERCENT" hidden="1">"c443"</definedName>
    <definedName name="IQ_FIVEPERCENT_SHARES" hidden="1">"c444"</definedName>
    <definedName name="IQ_FIXED_ASSET_TURNS" hidden="1">"c445"</definedName>
    <definedName name="IQ_FLOAT_PERCENT" hidden="1">"c1575"</definedName>
    <definedName name="IQ_FOREIGN_DEP_IB" hidden="1">"c446"</definedName>
    <definedName name="IQ_FOREIGN_DEP_NON_IB" hidden="1">"c447"</definedName>
    <definedName name="IQ_FOREIGN_EXCHANGE" hidden="1">"c451"</definedName>
    <definedName name="IQ_FOREIGN_LOANS" hidden="1">"c448"</definedName>
    <definedName name="IQ_FQ" hidden="1">500</definedName>
    <definedName name="IQ_FUEL" hidden="1">"c449"</definedName>
    <definedName name="IQ_FULL_TIME" hidden="1">"c450"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X" hidden="1">"c451"</definedName>
    <definedName name="IQ_FY" hidden="1">1000</definedName>
    <definedName name="IQ_GA_EXP" hidden="1">"c2241"</definedName>
    <definedName name="IQ_GAIN_ASSETS" hidden="1">"c452"</definedName>
    <definedName name="IQ_GAIN_ASSETS_BNK" hidden="1">"c453"</definedName>
    <definedName name="IQ_GAIN_ASSETS_BR" hidden="1">"c454"</definedName>
    <definedName name="IQ_GAIN_ASSETS_CF" hidden="1">"c455"</definedName>
    <definedName name="IQ_GAIN_ASSETS_CF_BNK" hidden="1">"c456"</definedName>
    <definedName name="IQ_GAIN_ASSETS_CF_BR" hidden="1">"c457"</definedName>
    <definedName name="IQ_GAIN_ASSETS_CF_FIN" hidden="1">"c458"</definedName>
    <definedName name="IQ_GAIN_ASSETS_CF_INS" hidden="1">"c459"</definedName>
    <definedName name="IQ_GAIN_ASSETS_CF_REIT" hidden="1">"c460"</definedName>
    <definedName name="IQ_GAIN_ASSETS_CF_UTI" hidden="1">"c461"</definedName>
    <definedName name="IQ_GAIN_ASSETS_FIN" hidden="1">"c462"</definedName>
    <definedName name="IQ_GAIN_ASSETS_INS" hidden="1">"c463"</definedName>
    <definedName name="IQ_GAIN_ASSETS_REIT" hidden="1">"c471"</definedName>
    <definedName name="IQ_GAIN_ASSETS_REV" hidden="1">"c472"</definedName>
    <definedName name="IQ_GAIN_ASSETS_REV_BNK" hidden="1">"c473"</definedName>
    <definedName name="IQ_GAIN_ASSETS_REV_BR" hidden="1">"c474"</definedName>
    <definedName name="IQ_GAIN_ASSETS_REV_FIN" hidden="1">"c475"</definedName>
    <definedName name="IQ_GAIN_ASSETS_REV_INS" hidden="1">"c476"</definedName>
    <definedName name="IQ_GAIN_ASSETS_REV_REIT" hidden="1">"c477"</definedName>
    <definedName name="IQ_GAIN_ASSETS_REV_UTI" hidden="1">"c478"</definedName>
    <definedName name="IQ_GAIN_ASSETS_UTI" hidden="1">"c479"</definedName>
    <definedName name="IQ_GAIN_INVEST" hidden="1">"c1463"</definedName>
    <definedName name="IQ_GAIN_INVEST_BNK" hidden="1">"c1582"</definedName>
    <definedName name="IQ_GAIN_INVEST_BR" hidden="1">"c1464"</definedName>
    <definedName name="IQ_GAIN_INVEST_CF" hidden="1">"c480"</definedName>
    <definedName name="IQ_GAIN_INVEST_CF_BNK" hidden="1">"c481"</definedName>
    <definedName name="IQ_GAIN_INVEST_CF_BR" hidden="1">"c482"</definedName>
    <definedName name="IQ_GAIN_INVEST_CF_FIN" hidden="1">"c483"</definedName>
    <definedName name="IQ_GAIN_INVEST_CF_INS" hidden="1">"c484"</definedName>
    <definedName name="IQ_GAIN_INVEST_CF_REIT" hidden="1">"c485"</definedName>
    <definedName name="IQ_GAIN_INVEST_CF_UTI" hidden="1">"c486"</definedName>
    <definedName name="IQ_GAIN_INVEST_FIN" hidden="1">"c1465"</definedName>
    <definedName name="IQ_GAIN_INVEST_INS" hidden="1">"c1466"</definedName>
    <definedName name="IQ_GAIN_INVEST_REIT" hidden="1">"c1467"</definedName>
    <definedName name="IQ_GAIN_INVEST_REV" hidden="1">"c494"</definedName>
    <definedName name="IQ_GAIN_INVEST_REV_BNK" hidden="1">"c495"</definedName>
    <definedName name="IQ_GAIN_INVEST_REV_BR" hidden="1">"c496"</definedName>
    <definedName name="IQ_GAIN_INVEST_REV_FIN" hidden="1">"c497"</definedName>
    <definedName name="IQ_GAIN_INVEST_REV_INS" hidden="1">"c498"</definedName>
    <definedName name="IQ_GAIN_INVEST_REV_REIT" hidden="1">"c499"</definedName>
    <definedName name="IQ_GAIN_INVEST_REV_UTI" hidden="1">"c500"</definedName>
    <definedName name="IQ_GAIN_INVEST_UTI" hidden="1">"c1468"</definedName>
    <definedName name="IQ_GAIN_LOANS_REC" hidden="1">"c501"</definedName>
    <definedName name="IQ_GAIN_LOANS_RECEIV" hidden="1">"c502"</definedName>
    <definedName name="IQ_GAIN_LOANS_RECEIV_REV_FIN" hidden="1">"c503"</definedName>
    <definedName name="IQ_GAIN_LOANS_REV" hidden="1">"c504"</definedName>
    <definedName name="IQ_GAIN_SALE_ASSETS" hidden="1">"c452"</definedName>
    <definedName name="IQ_GOODWILL_NET" hidden="1">"c530"</definedName>
    <definedName name="IQ_GP" hidden="1">"c511"</definedName>
    <definedName name="IQ_GP_10YR_ANN_GROWTH" hidden="1">"c512"</definedName>
    <definedName name="IQ_GP_1YR_ANN_GROWTH" hidden="1">"c513"</definedName>
    <definedName name="IQ_GP_2YR_ANN_GROWTH" hidden="1">"c514"</definedName>
    <definedName name="IQ_GP_3YR_ANN_GROWTH" hidden="1">"c515"</definedName>
    <definedName name="IQ_GP_5YR_ANN_GROWTH" hidden="1">"c516"</definedName>
    <definedName name="IQ_GP_7YR_ANN_GROWTH" hidden="1">"c517"</definedName>
    <definedName name="IQ_GPPE" hidden="1">"c518"</definedName>
    <definedName name="IQ_GROSS_AH_EARNED" hidden="1">"c2742"</definedName>
    <definedName name="IQ_GROSS_CLAIM_EXP_INCUR" hidden="1">"c2755"</definedName>
    <definedName name="IQ_GROSS_CLAIM_EXP_PAID" hidden="1">"c2758"</definedName>
    <definedName name="IQ_GROSS_CLAIM_EXP_RES" hidden="1">"c2752"</definedName>
    <definedName name="IQ_GROSS_DIVID" hidden="1">"c192"</definedName>
    <definedName name="IQ_GROSS_EARNED" hidden="1">"c2732"</definedName>
    <definedName name="IQ_GROSS_LIFE_EARNED" hidden="1">"c2737"</definedName>
    <definedName name="IQ_GROSS_LIFE_IN_FORCE" hidden="1">"c2767"</definedName>
    <definedName name="IQ_GROSS_LOANS" hidden="1">"c521"</definedName>
    <definedName name="IQ_GROSS_LOANS_10YR_ANN_GROWTH" hidden="1">"c522"</definedName>
    <definedName name="IQ_GROSS_LOANS_1YR_ANN_GROWTH" hidden="1">"c523"</definedName>
    <definedName name="IQ_GROSS_LOANS_2YR_ANN_GROWTH" hidden="1">"c524"</definedName>
    <definedName name="IQ_GROSS_LOANS_3YR_ANN_GROWTH" hidden="1">"c525"</definedName>
    <definedName name="IQ_GROSS_LOANS_5YR_ANN_GROWTH" hidden="1">"c526"</definedName>
    <definedName name="IQ_GROSS_LOANS_7YR_ANN_GROWTH" hidden="1">"c527"</definedName>
    <definedName name="IQ_GROSS_LOANS_TOTAL_DEPOSITS" hidden="1">"c528"</definedName>
    <definedName name="IQ_GROSS_MARGIN" hidden="1">"c529"</definedName>
    <definedName name="IQ_GROSS_PC_EARNED" hidden="1">"c2747"</definedName>
    <definedName name="IQ_GROSS_PROFIT" hidden="1">"c511"</definedName>
    <definedName name="IQ_GROSS_SPRD" hidden="1">"c2155"</definedName>
    <definedName name="IQ_GROSS_WRITTEN" hidden="1">"c2726"</definedName>
    <definedName name="IQ_GW" hidden="1">"c530"</definedName>
    <definedName name="IQ_GW_AMORT_BR" hidden="1">"c532"</definedName>
    <definedName name="IQ_GW_AMORT_FIN" hidden="1">"c540"</definedName>
    <definedName name="IQ_GW_AMORT_INS" hidden="1">"c541"</definedName>
    <definedName name="IQ_GW_AMORT_REIT" hidden="1">"c542"</definedName>
    <definedName name="IQ_GW_AMORT_UTI" hidden="1">"c543"</definedName>
    <definedName name="IQ_GW_INTAN_AMORT" hidden="1">"c1469"</definedName>
    <definedName name="IQ_GW_INTAN_AMORT_BNK" hidden="1">"c544"</definedName>
    <definedName name="IQ_GW_INTAN_AMORT_BR" hidden="1">"c1470"</definedName>
    <definedName name="IQ_GW_INTAN_AMORT_CF" hidden="1">"c1471"</definedName>
    <definedName name="IQ_GW_INTAN_AMORT_CF_BNK" hidden="1">"c1472"</definedName>
    <definedName name="IQ_GW_INTAN_AMORT_CF_BR" hidden="1">"c1473"</definedName>
    <definedName name="IQ_GW_INTAN_AMORT_CF_FIN" hidden="1">"c1474"</definedName>
    <definedName name="IQ_GW_INTAN_AMORT_CF_INS" hidden="1">"c1475"</definedName>
    <definedName name="IQ_GW_INTAN_AMORT_CF_REIT" hidden="1">"c1476"</definedName>
    <definedName name="IQ_GW_INTAN_AMORT_CF_UTI" hidden="1">"c1477"</definedName>
    <definedName name="IQ_GW_INTAN_AMORT_FIN" hidden="1">"c1478"</definedName>
    <definedName name="IQ_GW_INTAN_AMORT_INS" hidden="1">"c1479"</definedName>
    <definedName name="IQ_GW_INTAN_AMORT_REIT" hidden="1">"c1480"</definedName>
    <definedName name="IQ_GW_INTAN_AMORT_UTI" hidden="1">"c1481"</definedName>
    <definedName name="IQ_HIGH_TARGET_PRICE" hidden="1">"c1651"</definedName>
    <definedName name="IQ_HIGHPRICE" hidden="1">"c545"</definedName>
    <definedName name="IQ_HOMEOWNERS_WRITTEN" hidden="1">"c546"</definedName>
    <definedName name="IQ_IMPAIR_OIL" hidden="1">"c547"</definedName>
    <definedName name="IQ_IMPAIRMENT_GW" hidden="1">"c548"</definedName>
    <definedName name="IQ_IMPUT_OPER_LEASE_DEPR" hidden="1">"c2987"</definedName>
    <definedName name="IQ_IMPUT_OPER_LEASE_INT_EXP" hidden="1">"c2986"</definedName>
    <definedName name="IQ_INC_AFTER_TAX" hidden="1">"c1598"</definedName>
    <definedName name="IQ_INC_AVAIL_EXCL" hidden="1">"c789"</definedName>
    <definedName name="IQ_INC_AVAIL_INCL" hidden="1">"c791"</definedName>
    <definedName name="IQ_INC_BEFORE_TAX" hidden="1">"c386"</definedName>
    <definedName name="IQ_INC_EQUITY" hidden="1">"c549"</definedName>
    <definedName name="IQ_INC_EQUITY_BR" hidden="1">"c550"</definedName>
    <definedName name="IQ_INC_EQUITY_CF" hidden="1">"c551"</definedName>
    <definedName name="IQ_INC_EQUITY_FIN" hidden="1">"c552"</definedName>
    <definedName name="IQ_INC_EQUITY_INS" hidden="1">"c553"</definedName>
    <definedName name="IQ_INC_EQUITY_REC_BNK" hidden="1">"c554"</definedName>
    <definedName name="IQ_INC_EQUITY_REIT" hidden="1">"c555"</definedName>
    <definedName name="IQ_INC_EQUITY_REV_BNK" hidden="1">"c556"</definedName>
    <definedName name="IQ_INC_EQUITY_UTI" hidden="1">"c557"</definedName>
    <definedName name="IQ_INC_REAL_ESTATE_REC" hidden="1">"c558"</definedName>
    <definedName name="IQ_INC_REAL_ESTATE_REV" hidden="1">"c559"</definedName>
    <definedName name="IQ_INC_TAX" hidden="1">"c560"</definedName>
    <definedName name="IQ_INC_TAX_EXCL" hidden="1">"c1599"</definedName>
    <definedName name="IQ_INC_TAX_PAY_CURRENT" hidden="1">"c561"</definedName>
    <definedName name="IQ_INC_TRADE_ACT" hidden="1">"c562"</definedName>
    <definedName name="IQ_INS_ANNUITY_LIAB" hidden="1">"c563"</definedName>
    <definedName name="IQ_INS_ANNUITY_REV" hidden="1">"c2788"</definedName>
    <definedName name="IQ_INS_DIV_EXP" hidden="1">"c564"</definedName>
    <definedName name="IQ_INS_DIV_REV" hidden="1">"c565"</definedName>
    <definedName name="IQ_INS_IN_FORCE" hidden="1">"c566"</definedName>
    <definedName name="IQ_INS_LIAB" hidden="1">"c567"</definedName>
    <definedName name="IQ_INS_POLICY_EXP" hidden="1">"c568"</definedName>
    <definedName name="IQ_INS_REV" hidden="1">"c569"</definedName>
    <definedName name="IQ_INS_SETTLE" hidden="1">"c570"</definedName>
    <definedName name="IQ_INS_SETTLE_BNK" hidden="1">"c571"</definedName>
    <definedName name="IQ_INS_SETTLE_BR" hidden="1">"c572"</definedName>
    <definedName name="IQ_INS_SETTLE_FIN" hidden="1">"c573"</definedName>
    <definedName name="IQ_INS_SETTLE_INS" hidden="1">"c574"</definedName>
    <definedName name="IQ_INS_SETTLE_REIT" hidden="1">"c575"</definedName>
    <definedName name="IQ_INS_SETTLE_UTI" hidden="1">"c576"</definedName>
    <definedName name="IQ_INSIDER_3MTH_BOUGHT_PCT" hidden="1">"c1534"</definedName>
    <definedName name="IQ_INSIDER_3MTH_NET_PCT" hidden="1">"c1535"</definedName>
    <definedName name="IQ_INSIDER_3MTH_SOLD_PCT" hidden="1">"c1533"</definedName>
    <definedName name="IQ_INSIDER_6MTH_BOUGHT_PCT" hidden="1">"c1537"</definedName>
    <definedName name="IQ_INSIDER_6MTH_NET_PCT" hidden="1">"c1538"</definedName>
    <definedName name="IQ_INSIDER_6MTH_SOLD_PCT" hidden="1">"c1536"</definedName>
    <definedName name="IQ_INSIDER_OVER_TOTAL" hidden="1">"c1581"</definedName>
    <definedName name="IQ_INSIDER_OWNER" hidden="1">"c577"</definedName>
    <definedName name="IQ_INSIDER_PERCENT" hidden="1">"c578"</definedName>
    <definedName name="IQ_INSIDER_SHARES" hidden="1">"c579"</definedName>
    <definedName name="IQ_INSTITUTIONAL_OVER_TOTAL" hidden="1">"c1580"</definedName>
    <definedName name="IQ_INSTITUTIONAL_OWNER" hidden="1">"c580"</definedName>
    <definedName name="IQ_INSTITUTIONAL_PERCENT" hidden="1">"c581"</definedName>
    <definedName name="IQ_INSTITUTIONAL_SHARES" hidden="1">"c582"</definedName>
    <definedName name="IQ_INSUR_RECEIV" hidden="1">"c1600"</definedName>
    <definedName name="IQ_INT_BORROW" hidden="1">"c583"</definedName>
    <definedName name="IQ_INT_DEPOSITS" hidden="1">"c584"</definedName>
    <definedName name="IQ_INT_DIV_INC" hidden="1">"c585"</definedName>
    <definedName name="IQ_INT_EXP_BR" hidden="1">"c586"</definedName>
    <definedName name="IQ_INT_EXP_COVERAGE" hidden="1">"c587"</definedName>
    <definedName name="IQ_INT_EXP_FIN" hidden="1">"c588"</definedName>
    <definedName name="IQ_INT_EXP_INCL_CAP" hidden="1">"c2988"</definedName>
    <definedName name="IQ_INT_EXP_INS" hidden="1">"c589"</definedName>
    <definedName name="IQ_INT_EXP_LTD" hidden="1">"c2086"</definedName>
    <definedName name="IQ_INT_EXP_REIT" hidden="1">"c590"</definedName>
    <definedName name="IQ_INT_EXP_TOTAL" hidden="1">"c591"</definedName>
    <definedName name="IQ_INT_EXP_UTI" hidden="1">"c592"</definedName>
    <definedName name="IQ_INT_INC_BR" hidden="1">"c593"</definedName>
    <definedName name="IQ_INT_INC_FIN" hidden="1">"c594"</definedName>
    <definedName name="IQ_INT_INC_INVEST" hidden="1">"c595"</definedName>
    <definedName name="IQ_INT_INC_LOANS" hidden="1">"c596"</definedName>
    <definedName name="IQ_INT_INC_REIT" hidden="1">"c597"</definedName>
    <definedName name="IQ_INT_INC_TOTAL" hidden="1">"c598"</definedName>
    <definedName name="IQ_INT_INC_UTI" hidden="1">"c599"</definedName>
    <definedName name="IQ_INT_INV_INC" hidden="1">"c600"</definedName>
    <definedName name="IQ_INT_INV_INC_REIT" hidden="1">"c601"</definedName>
    <definedName name="IQ_INT_INV_INC_UTI" hidden="1">"c602"</definedName>
    <definedName name="IQ_INT_ON_BORROWING_COVERAGE" hidden="1">"c603"</definedName>
    <definedName name="IQ_INT_RATE_SPREAD" hidden="1">"c604"</definedName>
    <definedName name="IQ_INTANGIBLES_NET" hidden="1">"c907"</definedName>
    <definedName name="IQ_INTEREST_CASH_DEPOSITS" hidden="1">"c2255"</definedName>
    <definedName name="IQ_INTEREST_EXP" hidden="1">"c618"</definedName>
    <definedName name="IQ_INTEREST_EXP_NET" hidden="1">"c1450"</definedName>
    <definedName name="IQ_INTEREST_EXP_NON" hidden="1">"c618"</definedName>
    <definedName name="IQ_INTEREST_EXP_SUPPL" hidden="1">"c1460"</definedName>
    <definedName name="IQ_INTEREST_INC" hidden="1">"c769"</definedName>
    <definedName name="IQ_INTEREST_INC_NON" hidden="1">"c619"</definedName>
    <definedName name="IQ_INTEREST_INVEST_INC" hidden="1">"c619"</definedName>
    <definedName name="IQ_INV_10YR_ANN_GROWTH" hidden="1">"c1930"</definedName>
    <definedName name="IQ_INV_1YR_ANN_GROWTH" hidden="1">"c1925"</definedName>
    <definedName name="IQ_INV_2YR_ANN_GROWTH" hidden="1">"c1926"</definedName>
    <definedName name="IQ_INV_3YR_ANN_GROWTH" hidden="1">"c1927"</definedName>
    <definedName name="IQ_INV_5YR_ANN_GROWTH" hidden="1">"c1928"</definedName>
    <definedName name="IQ_INV_7YR_ANN_GROWTH" hidden="1">"c1929"</definedName>
    <definedName name="IQ_INV_BANKING_FEE" hidden="1">"c620"</definedName>
    <definedName name="IQ_INV_METHOD" hidden="1">"c621"</definedName>
    <definedName name="IQ_INVENTORY" hidden="1">"c622"</definedName>
    <definedName name="IQ_INVENTORY_TURNS" hidden="1">"c623"</definedName>
    <definedName name="IQ_INVENTORY_UTI" hidden="1">"c624"</definedName>
    <definedName name="IQ_INVEST_DEBT" hidden="1">"c625"</definedName>
    <definedName name="IQ_INVEST_EQUITY_PREF" hidden="1">"c626"</definedName>
    <definedName name="IQ_INVEST_FHLB" hidden="1">"c627"</definedName>
    <definedName name="IQ_INVEST_LOANS_CF" hidden="1">"c628"</definedName>
    <definedName name="IQ_INVEST_LOANS_CF_BNK" hidden="1">"c629"</definedName>
    <definedName name="IQ_INVEST_LOANS_CF_BR" hidden="1">"c630"</definedName>
    <definedName name="IQ_INVEST_LOANS_CF_FIN" hidden="1">"c631"</definedName>
    <definedName name="IQ_INVEST_LOANS_CF_INS" hidden="1">"c632"</definedName>
    <definedName name="IQ_INVEST_LOANS_CF_REIT" hidden="1">"c633"</definedName>
    <definedName name="IQ_INVEST_LOANS_CF_UTI" hidden="1">"c634"</definedName>
    <definedName name="IQ_INVEST_REAL_ESTATE" hidden="1">"c635"</definedName>
    <definedName name="IQ_INVEST_SECURITY" hidden="1">"c636"</definedName>
    <definedName name="IQ_INVEST_SECURITY_CF" hidden="1">"c637"</definedName>
    <definedName name="IQ_INVEST_SECURITY_CF_BNK" hidden="1">"c638"</definedName>
    <definedName name="IQ_INVEST_SECURITY_CF_BR" hidden="1">"c639"</definedName>
    <definedName name="IQ_INVEST_SECURITY_CF_FIN" hidden="1">"c640"</definedName>
    <definedName name="IQ_INVEST_SECURITY_CF_INS" hidden="1">"c641"</definedName>
    <definedName name="IQ_INVEST_SECURITY_CF_REIT" hidden="1">"c642"</definedName>
    <definedName name="IQ_INVEST_SECURITY_CF_UTI" hidden="1">"c643"</definedName>
    <definedName name="IQ_IPRD" hidden="1">"c644"</definedName>
    <definedName name="IQ_ISS_DEBT_NET" hidden="1">"c751"</definedName>
    <definedName name="IQ_ISS_STOCK_NET" hidden="1">"c1601"</definedName>
    <definedName name="IQ_ISSUE_CURRENCY" hidden="1">"c2156"</definedName>
    <definedName name="IQ_ISSUE_NAME" hidden="1">"c2142"</definedName>
    <definedName name="IQ_ISSUER" hidden="1">"c2143"</definedName>
    <definedName name="IQ_ISSUER_CIQID" hidden="1">"c2258"</definedName>
    <definedName name="IQ_ISSUER_PARENT" hidden="1">"c2144"</definedName>
    <definedName name="IQ_ISSUER_PARENT_CIQID" hidden="1">"c2260"</definedName>
    <definedName name="IQ_ISSUER_PARENT_TICKER" hidden="1">"c2259"</definedName>
    <definedName name="IQ_ISSUER_TICKER" hidden="1">"c2252"</definedName>
    <definedName name="IQ_JR_SUB_DEBT" hidden="1">"c2534"</definedName>
    <definedName name="IQ_JR_SUB_DEBT_EBITDA" hidden="1">"c2560"</definedName>
    <definedName name="IQ_JR_SUB_DEBT_EBITDA_CAPEX" hidden="1">"c2561"</definedName>
    <definedName name="IQ_JR_SUB_DEBT_PCT" hidden="1">"c2535"</definedName>
    <definedName name="IQ_LAND" hidden="1">"c645"</definedName>
    <definedName name="IQ_LAST_PMT_DATE" hidden="1">"c2188"</definedName>
    <definedName name="IQ_LAST_SPLIT_DATE" hidden="1">"c2095"</definedName>
    <definedName name="IQ_LAST_SPLIT_FACTOR" hidden="1">"c2093"</definedName>
    <definedName name="IQ_LASTPRICINGDATE" hidden="1">"c3051"</definedName>
    <definedName name="IQ_LASTSALEPRICE" hidden="1">"c646"</definedName>
    <definedName name="IQ_LASTSALEPRICE_DATE" hidden="1">"c2109"</definedName>
    <definedName name="IQ_LATESTK" hidden="1">1000</definedName>
    <definedName name="IQ_LATESTQ" hidden="1">500</definedName>
    <definedName name="IQ_LEGAL_SETTLE" hidden="1">"c647"</definedName>
    <definedName name="IQ_LEGAL_SETTLE_BNK" hidden="1">"c648"</definedName>
    <definedName name="IQ_LEGAL_SETTLE_BR" hidden="1">"c649"</definedName>
    <definedName name="IQ_LEGAL_SETTLE_FIN" hidden="1">"c650"</definedName>
    <definedName name="IQ_LEGAL_SETTLE_INS" hidden="1">"c651"</definedName>
    <definedName name="IQ_LEGAL_SETTLE_REIT" hidden="1">"c652"</definedName>
    <definedName name="IQ_LEGAL_SETTLE_UTI" hidden="1">"c653"</definedName>
    <definedName name="IQ_LEVERAGE_RATIO" hidden="1">"c654"</definedName>
    <definedName name="IQ_LEVERED_FCF" hidden="1">"c1907"</definedName>
    <definedName name="IQ_LFCF_10YR_ANN_GROWTH" hidden="1">"c1942"</definedName>
    <definedName name="IQ_LFCF_1YR_ANN_GROWTH" hidden="1">"c1937"</definedName>
    <definedName name="IQ_LFCF_2YR_ANN_GROWTH" hidden="1">"c1938"</definedName>
    <definedName name="IQ_LFCF_3YR_ANN_GROWTH" hidden="1">"c1939"</definedName>
    <definedName name="IQ_LFCF_5YR_ANN_GROWTH" hidden="1">"c1940"</definedName>
    <definedName name="IQ_LFCF_7YR_ANN_GROWTH" hidden="1">"c1941"</definedName>
    <definedName name="IQ_LFCF_MARGIN" hidden="1">"c1961"</definedName>
    <definedName name="IQ_LH_STATUTORY_SURPLUS" hidden="1">"c2771"</definedName>
    <definedName name="IQ_LICENSED_POPS" hidden="1">"c2123"</definedName>
    <definedName name="IQ_LIFE_EARNED" hidden="1">"c2739"</definedName>
    <definedName name="IQ_LIFOR" hidden="1">"c655"</definedName>
    <definedName name="IQ_LL" hidden="1">"c656"</definedName>
    <definedName name="IQ_LOAN_LEASE_RECEIV" hidden="1">"c657"</definedName>
    <definedName name="IQ_LOAN_LOSS" hidden="1">"c656"</definedName>
    <definedName name="IQ_LOAN_SERVICE_REV" hidden="1">"c658"</definedName>
    <definedName name="IQ_LOANS_CF" hidden="1">"c659"</definedName>
    <definedName name="IQ_LOANS_CF_BNK" hidden="1">"c660"</definedName>
    <definedName name="IQ_LOANS_CF_BR" hidden="1">"c661"</definedName>
    <definedName name="IQ_LOANS_CF_FIN" hidden="1">"c662"</definedName>
    <definedName name="IQ_LOANS_CF_INS" hidden="1">"c663"</definedName>
    <definedName name="IQ_LOANS_CF_REIT" hidden="1">"c664"</definedName>
    <definedName name="IQ_LOANS_CF_UTI" hidden="1">"c665"</definedName>
    <definedName name="IQ_LOANS_FOR_SALE" hidden="1">"c666"</definedName>
    <definedName name="IQ_LOANS_PAST_DUE" hidden="1">"c667"</definedName>
    <definedName name="IQ_LOANS_RECEIV_CURRENT" hidden="1">"c668"</definedName>
    <definedName name="IQ_LOANS_RECEIV_LT" hidden="1">"c669"</definedName>
    <definedName name="IQ_LOANS_RECEIV_LT_UTI" hidden="1">"c670"</definedName>
    <definedName name="IQ_LONG_TERM_DEBT" hidden="1">"c674"</definedName>
    <definedName name="IQ_LONG_TERM_DEBT_OVER_TOTAL_CAP" hidden="1">"c677"</definedName>
    <definedName name="IQ_LONG_TERM_GROWTH" hidden="1">"c671"</definedName>
    <definedName name="IQ_LONG_TERM_INV" hidden="1">"c697"</definedName>
    <definedName name="IQ_LOSS_LOSS_EXP" hidden="1">"c672"</definedName>
    <definedName name="IQ_LOSS_TO_NET_EARNED" hidden="1">"c2751"</definedName>
    <definedName name="IQ_LOW_TARGET_PRICE" hidden="1">"c1652"</definedName>
    <definedName name="IQ_LOWPRICE" hidden="1">"c673"</definedName>
    <definedName name="IQ_LT_DEBT" hidden="1">"c674"</definedName>
    <definedName name="IQ_LT_DEBT_BNK" hidden="1">"c675"</definedName>
    <definedName name="IQ_LT_DEBT_BR" hidden="1">"c676"</definedName>
    <definedName name="IQ_LT_DEBT_CAPITAL" hidden="1">"c677"</definedName>
    <definedName name="IQ_LT_DEBT_CAPITAL_LEASES" hidden="1">"c2542"</definedName>
    <definedName name="IQ_LT_DEBT_CAPITAL_LEASES_PCT" hidden="1">"c2543"</definedName>
    <definedName name="IQ_LT_DEBT_EQUITY" hidden="1">"c678"</definedName>
    <definedName name="IQ_LT_DEBT_FIN" hidden="1">"c679"</definedName>
    <definedName name="IQ_LT_DEBT_INS" hidden="1">"c680"</definedName>
    <definedName name="IQ_LT_DEBT_ISSUED" hidden="1">"c681"</definedName>
    <definedName name="IQ_LT_DEBT_ISSUED_BNK" hidden="1">"c682"</definedName>
    <definedName name="IQ_LT_DEBT_ISSUED_BR" hidden="1">"c683"</definedName>
    <definedName name="IQ_LT_DEBT_ISSUED_FIN" hidden="1">"c684"</definedName>
    <definedName name="IQ_LT_DEBT_ISSUED_INS" hidden="1">"c685"</definedName>
    <definedName name="IQ_LT_DEBT_ISSUED_REIT" hidden="1">"c686"</definedName>
    <definedName name="IQ_LT_DEBT_ISSUED_UTI" hidden="1">"c687"</definedName>
    <definedName name="IQ_LT_DEBT_REIT" hidden="1">"c688"</definedName>
    <definedName name="IQ_LT_DEBT_REPAID" hidden="1">"c689"</definedName>
    <definedName name="IQ_LT_DEBT_REPAID_BNK" hidden="1">"c690"</definedName>
    <definedName name="IQ_LT_DEBT_REPAID_BR" hidden="1">"c691"</definedName>
    <definedName name="IQ_LT_DEBT_REPAID_FIN" hidden="1">"c692"</definedName>
    <definedName name="IQ_LT_DEBT_REPAID_INS" hidden="1">"c693"</definedName>
    <definedName name="IQ_LT_DEBT_REPAID_REIT" hidden="1">"c694"</definedName>
    <definedName name="IQ_LT_DEBT_REPAID_UTI" hidden="1">"c695"</definedName>
    <definedName name="IQ_LT_DEBT_UTI" hidden="1">"c696"</definedName>
    <definedName name="IQ_LT_INVEST" hidden="1">"c697"</definedName>
    <definedName name="IQ_LT_INVEST_BR" hidden="1">"c698"</definedName>
    <definedName name="IQ_LT_INVEST_FIN" hidden="1">"c699"</definedName>
    <definedName name="IQ_LT_INVEST_REIT" hidden="1">"c700"</definedName>
    <definedName name="IQ_LT_INVEST_UTI" hidden="1">"c701"</definedName>
    <definedName name="IQ_LT_NOTE_RECEIV" hidden="1">"c1602"</definedName>
    <definedName name="IQ_LTD_DUE_AFTER_FIVE" hidden="1">"c704"</definedName>
    <definedName name="IQ_LTD_DUE_CY" hidden="1">"c705"</definedName>
    <definedName name="IQ_LTD_DUE_CY1" hidden="1">"c706"</definedName>
    <definedName name="IQ_LTD_DUE_CY2" hidden="1">"c707"</definedName>
    <definedName name="IQ_LTD_DUE_CY3" hidden="1">"c708"</definedName>
    <definedName name="IQ_LTD_DUE_CY4" hidden="1">"c709"</definedName>
    <definedName name="IQ_LTD_DUE_NEXT_FIVE" hidden="1">"c710"</definedName>
    <definedName name="IQ_LTM" hidden="1">2000</definedName>
    <definedName name="IQ_LTM_REVENUE_OVER_EMPLOYEES" hidden="1">"c1304"</definedName>
    <definedName name="IQ_LTMMONTH" hidden="1">120000</definedName>
    <definedName name="IQ_MACHINERY" hidden="1">"c711"</definedName>
    <definedName name="IQ_MAINT_CAPEX" hidden="1">"c2947"</definedName>
    <definedName name="IQ_MAINT_REPAIR" hidden="1">"c2087"</definedName>
    <definedName name="IQ_MAKE_WHOLE_END_DATE" hidden="1">"c2493"</definedName>
    <definedName name="IQ_MAKE_WHOLE_SPREAD" hidden="1">"c2494"</definedName>
    <definedName name="IQ_MAKE_WHOLE_START_DATE" hidden="1">"c2492"</definedName>
    <definedName name="IQ_MARKET_CAP_LFCF" hidden="1">"c2209"</definedName>
    <definedName name="IQ_MARKETCAP" hidden="1">"c712"</definedName>
    <definedName name="IQ_MARKETING" hidden="1">"c2239"</definedName>
    <definedName name="IQ_MATURITY_DATE" hidden="1">"c2146"</definedName>
    <definedName name="IQ_MC_RATIO" hidden="1">"c2783"</definedName>
    <definedName name="IQ_MC_STATUTORY_SURPLUS" hidden="1">"c2772"</definedName>
    <definedName name="IQ_MEDIAN_TARGET_PRICE" hidden="1">"c1650"</definedName>
    <definedName name="IQ_MERGER" hidden="1">"c713"</definedName>
    <definedName name="IQ_MERGER_BNK" hidden="1">"c714"</definedName>
    <definedName name="IQ_MERGER_BR" hidden="1">"c715"</definedName>
    <definedName name="IQ_MERGER_FIN" hidden="1">"c716"</definedName>
    <definedName name="IQ_MERGER_INS" hidden="1">"c717"</definedName>
    <definedName name="IQ_MERGER_REIT" hidden="1">"c718"</definedName>
    <definedName name="IQ_MERGER_RESTRUCTURE" hidden="1">"c719"</definedName>
    <definedName name="IQ_MERGER_RESTRUCTURE_BNK" hidden="1">"c720"</definedName>
    <definedName name="IQ_MERGER_RESTRUCTURE_BR" hidden="1">"c721"</definedName>
    <definedName name="IQ_MERGER_RESTRUCTURE_FIN" hidden="1">"c722"</definedName>
    <definedName name="IQ_MERGER_RESTRUCTURE_INS" hidden="1">"c723"</definedName>
    <definedName name="IQ_MERGER_RESTRUCTURE_REIT" hidden="1">"c724"</definedName>
    <definedName name="IQ_MERGER_RESTRUCTURE_UTI" hidden="1">"c725"</definedName>
    <definedName name="IQ_MERGER_UTI" hidden="1">"c726"</definedName>
    <definedName name="IQ_MINORITY_INTEREST" hidden="1">"c727"</definedName>
    <definedName name="IQ_MINORITY_INTEREST_BNK" hidden="1">"c728"</definedName>
    <definedName name="IQ_MINORITY_INTEREST_BR" hidden="1">"c729"</definedName>
    <definedName name="IQ_MINORITY_INTEREST_CF" hidden="1">"c730"</definedName>
    <definedName name="IQ_MINORITY_INTEREST_FIN" hidden="1">"c731"</definedName>
    <definedName name="IQ_MINORITY_INTEREST_INS" hidden="1">"c732"</definedName>
    <definedName name="IQ_MINORITY_INTEREST_IS" hidden="1">"c733"</definedName>
    <definedName name="IQ_MINORITY_INTEREST_REIT" hidden="1">"c734"</definedName>
    <definedName name="IQ_MINORITY_INTEREST_TOTAL" hidden="1">"c1905"</definedName>
    <definedName name="IQ_MINORITY_INTEREST_UTI" hidden="1">"c735"</definedName>
    <definedName name="IQ_MISC_ADJUST_CF" hidden="1">"c736"</definedName>
    <definedName name="IQ_MISC_EARN_ADJ" hidden="1">"c1603"</definedName>
    <definedName name="IQ_MKTCAP_EBT_EXCL" hidden="1">"c737"</definedName>
    <definedName name="IQ_MKTCAP_EBT_EXCL_AVG" hidden="1">"c738"</definedName>
    <definedName name="IQ_MKTCAP_EBT_INCL_AVG" hidden="1">"c739"</definedName>
    <definedName name="IQ_MKTCAP_TOTAL_REV" hidden="1">"c740"</definedName>
    <definedName name="IQ_MKTCAP_TOTAL_REV_AVG" hidden="1">"c741"</definedName>
    <definedName name="IQ_MKTCAP_TOTAL_REV_FWD" hidden="1">"c742"</definedName>
    <definedName name="IQ_MM_ACCOUNT" hidden="1">"c743"</definedName>
    <definedName name="IQ_MONTH" hidden="1">15000</definedName>
    <definedName name="IQ_MORT_BANK_ACT" hidden="1">"c744"</definedName>
    <definedName name="IQ_MORT_BANKING_FEE" hidden="1">"c745"</definedName>
    <definedName name="IQ_MORT_INT_INC" hidden="1">"c746"</definedName>
    <definedName name="IQ_MORT_LOANS" hidden="1">"c747"</definedName>
    <definedName name="IQ_MORT_SECURITY" hidden="1">"c748"</definedName>
    <definedName name="IQ_MORTGAGE_SERV_RIGHTS" hidden="1">"c2242"</definedName>
    <definedName name="IQ_MTD" hidden="1">800000</definedName>
    <definedName name="IQ_NAMES_REVISION_DATE_" hidden="1">"02/13/2012 06:38:23"</definedName>
    <definedName name="IQ_NAV_ACT_OR_EST" hidden="1">"c2225"</definedName>
    <definedName name="IQ_NAV_EST" hidden="1">"c1751"</definedName>
    <definedName name="IQ_NAV_HIGH_EST" hidden="1">"c1753"</definedName>
    <definedName name="IQ_NAV_LOW_EST" hidden="1">"c1754"</definedName>
    <definedName name="IQ_NAV_MEDIAN_EST" hidden="1">"c1752"</definedName>
    <definedName name="IQ_NAV_NUM_EST" hidden="1">"c1755"</definedName>
    <definedName name="IQ_NAV_STDDEV_EST" hidden="1">"c1756"</definedName>
    <definedName name="IQ_NET_CHANGE" hidden="1">"c749"</definedName>
    <definedName name="IQ_NET_CLAIM_EXP_INCUR" hidden="1">"c2757"</definedName>
    <definedName name="IQ_NET_CLAIM_EXP_INCUR_CY" hidden="1">"c2761"</definedName>
    <definedName name="IQ_NET_CLAIM_EXP_INCUR_PY" hidden="1">"c2762"</definedName>
    <definedName name="IQ_NET_CLAIM_EXP_PAID" hidden="1">"c2760"</definedName>
    <definedName name="IQ_NET_CLAIM_EXP_PAID_CY" hidden="1">"c2763"</definedName>
    <definedName name="IQ_NET_CLAIM_EXP_PAID_PY" hidden="1">"c2764"</definedName>
    <definedName name="IQ_NET_CLAIM_EXP_RES" hidden="1">"c2754"</definedName>
    <definedName name="IQ_NET_DEBT" hidden="1">"c1584"</definedName>
    <definedName name="IQ_NET_DEBT_EBITDA" hidden="1">"c750"</definedName>
    <definedName name="IQ_NET_DEBT_EBITDA_CAPEX" hidden="1">"c2949"</definedName>
    <definedName name="IQ_NET_DEBT_ISSUED" hidden="1">"c751"</definedName>
    <definedName name="IQ_NET_DEBT_ISSUED_BNK" hidden="1">"c752"</definedName>
    <definedName name="IQ_NET_DEBT_ISSUED_BR" hidden="1">"c753"</definedName>
    <definedName name="IQ_NET_DEBT_ISSUED_FIN" hidden="1">"c754"</definedName>
    <definedName name="IQ_NET_DEBT_ISSUED_INS" hidden="1">"c755"</definedName>
    <definedName name="IQ_NET_DEBT_ISSUED_REIT" hidden="1">"c756"</definedName>
    <definedName name="IQ_NET_DEBT_ISSUED_UTI" hidden="1">"c757"</definedName>
    <definedName name="IQ_NET_EARNED" hidden="1">"c2734"</definedName>
    <definedName name="IQ_NET_INC" hidden="1">"c781"</definedName>
    <definedName name="IQ_NET_INC_BEFORE" hidden="1">"c344"</definedName>
    <definedName name="IQ_NET_INC_CF" hidden="1">"c793"</definedName>
    <definedName name="IQ_NET_INC_MARGIN" hidden="1">"c794"</definedName>
    <definedName name="IQ_NET_INT_INC_10YR_ANN_GROWTH" hidden="1">"c758"</definedName>
    <definedName name="IQ_NET_INT_INC_1YR_ANN_GROWTH" hidden="1">"c759"</definedName>
    <definedName name="IQ_NET_INT_INC_2YR_ANN_GROWTH" hidden="1">"c760"</definedName>
    <definedName name="IQ_NET_INT_INC_3YR_ANN_GROWTH" hidden="1">"c761"</definedName>
    <definedName name="IQ_NET_INT_INC_5YR_ANN_GROWTH" hidden="1">"c762"</definedName>
    <definedName name="IQ_NET_INT_INC_7YR_ANN_GROWTH" hidden="1">"c763"</definedName>
    <definedName name="IQ_NET_INT_INC_BNK" hidden="1">"c764"</definedName>
    <definedName name="IQ_NET_INT_INC_BR" hidden="1">"c765"</definedName>
    <definedName name="IQ_NET_INT_INC_FIN" hidden="1">"c766"</definedName>
    <definedName name="IQ_NET_INT_INC_TOTAL_REV" hidden="1">"c767"</definedName>
    <definedName name="IQ_NET_INT_MARGIN" hidden="1">"c768"</definedName>
    <definedName name="IQ_NET_INTEREST_EXP" hidden="1">"c769"</definedName>
    <definedName name="IQ_NET_INTEREST_EXP_REIT" hidden="1">"c770"</definedName>
    <definedName name="IQ_NET_INTEREST_EXP_UTI" hidden="1">"c771"</definedName>
    <definedName name="IQ_NET_INTEREST_INC" hidden="1">"c764"</definedName>
    <definedName name="IQ_NET_INTEREST_INC_AFTER_LL" hidden="1">"c1604"</definedName>
    <definedName name="IQ_NET_LIFE_INS_IN_FORCE" hidden="1">"c2769"</definedName>
    <definedName name="IQ_NET_LOANS" hidden="1">"c772"</definedName>
    <definedName name="IQ_NET_LOANS_10YR_ANN_GROWTH" hidden="1">"c773"</definedName>
    <definedName name="IQ_NET_LOANS_1YR_ANN_GROWTH" hidden="1">"c774"</definedName>
    <definedName name="IQ_NET_LOANS_2YR_ANN_GROWTH" hidden="1">"c775"</definedName>
    <definedName name="IQ_NET_LOANS_3YR_ANN_GROWTH" hidden="1">"c776"</definedName>
    <definedName name="IQ_NET_LOANS_5YR_ANN_GROWTH" hidden="1">"c777"</definedName>
    <definedName name="IQ_NET_LOANS_7YR_ANN_GROWTH" hidden="1">"c778"</definedName>
    <definedName name="IQ_NET_LOANS_TOTAL_DEPOSITS" hidden="1">"c779"</definedName>
    <definedName name="IQ_NET_RENTAL_EXP_FN" hidden="1">"c780"</definedName>
    <definedName name="IQ_NET_TO_GROSS_EARNED" hidden="1">"c2750"</definedName>
    <definedName name="IQ_NET_TO_GROSS_WRITTEN" hidden="1">"c2729"</definedName>
    <definedName name="IQ_NET_WRITTEN" hidden="1">"c2728"</definedName>
    <definedName name="IQ_NEW_PREM" hidden="1">"c2785"</definedName>
    <definedName name="IQ_NEXT_CALL_DATE" hidden="1">"c2198"</definedName>
    <definedName name="IQ_NEXT_CALL_PRICE" hidden="1">"c2199"</definedName>
    <definedName name="IQ_NEXT_INT_DATE" hidden="1">"c2187"</definedName>
    <definedName name="IQ_NEXT_PUT_DATE" hidden="1">"c2200"</definedName>
    <definedName name="IQ_NEXT_PUT_PRICE" hidden="1">"c2201"</definedName>
    <definedName name="IQ_NEXT_SINK_FUND_AMOUNT" hidden="1">"c2490"</definedName>
    <definedName name="IQ_NEXT_SINK_FUND_DATE" hidden="1">"c2489"</definedName>
    <definedName name="IQ_NEXT_SINK_FUND_PRICE" hidden="1">"c2491"</definedName>
    <definedName name="IQ_NI" hidden="1">"c781"</definedName>
    <definedName name="IQ_NI_10YR_ANN_GROWTH" hidden="1">"c782"</definedName>
    <definedName name="IQ_NI_1YR_ANN_GROWTH" hidden="1">"c783"</definedName>
    <definedName name="IQ_NI_2YR_ANN_GROWTH" hidden="1">"c784"</definedName>
    <definedName name="IQ_NI_3YR_ANN_GROWTH" hidden="1">"c785"</definedName>
    <definedName name="IQ_NI_5YR_ANN_GROWTH" hidden="1">"c786"</definedName>
    <definedName name="IQ_NI_7YR_ANN_GROWTH" hidden="1">"c787"</definedName>
    <definedName name="IQ_NI_ACT_OR_EST" hidden="1">"c2222"</definedName>
    <definedName name="IQ_NI_AFTER_CAPITALIZED" hidden="1">"c788"</definedName>
    <definedName name="IQ_NI_AVAIL_EXCL" hidden="1">"c789"</definedName>
    <definedName name="IQ_NI_AVAIL_EXCL_MARGIN" hidden="1">"c790"</definedName>
    <definedName name="IQ_NI_AVAIL_INCL" hidden="1">"c791"</definedName>
    <definedName name="IQ_NI_BEFORE_CAPITALIZED" hidden="1">"c792"</definedName>
    <definedName name="IQ_NI_CF" hidden="1">"c793"</definedName>
    <definedName name="IQ_NI_EST" hidden="1">"c1716"</definedName>
    <definedName name="IQ_NI_GW_EST" hidden="1">"c1723"</definedName>
    <definedName name="IQ_NI_GW_HIGH_EST" hidden="1">"c1725"</definedName>
    <definedName name="IQ_NI_GW_LOW_EST" hidden="1">"c1726"</definedName>
    <definedName name="IQ_NI_GW_MEDIAN_EST" hidden="1">"c1724"</definedName>
    <definedName name="IQ_NI_GW_NUM_EST" hidden="1">"c1727"</definedName>
    <definedName name="IQ_NI_GW_STDDEV_EST" hidden="1">"c1728"</definedName>
    <definedName name="IQ_NI_HIGH_EST" hidden="1">"c1718"</definedName>
    <definedName name="IQ_NI_LOW_EST" hidden="1">"c1719"</definedName>
    <definedName name="IQ_NI_MARGIN" hidden="1">"c794"</definedName>
    <definedName name="IQ_NI_MEDIAN_EST" hidden="1">"c1717"</definedName>
    <definedName name="IQ_NI_NORM" hidden="1">"c1901"</definedName>
    <definedName name="IQ_NI_NORM_10YR_ANN_GROWTH" hidden="1">"c1960"</definedName>
    <definedName name="IQ_NI_NORM_1YR_ANN_GROWTH" hidden="1">"c1955"</definedName>
    <definedName name="IQ_NI_NORM_2YR_ANN_GROWTH" hidden="1">"c1956"</definedName>
    <definedName name="IQ_NI_NORM_3YR_ANN_GROWTH" hidden="1">"c1957"</definedName>
    <definedName name="IQ_NI_NORM_5YR_ANN_GROWTH" hidden="1">"c1958"</definedName>
    <definedName name="IQ_NI_NORM_7YR_ANN_GROWTH" hidden="1">"c1959"</definedName>
    <definedName name="IQ_NI_NORM_MARGIN" hidden="1">"c1964"</definedName>
    <definedName name="IQ_NI_NUM_EST" hidden="1">"c1720"</definedName>
    <definedName name="IQ_NI_REPORTED_EST" hidden="1">"c1730"</definedName>
    <definedName name="IQ_NI_REPORTED_HIGH_EST" hidden="1">"c1732"</definedName>
    <definedName name="IQ_NI_REPORTED_LOW_EST" hidden="1">"c1733"</definedName>
    <definedName name="IQ_NI_REPORTED_MEDIAN_EST" hidden="1">"c1731"</definedName>
    <definedName name="IQ_NI_REPORTED_NUM_EST" hidden="1">"c1734"</definedName>
    <definedName name="IQ_NI_REPORTED_STDDEV_EST" hidden="1">"c1735"</definedName>
    <definedName name="IQ_NI_SFAS" hidden="1">"c795"</definedName>
    <definedName name="IQ_NI_STDDEV_EST" hidden="1">"c1721"</definedName>
    <definedName name="IQ_NON_ACCRUAL_LOANS" hidden="1">"c796"</definedName>
    <definedName name="IQ_NON_CASH" hidden="1">"c797"</definedName>
    <definedName name="IQ_NON_CASH_ITEMS" hidden="1">"c797"</definedName>
    <definedName name="IQ_NON_INS_EXP" hidden="1">"c798"</definedName>
    <definedName name="IQ_NON_INS_REV" hidden="1">"c799"</definedName>
    <definedName name="IQ_NON_INT_BEAR_CD" hidden="1">"c800"</definedName>
    <definedName name="IQ_NON_INT_EXP" hidden="1">"c801"</definedName>
    <definedName name="IQ_NON_INT_INC" hidden="1">"c802"</definedName>
    <definedName name="IQ_NON_INT_INC_10YR_ANN_GROWTH" hidden="1">"c803"</definedName>
    <definedName name="IQ_NON_INT_INC_1YR_ANN_GROWTH" hidden="1">"c804"</definedName>
    <definedName name="IQ_NON_INT_INC_2YR_ANN_GROWTH" hidden="1">"c805"</definedName>
    <definedName name="IQ_NON_INT_INC_3YR_ANN_GROWTH" hidden="1">"c806"</definedName>
    <definedName name="IQ_NON_INT_INC_5YR_ANN_GROWTH" hidden="1">"c807"</definedName>
    <definedName name="IQ_NON_INT_INC_7YR_ANN_GROWTH" hidden="1">"c808"</definedName>
    <definedName name="IQ_NON_INTEREST_EXP" hidden="1">"c801"</definedName>
    <definedName name="IQ_NON_INTEREST_INC" hidden="1">"c802"</definedName>
    <definedName name="IQ_NON_OPER_EXP" hidden="1">"c809"</definedName>
    <definedName name="IQ_NON_OPER_INC" hidden="1">"c810"</definedName>
    <definedName name="IQ_NON_PERF_ASSETS_10YR_ANN_GROWTH" hidden="1">"c811"</definedName>
    <definedName name="IQ_NON_PERF_ASSETS_1YR_ANN_GROWTH" hidden="1">"c812"</definedName>
    <definedName name="IQ_NON_PERF_ASSETS_2YR_ANN_GROWTH" hidden="1">"c813"</definedName>
    <definedName name="IQ_NON_PERF_ASSETS_3YR_ANN_GROWTH" hidden="1">"c814"</definedName>
    <definedName name="IQ_NON_PERF_ASSETS_5YR_ANN_GROWTH" hidden="1">"c815"</definedName>
    <definedName name="IQ_NON_PERF_ASSETS_7YR_ANN_GROWTH" hidden="1">"c816"</definedName>
    <definedName name="IQ_NON_PERF_ASSETS_TOTAL_ASSETS" hidden="1">"c817"</definedName>
    <definedName name="IQ_NON_PERF_LOANS_10YR_ANN_GROWTH" hidden="1">"c818"</definedName>
    <definedName name="IQ_NON_PERF_LOANS_1YR_ANN_GROWTH" hidden="1">"c819"</definedName>
    <definedName name="IQ_NON_PERF_LOANS_2YR_ANN_GROWTH" hidden="1">"c820"</definedName>
    <definedName name="IQ_NON_PERF_LOANS_3YR_ANN_GROWTH" hidden="1">"c821"</definedName>
    <definedName name="IQ_NON_PERF_LOANS_5YR_ANN_GROWTH" hidden="1">"c822"</definedName>
    <definedName name="IQ_NON_PERF_LOANS_7YR_ANN_GROWTH" hidden="1">"c823"</definedName>
    <definedName name="IQ_NON_PERF_LOANS_TOTAL_ASSETS" hidden="1">"c824"</definedName>
    <definedName name="IQ_NON_PERF_LOANS_TOTAL_LOANS" hidden="1">"c825"</definedName>
    <definedName name="IQ_NON_PERFORMING_ASSETS" hidden="1">"c826"</definedName>
    <definedName name="IQ_NON_PERFORMING_LOANS" hidden="1">"c827"</definedName>
    <definedName name="IQ_NONCASH_PENSION_EXP" hidden="1">"c3000"</definedName>
    <definedName name="IQ_NONRECOURSE_DEBT" hidden="1">"c2550"</definedName>
    <definedName name="IQ_NONRECOURSE_DEBT_PCT" hidden="1">"c2551"</definedName>
    <definedName name="IQ_NONUTIL_REV" hidden="1">"c2089"</definedName>
    <definedName name="IQ_NORM_EPS_ACT_OR_EST" hidden="1">"c2249"</definedName>
    <definedName name="IQ_NORMAL_INC_AFTER" hidden="1">"c1605"</definedName>
    <definedName name="IQ_NORMAL_INC_AVAIL" hidden="1">"c1606"</definedName>
    <definedName name="IQ_NORMAL_INC_BEFORE" hidden="1">"c1607"</definedName>
    <definedName name="IQ_NOTES_PAY" hidden="1">"c1176"</definedName>
    <definedName name="IQ_NOW_ACCOUNT" hidden="1">"c828"</definedName>
    <definedName name="IQ_NPPE" hidden="1">"c829"</definedName>
    <definedName name="IQ_NPPE_10YR_ANN_GROWTH" hidden="1">"c830"</definedName>
    <definedName name="IQ_NPPE_1YR_ANN_GROWTH" hidden="1">"c831"</definedName>
    <definedName name="IQ_NPPE_2YR_ANN_GROWTH" hidden="1">"c832"</definedName>
    <definedName name="IQ_NPPE_3YR_ANN_GROWTH" hidden="1">"c833"</definedName>
    <definedName name="IQ_NPPE_5YR_ANN_GROWTH" hidden="1">"c834"</definedName>
    <definedName name="IQ_NPPE_7YR_ANN_GROWTH" hidden="1">"c835"</definedName>
    <definedName name="IQ_NTM" hidden="1">6000</definedName>
    <definedName name="IQ_NUKE" hidden="1">"c836"</definedName>
    <definedName name="IQ_NUKE_CF" hidden="1">"c837"</definedName>
    <definedName name="IQ_NUKE_CONTR" hidden="1">"c838"</definedName>
    <definedName name="IQ_NUM_BRANCHES" hidden="1">"c2088"</definedName>
    <definedName name="IQ_NUMBER_ADRHOLDERS" hidden="1">"c1970"</definedName>
    <definedName name="IQ_NUMBER_DAYS" hidden="1">"c1904"</definedName>
    <definedName name="IQ_NUMBER_SHAREHOLDERS" hidden="1">"c1967"</definedName>
    <definedName name="IQ_NUMBER_SHAREHOLDERS_CLASSA" hidden="1">"c1968"</definedName>
    <definedName name="IQ_NUMBER_SHAREHOLDERS_OTHER" hidden="1">"c1969"</definedName>
    <definedName name="IQ_OCCUPY_EXP" hidden="1">"c839"</definedName>
    <definedName name="IQ_OFFER_AMOUNT" hidden="1">"c2152"</definedName>
    <definedName name="IQ_OFFER_COUPON" hidden="1">"c2147"</definedName>
    <definedName name="IQ_OFFER_COUPON_TYPE" hidden="1">"c2148"</definedName>
    <definedName name="IQ_OFFER_DATE" hidden="1">"c2149"</definedName>
    <definedName name="IQ_OFFER_PRICE" hidden="1">"c2150"</definedName>
    <definedName name="IQ_OFFER_YIELD" hidden="1">"c2151"</definedName>
    <definedName name="IQ_OG_10DISC" hidden="1">"c1998"</definedName>
    <definedName name="IQ_OG_10DISC_GAS" hidden="1">"c2018"</definedName>
    <definedName name="IQ_OG_10DISC_OIL" hidden="1">"c2008"</definedName>
    <definedName name="IQ_OG_ACQ_COST_PROVED" hidden="1">"c1975"</definedName>
    <definedName name="IQ_OG_ACQ_COST_PROVED_GAS" hidden="1">"c1987"</definedName>
    <definedName name="IQ_OG_ACQ_COST_PROVED_OIL" hidden="1">"c1981"</definedName>
    <definedName name="IQ_OG_ACQ_COST_UNPROVED" hidden="1">"c1976"</definedName>
    <definedName name="IQ_OG_ACQ_COST_UNPROVED_GAS" hidden="1">"c1988"</definedName>
    <definedName name="IQ_OG_ACQ_COST_UNPROVED_OIL" hidden="1">"c1982"</definedName>
    <definedName name="IQ_OG_AVG_DAILY_PROD_GAS" hidden="1">"c2910"</definedName>
    <definedName name="IQ_OG_AVG_DAILY_PROD_NGL" hidden="1">"c2911"</definedName>
    <definedName name="IQ_OG_AVG_DAILY_PROD_OIL" hidden="1">"c2909"</definedName>
    <definedName name="IQ_OG_CLOSE_BALANCE_GAS" hidden="1">"c2049"</definedName>
    <definedName name="IQ_OG_CLOSE_BALANCE_NGL" hidden="1">"c2920"</definedName>
    <definedName name="IQ_OG_CLOSE_BALANCE_OIL" hidden="1">"c2037"</definedName>
    <definedName name="IQ_OG_DCF_BEFORE_TAXES" hidden="1">"c2023"</definedName>
    <definedName name="IQ_OG_DCF_BEFORE_TAXES_GAS" hidden="1">"c2025"</definedName>
    <definedName name="IQ_OG_DCF_BEFORE_TAXES_OIL" hidden="1">"c2024"</definedName>
    <definedName name="IQ_OG_DEVELOPED_RESERVES_GAS" hidden="1">"c2053"</definedName>
    <definedName name="IQ_OG_DEVELOPED_RESERVES_NGL" hidden="1">"c2922"</definedName>
    <definedName name="IQ_OG_DEVELOPED_RESERVES_OIL" hidden="1">"c2054"</definedName>
    <definedName name="IQ_OG_DEVELOPMENT_COSTS" hidden="1">"c1978"</definedName>
    <definedName name="IQ_OG_DEVELOPMENT_COSTS_GAS" hidden="1">"c1990"</definedName>
    <definedName name="IQ_OG_DEVELOPMENT_COSTS_OIL" hidden="1">"c1984"</definedName>
    <definedName name="IQ_OG_EQUITY_DCF" hidden="1">"c2002"</definedName>
    <definedName name="IQ_OG_EQUITY_DCF_GAS" hidden="1">"c2022"</definedName>
    <definedName name="IQ_OG_EQUITY_DCF_OIL" hidden="1">"c2012"</definedName>
    <definedName name="IQ_OG_EQUTY_RESERVES_GAS" hidden="1">"c2050"</definedName>
    <definedName name="IQ_OG_EQUTY_RESERVES_NGL" hidden="1">"c2921"</definedName>
    <definedName name="IQ_OG_EQUTY_RESERVES_OIL" hidden="1">"c2038"</definedName>
    <definedName name="IQ_OG_EXPLORATION_COSTS" hidden="1">"c1977"</definedName>
    <definedName name="IQ_OG_EXPLORATION_COSTS_GAS" hidden="1">"c1989"</definedName>
    <definedName name="IQ_OG_EXPLORATION_COSTS_OIL" hidden="1">"c1983"</definedName>
    <definedName name="IQ_OG_EXT_DISC_GAS" hidden="1">"c2043"</definedName>
    <definedName name="IQ_OG_EXT_DISC_NGL" hidden="1">"c2914"</definedName>
    <definedName name="IQ_OG_EXT_DISC_OIL" hidden="1">"c2031"</definedName>
    <definedName name="IQ_OG_FUTURE_CASH_INFLOWS" hidden="1">"c1993"</definedName>
    <definedName name="IQ_OG_FUTURE_CASH_INFLOWS_GAS" hidden="1">"c2013"</definedName>
    <definedName name="IQ_OG_FUTURE_CASH_INFLOWS_OIL" hidden="1">"c2003"</definedName>
    <definedName name="IQ_OG_FUTURE_DEVELOPMENT_COSTS" hidden="1">"c1995"</definedName>
    <definedName name="IQ_OG_FUTURE_DEVELOPMENT_COSTS_GAS" hidden="1">"c2015"</definedName>
    <definedName name="IQ_OG_FUTURE_DEVELOPMENT_COSTS_OIL" hidden="1">"c2005"</definedName>
    <definedName name="IQ_OG_FUTURE_INC_TAXES" hidden="1">"c1997"</definedName>
    <definedName name="IQ_OG_FUTURE_INC_TAXES_GAS" hidden="1">"c2017"</definedName>
    <definedName name="IQ_OG_FUTURE_INC_TAXES_OIL" hidden="1">"c2007"</definedName>
    <definedName name="IQ_OG_FUTURE_PRODUCTION_COSTS" hidden="1">"c1994"</definedName>
    <definedName name="IQ_OG_FUTURE_PRODUCTION_COSTS_GAS" hidden="1">"c2014"</definedName>
    <definedName name="IQ_OG_FUTURE_PRODUCTION_COSTS_OIL" hidden="1">"c2004"</definedName>
    <definedName name="IQ_OG_GAS_PRICE_HEDGED" hidden="1">"c2056"</definedName>
    <definedName name="IQ_OG_GAS_PRICE_UNHEDGED" hidden="1">"c2058"</definedName>
    <definedName name="IQ_OG_IMPROVED_RECOVERY_GAS" hidden="1">"c2044"</definedName>
    <definedName name="IQ_OG_IMPROVED_RECOVERY_NGL" hidden="1">"c2915"</definedName>
    <definedName name="IQ_OG_IMPROVED_RECOVERY_OIL" hidden="1">"c2032"</definedName>
    <definedName name="IQ_OG_LIQUID_GAS_PRICE_HEDGED" hidden="1">"c2233"</definedName>
    <definedName name="IQ_OG_LIQUID_GAS_PRICE_UNHEDGED" hidden="1">"c2234"</definedName>
    <definedName name="IQ_OG_NET_FUTURE_CASH_FLOWS" hidden="1">"c1996"</definedName>
    <definedName name="IQ_OG_NET_FUTURE_CASH_FLOWS_GAS" hidden="1">"c2016"</definedName>
    <definedName name="IQ_OG_NET_FUTURE_CASH_FLOWS_OIL" hidden="1">"c2006"</definedName>
    <definedName name="IQ_OG_OIL_PRICE_HEDGED" hidden="1">"c2055"</definedName>
    <definedName name="IQ_OG_OIL_PRICE_UNHEDGED" hidden="1">"c2057"</definedName>
    <definedName name="IQ_OG_OPEN_BALANCE_GAS" hidden="1">"c2041"</definedName>
    <definedName name="IQ_OG_OPEN_BALANCE_NGL" hidden="1">"c2912"</definedName>
    <definedName name="IQ_OG_OPEN_BALANCE_OIL" hidden="1">"c2029"</definedName>
    <definedName name="IQ_OG_OTHER_ADJ_FCF" hidden="1">"c1999"</definedName>
    <definedName name="IQ_OG_OTHER_ADJ_FCF_GAS" hidden="1">"c2019"</definedName>
    <definedName name="IQ_OG_OTHER_ADJ_FCF_OIL" hidden="1">"c2009"</definedName>
    <definedName name="IQ_OG_OTHER_ADJ_GAS" hidden="1">"c2048"</definedName>
    <definedName name="IQ_OG_OTHER_ADJ_NGL" hidden="1">"c2919"</definedName>
    <definedName name="IQ_OG_OTHER_ADJ_OIL" hidden="1">"c2036"</definedName>
    <definedName name="IQ_OG_OTHER_COSTS" hidden="1">"c1979"</definedName>
    <definedName name="IQ_OG_OTHER_COSTS_GAS" hidden="1">"c1991"</definedName>
    <definedName name="IQ_OG_OTHER_COSTS_OIL" hidden="1">"c1985"</definedName>
    <definedName name="IQ_OG_PRODUCTION_GAS" hidden="1">"c2047"</definedName>
    <definedName name="IQ_OG_PRODUCTION_NGL" hidden="1">"c2918"</definedName>
    <definedName name="IQ_OG_PRODUCTION_OIL" hidden="1">"c2035"</definedName>
    <definedName name="IQ_OG_PURCHASES_GAS" hidden="1">"c2045"</definedName>
    <definedName name="IQ_OG_PURCHASES_NGL" hidden="1">"c2916"</definedName>
    <definedName name="IQ_OG_PURCHASES_OIL" hidden="1">"c2033"</definedName>
    <definedName name="IQ_OG_REVISIONS_GAS" hidden="1">"c2042"</definedName>
    <definedName name="IQ_OG_REVISIONS_NGL" hidden="1">"c2913"</definedName>
    <definedName name="IQ_OG_REVISIONS_OIL" hidden="1">"c2030"</definedName>
    <definedName name="IQ_OG_SALES_IN_PLACE_GAS" hidden="1">"c2046"</definedName>
    <definedName name="IQ_OG_SALES_IN_PLACE_NGL" hidden="1">"c2917"</definedName>
    <definedName name="IQ_OG_SALES_IN_PLACE_OIL" hidden="1">"c2034"</definedName>
    <definedName name="IQ_OG_STANDARDIZED_DCF" hidden="1">"c2000"</definedName>
    <definedName name="IQ_OG_STANDARDIZED_DCF_GAS" hidden="1">"c2020"</definedName>
    <definedName name="IQ_OG_STANDARDIZED_DCF_HEDGED" hidden="1">"c2001"</definedName>
    <definedName name="IQ_OG_STANDARDIZED_DCF_HEDGED_GAS" hidden="1">"c2021"</definedName>
    <definedName name="IQ_OG_STANDARDIZED_DCF_HEDGED_OIL" hidden="1">"c2011"</definedName>
    <definedName name="IQ_OG_STANDARDIZED_DCF_OIL" hidden="1">"c2010"</definedName>
    <definedName name="IQ_OG_TAXES" hidden="1">"c2026"</definedName>
    <definedName name="IQ_OG_TAXES_GAS" hidden="1">"c2028"</definedName>
    <definedName name="IQ_OG_TAXES_OIL" hidden="1">"c2027"</definedName>
    <definedName name="IQ_OG_TOTAL_COSTS" hidden="1">"c1980"</definedName>
    <definedName name="IQ_OG_TOTAL_COSTS_GAS" hidden="1">"c1992"</definedName>
    <definedName name="IQ_OG_TOTAL_COSTS_OIL" hidden="1">"c1986"</definedName>
    <definedName name="IQ_OG_TOTAL_EST_PROVED_RESERVES_GAS" hidden="1">"c2052"</definedName>
    <definedName name="IQ_OG_TOTAL_GAS_PRODUCTION" hidden="1">"c2060"</definedName>
    <definedName name="IQ_OG_TOTAL_LIQUID_GAS_PRODUCTION" hidden="1">"c2235"</definedName>
    <definedName name="IQ_OG_TOTAL_OIL_PRODUCTION" hidden="1">"c2059"</definedName>
    <definedName name="IQ_OG_TOTAL_OIL_PRODUCTON" hidden="1">"c2059"</definedName>
    <definedName name="IQ_OG_UNDEVELOPED_RESERVES_GAS" hidden="1">"c2051"</definedName>
    <definedName name="IQ_OG_UNDEVELOPED_RESERVES_NGL" hidden="1">"c2923"</definedName>
    <definedName name="IQ_OG_UNDEVELOPED_RESERVES_OIL" hidden="1">"c2039"</definedName>
    <definedName name="IQ_OIL_IMPAIR" hidden="1">"c840"</definedName>
    <definedName name="IQ_OL_COMM_AFTER_FIVE" hidden="1">"c841"</definedName>
    <definedName name="IQ_OL_COMM_CY" hidden="1">"c842"</definedName>
    <definedName name="IQ_OL_COMM_CY1" hidden="1">"c843"</definedName>
    <definedName name="IQ_OL_COMM_CY2" hidden="1">"c844"</definedName>
    <definedName name="IQ_OL_COMM_CY3" hidden="1">"c845"</definedName>
    <definedName name="IQ_OL_COMM_CY4" hidden="1">"c846"</definedName>
    <definedName name="IQ_OL_COMM_NEXT_FIVE" hidden="1">"c847"</definedName>
    <definedName name="IQ_OPENED55" hidden="1">1</definedName>
    <definedName name="IQ_OPENPRICE" hidden="1">"c848"</definedName>
    <definedName name="IQ_OPER_INC" hidden="1">"c849"</definedName>
    <definedName name="IQ_OPER_INC_ACT_OR_EST" hidden="1">"c2220"</definedName>
    <definedName name="IQ_OPER_INC_BR" hidden="1">"c850"</definedName>
    <definedName name="IQ_OPER_INC_EST" hidden="1">"c1688"</definedName>
    <definedName name="IQ_OPER_INC_FIN" hidden="1">"c851"</definedName>
    <definedName name="IQ_OPER_INC_HIGH_EST" hidden="1">"c1690"</definedName>
    <definedName name="IQ_OPER_INC_INS" hidden="1">"c852"</definedName>
    <definedName name="IQ_OPER_INC_LOW_EST" hidden="1">"c1691"</definedName>
    <definedName name="IQ_OPER_INC_MARGIN" hidden="1">"c362"</definedName>
    <definedName name="IQ_OPER_INC_MEDIAN_EST" hidden="1">"c1689"</definedName>
    <definedName name="IQ_OPER_INC_NUM_EST" hidden="1">"c1692"</definedName>
    <definedName name="IQ_OPER_INC_REIT" hidden="1">"c853"</definedName>
    <definedName name="IQ_OPER_INC_STDDEV_EST" hidden="1">"c1693"</definedName>
    <definedName name="IQ_OPER_INC_UTI" hidden="1">"c854"</definedName>
    <definedName name="IQ_OPERATIONS_EXP" hidden="1">"c855"</definedName>
    <definedName name="IQ_OPTIONS_BEG_OS" hidden="1">"c1572"</definedName>
    <definedName name="IQ_OPTIONS_CANCELLED" hidden="1">"c856"</definedName>
    <definedName name="IQ_OPTIONS_END_OS" hidden="1">"c1573"</definedName>
    <definedName name="IQ_OPTIONS_EXERCISED" hidden="1">"c2116"</definedName>
    <definedName name="IQ_OPTIONS_GRANTED" hidden="1">"c2673"</definedName>
    <definedName name="IQ_OPTIONS_ISSUED" hidden="1">"c857"</definedName>
    <definedName name="IQ_OPTIONS_STRIKE_PRICE_GRANTED" hidden="1">"c2678"</definedName>
    <definedName name="IQ_OPTIONS_STRIKE_PRICE_OS" hidden="1">"c2677"</definedName>
    <definedName name="IQ_ORDER_BACKLOG" hidden="1">"c2090"</definedName>
    <definedName name="IQ_OTHER_ADJUST_GROSS_LOANS" hidden="1">"c859"</definedName>
    <definedName name="IQ_OTHER_ASSETS" hidden="1">"c860"</definedName>
    <definedName name="IQ_OTHER_ASSETS_BNK" hidden="1">"c861"</definedName>
    <definedName name="IQ_OTHER_ASSETS_BR" hidden="1">"c862"</definedName>
    <definedName name="IQ_OTHER_ASSETS_FIN" hidden="1">"c863"</definedName>
    <definedName name="IQ_OTHER_ASSETS_INS" hidden="1">"c864"</definedName>
    <definedName name="IQ_OTHER_ASSETS_REIT" hidden="1">"c865"</definedName>
    <definedName name="IQ_OTHER_ASSETS_SERV_RIGHTS" hidden="1">"c2243"</definedName>
    <definedName name="IQ_OTHER_ASSETS_UTI" hidden="1">"c866"</definedName>
    <definedName name="IQ_OTHER_BEARING_LIAB" hidden="1">"c1608"</definedName>
    <definedName name="IQ_OTHER_BENEFITS_OBLIGATION" hidden="1">"c867"</definedName>
    <definedName name="IQ_OTHER_CA" hidden="1">"c868"</definedName>
    <definedName name="IQ_OTHER_CA_SUPPL" hidden="1">"c869"</definedName>
    <definedName name="IQ_OTHER_CA_SUPPL_BNK" hidden="1">"c870"</definedName>
    <definedName name="IQ_OTHER_CA_SUPPL_BR" hidden="1">"c871"</definedName>
    <definedName name="IQ_OTHER_CA_SUPPL_FIN" hidden="1">"c872"</definedName>
    <definedName name="IQ_OTHER_CA_SUPPL_INS" hidden="1">"c873"</definedName>
    <definedName name="IQ_OTHER_CA_SUPPL_REIT" hidden="1">"c874"</definedName>
    <definedName name="IQ_OTHER_CA_SUPPL_UTI" hidden="1">"c875"</definedName>
    <definedName name="IQ_OTHER_CA_UTI" hidden="1">"c876"</definedName>
    <definedName name="IQ_OTHER_CL" hidden="1">"c877"</definedName>
    <definedName name="IQ_OTHER_CL_SUPPL" hidden="1">"c878"</definedName>
    <definedName name="IQ_OTHER_CL_SUPPL_BNK" hidden="1">"c879"</definedName>
    <definedName name="IQ_OTHER_CL_SUPPL_BR" hidden="1">"c880"</definedName>
    <definedName name="IQ_OTHER_CL_SUPPL_FIN" hidden="1">"c881"</definedName>
    <definedName name="IQ_OTHER_CL_SUPPL_REIT" hidden="1">"c882"</definedName>
    <definedName name="IQ_OTHER_CL_SUPPL_UTI" hidden="1">"c883"</definedName>
    <definedName name="IQ_OTHER_CL_UTI" hidden="1">"c884"</definedName>
    <definedName name="IQ_OTHER_CURRENT_ASSETS" hidden="1">"c868"</definedName>
    <definedName name="IQ_OTHER_CURRENT_LIAB" hidden="1">"c877"</definedName>
    <definedName name="IQ_OTHER_DEBT" hidden="1">"c2507"</definedName>
    <definedName name="IQ_OTHER_DEBT_PCT" hidden="1">"c2508"</definedName>
    <definedName name="IQ_OTHER_DEP" hidden="1">"c885"</definedName>
    <definedName name="IQ_OTHER_EARNING" hidden="1">"c1609"</definedName>
    <definedName name="IQ_OTHER_EQUITY" hidden="1">"c886"</definedName>
    <definedName name="IQ_OTHER_EQUITY_BNK" hidden="1">"c887"</definedName>
    <definedName name="IQ_OTHER_EQUITY_BR" hidden="1">"c888"</definedName>
    <definedName name="IQ_OTHER_EQUITY_FIN" hidden="1">"c889"</definedName>
    <definedName name="IQ_OTHER_EQUITY_INS" hidden="1">"c890"</definedName>
    <definedName name="IQ_OTHER_EQUITY_REIT" hidden="1">"c891"</definedName>
    <definedName name="IQ_OTHER_EQUITY_UTI" hidden="1">"c892"</definedName>
    <definedName name="IQ_OTHER_FINANCE_ACT" hidden="1">"c893"</definedName>
    <definedName name="IQ_OTHER_FINANCE_ACT_BNK" hidden="1">"c894"</definedName>
    <definedName name="IQ_OTHER_FINANCE_ACT_BR" hidden="1">"c895"</definedName>
    <definedName name="IQ_OTHER_FINANCE_ACT_FIN" hidden="1">"c896"</definedName>
    <definedName name="IQ_OTHER_FINANCE_ACT_INS" hidden="1">"c897"</definedName>
    <definedName name="IQ_OTHER_FINANCE_ACT_REIT" hidden="1">"c898"</definedName>
    <definedName name="IQ_OTHER_FINANCE_ACT_SUPPL" hidden="1">"c899"</definedName>
    <definedName name="IQ_OTHER_FINANCE_ACT_SUPPL_BNK" hidden="1">"c900"</definedName>
    <definedName name="IQ_OTHER_FINANCE_ACT_SUPPL_BR" hidden="1">"c901"</definedName>
    <definedName name="IQ_OTHER_FINANCE_ACT_SUPPL_FIN" hidden="1">"c902"</definedName>
    <definedName name="IQ_OTHER_FINANCE_ACT_SUPPL_INS" hidden="1">"c903"</definedName>
    <definedName name="IQ_OTHER_FINANCE_ACT_SUPPL_REIT" hidden="1">"c904"</definedName>
    <definedName name="IQ_OTHER_FINANCE_ACT_SUPPL_UTI" hidden="1">"c905"</definedName>
    <definedName name="IQ_OTHER_FINANCE_ACT_UTI" hidden="1">"c906"</definedName>
    <definedName name="IQ_OTHER_INTAN" hidden="1">"c907"</definedName>
    <definedName name="IQ_OTHER_INTAN_BNK" hidden="1">"c908"</definedName>
    <definedName name="IQ_OTHER_INTAN_BR" hidden="1">"c909"</definedName>
    <definedName name="IQ_OTHER_INTAN_FIN" hidden="1">"c910"</definedName>
    <definedName name="IQ_OTHER_INTAN_INS" hidden="1">"c911"</definedName>
    <definedName name="IQ_OTHER_INTAN_REIT" hidden="1">"c912"</definedName>
    <definedName name="IQ_OTHER_INTAN_UTI" hidden="1">"c913"</definedName>
    <definedName name="IQ_OTHER_INV" hidden="1">"c914"</definedName>
    <definedName name="IQ_OTHER_INVEST" hidden="1">"c915"</definedName>
    <definedName name="IQ_OTHER_INVEST_ACT" hidden="1">"c916"</definedName>
    <definedName name="IQ_OTHER_INVEST_ACT_BNK" hidden="1">"c917"</definedName>
    <definedName name="IQ_OTHER_INVEST_ACT_BR" hidden="1">"c918"</definedName>
    <definedName name="IQ_OTHER_INVEST_ACT_FIN" hidden="1">"c919"</definedName>
    <definedName name="IQ_OTHER_INVEST_ACT_INS" hidden="1">"c920"</definedName>
    <definedName name="IQ_OTHER_INVEST_ACT_REIT" hidden="1">"c921"</definedName>
    <definedName name="IQ_OTHER_INVEST_ACT_SUPPL" hidden="1">"c922"</definedName>
    <definedName name="IQ_OTHER_INVEST_ACT_SUPPL_BNK" hidden="1">"c923"</definedName>
    <definedName name="IQ_OTHER_INVEST_ACT_SUPPL_BR" hidden="1">"c924"</definedName>
    <definedName name="IQ_OTHER_INVEST_ACT_SUPPL_FIN" hidden="1">"c925"</definedName>
    <definedName name="IQ_OTHER_INVEST_ACT_SUPPL_INS" hidden="1">"c926"</definedName>
    <definedName name="IQ_OTHER_INVEST_ACT_SUPPL_REIT" hidden="1">"c927"</definedName>
    <definedName name="IQ_OTHER_INVEST_ACT_SUPPL_UTI" hidden="1">"c928"</definedName>
    <definedName name="IQ_OTHER_INVEST_ACT_UTI" hidden="1">"c929"</definedName>
    <definedName name="IQ_OTHER_INVESTING" hidden="1">"c916"</definedName>
    <definedName name="IQ_OTHER_LIAB" hidden="1">"c930"</definedName>
    <definedName name="IQ_OTHER_LIAB_BNK" hidden="1">"c931"</definedName>
    <definedName name="IQ_OTHER_LIAB_BR" hidden="1">"c932"</definedName>
    <definedName name="IQ_OTHER_LIAB_FIN" hidden="1">"c933"</definedName>
    <definedName name="IQ_OTHER_LIAB_INS" hidden="1">"c934"</definedName>
    <definedName name="IQ_OTHER_LIAB_LT" hidden="1">"c935"</definedName>
    <definedName name="IQ_OTHER_LIAB_LT_BNK" hidden="1">"c936"</definedName>
    <definedName name="IQ_OTHER_LIAB_LT_BR" hidden="1">"c937"</definedName>
    <definedName name="IQ_OTHER_LIAB_LT_FIN" hidden="1">"c938"</definedName>
    <definedName name="IQ_OTHER_LIAB_LT_INS" hidden="1">"c939"</definedName>
    <definedName name="IQ_OTHER_LIAB_LT_REIT" hidden="1">"c940"</definedName>
    <definedName name="IQ_OTHER_LIAB_LT_UTI" hidden="1">"c941"</definedName>
    <definedName name="IQ_OTHER_LIAB_REIT" hidden="1">"c942"</definedName>
    <definedName name="IQ_OTHER_LIAB_UTI" hidden="1">"c943"</definedName>
    <definedName name="IQ_OTHER_LIAB_WRITTEN" hidden="1">"c944"</definedName>
    <definedName name="IQ_OTHER_LOANS" hidden="1">"c945"</definedName>
    <definedName name="IQ_OTHER_LONG_TERM" hidden="1">"c946"</definedName>
    <definedName name="IQ_OTHER_LT_ASSETS" hidden="1">"c946"</definedName>
    <definedName name="IQ_OTHER_LT_ASSETS_BNK" hidden="1">"c947"</definedName>
    <definedName name="IQ_OTHER_LT_ASSETS_BR" hidden="1">"c948"</definedName>
    <definedName name="IQ_OTHER_LT_ASSETS_FIN" hidden="1">"c949"</definedName>
    <definedName name="IQ_OTHER_LT_ASSETS_INS" hidden="1">"c950"</definedName>
    <definedName name="IQ_OTHER_LT_ASSETS_REIT" hidden="1">"c951"</definedName>
    <definedName name="IQ_OTHER_LT_ASSETS_UTI" hidden="1">"c952"</definedName>
    <definedName name="IQ_OTHER_NET" hidden="1">"c959"</definedName>
    <definedName name="IQ_OTHER_NON_INT_EXP" hidden="1">"c953"</definedName>
    <definedName name="IQ_OTHER_NON_INT_EXP_TOTAL" hidden="1">"c954"</definedName>
    <definedName name="IQ_OTHER_NON_INT_INC" hidden="1">"c955"</definedName>
    <definedName name="IQ_OTHER_NON_OPER_EXP" hidden="1">"c956"</definedName>
    <definedName name="IQ_OTHER_NON_OPER_EXP_BR" hidden="1">"c957"</definedName>
    <definedName name="IQ_OTHER_NON_OPER_EXP_FIN" hidden="1">"c958"</definedName>
    <definedName name="IQ_OTHER_NON_OPER_EXP_INS" hidden="1">"c959"</definedName>
    <definedName name="IQ_OTHER_NON_OPER_EXP_REIT" hidden="1">"c960"</definedName>
    <definedName name="IQ_OTHER_NON_OPER_EXP_SUPPL" hidden="1">"c961"</definedName>
    <definedName name="IQ_OTHER_NON_OPER_EXP_SUPPL_BR" hidden="1">"c962"</definedName>
    <definedName name="IQ_OTHER_NON_OPER_EXP_SUPPL_FIN" hidden="1">"c963"</definedName>
    <definedName name="IQ_OTHER_NON_OPER_EXP_SUPPL_INS" hidden="1">"c964"</definedName>
    <definedName name="IQ_OTHER_NON_OPER_EXP_SUPPL_REIT" hidden="1">"c965"</definedName>
    <definedName name="IQ_OTHER_NON_OPER_EXP_SUPPL_UTI" hidden="1">"c966"</definedName>
    <definedName name="IQ_OTHER_NON_OPER_EXP_UTI" hidden="1">"c967"</definedName>
    <definedName name="IQ_OTHER_OPER" hidden="1">"c982"</definedName>
    <definedName name="IQ_OTHER_OPER_ACT" hidden="1">"c983"</definedName>
    <definedName name="IQ_OTHER_OPER_ACT_BNK" hidden="1">"c984"</definedName>
    <definedName name="IQ_OTHER_OPER_ACT_BR" hidden="1">"c985"</definedName>
    <definedName name="IQ_OTHER_OPER_ACT_FIN" hidden="1">"c986"</definedName>
    <definedName name="IQ_OTHER_OPER_ACT_INS" hidden="1">"c987"</definedName>
    <definedName name="IQ_OTHER_OPER_ACT_REIT" hidden="1">"c988"</definedName>
    <definedName name="IQ_OTHER_OPER_ACT_UTI" hidden="1">"c989"</definedName>
    <definedName name="IQ_OTHER_OPER_BR" hidden="1">"c990"</definedName>
    <definedName name="IQ_OTHER_OPER_FIN" hidden="1">"c991"</definedName>
    <definedName name="IQ_OTHER_OPER_INS" hidden="1">"c992"</definedName>
    <definedName name="IQ_OTHER_OPER_REIT" hidden="1">"c993"</definedName>
    <definedName name="IQ_OTHER_OPER_SUPPL_BR" hidden="1">"c994"</definedName>
    <definedName name="IQ_OTHER_OPER_SUPPL_FIN" hidden="1">"c995"</definedName>
    <definedName name="IQ_OTHER_OPER_SUPPL_INS" hidden="1">"c996"</definedName>
    <definedName name="IQ_OTHER_OPER_SUPPL_REIT" hidden="1">"c997"</definedName>
    <definedName name="IQ_OTHER_OPER_SUPPL_UTI" hidden="1">"c998"</definedName>
    <definedName name="IQ_OTHER_OPER_TOT_BNK" hidden="1">"c999"</definedName>
    <definedName name="IQ_OTHER_OPER_TOT_BR" hidden="1">"c1000"</definedName>
    <definedName name="IQ_OTHER_OPER_TOT_FIN" hidden="1">"c1001"</definedName>
    <definedName name="IQ_OTHER_OPER_TOT_INS" hidden="1">"c1002"</definedName>
    <definedName name="IQ_OTHER_OPER_TOT_REIT" hidden="1">"c1003"</definedName>
    <definedName name="IQ_OTHER_OPER_TOT_UTI" hidden="1">"c1004"</definedName>
    <definedName name="IQ_OTHER_OPER_UTI" hidden="1">"c1005"</definedName>
    <definedName name="IQ_OTHER_OPTIONS_BEG_OS" hidden="1">"c2686"</definedName>
    <definedName name="IQ_OTHER_OPTIONS_CANCELLED" hidden="1">"c2689"</definedName>
    <definedName name="IQ_OTHER_OPTIONS_END_OS" hidden="1">"c2690"</definedName>
    <definedName name="IQ_OTHER_OPTIONS_EXERCISED" hidden="1">"c2688"</definedName>
    <definedName name="IQ_OTHER_OPTIONS_GRANTED" hidden="1">"c2687"</definedName>
    <definedName name="IQ_OTHER_OPTIONS_STRIKE_PRICE_OS" hidden="1">"c2691"</definedName>
    <definedName name="IQ_OTHER_OUTSTANDING_BS_DATE" hidden="1">"c1972"</definedName>
    <definedName name="IQ_OTHER_OUTSTANDING_FILING_DATE" hidden="1">"c1974"</definedName>
    <definedName name="IQ_OTHER_PC_WRITTEN" hidden="1">"c1006"</definedName>
    <definedName name="IQ_OTHER_REAL_ESTATE" hidden="1">"c1007"</definedName>
    <definedName name="IQ_OTHER_RECEIV" hidden="1">"c1008"</definedName>
    <definedName name="IQ_OTHER_RECEIV_INS" hidden="1">"c1009"</definedName>
    <definedName name="IQ_OTHER_REV" hidden="1">"c1010"</definedName>
    <definedName name="IQ_OTHER_REV_BR" hidden="1">"c1011"</definedName>
    <definedName name="IQ_OTHER_REV_FIN" hidden="1">"c1012"</definedName>
    <definedName name="IQ_OTHER_REV_INS" hidden="1">"c1013"</definedName>
    <definedName name="IQ_OTHER_REV_REIT" hidden="1">"c1014"</definedName>
    <definedName name="IQ_OTHER_REV_SUPPL" hidden="1">"c1015"</definedName>
    <definedName name="IQ_OTHER_REV_SUPPL_BR" hidden="1">"c1016"</definedName>
    <definedName name="IQ_OTHER_REV_SUPPL_FIN" hidden="1">"c1017"</definedName>
    <definedName name="IQ_OTHER_REV_SUPPL_INS" hidden="1">"c1018"</definedName>
    <definedName name="IQ_OTHER_REV_SUPPL_REIT" hidden="1">"c1019"</definedName>
    <definedName name="IQ_OTHER_REV_SUPPL_UTI" hidden="1">"c1020"</definedName>
    <definedName name="IQ_OTHER_REV_UTI" hidden="1">"c1021"</definedName>
    <definedName name="IQ_OTHER_REVENUE" hidden="1">"c1010"</definedName>
    <definedName name="IQ_OTHER_STRIKE_PRICE_GRANTED" hidden="1">"c2692"</definedName>
    <definedName name="IQ_OTHER_UNDRAWN" hidden="1">"c2522"</definedName>
    <definedName name="IQ_OTHER_UNUSUAL" hidden="1">"c1488"</definedName>
    <definedName name="IQ_OTHER_UNUSUAL_BNK" hidden="1">"c1560"</definedName>
    <definedName name="IQ_OTHER_UNUSUAL_BR" hidden="1">"c1561"</definedName>
    <definedName name="IQ_OTHER_UNUSUAL_FIN" hidden="1">"c1562"</definedName>
    <definedName name="IQ_OTHER_UNUSUAL_INS" hidden="1">"c1563"</definedName>
    <definedName name="IQ_OTHER_UNUSUAL_REIT" hidden="1">"c1564"</definedName>
    <definedName name="IQ_OTHER_UNUSUAL_SUPPL" hidden="1">"c1494"</definedName>
    <definedName name="IQ_OTHER_UNUSUAL_SUPPL_BNK" hidden="1">"c1495"</definedName>
    <definedName name="IQ_OTHER_UNUSUAL_SUPPL_BR" hidden="1">"c1496"</definedName>
    <definedName name="IQ_OTHER_UNUSUAL_SUPPL_FIN" hidden="1">"c1497"</definedName>
    <definedName name="IQ_OTHER_UNUSUAL_SUPPL_INS" hidden="1">"c1498"</definedName>
    <definedName name="IQ_OTHER_UNUSUAL_SUPPL_REIT" hidden="1">"c1499"</definedName>
    <definedName name="IQ_OTHER_UNUSUAL_SUPPL_UTI" hidden="1">"c1500"</definedName>
    <definedName name="IQ_OTHER_UNUSUAL_UTI" hidden="1">"c1565"</definedName>
    <definedName name="IQ_OTHER_WARRANTS_BEG_OS" hidden="1">"c2712"</definedName>
    <definedName name="IQ_OTHER_WARRANTS_CANCELLED" hidden="1">"c2715"</definedName>
    <definedName name="IQ_OTHER_WARRANTS_END_OS" hidden="1">"c2716"</definedName>
    <definedName name="IQ_OTHER_WARRANTS_EXERCISED" hidden="1">"c2714"</definedName>
    <definedName name="IQ_OTHER_WARRANTS_ISSUED" hidden="1">"c2713"</definedName>
    <definedName name="IQ_OTHER_WARRANTS_STRIKE_PRICE_ISSUED" hidden="1">"c2718"</definedName>
    <definedName name="IQ_OTHER_WARRANTS_STRIKE_PRICE_OS" hidden="1">"c2717"</definedName>
    <definedName name="IQ_OUTSTANDING_BS_DATE" hidden="1">"c1022"</definedName>
    <definedName name="IQ_OUTSTANDING_FILING_DATE" hidden="1">"c1023"</definedName>
    <definedName name="IQ_OWNERSHIP" hidden="1">"c2160"</definedName>
    <definedName name="IQ_PART_TIME" hidden="1">"c1024"</definedName>
    <definedName name="IQ_PAY_ACCRUED" hidden="1">"c8"</definedName>
    <definedName name="IQ_PAYOUT_RATIO" hidden="1">"c1900"</definedName>
    <definedName name="IQ_PBV" hidden="1">"c1025"</definedName>
    <definedName name="IQ_PBV_AVG" hidden="1">"c1026"</definedName>
    <definedName name="IQ_PC_EARNED" hidden="1">"c2749"</definedName>
    <definedName name="IQ_PC_GAAP_COMBINED_RATIO" hidden="1">"c2781"</definedName>
    <definedName name="IQ_PC_GAAP_COMBINED_RATIO_EXCL_CL" hidden="1">"c2782"</definedName>
    <definedName name="IQ_PC_GAAP_EXPENSE_RATIO" hidden="1">"c2780"</definedName>
    <definedName name="IQ_PC_GAAP_LOSS" hidden="1">"c2779"</definedName>
    <definedName name="IQ_PC_POLICY_BENEFITS_EXP" hidden="1">"c2790"</definedName>
    <definedName name="IQ_PC_STAT_COMBINED_RATIO" hidden="1">"c2778"</definedName>
    <definedName name="IQ_PC_STAT_COMBINED_RATIO_EXCL_DIV" hidden="1">"c2777"</definedName>
    <definedName name="IQ_PC_STAT_DIVIDEND_RATIO" hidden="1">"c2776"</definedName>
    <definedName name="IQ_PC_STAT_EXPENSE_RATIO" hidden="1">"c2775"</definedName>
    <definedName name="IQ_PC_STAT_LOSS_RATIO" hidden="1">"c2774"</definedName>
    <definedName name="IQ_PC_STATUTORY_SURPLUS" hidden="1">"c2770"</definedName>
    <definedName name="IQ_PC_WRITTEN" hidden="1">"c1027"</definedName>
    <definedName name="IQ_PE_EXCL" hidden="1">"c1028"</definedName>
    <definedName name="IQ_PE_EXCL_AVG" hidden="1">"c1029"</definedName>
    <definedName name="IQ_PE_EXCL_FWD" hidden="1">"c1030"</definedName>
    <definedName name="IQ_PE_NORMALIZED" hidden="1">"c2207"</definedName>
    <definedName name="IQ_PE_RATIO" hidden="1">"c1610"</definedName>
    <definedName name="IQ_PEG_FWD" hidden="1">"c1863"</definedName>
    <definedName name="IQ_PENSION" hidden="1">"c1031"</definedName>
    <definedName name="IQ_PERCENT_CHANGE_EST_5YR_GROWTH_RATE_12MONTHS" hidden="1">"c1852"</definedName>
    <definedName name="IQ_PERCENT_CHANGE_EST_5YR_GROWTH_RATE_18MONTHS" hidden="1">"c1853"</definedName>
    <definedName name="IQ_PERCENT_CHANGE_EST_5YR_GROWTH_RATE_3MONTHS" hidden="1">"c1849"</definedName>
    <definedName name="IQ_PERCENT_CHANGE_EST_5YR_GROWTH_RATE_6MONTHS" hidden="1">"c1850"</definedName>
    <definedName name="IQ_PERCENT_CHANGE_EST_5YR_GROWTH_RATE_9MONTHS" hidden="1">"c1851"</definedName>
    <definedName name="IQ_PERCENT_CHANGE_EST_5YR_GROWTH_RATE_DAY" hidden="1">"c1846"</definedName>
    <definedName name="IQ_PERCENT_CHANGE_EST_5YR_GROWTH_RATE_MONTH" hidden="1">"c1848"</definedName>
    <definedName name="IQ_PERCENT_CHANGE_EST_5YR_GROWTH_RATE_WEEK" hidden="1">"c1847"</definedName>
    <definedName name="IQ_PERCENT_CHANGE_EST_CFPS_12MONTHS" hidden="1">"c1812"</definedName>
    <definedName name="IQ_PERCENT_CHANGE_EST_CFPS_18MONTHS" hidden="1">"c1813"</definedName>
    <definedName name="IQ_PERCENT_CHANGE_EST_CFPS_3MONTHS" hidden="1">"c1809"</definedName>
    <definedName name="IQ_PERCENT_CHANGE_EST_CFPS_6MONTHS" hidden="1">"c1810"</definedName>
    <definedName name="IQ_PERCENT_CHANGE_EST_CFPS_9MONTHS" hidden="1">"c1811"</definedName>
    <definedName name="IQ_PERCENT_CHANGE_EST_CFPS_DAY" hidden="1">"c1806"</definedName>
    <definedName name="IQ_PERCENT_CHANGE_EST_CFPS_MONTH" hidden="1">"c1808"</definedName>
    <definedName name="IQ_PERCENT_CHANGE_EST_CFPS_WEEK" hidden="1">"c1807"</definedName>
    <definedName name="IQ_PERCENT_CHANGE_EST_DPS_12MONTHS" hidden="1">"c1820"</definedName>
    <definedName name="IQ_PERCENT_CHANGE_EST_DPS_18MONTHS" hidden="1">"c1821"</definedName>
    <definedName name="IQ_PERCENT_CHANGE_EST_DPS_3MONTHS" hidden="1">"c1817"</definedName>
    <definedName name="IQ_PERCENT_CHANGE_EST_DPS_6MONTHS" hidden="1">"c1818"</definedName>
    <definedName name="IQ_PERCENT_CHANGE_EST_DPS_9MONTHS" hidden="1">"c1819"</definedName>
    <definedName name="IQ_PERCENT_CHANGE_EST_DPS_DAY" hidden="1">"c1814"</definedName>
    <definedName name="IQ_PERCENT_CHANGE_EST_DPS_MONTH" hidden="1">"c1816"</definedName>
    <definedName name="IQ_PERCENT_CHANGE_EST_DPS_WEEK" hidden="1">"c1815"</definedName>
    <definedName name="IQ_PERCENT_CHANGE_EST_EBITDA_12MONTHS" hidden="1">"c1804"</definedName>
    <definedName name="IQ_PERCENT_CHANGE_EST_EBITDA_18MONTHS" hidden="1">"c1805"</definedName>
    <definedName name="IQ_PERCENT_CHANGE_EST_EBITDA_3MONTHS" hidden="1">"c1801"</definedName>
    <definedName name="IQ_PERCENT_CHANGE_EST_EBITDA_6MONTHS" hidden="1">"c1802"</definedName>
    <definedName name="IQ_PERCENT_CHANGE_EST_EBITDA_9MONTHS" hidden="1">"c1803"</definedName>
    <definedName name="IQ_PERCENT_CHANGE_EST_EBITDA_DAY" hidden="1">"c1798"</definedName>
    <definedName name="IQ_PERCENT_CHANGE_EST_EBITDA_MONTH" hidden="1">"c1800"</definedName>
    <definedName name="IQ_PERCENT_CHANGE_EST_EBITDA_WEEK" hidden="1">"c1799"</definedName>
    <definedName name="IQ_PERCENT_CHANGE_EST_EPS_12MONTHS" hidden="1">"c1788"</definedName>
    <definedName name="IQ_PERCENT_CHANGE_EST_EPS_18MONTHS" hidden="1">"c1789"</definedName>
    <definedName name="IQ_PERCENT_CHANGE_EST_EPS_3MONTHS" hidden="1">"c1785"</definedName>
    <definedName name="IQ_PERCENT_CHANGE_EST_EPS_6MONTHS" hidden="1">"c1786"</definedName>
    <definedName name="IQ_PERCENT_CHANGE_EST_EPS_9MONTHS" hidden="1">"c1787"</definedName>
    <definedName name="IQ_PERCENT_CHANGE_EST_EPS_DAY" hidden="1">"c1782"</definedName>
    <definedName name="IQ_PERCENT_CHANGE_EST_EPS_MONTH" hidden="1">"c1784"</definedName>
    <definedName name="IQ_PERCENT_CHANGE_EST_EPS_WEEK" hidden="1">"c1783"</definedName>
    <definedName name="IQ_PERCENT_CHANGE_EST_FFO_12MONTHS" hidden="1">"c1828"</definedName>
    <definedName name="IQ_PERCENT_CHANGE_EST_FFO_18MONTHS" hidden="1">"c1829"</definedName>
    <definedName name="IQ_PERCENT_CHANGE_EST_FFO_3MONTHS" hidden="1">"c1825"</definedName>
    <definedName name="IQ_PERCENT_CHANGE_EST_FFO_6MONTHS" hidden="1">"c1826"</definedName>
    <definedName name="IQ_PERCENT_CHANGE_EST_FFO_9MONTHS" hidden="1">"c1827"</definedName>
    <definedName name="IQ_PERCENT_CHANGE_EST_FFO_DAY" hidden="1">"c1822"</definedName>
    <definedName name="IQ_PERCENT_CHANGE_EST_FFO_MONTH" hidden="1">"c1824"</definedName>
    <definedName name="IQ_PERCENT_CHANGE_EST_FFO_WEEK" hidden="1">"c1823"</definedName>
    <definedName name="IQ_PERCENT_CHANGE_EST_PRICE_TARGET_12MONTHS" hidden="1">"c1844"</definedName>
    <definedName name="IQ_PERCENT_CHANGE_EST_PRICE_TARGET_18MONTHS" hidden="1">"c1845"</definedName>
    <definedName name="IQ_PERCENT_CHANGE_EST_PRICE_TARGET_3MONTHS" hidden="1">"c1841"</definedName>
    <definedName name="IQ_PERCENT_CHANGE_EST_PRICE_TARGET_6MONTHS" hidden="1">"c1842"</definedName>
    <definedName name="IQ_PERCENT_CHANGE_EST_PRICE_TARGET_9MONTHS" hidden="1">"c1843"</definedName>
    <definedName name="IQ_PERCENT_CHANGE_EST_PRICE_TARGET_DAY" hidden="1">"c1838"</definedName>
    <definedName name="IQ_PERCENT_CHANGE_EST_PRICE_TARGET_MONTH" hidden="1">"c1840"</definedName>
    <definedName name="IQ_PERCENT_CHANGE_EST_PRICE_TARGET_WEEK" hidden="1">"c1839"</definedName>
    <definedName name="IQ_PERCENT_CHANGE_EST_RECO_12MONTHS" hidden="1">"c1836"</definedName>
    <definedName name="IQ_PERCENT_CHANGE_EST_RECO_18MONTHS" hidden="1">"c1837"</definedName>
    <definedName name="IQ_PERCENT_CHANGE_EST_RECO_3MONTHS" hidden="1">"c1833"</definedName>
    <definedName name="IQ_PERCENT_CHANGE_EST_RECO_6MONTHS" hidden="1">"c1834"</definedName>
    <definedName name="IQ_PERCENT_CHANGE_EST_RECO_9MONTHS" hidden="1">"c1835"</definedName>
    <definedName name="IQ_PERCENT_CHANGE_EST_RECO_DAY" hidden="1">"c1830"</definedName>
    <definedName name="IQ_PERCENT_CHANGE_EST_RECO_MONTH" hidden="1">"c1832"</definedName>
    <definedName name="IQ_PERCENT_CHANGE_EST_RECO_WEEK" hidden="1">"c1831"</definedName>
    <definedName name="IQ_PERCENT_CHANGE_EST_REV_12MONTHS" hidden="1">"c1796"</definedName>
    <definedName name="IQ_PERCENT_CHANGE_EST_REV_18MONTHS" hidden="1">"c1797"</definedName>
    <definedName name="IQ_PERCENT_CHANGE_EST_REV_3MONTHS" hidden="1">"c1793"</definedName>
    <definedName name="IQ_PERCENT_CHANGE_EST_REV_6MONTHS" hidden="1">"c1794"</definedName>
    <definedName name="IQ_PERCENT_CHANGE_EST_REV_9MONTHS" hidden="1">"c1795"</definedName>
    <definedName name="IQ_PERCENT_CHANGE_EST_REV_DAY" hidden="1">"c1790"</definedName>
    <definedName name="IQ_PERCENT_CHANGE_EST_REV_MONTH" hidden="1">"c1792"</definedName>
    <definedName name="IQ_PERCENT_CHANGE_EST_REV_WEEK" hidden="1">"c1791"</definedName>
    <definedName name="IQ_PERIODDATE" hidden="1">"c1034"</definedName>
    <definedName name="IQ_PERIODDATE_BS" hidden="1">"c1032"</definedName>
    <definedName name="IQ_PERIODDATE_CF" hidden="1">"c1033"</definedName>
    <definedName name="IQ_PERIODDATE_IS" hidden="1">"c1034"</definedName>
    <definedName name="IQ_PERIODLENGTH_CF" hidden="1">"c1502"</definedName>
    <definedName name="IQ_PERIODLENGTH_IS" hidden="1">"c1503"</definedName>
    <definedName name="IQ_PERTYPE" hidden="1">"c1611"</definedName>
    <definedName name="IQ_PLL" hidden="1">"c2114"</definedName>
    <definedName name="IQ_PMT_FREQ" hidden="1">"c2236"</definedName>
    <definedName name="IQ_POISON_PUT_EFFECT_DATE" hidden="1">"c2486"</definedName>
    <definedName name="IQ_POISON_PUT_EXPIRATION_DATE" hidden="1">"c2487"</definedName>
    <definedName name="IQ_POISON_PUT_PRICE" hidden="1">"c2488"</definedName>
    <definedName name="IQ_POLICY_BENEFITS" hidden="1">"c1036"</definedName>
    <definedName name="IQ_POLICY_COST" hidden="1">"c1037"</definedName>
    <definedName name="IQ_POLICY_LIAB" hidden="1">"c1612"</definedName>
    <definedName name="IQ_POLICY_LOANS" hidden="1">"c1038"</definedName>
    <definedName name="IQ_POST_RETIRE_EXP" hidden="1">"c1039"</definedName>
    <definedName name="IQ_POSTPAID_CHURN" hidden="1">"c2121"</definedName>
    <definedName name="IQ_POSTPAID_SUBS" hidden="1">"c2118"</definedName>
    <definedName name="IQ_POTENTIAL_UPSIDE" hidden="1">"c1855"</definedName>
    <definedName name="IQ_PRE_OPEN_COST" hidden="1">"c1040"</definedName>
    <definedName name="IQ_PRE_TAX_ACT_OR_EST" hidden="1">"c2221"</definedName>
    <definedName name="IQ_PREF_CONVERT" hidden="1">"c1041"</definedName>
    <definedName name="IQ_PREF_DIV_CF" hidden="1">"c1042"</definedName>
    <definedName name="IQ_PREF_DIV_OTHER" hidden="1">"c1043"</definedName>
    <definedName name="IQ_PREF_DIVID" hidden="1">"c1461"</definedName>
    <definedName name="IQ_PREF_EQUITY" hidden="1">"c1044"</definedName>
    <definedName name="IQ_PREF_ISSUED" hidden="1">"c1045"</definedName>
    <definedName name="IQ_PREF_ISSUED_BNK" hidden="1">"c1046"</definedName>
    <definedName name="IQ_PREF_ISSUED_BR" hidden="1">"c1047"</definedName>
    <definedName name="IQ_PREF_ISSUED_FIN" hidden="1">"c1048"</definedName>
    <definedName name="IQ_PREF_ISSUED_INS" hidden="1">"c1049"</definedName>
    <definedName name="IQ_PREF_ISSUED_REIT" hidden="1">"c1050"</definedName>
    <definedName name="IQ_PREF_ISSUED_UTI" hidden="1">"c1051"</definedName>
    <definedName name="IQ_PREF_NON_REDEEM" hidden="1">"c1052"</definedName>
    <definedName name="IQ_PREF_OTHER" hidden="1">"c1053"</definedName>
    <definedName name="IQ_PREF_OTHER_BNK" hidden="1">"c1054"</definedName>
    <definedName name="IQ_PREF_OTHER_BR" hidden="1">"c1055"</definedName>
    <definedName name="IQ_PREF_OTHER_FIN" hidden="1">"c1056"</definedName>
    <definedName name="IQ_PREF_OTHER_INS" hidden="1">"c1057"</definedName>
    <definedName name="IQ_PREF_OTHER_REIT" hidden="1">"c1058"</definedName>
    <definedName name="IQ_PREF_REDEEM" hidden="1">"c1059"</definedName>
    <definedName name="IQ_PREF_REP" hidden="1">"c1060"</definedName>
    <definedName name="IQ_PREF_REP_BNK" hidden="1">"c1061"</definedName>
    <definedName name="IQ_PREF_REP_BR" hidden="1">"c1062"</definedName>
    <definedName name="IQ_PREF_REP_FIN" hidden="1">"c1063"</definedName>
    <definedName name="IQ_PREF_REP_INS" hidden="1">"c1064"</definedName>
    <definedName name="IQ_PREF_REP_REIT" hidden="1">"c1065"</definedName>
    <definedName name="IQ_PREF_REP_UTI" hidden="1">"c1066"</definedName>
    <definedName name="IQ_PREF_STOCK" hidden="1">"c1052"</definedName>
    <definedName name="IQ_PREF_TOT" hidden="1">"c1044"</definedName>
    <definedName name="IQ_PREMIUMS_ANNUITY_REV" hidden="1">"c1067"</definedName>
    <definedName name="IQ_PREPAID_CHURN" hidden="1">"c2120"</definedName>
    <definedName name="IQ_PREPAID_EXP" hidden="1">"c1068"</definedName>
    <definedName name="IQ_PREPAID_EXPEN" hidden="1">"c1068"</definedName>
    <definedName name="IQ_PREPAID_SUBS" hidden="1">"c2117"</definedName>
    <definedName name="IQ_PRETAX_GW_INC_EST" hidden="1">"c1702"</definedName>
    <definedName name="IQ_PRETAX_GW_INC_HIGH_EST" hidden="1">"c1704"</definedName>
    <definedName name="IQ_PRETAX_GW_INC_LOW_EST" hidden="1">"c1705"</definedName>
    <definedName name="IQ_PRETAX_GW_INC_MEDIAN_EST" hidden="1">"c1703"</definedName>
    <definedName name="IQ_PRETAX_GW_INC_NUM_EST" hidden="1">"c1706"</definedName>
    <definedName name="IQ_PRETAX_GW_INC_STDDEV_EST" hidden="1">"c1707"</definedName>
    <definedName name="IQ_PRETAX_INC_EST" hidden="1">"c1695"</definedName>
    <definedName name="IQ_PRETAX_INC_HIGH_EST" hidden="1">"c1697"</definedName>
    <definedName name="IQ_PRETAX_INC_LOW_EST" hidden="1">"c1698"</definedName>
    <definedName name="IQ_PRETAX_INC_MEDIAN_EST" hidden="1">"c1696"</definedName>
    <definedName name="IQ_PRETAX_INC_NUM_EST" hidden="1">"c1699"</definedName>
    <definedName name="IQ_PRETAX_INC_STDDEV_EST" hidden="1">"c1700"</definedName>
    <definedName name="IQ_PRETAX_REPORT_INC_EST" hidden="1">"c1709"</definedName>
    <definedName name="IQ_PRETAX_REPORT_INC_HIGH_EST" hidden="1">"c1711"</definedName>
    <definedName name="IQ_PRETAX_REPORT_INC_LOW_EST" hidden="1">"c1712"</definedName>
    <definedName name="IQ_PRETAX_REPORT_INC_MEDIAN_EST" hidden="1">"c1710"</definedName>
    <definedName name="IQ_PRETAX_REPORT_INC_NUM_EST" hidden="1">"c1713"</definedName>
    <definedName name="IQ_PRETAX_REPORT_INC_STDDEV_EST" hidden="1">"c1714"</definedName>
    <definedName name="IQ_PRICE_CFPS_FWD" hidden="1">"c2237"</definedName>
    <definedName name="IQ_PRICE_OVER_BVPS" hidden="1">"c1026"</definedName>
    <definedName name="IQ_PRICE_OVER_LTM_EPS" hidden="1">"c1029"</definedName>
    <definedName name="IQ_PRICE_TARGET" hidden="1">"c82"</definedName>
    <definedName name="IQ_PRICEDATE" hidden="1">"c1069"</definedName>
    <definedName name="IQ_PRICING_DATE" hidden="1">"c1613"</definedName>
    <definedName name="IQ_PRIMARY_INDUSTRY" hidden="1">"c1070"</definedName>
    <definedName name="IQ_PRINCIPAL_AMT" hidden="1">"c2157"</definedName>
    <definedName name="IQ_PRO_FORMA_BASIC_EPS" hidden="1">"c1614"</definedName>
    <definedName name="IQ_PRO_FORMA_DILUT_EPS" hidden="1">"c1615"</definedName>
    <definedName name="IQ_PRO_FORMA_NET_INC" hidden="1">"c795"</definedName>
    <definedName name="IQ_PROFESSIONAL" hidden="1">"c1071"</definedName>
    <definedName name="IQ_PROFESSIONAL_TITLE" hidden="1">"c1072"</definedName>
    <definedName name="IQ_PROJECTED_PENSION_OBLIGATION" hidden="1">"c1292"</definedName>
    <definedName name="IQ_PROJECTED_PENSION_OBLIGATION_DOMESTIC" hidden="1">"c2656"</definedName>
    <definedName name="IQ_PROJECTED_PENSION_OBLIGATION_FOREIGN" hidden="1">"c2664"</definedName>
    <definedName name="IQ_PROPERTY_EXP" hidden="1">"c1073"</definedName>
    <definedName name="IQ_PROPERTY_GROSS" hidden="1">"c518"</definedName>
    <definedName name="IQ_PROPERTY_MGMT_FEE" hidden="1">"c1074"</definedName>
    <definedName name="IQ_PROPERTY_NET" hidden="1">"c829"</definedName>
    <definedName name="IQ_PROV_BAD_DEBTS" hidden="1">"c1075"</definedName>
    <definedName name="IQ_PROV_BAD_DEBTS_CF" hidden="1">"c1076"</definedName>
    <definedName name="IQ_PROVISION_10YR_ANN_GROWTH" hidden="1">"c1077"</definedName>
    <definedName name="IQ_PROVISION_1YR_ANN_GROWTH" hidden="1">"c1078"</definedName>
    <definedName name="IQ_PROVISION_2YR_ANN_GROWTH" hidden="1">"c1079"</definedName>
    <definedName name="IQ_PROVISION_3YR_ANN_GROWTH" hidden="1">"c1080"</definedName>
    <definedName name="IQ_PROVISION_5YR_ANN_GROWTH" hidden="1">"c1081"</definedName>
    <definedName name="IQ_PROVISION_7YR_ANN_GROWTH" hidden="1">"c1082"</definedName>
    <definedName name="IQ_PROVISION_CHARGE_OFFS" hidden="1">"c1083"</definedName>
    <definedName name="IQ_PTBV" hidden="1">"c1084"</definedName>
    <definedName name="IQ_PTBV_AVG" hidden="1">"c1085"</definedName>
    <definedName name="IQ_PUT_DATE_SCHEDULE" hidden="1">"c2483"</definedName>
    <definedName name="IQ_PUT_NOTIFICATION" hidden="1">"c2485"</definedName>
    <definedName name="IQ_PUT_PRICE_SCHEDULE" hidden="1">"c2484"</definedName>
    <definedName name="IQ_QTD" hidden="1">750000</definedName>
    <definedName name="IQ_QUICK_RATIO" hidden="1">"c1086"</definedName>
    <definedName name="IQ_RATE_COMP_GROWTH_DOMESTIC" hidden="1">"c1087"</definedName>
    <definedName name="IQ_RATE_COMP_GROWTH_FOREIGN" hidden="1">"c1088"</definedName>
    <definedName name="IQ_RAW_INV" hidden="1">"c1089"</definedName>
    <definedName name="IQ_RC" hidden="1">"c2497"</definedName>
    <definedName name="IQ_RC_PCT" hidden="1">"c2498"</definedName>
    <definedName name="IQ_RD_EXP" hidden="1">"c1090"</definedName>
    <definedName name="IQ_RD_EXP_FN" hidden="1">"c1091"</definedName>
    <definedName name="IQ_RE" hidden="1">"c1092"</definedName>
    <definedName name="IQ_REAL_ESTATE" hidden="1">"c1093"</definedName>
    <definedName name="IQ_REAL_ESTATE_ASSETS" hidden="1">"c1094"</definedName>
    <definedName name="IQ_REDEEM_PREF_STOCK" hidden="1">"c1059"</definedName>
    <definedName name="IQ_REG_ASSETS" hidden="1">"c1095"</definedName>
    <definedName name="IQ_REINSUR_PAY" hidden="1">"c1096"</definedName>
    <definedName name="IQ_REINSUR_PAY_CF" hidden="1">"c1097"</definedName>
    <definedName name="IQ_REINSUR_RECOVER" hidden="1">"c1098"</definedName>
    <definedName name="IQ_REINSUR_RECOVER_CF" hidden="1">"c1099"</definedName>
    <definedName name="IQ_REINSURANCE" hidden="1">"c1100"</definedName>
    <definedName name="IQ_RENTAL_REV" hidden="1">"c1101"</definedName>
    <definedName name="IQ_RESEARCH_DEV" hidden="1">"c1090"</definedName>
    <definedName name="IQ_RESIDENTIAL_LOANS" hidden="1">"c1102"</definedName>
    <definedName name="IQ_RESTATEMENT_BS" hidden="1">"c1643"</definedName>
    <definedName name="IQ_RESTATEMENT_CF" hidden="1">"c1644"</definedName>
    <definedName name="IQ_RESTATEMENT_IS" hidden="1">"c1642"</definedName>
    <definedName name="IQ_RESTRICTED_CASH" hidden="1">"c1103"</definedName>
    <definedName name="IQ_RESTRUCTURE" hidden="1">"c1104"</definedName>
    <definedName name="IQ_RESTRUCTURE_BNK" hidden="1">"c1105"</definedName>
    <definedName name="IQ_RESTRUCTURE_BR" hidden="1">"c1106"</definedName>
    <definedName name="IQ_RESTRUCTURE_CF" hidden="1">"c1107"</definedName>
    <definedName name="IQ_RESTRUCTURE_FIN" hidden="1">"c1108"</definedName>
    <definedName name="IQ_RESTRUCTURE_INS" hidden="1">"c1109"</definedName>
    <definedName name="IQ_RESTRUCTURE_REIT" hidden="1">"c1110"</definedName>
    <definedName name="IQ_RESTRUCTURE_UTI" hidden="1">"c1111"</definedName>
    <definedName name="IQ_RESTRUCTURED_LOANS" hidden="1">"c1112"</definedName>
    <definedName name="IQ_RETAIL_ACQUIRED_FRANCHISE_STORES" hidden="1">"c2903"</definedName>
    <definedName name="IQ_RETAIL_ACQUIRED_OWNED_STORES" hidden="1">"c2895"</definedName>
    <definedName name="IQ_RETAIL_ACQUIRED_STORES" hidden="1">"c2887"</definedName>
    <definedName name="IQ_RETAIL_AVG_STORE_SIZE_GROSS" hidden="1">"c2066"</definedName>
    <definedName name="IQ_RETAIL_AVG_STORE_SIZE_NET" hidden="1">"c2067"</definedName>
    <definedName name="IQ_RETAIL_AVG_WK_SALES" hidden="1">"c2891"</definedName>
    <definedName name="IQ_RETAIL_AVG_WK_SALES_FRANCHISE" hidden="1">"c2899"</definedName>
    <definedName name="IQ_RETAIL_AVG_WK_SALES_OWNED" hidden="1">"c2907"</definedName>
    <definedName name="IQ_RETAIL_CLOSED_FRANCHISE_STORES" hidden="1">"c2896"</definedName>
    <definedName name="IQ_RETAIL_CLOSED_OWNED_STORES" hidden="1">"c2904"</definedName>
    <definedName name="IQ_RETAIL_CLOSED_STORES" hidden="1">"c2063"</definedName>
    <definedName name="IQ_RETAIL_FRANCHISE_STORES_BEG" hidden="1">"c2893"</definedName>
    <definedName name="IQ_RETAIL_OPENED_FRANCHISE_STORES" hidden="1">"c2894"</definedName>
    <definedName name="IQ_RETAIL_OPENED_OWNED_STORES" hidden="1">"c2902"</definedName>
    <definedName name="IQ_RETAIL_OPENED_STORES" hidden="1">"c2062"</definedName>
    <definedName name="IQ_RETAIL_OWNED_STORES_BEG" hidden="1">"c2901"</definedName>
    <definedName name="IQ_RETAIL_SALES_SQFT_ALL_GROSS" hidden="1">"c2138"</definedName>
    <definedName name="IQ_RETAIL_SALES_SQFT_ALL_NET" hidden="1">"c2139"</definedName>
    <definedName name="IQ_RETAIL_SALES_SQFT_COMPARABLE_GROSS" hidden="1">"c2136"</definedName>
    <definedName name="IQ_RETAIL_SALES_SQFT_COMPARABLE_NET" hidden="1">"c2137"</definedName>
    <definedName name="IQ_RETAIL_SALES_SQFT_OWNED_GROSS" hidden="1">"c2134"</definedName>
    <definedName name="IQ_RETAIL_SALES_SQFT_OWNED_NET" hidden="1">"c2135"</definedName>
    <definedName name="IQ_RETAIL_SOLD_FRANCHISE_STORES" hidden="1">"c2897"</definedName>
    <definedName name="IQ_RETAIL_SOLD_OWNED_STORES" hidden="1">"c2905"</definedName>
    <definedName name="IQ_RETAIL_SOLD_STORES" hidden="1">"c2889"</definedName>
    <definedName name="IQ_RETAIL_SQ_FOOTAGE" hidden="1">"c2064"</definedName>
    <definedName name="IQ_RETAIL_STORE_SELLING_AREA" hidden="1">"c2065"</definedName>
    <definedName name="IQ_RETAIL_STORES_BEG" hidden="1">"c2885"</definedName>
    <definedName name="IQ_RETAIL_TOTAL_FRANCHISE_STORES" hidden="1">"c2898"</definedName>
    <definedName name="IQ_RETAIL_TOTAL_OWNED_STORES" hidden="1">"c2906"</definedName>
    <definedName name="IQ_RETAIL_TOTAL_STORES" hidden="1">"c2061"</definedName>
    <definedName name="IQ_RETAINED_EARN" hidden="1">"c1092"</definedName>
    <definedName name="IQ_RETURN_ASSETS" hidden="1">"c1113"</definedName>
    <definedName name="IQ_RETURN_ASSETS_BANK" hidden="1">"c1114"</definedName>
    <definedName name="IQ_RETURN_ASSETS_BROK" hidden="1">"c1115"</definedName>
    <definedName name="IQ_RETURN_ASSETS_FS" hidden="1">"c1116"</definedName>
    <definedName name="IQ_RETURN_CAPITAL" hidden="1">"c1117"</definedName>
    <definedName name="IQ_RETURN_EQUITY" hidden="1">"c1118"</definedName>
    <definedName name="IQ_RETURN_EQUITY_BANK" hidden="1">"c1119"</definedName>
    <definedName name="IQ_RETURN_EQUITY_BROK" hidden="1">"c1120"</definedName>
    <definedName name="IQ_RETURN_EQUITY_FS" hidden="1">"c1121"</definedName>
    <definedName name="IQ_RETURN_INVESTMENT" hidden="1">"c1117"</definedName>
    <definedName name="IQ_REV" hidden="1">"c1122"</definedName>
    <definedName name="IQ_REV_BEFORE_LL" hidden="1">"c1123"</definedName>
    <definedName name="IQ_REV_STDDEV_EST" hidden="1">"c1124"</definedName>
    <definedName name="IQ_REV_UTI" hidden="1">"c1125"</definedName>
    <definedName name="IQ_REVENUE" hidden="1">"c1122"</definedName>
    <definedName name="IQ_REVENUE_ACT_OR_EST" hidden="1">"c2214"</definedName>
    <definedName name="IQ_REVENUE_EST" hidden="1">"c1126"</definedName>
    <definedName name="IQ_REVENUE_HIGH_EST" hidden="1">"c1127"</definedName>
    <definedName name="IQ_REVENUE_LOW_EST" hidden="1">"c1128"</definedName>
    <definedName name="IQ_REVENUE_MEDIAN_EST" hidden="1">"c1662"</definedName>
    <definedName name="IQ_REVENUE_NUM_EST" hidden="1">"c1129"</definedName>
    <definedName name="IQ_REVISION_DATE_" hidden="1">39258.6779861111</definedName>
    <definedName name="IQ_RISK_ADJ_BANK_ASSETS" hidden="1">"c2670"</definedName>
    <definedName name="IQ_SALARY" hidden="1">"c1130"</definedName>
    <definedName name="IQ_SALE_INTAN_CF" hidden="1">"c1131"</definedName>
    <definedName name="IQ_SALE_INTAN_CF_BNK" hidden="1">"c1132"</definedName>
    <definedName name="IQ_SALE_INTAN_CF_BR" hidden="1">"c1133"</definedName>
    <definedName name="IQ_SALE_INTAN_CF_FIN" hidden="1">"c1134"</definedName>
    <definedName name="IQ_SALE_INTAN_CF_INS" hidden="1">"c1135"</definedName>
    <definedName name="IQ_SALE_INTAN_CF_REIT" hidden="1">"c1627"</definedName>
    <definedName name="IQ_SALE_INTAN_CF_UTI" hidden="1">"c1136"</definedName>
    <definedName name="IQ_SALE_PPE_CF" hidden="1">"c1137"</definedName>
    <definedName name="IQ_SALE_PPE_CF_BNK" hidden="1">"c1138"</definedName>
    <definedName name="IQ_SALE_PPE_CF_BR" hidden="1">"c1139"</definedName>
    <definedName name="IQ_SALE_PPE_CF_FIN" hidden="1">"c1140"</definedName>
    <definedName name="IQ_SALE_PPE_CF_INS" hidden="1">"c1141"</definedName>
    <definedName name="IQ_SALE_PPE_CF_UTI" hidden="1">"c1142"</definedName>
    <definedName name="IQ_SALE_RE_ASSETS" hidden="1">"c1629"</definedName>
    <definedName name="IQ_SALE_REAL_ESTATE_CF" hidden="1">"c1143"</definedName>
    <definedName name="IQ_SALE_REAL_ESTATE_CF_BNK" hidden="1">"c1144"</definedName>
    <definedName name="IQ_SALE_REAL_ESTATE_CF_BR" hidden="1">"c1145"</definedName>
    <definedName name="IQ_SALE_REAL_ESTATE_CF_FIN" hidden="1">"c1146"</definedName>
    <definedName name="IQ_SALE_REAL_ESTATE_CF_INS" hidden="1">"c1147"</definedName>
    <definedName name="IQ_SALE_REAL_ESTATE_CF_UTI" hidden="1">"c1148"</definedName>
    <definedName name="IQ_SALES_MARKETING" hidden="1">"c2240"</definedName>
    <definedName name="IQ_SAME_STORE" hidden="1">"c1149"</definedName>
    <definedName name="IQ_SAME_STORE_FRANCHISE" hidden="1">"c2900"</definedName>
    <definedName name="IQ_SAME_STORE_OWNED" hidden="1">"c2908"</definedName>
    <definedName name="IQ_SAME_STORE_TOTAL" hidden="1">"c2892"</definedName>
    <definedName name="IQ_SAVING_DEP" hidden="1">"c1150"</definedName>
    <definedName name="IQ_SECUR_RECEIV" hidden="1">"c1151"</definedName>
    <definedName name="IQ_SECURED_DEBT" hidden="1">"c2546"</definedName>
    <definedName name="IQ_SECURED_DEBT_PCT" hidden="1">"c2547"</definedName>
    <definedName name="IQ_SECURITY_BORROW" hidden="1">"c1152"</definedName>
    <definedName name="IQ_SECURITY_LEVEL" hidden="1">"c2159"</definedName>
    <definedName name="IQ_SECURITY_NOTES" hidden="1">"c2202"</definedName>
    <definedName name="IQ_SECURITY_OWN" hidden="1">"c1153"</definedName>
    <definedName name="IQ_SECURITY_RESELL" hidden="1">"c1154"</definedName>
    <definedName name="IQ_SECURITY_TYPE" hidden="1">"c2158"</definedName>
    <definedName name="IQ_SEPARATE_ACCT_ASSETS" hidden="1">"c1155"</definedName>
    <definedName name="IQ_SEPARATE_ACCT_LIAB" hidden="1">"c1156"</definedName>
    <definedName name="IQ_SERV_CHARGE_DEPOSITS" hidden="1">"c1157"</definedName>
    <definedName name="IQ_SGA" hidden="1">"c1158"</definedName>
    <definedName name="IQ_SGA_BNK" hidden="1">"c1159"</definedName>
    <definedName name="IQ_SGA_INS" hidden="1">"c1160"</definedName>
    <definedName name="IQ_SGA_MARGIN" hidden="1">"c1898"</definedName>
    <definedName name="IQ_SGA_REIT" hidden="1">"c1161"</definedName>
    <definedName name="IQ_SGA_SUPPL" hidden="1">"c1162"</definedName>
    <definedName name="IQ_SGA_UTI" hidden="1">"c1163"</definedName>
    <definedName name="IQ_SHAREOUTSTANDING" hidden="1">"c83"</definedName>
    <definedName name="IQ_SHARESOUTSTANDING" hidden="1">"c1164"</definedName>
    <definedName name="IQ_SHORT_INTEREST" hidden="1">"c1165"</definedName>
    <definedName name="IQ_SHORT_INTEREST_OVER_FLOAT" hidden="1">"c1577"</definedName>
    <definedName name="IQ_SHORT_INTEREST_PERCENT" hidden="1">"c1576"</definedName>
    <definedName name="IQ_SHORT_TERM_INVEST" hidden="1">"c1197"</definedName>
    <definedName name="IQ_SMALL_INT_BEAR_CD" hidden="1">"c1166"</definedName>
    <definedName name="IQ_SOFTWARE" hidden="1">"c1167"</definedName>
    <definedName name="IQ_SOURCE" hidden="1">"c1168"</definedName>
    <definedName name="IQ_SP" hidden="1">"c2171"</definedName>
    <definedName name="IQ_SP_BANK" hidden="1">"c2637"</definedName>
    <definedName name="IQ_SP_BANK_ACTION" hidden="1">"c2636"</definedName>
    <definedName name="IQ_SP_BANK_DATE" hidden="1">"c2635"</definedName>
    <definedName name="IQ_SP_DATE" hidden="1">"c2172"</definedName>
    <definedName name="IQ_SP_FIN_ENHANCE_FX" hidden="1">"c2631"</definedName>
    <definedName name="IQ_SP_FIN_ENHANCE_FX_ACTION" hidden="1">"c2630"</definedName>
    <definedName name="IQ_SP_FIN_ENHANCE_FX_DATE" hidden="1">"c2629"</definedName>
    <definedName name="IQ_SP_FIN_ENHANCE_LC" hidden="1">"c2634"</definedName>
    <definedName name="IQ_SP_FIN_ENHANCE_LC_ACTION" hidden="1">"c2633"</definedName>
    <definedName name="IQ_SP_FIN_ENHANCE_LC_DATE" hidden="1">"c2632"</definedName>
    <definedName name="IQ_SP_FIN_STRENGTH_LC_ACTION_LT" hidden="1">"c2625"</definedName>
    <definedName name="IQ_SP_FIN_STRENGTH_LC_ACTION_ST" hidden="1">"c2626"</definedName>
    <definedName name="IQ_SP_FIN_STRENGTH_LC_DATE_LT" hidden="1">"c2623"</definedName>
    <definedName name="IQ_SP_FIN_STRENGTH_LC_DATE_ST" hidden="1">"c2624"</definedName>
    <definedName name="IQ_SP_FIN_STRENGTH_LC_LT" hidden="1">"c2627"</definedName>
    <definedName name="IQ_SP_FIN_STRENGTH_LC_ST" hidden="1">"c2628"</definedName>
    <definedName name="IQ_SP_FX_ACTION_LT" hidden="1">"c2613"</definedName>
    <definedName name="IQ_SP_FX_ACTION_ST" hidden="1">"c2614"</definedName>
    <definedName name="IQ_SP_FX_DATE_LT" hidden="1">"c2611"</definedName>
    <definedName name="IQ_SP_FX_DATE_ST" hidden="1">"c2612"</definedName>
    <definedName name="IQ_SP_FX_LT" hidden="1">"c2615"</definedName>
    <definedName name="IQ_SP_FX_ST" hidden="1">"c2616"</definedName>
    <definedName name="IQ_SP_ISSUE_ACTION" hidden="1">"c2644"</definedName>
    <definedName name="IQ_SP_ISSUE_DATE" hidden="1">"c2643"</definedName>
    <definedName name="IQ_SP_ISSUE_LT" hidden="1">"c2645"</definedName>
    <definedName name="IQ_SP_ISSUE_OUTLOOK_WATCH" hidden="1">"c2650"</definedName>
    <definedName name="IQ_SP_ISSUE_OUTLOOK_WATCH_DATE" hidden="1">"c2649"</definedName>
    <definedName name="IQ_SP_ISSUE_RECOVER" hidden="1">"c2648"</definedName>
    <definedName name="IQ_SP_ISSUE_RECOVER_ACTION" hidden="1">"c2647"</definedName>
    <definedName name="IQ_SP_ISSUE_RECOVER_DATE" hidden="1">"c2646"</definedName>
    <definedName name="IQ_SP_LC_ACTION_LT" hidden="1">"c2619"</definedName>
    <definedName name="IQ_SP_LC_ACTION_ST" hidden="1">"c2620"</definedName>
    <definedName name="IQ_SP_LC_DATE_LT" hidden="1">"c2617"</definedName>
    <definedName name="IQ_SP_LC_DATE_ST" hidden="1">"c2618"</definedName>
    <definedName name="IQ_SP_LC_LT" hidden="1">"c2621"</definedName>
    <definedName name="IQ_SP_LC_ST" hidden="1">"c2622"</definedName>
    <definedName name="IQ_SP_OUTLOOK_WATCH" hidden="1">"c2639"</definedName>
    <definedName name="IQ_SP_OUTLOOK_WATCH_DATE" hidden="1">"c2638"</definedName>
    <definedName name="IQ_SP_REASON" hidden="1">"c2174"</definedName>
    <definedName name="IQ_SP_STATUS" hidden="1">"c2173"</definedName>
    <definedName name="IQ_SPECIAL_DIV_CF" hidden="1">"c1169"</definedName>
    <definedName name="IQ_SPECIAL_DIV_CF_BNK" hidden="1">"c1170"</definedName>
    <definedName name="IQ_SPECIAL_DIV_CF_BR" hidden="1">"c1171"</definedName>
    <definedName name="IQ_SPECIAL_DIV_CF_FIN" hidden="1">"c1172"</definedName>
    <definedName name="IQ_SPECIAL_DIV_CF_INS" hidden="1">"c1173"</definedName>
    <definedName name="IQ_SPECIAL_DIV_CF_REIT" hidden="1">"c1174"</definedName>
    <definedName name="IQ_SPECIAL_DIV_CF_UTI" hidden="1">"c1175"</definedName>
    <definedName name="IQ_SPECIAL_DIV_SHARE" hidden="1">"c3007"</definedName>
    <definedName name="IQ_SR_BONDS_NOTES" hidden="1">"c2501"</definedName>
    <definedName name="IQ_SR_BONDS_NOTES_PCT" hidden="1">"c2502"</definedName>
    <definedName name="IQ_SR_DEBT" hidden="1">"c2526"</definedName>
    <definedName name="IQ_SR_DEBT_EBITDA" hidden="1">"c2552"</definedName>
    <definedName name="IQ_SR_DEBT_EBITDA_CAPEX" hidden="1">"c2553"</definedName>
    <definedName name="IQ_SR_DEBT_PCT" hidden="1">"c2527"</definedName>
    <definedName name="IQ_SR_SUB_DEBT" hidden="1">"c2530"</definedName>
    <definedName name="IQ_SR_SUB_DEBT_EBITDA" hidden="1">"c2556"</definedName>
    <definedName name="IQ_SR_SUB_DEBT_EBITDA_CAPEX" hidden="1">"c2557"</definedName>
    <definedName name="IQ_SR_SUB_DEBT_PCT" hidden="1">"c2531"</definedName>
    <definedName name="IQ_ST_DEBT" hidden="1">"c1176"</definedName>
    <definedName name="IQ_ST_DEBT_BNK" hidden="1">"c1177"</definedName>
    <definedName name="IQ_ST_DEBT_BR" hidden="1">"c1178"</definedName>
    <definedName name="IQ_ST_DEBT_FIN" hidden="1">"c1179"</definedName>
    <definedName name="IQ_ST_DEBT_INS" hidden="1">"c1180"</definedName>
    <definedName name="IQ_ST_DEBT_ISSUED" hidden="1">"c1181"</definedName>
    <definedName name="IQ_ST_DEBT_ISSUED_BNK" hidden="1">"c1182"</definedName>
    <definedName name="IQ_ST_DEBT_ISSUED_BR" hidden="1">"c1183"</definedName>
    <definedName name="IQ_ST_DEBT_ISSUED_FIN" hidden="1">"c1184"</definedName>
    <definedName name="IQ_ST_DEBT_ISSUED_INS" hidden="1">"c1185"</definedName>
    <definedName name="IQ_ST_DEBT_ISSUED_REIT" hidden="1">"c1186"</definedName>
    <definedName name="IQ_ST_DEBT_ISSUED_UTI" hidden="1">"c1187"</definedName>
    <definedName name="IQ_ST_DEBT_PCT" hidden="1">"c2539"</definedName>
    <definedName name="IQ_ST_DEBT_REIT" hidden="1">"c1188"</definedName>
    <definedName name="IQ_ST_DEBT_REPAID" hidden="1">"c1189"</definedName>
    <definedName name="IQ_ST_DEBT_REPAID_BNK" hidden="1">"c1190"</definedName>
    <definedName name="IQ_ST_DEBT_REPAID_BR" hidden="1">"c1191"</definedName>
    <definedName name="IQ_ST_DEBT_REPAID_FIN" hidden="1">"c1192"</definedName>
    <definedName name="IQ_ST_DEBT_REPAID_INS" hidden="1">"c1193"</definedName>
    <definedName name="IQ_ST_DEBT_REPAID_REIT" hidden="1">"c1194"</definedName>
    <definedName name="IQ_ST_DEBT_REPAID_UTI" hidden="1">"c1195"</definedName>
    <definedName name="IQ_ST_DEBT_UTI" hidden="1">"c1196"</definedName>
    <definedName name="IQ_ST_INVEST" hidden="1">"c1197"</definedName>
    <definedName name="IQ_ST_INVEST_UTI" hidden="1">"c1198"</definedName>
    <definedName name="IQ_ST_NOTE_RECEIV" hidden="1">"c1199"</definedName>
    <definedName name="IQ_STATE" hidden="1">"c1200"</definedName>
    <definedName name="IQ_STATUTORY_SURPLUS" hidden="1">"c1201"</definedName>
    <definedName name="IQ_STOCK_BASED" hidden="1">"c1202"</definedName>
    <definedName name="IQ_STOCK_BASED_AT" hidden="1">"c2999"</definedName>
    <definedName name="IQ_STOCK_BASED_CF" hidden="1">"c1203"</definedName>
    <definedName name="IQ_STOCK_BASED_COGS" hidden="1">"c2990"</definedName>
    <definedName name="IQ_STOCK_BASED_GA" hidden="1">"c2993"</definedName>
    <definedName name="IQ_STOCK_BASED_OTHER" hidden="1">"c2995"</definedName>
    <definedName name="IQ_STOCK_BASED_RD" hidden="1">"c2991"</definedName>
    <definedName name="IQ_STOCK_BASED_SGA" hidden="1">"c2994"</definedName>
    <definedName name="IQ_STOCK_BASED_SM" hidden="1">"c2992"</definedName>
    <definedName name="IQ_STOCK_BASED_TOTAL" hidden="1">"c3040"</definedName>
    <definedName name="IQ_STRIKE_PRICE_ISSUED" hidden="1">"c1645"</definedName>
    <definedName name="IQ_STRIKE_PRICE_OS" hidden="1">"c1646"</definedName>
    <definedName name="IQ_STW" hidden="1">"c2166"</definedName>
    <definedName name="IQ_SUB_BONDS_NOTES" hidden="1">"c2503"</definedName>
    <definedName name="IQ_SUB_BONDS_NOTES_PCT" hidden="1">"c2504"</definedName>
    <definedName name="IQ_SUB_DEBT" hidden="1">"c2532"</definedName>
    <definedName name="IQ_SUB_DEBT_EBITDA" hidden="1">"c2558"</definedName>
    <definedName name="IQ_SUB_DEBT_EBITDA_CAPEX" hidden="1">"c2559"</definedName>
    <definedName name="IQ_SUB_DEBT_PCT" hidden="1">"c2533"</definedName>
    <definedName name="IQ_SUB_LEASE_AFTER_FIVE" hidden="1">"c1207"</definedName>
    <definedName name="IQ_SUB_LEASE_INC_CY" hidden="1">"c1208"</definedName>
    <definedName name="IQ_SUB_LEASE_INC_CY1" hidden="1">"c1209"</definedName>
    <definedName name="IQ_SUB_LEASE_INC_CY2" hidden="1">"c1210"</definedName>
    <definedName name="IQ_SUB_LEASE_INC_CY3" hidden="1">"c1211"</definedName>
    <definedName name="IQ_SUB_LEASE_INC_CY4" hidden="1">"c1212"</definedName>
    <definedName name="IQ_SUB_LEASE_NEXT_FIVE" hidden="1">"c1213"</definedName>
    <definedName name="IQ_SVA" hidden="1">"c1214"</definedName>
    <definedName name="IQ_TARGET_PRICE_NUM" hidden="1">"c1653"</definedName>
    <definedName name="IQ_TARGET_PRICE_STDDEV" hidden="1">"c1654"</definedName>
    <definedName name="IQ_TAX_BENEFIT_OPTIONS" hidden="1">"c1215"</definedName>
    <definedName name="IQ_TAX_EQUIV_NET_INT_INC" hidden="1">"c1216"</definedName>
    <definedName name="IQ_TBV" hidden="1">"c1906"</definedName>
    <definedName name="IQ_TBV_10YR_ANN_GROWTH" hidden="1">"c1936"</definedName>
    <definedName name="IQ_TBV_1YR_ANN_GROWTH" hidden="1">"c1931"</definedName>
    <definedName name="IQ_TBV_2YR_ANN_GROWTH" hidden="1">"c1932"</definedName>
    <definedName name="IQ_TBV_3YR_ANN_GROWTH" hidden="1">"c1933"</definedName>
    <definedName name="IQ_TBV_5YR_ANN_GROWTH" hidden="1">"c1934"</definedName>
    <definedName name="IQ_TBV_7YR_ANN_GROWTH" hidden="1">"c1935"</definedName>
    <definedName name="IQ_TBV_SHARE" hidden="1">"c1217"</definedName>
    <definedName name="IQ_TEMPLATE" hidden="1">"c1521"</definedName>
    <definedName name="IQ_TENANT" hidden="1">"c1218"</definedName>
    <definedName name="IQ_TERM_LOANS" hidden="1">"c2499"</definedName>
    <definedName name="IQ_TERM_LOANS_PCT" hidden="1">"c2500"</definedName>
    <definedName name="IQ_TEV" hidden="1">"c1219"</definedName>
    <definedName name="IQ_TEV_EBIT" hidden="1">"c1220"</definedName>
    <definedName name="IQ_TEV_EBIT_AVG" hidden="1">"c1221"</definedName>
    <definedName name="IQ_TEV_EBIT_FWD" hidden="1">"c2238"</definedName>
    <definedName name="IQ_TEV_EBITDA" hidden="1">"c1222"</definedName>
    <definedName name="IQ_TEV_EBITDA_AVG" hidden="1">"c1223"</definedName>
    <definedName name="IQ_TEV_EBITDA_FWD" hidden="1">"c1224"</definedName>
    <definedName name="IQ_TEV_EMPLOYEE_AVG" hidden="1">"c1225"</definedName>
    <definedName name="IQ_TEV_TOTAL_REV" hidden="1">"c1226"</definedName>
    <definedName name="IQ_TEV_TOTAL_REV_AVG" hidden="1">"c1227"</definedName>
    <definedName name="IQ_TEV_TOTAL_REV_FWD" hidden="1">"c1228"</definedName>
    <definedName name="IQ_TEV_UFCF" hidden="1">"c2208"</definedName>
    <definedName name="IQ_TIER_ONE_CAPITAL" hidden="1">"c2667"</definedName>
    <definedName name="IQ_TIER_ONE_RATIO" hidden="1">"c1229"</definedName>
    <definedName name="IQ_TIER_TWO_CAPITAL" hidden="1">"c2669"</definedName>
    <definedName name="IQ_TIME_DEP" hidden="1">"c1230"</definedName>
    <definedName name="IQ_TODAY" hidden="1">0</definedName>
    <definedName name="IQ_TOT_ADJ_INC" hidden="1">"c1616"</definedName>
    <definedName name="IQ_TOTAL_AR_BR" hidden="1">"c1231"</definedName>
    <definedName name="IQ_TOTAL_AR_REIT" hidden="1">"c1232"</definedName>
    <definedName name="IQ_TOTAL_AR_UTI" hidden="1">"c1233"</definedName>
    <definedName name="IQ_TOTAL_ASSETS" hidden="1">"c1234"</definedName>
    <definedName name="IQ_TOTAL_ASSETS_10YR_ANN_GROWTH" hidden="1">"c1235"</definedName>
    <definedName name="IQ_TOTAL_ASSETS_1YR_ANN_GROWTH" hidden="1">"c1236"</definedName>
    <definedName name="IQ_TOTAL_ASSETS_2YR_ANN_GROWTH" hidden="1">"c1237"</definedName>
    <definedName name="IQ_TOTAL_ASSETS_3YR_ANN_GROWTH" hidden="1">"c1238"</definedName>
    <definedName name="IQ_TOTAL_ASSETS_5YR_ANN_GROWTH" hidden="1">"c1239"</definedName>
    <definedName name="IQ_TOTAL_ASSETS_7YR_ANN_GROWTH" hidden="1">"c1240"</definedName>
    <definedName name="IQ_TOTAL_AVG_CE_TOTAL_AVG_ASSETS" hidden="1">"c1241"</definedName>
    <definedName name="IQ_TOTAL_AVG_EQUITY_TOTAL_AVG_ASSETS" hidden="1">"c1242"</definedName>
    <definedName name="IQ_TOTAL_BANK_CAPITAL" hidden="1">"c2668"</definedName>
    <definedName name="IQ_TOTAL_CA" hidden="1">"c1243"</definedName>
    <definedName name="IQ_TOTAL_CAP" hidden="1">"c1507"</definedName>
    <definedName name="IQ_TOTAL_CAPITAL_RATIO" hidden="1">"c1244"</definedName>
    <definedName name="IQ_TOTAL_CASH_DIVID" hidden="1">"c1266"</definedName>
    <definedName name="IQ_TOTAL_CASH_FINAN" hidden="1">"c119"</definedName>
    <definedName name="IQ_TOTAL_CASH_INVEST" hidden="1">"c121"</definedName>
    <definedName name="IQ_TOTAL_CASH_OPER" hidden="1">"c122"</definedName>
    <definedName name="IQ_TOTAL_CHURN" hidden="1">"c2122"</definedName>
    <definedName name="IQ_TOTAL_CL" hidden="1">"c1245"</definedName>
    <definedName name="IQ_TOTAL_COMMON" hidden="1">"c1022"</definedName>
    <definedName name="IQ_TOTAL_COMMON_EQUITY" hidden="1">"c1246"</definedName>
    <definedName name="IQ_TOTAL_CURRENT_ASSETS" hidden="1">"c1243"</definedName>
    <definedName name="IQ_TOTAL_CURRENT_LIAB" hidden="1">"c1245"</definedName>
    <definedName name="IQ_TOTAL_DEBT" hidden="1">"c1247"</definedName>
    <definedName name="IQ_TOTAL_DEBT_CAPITAL" hidden="1">"c1248"</definedName>
    <definedName name="IQ_TOTAL_DEBT_EBITDA" hidden="1">"c1249"</definedName>
    <definedName name="IQ_TOTAL_DEBT_EBITDA_CAPEX" hidden="1">"c2948"</definedName>
    <definedName name="IQ_TOTAL_DEBT_EQUITY" hidden="1">"c1250"</definedName>
    <definedName name="IQ_TOTAL_DEBT_EXCL_FIN" hidden="1">"c2937"</definedName>
    <definedName name="IQ_TOTAL_DEBT_ISSUED" hidden="1">"c1251"</definedName>
    <definedName name="IQ_TOTAL_DEBT_ISSUED_BNK" hidden="1">"c1252"</definedName>
    <definedName name="IQ_TOTAL_DEBT_ISSUED_BR" hidden="1">"c1253"</definedName>
    <definedName name="IQ_TOTAL_DEBT_ISSUED_FIN" hidden="1">"c1254"</definedName>
    <definedName name="IQ_TOTAL_DEBT_ISSUED_REIT" hidden="1">"c1255"</definedName>
    <definedName name="IQ_TOTAL_DEBT_ISSUED_UTI" hidden="1">"c1256"</definedName>
    <definedName name="IQ_TOTAL_DEBT_ISSUES_INS" hidden="1">"c1257"</definedName>
    <definedName name="IQ_TOTAL_DEBT_OVER_EBITDA" hidden="1">"c1249"</definedName>
    <definedName name="IQ_TOTAL_DEBT_OVER_TOTAL_BV" hidden="1">"c1250"</definedName>
    <definedName name="IQ_TOTAL_DEBT_OVER_TOTAL_CAP" hidden="1">"c1248"</definedName>
    <definedName name="IQ_TOTAL_DEBT_REPAID" hidden="1">"c1258"</definedName>
    <definedName name="IQ_TOTAL_DEBT_REPAID_BNK" hidden="1">"c1259"</definedName>
    <definedName name="IQ_TOTAL_DEBT_REPAID_BR" hidden="1">"c1260"</definedName>
    <definedName name="IQ_TOTAL_DEBT_REPAID_FIN" hidden="1">"c1261"</definedName>
    <definedName name="IQ_TOTAL_DEBT_REPAID_INS" hidden="1">"c1262"</definedName>
    <definedName name="IQ_TOTAL_DEBT_REPAID_REIT" hidden="1">"c1263"</definedName>
    <definedName name="IQ_TOTAL_DEBT_REPAID_UTI" hidden="1">"c1264"</definedName>
    <definedName name="IQ_TOTAL_DEPOSITS" hidden="1">"c1265"</definedName>
    <definedName name="IQ_TOTAL_DIV_PAID_CF" hidden="1">"c1266"</definedName>
    <definedName name="IQ_TOTAL_EMPLOYEE" hidden="1">"c1522"</definedName>
    <definedName name="IQ_TOTAL_EMPLOYEES" hidden="1">"c1522"</definedName>
    <definedName name="IQ_TOTAL_EQUITY" hidden="1">"c1267"</definedName>
    <definedName name="IQ_TOTAL_EQUITY_10YR_ANN_GROWTH" hidden="1">"c1268"</definedName>
    <definedName name="IQ_TOTAL_EQUITY_1YR_ANN_GROWTH" hidden="1">"c1269"</definedName>
    <definedName name="IQ_TOTAL_EQUITY_2YR_ANN_GROWTH" hidden="1">"c1270"</definedName>
    <definedName name="IQ_TOTAL_EQUITY_3YR_ANN_GROWTH" hidden="1">"c1271"</definedName>
    <definedName name="IQ_TOTAL_EQUITY_5YR_ANN_GROWTH" hidden="1">"c1272"</definedName>
    <definedName name="IQ_TOTAL_EQUITY_7YR_ANN_GROWTH" hidden="1">"c1273"</definedName>
    <definedName name="IQ_TOTAL_EQUITY_ALLOWANCE_TOTAL_LOANS" hidden="1">"c1274"</definedName>
    <definedName name="IQ_TOTAL_INTEREST_EXP" hidden="1">"c591"</definedName>
    <definedName name="IQ_TOTAL_INVENTORY" hidden="1">"c622"</definedName>
    <definedName name="IQ_TOTAL_INVEST" hidden="1">"c1275"</definedName>
    <definedName name="IQ_TOTAL_LIAB" hidden="1">"c1276"</definedName>
    <definedName name="IQ_TOTAL_LIAB_BNK" hidden="1">"c1277"</definedName>
    <definedName name="IQ_TOTAL_LIAB_BR" hidden="1">"c1278"</definedName>
    <definedName name="IQ_TOTAL_LIAB_EQUITY" hidden="1">"c1279"</definedName>
    <definedName name="IQ_TOTAL_LIAB_FIN" hidden="1">"c1280"</definedName>
    <definedName name="IQ_TOTAL_LIAB_INS" hidden="1">"c1281"</definedName>
    <definedName name="IQ_TOTAL_LIAB_REIT" hidden="1">"c1282"</definedName>
    <definedName name="IQ_TOTAL_LIAB_SHAREHOLD" hidden="1">"c1279"</definedName>
    <definedName name="IQ_TOTAL_LIAB_TOTAL_ASSETS" hidden="1">"c1283"</definedName>
    <definedName name="IQ_TOTAL_LONG_DEBT" hidden="1">"c1617"</definedName>
    <definedName name="IQ_TOTAL_NON_REC" hidden="1">"c1444"</definedName>
    <definedName name="IQ_TOTAL_OPER_EXP_BR" hidden="1">"c1284"</definedName>
    <definedName name="IQ_TOTAL_OPER_EXP_FIN" hidden="1">"c1285"</definedName>
    <definedName name="IQ_TOTAL_OPER_EXP_INS" hidden="1">"c1286"</definedName>
    <definedName name="IQ_TOTAL_OPER_EXP_REIT" hidden="1">"c1287"</definedName>
    <definedName name="IQ_TOTAL_OPER_EXP_UTI" hidden="1">"c1288"</definedName>
    <definedName name="IQ_TOTAL_OPER_EXPEN" hidden="1">"c1445"</definedName>
    <definedName name="IQ_TOTAL_OPTIONS_BEG_OS" hidden="1">"c2693"</definedName>
    <definedName name="IQ_TOTAL_OPTIONS_CANCELLED" hidden="1">"c2696"</definedName>
    <definedName name="IQ_TOTAL_OPTIONS_END_OS" hidden="1">"c2697"</definedName>
    <definedName name="IQ_TOTAL_OPTIONS_EXERCISED" hidden="1">"c2695"</definedName>
    <definedName name="IQ_TOTAL_OPTIONS_GRANTED" hidden="1">"c2694"</definedName>
    <definedName name="IQ_TOTAL_OTHER_OPER" hidden="1">"c1289"</definedName>
    <definedName name="IQ_TOTAL_OUTSTANDING_BS_DATE" hidden="1">"c1022"</definedName>
    <definedName name="IQ_TOTAL_OUTSTANDING_FILING_DATE" hidden="1">"c2107"</definedName>
    <definedName name="IQ_TOTAL_PENSION_ASSETS" hidden="1">"c1290"</definedName>
    <definedName name="IQ_TOTAL_PENSION_ASSETS_DOMESTIC" hidden="1">"c2658"</definedName>
    <definedName name="IQ_TOTAL_PENSION_ASSETS_FOREIGN" hidden="1">"c2666"</definedName>
    <definedName name="IQ_TOTAL_PENSION_EXP" hidden="1">"c1291"</definedName>
    <definedName name="IQ_TOTAL_PENSION_OBLIGATION" hidden="1">"c1292"</definedName>
    <definedName name="IQ_TOTAL_PRINCIPAL" hidden="1">"c2509"</definedName>
    <definedName name="IQ_TOTAL_PRINCIPAL_PCT" hidden="1">"c2510"</definedName>
    <definedName name="IQ_TOTAL_PROVED_RESERVES_NGL" hidden="1">"c2924"</definedName>
    <definedName name="IQ_TOTAL_PROVED_RESERVES_OIL" hidden="1">"c2040"</definedName>
    <definedName name="IQ_TOTAL_RECEIV" hidden="1">"c1293"</definedName>
    <definedName name="IQ_TOTAL_REV" hidden="1">"c1294"</definedName>
    <definedName name="IQ_TOTAL_REV_10YR_ANN_GROWTH" hidden="1">"c1295"</definedName>
    <definedName name="IQ_TOTAL_REV_1YR_ANN_GROWTH" hidden="1">"c1296"</definedName>
    <definedName name="IQ_TOTAL_REV_2YR_ANN_GROWTH" hidden="1">"c1297"</definedName>
    <definedName name="IQ_TOTAL_REV_3YR_ANN_GROWTH" hidden="1">"c1298"</definedName>
    <definedName name="IQ_TOTAL_REV_5YR_ANN_GROWTH" hidden="1">"c1299"</definedName>
    <definedName name="IQ_TOTAL_REV_7YR_ANN_GROWTH" hidden="1">"c1300"</definedName>
    <definedName name="IQ_TOTAL_REV_AS_REPORTED" hidden="1">"c1301"</definedName>
    <definedName name="IQ_TOTAL_REV_BNK" hidden="1">"c1302"</definedName>
    <definedName name="IQ_TOTAL_REV_BR" hidden="1">"c1303"</definedName>
    <definedName name="IQ_TOTAL_REV_EMPLOYEE" hidden="1">"c1304"</definedName>
    <definedName name="IQ_TOTAL_REV_FIN" hidden="1">"c1305"</definedName>
    <definedName name="IQ_TOTAL_REV_INS" hidden="1">"c1306"</definedName>
    <definedName name="IQ_TOTAL_REV_REIT" hidden="1">"c1307"</definedName>
    <definedName name="IQ_TOTAL_REV_SHARE" hidden="1">"c1912"</definedName>
    <definedName name="IQ_TOTAL_REV_UTI" hidden="1">"c1308"</definedName>
    <definedName name="IQ_TOTAL_REVENUE" hidden="1">"c1294"</definedName>
    <definedName name="IQ_TOTAL_SPECIAL" hidden="1">"c1618"</definedName>
    <definedName name="IQ_TOTAL_ST_BORROW" hidden="1">"c1177"</definedName>
    <definedName name="IQ_TOTAL_SUB_DEBT" hidden="1">"c2528"</definedName>
    <definedName name="IQ_TOTAL_SUB_DEBT_EBITDA" hidden="1">"c2554"</definedName>
    <definedName name="IQ_TOTAL_SUB_DEBT_EBITDA_CAPEX" hidden="1">"c2555"</definedName>
    <definedName name="IQ_TOTAL_SUB_DEBT_PCT" hidden="1">"c2529"</definedName>
    <definedName name="IQ_TOTAL_SUBS" hidden="1">"c2119"</definedName>
    <definedName name="IQ_TOTAL_UNUSUAL" hidden="1">"c1508"</definedName>
    <definedName name="IQ_TOTAL_WARRANTS_BEG_OS" hidden="1">"c2719"</definedName>
    <definedName name="IQ_TOTAL_WARRANTS_CANCELLED" hidden="1">"c2722"</definedName>
    <definedName name="IQ_TOTAL_WARRANTS_END_OS" hidden="1">"c2723"</definedName>
    <definedName name="IQ_TOTAL_WARRANTS_EXERCISED" hidden="1">"c2721"</definedName>
    <definedName name="IQ_TOTAL_WARRANTS_ISSUED" hidden="1">"c2720"</definedName>
    <definedName name="IQ_TR_ACCT_METHOD" hidden="1">"c2363"</definedName>
    <definedName name="IQ_TR_ACQ_52_WK_HI_PCT" hidden="1">"c2348"</definedName>
    <definedName name="IQ_TR_ACQ_52_WK_LOW_PCT" hidden="1">"c2347"</definedName>
    <definedName name="IQ_TR_ACQ_CASH_ST_INVEST" hidden="1">"c2372"</definedName>
    <definedName name="IQ_TR_ACQ_CLOSEPRICE_1D" hidden="1">"c3027"</definedName>
    <definedName name="IQ_TR_ACQ_DILUT_EPS_EXCL" hidden="1">"c3028"</definedName>
    <definedName name="IQ_TR_ACQ_EARNING_CO" hidden="1">"c2379"</definedName>
    <definedName name="IQ_TR_ACQ_EBIT" hidden="1">"c2380"</definedName>
    <definedName name="IQ_TR_ACQ_EBITDA" hidden="1">"c2381"</definedName>
    <definedName name="IQ_TR_ACQ_FILING_CURRENCY" hidden="1">"c3033"</definedName>
    <definedName name="IQ_TR_ACQ_MCAP_1DAY" hidden="1">"c2345"</definedName>
    <definedName name="IQ_TR_ACQ_MIN_INT" hidden="1">"c2374"</definedName>
    <definedName name="IQ_TR_ACQ_NET_DEBT" hidden="1">"c2373"</definedName>
    <definedName name="IQ_TR_ACQ_NI" hidden="1">"c2378"</definedName>
    <definedName name="IQ_TR_ACQ_PRICEDATE_1D" hidden="1">"c2346"</definedName>
    <definedName name="IQ_TR_ACQ_RETURN" hidden="1">"c2349"</definedName>
    <definedName name="IQ_TR_ACQ_STOCKYEARHIGH_1D" hidden="1">"c2343"</definedName>
    <definedName name="IQ_TR_ACQ_STOCKYEARLOW_1D" hidden="1">"c2344"</definedName>
    <definedName name="IQ_TR_ACQ_TOTAL_ASSETS" hidden="1">"c2371"</definedName>
    <definedName name="IQ_TR_ACQ_TOTAL_COMMON_EQ" hidden="1">"c2377"</definedName>
    <definedName name="IQ_TR_ACQ_TOTAL_DEBT" hidden="1">"c2376"</definedName>
    <definedName name="IQ_TR_ACQ_TOTAL_PREF" hidden="1">"c2375"</definedName>
    <definedName name="IQ_TR_ACQ_TOTAL_REV" hidden="1">"c2382"</definedName>
    <definedName name="IQ_TR_ADJ_SIZE" hidden="1">"c3024"</definedName>
    <definedName name="IQ_TR_ANN_DATE" hidden="1">"c2395"</definedName>
    <definedName name="IQ_TR_ANN_DATE_BL" hidden="1">"c2394"</definedName>
    <definedName name="IQ_TR_BID_DATE" hidden="1">"c2357"</definedName>
    <definedName name="IQ_TR_BLUESKY_FEES" hidden="1">"c2277"</definedName>
    <definedName name="IQ_TR_BUY_ACC_ADVISORS" hidden="1">"c3048"</definedName>
    <definedName name="IQ_TR_BUY_FIN_ADVISORS" hidden="1">"c3045"</definedName>
    <definedName name="IQ_TR_BUY_LEG_ADVISORS" hidden="1">"c2387"</definedName>
    <definedName name="IQ_TR_BUYER_ID" hidden="1">"c2404"</definedName>
    <definedName name="IQ_TR_BUYERNAME" hidden="1">"c2401"</definedName>
    <definedName name="IQ_TR_CANCELLED_DATE" hidden="1">"c2284"</definedName>
    <definedName name="IQ_TR_CASH_CONSID_PCT" hidden="1">"c2296"</definedName>
    <definedName name="IQ_TR_CASH_ST_INVEST" hidden="1">"c3025"</definedName>
    <definedName name="IQ_TR_CHANGE_CONTROL" hidden="1">"c2365"</definedName>
    <definedName name="IQ_TR_CLOSED_DATE" hidden="1">"c2283"</definedName>
    <definedName name="IQ_TR_CO_NET_PROCEEDS" hidden="1">"c2268"</definedName>
    <definedName name="IQ_TR_CO_NET_PROCEEDS_PCT" hidden="1">"c2270"</definedName>
    <definedName name="IQ_TR_COMMENTS" hidden="1">"c2383"</definedName>
    <definedName name="IQ_TR_CURRENCY" hidden="1">"c3016"</definedName>
    <definedName name="IQ_TR_DEAL_ATTITUDE" hidden="1">"c2364"</definedName>
    <definedName name="IQ_TR_DEAL_CONDITIONS" hidden="1">"c2367"</definedName>
    <definedName name="IQ_TR_DEAL_RESOLUTION" hidden="1">"c2391"</definedName>
    <definedName name="IQ_TR_DEAL_RESPONSES" hidden="1">"c2366"</definedName>
    <definedName name="IQ_TR_DEBT_CONSID_PCT" hidden="1">"c2299"</definedName>
    <definedName name="IQ_TR_DEF_AGRMT_DATE" hidden="1">"c2285"</definedName>
    <definedName name="IQ_TR_DISCLOSED_FEES_EXP" hidden="1">"c2288"</definedName>
    <definedName name="IQ_TR_EARNOUTS" hidden="1">"c3023"</definedName>
    <definedName name="IQ_TR_EXPIRED_DATE" hidden="1">"c2412"</definedName>
    <definedName name="IQ_TR_GROSS_OFFERING_AMT" hidden="1">"c2262"</definedName>
    <definedName name="IQ_TR_HYBRID_CONSID_PCT" hidden="1">"c2300"</definedName>
    <definedName name="IQ_TR_IMPLIED_EQ" hidden="1">"c3018"</definedName>
    <definedName name="IQ_TR_IMPLIED_EQ_BV" hidden="1">"c3019"</definedName>
    <definedName name="IQ_TR_IMPLIED_EQ_NI_LTM" hidden="1">"c3020"</definedName>
    <definedName name="IQ_TR_IMPLIED_EV" hidden="1">"c2301"</definedName>
    <definedName name="IQ_TR_IMPLIED_EV_BV" hidden="1">"c2306"</definedName>
    <definedName name="IQ_TR_IMPLIED_EV_EBIT" hidden="1">"c2302"</definedName>
    <definedName name="IQ_TR_IMPLIED_EV_EBITDA" hidden="1">"c2303"</definedName>
    <definedName name="IQ_TR_IMPLIED_EV_NI_LTM" hidden="1">"c2307"</definedName>
    <definedName name="IQ_TR_IMPLIED_EV_REV" hidden="1">"c2304"</definedName>
    <definedName name="IQ_TR_LOI_DATE" hidden="1">"c2282"</definedName>
    <definedName name="IQ_TR_MAJ_MIN_STAKE" hidden="1">"c2389"</definedName>
    <definedName name="IQ_TR_NEGOTIATED_BUYBACK_PRICE" hidden="1">"c2414"</definedName>
    <definedName name="IQ_TR_NET_ASSUM_LIABILITIES" hidden="1">"c2308"</definedName>
    <definedName name="IQ_TR_NET_PROCEEDS" hidden="1">"c2267"</definedName>
    <definedName name="IQ_TR_OFFER_DATE" hidden="1">"c2265"</definedName>
    <definedName name="IQ_TR_OFFER_DATE_MA" hidden="1">"c3035"</definedName>
    <definedName name="IQ_TR_OFFER_PER_SHARE" hidden="1">"c3017"</definedName>
    <definedName name="IQ_TR_OPTIONS_CONSID_PCT" hidden="1">"c2311"</definedName>
    <definedName name="IQ_TR_OTHER_CONSID" hidden="1">"c3022"</definedName>
    <definedName name="IQ_TR_PCT_SOUGHT" hidden="1">"c2309"</definedName>
    <definedName name="IQ_TR_PFEATURES" hidden="1">"c2384"</definedName>
    <definedName name="IQ_TR_PIPE_CONV_PRICE_SHARE" hidden="1">"c2292"</definedName>
    <definedName name="IQ_TR_PIPE_CPN_PCT" hidden="1">"c2291"</definedName>
    <definedName name="IQ_TR_PIPE_NUMBER_SHARES" hidden="1">"c2293"</definedName>
    <definedName name="IQ_TR_PIPE_PPS" hidden="1">"c2290"</definedName>
    <definedName name="IQ_TR_POSTMONEY_VAL" hidden="1">"c2286"</definedName>
    <definedName name="IQ_TR_PREDEAL_SITUATION" hidden="1">"c2390"</definedName>
    <definedName name="IQ_TR_PREF_CONSID_PCT" hidden="1">"c2310"</definedName>
    <definedName name="IQ_TR_PREMONEY_VAL" hidden="1">"c2287"</definedName>
    <definedName name="IQ_TR_PRINTING_FEES" hidden="1">"c2276"</definedName>
    <definedName name="IQ_TR_PT_MONETARY_VALUES" hidden="1">"c2415"</definedName>
    <definedName name="IQ_TR_PT_NUMBER_SHARES" hidden="1">"c2417"</definedName>
    <definedName name="IQ_TR_PT_PCT_SHARES" hidden="1">"c2416"</definedName>
    <definedName name="IQ_TR_RATING_FEES" hidden="1">"c2275"</definedName>
    <definedName name="IQ_TR_REG_EFFECT_DATE" hidden="1">"c2264"</definedName>
    <definedName name="IQ_TR_REG_FILED_DATE" hidden="1">"c2263"</definedName>
    <definedName name="IQ_TR_RENEWAL_BUYBACK" hidden="1">"c2413"</definedName>
    <definedName name="IQ_TR_ROUND_NUMBER" hidden="1">"c2295"</definedName>
    <definedName name="IQ_TR_SEC_FEES" hidden="1">"c2274"</definedName>
    <definedName name="IQ_TR_SECURITY_TYPE_REG" hidden="1">"c2279"</definedName>
    <definedName name="IQ_TR_SELL_ACC_ADVISORS" hidden="1">"c3049"</definedName>
    <definedName name="IQ_TR_SELL_FIN_ADVISORS" hidden="1">"c3046"</definedName>
    <definedName name="IQ_TR_SELL_LEG_ADVISORS" hidden="1">"c2388"</definedName>
    <definedName name="IQ_TR_SELLER_ID" hidden="1">"c2406"</definedName>
    <definedName name="IQ_TR_SELLERNAME" hidden="1">"c2402"</definedName>
    <definedName name="IQ_TR_SFEATURES" hidden="1">"c2385"</definedName>
    <definedName name="IQ_TR_SH_NET_PROCEEDS" hidden="1">"c2269"</definedName>
    <definedName name="IQ_TR_SH_NET_PROCEEDS_PCT" hidden="1">"c2271"</definedName>
    <definedName name="IQ_TR_SPECIAL_COMMITTEE" hidden="1">"c2362"</definedName>
    <definedName name="IQ_TR_STATUS" hidden="1">"c2399"</definedName>
    <definedName name="IQ_TR_STOCK_CONSID_PCT" hidden="1">"c2312"</definedName>
    <definedName name="IQ_TR_SUSPENDED_DATE" hidden="1">"c2407"</definedName>
    <definedName name="IQ_TR_TARGET_52WKHI_PCT" hidden="1">"c2351"</definedName>
    <definedName name="IQ_TR_TARGET_52WKLOW_PCT" hidden="1">"c2350"</definedName>
    <definedName name="IQ_TR_TARGET_ACC_ADVISORS" hidden="1">"c3047"</definedName>
    <definedName name="IQ_TR_TARGET_CASH_ST_INVEST" hidden="1">"c2327"</definedName>
    <definedName name="IQ_TR_TARGET_CLOSEPRICE_1D" hidden="1">"c2352"</definedName>
    <definedName name="IQ_TR_TARGET_CLOSEPRICE_1M" hidden="1">"c2354"</definedName>
    <definedName name="IQ_TR_TARGET_CLOSEPRICE_1W" hidden="1">"c2353"</definedName>
    <definedName name="IQ_TR_TARGET_DILUT_EPS_EXCL" hidden="1">"c2324"</definedName>
    <definedName name="IQ_TR_TARGET_EARNING_CO" hidden="1">"c2332"</definedName>
    <definedName name="IQ_TR_TARGET_EBIT" hidden="1">"c2333"</definedName>
    <definedName name="IQ_TR_TARGET_EBITDA" hidden="1">"c2334"</definedName>
    <definedName name="IQ_TR_TARGET_FILING_CURRENCY" hidden="1">"c3034"</definedName>
    <definedName name="IQ_TR_TARGET_FIN_ADVISORS" hidden="1">"c3044"</definedName>
    <definedName name="IQ_TR_TARGET_ID" hidden="1">"c2405"</definedName>
    <definedName name="IQ_TR_TARGET_LEG_ADVISORS" hidden="1">"c2386"</definedName>
    <definedName name="IQ_TR_TARGET_MARKETCAP" hidden="1">"c2342"</definedName>
    <definedName name="IQ_TR_TARGET_MIN_INT" hidden="1">"c2328"</definedName>
    <definedName name="IQ_TR_TARGET_NET_DEBT" hidden="1">"c2326"</definedName>
    <definedName name="IQ_TR_TARGET_NI" hidden="1">"c2331"</definedName>
    <definedName name="IQ_TR_TARGET_PRICEDATE_1D" hidden="1">"c2341"</definedName>
    <definedName name="IQ_TR_TARGET_RETURN" hidden="1">"c2355"</definedName>
    <definedName name="IQ_TR_TARGET_SEC_DETAIL" hidden="1">"c3021"</definedName>
    <definedName name="IQ_TR_TARGET_SEC_TI_ID" hidden="1">"c2368"</definedName>
    <definedName name="IQ_TR_TARGET_SEC_TYPE" hidden="1">"c2369"</definedName>
    <definedName name="IQ_TR_TARGET_SPD" hidden="1">"c2313"</definedName>
    <definedName name="IQ_TR_TARGET_SPD_PCT" hidden="1">"c2314"</definedName>
    <definedName name="IQ_TR_TARGET_STOCKPREMIUM_1D" hidden="1">"c2336"</definedName>
    <definedName name="IQ_TR_TARGET_STOCKPREMIUM_1M" hidden="1">"c2337"</definedName>
    <definedName name="IQ_TR_TARGET_STOCKPREMIUM_1W" hidden="1">"c2338"</definedName>
    <definedName name="IQ_TR_TARGET_STOCKYEARHIGH_1D" hidden="1">"c2339"</definedName>
    <definedName name="IQ_TR_TARGET_STOCKYEARLOW_1D" hidden="1">"c2340"</definedName>
    <definedName name="IQ_TR_TARGET_TOTAL_ASSETS" hidden="1">"c2325"</definedName>
    <definedName name="IQ_TR_TARGET_TOTAL_COMMON_EQ" hidden="1">"c2421"</definedName>
    <definedName name="IQ_TR_TARGET_TOTAL_DEBT" hidden="1">"c2330"</definedName>
    <definedName name="IQ_TR_TARGET_TOTAL_PREF" hidden="1">"c2329"</definedName>
    <definedName name="IQ_TR_TARGET_TOTAL_REV" hidden="1">"c2335"</definedName>
    <definedName name="IQ_TR_TARGETNAME" hidden="1">"c2403"</definedName>
    <definedName name="IQ_TR_TERM_FEE" hidden="1">"c2298"</definedName>
    <definedName name="IQ_TR_TERM_FEE_PCT" hidden="1">"c2297"</definedName>
    <definedName name="IQ_TR_TODATE" hidden="1">"c3036"</definedName>
    <definedName name="IQ_TR_TODATE_MONETARY_VALUE" hidden="1">"c2418"</definedName>
    <definedName name="IQ_TR_TODATE_NUMBER_SHARES" hidden="1">"c2420"</definedName>
    <definedName name="IQ_TR_TODATE_PCT_SHARES" hidden="1">"c2419"</definedName>
    <definedName name="IQ_TR_TOTAL_ACCT_FEES" hidden="1">"c2273"</definedName>
    <definedName name="IQ_TR_TOTAL_CASH" hidden="1">"c2315"</definedName>
    <definedName name="IQ_TR_TOTAL_CONSID_SH" hidden="1">"c2316"</definedName>
    <definedName name="IQ_TR_TOTAL_DEBT" hidden="1">"c2317"</definedName>
    <definedName name="IQ_TR_TOTAL_GROSS_TV" hidden="1">"c2318"</definedName>
    <definedName name="IQ_TR_TOTAL_HYBRID" hidden="1">"c2319"</definedName>
    <definedName name="IQ_TR_TOTAL_LEGAL_FEES" hidden="1">"c2272"</definedName>
    <definedName name="IQ_TR_TOTAL_NET_TV" hidden="1">"c2320"</definedName>
    <definedName name="IQ_TR_TOTAL_NEWMONEY" hidden="1">"c2289"</definedName>
    <definedName name="IQ_TR_TOTAL_OPTIONS" hidden="1">"c2322"</definedName>
    <definedName name="IQ_TR_TOTAL_OPTIONS_BUYER" hidden="1">"c3026"</definedName>
    <definedName name="IQ_TR_TOTAL_PREFERRED" hidden="1">"c2321"</definedName>
    <definedName name="IQ_TR_TOTAL_REG_AMT" hidden="1">"c2261"</definedName>
    <definedName name="IQ_TR_TOTAL_STOCK" hidden="1">"c2323"</definedName>
    <definedName name="IQ_TR_TOTAL_TAKEDOWNS" hidden="1">"c2278"</definedName>
    <definedName name="IQ_TR_TOTAL_UW_COMP" hidden="1">"c2280"</definedName>
    <definedName name="IQ_TR_TOTALVALUE" hidden="1">"c2400"</definedName>
    <definedName name="IQ_TR_TRANSACTION_TYPE" hidden="1">"c2398"</definedName>
    <definedName name="IQ_TR_WITHDRAWN_DTE" hidden="1">"c2266"</definedName>
    <definedName name="IQ_TRADE_AR" hidden="1">"c40"</definedName>
    <definedName name="IQ_TRADE_PRINCIPAL" hidden="1">"c1309"</definedName>
    <definedName name="IQ_TRADING_ASSETS" hidden="1">"c1310"</definedName>
    <definedName name="IQ_TRADING_CURRENCY" hidden="1">"c2212"</definedName>
    <definedName name="IQ_TREASURY" hidden="1">"c1311"</definedName>
    <definedName name="IQ_TREASURY_OTHER_EQUITY" hidden="1">"c1312"</definedName>
    <definedName name="IQ_TREASURY_OTHER_EQUITY_BNK" hidden="1">"c1313"</definedName>
    <definedName name="IQ_TREASURY_OTHER_EQUITY_BR" hidden="1">"c1314"</definedName>
    <definedName name="IQ_TREASURY_OTHER_EQUITY_FIN" hidden="1">"c1315"</definedName>
    <definedName name="IQ_TREASURY_OTHER_EQUITY_INS" hidden="1">"c1316"</definedName>
    <definedName name="IQ_TREASURY_OTHER_EQUITY_REIT" hidden="1">"c1317"</definedName>
    <definedName name="IQ_TREASURY_OTHER_EQUITY_UTI" hidden="1">"c1318"</definedName>
    <definedName name="IQ_TREASURY_STOCK" hidden="1">"c1311"</definedName>
    <definedName name="IQ_TRUST_INC" hidden="1">"c1319"</definedName>
    <definedName name="IQ_TRUST_PREF" hidden="1">"c1320"</definedName>
    <definedName name="IQ_TRUST_PREFERRED" hidden="1">"c3029"</definedName>
    <definedName name="IQ_TRUST_PREFERRED_PCT" hidden="1">"c3030"</definedName>
    <definedName name="IQ_UFCF_10YR_ANN_GROWTH" hidden="1">"c1948"</definedName>
    <definedName name="IQ_UFCF_1YR_ANN_GROWTH" hidden="1">"c1943"</definedName>
    <definedName name="IQ_UFCF_2YR_ANN_GROWTH" hidden="1">"c1944"</definedName>
    <definedName name="IQ_UFCF_3YR_ANN_GROWTH" hidden="1">"c1945"</definedName>
    <definedName name="IQ_UFCF_5YR_ANN_GROWTH" hidden="1">"c1946"</definedName>
    <definedName name="IQ_UFCF_7YR_ANN_GROWTH" hidden="1">"c1947"</definedName>
    <definedName name="IQ_UFCF_MARGIN" hidden="1">"c1962"</definedName>
    <definedName name="IQ_ULT_PARENT" hidden="1">"c3037"</definedName>
    <definedName name="IQ_ULT_PARENT_CIQID" hidden="1">"c3039"</definedName>
    <definedName name="IQ_ULT_PARENT_TICKER" hidden="1">"c3038"</definedName>
    <definedName name="IQ_UNAMORT_DISC" hidden="1">"c2513"</definedName>
    <definedName name="IQ_UNAMORT_DISC_PCT" hidden="1">"c2514"</definedName>
    <definedName name="IQ_UNAMORT_PREMIUM" hidden="1">"c2511"</definedName>
    <definedName name="IQ_UNAMORT_PREMIUM_PCT" hidden="1">"c2512"</definedName>
    <definedName name="IQ_UNDRAWN_CP" hidden="1">"c2518"</definedName>
    <definedName name="IQ_UNDRAWN_CREDIT" hidden="1">"c3032"</definedName>
    <definedName name="IQ_UNDRAWN_RC" hidden="1">"c2517"</definedName>
    <definedName name="IQ_UNDRAWN_TL" hidden="1">"c2519"</definedName>
    <definedName name="IQ_UNEARN_PREMIUM" hidden="1">"c1321"</definedName>
    <definedName name="IQ_UNEARN_REV_CURRENT" hidden="1">"c1322"</definedName>
    <definedName name="IQ_UNEARN_REV_CURRENT_BNK" hidden="1">"c1323"</definedName>
    <definedName name="IQ_UNEARN_REV_CURRENT_BR" hidden="1">"c1324"</definedName>
    <definedName name="IQ_UNEARN_REV_CURRENT_FIN" hidden="1">"c1325"</definedName>
    <definedName name="IQ_UNEARN_REV_CURRENT_INS" hidden="1">"c1326"</definedName>
    <definedName name="IQ_UNEARN_REV_CURRENT_REIT" hidden="1">"c1327"</definedName>
    <definedName name="IQ_UNEARN_REV_CURRENT_UTI" hidden="1">"c1328"</definedName>
    <definedName name="IQ_UNEARN_REV_LT" hidden="1">"c1329"</definedName>
    <definedName name="IQ_UNLEVERED_FCF" hidden="1">"c1908"</definedName>
    <definedName name="IQ_UNPAID_CLAIMS" hidden="1">"c1330"</definedName>
    <definedName name="IQ_UNREALIZED_GAIN" hidden="1">"c1619"</definedName>
    <definedName name="IQ_UNSECURED_DEBT" hidden="1">"c2548"</definedName>
    <definedName name="IQ_UNSECURED_DEBT_PCT" hidden="1">"c2549"</definedName>
    <definedName name="IQ_UNUSUAL_EXP" hidden="1">"c1456"</definedName>
    <definedName name="IQ_US_GAAP" hidden="1">"c1331"</definedName>
    <definedName name="IQ_US_GAAP_BASIC_EPS_EXCL" hidden="1">"c2984"</definedName>
    <definedName name="IQ_US_GAAP_BASIC_EPS_INCL" hidden="1">"c2982"</definedName>
    <definedName name="IQ_US_GAAP_BASIC_WEIGHT" hidden="1">"c2980"</definedName>
    <definedName name="IQ_US_GAAP_CA_ADJ" hidden="1">"c2925"</definedName>
    <definedName name="IQ_US_GAAP_CASH_FINAN" hidden="1">"c2945"</definedName>
    <definedName name="IQ_US_GAAP_CASH_FINAN_ADJ" hidden="1">"c2941"</definedName>
    <definedName name="IQ_US_GAAP_CASH_INVEST" hidden="1">"c2944"</definedName>
    <definedName name="IQ_US_GAAP_CASH_INVEST_ADJ" hidden="1">"c2940"</definedName>
    <definedName name="IQ_US_GAAP_CASH_OPER" hidden="1">"c2943"</definedName>
    <definedName name="IQ_US_GAAP_CASH_OPER_ADJ" hidden="1">"c2939"</definedName>
    <definedName name="IQ_US_GAAP_CL_ADJ" hidden="1">"c2927"</definedName>
    <definedName name="IQ_US_GAAP_DILUT_EPS_EXCL" hidden="1">"c2985"</definedName>
    <definedName name="IQ_US_GAAP_DILUT_EPS_INCL" hidden="1">"c2983"</definedName>
    <definedName name="IQ_US_GAAP_DILUT_NI" hidden="1">"c2979"</definedName>
    <definedName name="IQ_US_GAAP_DILUT_WEIGHT" hidden="1">"c2981"</definedName>
    <definedName name="IQ_US_GAAP_DO_ADJ" hidden="1">"c2959"</definedName>
    <definedName name="IQ_US_GAAP_EXTRA_ACC_ITEMS_ADJ" hidden="1">"c2958"</definedName>
    <definedName name="IQ_US_GAAP_INC_TAX_ADJ" hidden="1">"c2961"</definedName>
    <definedName name="IQ_US_GAAP_INTEREST_EXP_ADJ" hidden="1">"c2957"</definedName>
    <definedName name="IQ_US_GAAP_LIAB_LT_ADJ" hidden="1">"c2928"</definedName>
    <definedName name="IQ_US_GAAP_LIAB_TOTAL_LIAB" hidden="1">"c2933"</definedName>
    <definedName name="IQ_US_GAAP_MINORITY_INTEREST_IS_ADJ" hidden="1">"c2960"</definedName>
    <definedName name="IQ_US_GAAP_NCA_ADJ" hidden="1">"c2926"</definedName>
    <definedName name="IQ_US_GAAP_NET_CHANGE" hidden="1">"c2946"</definedName>
    <definedName name="IQ_US_GAAP_NET_CHANGE_ADJ" hidden="1">"c2942"</definedName>
    <definedName name="IQ_US_GAAP_NI" hidden="1">"c2976"</definedName>
    <definedName name="IQ_US_GAAP_NI_ADJ" hidden="1">"c2963"</definedName>
    <definedName name="IQ_US_GAAP_NI_AVAIL_INCL" hidden="1">"c2978"</definedName>
    <definedName name="IQ_US_GAAP_OTHER_ADJ_ADJ" hidden="1">"c2962"</definedName>
    <definedName name="IQ_US_GAAP_OTHER_NON_OPER_ADJ" hidden="1">"c2955"</definedName>
    <definedName name="IQ_US_GAAP_OTHER_OPER_ADJ" hidden="1">"c2954"</definedName>
    <definedName name="IQ_US_GAAP_RD_ADJ" hidden="1">"c2953"</definedName>
    <definedName name="IQ_US_GAAP_SGA_ADJ" hidden="1">"c2952"</definedName>
    <definedName name="IQ_US_GAAP_TOTAL_ASSETS" hidden="1">"c2931"</definedName>
    <definedName name="IQ_US_GAAP_TOTAL_EQUITY" hidden="1">"c2934"</definedName>
    <definedName name="IQ_US_GAAP_TOTAL_EQUITY_ADJ" hidden="1">"c2929"</definedName>
    <definedName name="IQ_US_GAAP_TOTAL_REV_ADJ" hidden="1">"c2950"</definedName>
    <definedName name="IQ_US_GAAP_TOTAL_UNUSUAL_ADJ" hidden="1">"c2956"</definedName>
    <definedName name="IQ_UTIL_PPE_NET" hidden="1">"c1620"</definedName>
    <definedName name="IQ_UTIL_REV" hidden="1">"c2091"</definedName>
    <definedName name="IQ_UV_PENSION_LIAB" hidden="1">"c1332"</definedName>
    <definedName name="IQ_VALUE_TRADED_LAST_3MTH" hidden="1">"c1530"</definedName>
    <definedName name="IQ_VALUE_TRADED_LAST_6MTH" hidden="1">"c1531"</definedName>
    <definedName name="IQ_VALUE_TRADED_LAST_MTH" hidden="1">"c1529"</definedName>
    <definedName name="IQ_VALUE_TRADED_LAST_WK" hidden="1">"c1528"</definedName>
    <definedName name="IQ_VALUE_TRADED_LAST_YR" hidden="1">"c1532"</definedName>
    <definedName name="IQ_VOL_LAST_3MTH" hidden="1">"c1525"</definedName>
    <definedName name="IQ_VOL_LAST_6MTH" hidden="1">"c1526"</definedName>
    <definedName name="IQ_VOL_LAST_MTH" hidden="1">"c1524"</definedName>
    <definedName name="IQ_VOL_LAST_WK" hidden="1">"c1523"</definedName>
    <definedName name="IQ_VOL_LAST_YR" hidden="1">"c1527"</definedName>
    <definedName name="IQ_VOLUME" hidden="1">"c1333"</definedName>
    <definedName name="IQ_WARRANTS_BEG_OS" hidden="1">"c2698"</definedName>
    <definedName name="IQ_WARRANTS_CANCELLED" hidden="1">"c2701"</definedName>
    <definedName name="IQ_WARRANTS_END_OS" hidden="1">"c2702"</definedName>
    <definedName name="IQ_WARRANTS_EXERCISED" hidden="1">"c2700"</definedName>
    <definedName name="IQ_WARRANTS_ISSUED" hidden="1">"c2699"</definedName>
    <definedName name="IQ_WARRANTS_STRIKE_PRICE_ISSUED" hidden="1">"c2704"</definedName>
    <definedName name="IQ_WARRANTS_STRIKE_PRICE_OS" hidden="1">"c2703"</definedName>
    <definedName name="IQ_WEEK" hidden="1">50000</definedName>
    <definedName name="IQ_WEIGHTED_AVG_PRICE" hidden="1">"c1334"</definedName>
    <definedName name="IQ_WIP_INV" hidden="1">"c1335"</definedName>
    <definedName name="IQ_WORKMEN_WRITTEN" hidden="1">"c1336"</definedName>
    <definedName name="IQ_XDIV_DATE" hidden="1">"c2203"</definedName>
    <definedName name="IQ_YEARHIGH" hidden="1">"c1337"</definedName>
    <definedName name="IQ_YEARHIGH_DATE" hidden="1">"c2250"</definedName>
    <definedName name="IQ_YEARLOW" hidden="1">"c1338"</definedName>
    <definedName name="IQ_YEARLOW_DATE" hidden="1">"c2251"</definedName>
    <definedName name="IQ_YTD" hidden="1">3000</definedName>
    <definedName name="IQ_YTDMONTH" hidden="1">130000</definedName>
    <definedName name="IQ_YTW" hidden="1">"c2163"</definedName>
    <definedName name="IQ_YTW_DATE" hidden="1">"c2164"</definedName>
    <definedName name="IQ_YTW_DATE_TYPE" hidden="1">"c2165"</definedName>
    <definedName name="IQ_Z_SCORE" hidden="1">"c1339"</definedName>
    <definedName name="IS" localSheetId="11" hidden="1">{"HK PR",#N/A,FALSE,"HK";"SUMMARY",#N/A,FALSE,"PAYROLL";"SUMMARY",#N/A,FALSE,"PAYROLL";"HK PR",#N/A,FALSE,"HK"}</definedName>
    <definedName name="IS" localSheetId="5" hidden="1">{"HK PR",#N/A,FALSE,"HK";"SUMMARY",#N/A,FALSE,"PAYROLL";"SUMMARY",#N/A,FALSE,"PAYROLL";"HK PR",#N/A,FALSE,"HK"}</definedName>
    <definedName name="IS" localSheetId="6" hidden="1">{"HK PR",#N/A,FALSE,"HK";"SUMMARY",#N/A,FALSE,"PAYROLL";"SUMMARY",#N/A,FALSE,"PAYROLL";"HK PR",#N/A,FALSE,"HK"}</definedName>
    <definedName name="IS" hidden="1">{"HK PR",#N/A,FALSE,"HK";"SUMMARY",#N/A,FALSE,"PAYROLL";"SUMMARY",#N/A,FALSE,"PAYROLL";"HK PR",#N/A,FALSE,"HK"}</definedName>
    <definedName name="j" localSheetId="11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j" localSheetId="5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j" localSheetId="6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j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jj" localSheetId="11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jj" localSheetId="5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jj" localSheetId="6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jj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jjj" localSheetId="11" hidden="1">{"'Sheet1'!$L$16"}</definedName>
    <definedName name="jjj" localSheetId="6" hidden="1">{"'Sheet1'!$L$16"}</definedName>
    <definedName name="jjj" hidden="1">{"'Sheet1'!$L$16"}</definedName>
    <definedName name="jjjj" localSheetId="11" hidden="1">{#N/A,#N/A,TRUE," L.MAROC";#N/A,#N/A,TRUE,"SIE";#N/A,#N/A,TRUE,"ELIM L.GROUPE";#N/A,#N/A,TRUE,"ACTIVITE CIMENTIERE";#N/A,#N/A,TRUE,"ELIM ACTIVITE CIMENTIERE";#N/A,#N/A,TRUE,"SYNTHES L. CIMENT";#N/A,#N/A,TRUE,"BOUSKOURA";#N/A,#N/A,TRUE,"MEKNES";#N/A,#N/A,TRUE,"ELIM L.CIMENT";#N/A,#N/A,TRUE,"SYNTHESE L.CEMENTOS";#N/A,#N/A,TRUE,"TANGER";#N/A,#N/A,TRUE,"TETOUAN";#N/A,#N/A,TRUE,"ELIM L.CEMENTOS"}</definedName>
    <definedName name="jjjj" localSheetId="5" hidden="1">{#N/A,#N/A,TRUE," L.MAROC";#N/A,#N/A,TRUE,"SIE";#N/A,#N/A,TRUE,"ELIM L.GROUPE";#N/A,#N/A,TRUE,"ACTIVITE CIMENTIERE";#N/A,#N/A,TRUE,"ELIM ACTIVITE CIMENTIERE";#N/A,#N/A,TRUE,"SYNTHES L. CIMENT";#N/A,#N/A,TRUE,"BOUSKOURA";#N/A,#N/A,TRUE,"MEKNES";#N/A,#N/A,TRUE,"ELIM L.CIMENT";#N/A,#N/A,TRUE,"SYNTHESE L.CEMENTOS";#N/A,#N/A,TRUE,"TANGER";#N/A,#N/A,TRUE,"TETOUAN";#N/A,#N/A,TRUE,"ELIM L.CEMENTOS"}</definedName>
    <definedName name="jjjj" localSheetId="6" hidden="1">{#N/A,#N/A,TRUE," L.MAROC";#N/A,#N/A,TRUE,"SIE";#N/A,#N/A,TRUE,"ELIM L.GROUPE";#N/A,#N/A,TRUE,"ACTIVITE CIMENTIERE";#N/A,#N/A,TRUE,"ELIM ACTIVITE CIMENTIERE";#N/A,#N/A,TRUE,"SYNTHES L. CIMENT";#N/A,#N/A,TRUE,"BOUSKOURA";#N/A,#N/A,TRUE,"MEKNES";#N/A,#N/A,TRUE,"ELIM L.CIMENT";#N/A,#N/A,TRUE,"SYNTHESE L.CEMENTOS";#N/A,#N/A,TRUE,"TANGER";#N/A,#N/A,TRUE,"TETOUAN";#N/A,#N/A,TRUE,"ELIM L.CEMENTOS"}</definedName>
    <definedName name="jjjj" hidden="1">{#N/A,#N/A,TRUE," L.MAROC";#N/A,#N/A,TRUE,"SIE";#N/A,#N/A,TRUE,"ELIM L.GROUPE";#N/A,#N/A,TRUE,"ACTIVITE CIMENTIERE";#N/A,#N/A,TRUE,"ELIM ACTIVITE CIMENTIERE";#N/A,#N/A,TRUE,"SYNTHES L. CIMENT";#N/A,#N/A,TRUE,"BOUSKOURA";#N/A,#N/A,TRUE,"MEKNES";#N/A,#N/A,TRUE,"ELIM L.CIMENT";#N/A,#N/A,TRUE,"SYNTHESE L.CEMENTOS";#N/A,#N/A,TRUE,"TANGER";#N/A,#N/A,TRUE,"TETOUAN";#N/A,#N/A,TRUE,"ELIM L.CEMENTOS"}</definedName>
    <definedName name="jjjjj" localSheetId="11" hidden="1">{#N/A,#N/A,TRUE," L.MAROC";#N/A,#N/A,TRUE,"SIE";#N/A,#N/A,TRUE,"ELIM L.GROUPE";#N/A,#N/A,TRUE,"ACTIVITE CIMENTIERE";#N/A,#N/A,TRUE,"ELIM ACTIVITE CIMENTIERE";#N/A,#N/A,TRUE,"SYNTHES L. CIMENT";#N/A,#N/A,TRUE,"BOUSKOURA";#N/A,#N/A,TRUE,"MEKNES";#N/A,#N/A,TRUE,"ELIM L.CIMENT";#N/A,#N/A,TRUE,"SYNTHESE L.CEMENTOS";#N/A,#N/A,TRUE,"TANGER";#N/A,#N/A,TRUE,"TETOUAN";#N/A,#N/A,TRUE,"ELIM L.CEMENTOS"}</definedName>
    <definedName name="jjjjj" localSheetId="5" hidden="1">{#N/A,#N/A,TRUE," L.MAROC";#N/A,#N/A,TRUE,"SIE";#N/A,#N/A,TRUE,"ELIM L.GROUPE";#N/A,#N/A,TRUE,"ACTIVITE CIMENTIERE";#N/A,#N/A,TRUE,"ELIM ACTIVITE CIMENTIERE";#N/A,#N/A,TRUE,"SYNTHES L. CIMENT";#N/A,#N/A,TRUE,"BOUSKOURA";#N/A,#N/A,TRUE,"MEKNES";#N/A,#N/A,TRUE,"ELIM L.CIMENT";#N/A,#N/A,TRUE,"SYNTHESE L.CEMENTOS";#N/A,#N/A,TRUE,"TANGER";#N/A,#N/A,TRUE,"TETOUAN";#N/A,#N/A,TRUE,"ELIM L.CEMENTOS"}</definedName>
    <definedName name="jjjjj" localSheetId="6" hidden="1">{#N/A,#N/A,TRUE," L.MAROC";#N/A,#N/A,TRUE,"SIE";#N/A,#N/A,TRUE,"ELIM L.GROUPE";#N/A,#N/A,TRUE,"ACTIVITE CIMENTIERE";#N/A,#N/A,TRUE,"ELIM ACTIVITE CIMENTIERE";#N/A,#N/A,TRUE,"SYNTHES L. CIMENT";#N/A,#N/A,TRUE,"BOUSKOURA";#N/A,#N/A,TRUE,"MEKNES";#N/A,#N/A,TRUE,"ELIM L.CIMENT";#N/A,#N/A,TRUE,"SYNTHESE L.CEMENTOS";#N/A,#N/A,TRUE,"TANGER";#N/A,#N/A,TRUE,"TETOUAN";#N/A,#N/A,TRUE,"ELIM L.CEMENTOS"}</definedName>
    <definedName name="jjjjj" hidden="1">{#N/A,#N/A,TRUE," L.MAROC";#N/A,#N/A,TRUE,"SIE";#N/A,#N/A,TRUE,"ELIM L.GROUPE";#N/A,#N/A,TRUE,"ACTIVITE CIMENTIERE";#N/A,#N/A,TRUE,"ELIM ACTIVITE CIMENTIERE";#N/A,#N/A,TRUE,"SYNTHES L. CIMENT";#N/A,#N/A,TRUE,"BOUSKOURA";#N/A,#N/A,TRUE,"MEKNES";#N/A,#N/A,TRUE,"ELIM L.CIMENT";#N/A,#N/A,TRUE,"SYNTHESE L.CEMENTOS";#N/A,#N/A,TRUE,"TANGER";#N/A,#N/A,TRUE,"TETOUAN";#N/A,#N/A,TRUE,"ELIM L.CEMENTOS"}</definedName>
    <definedName name="ju" localSheetId="11" hidden="1">{"'Sheet1'!$L$16"}</definedName>
    <definedName name="ju" localSheetId="5" hidden="1">{"'Sheet1'!$L$16"}</definedName>
    <definedName name="ju" localSheetId="6" hidden="1">{"'Sheet1'!$L$16"}</definedName>
    <definedName name="ju" hidden="1">{"'Sheet1'!$L$16"}</definedName>
    <definedName name="K" localSheetId="11" hidden="1">{"'Sheet1'!$L$16"}</definedName>
    <definedName name="k" localSheetId="6" hidden="1">{"'Sheet1'!$L$16"}</definedName>
    <definedName name="K" hidden="1">{"'Sheet1'!$L$16"}</definedName>
    <definedName name="kk" hidden="1">#REF!</definedName>
    <definedName name="kkk" localSheetId="11" hidden="1">{"lev2monbt",#N/A,FALSE,"2_levmonB-T"}</definedName>
    <definedName name="kkk" hidden="1">{"lev2monbt",#N/A,FALSE,"2_levmonB-T"}</definedName>
    <definedName name="KU" localSheetId="11" hidden="1">{"'Sheet1'!$L$16"}</definedName>
    <definedName name="KU" localSheetId="5" hidden="1">{"'Sheet1'!$L$16"}</definedName>
    <definedName name="KU" localSheetId="6" hidden="1">{"'Sheet1'!$L$16"}</definedName>
    <definedName name="KU" hidden="1">{"'Sheet1'!$L$16"}</definedName>
    <definedName name="kyd.ChngCell.01." localSheetId="6" hidden="1">#REF!</definedName>
    <definedName name="kyd.ChngCell.01." hidden="1">#REF!</definedName>
    <definedName name="kyd.CounterLimitCell.01." hidden="1">"x"</definedName>
    <definedName name="kyd.Dim.01." hidden="1">"UNISONUS:M-2003"</definedName>
    <definedName name="kyd.ElementList.01." localSheetId="6" hidden="1">#REF!</definedName>
    <definedName name="kyd.ElementList.01." hidden="1">#REF!</definedName>
    <definedName name="kyd.ElementType.01." hidden="1">3</definedName>
    <definedName name="kyd.ItemType.01." hidden="1">2</definedName>
    <definedName name="kyd.NumLevels.01." hidden="1">1</definedName>
    <definedName name="kyd.ParentName.01." hidden="1">""</definedName>
    <definedName name="kyd.PrintParent.01." hidden="1">TRUE</definedName>
    <definedName name="kyd.SelectString.01." hidden="1">"*"</definedName>
    <definedName name="l" localSheetId="11" hidden="1">{"revable",#N/A,FALSE,"REVABLE"}</definedName>
    <definedName name="l" hidden="1">{"revable",#N/A,FALSE,"REVABLE"}</definedName>
    <definedName name="Lai" localSheetId="11" hidden="1">{"'Sheet1'!$L$16"}</definedName>
    <definedName name="Lai" localSheetId="5" hidden="1">{"'Sheet1'!$L$16"}</definedName>
    <definedName name="Lai" localSheetId="6" hidden="1">{"'Sheet1'!$L$16"}</definedName>
    <definedName name="Lai" hidden="1">{"'Sheet1'!$L$16"}</definedName>
    <definedName name="LAM" localSheetId="11" hidden="1">{#N/A,#N/A,TRUE,"BT M200 da 10x20"}</definedName>
    <definedName name="LAM" localSheetId="6" hidden="1">{#N/A,#N/A,TRUE,"BT M200 da 10x20"}</definedName>
    <definedName name="LAM" hidden="1">{#N/A,#N/A,TRUE,"BT M200 da 10x20"}</definedName>
    <definedName name="lan" localSheetId="11" hidden="1">{#N/A,#N/A,TRUE,"BT M200 da 10x20"}</definedName>
    <definedName name="lan" localSheetId="5" hidden="1">{#N/A,#N/A,TRUE,"BT M200 da 10x20"}</definedName>
    <definedName name="lan" localSheetId="6" hidden="1">{#N/A,#N/A,TRUE,"BT M200 da 10x20"}</definedName>
    <definedName name="lan" hidden="1">{#N/A,#N/A,TRUE,"BT M200 da 10x20"}</definedName>
    <definedName name="limcount" hidden="1">1</definedName>
    <definedName name="lll" localSheetId="11" hidden="1">{"sales",#N/A,FALSE,"SALES"}</definedName>
    <definedName name="lll" hidden="1">{"sales",#N/A,FALSE,"SALES"}</definedName>
    <definedName name="LLLL" localSheetId="11" hidden="1">{#N/A,#N/A,FALSE,"Chi tiÆt"}</definedName>
    <definedName name="LLLL" localSheetId="5" hidden="1">{#N/A,#N/A,FALSE,"Chi tiÆt"}</definedName>
    <definedName name="LLLL" localSheetId="6" hidden="1">{#N/A,#N/A,FALSE,"Chi tiÆt"}</definedName>
    <definedName name="LLLL" hidden="1">{#N/A,#N/A,FALSE,"Chi tiÆt"}</definedName>
    <definedName name="LLLLL" localSheetId="11" hidden="1">{#N/A,#N/A,FALSE,"Chi tiÆt"}</definedName>
    <definedName name="LLLLL" localSheetId="5" hidden="1">{#N/A,#N/A,FALSE,"Chi tiÆt"}</definedName>
    <definedName name="LLLLL" localSheetId="6" hidden="1">{#N/A,#N/A,FALSE,"Chi tiÆt"}</definedName>
    <definedName name="LLLLL" hidden="1">{#N/A,#N/A,FALSE,"Chi tiÆt"}</definedName>
    <definedName name="Loan" localSheetId="5" hidden="1">#REF!</definedName>
    <definedName name="Loan" hidden="1">#REF!</definedName>
    <definedName name="m" localSheetId="11" hidden="1">{"income",#N/A,FALSE,"INCOME"}</definedName>
    <definedName name="m" hidden="1">{"income",#N/A,FALSE,"INCOME"}</definedName>
    <definedName name="mco" localSheetId="11" hidden="1">{"'Sheet1'!$L$16"}</definedName>
    <definedName name="mco" localSheetId="5" hidden="1">{"'Sheet1'!$L$16"}</definedName>
    <definedName name="mco" localSheetId="6" hidden="1">{"'Sheet1'!$L$16"}</definedName>
    <definedName name="mco" hidden="1">{"'Sheet1'!$L$16"}</definedName>
    <definedName name="mg" localSheetId="11" hidden="1">{#N/A,#N/A,FALSE,"Chi tiÆt"}</definedName>
    <definedName name="mg" localSheetId="6" hidden="1">{#N/A,#N/A,FALSE,"Chi tiÆt"}</definedName>
    <definedName name="mg" hidden="1">{#N/A,#N/A,FALSE,"Chi tiÆt"}</definedName>
    <definedName name="mmm" localSheetId="11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mmm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moi" localSheetId="11" hidden="1">{"'Sheet1'!$L$16"}</definedName>
    <definedName name="moi" localSheetId="5" hidden="1">{"'Sheet1'!$L$16"}</definedName>
    <definedName name="moi" localSheetId="6" hidden="1">{"'Sheet1'!$L$16"}</definedName>
    <definedName name="moi" hidden="1">{"'Sheet1'!$L$16"}</definedName>
    <definedName name="monthly" localSheetId="11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monthly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monthly_sep03" localSheetId="11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monthly_sep03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mua" localSheetId="11" hidden="1">{"'Sheet1'!$L$16"}</definedName>
    <definedName name="mua" localSheetId="5" hidden="1">{"'Sheet1'!$L$16"}</definedName>
    <definedName name="mua" localSheetId="6" hidden="1">{"'Sheet1'!$L$16"}</definedName>
    <definedName name="mua" hidden="1">{"'Sheet1'!$L$16"}</definedName>
    <definedName name="n" localSheetId="11" hidden="1">{"F3 detail",#N/A,FALSE,"F1";"F3 Presentation",#N/A,FALSE,"F3 "}</definedName>
    <definedName name="N" localSheetId="6" hidden="1">{"'Sheet1'!$L$16"}</definedName>
    <definedName name="n" hidden="1">{"F3 detail",#N/A,FALSE,"F1";"F3 Presentation",#N/A,FALSE,"F3 "}</definedName>
    <definedName name="nn" localSheetId="11" hidden="1">{#N/A,#N/A,FALSE,"SYSOC";#N/A,#N/A,FALSE,"RESU-GESTION";#N/A,#N/A,FALSE,"EVOL-MNA";#N/A,#N/A,FALSE,"VTAS-ANALI";#N/A,#N/A,FALSE,"ANALI-GSFIJOS";#N/A,#N/A,FALSE,"DETA-RUBROS";#N/A,#N/A,FALSE,"ANALI-CNF";#N/A,#N/A,FALSE,"BILAN";#N/A,#N/A,FALSE,"TAB_FIN";#N/A,#N/A,FALSE,"IND_ECO"}</definedName>
    <definedName name="nn" localSheetId="6" hidden="1">{#N/A,#N/A,FALSE,"SYSOC";#N/A,#N/A,FALSE,"RESU-GESTION";#N/A,#N/A,FALSE,"EVOL-MNA";#N/A,#N/A,FALSE,"VTAS-ANALI";#N/A,#N/A,FALSE,"ANALI-GSFIJOS";#N/A,#N/A,FALSE,"DETA-RUBROS";#N/A,#N/A,FALSE,"ANALI-CNF";#N/A,#N/A,FALSE,"BILAN";#N/A,#N/A,FALSE,"TAB_FIN";#N/A,#N/A,FALSE,"IND_ECO"}</definedName>
    <definedName name="nn" hidden="1">{#N/A,#N/A,FALSE,"SYSOC";#N/A,#N/A,FALSE,"RESU-GESTION";#N/A,#N/A,FALSE,"EVOL-MNA";#N/A,#N/A,FALSE,"VTAS-ANALI";#N/A,#N/A,FALSE,"ANALI-GSFIJOS";#N/A,#N/A,FALSE,"DETA-RUBROS";#N/A,#N/A,FALSE,"ANALI-CNF";#N/A,#N/A,FALSE,"BILAN";#N/A,#N/A,FALSE,"TAB_FIN";#N/A,#N/A,FALSE,"IND_ECO"}</definedName>
    <definedName name="nnn" localSheetId="11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nnn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nnnn" localSheetId="11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nnnn" localSheetId="5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nnnn" localSheetId="6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nnnn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NPP" hidden="1">#REF!</definedName>
    <definedName name="nwe" localSheetId="11" hidden="1">{"'Sheet1'!$L$16"}</definedName>
    <definedName name="nwe" localSheetId="6" hidden="1">{"'Sheet1'!$L$16"}</definedName>
    <definedName name="nwe" hidden="1">{"'Sheet1'!$L$16"}</definedName>
    <definedName name="o" localSheetId="11" hidden="1">{"index",#N/A,FALSE,"INDEX"}</definedName>
    <definedName name="o" hidden="1">{"index",#N/A,FALSE,"INDEX"}</definedName>
    <definedName name="ooo" localSheetId="11" hidden="1">{"PRINT_EST",#N/A,FALSE,"ESTMON"}</definedName>
    <definedName name="ooo" hidden="1">{"PRINT_EST",#N/A,FALSE,"ESTMON"}</definedName>
    <definedName name="OrderTable" localSheetId="5" hidden="1">#REF!</definedName>
    <definedName name="OrderTable" hidden="1">#REF!</definedName>
    <definedName name="p" localSheetId="11" hidden="1">{"revsale",#N/A,FALSE,"REV-ยุพดี"}</definedName>
    <definedName name="p" hidden="1">{"revsale",#N/A,FALSE,"REV-ยุพดี"}</definedName>
    <definedName name="PC_msg" hidden="1">"Yes"</definedName>
    <definedName name="PHUONG" localSheetId="11" hidden="1">{#N/A,#N/A,TRUE,"BT M200 da 10x20"}</definedName>
    <definedName name="PHUONG" localSheetId="6" hidden="1">{#N/A,#N/A,TRUE,"BT M200 da 10x20"}</definedName>
    <definedName name="PHUONG" hidden="1">{#N/A,#N/A,TRUE,"BT M200 da 10x20"}</definedName>
    <definedName name="PKTN." localSheetId="11" hidden="1">{"'Sheet1'!$L$16"}</definedName>
    <definedName name="PKTN." localSheetId="5" hidden="1">{"'Sheet1'!$L$16"}</definedName>
    <definedName name="PKTN." localSheetId="6" hidden="1">{"'Sheet1'!$L$16"}</definedName>
    <definedName name="PKTN." hidden="1">{"'Sheet1'!$L$16"}</definedName>
    <definedName name="PKTNN" localSheetId="11" hidden="1">{"'Sheet1'!$L$16"}</definedName>
    <definedName name="PKTNN" localSheetId="6" hidden="1">{"'Sheet1'!$L$16"}</definedName>
    <definedName name="PKTNN" hidden="1">{"'Sheet1'!$L$16"}</definedName>
    <definedName name="PP" localSheetId="11" hidden="1">{"'Model'!$A$1:$N$53"}</definedName>
    <definedName name="PP" hidden="1">{"'Model'!$A$1:$N$53"}</definedName>
    <definedName name="ppp" localSheetId="11" hidden="1">{"revsale",#N/A,FALSE,"REV-ยุพดี"}</definedName>
    <definedName name="ppp" hidden="1">{"revsale",#N/A,FALSE,"REV-ยุพดี"}</definedName>
    <definedName name="_xlnm.Print_Titles" localSheetId="5">'LCTT_GT in'!$1:$7</definedName>
    <definedName name="_xlnm.Print_Titles" localSheetId="3">'THTC in'!$1:$6</definedName>
    <definedName name="ProdForm" localSheetId="5" hidden="1">#REF!</definedName>
    <definedName name="ProdForm" hidden="1">#REF!</definedName>
    <definedName name="Product" localSheetId="5" hidden="1">#REF!</definedName>
    <definedName name="Product" hidden="1">#REF!</definedName>
    <definedName name="q" localSheetId="11" hidden="1">{"PM5CC",#N/A,FALSE,"PM5CC_95";"PM5DB",#N/A,FALSE,"PM5DB_95";"PM5WB",#N/A,FALSE,"PM5WB_95";"PM5WTK",#N/A,FALSE,"PM5WTK_9";"PM6B1",#N/A,FALSE,"PM6B1_95";"PM6OT",#N/A,FALSE,"PM6OT_95";"PM6BEM",#N/A,FALSE,"PM6BEM_9";"PM6AC",#N/A,FALSE,"PM6BAC_9";"PMC1AC",#N/A,FALSE,"C1AC_95";"PMC11CA",#N/A,FALSE,"C11CA_95";"PMC1EM",#N/A,FALSE,"C1EM_95";"PMDEPART2",#N/A,FALSE,"DEPART2";"PMCM1",#N/A,FALSE,"CM1_Q1"}</definedName>
    <definedName name="q" hidden="1">{"PM5CC",#N/A,FALSE,"PM5CC_95";"PM5DB",#N/A,FALSE,"PM5DB_95";"PM5WB",#N/A,FALSE,"PM5WB_95";"PM5WTK",#N/A,FALSE,"PM5WTK_9";"PM6B1",#N/A,FALSE,"PM6B1_95";"PM6OT",#N/A,FALSE,"PM6OT_95";"PM6BEM",#N/A,FALSE,"PM6BEM_9";"PM6AC",#N/A,FALSE,"PM6BAC_9";"PMC1AC",#N/A,FALSE,"C1AC_95";"PMC11CA",#N/A,FALSE,"C11CA_95";"PMC1EM",#N/A,FALSE,"C1EM_95";"PMDEPART2",#N/A,FALSE,"DEPART2";"PMCM1",#N/A,FALSE,"CM1_Q1"}</definedName>
    <definedName name="qeqe" localSheetId="11" hidden="1">{"'Sheet1'!$L$16"}</definedName>
    <definedName name="qeqe" localSheetId="6" hidden="1">{"'Sheet1'!$L$16"}</definedName>
    <definedName name="qeqe" hidden="1">{"'Sheet1'!$L$16"}</definedName>
    <definedName name="qqq" localSheetId="11" hidden="1">{"sales",#N/A,FALSE,"SALES"}</definedName>
    <definedName name="qqq" hidden="1">{"sales",#N/A,FALSE,"SALES"}</definedName>
    <definedName name="RCArea" localSheetId="5" hidden="1">#REF!</definedName>
    <definedName name="RCArea" hidden="1">#REF!</definedName>
    <definedName name="rfju" localSheetId="11" hidden="1">{"'Sheet1'!$L$16"}</definedName>
    <definedName name="rfju" localSheetId="6" hidden="1">{"'Sheet1'!$L$16"}</definedName>
    <definedName name="rfju" hidden="1">{"'Sheet1'!$L$16"}</definedName>
    <definedName name="rrr" localSheetId="11" hidden="1">{"lev2tytbt",#N/A,FALSE,"2_LEVYTDB-T"}</definedName>
    <definedName name="rrr" hidden="1">{"lev2tytbt",#N/A,FALSE,"2_LEVYTDB-T"}</definedName>
    <definedName name="rter" localSheetId="11" hidden="1">{#N/A,#N/A,FALSE,"sum";#N/A,#N/A,FALSE,"MARTV";#N/A,#N/A,FALSE,"APRTV"}</definedName>
    <definedName name="rter" localSheetId="6" hidden="1">{#N/A,#N/A,FALSE,"sum";#N/A,#N/A,FALSE,"MARTV";#N/A,#N/A,FALSE,"APRTV"}</definedName>
    <definedName name="rter" hidden="1">{#N/A,#N/A,FALSE,"sum";#N/A,#N/A,FALSE,"MARTV";#N/A,#N/A,FALSE,"APRTV"}</definedName>
    <definedName name="ru" localSheetId="11" hidden="1">{"'Sheet1'!$L$16"}</definedName>
    <definedName name="ru" localSheetId="6" hidden="1">{"'Sheet1'!$L$16"}</definedName>
    <definedName name="ru" hidden="1">{"'Sheet1'!$L$16"}</definedName>
    <definedName name="S" localSheetId="11" hidden="1">{"'Sheet1'!$L$16"}</definedName>
    <definedName name="S" localSheetId="6" hidden="1">{"'Sheet1'!$L$16"}</definedName>
    <definedName name="S" hidden="1">{"'Sheet1'!$L$16"}</definedName>
    <definedName name="sad" localSheetId="11" hidden="1">{0}</definedName>
    <definedName name="sad" localSheetId="5" hidden="1">{0}</definedName>
    <definedName name="sad" localSheetId="6" hidden="1">{0}</definedName>
    <definedName name="sad" hidden="1">{0}</definedName>
    <definedName name="SANG" localSheetId="11" hidden="1">{#N/A,#N/A,FALSE,"sum";#N/A,#N/A,FALSE,"MARTV";#N/A,#N/A,FALSE,"APRTV"}</definedName>
    <definedName name="SANG" localSheetId="6" hidden="1">{#N/A,#N/A,FALSE,"sum";#N/A,#N/A,FALSE,"MARTV";#N/A,#N/A,FALSE,"APRTV"}</definedName>
    <definedName name="SANG" hidden="1">{#N/A,#N/A,FALSE,"sum";#N/A,#N/A,FALSE,"MARTV";#N/A,#N/A,FALSE,"APRTV"}</definedName>
    <definedName name="SAPBEXrevision" hidden="1">3</definedName>
    <definedName name="SAPBEXsysID" hidden="1">"EPB"</definedName>
    <definedName name="SAPBEXwbID" hidden="1">"3UK6UXLZHQ3KXE93XFRP3AZAH"</definedName>
    <definedName name="SC" localSheetId="11" hidden="1">{"'Sheet1'!$L$16"}</definedName>
    <definedName name="SC" localSheetId="5" hidden="1">{"'Sheet1'!$L$16"}</definedName>
    <definedName name="SC" localSheetId="6" hidden="1">{"'Sheet1'!$L$16"}</definedName>
    <definedName name="SC" hidden="1">{"'Sheet1'!$L$16"}</definedName>
    <definedName name="sdadss" localSheetId="11" hidden="1">{"HK PR",#N/A,FALSE,"HK";"SUMMARY",#N/A,FALSE,"PAYROLL";"SUMMARY",#N/A,FALSE,"PAYROLL";"HK PR",#N/A,FALSE,"HK"}</definedName>
    <definedName name="sdadss" localSheetId="5" hidden="1">{"HK PR",#N/A,FALSE,"HK";"SUMMARY",#N/A,FALSE,"PAYROLL";"SUMMARY",#N/A,FALSE,"PAYROLL";"HK PR",#N/A,FALSE,"HK"}</definedName>
    <definedName name="sdadss" localSheetId="6" hidden="1">{"HK PR",#N/A,FALSE,"HK";"SUMMARY",#N/A,FALSE,"PAYROLL";"SUMMARY",#N/A,FALSE,"PAYROLL";"HK PR",#N/A,FALSE,"HK"}</definedName>
    <definedName name="sdadss" hidden="1">{"HK PR",#N/A,FALSE,"HK";"SUMMARY",#N/A,FALSE,"PAYROLL";"SUMMARY",#N/A,FALSE,"PAYROLL";"HK PR",#N/A,FALSE,"HK"}</definedName>
    <definedName name="sdsdasd" localSheetId="11" hidden="1">{"HK PR",#N/A,FALSE,"HK";"SUMMARY",#N/A,FALSE,"PAYROLL";"SUMMARY",#N/A,FALSE,"PAYROLL";"HK PR",#N/A,FALSE,"HK"}</definedName>
    <definedName name="sdsdasd" localSheetId="5" hidden="1">{"HK PR",#N/A,FALSE,"HK";"SUMMARY",#N/A,FALSE,"PAYROLL";"SUMMARY",#N/A,FALSE,"PAYROLL";"HK PR",#N/A,FALSE,"HK"}</definedName>
    <definedName name="sdsdasd" localSheetId="6" hidden="1">{"HK PR",#N/A,FALSE,"HK";"SUMMARY",#N/A,FALSE,"PAYROLL";"SUMMARY",#N/A,FALSE,"PAYROLL";"HK PR",#N/A,FALSE,"HK"}</definedName>
    <definedName name="sdsdasd" hidden="1">{"HK PR",#N/A,FALSE,"HK";"SUMMARY",#N/A,FALSE,"PAYROLL";"SUMMARY",#N/A,FALSE,"PAYROLL";"HK PR",#N/A,FALSE,"HK"}</definedName>
    <definedName name="sdsds" localSheetId="11" hidden="1">{"HK PR",#N/A,FALSE,"HK";"SUMMARY",#N/A,FALSE,"PAYROLL";"SUMMARY",#N/A,FALSE,"PAYROLL";"HK PR",#N/A,FALSE,"HK"}</definedName>
    <definedName name="sdsds" localSheetId="5" hidden="1">{"HK PR",#N/A,FALSE,"HK";"SUMMARY",#N/A,FALSE,"PAYROLL";"SUMMARY",#N/A,FALSE,"PAYROLL";"HK PR",#N/A,FALSE,"HK"}</definedName>
    <definedName name="sdsds" localSheetId="6" hidden="1">{"HK PR",#N/A,FALSE,"HK";"SUMMARY",#N/A,FALSE,"PAYROLL";"SUMMARY",#N/A,FALSE,"PAYROLL";"HK PR",#N/A,FALSE,"HK"}</definedName>
    <definedName name="sdsds" hidden="1">{"HK PR",#N/A,FALSE,"HK";"SUMMARY",#N/A,FALSE,"PAYROLL";"SUMMARY",#N/A,FALSE,"PAYROLL";"HK PR",#N/A,FALSE,"HK"}</definedName>
    <definedName name="sencount" hidden="1">1</definedName>
    <definedName name="sheet" localSheetId="11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sheet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SL" localSheetId="11" hidden="1">{"Profit",#N/A,FALSE,"Cisco4500";"Capital",#N/A,FALSE,"Cisco4500"}</definedName>
    <definedName name="SL" localSheetId="6" hidden="1">{"Profit",#N/A,FALSE,"Cisco4500";"Capital",#N/A,FALSE,"Cisco4500"}</definedName>
    <definedName name="SL" hidden="1">{"Profit",#N/A,FALSE,"Cisco4500";"Capital",#N/A,FALSE,"Cisco4500"}</definedName>
    <definedName name="solver_adj" localSheetId="6" hidden="1">#REF!</definedName>
    <definedName name="solver_adj" hidden="1">#REF!</definedName>
    <definedName name="solver_lhs1" localSheetId="6" hidden="1">#REF!</definedName>
    <definedName name="solver_lhs1" hidden="1">#REF!</definedName>
    <definedName name="solver_lin" hidden="1">0</definedName>
    <definedName name="solver_num" hidden="1">1</definedName>
    <definedName name="solver_opt" localSheetId="6" hidden="1">#REF!</definedName>
    <definedName name="solver_opt" hidden="1">#REF!</definedName>
    <definedName name="solver_rel1" hidden="1">1</definedName>
    <definedName name="solver_rhs1" hidden="1">0.15</definedName>
    <definedName name="solver_tmp" hidden="1">0.15</definedName>
    <definedName name="solver_typ" hidden="1">3</definedName>
    <definedName name="solver_val" hidden="1">0.25</definedName>
    <definedName name="SpecialPrice" localSheetId="5" hidden="1">#REF!</definedName>
    <definedName name="SpecialPrice" hidden="1">#REF!</definedName>
    <definedName name="srgsaergfsergaerg" localSheetId="11" hidden="1">{"month_a",#N/A,FALSE,"ACTUALS";"ytd_a",#N/A,FALSE,"ACTUALS"}</definedName>
    <definedName name="srgsaergfsergaerg" localSheetId="6" hidden="1">{"month_a",#N/A,FALSE,"ACTUALS";"ytd_a",#N/A,FALSE,"ACTUALS"}</definedName>
    <definedName name="srgsaergfsergaerg" hidden="1">{"month_a",#N/A,FALSE,"ACTUALS";"ytd_a",#N/A,FALSE,"ACTUALS"}</definedName>
    <definedName name="SS" localSheetId="11" hidden="1">{"'Sheet1'!$L$16"}</definedName>
    <definedName name="SS" localSheetId="5" hidden="1">{"'Sheet1'!$L$16"}</definedName>
    <definedName name="SS" localSheetId="6" hidden="1">{"'Sheet1'!$L$16"}</definedName>
    <definedName name="SS" hidden="1">{"'Sheet1'!$L$16"}</definedName>
    <definedName name="ssxsdcdsfcdsf" localSheetId="11" hidden="1">{"HK PR",#N/A,FALSE,"HK";"SUMMARY",#N/A,FALSE,"PAYROLL";"SUMMARY",#N/A,FALSE,"PAYROLL";"HK PR",#N/A,FALSE,"HK"}</definedName>
    <definedName name="ssxsdcdsfcdsf" localSheetId="5" hidden="1">{"HK PR",#N/A,FALSE,"HK";"SUMMARY",#N/A,FALSE,"PAYROLL";"SUMMARY",#N/A,FALSE,"PAYROLL";"HK PR",#N/A,FALSE,"HK"}</definedName>
    <definedName name="ssxsdcdsfcdsf" localSheetId="6" hidden="1">{"HK PR",#N/A,FALSE,"HK";"SUMMARY",#N/A,FALSE,"PAYROLL";"SUMMARY",#N/A,FALSE,"PAYROLL";"HK PR",#N/A,FALSE,"HK"}</definedName>
    <definedName name="ssxsdcdsfcdsf" hidden="1">{"HK PR",#N/A,FALSE,"HK";"SUMMARY",#N/A,FALSE,"PAYROLL";"SUMMARY",#N/A,FALSE,"PAYROLL";"HK PR",#N/A,FALSE,"HK"}</definedName>
    <definedName name="SuperUser" hidden="1">FALSE</definedName>
    <definedName name="t" localSheetId="11" hidden="1">{"F3 Presentation",#N/A,FALSE,"F3 ";"F3 detail",#N/A,FALSE,"F3 "}</definedName>
    <definedName name="t" localSheetId="6" hidden="1">{"F3 Presentation",#N/A,FALSE,"F3 ";"F3 detail",#N/A,FALSE,"F3 "}</definedName>
    <definedName name="t" hidden="1">{"F3 Presentation",#N/A,FALSE,"F3 ";"F3 detail",#N/A,FALSE,"F3 "}</definedName>
    <definedName name="taisan" localSheetId="11" hidden="1">{"'Sheet1'!$L$16"}</definedName>
    <definedName name="taisan" localSheetId="6" hidden="1">{"'Sheet1'!$L$16"}</definedName>
    <definedName name="taisan" hidden="1">{"'Sheet1'!$L$16"}</definedName>
    <definedName name="Tan" localSheetId="11" hidden="1">{"'Sheet1'!$L$16"}</definedName>
    <definedName name="Tan" localSheetId="5" hidden="1">{"'Sheet1'!$L$16"}</definedName>
    <definedName name="Tan" localSheetId="6" hidden="1">{"'Sheet1'!$L$16"}</definedName>
    <definedName name="Tan" hidden="1">{"'Sheet1'!$L$16"}</definedName>
    <definedName name="tbl_ProdInfo" localSheetId="5" hidden="1">#REF!</definedName>
    <definedName name="tbl_ProdInfo" hidden="1">#REF!</definedName>
    <definedName name="TH" localSheetId="11" hidden="1">{"'Sheet1'!$L$16"}</definedName>
    <definedName name="TH" localSheetId="6" hidden="1">{"'Sheet1'!$L$16"}</definedName>
    <definedName name="TH" hidden="1">{"'Sheet1'!$L$16"}</definedName>
    <definedName name="tha" localSheetId="11" hidden="1">{"'Sheet1'!$L$16"}</definedName>
    <definedName name="tha" localSheetId="6" hidden="1">{"'Sheet1'!$L$16"}</definedName>
    <definedName name="tha" hidden="1">{"'Sheet1'!$L$16"}</definedName>
    <definedName name="thanh" localSheetId="11" hidden="1">{"'Sheet1'!$L$16"}</definedName>
    <definedName name="thanh" localSheetId="6" hidden="1">{"'Sheet1'!$L$16"}</definedName>
    <definedName name="thanh" hidden="1">{"'Sheet1'!$L$16"}</definedName>
    <definedName name="thanhthao" localSheetId="11" hidden="1">{#N/A,#N/A,FALSE,"Chi tiÆt"}</definedName>
    <definedName name="thanhthao" localSheetId="6" hidden="1">{#N/A,#N/A,FALSE,"Chi tiÆt"}</definedName>
    <definedName name="thanhthao" hidden="1">{#N/A,#N/A,FALSE,"Chi tiÆt"}</definedName>
    <definedName name="THCP2" localSheetId="11" hidden="1">{"'Sheet1'!$L$16"}</definedName>
    <definedName name="THCP2" localSheetId="5" hidden="1">{"'Sheet1'!$L$16"}</definedName>
    <definedName name="THCP2" localSheetId="6" hidden="1">{"'Sheet1'!$L$16"}</definedName>
    <definedName name="THCP2" hidden="1">{"'Sheet1'!$L$16"}</definedName>
    <definedName name="THCPCTD" localSheetId="11" hidden="1">{"'Sheet1'!$L$16"}</definedName>
    <definedName name="THCPCTD" localSheetId="5" hidden="1">{"'Sheet1'!$L$16"}</definedName>
    <definedName name="THCPCTD" localSheetId="6" hidden="1">{"'Sheet1'!$L$16"}</definedName>
    <definedName name="THCPCTD" hidden="1">{"'Sheet1'!$L$16"}</definedName>
    <definedName name="Thepsan" localSheetId="11" hidden="1">{"'Sheet1'!$L$16"}</definedName>
    <definedName name="Thepsan" localSheetId="6" hidden="1">{"'Sheet1'!$L$16"}</definedName>
    <definedName name="Thepsan" hidden="1">{"'Sheet1'!$L$16"}</definedName>
    <definedName name="thepsan2" localSheetId="11" hidden="1">{"'Sheet1'!$L$16"}</definedName>
    <definedName name="thepsan2" localSheetId="6" hidden="1">{"'Sheet1'!$L$16"}</definedName>
    <definedName name="thepsan2" hidden="1">{"'Sheet1'!$L$16"}</definedName>
    <definedName name="thu" localSheetId="11" hidden="1">{"'Sheet1'!$L$16"}</definedName>
    <definedName name="thu" localSheetId="5" hidden="1">{"'Sheet1'!$L$16"}</definedName>
    <definedName name="thu" localSheetId="6" hidden="1">{"'Sheet1'!$L$16"}</definedName>
    <definedName name="thu" hidden="1">{"'Sheet1'!$L$16"}</definedName>
    <definedName name="TM" localSheetId="11" hidden="1">{"'Sheet1'!$L$16"}</definedName>
    <definedName name="TM" localSheetId="6" hidden="1">{"'Sheet1'!$L$16"}</definedName>
    <definedName name="TM" hidden="1">{"'Sheet1'!$L$16"}</definedName>
    <definedName name="Tonghop" localSheetId="11" hidden="1">{"'Sheet1'!$L$16"}</definedName>
    <definedName name="Tonghop" localSheetId="5" hidden="1">{"'Sheet1'!$L$16"}</definedName>
    <definedName name="Tonghop" localSheetId="6" hidden="1">{"'Sheet1'!$L$16"}</definedName>
    <definedName name="Tonghop" hidden="1">{"'Sheet1'!$L$16"}</definedName>
    <definedName name="trygmdgdh" localSheetId="11" hidden="1">{"'Sheet1'!$L$16"}</definedName>
    <definedName name="trygmdgdh" localSheetId="6" hidden="1">{"'Sheet1'!$L$16"}</definedName>
    <definedName name="trygmdgdh" hidden="1">{"'Sheet1'!$L$16"}</definedName>
    <definedName name="TTSC" localSheetId="11" hidden="1">{"'Sheet1'!$L$16"}</definedName>
    <definedName name="TTSC" localSheetId="5" hidden="1">{"'Sheet1'!$L$16"}</definedName>
    <definedName name="TTSC" localSheetId="6" hidden="1">{"'Sheet1'!$L$16"}</definedName>
    <definedName name="TTSC" hidden="1">{"'Sheet1'!$L$16"}</definedName>
    <definedName name="ttt" localSheetId="11" hidden="1">{"Teacher",#N/A,FALSE,"Summary";"Teacher",#N/A,FALSE,"Assumptions";"Teacher",#N/A,FALSE,"Buildup";"Teacher",#N/A,FALSE,"Financials";"Teacher",#N/A,FALSE,"Debt &amp; Other"}</definedName>
    <definedName name="ttt" localSheetId="5" hidden="1">{"Teacher",#N/A,FALSE,"Summary";"Teacher",#N/A,FALSE,"Assumptions";"Teacher",#N/A,FALSE,"Buildup";"Teacher",#N/A,FALSE,"Financials";"Teacher",#N/A,FALSE,"Debt &amp; Other"}</definedName>
    <definedName name="ttt" localSheetId="6" hidden="1">{"Teacher",#N/A,FALSE,"Summary";"Teacher",#N/A,FALSE,"Assumptions";"Teacher",#N/A,FALSE,"Buildup";"Teacher",#N/A,FALSE,"Financials";"Teacher",#N/A,FALSE,"Debt &amp; Other"}</definedName>
    <definedName name="ttt" hidden="1">{"Teacher",#N/A,FALSE,"Summary";"Teacher",#N/A,FALSE,"Assumptions";"Teacher",#N/A,FALSE,"Buildup";"Teacher",#N/A,FALSE,"Financials";"Teacher",#N/A,FALSE,"Debt &amp; Other"}</definedName>
    <definedName name="tttt" localSheetId="5" hidden="1">#REF!</definedName>
    <definedName name="tttt" hidden="1">#REF!</definedName>
    <definedName name="ttttt" localSheetId="11" hidden="1">{"Reader",#N/A,FALSE,"Summary";"Reader",#N/A,FALSE,"Buildup";"Reader",#N/A,FALSE,"Financials";"Reader",#N/A,FALSE,"Debt &amp; Other"}</definedName>
    <definedName name="ttttt" localSheetId="5" hidden="1">{"Reader",#N/A,FALSE,"Summary";"Reader",#N/A,FALSE,"Buildup";"Reader",#N/A,FALSE,"Financials";"Reader",#N/A,FALSE,"Debt &amp; Other"}</definedName>
    <definedName name="ttttt" localSheetId="6" hidden="1">{"Reader",#N/A,FALSE,"Summary";"Reader",#N/A,FALSE,"Buildup";"Reader",#N/A,FALSE,"Financials";"Reader",#N/A,FALSE,"Debt &amp; Other"}</definedName>
    <definedName name="ttttt" hidden="1">{"Reader",#N/A,FALSE,"Summary";"Reader",#N/A,FALSE,"Buildup";"Reader",#N/A,FALSE,"Financials";"Reader",#N/A,FALSE,"Debt &amp; Other"}</definedName>
    <definedName name="tuy" localSheetId="11" hidden="1">{"'Sheet1'!$L$16"}</definedName>
    <definedName name="tuy" localSheetId="5" hidden="1">{"'Sheet1'!$L$16"}</definedName>
    <definedName name="tuy" localSheetId="6" hidden="1">{"'Sheet1'!$L$16"}</definedName>
    <definedName name="tuy" hidden="1">{"'Sheet1'!$L$16"}</definedName>
    <definedName name="ty" hidden="1">#REF!</definedName>
    <definedName name="Types" localSheetId="5" hidden="1">#REF!</definedName>
    <definedName name="Types" hidden="1">#REF!</definedName>
    <definedName name="u" localSheetId="11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u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UGVG" localSheetId="11" hidden="1">{#N/A,#N/A,TRUE,"BT M200 da 10x20"}</definedName>
    <definedName name="UGVG" localSheetId="6" hidden="1">{#N/A,#N/A,TRUE,"BT M200 da 10x20"}</definedName>
    <definedName name="UGVG" hidden="1">{#N/A,#N/A,TRUE,"BT M200 da 10x20"}</definedName>
    <definedName name="vvv" localSheetId="11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vvv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w" localSheetId="11" hidden="1">{"PRINT_EST",#N/A,FALSE,"ESTMON"}</definedName>
    <definedName name="w" hidden="1">{"PRINT_EST",#N/A,FALSE,"ESTMON"}</definedName>
    <definedName name="wf" localSheetId="6" hidden="1">#REF!</definedName>
    <definedName name="wf" hidden="1">#REF!</definedName>
    <definedName name="wrn" localSheetId="11" hidden="1">{"lev2ytd",#N/A,FALSE,"2_LEVYTD"}</definedName>
    <definedName name="wrn" hidden="1">{"lev2ytd",#N/A,FALSE,"2_LEVYTD"}</definedName>
    <definedName name="wrn.1_lev." localSheetId="11" hidden="1">{"level1",#N/A,FALSE,"1_LEV";"LEVEL1",#N/A,FALSE,"1_LEV"}</definedName>
    <definedName name="wrn.1_lev." hidden="1">{"level1",#N/A,FALSE,"1_LEV";"LEVEL1",#N/A,FALSE,"1_LEV"}</definedName>
    <definedName name="wrn.1_levbt." localSheetId="11" hidden="1">{"lev1bt",#N/A,FALSE,"1_LEVB-T"}</definedName>
    <definedName name="wrn.1_levbt." hidden="1">{"lev1bt",#N/A,FALSE,"1_LEVB-T"}</definedName>
    <definedName name="wrn.2_levmon." localSheetId="11" hidden="1">{"lev2mon",#N/A,FALSE,"2_levmon"}</definedName>
    <definedName name="wrn.2_levmon." hidden="1">{"lev2mon",#N/A,FALSE,"2_levmon"}</definedName>
    <definedName name="wrn.2_levmonbt." localSheetId="11" hidden="1">{"lev2monbt",#N/A,FALSE,"2_levmonB-T"}</definedName>
    <definedName name="wrn.2_levmonbt." hidden="1">{"lev2monbt",#N/A,FALSE,"2_levmonB-T"}</definedName>
    <definedName name="wrn.2_levytd." localSheetId="11" hidden="1">{"lev2ytd",#N/A,FALSE,"2_LEVYTD"}</definedName>
    <definedName name="wrn.2_levytd." hidden="1">{"lev2ytd",#N/A,FALSE,"2_LEVYTD"}</definedName>
    <definedName name="wrn.2_levytdbt." localSheetId="11" hidden="1">{"lev2tytbt",#N/A,FALSE,"2_LEVYTDB-T"}</definedName>
    <definedName name="wrn.2_levytdbt." hidden="1">{"lev2tytbt",#N/A,FALSE,"2_LEVYTDB-T"}</definedName>
    <definedName name="wrn.448k." localSheetId="11" hidden="1">{"Profit",#N/A,FALSE,"448k";"Capital",#N/A,FALSE,"448k"}</definedName>
    <definedName name="wrn.448k." localSheetId="6" hidden="1">{"Profit",#N/A,FALSE,"448k";"Capital",#N/A,FALSE,"448k"}</definedName>
    <definedName name="wrn.448k." hidden="1">{"Profit",#N/A,FALSE,"448k";"Capital",#N/A,FALSE,"448k"}</definedName>
    <definedName name="wrn.4500_4P." localSheetId="11" hidden="1">{"Profit",#N/A,FALSE,"4500(4P)";"Capital",#N/A,FALSE,"4500(4P)"}</definedName>
    <definedName name="wrn.4500_4P." localSheetId="6" hidden="1">{"Profit",#N/A,FALSE,"4500(4P)";"Capital",#N/A,FALSE,"4500(4P)"}</definedName>
    <definedName name="wrn.4500_4P." hidden="1">{"Profit",#N/A,FALSE,"4500(4P)";"Capital",#N/A,FALSE,"4500(4P)"}</definedName>
    <definedName name="wrn.4500_6P." localSheetId="11" hidden="1">{"Profit",#N/A,FALSE,"4500(6P)";"Capital",#N/A,FALSE,"4500(6P)"}</definedName>
    <definedName name="wrn.4500_6P." localSheetId="6" hidden="1">{"Profit",#N/A,FALSE,"4500(6P)";"Capital",#N/A,FALSE,"4500(6P)"}</definedName>
    <definedName name="wrn.4500_6P." hidden="1">{"Profit",#N/A,FALSE,"4500(6P)";"Capital",#N/A,FALSE,"4500(6P)"}</definedName>
    <definedName name="wrn.4500_8P." localSheetId="11" hidden="1">{"Profit",#N/A,FALSE,"4500(8P)";"Capital",#N/A,FALSE,"4500(8P)"}</definedName>
    <definedName name="wrn.4500_8P." localSheetId="6" hidden="1">{"Profit",#N/A,FALSE,"4500(8P)";"Capital",#N/A,FALSE,"4500(8P)"}</definedName>
    <definedName name="wrn.4500_8P." hidden="1">{"Profit",#N/A,FALSE,"4500(8P)";"Capital",#N/A,FALSE,"4500(8P)"}</definedName>
    <definedName name="wrn.ACCRUE._.PAYROLL." localSheetId="11" hidden="1">{"HK PR",#N/A,FALSE,"HK";"SUMMARY",#N/A,FALSE,"PAYROLL";"SUMMARY",#N/A,FALSE,"PAYROLL";"HK PR",#N/A,FALSE,"HK"}</definedName>
    <definedName name="wrn.ACCRUE._.PAYROLL." localSheetId="5" hidden="1">{"HK PR",#N/A,FALSE,"HK";"SUMMARY",#N/A,FALSE,"PAYROLL";"SUMMARY",#N/A,FALSE,"PAYROLL";"HK PR",#N/A,FALSE,"HK"}</definedName>
    <definedName name="wrn.ACCRUE._.PAYROLL." localSheetId="6" hidden="1">{"HK PR",#N/A,FALSE,"HK";"SUMMARY",#N/A,FALSE,"PAYROLL";"SUMMARY",#N/A,FALSE,"PAYROLL";"HK PR",#N/A,FALSE,"HK"}</definedName>
    <definedName name="wrn.ACCRUE._.PAYROLL." hidden="1">{"HK PR",#N/A,FALSE,"HK";"SUMMARY",#N/A,FALSE,"PAYROLL";"SUMMARY",#N/A,FALSE,"PAYROLL";"HK PR",#N/A,FALSE,"HK"}</definedName>
    <definedName name="wrn.Acquisition_matrix." localSheetId="11" hidden="1">{"Acq_matrix",#N/A,FALSE,"Acquisition Matrix"}</definedName>
    <definedName name="wrn.Acquisition_matrix." localSheetId="5" hidden="1">{"Acq_matrix",#N/A,FALSE,"Acquisition Matrix"}</definedName>
    <definedName name="wrn.Acquisition_matrix." localSheetId="6" hidden="1">{"Acq_matrix",#N/A,FALSE,"Acquisition Matrix"}</definedName>
    <definedName name="wrn.Acquisition_matrix." hidden="1">{"Acq_matrix",#N/A,FALSE,"Acquisition Matrix"}</definedName>
    <definedName name="wrn.adj95." localSheetId="11" hidden="1">{"adj95mult",#N/A,FALSE,"COMPCO";"adj95est",#N/A,FALSE,"COMPCO"}</definedName>
    <definedName name="wrn.adj95." localSheetId="5" hidden="1">{"adj95mult",#N/A,FALSE,"COMPCO";"adj95est",#N/A,FALSE,"COMPCO"}</definedName>
    <definedName name="wrn.adj95." localSheetId="6" hidden="1">{"adj95mult",#N/A,FALSE,"COMPCO";"adj95est",#N/A,FALSE,"COMPCO"}</definedName>
    <definedName name="wrn.adj95." hidden="1">{"adj95mult",#N/A,FALSE,"COMPCO";"adj95est",#N/A,FALSE,"COMPCO"}</definedName>
    <definedName name="wrn.ALL." localSheetId="11" hidden="1">{"WHOLE",#N/A,FALSE,"Roll-Up";"DCF",#N/A,FALSE,"SLC ";"DCF",#N/A,FALSE,"El Paso";"DCF",#N/A,FALSE,"Phoenix";"DCF",#N/A,FALSE,"Boise";"DCF",#N/A,FALSE,"Albuquerque";"DCF",#N/A,FALSE,"SLC -- Peter and Idaho Falls";"DCF",#N/A,FALSE,"Great Way";"DCF",#N/A,FALSE,"Great Way-Leavitt Ins.";"DCF",#N/A,FALSE,"Sapp Brothers"}</definedName>
    <definedName name="wrn.ALL." localSheetId="5" hidden="1">{"WHOLE",#N/A,FALSE,"Roll-Up";"DCF",#N/A,FALSE,"SLC ";"DCF",#N/A,FALSE,"El Paso";"DCF",#N/A,FALSE,"Phoenix";"DCF",#N/A,FALSE,"Boise";"DCF",#N/A,FALSE,"Albuquerque";"DCF",#N/A,FALSE,"SLC -- Peter and Idaho Falls";"DCF",#N/A,FALSE,"Great Way";"DCF",#N/A,FALSE,"Great Way-Leavitt Ins.";"DCF",#N/A,FALSE,"Sapp Brothers"}</definedName>
    <definedName name="wrn.ALL." localSheetId="6" hidden="1">{"WHOLE",#N/A,FALSE,"Roll-Up";"DCF",#N/A,FALSE,"SLC ";"DCF",#N/A,FALSE,"El Paso";"DCF",#N/A,FALSE,"Phoenix";"DCF",#N/A,FALSE,"Boise";"DCF",#N/A,FALSE,"Albuquerque";"DCF",#N/A,FALSE,"SLC -- Peter and Idaho Falls";"DCF",#N/A,FALSE,"Great Way";"DCF",#N/A,FALSE,"Great Way-Leavitt Ins.";"DCF",#N/A,FALSE,"Sapp Brothers"}</definedName>
    <definedName name="wrn.ALL." hidden="1">{"WHOLE",#N/A,FALSE,"Roll-Up";"DCF",#N/A,FALSE,"SLC ";"DCF",#N/A,FALSE,"El Paso";"DCF",#N/A,FALSE,"Phoenix";"DCF",#N/A,FALSE,"Boise";"DCF",#N/A,FALSE,"Albuquerque";"DCF",#N/A,FALSE,"SLC -- Peter and Idaho Falls";"DCF",#N/A,FALSE,"Great Way";"DCF",#N/A,FALSE,"Great Way-Leavitt Ins.";"DCF",#N/A,FALSE,"Sapp Brothers"}</definedName>
    <definedName name="wrn.all._.print." localSheetId="11" hidden="1">{#N/A,#N/A,FALSE,"Summary";#N/A,#N/A,FALSE,"Edit";#N/A,#N/A,FALSE,"MedProf";#N/A,#N/A,FALSE,"Proj Mgt";#N/A,#N/A,FALSE,"Creat Svc";#N/A,#N/A,FALSE,"Meet Svc";#N/A,#N/A,FALSE,"Non-OCC";#N/A,#N/A,FALSE,"Client Svc";#N/A,#N/A,FALSE,"Bus Dev";#N/A,#N/A,FALSE,"Indirect"}</definedName>
    <definedName name="wrn.all._.print." localSheetId="5" hidden="1">{#N/A,#N/A,FALSE,"Summary";#N/A,#N/A,FALSE,"Edit";#N/A,#N/A,FALSE,"MedProf";#N/A,#N/A,FALSE,"Proj Mgt";#N/A,#N/A,FALSE,"Creat Svc";#N/A,#N/A,FALSE,"Meet Svc";#N/A,#N/A,FALSE,"Non-OCC";#N/A,#N/A,FALSE,"Client Svc";#N/A,#N/A,FALSE,"Bus Dev";#N/A,#N/A,FALSE,"Indirect"}</definedName>
    <definedName name="wrn.all._.print." localSheetId="6" hidden="1">{#N/A,#N/A,FALSE,"Summary";#N/A,#N/A,FALSE,"Edit";#N/A,#N/A,FALSE,"MedProf";#N/A,#N/A,FALSE,"Proj Mgt";#N/A,#N/A,FALSE,"Creat Svc";#N/A,#N/A,FALSE,"Meet Svc";#N/A,#N/A,FALSE,"Non-OCC";#N/A,#N/A,FALSE,"Client Svc";#N/A,#N/A,FALSE,"Bus Dev";#N/A,#N/A,FALSE,"Indirect"}</definedName>
    <definedName name="wrn.all._.print." hidden="1">{#N/A,#N/A,FALSE,"Summary";#N/A,#N/A,FALSE,"Edit";#N/A,#N/A,FALSE,"MedProf";#N/A,#N/A,FALSE,"Proj Mgt";#N/A,#N/A,FALSE,"Creat Svc";#N/A,#N/A,FALSE,"Meet Svc";#N/A,#N/A,FALSE,"Non-OCC";#N/A,#N/A,FALSE,"Client Svc";#N/A,#N/A,FALSE,"Bus Dev";#N/A,#N/A,FALSE,"Indirect"}</definedName>
    <definedName name="wrn.AQUIROR._.DCF." localSheetId="11" hidden="1">{"AQUIRORDCF",#N/A,FALSE,"Merger consequences";"Acquirorassns",#N/A,FALSE,"Merger consequences"}</definedName>
    <definedName name="wrn.AQUIROR._.DCF." localSheetId="5" hidden="1">{"AQUIRORDCF",#N/A,FALSE,"Merger consequences";"Acquirorassns",#N/A,FALSE,"Merger consequences"}</definedName>
    <definedName name="wrn.AQUIROR._.DCF." localSheetId="6" hidden="1">{"AQUIRORDCF",#N/A,FALSE,"Merger consequences";"Acquirorassns",#N/A,FALSE,"Merger consequences"}</definedName>
    <definedName name="wrn.AQUIROR._.DCF." hidden="1">{"AQUIRORDCF",#N/A,FALSE,"Merger consequences";"Acquirorassns",#N/A,FALSE,"Merger consequences"}</definedName>
    <definedName name="wrn.ASSDEPART2." localSheetId="11" hidden="1">{"ASSP5CC",#N/A,FALSE,"PM5CC_95";"ASS5DB",#N/A,FALSE,"PM5DB_95";"ASSP5WB",#N/A,FALSE,"PM5WB_95";"ASSP5WTK",#N/A,FALSE,"PM5WTK_9";"ASSP6B1",#N/A,FALSE,"PM6B1_95";"ASSP6OT",#N/A,FALSE,"PM6OT_95";"ASSP6EM",#N/A,FALSE,"PM6BEM_9";"ASSP6AC",#N/A,FALSE,"PM6BAC_9";"ASSC1AC",#N/A,FALSE,"C1AC_95";"ASSC11CA",#N/A,FALSE,"C11CA_95";"ASSC1EM",#N/A,FALSE,"C1EM_95"}</definedName>
    <definedName name="wrn.ASSDEPART2." hidden="1">{"ASSP5CC",#N/A,FALSE,"PM5CC_95";"ASS5DB",#N/A,FALSE,"PM5DB_95";"ASSP5WB",#N/A,FALSE,"PM5WB_95";"ASSP5WTK",#N/A,FALSE,"PM5WTK_9";"ASSP6B1",#N/A,FALSE,"PM6B1_95";"ASSP6OT",#N/A,FALSE,"PM6OT_95";"ASSP6EM",#N/A,FALSE,"PM6BEM_9";"ASSP6AC",#N/A,FALSE,"PM6BAC_9";"ASSC1AC",#N/A,FALSE,"C1AC_95";"ASSC11CA",#N/A,FALSE,"C11CA_95";"ASSC1EM",#N/A,FALSE,"C1EM_95"}</definedName>
    <definedName name="wrn.BALANCE." localSheetId="11" hidden="1">{"balance",#N/A,FALSE,"BALANCE"}</definedName>
    <definedName name="wrn.BALANCE." hidden="1">{"balance",#N/A,FALSE,"BALANCE"}</definedName>
    <definedName name="wrn.BAOCAO." localSheetId="11" hidden="1">{#N/A,#N/A,FALSE,"sum";#N/A,#N/A,FALSE,"MARTV";#N/A,#N/A,FALSE,"APRTV"}</definedName>
    <definedName name="wrn.BAOCAO." localSheetId="6" hidden="1">{#N/A,#N/A,FALSE,"sum";#N/A,#N/A,FALSE,"MARTV";#N/A,#N/A,FALSE,"APRTV"}</definedName>
    <definedName name="wrn.BAOCAO." hidden="1">{#N/A,#N/A,FALSE,"sum";#N/A,#N/A,FALSE,"MARTV";#N/A,#N/A,FALSE,"APRTV"}</definedName>
    <definedName name="wrn.BidReview." localSheetId="11" hidden="1">{#N/A,#N/A,FALSE,"Assumptions";"finsumm",#N/A,FALSE,"Finsumm";"FBGroup",#N/A,FALSE,"FB - BT Group";"FBSync",#N/A,FALSE,"FB - Syncordia Total ";"PLCustom",#N/A,FALSE,"P&amp;L summary";"PriSumm",#N/A,FALSE,"Price Summary";"HoursPay",#N/A,FALSE,"pay_non pay input";"ResourceNonPay",#N/A,FALSE,"pay_non pay input";"CapitalInput",#N/A,FALSE,"Equipt Input";"CurrEqptInput",#N/A,FALSE,"Equipt Input";"TotMtce",#N/A,FALSE,"Equipt Input";"TPNwks",#N/A,FALSE,"Nwks Input";"BTNwks",#N/A,FALSE,"Nwks Input";"Miscellaneous",#N/A,FALSE,"Misc."}</definedName>
    <definedName name="wrn.BidReview." localSheetId="6" hidden="1">{#N/A,#N/A,FALSE,"Assumptions";"finsumm",#N/A,FALSE,"Finsumm";"FBGroup",#N/A,FALSE,"FB - BT Group";"FBSync",#N/A,FALSE,"FB - Syncordia Total ";"PLCustom",#N/A,FALSE,"P&amp;L summary";"PriSumm",#N/A,FALSE,"Price Summary";"HoursPay",#N/A,FALSE,"pay_non pay input";"ResourceNonPay",#N/A,FALSE,"pay_non pay input";"CapitalInput",#N/A,FALSE,"Equipt Input";"CurrEqptInput",#N/A,FALSE,"Equipt Input";"TotMtce",#N/A,FALSE,"Equipt Input";"TPNwks",#N/A,FALSE,"Nwks Input";"BTNwks",#N/A,FALSE,"Nwks Input";"Miscellaneous",#N/A,FALSE,"Misc."}</definedName>
    <definedName name="wrn.BidReview." hidden="1">{#N/A,#N/A,FALSE,"Assumptions";"finsumm",#N/A,FALSE,"Finsumm";"FBGroup",#N/A,FALSE,"FB - BT Group";"FBSync",#N/A,FALSE,"FB - Syncordia Total ";"PLCustom",#N/A,FALSE,"P&amp;L summary";"PriSumm",#N/A,FALSE,"Price Summary";"HoursPay",#N/A,FALSE,"pay_non pay input";"ResourceNonPay",#N/A,FALSE,"pay_non pay input";"CapitalInput",#N/A,FALSE,"Equipt Input";"CurrEqptInput",#N/A,FALSE,"Equipt Input";"TotMtce",#N/A,FALSE,"Equipt Input";"TPNwks",#N/A,FALSE,"Nwks Input";"BTNwks",#N/A,FALSE,"Nwks Input";"Miscellaneous",#N/A,FALSE,"Misc."}</definedName>
    <definedName name="wrn.Capital." localSheetId="11" hidden="1">{"CapitalInput",#N/A,FALSE,"Equipt Input";"Capital Profile",#N/A,FALSE,"Equipt Input"}</definedName>
    <definedName name="wrn.Capital." localSheetId="6" hidden="1">{"CapitalInput",#N/A,FALSE,"Equipt Input";"Capital Profile",#N/A,FALSE,"Equipt Input"}</definedName>
    <definedName name="wrn.Capital." hidden="1">{"CapitalInput",#N/A,FALSE,"Equipt Input";"Capital Profile",#N/A,FALSE,"Equipt Input"}</definedName>
    <definedName name="wrn.cashflow." localSheetId="11" hidden="1">{"cashflow",#N/A,FALSE,"CASHFLOW "}</definedName>
    <definedName name="wrn.cashflow." hidden="1">{"cashflow",#N/A,FALSE,"CASHFLOW "}</definedName>
    <definedName name="wrn.chi._.tiÆt." localSheetId="11" hidden="1">{#N/A,#N/A,FALSE,"Chi tiÆt"}</definedName>
    <definedName name="wrn.chi._.tiÆt." localSheetId="5" hidden="1">{#N/A,#N/A,FALSE,"Chi tiÆt"}</definedName>
    <definedName name="wrn.chi._.tiÆt." localSheetId="6" hidden="1">{#N/A,#N/A,FALSE,"Chi tiÆt"}</definedName>
    <definedName name="wrn.chi._.tiÆt." hidden="1">{#N/A,#N/A,FALSE,"Chi tiÆt"}</definedName>
    <definedName name="wrn.cisco2501." localSheetId="11" hidden="1">{"Profit",#N/A,FALSE,"cisco2501";"Capital",#N/A,FALSE,"cisco2501"}</definedName>
    <definedName name="wrn.cisco2501." localSheetId="6" hidden="1">{"Profit",#N/A,FALSE,"cisco2501";"Capital",#N/A,FALSE,"cisco2501"}</definedName>
    <definedName name="wrn.cisco2501." hidden="1">{"Profit",#N/A,FALSE,"cisco2501";"Capital",#N/A,FALSE,"cisco2501"}</definedName>
    <definedName name="wrn.cisco2501a." localSheetId="11" hidden="1">{"Profit",#N/A,FALSE,"Cisco2501a";"Capital",#N/A,FALSE,"Cisco2501a"}</definedName>
    <definedName name="wrn.cisco2501a." localSheetId="6" hidden="1">{"Profit",#N/A,FALSE,"Cisco2501a";"Capital",#N/A,FALSE,"Cisco2501a"}</definedName>
    <definedName name="wrn.cisco2501a." hidden="1">{"Profit",#N/A,FALSE,"Cisco2501a";"Capital",#N/A,FALSE,"Cisco2501a"}</definedName>
    <definedName name="wrn.cisco2514." localSheetId="11" hidden="1">{"Profit",#N/A,FALSE,"Cisco2514";"Capital",#N/A,FALSE,"Cisco2514"}</definedName>
    <definedName name="wrn.cisco2514." localSheetId="6" hidden="1">{"Profit",#N/A,FALSE,"Cisco2514";"Capital",#N/A,FALSE,"Cisco2514"}</definedName>
    <definedName name="wrn.cisco2514." hidden="1">{"Profit",#N/A,FALSE,"Cisco2514";"Capital",#N/A,FALSE,"Cisco2514"}</definedName>
    <definedName name="wrn.cisco4000." localSheetId="11" hidden="1">{"Profit",#N/A,FALSE,"4500(12)";"Capital",#N/A,FALSE,"4500(12)";"Profit",#N/A,FALSE,"Cisco4000";"Capital",#N/A,FALSE,"Cisco4000"}</definedName>
    <definedName name="wrn.cisco4000." localSheetId="6" hidden="1">{"Profit",#N/A,FALSE,"4500(12)";"Capital",#N/A,FALSE,"4500(12)";"Profit",#N/A,FALSE,"Cisco4000";"Capital",#N/A,FALSE,"Cisco4000"}</definedName>
    <definedName name="wrn.cisco4000." hidden="1">{"Profit",#N/A,FALSE,"4500(12)";"Capital",#N/A,FALSE,"4500(12)";"Profit",#N/A,FALSE,"Cisco4000";"Capital",#N/A,FALSE,"Cisco4000"}</definedName>
    <definedName name="wrn.cisco4500." localSheetId="11" hidden="1">{"Profit",#N/A,FALSE,"Cisco4500";"Capital",#N/A,FALSE,"Cisco4500"}</definedName>
    <definedName name="wrn.cisco4500." localSheetId="6" hidden="1">{"Profit",#N/A,FALSE,"Cisco4500";"Capital",#N/A,FALSE,"Cisco4500"}</definedName>
    <definedName name="wrn.cisco4500." hidden="1">{"Profit",#N/A,FALSE,"Cisco4500";"Capital",#N/A,FALSE,"Cisco4500"}</definedName>
    <definedName name="wrn.Cisco4500p." localSheetId="11" hidden="1">{"Profit",#N/A,FALSE,"Cisco 4500p";"Capital",#N/A,FALSE,"Cisco 4500p"}</definedName>
    <definedName name="wrn.Cisco4500p." localSheetId="6" hidden="1">{"Profit",#N/A,FALSE,"Cisco 4500p";"Capital",#N/A,FALSE,"Cisco 4500p"}</definedName>
    <definedName name="wrn.Cisco4500p." hidden="1">{"Profit",#N/A,FALSE,"Cisco 4500p";"Capital",#N/A,FALSE,"Cisco 4500p"}</definedName>
    <definedName name="wrn.cisco7000a." localSheetId="11" hidden="1">{"Profit",#N/A,FALSE,"Cisco7000a";"Capital",#N/A,FALSE,"Cisco7000a"}</definedName>
    <definedName name="wrn.cisco7000a." localSheetId="6" hidden="1">{"Profit",#N/A,FALSE,"Cisco7000a";"Capital",#N/A,FALSE,"Cisco7000a"}</definedName>
    <definedName name="wrn.cisco7000a." hidden="1">{"Profit",#N/A,FALSE,"Cisco7000a";"Capital",#N/A,FALSE,"Cisco7000a"}</definedName>
    <definedName name="wrn.CiscoAGS." localSheetId="11" hidden="1">{"Profit",#N/A,FALSE,"ciscoags+";"Capital",#N/A,FALSE,"ciscoags+"}</definedName>
    <definedName name="wrn.CiscoAGS." localSheetId="6" hidden="1">{"Profit",#N/A,FALSE,"ciscoags+";"Capital",#N/A,FALSE,"ciscoags+"}</definedName>
    <definedName name="wrn.CiscoAGS." hidden="1">{"Profit",#N/A,FALSE,"ciscoags+";"Capital",#N/A,FALSE,"ciscoags+"}</definedName>
    <definedName name="wrn.compco." localSheetId="11" hidden="1">{"mult96",#N/A,FALSE,"PETCOMP";"est96",#N/A,FALSE,"PETCOMP";"mult95",#N/A,FALSE,"PETCOMP";"est95",#N/A,FALSE,"PETCOMP";"multltm",#N/A,FALSE,"PETCOMP";"resultltm",#N/A,FALSE,"PETCOMP"}</definedName>
    <definedName name="wrn.compco." localSheetId="5" hidden="1">{"mult96",#N/A,FALSE,"PETCOMP";"est96",#N/A,FALSE,"PETCOMP";"mult95",#N/A,FALSE,"PETCOMP";"est95",#N/A,FALSE,"PETCOMP";"multltm",#N/A,FALSE,"PETCOMP";"resultltm",#N/A,FALSE,"PETCOMP"}</definedName>
    <definedName name="wrn.compco." localSheetId="6" hidden="1">{"mult96",#N/A,FALSE,"PETCOMP";"est96",#N/A,FALSE,"PETCOMP";"mult95",#N/A,FALSE,"PETCOMP";"est95",#N/A,FALSE,"PETCOMP";"multltm",#N/A,FALSE,"PETCOMP";"resultltm",#N/A,FALSE,"PETCOMP"}</definedName>
    <definedName name="wrn.compco." hidden="1">{"mult96",#N/A,FALSE,"PETCOMP";"est96",#N/A,FALSE,"PETCOMP";"mult95",#N/A,FALSE,"PETCOMP";"est95",#N/A,FALSE,"PETCOMP";"multltm",#N/A,FALSE,"PETCOMP";"resultltm",#N/A,FALSE,"PETCOMP"}</definedName>
    <definedName name="wrn.CustomPrice." localSheetId="11" hidden="1">{"PLCustom",#N/A,FALSE,"P&amp;L summary"}</definedName>
    <definedName name="wrn.CustomPrice." localSheetId="6" hidden="1">{"PLCustom",#N/A,FALSE,"P&amp;L summary"}</definedName>
    <definedName name="wrn.CustomPrice." hidden="1">{"PLCustom",#N/A,FALSE,"P&amp;L summary"}</definedName>
    <definedName name="wrn.DCF." localSheetId="11" hidden="1">{"DCF1",#N/A,FALSE,"SIERRA DCF";"MATRIX1",#N/A,FALSE,"SIERRA DCF"}</definedName>
    <definedName name="wrn.DCF." localSheetId="5" hidden="1">{"DCF1",#N/A,FALSE,"SIERRA DCF";"MATRIX1",#N/A,FALSE,"SIERRA DCF"}</definedName>
    <definedName name="wrn.DCF." localSheetId="6" hidden="1">{"DCF1",#N/A,FALSE,"SIERRA DCF";"MATRIX1",#N/A,FALSE,"SIERRA DCF"}</definedName>
    <definedName name="wrn.DCF." hidden="1">{"DCF1",#N/A,FALSE,"SIERRA DCF";"MATRIX1",#N/A,FALSE,"SIERRA DCF"}</definedName>
    <definedName name="wrn.DCF_Terminal_Value_qchm." localSheetId="11" hidden="1">{"qchm_dcf",#N/A,FALSE,"QCHMDCF2";"qchm_terminal",#N/A,FALSE,"QCHMDCF2"}</definedName>
    <definedName name="wrn.DCF_Terminal_Value_qchm." localSheetId="5" hidden="1">{"qchm_dcf",#N/A,FALSE,"QCHMDCF2";"qchm_terminal",#N/A,FALSE,"QCHMDCF2"}</definedName>
    <definedName name="wrn.DCF_Terminal_Value_qchm." localSheetId="6" hidden="1">{"qchm_dcf",#N/A,FALSE,"QCHMDCF2";"qchm_terminal",#N/A,FALSE,"QCHMDCF2"}</definedName>
    <definedName name="wrn.DCF_Terminal_Value_qchm." hidden="1">{"qchm_dcf",#N/A,FALSE,"QCHMDCF2";"qchm_terminal",#N/A,FALSE,"QCHMDCF2"}</definedName>
    <definedName name="wrn.dep12." localSheetId="11" hidden="1">{#N/A,#N/A,FALSE,"PM1";#N/A,#N/A,FALSE,"PM2";#N/A,#N/A,FALSE,"PM3";#N/A,#N/A,FALSE,"PM4";#N/A,#N/A,FALSE,"PM5";#N/A,#N/A,FALSE,"PM6";#N/A,#N/A,FALSE,"CM1"}</definedName>
    <definedName name="wrn.dep12." hidden="1">{#N/A,#N/A,FALSE,"PM1";#N/A,#N/A,FALSE,"PM2";#N/A,#N/A,FALSE,"PM3";#N/A,#N/A,FALSE,"PM4";#N/A,#N/A,FALSE,"PM5";#N/A,#N/A,FALSE,"PM6";#N/A,#N/A,FALSE,"CM1"}</definedName>
    <definedName name="wrn.Depn." localSheetId="11" hidden="1">{"Depn",#N/A,TRUE,"Equipt Input"}</definedName>
    <definedName name="wrn.Depn." localSheetId="6" hidden="1">{"Depn",#N/A,TRUE,"Equipt Input"}</definedName>
    <definedName name="wrn.Depn." hidden="1">{"Depn",#N/A,TRUE,"Equipt Input"}</definedName>
    <definedName name="wrn.Economic._.Value._.Added._.Analysis." localSheetId="11" hidden="1">{"EVA",#N/A,FALSE,"EVA";"WACC",#N/A,FALSE,"WACC"}</definedName>
    <definedName name="wrn.Economic._.Value._.Added._.Analysis." localSheetId="5" hidden="1">{"EVA",#N/A,FALSE,"EVA";"WACC",#N/A,FALSE,"WACC"}</definedName>
    <definedName name="wrn.Economic._.Value._.Added._.Analysis." localSheetId="6" hidden="1">{"EVA",#N/A,FALSE,"EVA";"WACC",#N/A,FALSE,"WACC"}</definedName>
    <definedName name="wrn.Economic._.Value._.Added._.Analysis." hidden="1">{"EVA",#N/A,FALSE,"EVA";"WACC",#N/A,FALSE,"WACC"}</definedName>
    <definedName name="wrn.extn_2501." localSheetId="11" hidden="1">{"Profit",#N/A,FALSE,"extn_2501";"Capital",#N/A,FALSE,"extn_2501"}</definedName>
    <definedName name="wrn.extn_2501." localSheetId="6" hidden="1">{"Profit",#N/A,FALSE,"extn_2501";"Capital",#N/A,FALSE,"extn_2501"}</definedName>
    <definedName name="wrn.extn_2501." hidden="1">{"Profit",#N/A,FALSE,"extn_2501";"Capital",#N/A,FALSE,"extn_2501"}</definedName>
    <definedName name="wrn.Financials." localSheetId="11" hidden="1">{#N/A,#N/A,FALSE,"Assumptions";"finsumm",#N/A,FALSE,"Finsumm";"FBGroup",#N/A,FALSE,"FB - BT Group";"BSGroup",#N/A,FALSE,"FB - BT Group";"FBSync",#N/A,FALSE,"FB - Syncordia Total ";"FBSyncEx3P",#N/A,FALSE,"FB - Sync excl. 3rd party"}</definedName>
    <definedName name="wrn.Financials." localSheetId="6" hidden="1">{#N/A,#N/A,FALSE,"Assumptions";"finsumm",#N/A,FALSE,"Finsumm";"FBGroup",#N/A,FALSE,"FB - BT Group";"BSGroup",#N/A,FALSE,"FB - BT Group";"FBSync",#N/A,FALSE,"FB - Syncordia Total ";"FBSyncEx3P",#N/A,FALSE,"FB - Sync excl. 3rd party"}</definedName>
    <definedName name="wrn.Financials." hidden="1">{#N/A,#N/A,FALSE,"Assumptions";"finsumm",#N/A,FALSE,"Finsumm";"FBGroup",#N/A,FALSE,"FB - BT Group";"BSGroup",#N/A,FALSE,"FB - BT Group";"FBSync",#N/A,FALSE,"FB - Syncordia Total ";"FBSyncEx3P",#N/A,FALSE,"FB - Sync excl. 3rd party"}</definedName>
    <definedName name="wrn.finsummary." localSheetId="11" hidden="1">{"finsumm",#N/A,FALSE,"Finsumm";"graph",#N/A,FALSE,"Finsumm";"costgraph",#N/A,FALSE,"Finsumm";"costbreakdown",#N/A,FALSE,"Finsumm"}</definedName>
    <definedName name="wrn.finsummary." localSheetId="6" hidden="1">{"finsumm",#N/A,FALSE,"Finsumm";"graph",#N/A,FALSE,"Finsumm";"costgraph",#N/A,FALSE,"Finsumm";"costbreakdown",#N/A,FALSE,"Finsumm"}</definedName>
    <definedName name="wrn.finsummary." hidden="1">{"finsumm",#N/A,FALSE,"Finsumm";"graph",#N/A,FALSE,"Finsumm";"costgraph",#N/A,FALSE,"Finsumm";"costbreakdown",#N/A,FALSE,"Finsumm"}</definedName>
    <definedName name="wrn.Full._.without._.data." localSheetId="11" hidden="1">{#N/A,#N/A,FALSE,"Title";#N/A,#N/A,FALSE,"Contents";#N/A,#N/A,FALSE,"Executive summary";#N/A,#N/A,FALSE,"Assumptions";#N/A,#N/A,FALSE,"Nybron";#N/A,#N/A,FALSE,"Trading Nybron";#N/A,#N/A,FALSE,"Transactions Nybron";#N/A,#N/A,FALSE,"DCF Nybron";#N/A,#N/A,FALSE,"Poggenpohl";#N/A,#N/A,FALSE,"Trading Poggenpohl";#N/A,#N/A,FALSE,"Transactions Poggenpohl";#N/A,#N/A,FALSE,"DCF Poggenpohl";#N/A,#N/A,FALSE,"Elit";#N/A,#N/A,FALSE,"DCF Elit";#N/A,#N/A,FALSE,"LBO"}</definedName>
    <definedName name="wrn.Full._.without._.data." localSheetId="5" hidden="1">{#N/A,#N/A,FALSE,"Title";#N/A,#N/A,FALSE,"Contents";#N/A,#N/A,FALSE,"Executive summary";#N/A,#N/A,FALSE,"Assumptions";#N/A,#N/A,FALSE,"Nybron";#N/A,#N/A,FALSE,"Trading Nybron";#N/A,#N/A,FALSE,"Transactions Nybron";#N/A,#N/A,FALSE,"DCF Nybron";#N/A,#N/A,FALSE,"Poggenpohl";#N/A,#N/A,FALSE,"Trading Poggenpohl";#N/A,#N/A,FALSE,"Transactions Poggenpohl";#N/A,#N/A,FALSE,"DCF Poggenpohl";#N/A,#N/A,FALSE,"Elit";#N/A,#N/A,FALSE,"DCF Elit";#N/A,#N/A,FALSE,"LBO"}</definedName>
    <definedName name="wrn.Full._.without._.data." localSheetId="6" hidden="1">{#N/A,#N/A,FALSE,"Title";#N/A,#N/A,FALSE,"Contents";#N/A,#N/A,FALSE,"Executive summary";#N/A,#N/A,FALSE,"Assumptions";#N/A,#N/A,FALSE,"Nybron";#N/A,#N/A,FALSE,"Trading Nybron";#N/A,#N/A,FALSE,"Transactions Nybron";#N/A,#N/A,FALSE,"DCF Nybron";#N/A,#N/A,FALSE,"Poggenpohl";#N/A,#N/A,FALSE,"Trading Poggenpohl";#N/A,#N/A,FALSE,"Transactions Poggenpohl";#N/A,#N/A,FALSE,"DCF Poggenpohl";#N/A,#N/A,FALSE,"Elit";#N/A,#N/A,FALSE,"DCF Elit";#N/A,#N/A,FALSE,"LBO"}</definedName>
    <definedName name="wrn.Full._.without._.data." hidden="1">{#N/A,#N/A,FALSE,"Title";#N/A,#N/A,FALSE,"Contents";#N/A,#N/A,FALSE,"Executive summary";#N/A,#N/A,FALSE,"Assumptions";#N/A,#N/A,FALSE,"Nybron";#N/A,#N/A,FALSE,"Trading Nybron";#N/A,#N/A,FALSE,"Transactions Nybron";#N/A,#N/A,FALSE,"DCF Nybron";#N/A,#N/A,FALSE,"Poggenpohl";#N/A,#N/A,FALSE,"Trading Poggenpohl";#N/A,#N/A,FALSE,"Transactions Poggenpohl";#N/A,#N/A,FALSE,"DCF Poggenpohl";#N/A,#N/A,FALSE,"Elit";#N/A,#N/A,FALSE,"DCF Elit";#N/A,#N/A,FALSE,"LBO"}</definedName>
    <definedName name="wrn.FURDEPART2." localSheetId="11" hidden="1">{"FUR5CC",#N/A,FALSE,"PM5CC_95";"FUR5DB",#N/A,FALSE,"PM5DB_95";"FUR5WB",#N/A,FALSE,"PM5WB_95";"FUR5WTK",#N/A,FALSE,"PM5WTK_9";"FURPM6B1",#N/A,FALSE,"PM6B1_95";"FUR6OT",#N/A,FALSE,"PM6OT_95";"FUR6EM",#N/A,FALSE,"PM6BEM_9";"FUR6AC",#N/A,FALSE,"PM6BAC_9";"FURC1AC",#N/A,FALSE,"C1AC_95";"FURC11CA",#N/A,FALSE,"C11CA_95";"FURC1EM",#N/A,FALSE,"C1EM_95"}</definedName>
    <definedName name="wrn.FURDEPART2." hidden="1">{"FUR5CC",#N/A,FALSE,"PM5CC_95";"FUR5DB",#N/A,FALSE,"PM5DB_95";"FUR5WB",#N/A,FALSE,"PM5WB_95";"FUR5WTK",#N/A,FALSE,"PM5WTK_9";"FURPM6B1",#N/A,FALSE,"PM6B1_95";"FUR6OT",#N/A,FALSE,"PM6OT_95";"FUR6EM",#N/A,FALSE,"PM6BEM_9";"FUR6AC",#N/A,FALSE,"PM6BAC_9";"FURC1AC",#N/A,FALSE,"C1AC_95";"FURC11CA",#N/A,FALSE,"C11CA_95";"FURC1EM",#N/A,FALSE,"C1EM_95"}</definedName>
    <definedName name="wrn.het." localSheetId="11" hidden="1">{#N/A,#N/A,FALSE,"Title";#N/A,#N/A,FALSE,"Bal.sheet";#N/A,#N/A,FALSE,"Income";#N/A,#N/A,FALSE,"sale";#N/A,#N/A,FALSE,"cash";#N/A,#N/A,FALSE,"AR";#N/A,#N/A,FALSE,"AR-other";#N/A,#N/A,FALSE,"asset";#N/A,#N/A,FALSE,"Pre-Op";#N/A,#N/A,FALSE,"AP";#N/A,#N/A,FALSE,"Parent";#N/A,#N/A,FALSE,"Qty";#N/A,#N/A,FALSE,"COGS";#N/A,#N/A,FALSE,"GOH-Sell";#N/A,#N/A,FALSE,"Interest"}</definedName>
    <definedName name="wrn.het." localSheetId="5" hidden="1">{#N/A,#N/A,FALSE,"Title";#N/A,#N/A,FALSE,"Bal.sheet";#N/A,#N/A,FALSE,"Income";#N/A,#N/A,FALSE,"sale";#N/A,#N/A,FALSE,"cash";#N/A,#N/A,FALSE,"AR";#N/A,#N/A,FALSE,"AR-other";#N/A,#N/A,FALSE,"asset";#N/A,#N/A,FALSE,"Pre-Op";#N/A,#N/A,FALSE,"AP";#N/A,#N/A,FALSE,"Parent";#N/A,#N/A,FALSE,"Qty";#N/A,#N/A,FALSE,"COGS";#N/A,#N/A,FALSE,"GOH-Sell";#N/A,#N/A,FALSE,"Interest"}</definedName>
    <definedName name="wrn.het." localSheetId="6" hidden="1">{#N/A,#N/A,FALSE,"Title";#N/A,#N/A,FALSE,"Bal.sheet";#N/A,#N/A,FALSE,"Income";#N/A,#N/A,FALSE,"sale";#N/A,#N/A,FALSE,"cash";#N/A,#N/A,FALSE,"AR";#N/A,#N/A,FALSE,"AR-other";#N/A,#N/A,FALSE,"asset";#N/A,#N/A,FALSE,"Pre-Op";#N/A,#N/A,FALSE,"AP";#N/A,#N/A,FALSE,"Parent";#N/A,#N/A,FALSE,"Qty";#N/A,#N/A,FALSE,"COGS";#N/A,#N/A,FALSE,"GOH-Sell";#N/A,#N/A,FALSE,"Interest"}</definedName>
    <definedName name="wrn.het." hidden="1">{#N/A,#N/A,FALSE,"Title";#N/A,#N/A,FALSE,"Bal.sheet";#N/A,#N/A,FALSE,"Income";#N/A,#N/A,FALSE,"sale";#N/A,#N/A,FALSE,"cash";#N/A,#N/A,FALSE,"AR";#N/A,#N/A,FALSE,"AR-other";#N/A,#N/A,FALSE,"asset";#N/A,#N/A,FALSE,"Pre-Op";#N/A,#N/A,FALSE,"AP";#N/A,#N/A,FALSE,"Parent";#N/A,#N/A,FALSE,"Qty";#N/A,#N/A,FALSE,"COGS";#N/A,#N/A,FALSE,"GOH-Sell";#N/A,#N/A,FALSE,"Interest"}</definedName>
    <definedName name="wrn.hilight1." localSheetId="11" hidden="1">{"hilight1",#N/A,FALSE,"HILIGHT1"}</definedName>
    <definedName name="wrn.hilight1." hidden="1">{"hilight1",#N/A,FALSE,"HILIGHT1"}</definedName>
    <definedName name="wrn.hilight2." localSheetId="11" hidden="1">{"hilight2",#N/A,FALSE,"HILIGHT2"}</definedName>
    <definedName name="wrn.hilight2." hidden="1">{"hilight2",#N/A,FALSE,"HILIGHT2"}</definedName>
    <definedName name="wrn.hilight3." localSheetId="11" hidden="1">{"hilight3",#N/A,FALSE,"HILIGHT3"}</definedName>
    <definedName name="wrn.hilight3." hidden="1">{"hilight3",#N/A,FALSE,"HILIGHT3"}</definedName>
    <definedName name="wrn.iIMPRESSION._.DOC." localSheetId="11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wrn.iIMPRESSION._.DOC." localSheetId="5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wrn.iIMPRESSION._.DOC." localSheetId="6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wrn.iIMPRESSION._.DOC.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wrn.IMPRESSION._.RP2." localSheetId="11" hidden="1">{#N/A,#N/A,TRUE," L.MAROC";#N/A,#N/A,TRUE,"SIE";#N/A,#N/A,TRUE,"ELIM L.GROUPE";#N/A,#N/A,TRUE,"ACTIVITE CIMENTIERE";#N/A,#N/A,TRUE,"ELIM ACTIVITE CIMENTIERE";#N/A,#N/A,TRUE,"SYNTHES L. CIMENT";#N/A,#N/A,TRUE,"BOUSKOURA";#N/A,#N/A,TRUE,"MEKNES";#N/A,#N/A,TRUE,"ELIM L.CIMENT";#N/A,#N/A,TRUE,"SYNTHESE L.CEMENTOS";#N/A,#N/A,TRUE,"TANGER";#N/A,#N/A,TRUE,"TETOUAN";#N/A,#N/A,TRUE,"ELIM L.CEMENTOS"}</definedName>
    <definedName name="wrn.IMPRESSION._.RP2." localSheetId="5" hidden="1">{#N/A,#N/A,TRUE," L.MAROC";#N/A,#N/A,TRUE,"SIE";#N/A,#N/A,TRUE,"ELIM L.GROUPE";#N/A,#N/A,TRUE,"ACTIVITE CIMENTIERE";#N/A,#N/A,TRUE,"ELIM ACTIVITE CIMENTIERE";#N/A,#N/A,TRUE,"SYNTHES L. CIMENT";#N/A,#N/A,TRUE,"BOUSKOURA";#N/A,#N/A,TRUE,"MEKNES";#N/A,#N/A,TRUE,"ELIM L.CIMENT";#N/A,#N/A,TRUE,"SYNTHESE L.CEMENTOS";#N/A,#N/A,TRUE,"TANGER";#N/A,#N/A,TRUE,"TETOUAN";#N/A,#N/A,TRUE,"ELIM L.CEMENTOS"}</definedName>
    <definedName name="wrn.IMPRESSION._.RP2." localSheetId="6" hidden="1">{#N/A,#N/A,TRUE," L.MAROC";#N/A,#N/A,TRUE,"SIE";#N/A,#N/A,TRUE,"ELIM L.GROUPE";#N/A,#N/A,TRUE,"ACTIVITE CIMENTIERE";#N/A,#N/A,TRUE,"ELIM ACTIVITE CIMENTIERE";#N/A,#N/A,TRUE,"SYNTHES L. CIMENT";#N/A,#N/A,TRUE,"BOUSKOURA";#N/A,#N/A,TRUE,"MEKNES";#N/A,#N/A,TRUE,"ELIM L.CIMENT";#N/A,#N/A,TRUE,"SYNTHESE L.CEMENTOS";#N/A,#N/A,TRUE,"TANGER";#N/A,#N/A,TRUE,"TETOUAN";#N/A,#N/A,TRUE,"ELIM L.CEMENTOS"}</definedName>
    <definedName name="wrn.IMPRESSION._.RP2." hidden="1">{#N/A,#N/A,TRUE," L.MAROC";#N/A,#N/A,TRUE,"SIE";#N/A,#N/A,TRUE,"ELIM L.GROUPE";#N/A,#N/A,TRUE,"ACTIVITE CIMENTIERE";#N/A,#N/A,TRUE,"ELIM ACTIVITE CIMENTIERE";#N/A,#N/A,TRUE,"SYNTHES L. CIMENT";#N/A,#N/A,TRUE,"BOUSKOURA";#N/A,#N/A,TRUE,"MEKNES";#N/A,#N/A,TRUE,"ELIM L.CIMENT";#N/A,#N/A,TRUE,"SYNTHESE L.CEMENTOS";#N/A,#N/A,TRUE,"TANGER";#N/A,#N/A,TRUE,"TETOUAN";#N/A,#N/A,TRUE,"ELIM L.CEMENTOS"}</definedName>
    <definedName name="wrn.income." localSheetId="11" hidden="1">{"income",#N/A,FALSE,"INCOME"}</definedName>
    <definedName name="wrn.income." hidden="1">{"income",#N/A,FALSE,"INCOME"}</definedName>
    <definedName name="wrn.index." localSheetId="11" hidden="1">{"index",#N/A,FALSE,"INDEX"}</definedName>
    <definedName name="wrn.index." hidden="1">{"index",#N/A,FALSE,"INDEX"}</definedName>
    <definedName name="wrn.Inputs." localSheetId="11" hidden="1">{#N/A,#N/A,TRUE,"Assumptions";"Inputs",#N/A,TRUE,"BASEINPUT";"HoursPay",#N/A,TRUE,"pay_non pay input";"ResourceNonPay",#N/A,TRUE,"pay_non pay input";"CapitalInput",#N/A,TRUE,"Equipt Input";"CurrEqptInput",#N/A,TRUE,"Equipt Input";"TPNwks",#N/A,TRUE,"Nwks Input";"BTNwks",#N/A,TRUE,"Nwks Input";"Miscellaneous",#N/A,TRUE,"Misc."}</definedName>
    <definedName name="wrn.Inputs." localSheetId="6" hidden="1">{#N/A,#N/A,TRUE,"Assumptions";"Inputs",#N/A,TRUE,"BASEINPUT";"HoursPay",#N/A,TRUE,"pay_non pay input";"ResourceNonPay",#N/A,TRUE,"pay_non pay input";"CapitalInput",#N/A,TRUE,"Equipt Input";"CurrEqptInput",#N/A,TRUE,"Equipt Input";"TPNwks",#N/A,TRUE,"Nwks Input";"BTNwks",#N/A,TRUE,"Nwks Input";"Miscellaneous",#N/A,TRUE,"Misc."}</definedName>
    <definedName name="wrn.Inputs." hidden="1">{#N/A,#N/A,TRUE,"Assumptions";"Inputs",#N/A,TRUE,"BASEINPUT";"HoursPay",#N/A,TRUE,"pay_non pay input";"ResourceNonPay",#N/A,TRUE,"pay_non pay input";"CapitalInput",#N/A,TRUE,"Equipt Input";"CurrEqptInput",#N/A,TRUE,"Equipt Input";"TPNwks",#N/A,TRUE,"Nwks Input";"BTNwks",#N/A,TRUE,"Nwks Input";"Miscellaneous",#N/A,TRUE,"Misc."}</definedName>
    <definedName name="wrn.MONTH._.YTD." localSheetId="11" hidden="1">{"month_a",#N/A,FALSE,"ACTUALS";"ytd_a",#N/A,FALSE,"ACTUALS"}</definedName>
    <definedName name="wrn.MONTH._.YTD." localSheetId="6" hidden="1">{"month_a",#N/A,FALSE,"ACTUALS";"ytd_a",#N/A,FALSE,"ACTUALS"}</definedName>
    <definedName name="wrn.MONTH._.YTD." hidden="1">{"month_a",#N/A,FALSE,"ACTUALS";"ytd_a",#N/A,FALSE,"ACTUALS"}</definedName>
    <definedName name="wrn.MONTHLY." localSheetId="11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wrn.MONTHLY.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wrn.Monthly._.Statement." localSheetId="11" hidden="1">{#N/A,#N/A,FALSE,"Tabelle2";#N/A,#N/A,FALSE,"Tabelle1"}</definedName>
    <definedName name="wrn.Monthly._.Statement." localSheetId="5" hidden="1">{#N/A,#N/A,FALSE,"Tabelle2";#N/A,#N/A,FALSE,"Tabelle1"}</definedName>
    <definedName name="wrn.Monthly._.Statement." localSheetId="6" hidden="1">{#N/A,#N/A,FALSE,"Tabelle2";#N/A,#N/A,FALSE,"Tabelle1"}</definedName>
    <definedName name="wrn.Monthly._.Statement." hidden="1">{#N/A,#N/A,FALSE,"Tabelle2";#N/A,#N/A,FALSE,"Tabelle1"}</definedName>
    <definedName name="wrn.NonPay." localSheetId="11" hidden="1">{"ResourceNonPay",#N/A,FALSE,"pay_non pay input";"CapMaint",#N/A,FALSE,"Equipt Input";"CurrEqptProfile",#N/A,FALSE,"Equipt Input";"Curr Eqpt Mtce",#N/A,FALSE,"Equipt Input";"Miscellaneous",#N/A,FALSE,"Misc."}</definedName>
    <definedName name="wrn.NonPay." localSheetId="6" hidden="1">{"ResourceNonPay",#N/A,FALSE,"pay_non pay input";"CapMaint",#N/A,FALSE,"Equipt Input";"CurrEqptProfile",#N/A,FALSE,"Equipt Input";"Curr Eqpt Mtce",#N/A,FALSE,"Equipt Input";"Miscellaneous",#N/A,FALSE,"Misc."}</definedName>
    <definedName name="wrn.NonPay." hidden="1">{"ResourceNonPay",#N/A,FALSE,"pay_non pay input";"CapMaint",#N/A,FALSE,"Equipt Input";"CurrEqptProfile",#N/A,FALSE,"Equipt Input";"Curr Eqpt Mtce",#N/A,FALSE,"Equipt Input";"Miscellaneous",#N/A,FALSE,"Misc."}</definedName>
    <definedName name="wrn.Notes." localSheetId="11" hidden="1">{#N/A,#N/A,FALSE,"Assumptions";"Basedata",#N/A,FALSE,"BASEINPUT";"Checklist",#N/A,FALSE,"BASEINPUT"}</definedName>
    <definedName name="wrn.Notes." localSheetId="6" hidden="1">{#N/A,#N/A,FALSE,"Assumptions";"Basedata",#N/A,FALSE,"BASEINPUT";"Checklist",#N/A,FALSE,"BASEINPUT"}</definedName>
    <definedName name="wrn.Notes." hidden="1">{#N/A,#N/A,FALSE,"Assumptions";"Basedata",#N/A,FALSE,"BASEINPUT";"Checklist",#N/A,FALSE,"BASEINPUT"}</definedName>
    <definedName name="wrn.OUTPUT." localSheetId="11" hidden="1">{"DCF","UPSIDE CASE",FALSE,"Sheet1";"DCF","BASE CASE",FALSE,"Sheet1";"DCF","DOWNSIDE CASE",FALSE,"Sheet1"}</definedName>
    <definedName name="wrn.OUTPUT." localSheetId="5" hidden="1">{"DCF","UPSIDE CASE",FALSE,"Sheet1";"DCF","BASE CASE",FALSE,"Sheet1";"DCF","DOWNSIDE CASE",FALSE,"Sheet1"}</definedName>
    <definedName name="wrn.OUTPUT." localSheetId="6" hidden="1">{"DCF","UPSIDE CASE",FALSE,"Sheet1";"DCF","BASE CASE",FALSE,"Sheet1";"DCF","DOWNSIDE CASE",FALSE,"Sheet1"}</definedName>
    <definedName name="wrn.OUTPUT." hidden="1">{"DCF","UPSIDE CASE",FALSE,"Sheet1";"DCF","BASE CASE",FALSE,"Sheet1";"DCF","DOWNSIDE CASE",FALSE,"Sheet1"}</definedName>
    <definedName name="wrn.phak." localSheetId="11" hidden="1">{#N/A,#N/A,TRUE,"Tæng hîp"}</definedName>
    <definedName name="wrn.phak." localSheetId="5" hidden="1">{#N/A,#N/A,TRUE,"Tæng hîp"}</definedName>
    <definedName name="wrn.phak." localSheetId="6" hidden="1">{#N/A,#N/A,TRUE,"Tæng hîp"}</definedName>
    <definedName name="wrn.phak." hidden="1">{#N/A,#N/A,TRUE,"Tæng hîp"}</definedName>
    <definedName name="wrn.PMDEPAER2." localSheetId="11" hidden="1">{"PM5CC",#N/A,FALSE,"PM5CC_95";"PM5DB",#N/A,FALSE,"PM5DB_95";"PM5WB",#N/A,FALSE,"PM5WB_95";"PM5WTK",#N/A,FALSE,"PM5WTK_9";"PM6B1",#N/A,FALSE,"PM6B1_95";"PM6OT",#N/A,FALSE,"PM6OT_95";"PM6BEM",#N/A,FALSE,"PM6BEM_9";"PM6AC",#N/A,FALSE,"PM6BAC_9";"PMC1AC",#N/A,FALSE,"C1AC_95";"PMC11CA",#N/A,FALSE,"C11CA_95";"PMC1EM",#N/A,FALSE,"C1EM_95";"PMDEPART2",#N/A,FALSE,"DEPART2";"PMCM1",#N/A,FALSE,"CM1_Q1"}</definedName>
    <definedName name="wrn.PMDEPAER2." hidden="1">{"PM5CC",#N/A,FALSE,"PM5CC_95";"PM5DB",#N/A,FALSE,"PM5DB_95";"PM5WB",#N/A,FALSE,"PM5WB_95";"PM5WTK",#N/A,FALSE,"PM5WTK_9";"PM6B1",#N/A,FALSE,"PM6B1_95";"PM6OT",#N/A,FALSE,"PM6OT_95";"PM6BEM",#N/A,FALSE,"PM6BEM_9";"PM6AC",#N/A,FALSE,"PM6BAC_9";"PMC1AC",#N/A,FALSE,"C1AC_95";"PMC11CA",#N/A,FALSE,"C11CA_95";"PMC1EM",#N/A,FALSE,"C1EM_95";"PMDEPART2",#N/A,FALSE,"DEPART2";"PMCM1",#N/A,FALSE,"CM1_Q1"}</definedName>
    <definedName name="wrn.Price." localSheetId="11" hidden="1">{"PLCustom",#N/A,TRUE,"P&amp;L summary";"PriSumm",#N/A,TRUE,"Price Summary";"HoursPay",#N/A,TRUE,"pay_non pay input";"ResourceNonPay",#N/A,TRUE,"pay_non pay input";"Capital Profile",#N/A,TRUE,"Equipt Input";"CurrEqptProfile",#N/A,TRUE,"Equipt Input";"TotMtce",#N/A,TRUE,"Equipt Input";"TPNwks",#N/A,TRUE,"Nwks Input";"BTNwks",#N/A,TRUE,"Nwks Input";"Miscellaneous",#N/A,TRUE,"Misc."}</definedName>
    <definedName name="wrn.Price." localSheetId="6" hidden="1">{"PLCustom",#N/A,TRUE,"P&amp;L summary";"PriSumm",#N/A,TRUE,"Price Summary";"HoursPay",#N/A,TRUE,"pay_non pay input";"ResourceNonPay",#N/A,TRUE,"pay_non pay input";"Capital Profile",#N/A,TRUE,"Equipt Input";"CurrEqptProfile",#N/A,TRUE,"Equipt Input";"TotMtce",#N/A,TRUE,"Equipt Input";"TPNwks",#N/A,TRUE,"Nwks Input";"BTNwks",#N/A,TRUE,"Nwks Input";"Miscellaneous",#N/A,TRUE,"Misc."}</definedName>
    <definedName name="wrn.Price." hidden="1">{"PLCustom",#N/A,TRUE,"P&amp;L summary";"PriSumm",#N/A,TRUE,"Price Summary";"HoursPay",#N/A,TRUE,"pay_non pay input";"ResourceNonPay",#N/A,TRUE,"pay_non pay input";"Capital Profile",#N/A,TRUE,"Equipt Input";"CurrEqptProfile",#N/A,TRUE,"Equipt Input";"TotMtce",#N/A,TRUE,"Equipt Input";"TPNwks",#N/A,TRUE,"Nwks Input";"BTNwks",#N/A,TRUE,"Nwks Input";"Miscellaneous",#N/A,TRUE,"Misc."}</definedName>
    <definedName name="wrn.print." localSheetId="11" hidden="1">{#N/A,#N/A,FALSE,"Admin";#N/A,#N/A,FALSE,"Other"}</definedName>
    <definedName name="wrn.print." localSheetId="5" hidden="1">{#N/A,#N/A,FALSE,"Admin";#N/A,#N/A,FALSE,"Other"}</definedName>
    <definedName name="wrn.print." localSheetId="6" hidden="1">{#N/A,#N/A,FALSE,"Admin";#N/A,#N/A,FALSE,"Other"}</definedName>
    <definedName name="wrn.print." hidden="1">{#N/A,#N/A,FALSE,"Admin";#N/A,#N/A,FALSE,"Other"}</definedName>
    <definedName name="wrn.Reader." localSheetId="11" hidden="1">{"Reader",#N/A,FALSE,"Summary";"Reader",#N/A,FALSE,"Buildup";"Reader",#N/A,FALSE,"Financials";"Reader",#N/A,FALSE,"Debt &amp; Other"}</definedName>
    <definedName name="wrn.Reader." localSheetId="5" hidden="1">{"Reader",#N/A,FALSE,"Summary";"Reader",#N/A,FALSE,"Buildup";"Reader",#N/A,FALSE,"Financials";"Reader",#N/A,FALSE,"Debt &amp; Other"}</definedName>
    <definedName name="wrn.Reader." localSheetId="6" hidden="1">{"Reader",#N/A,FALSE,"Summary";"Reader",#N/A,FALSE,"Buildup";"Reader",#N/A,FALSE,"Financials";"Reader",#N/A,FALSE,"Debt &amp; Other"}</definedName>
    <definedName name="wrn.Reader." hidden="1">{"Reader",#N/A,FALSE,"Summary";"Reader",#N/A,FALSE,"Buildup";"Reader",#N/A,FALSE,"Financials";"Reader",#N/A,FALSE,"Debt &amp; Other"}</definedName>
    <definedName name="wrn.Report." localSheetId="11" hidden="1">{"Offgrid",#N/A,FALSE,"OFFGRID";"Region",#N/A,FALSE,"REGION";"Offgrid -2",#N/A,FALSE,"OFFGRID";"WTP",#N/A,FALSE,"WTP";"WTP -2",#N/A,FALSE,"WTP";"Project",#N/A,FALSE,"PROJECT";"Summary -2",#N/A,FALSE,"SUMMARY"}</definedName>
    <definedName name="wrn.Report." localSheetId="6" hidden="1">{"Offgrid",#N/A,FALSE,"OFFGRID";"Region",#N/A,FALSE,"REGION";"Offgrid -2",#N/A,FALSE,"OFFGRID";"WTP",#N/A,FALSE,"WTP";"WTP -2",#N/A,FALSE,"WTP";"Project",#N/A,FALSE,"PROJECT";"Summary -2",#N/A,FALSE,"SUMMARY"}</definedName>
    <definedName name="wrn.Report." hidden="1">{"Offgrid",#N/A,FALSE,"OFFGRID";"Region",#N/A,FALSE,"REGION";"Offgrid -2",#N/A,FALSE,"OFFGRID";"WTP",#N/A,FALSE,"WTP";"WTP -2",#N/A,FALSE,"WTP";"Project",#N/A,FALSE,"PROJECT";"Summary -2",#N/A,FALSE,"SUMMARY"}</definedName>
    <definedName name="wrn.REPORT_EST." localSheetId="11" hidden="1">{"PRINT_EST",#N/A,FALSE,"ESTMON"}</definedName>
    <definedName name="wrn.REPORT_EST." hidden="1">{"PRINT_EST",#N/A,FALSE,"ESTMON"}</definedName>
    <definedName name="wrn.rev_sale._.report." localSheetId="11" hidden="1">{"revsale",#N/A,FALSE,"REV-ยุพดี"}</definedName>
    <definedName name="wrn.rev_sale._.report." hidden="1">{"revsale",#N/A,FALSE,"REV-ยุพดี"}</definedName>
    <definedName name="wrn.revable." localSheetId="11" hidden="1">{"revable",#N/A,FALSE,"REVABLE"}</definedName>
    <definedName name="wrn.revable." hidden="1">{"revable",#N/A,FALSE,"REVABLE"}</definedName>
    <definedName name="wrn.RLDEPART2." localSheetId="11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wrn.RLDEPART2.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wrn.sales._.report." localSheetId="11" hidden="1">{"sales",#N/A,FALSE,"SALES"}</definedName>
    <definedName name="wrn.sales._.report." hidden="1">{"sales",#N/A,FALSE,"SALES"}</definedName>
    <definedName name="wrn.SOCIEDAD." localSheetId="11" hidden="1">{#N/A,#N/A,FALSE,"SYSOC";#N/A,#N/A,FALSE,"RESU-GESTION";#N/A,#N/A,FALSE,"EVOL-MNA";#N/A,#N/A,FALSE,"VTAS-ANALI";#N/A,#N/A,FALSE,"ANALI-GSFIJOS";#N/A,#N/A,FALSE,"DETA-RUBROS";#N/A,#N/A,FALSE,"ANALI-CNF";#N/A,#N/A,FALSE,"BILAN";#N/A,#N/A,FALSE,"TAB_FIN";#N/A,#N/A,FALSE,"IND_ECO"}</definedName>
    <definedName name="wrn.SOCIEDAD." localSheetId="6" hidden="1">{#N/A,#N/A,FALSE,"SYSOC";#N/A,#N/A,FALSE,"RESU-GESTION";#N/A,#N/A,FALSE,"EVOL-MNA";#N/A,#N/A,FALSE,"VTAS-ANALI";#N/A,#N/A,FALSE,"ANALI-GSFIJOS";#N/A,#N/A,FALSE,"DETA-RUBROS";#N/A,#N/A,FALSE,"ANALI-CNF";#N/A,#N/A,FALSE,"BILAN";#N/A,#N/A,FALSE,"TAB_FIN";#N/A,#N/A,FALSE,"IND_ECO"}</definedName>
    <definedName name="wrn.SOCIEDAD." hidden="1">{#N/A,#N/A,FALSE,"SYSOC";#N/A,#N/A,FALSE,"RESU-GESTION";#N/A,#N/A,FALSE,"EVOL-MNA";#N/A,#N/A,FALSE,"VTAS-ANALI";#N/A,#N/A,FALSE,"ANALI-GSFIJOS";#N/A,#N/A,FALSE,"DETA-RUBROS";#N/A,#N/A,FALSE,"ANALI-CNF";#N/A,#N/A,FALSE,"BILAN";#N/A,#N/A,FALSE,"TAB_FIN";#N/A,#N/A,FALSE,"IND_ECO"}</definedName>
    <definedName name="wrn.SummaryReport." localSheetId="11" hidden="1">{"Header",#N/A,TRUE,"Summary";"ProjectInfo",#N/A,TRUE,"Total Value"}</definedName>
    <definedName name="wrn.SummaryReport." localSheetId="5" hidden="1">{"Header",#N/A,TRUE,"Summary";"ProjectInfo",#N/A,TRUE,"Total Value"}</definedName>
    <definedName name="wrn.SummaryReport." localSheetId="6" hidden="1">{"Header",#N/A,TRUE,"Summary";"ProjectInfo",#N/A,TRUE,"Total Value"}</definedName>
    <definedName name="wrn.SummaryReport." hidden="1">{"Header",#N/A,TRUE,"Summary";"ProjectInfo",#N/A,TRUE,"Total Value"}</definedName>
    <definedName name="wrn.TARGET._.DCF." localSheetId="11" hidden="1">{"targetdcf",#N/A,FALSE,"Merger consequences";"TARGETASSU",#N/A,FALSE,"Merger consequences";"TERMINAL VALUE",#N/A,FALSE,"Merger consequences"}</definedName>
    <definedName name="wrn.TARGET._.DCF." localSheetId="5" hidden="1">{"targetdcf",#N/A,FALSE,"Merger consequences";"TARGETASSU",#N/A,FALSE,"Merger consequences";"TERMINAL VALUE",#N/A,FALSE,"Merger consequences"}</definedName>
    <definedName name="wrn.TARGET._.DCF." localSheetId="6" hidden="1">{"targetdcf",#N/A,FALSE,"Merger consequences";"TARGETASSU",#N/A,FALSE,"Merger consequences";"TERMINAL VALUE",#N/A,FALSE,"Merger consequences"}</definedName>
    <definedName name="wrn.TARGET._.DCF." hidden="1">{"targetdcf",#N/A,FALSE,"Merger consequences";"TARGETASSU",#N/A,FALSE,"Merger consequences";"TERMINAL VALUE",#N/A,FALSE,"Merger consequences"}</definedName>
    <definedName name="wrn.tat." localSheetId="11" hidden="1">{#N/A,#N/A,FALSE,"Bal.sheet";#N/A,#N/A,FALSE,"Income";#N/A,#N/A,FALSE,"1Cash";#N/A,#N/A,FALSE,"2AR-Trade";#N/A,#N/A,FALSE,"3-4AR-Ô&amp;Invt";#N/A,#N/A,FALSE,"5-6Pre&amp;Prop";#N/A,#N/A,FALSE,"7-9PreÔ&amp;O-Asst";#N/A,#N/A,FALSE,"10-11AP&amp;Accr";#N/A,#N/A,FALSE,"12-13Tax&amp;Paren";#N/A,#N/A,FALSE,"15COGS";#N/A,#N/A,FALSE,"14Sal";#N/A,#N/A,FALSE,"Qty";#N/A,#N/A,FALSE,"16-17G&amp;S";#N/A,#N/A,FALSE,"Title";#N/A,#N/A,FALSE,"18-19In&amp;Loss"}</definedName>
    <definedName name="wrn.tat." localSheetId="5" hidden="1">{#N/A,#N/A,FALSE,"Bal.sheet";#N/A,#N/A,FALSE,"Income";#N/A,#N/A,FALSE,"1Cash";#N/A,#N/A,FALSE,"2AR-Trade";#N/A,#N/A,FALSE,"3-4AR-Ô&amp;Invt";#N/A,#N/A,FALSE,"5-6Pre&amp;Prop";#N/A,#N/A,FALSE,"7-9PreÔ&amp;O-Asst";#N/A,#N/A,FALSE,"10-11AP&amp;Accr";#N/A,#N/A,FALSE,"12-13Tax&amp;Paren";#N/A,#N/A,FALSE,"15COGS";#N/A,#N/A,FALSE,"14Sal";#N/A,#N/A,FALSE,"Qty";#N/A,#N/A,FALSE,"16-17G&amp;S";#N/A,#N/A,FALSE,"Title";#N/A,#N/A,FALSE,"18-19In&amp;Loss"}</definedName>
    <definedName name="wrn.tat." localSheetId="6" hidden="1">{#N/A,#N/A,FALSE,"Bal.sheet";#N/A,#N/A,FALSE,"Income";#N/A,#N/A,FALSE,"1Cash";#N/A,#N/A,FALSE,"2AR-Trade";#N/A,#N/A,FALSE,"3-4AR-Ô&amp;Invt";#N/A,#N/A,FALSE,"5-6Pre&amp;Prop";#N/A,#N/A,FALSE,"7-9PreÔ&amp;O-Asst";#N/A,#N/A,FALSE,"10-11AP&amp;Accr";#N/A,#N/A,FALSE,"12-13Tax&amp;Paren";#N/A,#N/A,FALSE,"15COGS";#N/A,#N/A,FALSE,"14Sal";#N/A,#N/A,FALSE,"Qty";#N/A,#N/A,FALSE,"16-17G&amp;S";#N/A,#N/A,FALSE,"Title";#N/A,#N/A,FALSE,"18-19In&amp;Loss"}</definedName>
    <definedName name="wrn.tat." hidden="1">{#N/A,#N/A,FALSE,"Bal.sheet";#N/A,#N/A,FALSE,"Income";#N/A,#N/A,FALSE,"1Cash";#N/A,#N/A,FALSE,"2AR-Trade";#N/A,#N/A,FALSE,"3-4AR-Ô&amp;Invt";#N/A,#N/A,FALSE,"5-6Pre&amp;Prop";#N/A,#N/A,FALSE,"7-9PreÔ&amp;O-Asst";#N/A,#N/A,FALSE,"10-11AP&amp;Accr";#N/A,#N/A,FALSE,"12-13Tax&amp;Paren";#N/A,#N/A,FALSE,"15COGS";#N/A,#N/A,FALSE,"14Sal";#N/A,#N/A,FALSE,"Qty";#N/A,#N/A,FALSE,"16-17G&amp;S";#N/A,#N/A,FALSE,"Title";#N/A,#N/A,FALSE,"18-19In&amp;Loss"}</definedName>
    <definedName name="wrn.Teacher." localSheetId="11" hidden="1">{"Teacher",#N/A,FALSE,"Summary";"Teacher",#N/A,FALSE,"Assumptions";"Teacher",#N/A,FALSE,"Buildup";"Teacher",#N/A,FALSE,"Financials";"Teacher",#N/A,FALSE,"Debt &amp; Other"}</definedName>
    <definedName name="wrn.Teacher." localSheetId="5" hidden="1">{"Teacher",#N/A,FALSE,"Summary";"Teacher",#N/A,FALSE,"Assumptions";"Teacher",#N/A,FALSE,"Buildup";"Teacher",#N/A,FALSE,"Financials";"Teacher",#N/A,FALSE,"Debt &amp; Other"}</definedName>
    <definedName name="wrn.Teacher." localSheetId="6" hidden="1">{"Teacher",#N/A,FALSE,"Summary";"Teacher",#N/A,FALSE,"Assumptions";"Teacher",#N/A,FALSE,"Buildup";"Teacher",#N/A,FALSE,"Financials";"Teacher",#N/A,FALSE,"Debt &amp; Other"}</definedName>
    <definedName name="wrn.Teacher." hidden="1">{"Teacher",#N/A,FALSE,"Summary";"Teacher",#N/A,FALSE,"Assumptions";"Teacher",#N/A,FALSE,"Buildup";"Teacher",#N/A,FALSE,"Financials";"Teacher",#N/A,FALSE,"Debt &amp; Other"}</definedName>
    <definedName name="wrn.test." localSheetId="11" hidden="1">{"F3 Presentation",#N/A,FALSE,"F3 ";"F3 detail",#N/A,FALSE,"F3 "}</definedName>
    <definedName name="wrn.test." localSheetId="6" hidden="1">{"F3 Presentation",#N/A,FALSE,"F3 ";"F3 detail",#N/A,FALSE,"F3 "}</definedName>
    <definedName name="wrn.test." hidden="1">{"F3 Presentation",#N/A,FALSE,"F3 ";"F3 detail",#N/A,FALSE,"F3 "}</definedName>
    <definedName name="wrn.test2." localSheetId="11" hidden="1">{"F3 detail",#N/A,FALSE,"F3 ";"F3 Presentation",#N/A,FALSE,"F3 "}</definedName>
    <definedName name="wrn.test2." localSheetId="6" hidden="1">{"F3 detail",#N/A,FALSE,"F3 ";"F3 Presentation",#N/A,FALSE,"F3 "}</definedName>
    <definedName name="wrn.test2." hidden="1">{"F3 detail",#N/A,FALSE,"F3 ";"F3 Presentation",#N/A,FALSE,"F3 "}</definedName>
    <definedName name="wrn.test3." localSheetId="11" hidden="1">{"F3 detail",#N/A,FALSE,"F1";"F3 Presentation",#N/A,FALSE,"F3 "}</definedName>
    <definedName name="wrn.test3." localSheetId="6" hidden="1">{"F3 detail",#N/A,FALSE,"F1";"F3 Presentation",#N/A,FALSE,"F3 "}</definedName>
    <definedName name="wrn.test3." hidden="1">{"F3 detail",#N/A,FALSE,"F1";"F3 Presentation",#N/A,FALSE,"F3 "}</definedName>
    <definedName name="wrn.vd." localSheetId="11" hidden="1">{#N/A,#N/A,TRUE,"BT M200 da 10x20"}</definedName>
    <definedName name="wrn.vd." localSheetId="5" hidden="1">{#N/A,#N/A,TRUE,"BT M200 da 10x20"}</definedName>
    <definedName name="wrn.vd." localSheetId="6" hidden="1">{#N/A,#N/A,TRUE,"BT M200 da 10x20"}</definedName>
    <definedName name="wrn.vd." hidden="1">{#N/A,#N/A,TRUE,"BT M200 da 10x20"}</definedName>
    <definedName name="WRN2.NONPAY" localSheetId="11" hidden="1">{"ResourceNonPay",#N/A,FALSE,"pay_non pay input";"CapMaint",#N/A,FALSE,"Equipt Input";"CurrEqptProfile",#N/A,FALSE,"Equipt Input";"Curr Eqpt Mtce",#N/A,FALSE,"Equipt Input";"Miscellaneous",#N/A,FALSE,"Misc."}</definedName>
    <definedName name="WRN2.NONPAY" localSheetId="6" hidden="1">{"ResourceNonPay",#N/A,FALSE,"pay_non pay input";"CapMaint",#N/A,FALSE,"Equipt Input";"CurrEqptProfile",#N/A,FALSE,"Equipt Input";"Curr Eqpt Mtce",#N/A,FALSE,"Equipt Input";"Miscellaneous",#N/A,FALSE,"Misc."}</definedName>
    <definedName name="WRN2.NONPAY" hidden="1">{"ResourceNonPay",#N/A,FALSE,"pay_non pay input";"CapMaint",#N/A,FALSE,"Equipt Input";"CurrEqptProfile",#N/A,FALSE,"Equipt Input";"Curr Eqpt Mtce",#N/A,FALSE,"Equipt Input";"Miscellaneous",#N/A,FALSE,"Misc."}</definedName>
    <definedName name="www" localSheetId="11" hidden="1">{"revable",#N/A,FALSE,"REVABLE"}</definedName>
    <definedName name="www" hidden="1">{"revable",#N/A,FALSE,"REVABLE"}</definedName>
    <definedName name="x" localSheetId="11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x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Xadas" localSheetId="5" hidden="1">#REF!</definedName>
    <definedName name="Xadas" hidden="1">#REF!</definedName>
    <definedName name="xdfgsg" localSheetId="11" hidden="1">{"Profit",#N/A,FALSE,"Cisco7000a";"Capital",#N/A,FALSE,"Cisco7000a"}</definedName>
    <definedName name="xdfgsg" localSheetId="6" hidden="1">{"Profit",#N/A,FALSE,"Cisco7000a";"Capital",#N/A,FALSE,"Cisco7000a"}</definedName>
    <definedName name="xdfgsg" hidden="1">{"Profit",#N/A,FALSE,"Cisco7000a";"Capital",#N/A,FALSE,"Cisco7000a"}</definedName>
    <definedName name="xkeogjana" localSheetId="11" hidden="1">{"Reader",#N/A,FALSE,"Summary";"Reader",#N/A,FALSE,"Buildup";"Reader",#N/A,FALSE,"Financials";"Reader",#N/A,FALSE,"Debt &amp; Other"}</definedName>
    <definedName name="xkeogjana" localSheetId="5" hidden="1">{"Reader",#N/A,FALSE,"Summary";"Reader",#N/A,FALSE,"Buildup";"Reader",#N/A,FALSE,"Financials";"Reader",#N/A,FALSE,"Debt &amp; Other"}</definedName>
    <definedName name="xkeogjana" localSheetId="6" hidden="1">{"Reader",#N/A,FALSE,"Summary";"Reader",#N/A,FALSE,"Buildup";"Reader",#N/A,FALSE,"Financials";"Reader",#N/A,FALSE,"Debt &amp; Other"}</definedName>
    <definedName name="xkeogjana" hidden="1">{"Reader",#N/A,FALSE,"Summary";"Reader",#N/A,FALSE,"Buildup";"Reader",#N/A,FALSE,"Financials";"Reader",#N/A,FALSE,"Debt &amp; Other"}</definedName>
    <definedName name="xls" localSheetId="11" hidden="1">{"F3 detail",#N/A,FALSE,"F1";"F3 Presentation",#N/A,FALSE,"F3 "}</definedName>
    <definedName name="xls" localSheetId="6" hidden="1">{"F3 detail",#N/A,FALSE,"F1";"F3 Presentation",#N/A,FALSE,"F3 "}</definedName>
    <definedName name="xls" hidden="1">{"F3 detail",#N/A,FALSE,"F1";"F3 Presentation",#N/A,FALSE,"F3 "}</definedName>
    <definedName name="xx" hidden="1">#REF!</definedName>
    <definedName name="xxxx" localSheetId="11" hidden="1">{"HK PR",#N/A,FALSE,"HK";"SUMMARY",#N/A,FALSE,"PAYROLL";"SUMMARY",#N/A,FALSE,"PAYROLL";"HK PR",#N/A,FALSE,"HK"}</definedName>
    <definedName name="xxxx" localSheetId="5" hidden="1">{"HK PR",#N/A,FALSE,"HK";"SUMMARY",#N/A,FALSE,"PAYROLL";"SUMMARY",#N/A,FALSE,"PAYROLL";"HK PR",#N/A,FALSE,"HK"}</definedName>
    <definedName name="xxxx" localSheetId="6" hidden="1">{"HK PR",#N/A,FALSE,"HK";"SUMMARY",#N/A,FALSE,"PAYROLL";"SUMMARY",#N/A,FALSE,"PAYROLL";"HK PR",#N/A,FALSE,"HK"}</definedName>
    <definedName name="xxxx" hidden="1">{"HK PR",#N/A,FALSE,"HK";"SUMMARY",#N/A,FALSE,"PAYROLL";"SUMMARY",#N/A,FALSE,"PAYROLL";"HK PR",#N/A,FALSE,"HK"}</definedName>
    <definedName name="xxxxx" localSheetId="11" hidden="1">{"HK PR",#N/A,FALSE,"HK";"SUMMARY",#N/A,FALSE,"PAYROLL";"SUMMARY",#N/A,FALSE,"PAYROLL";"HK PR",#N/A,FALSE,"HK"}</definedName>
    <definedName name="xxxxx" localSheetId="5" hidden="1">{"HK PR",#N/A,FALSE,"HK";"SUMMARY",#N/A,FALSE,"PAYROLL";"SUMMARY",#N/A,FALSE,"PAYROLL";"HK PR",#N/A,FALSE,"HK"}</definedName>
    <definedName name="xxxxx" localSheetId="6" hidden="1">{"HK PR",#N/A,FALSE,"HK";"SUMMARY",#N/A,FALSE,"PAYROLL";"SUMMARY",#N/A,FALSE,"PAYROLL";"HK PR",#N/A,FALSE,"HK"}</definedName>
    <definedName name="xxxxx" hidden="1">{"HK PR",#N/A,FALSE,"HK";"SUMMARY",#N/A,FALSE,"PAYROLL";"SUMMARY",#N/A,FALSE,"PAYROLL";"HK PR",#N/A,FALSE,"HK"}</definedName>
    <definedName name="y" localSheetId="11" hidden="1">{"revsale",#N/A,FALSE,"REV-ยุพดี"}</definedName>
    <definedName name="y" hidden="1">{"revsale",#N/A,FALSE,"REV-ยุพดี"}</definedName>
    <definedName name="yjui\" localSheetId="11" hidden="1">{"FUR5CC",#N/A,FALSE,"PM5CC_95";"FUR5DB",#N/A,FALSE,"PM5DB_95";"FUR5WB",#N/A,FALSE,"PM5WB_95";"FUR5WTK",#N/A,FALSE,"PM5WTK_9";"FURPM6B1",#N/A,FALSE,"PM6B1_95";"FUR6OT",#N/A,FALSE,"PM6OT_95";"FUR6EM",#N/A,FALSE,"PM6BEM_9";"FUR6AC",#N/A,FALSE,"PM6BAC_9";"FURC1AC",#N/A,FALSE,"C1AC_95";"FURC11CA",#N/A,FALSE,"C11CA_95";"FURC1EM",#N/A,FALSE,"C1EM_95"}</definedName>
    <definedName name="yjui\" hidden="1">{"FUR5CC",#N/A,FALSE,"PM5CC_95";"FUR5DB",#N/A,FALSE,"PM5DB_95";"FUR5WB",#N/A,FALSE,"PM5WB_95";"FUR5WTK",#N/A,FALSE,"PM5WTK_9";"FURPM6B1",#N/A,FALSE,"PM6B1_95";"FUR6OT",#N/A,FALSE,"PM6OT_95";"FUR6EM",#N/A,FALSE,"PM6BEM_9";"FUR6AC",#N/A,FALSE,"PM6BAC_9";"FURC1AC",#N/A,FALSE,"C1AC_95";"FURC11CA",#N/A,FALSE,"C11CA_95";"FURC1EM",#N/A,FALSE,"C1EM_95"}</definedName>
    <definedName name="yui" localSheetId="11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yui" localSheetId="5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yui" localSheetId="6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yui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z" localSheetId="11" hidden="1">{"hilight3",#N/A,FALSE,"HILIGHT3"}</definedName>
    <definedName name="z" hidden="1">{"hilight3",#N/A,FALSE,"HILIGHT3"}</definedName>
    <definedName name="Z_2AD71782_13C6_11D6_A210_0000E8DA5A4F_.wvu.FilterData" hidden="1">#REF!</definedName>
    <definedName name="Z_344D8229_C927_11D5_A210_0000E8DA5A4F_.wvu.FilterData" hidden="1">#REF!</definedName>
    <definedName name="Z_3507F3CB_00E6_11D6_A210_0000E8DA5A4F_.wvu.Cols" hidden="1">#REF!</definedName>
    <definedName name="Z_351C250E_CF83_11D5_A210_0000E8DA5A4F_.wvu.FilterData" hidden="1">#REF!</definedName>
    <definedName name="Z_446B9FEB_D1FE_11D5_A210_0000E8DA5A4F_.wvu.FilterData" hidden="1">#REF!</definedName>
    <definedName name="Z_5B0390EB_D420_11D5_A210_0000E8DA5A4F_.wvu.FilterData" hidden="1">#REF!</definedName>
    <definedName name="Z_5B0390EE_D420_11D5_A210_0000E8DA5A4F_.wvu.FilterData" hidden="1">#REF!</definedName>
    <definedName name="Z_5B0390F4_D420_11D5_A210_0000E8DA5A4F_.wvu.FilterData" hidden="1">#REF!</definedName>
    <definedName name="Z_5BF7A5D4_C926_11D5_AFB4_0000E8DA5A50_.wvu.FilterData" hidden="1">#REF!</definedName>
    <definedName name="Z_674301AC_C86E_11D5_A210_0000E8DA5A4F_.wvu.FilterData" hidden="1">#REF!</definedName>
    <definedName name="Z_674301B0_C86E_11D5_A210_0000E8DA5A4F_.wvu.FilterData" hidden="1">#REF!</definedName>
    <definedName name="Z_674301B5_C86E_11D5_A210_0000E8DA5A4F_.wvu.FilterData" hidden="1">#REF!</definedName>
    <definedName name="Z_674301B7_C86E_11D5_A210_0000E8DA5A4F_.wvu.FilterData" hidden="1">#REF!</definedName>
    <definedName name="Z_69241FD2_0E61_11D6_BC55_0000E8DD881D_.wvu.FilterData" hidden="1">#REF!</definedName>
    <definedName name="Z_6F27534C_00E4_11D6_BC55_0000E8DD881D_.wvu.FilterData" hidden="1">#REF!</definedName>
    <definedName name="Z_73AB618A_D291_11D5_9D56_000021CF477C_.wvu.FilterData" hidden="1">#REF!</definedName>
    <definedName name="Z_75DB6D8D_EA22_11D5_A210_0000E8DA5A4F_.wvu.FilterData" hidden="1">#REF!</definedName>
    <definedName name="Z_86ABA799_0F13_11D6_9259_0040953083C3_.wvu.FilterData" hidden="1">#REF!</definedName>
    <definedName name="Z_86ABA79C_0F13_11D6_9259_0040953083C3_.wvu.FilterData" hidden="1">#REF!</definedName>
    <definedName name="Z_DA6D18CB_CF6F_11D5_BC57_0000E8DD881D_.wvu.FilterData" hidden="1">#REF!</definedName>
    <definedName name="Z_DA6D18CE_CF6F_11D5_BC57_0000E8DD881D_.wvu.FilterData" hidden="1">#REF!</definedName>
    <definedName name="Z_ECD86340_00F5_11D6_9D56_000021CF477C_.wvu.Cols" hidden="1">#REF!</definedName>
    <definedName name="Z_F4AAFAEB_D28F_11D5_A210_0000E8DA5A4F_.wvu.FilterData" hidden="1">#REF!</definedName>
    <definedName name="Z_F4AAFAED_D28F_11D5_A210_0000E8DA5A4F_.wvu.FilterData" hidden="1">#REF!</definedName>
    <definedName name="เกินวงเงิน" localSheetId="11" hidden="1">{"revsale",#N/A,FALSE,"REV-ยุพดี"}</definedName>
    <definedName name="เกินวงเงิน" hidden="1">{"revsale",#N/A,FALSE,"REV-ยุพดี"}</definedName>
    <definedName name="เงินสด" localSheetId="11" hidden="1">{"lev1bt",#N/A,FALSE,"1_LEVB-T"}</definedName>
    <definedName name="เงินสด" hidden="1">{"lev1bt",#N/A,FALSE,"1_LEVB-T"}</definedName>
    <definedName name="แ" localSheetId="11" hidden="1">{"ASSP5CC",#N/A,FALSE,"PM5CC_95";"ASS5DB",#N/A,FALSE,"PM5DB_95";"ASSP5WB",#N/A,FALSE,"PM5WB_95";"ASSP5WTK",#N/A,FALSE,"PM5WTK_9";"ASSP6B1",#N/A,FALSE,"PM6B1_95";"ASSP6OT",#N/A,FALSE,"PM6OT_95";"ASSP6EM",#N/A,FALSE,"PM6BEM_9";"ASSP6AC",#N/A,FALSE,"PM6BAC_9";"ASSC1AC",#N/A,FALSE,"C1AC_95";"ASSC11CA",#N/A,FALSE,"C11CA_95";"ASSC1EM",#N/A,FALSE,"C1EM_95"}</definedName>
    <definedName name="แ" hidden="1">{"ASSP5CC",#N/A,FALSE,"PM5CC_95";"ASS5DB",#N/A,FALSE,"PM5DB_95";"ASSP5WB",#N/A,FALSE,"PM5WB_95";"ASSP5WTK",#N/A,FALSE,"PM5WTK_9";"ASSP6B1",#N/A,FALSE,"PM6B1_95";"ASSP6OT",#N/A,FALSE,"PM6OT_95";"ASSP6EM",#N/A,FALSE,"PM6BEM_9";"ASSP6AC",#N/A,FALSE,"PM6BAC_9";"ASSC1AC",#N/A,FALSE,"C1AC_95";"ASSC11CA",#N/A,FALSE,"C11CA_95";"ASSC1EM",#N/A,FALSE,"C1EM_95"}</definedName>
    <definedName name="แนว" localSheetId="11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แนว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ไ" localSheetId="11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ไ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ก" localSheetId="11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ก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กกก" localSheetId="11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กกก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ข" localSheetId="11" hidden="1">{"lev2ytd",#N/A,FALSE,"2_LEVYTD"}</definedName>
    <definedName name="ข" hidden="1">{"lev2ytd",#N/A,FALSE,"2_LEVYTD"}</definedName>
    <definedName name="ฃ" localSheetId="11" hidden="1">{"cashflow",#N/A,FALSE,"CASHFLOW "}</definedName>
    <definedName name="ฃ" hidden="1">{"cashflow",#N/A,FALSE,"CASHFLOW "}</definedName>
    <definedName name="ค" localSheetId="11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ค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ครจจจ" localSheetId="11" hidden="1">{"revsale",#N/A,FALSE,"REV-ยุพดี"}</definedName>
    <definedName name="ครจจจ" hidden="1">{"revsale",#N/A,FALSE,"REV-ยุพดี"}</definedName>
    <definedName name="ง" localSheetId="11" hidden="1">{"level1",#N/A,FALSE,"1_LEV";"LEVEL1",#N/A,FALSE,"1_LEV"}</definedName>
    <definedName name="ง" hidden="1">{"level1",#N/A,FALSE,"1_LEV";"LEVEL1",#N/A,FALSE,"1_LEV"}</definedName>
    <definedName name="จ" localSheetId="11" hidden="1">{"lev2mon",#N/A,FALSE,"2_levmon"}</definedName>
    <definedName name="จ" hidden="1">{"lev2mon",#N/A,FALSE,"2_levmon"}</definedName>
    <definedName name="จจจ" localSheetId="11" hidden="1">{"revsale",#N/A,FALSE,"REV-ยุพดี"}</definedName>
    <definedName name="จจจ" hidden="1">{"revsale",#N/A,FALSE,"REV-ยุพดี"}</definedName>
    <definedName name="ชชช" localSheetId="11" hidden="1">{"income",#N/A,FALSE,"INCOME"}</definedName>
    <definedName name="ชชช" hidden="1">{"income",#N/A,FALSE,"INCOME"}</definedName>
    <definedName name="ด" localSheetId="11" hidden="1">{"lev2tytbt",#N/A,FALSE,"2_LEVYTDB-T"}</definedName>
    <definedName name="ด" hidden="1">{"lev2tytbt",#N/A,FALSE,"2_LEVYTDB-T"}</definedName>
    <definedName name="ดดดด" localSheetId="11" hidden="1">{"lev1bt",#N/A,FALSE,"1_LEVB-T"}</definedName>
    <definedName name="ดดดด" hidden="1">{"lev1bt",#N/A,FALSE,"1_LEVB-T"}</definedName>
    <definedName name="ต" localSheetId="11" hidden="1">{"cashflow",#N/A,FALSE,"CASHFLOW "}</definedName>
    <definedName name="ต" hidden="1">{"cashflow",#N/A,FALSE,"CASHFLOW "}</definedName>
    <definedName name="ถ" localSheetId="11" hidden="1">{"balance",#N/A,FALSE,"BALANCE"}</definedName>
    <definedName name="ถ" hidden="1">{"balance",#N/A,FALSE,"BALANCE"}</definedName>
    <definedName name="ท" localSheetId="11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ท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นยบ" localSheetId="11" hidden="1">{"revable",#N/A,FALSE,"REVABLE"}</definedName>
    <definedName name="นยบ" hidden="1">{"revable",#N/A,FALSE,"REVABLE"}</definedName>
    <definedName name="นารรร" localSheetId="11" hidden="1">{"FUR5CC",#N/A,FALSE,"PM5CC_95";"FUR5DB",#N/A,FALSE,"PM5DB_95";"FUR5WB",#N/A,FALSE,"PM5WB_95";"FUR5WTK",#N/A,FALSE,"PM5WTK_9";"FURPM6B1",#N/A,FALSE,"PM6B1_95";"FUR6OT",#N/A,FALSE,"PM6OT_95";"FUR6EM",#N/A,FALSE,"PM6BEM_9";"FUR6AC",#N/A,FALSE,"PM6BAC_9";"FURC1AC",#N/A,FALSE,"C1AC_95";"FURC11CA",#N/A,FALSE,"C11CA_95";"FURC1EM",#N/A,FALSE,"C1EM_95"}</definedName>
    <definedName name="นารรร" hidden="1">{"FUR5CC",#N/A,FALSE,"PM5CC_95";"FUR5DB",#N/A,FALSE,"PM5DB_95";"FUR5WB",#N/A,FALSE,"PM5WB_95";"FUR5WTK",#N/A,FALSE,"PM5WTK_9";"FURPM6B1",#N/A,FALSE,"PM6B1_95";"FUR6OT",#N/A,FALSE,"PM6OT_95";"FUR6EM",#N/A,FALSE,"PM6BEM_9";"FUR6AC",#N/A,FALSE,"PM6BAC_9";"FURC1AC",#N/A,FALSE,"C1AC_95";"FURC11CA",#N/A,FALSE,"C11CA_95";"FURC1EM",#N/A,FALSE,"C1EM_95"}</definedName>
    <definedName name="บ" localSheetId="11" hidden="1">{"hilight1",#N/A,FALSE,"HILIGHT1"}</definedName>
    <definedName name="บ" hidden="1">{"hilight1",#N/A,FALSE,"HILIGHT1"}</definedName>
    <definedName name="บบบ" localSheetId="11" hidden="1">{"lev2mon",#N/A,FALSE,"2_levmon"}</definedName>
    <definedName name="บบบ" hidden="1">{"lev2mon",#N/A,FALSE,"2_levmon"}</definedName>
    <definedName name="พ" localSheetId="11" hidden="1">{"sales",#N/A,FALSE,"SALES"}</definedName>
    <definedName name="พ" hidden="1">{"sales",#N/A,FALSE,"SALES"}</definedName>
    <definedName name="พพพ" localSheetId="11" hidden="1">{"revsale",#N/A,FALSE,"REV-ยุพดี"}</definedName>
    <definedName name="พพพ" hidden="1">{"revsale",#N/A,FALSE,"REV-ยุพดี"}</definedName>
    <definedName name="ฟ7" localSheetId="11" hidden="1">{"PRINT_EST",#N/A,FALSE,"ESTMON"}</definedName>
    <definedName name="ฟ7" hidden="1">{"PRINT_EST",#N/A,FALSE,"ESTMON"}</definedName>
    <definedName name="ภ" localSheetId="11" hidden="1">{"ASSP5CC",#N/A,FALSE,"PM5CC_95";"ASS5DB",#N/A,FALSE,"PM5DB_95";"ASSP5WB",#N/A,FALSE,"PM5WB_95";"ASSP5WTK",#N/A,FALSE,"PM5WTK_9";"ASSP6B1",#N/A,FALSE,"PM6B1_95";"ASSP6OT",#N/A,FALSE,"PM6OT_95";"ASSP6EM",#N/A,FALSE,"PM6BEM_9";"ASSP6AC",#N/A,FALSE,"PM6BAC_9";"ASSC1AC",#N/A,FALSE,"C1AC_95";"ASSC11CA",#N/A,FALSE,"C11CA_95";"ASSC1EM",#N/A,FALSE,"C1EM_95"}</definedName>
    <definedName name="ภ" hidden="1">{"ASSP5CC",#N/A,FALSE,"PM5CC_95";"ASS5DB",#N/A,FALSE,"PM5DB_95";"ASSP5WB",#N/A,FALSE,"PM5WB_95";"ASSP5WTK",#N/A,FALSE,"PM5WTK_9";"ASSP6B1",#N/A,FALSE,"PM6B1_95";"ASSP6OT",#N/A,FALSE,"PM6OT_95";"ASSP6EM",#N/A,FALSE,"PM6BEM_9";"ASSP6AC",#N/A,FALSE,"PM6BAC_9";"ASSC1AC",#N/A,FALSE,"C1AC_95";"ASSC11CA",#N/A,FALSE,"C11CA_95";"ASSC1EM",#N/A,FALSE,"C1EM_95"}</definedName>
    <definedName name="ม" localSheetId="11" hidden="1">{"hilight2",#N/A,FALSE,"HILIGHT2"}</definedName>
    <definedName name="ม" hidden="1">{"hilight2",#N/A,FALSE,"HILIGHT2"}</definedName>
    <definedName name="ย" localSheetId="11" hidden="1">{"FUR5CC",#N/A,FALSE,"PM5CC_95";"FUR5DB",#N/A,FALSE,"PM5DB_95";"FUR5WB",#N/A,FALSE,"PM5WB_95";"FUR5WTK",#N/A,FALSE,"PM5WTK_9";"FURPM6B1",#N/A,FALSE,"PM6B1_95";"FUR6OT",#N/A,FALSE,"PM6OT_95";"FUR6EM",#N/A,FALSE,"PM6BEM_9";"FUR6AC",#N/A,FALSE,"PM6BAC_9";"FURC1AC",#N/A,FALSE,"C1AC_95";"FURC11CA",#N/A,FALSE,"C11CA_95";"FURC1EM",#N/A,FALSE,"C1EM_95"}</definedName>
    <definedName name="ย" hidden="1">{"FUR5CC",#N/A,FALSE,"PM5CC_95";"FUR5DB",#N/A,FALSE,"PM5DB_95";"FUR5WB",#N/A,FALSE,"PM5WB_95";"FUR5WTK",#N/A,FALSE,"PM5WTK_9";"FURPM6B1",#N/A,FALSE,"PM6B1_95";"FUR6OT",#N/A,FALSE,"PM6OT_95";"FUR6EM",#N/A,FALSE,"PM6BEM_9";"FUR6AC",#N/A,FALSE,"PM6BAC_9";"FURC1AC",#N/A,FALSE,"C1AC_95";"FURC11CA",#N/A,FALSE,"C11CA_95";"FURC1EM",#N/A,FALSE,"C1EM_95"}</definedName>
    <definedName name="ยบบ" localSheetId="11" hidden="1">{"sales",#N/A,FALSE,"SALES"}</definedName>
    <definedName name="ยบบ" hidden="1">{"sales",#N/A,FALSE,"SALES"}</definedName>
    <definedName name="ยยย" localSheetId="11" hidden="1">{"sales",#N/A,FALSE,"SALES"}</definedName>
    <definedName name="ยยย" hidden="1">{"sales",#N/A,FALSE,"SALES"}</definedName>
    <definedName name="รรร" localSheetId="11" hidden="1">{"revable",#N/A,FALSE,"REVABLE"}</definedName>
    <definedName name="รรร" hidden="1">{"revable",#N/A,FALSE,"REVABLE"}</definedName>
    <definedName name="รา" localSheetId="11" hidden="1">{"hilight1",#N/A,FALSE,"HILIGHT1"}</definedName>
    <definedName name="รา" hidden="1">{"hilight1",#N/A,FALSE,"HILIGHT1"}</definedName>
    <definedName name="รายงานประชุมสินเชื่อ_0904" localSheetId="11" hidden="1">{"balance",#N/A,FALSE,"BALANCE"}</definedName>
    <definedName name="รายงานประชุมสินเชื่อ_0904" hidden="1">{"balance",#N/A,FALSE,"BALANCE"}</definedName>
    <definedName name="ล" localSheetId="11" hidden="1">{"lev2monbt",#N/A,FALSE,"2_levmonB-T"}</definedName>
    <definedName name="ล" hidden="1">{"lev2monbt",#N/A,FALSE,"2_levmonB-T"}</definedName>
    <definedName name="ว" localSheetId="11" hidden="1">{"lev1bt",#N/A,FALSE,"1_LEVB-T"}</definedName>
    <definedName name="ว" hidden="1">{"lev1bt",#N/A,FALSE,"1_LEVB-T"}</definedName>
    <definedName name="วยนบ" localSheetId="11" hidden="1">{"sales",#N/A,FALSE,"SALES"}</definedName>
    <definedName name="วยนบ" hidden="1">{"sales",#N/A,FALSE,"SALES"}</definedName>
    <definedName name="วววว" localSheetId="11" hidden="1">{"hilight1",#N/A,FALSE,"HILIGHT1"}</definedName>
    <definedName name="วววว" hidden="1">{"hilight1",#N/A,FALSE,"HILIGHT1"}</definedName>
    <definedName name="ววววว" localSheetId="11" hidden="1">{"PRINT_EST",#N/A,FALSE,"ESTMON"}</definedName>
    <definedName name="ววววว" hidden="1">{"PRINT_EST",#N/A,FALSE,"ESTMON"}</definedName>
    <definedName name="วาระประชุม1004" localSheetId="11" hidden="1">{"lev1bt",#N/A,FALSE,"1_LEVB-T"}</definedName>
    <definedName name="วาระประชุม1004" hidden="1">{"lev1bt",#N/A,FALSE,"1_LEVB-T"}</definedName>
    <definedName name="ศูนย์พัฒนา" localSheetId="11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ศูนย์พัฒนา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ส" localSheetId="11" hidden="1">{"revsale",#N/A,FALSE,"REV-ยุพดี"}</definedName>
    <definedName name="ส" hidden="1">{"revsale",#N/A,FALSE,"REV-ยุพดี"}</definedName>
    <definedName name="สสส" localSheetId="11" hidden="1">{"sales",#N/A,FALSE,"SALES"}</definedName>
    <definedName name="สสส" hidden="1">{"sales",#N/A,FALSE,"SALES"}</definedName>
    <definedName name="ห" localSheetId="11" hidden="1">{"revable",#N/A,FALSE,"REVABLE"}</definedName>
    <definedName name="ห" hidden="1">{"revable",#N/A,FALSE,"REVABLE"}</definedName>
    <definedName name="หห" localSheetId="11" hidden="1">{"sales",#N/A,FALSE,"SALES"}</definedName>
    <definedName name="หห" hidden="1">{"sales",#N/A,FALSE,"SALES"}</definedName>
    <definedName name="หหห" localSheetId="11" hidden="1">{"revable",#N/A,FALSE,"REVABLE"}</definedName>
    <definedName name="หหห" hidden="1">{"revable",#N/A,FALSE,"REVABLE"}</definedName>
    <definedName name="อ" localSheetId="11" hidden="1">{"balance",#N/A,FALSE,"BALANCE"}</definedName>
    <definedName name="อ" hidden="1">{"balance",#N/A,FALSE,"BALANCE"}</definedName>
    <definedName name="อออ" localSheetId="11" hidden="1">{"PRINT_EST",#N/A,FALSE,"ESTMON"}</definedName>
    <definedName name="อออ" hidden="1">{"PRINT_EST",#N/A,FALSE,"ESTMON"}</definedName>
    <definedName name="ๆ" localSheetId="11" hidden="1">{"lev2monbt",#N/A,FALSE,"2_levmonB-T"}</definedName>
    <definedName name="ๆ" hidden="1">{"lev2monbt",#N/A,FALSE,"2_levmonB-T"}</definedName>
  </definedNames>
  <calcPr calcId="191028" calcMode="manual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P67" i="5" l="1"/>
  <c r="BP58" i="5"/>
  <c r="BP55" i="5"/>
  <c r="BP54" i="5"/>
  <c r="BP53" i="5"/>
  <c r="BP52" i="5"/>
  <c r="BP51" i="5"/>
  <c r="BP50" i="5"/>
  <c r="BP31" i="5"/>
  <c r="BP13" i="5"/>
  <c r="BP4" i="5"/>
  <c r="BP5" i="3"/>
  <c r="BO5" i="3"/>
  <c r="BN5" i="3"/>
  <c r="BM5" i="3"/>
  <c r="BL5" i="3"/>
  <c r="BP7" i="2"/>
  <c r="BP9" i="2" s="1"/>
  <c r="BP16" i="2" s="1"/>
  <c r="BP19" i="2"/>
  <c r="BO67" i="5"/>
  <c r="BO31" i="5"/>
  <c r="BO13" i="5"/>
  <c r="BO4" i="5"/>
  <c r="BO12" i="4"/>
  <c r="BO56" i="4"/>
  <c r="BO57" i="4" s="1"/>
  <c r="BN56" i="4"/>
  <c r="BN57" i="4" s="1"/>
  <c r="BM56" i="4"/>
  <c r="BM57" i="4" s="1"/>
  <c r="BL56" i="4"/>
  <c r="BL57" i="4" s="1"/>
  <c r="BO55" i="4"/>
  <c r="BN55" i="4"/>
  <c r="BM55" i="4"/>
  <c r="BL55" i="4"/>
  <c r="BO54" i="4"/>
  <c r="BN54" i="4"/>
  <c r="BM54" i="4"/>
  <c r="BO49" i="4"/>
  <c r="BN49" i="4"/>
  <c r="BM49" i="4"/>
  <c r="BL49" i="4"/>
  <c r="BL54" i="4" s="1"/>
  <c r="BO40" i="4"/>
  <c r="BN40" i="4"/>
  <c r="BM40" i="4"/>
  <c r="BL40" i="4"/>
  <c r="BO38" i="4"/>
  <c r="BN38" i="4"/>
  <c r="BM38" i="4"/>
  <c r="BL38" i="4"/>
  <c r="BO36" i="4"/>
  <c r="BN36" i="4"/>
  <c r="BM36" i="4"/>
  <c r="BL36" i="4"/>
  <c r="BO34" i="4"/>
  <c r="BN34" i="4"/>
  <c r="BM34" i="4"/>
  <c r="BL34" i="4"/>
  <c r="BO32" i="4"/>
  <c r="BN32" i="4"/>
  <c r="BM32" i="4"/>
  <c r="BL32" i="4"/>
  <c r="BO30" i="4"/>
  <c r="BN30" i="4"/>
  <c r="BM30" i="4"/>
  <c r="BL30" i="4"/>
  <c r="BO16" i="4"/>
  <c r="BN16" i="4"/>
  <c r="BM16" i="4"/>
  <c r="BL16" i="4"/>
  <c r="BK16" i="4"/>
  <c r="BN12" i="4"/>
  <c r="BM12" i="4"/>
  <c r="BL12" i="4"/>
  <c r="BO10" i="4"/>
  <c r="BO11" i="4" s="1"/>
  <c r="BN10" i="4"/>
  <c r="BN11" i="4" s="1"/>
  <c r="BM10" i="4"/>
  <c r="BM11" i="4" s="1"/>
  <c r="BL10" i="4"/>
  <c r="BL11" i="4" s="1"/>
  <c r="BO9" i="4"/>
  <c r="BN9" i="4"/>
  <c r="BM9" i="4"/>
  <c r="BL9" i="4"/>
  <c r="AZ9" i="4"/>
  <c r="BA9" i="4"/>
  <c r="BB9" i="4"/>
  <c r="BC9" i="4"/>
  <c r="BD9" i="4"/>
  <c r="BE9" i="4"/>
  <c r="BF9" i="4"/>
  <c r="BG9" i="4"/>
  <c r="BH9" i="4"/>
  <c r="BI9" i="4"/>
  <c r="BJ9" i="4"/>
  <c r="BK9" i="4"/>
  <c r="AZ10" i="4"/>
  <c r="AZ11" i="4" s="1"/>
  <c r="BA10" i="4"/>
  <c r="BA11" i="4" s="1"/>
  <c r="BB10" i="4"/>
  <c r="BB11" i="4" s="1"/>
  <c r="BC10" i="4"/>
  <c r="BD10" i="4"/>
  <c r="BE10" i="4"/>
  <c r="BF10" i="4"/>
  <c r="BG10" i="4"/>
  <c r="BG11" i="4" s="1"/>
  <c r="BH10" i="4"/>
  <c r="BH11" i="4" s="1"/>
  <c r="BI10" i="4"/>
  <c r="BI11" i="4" s="1"/>
  <c r="BJ10" i="4"/>
  <c r="BJ11" i="4" s="1"/>
  <c r="BK10" i="4"/>
  <c r="BK11" i="4" s="1"/>
  <c r="BC11" i="4"/>
  <c r="BD11" i="4"/>
  <c r="BE11" i="4"/>
  <c r="BF11" i="4"/>
  <c r="AZ12" i="4"/>
  <c r="BA12" i="4"/>
  <c r="BB12" i="4"/>
  <c r="BC12" i="4"/>
  <c r="BD12" i="4"/>
  <c r="BE12" i="4"/>
  <c r="BF12" i="4"/>
  <c r="BG12" i="4"/>
  <c r="BH12" i="4"/>
  <c r="BH39" i="4" s="1"/>
  <c r="BI12" i="4"/>
  <c r="BI35" i="4" s="1"/>
  <c r="BJ12" i="4"/>
  <c r="BJ35" i="4" s="1"/>
  <c r="BK12" i="4"/>
  <c r="AZ16" i="4"/>
  <c r="BA16" i="4"/>
  <c r="BB16" i="4"/>
  <c r="BC16" i="4"/>
  <c r="BD16" i="4"/>
  <c r="BD29" i="4" s="1"/>
  <c r="BE16" i="4"/>
  <c r="BE29" i="4" s="1"/>
  <c r="BF16" i="4"/>
  <c r="BF29" i="4" s="1"/>
  <c r="BG16" i="4"/>
  <c r="BG29" i="4" s="1"/>
  <c r="BH16" i="4"/>
  <c r="BH29" i="4" s="1"/>
  <c r="BI16" i="4"/>
  <c r="BI29" i="4" s="1"/>
  <c r="BJ16" i="4"/>
  <c r="BJ29" i="4" s="1"/>
  <c r="AZ29" i="4"/>
  <c r="BA29" i="4"/>
  <c r="BB29" i="4"/>
  <c r="BC29" i="4"/>
  <c r="BK29" i="4"/>
  <c r="AZ30" i="4"/>
  <c r="AZ31" i="4" s="1"/>
  <c r="BA30" i="4"/>
  <c r="BA31" i="4" s="1"/>
  <c r="BB30" i="4"/>
  <c r="BB31" i="4" s="1"/>
  <c r="BC30" i="4"/>
  <c r="BC31" i="4" s="1"/>
  <c r="BD30" i="4"/>
  <c r="BD31" i="4" s="1"/>
  <c r="BE30" i="4"/>
  <c r="BE31" i="4" s="1"/>
  <c r="BF30" i="4"/>
  <c r="BF31" i="4" s="1"/>
  <c r="BG30" i="4"/>
  <c r="BG31" i="4" s="1"/>
  <c r="BH30" i="4"/>
  <c r="BI30" i="4"/>
  <c r="BJ30" i="4"/>
  <c r="BK30" i="4"/>
  <c r="BK31" i="4"/>
  <c r="AZ32" i="4"/>
  <c r="BA32" i="4"/>
  <c r="BB32" i="4"/>
  <c r="BC32" i="4"/>
  <c r="BD32" i="4"/>
  <c r="BD33" i="4" s="1"/>
  <c r="BE32" i="4"/>
  <c r="BE33" i="4" s="1"/>
  <c r="BF32" i="4"/>
  <c r="BF33" i="4" s="1"/>
  <c r="BG32" i="4"/>
  <c r="BG33" i="4" s="1"/>
  <c r="BH32" i="4"/>
  <c r="BH33" i="4" s="1"/>
  <c r="BI32" i="4"/>
  <c r="BI33" i="4" s="1"/>
  <c r="BJ32" i="4"/>
  <c r="BJ33" i="4" s="1"/>
  <c r="BK32" i="4"/>
  <c r="BK33" i="4" s="1"/>
  <c r="AZ33" i="4"/>
  <c r="BA33" i="4"/>
  <c r="BB33" i="4"/>
  <c r="BC33" i="4"/>
  <c r="AZ34" i="4"/>
  <c r="AZ35" i="4" s="1"/>
  <c r="BA34" i="4"/>
  <c r="BA35" i="4" s="1"/>
  <c r="BB34" i="4"/>
  <c r="BB35" i="4" s="1"/>
  <c r="BC34" i="4"/>
  <c r="BC35" i="4" s="1"/>
  <c r="BD34" i="4"/>
  <c r="BD35" i="4" s="1"/>
  <c r="BE34" i="4"/>
  <c r="BE35" i="4" s="1"/>
  <c r="BF34" i="4"/>
  <c r="BF35" i="4" s="1"/>
  <c r="BG34" i="4"/>
  <c r="BG35" i="4" s="1"/>
  <c r="BH34" i="4"/>
  <c r="BI34" i="4"/>
  <c r="BJ34" i="4"/>
  <c r="BK34" i="4"/>
  <c r="BK35" i="4"/>
  <c r="AZ36" i="4"/>
  <c r="BA36" i="4"/>
  <c r="BB36" i="4"/>
  <c r="BC36" i="4"/>
  <c r="BD36" i="4"/>
  <c r="BD37" i="4" s="1"/>
  <c r="BE36" i="4"/>
  <c r="BE37" i="4" s="1"/>
  <c r="BF36" i="4"/>
  <c r="BF37" i="4" s="1"/>
  <c r="BG36" i="4"/>
  <c r="BG37" i="4" s="1"/>
  <c r="BH36" i="4"/>
  <c r="BH37" i="4" s="1"/>
  <c r="BI36" i="4"/>
  <c r="BI37" i="4" s="1"/>
  <c r="BJ36" i="4"/>
  <c r="BJ37" i="4" s="1"/>
  <c r="BK36" i="4"/>
  <c r="BK37" i="4" s="1"/>
  <c r="AZ37" i="4"/>
  <c r="BA37" i="4"/>
  <c r="BB37" i="4"/>
  <c r="BC37" i="4"/>
  <c r="AZ38" i="4"/>
  <c r="AZ39" i="4" s="1"/>
  <c r="BA38" i="4"/>
  <c r="BA39" i="4" s="1"/>
  <c r="BB38" i="4"/>
  <c r="BB39" i="4" s="1"/>
  <c r="BC38" i="4"/>
  <c r="BC39" i="4" s="1"/>
  <c r="BD38" i="4"/>
  <c r="BD39" i="4" s="1"/>
  <c r="BE38" i="4"/>
  <c r="BE39" i="4" s="1"/>
  <c r="BF38" i="4"/>
  <c r="BF39" i="4" s="1"/>
  <c r="BG38" i="4"/>
  <c r="BG39" i="4" s="1"/>
  <c r="BH38" i="4"/>
  <c r="BI38" i="4"/>
  <c r="BJ38" i="4"/>
  <c r="BK38" i="4"/>
  <c r="BK39" i="4"/>
  <c r="AZ40" i="4"/>
  <c r="BA40" i="4"/>
  <c r="BB40" i="4"/>
  <c r="BC40" i="4"/>
  <c r="BD40" i="4"/>
  <c r="BD48" i="4" s="1"/>
  <c r="BE40" i="4"/>
  <c r="BE48" i="4" s="1"/>
  <c r="BF40" i="4"/>
  <c r="BF48" i="4" s="1"/>
  <c r="BG40" i="4"/>
  <c r="BG48" i="4" s="1"/>
  <c r="BH40" i="4"/>
  <c r="BH48" i="4" s="1"/>
  <c r="BI40" i="4"/>
  <c r="BI48" i="4" s="1"/>
  <c r="BJ40" i="4"/>
  <c r="BJ48" i="4" s="1"/>
  <c r="BK40" i="4"/>
  <c r="BK48" i="4" s="1"/>
  <c r="AZ48" i="4"/>
  <c r="BA48" i="4"/>
  <c r="BB48" i="4"/>
  <c r="BC48" i="4"/>
  <c r="AZ49" i="4"/>
  <c r="AZ54" i="4" s="1"/>
  <c r="BA49" i="4"/>
  <c r="BA54" i="4" s="1"/>
  <c r="BB49" i="4"/>
  <c r="BB54" i="4" s="1"/>
  <c r="BC49" i="4"/>
  <c r="BC54" i="4" s="1"/>
  <c r="BD49" i="4"/>
  <c r="BD54" i="4" s="1"/>
  <c r="BE49" i="4"/>
  <c r="BE54" i="4" s="1"/>
  <c r="BF49" i="4"/>
  <c r="BF54" i="4" s="1"/>
  <c r="BG49" i="4"/>
  <c r="BG54" i="4" s="1"/>
  <c r="BH49" i="4"/>
  <c r="BI49" i="4"/>
  <c r="BJ49" i="4"/>
  <c r="BK49" i="4"/>
  <c r="BK54" i="4"/>
  <c r="AZ55" i="4"/>
  <c r="BA55" i="4"/>
  <c r="BB55" i="4"/>
  <c r="BC55" i="4"/>
  <c r="BD55" i="4"/>
  <c r="BE55" i="4"/>
  <c r="BF55" i="4"/>
  <c r="BG55" i="4"/>
  <c r="BH55" i="4"/>
  <c r="BI55" i="4"/>
  <c r="BJ55" i="4"/>
  <c r="BK55" i="4"/>
  <c r="AZ56" i="4"/>
  <c r="AZ57" i="4" s="1"/>
  <c r="BA56" i="4"/>
  <c r="BA57" i="4" s="1"/>
  <c r="BB56" i="4"/>
  <c r="BB57" i="4" s="1"/>
  <c r="BC56" i="4"/>
  <c r="BC57" i="4" s="1"/>
  <c r="BD56" i="4"/>
  <c r="BE56" i="4"/>
  <c r="BF56" i="4"/>
  <c r="BG56" i="4"/>
  <c r="BH56" i="4"/>
  <c r="BH57" i="4" s="1"/>
  <c r="BI56" i="4"/>
  <c r="BI57" i="4" s="1"/>
  <c r="BJ56" i="4"/>
  <c r="BJ57" i="4" s="1"/>
  <c r="BK56" i="4"/>
  <c r="BK57" i="4" s="1"/>
  <c r="BD57" i="4"/>
  <c r="BE57" i="4"/>
  <c r="BF57" i="4"/>
  <c r="BG57" i="4"/>
  <c r="BP49" i="5" l="1"/>
  <c r="BP20" i="2"/>
  <c r="BP23" i="2" s="1"/>
  <c r="BO49" i="5"/>
  <c r="BJ39" i="4"/>
  <c r="BI39" i="4"/>
  <c r="BJ31" i="4"/>
  <c r="BI54" i="4"/>
  <c r="BI31" i="4"/>
  <c r="BH54" i="4"/>
  <c r="BH35" i="4"/>
  <c r="BH31" i="4"/>
  <c r="BJ54" i="4"/>
  <c r="AZ5" i="3"/>
  <c r="BA32" i="3"/>
  <c r="BW8" i="4" l="1"/>
  <c r="BV8" i="4"/>
  <c r="BU8" i="4"/>
  <c r="BT8" i="4"/>
  <c r="BS8" i="4"/>
  <c r="BR8" i="4"/>
  <c r="BQ8" i="4"/>
  <c r="BP8" i="4"/>
  <c r="BN8" i="4"/>
  <c r="BM8" i="4"/>
  <c r="BL8" i="4"/>
  <c r="BN58" i="5" l="1"/>
  <c r="BN67" i="5"/>
  <c r="BN49" i="5"/>
  <c r="BN50" i="5"/>
  <c r="BN51" i="5"/>
  <c r="BN52" i="5"/>
  <c r="BN53" i="5"/>
  <c r="BN54" i="5"/>
  <c r="BN55" i="5"/>
  <c r="BN31" i="5"/>
  <c r="BN13" i="5"/>
  <c r="BN4" i="5"/>
  <c r="BM67" i="5" l="1"/>
  <c r="BM58" i="5"/>
  <c r="BM55" i="5"/>
  <c r="BM54" i="5"/>
  <c r="BM53" i="5"/>
  <c r="BM52" i="5"/>
  <c r="BM51" i="5"/>
  <c r="BM50" i="5"/>
  <c r="BM31" i="5"/>
  <c r="BM49" i="5" s="1"/>
  <c r="BM13" i="5"/>
  <c r="BM4" i="5"/>
  <c r="BL7" i="2" l="1"/>
  <c r="BL9" i="2" s="1"/>
  <c r="BL16" i="2" s="1"/>
  <c r="BM19" i="2"/>
  <c r="BM7" i="2"/>
  <c r="BM9" i="2" s="1"/>
  <c r="BM16" i="2" s="1"/>
  <c r="BM20" i="2" s="1"/>
  <c r="BM23" i="2" s="1"/>
  <c r="A2" i="11"/>
  <c r="A2" i="10"/>
  <c r="A2" i="9"/>
  <c r="D59" i="11" l="1"/>
  <c r="A59" i="11"/>
  <c r="F41" i="10"/>
  <c r="B41" i="10"/>
  <c r="B166" i="9"/>
  <c r="A166" i="9"/>
  <c r="BK4" i="5" l="1"/>
  <c r="BJ4" i="5"/>
  <c r="BI4" i="5"/>
  <c r="BH4" i="5"/>
  <c r="BG4" i="5"/>
  <c r="BF4" i="5"/>
  <c r="BE4" i="5"/>
  <c r="BD4" i="5"/>
  <c r="BC4" i="5"/>
  <c r="BB4" i="5"/>
  <c r="BA4" i="5"/>
  <c r="AZ4" i="5"/>
  <c r="AY56" i="4"/>
  <c r="AX56" i="4"/>
  <c r="AW56" i="4"/>
  <c r="AV56" i="4"/>
  <c r="AU56" i="4"/>
  <c r="AT56" i="4"/>
  <c r="AS56" i="4"/>
  <c r="AR56" i="4"/>
  <c r="AQ56" i="4"/>
  <c r="AP56" i="4"/>
  <c r="AO56" i="4"/>
  <c r="AN56" i="4"/>
  <c r="AM56" i="4"/>
  <c r="AL56" i="4"/>
  <c r="AK56" i="4"/>
  <c r="AJ56" i="4"/>
  <c r="AI56" i="4"/>
  <c r="AH56" i="4"/>
  <c r="AG56" i="4"/>
  <c r="AF56" i="4"/>
  <c r="AE56" i="4"/>
  <c r="AD56" i="4"/>
  <c r="AC56" i="4"/>
  <c r="AB56" i="4"/>
  <c r="AA56" i="4"/>
  <c r="Z56" i="4"/>
  <c r="Y56" i="4"/>
  <c r="X56" i="4"/>
  <c r="W56" i="4"/>
  <c r="V56" i="4"/>
  <c r="U56" i="4"/>
  <c r="T56" i="4"/>
  <c r="S56" i="4"/>
  <c r="R56" i="4"/>
  <c r="Q56" i="4"/>
  <c r="P56" i="4"/>
  <c r="O56" i="4"/>
  <c r="O57" i="4" s="1"/>
  <c r="N56" i="4"/>
  <c r="M56" i="4"/>
  <c r="L56" i="4"/>
  <c r="K56" i="4"/>
  <c r="J56" i="4"/>
  <c r="I56" i="4"/>
  <c r="H56" i="4"/>
  <c r="G56" i="4"/>
  <c r="F56" i="4"/>
  <c r="E56" i="4"/>
  <c r="D56" i="4"/>
  <c r="AY55" i="4"/>
  <c r="AX55" i="4"/>
  <c r="AW55" i="4"/>
  <c r="AV55" i="4"/>
  <c r="AU55" i="4"/>
  <c r="AT55" i="4"/>
  <c r="AS55" i="4"/>
  <c r="AR55" i="4"/>
  <c r="AQ55" i="4"/>
  <c r="AP55" i="4"/>
  <c r="AO55" i="4"/>
  <c r="AN55" i="4"/>
  <c r="AM55" i="4"/>
  <c r="AL55" i="4"/>
  <c r="AK55" i="4"/>
  <c r="AJ55" i="4"/>
  <c r="AI55" i="4"/>
  <c r="AH55" i="4"/>
  <c r="AG55" i="4"/>
  <c r="AF55" i="4"/>
  <c r="AE55" i="4"/>
  <c r="AD55" i="4"/>
  <c r="AC55" i="4"/>
  <c r="AB55" i="4"/>
  <c r="AA55" i="4"/>
  <c r="Z55" i="4"/>
  <c r="Y55" i="4"/>
  <c r="X55" i="4"/>
  <c r="W55" i="4"/>
  <c r="V55" i="4"/>
  <c r="U55" i="4"/>
  <c r="T55" i="4"/>
  <c r="S55" i="4"/>
  <c r="R55" i="4"/>
  <c r="Q55" i="4"/>
  <c r="P55" i="4"/>
  <c r="O55" i="4"/>
  <c r="N55" i="4"/>
  <c r="M55" i="4"/>
  <c r="L55" i="4"/>
  <c r="K55" i="4"/>
  <c r="J55" i="4"/>
  <c r="I55" i="4"/>
  <c r="H55" i="4"/>
  <c r="G55" i="4"/>
  <c r="F55" i="4"/>
  <c r="E55" i="4"/>
  <c r="D55" i="4"/>
  <c r="AY49" i="4"/>
  <c r="AX49" i="4"/>
  <c r="AW49" i="4"/>
  <c r="AV49" i="4"/>
  <c r="AU49" i="4"/>
  <c r="AT49" i="4"/>
  <c r="AS49" i="4"/>
  <c r="AR49" i="4"/>
  <c r="AQ49" i="4"/>
  <c r="AP49" i="4"/>
  <c r="AO49" i="4"/>
  <c r="AN49" i="4"/>
  <c r="AM49" i="4"/>
  <c r="AL49" i="4"/>
  <c r="AK49" i="4"/>
  <c r="AJ49" i="4"/>
  <c r="AI49" i="4"/>
  <c r="AH49" i="4"/>
  <c r="AG49" i="4"/>
  <c r="AF49" i="4"/>
  <c r="AE49" i="4"/>
  <c r="AD49" i="4"/>
  <c r="AC49" i="4"/>
  <c r="AC54" i="4" s="1"/>
  <c r="AB49" i="4"/>
  <c r="AA49" i="4"/>
  <c r="Z49" i="4"/>
  <c r="Y49" i="4"/>
  <c r="X49" i="4"/>
  <c r="W49" i="4"/>
  <c r="V49" i="4"/>
  <c r="U49" i="4"/>
  <c r="T49" i="4"/>
  <c r="S49" i="4"/>
  <c r="R49" i="4"/>
  <c r="Q49" i="4"/>
  <c r="P49" i="4"/>
  <c r="O49" i="4"/>
  <c r="O54" i="4" s="1"/>
  <c r="N49" i="4"/>
  <c r="M49" i="4"/>
  <c r="L49" i="4"/>
  <c r="K49" i="4"/>
  <c r="J49" i="4"/>
  <c r="I49" i="4"/>
  <c r="H49" i="4"/>
  <c r="G49" i="4"/>
  <c r="F49" i="4"/>
  <c r="E49" i="4"/>
  <c r="D49" i="4"/>
  <c r="AY40" i="4"/>
  <c r="AX40" i="4"/>
  <c r="AW40" i="4"/>
  <c r="AV40" i="4"/>
  <c r="AU40" i="4"/>
  <c r="AT40" i="4"/>
  <c r="AS40" i="4"/>
  <c r="AR40" i="4"/>
  <c r="AQ40" i="4"/>
  <c r="AP40" i="4"/>
  <c r="AO40" i="4"/>
  <c r="AN40" i="4"/>
  <c r="AM40" i="4"/>
  <c r="AL40" i="4"/>
  <c r="AK40" i="4"/>
  <c r="AJ40" i="4"/>
  <c r="AI40" i="4"/>
  <c r="AH40" i="4"/>
  <c r="AG40" i="4"/>
  <c r="AF40" i="4"/>
  <c r="AE40" i="4"/>
  <c r="AD40" i="4"/>
  <c r="AC40" i="4"/>
  <c r="AC48" i="4" s="1"/>
  <c r="AB40" i="4"/>
  <c r="AA40" i="4"/>
  <c r="Z40" i="4"/>
  <c r="Y40" i="4"/>
  <c r="X40" i="4"/>
  <c r="W40" i="4"/>
  <c r="V40" i="4"/>
  <c r="U40" i="4"/>
  <c r="T40" i="4"/>
  <c r="S40" i="4"/>
  <c r="R40" i="4"/>
  <c r="Q40" i="4"/>
  <c r="P40" i="4"/>
  <c r="O40" i="4"/>
  <c r="O48" i="4" s="1"/>
  <c r="N40" i="4"/>
  <c r="M40" i="4"/>
  <c r="L40" i="4"/>
  <c r="K40" i="4"/>
  <c r="J40" i="4"/>
  <c r="I40" i="4"/>
  <c r="H40" i="4"/>
  <c r="G40" i="4"/>
  <c r="F40" i="4"/>
  <c r="E40" i="4"/>
  <c r="D40" i="4"/>
  <c r="AE38" i="4"/>
  <c r="R38" i="4"/>
  <c r="AY36" i="4"/>
  <c r="AX36" i="4"/>
  <c r="AW36" i="4"/>
  <c r="AV36" i="4"/>
  <c r="AU36" i="4"/>
  <c r="AT36" i="4"/>
  <c r="AS36" i="4"/>
  <c r="AR36" i="4"/>
  <c r="AQ36" i="4"/>
  <c r="AP36" i="4"/>
  <c r="AO36" i="4"/>
  <c r="AN36" i="4"/>
  <c r="AM36" i="4"/>
  <c r="AL36" i="4"/>
  <c r="AK36" i="4"/>
  <c r="AJ36" i="4"/>
  <c r="AI36" i="4"/>
  <c r="AH36" i="4"/>
  <c r="AG36" i="4"/>
  <c r="AF36" i="4"/>
  <c r="AE36" i="4"/>
  <c r="AD36" i="4"/>
  <c r="AC36" i="4"/>
  <c r="AB36" i="4"/>
  <c r="AA36" i="4"/>
  <c r="Z36" i="4"/>
  <c r="Y36" i="4"/>
  <c r="X36" i="4"/>
  <c r="W36" i="4"/>
  <c r="V36" i="4"/>
  <c r="U36" i="4"/>
  <c r="T36" i="4"/>
  <c r="S36" i="4"/>
  <c r="R36" i="4"/>
  <c r="Q36" i="4"/>
  <c r="P36" i="4"/>
  <c r="O36" i="4"/>
  <c r="O37" i="4" s="1"/>
  <c r="N36" i="4"/>
  <c r="M36" i="4"/>
  <c r="L36" i="4"/>
  <c r="K36" i="4"/>
  <c r="J36" i="4"/>
  <c r="I36" i="4"/>
  <c r="H36" i="4"/>
  <c r="G36" i="4"/>
  <c r="F36" i="4"/>
  <c r="E36" i="4"/>
  <c r="D36" i="4"/>
  <c r="AM34" i="4"/>
  <c r="Z34" i="4"/>
  <c r="K34" i="4"/>
  <c r="AH30" i="4"/>
  <c r="AG30" i="4"/>
  <c r="T30" i="4"/>
  <c r="S30" i="4"/>
  <c r="F30" i="4"/>
  <c r="E30" i="4"/>
  <c r="AY16" i="4"/>
  <c r="AX16" i="4"/>
  <c r="AW16" i="4"/>
  <c r="AV16" i="4"/>
  <c r="AU16" i="4"/>
  <c r="AT16" i="4"/>
  <c r="AS16" i="4"/>
  <c r="AR16" i="4"/>
  <c r="AQ16" i="4"/>
  <c r="AP16" i="4"/>
  <c r="AO16" i="4"/>
  <c r="AN16" i="4"/>
  <c r="AM16" i="4"/>
  <c r="AL16" i="4"/>
  <c r="AK16" i="4"/>
  <c r="AJ16" i="4"/>
  <c r="AI16" i="4"/>
  <c r="AH16" i="4"/>
  <c r="AG16" i="4"/>
  <c r="AF16" i="4"/>
  <c r="AE16" i="4"/>
  <c r="AD16" i="4"/>
  <c r="AC16" i="4"/>
  <c r="AC29" i="4" s="1"/>
  <c r="AB16" i="4"/>
  <c r="AA16" i="4"/>
  <c r="Z16" i="4"/>
  <c r="Y16" i="4"/>
  <c r="X16" i="4"/>
  <c r="W16" i="4"/>
  <c r="V16" i="4"/>
  <c r="U16" i="4"/>
  <c r="T16" i="4"/>
  <c r="S16" i="4"/>
  <c r="R16" i="4"/>
  <c r="Q16" i="4"/>
  <c r="P16" i="4"/>
  <c r="O16" i="4"/>
  <c r="O29" i="4" s="1"/>
  <c r="N16" i="4"/>
  <c r="N29" i="4" s="1"/>
  <c r="M16" i="4"/>
  <c r="L16" i="4"/>
  <c r="K16" i="4"/>
  <c r="J16" i="4"/>
  <c r="I16" i="4"/>
  <c r="H16" i="4"/>
  <c r="G16" i="4"/>
  <c r="F16" i="4"/>
  <c r="E16" i="4"/>
  <c r="D16" i="4"/>
  <c r="AC12" i="4"/>
  <c r="AB12" i="4"/>
  <c r="O12" i="4"/>
  <c r="N12" i="4"/>
  <c r="AH11" i="4"/>
  <c r="AY10" i="4"/>
  <c r="AX10" i="4"/>
  <c r="AW10" i="4"/>
  <c r="AV10" i="4"/>
  <c r="AU10" i="4"/>
  <c r="AT10" i="4"/>
  <c r="AS10" i="4"/>
  <c r="AR10" i="4"/>
  <c r="AQ10" i="4"/>
  <c r="AP10" i="4"/>
  <c r="AO10" i="4"/>
  <c r="AN10" i="4"/>
  <c r="AM10" i="4"/>
  <c r="AM11" i="4" s="1"/>
  <c r="AL10" i="4"/>
  <c r="AL11" i="4" s="1"/>
  <c r="AK10" i="4"/>
  <c r="AJ10" i="4"/>
  <c r="AI10" i="4"/>
  <c r="AH10" i="4"/>
  <c r="AG10" i="4"/>
  <c r="AF10" i="4"/>
  <c r="AE10" i="4"/>
  <c r="AE11" i="4" s="1"/>
  <c r="AD10" i="4"/>
  <c r="AD11" i="4" s="1"/>
  <c r="AC10" i="4"/>
  <c r="AC11" i="4" s="1"/>
  <c r="AB10" i="4"/>
  <c r="AA10" i="4"/>
  <c r="Z10" i="4"/>
  <c r="Z11" i="4" s="1"/>
  <c r="Y10" i="4"/>
  <c r="Y11" i="4" s="1"/>
  <c r="X10" i="4"/>
  <c r="X11" i="4" s="1"/>
  <c r="W10" i="4"/>
  <c r="V10" i="4"/>
  <c r="U10" i="4"/>
  <c r="U11" i="4" s="1"/>
  <c r="T10" i="4"/>
  <c r="S10" i="4"/>
  <c r="R10" i="4"/>
  <c r="R11" i="4" s="1"/>
  <c r="Q10" i="4"/>
  <c r="Q11" i="4" s="1"/>
  <c r="P10" i="4"/>
  <c r="P11" i="4" s="1"/>
  <c r="O10" i="4"/>
  <c r="O11" i="4" s="1"/>
  <c r="N10" i="4"/>
  <c r="M10" i="4"/>
  <c r="L10" i="4"/>
  <c r="K10" i="4"/>
  <c r="K11" i="4" s="1"/>
  <c r="J10" i="4"/>
  <c r="J11" i="4" s="1"/>
  <c r="I10" i="4"/>
  <c r="H10" i="4"/>
  <c r="G10" i="4"/>
  <c r="G11" i="4" s="1"/>
  <c r="F10" i="4"/>
  <c r="E10" i="4"/>
  <c r="D10" i="4"/>
  <c r="AY9" i="4"/>
  <c r="AX9" i="4"/>
  <c r="AW9" i="4"/>
  <c r="AV9" i="4"/>
  <c r="AU9" i="4"/>
  <c r="AT9" i="4"/>
  <c r="AS9" i="4"/>
  <c r="AR9" i="4"/>
  <c r="AQ9" i="4"/>
  <c r="AP9" i="4"/>
  <c r="AP11" i="4" s="1"/>
  <c r="AO9" i="4"/>
  <c r="AN9" i="4"/>
  <c r="AM9" i="4"/>
  <c r="AL9" i="4"/>
  <c r="AK9" i="4"/>
  <c r="AJ9" i="4"/>
  <c r="AI9" i="4"/>
  <c r="AH9" i="4"/>
  <c r="AG9" i="4"/>
  <c r="AF9" i="4"/>
  <c r="AE9" i="4"/>
  <c r="AD9" i="4"/>
  <c r="AC9" i="4"/>
  <c r="AB9" i="4"/>
  <c r="AA9" i="4"/>
  <c r="Z9" i="4"/>
  <c r="Y9" i="4"/>
  <c r="X9" i="4"/>
  <c r="W9" i="4"/>
  <c r="V9" i="4"/>
  <c r="U9" i="4"/>
  <c r="T9" i="4"/>
  <c r="S9" i="4"/>
  <c r="R9" i="4"/>
  <c r="Q9" i="4"/>
  <c r="P9" i="4"/>
  <c r="O9" i="4"/>
  <c r="N9" i="4"/>
  <c r="M9" i="4"/>
  <c r="L9" i="4"/>
  <c r="K9" i="4"/>
  <c r="J9" i="4"/>
  <c r="I9" i="4"/>
  <c r="H9" i="4"/>
  <c r="G9" i="4"/>
  <c r="F9" i="4"/>
  <c r="E9" i="4"/>
  <c r="D9" i="4"/>
  <c r="AM8" i="4"/>
  <c r="AL8" i="4"/>
  <c r="AK8" i="4"/>
  <c r="AJ8" i="4"/>
  <c r="AI8" i="4"/>
  <c r="AH8" i="4"/>
  <c r="AG8" i="4"/>
  <c r="AF8" i="4"/>
  <c r="AE8" i="4"/>
  <c r="AD8" i="4"/>
  <c r="AC8" i="4"/>
  <c r="AB8" i="4"/>
  <c r="AA8" i="4"/>
  <c r="Z8" i="4"/>
  <c r="Y8" i="4"/>
  <c r="X8" i="4"/>
  <c r="W8" i="4"/>
  <c r="V8" i="4"/>
  <c r="U8" i="4"/>
  <c r="T8" i="4"/>
  <c r="S8" i="4"/>
  <c r="R8" i="4"/>
  <c r="Q8" i="4"/>
  <c r="P8" i="4"/>
  <c r="O8" i="4"/>
  <c r="N8" i="4"/>
  <c r="M8" i="4"/>
  <c r="L8" i="4"/>
  <c r="K8" i="4"/>
  <c r="J8" i="4"/>
  <c r="I8" i="4"/>
  <c r="H8" i="4"/>
  <c r="G8" i="4"/>
  <c r="F8" i="4"/>
  <c r="E8" i="4"/>
  <c r="D8" i="4"/>
  <c r="BW40" i="3"/>
  <c r="BV40" i="3"/>
  <c r="BU40" i="3"/>
  <c r="BT40" i="3"/>
  <c r="BS40" i="3"/>
  <c r="BR40" i="3"/>
  <c r="BQ40" i="3"/>
  <c r="BK40" i="3"/>
  <c r="BJ40" i="3"/>
  <c r="BI40" i="3"/>
  <c r="BH40" i="3"/>
  <c r="BG40" i="3"/>
  <c r="BF40" i="3"/>
  <c r="BE40" i="3"/>
  <c r="BD40" i="3"/>
  <c r="BC40" i="3"/>
  <c r="BB40" i="3"/>
  <c r="BA40" i="3"/>
  <c r="AZ40" i="3"/>
  <c r="AY40" i="3"/>
  <c r="AX40" i="3"/>
  <c r="AW40" i="3"/>
  <c r="AV40" i="3"/>
  <c r="AU40" i="3"/>
  <c r="AT40" i="3"/>
  <c r="AS40" i="3"/>
  <c r="AR40" i="3"/>
  <c r="AQ40" i="3"/>
  <c r="AP40" i="3"/>
  <c r="AO40" i="3"/>
  <c r="AN40" i="3"/>
  <c r="AM40" i="3"/>
  <c r="AL40" i="3"/>
  <c r="AK40" i="3"/>
  <c r="AJ40" i="3"/>
  <c r="AI40" i="3"/>
  <c r="AH40" i="3"/>
  <c r="AG40" i="3"/>
  <c r="AF40" i="3"/>
  <c r="AE40" i="3"/>
  <c r="AD40" i="3"/>
  <c r="AC40" i="3"/>
  <c r="AB40" i="3"/>
  <c r="AA40" i="3"/>
  <c r="Z40" i="3"/>
  <c r="Y40" i="3"/>
  <c r="X40" i="3"/>
  <c r="W40" i="3"/>
  <c r="V40" i="3"/>
  <c r="U40" i="3"/>
  <c r="T40" i="3"/>
  <c r="S40" i="3"/>
  <c r="R40" i="3"/>
  <c r="Q40" i="3"/>
  <c r="P40" i="3"/>
  <c r="O40" i="3"/>
  <c r="N40" i="3"/>
  <c r="M40" i="3"/>
  <c r="L40" i="3"/>
  <c r="K40" i="3"/>
  <c r="J40" i="3"/>
  <c r="I40" i="3"/>
  <c r="H40" i="3"/>
  <c r="G40" i="3"/>
  <c r="F40" i="3"/>
  <c r="E40" i="3"/>
  <c r="D40" i="3"/>
  <c r="BW32" i="3"/>
  <c r="BV32" i="3"/>
  <c r="BU32" i="3"/>
  <c r="BT32" i="3"/>
  <c r="BS32" i="3"/>
  <c r="BR32" i="3"/>
  <c r="BQ32" i="3"/>
  <c r="BK32" i="3"/>
  <c r="BJ32" i="3"/>
  <c r="BI32" i="3"/>
  <c r="BH32" i="3"/>
  <c r="BG32" i="3"/>
  <c r="BF32" i="3"/>
  <c r="BE32" i="3"/>
  <c r="BD32" i="3"/>
  <c r="BC32" i="3"/>
  <c r="BB32" i="3"/>
  <c r="AZ32" i="3"/>
  <c r="AY32" i="3"/>
  <c r="AX32" i="3"/>
  <c r="AW32" i="3"/>
  <c r="AV32" i="3"/>
  <c r="AU32" i="3"/>
  <c r="AT32" i="3"/>
  <c r="AS32" i="3"/>
  <c r="AR32" i="3"/>
  <c r="AQ32" i="3"/>
  <c r="AP32" i="3"/>
  <c r="AO32" i="3"/>
  <c r="AN32" i="3"/>
  <c r="AM32" i="3"/>
  <c r="AL32" i="3"/>
  <c r="AK32" i="3"/>
  <c r="AJ32" i="3"/>
  <c r="AI32" i="3"/>
  <c r="AH32" i="3"/>
  <c r="AG32" i="3"/>
  <c r="AF32" i="3"/>
  <c r="AE32" i="3"/>
  <c r="AD32" i="3"/>
  <c r="AC32" i="3"/>
  <c r="AB32" i="3"/>
  <c r="AA32" i="3"/>
  <c r="Z32" i="3"/>
  <c r="Y32" i="3"/>
  <c r="X32" i="3"/>
  <c r="W32" i="3"/>
  <c r="V32" i="3"/>
  <c r="U32" i="3"/>
  <c r="T32" i="3"/>
  <c r="S32" i="3"/>
  <c r="R32" i="3"/>
  <c r="Q32" i="3"/>
  <c r="P32" i="3"/>
  <c r="O32" i="3"/>
  <c r="N32" i="3"/>
  <c r="M32" i="3"/>
  <c r="L32" i="3"/>
  <c r="K32" i="3"/>
  <c r="J32" i="3"/>
  <c r="I32" i="3"/>
  <c r="H32" i="3"/>
  <c r="G32" i="3"/>
  <c r="F32" i="3"/>
  <c r="E32" i="3"/>
  <c r="D32" i="3"/>
  <c r="S5" i="3"/>
  <c r="S13" i="3" s="1"/>
  <c r="S23" i="3" s="1"/>
  <c r="S41" i="3" s="1"/>
  <c r="R5" i="3"/>
  <c r="R13" i="3" s="1"/>
  <c r="R23" i="3" s="1"/>
  <c r="R41" i="3" s="1"/>
  <c r="BW19" i="2"/>
  <c r="BV19" i="2"/>
  <c r="BU19" i="2"/>
  <c r="BT19" i="2"/>
  <c r="BS19" i="2"/>
  <c r="BR19" i="2"/>
  <c r="BQ19" i="2"/>
  <c r="BL19" i="2"/>
  <c r="BL20" i="2" s="1"/>
  <c r="BL23" i="2" s="1"/>
  <c r="AY19" i="2"/>
  <c r="AX19" i="2"/>
  <c r="AW19" i="2"/>
  <c r="AV19" i="2"/>
  <c r="AU19" i="2"/>
  <c r="AT19" i="2"/>
  <c r="AS19" i="2"/>
  <c r="AR19" i="2"/>
  <c r="AQ19" i="2"/>
  <c r="AP19" i="2"/>
  <c r="AO19" i="2"/>
  <c r="AN19" i="2"/>
  <c r="AM19" i="2"/>
  <c r="AL19" i="2"/>
  <c r="AK19" i="2"/>
  <c r="AJ19" i="2"/>
  <c r="AI19" i="2"/>
  <c r="AH19" i="2"/>
  <c r="AG19" i="2"/>
  <c r="AF19" i="2"/>
  <c r="AE19" i="2"/>
  <c r="AD19" i="2"/>
  <c r="AC19" i="2"/>
  <c r="AB19" i="2"/>
  <c r="AA19" i="2"/>
  <c r="Z19" i="2"/>
  <c r="Y19" i="2"/>
  <c r="X19" i="2"/>
  <c r="W19" i="2"/>
  <c r="V19" i="2"/>
  <c r="U19" i="2"/>
  <c r="T19" i="2"/>
  <c r="S19" i="2"/>
  <c r="R19" i="2"/>
  <c r="Q19" i="2"/>
  <c r="P19" i="2"/>
  <c r="O19" i="2"/>
  <c r="N19" i="2"/>
  <c r="M19" i="2"/>
  <c r="L19" i="2"/>
  <c r="K19" i="2"/>
  <c r="J19" i="2"/>
  <c r="I19" i="2"/>
  <c r="H19" i="2"/>
  <c r="G19" i="2"/>
  <c r="F19" i="2"/>
  <c r="E19" i="2"/>
  <c r="D19" i="2"/>
  <c r="BT16" i="2"/>
  <c r="BW9" i="2"/>
  <c r="BW16" i="2" s="1"/>
  <c r="BT9" i="2"/>
  <c r="BQ9" i="2"/>
  <c r="BQ16" i="2" s="1"/>
  <c r="BQ20" i="2" s="1"/>
  <c r="BQ23" i="2" s="1"/>
  <c r="BW7" i="2"/>
  <c r="BV7" i="2"/>
  <c r="BV9" i="2" s="1"/>
  <c r="BV16" i="2" s="1"/>
  <c r="BU7" i="2"/>
  <c r="BU9" i="2" s="1"/>
  <c r="BU16" i="2" s="1"/>
  <c r="BU20" i="2" s="1"/>
  <c r="BU23" i="2" s="1"/>
  <c r="BT7" i="2"/>
  <c r="BS7" i="2"/>
  <c r="BS9" i="2" s="1"/>
  <c r="BS16" i="2" s="1"/>
  <c r="BS20" i="2" s="1"/>
  <c r="BS23" i="2" s="1"/>
  <c r="BR7" i="2"/>
  <c r="BR9" i="2" s="1"/>
  <c r="BR16" i="2" s="1"/>
  <c r="BR20" i="2" s="1"/>
  <c r="BR5" i="3" s="1"/>
  <c r="BR13" i="3" s="1"/>
  <c r="BR23" i="3" s="1"/>
  <c r="BR41" i="3" s="1"/>
  <c r="BQ7" i="2"/>
  <c r="AY7" i="2"/>
  <c r="AY9" i="2" s="1"/>
  <c r="AY16" i="2" s="1"/>
  <c r="AX7" i="2"/>
  <c r="AX9" i="2" s="1"/>
  <c r="AX16" i="2" s="1"/>
  <c r="AX20" i="2" s="1"/>
  <c r="AX23" i="2" s="1"/>
  <c r="AX38" i="4" s="1"/>
  <c r="AW7" i="2"/>
  <c r="AW9" i="2" s="1"/>
  <c r="AW16" i="2" s="1"/>
  <c r="AV7" i="2"/>
  <c r="AV9" i="2" s="1"/>
  <c r="AV16" i="2" s="1"/>
  <c r="AU7" i="2"/>
  <c r="AU9" i="2" s="1"/>
  <c r="AU16" i="2" s="1"/>
  <c r="AU20" i="2" s="1"/>
  <c r="AU23" i="2" s="1"/>
  <c r="AU38" i="4" s="1"/>
  <c r="AT7" i="2"/>
  <c r="AT9" i="2" s="1"/>
  <c r="AT16" i="2" s="1"/>
  <c r="AS7" i="2"/>
  <c r="AS9" i="2" s="1"/>
  <c r="AS16" i="2" s="1"/>
  <c r="AR7" i="2"/>
  <c r="AQ7" i="2"/>
  <c r="AQ9" i="2" s="1"/>
  <c r="AQ16" i="2" s="1"/>
  <c r="AP7" i="2"/>
  <c r="AP9" i="2" s="1"/>
  <c r="AP16" i="2" s="1"/>
  <c r="AO7" i="2"/>
  <c r="AO9" i="2" s="1"/>
  <c r="AO16" i="2" s="1"/>
  <c r="AN7" i="2"/>
  <c r="AN9" i="2" s="1"/>
  <c r="AN16" i="2" s="1"/>
  <c r="AM7" i="2"/>
  <c r="AM9" i="2" s="1"/>
  <c r="AM16" i="2" s="1"/>
  <c r="AM20" i="2" s="1"/>
  <c r="AM23" i="2" s="1"/>
  <c r="AM38" i="4" s="1"/>
  <c r="AL7" i="2"/>
  <c r="AL9" i="2" s="1"/>
  <c r="AL16" i="2" s="1"/>
  <c r="AK7" i="2"/>
  <c r="AK9" i="2" s="1"/>
  <c r="AK16" i="2" s="1"/>
  <c r="AJ7" i="2"/>
  <c r="AJ9" i="2" s="1"/>
  <c r="AJ16" i="2" s="1"/>
  <c r="AI7" i="2"/>
  <c r="AI9" i="2" s="1"/>
  <c r="AI16" i="2" s="1"/>
  <c r="AI20" i="2" s="1"/>
  <c r="AI23" i="2" s="1"/>
  <c r="AI38" i="4" s="1"/>
  <c r="AH7" i="2"/>
  <c r="AH9" i="2" s="1"/>
  <c r="AH16" i="2" s="1"/>
  <c r="AG7" i="2"/>
  <c r="AG9" i="2" s="1"/>
  <c r="AG16" i="2" s="1"/>
  <c r="AF7" i="2"/>
  <c r="AF9" i="2" s="1"/>
  <c r="AF16" i="2" s="1"/>
  <c r="AE7" i="2"/>
  <c r="AE9" i="2" s="1"/>
  <c r="AE16" i="2" s="1"/>
  <c r="AE20" i="2" s="1"/>
  <c r="AE23" i="2" s="1"/>
  <c r="AD7" i="2"/>
  <c r="AC7" i="2"/>
  <c r="AC9" i="2" s="1"/>
  <c r="AC16" i="2" s="1"/>
  <c r="AB7" i="2"/>
  <c r="AB9" i="2" s="1"/>
  <c r="AB16" i="2" s="1"/>
  <c r="AA7" i="2"/>
  <c r="AA9" i="2" s="1"/>
  <c r="AA16" i="2" s="1"/>
  <c r="AA20" i="2" s="1"/>
  <c r="AA23" i="2" s="1"/>
  <c r="AA38" i="4" s="1"/>
  <c r="Z7" i="2"/>
  <c r="Z9" i="2" s="1"/>
  <c r="Z16" i="2" s="1"/>
  <c r="Z20" i="2" s="1"/>
  <c r="Z23" i="2" s="1"/>
  <c r="Z38" i="4" s="1"/>
  <c r="Y7" i="2"/>
  <c r="Y9" i="2" s="1"/>
  <c r="Y16" i="2" s="1"/>
  <c r="X7" i="2"/>
  <c r="X9" i="2" s="1"/>
  <c r="X16" i="2" s="1"/>
  <c r="W7" i="2"/>
  <c r="W9" i="2" s="1"/>
  <c r="W16" i="2" s="1"/>
  <c r="V7" i="2"/>
  <c r="V9" i="2" s="1"/>
  <c r="V16" i="2" s="1"/>
  <c r="V20" i="2" s="1"/>
  <c r="V23" i="2" s="1"/>
  <c r="V38" i="4" s="1"/>
  <c r="U7" i="2"/>
  <c r="U9" i="2" s="1"/>
  <c r="U16" i="2" s="1"/>
  <c r="T7" i="2"/>
  <c r="T9" i="2" s="1"/>
  <c r="T16" i="2" s="1"/>
  <c r="S7" i="2"/>
  <c r="S9" i="2" s="1"/>
  <c r="S16" i="2" s="1"/>
  <c r="S20" i="2" s="1"/>
  <c r="S23" i="2" s="1"/>
  <c r="S38" i="4" s="1"/>
  <c r="R7" i="2"/>
  <c r="R9" i="2" s="1"/>
  <c r="R16" i="2" s="1"/>
  <c r="R20" i="2" s="1"/>
  <c r="R23" i="2" s="1"/>
  <c r="Q7" i="2"/>
  <c r="Q9" i="2" s="1"/>
  <c r="Q16" i="2" s="1"/>
  <c r="P7" i="2"/>
  <c r="O7" i="2"/>
  <c r="O9" i="2" s="1"/>
  <c r="O16" i="2" s="1"/>
  <c r="N7" i="2"/>
  <c r="N9" i="2" s="1"/>
  <c r="N16" i="2" s="1"/>
  <c r="N20" i="2" s="1"/>
  <c r="N23" i="2" s="1"/>
  <c r="N38" i="4" s="1"/>
  <c r="N39" i="4" s="1"/>
  <c r="M7" i="2"/>
  <c r="M9" i="2" s="1"/>
  <c r="M16" i="2" s="1"/>
  <c r="L7" i="2"/>
  <c r="L9" i="2" s="1"/>
  <c r="L16" i="2" s="1"/>
  <c r="K7" i="2"/>
  <c r="K9" i="2" s="1"/>
  <c r="K16" i="2" s="1"/>
  <c r="K20" i="2" s="1"/>
  <c r="K23" i="2" s="1"/>
  <c r="K38" i="4" s="1"/>
  <c r="J7" i="2"/>
  <c r="J9" i="2" s="1"/>
  <c r="J16" i="2" s="1"/>
  <c r="I7" i="2"/>
  <c r="I9" i="2" s="1"/>
  <c r="I16" i="2" s="1"/>
  <c r="H7" i="2"/>
  <c r="H9" i="2" s="1"/>
  <c r="H16" i="2" s="1"/>
  <c r="G7" i="2"/>
  <c r="G9" i="2" s="1"/>
  <c r="G16" i="2" s="1"/>
  <c r="G20" i="2" s="1"/>
  <c r="G23" i="2" s="1"/>
  <c r="G38" i="4" s="1"/>
  <c r="F7" i="2"/>
  <c r="F9" i="2" s="1"/>
  <c r="F16" i="2" s="1"/>
  <c r="F20" i="2" s="1"/>
  <c r="F23" i="2" s="1"/>
  <c r="F38" i="4" s="1"/>
  <c r="E7" i="2"/>
  <c r="E9" i="2" s="1"/>
  <c r="E16" i="2" s="1"/>
  <c r="D7" i="2"/>
  <c r="D9" i="2" s="1"/>
  <c r="D16" i="2" s="1"/>
  <c r="AY126" i="1"/>
  <c r="AX126" i="1"/>
  <c r="AW126" i="1"/>
  <c r="AV126" i="1"/>
  <c r="AU126" i="1"/>
  <c r="AT126" i="1"/>
  <c r="AS126" i="1"/>
  <c r="AR126" i="1"/>
  <c r="AQ126" i="1"/>
  <c r="AP126" i="1"/>
  <c r="AO126" i="1"/>
  <c r="AO114" i="1" s="1"/>
  <c r="AN126" i="1"/>
  <c r="AM126" i="1"/>
  <c r="AL126" i="1"/>
  <c r="AK126" i="1"/>
  <c r="AJ126" i="1"/>
  <c r="AI126" i="1"/>
  <c r="AH126" i="1"/>
  <c r="AG126" i="1"/>
  <c r="AF126" i="1"/>
  <c r="AE126" i="1"/>
  <c r="AD126" i="1"/>
  <c r="AC126" i="1"/>
  <c r="AB126" i="1"/>
  <c r="AA126" i="1"/>
  <c r="Z126" i="1"/>
  <c r="Y126" i="1"/>
  <c r="X126" i="1"/>
  <c r="W126" i="1"/>
  <c r="V126" i="1"/>
  <c r="U126" i="1"/>
  <c r="T126" i="1"/>
  <c r="S126" i="1"/>
  <c r="R126" i="1"/>
  <c r="Q126" i="1"/>
  <c r="P126" i="1"/>
  <c r="O126" i="1"/>
  <c r="N126" i="1"/>
  <c r="M126" i="1"/>
  <c r="L126" i="1"/>
  <c r="K126" i="1"/>
  <c r="J126" i="1"/>
  <c r="I126" i="1"/>
  <c r="H126" i="1"/>
  <c r="G126" i="1"/>
  <c r="F126" i="1"/>
  <c r="E126" i="1"/>
  <c r="D126" i="1"/>
  <c r="AY115" i="1"/>
  <c r="AX115" i="1"/>
  <c r="AW115" i="1"/>
  <c r="AV115" i="1"/>
  <c r="AU115" i="1"/>
  <c r="AT115" i="1"/>
  <c r="AS115" i="1"/>
  <c r="AR115" i="1"/>
  <c r="AQ115" i="1"/>
  <c r="AP115" i="1"/>
  <c r="AP114" i="1" s="1"/>
  <c r="AO115" i="1"/>
  <c r="AN115" i="1"/>
  <c r="AM115" i="1"/>
  <c r="AL115" i="1"/>
  <c r="AK115" i="1"/>
  <c r="AJ115" i="1"/>
  <c r="AI115" i="1"/>
  <c r="AH115" i="1"/>
  <c r="AG115" i="1"/>
  <c r="AF115" i="1"/>
  <c r="AE115" i="1"/>
  <c r="AD115" i="1"/>
  <c r="AC115" i="1"/>
  <c r="AB115" i="1"/>
  <c r="AA115" i="1"/>
  <c r="Z115" i="1"/>
  <c r="Y115" i="1"/>
  <c r="X115" i="1"/>
  <c r="W115" i="1"/>
  <c r="V115" i="1"/>
  <c r="U115" i="1"/>
  <c r="T115" i="1"/>
  <c r="S115" i="1"/>
  <c r="R115" i="1"/>
  <c r="Q115" i="1"/>
  <c r="P115" i="1"/>
  <c r="O115" i="1"/>
  <c r="N115" i="1"/>
  <c r="M115" i="1"/>
  <c r="L115" i="1"/>
  <c r="K115" i="1"/>
  <c r="J115" i="1"/>
  <c r="I115" i="1"/>
  <c r="H115" i="1"/>
  <c r="G115" i="1"/>
  <c r="F115" i="1"/>
  <c r="E115" i="1"/>
  <c r="D115" i="1"/>
  <c r="AY114" i="1"/>
  <c r="AX114" i="1"/>
  <c r="AW114" i="1"/>
  <c r="AV114" i="1"/>
  <c r="AU114" i="1"/>
  <c r="AT114" i="1"/>
  <c r="AS114" i="1"/>
  <c r="AR114" i="1"/>
  <c r="AQ114" i="1"/>
  <c r="AN114" i="1"/>
  <c r="AM114" i="1"/>
  <c r="AL114" i="1"/>
  <c r="AK114" i="1"/>
  <c r="AJ114" i="1"/>
  <c r="AI114" i="1"/>
  <c r="AH114" i="1"/>
  <c r="AG114" i="1"/>
  <c r="AF114" i="1"/>
  <c r="AE114" i="1"/>
  <c r="AD114" i="1"/>
  <c r="AC114" i="1"/>
  <c r="AB114" i="1"/>
  <c r="AA114" i="1"/>
  <c r="Z114" i="1"/>
  <c r="Y114" i="1"/>
  <c r="X114" i="1"/>
  <c r="W114" i="1"/>
  <c r="V114" i="1"/>
  <c r="U114" i="1"/>
  <c r="T114" i="1"/>
  <c r="S114" i="1"/>
  <c r="R114" i="1"/>
  <c r="Q114" i="1"/>
  <c r="P114" i="1"/>
  <c r="O114" i="1"/>
  <c r="N114" i="1"/>
  <c r="M114" i="1"/>
  <c r="L114" i="1"/>
  <c r="K114" i="1"/>
  <c r="J114" i="1"/>
  <c r="I114" i="1"/>
  <c r="H114" i="1"/>
  <c r="G114" i="1"/>
  <c r="F114" i="1"/>
  <c r="E114" i="1"/>
  <c r="D114" i="1"/>
  <c r="AY99" i="1"/>
  <c r="AX99" i="1"/>
  <c r="AW99" i="1"/>
  <c r="AV99" i="1"/>
  <c r="AU99" i="1"/>
  <c r="AT99" i="1"/>
  <c r="AS99" i="1"/>
  <c r="AR99" i="1"/>
  <c r="AQ99" i="1"/>
  <c r="AP99" i="1"/>
  <c r="AO99" i="1"/>
  <c r="AN99" i="1"/>
  <c r="AM99" i="1"/>
  <c r="AL99" i="1"/>
  <c r="AK99" i="1"/>
  <c r="AJ99" i="1"/>
  <c r="AI99" i="1"/>
  <c r="AH99" i="1"/>
  <c r="AG99" i="1"/>
  <c r="AF99" i="1"/>
  <c r="AE99" i="1"/>
  <c r="AD99" i="1"/>
  <c r="AC99" i="1"/>
  <c r="AB99" i="1"/>
  <c r="AA99" i="1"/>
  <c r="Z99" i="1"/>
  <c r="Y99" i="1"/>
  <c r="X99" i="1"/>
  <c r="W99" i="1"/>
  <c r="V99" i="1"/>
  <c r="U99" i="1"/>
  <c r="T99" i="1"/>
  <c r="S99" i="1"/>
  <c r="R99" i="1"/>
  <c r="Q99" i="1"/>
  <c r="P99" i="1"/>
  <c r="O99" i="1"/>
  <c r="N99" i="1"/>
  <c r="M99" i="1"/>
  <c r="L99" i="1"/>
  <c r="K99" i="1"/>
  <c r="J99" i="1"/>
  <c r="I99" i="1"/>
  <c r="H99" i="1"/>
  <c r="G99" i="1"/>
  <c r="F99" i="1"/>
  <c r="E99" i="1"/>
  <c r="D99" i="1"/>
  <c r="AY83" i="1"/>
  <c r="AX83" i="1"/>
  <c r="AW83" i="1"/>
  <c r="AV83" i="1"/>
  <c r="AU83" i="1"/>
  <c r="AT83" i="1"/>
  <c r="AS83" i="1"/>
  <c r="AR83" i="1"/>
  <c r="AQ83" i="1"/>
  <c r="AP83" i="1"/>
  <c r="AO83" i="1"/>
  <c r="AN83" i="1"/>
  <c r="AM83" i="1"/>
  <c r="AL83" i="1"/>
  <c r="AK83" i="1"/>
  <c r="AJ83" i="1"/>
  <c r="AI83" i="1"/>
  <c r="AH83" i="1"/>
  <c r="AG83" i="1"/>
  <c r="AF83" i="1"/>
  <c r="AE83" i="1"/>
  <c r="AD83" i="1"/>
  <c r="AC83" i="1"/>
  <c r="AB83" i="1"/>
  <c r="AA83" i="1"/>
  <c r="Z83" i="1"/>
  <c r="Y83" i="1"/>
  <c r="X83" i="1"/>
  <c r="W83" i="1"/>
  <c r="V83" i="1"/>
  <c r="U83" i="1"/>
  <c r="T83" i="1"/>
  <c r="S83" i="1"/>
  <c r="R83" i="1"/>
  <c r="Q83" i="1"/>
  <c r="P83" i="1"/>
  <c r="O83" i="1"/>
  <c r="N83" i="1"/>
  <c r="M83" i="1"/>
  <c r="L83" i="1"/>
  <c r="K83" i="1"/>
  <c r="J83" i="1"/>
  <c r="I83" i="1"/>
  <c r="H83" i="1"/>
  <c r="G83" i="1"/>
  <c r="F83" i="1"/>
  <c r="E83" i="1"/>
  <c r="D83" i="1"/>
  <c r="AY82" i="1"/>
  <c r="AY129" i="1" s="1"/>
  <c r="AX82" i="1"/>
  <c r="AX129" i="1" s="1"/>
  <c r="AW82" i="1"/>
  <c r="AV82" i="1"/>
  <c r="AV129" i="1" s="1"/>
  <c r="AU82" i="1"/>
  <c r="AU129" i="1" s="1"/>
  <c r="AT82" i="1"/>
  <c r="AS82" i="1"/>
  <c r="AS129" i="1" s="1"/>
  <c r="AR82" i="1"/>
  <c r="AR129" i="1" s="1"/>
  <c r="AQ82" i="1"/>
  <c r="AQ129" i="1" s="1"/>
  <c r="AP82" i="1"/>
  <c r="AO82" i="1"/>
  <c r="AN82" i="1"/>
  <c r="AN129" i="1" s="1"/>
  <c r="AM82" i="1"/>
  <c r="AM129" i="1" s="1"/>
  <c r="AL82" i="1"/>
  <c r="AL129" i="1" s="1"/>
  <c r="AK82" i="1"/>
  <c r="AK129" i="1" s="1"/>
  <c r="AJ82" i="1"/>
  <c r="AJ129" i="1" s="1"/>
  <c r="AI82" i="1"/>
  <c r="AI129" i="1" s="1"/>
  <c r="AH82" i="1"/>
  <c r="AH129" i="1" s="1"/>
  <c r="AG82" i="1"/>
  <c r="AG129" i="1" s="1"/>
  <c r="AF82" i="1"/>
  <c r="AF129" i="1" s="1"/>
  <c r="AE82" i="1"/>
  <c r="AE129" i="1" s="1"/>
  <c r="AD82" i="1"/>
  <c r="AD129" i="1" s="1"/>
  <c r="AC82" i="1"/>
  <c r="AC129" i="1" s="1"/>
  <c r="AB82" i="1"/>
  <c r="AB129" i="1" s="1"/>
  <c r="AA82" i="1"/>
  <c r="AA129" i="1" s="1"/>
  <c r="Z82" i="1"/>
  <c r="Z129" i="1" s="1"/>
  <c r="Y82" i="1"/>
  <c r="Y129" i="1" s="1"/>
  <c r="X82" i="1"/>
  <c r="X129" i="1" s="1"/>
  <c r="W82" i="1"/>
  <c r="W129" i="1" s="1"/>
  <c r="V82" i="1"/>
  <c r="V129" i="1" s="1"/>
  <c r="U82" i="1"/>
  <c r="U129" i="1" s="1"/>
  <c r="T82" i="1"/>
  <c r="T129" i="1" s="1"/>
  <c r="S82" i="1"/>
  <c r="S129" i="1" s="1"/>
  <c r="R82" i="1"/>
  <c r="R129" i="1" s="1"/>
  <c r="Q82" i="1"/>
  <c r="Q129" i="1" s="1"/>
  <c r="P82" i="1"/>
  <c r="P129" i="1" s="1"/>
  <c r="O82" i="1"/>
  <c r="O129" i="1" s="1"/>
  <c r="N82" i="1"/>
  <c r="N129" i="1" s="1"/>
  <c r="M82" i="1"/>
  <c r="M129" i="1" s="1"/>
  <c r="L82" i="1"/>
  <c r="L129" i="1" s="1"/>
  <c r="K82" i="1"/>
  <c r="K129" i="1" s="1"/>
  <c r="J82" i="1"/>
  <c r="J129" i="1" s="1"/>
  <c r="I82" i="1"/>
  <c r="I129" i="1" s="1"/>
  <c r="H82" i="1"/>
  <c r="H129" i="1" s="1"/>
  <c r="G82" i="1"/>
  <c r="G129" i="1" s="1"/>
  <c r="F82" i="1"/>
  <c r="F129" i="1" s="1"/>
  <c r="E82" i="1"/>
  <c r="E129" i="1" s="1"/>
  <c r="D82" i="1"/>
  <c r="D129" i="1" s="1"/>
  <c r="AY76" i="1"/>
  <c r="AX76" i="1"/>
  <c r="AW76" i="1"/>
  <c r="AV76" i="1"/>
  <c r="AV36" i="1" s="1"/>
  <c r="AU76" i="1"/>
  <c r="AT76" i="1"/>
  <c r="AS76" i="1"/>
  <c r="AR76" i="1"/>
  <c r="AQ76" i="1"/>
  <c r="AP76" i="1"/>
  <c r="AO76" i="1"/>
  <c r="AN76" i="1"/>
  <c r="AN36" i="1" s="1"/>
  <c r="AM76" i="1"/>
  <c r="AL76" i="1"/>
  <c r="AK76" i="1"/>
  <c r="AJ76" i="1"/>
  <c r="AI76" i="1"/>
  <c r="AH76" i="1"/>
  <c r="AG76" i="1"/>
  <c r="AF76" i="1"/>
  <c r="AE76" i="1"/>
  <c r="AD76" i="1"/>
  <c r="AC76" i="1"/>
  <c r="AB76" i="1"/>
  <c r="AA76" i="1"/>
  <c r="Z76" i="1"/>
  <c r="Y76" i="1"/>
  <c r="X76" i="1"/>
  <c r="W76" i="1"/>
  <c r="V76" i="1"/>
  <c r="U76" i="1"/>
  <c r="T76" i="1"/>
  <c r="S76" i="1"/>
  <c r="R76" i="1"/>
  <c r="Q76" i="1"/>
  <c r="P76" i="1"/>
  <c r="O76" i="1"/>
  <c r="N76" i="1"/>
  <c r="M76" i="1"/>
  <c r="L76" i="1"/>
  <c r="K76" i="1"/>
  <c r="J76" i="1"/>
  <c r="I76" i="1"/>
  <c r="H76" i="1"/>
  <c r="G76" i="1"/>
  <c r="F76" i="1"/>
  <c r="E76" i="1"/>
  <c r="D76" i="1"/>
  <c r="AY69" i="1"/>
  <c r="AX69" i="1"/>
  <c r="AW69" i="1"/>
  <c r="AV69" i="1"/>
  <c r="AU69" i="1"/>
  <c r="AT69" i="1"/>
  <c r="AS69" i="1"/>
  <c r="AR69" i="1"/>
  <c r="AQ69" i="1"/>
  <c r="AP69" i="1"/>
  <c r="AO69" i="1"/>
  <c r="AN69" i="1"/>
  <c r="AM69" i="1"/>
  <c r="AL69" i="1"/>
  <c r="AK69" i="1"/>
  <c r="AJ69" i="1"/>
  <c r="AI69" i="1"/>
  <c r="AH69" i="1"/>
  <c r="AG69" i="1"/>
  <c r="AF69" i="1"/>
  <c r="AE69" i="1"/>
  <c r="AD69" i="1"/>
  <c r="AC69" i="1"/>
  <c r="AB69" i="1"/>
  <c r="AA69" i="1"/>
  <c r="Z69" i="1"/>
  <c r="Y69" i="1"/>
  <c r="X69" i="1"/>
  <c r="W69" i="1"/>
  <c r="V69" i="1"/>
  <c r="U69" i="1"/>
  <c r="T69" i="1"/>
  <c r="S69" i="1"/>
  <c r="R69" i="1"/>
  <c r="Q69" i="1"/>
  <c r="P69" i="1"/>
  <c r="O69" i="1"/>
  <c r="N69" i="1"/>
  <c r="M69" i="1"/>
  <c r="L69" i="1"/>
  <c r="K69" i="1"/>
  <c r="J69" i="1"/>
  <c r="I69" i="1"/>
  <c r="H69" i="1"/>
  <c r="G69" i="1"/>
  <c r="F69" i="1"/>
  <c r="E69" i="1"/>
  <c r="D69" i="1"/>
  <c r="AY66" i="1"/>
  <c r="AX66" i="1"/>
  <c r="AW66" i="1"/>
  <c r="AW36" i="1" s="1"/>
  <c r="AV66" i="1"/>
  <c r="AU66" i="1"/>
  <c r="AT66" i="1"/>
  <c r="AS66" i="1"/>
  <c r="AS36" i="1" s="1"/>
  <c r="AR66" i="1"/>
  <c r="AQ66" i="1"/>
  <c r="AP66" i="1"/>
  <c r="AO66" i="1"/>
  <c r="AN66" i="1"/>
  <c r="AM66" i="1"/>
  <c r="AL66" i="1"/>
  <c r="AK66" i="1"/>
  <c r="AJ66" i="1"/>
  <c r="AI66" i="1"/>
  <c r="AH66" i="1"/>
  <c r="AG66" i="1"/>
  <c r="AF66" i="1"/>
  <c r="AE66" i="1"/>
  <c r="AD66" i="1"/>
  <c r="AC66" i="1"/>
  <c r="AB66" i="1"/>
  <c r="AA66" i="1"/>
  <c r="Z66" i="1"/>
  <c r="Y66" i="1"/>
  <c r="X66" i="1"/>
  <c r="W66" i="1"/>
  <c r="V66" i="1"/>
  <c r="U66" i="1"/>
  <c r="T66" i="1"/>
  <c r="S66" i="1"/>
  <c r="R66" i="1"/>
  <c r="Q66" i="1"/>
  <c r="P66" i="1"/>
  <c r="O66" i="1"/>
  <c r="N66" i="1"/>
  <c r="M66" i="1"/>
  <c r="L66" i="1"/>
  <c r="K66" i="1"/>
  <c r="J66" i="1"/>
  <c r="I66" i="1"/>
  <c r="H66" i="1"/>
  <c r="G66" i="1"/>
  <c r="F66" i="1"/>
  <c r="E66" i="1"/>
  <c r="D66" i="1"/>
  <c r="AY63" i="1"/>
  <c r="AX63" i="1"/>
  <c r="AW63" i="1"/>
  <c r="AV63" i="1"/>
  <c r="AU63" i="1"/>
  <c r="AT63" i="1"/>
  <c r="AS63" i="1"/>
  <c r="AR63" i="1"/>
  <c r="AQ63" i="1"/>
  <c r="AP63" i="1"/>
  <c r="AO63" i="1"/>
  <c r="AN63" i="1"/>
  <c r="AM63" i="1"/>
  <c r="AL63" i="1"/>
  <c r="AK63" i="1"/>
  <c r="AJ63" i="1"/>
  <c r="AI63" i="1"/>
  <c r="AH63" i="1"/>
  <c r="AG63" i="1"/>
  <c r="AF63" i="1"/>
  <c r="AE63" i="1"/>
  <c r="AD63" i="1"/>
  <c r="AC63" i="1"/>
  <c r="AB63" i="1"/>
  <c r="AA63" i="1"/>
  <c r="Z63" i="1"/>
  <c r="Y63" i="1"/>
  <c r="X63" i="1"/>
  <c r="W63" i="1"/>
  <c r="V63" i="1"/>
  <c r="U63" i="1"/>
  <c r="T63" i="1"/>
  <c r="S63" i="1"/>
  <c r="R63" i="1"/>
  <c r="Q63" i="1"/>
  <c r="P63" i="1"/>
  <c r="O63" i="1"/>
  <c r="N63" i="1"/>
  <c r="M63" i="1"/>
  <c r="L63" i="1"/>
  <c r="K63" i="1"/>
  <c r="J63" i="1"/>
  <c r="I63" i="1"/>
  <c r="H63" i="1"/>
  <c r="G63" i="1"/>
  <c r="F63" i="1"/>
  <c r="E63" i="1"/>
  <c r="D63" i="1"/>
  <c r="AY57" i="1"/>
  <c r="AX57" i="1"/>
  <c r="AW57" i="1"/>
  <c r="AV57" i="1"/>
  <c r="AU57" i="1"/>
  <c r="AT57" i="1"/>
  <c r="AS57" i="1"/>
  <c r="AR57" i="1"/>
  <c r="AQ57" i="1"/>
  <c r="AP57" i="1"/>
  <c r="AO57" i="1"/>
  <c r="AN57" i="1"/>
  <c r="AM57" i="1"/>
  <c r="AL57" i="1"/>
  <c r="AK57" i="1"/>
  <c r="AJ57" i="1"/>
  <c r="AI57" i="1"/>
  <c r="AH57" i="1"/>
  <c r="AG57" i="1"/>
  <c r="AF57" i="1"/>
  <c r="AE57" i="1"/>
  <c r="AD57" i="1"/>
  <c r="AC57" i="1"/>
  <c r="AB57" i="1"/>
  <c r="AA57" i="1"/>
  <c r="Z57" i="1"/>
  <c r="Y57" i="1"/>
  <c r="X57" i="1"/>
  <c r="W57" i="1"/>
  <c r="V57" i="1"/>
  <c r="U57" i="1"/>
  <c r="T57" i="1"/>
  <c r="S57" i="1"/>
  <c r="R57" i="1"/>
  <c r="Q57" i="1"/>
  <c r="P57" i="1"/>
  <c r="O57" i="1"/>
  <c r="N57" i="1"/>
  <c r="M57" i="1"/>
  <c r="L57" i="1"/>
  <c r="K57" i="1"/>
  <c r="J57" i="1"/>
  <c r="I57" i="1"/>
  <c r="H57" i="1"/>
  <c r="G57" i="1"/>
  <c r="F57" i="1"/>
  <c r="E57" i="1"/>
  <c r="D57" i="1"/>
  <c r="AY55" i="1"/>
  <c r="AX55" i="1"/>
  <c r="AW55" i="1"/>
  <c r="AV55" i="1"/>
  <c r="AU55" i="1"/>
  <c r="AT55" i="1"/>
  <c r="AS55" i="1"/>
  <c r="AR55" i="1"/>
  <c r="AQ55" i="1"/>
  <c r="AP55" i="1"/>
  <c r="AO55" i="1"/>
  <c r="AN55" i="1"/>
  <c r="AM55" i="1"/>
  <c r="AL55" i="1"/>
  <c r="AK55" i="1"/>
  <c r="AJ55" i="1"/>
  <c r="AI55" i="1"/>
  <c r="AH55" i="1"/>
  <c r="AG55" i="1"/>
  <c r="AF55" i="1"/>
  <c r="AE55" i="1"/>
  <c r="AD55" i="1"/>
  <c r="AC55" i="1"/>
  <c r="AB55" i="1"/>
  <c r="AA55" i="1"/>
  <c r="Z55" i="1"/>
  <c r="Y55" i="1"/>
  <c r="X55" i="1"/>
  <c r="W55" i="1"/>
  <c r="V55" i="1"/>
  <c r="U55" i="1"/>
  <c r="T55" i="1"/>
  <c r="S55" i="1"/>
  <c r="R55" i="1"/>
  <c r="Q55" i="1"/>
  <c r="P55" i="1"/>
  <c r="O55" i="1"/>
  <c r="N55" i="1"/>
  <c r="M55" i="1"/>
  <c r="L55" i="1"/>
  <c r="K55" i="1"/>
  <c r="J55" i="1"/>
  <c r="I55" i="1"/>
  <c r="H55" i="1"/>
  <c r="G55" i="1"/>
  <c r="F55" i="1"/>
  <c r="E55" i="1"/>
  <c r="D55" i="1"/>
  <c r="AY54" i="1"/>
  <c r="AX54" i="1"/>
  <c r="AW54" i="1"/>
  <c r="AV54" i="1"/>
  <c r="AU54" i="1"/>
  <c r="AT54" i="1"/>
  <c r="AS54" i="1"/>
  <c r="AR54" i="1"/>
  <c r="AQ54" i="1"/>
  <c r="AP54" i="1"/>
  <c r="AO54" i="1"/>
  <c r="AN54" i="1"/>
  <c r="AM54" i="1"/>
  <c r="AL54" i="1"/>
  <c r="AK54" i="1"/>
  <c r="AJ54" i="1"/>
  <c r="AI54" i="1"/>
  <c r="AH54" i="1"/>
  <c r="AG54" i="1"/>
  <c r="AF54" i="1"/>
  <c r="AE54" i="1"/>
  <c r="AD54" i="1"/>
  <c r="AC54" i="1"/>
  <c r="AB54" i="1"/>
  <c r="AA54" i="1"/>
  <c r="Z54" i="1"/>
  <c r="Y54" i="1"/>
  <c r="X54" i="1"/>
  <c r="W54" i="1"/>
  <c r="V54" i="1"/>
  <c r="U54" i="1"/>
  <c r="T54" i="1"/>
  <c r="S54" i="1"/>
  <c r="R54" i="1"/>
  <c r="Q54" i="1"/>
  <c r="P54" i="1"/>
  <c r="O54" i="1"/>
  <c r="N54" i="1"/>
  <c r="M54" i="1"/>
  <c r="L54" i="1"/>
  <c r="K54" i="1"/>
  <c r="J54" i="1"/>
  <c r="I54" i="1"/>
  <c r="H54" i="1"/>
  <c r="G54" i="1"/>
  <c r="F54" i="1"/>
  <c r="E54" i="1"/>
  <c r="D54" i="1"/>
  <c r="AY51" i="1"/>
  <c r="AX51" i="1"/>
  <c r="AW51" i="1"/>
  <c r="AV51" i="1"/>
  <c r="AU51" i="1"/>
  <c r="AT51" i="1"/>
  <c r="AS51" i="1"/>
  <c r="AR51" i="1"/>
  <c r="AQ51" i="1"/>
  <c r="AP51" i="1"/>
  <c r="AO51" i="1"/>
  <c r="AN51" i="1"/>
  <c r="AM51" i="1"/>
  <c r="AL51" i="1"/>
  <c r="AK51" i="1"/>
  <c r="AJ51" i="1"/>
  <c r="AI51" i="1"/>
  <c r="AH51" i="1"/>
  <c r="AG51" i="1"/>
  <c r="AF51" i="1"/>
  <c r="AE51" i="1"/>
  <c r="AD51" i="1"/>
  <c r="AC51" i="1"/>
  <c r="AB51" i="1"/>
  <c r="AA51" i="1"/>
  <c r="Z51" i="1"/>
  <c r="Y51" i="1"/>
  <c r="X51" i="1"/>
  <c r="W51" i="1"/>
  <c r="V51" i="1"/>
  <c r="U51" i="1"/>
  <c r="T51" i="1"/>
  <c r="S51" i="1"/>
  <c r="R51" i="1"/>
  <c r="Q51" i="1"/>
  <c r="P51" i="1"/>
  <c r="O51" i="1"/>
  <c r="N51" i="1"/>
  <c r="M51" i="1"/>
  <c r="L51" i="1"/>
  <c r="K51" i="1"/>
  <c r="J51" i="1"/>
  <c r="I51" i="1"/>
  <c r="H51" i="1"/>
  <c r="G51" i="1"/>
  <c r="F51" i="1"/>
  <c r="E51" i="1"/>
  <c r="D51" i="1"/>
  <c r="AY48" i="1"/>
  <c r="AX48" i="1"/>
  <c r="AW48" i="1"/>
  <c r="AV48" i="1"/>
  <c r="AU48" i="1"/>
  <c r="AT48" i="1"/>
  <c r="AS48" i="1"/>
  <c r="AR48" i="1"/>
  <c r="AQ48" i="1"/>
  <c r="AP48" i="1"/>
  <c r="AP44" i="1" s="1"/>
  <c r="AP36" i="1" s="1"/>
  <c r="AO48" i="1"/>
  <c r="AN48" i="1"/>
  <c r="AM48" i="1"/>
  <c r="AL48" i="1"/>
  <c r="AK48" i="1"/>
  <c r="AJ48" i="1"/>
  <c r="AI48" i="1"/>
  <c r="AH48" i="1"/>
  <c r="AG48" i="1"/>
  <c r="AF48" i="1"/>
  <c r="AE48" i="1"/>
  <c r="AD48" i="1"/>
  <c r="AC48" i="1"/>
  <c r="AB48" i="1"/>
  <c r="AA48" i="1"/>
  <c r="Z48" i="1"/>
  <c r="Y48" i="1"/>
  <c r="X48" i="1"/>
  <c r="W48" i="1"/>
  <c r="V48" i="1"/>
  <c r="U48" i="1"/>
  <c r="T48" i="1"/>
  <c r="S48" i="1"/>
  <c r="R48" i="1"/>
  <c r="Q48" i="1"/>
  <c r="P48" i="1"/>
  <c r="O48" i="1"/>
  <c r="N48" i="1"/>
  <c r="M48" i="1"/>
  <c r="L48" i="1"/>
  <c r="K48" i="1"/>
  <c r="J48" i="1"/>
  <c r="I48" i="1"/>
  <c r="H48" i="1"/>
  <c r="G48" i="1"/>
  <c r="F48" i="1"/>
  <c r="E48" i="1"/>
  <c r="D48" i="1"/>
  <c r="AY45" i="1"/>
  <c r="AX45" i="1"/>
  <c r="AW45" i="1"/>
  <c r="AV45" i="1"/>
  <c r="AU45" i="1"/>
  <c r="AT45" i="1"/>
  <c r="AS45" i="1"/>
  <c r="AR45" i="1"/>
  <c r="AQ45" i="1"/>
  <c r="AP45" i="1"/>
  <c r="AO45" i="1"/>
  <c r="AN45" i="1"/>
  <c r="AM45" i="1"/>
  <c r="AL45" i="1"/>
  <c r="AK45" i="1"/>
  <c r="AJ45" i="1"/>
  <c r="AI45" i="1"/>
  <c r="AH45" i="1"/>
  <c r="AG45" i="1"/>
  <c r="AF45" i="1"/>
  <c r="AE45" i="1"/>
  <c r="AD45" i="1"/>
  <c r="AC45" i="1"/>
  <c r="AB45" i="1"/>
  <c r="AA45" i="1"/>
  <c r="Z45" i="1"/>
  <c r="Y45" i="1"/>
  <c r="X45" i="1"/>
  <c r="W45" i="1"/>
  <c r="V45" i="1"/>
  <c r="U45" i="1"/>
  <c r="T45" i="1"/>
  <c r="S45" i="1"/>
  <c r="R45" i="1"/>
  <c r="Q45" i="1"/>
  <c r="P45" i="1"/>
  <c r="O45" i="1"/>
  <c r="N45" i="1"/>
  <c r="M45" i="1"/>
  <c r="L45" i="1"/>
  <c r="K45" i="1"/>
  <c r="J45" i="1"/>
  <c r="I45" i="1"/>
  <c r="H45" i="1"/>
  <c r="G45" i="1"/>
  <c r="F45" i="1"/>
  <c r="E45" i="1"/>
  <c r="D45" i="1"/>
  <c r="AY44" i="1"/>
  <c r="AX44" i="1"/>
  <c r="AX36" i="1" s="1"/>
  <c r="AW44" i="1"/>
  <c r="AV44" i="1"/>
  <c r="AU44" i="1"/>
  <c r="AT44" i="1"/>
  <c r="AS44" i="1"/>
  <c r="AR44" i="1"/>
  <c r="AQ44" i="1"/>
  <c r="AO44" i="1"/>
  <c r="AN44" i="1"/>
  <c r="AM44" i="1"/>
  <c r="AL44" i="1"/>
  <c r="AK44" i="1"/>
  <c r="AJ44" i="1"/>
  <c r="AI44" i="1"/>
  <c r="AH44" i="1"/>
  <c r="AG44" i="1"/>
  <c r="AF44" i="1"/>
  <c r="AE44" i="1"/>
  <c r="AD44" i="1"/>
  <c r="AC44" i="1"/>
  <c r="AB44" i="1"/>
  <c r="AA44" i="1"/>
  <c r="Z44" i="1"/>
  <c r="Y44" i="1"/>
  <c r="X44" i="1"/>
  <c r="W44" i="1"/>
  <c r="V44" i="1"/>
  <c r="U44" i="1"/>
  <c r="T44" i="1"/>
  <c r="S44" i="1"/>
  <c r="R44" i="1"/>
  <c r="Q44" i="1"/>
  <c r="P44" i="1"/>
  <c r="O44" i="1"/>
  <c r="N44" i="1"/>
  <c r="M44" i="1"/>
  <c r="L44" i="1"/>
  <c r="K44" i="1"/>
  <c r="J44" i="1"/>
  <c r="I44" i="1"/>
  <c r="H44" i="1"/>
  <c r="G44" i="1"/>
  <c r="F44" i="1"/>
  <c r="E44" i="1"/>
  <c r="D44" i="1"/>
  <c r="AY37" i="1"/>
  <c r="AX37" i="1"/>
  <c r="AW37" i="1"/>
  <c r="AV37" i="1"/>
  <c r="AU37" i="1"/>
  <c r="AT37" i="1"/>
  <c r="AS37" i="1"/>
  <c r="AR37" i="1"/>
  <c r="AQ37" i="1"/>
  <c r="AP37" i="1"/>
  <c r="AO37" i="1"/>
  <c r="AN37" i="1"/>
  <c r="AM37" i="1"/>
  <c r="AL37" i="1"/>
  <c r="AK37" i="1"/>
  <c r="AJ37" i="1"/>
  <c r="AI37" i="1"/>
  <c r="AH37" i="1"/>
  <c r="AG37" i="1"/>
  <c r="AF37" i="1"/>
  <c r="AE37" i="1"/>
  <c r="AD37" i="1"/>
  <c r="AC37" i="1"/>
  <c r="AB37" i="1"/>
  <c r="AA37" i="1"/>
  <c r="Z37" i="1"/>
  <c r="Y37" i="1"/>
  <c r="X37" i="1"/>
  <c r="W37" i="1"/>
  <c r="V37" i="1"/>
  <c r="U37" i="1"/>
  <c r="T37" i="1"/>
  <c r="S37" i="1"/>
  <c r="R37" i="1"/>
  <c r="Q37" i="1"/>
  <c r="P37" i="1"/>
  <c r="O37" i="1"/>
  <c r="N37" i="1"/>
  <c r="M37" i="1"/>
  <c r="L37" i="1"/>
  <c r="K37" i="1"/>
  <c r="J37" i="1"/>
  <c r="I37" i="1"/>
  <c r="H37" i="1"/>
  <c r="G37" i="1"/>
  <c r="F37" i="1"/>
  <c r="E37" i="1"/>
  <c r="D37" i="1"/>
  <c r="AY36" i="1"/>
  <c r="AU36" i="1"/>
  <c r="AT36" i="1"/>
  <c r="AR36" i="1"/>
  <c r="AQ36" i="1"/>
  <c r="AM36" i="1"/>
  <c r="AL36" i="1"/>
  <c r="AK36" i="1"/>
  <c r="AJ36" i="1"/>
  <c r="AI36" i="1"/>
  <c r="AH36" i="1"/>
  <c r="AG36" i="1"/>
  <c r="AF36" i="1"/>
  <c r="AE36" i="1"/>
  <c r="AD36" i="1"/>
  <c r="AC36" i="1"/>
  <c r="AB36" i="1"/>
  <c r="AA36" i="1"/>
  <c r="Z36" i="1"/>
  <c r="Y36" i="1"/>
  <c r="X36" i="1"/>
  <c r="W36" i="1"/>
  <c r="V36" i="1"/>
  <c r="U36" i="1"/>
  <c r="T36" i="1"/>
  <c r="S36" i="1"/>
  <c r="R36" i="1"/>
  <c r="Q36" i="1"/>
  <c r="P36" i="1"/>
  <c r="O36" i="1"/>
  <c r="N36" i="1"/>
  <c r="M36" i="1"/>
  <c r="L36" i="1"/>
  <c r="K36" i="1"/>
  <c r="J36" i="1"/>
  <c r="I36" i="1"/>
  <c r="H36" i="1"/>
  <c r="G36" i="1"/>
  <c r="F36" i="1"/>
  <c r="E36" i="1"/>
  <c r="D36" i="1"/>
  <c r="AY30" i="1"/>
  <c r="AX30" i="1"/>
  <c r="AW30" i="1"/>
  <c r="AV30" i="1"/>
  <c r="AU30" i="1"/>
  <c r="AT30" i="1"/>
  <c r="AS30" i="1"/>
  <c r="AR30" i="1"/>
  <c r="AQ30" i="1"/>
  <c r="AP30" i="1"/>
  <c r="AO30" i="1"/>
  <c r="AN30" i="1"/>
  <c r="AM30" i="1"/>
  <c r="AL30" i="1"/>
  <c r="AK30" i="1"/>
  <c r="AJ30" i="1"/>
  <c r="AI30" i="1"/>
  <c r="AH30" i="1"/>
  <c r="AG30" i="1"/>
  <c r="AF30" i="1"/>
  <c r="AE30" i="1"/>
  <c r="AD30" i="1"/>
  <c r="AC30" i="1"/>
  <c r="AB30" i="1"/>
  <c r="AA30" i="1"/>
  <c r="Z30" i="1"/>
  <c r="Y30" i="1"/>
  <c r="X30" i="1"/>
  <c r="W30" i="1"/>
  <c r="V30" i="1"/>
  <c r="U30" i="1"/>
  <c r="T30" i="1"/>
  <c r="S30" i="1"/>
  <c r="R30" i="1"/>
  <c r="Q30" i="1"/>
  <c r="P30" i="1"/>
  <c r="O30" i="1"/>
  <c r="N30" i="1"/>
  <c r="M30" i="1"/>
  <c r="L30" i="1"/>
  <c r="K30" i="1"/>
  <c r="J30" i="1"/>
  <c r="I30" i="1"/>
  <c r="H30" i="1"/>
  <c r="G30" i="1"/>
  <c r="F30" i="1"/>
  <c r="E30" i="1"/>
  <c r="D30" i="1"/>
  <c r="AY26" i="1"/>
  <c r="AX26" i="1"/>
  <c r="AW26" i="1"/>
  <c r="AV26" i="1"/>
  <c r="AU26" i="1"/>
  <c r="AT26" i="1"/>
  <c r="AS26" i="1"/>
  <c r="AR26" i="1"/>
  <c r="AQ26" i="1"/>
  <c r="AP26" i="1"/>
  <c r="AO26" i="1"/>
  <c r="AN26" i="1"/>
  <c r="AM26" i="1"/>
  <c r="AL26" i="1"/>
  <c r="AK26" i="1"/>
  <c r="AJ26" i="1"/>
  <c r="AI26" i="1"/>
  <c r="AH26" i="1"/>
  <c r="AG26" i="1"/>
  <c r="AF26" i="1"/>
  <c r="AE26" i="1"/>
  <c r="AD26" i="1"/>
  <c r="AC26" i="1"/>
  <c r="AB26" i="1"/>
  <c r="AA26" i="1"/>
  <c r="Z26" i="1"/>
  <c r="Y26" i="1"/>
  <c r="X26" i="1"/>
  <c r="W26" i="1"/>
  <c r="V26" i="1"/>
  <c r="U26" i="1"/>
  <c r="T26" i="1"/>
  <c r="S26" i="1"/>
  <c r="R26" i="1"/>
  <c r="Q26" i="1"/>
  <c r="P26" i="1"/>
  <c r="O26" i="1"/>
  <c r="N26" i="1"/>
  <c r="M26" i="1"/>
  <c r="L26" i="1"/>
  <c r="K26" i="1"/>
  <c r="J26" i="1"/>
  <c r="I26" i="1"/>
  <c r="H26" i="1"/>
  <c r="G26" i="1"/>
  <c r="F26" i="1"/>
  <c r="E26" i="1"/>
  <c r="D26" i="1"/>
  <c r="AY23" i="1"/>
  <c r="AX23" i="1"/>
  <c r="AW23" i="1"/>
  <c r="AV23" i="1"/>
  <c r="AU23" i="1"/>
  <c r="AT23" i="1"/>
  <c r="AS23" i="1"/>
  <c r="AR23" i="1"/>
  <c r="AQ23" i="1"/>
  <c r="AP23" i="1"/>
  <c r="AO23" i="1"/>
  <c r="AN23" i="1"/>
  <c r="AM23" i="1"/>
  <c r="AL23" i="1"/>
  <c r="AK23" i="1"/>
  <c r="AJ23" i="1"/>
  <c r="AI23" i="1"/>
  <c r="AH23" i="1"/>
  <c r="AG23" i="1"/>
  <c r="AF23" i="1"/>
  <c r="AE23" i="1"/>
  <c r="AD23" i="1"/>
  <c r="AC23" i="1"/>
  <c r="AB23" i="1"/>
  <c r="AA23" i="1"/>
  <c r="Z23" i="1"/>
  <c r="Y23" i="1"/>
  <c r="X23" i="1"/>
  <c r="W23" i="1"/>
  <c r="V23" i="1"/>
  <c r="U23" i="1"/>
  <c r="T23" i="1"/>
  <c r="S23" i="1"/>
  <c r="R23" i="1"/>
  <c r="Q23" i="1"/>
  <c r="P23" i="1"/>
  <c r="O23" i="1"/>
  <c r="N23" i="1"/>
  <c r="M23" i="1"/>
  <c r="L23" i="1"/>
  <c r="K23" i="1"/>
  <c r="J23" i="1"/>
  <c r="I23" i="1"/>
  <c r="H23" i="1"/>
  <c r="G23" i="1"/>
  <c r="F23" i="1"/>
  <c r="E23" i="1"/>
  <c r="D23" i="1"/>
  <c r="AY15" i="1"/>
  <c r="AX15" i="1"/>
  <c r="AW15" i="1"/>
  <c r="AV15" i="1"/>
  <c r="AU15" i="1"/>
  <c r="AT15" i="1"/>
  <c r="AS15" i="1"/>
  <c r="AR15" i="1"/>
  <c r="AQ15" i="1"/>
  <c r="AP15" i="1"/>
  <c r="AP4" i="1" s="1"/>
  <c r="AO15" i="1"/>
  <c r="AN15" i="1"/>
  <c r="AM15" i="1"/>
  <c r="AL15" i="1"/>
  <c r="AK15" i="1"/>
  <c r="AJ15" i="1"/>
  <c r="AI15" i="1"/>
  <c r="AH15" i="1"/>
  <c r="AG15" i="1"/>
  <c r="AF15" i="1"/>
  <c r="AE15" i="1"/>
  <c r="AD15" i="1"/>
  <c r="AC15" i="1"/>
  <c r="AB15" i="1"/>
  <c r="AA15" i="1"/>
  <c r="Z15" i="1"/>
  <c r="Y15" i="1"/>
  <c r="X15" i="1"/>
  <c r="W15" i="1"/>
  <c r="V15" i="1"/>
  <c r="U15" i="1"/>
  <c r="T15" i="1"/>
  <c r="S15" i="1"/>
  <c r="R15" i="1"/>
  <c r="Q15" i="1"/>
  <c r="P15" i="1"/>
  <c r="O15" i="1"/>
  <c r="N15" i="1"/>
  <c r="M15" i="1"/>
  <c r="L15" i="1"/>
  <c r="K15" i="1"/>
  <c r="J15" i="1"/>
  <c r="I15" i="1"/>
  <c r="H15" i="1"/>
  <c r="G15" i="1"/>
  <c r="F15" i="1"/>
  <c r="E15" i="1"/>
  <c r="D15" i="1"/>
  <c r="AY8" i="1"/>
  <c r="AX8" i="1"/>
  <c r="AW8" i="1"/>
  <c r="AV8" i="1"/>
  <c r="AU8" i="1"/>
  <c r="AT8" i="1"/>
  <c r="AS8" i="1"/>
  <c r="AS4" i="1" s="1"/>
  <c r="AR8" i="1"/>
  <c r="AQ8" i="1"/>
  <c r="AP8" i="1"/>
  <c r="AO8" i="1"/>
  <c r="AO4" i="1" s="1"/>
  <c r="AN8" i="1"/>
  <c r="AM8" i="1"/>
  <c r="AL8" i="1"/>
  <c r="AK8" i="1"/>
  <c r="AJ8" i="1"/>
  <c r="AI8" i="1"/>
  <c r="AH8" i="1"/>
  <c r="AG8" i="1"/>
  <c r="AF8" i="1"/>
  <c r="AE8" i="1"/>
  <c r="AD8" i="1"/>
  <c r="AC8" i="1"/>
  <c r="AB8" i="1"/>
  <c r="AA8" i="1"/>
  <c r="Z8" i="1"/>
  <c r="Y8" i="1"/>
  <c r="X8" i="1"/>
  <c r="W8" i="1"/>
  <c r="V8" i="1"/>
  <c r="U8" i="1"/>
  <c r="T8" i="1"/>
  <c r="S8" i="1"/>
  <c r="R8" i="1"/>
  <c r="Q8" i="1"/>
  <c r="P8" i="1"/>
  <c r="O8" i="1"/>
  <c r="N8" i="1"/>
  <c r="M8" i="1"/>
  <c r="L8" i="1"/>
  <c r="K8" i="1"/>
  <c r="J8" i="1"/>
  <c r="I8" i="1"/>
  <c r="H8" i="1"/>
  <c r="G8" i="1"/>
  <c r="F8" i="1"/>
  <c r="E8" i="1"/>
  <c r="D8" i="1"/>
  <c r="AY5" i="1"/>
  <c r="AX5" i="1"/>
  <c r="AW5" i="1"/>
  <c r="AV5" i="1"/>
  <c r="AU5" i="1"/>
  <c r="AU4" i="1" s="1"/>
  <c r="AT5" i="1"/>
  <c r="AS5" i="1"/>
  <c r="AR5" i="1"/>
  <c r="AQ5" i="1"/>
  <c r="AP5" i="1"/>
  <c r="AO5" i="1"/>
  <c r="AN5" i="1"/>
  <c r="AM5" i="1"/>
  <c r="AL5" i="1"/>
  <c r="AK5" i="1"/>
  <c r="AJ5" i="1"/>
  <c r="AI5" i="1"/>
  <c r="AH5" i="1"/>
  <c r="AG5" i="1"/>
  <c r="AF5" i="1"/>
  <c r="AE5" i="1"/>
  <c r="AD5" i="1"/>
  <c r="AC5" i="1"/>
  <c r="AB5" i="1"/>
  <c r="AA5" i="1"/>
  <c r="Z5" i="1"/>
  <c r="Y5" i="1"/>
  <c r="X5" i="1"/>
  <c r="W5" i="1"/>
  <c r="V5" i="1"/>
  <c r="U5" i="1"/>
  <c r="T5" i="1"/>
  <c r="S5" i="1"/>
  <c r="R5" i="1"/>
  <c r="Q5" i="1"/>
  <c r="P5" i="1"/>
  <c r="O5" i="1"/>
  <c r="N5" i="1"/>
  <c r="M5" i="1"/>
  <c r="L5" i="1"/>
  <c r="K5" i="1"/>
  <c r="J5" i="1"/>
  <c r="I5" i="1"/>
  <c r="H5" i="1"/>
  <c r="G5" i="1"/>
  <c r="F5" i="1"/>
  <c r="E5" i="1"/>
  <c r="D5" i="1"/>
  <c r="AY4" i="1"/>
  <c r="AY81" i="1" s="1"/>
  <c r="AX4" i="1"/>
  <c r="AV4" i="1"/>
  <c r="AR4" i="1"/>
  <c r="AQ4" i="1"/>
  <c r="AN4" i="1"/>
  <c r="AM4" i="1"/>
  <c r="AM81" i="1" s="1"/>
  <c r="AL4" i="1"/>
  <c r="AL81" i="1" s="1"/>
  <c r="AK4" i="1"/>
  <c r="AK81" i="1" s="1"/>
  <c r="AJ4" i="1"/>
  <c r="AJ81" i="1" s="1"/>
  <c r="AI4" i="1"/>
  <c r="AI81" i="1" s="1"/>
  <c r="AH4" i="1"/>
  <c r="AH81" i="1" s="1"/>
  <c r="AG4" i="1"/>
  <c r="AG81" i="1" s="1"/>
  <c r="AF4" i="1"/>
  <c r="AF81" i="1" s="1"/>
  <c r="AE4" i="1"/>
  <c r="AE81" i="1" s="1"/>
  <c r="AD4" i="1"/>
  <c r="AD81" i="1" s="1"/>
  <c r="AC4" i="1"/>
  <c r="AC81" i="1" s="1"/>
  <c r="AB4" i="1"/>
  <c r="AB81" i="1" s="1"/>
  <c r="AA4" i="1"/>
  <c r="AA81" i="1" s="1"/>
  <c r="Z4" i="1"/>
  <c r="Z81" i="1" s="1"/>
  <c r="Y4" i="1"/>
  <c r="Y81" i="1" s="1"/>
  <c r="X4" i="1"/>
  <c r="X81" i="1" s="1"/>
  <c r="W4" i="1"/>
  <c r="W81" i="1" s="1"/>
  <c r="V4" i="1"/>
  <c r="V81" i="1" s="1"/>
  <c r="U4" i="1"/>
  <c r="U81" i="1" s="1"/>
  <c r="T4" i="1"/>
  <c r="T81" i="1" s="1"/>
  <c r="S4" i="1"/>
  <c r="S81" i="1" s="1"/>
  <c r="R4" i="1"/>
  <c r="R81" i="1" s="1"/>
  <c r="Q4" i="1"/>
  <c r="Q81" i="1" s="1"/>
  <c r="P4" i="1"/>
  <c r="P81" i="1" s="1"/>
  <c r="O4" i="1"/>
  <c r="O81" i="1" s="1"/>
  <c r="N4" i="1"/>
  <c r="N81" i="1" s="1"/>
  <c r="M4" i="1"/>
  <c r="M81" i="1" s="1"/>
  <c r="L4" i="1"/>
  <c r="L81" i="1" s="1"/>
  <c r="K4" i="1"/>
  <c r="K81" i="1" s="1"/>
  <c r="J4" i="1"/>
  <c r="J81" i="1" s="1"/>
  <c r="I4" i="1"/>
  <c r="I81" i="1" s="1"/>
  <c r="H4" i="1"/>
  <c r="H81" i="1" s="1"/>
  <c r="G4" i="1"/>
  <c r="G81" i="1" s="1"/>
  <c r="F4" i="1"/>
  <c r="F81" i="1" s="1"/>
  <c r="E4" i="1"/>
  <c r="E81" i="1" s="1"/>
  <c r="D4" i="1"/>
  <c r="D81" i="1" s="1"/>
  <c r="BW129" i="1"/>
  <c r="BV129" i="1"/>
  <c r="BU129" i="1"/>
  <c r="BT129" i="1"/>
  <c r="BS129" i="1"/>
  <c r="BR129" i="1"/>
  <c r="BQ129" i="1"/>
  <c r="BW126" i="1"/>
  <c r="BV126" i="1"/>
  <c r="BU126" i="1"/>
  <c r="BT126" i="1"/>
  <c r="BS126" i="1"/>
  <c r="BR126" i="1"/>
  <c r="BQ126" i="1"/>
  <c r="BW115" i="1"/>
  <c r="BV115" i="1"/>
  <c r="BU115" i="1"/>
  <c r="BT115" i="1"/>
  <c r="BS115" i="1"/>
  <c r="BS114" i="1" s="1"/>
  <c r="BR115" i="1"/>
  <c r="BR114" i="1" s="1"/>
  <c r="BQ115" i="1"/>
  <c r="BQ114" i="1" s="1"/>
  <c r="BW114" i="1"/>
  <c r="BV114" i="1"/>
  <c r="BT114" i="1"/>
  <c r="BW99" i="1"/>
  <c r="BV99" i="1"/>
  <c r="BU99" i="1"/>
  <c r="BT99" i="1"/>
  <c r="BS99" i="1"/>
  <c r="BR99" i="1"/>
  <c r="BQ99" i="1"/>
  <c r="BW83" i="1"/>
  <c r="BV83" i="1"/>
  <c r="BU83" i="1"/>
  <c r="BU82" i="1" s="1"/>
  <c r="BT83" i="1"/>
  <c r="BT82" i="1" s="1"/>
  <c r="BS83" i="1"/>
  <c r="BS82" i="1" s="1"/>
  <c r="BR83" i="1"/>
  <c r="BQ83" i="1"/>
  <c r="BQ82" i="1" s="1"/>
  <c r="BW82" i="1"/>
  <c r="BV82" i="1"/>
  <c r="BW76" i="1"/>
  <c r="BV76" i="1"/>
  <c r="BU76" i="1"/>
  <c r="BT76" i="1"/>
  <c r="BS76" i="1"/>
  <c r="BR76" i="1"/>
  <c r="BQ76" i="1"/>
  <c r="BW69" i="1"/>
  <c r="BV69" i="1"/>
  <c r="BU69" i="1"/>
  <c r="BT69" i="1"/>
  <c r="BS69" i="1"/>
  <c r="BR69" i="1"/>
  <c r="BQ69" i="1"/>
  <c r="BW66" i="1"/>
  <c r="BV66" i="1"/>
  <c r="BU66" i="1"/>
  <c r="BT66" i="1"/>
  <c r="BS66" i="1"/>
  <c r="BR66" i="1"/>
  <c r="BQ66" i="1"/>
  <c r="BW63" i="1"/>
  <c r="BV63" i="1"/>
  <c r="BU63" i="1"/>
  <c r="BT63" i="1"/>
  <c r="BS63" i="1"/>
  <c r="BR63" i="1"/>
  <c r="BQ63" i="1"/>
  <c r="BW57" i="1"/>
  <c r="BV57" i="1"/>
  <c r="BU57" i="1"/>
  <c r="BT57" i="1"/>
  <c r="BS57" i="1"/>
  <c r="BR57" i="1"/>
  <c r="BR55" i="1" s="1"/>
  <c r="BR54" i="1" s="1"/>
  <c r="BQ57" i="1"/>
  <c r="BQ55" i="1" s="1"/>
  <c r="BQ54" i="1" s="1"/>
  <c r="BW55" i="1"/>
  <c r="BV55" i="1"/>
  <c r="BV54" i="1" s="1"/>
  <c r="BU55" i="1"/>
  <c r="BU54" i="1" s="1"/>
  <c r="BT55" i="1"/>
  <c r="BS55" i="1"/>
  <c r="BW54" i="1"/>
  <c r="BT54" i="1"/>
  <c r="BS54" i="1"/>
  <c r="BW51" i="1"/>
  <c r="BV51" i="1"/>
  <c r="BU51" i="1"/>
  <c r="BT51" i="1"/>
  <c r="BS51" i="1"/>
  <c r="BS44" i="1" s="1"/>
  <c r="BR51" i="1"/>
  <c r="BQ51" i="1"/>
  <c r="BW48" i="1"/>
  <c r="BV48" i="1"/>
  <c r="BU48" i="1"/>
  <c r="BT48" i="1"/>
  <c r="BS48" i="1"/>
  <c r="BR48" i="1"/>
  <c r="BQ48" i="1"/>
  <c r="BW45" i="1"/>
  <c r="BV45" i="1"/>
  <c r="BV44" i="1" s="1"/>
  <c r="BU45" i="1"/>
  <c r="BU44" i="1" s="1"/>
  <c r="BT45" i="1"/>
  <c r="BT44" i="1" s="1"/>
  <c r="BS45" i="1"/>
  <c r="BR45" i="1"/>
  <c r="BR44" i="1" s="1"/>
  <c r="BQ45" i="1"/>
  <c r="BQ44" i="1" s="1"/>
  <c r="BW44" i="1"/>
  <c r="BW36" i="1" s="1"/>
  <c r="BW37" i="1"/>
  <c r="BV37" i="1"/>
  <c r="BU37" i="1"/>
  <c r="BT37" i="1"/>
  <c r="BS37" i="1"/>
  <c r="BR37" i="1"/>
  <c r="BQ37" i="1"/>
  <c r="BW30" i="1"/>
  <c r="BV30" i="1"/>
  <c r="BU30" i="1"/>
  <c r="BT30" i="1"/>
  <c r="BS30" i="1"/>
  <c r="BR30" i="1"/>
  <c r="BQ30" i="1"/>
  <c r="BW26" i="1"/>
  <c r="BV26" i="1"/>
  <c r="BU26" i="1"/>
  <c r="BT26" i="1"/>
  <c r="BS26" i="1"/>
  <c r="BR26" i="1"/>
  <c r="BQ26" i="1"/>
  <c r="BW23" i="1"/>
  <c r="BV23" i="1"/>
  <c r="BU23" i="1"/>
  <c r="BT23" i="1"/>
  <c r="BS23" i="1"/>
  <c r="BR23" i="1"/>
  <c r="BQ23" i="1"/>
  <c r="BW15" i="1"/>
  <c r="BV15" i="1"/>
  <c r="BU15" i="1"/>
  <c r="BT15" i="1"/>
  <c r="BS15" i="1"/>
  <c r="BR15" i="1"/>
  <c r="BQ15" i="1"/>
  <c r="BW8" i="1"/>
  <c r="BW4" i="1" s="1"/>
  <c r="BV8" i="1"/>
  <c r="BU8" i="1"/>
  <c r="BU4" i="1" s="1"/>
  <c r="BT8" i="1"/>
  <c r="BT4" i="1" s="1"/>
  <c r="BS8" i="1"/>
  <c r="BR8" i="1"/>
  <c r="BQ8" i="1"/>
  <c r="BW5" i="1"/>
  <c r="BV5" i="1"/>
  <c r="BV4" i="1" s="1"/>
  <c r="BU5" i="1"/>
  <c r="BT5" i="1"/>
  <c r="BS5" i="1"/>
  <c r="BR5" i="1"/>
  <c r="BQ5" i="1"/>
  <c r="BQ4" i="1" s="1"/>
  <c r="BS4" i="1"/>
  <c r="BR4" i="1"/>
  <c r="B1" i="5"/>
  <c r="B1" i="4"/>
  <c r="B1" i="3"/>
  <c r="B1" i="2"/>
  <c r="B1" i="1"/>
  <c r="AZ58" i="5"/>
  <c r="BL67" i="5"/>
  <c r="BK67" i="5"/>
  <c r="BJ67" i="5"/>
  <c r="BI67" i="5"/>
  <c r="BH67" i="5"/>
  <c r="BG67" i="5"/>
  <c r="BF67" i="5"/>
  <c r="BE67" i="5"/>
  <c r="BD67" i="5"/>
  <c r="BC67" i="5"/>
  <c r="BB67" i="5"/>
  <c r="BA67" i="5"/>
  <c r="AZ67" i="5"/>
  <c r="BL58" i="5"/>
  <c r="BK58" i="5"/>
  <c r="BJ58" i="5"/>
  <c r="BI58" i="5"/>
  <c r="BH58" i="5"/>
  <c r="BG58" i="5"/>
  <c r="BF58" i="5"/>
  <c r="BE58" i="5"/>
  <c r="BD58" i="5"/>
  <c r="BC58" i="5"/>
  <c r="BB58" i="5"/>
  <c r="BA58" i="5"/>
  <c r="AU30" i="4" l="1"/>
  <c r="AX11" i="4"/>
  <c r="AV30" i="4"/>
  <c r="AQ11" i="4"/>
  <c r="AU5" i="3"/>
  <c r="AU13" i="3" s="1"/>
  <c r="AU23" i="3" s="1"/>
  <c r="AU41" i="3" s="1"/>
  <c r="AR11" i="4"/>
  <c r="AP12" i="4"/>
  <c r="AP48" i="4" s="1"/>
  <c r="AQ29" i="4"/>
  <c r="AS11" i="4"/>
  <c r="AQ12" i="4"/>
  <c r="AQ54" i="4" s="1"/>
  <c r="AO129" i="1"/>
  <c r="AW129" i="1"/>
  <c r="AT129" i="1"/>
  <c r="AP129" i="1"/>
  <c r="AR81" i="1"/>
  <c r="AQ81" i="1"/>
  <c r="AU81" i="1"/>
  <c r="AO36" i="1"/>
  <c r="AS81" i="1"/>
  <c r="AV81" i="1"/>
  <c r="AX81" i="1"/>
  <c r="AN81" i="1"/>
  <c r="AP81" i="1"/>
  <c r="AO81" i="1"/>
  <c r="AT4" i="1"/>
  <c r="AT81" i="1" s="1"/>
  <c r="AW4" i="1"/>
  <c r="AW81" i="1" s="1"/>
  <c r="P9" i="2"/>
  <c r="P12" i="4"/>
  <c r="P48" i="4"/>
  <c r="AB29" i="4"/>
  <c r="AP29" i="4"/>
  <c r="AE48" i="4"/>
  <c r="N54" i="4"/>
  <c r="AB54" i="4"/>
  <c r="AM37" i="4"/>
  <c r="W57" i="4"/>
  <c r="AV57" i="4"/>
  <c r="P29" i="4"/>
  <c r="P54" i="4"/>
  <c r="AR9" i="2"/>
  <c r="AR12" i="4"/>
  <c r="AR54" i="4" s="1"/>
  <c r="AS29" i="4"/>
  <c r="AV48" i="4"/>
  <c r="AE54" i="4"/>
  <c r="D54" i="4"/>
  <c r="P37" i="4"/>
  <c r="U29" i="4"/>
  <c r="AI29" i="4"/>
  <c r="AM39" i="4"/>
  <c r="AM48" i="4"/>
  <c r="P57" i="4"/>
  <c r="AG37" i="4"/>
  <c r="AU37" i="4"/>
  <c r="W54" i="4"/>
  <c r="AD9" i="2"/>
  <c r="AD12" i="4"/>
  <c r="AD54" i="4" s="1"/>
  <c r="AL29" i="4"/>
  <c r="M29" i="4"/>
  <c r="AA39" i="4"/>
  <c r="AM29" i="4"/>
  <c r="N48" i="4"/>
  <c r="AB48" i="4"/>
  <c r="AT20" i="2"/>
  <c r="F5" i="3"/>
  <c r="F13" i="3" s="1"/>
  <c r="F23" i="3" s="1"/>
  <c r="F41" i="3" s="1"/>
  <c r="L11" i="4"/>
  <c r="AN11" i="4"/>
  <c r="G30" i="4"/>
  <c r="U30" i="4"/>
  <c r="U31" i="4" s="1"/>
  <c r="AI30" i="4"/>
  <c r="AI31" i="4" s="1"/>
  <c r="AW30" i="4"/>
  <c r="K32" i="4"/>
  <c r="AM32" i="4"/>
  <c r="AM33" i="4" s="1"/>
  <c r="AA34" i="4"/>
  <c r="AC37" i="4"/>
  <c r="G5" i="3"/>
  <c r="G13" i="3" s="1"/>
  <c r="G23" i="3" s="1"/>
  <c r="G41" i="3" s="1"/>
  <c r="AI5" i="3"/>
  <c r="AI13" i="3" s="1"/>
  <c r="AI23" i="3" s="1"/>
  <c r="AI41" i="3" s="1"/>
  <c r="BK5" i="3"/>
  <c r="BK13" i="3" s="1"/>
  <c r="BK23" i="3" s="1"/>
  <c r="BK41" i="3" s="1"/>
  <c r="M11" i="4"/>
  <c r="AA11" i="4"/>
  <c r="AO11" i="4"/>
  <c r="Q12" i="4"/>
  <c r="Q37" i="4" s="1"/>
  <c r="AE12" i="4"/>
  <c r="AE37" i="4" s="1"/>
  <c r="AS12" i="4"/>
  <c r="AS48" i="4" s="1"/>
  <c r="H30" i="4"/>
  <c r="V30" i="4"/>
  <c r="AJ30" i="4"/>
  <c r="AJ31" i="4" s="1"/>
  <c r="AX30" i="4"/>
  <c r="Z32" i="4"/>
  <c r="N34" i="4"/>
  <c r="N35" i="4" s="1"/>
  <c r="AD37" i="4"/>
  <c r="AV31" i="4"/>
  <c r="N37" i="4"/>
  <c r="AH20" i="2"/>
  <c r="V5" i="3"/>
  <c r="V13" i="3" s="1"/>
  <c r="V23" i="3" s="1"/>
  <c r="V41" i="3" s="1"/>
  <c r="AX5" i="3"/>
  <c r="AX13" i="3" s="1"/>
  <c r="AX23" i="3" s="1"/>
  <c r="AX41" i="3" s="1"/>
  <c r="N11" i="4"/>
  <c r="AB11" i="4"/>
  <c r="D12" i="4"/>
  <c r="D48" i="4" s="1"/>
  <c r="R12" i="4"/>
  <c r="R48" i="4" s="1"/>
  <c r="AF12" i="4"/>
  <c r="AF48" i="4" s="1"/>
  <c r="AT12" i="4"/>
  <c r="AT48" i="4" s="1"/>
  <c r="I30" i="4"/>
  <c r="W30" i="4"/>
  <c r="W31" i="4" s="1"/>
  <c r="AK30" i="4"/>
  <c r="AK31" i="4" s="1"/>
  <c r="AY30" i="4"/>
  <c r="AY31" i="4" s="1"/>
  <c r="AA32" i="4"/>
  <c r="E12" i="4"/>
  <c r="E48" i="4" s="1"/>
  <c r="S12" i="4"/>
  <c r="S48" i="4" s="1"/>
  <c r="AG12" i="4"/>
  <c r="AG48" i="4" s="1"/>
  <c r="AU12" i="4"/>
  <c r="AU48" i="4" s="1"/>
  <c r="J30" i="4"/>
  <c r="X30" i="4"/>
  <c r="X31" i="4" s="1"/>
  <c r="AL30" i="4"/>
  <c r="N32" i="4"/>
  <c r="N33" i="4" s="1"/>
  <c r="D37" i="4"/>
  <c r="BT20" i="2"/>
  <c r="BT23" i="2" s="1"/>
  <c r="F12" i="4"/>
  <c r="F37" i="4" s="1"/>
  <c r="T12" i="4"/>
  <c r="T37" i="4" s="1"/>
  <c r="AH12" i="4"/>
  <c r="AH37" i="4" s="1"/>
  <c r="AV12" i="4"/>
  <c r="AV29" i="4" s="1"/>
  <c r="K30" i="4"/>
  <c r="Y30" i="4"/>
  <c r="AM30" i="4"/>
  <c r="AM31" i="4" s="1"/>
  <c r="AE34" i="4"/>
  <c r="AE35" i="4" s="1"/>
  <c r="E37" i="4"/>
  <c r="Z57" i="4"/>
  <c r="W20" i="2"/>
  <c r="AY20" i="2"/>
  <c r="K5" i="3"/>
  <c r="K13" i="3" s="1"/>
  <c r="K23" i="3" s="1"/>
  <c r="K41" i="3" s="1"/>
  <c r="AM5" i="3"/>
  <c r="AM13" i="3" s="1"/>
  <c r="AM23" i="3" s="1"/>
  <c r="AM41" i="3" s="1"/>
  <c r="G12" i="4"/>
  <c r="G39" i="4" s="1"/>
  <c r="U12" i="4"/>
  <c r="U37" i="4" s="1"/>
  <c r="AI12" i="4"/>
  <c r="AI57" i="4" s="1"/>
  <c r="AW12" i="4"/>
  <c r="AW29" i="4" s="1"/>
  <c r="L30" i="4"/>
  <c r="Z30" i="4"/>
  <c r="AN30" i="4"/>
  <c r="R34" i="4"/>
  <c r="R35" i="4" s="1"/>
  <c r="J20" i="2"/>
  <c r="AL20" i="2"/>
  <c r="BV20" i="2"/>
  <c r="Z5" i="3"/>
  <c r="Z13" i="3" s="1"/>
  <c r="Z23" i="3" s="1"/>
  <c r="Z41" i="3" s="1"/>
  <c r="BB5" i="3"/>
  <c r="BB13" i="3" s="1"/>
  <c r="BB23" i="3" s="1"/>
  <c r="BB41" i="3" s="1"/>
  <c r="D11" i="4"/>
  <c r="AF11" i="4"/>
  <c r="AT11" i="4"/>
  <c r="H12" i="4"/>
  <c r="H29" i="4" s="1"/>
  <c r="V12" i="4"/>
  <c r="V29" i="4" s="1"/>
  <c r="AJ12" i="4"/>
  <c r="AJ29" i="4" s="1"/>
  <c r="AX12" i="4"/>
  <c r="AX29" i="4" s="1"/>
  <c r="M30" i="4"/>
  <c r="AA30" i="4"/>
  <c r="AA31" i="4" s="1"/>
  <c r="AO30" i="4"/>
  <c r="AE32" i="4"/>
  <c r="AE33" i="4" s="1"/>
  <c r="S34" i="4"/>
  <c r="S35" i="4" s="1"/>
  <c r="AU34" i="4"/>
  <c r="AU35" i="4" s="1"/>
  <c r="N57" i="4"/>
  <c r="AB57" i="4"/>
  <c r="AP57" i="4"/>
  <c r="BW20" i="2"/>
  <c r="AA5" i="3"/>
  <c r="AA13" i="3" s="1"/>
  <c r="AA23" i="3" s="1"/>
  <c r="AA41" i="3" s="1"/>
  <c r="BC5" i="3"/>
  <c r="BC13" i="3" s="1"/>
  <c r="BC23" i="3" s="1"/>
  <c r="BC41" i="3" s="1"/>
  <c r="E11" i="4"/>
  <c r="S11" i="4"/>
  <c r="AG11" i="4"/>
  <c r="AU11" i="4"/>
  <c r="I12" i="4"/>
  <c r="I37" i="4" s="1"/>
  <c r="W12" i="4"/>
  <c r="AK12" i="4"/>
  <c r="AK29" i="4" s="1"/>
  <c r="AY12" i="4"/>
  <c r="AY29" i="4" s="1"/>
  <c r="N30" i="4"/>
  <c r="N31" i="4" s="1"/>
  <c r="AB30" i="4"/>
  <c r="AB31" i="4" s="1"/>
  <c r="AP30" i="4"/>
  <c r="R32" i="4"/>
  <c r="R33" i="4" s="1"/>
  <c r="F34" i="4"/>
  <c r="F35" i="4" s="1"/>
  <c r="AJ37" i="4"/>
  <c r="AC57" i="4"/>
  <c r="N5" i="3"/>
  <c r="N13" i="3" s="1"/>
  <c r="N23" i="3" s="1"/>
  <c r="N41" i="3" s="1"/>
  <c r="F11" i="4"/>
  <c r="T11" i="4"/>
  <c r="AV11" i="4"/>
  <c r="J12" i="4"/>
  <c r="J48" i="4" s="1"/>
  <c r="X12" i="4"/>
  <c r="X37" i="4" s="1"/>
  <c r="AL12" i="4"/>
  <c r="AL48" i="4" s="1"/>
  <c r="O30" i="4"/>
  <c r="O31" i="4" s="1"/>
  <c r="AC30" i="4"/>
  <c r="AC31" i="4" s="1"/>
  <c r="AQ30" i="4"/>
  <c r="S32" i="4"/>
  <c r="AU32" i="4"/>
  <c r="AU33" i="4" s="1"/>
  <c r="G34" i="4"/>
  <c r="G35" i="4" s="1"/>
  <c r="AI34" i="4"/>
  <c r="AI35" i="4" s="1"/>
  <c r="AK37" i="4"/>
  <c r="AY37" i="4"/>
  <c r="AD57" i="4"/>
  <c r="AR57" i="4"/>
  <c r="AI11" i="4"/>
  <c r="AW11" i="4"/>
  <c r="K12" i="4"/>
  <c r="K48" i="4" s="1"/>
  <c r="Y12" i="4"/>
  <c r="Y48" i="4" s="1"/>
  <c r="AM12" i="4"/>
  <c r="AM54" i="4" s="1"/>
  <c r="F32" i="4"/>
  <c r="F33" i="4" s="1"/>
  <c r="V34" i="4"/>
  <c r="AX34" i="4"/>
  <c r="AX35" i="4" s="1"/>
  <c r="AL37" i="4"/>
  <c r="Q57" i="4"/>
  <c r="AS57" i="4"/>
  <c r="AW57" i="4"/>
  <c r="AP20" i="2"/>
  <c r="H11" i="4"/>
  <c r="V11" i="4"/>
  <c r="AJ11" i="4"/>
  <c r="L12" i="4"/>
  <c r="L54" i="4" s="1"/>
  <c r="Z12" i="4"/>
  <c r="Z54" i="4" s="1"/>
  <c r="AN12" i="4"/>
  <c r="AN54" i="4" s="1"/>
  <c r="Q30" i="4"/>
  <c r="Q31" i="4" s="1"/>
  <c r="AE30" i="4"/>
  <c r="AE31" i="4" s="1"/>
  <c r="AS30" i="4"/>
  <c r="G32" i="4"/>
  <c r="G33" i="4" s="1"/>
  <c r="AI32" i="4"/>
  <c r="AI33" i="4" s="1"/>
  <c r="K37" i="4"/>
  <c r="R57" i="4"/>
  <c r="AT57" i="4"/>
  <c r="Z35" i="4"/>
  <c r="AB37" i="4"/>
  <c r="O20" i="2"/>
  <c r="AQ20" i="2"/>
  <c r="AE5" i="3"/>
  <c r="AE13" i="3" s="1"/>
  <c r="AE23" i="3" s="1"/>
  <c r="AE41" i="3" s="1"/>
  <c r="BG5" i="3"/>
  <c r="BG13" i="3" s="1"/>
  <c r="BG23" i="3" s="1"/>
  <c r="BG41" i="3" s="1"/>
  <c r="I11" i="4"/>
  <c r="W11" i="4"/>
  <c r="AK11" i="4"/>
  <c r="AY11" i="4"/>
  <c r="M12" i="4"/>
  <c r="M54" i="4" s="1"/>
  <c r="AA12" i="4"/>
  <c r="AA54" i="4" s="1"/>
  <c r="AO12" i="4"/>
  <c r="AO54" i="4" s="1"/>
  <c r="D30" i="4"/>
  <c r="D31" i="4" s="1"/>
  <c r="R30" i="4"/>
  <c r="R31" i="4" s="1"/>
  <c r="AF30" i="4"/>
  <c r="AF31" i="4" s="1"/>
  <c r="AT30" i="4"/>
  <c r="AT31" i="4" s="1"/>
  <c r="V32" i="4"/>
  <c r="AX32" i="4"/>
  <c r="AX33" i="4" s="1"/>
  <c r="L37" i="4"/>
  <c r="E57" i="4"/>
  <c r="S57" i="4"/>
  <c r="AG57" i="4"/>
  <c r="BT5" i="3"/>
  <c r="BT13" i="3" s="1"/>
  <c r="BT23" i="3" s="1"/>
  <c r="BT41" i="3" s="1"/>
  <c r="BR23" i="2"/>
  <c r="BS5" i="3"/>
  <c r="BS13" i="3" s="1"/>
  <c r="BS23" i="3" s="1"/>
  <c r="BS41" i="3" s="1"/>
  <c r="BQ5" i="3"/>
  <c r="BQ13" i="3" s="1"/>
  <c r="BQ23" i="3" s="1"/>
  <c r="BQ41" i="3" s="1"/>
  <c r="BU5" i="3"/>
  <c r="BU13" i="3" s="1"/>
  <c r="BU23" i="3" s="1"/>
  <c r="BU41" i="3" s="1"/>
  <c r="AF20" i="2"/>
  <c r="AN20" i="2"/>
  <c r="AV20" i="2"/>
  <c r="AG20" i="2"/>
  <c r="AO20" i="2"/>
  <c r="AW20" i="2"/>
  <c r="AJ20" i="2"/>
  <c r="AK20" i="2"/>
  <c r="AS20" i="2"/>
  <c r="H20" i="2"/>
  <c r="X20" i="2"/>
  <c r="I20" i="2"/>
  <c r="Q20" i="2"/>
  <c r="Y20" i="2"/>
  <c r="D20" i="2"/>
  <c r="L20" i="2"/>
  <c r="T20" i="2"/>
  <c r="AB20" i="2"/>
  <c r="E20" i="2"/>
  <c r="M20" i="2"/>
  <c r="U20" i="2"/>
  <c r="AC20" i="2"/>
  <c r="BR82" i="1"/>
  <c r="BS36" i="1"/>
  <c r="BS81" i="1" s="1"/>
  <c r="BU36" i="1"/>
  <c r="BU81" i="1" s="1"/>
  <c r="BT36" i="1"/>
  <c r="BT81" i="1" s="1"/>
  <c r="BR36" i="1"/>
  <c r="BR81" i="1" s="1"/>
  <c r="BV36" i="1"/>
  <c r="BV81" i="1" s="1"/>
  <c r="BW81" i="1"/>
  <c r="BU114" i="1"/>
  <c r="BQ36" i="1"/>
  <c r="BQ81" i="1" s="1"/>
  <c r="BL4" i="5"/>
  <c r="AP31" i="4" l="1"/>
  <c r="AS37" i="4"/>
  <c r="AP37" i="4"/>
  <c r="AV37" i="4"/>
  <c r="AW48" i="4"/>
  <c r="AP54" i="4"/>
  <c r="AQ57" i="4"/>
  <c r="AX31" i="4"/>
  <c r="AQ37" i="4"/>
  <c r="AS54" i="4"/>
  <c r="AS31" i="4"/>
  <c r="AQ48" i="4"/>
  <c r="AQ31" i="4"/>
  <c r="AT37" i="4"/>
  <c r="AR37" i="4"/>
  <c r="AV54" i="4"/>
  <c r="AH31" i="4"/>
  <c r="T23" i="2"/>
  <c r="T38" i="4" s="1"/>
  <c r="T39" i="4" s="1"/>
  <c r="T32" i="4"/>
  <c r="T33" i="4" s="1"/>
  <c r="T34" i="4"/>
  <c r="T35" i="4" s="1"/>
  <c r="T5" i="3"/>
  <c r="T13" i="3" s="1"/>
  <c r="T23" i="3" s="1"/>
  <c r="T41" i="3" s="1"/>
  <c r="J31" i="4"/>
  <c r="AH23" i="2"/>
  <c r="AH38" i="4" s="1"/>
  <c r="AH39" i="4" s="1"/>
  <c r="AH32" i="4"/>
  <c r="AH33" i="4" s="1"/>
  <c r="AH34" i="4"/>
  <c r="AH35" i="4" s="1"/>
  <c r="AH5" i="3"/>
  <c r="AH13" i="3" s="1"/>
  <c r="AH23" i="3" s="1"/>
  <c r="AH41" i="3" s="1"/>
  <c r="K54" i="4"/>
  <c r="K39" i="4"/>
  <c r="T29" i="4"/>
  <c r="V33" i="4"/>
  <c r="AX37" i="4"/>
  <c r="AN31" i="4"/>
  <c r="L57" i="4"/>
  <c r="V31" i="4"/>
  <c r="AH57" i="4"/>
  <c r="G31" i="4"/>
  <c r="T57" i="4"/>
  <c r="J29" i="4"/>
  <c r="Z29" i="4"/>
  <c r="G29" i="4"/>
  <c r="F29" i="4"/>
  <c r="AI48" i="4"/>
  <c r="Q54" i="4"/>
  <c r="AE29" i="4"/>
  <c r="AR29" i="4"/>
  <c r="Y37" i="4"/>
  <c r="Q48" i="4"/>
  <c r="X29" i="4"/>
  <c r="L23" i="2"/>
  <c r="L38" i="4" s="1"/>
  <c r="L39" i="4" s="1"/>
  <c r="L5" i="3"/>
  <c r="L13" i="3" s="1"/>
  <c r="L23" i="3" s="1"/>
  <c r="L41" i="3" s="1"/>
  <c r="L34" i="4"/>
  <c r="L35" i="4" s="1"/>
  <c r="L32" i="4"/>
  <c r="L33" i="4" s="1"/>
  <c r="D23" i="2"/>
  <c r="D38" i="4" s="1"/>
  <c r="D39" i="4" s="1"/>
  <c r="D32" i="4"/>
  <c r="D33" i="4" s="1"/>
  <c r="D34" i="4"/>
  <c r="D35" i="4" s="1"/>
  <c r="D5" i="3"/>
  <c r="D13" i="3" s="1"/>
  <c r="D23" i="3" s="1"/>
  <c r="D41" i="3" s="1"/>
  <c r="D44" i="3" s="1"/>
  <c r="E42" i="3" s="1"/>
  <c r="AJ23" i="2"/>
  <c r="AJ38" i="4" s="1"/>
  <c r="AJ39" i="4" s="1"/>
  <c r="AJ32" i="4"/>
  <c r="AJ33" i="4" s="1"/>
  <c r="AJ34" i="4"/>
  <c r="AJ35" i="4" s="1"/>
  <c r="AJ5" i="3"/>
  <c r="AJ13" i="3" s="1"/>
  <c r="AJ23" i="3" s="1"/>
  <c r="AJ41" i="3" s="1"/>
  <c r="Z31" i="4"/>
  <c r="I31" i="4"/>
  <c r="H31" i="4"/>
  <c r="AE39" i="4"/>
  <c r="AF57" i="4"/>
  <c r="Z39" i="4"/>
  <c r="AW54" i="4"/>
  <c r="AA29" i="4"/>
  <c r="G57" i="4"/>
  <c r="AU29" i="4"/>
  <c r="U48" i="4"/>
  <c r="Q29" i="4"/>
  <c r="AD29" i="4"/>
  <c r="AG31" i="4"/>
  <c r="BJ5" i="3"/>
  <c r="BJ13" i="3" s="1"/>
  <c r="BJ23" i="3" s="1"/>
  <c r="BJ41" i="3" s="1"/>
  <c r="Y54" i="4"/>
  <c r="AH29" i="4"/>
  <c r="AZ13" i="3"/>
  <c r="AZ23" i="3" s="1"/>
  <c r="AZ41" i="3" s="1"/>
  <c r="AP23" i="2"/>
  <c r="AP38" i="4" s="1"/>
  <c r="AP39" i="4" s="1"/>
  <c r="AP5" i="3"/>
  <c r="AP13" i="3" s="1"/>
  <c r="AP23" i="3" s="1"/>
  <c r="AP41" i="3" s="1"/>
  <c r="AP32" i="4"/>
  <c r="AP33" i="4" s="1"/>
  <c r="AP34" i="4"/>
  <c r="AP35" i="4" s="1"/>
  <c r="Y23" i="2"/>
  <c r="Y38" i="4" s="1"/>
  <c r="Y39" i="4" s="1"/>
  <c r="Y5" i="3"/>
  <c r="Y13" i="3" s="1"/>
  <c r="Y23" i="3" s="1"/>
  <c r="Y41" i="3" s="1"/>
  <c r="Y32" i="4"/>
  <c r="Y33" i="4" s="1"/>
  <c r="Y34" i="4"/>
  <c r="Y35" i="4" s="1"/>
  <c r="BE5" i="3"/>
  <c r="BE13" i="3" s="1"/>
  <c r="BE23" i="3" s="1"/>
  <c r="BE41" i="3" s="1"/>
  <c r="AQ23" i="2"/>
  <c r="AQ38" i="4" s="1"/>
  <c r="AQ39" i="4" s="1"/>
  <c r="AQ5" i="3"/>
  <c r="AQ13" i="3" s="1"/>
  <c r="AQ23" i="3" s="1"/>
  <c r="AQ41" i="3" s="1"/>
  <c r="AQ32" i="4"/>
  <c r="AQ33" i="4" s="1"/>
  <c r="AQ34" i="4"/>
  <c r="AQ35" i="4" s="1"/>
  <c r="U57" i="4"/>
  <c r="V37" i="4"/>
  <c r="BV23" i="2"/>
  <c r="BV5" i="3"/>
  <c r="BV13" i="3" s="1"/>
  <c r="BV23" i="3" s="1"/>
  <c r="BV41" i="3" s="1"/>
  <c r="L31" i="4"/>
  <c r="S37" i="4"/>
  <c r="AX57" i="4"/>
  <c r="AD16" i="2"/>
  <c r="AD20" i="2" s="1"/>
  <c r="AD30" i="4"/>
  <c r="AD31" i="4" s="1"/>
  <c r="S31" i="4"/>
  <c r="AI54" i="4"/>
  <c r="AG29" i="4"/>
  <c r="G48" i="4"/>
  <c r="F39" i="4"/>
  <c r="K35" i="4"/>
  <c r="Q23" i="2"/>
  <c r="Q38" i="4" s="1"/>
  <c r="Q39" i="4" s="1"/>
  <c r="Q5" i="3"/>
  <c r="Q13" i="3" s="1"/>
  <c r="Q23" i="3" s="1"/>
  <c r="Q41" i="3" s="1"/>
  <c r="Q32" i="4"/>
  <c r="Q33" i="4" s="1"/>
  <c r="Q34" i="4"/>
  <c r="Q35" i="4" s="1"/>
  <c r="AW23" i="2"/>
  <c r="AW38" i="4" s="1"/>
  <c r="AW39" i="4" s="1"/>
  <c r="AW32" i="4"/>
  <c r="AW33" i="4" s="1"/>
  <c r="AW34" i="4"/>
  <c r="AW35" i="4" s="1"/>
  <c r="AW5" i="3"/>
  <c r="AW13" i="3" s="1"/>
  <c r="AW23" i="3" s="1"/>
  <c r="AW41" i="3" s="1"/>
  <c r="O23" i="2"/>
  <c r="O38" i="4" s="1"/>
  <c r="O39" i="4" s="1"/>
  <c r="O5" i="3"/>
  <c r="O13" i="3" s="1"/>
  <c r="O23" i="3" s="1"/>
  <c r="O41" i="3" s="1"/>
  <c r="O32" i="4"/>
  <c r="O33" i="4" s="1"/>
  <c r="O34" i="4"/>
  <c r="O35" i="4" s="1"/>
  <c r="AO31" i="4"/>
  <c r="AL23" i="2"/>
  <c r="AL38" i="4" s="1"/>
  <c r="AL39" i="4" s="1"/>
  <c r="AL34" i="4"/>
  <c r="AL35" i="4" s="1"/>
  <c r="AL5" i="3"/>
  <c r="AL13" i="3" s="1"/>
  <c r="AL23" i="3" s="1"/>
  <c r="AL41" i="3" s="1"/>
  <c r="AL32" i="4"/>
  <c r="AL33" i="4" s="1"/>
  <c r="Y57" i="4"/>
  <c r="AY57" i="4"/>
  <c r="AJ57" i="4"/>
  <c r="AL54" i="4"/>
  <c r="AE57" i="4"/>
  <c r="U54" i="4"/>
  <c r="S29" i="4"/>
  <c r="AH48" i="4"/>
  <c r="AU39" i="4"/>
  <c r="J23" i="2"/>
  <c r="J38" i="4" s="1"/>
  <c r="J39" i="4" s="1"/>
  <c r="J34" i="4"/>
  <c r="J35" i="4" s="1"/>
  <c r="J5" i="3"/>
  <c r="J13" i="3" s="1"/>
  <c r="J23" i="3" s="1"/>
  <c r="J41" i="3" s="1"/>
  <c r="J32" i="4"/>
  <c r="J33" i="4" s="1"/>
  <c r="K57" i="4"/>
  <c r="AK57" i="4"/>
  <c r="V57" i="4"/>
  <c r="AW37" i="4"/>
  <c r="X54" i="4"/>
  <c r="AY54" i="4"/>
  <c r="AX54" i="4"/>
  <c r="G54" i="4"/>
  <c r="AH54" i="4"/>
  <c r="AU54" i="4"/>
  <c r="E29" i="4"/>
  <c r="AT29" i="4"/>
  <c r="T48" i="4"/>
  <c r="AR16" i="2"/>
  <c r="AR20" i="2" s="1"/>
  <c r="AR30" i="4"/>
  <c r="AR31" i="4" s="1"/>
  <c r="S39" i="4"/>
  <c r="M31" i="4"/>
  <c r="AO57" i="4"/>
  <c r="I57" i="4"/>
  <c r="G37" i="4"/>
  <c r="J54" i="4"/>
  <c r="AK54" i="4"/>
  <c r="AJ54" i="4"/>
  <c r="T54" i="4"/>
  <c r="AG54" i="4"/>
  <c r="AX39" i="4"/>
  <c r="AF29" i="4"/>
  <c r="F48" i="4"/>
  <c r="F57" i="4"/>
  <c r="L29" i="4"/>
  <c r="AR48" i="4"/>
  <c r="BH5" i="3"/>
  <c r="BH13" i="3" s="1"/>
  <c r="BH23" i="3" s="1"/>
  <c r="BH41" i="3" s="1"/>
  <c r="BW23" i="2"/>
  <c r="BW5" i="3"/>
  <c r="BW13" i="3" s="1"/>
  <c r="BW23" i="3" s="1"/>
  <c r="BW41" i="3" s="1"/>
  <c r="AA57" i="4"/>
  <c r="AL57" i="4"/>
  <c r="AT23" i="2"/>
  <c r="AT38" i="4" s="1"/>
  <c r="AT39" i="4" s="1"/>
  <c r="AT32" i="4"/>
  <c r="AT33" i="4" s="1"/>
  <c r="AT34" i="4"/>
  <c r="AT35" i="4" s="1"/>
  <c r="AT5" i="3"/>
  <c r="AT13" i="3" s="1"/>
  <c r="AT23" i="3" s="1"/>
  <c r="AT41" i="3" s="1"/>
  <c r="E31" i="4"/>
  <c r="V54" i="4"/>
  <c r="F54" i="4"/>
  <c r="S54" i="4"/>
  <c r="V39" i="4"/>
  <c r="R29" i="4"/>
  <c r="X57" i="4"/>
  <c r="AD48" i="4"/>
  <c r="H57" i="4"/>
  <c r="X23" i="2"/>
  <c r="X38" i="4" s="1"/>
  <c r="X39" i="4" s="1"/>
  <c r="X34" i="4"/>
  <c r="X35" i="4" s="1"/>
  <c r="X5" i="3"/>
  <c r="X13" i="3" s="1"/>
  <c r="X23" i="3" s="1"/>
  <c r="X41" i="3" s="1"/>
  <c r="X32" i="4"/>
  <c r="X33" i="4" s="1"/>
  <c r="T31" i="4"/>
  <c r="J37" i="4"/>
  <c r="H23" i="2"/>
  <c r="H38" i="4" s="1"/>
  <c r="H39" i="4" s="1"/>
  <c r="H32" i="4"/>
  <c r="H33" i="4" s="1"/>
  <c r="H34" i="4"/>
  <c r="H35" i="4" s="1"/>
  <c r="H5" i="3"/>
  <c r="H13" i="3" s="1"/>
  <c r="H23" i="3" s="1"/>
  <c r="H41" i="3" s="1"/>
  <c r="BD5" i="3"/>
  <c r="BD13" i="3" s="1"/>
  <c r="BD23" i="3" s="1"/>
  <c r="BD41" i="3" s="1"/>
  <c r="M57" i="4"/>
  <c r="R37" i="4"/>
  <c r="J57" i="4"/>
  <c r="AO48" i="4"/>
  <c r="I54" i="4"/>
  <c r="H54" i="4"/>
  <c r="X48" i="4"/>
  <c r="AY48" i="4"/>
  <c r="E54" i="4"/>
  <c r="AN57" i="4"/>
  <c r="D29" i="4"/>
  <c r="AO37" i="4"/>
  <c r="I23" i="2"/>
  <c r="I38" i="4" s="1"/>
  <c r="I39" i="4" s="1"/>
  <c r="I34" i="4"/>
  <c r="I35" i="4" s="1"/>
  <c r="I5" i="3"/>
  <c r="I13" i="3" s="1"/>
  <c r="I23" i="3" s="1"/>
  <c r="I41" i="3" s="1"/>
  <c r="I32" i="4"/>
  <c r="I33" i="4" s="1"/>
  <c r="AG23" i="2"/>
  <c r="AG38" i="4" s="1"/>
  <c r="AG39" i="4" s="1"/>
  <c r="AG32" i="4"/>
  <c r="AG33" i="4" s="1"/>
  <c r="AG34" i="4"/>
  <c r="AG35" i="4" s="1"/>
  <c r="AG5" i="3"/>
  <c r="AG13" i="3" s="1"/>
  <c r="AG23" i="3" s="1"/>
  <c r="AG41" i="3" s="1"/>
  <c r="Y31" i="4"/>
  <c r="AA35" i="4"/>
  <c r="F31" i="4"/>
  <c r="AA48" i="4"/>
  <c r="AK48" i="4"/>
  <c r="AX48" i="4"/>
  <c r="AI39" i="4"/>
  <c r="AA37" i="4"/>
  <c r="AO29" i="4"/>
  <c r="I48" i="4"/>
  <c r="I29" i="4"/>
  <c r="AC23" i="2"/>
  <c r="AC38" i="4" s="1"/>
  <c r="AC39" i="4" s="1"/>
  <c r="AC5" i="3"/>
  <c r="AC13" i="3" s="1"/>
  <c r="AC23" i="3" s="1"/>
  <c r="AC41" i="3" s="1"/>
  <c r="AC32" i="4"/>
  <c r="AC33" i="4" s="1"/>
  <c r="AC34" i="4"/>
  <c r="AC35" i="4" s="1"/>
  <c r="BI5" i="3"/>
  <c r="BI13" i="3" s="1"/>
  <c r="BI23" i="3" s="1"/>
  <c r="BI41" i="3" s="1"/>
  <c r="BA5" i="3"/>
  <c r="BA13" i="3" s="1"/>
  <c r="BA23" i="3" s="1"/>
  <c r="BA41" i="3" s="1"/>
  <c r="AY23" i="2"/>
  <c r="AY38" i="4" s="1"/>
  <c r="AY39" i="4" s="1"/>
  <c r="AY34" i="4"/>
  <c r="AY35" i="4" s="1"/>
  <c r="AY5" i="3"/>
  <c r="AY13" i="3" s="1"/>
  <c r="AY23" i="3" s="1"/>
  <c r="AY41" i="3" s="1"/>
  <c r="AY32" i="4"/>
  <c r="AY33" i="4" s="1"/>
  <c r="K31" i="4"/>
  <c r="AU57" i="4"/>
  <c r="Y29" i="4"/>
  <c r="M48" i="4"/>
  <c r="AN48" i="4"/>
  <c r="AJ48" i="4"/>
  <c r="AT54" i="4"/>
  <c r="M37" i="4"/>
  <c r="P16" i="2"/>
  <c r="P20" i="2" s="1"/>
  <c r="P30" i="4"/>
  <c r="P31" i="4" s="1"/>
  <c r="AS23" i="2"/>
  <c r="AS38" i="4" s="1"/>
  <c r="AS39" i="4" s="1"/>
  <c r="AS5" i="3"/>
  <c r="AS13" i="3" s="1"/>
  <c r="AS23" i="3" s="1"/>
  <c r="AS41" i="3" s="1"/>
  <c r="AS32" i="4"/>
  <c r="AS33" i="4" s="1"/>
  <c r="AS34" i="4"/>
  <c r="AS35" i="4" s="1"/>
  <c r="AI37" i="4"/>
  <c r="K33" i="4"/>
  <c r="K29" i="4"/>
  <c r="Z48" i="4"/>
  <c r="V48" i="4"/>
  <c r="AF54" i="4"/>
  <c r="AM57" i="4"/>
  <c r="AM35" i="4"/>
  <c r="H37" i="4"/>
  <c r="R39" i="4"/>
  <c r="AB23" i="2"/>
  <c r="AB38" i="4" s="1"/>
  <c r="AB39" i="4" s="1"/>
  <c r="AB5" i="3"/>
  <c r="AB13" i="3" s="1"/>
  <c r="AB23" i="3" s="1"/>
  <c r="AB41" i="3" s="1"/>
  <c r="AB32" i="4"/>
  <c r="AB33" i="4" s="1"/>
  <c r="AB34" i="4"/>
  <c r="AB35" i="4" s="1"/>
  <c r="AO23" i="2"/>
  <c r="AO38" i="4" s="1"/>
  <c r="AO39" i="4" s="1"/>
  <c r="AO5" i="3"/>
  <c r="AO13" i="3" s="1"/>
  <c r="AO23" i="3" s="1"/>
  <c r="AO41" i="3" s="1"/>
  <c r="AO32" i="4"/>
  <c r="AO33" i="4" s="1"/>
  <c r="AO34" i="4"/>
  <c r="AO35" i="4" s="1"/>
  <c r="AV23" i="2"/>
  <c r="AV38" i="4" s="1"/>
  <c r="AV39" i="4" s="1"/>
  <c r="AV32" i="4"/>
  <c r="AV33" i="4" s="1"/>
  <c r="AV34" i="4"/>
  <c r="AV35" i="4" s="1"/>
  <c r="AV5" i="3"/>
  <c r="AV13" i="3" s="1"/>
  <c r="AV23" i="3" s="1"/>
  <c r="AV41" i="3" s="1"/>
  <c r="V35" i="4"/>
  <c r="U23" i="2"/>
  <c r="U38" i="4" s="1"/>
  <c r="U39" i="4" s="1"/>
  <c r="U32" i="4"/>
  <c r="U33" i="4" s="1"/>
  <c r="U34" i="4"/>
  <c r="U35" i="4" s="1"/>
  <c r="U5" i="3"/>
  <c r="U13" i="3" s="1"/>
  <c r="U23" i="3" s="1"/>
  <c r="U41" i="3" s="1"/>
  <c r="AN23" i="2"/>
  <c r="AN38" i="4" s="1"/>
  <c r="AN39" i="4" s="1"/>
  <c r="AN5" i="3"/>
  <c r="AN13" i="3" s="1"/>
  <c r="AN23" i="3" s="1"/>
  <c r="AN41" i="3" s="1"/>
  <c r="AN32" i="4"/>
  <c r="AN33" i="4" s="1"/>
  <c r="AN34" i="4"/>
  <c r="AN35" i="4" s="1"/>
  <c r="M23" i="2"/>
  <c r="M38" i="4" s="1"/>
  <c r="M39" i="4" s="1"/>
  <c r="M5" i="3"/>
  <c r="M13" i="3" s="1"/>
  <c r="M23" i="3" s="1"/>
  <c r="M41" i="3" s="1"/>
  <c r="M32" i="4"/>
  <c r="M33" i="4" s="1"/>
  <c r="M34" i="4"/>
  <c r="M35" i="4" s="1"/>
  <c r="AF23" i="2"/>
  <c r="AF38" i="4" s="1"/>
  <c r="AF39" i="4" s="1"/>
  <c r="AF32" i="4"/>
  <c r="AF33" i="4" s="1"/>
  <c r="AF34" i="4"/>
  <c r="AF35" i="4" s="1"/>
  <c r="AF5" i="3"/>
  <c r="AF13" i="3" s="1"/>
  <c r="AF23" i="3" s="1"/>
  <c r="AF41" i="3" s="1"/>
  <c r="W23" i="2"/>
  <c r="W38" i="4" s="1"/>
  <c r="W39" i="4" s="1"/>
  <c r="W34" i="4"/>
  <c r="W35" i="4" s="1"/>
  <c r="W5" i="3"/>
  <c r="W13" i="3" s="1"/>
  <c r="W23" i="3" s="1"/>
  <c r="W41" i="3" s="1"/>
  <c r="W32" i="4"/>
  <c r="W33" i="4" s="1"/>
  <c r="E23" i="2"/>
  <c r="E38" i="4" s="1"/>
  <c r="E39" i="4" s="1"/>
  <c r="E32" i="4"/>
  <c r="E33" i="4" s="1"/>
  <c r="E34" i="4"/>
  <c r="E35" i="4" s="1"/>
  <c r="E5" i="3"/>
  <c r="E13" i="3" s="1"/>
  <c r="E23" i="3" s="1"/>
  <c r="E41" i="3" s="1"/>
  <c r="AK23" i="2"/>
  <c r="AK38" i="4" s="1"/>
  <c r="AK39" i="4" s="1"/>
  <c r="AK34" i="4"/>
  <c r="AK35" i="4" s="1"/>
  <c r="AK5" i="3"/>
  <c r="AK13" i="3" s="1"/>
  <c r="AK23" i="3" s="1"/>
  <c r="AK41" i="3" s="1"/>
  <c r="AK32" i="4"/>
  <c r="AK33" i="4" s="1"/>
  <c r="Z37" i="4"/>
  <c r="D57" i="4"/>
  <c r="S33" i="4"/>
  <c r="W48" i="4"/>
  <c r="W29" i="4"/>
  <c r="W37" i="4"/>
  <c r="AL31" i="4"/>
  <c r="AA33" i="4"/>
  <c r="Z33" i="4"/>
  <c r="AW31" i="4"/>
  <c r="L48" i="4"/>
  <c r="AF37" i="4"/>
  <c r="H48" i="4"/>
  <c r="R54" i="4"/>
  <c r="AU31" i="4"/>
  <c r="AN37" i="4"/>
  <c r="AN29" i="4"/>
  <c r="F27" i="10"/>
  <c r="D27" i="10"/>
  <c r="E44" i="3" l="1"/>
  <c r="F42" i="3" s="1"/>
  <c r="F44" i="3" s="1"/>
  <c r="G42" i="3" s="1"/>
  <c r="G44" i="3" s="1"/>
  <c r="H42" i="3" s="1"/>
  <c r="H44" i="3" s="1"/>
  <c r="I42" i="3" s="1"/>
  <c r="I44" i="3" s="1"/>
  <c r="J42" i="3" s="1"/>
  <c r="J44" i="3" s="1"/>
  <c r="K42" i="3" s="1"/>
  <c r="K44" i="3" s="1"/>
  <c r="L42" i="3" s="1"/>
  <c r="L44" i="3" s="1"/>
  <c r="M42" i="3" s="1"/>
  <c r="M44" i="3" s="1"/>
  <c r="N42" i="3" s="1"/>
  <c r="N44" i="3" s="1"/>
  <c r="O42" i="3" s="1"/>
  <c r="O44" i="3" s="1"/>
  <c r="P42" i="3" s="1"/>
  <c r="P23" i="2"/>
  <c r="P38" i="4" s="1"/>
  <c r="P39" i="4" s="1"/>
  <c r="P5" i="3"/>
  <c r="P13" i="3" s="1"/>
  <c r="P23" i="3" s="1"/>
  <c r="P41" i="3" s="1"/>
  <c r="P32" i="4"/>
  <c r="P33" i="4" s="1"/>
  <c r="P34" i="4"/>
  <c r="P35" i="4" s="1"/>
  <c r="BF5" i="3"/>
  <c r="BF13" i="3" s="1"/>
  <c r="BF23" i="3" s="1"/>
  <c r="BF41" i="3" s="1"/>
  <c r="AD23" i="2"/>
  <c r="AD38" i="4" s="1"/>
  <c r="AD39" i="4" s="1"/>
  <c r="AD5" i="3"/>
  <c r="AD13" i="3" s="1"/>
  <c r="AD23" i="3" s="1"/>
  <c r="AD41" i="3" s="1"/>
  <c r="AD32" i="4"/>
  <c r="AD33" i="4" s="1"/>
  <c r="AD34" i="4"/>
  <c r="AD35" i="4" s="1"/>
  <c r="AR23" i="2"/>
  <c r="AR38" i="4" s="1"/>
  <c r="AR39" i="4" s="1"/>
  <c r="AR5" i="3"/>
  <c r="AR13" i="3" s="1"/>
  <c r="AR23" i="3" s="1"/>
  <c r="AR41" i="3" s="1"/>
  <c r="AR32" i="4"/>
  <c r="AR33" i="4" s="1"/>
  <c r="AR34" i="4"/>
  <c r="AR35" i="4" s="1"/>
  <c r="BL13" i="5"/>
  <c r="P44" i="3" l="1"/>
  <c r="Q42" i="3" s="1"/>
  <c r="Q44" i="3" s="1"/>
  <c r="R42" i="3" s="1"/>
  <c r="R44" i="3" s="1"/>
  <c r="S42" i="3" s="1"/>
  <c r="S44" i="3" s="1"/>
  <c r="T42" i="3" s="1"/>
  <c r="T44" i="3" s="1"/>
  <c r="U42" i="3" s="1"/>
  <c r="U44" i="3" s="1"/>
  <c r="V42" i="3" s="1"/>
  <c r="V44" i="3" s="1"/>
  <c r="W42" i="3" s="1"/>
  <c r="W44" i="3" s="1"/>
  <c r="X42" i="3" s="1"/>
  <c r="X44" i="3" s="1"/>
  <c r="Y42" i="3" s="1"/>
  <c r="Y44" i="3" s="1"/>
  <c r="Z42" i="3" s="1"/>
  <c r="Z44" i="3" s="1"/>
  <c r="AA42" i="3" s="1"/>
  <c r="AA44" i="3" s="1"/>
  <c r="AB42" i="3" s="1"/>
  <c r="AB44" i="3" s="1"/>
  <c r="AC42" i="3" s="1"/>
  <c r="AC44" i="3" s="1"/>
  <c r="AD42" i="3" s="1"/>
  <c r="AD44" i="3" s="1"/>
  <c r="AE42" i="3" s="1"/>
  <c r="AE44" i="3" s="1"/>
  <c r="AF42" i="3" s="1"/>
  <c r="AF44" i="3" s="1"/>
  <c r="AG42" i="3" s="1"/>
  <c r="AG44" i="3" s="1"/>
  <c r="AH42" i="3" s="1"/>
  <c r="AH44" i="3" s="1"/>
  <c r="AI42" i="3" s="1"/>
  <c r="AI44" i="3" s="1"/>
  <c r="AJ42" i="3" s="1"/>
  <c r="AJ44" i="3" s="1"/>
  <c r="AK42" i="3" s="1"/>
  <c r="AK44" i="3" s="1"/>
  <c r="AL42" i="3" s="1"/>
  <c r="AL44" i="3" s="1"/>
  <c r="AM42" i="3" s="1"/>
  <c r="AM44" i="3" s="1"/>
  <c r="AN44" i="3" s="1"/>
  <c r="AO42" i="3" s="1"/>
  <c r="AO44" i="3" s="1"/>
  <c r="AP42" i="3" s="1"/>
  <c r="AP44" i="3" s="1"/>
  <c r="AQ42" i="3" s="1"/>
  <c r="AQ44" i="3" s="1"/>
  <c r="AR42" i="3" s="1"/>
  <c r="AR44" i="3" s="1"/>
  <c r="AS42" i="3" s="1"/>
  <c r="AS44" i="3" s="1"/>
  <c r="AT42" i="3" s="1"/>
  <c r="AT44" i="3" s="1"/>
  <c r="AU42" i="3" s="1"/>
  <c r="AU44" i="3" s="1"/>
  <c r="AV42" i="3" s="1"/>
  <c r="AV44" i="3" s="1"/>
  <c r="AW42" i="3" s="1"/>
  <c r="AW44" i="3" s="1"/>
  <c r="AX42" i="3" s="1"/>
  <c r="AX44" i="3" s="1"/>
  <c r="AY42" i="3" s="1"/>
  <c r="AY44" i="3" s="1"/>
  <c r="AZ44" i="3" s="1"/>
  <c r="BA42" i="3" s="1"/>
  <c r="BA44" i="3" s="1"/>
  <c r="BB42" i="3" s="1"/>
  <c r="BB44" i="3" s="1"/>
  <c r="BC42" i="3" s="1"/>
  <c r="BC44" i="3" s="1"/>
  <c r="BD42" i="3" s="1"/>
  <c r="BD44" i="3" s="1"/>
  <c r="BE42" i="3" s="1"/>
  <c r="BE44" i="3" s="1"/>
  <c r="BF42" i="3" s="1"/>
  <c r="BF44" i="3" s="1"/>
  <c r="BG42" i="3" s="1"/>
  <c r="BG44" i="3" s="1"/>
  <c r="BH42" i="3" s="1"/>
  <c r="BH44" i="3" s="1"/>
  <c r="BI42" i="3" s="1"/>
  <c r="BI44" i="3" s="1"/>
  <c r="BJ42" i="3" s="1"/>
  <c r="BJ44" i="3" s="1"/>
  <c r="BK42" i="3" s="1"/>
  <c r="BK44" i="3" s="1"/>
  <c r="BQ44" i="3" s="1"/>
  <c r="BR44" i="3" s="1"/>
  <c r="BS44" i="3" s="1"/>
  <c r="BT44" i="3" s="1"/>
  <c r="BU44" i="3" s="1"/>
  <c r="BV44" i="3" s="1"/>
  <c r="BW44" i="3" s="1"/>
  <c r="E49" i="11" l="1"/>
  <c r="D49" i="11"/>
  <c r="C49" i="11"/>
  <c r="B49" i="11"/>
  <c r="E48" i="11"/>
  <c r="D48" i="11"/>
  <c r="C48" i="11"/>
  <c r="B48" i="11"/>
  <c r="E45" i="11"/>
  <c r="D45" i="11"/>
  <c r="C45" i="11"/>
  <c r="B45" i="11"/>
  <c r="E44" i="11"/>
  <c r="D44" i="11"/>
  <c r="C44" i="11"/>
  <c r="B44" i="11"/>
  <c r="E43" i="11"/>
  <c r="D43" i="11"/>
  <c r="C43" i="11"/>
  <c r="B43" i="11"/>
  <c r="E42" i="11"/>
  <c r="D42" i="11"/>
  <c r="C42" i="11"/>
  <c r="B42" i="11"/>
  <c r="E41" i="11"/>
  <c r="D41" i="11"/>
  <c r="C41" i="11"/>
  <c r="B41" i="11"/>
  <c r="E40" i="11"/>
  <c r="D40" i="11"/>
  <c r="C40" i="11"/>
  <c r="B40" i="11"/>
  <c r="E37" i="11"/>
  <c r="D37" i="11"/>
  <c r="C37" i="11"/>
  <c r="B37" i="11"/>
  <c r="E36" i="11"/>
  <c r="D36" i="11"/>
  <c r="C36" i="11"/>
  <c r="B36" i="11"/>
  <c r="E35" i="11"/>
  <c r="D35" i="11"/>
  <c r="C35" i="11"/>
  <c r="B35" i="11"/>
  <c r="E34" i="11"/>
  <c r="D34" i="11"/>
  <c r="C34" i="11"/>
  <c r="B34" i="11"/>
  <c r="E33" i="11"/>
  <c r="D33" i="11"/>
  <c r="C33" i="11"/>
  <c r="B33" i="11"/>
  <c r="E32" i="11"/>
  <c r="D32" i="11"/>
  <c r="C32" i="11"/>
  <c r="B32" i="11"/>
  <c r="E31" i="11"/>
  <c r="D31" i="11"/>
  <c r="C31" i="11"/>
  <c r="B31" i="11"/>
  <c r="E28" i="11"/>
  <c r="D28" i="11"/>
  <c r="C28" i="11"/>
  <c r="B28" i="11"/>
  <c r="E27" i="11"/>
  <c r="D27" i="11"/>
  <c r="C27" i="11"/>
  <c r="B27" i="11"/>
  <c r="E26" i="11"/>
  <c r="D26" i="11"/>
  <c r="C26" i="11"/>
  <c r="B26" i="11"/>
  <c r="E25" i="11"/>
  <c r="D25" i="11"/>
  <c r="C25" i="11"/>
  <c r="B25" i="11"/>
  <c r="E24" i="11"/>
  <c r="D24" i="11"/>
  <c r="C24" i="11"/>
  <c r="B24" i="11"/>
  <c r="E23" i="11"/>
  <c r="D23" i="11"/>
  <c r="C23" i="11"/>
  <c r="B23" i="11"/>
  <c r="E22" i="11"/>
  <c r="D22" i="11"/>
  <c r="C22" i="11"/>
  <c r="B22" i="11"/>
  <c r="E21" i="11"/>
  <c r="D21" i="11"/>
  <c r="C21" i="11"/>
  <c r="B21" i="11"/>
  <c r="E20" i="11"/>
  <c r="D20" i="11"/>
  <c r="C20" i="11"/>
  <c r="B20" i="11"/>
  <c r="E18" i="11"/>
  <c r="D18" i="11"/>
  <c r="C18" i="11"/>
  <c r="B18" i="11"/>
  <c r="E17" i="11"/>
  <c r="D17" i="11"/>
  <c r="C17" i="11"/>
  <c r="B17" i="11"/>
  <c r="E16" i="11"/>
  <c r="D16" i="11"/>
  <c r="C16" i="11"/>
  <c r="B16" i="11"/>
  <c r="E15" i="11"/>
  <c r="D15" i="11"/>
  <c r="C15" i="11"/>
  <c r="B15" i="11"/>
  <c r="E14" i="11"/>
  <c r="D14" i="11"/>
  <c r="C14" i="11"/>
  <c r="B14" i="11"/>
  <c r="E13" i="11"/>
  <c r="D13" i="11"/>
  <c r="C13" i="11"/>
  <c r="B13" i="11"/>
  <c r="E11" i="11"/>
  <c r="D11" i="11"/>
  <c r="C11" i="11"/>
  <c r="B11" i="11"/>
  <c r="G28" i="10"/>
  <c r="F28" i="10"/>
  <c r="E28" i="10"/>
  <c r="D28" i="10"/>
  <c r="G27" i="10"/>
  <c r="E27" i="10"/>
  <c r="G26" i="10"/>
  <c r="F26" i="10"/>
  <c r="E26" i="10"/>
  <c r="D26" i="10"/>
  <c r="G25" i="10"/>
  <c r="F25" i="10"/>
  <c r="E25" i="10"/>
  <c r="D25" i="10"/>
  <c r="G24" i="10"/>
  <c r="F24" i="10"/>
  <c r="E24" i="10"/>
  <c r="D24" i="10"/>
  <c r="G23" i="10"/>
  <c r="F23" i="10"/>
  <c r="E23" i="10"/>
  <c r="D23" i="10"/>
  <c r="G22" i="10"/>
  <c r="F22" i="10"/>
  <c r="E22" i="10"/>
  <c r="D22" i="10"/>
  <c r="G21" i="10"/>
  <c r="F21" i="10"/>
  <c r="E21" i="10"/>
  <c r="D21" i="10"/>
  <c r="G20" i="10"/>
  <c r="F20" i="10"/>
  <c r="E20" i="10"/>
  <c r="D20" i="10"/>
  <c r="G19" i="10"/>
  <c r="F19" i="10"/>
  <c r="E19" i="10"/>
  <c r="D19" i="10"/>
  <c r="G18" i="10"/>
  <c r="F18" i="10"/>
  <c r="E18" i="10"/>
  <c r="D18" i="10"/>
  <c r="G17" i="10"/>
  <c r="F17" i="10"/>
  <c r="E17" i="10"/>
  <c r="D17" i="10"/>
  <c r="G16" i="10"/>
  <c r="F16" i="10"/>
  <c r="E16" i="10"/>
  <c r="D16" i="10"/>
  <c r="G15" i="10"/>
  <c r="F15" i="10"/>
  <c r="E15" i="10"/>
  <c r="D15" i="10"/>
  <c r="G14" i="10"/>
  <c r="F14" i="10"/>
  <c r="E14" i="10"/>
  <c r="D14" i="10"/>
  <c r="G13" i="10"/>
  <c r="F13" i="10"/>
  <c r="E13" i="10"/>
  <c r="D13" i="10"/>
  <c r="G12" i="10"/>
  <c r="F12" i="10"/>
  <c r="E12" i="10"/>
  <c r="D12" i="10"/>
  <c r="G11" i="10"/>
  <c r="F11" i="10"/>
  <c r="E11" i="10"/>
  <c r="D11" i="10"/>
  <c r="G10" i="10"/>
  <c r="F10" i="10"/>
  <c r="E10" i="10"/>
  <c r="D10" i="10"/>
  <c r="C152" i="9"/>
  <c r="B152" i="9"/>
  <c r="C151" i="9"/>
  <c r="B151" i="9"/>
  <c r="C149" i="9"/>
  <c r="B149" i="9"/>
  <c r="C148" i="9"/>
  <c r="B148" i="9"/>
  <c r="C147" i="9"/>
  <c r="B147" i="9"/>
  <c r="C146" i="9"/>
  <c r="B146" i="9"/>
  <c r="C145" i="9"/>
  <c r="B145" i="9"/>
  <c r="C144" i="9"/>
  <c r="B144" i="9"/>
  <c r="C143" i="9"/>
  <c r="B143" i="9"/>
  <c r="C142" i="9"/>
  <c r="B142" i="9"/>
  <c r="C141" i="9"/>
  <c r="B141" i="9"/>
  <c r="C140" i="9"/>
  <c r="B140" i="9"/>
  <c r="C135" i="9"/>
  <c r="B135" i="9"/>
  <c r="C134" i="9"/>
  <c r="B134" i="9"/>
  <c r="C133" i="9"/>
  <c r="B133" i="9"/>
  <c r="C132" i="9"/>
  <c r="B132" i="9"/>
  <c r="C131" i="9"/>
  <c r="B131" i="9"/>
  <c r="C130" i="9"/>
  <c r="B130" i="9"/>
  <c r="C129" i="9"/>
  <c r="B129" i="9"/>
  <c r="C128" i="9"/>
  <c r="B128" i="9"/>
  <c r="C127" i="9"/>
  <c r="B127" i="9"/>
  <c r="C126" i="9"/>
  <c r="B126" i="9"/>
  <c r="C125" i="9"/>
  <c r="B125" i="9"/>
  <c r="C124" i="9"/>
  <c r="B124" i="9"/>
  <c r="C123" i="9"/>
  <c r="B123" i="9"/>
  <c r="C122" i="9"/>
  <c r="B122" i="9"/>
  <c r="C119" i="9"/>
  <c r="B119" i="9"/>
  <c r="C118" i="9"/>
  <c r="B118" i="9"/>
  <c r="C117" i="9"/>
  <c r="B117" i="9"/>
  <c r="C116" i="9"/>
  <c r="B116" i="9"/>
  <c r="C115" i="9"/>
  <c r="B115" i="9"/>
  <c r="C114" i="9"/>
  <c r="B114" i="9"/>
  <c r="C113" i="9"/>
  <c r="B113" i="9"/>
  <c r="C112" i="9"/>
  <c r="B112" i="9"/>
  <c r="C111" i="9"/>
  <c r="B111" i="9"/>
  <c r="C110" i="9"/>
  <c r="B110" i="9"/>
  <c r="C109" i="9"/>
  <c r="B109" i="9"/>
  <c r="C108" i="9"/>
  <c r="B108" i="9"/>
  <c r="C107" i="9"/>
  <c r="B107" i="9"/>
  <c r="C106" i="9"/>
  <c r="B106" i="9"/>
  <c r="C105" i="9"/>
  <c r="B105" i="9"/>
  <c r="C99" i="9"/>
  <c r="B99" i="9"/>
  <c r="C98" i="9"/>
  <c r="B98" i="9"/>
  <c r="C97" i="9"/>
  <c r="B97" i="9"/>
  <c r="C96" i="9"/>
  <c r="B96" i="9"/>
  <c r="C93" i="9"/>
  <c r="B93" i="9"/>
  <c r="C92" i="9"/>
  <c r="B92" i="9"/>
  <c r="C91" i="9"/>
  <c r="B91" i="9"/>
  <c r="C90" i="9"/>
  <c r="B90" i="9"/>
  <c r="C89" i="9"/>
  <c r="B89" i="9"/>
  <c r="C88" i="9"/>
  <c r="B88" i="9"/>
  <c r="C85" i="9"/>
  <c r="B85" i="9"/>
  <c r="C84" i="9"/>
  <c r="B84" i="9"/>
  <c r="C81" i="9"/>
  <c r="B81" i="9"/>
  <c r="C80" i="9"/>
  <c r="B80" i="9"/>
  <c r="C77" i="9"/>
  <c r="B77" i="9"/>
  <c r="C76" i="9"/>
  <c r="B76" i="9"/>
  <c r="C75" i="9"/>
  <c r="B75" i="9"/>
  <c r="C74" i="9"/>
  <c r="B74" i="9"/>
  <c r="C73" i="9"/>
  <c r="B73" i="9"/>
  <c r="C72" i="9"/>
  <c r="B72" i="9"/>
  <c r="C71" i="9"/>
  <c r="B71" i="9"/>
  <c r="C70" i="9"/>
  <c r="B70" i="9"/>
  <c r="C67" i="9"/>
  <c r="B67" i="9"/>
  <c r="C66" i="9"/>
  <c r="B66" i="9"/>
  <c r="C64" i="9"/>
  <c r="B64" i="9"/>
  <c r="C63" i="9"/>
  <c r="B63" i="9"/>
  <c r="C61" i="9"/>
  <c r="B61" i="9"/>
  <c r="C60" i="9"/>
  <c r="B60" i="9"/>
  <c r="C54" i="9"/>
  <c r="B54" i="9"/>
  <c r="C53" i="9"/>
  <c r="B53" i="9"/>
  <c r="C52" i="9"/>
  <c r="B52" i="9"/>
  <c r="C51" i="9"/>
  <c r="B51" i="9"/>
  <c r="C50" i="9"/>
  <c r="B50" i="9"/>
  <c r="C49" i="9"/>
  <c r="B49" i="9"/>
  <c r="C45" i="9"/>
  <c r="B45" i="9"/>
  <c r="C44" i="9"/>
  <c r="B44" i="9"/>
  <c r="C43" i="9"/>
  <c r="B43" i="9"/>
  <c r="C42" i="9"/>
  <c r="B42" i="9"/>
  <c r="C41" i="9"/>
  <c r="B41" i="9"/>
  <c r="C38" i="9"/>
  <c r="B38" i="9"/>
  <c r="C37" i="9"/>
  <c r="B37" i="9"/>
  <c r="C36" i="9"/>
  <c r="B36" i="9"/>
  <c r="C33" i="9"/>
  <c r="B33" i="9"/>
  <c r="C32" i="9"/>
  <c r="B32" i="9"/>
  <c r="C29" i="9"/>
  <c r="B29" i="9"/>
  <c r="C28" i="9"/>
  <c r="B28" i="9"/>
  <c r="C27" i="9"/>
  <c r="B27" i="9"/>
  <c r="C26" i="9"/>
  <c r="B26" i="9"/>
  <c r="C25" i="9"/>
  <c r="B25" i="9"/>
  <c r="C24" i="9"/>
  <c r="B24" i="9"/>
  <c r="C23" i="9"/>
  <c r="B23" i="9"/>
  <c r="C20" i="9"/>
  <c r="B20" i="9"/>
  <c r="C19" i="9"/>
  <c r="B19" i="9"/>
  <c r="C18" i="9"/>
  <c r="B18" i="9"/>
  <c r="C17" i="9"/>
  <c r="B17" i="9"/>
  <c r="C16" i="9"/>
  <c r="B16" i="9"/>
  <c r="C15" i="9"/>
  <c r="B15" i="9"/>
  <c r="C12" i="9"/>
  <c r="B12" i="9"/>
  <c r="C11" i="9"/>
  <c r="B11" i="9"/>
  <c r="R281" i="12"/>
  <c r="R280" i="12"/>
  <c r="R279" i="12"/>
  <c r="R278" i="12"/>
  <c r="R277" i="12"/>
  <c r="R276" i="12"/>
  <c r="R275" i="12"/>
  <c r="R274" i="12"/>
  <c r="R272" i="12"/>
  <c r="R271" i="12"/>
  <c r="R270" i="12"/>
  <c r="R269" i="12"/>
  <c r="R268" i="12"/>
  <c r="R266" i="12"/>
  <c r="R265" i="12"/>
  <c r="R264" i="12"/>
  <c r="R263" i="12"/>
  <c r="R262" i="12"/>
  <c r="R261" i="12"/>
  <c r="R260" i="12"/>
  <c r="R259" i="12"/>
  <c r="R258" i="12"/>
  <c r="R256" i="12"/>
  <c r="R255" i="12"/>
  <c r="R254" i="12"/>
  <c r="R252" i="12"/>
  <c r="R251" i="12"/>
  <c r="R250" i="12"/>
  <c r="R248" i="12"/>
  <c r="R247" i="12"/>
  <c r="R246" i="12"/>
  <c r="R245" i="12"/>
  <c r="R244" i="12"/>
  <c r="R243" i="12"/>
  <c r="R241" i="12"/>
  <c r="R240" i="12"/>
  <c r="R239" i="12"/>
  <c r="R238" i="12"/>
  <c r="R237" i="12"/>
  <c r="R236" i="12"/>
  <c r="R235" i="12"/>
  <c r="R234" i="12"/>
  <c r="R232" i="12"/>
  <c r="R231" i="12"/>
  <c r="R230" i="12"/>
  <c r="R229" i="12"/>
  <c r="R228" i="12"/>
  <c r="R227" i="12"/>
  <c r="R226" i="12"/>
  <c r="R225" i="12"/>
  <c r="R224" i="12"/>
  <c r="R223" i="12"/>
  <c r="R222" i="12"/>
  <c r="R221" i="12"/>
  <c r="R220" i="12"/>
  <c r="R219" i="12"/>
  <c r="R218" i="12"/>
  <c r="R217" i="12"/>
  <c r="R216" i="12"/>
  <c r="R215" i="12"/>
  <c r="R214" i="12"/>
  <c r="R213" i="12"/>
  <c r="R212" i="12"/>
  <c r="R210" i="12"/>
  <c r="R209" i="12"/>
  <c r="R208" i="12"/>
  <c r="R206" i="12"/>
  <c r="R205" i="12"/>
  <c r="R204" i="12"/>
  <c r="R203" i="12"/>
  <c r="R202" i="12"/>
  <c r="R201" i="12"/>
  <c r="R200" i="12"/>
  <c r="R199" i="12"/>
  <c r="R198" i="12"/>
  <c r="R197" i="12"/>
  <c r="R196" i="12"/>
  <c r="R195" i="12"/>
  <c r="R194" i="12"/>
  <c r="R193" i="12"/>
  <c r="R192" i="12"/>
  <c r="R191" i="12"/>
  <c r="R190" i="12"/>
  <c r="R189" i="12"/>
  <c r="R188" i="12"/>
  <c r="R187" i="12"/>
  <c r="R186" i="12"/>
  <c r="R185" i="12"/>
  <c r="R184" i="12"/>
  <c r="R183" i="12"/>
  <c r="R182" i="12"/>
  <c r="R181" i="12"/>
  <c r="R180" i="12"/>
  <c r="R179" i="12"/>
  <c r="R178" i="12"/>
  <c r="R177" i="12"/>
  <c r="R176" i="12"/>
  <c r="R175" i="12"/>
  <c r="R174" i="12"/>
  <c r="R173" i="12"/>
  <c r="R172" i="12"/>
  <c r="R171" i="12"/>
  <c r="R170" i="12"/>
  <c r="R169" i="12"/>
  <c r="R168" i="12"/>
  <c r="R167" i="12"/>
  <c r="R166" i="12"/>
  <c r="R165" i="12"/>
  <c r="R164" i="12"/>
  <c r="R163" i="12"/>
  <c r="R162" i="12"/>
  <c r="R161" i="12"/>
  <c r="R160" i="12"/>
  <c r="R159" i="12"/>
  <c r="R158" i="12"/>
  <c r="R157" i="12"/>
  <c r="R156" i="12"/>
  <c r="R155" i="12"/>
  <c r="R154" i="12"/>
  <c r="R153" i="12"/>
  <c r="R152" i="12"/>
  <c r="R151" i="12"/>
  <c r="R150" i="12"/>
  <c r="R149" i="12"/>
  <c r="R148" i="12"/>
  <c r="R147" i="12"/>
  <c r="R146" i="12"/>
  <c r="R145" i="12"/>
  <c r="R144" i="12"/>
  <c r="R143" i="12"/>
  <c r="R142" i="12"/>
  <c r="R141" i="12"/>
  <c r="R140" i="12"/>
  <c r="R139" i="12"/>
  <c r="R138" i="12"/>
  <c r="R137" i="12"/>
  <c r="R136" i="12"/>
  <c r="R135" i="12"/>
  <c r="R134" i="12"/>
  <c r="R133" i="12"/>
  <c r="R132" i="12"/>
  <c r="R131" i="12"/>
  <c r="R130" i="12"/>
  <c r="R129" i="12"/>
  <c r="R128" i="12"/>
  <c r="R126" i="12"/>
  <c r="R125" i="12"/>
  <c r="R124" i="12"/>
  <c r="R123" i="12"/>
  <c r="R122" i="12"/>
  <c r="R121" i="12"/>
  <c r="R120" i="12"/>
  <c r="R119" i="12"/>
  <c r="R118" i="12"/>
  <c r="R117" i="12"/>
  <c r="R116" i="12"/>
  <c r="R115" i="12"/>
  <c r="R114" i="12"/>
  <c r="R113" i="12"/>
  <c r="R112" i="12"/>
  <c r="R111" i="12"/>
  <c r="R110" i="12"/>
  <c r="R109" i="12"/>
  <c r="R108" i="12"/>
  <c r="R107" i="12"/>
  <c r="R106" i="12"/>
  <c r="R105" i="12"/>
  <c r="R104" i="12"/>
  <c r="R103" i="12"/>
  <c r="R102" i="12"/>
  <c r="R101" i="12"/>
  <c r="R100" i="12"/>
  <c r="R99" i="12"/>
  <c r="R98" i="12"/>
  <c r="R97" i="12"/>
  <c r="R96" i="12"/>
  <c r="R95" i="12"/>
  <c r="R94" i="12"/>
  <c r="R93" i="12"/>
  <c r="R92" i="12"/>
  <c r="R91" i="12"/>
  <c r="R90" i="12"/>
  <c r="R89" i="12"/>
  <c r="R88" i="12"/>
  <c r="R87" i="12"/>
  <c r="R86" i="12"/>
  <c r="R85" i="12"/>
  <c r="R84" i="12"/>
  <c r="R83" i="12"/>
  <c r="R82" i="12"/>
  <c r="R81" i="12"/>
  <c r="R80" i="12"/>
  <c r="R79" i="12"/>
  <c r="R78" i="12"/>
  <c r="R77" i="12"/>
  <c r="R76" i="12"/>
  <c r="R75" i="12"/>
  <c r="R74" i="12"/>
  <c r="R73" i="12"/>
  <c r="R72" i="12"/>
  <c r="R71" i="12"/>
  <c r="R70" i="12"/>
  <c r="R69" i="12"/>
  <c r="R68" i="12"/>
  <c r="R67" i="12"/>
  <c r="R66" i="12"/>
  <c r="R65" i="12"/>
  <c r="R64" i="12"/>
  <c r="R63" i="12"/>
  <c r="R62" i="12"/>
  <c r="R61" i="12"/>
  <c r="R60" i="12"/>
  <c r="R59" i="12"/>
  <c r="R58" i="12"/>
  <c r="R57" i="12"/>
  <c r="R56" i="12"/>
  <c r="R55" i="12"/>
  <c r="R54" i="12"/>
  <c r="R53" i="12"/>
  <c r="R52" i="12"/>
  <c r="R51" i="12"/>
  <c r="R50" i="12"/>
  <c r="R49" i="12"/>
  <c r="R48" i="12"/>
  <c r="R47" i="12"/>
  <c r="R46" i="12"/>
  <c r="R45" i="12"/>
  <c r="R44" i="12"/>
  <c r="R43" i="12"/>
  <c r="R42" i="12"/>
  <c r="R41" i="12"/>
  <c r="R40" i="12"/>
  <c r="R39" i="12"/>
  <c r="R38" i="12"/>
  <c r="R37" i="12"/>
  <c r="R36" i="12"/>
  <c r="R35" i="12"/>
  <c r="R34" i="12"/>
  <c r="R33" i="12"/>
  <c r="R32" i="12"/>
  <c r="R31" i="12"/>
  <c r="R30" i="12"/>
  <c r="R29" i="12"/>
  <c r="R28" i="12"/>
  <c r="R27" i="12"/>
  <c r="R26" i="12"/>
  <c r="R25" i="12"/>
  <c r="R24" i="12"/>
  <c r="R23" i="12"/>
  <c r="R22" i="12"/>
  <c r="R21" i="12"/>
  <c r="R20" i="12"/>
  <c r="R19" i="12"/>
  <c r="R18" i="12"/>
  <c r="R17" i="12"/>
  <c r="R16" i="12"/>
  <c r="R15" i="12"/>
  <c r="R14" i="12"/>
  <c r="R13" i="12"/>
  <c r="R12" i="12"/>
  <c r="R11" i="12"/>
  <c r="R10" i="12"/>
  <c r="R9" i="12"/>
  <c r="R8" i="12"/>
  <c r="A1" i="12"/>
  <c r="D52" i="11"/>
  <c r="E9" i="11"/>
  <c r="D9" i="11"/>
  <c r="B9" i="11"/>
  <c r="D8" i="11"/>
  <c r="B8" i="11"/>
  <c r="E7" i="11"/>
  <c r="A6" i="11"/>
  <c r="A1" i="11"/>
  <c r="F34" i="10"/>
  <c r="G29" i="10"/>
  <c r="F29" i="10"/>
  <c r="F9" i="10"/>
  <c r="E9" i="10"/>
  <c r="D9" i="10"/>
  <c r="F8" i="10"/>
  <c r="D8" i="10"/>
  <c r="A5" i="10"/>
  <c r="A1" i="10"/>
  <c r="B159" i="9"/>
  <c r="B157" i="9"/>
  <c r="C137" i="9"/>
  <c r="C56" i="9"/>
  <c r="D7" i="9"/>
  <c r="C7" i="9"/>
  <c r="C102" i="9" s="1"/>
  <c r="C6" i="9"/>
  <c r="A5" i="9"/>
  <c r="A1" i="9"/>
  <c r="A10" i="8"/>
  <c r="A2" i="8"/>
  <c r="A1" i="8"/>
  <c r="C7" i="6"/>
  <c r="C9" i="11" s="1"/>
  <c r="C10" i="9" l="1"/>
  <c r="C40" i="9"/>
  <c r="C59" i="9"/>
  <c r="C83" i="9"/>
  <c r="C87" i="9"/>
  <c r="C95" i="9"/>
  <c r="C139" i="9"/>
  <c r="C150" i="9"/>
  <c r="C104" i="9"/>
  <c r="C48" i="9"/>
  <c r="C14" i="9"/>
  <c r="C22" i="9"/>
  <c r="C35" i="9"/>
  <c r="C62" i="9"/>
  <c r="C69" i="9"/>
  <c r="C79" i="9"/>
  <c r="C121" i="9"/>
  <c r="C103" i="9" s="1"/>
  <c r="C31" i="9"/>
  <c r="C65" i="9"/>
  <c r="D19" i="11"/>
  <c r="D29" i="11" s="1"/>
  <c r="D38" i="11"/>
  <c r="B19" i="11"/>
  <c r="B29" i="11" s="1"/>
  <c r="B38" i="11"/>
  <c r="D46" i="11"/>
  <c r="E46" i="11"/>
  <c r="C46" i="11"/>
  <c r="C19" i="11"/>
  <c r="C29" i="11" s="1"/>
  <c r="C38" i="11"/>
  <c r="E19" i="11"/>
  <c r="E29" i="11" s="1"/>
  <c r="E38" i="11"/>
  <c r="B46" i="11"/>
  <c r="B31" i="9"/>
  <c r="B79" i="9"/>
  <c r="B7" i="9"/>
  <c r="B139" i="9"/>
  <c r="B59" i="9"/>
  <c r="G9" i="10"/>
  <c r="B83" i="9"/>
  <c r="BL55" i="5"/>
  <c r="BL54" i="5"/>
  <c r="BL53" i="5"/>
  <c r="BL52" i="5"/>
  <c r="BL51" i="5"/>
  <c r="BL50" i="5"/>
  <c r="BL31" i="5"/>
  <c r="B64" i="5"/>
  <c r="B55" i="5"/>
  <c r="B73" i="5" s="1"/>
  <c r="B54" i="5"/>
  <c r="B63" i="5" s="1"/>
  <c r="B53" i="5"/>
  <c r="B62" i="5" s="1"/>
  <c r="B47" i="5"/>
  <c r="B46" i="5"/>
  <c r="B45" i="5"/>
  <c r="B44" i="5"/>
  <c r="B43" i="5"/>
  <c r="B36" i="5"/>
  <c r="B34" i="5"/>
  <c r="B52" i="5" s="1"/>
  <c r="B33" i="5"/>
  <c r="B42" i="5" s="1"/>
  <c r="B32" i="5"/>
  <c r="B50" i="5" s="1"/>
  <c r="B29" i="5"/>
  <c r="B28" i="5"/>
  <c r="B27" i="5"/>
  <c r="B26" i="5"/>
  <c r="B25" i="5"/>
  <c r="B24" i="5"/>
  <c r="B23" i="5"/>
  <c r="BO8" i="4"/>
  <c r="BP9" i="4"/>
  <c r="BQ9" i="4"/>
  <c r="BR9" i="4"/>
  <c r="BS9" i="4"/>
  <c r="BT9" i="4"/>
  <c r="BU9" i="4"/>
  <c r="BV9" i="4"/>
  <c r="BW9" i="4"/>
  <c r="BP10" i="4"/>
  <c r="BP11" i="4" s="1"/>
  <c r="BQ10" i="4"/>
  <c r="BR10" i="4"/>
  <c r="BS10" i="4"/>
  <c r="BS11" i="4" s="1"/>
  <c r="BT10" i="4"/>
  <c r="BT11" i="4" s="1"/>
  <c r="BU10" i="4"/>
  <c r="BV10" i="4"/>
  <c r="BW10" i="4"/>
  <c r="BV11" i="4"/>
  <c r="BP12" i="4"/>
  <c r="BQ12" i="4"/>
  <c r="BR12" i="4"/>
  <c r="BS12" i="4"/>
  <c r="BS29" i="4" s="1"/>
  <c r="BT12" i="4"/>
  <c r="BT33" i="4" s="1"/>
  <c r="BU12" i="4"/>
  <c r="BV12" i="4"/>
  <c r="BW12" i="4"/>
  <c r="BP16" i="4"/>
  <c r="BQ16" i="4"/>
  <c r="BQ29" i="4" s="1"/>
  <c r="BR16" i="4"/>
  <c r="BR29" i="4" s="1"/>
  <c r="BS16" i="4"/>
  <c r="BT16" i="4"/>
  <c r="BU16" i="4"/>
  <c r="BU29" i="4" s="1"/>
  <c r="BV16" i="4"/>
  <c r="BV29" i="4" s="1"/>
  <c r="BW16" i="4"/>
  <c r="BP30" i="4"/>
  <c r="BQ30" i="4"/>
  <c r="BQ31" i="4" s="1"/>
  <c r="BR30" i="4"/>
  <c r="BR31" i="4" s="1"/>
  <c r="BS30" i="4"/>
  <c r="BT30" i="4"/>
  <c r="BU30" i="4"/>
  <c r="BV30" i="4"/>
  <c r="BV31" i="4" s="1"/>
  <c r="BW30" i="4"/>
  <c r="BP32" i="4"/>
  <c r="BP33" i="4" s="1"/>
  <c r="BQ32" i="4"/>
  <c r="BQ33" i="4" s="1"/>
  <c r="BR32" i="4"/>
  <c r="BR33" i="4" s="1"/>
  <c r="BS32" i="4"/>
  <c r="BT32" i="4"/>
  <c r="BU32" i="4"/>
  <c r="BU33" i="4" s="1"/>
  <c r="BV32" i="4"/>
  <c r="BV33" i="4" s="1"/>
  <c r="BW32" i="4"/>
  <c r="BP34" i="4"/>
  <c r="BQ34" i="4"/>
  <c r="BQ35" i="4" s="1"/>
  <c r="BR34" i="4"/>
  <c r="BR35" i="4" s="1"/>
  <c r="BS34" i="4"/>
  <c r="BS35" i="4" s="1"/>
  <c r="BT34" i="4"/>
  <c r="BT35" i="4" s="1"/>
  <c r="BU34" i="4"/>
  <c r="BU35" i="4" s="1"/>
  <c r="BV34" i="4"/>
  <c r="BV35" i="4" s="1"/>
  <c r="BW34" i="4"/>
  <c r="BP36" i="4"/>
  <c r="BQ36" i="4"/>
  <c r="BR36" i="4"/>
  <c r="BS36" i="4"/>
  <c r="BT36" i="4"/>
  <c r="BU36" i="4"/>
  <c r="BU37" i="4" s="1"/>
  <c r="BV36" i="4"/>
  <c r="BV37" i="4" s="1"/>
  <c r="BW36" i="4"/>
  <c r="BW37" i="4" s="1"/>
  <c r="BQ37" i="4"/>
  <c r="BN39" i="4"/>
  <c r="BP38" i="4"/>
  <c r="BQ38" i="4"/>
  <c r="BR38" i="4"/>
  <c r="BS38" i="4"/>
  <c r="BT38" i="4"/>
  <c r="BU38" i="4"/>
  <c r="BU39" i="4" s="1"/>
  <c r="BV38" i="4"/>
  <c r="BV39" i="4" s="1"/>
  <c r="BW38" i="4"/>
  <c r="BQ39" i="4"/>
  <c r="BN48" i="4"/>
  <c r="BP40" i="4"/>
  <c r="BP48" i="4" s="1"/>
  <c r="BQ40" i="4"/>
  <c r="BR40" i="4"/>
  <c r="BS40" i="4"/>
  <c r="BT40" i="4"/>
  <c r="BU40" i="4"/>
  <c r="BV40" i="4"/>
  <c r="BV48" i="4" s="1"/>
  <c r="BW40" i="4"/>
  <c r="BW48" i="4" s="1"/>
  <c r="BR48" i="4"/>
  <c r="BS48" i="4"/>
  <c r="BU48" i="4"/>
  <c r="BP49" i="4"/>
  <c r="BQ49" i="4"/>
  <c r="BR49" i="4"/>
  <c r="BS49" i="4"/>
  <c r="BT49" i="4"/>
  <c r="BU49" i="4"/>
  <c r="BU54" i="4" s="1"/>
  <c r="BV49" i="4"/>
  <c r="BV54" i="4" s="1"/>
  <c r="BW49" i="4"/>
  <c r="BW54" i="4" s="1"/>
  <c r="BR54" i="4"/>
  <c r="BP55" i="4"/>
  <c r="BQ55" i="4"/>
  <c r="BR55" i="4"/>
  <c r="BS55" i="4"/>
  <c r="BT55" i="4"/>
  <c r="BU55" i="4"/>
  <c r="BV55" i="4"/>
  <c r="BW55" i="4"/>
  <c r="BP56" i="4"/>
  <c r="BP57" i="4" s="1"/>
  <c r="BQ56" i="4"/>
  <c r="BQ57" i="4" s="1"/>
  <c r="BR56" i="4"/>
  <c r="BS56" i="4"/>
  <c r="BT56" i="4"/>
  <c r="BU56" i="4"/>
  <c r="BU57" i="4" s="1"/>
  <c r="BV56" i="4"/>
  <c r="BV57" i="4" s="1"/>
  <c r="BW56" i="4"/>
  <c r="BW57" i="4"/>
  <c r="BK55" i="5"/>
  <c r="BJ55" i="5"/>
  <c r="BI55" i="5"/>
  <c r="BH55" i="5"/>
  <c r="BG55" i="5"/>
  <c r="BF55" i="5"/>
  <c r="BE55" i="5"/>
  <c r="BD55" i="5"/>
  <c r="BC55" i="5"/>
  <c r="BB55" i="5"/>
  <c r="BA55" i="5"/>
  <c r="AZ55" i="5"/>
  <c r="AY55" i="5"/>
  <c r="BK54" i="5"/>
  <c r="BJ54" i="5"/>
  <c r="BI54" i="5"/>
  <c r="BH54" i="5"/>
  <c r="BG54" i="5"/>
  <c r="BF54" i="5"/>
  <c r="BE54" i="5"/>
  <c r="BD54" i="5"/>
  <c r="BC54" i="5"/>
  <c r="BB54" i="5"/>
  <c r="BA54" i="5"/>
  <c r="AZ54" i="5"/>
  <c r="AY54" i="5"/>
  <c r="BK53" i="5"/>
  <c r="BJ53" i="5"/>
  <c r="BI53" i="5"/>
  <c r="BH53" i="5"/>
  <c r="BG53" i="5"/>
  <c r="BF53" i="5"/>
  <c r="BE53" i="5"/>
  <c r="BD53" i="5"/>
  <c r="BC53" i="5"/>
  <c r="BB53" i="5"/>
  <c r="BA53" i="5"/>
  <c r="AZ53" i="5"/>
  <c r="AY53" i="5"/>
  <c r="BJ52" i="5"/>
  <c r="BI52" i="5"/>
  <c r="BH52" i="5"/>
  <c r="BG52" i="5"/>
  <c r="BF52" i="5"/>
  <c r="BE52" i="5"/>
  <c r="BD52" i="5"/>
  <c r="BC52" i="5"/>
  <c r="BB52" i="5"/>
  <c r="BA52" i="5"/>
  <c r="AZ52" i="5"/>
  <c r="AY52" i="5"/>
  <c r="BK51" i="5"/>
  <c r="BJ51" i="5"/>
  <c r="BI51" i="5"/>
  <c r="BH51" i="5"/>
  <c r="BG51" i="5"/>
  <c r="BF51" i="5"/>
  <c r="BE51" i="5"/>
  <c r="BD51" i="5"/>
  <c r="BC51" i="5"/>
  <c r="BB51" i="5"/>
  <c r="BA51" i="5"/>
  <c r="AZ51" i="5"/>
  <c r="AY51" i="5"/>
  <c r="BK50" i="5"/>
  <c r="BJ50" i="5"/>
  <c r="BI50" i="5"/>
  <c r="BH50" i="5"/>
  <c r="BG50" i="5"/>
  <c r="BF50" i="5"/>
  <c r="BE50" i="5"/>
  <c r="BD50" i="5"/>
  <c r="BC50" i="5"/>
  <c r="BB50" i="5"/>
  <c r="BA50" i="5"/>
  <c r="AZ50" i="5"/>
  <c r="AY50" i="5"/>
  <c r="BK31" i="5"/>
  <c r="BJ31" i="5"/>
  <c r="BI31" i="5"/>
  <c r="BH31" i="5"/>
  <c r="BG31" i="5"/>
  <c r="BF31" i="5"/>
  <c r="BE31" i="5"/>
  <c r="BD31" i="5"/>
  <c r="BC31" i="5"/>
  <c r="BB31" i="5"/>
  <c r="BA31" i="5"/>
  <c r="AZ31" i="5"/>
  <c r="AY31" i="5"/>
  <c r="AX31" i="5"/>
  <c r="AW31" i="5"/>
  <c r="AV31" i="5"/>
  <c r="AU31" i="5"/>
  <c r="AT31" i="5"/>
  <c r="AS31" i="5"/>
  <c r="AR31" i="5"/>
  <c r="AQ31" i="5"/>
  <c r="AP31" i="5"/>
  <c r="AO31" i="5"/>
  <c r="AN31" i="5"/>
  <c r="BK13" i="5"/>
  <c r="BJ13" i="5"/>
  <c r="BI13" i="5"/>
  <c r="BH13" i="5"/>
  <c r="BG13" i="5"/>
  <c r="BF13" i="5"/>
  <c r="BE13" i="5"/>
  <c r="BD13" i="5"/>
  <c r="BC13" i="5"/>
  <c r="BB13" i="5"/>
  <c r="BA13" i="5"/>
  <c r="AZ13" i="5"/>
  <c r="AY13" i="5"/>
  <c r="AX13" i="5"/>
  <c r="AW13" i="5"/>
  <c r="AV13" i="5"/>
  <c r="AU13" i="5"/>
  <c r="AT13" i="5"/>
  <c r="AS13" i="5"/>
  <c r="AR13" i="5"/>
  <c r="AQ13" i="5"/>
  <c r="AP13" i="5"/>
  <c r="AO13" i="5"/>
  <c r="AN13" i="5"/>
  <c r="C138" i="9" l="1"/>
  <c r="C154" i="9" s="1"/>
  <c r="BO29" i="4"/>
  <c r="BN29" i="4"/>
  <c r="BN37" i="4"/>
  <c r="BM39" i="4"/>
  <c r="BR11" i="4"/>
  <c r="BM37" i="4"/>
  <c r="BM48" i="4"/>
  <c r="BQ11" i="4"/>
  <c r="BS33" i="4"/>
  <c r="BP31" i="4"/>
  <c r="BP29" i="4"/>
  <c r="BN33" i="4"/>
  <c r="BS54" i="4"/>
  <c r="BR37" i="4"/>
  <c r="BP35" i="4"/>
  <c r="BR39" i="4"/>
  <c r="BN35" i="4"/>
  <c r="BW11" i="4"/>
  <c r="BQ54" i="4"/>
  <c r="BP37" i="4"/>
  <c r="BP54" i="4"/>
  <c r="BP39" i="4"/>
  <c r="BW29" i="4"/>
  <c r="BU11" i="4"/>
  <c r="BM29" i="4"/>
  <c r="BM33" i="4"/>
  <c r="BM35" i="4"/>
  <c r="BM31" i="4"/>
  <c r="BU31" i="4"/>
  <c r="BT39" i="4"/>
  <c r="BS37" i="4"/>
  <c r="BT31" i="4"/>
  <c r="BS39" i="4"/>
  <c r="BT37" i="4"/>
  <c r="BS31" i="4"/>
  <c r="BT29" i="4"/>
  <c r="BT57" i="4"/>
  <c r="BT48" i="4"/>
  <c r="BS57" i="4"/>
  <c r="BT54" i="4"/>
  <c r="C58" i="9"/>
  <c r="C47" i="9" s="1"/>
  <c r="BL39" i="4"/>
  <c r="BO48" i="4"/>
  <c r="BO37" i="4"/>
  <c r="BO33" i="4"/>
  <c r="BW33" i="4"/>
  <c r="BO39" i="4"/>
  <c r="BO35" i="4"/>
  <c r="BO31" i="4"/>
  <c r="BN31" i="4"/>
  <c r="BR57" i="4"/>
  <c r="BQ48" i="4"/>
  <c r="BW39" i="4"/>
  <c r="BW35" i="4"/>
  <c r="BW31" i="4"/>
  <c r="BL48" i="4"/>
  <c r="BL33" i="4"/>
  <c r="BL35" i="4"/>
  <c r="C8" i="9"/>
  <c r="D47" i="11"/>
  <c r="D50" i="11" s="1"/>
  <c r="B47" i="11"/>
  <c r="B50" i="11" s="1"/>
  <c r="B40" i="9"/>
  <c r="B150" i="9"/>
  <c r="B138" i="9" s="1"/>
  <c r="E47" i="11"/>
  <c r="E50" i="11" s="1"/>
  <c r="C47" i="11"/>
  <c r="C50" i="11" s="1"/>
  <c r="B22" i="9"/>
  <c r="B48" i="9"/>
  <c r="B87" i="9"/>
  <c r="B10" i="9"/>
  <c r="B14" i="9"/>
  <c r="B65" i="9"/>
  <c r="B62" i="9"/>
  <c r="B121" i="9"/>
  <c r="B137" i="9"/>
  <c r="B102" i="9"/>
  <c r="B56" i="9"/>
  <c r="B104" i="9"/>
  <c r="B35" i="9"/>
  <c r="B95" i="9"/>
  <c r="BL31" i="4"/>
  <c r="BL37" i="4"/>
  <c r="BL29" i="4"/>
  <c r="BL49" i="5"/>
  <c r="B68" i="5"/>
  <c r="B59" i="5"/>
  <c r="B61" i="5"/>
  <c r="B70" i="5"/>
  <c r="B71" i="5"/>
  <c r="B41" i="5"/>
  <c r="B51" i="5"/>
  <c r="B72" i="5"/>
  <c r="BK52" i="5"/>
  <c r="C100" i="9" l="1"/>
  <c r="C155" i="9" s="1"/>
  <c r="B8" i="9"/>
  <c r="B58" i="9"/>
  <c r="B47" i="9" s="1"/>
  <c r="B103" i="9"/>
  <c r="B154" i="9" s="1"/>
  <c r="B60" i="5"/>
  <c r="B69" i="5"/>
  <c r="B100" i="9" l="1"/>
  <c r="B155" i="9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Author</author>
  </authors>
  <commentList>
    <comment ref="AP11" authorId="0" shapeId="0" xr:uid="{5304F0C4-A460-4897-9A0A-94CECE923678}">
      <text>
        <r>
          <rPr>
            <b/>
            <sz val="8"/>
            <color indexed="81"/>
            <rFont val="Tahoma"/>
            <family val="2"/>
          </rPr>
          <t>Author:</t>
        </r>
        <r>
          <rPr>
            <sz val="8"/>
            <color indexed="81"/>
            <rFont val="Tahoma"/>
            <family val="2"/>
          </rPr>
          <t xml:space="preserve">
CHỈNH </t>
        </r>
      </text>
    </comment>
    <comment ref="AX29" authorId="0" shapeId="0" xr:uid="{2EBE57AD-AE53-4CED-A3AF-5EF89EA12987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Chuyển vốn Plascene</t>
        </r>
      </text>
    </comment>
  </commentList>
</comments>
</file>

<file path=xl/sharedStrings.xml><?xml version="1.0" encoding="utf-8"?>
<sst xmlns="http://schemas.openxmlformats.org/spreadsheetml/2006/main" count="1734" uniqueCount="631">
  <si>
    <t>CÔNG TY CP NHỰA TÁI CHẾ DUY TÂN</t>
  </si>
  <si>
    <t>Địa chỉ:</t>
  </si>
  <si>
    <t>Lô D2, Cụm Công nghiệp Nhựa Đức Hoà Hạ, Xã Đức Hoà, Tỉnh Tây Ninh</t>
  </si>
  <si>
    <t>Mã số thuế:</t>
  </si>
  <si>
    <t>Deadline ngày 5 tây hàng tháng</t>
  </si>
  <si>
    <t>Năm tài chính hiện tại</t>
  </si>
  <si>
    <t>Năm trước</t>
  </si>
  <si>
    <t>Tháng báo cáo hiện tại</t>
  </si>
  <si>
    <t>NGƯỜI LẬP BIỂU</t>
  </si>
  <si>
    <t>Hoàng Duy Danh</t>
  </si>
  <si>
    <t>KẾ TOÁN TRƯỞNG</t>
  </si>
  <si>
    <t>Giang Văn Lộc</t>
  </si>
  <si>
    <t xml:space="preserve">TỔNG GIÁM ĐỐC </t>
  </si>
  <si>
    <t>Trần Duy Hy</t>
  </si>
  <si>
    <t xml:space="preserve"> THÁNG 01 NĂM 2026</t>
  </si>
  <si>
    <t>Thành phố Hồ Chí Minh, Ngày 31 tháng 01 năm 2026</t>
  </si>
  <si>
    <t xml:space="preserve">BÁO CÁO TÀI CHÍNH </t>
  </si>
  <si>
    <t>Trang</t>
  </si>
  <si>
    <t>BÁO CÁO CỦA BAN  GIÁM ĐỐC</t>
  </si>
  <si>
    <t>2 - 3</t>
  </si>
  <si>
    <t>BÁO CÁO  KIỂM TOÁN</t>
  </si>
  <si>
    <t>4 - 4</t>
  </si>
  <si>
    <t xml:space="preserve">- Bảng cân đối kế toán </t>
  </si>
  <si>
    <t>1 - 4</t>
  </si>
  <si>
    <t>- Báo cáo kết quả hoạt động kinh doanh</t>
  </si>
  <si>
    <t>5</t>
  </si>
  <si>
    <t>- Báo cáo lưu chuyển tiền tệ</t>
  </si>
  <si>
    <t>6 - 7</t>
  </si>
  <si>
    <t>- Bản thuyết minh báo cáo tài chính</t>
  </si>
  <si>
    <t>11 - 31</t>
  </si>
  <si>
    <t>(Báo cáo tài chính được lập và trình bày theo Quyết định số 15/2006/QĐ-BTC ngày 20/03/2006</t>
  </si>
  <si>
    <t>của Bộ trưởng Bộ Tài Chính)</t>
  </si>
  <si>
    <t>BÁO CÁO TÌNH HÌNH TÀI CHÍNH HỢP NHẤT</t>
  </si>
  <si>
    <t>TÀI SẢN</t>
  </si>
  <si>
    <t>A . TÀI SẢN NGẮN HẠN</t>
  </si>
  <si>
    <t>I. Tiền và các khoản tương đương tiền</t>
  </si>
  <si>
    <t xml:space="preserve">1. Tiền </t>
  </si>
  <si>
    <t xml:space="preserve">2. Các khoản tương đương tiền </t>
  </si>
  <si>
    <t>II. Các khoản đầu tư tài chính ngắn hạn</t>
  </si>
  <si>
    <t>1.Chứng khoán kinh doanh</t>
  </si>
  <si>
    <t xml:space="preserve">2.Dự phòng giảm giá chứng khoán kinh doanh (*) </t>
  </si>
  <si>
    <t>3.Đầu tư nắm giữ đến ngày đáo hạn ngắn hạn</t>
  </si>
  <si>
    <t>4.Dự phòng đầu tư nắm giữ đến ngày đáo hạn ngắn hạn (*)</t>
  </si>
  <si>
    <t>5.Đầu tư ngắn hạn khác</t>
  </si>
  <si>
    <t>6.Dự phòng tổn thất các khoản đầu tư ngắn hạn khác (*)</t>
  </si>
  <si>
    <t>III. Các khoản phải thu ngắn hạn</t>
  </si>
  <si>
    <t>1.Phải thu ngắn hạn của khách hàng</t>
  </si>
  <si>
    <t>2.Trả trước cho người bán ngắn hạn</t>
  </si>
  <si>
    <t>3.Phải thu nội bộ ngắn hạn</t>
  </si>
  <si>
    <t>4.Phải thu theo tiến độ hợp đồng xây dựng</t>
  </si>
  <si>
    <t>5.Phải thu ngắn hạn khác</t>
  </si>
  <si>
    <t>6.Dự phòng phải thu ngắn hạn khó đòi (*)</t>
  </si>
  <si>
    <t>7.Tài sản thiếu chờ xử lý</t>
  </si>
  <si>
    <t>IV. Hàng tồn kho</t>
  </si>
  <si>
    <t>1. Hàng tồn kho</t>
  </si>
  <si>
    <t>2. Dự phòng giảm giá hàng tồn kho (*)</t>
  </si>
  <si>
    <t>V. Tài sản sinh học ngắn hạn</t>
  </si>
  <si>
    <t>1.Súc vật nuôi lấy sản phẩm một lần ngắn hạn</t>
  </si>
  <si>
    <t>2.Cây trồng theo mùa vụ hoặc lấy sản phẩm một lần ngắn hạn</t>
  </si>
  <si>
    <t>3.Dự phòng tổn thất tài sản sinh học ngắn hạn (*)</t>
  </si>
  <si>
    <t>VI. Tài sản ngắn hạn khác</t>
  </si>
  <si>
    <t>1.Chi phí chờ phân bổ ngắn hạn</t>
  </si>
  <si>
    <t>2.Thuế GTGT được khấu trừ</t>
  </si>
  <si>
    <t>3.Thuế và các khoản khác phải thu Nhà nước</t>
  </si>
  <si>
    <t>4.Giao dịch mua bán lại trái phiếu Chính phủ</t>
  </si>
  <si>
    <t>5.Tài sản ngắn hạn khác</t>
  </si>
  <si>
    <t>B. TÀI SẢN DÀI HẠN</t>
  </si>
  <si>
    <t>I.Các khoản phải thu dài hạn</t>
  </si>
  <si>
    <t>1.Phải thu dài hạn của khách hàng</t>
  </si>
  <si>
    <t>2.Trả trước cho người bán dài hạn</t>
  </si>
  <si>
    <t>3.Vốn kinh doanh ở đơn vị trực thuộc</t>
  </si>
  <si>
    <t>4.Phải thu nội bộ dài hạn</t>
  </si>
  <si>
    <t>5.Phải thu dài hạn khác</t>
  </si>
  <si>
    <t>6.Dự phòng phải thu dài hạn khó đòi (*)</t>
  </si>
  <si>
    <t>II. Tài sản cố định</t>
  </si>
  <si>
    <t>1. Tài sản cố định hữu hình</t>
  </si>
  <si>
    <t xml:space="preserve">    - Nguyên giá</t>
  </si>
  <si>
    <t xml:space="preserve">    - Giá trị hao mòn luỹ kế (*)</t>
  </si>
  <si>
    <t>2. Tài sản cố định thuê tài chính</t>
  </si>
  <si>
    <t>3. Tài sản cố định vô hình</t>
  </si>
  <si>
    <t>III. Tài sản sinh học dài hạn</t>
  </si>
  <si>
    <t>1.Súc vật nuôi cho sản phẩm định kỳ</t>
  </si>
  <si>
    <t>a)Súc vật nuôi cho sản phẩm định kỳ chưa đến giai đoạn trưởng thành</t>
  </si>
  <si>
    <t>b)Súc vật nuôi cho sản phẩm định kỳ đến giai đoạn trưởng thành</t>
  </si>
  <si>
    <t>- Nguyên giá</t>
  </si>
  <si>
    <t>- Giá trị khấu hao lũy kế (*)</t>
  </si>
  <si>
    <t>2.Súc vật nuôi lấy sản phẩm một lần dài hạn</t>
  </si>
  <si>
    <t>3.Cây trồng theo mùa vụ hoặc lấy sản phẩm một lần dài hạn</t>
  </si>
  <si>
    <t>4.Dự phòng tổn thất tài sản sinh học dài hạn</t>
  </si>
  <si>
    <t>IV. Bất động sản đầu tư</t>
  </si>
  <si>
    <t>- Giá trị hao mòn luỹ kế (*)</t>
  </si>
  <si>
    <t xml:space="preserve">V. Tài sản dở dang dài hạn </t>
  </si>
  <si>
    <t>1.Chi phí sản xuất, kinh doanh dở dang dài hạn</t>
  </si>
  <si>
    <t>2.Chi phí xây dựng cơ bản dở dang</t>
  </si>
  <si>
    <t>VI. Đầu tư tài chính dài hạn</t>
  </si>
  <si>
    <t xml:space="preserve">1.Đầu tư vào công ty con </t>
  </si>
  <si>
    <t>2.Đầu tư vào công ty liên doanh, liên kết</t>
  </si>
  <si>
    <t>3.Đầu tư góp vốn vào đơn vị khác</t>
  </si>
  <si>
    <t>4.Dự phòng tổn thất đầu tư vào đơn vị khác dài hạn(*)</t>
  </si>
  <si>
    <t>5.Đầu tư nắm giữ đến ngày đáo hạn dài hạn</t>
  </si>
  <si>
    <t>6.Dự phòng đầu tư nắm giữ đến ngày đáo hạn dài hạn (*)</t>
  </si>
  <si>
    <t>VII. Tài sản dài hạn khác</t>
  </si>
  <si>
    <t>1.Chi phí chờ phân bổ dài hạn</t>
  </si>
  <si>
    <t>2.Tài sản thuế thu nhập hoãn lại</t>
  </si>
  <si>
    <t>3.Thiết bị, vật tư, phụ tùng thay thế dài hạn</t>
  </si>
  <si>
    <t>4.Tài sản dài hạn khác</t>
  </si>
  <si>
    <t>TỔNG CỘNG TÀI SẢN</t>
  </si>
  <si>
    <t>NGUỒN VỐN</t>
  </si>
  <si>
    <t>C . NỢ PHẢI TRẢ</t>
  </si>
  <si>
    <t>I. Nợ ngắn hạn</t>
  </si>
  <si>
    <t>1.Phải trả người bán ngắn hạn</t>
  </si>
  <si>
    <t>2.Người mua trả tiền trước ngắn hạn</t>
  </si>
  <si>
    <t>3.Phải trả cổ tức, lợi nhuận</t>
  </si>
  <si>
    <t>4.Thuế và các khoản phải nộp Nhà nước ngắn hạn</t>
  </si>
  <si>
    <t>5.Phải trả người lao động</t>
  </si>
  <si>
    <t>6.Chi phí phải trả ngắn hạn</t>
  </si>
  <si>
    <t>7.Phải trả nội bộ ngắn hạn</t>
  </si>
  <si>
    <t>8.Phải trả theo tiến độ hợp đồng xây dựng ngắn hạn</t>
  </si>
  <si>
    <t>9.Doanh thu chờ phân bổ ngắn hạn</t>
  </si>
  <si>
    <t>10.Phải trả ngắn hạn khác</t>
  </si>
  <si>
    <t>11.Vay và nợ thuê tài chính ngắn hạn</t>
  </si>
  <si>
    <t xml:space="preserve">12.Dự phòng phải trả ngắn hạn </t>
  </si>
  <si>
    <t>13.Quỹ khen thưởng, phúc lợi</t>
  </si>
  <si>
    <t>14.Quỹ bình ổn giá</t>
  </si>
  <si>
    <t>15.Giao dịch mua bán lại trái phiếu Chính phủ</t>
  </si>
  <si>
    <t>II. Nợ dài hạn</t>
  </si>
  <si>
    <t>1.Phải trả người bán dài hạn</t>
  </si>
  <si>
    <t>2.Người mua trả tiền trước dài hạn</t>
  </si>
  <si>
    <t>3.Thuế và các khoản phải nộp Nhà nước dài hạn</t>
  </si>
  <si>
    <t>4.Chi phí phải trả dài hạn</t>
  </si>
  <si>
    <t>5.Phải trả nội bộ về vốn kinh doanh</t>
  </si>
  <si>
    <t>6.Phải trả nội bộ dài hạn</t>
  </si>
  <si>
    <t>7.Doanh thu chờ phân bổ dài hạn</t>
  </si>
  <si>
    <t>8.Phải trả dài hạn khác</t>
  </si>
  <si>
    <t xml:space="preserve">8.Vay và nợ thuê tài chính dài hạn </t>
  </si>
  <si>
    <t>10.Trái phiếu chuyển đổi</t>
  </si>
  <si>
    <t>11.Cổ phiếu ưu đãi</t>
  </si>
  <si>
    <t xml:space="preserve">12.Thuế thu nhập hoãn lại phải trả </t>
  </si>
  <si>
    <t xml:space="preserve">13.Dự phòng phải trả dài hạn </t>
  </si>
  <si>
    <t>14.Quỹ phát triển khoa học và công nghệ</t>
  </si>
  <si>
    <t>D . VỐN CHỦ SỞ HỮU</t>
  </si>
  <si>
    <t>1.Vốn góp của chủ sở hữu</t>
  </si>
  <si>
    <t>-Cổ phiếu phổ thông có quyền biểu quyết</t>
  </si>
  <si>
    <t>-Cổ phiếu ưu đãi</t>
  </si>
  <si>
    <t>2.Thặng dư vốn</t>
  </si>
  <si>
    <t>3.Quyền chọn chuyển đổi trái phiếu</t>
  </si>
  <si>
    <t xml:space="preserve">4.Vốn khác của chủ sở hữu </t>
  </si>
  <si>
    <t>5.Cổ phiếu mua lại của chính mình (*)</t>
  </si>
  <si>
    <t>6.Chênh lệch đánh giá lại tài sản</t>
  </si>
  <si>
    <t>7.Chênh lệch tỷ giá hối đoái</t>
  </si>
  <si>
    <t>8.Quỹ đầu tư phát triển</t>
  </si>
  <si>
    <t>9.Quỹ khác thuộc vốn chủ sở hữu</t>
  </si>
  <si>
    <t>10.Lợi nhuận sau thuế chưa phân phối</t>
  </si>
  <si>
    <t>-LNST chưa phân phối lũy kế đến cuối kỳ trước</t>
  </si>
  <si>
    <t>-LNST chưa phân phối kỳ này</t>
  </si>
  <si>
    <t>TỔNG CỘNG NGUỒN VỐN</t>
  </si>
  <si>
    <t>BÁO CÁO KẾT QUẢ HOẠT ĐỘNG KINH DOANH HỢP NHẤT</t>
  </si>
  <si>
    <t>ĐVT: VNĐ</t>
  </si>
  <si>
    <t>Chỉ tiêu</t>
  </si>
  <si>
    <t>1.</t>
  </si>
  <si>
    <t>Doanh thu bán hàng và cung cấp dịch vụ</t>
  </si>
  <si>
    <t>2.</t>
  </si>
  <si>
    <t>Các khoản giảm trừ doanh thu</t>
  </si>
  <si>
    <t>3.</t>
  </si>
  <si>
    <t>Doanh thu thuần về bán hàng và cung cấp dịch vụ</t>
  </si>
  <si>
    <t>4.</t>
  </si>
  <si>
    <t>Giá vốn hàng bán</t>
  </si>
  <si>
    <t>5.</t>
  </si>
  <si>
    <t>Lợi nhuận gộp về bán hàng và cung cấp dịch vụ</t>
  </si>
  <si>
    <t>6.</t>
  </si>
  <si>
    <t>Lãi/lỗ của hoạt động bán, thanh lý bất động sản đầu tư</t>
  </si>
  <si>
    <t>7.</t>
  </si>
  <si>
    <t>Doanh thu hoạt động tài chính</t>
  </si>
  <si>
    <t>8.</t>
  </si>
  <si>
    <t>Chi phí tài chính</t>
  </si>
  <si>
    <t xml:space="preserve">Trong đó:  chi phí lãi vay </t>
  </si>
  <si>
    <t>9.</t>
  </si>
  <si>
    <t>Chi phí bán hàng</t>
  </si>
  <si>
    <t>10.</t>
  </si>
  <si>
    <t>Chi phí quản lý doanh nghiệp</t>
  </si>
  <si>
    <t>11.</t>
  </si>
  <si>
    <t>Lợi nhuận thuần từ hoạt động kinh doanh</t>
  </si>
  <si>
    <t>12.</t>
  </si>
  <si>
    <t>Thu nhập khác</t>
  </si>
  <si>
    <t>13.</t>
  </si>
  <si>
    <t xml:space="preserve">Chi phí khác </t>
  </si>
  <si>
    <t>14.</t>
  </si>
  <si>
    <t>Lợi nhuận khác</t>
  </si>
  <si>
    <t>15.</t>
  </si>
  <si>
    <t xml:space="preserve">Tổng lợi nhuận kế toán trước thuế </t>
  </si>
  <si>
    <t>16.</t>
  </si>
  <si>
    <t>Chi phí thuế TNDN hiện hành (*)</t>
  </si>
  <si>
    <t>17.</t>
  </si>
  <si>
    <t>Chi phí thuế TNDN hoãn lại</t>
  </si>
  <si>
    <t>18.</t>
  </si>
  <si>
    <t xml:space="preserve">Lợi nhuận sau thuế </t>
  </si>
  <si>
    <t>19.</t>
  </si>
  <si>
    <t xml:space="preserve">Lãi cơ bản trên cổ phiếu </t>
  </si>
  <si>
    <t>Lập, ngày 30 tháng 11 năm 2025</t>
  </si>
  <si>
    <t>BÁO CÁO LƯU CHUYỂN TIỀN TỆ HỢP NHẤT</t>
  </si>
  <si>
    <t>(Theo phương pháp gián tiếp)</t>
  </si>
  <si>
    <t>I. Lưu chuyển tiền từ hoạt động kinh doanh</t>
  </si>
  <si>
    <t>1. Lợi nhuận trước thuế</t>
  </si>
  <si>
    <t>2. Điều chỉnh cho các khoản</t>
  </si>
  <si>
    <t>- Khấu hao tài sản cố định và BĐSĐT</t>
  </si>
  <si>
    <t>- Các khoản dự phòng</t>
  </si>
  <si>
    <t>- Lãi, lỗ chênh lệch tỷ giá hối đoái do đánh giá lại các khoản mục tiền tệ có gốc ngoại tệ</t>
  </si>
  <si>
    <t>- Lãi lỗ từ hoạt động đầu tư, tài chính</t>
  </si>
  <si>
    <t>- Chi phí đi vay</t>
  </si>
  <si>
    <t>- Các khoản điều chỉnh khác</t>
  </si>
  <si>
    <t>3. Lợi nhuận từ hoạt động kinh doanh trước thay đổi vốn lưu động</t>
  </si>
  <si>
    <t>- Tăng giảm các khoản phải thu</t>
  </si>
  <si>
    <t>- Tăng giảm hàng tồn kho</t>
  </si>
  <si>
    <t xml:space="preserve">- Tăng giảm các khoản phải trả (Không bao gồm lãi vay phải trả, thuế TNDN phải nộp) </t>
  </si>
  <si>
    <t>- Tăng giảm chi phí chờ phân bổ</t>
  </si>
  <si>
    <t>- Tăng, giảm chứng khoán kinh doanh</t>
  </si>
  <si>
    <t>- Chi phí đi vay đã trả</t>
  </si>
  <si>
    <t>- Thuế thu nhập doanh nghiệp đã nộp</t>
  </si>
  <si>
    <t>- Tiền thu khác từ hoạt động kinh doanh</t>
  </si>
  <si>
    <t>- Tiền chi khác cho hoạt động kinh doanh</t>
  </si>
  <si>
    <t>Lưu chuyển tiền thuần từ hoạt động kinh doanh</t>
  </si>
  <si>
    <t>II. Lưu chuyển tiền từ hoạt động đầu tư</t>
  </si>
  <si>
    <t>1. Tiền chi để mua sắm, xây dựng TSCĐ và các tài sản dài hạn khác</t>
  </si>
  <si>
    <t>2. Tiền thu từ thanh lý, nhượng bán TSCĐ và các tài sản dài hạn khác</t>
  </si>
  <si>
    <t>3. Tiền chi cho vay, mua các công cụ nợ của đơn vị khác</t>
  </si>
  <si>
    <t>4. Tiền thu hồi cho vay, bán lại các công cụ nợ của đơn vị khác</t>
  </si>
  <si>
    <t>5. Tiền chi đầu tư góp vốn vào đơn vị khác</t>
  </si>
  <si>
    <t>6. Tiền thu hồi đầu tư góp vốn vào đơn vị khác</t>
  </si>
  <si>
    <t>7. Tiền thu lãi cho vay, cổ tức và lợi nhuận được chia</t>
  </si>
  <si>
    <t>Lưu chuyển tiền thuần từ hoạt động đầu tư</t>
  </si>
  <si>
    <t>III. Lưu chuyển tiền từ hoạt động tài chính</t>
  </si>
  <si>
    <t>1. Tiền thu từ phát hành cố phiếu, nhận vốn góp của chủ sở hữu</t>
  </si>
  <si>
    <t>2. Tiền trả lại vốn góp cho các chủ sở hữu, mua lại cổ phiểu đã phát hành</t>
  </si>
  <si>
    <t>3. Tiền thu từ đi vay</t>
  </si>
  <si>
    <t>4. Tiền trả nợ gốc vay</t>
  </si>
  <si>
    <t xml:space="preserve">5. Tiền trả nợ gốc thuê tài chính </t>
  </si>
  <si>
    <t xml:space="preserve">6. Cổ tức, lợi nhuận đã trả cho chủ sở hữu </t>
  </si>
  <si>
    <t xml:space="preserve">Lưu chuyển tiền thuần từ hoạt động tài chính </t>
  </si>
  <si>
    <t>Lưu chuyển tiền thuần trong kỳ</t>
  </si>
  <si>
    <t>Tiền và tương đương tiền đầu kỳ</t>
  </si>
  <si>
    <t>Ảnh hưởng của thay đổi tỷ giá hối đoái quy đổi ngoại tệ</t>
  </si>
  <si>
    <t>Tiền và tương đương tiền cuối kỳ</t>
  </si>
  <si>
    <t>GIÁM ĐỐC</t>
  </si>
  <si>
    <t>VND</t>
  </si>
  <si>
    <t>Index BS</t>
  </si>
  <si>
    <t>PHẦN I-BÁO CÁO TÌNH HÌNH TÀI CHÍNH</t>
  </si>
  <si>
    <t>TenCongTyID</t>
  </si>
  <si>
    <t>T1.2021</t>
  </si>
  <si>
    <t>T02.2021</t>
  </si>
  <si>
    <t>T03.2021</t>
  </si>
  <si>
    <t>T04.2021</t>
  </si>
  <si>
    <t>T05.2021</t>
  </si>
  <si>
    <t>T06.2021</t>
  </si>
  <si>
    <t>T07.2021</t>
  </si>
  <si>
    <t>T08.2021</t>
  </si>
  <si>
    <t>T09.2021</t>
  </si>
  <si>
    <t>T10.2021</t>
  </si>
  <si>
    <t>T11.2021</t>
  </si>
  <si>
    <t>T12.2021</t>
  </si>
  <si>
    <t>T1.2022</t>
  </si>
  <si>
    <t>T02.2022</t>
  </si>
  <si>
    <t>T03.2022</t>
  </si>
  <si>
    <t>T04.2022</t>
  </si>
  <si>
    <t>T05.2022</t>
  </si>
  <si>
    <t>T06.2022</t>
  </si>
  <si>
    <t>T07.2022</t>
  </si>
  <si>
    <t>T08.2022</t>
  </si>
  <si>
    <t>T09.2022</t>
  </si>
  <si>
    <t>T10.2022</t>
  </si>
  <si>
    <t>T11.2022</t>
  </si>
  <si>
    <t>T12.2022</t>
  </si>
  <si>
    <t>T1.2023</t>
  </si>
  <si>
    <t>T02.2023</t>
  </si>
  <si>
    <t>T03.2023</t>
  </si>
  <si>
    <t>T04.2023</t>
  </si>
  <si>
    <t>T05.2023</t>
  </si>
  <si>
    <t>T06.2023</t>
  </si>
  <si>
    <t>T07.2023</t>
  </si>
  <si>
    <t>T08.2023</t>
  </si>
  <si>
    <t>T09.2023</t>
  </si>
  <si>
    <t>T10.2023</t>
  </si>
  <si>
    <t>T11.2023</t>
  </si>
  <si>
    <t>T12.2023</t>
  </si>
  <si>
    <t>T01.2024</t>
  </si>
  <si>
    <t>T02.2024</t>
  </si>
  <si>
    <t>T03.2024</t>
  </si>
  <si>
    <t>T04.2024</t>
  </si>
  <si>
    <t>T05.2024</t>
  </si>
  <si>
    <t>T06.2024</t>
  </si>
  <si>
    <t>T07.2024</t>
  </si>
  <si>
    <t>T08.2024</t>
  </si>
  <si>
    <t>T09.2024</t>
  </si>
  <si>
    <t>T10.2024</t>
  </si>
  <si>
    <t>T11.2024</t>
  </si>
  <si>
    <t>T12.2024</t>
  </si>
  <si>
    <t>T01.2025</t>
  </si>
  <si>
    <t>T02.2025</t>
  </si>
  <si>
    <t>T03.2025</t>
  </si>
  <si>
    <t>T04.2025</t>
  </si>
  <si>
    <t>T05.2025</t>
  </si>
  <si>
    <t>T06.2025</t>
  </si>
  <si>
    <t>T07.2025</t>
  </si>
  <si>
    <t>T08.2025</t>
  </si>
  <si>
    <t>T09.2025</t>
  </si>
  <si>
    <t>T10.2025</t>
  </si>
  <si>
    <t>T11.2025</t>
  </si>
  <si>
    <t>T12.2025</t>
  </si>
  <si>
    <t>T01.2026</t>
  </si>
  <si>
    <t>T02.2026</t>
  </si>
  <si>
    <t>T03.2026</t>
  </si>
  <si>
    <t>T04.2026</t>
  </si>
  <si>
    <t>T05.2026</t>
  </si>
  <si>
    <t>T06.2026</t>
  </si>
  <si>
    <t>T07.2026</t>
  </si>
  <si>
    <t>T08.2026</t>
  </si>
  <si>
    <t>T09.2026</t>
  </si>
  <si>
    <t>T10.2026</t>
  </si>
  <si>
    <t>T11.2026</t>
  </si>
  <si>
    <t>T12.2026</t>
  </si>
  <si>
    <t>A-TÀI SẢN NGẮN HẠN</t>
  </si>
  <si>
    <t>I.Tiền và các khoản tương đương tiền</t>
  </si>
  <si>
    <t xml:space="preserve">1.Tiền </t>
  </si>
  <si>
    <t>2.Các khoản tương đương tiền</t>
  </si>
  <si>
    <t>II.Đầu tư tài chính ngắn hạn</t>
  </si>
  <si>
    <t>III.Các khoản phải thu ngắn hạn</t>
  </si>
  <si>
    <t>1.Hàng tồn kho</t>
  </si>
  <si>
    <t>2.Dự phòng giảm giá hàng tồn kho (*)</t>
  </si>
  <si>
    <t>B-TÀI SẢN DÀI HẠN</t>
  </si>
  <si>
    <t>II.Tài sản cố định</t>
  </si>
  <si>
    <t>1.Tài sản cố định hữu hình</t>
  </si>
  <si>
    <t>Nguyên giá TSCĐ HH</t>
  </si>
  <si>
    <t>Giá trị hao mòn luỹ kế TSCĐ HH(*)</t>
  </si>
  <si>
    <t>Nguyên giá TSCĐ thuê tài chính</t>
  </si>
  <si>
    <t>Giá trị hao mòn luỹ kế TSCĐ thuê tài chính</t>
  </si>
  <si>
    <t>Nguyên giá TSCĐ vô hình</t>
  </si>
  <si>
    <t>Giá trị hao mòn luỹ kế TSCĐ vô hình(*)</t>
  </si>
  <si>
    <t>III.Tài sản sinh học dài hạn</t>
  </si>
  <si>
    <t>Nguyên giá</t>
  </si>
  <si>
    <t>Giá trị khấu hao lũy kế (*)</t>
  </si>
  <si>
    <t>Nguyên giá bất động sản đầu tư</t>
  </si>
  <si>
    <t>Giá trị hao mòn luỹ kế BĐSĐT(*)</t>
  </si>
  <si>
    <t>V.Tài sản dở dang dài hạn</t>
  </si>
  <si>
    <t>VI.Đầu tư tài chính dài hạn</t>
  </si>
  <si>
    <t>VII.Tài sản dài hạn khác</t>
  </si>
  <si>
    <t>TỔNG TÀI SẢN</t>
  </si>
  <si>
    <t>C-NỢ PHẢI TRẢ</t>
  </si>
  <si>
    <t>I.Nợ ngắn hạn</t>
  </si>
  <si>
    <t>II.Nợ dài hạn</t>
  </si>
  <si>
    <t xml:space="preserve">9.Vay và nợ thuê tài chính dài hạn </t>
  </si>
  <si>
    <t>D-VỐN CHỦ SỞ HỮU</t>
  </si>
  <si>
    <t>TỔNG NGUỒN VỐN</t>
  </si>
  <si>
    <t>Index PL</t>
  </si>
  <si>
    <t>PHẦN II-KẾT QUẢ HOẠT ĐỘNG KINH DOANH</t>
  </si>
  <si>
    <t>Sản lượng (kg)</t>
  </si>
  <si>
    <t>1.Doanh thu bán hàng và cung cấp dịch vụ</t>
  </si>
  <si>
    <t>2.Các khoản giảm trừ doanh thu</t>
  </si>
  <si>
    <t>3.Doanh thu thuần về bán hàng và cung cấp dịch vụ</t>
  </si>
  <si>
    <t>4.Giá vốn hàng bán</t>
  </si>
  <si>
    <t>5.Lợi nhuận gộp về bán hàng</t>
  </si>
  <si>
    <t>6.Lãi/lỗ của hoạt động bán, thanh lý bất động sản đầu tư</t>
  </si>
  <si>
    <t>7.Doanh thu hoạt động tài chính</t>
  </si>
  <si>
    <t>8.Chi phí tài chính</t>
  </si>
  <si>
    <t>Trong đó: Chi phí lãi vay</t>
  </si>
  <si>
    <t>9.Chi phí bán hàng</t>
  </si>
  <si>
    <t>10.Chi phí quản lý doanh nghiệp</t>
  </si>
  <si>
    <t>11.Lợi nhuận thuần từ hoạt động kinh doanh</t>
  </si>
  <si>
    <t>12.Thu nhập khác</t>
  </si>
  <si>
    <t>13.Chi phí khác</t>
  </si>
  <si>
    <t>14.Lợi nhuận khác</t>
  </si>
  <si>
    <t xml:space="preserve">15.Tổng lợi nhuận kế toán trước thuế </t>
  </si>
  <si>
    <t>16.Chi phí thuế TNDN hiện hành</t>
  </si>
  <si>
    <t>17.Chi phí thuế TNDN hoãn lại</t>
  </si>
  <si>
    <t>18.Lợi nhuận sau thuế thu nhập doanh nghiệp</t>
  </si>
  <si>
    <t>Index CF</t>
  </si>
  <si>
    <t>PHẦN III- LƯU CHUYỂN TIỀN TỆ</t>
  </si>
  <si>
    <t>Lợi nhuận trước thuế</t>
  </si>
  <si>
    <t>Điều chỉnh cho các khoản:</t>
  </si>
  <si>
    <t>Khấu hao tài sản cố định và BĐSĐT</t>
  </si>
  <si>
    <t>Các khoản dự phòng</t>
  </si>
  <si>
    <t>Lãi, lỗ chênh lệch tỷ giá do đánh giá lại các khoản mục tiền tệ có gốc ngoại tệ</t>
  </si>
  <si>
    <t>Lãi, lỗ từ hoạt động đầu tư, tài chính</t>
  </si>
  <si>
    <t>Chi phí đi vay</t>
  </si>
  <si>
    <t>Các khoản điều chỉnh khác</t>
  </si>
  <si>
    <t>Lợi nhuận từ hoạt động kinh doanh trước thay đổi vốn lưu động</t>
  </si>
  <si>
    <t xml:space="preserve">Tăng / giảm các khoản phải thu </t>
  </si>
  <si>
    <t>Tăng / giảm hàng tồn kho</t>
  </si>
  <si>
    <t>Tăng / giảm các khoản phải trả (Không bao gồm lãi vay phải trả, thuế TNDN phải nộp)</t>
  </si>
  <si>
    <t>Tăng / giảm chi phí chờ phân bổ</t>
  </si>
  <si>
    <t>Tăng / giảm chứng khoán kinh doanh</t>
  </si>
  <si>
    <t>Chi phí đi vay đã trả</t>
  </si>
  <si>
    <t>Thuế thu nhập doanh nghiệp đã nộp</t>
  </si>
  <si>
    <t>Tiền thu khác từ hoạt động kinh doanh</t>
  </si>
  <si>
    <t>Tiền chi khác cho hoạt động kinh doanh</t>
  </si>
  <si>
    <t>Tiền chi để mua sắm, xây dựng, TSCĐ và các tài sản dài hạn khác</t>
  </si>
  <si>
    <t>Tiền thu từ thanh lý, nhượng bán TSCĐ và các tài sản dài hạn khác</t>
  </si>
  <si>
    <t>Tiền chi cho vay, mua các công cụ nợ của đơn vị khác</t>
  </si>
  <si>
    <t>Tiền thu hồi cho vay, bán lại các công cụ nợ của đơn vị khác</t>
  </si>
  <si>
    <t>Tiền chi đầu tư góp vốn vào đơn vị khác</t>
  </si>
  <si>
    <t>Tiền thu hồi đầu tư góp vốn vào đơn vị khác</t>
  </si>
  <si>
    <t>Tiền thu lãi cho vay, cổ tức, và lợi nhuận được chia</t>
  </si>
  <si>
    <t>Tiền thu từ phát hành cổ phiếu, nhận vốn góp của chủ sở hữu</t>
  </si>
  <si>
    <t>Tiền trả lại vốn góp cho các chủ sở hữu, mua lại cổ phiểu đã phát hành</t>
  </si>
  <si>
    <t>Tiền thu từ đi vay</t>
  </si>
  <si>
    <t>Tiền trả nợ gốc vay</t>
  </si>
  <si>
    <t>Tiền trả nợ gốc thuê tài chính</t>
  </si>
  <si>
    <t>Cổ tức, lợi nhuận đã trả cho chủ sở hữu</t>
  </si>
  <si>
    <t>Lưu chuyển thuần từ hoạt động tài chính</t>
  </si>
  <si>
    <t>Index PL Element</t>
  </si>
  <si>
    <t>PHẦN IV: CHI PHÍ THEO YẾU TỐ</t>
  </si>
  <si>
    <t>Tổng nhân sự</t>
  </si>
  <si>
    <t>Nhân sự nhóm sản xuất</t>
  </si>
  <si>
    <t>Số ngày công (8 hrs)</t>
  </si>
  <si>
    <t>Sản lượng sản xuất (Ton)</t>
  </si>
  <si>
    <t>Sản lượng bán (Ton)</t>
  </si>
  <si>
    <t>Doanh thu bán hàng</t>
  </si>
  <si>
    <t>Các khoản giảm trừ doanh thu</t>
  </si>
  <si>
    <t xml:space="preserve">% Các khoản giảm trừ </t>
  </si>
  <si>
    <t>Doanh thu thuần</t>
  </si>
  <si>
    <t>Xuất khẩu</t>
  </si>
  <si>
    <t>Nội địa</t>
  </si>
  <si>
    <t>Khác</t>
  </si>
  <si>
    <t>Giá vốn hàng bán</t>
  </si>
  <si>
    <t xml:space="preserve">Chi phí nguyên vật liệu </t>
  </si>
  <si>
    <t>Chi phí điện</t>
  </si>
  <si>
    <t>Chi phí lương ngoài giờ sản xuất</t>
  </si>
  <si>
    <t>Chi phí nhân công trực tiếp sản xuất (622)</t>
  </si>
  <si>
    <t>Chi phí nhân công gián tiếp sản xuất (6271)</t>
  </si>
  <si>
    <t>Phúc lợi nhân viên sản xuất (BHXH,thưởng,…)</t>
  </si>
  <si>
    <t>Chi phí sửa chữa, bảo trì</t>
  </si>
  <si>
    <t>Chi phí xưởng (các khoản còn lại ngoài các mục trên)</t>
  </si>
  <si>
    <t>Chi phí khấu hao sản xuất (6274)</t>
  </si>
  <si>
    <t>Chi phí gia công ngoài (nếu có)</t>
  </si>
  <si>
    <t>Giá vốn khác</t>
  </si>
  <si>
    <t>Giá vốn trong hàng tồn kho</t>
  </si>
  <si>
    <t>% Giá vốn hàng bán</t>
  </si>
  <si>
    <t>Lợi nhuận gộp</t>
  </si>
  <si>
    <t>% Lợi nhuận gộp</t>
  </si>
  <si>
    <t>Lợi nhuận trước thuế</t>
  </si>
  <si>
    <t>% Lợi nhuận trước thuế</t>
  </si>
  <si>
    <t>EBITDA</t>
  </si>
  <si>
    <t>% EBITDA</t>
  </si>
  <si>
    <t>Thuế TNDN</t>
  </si>
  <si>
    <t>% Thuế TNDN</t>
  </si>
  <si>
    <t>Lợi nhuận sau thuế</t>
  </si>
  <si>
    <t>% Lợi nhuận sau thuế</t>
  </si>
  <si>
    <t>Chi phí bán hàng</t>
  </si>
  <si>
    <t>Chi phí lương bán hàng</t>
  </si>
  <si>
    <t>Phúc lợi nhân viên bán hàng (BHXH, thưởng,…)</t>
  </si>
  <si>
    <t>Chi phí hoa hồng</t>
  </si>
  <si>
    <t>Chi phí vận chuyển trong nước</t>
  </si>
  <si>
    <t>Chi phí vận chuyển xuất khẩu</t>
  </si>
  <si>
    <t>Chi phí khấu hao bán hàng (6414)</t>
  </si>
  <si>
    <t>Chi phí hoạt động bán hàng (phần còn lại)</t>
  </si>
  <si>
    <t>% Chi phí bán hàng</t>
  </si>
  <si>
    <t>Chi phí quản lý</t>
  </si>
  <si>
    <t>Chi phí nhân viên quản lý</t>
  </si>
  <si>
    <t>Phúc lợi nhân viên quản lý (BHXH, thưởng,…)</t>
  </si>
  <si>
    <t>Chi phí khấu hao quản lý (6424)</t>
  </si>
  <si>
    <t>Chi phí hoạt động quản lý (phần còn lại)</t>
  </si>
  <si>
    <t>% Chi phí quản lý</t>
  </si>
  <si>
    <t>Chi phí tài chính</t>
  </si>
  <si>
    <t>Chi phí lãi vay</t>
  </si>
  <si>
    <t>% Chi phí lãi vay</t>
  </si>
  <si>
    <t>Index Loan</t>
  </si>
  <si>
    <t>PHẦN V: CHI TIẾT NỢ VAY NGÂN HÀNG</t>
  </si>
  <si>
    <t>Hạn mức vay ngắn hạn</t>
  </si>
  <si>
    <t>ACB</t>
  </si>
  <si>
    <t>VietinBank</t>
  </si>
  <si>
    <t>Vietcombank</t>
  </si>
  <si>
    <t>BIDV</t>
  </si>
  <si>
    <t>Standard Chartered</t>
  </si>
  <si>
    <t>VILC</t>
  </si>
  <si>
    <t>IVB</t>
  </si>
  <si>
    <t>Vay ngắn hạn ngân hàng</t>
  </si>
  <si>
    <t>Lãi suất vay ngắn hạn (%)</t>
  </si>
  <si>
    <t>Vay trung hạn Ngân hàng</t>
  </si>
  <si>
    <t>Lãi suất vay trung hạn (%)</t>
  </si>
  <si>
    <t>TỔNG SỐ DƯ NỢ VAY NGÂN HÀNG</t>
  </si>
  <si>
    <t>SỐ DƯ TIỀN TẠI CÁC NGÂN HÀNG</t>
  </si>
  <si>
    <t>SỐ DƯ TIỀN GỬI TIẾT KIỆM TẠI CÁC NGÂN HÀNG</t>
  </si>
  <si>
    <t>TỔNG HỢP THÔNG TIN GIAO DỊCH VỚI CÁC BÊN LIÊN QUAN NĂM 2026</t>
  </si>
  <si>
    <t>A</t>
  </si>
  <si>
    <t>GIÁ TRỊ GIAO DỊCH VỚI CÁC BÊN LIÊN QUAN</t>
  </si>
  <si>
    <t>Số tiền chưa VAT</t>
  </si>
  <si>
    <t>Công ty thành viên</t>
  </si>
  <si>
    <t>Mã số thuế</t>
  </si>
  <si>
    <t>Diễn giải</t>
  </si>
  <si>
    <t>TK hạch toán</t>
  </si>
  <si>
    <t>Tháng 1</t>
  </si>
  <si>
    <t>Tháng 2</t>
  </si>
  <si>
    <t>Tháng 3</t>
  </si>
  <si>
    <t>Tháng 4</t>
  </si>
  <si>
    <t>Tháng 5</t>
  </si>
  <si>
    <t>Tháng 6</t>
  </si>
  <si>
    <t>Tháng 7</t>
  </si>
  <si>
    <t>Tháng 8</t>
  </si>
  <si>
    <t>Tháng 9</t>
  </si>
  <si>
    <t>Tháng 10</t>
  </si>
  <si>
    <t>Tháng 11</t>
  </si>
  <si>
    <t>Tháng 12</t>
  </si>
  <si>
    <t>Lũy kế năm 2026</t>
  </si>
  <si>
    <t>I.</t>
  </si>
  <si>
    <t>DOANH THU BÁN HÀNG VÀ DỊCH VỤ, TÀI SẢN….</t>
  </si>
  <si>
    <t>Công ty TNHH Nhựa Duy Tân</t>
  </si>
  <si>
    <t>0301417196</t>
  </si>
  <si>
    <t>Bán hàng nhựa</t>
  </si>
  <si>
    <t>Bán vật tư</t>
  </si>
  <si>
    <t>Bán TSCĐ</t>
  </si>
  <si>
    <t>Lãi vay</t>
  </si>
  <si>
    <t>Thu tiền lãi vay</t>
  </si>
  <si>
    <t>DV TS24</t>
  </si>
  <si>
    <t>Bán khác</t>
  </si>
  <si>
    <t>7118</t>
  </si>
  <si>
    <t>Công ty CP Nhựa Tái Chế Duy Tân</t>
  </si>
  <si>
    <t>1100676611</t>
  </si>
  <si>
    <t>Bán nguyên vật liệu</t>
  </si>
  <si>
    <t>Cho thuê máy móc</t>
  </si>
  <si>
    <t>Bán Laptop</t>
  </si>
  <si>
    <t>CP công tác</t>
  </si>
  <si>
    <t>Công ty TNHH Thu mua phế liệu Đại Lộc</t>
  </si>
  <si>
    <t>3603813473</t>
  </si>
  <si>
    <t>Cho thuê nhà xưởng</t>
  </si>
  <si>
    <t>Công ty TNHH MTV Đồng Lâm</t>
  </si>
  <si>
    <t>1501075079</t>
  </si>
  <si>
    <t>Công ty TNHH Thu mua phế liệu Khánh Nga</t>
  </si>
  <si>
    <t>1201638316</t>
  </si>
  <si>
    <t>Chi Phí Hỗ Trợ Kỹ Thuật</t>
  </si>
  <si>
    <t xml:space="preserve">Công ty Cổ phần Tái chế Tân Đại Phát </t>
  </si>
  <si>
    <t>1102066435</t>
  </si>
  <si>
    <t>Cho thuê xe</t>
  </si>
  <si>
    <t>Bán CCDC</t>
  </si>
  <si>
    <t>Công ty Cổ phần Nhựa Tái chế Duy Tân Vĩnh Long</t>
  </si>
  <si>
    <t>1501162229</t>
  </si>
  <si>
    <t>Công ty TNHH Khuôn Chính xác Minh Đạt</t>
  </si>
  <si>
    <t>1100673882</t>
  </si>
  <si>
    <t>Bán khuôn</t>
  </si>
  <si>
    <t>Công ty TNHH MTV Sản Xuất Và XNK Cơ Khí Duy Phong</t>
  </si>
  <si>
    <t>0308309915</t>
  </si>
  <si>
    <t>Công ty TNHH Khuôn Chính Xác Natec</t>
  </si>
  <si>
    <t>0313783944</t>
  </si>
  <si>
    <t>Công ty TNHH Plenma</t>
  </si>
  <si>
    <t>0316224817</t>
  </si>
  <si>
    <t>Plascene Inc</t>
  </si>
  <si>
    <t>45-3042526</t>
  </si>
  <si>
    <t>Công ty Cổ phần Cát Vân</t>
  </si>
  <si>
    <t>0304259773</t>
  </si>
  <si>
    <t>Công ty Cổ phần Tân Bình Group</t>
  </si>
  <si>
    <t>1501147679</t>
  </si>
  <si>
    <t>Công ty TNHH SX &amp; TM Thạnh Phát</t>
  </si>
  <si>
    <t>1100140919</t>
  </si>
  <si>
    <t>Công ty TNHH Nội Thất Tân Lợi Phát</t>
  </si>
  <si>
    <t>1101806126</t>
  </si>
  <si>
    <t>Công ty TNHH MTV Trung tâm Thính học Đà Nẵng</t>
  </si>
  <si>
    <t>0401524699</t>
  </si>
  <si>
    <t>Công ty TNHH SX-TM-XNK Yến Nhất Vương</t>
  </si>
  <si>
    <t>3401182514</t>
  </si>
  <si>
    <t>Công ty Cổ phần Duytan Group</t>
  </si>
  <si>
    <t>0317929753</t>
  </si>
  <si>
    <t>Công ty TNHH Duytan Xanh</t>
  </si>
  <si>
    <t>0318602662</t>
  </si>
  <si>
    <t>Công ty TNHH Duy Tân</t>
  </si>
  <si>
    <t>0303816206</t>
  </si>
  <si>
    <t>Công ty Cổ phần Tập đoàn DTG</t>
  </si>
  <si>
    <t>0317356492</t>
  </si>
  <si>
    <t>II.</t>
  </si>
  <si>
    <t>MUA HÀNG VÀ DỊCH VỤ, TÀI SẢN….</t>
  </si>
  <si>
    <t>Thuê nhà xưởng</t>
  </si>
  <si>
    <t>Phần mềm CNTT</t>
  </si>
  <si>
    <t>Thuê máy móc</t>
  </si>
  <si>
    <t>Mua TSCĐ</t>
  </si>
  <si>
    <t>Mua CCDC</t>
  </si>
  <si>
    <t>Chuyển nhượng NH,KDCN</t>
  </si>
  <si>
    <t>Mua khác</t>
  </si>
  <si>
    <t>Phí gia công</t>
  </si>
  <si>
    <t>Mua nguyên vật liệu</t>
  </si>
  <si>
    <t>Mua vật tư</t>
  </si>
  <si>
    <t>152/153</t>
  </si>
  <si>
    <t>Thuê kho</t>
  </si>
  <si>
    <t>Mua hàng hóa</t>
  </si>
  <si>
    <t>Thuê kho thành phẩm</t>
  </si>
  <si>
    <t>Phí sửa khuôn</t>
  </si>
  <si>
    <t>Mua thùng giấy</t>
  </si>
  <si>
    <t>151/152</t>
  </si>
  <si>
    <t>Thuê xưởng</t>
  </si>
  <si>
    <t>642/627</t>
  </si>
  <si>
    <t>III.</t>
  </si>
  <si>
    <t>CHO VAY</t>
  </si>
  <si>
    <t>Mối liên hệ</t>
  </si>
  <si>
    <t>Tài khoản hạch toán</t>
  </si>
  <si>
    <t>Công ty mẹ</t>
  </si>
  <si>
    <t>Ông Trần Duy Hy</t>
  </si>
  <si>
    <t>Chủ tịch HĐQT</t>
  </si>
  <si>
    <t>Phải thu khác</t>
  </si>
  <si>
    <t>Lãi cho chú Hy vay</t>
  </si>
  <si>
    <t>IV.</t>
  </si>
  <si>
    <t>THU TIỀN CHO VAY</t>
  </si>
  <si>
    <t>V</t>
  </si>
  <si>
    <t>NHẬN VAY</t>
  </si>
  <si>
    <t>VI</t>
  </si>
  <si>
    <t>TRẢ NỢ VAY</t>
  </si>
  <si>
    <t>VII</t>
  </si>
  <si>
    <t>LỢI NHUẬN ĐƯỢC CHIA</t>
  </si>
  <si>
    <t>Công ty con</t>
  </si>
  <si>
    <t>VIII</t>
  </si>
  <si>
    <t>CHIA CỔ TỨC</t>
  </si>
  <si>
    <t>4211/338</t>
  </si>
  <si>
    <t>421/338</t>
  </si>
  <si>
    <t>Bà Nguyễn Thị Huệ Thu</t>
  </si>
  <si>
    <t>Bà Dương Phương Thảo</t>
  </si>
  <si>
    <t>IX</t>
  </si>
  <si>
    <t>CHI TRẢ CỔ TỨC</t>
  </si>
  <si>
    <t>338/112</t>
  </si>
  <si>
    <t>338/33351</t>
  </si>
  <si>
    <t>Phó TGĐ</t>
  </si>
  <si>
    <t>B</t>
  </si>
  <si>
    <t>SỐ DƯ CUỐI THÁNG VỚI CÁC BÊN LIÊN QUAN</t>
  </si>
  <si>
    <t>Số tiền gồm VAT</t>
  </si>
  <si>
    <t>SỐ DƯ PHẢI THU</t>
  </si>
  <si>
    <t>SỐ DƯ NGƯỜI MUA TRẢ TIỀN TRƯỚC</t>
  </si>
  <si>
    <t>SỐ DƯ PHẢI TRẢ NGƯỜI BÁN</t>
  </si>
  <si>
    <t>SỐ DƯ TRẢ TRƯỚC CHO NGƯỜI BÁN</t>
  </si>
  <si>
    <t>V.</t>
  </si>
  <si>
    <t>SỐ DƯ CHO VAY</t>
  </si>
  <si>
    <t>CÔNG TY</t>
  </si>
  <si>
    <t>CÁ NHÂN</t>
  </si>
  <si>
    <t>VI.</t>
  </si>
  <si>
    <t>SỐ DƯ ĐI VAY</t>
  </si>
  <si>
    <t>Bà…</t>
  </si>
  <si>
    <t>VII.</t>
  </si>
  <si>
    <t>CHUYỂN NHƯỢNG VỐN GÓP CỦA</t>
  </si>
  <si>
    <t>N221/Có 338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</si>
</sst>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3" formatCode="_(* #,##0.00_);_(* \(#,##0.00\);_(* &quot;-&quot;??_);_(@_)"/>
    <numFmt numFmtId="164" formatCode="_-* #,##0_-;\-* #,##0_-;_-* &quot;-&quot;_-;_-@_-"/>
    <numFmt numFmtId="165" formatCode="_-* #,##0.00_-;\-* #,##0.00_-;_-* &quot;-&quot;??_-;_-@_-"/>
    <numFmt numFmtId="166" formatCode="_(* #,##0_);_(* \(#,##0\);_(* &quot;-&quot;??_);_(@_)"/>
    <numFmt numFmtId="167" formatCode="_(* #,##0.0_);_(* \(#,##0.0\);_(* &quot;-&quot;??_);_(@_)"/>
    <numFmt numFmtId="168" formatCode="#,##0;[Red]#,##0"/>
    <numFmt numFmtId="169" formatCode="0.0%"/>
    <numFmt numFmtId="170" formatCode="_-* #,##0\ _₫_-;\-* #,##0\ _₫_-;_-* &quot;-&quot;\ _₫_-;_-@_-"/>
    <numFmt numFmtId="171" formatCode="_(* #,##0_);[Red]_(* \(#,##0\);_(* &quot;-&quot;??_);_(@_)"/>
    <numFmt numFmtId="172" formatCode="#,##0,,"/>
    <numFmt numFmtId="173" formatCode="_-* #,##0.00\ _₫_-;\-* #,##0.00\ _₫_-;_-* &quot;-&quot;??\ _₫_-;_-@_-"/>
    <numFmt numFmtId="174" formatCode="#,###"/>
    <numFmt numFmtId="175" formatCode="_-* #,##0\ _₫_-;\-* #,##0\ _₫_-;_-* &quot;-&quot;??\ _₫_-;_-@_-"/>
    <numFmt numFmtId="176" formatCode="_-* #,##0.0\ _₫_-;\-* #,##0.0\ _₫_-;_-* &quot;-&quot;??\ _₫_-;_-@_-"/>
    <numFmt numFmtId="177" formatCode="_(* #.##0_);_(* \(#.##0\);_(* &quot;-&quot;??_);_(@_)"/>
  </numFmts>
  <fonts count="109"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sz val="10"/>
      <name val="Arial"/>
      <family val="2"/>
    </font>
    <font>
      <b/>
      <sz val="14"/>
      <color rgb="FFFF0000"/>
      <name val="Times New Roman"/>
      <family val="1"/>
    </font>
    <font>
      <b/>
      <sz val="11"/>
      <color theme="0"/>
      <name val="Arial"/>
      <family val="2"/>
    </font>
    <font>
      <b/>
      <sz val="12"/>
      <color rgb="FFFF0000"/>
      <name val="Times New Roman"/>
      <family val="1"/>
    </font>
    <font>
      <b/>
      <sz val="12"/>
      <color rgb="FF0000FF"/>
      <name val="Times New Roman"/>
      <family val="1"/>
    </font>
    <font>
      <sz val="10"/>
      <name val="VNI-Times"/>
    </font>
    <font>
      <sz val="11"/>
      <name val="Times New Roman"/>
      <family val="1"/>
    </font>
    <font>
      <sz val="10"/>
      <name val="Times New Roman"/>
      <family val="1"/>
    </font>
    <font>
      <b/>
      <sz val="11"/>
      <color indexed="12"/>
      <name val="Times New Roman"/>
      <family val="1"/>
    </font>
    <font>
      <b/>
      <sz val="11"/>
      <color rgb="FF0000FF"/>
      <name val="Times New Roman"/>
      <family val="1"/>
    </font>
    <font>
      <b/>
      <sz val="11"/>
      <color rgb="FF008000"/>
      <name val="Times New Roman"/>
      <family val="1"/>
      <charset val="163"/>
    </font>
    <font>
      <b/>
      <sz val="11"/>
      <color indexed="17"/>
      <name val="Times New Roman"/>
      <family val="1"/>
    </font>
    <font>
      <b/>
      <sz val="11"/>
      <color rgb="FF0000FF"/>
      <name val="Times New Roman"/>
      <family val="1"/>
      <charset val="163"/>
    </font>
    <font>
      <sz val="11"/>
      <color theme="1"/>
      <name val="Times New Roman"/>
      <family val="1"/>
    </font>
    <font>
      <sz val="11"/>
      <color indexed="8"/>
      <name val="Times New Roman"/>
      <family val="1"/>
    </font>
    <font>
      <sz val="11"/>
      <color theme="1"/>
      <name val="Arial"/>
      <family val="2"/>
    </font>
    <font>
      <sz val="11"/>
      <color theme="1"/>
      <name val="Calibri"/>
      <family val="2"/>
      <scheme val="minor"/>
    </font>
    <font>
      <b/>
      <sz val="11"/>
      <color indexed="12"/>
      <name val="Arial"/>
      <family val="2"/>
    </font>
    <font>
      <sz val="11"/>
      <name val="Arial"/>
      <family val="2"/>
    </font>
    <font>
      <b/>
      <sz val="11"/>
      <color indexed="8"/>
      <name val="Times New Roman"/>
      <family val="1"/>
    </font>
    <font>
      <b/>
      <sz val="10"/>
      <color rgb="FF0000FF"/>
      <name val="VNI-Times"/>
    </font>
    <font>
      <b/>
      <u/>
      <sz val="11"/>
      <color rgb="FF0000FF"/>
      <name val="Times New Roman"/>
      <family val="1"/>
      <charset val="163"/>
    </font>
    <font>
      <b/>
      <u/>
      <sz val="11"/>
      <color rgb="FF0000FF"/>
      <name val="Times New Roman"/>
      <family val="1"/>
    </font>
    <font>
      <u/>
      <sz val="10"/>
      <name val="VNI-Times"/>
    </font>
    <font>
      <sz val="11"/>
      <color indexed="8"/>
      <name val="Times New Roman"/>
      <family val="1"/>
      <charset val="163"/>
    </font>
    <font>
      <i/>
      <sz val="11"/>
      <color indexed="8"/>
      <name val="Times New Roman"/>
      <family val="1"/>
      <charset val="163"/>
    </font>
    <font>
      <sz val="12"/>
      <name val="VNI-Times"/>
    </font>
    <font>
      <b/>
      <u/>
      <sz val="11"/>
      <color rgb="FFFF0000"/>
      <name val="Times New Roman"/>
      <family val="1"/>
      <charset val="163"/>
    </font>
    <font>
      <b/>
      <sz val="11"/>
      <color rgb="FFFF0000"/>
      <name val="Arial"/>
      <family val="2"/>
      <charset val="163"/>
    </font>
    <font>
      <sz val="11"/>
      <color rgb="FF0000FF"/>
      <name val="Times New Roman"/>
      <family val="1"/>
      <charset val="163"/>
    </font>
    <font>
      <sz val="10"/>
      <color theme="1"/>
      <name val="Times New Roman"/>
      <family val="1"/>
    </font>
    <font>
      <sz val="10"/>
      <color rgb="FF0000FF"/>
      <name val="Arial"/>
      <family val="2"/>
      <charset val="163"/>
    </font>
    <font>
      <b/>
      <sz val="11"/>
      <color indexed="8"/>
      <name val="Times New Roman"/>
      <family val="1"/>
      <charset val="163"/>
    </font>
    <font>
      <sz val="11"/>
      <color rgb="FF0000FF"/>
      <name val="Times New Roman"/>
      <family val="1"/>
    </font>
    <font>
      <b/>
      <sz val="11"/>
      <color indexed="12"/>
      <name val="Arial Nova"/>
      <family val="2"/>
    </font>
    <font>
      <sz val="11"/>
      <color theme="5" tint="-0.249977111117893"/>
      <name val="Arial Nova"/>
      <family val="2"/>
    </font>
    <font>
      <sz val="10"/>
      <color theme="5" tint="-0.249977111117893"/>
      <name val="Arial Nova"/>
      <family val="2"/>
    </font>
    <font>
      <b/>
      <sz val="11"/>
      <color rgb="FF0000FF"/>
      <name val="Arial Nova"/>
      <family val="2"/>
    </font>
    <font>
      <b/>
      <sz val="10"/>
      <name val="Arial Nova"/>
      <family val="2"/>
    </font>
    <font>
      <sz val="11"/>
      <color rgb="FF0000FF"/>
      <name val="Arial Nova"/>
      <family val="2"/>
    </font>
    <font>
      <sz val="10"/>
      <name val="Arial Nova"/>
      <family val="2"/>
    </font>
    <font>
      <b/>
      <sz val="10"/>
      <color rgb="FF0000FF"/>
      <name val="Arial Nova"/>
      <family val="2"/>
    </font>
    <font>
      <b/>
      <sz val="10"/>
      <name val="Times New Roman"/>
      <family val="1"/>
    </font>
    <font>
      <i/>
      <sz val="10"/>
      <name val="Times New Roman"/>
      <family val="1"/>
    </font>
    <font>
      <i/>
      <sz val="10"/>
      <name val="VNI-Times"/>
    </font>
    <font>
      <b/>
      <sz val="8"/>
      <color indexed="81"/>
      <name val="Tahoma"/>
      <family val="2"/>
    </font>
    <font>
      <sz val="8"/>
      <color indexed="81"/>
      <name val="Tahoma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8"/>
      <name val="Calibri"/>
      <family val="2"/>
      <scheme val="minor"/>
    </font>
    <font>
      <b/>
      <sz val="12"/>
      <color indexed="18"/>
      <name val="Times New Roman"/>
      <family val="1"/>
    </font>
    <font>
      <sz val="12"/>
      <color indexed="18"/>
      <name val="Times New Roman"/>
      <family val="1"/>
    </font>
    <font>
      <i/>
      <sz val="12"/>
      <color indexed="18"/>
      <name val="Times New Roman"/>
      <family val="1"/>
    </font>
    <font>
      <sz val="10"/>
      <color rgb="FFFF0000"/>
      <name val="Times New Roman"/>
      <family val="1"/>
    </font>
    <font>
      <b/>
      <i/>
      <sz val="11"/>
      <name val="Arial"/>
      <family val="2"/>
    </font>
    <font>
      <b/>
      <sz val="16"/>
      <name val="Arial"/>
      <family val="2"/>
    </font>
    <font>
      <b/>
      <sz val="14"/>
      <name val="Arial"/>
      <family val="2"/>
    </font>
    <font>
      <i/>
      <sz val="11"/>
      <name val="Arial"/>
      <family val="2"/>
    </font>
    <font>
      <u/>
      <sz val="11"/>
      <name val="Arial"/>
      <family val="2"/>
    </font>
    <font>
      <b/>
      <sz val="11"/>
      <name val="Arial"/>
      <family val="2"/>
    </font>
    <font>
      <b/>
      <sz val="11"/>
      <color rgb="FF0033CC"/>
      <name val="Arial"/>
      <family val="2"/>
    </font>
    <font>
      <b/>
      <sz val="12"/>
      <name val="Times New Roman"/>
      <family val="1"/>
    </font>
    <font>
      <sz val="12"/>
      <name val="Times New Roman"/>
      <family val="1"/>
    </font>
    <font>
      <b/>
      <u/>
      <sz val="16"/>
      <color indexed="21"/>
      <name val="Times New Roman"/>
      <family val="1"/>
    </font>
    <font>
      <sz val="12"/>
      <color indexed="9"/>
      <name val="Times New Roman"/>
      <family val="1"/>
    </font>
    <font>
      <sz val="16"/>
      <color indexed="12"/>
      <name val="Times New Roman"/>
      <family val="1"/>
    </font>
    <font>
      <sz val="12"/>
      <color indexed="12"/>
      <name val="Times New Roman"/>
      <family val="1"/>
    </font>
    <font>
      <sz val="16"/>
      <color indexed="16"/>
      <name val="Times New Roman"/>
      <family val="1"/>
    </font>
    <font>
      <sz val="12"/>
      <color indexed="16"/>
      <name val="Times New Roman"/>
      <family val="1"/>
    </font>
    <font>
      <sz val="16"/>
      <color indexed="20"/>
      <name val="Times New Roman"/>
      <family val="1"/>
    </font>
    <font>
      <sz val="12"/>
      <color indexed="20"/>
      <name val="Times New Roman"/>
      <family val="1"/>
    </font>
    <font>
      <sz val="16"/>
      <name val="Times New Roman"/>
      <family val="1"/>
    </font>
    <font>
      <b/>
      <sz val="11"/>
      <color indexed="18"/>
      <name val="Times New Roman"/>
      <family val="1"/>
    </font>
    <font>
      <sz val="11"/>
      <color indexed="18"/>
      <name val="Times New Roman"/>
      <family val="1"/>
    </font>
    <font>
      <sz val="11"/>
      <color rgb="FF000080"/>
      <name val="Times New Roman"/>
      <family val="1"/>
    </font>
    <font>
      <b/>
      <sz val="16"/>
      <color indexed="18"/>
      <name val="Times New Roman"/>
      <family val="1"/>
    </font>
    <font>
      <b/>
      <sz val="12"/>
      <color rgb="FF000080"/>
      <name val="Times New Roman"/>
      <family val="1"/>
    </font>
    <font>
      <i/>
      <sz val="11"/>
      <color rgb="FF000080"/>
      <name val="Times New Roman"/>
      <family val="1"/>
    </font>
    <font>
      <b/>
      <sz val="10"/>
      <color rgb="FF0000FF"/>
      <name val="Arial"/>
      <family val="2"/>
    </font>
    <font>
      <sz val="10"/>
      <color indexed="8"/>
      <name val="Arial"/>
      <family val="2"/>
    </font>
    <font>
      <b/>
      <sz val="10"/>
      <color indexed="18"/>
      <name val="Arial"/>
      <family val="2"/>
    </font>
    <font>
      <sz val="11"/>
      <color indexed="9"/>
      <name val="Times New Roman"/>
      <family val="1"/>
    </font>
    <font>
      <b/>
      <sz val="10"/>
      <color indexed="12"/>
      <name val="Arial"/>
      <family val="2"/>
    </font>
    <font>
      <i/>
      <sz val="11"/>
      <color rgb="FFFF0000"/>
      <name val="Times New Roman"/>
      <family val="1"/>
    </font>
    <font>
      <i/>
      <sz val="11"/>
      <color indexed="8"/>
      <name val="Times New Roman"/>
      <family val="1"/>
    </font>
    <font>
      <i/>
      <sz val="10"/>
      <color indexed="8"/>
      <name val="Arial"/>
      <family val="2"/>
    </font>
    <font>
      <sz val="12"/>
      <color indexed="8"/>
      <name val="Garamond"/>
      <family val="1"/>
    </font>
    <font>
      <b/>
      <sz val="11"/>
      <color rgb="FF000080"/>
      <name val="Times New Roman"/>
      <family val="1"/>
    </font>
    <font>
      <b/>
      <sz val="16"/>
      <color rgb="FF000080"/>
      <name val="Times New Roman"/>
      <family val="1"/>
    </font>
    <font>
      <b/>
      <sz val="10"/>
      <color indexed="8"/>
      <name val="Times New Roman"/>
      <family val="1"/>
    </font>
    <font>
      <sz val="10"/>
      <color indexed="8"/>
      <name val="Times New Roman"/>
      <family val="1"/>
    </font>
    <font>
      <b/>
      <sz val="10"/>
      <color indexed="12"/>
      <name val="Times New Roman"/>
      <family val="1"/>
    </font>
    <font>
      <sz val="11"/>
      <color indexed="12"/>
      <name val="Times New Roman"/>
      <family val="1"/>
    </font>
    <font>
      <sz val="10"/>
      <color theme="1"/>
      <name val="Times New Roman"/>
      <family val="1"/>
      <charset val="163"/>
    </font>
    <font>
      <b/>
      <i/>
      <sz val="11"/>
      <name val="Times New Roman"/>
      <family val="1"/>
    </font>
    <font>
      <b/>
      <sz val="11"/>
      <color indexed="60"/>
      <name val="Times New Roman"/>
      <family val="1"/>
    </font>
    <font>
      <b/>
      <sz val="11"/>
      <name val="Times New Roman"/>
      <family val="1"/>
    </font>
    <font>
      <b/>
      <i/>
      <sz val="11"/>
      <color indexed="12"/>
      <name val="Times New Roman"/>
      <family val="1"/>
    </font>
    <font>
      <i/>
      <sz val="11"/>
      <color indexed="12"/>
      <name val="Times New Roman"/>
      <family val="1"/>
    </font>
    <font>
      <sz val="11"/>
      <color theme="1"/>
      <name val="Calibri"/>
      <family val="2"/>
      <charset val="163"/>
      <scheme val="minor"/>
    </font>
    <font>
      <b/>
      <sz val="10"/>
      <color rgb="FFFF0000"/>
      <name val="Arial"/>
      <family val="2"/>
    </font>
    <font>
      <b/>
      <sz val="10"/>
      <color theme="1"/>
      <name val="Arial"/>
      <family val="2"/>
    </font>
    <font>
      <b/>
      <sz val="11"/>
      <color rgb="FF0070C0"/>
      <name val="Arial"/>
      <family val="2"/>
    </font>
    <font>
      <sz val="10"/>
      <color theme="0"/>
      <name val="Arial"/>
      <family val="2"/>
    </font>
    <font>
      <b/>
      <sz val="10"/>
      <name val="Arial"/>
      <family val="2"/>
    </font>
    <font>
      <b/>
      <i/>
      <sz val="10"/>
      <color indexed="12"/>
      <name val="Times New Roman"/>
      <family val="1"/>
    </font>
    <font>
      <b/>
      <sz val="11"/>
      <color rgb="FFFF0000"/>
      <name val="Times New Roman"/>
      <family val="1"/>
    </font>
  </fonts>
  <fills count="10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theme="7" tint="0.59999389629810485"/>
        <bgColor indexed="64"/>
      </patternFill>
    </fill>
  </fills>
  <borders count="59">
    <border>
      <left/>
      <right/>
      <top/>
      <bottom/>
      <diagonal/>
    </border>
    <border>
      <left style="thin">
        <color rgb="FF00B0F0"/>
      </left>
      <right/>
      <top/>
      <bottom/>
      <diagonal/>
    </border>
    <border>
      <left style="thin">
        <color rgb="FF00B0F0"/>
      </left>
      <right style="thin">
        <color rgb="FF00B0F0"/>
      </right>
      <top style="thin">
        <color rgb="FF00B0F0"/>
      </top>
      <bottom style="thin">
        <color rgb="FF00B0F0"/>
      </bottom>
      <diagonal/>
    </border>
    <border>
      <left style="thin">
        <color rgb="FF00B0F0"/>
      </left>
      <right/>
      <top style="thin">
        <color rgb="FF00B0F0"/>
      </top>
      <bottom style="thin">
        <color rgb="FF00B0F0"/>
      </bottom>
      <diagonal/>
    </border>
    <border>
      <left/>
      <right style="thin">
        <color rgb="FF00B0F0"/>
      </right>
      <top style="thin">
        <color rgb="FF00B0F0"/>
      </top>
      <bottom style="thin">
        <color rgb="FF00B0F0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rgb="FF00B0F0"/>
      </right>
      <top/>
      <bottom style="thin">
        <color rgb="FF00B0F0"/>
      </bottom>
      <diagonal/>
    </border>
    <border>
      <left style="thin">
        <color rgb="FF00B0F0"/>
      </left>
      <right style="thin">
        <color rgb="FF00B0F0"/>
      </right>
      <top/>
      <bottom style="thin">
        <color rgb="FF00B0F0"/>
      </bottom>
      <diagonal/>
    </border>
    <border>
      <left/>
      <right style="thin">
        <color rgb="FF00B0F0"/>
      </right>
      <top style="thin">
        <color rgb="FF00B0F0"/>
      </top>
      <bottom/>
      <diagonal/>
    </border>
    <border>
      <left style="thin">
        <color rgb="FF00B0F0"/>
      </left>
      <right style="thin">
        <color rgb="FF00B0F0"/>
      </right>
      <top style="thin">
        <color rgb="FF00B0F0"/>
      </top>
      <bottom/>
      <diagonal/>
    </border>
    <border>
      <left style="thin">
        <color rgb="FF00B0F0"/>
      </left>
      <right/>
      <top/>
      <bottom style="thin">
        <color rgb="FF00B0F0"/>
      </bottom>
      <diagonal/>
    </border>
    <border>
      <left/>
      <right/>
      <top/>
      <bottom style="medium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 style="thin">
        <color indexed="55"/>
      </left>
      <right style="thin">
        <color indexed="55"/>
      </right>
      <top/>
      <bottom/>
      <diagonal/>
    </border>
    <border>
      <left style="thin">
        <color indexed="55"/>
      </left>
      <right style="thin">
        <color indexed="55"/>
      </right>
      <top style="hair">
        <color indexed="55"/>
      </top>
      <bottom style="hair">
        <color indexed="55"/>
      </bottom>
      <diagonal/>
    </border>
    <border>
      <left style="thin">
        <color indexed="55"/>
      </left>
      <right style="thin">
        <color indexed="55"/>
      </right>
      <top/>
      <bottom style="thin">
        <color indexed="55"/>
      </bottom>
      <diagonal/>
    </border>
    <border>
      <left style="thin">
        <color indexed="55"/>
      </left>
      <right style="thin">
        <color indexed="55"/>
      </right>
      <top style="hair">
        <color indexed="55"/>
      </top>
      <bottom style="thin">
        <color indexed="55"/>
      </bottom>
      <diagonal/>
    </border>
    <border>
      <left style="thin">
        <color indexed="23"/>
      </left>
      <right/>
      <top style="thin">
        <color indexed="23"/>
      </top>
      <bottom/>
      <diagonal/>
    </border>
    <border>
      <left/>
      <right/>
      <top style="thin">
        <color indexed="23"/>
      </top>
      <bottom/>
      <diagonal/>
    </border>
    <border>
      <left/>
      <right style="thin">
        <color indexed="23"/>
      </right>
      <top style="thin">
        <color indexed="23"/>
      </top>
      <bottom/>
      <diagonal/>
    </border>
    <border>
      <left style="thin">
        <color indexed="23"/>
      </left>
      <right/>
      <top style="thin">
        <color indexed="23"/>
      </top>
      <bottom style="thin">
        <color indexed="23"/>
      </bottom>
      <diagonal/>
    </border>
    <border>
      <left/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23"/>
      </left>
      <right/>
      <top/>
      <bottom style="thin">
        <color indexed="23"/>
      </bottom>
      <diagonal/>
    </border>
    <border>
      <left/>
      <right/>
      <top/>
      <bottom style="thin">
        <color indexed="23"/>
      </bottom>
      <diagonal/>
    </border>
    <border>
      <left/>
      <right style="thin">
        <color indexed="23"/>
      </right>
      <top/>
      <bottom style="thin">
        <color indexed="2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/>
      <diagonal/>
    </border>
    <border>
      <left style="thin">
        <color indexed="23"/>
      </left>
      <right/>
      <top/>
      <bottom/>
      <diagonal/>
    </border>
    <border>
      <left/>
      <right/>
      <top style="thin">
        <color indexed="23"/>
      </top>
      <bottom style="hair">
        <color indexed="23"/>
      </bottom>
      <diagonal/>
    </border>
    <border>
      <left/>
      <right style="thin">
        <color indexed="23"/>
      </right>
      <top style="thin">
        <color indexed="23"/>
      </top>
      <bottom style="hair">
        <color indexed="23"/>
      </bottom>
      <diagonal/>
    </border>
    <border>
      <left style="thin">
        <color indexed="23"/>
      </left>
      <right style="thin">
        <color indexed="23"/>
      </right>
      <top/>
      <bottom/>
      <diagonal/>
    </border>
    <border>
      <left style="thin">
        <color indexed="23"/>
      </left>
      <right/>
      <top style="hair">
        <color indexed="23"/>
      </top>
      <bottom style="hair">
        <color indexed="23"/>
      </bottom>
      <diagonal/>
    </border>
    <border>
      <left/>
      <right/>
      <top style="hair">
        <color indexed="23"/>
      </top>
      <bottom style="hair">
        <color indexed="23"/>
      </bottom>
      <diagonal/>
    </border>
    <border>
      <left/>
      <right style="thin">
        <color indexed="23"/>
      </right>
      <top style="hair">
        <color indexed="23"/>
      </top>
      <bottom style="hair">
        <color indexed="23"/>
      </bottom>
      <diagonal/>
    </border>
    <border>
      <left style="thin">
        <color indexed="23"/>
      </left>
      <right style="thin">
        <color indexed="23"/>
      </right>
      <top style="hair">
        <color indexed="23"/>
      </top>
      <bottom style="hair">
        <color indexed="23"/>
      </bottom>
      <diagonal/>
    </border>
    <border>
      <left/>
      <right style="thin">
        <color indexed="23"/>
      </right>
      <top/>
      <bottom/>
      <diagonal/>
    </border>
    <border>
      <left style="thin">
        <color indexed="23"/>
      </left>
      <right style="thin">
        <color indexed="23"/>
      </right>
      <top/>
      <bottom style="thin">
        <color indexed="2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hair">
        <color auto="1"/>
      </bottom>
      <diagonal/>
    </border>
    <border>
      <left/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/>
      <diagonal/>
    </border>
    <border>
      <left style="hair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hair">
        <color auto="1"/>
      </top>
      <bottom style="thin">
        <color auto="1"/>
      </bottom>
      <diagonal/>
    </border>
    <border>
      <left/>
      <right/>
      <top style="hair">
        <color auto="1"/>
      </top>
      <bottom style="thin">
        <color auto="1"/>
      </bottom>
      <diagonal/>
    </border>
    <border>
      <left/>
      <right style="thin">
        <color auto="1"/>
      </right>
      <top style="hair">
        <color auto="1"/>
      </top>
      <bottom style="thin">
        <color auto="1"/>
      </bottom>
      <diagonal/>
    </border>
    <border>
      <left style="thin">
        <color auto="1"/>
      </left>
      <right/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hair">
        <color auto="1"/>
      </bottom>
      <diagonal/>
    </border>
    <border>
      <left style="thin">
        <color auto="1"/>
      </left>
      <right/>
      <top style="thin">
        <color auto="1"/>
      </top>
      <bottom style="hair">
        <color auto="1"/>
      </bottom>
      <diagonal/>
    </border>
    <border>
      <left/>
      <right/>
      <top style="thin">
        <color auto="1"/>
      </top>
      <bottom style="hair">
        <color auto="1"/>
      </bottom>
      <diagonal/>
    </border>
    <border>
      <left/>
      <right style="thin">
        <color auto="1"/>
      </right>
      <top style="thin">
        <color auto="1"/>
      </top>
      <bottom style="hair">
        <color auto="1"/>
      </bottom>
      <diagonal/>
    </border>
  </borders>
  <cellStyleXfs count="15">
    <xf numFmtId="0" fontId="0" fillId="0" borderId="0"/>
    <xf numFmtId="9" fontId="18" fillId="0" borderId="0" applyFont="0" applyFill="0" applyBorder="0" applyAlignment="0" applyProtection="0"/>
    <xf numFmtId="0" fontId="2" fillId="0" borderId="0"/>
    <xf numFmtId="0" fontId="7" fillId="0" borderId="0"/>
    <xf numFmtId="43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43" fontId="7" fillId="0" borderId="0" applyFont="0" applyFill="0" applyBorder="0" applyAlignment="0" applyProtection="0"/>
    <xf numFmtId="9" fontId="2" fillId="0" borderId="0" applyFont="0" applyFill="0" applyBorder="0" applyAlignment="0" applyProtection="0"/>
    <xf numFmtId="164" fontId="18" fillId="0" borderId="0" applyFont="0" applyFill="0" applyBorder="0" applyAlignment="0" applyProtection="0"/>
    <xf numFmtId="0" fontId="2" fillId="0" borderId="0"/>
    <xf numFmtId="0" fontId="2" fillId="0" borderId="0"/>
    <xf numFmtId="9" fontId="7" fillId="0" borderId="0" applyFont="0" applyFill="0" applyBorder="0" applyAlignment="0" applyProtection="0"/>
    <xf numFmtId="173" fontId="7" fillId="0" borderId="0" applyFont="0" applyFill="0" applyBorder="0" applyAlignment="0" applyProtection="0"/>
    <xf numFmtId="0" fontId="101" fillId="0" borderId="0"/>
    <xf numFmtId="173" fontId="101" fillId="0" borderId="0" applyFont="0" applyFill="0" applyBorder="0" applyAlignment="0" applyProtection="0"/>
  </cellStyleXfs>
  <cellXfs count="596">
    <xf numFmtId="0" fontId="0" fillId="0" borderId="0" xfId="0"/>
    <xf numFmtId="166" fontId="13" fillId="0" borderId="4" xfId="4" applyNumberFormat="1" applyFont="1" applyFill="1" applyBorder="1" applyAlignment="1" applyProtection="1">
      <alignment vertical="top" wrapText="1"/>
      <protection locked="0"/>
    </xf>
    <xf numFmtId="166" fontId="10" fillId="0" borderId="4" xfId="4" applyNumberFormat="1" applyFont="1" applyFill="1" applyBorder="1" applyAlignment="1" applyProtection="1">
      <alignment vertical="top" wrapText="1"/>
      <protection locked="0"/>
    </xf>
    <xf numFmtId="3" fontId="10" fillId="0" borderId="4" xfId="2" applyNumberFormat="1" applyFont="1" applyBorder="1" applyAlignment="1" applyProtection="1">
      <alignment vertical="top" wrapText="1"/>
      <protection locked="0"/>
    </xf>
    <xf numFmtId="3" fontId="10" fillId="0" borderId="4" xfId="0" applyNumberFormat="1" applyFont="1" applyBorder="1" applyAlignment="1" applyProtection="1">
      <alignment vertical="top" wrapText="1"/>
      <protection locked="0"/>
    </xf>
    <xf numFmtId="3" fontId="13" fillId="0" borderId="4" xfId="2" applyNumberFormat="1" applyFont="1" applyBorder="1" applyAlignment="1" applyProtection="1">
      <alignment vertical="top" wrapText="1"/>
      <protection locked="0"/>
    </xf>
    <xf numFmtId="3" fontId="13" fillId="0" borderId="4" xfId="0" applyNumberFormat="1" applyFont="1" applyBorder="1" applyAlignment="1" applyProtection="1">
      <alignment vertical="top" wrapText="1"/>
      <protection locked="0"/>
    </xf>
    <xf numFmtId="3" fontId="24" fillId="3" borderId="4" xfId="2" applyNumberFormat="1" applyFont="1" applyFill="1" applyBorder="1" applyAlignment="1" applyProtection="1">
      <alignment vertical="top" wrapText="1"/>
      <protection locked="0"/>
    </xf>
    <xf numFmtId="3" fontId="24" fillId="3" borderId="4" xfId="0" applyNumberFormat="1" applyFont="1" applyFill="1" applyBorder="1" applyAlignment="1" applyProtection="1">
      <alignment vertical="top" wrapText="1"/>
      <protection locked="0"/>
    </xf>
    <xf numFmtId="3" fontId="11" fillId="0" borderId="4" xfId="2" applyNumberFormat="1" applyFont="1" applyBorder="1" applyAlignment="1" applyProtection="1">
      <alignment vertical="top" wrapText="1"/>
      <protection locked="0"/>
    </xf>
    <xf numFmtId="166" fontId="10" fillId="0" borderId="4" xfId="2" applyNumberFormat="1" applyFont="1" applyBorder="1" applyAlignment="1" applyProtection="1">
      <alignment vertical="top" wrapText="1"/>
      <protection locked="0"/>
    </xf>
    <xf numFmtId="0" fontId="21" fillId="0" borderId="4" xfId="0" applyFont="1" applyBorder="1" applyProtection="1">
      <protection locked="0"/>
    </xf>
    <xf numFmtId="166" fontId="8" fillId="0" borderId="4" xfId="5" quotePrefix="1" applyNumberFormat="1" applyFont="1" applyFill="1" applyBorder="1" applyAlignment="1" applyProtection="1">
      <alignment horizontal="left" indent="1"/>
      <protection locked="0"/>
    </xf>
    <xf numFmtId="166" fontId="11" fillId="0" borderId="4" xfId="5" quotePrefix="1" applyNumberFormat="1" applyFont="1" applyFill="1" applyBorder="1" applyAlignment="1" applyProtection="1">
      <alignment horizontal="left" vertical="center"/>
      <protection locked="0"/>
    </xf>
    <xf numFmtId="166" fontId="10" fillId="0" borderId="4" xfId="5" applyNumberFormat="1" applyFont="1" applyFill="1" applyBorder="1" applyAlignment="1" applyProtection="1">
      <alignment horizontal="left"/>
      <protection locked="0"/>
    </xf>
    <xf numFmtId="166" fontId="11" fillId="0" borderId="4" xfId="5" applyNumberFormat="1" applyFont="1" applyFill="1" applyBorder="1" applyProtection="1">
      <protection locked="0"/>
    </xf>
    <xf numFmtId="166" fontId="10" fillId="0" borderId="4" xfId="5" applyNumberFormat="1" applyFont="1" applyFill="1" applyBorder="1" applyProtection="1">
      <protection locked="0"/>
    </xf>
    <xf numFmtId="166" fontId="8" fillId="0" borderId="4" xfId="5" quotePrefix="1" applyNumberFormat="1" applyFont="1" applyFill="1" applyBorder="1" applyAlignment="1" applyProtection="1">
      <alignment horizontal="left" vertical="center"/>
      <protection locked="0"/>
    </xf>
    <xf numFmtId="166" fontId="10" fillId="4" borderId="4" xfId="4" applyNumberFormat="1" applyFont="1" applyFill="1" applyBorder="1" applyProtection="1">
      <protection locked="0"/>
    </xf>
    <xf numFmtId="0" fontId="35" fillId="0" borderId="4" xfId="0" applyFont="1" applyBorder="1" applyAlignment="1" applyProtection="1">
      <alignment horizontal="right" indent="1"/>
      <protection locked="0"/>
    </xf>
    <xf numFmtId="43" fontId="9" fillId="0" borderId="0" xfId="6" applyFont="1" applyBorder="1" applyAlignment="1" applyProtection="1">
      <alignment horizontal="center" vertical="top" wrapText="1"/>
    </xf>
    <xf numFmtId="43" fontId="2" fillId="0" borderId="0" xfId="6" applyFont="1" applyBorder="1" applyAlignment="1" applyProtection="1">
      <alignment horizontal="center" vertical="top" wrapText="1"/>
    </xf>
    <xf numFmtId="166" fontId="2" fillId="0" borderId="0" xfId="6" applyNumberFormat="1" applyFont="1" applyBorder="1" applyAlignment="1" applyProtection="1">
      <alignment horizontal="center" vertical="top" wrapText="1"/>
    </xf>
    <xf numFmtId="3" fontId="2" fillId="0" borderId="0" xfId="6" applyNumberFormat="1" applyFont="1" applyBorder="1" applyAlignment="1" applyProtection="1">
      <alignment horizontal="center" vertical="top" wrapText="1"/>
    </xf>
    <xf numFmtId="9" fontId="2" fillId="0" borderId="0" xfId="1" applyFont="1" applyBorder="1" applyAlignment="1" applyProtection="1">
      <alignment horizontal="center" vertical="top" wrapText="1"/>
    </xf>
    <xf numFmtId="0" fontId="9" fillId="0" borderId="0" xfId="2" applyFont="1" applyProtection="1">
      <protection locked="0"/>
    </xf>
    <xf numFmtId="3" fontId="38" fillId="0" borderId="2" xfId="3" applyNumberFormat="1" applyFont="1" applyBorder="1" applyProtection="1">
      <protection locked="0"/>
    </xf>
    <xf numFmtId="3" fontId="40" fillId="0" borderId="2" xfId="2" applyNumberFormat="1" applyFont="1" applyBorder="1" applyProtection="1">
      <protection locked="0"/>
    </xf>
    <xf numFmtId="3" fontId="42" fillId="0" borderId="2" xfId="2" applyNumberFormat="1" applyFont="1" applyBorder="1" applyProtection="1">
      <protection locked="0"/>
    </xf>
    <xf numFmtId="169" fontId="42" fillId="0" borderId="2" xfId="1" applyNumberFormat="1" applyFont="1" applyBorder="1" applyProtection="1">
      <protection locked="0"/>
    </xf>
    <xf numFmtId="3" fontId="43" fillId="0" borderId="2" xfId="2" applyNumberFormat="1" applyFont="1" applyBorder="1" applyProtection="1">
      <protection locked="0"/>
    </xf>
    <xf numFmtId="3" fontId="38" fillId="0" borderId="2" xfId="2" applyNumberFormat="1" applyFont="1" applyBorder="1" applyProtection="1">
      <protection locked="0"/>
    </xf>
    <xf numFmtId="169" fontId="43" fillId="0" borderId="2" xfId="1" applyNumberFormat="1" applyFont="1" applyBorder="1" applyProtection="1">
      <protection locked="0"/>
    </xf>
    <xf numFmtId="3" fontId="44" fillId="0" borderId="5" xfId="2" applyNumberFormat="1" applyFont="1" applyBorder="1" applyProtection="1">
      <protection locked="0"/>
    </xf>
    <xf numFmtId="3" fontId="9" fillId="0" borderId="0" xfId="2" applyNumberFormat="1" applyFont="1" applyProtection="1">
      <protection locked="0"/>
    </xf>
    <xf numFmtId="3" fontId="44" fillId="0" borderId="6" xfId="2" applyNumberFormat="1" applyFont="1" applyBorder="1" applyProtection="1">
      <protection locked="0"/>
    </xf>
    <xf numFmtId="3" fontId="45" fillId="0" borderId="0" xfId="2" applyNumberFormat="1" applyFont="1" applyProtection="1">
      <protection locked="0"/>
    </xf>
    <xf numFmtId="10" fontId="9" fillId="0" borderId="0" xfId="1" applyNumberFormat="1" applyFont="1" applyProtection="1">
      <protection locked="0"/>
    </xf>
    <xf numFmtId="164" fontId="9" fillId="0" borderId="0" xfId="8" applyFont="1" applyProtection="1">
      <protection locked="0"/>
    </xf>
    <xf numFmtId="0" fontId="4" fillId="0" borderId="1" xfId="2" applyFont="1" applyBorder="1" applyAlignment="1">
      <alignment horizontal="center" vertical="center" wrapText="1"/>
    </xf>
    <xf numFmtId="0" fontId="3" fillId="0" borderId="0" xfId="2" applyFont="1" applyAlignment="1">
      <alignment horizontal="left"/>
    </xf>
    <xf numFmtId="3" fontId="5" fillId="0" borderId="0" xfId="2" applyNumberFormat="1" applyFont="1" applyAlignment="1">
      <alignment horizontal="center"/>
    </xf>
    <xf numFmtId="0" fontId="6" fillId="0" borderId="0" xfId="2" applyFont="1" applyAlignment="1">
      <alignment horizontal="center"/>
    </xf>
    <xf numFmtId="0" fontId="5" fillId="0" borderId="0" xfId="2" applyFont="1" applyAlignment="1">
      <alignment horizontal="center"/>
    </xf>
    <xf numFmtId="0" fontId="7" fillId="0" borderId="0" xfId="3"/>
    <xf numFmtId="0" fontId="4" fillId="0" borderId="0" xfId="2" applyFont="1" applyAlignment="1">
      <alignment horizontal="center" vertical="center" wrapText="1"/>
    </xf>
    <xf numFmtId="0" fontId="8" fillId="0" borderId="0" xfId="2" applyFont="1" applyAlignment="1">
      <alignment horizontal="center" vertical="center"/>
    </xf>
    <xf numFmtId="166" fontId="6" fillId="0" borderId="0" xfId="2" applyNumberFormat="1" applyFont="1" applyAlignment="1">
      <alignment horizontal="center"/>
    </xf>
    <xf numFmtId="3" fontId="6" fillId="0" borderId="0" xfId="2" applyNumberFormat="1" applyFont="1" applyAlignment="1">
      <alignment horizontal="center"/>
    </xf>
    <xf numFmtId="0" fontId="11" fillId="3" borderId="2" xfId="2" applyFont="1" applyFill="1" applyBorder="1" applyAlignment="1">
      <alignment horizontal="center" vertical="center" wrapText="1"/>
    </xf>
    <xf numFmtId="0" fontId="10" fillId="2" borderId="2" xfId="2" applyFont="1" applyFill="1" applyBorder="1" applyAlignment="1">
      <alignment horizontal="left" vertical="center" wrapText="1"/>
    </xf>
    <xf numFmtId="0" fontId="13" fillId="0" borderId="4" xfId="4" applyNumberFormat="1" applyFont="1" applyFill="1" applyBorder="1" applyAlignment="1" applyProtection="1">
      <alignment horizontal="center" vertical="top" wrapText="1"/>
    </xf>
    <xf numFmtId="0" fontId="12" fillId="0" borderId="2" xfId="2" applyFont="1" applyBorder="1" applyAlignment="1">
      <alignment horizontal="left" vertical="top" wrapText="1"/>
    </xf>
    <xf numFmtId="0" fontId="10" fillId="0" borderId="4" xfId="4" applyNumberFormat="1" applyFont="1" applyFill="1" applyBorder="1" applyAlignment="1" applyProtection="1">
      <alignment horizontal="center" vertical="top" wrapText="1"/>
    </xf>
    <xf numFmtId="0" fontId="14" fillId="0" borderId="2" xfId="2" applyFont="1" applyBorder="1" applyAlignment="1">
      <alignment horizontal="left" vertical="top" wrapText="1" indent="1"/>
    </xf>
    <xf numFmtId="3" fontId="17" fillId="0" borderId="4" xfId="2" applyNumberFormat="1" applyFont="1" applyBorder="1" applyAlignment="1">
      <alignment horizontal="center" vertical="top" wrapText="1"/>
    </xf>
    <xf numFmtId="0" fontId="15" fillId="0" borderId="2" xfId="2" applyFont="1" applyBorder="1" applyAlignment="1">
      <alignment horizontal="left" vertical="top" wrapText="1" indent="2"/>
    </xf>
    <xf numFmtId="3" fontId="19" fillId="0" borderId="4" xfId="2" applyNumberFormat="1" applyFont="1" applyBorder="1" applyAlignment="1">
      <alignment horizontal="center" vertical="top" wrapText="1"/>
    </xf>
    <xf numFmtId="0" fontId="15" fillId="0" borderId="4" xfId="2" applyFont="1" applyBorder="1" applyAlignment="1">
      <alignment horizontal="left" vertical="top" wrapText="1" indent="2"/>
    </xf>
    <xf numFmtId="3" fontId="10" fillId="0" borderId="4" xfId="2" applyNumberFormat="1" applyFont="1" applyBorder="1" applyAlignment="1">
      <alignment horizontal="center" vertical="top" wrapText="1"/>
    </xf>
    <xf numFmtId="0" fontId="16" fillId="0" borderId="2" xfId="2" applyFont="1" applyBorder="1" applyAlignment="1">
      <alignment horizontal="left" vertical="top" wrapText="1" indent="2"/>
    </xf>
    <xf numFmtId="0" fontId="16" fillId="0" borderId="4" xfId="2" applyFont="1" applyBorder="1" applyAlignment="1">
      <alignment horizontal="left" vertical="top" wrapText="1" indent="2"/>
    </xf>
    <xf numFmtId="3" fontId="13" fillId="0" borderId="4" xfId="2" applyNumberFormat="1" applyFont="1" applyBorder="1" applyAlignment="1">
      <alignment horizontal="center" vertical="top" wrapText="1"/>
    </xf>
    <xf numFmtId="0" fontId="13" fillId="0" borderId="2" xfId="2" applyFont="1" applyBorder="1" applyAlignment="1">
      <alignment horizontal="left" vertical="top" wrapText="1"/>
    </xf>
    <xf numFmtId="0" fontId="10" fillId="0" borderId="2" xfId="2" applyFont="1" applyBorder="1" applyAlignment="1">
      <alignment horizontal="left" vertical="top" wrapText="1" indent="1"/>
    </xf>
    <xf numFmtId="0" fontId="10" fillId="0" borderId="2" xfId="2" applyFont="1" applyBorder="1" applyAlignment="1">
      <alignment horizontal="left" vertical="top" wrapText="1" indent="2"/>
    </xf>
    <xf numFmtId="166" fontId="15" fillId="0" borderId="2" xfId="6" applyNumberFormat="1" applyFont="1" applyFill="1" applyBorder="1" applyAlignment="1" applyProtection="1">
      <alignment horizontal="left" vertical="top" wrapText="1" indent="3"/>
    </xf>
    <xf numFmtId="166" fontId="15" fillId="0" borderId="2" xfId="6" applyNumberFormat="1" applyFont="1" applyFill="1" applyBorder="1" applyAlignment="1" applyProtection="1">
      <alignment horizontal="left" vertical="top" wrapText="1" indent="2"/>
    </xf>
    <xf numFmtId="166" fontId="15" fillId="0" borderId="2" xfId="6" applyNumberFormat="1" applyFont="1" applyFill="1" applyBorder="1" applyAlignment="1" applyProtection="1">
      <alignment horizontal="left" vertical="top" wrapText="1" indent="5"/>
    </xf>
    <xf numFmtId="0" fontId="10" fillId="0" borderId="4" xfId="2" applyFont="1" applyBorder="1" applyAlignment="1">
      <alignment horizontal="left" vertical="top" wrapText="1" indent="1"/>
    </xf>
    <xf numFmtId="0" fontId="11" fillId="0" borderId="4" xfId="2" applyFont="1" applyBorder="1" applyAlignment="1">
      <alignment horizontal="left" vertical="top" wrapText="1" indent="1"/>
    </xf>
    <xf numFmtId="0" fontId="22" fillId="0" borderId="0" xfId="3" applyFont="1"/>
    <xf numFmtId="3" fontId="24" fillId="3" borderId="4" xfId="2" applyNumberFormat="1" applyFont="1" applyFill="1" applyBorder="1" applyAlignment="1">
      <alignment horizontal="center" vertical="top" wrapText="1"/>
    </xf>
    <xf numFmtId="0" fontId="23" fillId="3" borderId="2" xfId="2" applyFont="1" applyFill="1" applyBorder="1" applyAlignment="1">
      <alignment horizontal="center" vertical="top" wrapText="1"/>
    </xf>
    <xf numFmtId="0" fontId="25" fillId="0" borderId="0" xfId="3" applyFont="1"/>
    <xf numFmtId="0" fontId="16" fillId="0" borderId="2" xfId="2" applyFont="1" applyBorder="1" applyAlignment="1">
      <alignment horizontal="left" vertical="top" wrapText="1" indent="1"/>
    </xf>
    <xf numFmtId="0" fontId="16" fillId="0" borderId="4" xfId="2" applyFont="1" applyBorder="1" applyAlignment="1">
      <alignment horizontal="left" vertical="top" wrapText="1" indent="1"/>
    </xf>
    <xf numFmtId="3" fontId="17" fillId="0" borderId="4" xfId="0" applyNumberFormat="1" applyFont="1" applyBorder="1" applyAlignment="1">
      <alignment horizontal="center" vertical="top" wrapText="1"/>
    </xf>
    <xf numFmtId="0" fontId="26" fillId="0" borderId="2" xfId="2" applyFont="1" applyBorder="1" applyAlignment="1">
      <alignment horizontal="left" vertical="top" wrapText="1" indent="1"/>
    </xf>
    <xf numFmtId="0" fontId="27" fillId="0" borderId="2" xfId="2" applyFont="1" applyBorder="1" applyAlignment="1">
      <alignment horizontal="left" vertical="top" wrapText="1" indent="1"/>
    </xf>
    <xf numFmtId="3" fontId="6" fillId="3" borderId="4" xfId="2" applyNumberFormat="1" applyFont="1" applyFill="1" applyBorder="1" applyAlignment="1">
      <alignment horizontal="center" vertical="center" wrapText="1"/>
    </xf>
    <xf numFmtId="0" fontId="28" fillId="0" borderId="0" xfId="3" applyFont="1" applyAlignment="1">
      <alignment vertical="center"/>
    </xf>
    <xf numFmtId="9" fontId="1" fillId="0" borderId="0" xfId="7" applyFont="1" applyFill="1" applyBorder="1" applyAlignment="1" applyProtection="1">
      <alignment horizontal="right" vertical="top" wrapText="1" indent="1"/>
    </xf>
    <xf numFmtId="168" fontId="32" fillId="0" borderId="0" xfId="2" applyNumberFormat="1" applyFont="1" applyAlignment="1">
      <alignment horizontal="right" vertical="top" wrapText="1" indent="1"/>
    </xf>
    <xf numFmtId="166" fontId="1" fillId="0" borderId="0" xfId="4" applyNumberFormat="1" applyFont="1" applyFill="1" applyBorder="1" applyAlignment="1" applyProtection="1">
      <alignment horizontal="right" vertical="top" wrapText="1" indent="1"/>
    </xf>
    <xf numFmtId="166" fontId="1" fillId="0" borderId="0" xfId="6" applyNumberFormat="1" applyFont="1" applyFill="1" applyBorder="1" applyAlignment="1" applyProtection="1">
      <alignment horizontal="right" vertical="top" wrapText="1" indent="1"/>
    </xf>
    <xf numFmtId="0" fontId="2" fillId="0" borderId="0" xfId="2"/>
    <xf numFmtId="0" fontId="9" fillId="0" borderId="0" xfId="2" applyFont="1"/>
    <xf numFmtId="166" fontId="2" fillId="0" borderId="0" xfId="6" applyNumberFormat="1" applyFont="1" applyProtection="1"/>
    <xf numFmtId="0" fontId="46" fillId="0" borderId="0" xfId="3" applyFont="1"/>
    <xf numFmtId="3" fontId="9" fillId="0" borderId="0" xfId="2" applyNumberFormat="1" applyFont="1"/>
    <xf numFmtId="0" fontId="30" fillId="0" borderId="4" xfId="4" applyNumberFormat="1" applyFont="1" applyFill="1" applyBorder="1" applyAlignment="1" applyProtection="1">
      <alignment horizontal="center" vertical="top" wrapText="1"/>
    </xf>
    <xf numFmtId="3" fontId="29" fillId="0" borderId="2" xfId="2" applyNumberFormat="1" applyFont="1" applyBorder="1" applyAlignment="1">
      <alignment horizontal="left" vertical="top" wrapText="1" indent="1"/>
    </xf>
    <xf numFmtId="3" fontId="14" fillId="0" borderId="2" xfId="2" applyNumberFormat="1" applyFont="1" applyBorder="1" applyAlignment="1">
      <alignment horizontal="left" vertical="top" wrapText="1" indent="1"/>
    </xf>
    <xf numFmtId="3" fontId="16" fillId="0" borderId="2" xfId="2" applyNumberFormat="1" applyFont="1" applyBorder="1" applyAlignment="1">
      <alignment horizontal="left" vertical="top" wrapText="1" indent="1"/>
    </xf>
    <xf numFmtId="3" fontId="11" fillId="0" borderId="4" xfId="2" applyNumberFormat="1" applyFont="1" applyBorder="1" applyAlignment="1">
      <alignment horizontal="center" vertical="top" wrapText="1"/>
    </xf>
    <xf numFmtId="3" fontId="17" fillId="0" borderId="2" xfId="2" applyNumberFormat="1" applyFont="1" applyBorder="1" applyAlignment="1">
      <alignment horizontal="center" vertical="top" wrapText="1"/>
    </xf>
    <xf numFmtId="3" fontId="19" fillId="0" borderId="4" xfId="0" applyNumberFormat="1" applyFont="1" applyBorder="1" applyAlignment="1">
      <alignment horizontal="center" vertical="top" wrapText="1"/>
    </xf>
    <xf numFmtId="3" fontId="16" fillId="0" borderId="2" xfId="2" applyNumberFormat="1" applyFont="1" applyBorder="1" applyAlignment="1">
      <alignment horizontal="left" vertical="top" wrapText="1" indent="2"/>
    </xf>
    <xf numFmtId="3" fontId="8" fillId="0" borderId="2" xfId="2" applyNumberFormat="1" applyFont="1" applyBorder="1" applyAlignment="1">
      <alignment horizontal="left" vertical="top" wrapText="1" indent="1"/>
    </xf>
    <xf numFmtId="0" fontId="10" fillId="2" borderId="4" xfId="2" applyFont="1" applyFill="1" applyBorder="1" applyAlignment="1">
      <alignment horizontal="center" vertical="center" wrapText="1"/>
    </xf>
    <xf numFmtId="0" fontId="14" fillId="0" borderId="4" xfId="2" applyFont="1" applyBorder="1" applyAlignment="1">
      <alignment horizontal="center"/>
    </xf>
    <xf numFmtId="0" fontId="14" fillId="0" borderId="2" xfId="2" applyFont="1" applyBorder="1"/>
    <xf numFmtId="0" fontId="33" fillId="0" borderId="2" xfId="4" applyNumberFormat="1" applyFont="1" applyFill="1" applyBorder="1" applyAlignment="1" applyProtection="1">
      <alignment horizontal="center" vertical="top" wrapText="1"/>
    </xf>
    <xf numFmtId="0" fontId="10" fillId="0" borderId="4" xfId="2" applyFont="1" applyBorder="1" applyAlignment="1">
      <alignment horizontal="center" vertical="top" wrapText="1"/>
    </xf>
    <xf numFmtId="0" fontId="34" fillId="0" borderId="4" xfId="2" applyFont="1" applyBorder="1" applyAlignment="1">
      <alignment horizontal="center"/>
    </xf>
    <xf numFmtId="0" fontId="34" fillId="0" borderId="2" xfId="2" applyFont="1" applyBorder="1"/>
    <xf numFmtId="0" fontId="21" fillId="0" borderId="4" xfId="0" applyFont="1" applyBorder="1" applyAlignment="1">
      <alignment horizontal="center"/>
    </xf>
    <xf numFmtId="0" fontId="8" fillId="0" borderId="4" xfId="2" quotePrefix="1" applyFont="1" applyBorder="1" applyAlignment="1">
      <alignment horizontal="center"/>
    </xf>
    <xf numFmtId="0" fontId="8" fillId="0" borderId="2" xfId="2" quotePrefix="1" applyFont="1" applyBorder="1" applyAlignment="1">
      <alignment horizontal="left" indent="1"/>
    </xf>
    <xf numFmtId="0" fontId="20" fillId="0" borderId="2" xfId="0" quotePrefix="1" applyFont="1" applyBorder="1" applyAlignment="1">
      <alignment horizontal="center"/>
    </xf>
    <xf numFmtId="0" fontId="8" fillId="0" borderId="4" xfId="2" quotePrefix="1" applyFont="1" applyBorder="1" applyAlignment="1">
      <alignment horizontal="center" vertical="center"/>
    </xf>
    <xf numFmtId="0" fontId="8" fillId="0" borderId="2" xfId="2" quotePrefix="1" applyFont="1" applyBorder="1" applyAlignment="1">
      <alignment horizontal="left" vertical="center" indent="1"/>
    </xf>
    <xf numFmtId="0" fontId="20" fillId="0" borderId="2" xfId="0" quotePrefix="1" applyFont="1" applyBorder="1" applyAlignment="1">
      <alignment horizontal="center" vertical="center"/>
    </xf>
    <xf numFmtId="0" fontId="8" fillId="0" borderId="4" xfId="5" quotePrefix="1" applyNumberFormat="1" applyFont="1" applyFill="1" applyBorder="1" applyAlignment="1" applyProtection="1">
      <alignment horizontal="center"/>
    </xf>
    <xf numFmtId="0" fontId="14" fillId="0" borderId="4" xfId="2" quotePrefix="1" applyFont="1" applyBorder="1" applyAlignment="1">
      <alignment horizontal="center" vertical="center"/>
    </xf>
    <xf numFmtId="0" fontId="14" fillId="0" borderId="2" xfId="2" quotePrefix="1" applyFont="1" applyBorder="1" applyAlignment="1">
      <alignment horizontal="left" vertical="center"/>
    </xf>
    <xf numFmtId="0" fontId="11" fillId="0" borderId="4" xfId="5" quotePrefix="1" applyNumberFormat="1" applyFont="1" applyFill="1" applyBorder="1" applyAlignment="1" applyProtection="1">
      <alignment horizontal="center" vertical="center"/>
    </xf>
    <xf numFmtId="0" fontId="16" fillId="0" borderId="4" xfId="2" quotePrefix="1" applyFont="1" applyBorder="1" applyAlignment="1">
      <alignment horizontal="center"/>
    </xf>
    <xf numFmtId="0" fontId="16" fillId="0" borderId="2" xfId="2" quotePrefix="1" applyFont="1" applyBorder="1" applyAlignment="1">
      <alignment horizontal="left" indent="1"/>
    </xf>
    <xf numFmtId="0" fontId="16" fillId="0" borderId="4" xfId="2" quotePrefix="1" applyFont="1" applyBorder="1" applyAlignment="1">
      <alignment horizontal="center" wrapText="1"/>
    </xf>
    <xf numFmtId="0" fontId="16" fillId="0" borderId="2" xfId="2" quotePrefix="1" applyFont="1" applyBorder="1" applyAlignment="1">
      <alignment horizontal="left" wrapText="1" indent="1"/>
    </xf>
    <xf numFmtId="0" fontId="16" fillId="0" borderId="4" xfId="2" quotePrefix="1" applyFont="1" applyBorder="1" applyAlignment="1">
      <alignment horizontal="center" vertical="center"/>
    </xf>
    <xf numFmtId="0" fontId="16" fillId="0" borderId="2" xfId="2" quotePrefix="1" applyFont="1" applyBorder="1" applyAlignment="1">
      <alignment horizontal="left" vertical="center" indent="1"/>
    </xf>
    <xf numFmtId="0" fontId="20" fillId="0" borderId="4" xfId="0" quotePrefix="1" applyFont="1" applyBorder="1" applyAlignment="1">
      <alignment horizontal="center"/>
    </xf>
    <xf numFmtId="0" fontId="14" fillId="0" borderId="2" xfId="2" applyFont="1" applyBorder="1" applyAlignment="1">
      <alignment horizontal="left"/>
    </xf>
    <xf numFmtId="0" fontId="10" fillId="0" borderId="4" xfId="5" applyNumberFormat="1" applyFont="1" applyFill="1" applyBorder="1" applyAlignment="1" applyProtection="1">
      <alignment horizontal="center"/>
    </xf>
    <xf numFmtId="0" fontId="11" fillId="0" borderId="4" xfId="5" applyNumberFormat="1" applyFont="1" applyFill="1" applyBorder="1" applyAlignment="1" applyProtection="1">
      <alignment horizontal="center"/>
    </xf>
    <xf numFmtId="0" fontId="8" fillId="0" borderId="4" xfId="2" applyFont="1" applyBorder="1" applyAlignment="1">
      <alignment horizontal="center"/>
    </xf>
    <xf numFmtId="0" fontId="8" fillId="0" borderId="2" xfId="2" applyFont="1" applyBorder="1" applyAlignment="1">
      <alignment horizontal="left" indent="1"/>
    </xf>
    <xf numFmtId="0" fontId="8" fillId="0" borderId="4" xfId="2" applyFont="1" applyBorder="1" applyAlignment="1">
      <alignment horizontal="center" vertical="center"/>
    </xf>
    <xf numFmtId="0" fontId="8" fillId="0" borderId="2" xfId="2" applyFont="1" applyBorder="1" applyAlignment="1">
      <alignment horizontal="left" vertical="center" indent="1"/>
    </xf>
    <xf numFmtId="0" fontId="8" fillId="0" borderId="4" xfId="5" quotePrefix="1" applyNumberFormat="1" applyFont="1" applyFill="1" applyBorder="1" applyAlignment="1" applyProtection="1">
      <alignment horizontal="center" vertical="center"/>
    </xf>
    <xf numFmtId="0" fontId="14" fillId="4" borderId="4" xfId="2" applyFont="1" applyFill="1" applyBorder="1" applyAlignment="1">
      <alignment horizontal="center"/>
    </xf>
    <xf numFmtId="0" fontId="14" fillId="4" borderId="2" xfId="2" applyFont="1" applyFill="1" applyBorder="1"/>
    <xf numFmtId="0" fontId="10" fillId="4" borderId="4" xfId="5" applyNumberFormat="1" applyFont="1" applyFill="1" applyBorder="1" applyAlignment="1" applyProtection="1">
      <alignment horizontal="center"/>
    </xf>
    <xf numFmtId="0" fontId="31" fillId="0" borderId="4" xfId="2" applyFont="1" applyBorder="1" applyAlignment="1">
      <alignment horizontal="center"/>
    </xf>
    <xf numFmtId="0" fontId="31" fillId="0" borderId="2" xfId="2" applyFont="1" applyBorder="1" applyAlignment="1">
      <alignment horizontal="left" indent="1"/>
    </xf>
    <xf numFmtId="0" fontId="35" fillId="0" borderId="4" xfId="0" applyFont="1" applyBorder="1" applyAlignment="1">
      <alignment horizontal="center"/>
    </xf>
    <xf numFmtId="0" fontId="36" fillId="2" borderId="7" xfId="2" applyFont="1" applyFill="1" applyBorder="1" applyAlignment="1">
      <alignment horizontal="center" vertical="center" wrapText="1"/>
    </xf>
    <xf numFmtId="0" fontId="36" fillId="2" borderId="8" xfId="2" applyFont="1" applyFill="1" applyBorder="1" applyAlignment="1">
      <alignment horizontal="left" vertical="center" wrapText="1"/>
    </xf>
    <xf numFmtId="0" fontId="39" fillId="3" borderId="3" xfId="3" applyFont="1" applyFill="1" applyBorder="1" applyAlignment="1">
      <alignment horizontal="center" vertical="center" wrapText="1"/>
    </xf>
    <xf numFmtId="0" fontId="37" fillId="0" borderId="4" xfId="2" applyFont="1" applyBorder="1" applyAlignment="1">
      <alignment horizontal="center" vertical="center" wrapText="1"/>
    </xf>
    <xf numFmtId="0" fontId="37" fillId="0" borderId="2" xfId="2" applyFont="1" applyBorder="1" applyAlignment="1">
      <alignment horizontal="left" vertical="center" wrapText="1" indent="2"/>
    </xf>
    <xf numFmtId="0" fontId="38" fillId="0" borderId="2" xfId="3" applyFont="1" applyBorder="1" applyAlignment="1">
      <alignment horizontal="center"/>
    </xf>
    <xf numFmtId="0" fontId="39" fillId="0" borderId="4" xfId="2" applyFont="1" applyBorder="1" applyAlignment="1">
      <alignment horizontal="center" vertical="center" wrapText="1"/>
    </xf>
    <xf numFmtId="0" fontId="39" fillId="0" borderId="2" xfId="2" applyFont="1" applyBorder="1" applyAlignment="1">
      <alignment horizontal="left" vertical="center" wrapText="1" indent="1"/>
    </xf>
    <xf numFmtId="0" fontId="40" fillId="0" borderId="2" xfId="2" applyFont="1" applyBorder="1" applyAlignment="1">
      <alignment horizontal="center"/>
    </xf>
    <xf numFmtId="0" fontId="41" fillId="0" borderId="4" xfId="2" applyFont="1" applyBorder="1" applyAlignment="1">
      <alignment horizontal="center" vertical="center" wrapText="1"/>
    </xf>
    <xf numFmtId="0" fontId="41" fillId="0" borderId="2" xfId="2" applyFont="1" applyBorder="1" applyAlignment="1">
      <alignment horizontal="left" vertical="center" wrapText="1" indent="1"/>
    </xf>
    <xf numFmtId="0" fontId="42" fillId="0" borderId="2" xfId="2" applyFont="1" applyBorder="1" applyAlignment="1">
      <alignment horizontal="center"/>
    </xf>
    <xf numFmtId="0" fontId="42" fillId="0" borderId="2" xfId="1" applyNumberFormat="1" applyFont="1" applyBorder="1" applyAlignment="1" applyProtection="1">
      <alignment horizontal="center"/>
    </xf>
    <xf numFmtId="0" fontId="43" fillId="0" borderId="2" xfId="2" applyFont="1" applyBorder="1" applyAlignment="1">
      <alignment horizontal="center"/>
    </xf>
    <xf numFmtId="0" fontId="38" fillId="0" borderId="2" xfId="2" applyFont="1" applyBorder="1" applyAlignment="1">
      <alignment horizontal="center"/>
    </xf>
    <xf numFmtId="0" fontId="37" fillId="0" borderId="4" xfId="2" applyFont="1" applyBorder="1" applyAlignment="1">
      <alignment horizontal="center" vertical="center"/>
    </xf>
    <xf numFmtId="0" fontId="37" fillId="0" borderId="2" xfId="2" applyFont="1" applyBorder="1" applyAlignment="1">
      <alignment horizontal="left" vertical="center" indent="2"/>
    </xf>
    <xf numFmtId="0" fontId="43" fillId="0" borderId="2" xfId="1" applyNumberFormat="1" applyFont="1" applyBorder="1" applyAlignment="1" applyProtection="1">
      <alignment horizontal="center"/>
    </xf>
    <xf numFmtId="0" fontId="39" fillId="0" borderId="4" xfId="2" applyFont="1" applyBorder="1" applyAlignment="1">
      <alignment horizontal="center" vertical="center"/>
    </xf>
    <xf numFmtId="0" fontId="39" fillId="0" borderId="2" xfId="2" applyFont="1" applyBorder="1" applyAlignment="1">
      <alignment horizontal="left" vertical="center" indent="1"/>
    </xf>
    <xf numFmtId="0" fontId="41" fillId="0" borderId="4" xfId="2" applyFont="1" applyBorder="1" applyAlignment="1">
      <alignment horizontal="center" vertical="center"/>
    </xf>
    <xf numFmtId="0" fontId="41" fillId="0" borderId="2" xfId="2" applyFont="1" applyBorder="1" applyAlignment="1">
      <alignment horizontal="left" vertical="center" indent="1"/>
    </xf>
    <xf numFmtId="0" fontId="41" fillId="0" borderId="9" xfId="2" applyFont="1" applyBorder="1" applyAlignment="1">
      <alignment horizontal="center" vertical="center"/>
    </xf>
    <xf numFmtId="0" fontId="41" fillId="0" borderId="10" xfId="2" applyFont="1" applyBorder="1" applyAlignment="1">
      <alignment horizontal="left" vertical="center" indent="1"/>
    </xf>
    <xf numFmtId="0" fontId="36" fillId="2" borderId="2" xfId="2" applyFont="1" applyFill="1" applyBorder="1" applyAlignment="1">
      <alignment horizontal="center" vertical="center" wrapText="1"/>
    </xf>
    <xf numFmtId="0" fontId="36" fillId="2" borderId="2" xfId="2" applyFont="1" applyFill="1" applyBorder="1" applyAlignment="1">
      <alignment horizontal="left" vertical="center" wrapText="1"/>
    </xf>
    <xf numFmtId="0" fontId="11" fillId="3" borderId="11" xfId="2" applyFont="1" applyFill="1" applyBorder="1" applyAlignment="1">
      <alignment horizontal="center" vertical="center" wrapText="1"/>
    </xf>
    <xf numFmtId="0" fontId="44" fillId="0" borderId="5" xfId="2" applyFont="1" applyBorder="1" applyAlignment="1">
      <alignment horizontal="center"/>
    </xf>
    <xf numFmtId="0" fontId="44" fillId="0" borderId="5" xfId="2" applyFont="1" applyBorder="1"/>
    <xf numFmtId="0" fontId="9" fillId="0" borderId="5" xfId="2" applyFont="1" applyBorder="1" applyAlignment="1">
      <alignment horizontal="center"/>
    </xf>
    <xf numFmtId="0" fontId="9" fillId="0" borderId="0" xfId="2" applyFont="1" applyAlignment="1">
      <alignment horizontal="center"/>
    </xf>
    <xf numFmtId="0" fontId="9" fillId="0" borderId="0" xfId="2" applyFont="1" applyAlignment="1">
      <alignment horizontal="left" indent="1"/>
    </xf>
    <xf numFmtId="0" fontId="44" fillId="0" borderId="0" xfId="2" applyFont="1" applyAlignment="1">
      <alignment horizontal="center"/>
    </xf>
    <xf numFmtId="0" fontId="44" fillId="0" borderId="0" xfId="2" applyFont="1"/>
    <xf numFmtId="0" fontId="44" fillId="0" borderId="6" xfId="2" applyFont="1" applyBorder="1" applyAlignment="1">
      <alignment horizontal="center"/>
    </xf>
    <xf numFmtId="0" fontId="44" fillId="0" borderId="6" xfId="2" applyFont="1" applyBorder="1"/>
    <xf numFmtId="0" fontId="11" fillId="3" borderId="3" xfId="6" applyNumberFormat="1" applyFont="1" applyFill="1" applyBorder="1" applyAlignment="1" applyProtection="1">
      <alignment horizontal="center" vertical="center" wrapText="1"/>
    </xf>
    <xf numFmtId="0" fontId="10" fillId="2" borderId="2" xfId="2" applyFont="1" applyFill="1" applyBorder="1" applyAlignment="1">
      <alignment horizontal="left" vertical="top" wrapText="1"/>
    </xf>
    <xf numFmtId="0" fontId="52" fillId="5" borderId="0" xfId="3" applyFont="1" applyFill="1"/>
    <xf numFmtId="0" fontId="53" fillId="5" borderId="0" xfId="3" applyFont="1" applyFill="1"/>
    <xf numFmtId="0" fontId="53" fillId="0" borderId="0" xfId="3" applyFont="1"/>
    <xf numFmtId="0" fontId="52" fillId="0" borderId="0" xfId="3" applyFont="1" applyAlignment="1">
      <alignment horizontal="right"/>
    </xf>
    <xf numFmtId="0" fontId="53" fillId="5" borderId="12" xfId="3" applyFont="1" applyFill="1" applyBorder="1"/>
    <xf numFmtId="0" fontId="53" fillId="0" borderId="12" xfId="3" applyFont="1" applyBorder="1"/>
    <xf numFmtId="0" fontId="54" fillId="0" borderId="12" xfId="3" applyFont="1" applyBorder="1" applyAlignment="1">
      <alignment horizontal="right"/>
    </xf>
    <xf numFmtId="0" fontId="54" fillId="0" borderId="0" xfId="3" applyFont="1" applyAlignment="1">
      <alignment horizontal="right"/>
    </xf>
    <xf numFmtId="0" fontId="55" fillId="0" borderId="0" xfId="3" applyFont="1"/>
    <xf numFmtId="0" fontId="9" fillId="0" borderId="0" xfId="3" applyFont="1"/>
    <xf numFmtId="0" fontId="9" fillId="5" borderId="0" xfId="3" applyFont="1" applyFill="1"/>
    <xf numFmtId="0" fontId="44" fillId="0" borderId="0" xfId="3" applyFont="1"/>
    <xf numFmtId="0" fontId="44" fillId="5" borderId="0" xfId="3" applyFont="1" applyFill="1" applyAlignment="1">
      <alignment horizontal="center"/>
    </xf>
    <xf numFmtId="14" fontId="9" fillId="0" borderId="0" xfId="3" applyNumberFormat="1" applyFont="1" applyAlignment="1">
      <alignment vertical="center"/>
    </xf>
    <xf numFmtId="0" fontId="21" fillId="0" borderId="0" xfId="3" applyFont="1" applyAlignment="1">
      <alignment horizontal="left"/>
    </xf>
    <xf numFmtId="0" fontId="8" fillId="5" borderId="0" xfId="3" applyFont="1" applyFill="1" applyAlignment="1">
      <alignment horizontal="left"/>
    </xf>
    <xf numFmtId="0" fontId="8" fillId="5" borderId="0" xfId="3" applyFont="1" applyFill="1"/>
    <xf numFmtId="0" fontId="56" fillId="0" borderId="0" xfId="3" applyFont="1" applyAlignment="1">
      <alignment horizontal="right"/>
    </xf>
    <xf numFmtId="0" fontId="20" fillId="0" borderId="0" xfId="3" applyFont="1"/>
    <xf numFmtId="0" fontId="56" fillId="0" borderId="0" xfId="3" applyFont="1"/>
    <xf numFmtId="0" fontId="56" fillId="0" borderId="0" xfId="3" applyFont="1" applyAlignment="1">
      <alignment horizontal="centerContinuous"/>
    </xf>
    <xf numFmtId="0" fontId="56" fillId="0" borderId="0" xfId="3" applyFont="1" applyAlignment="1">
      <alignment horizontal="centerContinuous" wrapText="1"/>
    </xf>
    <xf numFmtId="0" fontId="20" fillId="0" borderId="0" xfId="3" applyFont="1" applyAlignment="1">
      <alignment horizontal="centerContinuous"/>
    </xf>
    <xf numFmtId="0" fontId="60" fillId="0" borderId="0" xfId="3" applyFont="1"/>
    <xf numFmtId="0" fontId="61" fillId="0" borderId="0" xfId="3" applyFont="1" applyAlignment="1">
      <alignment horizontal="centerContinuous"/>
    </xf>
    <xf numFmtId="0" fontId="52" fillId="0" borderId="0" xfId="3" applyFont="1"/>
    <xf numFmtId="0" fontId="63" fillId="0" borderId="0" xfId="3" applyFont="1"/>
    <xf numFmtId="0" fontId="64" fillId="0" borderId="0" xfId="3" applyFont="1"/>
    <xf numFmtId="0" fontId="65" fillId="0" borderId="0" xfId="3" applyFont="1"/>
    <xf numFmtId="0" fontId="63" fillId="0" borderId="0" xfId="3" applyFont="1" applyAlignment="1">
      <alignment horizontal="right"/>
    </xf>
    <xf numFmtId="0" fontId="66" fillId="0" borderId="0" xfId="3" applyFont="1"/>
    <xf numFmtId="49" fontId="66" fillId="0" borderId="0" xfId="3" applyNumberFormat="1" applyFont="1" applyAlignment="1">
      <alignment horizontal="right"/>
    </xf>
    <xf numFmtId="0" fontId="67" fillId="0" borderId="0" xfId="3" quotePrefix="1" applyFont="1" applyAlignment="1">
      <alignment horizontal="left" indent="1"/>
    </xf>
    <xf numFmtId="0" fontId="68" fillId="0" borderId="0" xfId="3" applyFont="1"/>
    <xf numFmtId="49" fontId="68" fillId="0" borderId="0" xfId="3" applyNumberFormat="1" applyFont="1" applyAlignment="1">
      <alignment horizontal="right"/>
    </xf>
    <xf numFmtId="0" fontId="69" fillId="0" borderId="0" xfId="3" quotePrefix="1" applyFont="1" applyAlignment="1">
      <alignment horizontal="left" indent="1"/>
    </xf>
    <xf numFmtId="0" fontId="70" fillId="0" borderId="0" xfId="3" applyFont="1"/>
    <xf numFmtId="49" fontId="70" fillId="0" borderId="0" xfId="3" applyNumberFormat="1" applyFont="1" applyAlignment="1">
      <alignment horizontal="right"/>
    </xf>
    <xf numFmtId="0" fontId="71" fillId="0" borderId="0" xfId="3" quotePrefix="1" applyFont="1" applyAlignment="1">
      <alignment horizontal="left" indent="1"/>
    </xf>
    <xf numFmtId="0" fontId="72" fillId="0" borderId="0" xfId="3" applyFont="1"/>
    <xf numFmtId="49" fontId="72" fillId="0" borderId="0" xfId="3" applyNumberFormat="1" applyFont="1" applyAlignment="1">
      <alignment horizontal="right"/>
    </xf>
    <xf numFmtId="0" fontId="73" fillId="0" borderId="0" xfId="3" quotePrefix="1" applyFont="1" applyAlignment="1">
      <alignment horizontal="left" indent="1"/>
    </xf>
    <xf numFmtId="49" fontId="64" fillId="0" borderId="0" xfId="3" applyNumberFormat="1" applyFont="1" applyAlignment="1">
      <alignment horizontal="right"/>
    </xf>
    <xf numFmtId="0" fontId="74" fillId="0" borderId="0" xfId="3" applyFont="1"/>
    <xf numFmtId="170" fontId="75" fillId="0" borderId="0" xfId="3" applyNumberFormat="1" applyFont="1"/>
    <xf numFmtId="0" fontId="75" fillId="0" borderId="0" xfId="3" applyFont="1"/>
    <xf numFmtId="0" fontId="76" fillId="0" borderId="12" xfId="3" applyFont="1" applyBorder="1"/>
    <xf numFmtId="170" fontId="75" fillId="0" borderId="12" xfId="3" applyNumberFormat="1" applyFont="1" applyBorder="1"/>
    <xf numFmtId="0" fontId="16" fillId="0" borderId="0" xfId="3" applyFont="1"/>
    <xf numFmtId="0" fontId="16" fillId="0" borderId="0" xfId="9" applyFont="1"/>
    <xf numFmtId="170" fontId="16" fillId="0" borderId="0" xfId="9" applyNumberFormat="1" applyFont="1"/>
    <xf numFmtId="170" fontId="79" fillId="0" borderId="0" xfId="9" applyNumberFormat="1" applyFont="1" applyAlignment="1">
      <alignment horizontal="right"/>
    </xf>
    <xf numFmtId="0" fontId="74" fillId="0" borderId="13" xfId="10" applyFont="1" applyBorder="1" applyAlignment="1">
      <alignment horizontal="center" vertical="center" wrapText="1"/>
    </xf>
    <xf numFmtId="170" fontId="74" fillId="0" borderId="13" xfId="10" applyNumberFormat="1" applyFont="1" applyBorder="1" applyAlignment="1">
      <alignment horizontal="center" vertical="center" wrapText="1"/>
    </xf>
    <xf numFmtId="14" fontId="74" fillId="0" borderId="13" xfId="10" applyNumberFormat="1" applyFont="1" applyBorder="1" applyAlignment="1">
      <alignment horizontal="center" vertical="center" wrapText="1"/>
    </xf>
    <xf numFmtId="0" fontId="21" fillId="6" borderId="0" xfId="3" applyFont="1" applyFill="1" applyAlignment="1">
      <alignment horizontal="center" vertical="center" wrapText="1"/>
    </xf>
    <xf numFmtId="0" fontId="21" fillId="0" borderId="0" xfId="3" applyFont="1" applyAlignment="1">
      <alignment horizontal="center" vertical="center" wrapText="1"/>
    </xf>
    <xf numFmtId="0" fontId="11" fillId="0" borderId="14" xfId="10" applyFont="1" applyBorder="1" applyAlignment="1">
      <alignment horizontal="left" wrapText="1"/>
    </xf>
    <xf numFmtId="3" fontId="80" fillId="0" borderId="14" xfId="10" applyNumberFormat="1" applyFont="1" applyBorder="1" applyAlignment="1" applyProtection="1">
      <alignment horizontal="right" vertical="center"/>
      <protection hidden="1"/>
    </xf>
    <xf numFmtId="170" fontId="35" fillId="0" borderId="0" xfId="3" applyNumberFormat="1" applyFont="1"/>
    <xf numFmtId="0" fontId="35" fillId="0" borderId="0" xfId="3" applyFont="1"/>
    <xf numFmtId="0" fontId="16" fillId="0" borderId="15" xfId="10" applyFont="1" applyBorder="1"/>
    <xf numFmtId="3" fontId="81" fillId="0" borderId="15" xfId="10" applyNumberFormat="1" applyFont="1" applyBorder="1" applyProtection="1">
      <protection hidden="1"/>
    </xf>
    <xf numFmtId="0" fontId="74" fillId="0" borderId="15" xfId="10" applyFont="1" applyBorder="1"/>
    <xf numFmtId="3" fontId="82" fillId="0" borderId="15" xfId="10" applyNumberFormat="1" applyFont="1" applyBorder="1" applyProtection="1">
      <protection hidden="1"/>
    </xf>
    <xf numFmtId="16" fontId="16" fillId="0" borderId="0" xfId="3" applyNumberFormat="1" applyFont="1"/>
    <xf numFmtId="0" fontId="16" fillId="0" borderId="15" xfId="10" applyFont="1" applyBorder="1" applyAlignment="1">
      <alignment horizontal="left" wrapText="1"/>
    </xf>
    <xf numFmtId="0" fontId="8" fillId="0" borderId="15" xfId="10" applyFont="1" applyBorder="1"/>
    <xf numFmtId="9" fontId="16" fillId="0" borderId="0" xfId="11" applyFont="1"/>
    <xf numFmtId="3" fontId="2" fillId="0" borderId="15" xfId="10" applyNumberFormat="1" applyBorder="1" applyProtection="1">
      <protection hidden="1"/>
    </xf>
    <xf numFmtId="0" fontId="11" fillId="0" borderId="15" xfId="10" applyFont="1" applyBorder="1" applyAlignment="1">
      <alignment horizontal="left" wrapText="1"/>
    </xf>
    <xf numFmtId="3" fontId="80" fillId="0" borderId="15" xfId="10" applyNumberFormat="1" applyFont="1" applyBorder="1" applyAlignment="1" applyProtection="1">
      <alignment horizontal="right" vertical="center"/>
      <protection hidden="1"/>
    </xf>
    <xf numFmtId="3" fontId="82" fillId="0" borderId="15" xfId="10" applyNumberFormat="1" applyFont="1" applyBorder="1" applyAlignment="1" applyProtection="1">
      <alignment horizontal="right"/>
      <protection hidden="1"/>
    </xf>
    <xf numFmtId="0" fontId="16" fillId="0" borderId="16" xfId="10" applyFont="1" applyBorder="1"/>
    <xf numFmtId="3" fontId="81" fillId="0" borderId="17" xfId="10" applyNumberFormat="1" applyFont="1" applyBorder="1" applyProtection="1">
      <protection hidden="1"/>
    </xf>
    <xf numFmtId="0" fontId="16" fillId="0" borderId="0" xfId="10" applyFont="1"/>
    <xf numFmtId="3" fontId="81" fillId="0" borderId="0" xfId="10" applyNumberFormat="1" applyFont="1" applyProtection="1">
      <protection hidden="1"/>
    </xf>
    <xf numFmtId="3" fontId="74" fillId="0" borderId="13" xfId="10" applyNumberFormat="1" applyFont="1" applyBorder="1" applyAlignment="1" applyProtection="1">
      <alignment horizontal="center" vertical="center" wrapText="1"/>
      <protection hidden="1"/>
    </xf>
    <xf numFmtId="0" fontId="83" fillId="0" borderId="0" xfId="3" applyFont="1"/>
    <xf numFmtId="0" fontId="21" fillId="0" borderId="14" xfId="10" applyFont="1" applyBorder="1"/>
    <xf numFmtId="3" fontId="81" fillId="0" borderId="14" xfId="10" applyNumberFormat="1" applyFont="1" applyBorder="1" applyProtection="1">
      <protection hidden="1"/>
    </xf>
    <xf numFmtId="3" fontId="81" fillId="0" borderId="15" xfId="10" applyNumberFormat="1" applyFont="1" applyBorder="1" applyAlignment="1" applyProtection="1">
      <alignment horizontal="right"/>
      <protection hidden="1"/>
    </xf>
    <xf numFmtId="166" fontId="81" fillId="0" borderId="15" xfId="10" applyNumberFormat="1" applyFont="1" applyBorder="1" applyAlignment="1" applyProtection="1">
      <alignment horizontal="right"/>
      <protection hidden="1"/>
    </xf>
    <xf numFmtId="170" fontId="16" fillId="0" borderId="0" xfId="3" applyNumberFormat="1" applyFont="1"/>
    <xf numFmtId="0" fontId="16" fillId="0" borderId="15" xfId="10" applyFont="1" applyBorder="1" applyAlignment="1">
      <alignment horizontal="left" indent="1"/>
    </xf>
    <xf numFmtId="0" fontId="16" fillId="0" borderId="15" xfId="10" quotePrefix="1" applyFont="1" applyBorder="1" applyAlignment="1">
      <alignment horizontal="left" indent="2"/>
    </xf>
    <xf numFmtId="0" fontId="16" fillId="0" borderId="15" xfId="10" quotePrefix="1" applyFont="1" applyBorder="1"/>
    <xf numFmtId="0" fontId="16" fillId="0" borderId="17" xfId="10" applyFont="1" applyBorder="1"/>
    <xf numFmtId="0" fontId="10" fillId="0" borderId="13" xfId="10" applyFont="1" applyBorder="1"/>
    <xf numFmtId="3" fontId="84" fillId="0" borderId="13" xfId="10" applyNumberFormat="1" applyFont="1" applyBorder="1" applyProtection="1">
      <protection hidden="1"/>
    </xf>
    <xf numFmtId="3" fontId="16" fillId="0" borderId="0" xfId="3" applyNumberFormat="1" applyFont="1" applyProtection="1">
      <protection hidden="1"/>
    </xf>
    <xf numFmtId="0" fontId="11" fillId="0" borderId="15" xfId="10" applyFont="1" applyBorder="1"/>
    <xf numFmtId="3" fontId="80" fillId="0" borderId="15" xfId="10" applyNumberFormat="1" applyFont="1" applyBorder="1" applyProtection="1">
      <protection hidden="1"/>
    </xf>
    <xf numFmtId="3" fontId="16" fillId="0" borderId="0" xfId="10" applyNumberFormat="1" applyFont="1" applyProtection="1">
      <protection hidden="1"/>
    </xf>
    <xf numFmtId="3" fontId="85" fillId="0" borderId="0" xfId="10" applyNumberFormat="1" applyFont="1" applyAlignment="1" applyProtection="1">
      <alignment horizontal="right"/>
      <protection hidden="1"/>
    </xf>
    <xf numFmtId="3" fontId="81" fillId="0" borderId="15" xfId="10" applyNumberFormat="1" applyFont="1" applyBorder="1" applyAlignment="1" applyProtection="1">
      <alignment vertical="top"/>
      <protection hidden="1"/>
    </xf>
    <xf numFmtId="171" fontId="81" fillId="0" borderId="15" xfId="10" applyNumberFormat="1" applyFont="1" applyBorder="1" applyProtection="1">
      <protection hidden="1"/>
    </xf>
    <xf numFmtId="3" fontId="16" fillId="0" borderId="0" xfId="3" applyNumberFormat="1" applyFont="1"/>
    <xf numFmtId="0" fontId="86" fillId="0" borderId="15" xfId="10" applyFont="1" applyBorder="1" applyAlignment="1">
      <alignment horizontal="left" indent="1"/>
    </xf>
    <xf numFmtId="166" fontId="87" fillId="0" borderId="15" xfId="10" applyNumberFormat="1" applyFont="1" applyBorder="1" applyAlignment="1" applyProtection="1">
      <alignment vertical="center"/>
      <protection hidden="1"/>
    </xf>
    <xf numFmtId="0" fontId="16" fillId="0" borderId="14" xfId="10" applyFont="1" applyBorder="1"/>
    <xf numFmtId="172" fontId="16" fillId="0" borderId="0" xfId="3" applyNumberFormat="1" applyFont="1" applyProtection="1">
      <protection hidden="1"/>
    </xf>
    <xf numFmtId="0" fontId="16" fillId="0" borderId="0" xfId="3" applyFont="1" applyAlignment="1">
      <alignment horizontal="center"/>
    </xf>
    <xf numFmtId="0" fontId="21" fillId="0" borderId="0" xfId="3" applyFont="1" applyAlignment="1">
      <alignment horizontal="center"/>
    </xf>
    <xf numFmtId="0" fontId="88" fillId="0" borderId="0" xfId="3" applyFont="1" applyAlignment="1">
      <alignment horizontal="center"/>
    </xf>
    <xf numFmtId="0" fontId="89" fillId="0" borderId="0" xfId="3" applyFont="1"/>
    <xf numFmtId="0" fontId="21" fillId="0" borderId="0" xfId="3" applyFont="1"/>
    <xf numFmtId="0" fontId="16" fillId="0" borderId="12" xfId="3" applyFont="1" applyBorder="1"/>
    <xf numFmtId="170" fontId="86" fillId="0" borderId="0" xfId="3" applyNumberFormat="1" applyFont="1" applyAlignment="1">
      <alignment horizontal="right"/>
    </xf>
    <xf numFmtId="170" fontId="79" fillId="0" borderId="0" xfId="10" applyNumberFormat="1" applyFont="1" applyAlignment="1">
      <alignment horizontal="right"/>
    </xf>
    <xf numFmtId="170" fontId="89" fillId="0" borderId="26" xfId="3" applyNumberFormat="1" applyFont="1" applyBorder="1" applyAlignment="1">
      <alignment horizontal="center" vertical="center"/>
    </xf>
    <xf numFmtId="0" fontId="21" fillId="0" borderId="27" xfId="3" applyFont="1" applyBorder="1" applyAlignment="1">
      <alignment vertical="center"/>
    </xf>
    <xf numFmtId="3" fontId="91" fillId="0" borderId="30" xfId="3" applyNumberFormat="1" applyFont="1" applyBorder="1" applyAlignment="1" applyProtection="1">
      <alignment vertical="center"/>
      <protection hidden="1"/>
    </xf>
    <xf numFmtId="0" fontId="16" fillId="0" borderId="31" xfId="3" applyFont="1" applyBorder="1" applyAlignment="1">
      <alignment vertical="center"/>
    </xf>
    <xf numFmtId="0" fontId="16" fillId="0" borderId="32" xfId="3" applyFont="1" applyBorder="1" applyAlignment="1">
      <alignment vertical="center"/>
    </xf>
    <xf numFmtId="0" fontId="16" fillId="0" borderId="33" xfId="3" applyFont="1" applyBorder="1" applyAlignment="1">
      <alignment vertical="center"/>
    </xf>
    <xf numFmtId="3" fontId="92" fillId="0" borderId="34" xfId="3" applyNumberFormat="1" applyFont="1" applyBorder="1" applyAlignment="1" applyProtection="1">
      <alignment vertical="center"/>
      <protection hidden="1"/>
    </xf>
    <xf numFmtId="0" fontId="10" fillId="0" borderId="31" xfId="3" applyFont="1" applyBorder="1" applyAlignment="1">
      <alignment vertical="center"/>
    </xf>
    <xf numFmtId="3" fontId="93" fillId="0" borderId="34" xfId="3" applyNumberFormat="1" applyFont="1" applyBorder="1" applyAlignment="1" applyProtection="1">
      <alignment horizontal="right" vertical="center"/>
      <protection hidden="1"/>
    </xf>
    <xf numFmtId="0" fontId="94" fillId="0" borderId="0" xfId="3" applyFont="1"/>
    <xf numFmtId="0" fontId="21" fillId="0" borderId="31" xfId="3" applyFont="1" applyBorder="1" applyAlignment="1">
      <alignment vertical="center"/>
    </xf>
    <xf numFmtId="0" fontId="21" fillId="0" borderId="32" xfId="3" applyFont="1" applyBorder="1" applyAlignment="1">
      <alignment vertical="center"/>
    </xf>
    <xf numFmtId="0" fontId="21" fillId="0" borderId="33" xfId="3" applyFont="1" applyBorder="1" applyAlignment="1">
      <alignment vertical="center"/>
    </xf>
    <xf numFmtId="3" fontId="91" fillId="0" borderId="34" xfId="3" applyNumberFormat="1" applyFont="1" applyBorder="1" applyAlignment="1" applyProtection="1">
      <alignment vertical="center"/>
      <protection hidden="1"/>
    </xf>
    <xf numFmtId="171" fontId="93" fillId="0" borderId="34" xfId="3" applyNumberFormat="1" applyFont="1" applyBorder="1" applyAlignment="1" applyProtection="1">
      <alignment horizontal="right" vertical="center"/>
      <protection hidden="1"/>
    </xf>
    <xf numFmtId="166" fontId="92" fillId="0" borderId="34" xfId="3" applyNumberFormat="1" applyFont="1" applyBorder="1" applyAlignment="1" applyProtection="1">
      <alignment vertical="center"/>
      <protection hidden="1"/>
    </xf>
    <xf numFmtId="0" fontId="86" fillId="0" borderId="31" xfId="3" applyFont="1" applyBorder="1" applyAlignment="1">
      <alignment vertical="center"/>
    </xf>
    <xf numFmtId="0" fontId="86" fillId="0" borderId="32" xfId="3" applyFont="1" applyBorder="1" applyAlignment="1">
      <alignment vertical="center"/>
    </xf>
    <xf numFmtId="0" fontId="86" fillId="0" borderId="33" xfId="3" applyFont="1" applyBorder="1" applyAlignment="1">
      <alignment vertical="center"/>
    </xf>
    <xf numFmtId="0" fontId="86" fillId="0" borderId="0" xfId="3" applyFont="1"/>
    <xf numFmtId="0" fontId="10" fillId="0" borderId="31" xfId="3" applyFont="1" applyBorder="1" applyAlignment="1">
      <alignment horizontal="left" vertical="center"/>
    </xf>
    <xf numFmtId="171" fontId="91" fillId="0" borderId="34" xfId="3" applyNumberFormat="1" applyFont="1" applyBorder="1" applyAlignment="1" applyProtection="1">
      <alignment vertical="center"/>
      <protection hidden="1"/>
    </xf>
    <xf numFmtId="0" fontId="10" fillId="0" borderId="32" xfId="3" applyFont="1" applyBorder="1" applyAlignment="1">
      <alignment vertical="center"/>
    </xf>
    <xf numFmtId="0" fontId="10" fillId="0" borderId="33" xfId="3" applyFont="1" applyBorder="1" applyAlignment="1">
      <alignment vertical="center"/>
    </xf>
    <xf numFmtId="171" fontId="93" fillId="0" borderId="34" xfId="3" applyNumberFormat="1" applyFont="1" applyBorder="1" applyAlignment="1" applyProtection="1">
      <alignment vertical="center"/>
      <protection hidden="1"/>
    </xf>
    <xf numFmtId="171" fontId="95" fillId="0" borderId="34" xfId="3" applyNumberFormat="1" applyFont="1" applyBorder="1" applyAlignment="1" applyProtection="1">
      <alignment vertical="center"/>
      <protection hidden="1"/>
    </xf>
    <xf numFmtId="0" fontId="10" fillId="0" borderId="27" xfId="3" quotePrefix="1" applyFont="1" applyBorder="1" applyAlignment="1">
      <alignment horizontal="center" vertical="center"/>
    </xf>
    <xf numFmtId="0" fontId="10" fillId="0" borderId="0" xfId="3" applyFont="1" applyAlignment="1">
      <alignment vertical="center"/>
    </xf>
    <xf numFmtId="0" fontId="10" fillId="0" borderId="35" xfId="3" applyFont="1" applyBorder="1" applyAlignment="1">
      <alignment vertical="center"/>
    </xf>
    <xf numFmtId="171" fontId="93" fillId="0" borderId="30" xfId="3" applyNumberFormat="1" applyFont="1" applyBorder="1" applyAlignment="1" applyProtection="1">
      <alignment vertical="center"/>
      <protection hidden="1"/>
    </xf>
    <xf numFmtId="0" fontId="21" fillId="0" borderId="27" xfId="3" quotePrefix="1" applyFont="1" applyBorder="1" applyAlignment="1">
      <alignment vertical="top"/>
    </xf>
    <xf numFmtId="0" fontId="21" fillId="0" borderId="35" xfId="3" applyFont="1" applyBorder="1"/>
    <xf numFmtId="166" fontId="91" fillId="0" borderId="30" xfId="12" applyNumberFormat="1" applyFont="1" applyBorder="1" applyProtection="1">
      <protection hidden="1"/>
    </xf>
    <xf numFmtId="0" fontId="16" fillId="0" borderId="30" xfId="3" applyFont="1" applyBorder="1" applyProtection="1">
      <protection hidden="1"/>
    </xf>
    <xf numFmtId="170" fontId="91" fillId="0" borderId="30" xfId="3" applyNumberFormat="1" applyFont="1" applyBorder="1" applyProtection="1">
      <protection hidden="1"/>
    </xf>
    <xf numFmtId="0" fontId="16" fillId="0" borderId="23" xfId="3" applyFont="1" applyBorder="1"/>
    <xf numFmtId="0" fontId="16" fillId="0" borderId="24" xfId="3" applyFont="1" applyBorder="1"/>
    <xf numFmtId="0" fontId="16" fillId="0" borderId="25" xfId="3" applyFont="1" applyBorder="1"/>
    <xf numFmtId="10" fontId="16" fillId="0" borderId="36" xfId="11" applyNumberFormat="1" applyFont="1" applyBorder="1" applyProtection="1">
      <protection hidden="1"/>
    </xf>
    <xf numFmtId="0" fontId="16" fillId="0" borderId="36" xfId="3" applyFont="1" applyBorder="1" applyProtection="1">
      <protection hidden="1"/>
    </xf>
    <xf numFmtId="0" fontId="86" fillId="0" borderId="0" xfId="3" applyFont="1" applyAlignment="1">
      <alignment horizontal="center"/>
    </xf>
    <xf numFmtId="0" fontId="16" fillId="0" borderId="0" xfId="3" applyFont="1" applyAlignment="1">
      <alignment vertical="center"/>
    </xf>
    <xf numFmtId="170" fontId="16" fillId="0" borderId="0" xfId="3" applyNumberFormat="1" applyFont="1" applyAlignment="1">
      <alignment horizontal="center" vertical="center"/>
    </xf>
    <xf numFmtId="0" fontId="8" fillId="0" borderId="0" xfId="3" applyFont="1"/>
    <xf numFmtId="0" fontId="96" fillId="0" borderId="0" xfId="3" applyFont="1" applyAlignment="1">
      <alignment horizontal="centerContinuous"/>
    </xf>
    <xf numFmtId="170" fontId="79" fillId="0" borderId="0" xfId="3" applyNumberFormat="1" applyFont="1" applyAlignment="1">
      <alignment horizontal="right"/>
    </xf>
    <xf numFmtId="0" fontId="97" fillId="0" borderId="0" xfId="3" applyFont="1" applyAlignment="1">
      <alignment horizontal="center" vertical="center" wrapText="1"/>
    </xf>
    <xf numFmtId="170" fontId="89" fillId="0" borderId="37" xfId="3" applyNumberFormat="1" applyFont="1" applyBorder="1" applyAlignment="1">
      <alignment horizontal="center" vertical="center"/>
    </xf>
    <xf numFmtId="0" fontId="98" fillId="0" borderId="27" xfId="3" applyFont="1" applyBorder="1" applyAlignment="1">
      <alignment vertical="center"/>
    </xf>
    <xf numFmtId="174" fontId="8" fillId="0" borderId="30" xfId="12" applyNumberFormat="1" applyFont="1" applyBorder="1" applyAlignment="1" applyProtection="1">
      <alignment vertical="center"/>
      <protection hidden="1"/>
    </xf>
    <xf numFmtId="0" fontId="99" fillId="0" borderId="31" xfId="3" applyFont="1" applyBorder="1" applyAlignment="1">
      <alignment vertical="center"/>
    </xf>
    <xf numFmtId="0" fontId="99" fillId="0" borderId="0" xfId="3" applyFont="1"/>
    <xf numFmtId="0" fontId="8" fillId="0" borderId="31" xfId="3" quotePrefix="1" applyFont="1" applyBorder="1" applyAlignment="1">
      <alignment horizontal="left" vertical="center"/>
    </xf>
    <xf numFmtId="172" fontId="8" fillId="0" borderId="0" xfId="12" applyNumberFormat="1" applyFont="1"/>
    <xf numFmtId="0" fontId="8" fillId="0" borderId="31" xfId="3" quotePrefix="1" applyFont="1" applyBorder="1" applyAlignment="1">
      <alignment horizontal="justify" vertical="center" wrapText="1"/>
    </xf>
    <xf numFmtId="0" fontId="99" fillId="0" borderId="31" xfId="3" applyFont="1" applyBorder="1" applyAlignment="1">
      <alignment horizontal="left" vertical="center" wrapText="1"/>
    </xf>
    <xf numFmtId="0" fontId="100" fillId="0" borderId="0" xfId="3" applyFont="1"/>
    <xf numFmtId="0" fontId="16" fillId="0" borderId="31" xfId="3" quotePrefix="1" applyFont="1" applyBorder="1" applyAlignment="1">
      <alignment horizontal="left" vertical="center"/>
    </xf>
    <xf numFmtId="0" fontId="16" fillId="0" borderId="31" xfId="3" quotePrefix="1" applyFont="1" applyBorder="1" applyAlignment="1">
      <alignment horizontal="left" vertical="center" wrapText="1"/>
    </xf>
    <xf numFmtId="0" fontId="98" fillId="0" borderId="31" xfId="3" applyFont="1" applyBorder="1" applyAlignment="1">
      <alignment vertical="center"/>
    </xf>
    <xf numFmtId="0" fontId="8" fillId="0" borderId="31" xfId="3" applyFont="1" applyBorder="1" applyAlignment="1">
      <alignment horizontal="left" vertical="center" wrapText="1"/>
    </xf>
    <xf numFmtId="0" fontId="8" fillId="0" borderId="0" xfId="3" applyFont="1" applyAlignment="1">
      <alignment vertical="center"/>
    </xf>
    <xf numFmtId="0" fontId="8" fillId="0" borderId="31" xfId="3" applyFont="1" applyBorder="1" applyAlignment="1">
      <alignment horizontal="left" vertical="center"/>
    </xf>
    <xf numFmtId="0" fontId="8" fillId="0" borderId="31" xfId="3" applyFont="1" applyBorder="1" applyAlignment="1">
      <alignment horizontal="justify" vertical="center" wrapText="1"/>
    </xf>
    <xf numFmtId="0" fontId="8" fillId="0" borderId="31" xfId="3" applyFont="1" applyBorder="1" applyAlignment="1">
      <alignment vertical="center"/>
    </xf>
    <xf numFmtId="0" fontId="99" fillId="0" borderId="31" xfId="3" applyFont="1" applyBorder="1" applyAlignment="1">
      <alignment horizontal="left" vertical="center"/>
    </xf>
    <xf numFmtId="0" fontId="10" fillId="0" borderId="23" xfId="3" applyFont="1" applyBorder="1" applyAlignment="1">
      <alignment vertical="center"/>
    </xf>
    <xf numFmtId="166" fontId="94" fillId="0" borderId="0" xfId="3" applyNumberFormat="1" applyFont="1"/>
    <xf numFmtId="0" fontId="98" fillId="0" borderId="0" xfId="3" applyFont="1"/>
    <xf numFmtId="172" fontId="98" fillId="0" borderId="0" xfId="12" applyNumberFormat="1" applyFont="1" applyBorder="1" applyProtection="1">
      <protection hidden="1"/>
    </xf>
    <xf numFmtId="166" fontId="8" fillId="0" borderId="0" xfId="12" applyNumberFormat="1" applyFont="1"/>
    <xf numFmtId="0" fontId="102" fillId="0" borderId="0" xfId="13" applyFont="1" applyAlignment="1">
      <alignment horizontal="left"/>
    </xf>
    <xf numFmtId="0" fontId="1" fillId="0" borderId="0" xfId="13" applyFont="1"/>
    <xf numFmtId="175" fontId="1" fillId="0" borderId="0" xfId="14" applyNumberFormat="1" applyFont="1"/>
    <xf numFmtId="0" fontId="103" fillId="0" borderId="0" xfId="13" applyFont="1" applyAlignment="1">
      <alignment horizontal="center"/>
    </xf>
    <xf numFmtId="0" fontId="104" fillId="0" borderId="0" xfId="13" applyFont="1" applyAlignment="1">
      <alignment vertical="center"/>
    </xf>
    <xf numFmtId="0" fontId="102" fillId="0" borderId="0" xfId="13" applyFont="1" applyAlignment="1">
      <alignment horizontal="center"/>
    </xf>
    <xf numFmtId="0" fontId="102" fillId="7" borderId="0" xfId="13" applyFont="1" applyFill="1"/>
    <xf numFmtId="0" fontId="102" fillId="0" borderId="0" xfId="13" applyFont="1"/>
    <xf numFmtId="175" fontId="103" fillId="8" borderId="0" xfId="14" applyNumberFormat="1" applyFont="1" applyFill="1" applyAlignment="1">
      <alignment horizontal="centerContinuous"/>
    </xf>
    <xf numFmtId="0" fontId="1" fillId="8" borderId="0" xfId="13" applyFont="1" applyFill="1" applyAlignment="1">
      <alignment horizontal="centerContinuous"/>
    </xf>
    <xf numFmtId="175" fontId="1" fillId="0" borderId="0" xfId="14" applyNumberFormat="1" applyFont="1" applyAlignment="1">
      <alignment horizontal="centerContinuous"/>
    </xf>
    <xf numFmtId="0" fontId="103" fillId="0" borderId="38" xfId="13" applyFont="1" applyBorder="1" applyAlignment="1">
      <alignment horizontal="center" vertical="top"/>
    </xf>
    <xf numFmtId="0" fontId="80" fillId="0" borderId="38" xfId="13" applyFont="1" applyBorder="1" applyAlignment="1">
      <alignment vertical="top"/>
    </xf>
    <xf numFmtId="0" fontId="80" fillId="0" borderId="38" xfId="13" applyFont="1" applyBorder="1" applyAlignment="1">
      <alignment horizontal="center" vertical="top" wrapText="1"/>
    </xf>
    <xf numFmtId="16" fontId="1" fillId="9" borderId="38" xfId="13" applyNumberFormat="1" applyFont="1" applyFill="1" applyBorder="1" applyAlignment="1">
      <alignment horizontal="centerContinuous" vertical="center"/>
    </xf>
    <xf numFmtId="175" fontId="80" fillId="0" borderId="38" xfId="14" applyNumberFormat="1" applyFont="1" applyBorder="1" applyAlignment="1">
      <alignment horizontal="center" vertical="center"/>
    </xf>
    <xf numFmtId="0" fontId="1" fillId="0" borderId="0" xfId="13" applyFont="1" applyAlignment="1">
      <alignment vertical="top"/>
    </xf>
    <xf numFmtId="0" fontId="102" fillId="0" borderId="39" xfId="13" applyFont="1" applyBorder="1" applyAlignment="1">
      <alignment horizontal="center"/>
    </xf>
    <xf numFmtId="0" fontId="102" fillId="0" borderId="38" xfId="13" applyFont="1" applyBorder="1"/>
    <xf numFmtId="0" fontId="80" fillId="0" borderId="38" xfId="13" applyFont="1" applyBorder="1" applyAlignment="1">
      <alignment vertical="top" wrapText="1"/>
    </xf>
    <xf numFmtId="0" fontId="1" fillId="0" borderId="38" xfId="13" applyFont="1" applyBorder="1" applyAlignment="1">
      <alignment horizontal="center" vertical="top" wrapText="1"/>
    </xf>
    <xf numFmtId="175" fontId="80" fillId="0" borderId="38" xfId="14" applyNumberFormat="1" applyFont="1" applyBorder="1" applyAlignment="1">
      <alignment horizontal="center" vertical="top"/>
    </xf>
    <xf numFmtId="0" fontId="1" fillId="0" borderId="40" xfId="13" applyFont="1" applyBorder="1" applyAlignment="1">
      <alignment horizontal="center"/>
    </xf>
    <xf numFmtId="0" fontId="2" fillId="0" borderId="40" xfId="13" applyFont="1" applyBorder="1"/>
    <xf numFmtId="0" fontId="1" fillId="0" borderId="40" xfId="13" applyFont="1" applyBorder="1"/>
    <xf numFmtId="0" fontId="1" fillId="0" borderId="40" xfId="13" applyFont="1" applyBorder="1" applyAlignment="1">
      <alignment horizontal="left"/>
    </xf>
    <xf numFmtId="3" fontId="1" fillId="0" borderId="40" xfId="13" quotePrefix="1" applyNumberFormat="1" applyFont="1" applyBorder="1"/>
    <xf numFmtId="3" fontId="1" fillId="0" borderId="40" xfId="13" applyNumberFormat="1" applyFont="1" applyBorder="1"/>
    <xf numFmtId="175" fontId="1" fillId="0" borderId="40" xfId="14" applyNumberFormat="1" applyFont="1" applyBorder="1"/>
    <xf numFmtId="0" fontId="1" fillId="0" borderId="41" xfId="13" applyFont="1" applyBorder="1" applyAlignment="1">
      <alignment horizontal="center"/>
    </xf>
    <xf numFmtId="0" fontId="1" fillId="0" borderId="42" xfId="13" applyFont="1" applyBorder="1"/>
    <xf numFmtId="2" fontId="1" fillId="0" borderId="43" xfId="13" applyNumberFormat="1" applyFont="1" applyBorder="1"/>
    <xf numFmtId="3" fontId="2" fillId="0" borderId="40" xfId="13" applyNumberFormat="1" applyFont="1" applyBorder="1" applyAlignment="1">
      <alignment horizontal="left"/>
    </xf>
    <xf numFmtId="0" fontId="1" fillId="0" borderId="44" xfId="13" applyFont="1" applyBorder="1"/>
    <xf numFmtId="0" fontId="1" fillId="0" borderId="42" xfId="13" applyFont="1" applyBorder="1" applyAlignment="1">
      <alignment horizontal="left"/>
    </xf>
    <xf numFmtId="0" fontId="1" fillId="0" borderId="45" xfId="13" applyFont="1" applyBorder="1" applyAlignment="1">
      <alignment horizontal="center"/>
    </xf>
    <xf numFmtId="2" fontId="1" fillId="0" borderId="42" xfId="13" applyNumberFormat="1" applyFont="1" applyBorder="1"/>
    <xf numFmtId="3" fontId="2" fillId="0" borderId="42" xfId="13" applyNumberFormat="1" applyFont="1" applyBorder="1" applyAlignment="1">
      <alignment horizontal="left"/>
    </xf>
    <xf numFmtId="0" fontId="1" fillId="0" borderId="46" xfId="13" applyFont="1" applyBorder="1" applyAlignment="1">
      <alignment horizontal="center"/>
    </xf>
    <xf numFmtId="0" fontId="1" fillId="0" borderId="46" xfId="13" applyFont="1" applyBorder="1"/>
    <xf numFmtId="2" fontId="1" fillId="0" borderId="47" xfId="13" applyNumberFormat="1" applyFont="1" applyBorder="1"/>
    <xf numFmtId="3" fontId="2" fillId="0" borderId="44" xfId="13" quotePrefix="1" applyNumberFormat="1" applyFont="1" applyBorder="1" applyAlignment="1">
      <alignment horizontal="left"/>
    </xf>
    <xf numFmtId="3" fontId="1" fillId="0" borderId="46" xfId="13" quotePrefix="1" applyNumberFormat="1" applyFont="1" applyBorder="1"/>
    <xf numFmtId="175" fontId="1" fillId="0" borderId="46" xfId="14" applyNumberFormat="1" applyFont="1" applyBorder="1"/>
    <xf numFmtId="2" fontId="105" fillId="0" borderId="42" xfId="13" applyNumberFormat="1" applyFont="1" applyBorder="1"/>
    <xf numFmtId="3" fontId="1" fillId="0" borderId="42" xfId="13" applyNumberFormat="1" applyFont="1" applyBorder="1"/>
    <xf numFmtId="3" fontId="1" fillId="0" borderId="42" xfId="13" quotePrefix="1" applyNumberFormat="1" applyFont="1" applyBorder="1"/>
    <xf numFmtId="0" fontId="1" fillId="0" borderId="42" xfId="13" applyFont="1" applyBorder="1" applyAlignment="1">
      <alignment horizontal="center"/>
    </xf>
    <xf numFmtId="2" fontId="1" fillId="0" borderId="40" xfId="13" applyNumberFormat="1" applyFont="1" applyBorder="1"/>
    <xf numFmtId="0" fontId="1" fillId="0" borderId="44" xfId="13" applyFont="1" applyBorder="1" applyAlignment="1">
      <alignment horizontal="center"/>
    </xf>
    <xf numFmtId="2" fontId="105" fillId="0" borderId="44" xfId="13" applyNumberFormat="1" applyFont="1" applyBorder="1"/>
    <xf numFmtId="2" fontId="1" fillId="0" borderId="48" xfId="13" applyNumberFormat="1" applyFont="1" applyBorder="1"/>
    <xf numFmtId="3" fontId="1" fillId="0" borderId="44" xfId="13" quotePrefix="1" applyNumberFormat="1" applyFont="1" applyBorder="1"/>
    <xf numFmtId="175" fontId="1" fillId="0" borderId="48" xfId="14" applyNumberFormat="1" applyFont="1" applyBorder="1"/>
    <xf numFmtId="0" fontId="2" fillId="0" borderId="44" xfId="13" quotePrefix="1" applyFont="1" applyBorder="1" applyAlignment="1">
      <alignment horizontal="left"/>
    </xf>
    <xf numFmtId="175" fontId="1" fillId="0" borderId="0" xfId="13" applyNumberFormat="1" applyFont="1"/>
    <xf numFmtId="2" fontId="2" fillId="0" borderId="42" xfId="13" applyNumberFormat="1" applyFont="1" applyBorder="1"/>
    <xf numFmtId="0" fontId="1" fillId="0" borderId="48" xfId="13" applyFont="1" applyBorder="1" applyAlignment="1">
      <alignment horizontal="center"/>
    </xf>
    <xf numFmtId="2" fontId="2" fillId="0" borderId="44" xfId="13" applyNumberFormat="1" applyFont="1" applyBorder="1"/>
    <xf numFmtId="2" fontId="1" fillId="0" borderId="44" xfId="13" applyNumberFormat="1" applyFont="1" applyBorder="1"/>
    <xf numFmtId="2" fontId="2" fillId="0" borderId="40" xfId="13" applyNumberFormat="1" applyFont="1" applyBorder="1"/>
    <xf numFmtId="3" fontId="2" fillId="0" borderId="40" xfId="13" quotePrefix="1" applyNumberFormat="1" applyFont="1" applyBorder="1" applyAlignment="1">
      <alignment horizontal="left"/>
    </xf>
    <xf numFmtId="2" fontId="2" fillId="0" borderId="49" xfId="13" applyNumberFormat="1" applyFont="1" applyBorder="1"/>
    <xf numFmtId="175" fontId="1" fillId="0" borderId="42" xfId="14" applyNumberFormat="1" applyFont="1" applyBorder="1"/>
    <xf numFmtId="3" fontId="2" fillId="0" borderId="44" xfId="13" applyNumberFormat="1" applyFont="1" applyBorder="1" applyAlignment="1">
      <alignment horizontal="left"/>
    </xf>
    <xf numFmtId="2" fontId="1" fillId="0" borderId="49" xfId="13" applyNumberFormat="1" applyFont="1" applyBorder="1"/>
    <xf numFmtId="3" fontId="2" fillId="0" borderId="49" xfId="13" applyNumberFormat="1" applyFont="1" applyBorder="1" applyAlignment="1">
      <alignment horizontal="left"/>
    </xf>
    <xf numFmtId="0" fontId="2" fillId="0" borderId="48" xfId="13" applyFont="1" applyBorder="1" applyAlignment="1">
      <alignment horizontal="left"/>
    </xf>
    <xf numFmtId="0" fontId="1" fillId="0" borderId="49" xfId="13" applyFont="1" applyBorder="1" applyAlignment="1">
      <alignment horizontal="center"/>
    </xf>
    <xf numFmtId="2" fontId="2" fillId="0" borderId="0" xfId="13" applyNumberFormat="1" applyFont="1"/>
    <xf numFmtId="3" fontId="1" fillId="0" borderId="0" xfId="13" applyNumberFormat="1" applyFont="1"/>
    <xf numFmtId="2" fontId="2" fillId="0" borderId="46" xfId="13" applyNumberFormat="1" applyFont="1" applyBorder="1"/>
    <xf numFmtId="0" fontId="2" fillId="0" borderId="46" xfId="13" applyFont="1" applyBorder="1" applyAlignment="1">
      <alignment horizontal="left"/>
    </xf>
    <xf numFmtId="0" fontId="2" fillId="0" borderId="44" xfId="13" applyFont="1" applyBorder="1" applyAlignment="1">
      <alignment horizontal="left"/>
    </xf>
    <xf numFmtId="2" fontId="1" fillId="0" borderId="46" xfId="13" applyNumberFormat="1" applyFont="1" applyBorder="1"/>
    <xf numFmtId="3" fontId="1" fillId="0" borderId="44" xfId="13" applyNumberFormat="1" applyFont="1" applyBorder="1"/>
    <xf numFmtId="0" fontId="2" fillId="0" borderId="49" xfId="13" applyFont="1" applyBorder="1" applyAlignment="1">
      <alignment horizontal="left"/>
    </xf>
    <xf numFmtId="0" fontId="1" fillId="0" borderId="47" xfId="13" applyFont="1" applyBorder="1" applyAlignment="1">
      <alignment horizontal="center"/>
    </xf>
    <xf numFmtId="0" fontId="1" fillId="0" borderId="47" xfId="13" applyFont="1" applyBorder="1"/>
    <xf numFmtId="0" fontId="102" fillId="0" borderId="38" xfId="13" applyFont="1" applyBorder="1" applyAlignment="1">
      <alignment horizontal="center"/>
    </xf>
    <xf numFmtId="0" fontId="1" fillId="0" borderId="38" xfId="13" applyFont="1" applyBorder="1"/>
    <xf numFmtId="176" fontId="1" fillId="0" borderId="42" xfId="14" applyNumberFormat="1" applyFont="1" applyBorder="1"/>
    <xf numFmtId="0" fontId="1" fillId="0" borderId="46" xfId="13" applyFont="1" applyBorder="1" applyAlignment="1">
      <alignment horizontal="left"/>
    </xf>
    <xf numFmtId="176" fontId="1" fillId="0" borderId="46" xfId="14" applyNumberFormat="1" applyFont="1" applyBorder="1"/>
    <xf numFmtId="0" fontId="2" fillId="0" borderId="40" xfId="13" applyFont="1" applyBorder="1" applyAlignment="1">
      <alignment horizontal="left"/>
    </xf>
    <xf numFmtId="0" fontId="2" fillId="0" borderId="42" xfId="13" applyFont="1" applyBorder="1" applyAlignment="1">
      <alignment horizontal="left"/>
    </xf>
    <xf numFmtId="3" fontId="1" fillId="0" borderId="48" xfId="13" applyNumberFormat="1" applyFont="1" applyBorder="1"/>
    <xf numFmtId="3" fontId="1" fillId="0" borderId="46" xfId="13" applyNumberFormat="1" applyFont="1" applyBorder="1"/>
    <xf numFmtId="175" fontId="1" fillId="0" borderId="44" xfId="14" applyNumberFormat="1" applyFont="1" applyBorder="1"/>
    <xf numFmtId="0" fontId="80" fillId="0" borderId="38" xfId="13" applyFont="1" applyBorder="1" applyAlignment="1">
      <alignment horizontal="center"/>
    </xf>
    <xf numFmtId="0" fontId="80" fillId="0" borderId="38" xfId="13" applyFont="1" applyBorder="1"/>
    <xf numFmtId="0" fontId="103" fillId="0" borderId="42" xfId="13" applyFont="1" applyBorder="1" applyAlignment="1">
      <alignment horizontal="center"/>
    </xf>
    <xf numFmtId="0" fontId="1" fillId="0" borderId="42" xfId="13" applyFont="1" applyBorder="1" applyAlignment="1">
      <alignment horizontal="left" vertical="center"/>
    </xf>
    <xf numFmtId="0" fontId="1" fillId="0" borderId="0" xfId="13" applyFont="1" applyAlignment="1">
      <alignment horizontal="left"/>
    </xf>
    <xf numFmtId="0" fontId="1" fillId="0" borderId="40" xfId="13" applyFont="1" applyBorder="1" applyAlignment="1">
      <alignment horizontal="left" vertical="center"/>
    </xf>
    <xf numFmtId="0" fontId="1" fillId="0" borderId="40" xfId="13" applyFont="1" applyBorder="1" applyAlignment="1">
      <alignment vertical="center"/>
    </xf>
    <xf numFmtId="0" fontId="1" fillId="0" borderId="42" xfId="13" applyFont="1" applyBorder="1" applyAlignment="1">
      <alignment vertical="center"/>
    </xf>
    <xf numFmtId="0" fontId="103" fillId="0" borderId="46" xfId="13" applyFont="1" applyBorder="1" applyAlignment="1">
      <alignment horizontal="center"/>
    </xf>
    <xf numFmtId="0" fontId="1" fillId="0" borderId="46" xfId="13" applyFont="1" applyBorder="1" applyAlignment="1">
      <alignment vertical="center"/>
    </xf>
    <xf numFmtId="0" fontId="1" fillId="0" borderId="46" xfId="13" applyFont="1" applyBorder="1" applyAlignment="1">
      <alignment horizontal="left" vertical="center"/>
    </xf>
    <xf numFmtId="0" fontId="103" fillId="0" borderId="48" xfId="13" applyFont="1" applyBorder="1" applyAlignment="1">
      <alignment horizontal="center"/>
    </xf>
    <xf numFmtId="0" fontId="1" fillId="0" borderId="48" xfId="13" applyFont="1" applyBorder="1"/>
    <xf numFmtId="175" fontId="1" fillId="0" borderId="40" xfId="14" applyNumberFormat="1" applyFont="1" applyFill="1" applyBorder="1"/>
    <xf numFmtId="0" fontId="103" fillId="0" borderId="44" xfId="13" applyFont="1" applyBorder="1" applyAlignment="1">
      <alignment horizontal="center"/>
    </xf>
    <xf numFmtId="0" fontId="2" fillId="0" borderId="48" xfId="13" applyFont="1" applyBorder="1"/>
    <xf numFmtId="0" fontId="1" fillId="0" borderId="44" xfId="13" applyFont="1" applyBorder="1" applyAlignment="1">
      <alignment horizontal="left" vertical="center"/>
    </xf>
    <xf numFmtId="0" fontId="103" fillId="0" borderId="5" xfId="13" applyFont="1" applyBorder="1" applyAlignment="1">
      <alignment horizontal="center"/>
    </xf>
    <xf numFmtId="0" fontId="1" fillId="0" borderId="47" xfId="13" applyFont="1" applyBorder="1" applyAlignment="1">
      <alignment vertical="center"/>
    </xf>
    <xf numFmtId="0" fontId="1" fillId="0" borderId="0" xfId="13" applyFont="1" applyAlignment="1">
      <alignment vertical="center"/>
    </xf>
    <xf numFmtId="0" fontId="1" fillId="0" borderId="0" xfId="13" applyFont="1" applyAlignment="1">
      <alignment horizontal="left" vertical="center"/>
    </xf>
    <xf numFmtId="16" fontId="1" fillId="9" borderId="38" xfId="13" applyNumberFormat="1" applyFont="1" applyFill="1" applyBorder="1" applyAlignment="1">
      <alignment horizontal="centerContinuous"/>
    </xf>
    <xf numFmtId="0" fontId="2" fillId="0" borderId="47" xfId="13" applyFont="1" applyBorder="1" applyAlignment="1">
      <alignment horizontal="center"/>
    </xf>
    <xf numFmtId="0" fontId="2" fillId="0" borderId="47" xfId="13" applyFont="1" applyBorder="1"/>
    <xf numFmtId="0" fontId="1" fillId="0" borderId="47" xfId="13" applyFont="1" applyBorder="1" applyAlignment="1">
      <alignment horizontal="left"/>
    </xf>
    <xf numFmtId="3" fontId="1" fillId="0" borderId="50" xfId="13" applyNumberFormat="1" applyFont="1" applyBorder="1"/>
    <xf numFmtId="3" fontId="1" fillId="0" borderId="47" xfId="13" applyNumberFormat="1" applyFont="1" applyBorder="1"/>
    <xf numFmtId="0" fontId="2" fillId="0" borderId="46" xfId="13" applyFont="1" applyBorder="1" applyAlignment="1">
      <alignment horizontal="center"/>
    </xf>
    <xf numFmtId="0" fontId="2" fillId="0" borderId="46" xfId="13" applyFont="1" applyBorder="1"/>
    <xf numFmtId="3" fontId="1" fillId="0" borderId="51" xfId="13" applyNumberFormat="1" applyFont="1" applyBorder="1"/>
    <xf numFmtId="0" fontId="1" fillId="0" borderId="44" xfId="13" applyFont="1" applyBorder="1" applyAlignment="1">
      <alignment horizontal="left"/>
    </xf>
    <xf numFmtId="0" fontId="2" fillId="0" borderId="42" xfId="13" applyFont="1" applyBorder="1" applyAlignment="1">
      <alignment horizontal="center"/>
    </xf>
    <xf numFmtId="0" fontId="2" fillId="0" borderId="42" xfId="13" applyFont="1" applyBorder="1"/>
    <xf numFmtId="0" fontId="1" fillId="0" borderId="43" xfId="13" applyFont="1" applyBorder="1"/>
    <xf numFmtId="0" fontId="1" fillId="0" borderId="52" xfId="13" applyFont="1" applyBorder="1"/>
    <xf numFmtId="0" fontId="103" fillId="0" borderId="42" xfId="13" applyFont="1" applyBorder="1"/>
    <xf numFmtId="0" fontId="103" fillId="0" borderId="42" xfId="13" applyFont="1" applyBorder="1" applyAlignment="1">
      <alignment horizontal="left"/>
    </xf>
    <xf numFmtId="0" fontId="106" fillId="0" borderId="42" xfId="13" applyFont="1" applyBorder="1"/>
    <xf numFmtId="0" fontId="103" fillId="0" borderId="53" xfId="13" applyFont="1" applyBorder="1" applyAlignment="1">
      <alignment horizontal="center"/>
    </xf>
    <xf numFmtId="171" fontId="107" fillId="0" borderId="34" xfId="12" applyNumberFormat="1" applyFont="1" applyBorder="1" applyAlignment="1" applyProtection="1">
      <alignment vertical="center"/>
      <protection hidden="1"/>
    </xf>
    <xf numFmtId="171" fontId="9" fillId="0" borderId="34" xfId="12" applyNumberFormat="1" applyFont="1" applyBorder="1" applyAlignment="1" applyProtection="1">
      <alignment vertical="center"/>
      <protection hidden="1"/>
    </xf>
    <xf numFmtId="171" fontId="107" fillId="0" borderId="34" xfId="12" applyNumberFormat="1" applyFont="1" applyBorder="1" applyAlignment="1" applyProtection="1">
      <alignment horizontal="right" vertical="center"/>
      <protection hidden="1"/>
    </xf>
    <xf numFmtId="171" fontId="44" fillId="0" borderId="34" xfId="12" applyNumberFormat="1" applyFont="1" applyBorder="1" applyAlignment="1" applyProtection="1">
      <alignment vertical="center"/>
      <protection hidden="1"/>
    </xf>
    <xf numFmtId="171" fontId="93" fillId="0" borderId="34" xfId="12" applyNumberFormat="1" applyFont="1" applyBorder="1" applyAlignment="1" applyProtection="1">
      <alignment vertical="center"/>
      <protection hidden="1"/>
    </xf>
    <xf numFmtId="171" fontId="107" fillId="0" borderId="34" xfId="12" applyNumberFormat="1" applyFont="1" applyFill="1" applyBorder="1" applyAlignment="1" applyProtection="1">
      <alignment vertical="center"/>
      <protection hidden="1"/>
    </xf>
    <xf numFmtId="171" fontId="93" fillId="0" borderId="36" xfId="12" applyNumberFormat="1" applyFont="1" applyBorder="1" applyAlignment="1" applyProtection="1">
      <alignment vertical="center"/>
      <protection hidden="1"/>
    </xf>
    <xf numFmtId="2" fontId="105" fillId="0" borderId="40" xfId="13" applyNumberFormat="1" applyFont="1" applyBorder="1"/>
    <xf numFmtId="2" fontId="105" fillId="0" borderId="48" xfId="13" applyNumberFormat="1" applyFont="1" applyBorder="1"/>
    <xf numFmtId="2" fontId="2" fillId="0" borderId="48" xfId="13" applyNumberFormat="1" applyFont="1" applyBorder="1"/>
    <xf numFmtId="2" fontId="2" fillId="0" borderId="47" xfId="13" applyNumberFormat="1" applyFont="1" applyBorder="1"/>
    <xf numFmtId="0" fontId="102" fillId="0" borderId="48" xfId="13" applyFont="1" applyBorder="1"/>
    <xf numFmtId="0" fontId="2" fillId="0" borderId="44" xfId="13" applyFont="1" applyBorder="1"/>
    <xf numFmtId="0" fontId="2" fillId="0" borderId="0" xfId="13" applyFont="1" applyAlignment="1">
      <alignment horizontal="left"/>
    </xf>
    <xf numFmtId="0" fontId="2" fillId="0" borderId="43" xfId="13" applyFont="1" applyBorder="1" applyAlignment="1">
      <alignment horizontal="left"/>
    </xf>
    <xf numFmtId="0" fontId="2" fillId="0" borderId="54" xfId="13" applyFont="1" applyBorder="1"/>
    <xf numFmtId="166" fontId="10" fillId="0" borderId="4" xfId="4" applyNumberFormat="1" applyFont="1" applyBorder="1" applyAlignment="1" applyProtection="1">
      <alignment vertical="top" wrapText="1"/>
      <protection locked="0"/>
    </xf>
    <xf numFmtId="166" fontId="13" fillId="0" borderId="4" xfId="4" applyNumberFormat="1" applyFont="1" applyBorder="1" applyAlignment="1" applyProtection="1">
      <alignment vertical="top" wrapText="1"/>
      <protection locked="0"/>
    </xf>
    <xf numFmtId="177" fontId="9" fillId="0" borderId="0" xfId="2" applyNumberFormat="1" applyFont="1" applyProtection="1">
      <protection locked="0"/>
    </xf>
    <xf numFmtId="3" fontId="9" fillId="0" borderId="6" xfId="2" applyNumberFormat="1" applyFont="1" applyBorder="1" applyProtection="1">
      <protection locked="0"/>
    </xf>
    <xf numFmtId="11" fontId="0" fillId="0" borderId="0" xfId="0" applyNumberFormat="1"/>
    <xf numFmtId="3" fontId="11" fillId="3" borderId="4" xfId="0" applyNumberFormat="1" applyFont="1" applyFill="1" applyBorder="1" applyAlignment="1" applyProtection="1">
      <alignment vertical="center" wrapText="1"/>
      <protection locked="0"/>
    </xf>
    <xf numFmtId="3" fontId="15" fillId="0" borderId="4" xfId="2" applyNumberFormat="1" applyFont="1" applyBorder="1" applyAlignment="1" applyProtection="1">
      <alignment vertical="top" wrapText="1"/>
      <protection locked="0"/>
    </xf>
    <xf numFmtId="3" fontId="15" fillId="0" borderId="4" xfId="0" applyNumberFormat="1" applyFont="1" applyBorder="1" applyAlignment="1" applyProtection="1">
      <alignment vertical="top" wrapText="1"/>
      <protection locked="0"/>
    </xf>
    <xf numFmtId="3" fontId="11" fillId="3" borderId="4" xfId="2" applyNumberFormat="1" applyFont="1" applyFill="1" applyBorder="1" applyAlignment="1" applyProtection="1">
      <alignment vertical="center" wrapText="1"/>
      <protection locked="0"/>
    </xf>
    <xf numFmtId="0" fontId="24" fillId="3" borderId="4" xfId="2" applyFont="1" applyFill="1" applyBorder="1" applyAlignment="1">
      <alignment horizontal="center" vertical="center" wrapText="1"/>
    </xf>
    <xf numFmtId="167" fontId="108" fillId="0" borderId="4" xfId="4" applyNumberFormat="1" applyFont="1" applyFill="1" applyBorder="1" applyAlignment="1" applyProtection="1">
      <alignment horizontal="right" vertical="top" wrapText="1"/>
      <protection locked="0"/>
    </xf>
    <xf numFmtId="3" fontId="15" fillId="0" borderId="2" xfId="2" applyNumberFormat="1" applyFont="1" applyBorder="1" applyAlignment="1" applyProtection="1">
      <alignment vertical="top" wrapText="1"/>
      <protection locked="0"/>
    </xf>
    <xf numFmtId="166" fontId="8" fillId="0" borderId="2" xfId="0" quotePrefix="1" applyNumberFormat="1" applyFont="1" applyBorder="1" applyAlignment="1" applyProtection="1">
      <alignment horizontal="right"/>
      <protection locked="0"/>
    </xf>
    <xf numFmtId="3" fontId="8" fillId="0" borderId="2" xfId="0" quotePrefix="1" applyNumberFormat="1" applyFont="1" applyBorder="1" applyAlignment="1" applyProtection="1">
      <alignment vertical="center"/>
      <protection locked="0"/>
    </xf>
    <xf numFmtId="3" fontId="8" fillId="0" borderId="2" xfId="0" quotePrefix="1" applyNumberFormat="1" applyFont="1" applyBorder="1" applyProtection="1">
      <protection locked="0"/>
    </xf>
    <xf numFmtId="166" fontId="8" fillId="0" borderId="2" xfId="0" quotePrefix="1" applyNumberFormat="1" applyFont="1" applyBorder="1" applyAlignment="1" applyProtection="1">
      <alignment horizontal="right" vertical="center"/>
      <protection locked="0"/>
    </xf>
    <xf numFmtId="3" fontId="8" fillId="0" borderId="4" xfId="0" quotePrefix="1" applyNumberFormat="1" applyFont="1" applyBorder="1" applyAlignment="1" applyProtection="1">
      <alignment horizontal="right"/>
      <protection locked="0"/>
    </xf>
    <xf numFmtId="3" fontId="8" fillId="0" borderId="4" xfId="0" quotePrefix="1" applyNumberFormat="1" applyFont="1" applyBorder="1" applyProtection="1">
      <protection locked="0"/>
    </xf>
    <xf numFmtId="166" fontId="8" fillId="0" borderId="4" xfId="0" quotePrefix="1" applyNumberFormat="1" applyFont="1" applyBorder="1" applyAlignment="1" applyProtection="1">
      <alignment horizontal="right"/>
      <protection locked="0"/>
    </xf>
    <xf numFmtId="166" fontId="35" fillId="0" borderId="2" xfId="4" applyNumberFormat="1" applyFont="1" applyFill="1" applyBorder="1" applyAlignment="1" applyProtection="1">
      <alignment vertical="top" wrapText="1"/>
      <protection locked="0"/>
    </xf>
    <xf numFmtId="3" fontId="1" fillId="0" borderId="38" xfId="14" applyNumberFormat="1" applyFont="1" applyBorder="1"/>
    <xf numFmtId="3" fontId="1" fillId="0" borderId="38" xfId="13" applyNumberFormat="1" applyFont="1" applyBorder="1"/>
    <xf numFmtId="3" fontId="1" fillId="0" borderId="46" xfId="14" applyNumberFormat="1" applyFont="1" applyBorder="1"/>
    <xf numFmtId="3" fontId="1" fillId="0" borderId="42" xfId="14" applyNumberFormat="1" applyFont="1" applyBorder="1"/>
    <xf numFmtId="3" fontId="1" fillId="0" borderId="46" xfId="14" applyNumberFormat="1" applyFont="1" applyFill="1" applyBorder="1"/>
    <xf numFmtId="3" fontId="1" fillId="0" borderId="42" xfId="14" applyNumberFormat="1" applyFont="1" applyFill="1" applyBorder="1"/>
    <xf numFmtId="3" fontId="1" fillId="0" borderId="44" xfId="14" applyNumberFormat="1" applyFont="1" applyBorder="1"/>
    <xf numFmtId="3" fontId="1" fillId="0" borderId="40" xfId="14" applyNumberFormat="1" applyFont="1" applyBorder="1"/>
    <xf numFmtId="0" fontId="53" fillId="5" borderId="0" xfId="3" quotePrefix="1" applyFont="1" applyFill="1" applyAlignment="1">
      <alignment horizontal="left"/>
    </xf>
    <xf numFmtId="3" fontId="108" fillId="0" borderId="4" xfId="0" applyNumberFormat="1" applyFont="1" applyBorder="1" applyAlignment="1" applyProtection="1">
      <alignment vertical="top" wrapText="1"/>
      <protection locked="0"/>
    </xf>
    <xf numFmtId="166" fontId="21" fillId="0" borderId="4" xfId="0" applyNumberFormat="1" applyFont="1" applyBorder="1" applyProtection="1">
      <protection locked="0"/>
    </xf>
    <xf numFmtId="169" fontId="9" fillId="0" borderId="0" xfId="1" applyNumberFormat="1" applyFont="1" applyProtection="1">
      <protection locked="0"/>
    </xf>
    <xf numFmtId="169" fontId="9" fillId="0" borderId="0" xfId="2" applyNumberFormat="1" applyFont="1" applyProtection="1">
      <protection locked="0"/>
    </xf>
    <xf numFmtId="0" fontId="1" fillId="0" borderId="55" xfId="13" applyFont="1" applyBorder="1" applyAlignment="1">
      <alignment horizontal="center"/>
    </xf>
    <xf numFmtId="2" fontId="2" fillId="0" borderId="55" xfId="13" applyNumberFormat="1" applyFont="1" applyBorder="1"/>
    <xf numFmtId="2" fontId="1" fillId="0" borderId="55" xfId="13" applyNumberFormat="1" applyFont="1" applyBorder="1"/>
    <xf numFmtId="3" fontId="2" fillId="0" borderId="55" xfId="13" applyNumberFormat="1" applyFont="1" applyBorder="1" applyAlignment="1">
      <alignment horizontal="left"/>
    </xf>
    <xf numFmtId="3" fontId="1" fillId="0" borderId="55" xfId="13" quotePrefix="1" applyNumberFormat="1" applyFont="1" applyBorder="1"/>
    <xf numFmtId="175" fontId="1" fillId="0" borderId="55" xfId="14" applyNumberFormat="1" applyFont="1" applyBorder="1"/>
    <xf numFmtId="3" fontId="1" fillId="0" borderId="55" xfId="13" applyNumberFormat="1" applyFont="1" applyBorder="1"/>
    <xf numFmtId="3" fontId="2" fillId="0" borderId="55" xfId="13" quotePrefix="1" applyNumberFormat="1" applyFont="1" applyBorder="1" applyAlignment="1">
      <alignment horizontal="left"/>
    </xf>
    <xf numFmtId="0" fontId="2" fillId="0" borderId="55" xfId="13" applyFont="1" applyBorder="1" applyAlignment="1">
      <alignment horizontal="left"/>
    </xf>
    <xf numFmtId="0" fontId="1" fillId="0" borderId="55" xfId="13" applyFont="1" applyBorder="1"/>
    <xf numFmtId="0" fontId="1" fillId="0" borderId="55" xfId="13" applyFont="1" applyBorder="1" applyAlignment="1">
      <alignment horizontal="left"/>
    </xf>
    <xf numFmtId="0" fontId="2" fillId="0" borderId="55" xfId="13" applyFont="1" applyBorder="1"/>
    <xf numFmtId="0" fontId="2" fillId="0" borderId="56" xfId="13" applyFont="1" applyBorder="1"/>
    <xf numFmtId="2" fontId="1" fillId="0" borderId="56" xfId="13" applyNumberFormat="1" applyFont="1" applyBorder="1"/>
    <xf numFmtId="3" fontId="1" fillId="0" borderId="55" xfId="14" applyNumberFormat="1" applyFont="1" applyBorder="1"/>
    <xf numFmtId="0" fontId="103" fillId="0" borderId="55" xfId="13" applyFont="1" applyBorder="1" applyAlignment="1">
      <alignment horizontal="center"/>
    </xf>
    <xf numFmtId="0" fontId="1" fillId="0" borderId="55" xfId="13" applyFont="1" applyBorder="1" applyAlignment="1">
      <alignment horizontal="left" vertical="center"/>
    </xf>
    <xf numFmtId="0" fontId="102" fillId="0" borderId="55" xfId="13" applyFont="1" applyBorder="1" applyAlignment="1">
      <alignment horizontal="center"/>
    </xf>
    <xf numFmtId="0" fontId="102" fillId="0" borderId="55" xfId="13" applyFont="1" applyBorder="1"/>
    <xf numFmtId="0" fontId="103" fillId="0" borderId="55" xfId="13" applyFont="1" applyBorder="1"/>
    <xf numFmtId="0" fontId="2" fillId="0" borderId="55" xfId="13" applyFont="1" applyBorder="1" applyAlignment="1">
      <alignment horizontal="center"/>
    </xf>
    <xf numFmtId="3" fontId="1" fillId="0" borderId="56" xfId="13" applyNumberFormat="1" applyFont="1" applyBorder="1"/>
    <xf numFmtId="0" fontId="1" fillId="0" borderId="57" xfId="13" applyFont="1" applyBorder="1"/>
    <xf numFmtId="0" fontId="103" fillId="0" borderId="58" xfId="13" applyFont="1" applyBorder="1" applyAlignment="1">
      <alignment horizontal="center"/>
    </xf>
    <xf numFmtId="166" fontId="10" fillId="6" borderId="4" xfId="5" applyNumberFormat="1" applyFont="1" applyFill="1" applyBorder="1" applyProtection="1">
      <protection locked="0"/>
    </xf>
    <xf numFmtId="0" fontId="57" fillId="0" borderId="0" xfId="3" applyFont="1" applyAlignment="1">
      <alignment horizontal="center"/>
    </xf>
    <xf numFmtId="0" fontId="58" fillId="0" borderId="0" xfId="3" applyFont="1" applyAlignment="1">
      <alignment horizontal="center"/>
    </xf>
    <xf numFmtId="0" fontId="20" fillId="0" borderId="0" xfId="3" applyFont="1" applyAlignment="1">
      <alignment horizontal="center"/>
    </xf>
    <xf numFmtId="0" fontId="59" fillId="0" borderId="0" xfId="3" applyFont="1" applyAlignment="1">
      <alignment horizontal="center"/>
    </xf>
    <xf numFmtId="0" fontId="62" fillId="0" borderId="0" xfId="3" applyFont="1" applyAlignment="1">
      <alignment horizontal="center"/>
    </xf>
    <xf numFmtId="0" fontId="66" fillId="0" borderId="0" xfId="3" applyFont="1" applyAlignment="1">
      <alignment horizontal="center"/>
    </xf>
    <xf numFmtId="0" fontId="77" fillId="0" borderId="0" xfId="9" applyFont="1" applyAlignment="1">
      <alignment horizontal="center"/>
    </xf>
    <xf numFmtId="0" fontId="78" fillId="0" borderId="0" xfId="9" applyFont="1" applyAlignment="1">
      <alignment horizontal="center"/>
    </xf>
    <xf numFmtId="0" fontId="16" fillId="0" borderId="0" xfId="3" applyFont="1" applyAlignment="1">
      <alignment horizontal="center"/>
    </xf>
    <xf numFmtId="0" fontId="21" fillId="0" borderId="0" xfId="3" applyFont="1" applyAlignment="1">
      <alignment horizontal="center"/>
    </xf>
    <xf numFmtId="0" fontId="21" fillId="0" borderId="0" xfId="3" applyFont="1" applyAlignment="1">
      <alignment horizontal="center" vertical="center"/>
    </xf>
    <xf numFmtId="0" fontId="16" fillId="0" borderId="0" xfId="3" applyFont="1" applyAlignment="1">
      <alignment horizontal="center" vertical="center"/>
    </xf>
    <xf numFmtId="166" fontId="16" fillId="0" borderId="0" xfId="12" applyNumberFormat="1" applyFont="1" applyAlignment="1">
      <alignment horizontal="center"/>
    </xf>
    <xf numFmtId="0" fontId="90" fillId="0" borderId="0" xfId="3" applyFont="1" applyAlignment="1">
      <alignment horizontal="center"/>
    </xf>
    <xf numFmtId="0" fontId="78" fillId="0" borderId="0" xfId="3" applyFont="1" applyAlignment="1">
      <alignment horizontal="center"/>
    </xf>
    <xf numFmtId="0" fontId="89" fillId="0" borderId="18" xfId="3" applyFont="1" applyBorder="1" applyAlignment="1">
      <alignment horizontal="center" vertical="center" wrapText="1"/>
    </xf>
    <xf numFmtId="0" fontId="89" fillId="0" borderId="19" xfId="3" applyFont="1" applyBorder="1" applyAlignment="1">
      <alignment horizontal="center" vertical="center" wrapText="1"/>
    </xf>
    <xf numFmtId="0" fontId="89" fillId="0" borderId="20" xfId="3" applyFont="1" applyBorder="1" applyAlignment="1">
      <alignment horizontal="center" vertical="center" wrapText="1"/>
    </xf>
    <xf numFmtId="0" fontId="89" fillId="0" borderId="23" xfId="3" applyFont="1" applyBorder="1" applyAlignment="1">
      <alignment horizontal="center" vertical="center" wrapText="1"/>
    </xf>
    <xf numFmtId="0" fontId="89" fillId="0" borderId="24" xfId="3" applyFont="1" applyBorder="1" applyAlignment="1">
      <alignment horizontal="center" vertical="center" wrapText="1"/>
    </xf>
    <xf numFmtId="0" fontId="89" fillId="0" borderId="25" xfId="3" applyFont="1" applyBorder="1" applyAlignment="1">
      <alignment horizontal="center" vertical="center" wrapText="1"/>
    </xf>
    <xf numFmtId="1" fontId="89" fillId="0" borderId="21" xfId="3" applyNumberFormat="1" applyFont="1" applyBorder="1" applyAlignment="1">
      <alignment horizontal="center" vertical="center"/>
    </xf>
    <xf numFmtId="1" fontId="89" fillId="0" borderId="22" xfId="3" applyNumberFormat="1" applyFont="1" applyBorder="1" applyAlignment="1">
      <alignment horizontal="center" vertical="center"/>
    </xf>
    <xf numFmtId="170" fontId="89" fillId="0" borderId="21" xfId="3" applyNumberFormat="1" applyFont="1" applyBorder="1" applyAlignment="1">
      <alignment horizontal="center" vertical="center"/>
    </xf>
    <xf numFmtId="170" fontId="89" fillId="0" borderId="22" xfId="3" applyNumberFormat="1" applyFont="1" applyBorder="1" applyAlignment="1">
      <alignment horizontal="center" vertical="center"/>
    </xf>
    <xf numFmtId="0" fontId="21" fillId="0" borderId="28" xfId="3" applyFont="1" applyBorder="1" applyAlignment="1">
      <alignment horizontal="left" vertical="center" wrapText="1"/>
    </xf>
    <xf numFmtId="0" fontId="21" fillId="0" borderId="29" xfId="3" applyFont="1" applyBorder="1" applyAlignment="1">
      <alignment horizontal="left" vertical="center" wrapText="1"/>
    </xf>
    <xf numFmtId="0" fontId="10" fillId="0" borderId="32" xfId="3" applyFont="1" applyBorder="1" applyAlignment="1">
      <alignment horizontal="left" vertical="center" wrapText="1"/>
    </xf>
    <xf numFmtId="0" fontId="10" fillId="0" borderId="33" xfId="3" applyFont="1" applyBorder="1" applyAlignment="1">
      <alignment horizontal="left" vertical="center" wrapText="1"/>
    </xf>
    <xf numFmtId="0" fontId="86" fillId="0" borderId="0" xfId="3" applyFont="1" applyAlignment="1">
      <alignment horizontal="right"/>
    </xf>
    <xf numFmtId="0" fontId="86" fillId="0" borderId="0" xfId="3" applyFont="1" applyAlignment="1">
      <alignment horizontal="center"/>
    </xf>
    <xf numFmtId="170" fontId="21" fillId="0" borderId="0" xfId="3" applyNumberFormat="1" applyFont="1" applyAlignment="1">
      <alignment horizontal="center"/>
    </xf>
    <xf numFmtId="0" fontId="79" fillId="0" borderId="0" xfId="3" applyFont="1" applyAlignment="1">
      <alignment horizontal="center"/>
    </xf>
    <xf numFmtId="0" fontId="89" fillId="0" borderId="0" xfId="3" applyFont="1" applyAlignment="1">
      <alignment horizontal="center"/>
    </xf>
    <xf numFmtId="0" fontId="89" fillId="0" borderId="26" xfId="3" applyFont="1" applyBorder="1" applyAlignment="1">
      <alignment horizontal="center" vertical="center" wrapText="1"/>
    </xf>
    <xf numFmtId="0" fontId="89" fillId="0" borderId="36" xfId="3" applyFont="1" applyBorder="1" applyAlignment="1">
      <alignment horizontal="center" vertical="center" wrapText="1"/>
    </xf>
  </cellXfs>
  <cellStyles count="15">
    <cellStyle name="Comma [0]" xfId="8" builtinId="6"/>
    <cellStyle name="Comma 3" xfId="6" xr:uid="{C3A77205-A5C9-4872-9270-0CEEC9B5FF61}"/>
    <cellStyle name="Comma 3 2" xfId="14" xr:uid="{4D1411EE-899A-41DC-BCF2-6B364F24FAE7}"/>
    <cellStyle name="Comma 4" xfId="12" xr:uid="{01566CEA-CF34-4801-A2A2-B33D1C67A726}"/>
    <cellStyle name="Comma 5" xfId="5" xr:uid="{05314FF5-117D-4452-AED1-4A0E98BEC189}"/>
    <cellStyle name="Comma 5 2" xfId="4" xr:uid="{2003BB21-2719-4E07-8378-CB3E4D8C7D7C}"/>
    <cellStyle name="Normal" xfId="0" builtinId="0"/>
    <cellStyle name="Normal 2" xfId="2" xr:uid="{854F5DE4-0E03-4F79-8144-8231436D6A61}"/>
    <cellStyle name="Normal 3" xfId="3" xr:uid="{B9B5ACD5-DD3E-4781-A29F-CA74B1256D01}"/>
    <cellStyle name="Normal 4" xfId="13" xr:uid="{51F67859-071D-4307-B994-7A156C6B9057}"/>
    <cellStyle name="Normal_2010_09_BCTC_CTCP" xfId="9" xr:uid="{971D42FF-7A4C-44AB-8A51-2E2471F6221F}"/>
    <cellStyle name="Normal_2010_09_BCTC_CTCP 2" xfId="10" xr:uid="{00B46889-E360-4279-859F-8F6D44CCE9A6}"/>
    <cellStyle name="Percent" xfId="1" builtinId="5"/>
    <cellStyle name="Percent 2" xfId="11" xr:uid="{3A5711EE-0444-4658-BA69-8B17A89D2333}"/>
    <cellStyle name="Percent 2 2" xfId="7" xr:uid="{2C6BB808-8E87-4AC9-B443-5F2DF198AD9F}"/>
  </cellStyles>
  <dxfs count="394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14" formatCode="0.00%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14" formatCode="0.00%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14" formatCode="0.00%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14" formatCode="0.00%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14" formatCode="0.00%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14" formatCode="0.00%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14" formatCode="0.00%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14" formatCode="0.00%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14" formatCode="0.00%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14" formatCode="0.00%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14" formatCode="0.00%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sz val="10"/>
        <color auto="1"/>
        <name val="Times New Roman"/>
        <family val="1"/>
        <scheme val="none"/>
      </font>
      <alignment horizontal="center" vertical="bottom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alignment horizontal="left" vertical="bottom" textRotation="0" wrapText="0" indent="1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alignment horizontal="center" vertical="bottom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FF"/>
        <name val="Times New Roman"/>
        <family val="1"/>
        <scheme val="none"/>
      </font>
      <fill>
        <patternFill patternType="solid">
          <fgColor indexed="64"/>
          <bgColor rgb="FFFFFF99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B0F0"/>
        </left>
        <right style="thin">
          <color rgb="FF00B0F0"/>
        </right>
        <top/>
        <bottom/>
      </border>
      <protection locked="1" hidden="0"/>
    </dxf>
    <dxf>
      <font>
        <sz val="10"/>
        <color auto="1"/>
        <name val="Times New Roman"/>
        <family val="1"/>
        <scheme val="none"/>
      </font>
      <fill>
        <patternFill patternType="none">
          <fgColor indexed="64"/>
          <bgColor indexed="65"/>
        </patternFill>
      </fill>
      <protection locked="0" hidden="0"/>
    </dxf>
    <dxf>
      <font>
        <sz val="10"/>
        <color auto="1"/>
        <name val="Times New Roman"/>
        <family val="1"/>
        <scheme val="none"/>
      </font>
      <fill>
        <patternFill patternType="none">
          <fgColor indexed="64"/>
          <bgColor indexed="65"/>
        </patternFill>
      </fill>
      <protection locked="0" hidden="0"/>
    </dxf>
    <dxf>
      <font>
        <sz val="10"/>
        <color auto="1"/>
        <name val="Times New Roman"/>
        <family val="1"/>
        <scheme val="none"/>
      </font>
      <fill>
        <patternFill patternType="none">
          <fgColor indexed="64"/>
          <bgColor indexed="65"/>
        </patternFill>
      </fill>
      <protection locked="0" hidden="0"/>
    </dxf>
    <dxf>
      <font>
        <sz val="10"/>
        <color auto="1"/>
        <name val="Times New Roman"/>
        <family val="1"/>
        <scheme val="none"/>
      </font>
      <fill>
        <patternFill patternType="none">
          <fgColor indexed="64"/>
          <bgColor indexed="65"/>
        </patternFill>
      </fill>
      <protection locked="0" hidden="0"/>
    </dxf>
    <dxf>
      <font>
        <sz val="10"/>
        <color auto="1"/>
        <name val="Times New Roman"/>
        <family val="1"/>
        <scheme val="none"/>
      </font>
      <fill>
        <patternFill patternType="none">
          <fgColor indexed="64"/>
          <bgColor indexed="65"/>
        </patternFill>
      </fill>
      <protection locked="0" hidden="0"/>
    </dxf>
    <dxf>
      <font>
        <sz val="10"/>
        <color auto="1"/>
        <name val="Times New Roman"/>
        <family val="1"/>
        <scheme val="none"/>
      </font>
      <fill>
        <patternFill patternType="none">
          <fgColor indexed="64"/>
          <bgColor indexed="65"/>
        </patternFill>
      </fill>
      <protection locked="0" hidden="0"/>
    </dxf>
    <dxf>
      <font>
        <sz val="10"/>
        <color auto="1"/>
        <name val="Times New Roman"/>
        <family val="1"/>
        <scheme val="none"/>
      </font>
      <fill>
        <patternFill patternType="none">
          <fgColor indexed="64"/>
          <bgColor indexed="65"/>
        </patternFill>
      </fill>
      <protection locked="0" hidden="0"/>
    </dxf>
    <dxf>
      <font>
        <sz val="10"/>
        <color auto="1"/>
        <name val="Times New Roman"/>
        <family val="1"/>
        <scheme val="none"/>
      </font>
      <fill>
        <patternFill patternType="none">
          <fgColor indexed="64"/>
          <bgColor indexed="65"/>
        </patternFill>
      </fill>
      <protection locked="0" hidden="0"/>
    </dxf>
    <dxf>
      <font>
        <sz val="10"/>
        <color auto="1"/>
        <name val="Times New Roman"/>
        <family val="1"/>
        <scheme val="none"/>
      </font>
      <fill>
        <patternFill patternType="none">
          <fgColor indexed="64"/>
          <bgColor indexed="65"/>
        </patternFill>
      </fill>
      <protection locked="0" hidden="0"/>
    </dxf>
    <dxf>
      <font>
        <sz val="10"/>
        <color auto="1"/>
        <name val="Times New Roman"/>
        <family val="1"/>
        <scheme val="none"/>
      </font>
      <fill>
        <patternFill patternType="none">
          <fgColor indexed="64"/>
          <bgColor indexed="65"/>
        </patternFill>
      </fill>
      <protection locked="0" hidden="0"/>
    </dxf>
    <dxf>
      <font>
        <sz val="10"/>
        <color auto="1"/>
        <name val="Times New Roman"/>
        <family val="1"/>
        <scheme val="none"/>
      </font>
      <fill>
        <patternFill patternType="none">
          <fgColor indexed="64"/>
          <bgColor indexed="65"/>
        </patternFill>
      </fill>
      <protection locked="0" hidden="0"/>
    </dxf>
    <dxf>
      <font>
        <sz val="10"/>
        <color auto="1"/>
        <name val="Times New Roman"/>
        <family val="1"/>
        <scheme val="none"/>
      </font>
      <fill>
        <patternFill patternType="none">
          <fgColor indexed="64"/>
          <bgColor indexed="65"/>
        </patternFill>
      </fill>
      <protection locked="0" hidden="0"/>
    </dxf>
    <dxf>
      <font>
        <sz val="10"/>
        <color auto="1"/>
        <name val="Times New Roman"/>
        <family val="1"/>
        <scheme val="none"/>
      </font>
      <fill>
        <patternFill patternType="none">
          <fgColor indexed="64"/>
          <bgColor indexed="65"/>
        </patternFill>
      </fill>
      <protection locked="0" hidden="0"/>
    </dxf>
    <dxf>
      <font>
        <sz val="10"/>
        <color auto="1"/>
        <name val="Times New Roman"/>
        <family val="1"/>
        <scheme val="none"/>
      </font>
      <fill>
        <patternFill patternType="none">
          <fgColor indexed="64"/>
          <bgColor indexed="65"/>
        </patternFill>
      </fill>
      <protection locked="0" hidden="0"/>
    </dxf>
    <dxf>
      <font>
        <sz val="10"/>
        <color auto="1"/>
        <name val="Times New Roman"/>
        <family val="1"/>
        <scheme val="none"/>
      </font>
      <fill>
        <patternFill patternType="none">
          <fgColor indexed="64"/>
          <bgColor indexed="65"/>
        </patternFill>
      </fill>
      <protection locked="0" hidden="0"/>
    </dxf>
    <dxf>
      <font>
        <sz val="10"/>
        <color auto="1"/>
        <name val="Times New Roman"/>
        <family val="1"/>
        <scheme val="none"/>
      </font>
      <fill>
        <patternFill patternType="none">
          <fgColor indexed="64"/>
          <bgColor indexed="65"/>
        </patternFill>
      </fill>
      <protection locked="0" hidden="0"/>
    </dxf>
    <dxf>
      <font>
        <sz val="10"/>
        <color auto="1"/>
        <name val="Times New Roman"/>
        <family val="1"/>
        <scheme val="none"/>
      </font>
      <fill>
        <patternFill patternType="none">
          <fgColor indexed="64"/>
          <bgColor indexed="65"/>
        </patternFill>
      </fill>
      <protection locked="0" hidden="0"/>
    </dxf>
    <dxf>
      <font>
        <sz val="10"/>
        <color auto="1"/>
        <name val="Times New Roman"/>
        <family val="1"/>
        <scheme val="none"/>
      </font>
      <fill>
        <patternFill patternType="none">
          <fgColor indexed="64"/>
          <bgColor indexed="65"/>
        </patternFill>
      </fill>
      <protection locked="0" hidden="0"/>
    </dxf>
    <dxf>
      <font>
        <sz val="10"/>
        <color auto="1"/>
        <name val="Times New Roman"/>
        <family val="1"/>
        <scheme val="none"/>
      </font>
      <fill>
        <patternFill patternType="none">
          <fgColor indexed="64"/>
          <bgColor indexed="65"/>
        </patternFill>
      </fill>
      <protection locked="0" hidden="0"/>
    </dxf>
    <dxf>
      <font>
        <sz val="10"/>
        <color auto="1"/>
        <name val="Times New Roman"/>
        <family val="1"/>
        <scheme val="none"/>
      </font>
      <fill>
        <patternFill patternType="none">
          <fgColor indexed="64"/>
          <bgColor indexed="65"/>
        </patternFill>
      </fill>
      <protection locked="0" hidden="0"/>
    </dxf>
    <dxf>
      <font>
        <sz val="10"/>
        <color auto="1"/>
        <name val="Times New Roman"/>
        <family val="1"/>
        <scheme val="none"/>
      </font>
      <fill>
        <patternFill patternType="none">
          <fgColor indexed="64"/>
          <bgColor indexed="65"/>
        </patternFill>
      </fill>
      <protection locked="0" hidden="0"/>
    </dxf>
    <dxf>
      <font>
        <sz val="10"/>
        <color auto="1"/>
        <name val="Times New Roman"/>
        <family val="1"/>
        <scheme val="none"/>
      </font>
      <fill>
        <patternFill patternType="none">
          <fgColor indexed="64"/>
          <bgColor indexed="65"/>
        </patternFill>
      </fill>
      <protection locked="0" hidden="0"/>
    </dxf>
    <dxf>
      <font>
        <sz val="10"/>
        <color auto="1"/>
        <name val="Times New Roman"/>
        <family val="1"/>
        <scheme val="none"/>
      </font>
      <fill>
        <patternFill patternType="none">
          <fgColor indexed="64"/>
          <bgColor indexed="65"/>
        </patternFill>
      </fill>
      <protection locked="0" hidden="0"/>
    </dxf>
    <dxf>
      <font>
        <sz val="10"/>
        <color auto="1"/>
        <name val="Times New Roman"/>
        <family val="1"/>
        <scheme val="none"/>
      </font>
      <fill>
        <patternFill patternType="none">
          <fgColor indexed="64"/>
          <bgColor indexed="65"/>
        </patternFill>
      </fill>
      <protection locked="0" hidden="0"/>
    </dxf>
    <dxf>
      <font>
        <sz val="10"/>
        <color auto="1"/>
        <name val="Times New Roman"/>
        <family val="1"/>
        <scheme val="none"/>
      </font>
      <fill>
        <patternFill patternType="none">
          <fgColor indexed="64"/>
          <bgColor indexed="65"/>
        </patternFill>
      </fill>
      <protection locked="0" hidden="0"/>
    </dxf>
    <dxf>
      <font>
        <sz val="10"/>
        <color auto="1"/>
        <name val="Times New Roman"/>
        <family val="1"/>
        <scheme val="none"/>
      </font>
      <fill>
        <patternFill patternType="none">
          <fgColor indexed="64"/>
          <bgColor indexed="65"/>
        </patternFill>
      </fill>
      <protection locked="0" hidden="0"/>
    </dxf>
    <dxf>
      <font>
        <sz val="10"/>
        <color auto="1"/>
        <name val="Times New Roman"/>
        <family val="1"/>
        <scheme val="none"/>
      </font>
      <fill>
        <patternFill patternType="none">
          <fgColor indexed="64"/>
          <bgColor indexed="65"/>
        </patternFill>
      </fill>
      <protection locked="0" hidden="0"/>
    </dxf>
    <dxf>
      <font>
        <sz val="10"/>
        <color auto="1"/>
        <name val="Times New Roman"/>
        <family val="1"/>
        <scheme val="none"/>
      </font>
      <fill>
        <patternFill patternType="none">
          <fgColor indexed="64"/>
          <bgColor indexed="65"/>
        </patternFill>
      </fill>
      <protection locked="0" hidden="0"/>
    </dxf>
    <dxf>
      <font>
        <sz val="10"/>
        <color auto="1"/>
        <name val="Times New Roman"/>
        <family val="1"/>
        <scheme val="none"/>
      </font>
      <fill>
        <patternFill patternType="none">
          <fgColor indexed="64"/>
          <bgColor indexed="65"/>
        </patternFill>
      </fill>
      <protection locked="0" hidden="0"/>
    </dxf>
    <dxf>
      <font>
        <sz val="10"/>
        <color auto="1"/>
        <name val="Times New Roman"/>
        <family val="1"/>
        <scheme val="none"/>
      </font>
      <fill>
        <patternFill patternType="none">
          <fgColor indexed="64"/>
          <bgColor indexed="65"/>
        </patternFill>
      </fill>
      <protection locked="0" hidden="0"/>
    </dxf>
    <dxf>
      <font>
        <sz val="10"/>
        <color auto="1"/>
        <name val="Times New Roman"/>
        <family val="1"/>
        <scheme val="none"/>
      </font>
      <fill>
        <patternFill patternType="none">
          <fgColor indexed="64"/>
          <bgColor indexed="65"/>
        </patternFill>
      </fill>
      <protection locked="0" hidden="0"/>
    </dxf>
    <dxf>
      <font>
        <sz val="10"/>
        <color auto="1"/>
        <name val="Times New Roman"/>
        <family val="1"/>
        <scheme val="none"/>
      </font>
      <fill>
        <patternFill patternType="none">
          <fgColor indexed="64"/>
          <bgColor indexed="65"/>
        </patternFill>
      </fill>
      <protection locked="0" hidden="0"/>
    </dxf>
    <dxf>
      <font>
        <sz val="10"/>
        <color auto="1"/>
        <name val="Times New Roman"/>
        <family val="1"/>
        <scheme val="none"/>
      </font>
      <fill>
        <patternFill patternType="none">
          <fgColor indexed="64"/>
          <bgColor indexed="65"/>
        </patternFill>
      </fill>
      <protection locked="0" hidden="0"/>
    </dxf>
    <dxf>
      <font>
        <sz val="10"/>
        <color auto="1"/>
        <name val="Times New Roman"/>
        <family val="1"/>
        <scheme val="none"/>
      </font>
      <fill>
        <patternFill patternType="none">
          <fgColor indexed="64"/>
          <bgColor indexed="65"/>
        </patternFill>
      </fill>
      <protection locked="0" hidden="0"/>
    </dxf>
    <dxf>
      <font>
        <sz val="10"/>
        <color auto="1"/>
        <name val="Times New Roman"/>
        <family val="1"/>
        <scheme val="none"/>
      </font>
      <fill>
        <patternFill patternType="none">
          <fgColor indexed="64"/>
          <bgColor indexed="65"/>
        </patternFill>
      </fill>
      <protection locked="0" hidden="0"/>
    </dxf>
    <dxf>
      <font>
        <sz val="10"/>
        <color auto="1"/>
        <name val="Times New Roman"/>
        <family val="1"/>
        <scheme val="none"/>
      </font>
      <fill>
        <patternFill patternType="none">
          <fgColor indexed="64"/>
          <bgColor indexed="65"/>
        </patternFill>
      </fill>
      <protection locked="0" hidden="0"/>
    </dxf>
    <dxf>
      <font>
        <sz val="10"/>
        <color auto="1"/>
        <name val="Times New Roman"/>
        <family val="1"/>
        <scheme val="none"/>
      </font>
      <protection locked="0" hidden="0"/>
    </dxf>
    <dxf>
      <font>
        <sz val="10"/>
        <color auto="1"/>
        <name val="Times New Roman"/>
        <family val="1"/>
        <scheme val="none"/>
      </font>
      <protection locked="0" hidden="0"/>
    </dxf>
    <dxf>
      <font>
        <sz val="10"/>
        <color auto="1"/>
        <name val="Times New Roman"/>
        <family val="1"/>
        <scheme val="none"/>
      </font>
      <protection locked="0" hidden="0"/>
    </dxf>
    <dxf>
      <font>
        <sz val="10"/>
        <color auto="1"/>
        <name val="Times New Roman"/>
        <family val="1"/>
        <scheme val="none"/>
      </font>
      <protection locked="0" hidden="0"/>
    </dxf>
    <dxf>
      <font>
        <sz val="10"/>
        <color auto="1"/>
        <name val="Times New Roman"/>
        <family val="1"/>
        <scheme val="none"/>
      </font>
      <protection locked="0" hidden="0"/>
    </dxf>
    <dxf>
      <font>
        <sz val="10"/>
        <color auto="1"/>
        <name val="Times New Roman"/>
        <family val="1"/>
        <scheme val="none"/>
      </font>
      <protection locked="0" hidden="0"/>
    </dxf>
    <dxf>
      <font>
        <sz val="10"/>
        <color auto="1"/>
        <name val="Times New Roman"/>
        <family val="1"/>
        <scheme val="none"/>
      </font>
      <protection locked="0" hidden="0"/>
    </dxf>
    <dxf>
      <font>
        <sz val="10"/>
        <color auto="1"/>
        <name val="Times New Roman"/>
        <family val="1"/>
        <scheme val="none"/>
      </font>
      <protection locked="0" hidden="0"/>
    </dxf>
    <dxf>
      <font>
        <sz val="10"/>
        <color auto="1"/>
        <name val="Times New Roman"/>
        <family val="1"/>
        <scheme val="none"/>
      </font>
      <protection locked="0" hidden="0"/>
    </dxf>
    <dxf>
      <font>
        <sz val="10"/>
        <color auto="1"/>
        <name val="Times New Roman"/>
        <family val="1"/>
        <scheme val="none"/>
      </font>
      <protection locked="0" hidden="0"/>
    </dxf>
    <dxf>
      <font>
        <sz val="10"/>
        <color auto="1"/>
        <name val="Times New Roman"/>
        <family val="1"/>
        <scheme val="none"/>
      </font>
      <protection locked="0" hidden="0"/>
    </dxf>
    <dxf>
      <font>
        <sz val="10"/>
        <color auto="1"/>
        <name val="Times New Roman"/>
        <family val="1"/>
        <scheme val="none"/>
      </font>
      <protection locked="0" hidden="0"/>
    </dxf>
    <dxf>
      <font>
        <sz val="10"/>
        <color auto="1"/>
        <name val="Times New Roman"/>
        <family val="1"/>
        <scheme val="none"/>
      </font>
      <protection locked="0" hidden="0"/>
    </dxf>
    <dxf>
      <font>
        <sz val="10"/>
        <color auto="1"/>
        <name val="Times New Roman"/>
        <family val="1"/>
        <scheme val="none"/>
      </font>
      <protection locked="0" hidden="0"/>
    </dxf>
    <dxf>
      <font>
        <sz val="10"/>
        <color auto="1"/>
        <name val="Times New Roman"/>
        <family val="1"/>
        <scheme val="none"/>
      </font>
      <protection locked="0" hidden="0"/>
    </dxf>
    <dxf>
      <font>
        <sz val="10"/>
        <color auto="1"/>
        <name val="Times New Roman"/>
        <family val="1"/>
        <scheme val="none"/>
      </font>
      <protection locked="0" hidden="0"/>
    </dxf>
    <dxf>
      <font>
        <sz val="10"/>
        <color auto="1"/>
        <name val="Times New Roman"/>
        <family val="1"/>
        <scheme val="none"/>
      </font>
      <protection locked="0" hidden="0"/>
    </dxf>
    <dxf>
      <font>
        <sz val="10"/>
        <color auto="1"/>
        <name val="Times New Roman"/>
        <family val="1"/>
        <scheme val="none"/>
      </font>
      <protection locked="0" hidden="0"/>
    </dxf>
    <dxf>
      <font>
        <sz val="10"/>
        <color auto="1"/>
        <name val="Times New Roman"/>
        <family val="1"/>
        <scheme val="none"/>
      </font>
      <protection locked="0" hidden="0"/>
    </dxf>
    <dxf>
      <font>
        <sz val="10"/>
        <color auto="1"/>
        <name val="Times New Roman"/>
        <family val="1"/>
        <scheme val="none"/>
      </font>
      <protection locked="0" hidden="0"/>
    </dxf>
    <dxf>
      <font>
        <sz val="10"/>
        <color auto="1"/>
        <name val="Times New Roman"/>
        <family val="1"/>
        <scheme val="none"/>
      </font>
      <protection locked="0" hidden="0"/>
    </dxf>
    <dxf>
      <font>
        <sz val="10"/>
        <color auto="1"/>
        <name val="Times New Roman"/>
        <family val="1"/>
        <scheme val="none"/>
      </font>
      <protection locked="0" hidden="0"/>
    </dxf>
    <dxf>
      <font>
        <sz val="10"/>
        <color auto="1"/>
        <name val="Times New Roman"/>
        <family val="1"/>
        <scheme val="none"/>
      </font>
      <protection locked="0" hidden="0"/>
    </dxf>
    <dxf>
      <font>
        <sz val="10"/>
        <color auto="1"/>
        <name val="Times New Roman"/>
        <family val="1"/>
        <scheme val="none"/>
      </font>
      <protection locked="0" hidden="0"/>
    </dxf>
    <dxf>
      <font>
        <sz val="10"/>
        <color auto="1"/>
        <name val="Times New Roman"/>
        <family val="1"/>
        <scheme val="none"/>
      </font>
      <protection locked="0" hidden="0"/>
    </dxf>
    <dxf>
      <font>
        <sz val="10"/>
        <color auto="1"/>
        <name val="Times New Roman"/>
        <family val="1"/>
        <scheme val="none"/>
      </font>
      <protection locked="0" hidden="0"/>
    </dxf>
    <dxf>
      <font>
        <sz val="10"/>
        <color auto="1"/>
        <name val="Times New Roman"/>
        <family val="1"/>
        <scheme val="none"/>
      </font>
      <protection locked="0" hidden="0"/>
    </dxf>
    <dxf>
      <font>
        <sz val="10"/>
        <color auto="1"/>
        <name val="Times New Roman"/>
        <family val="1"/>
        <scheme val="none"/>
      </font>
      <protection locked="0" hidden="0"/>
    </dxf>
    <dxf>
      <font>
        <sz val="10"/>
        <color auto="1"/>
        <name val="Times New Roman"/>
        <family val="1"/>
        <scheme val="none"/>
      </font>
      <protection locked="0" hidden="0"/>
    </dxf>
    <dxf>
      <font>
        <sz val="10"/>
        <color auto="1"/>
        <name val="Times New Roman"/>
        <family val="1"/>
        <scheme val="none"/>
      </font>
      <protection locked="0" hidden="0"/>
    </dxf>
    <dxf>
      <font>
        <sz val="10"/>
        <color auto="1"/>
        <name val="Times New Roman"/>
        <family val="1"/>
        <scheme val="none"/>
      </font>
      <protection locked="0" hidden="0"/>
    </dxf>
    <dxf>
      <font>
        <sz val="10"/>
        <color auto="1"/>
        <name val="Times New Roman"/>
        <family val="1"/>
        <scheme val="none"/>
      </font>
      <protection locked="0" hidden="0"/>
    </dxf>
    <dxf>
      <font>
        <sz val="10"/>
        <color auto="1"/>
        <name val="Times New Roman"/>
        <family val="1"/>
        <scheme val="none"/>
      </font>
      <protection locked="0" hidden="0"/>
    </dxf>
    <dxf>
      <font>
        <sz val="10"/>
        <color auto="1"/>
        <name val="Times New Roman"/>
        <family val="1"/>
        <scheme val="none"/>
      </font>
      <protection locked="0" hidden="0"/>
    </dxf>
    <dxf>
      <font>
        <sz val="10"/>
        <color auto="1"/>
        <name val="Times New Roman"/>
        <family val="1"/>
        <scheme val="none"/>
      </font>
      <protection locked="0" hidden="0"/>
    </dxf>
    <dxf>
      <font>
        <sz val="10"/>
        <color auto="1"/>
        <name val="Times New Roman"/>
        <family val="1"/>
        <scheme val="none"/>
      </font>
      <protection locked="0" hidden="0"/>
    </dxf>
    <dxf>
      <border diagonalUp="0" diagonalDown="0">
        <left style="thin">
          <color rgb="FF00B0F0"/>
        </left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1" hidden="0"/>
    </dxf>
    <dxf>
      <protection locked="1" hidden="0"/>
    </dxf>
    <dxf>
      <protection locked="1" hidden="0"/>
    </dxf>
    <dxf>
      <border outline="0">
        <top style="thin">
          <color rgb="FF00B0F0"/>
        </top>
      </border>
    </dxf>
    <dxf>
      <border outline="0">
        <left style="thin">
          <color rgb="FF00B0F0"/>
        </left>
        <right style="thin">
          <color rgb="FF00B0F0"/>
        </right>
        <top style="thin">
          <color rgb="FF00B0F0"/>
        </top>
        <bottom style="thin">
          <color rgb="FF00B0F0"/>
        </bottom>
      </border>
    </dxf>
    <dxf>
      <protection locked="1" hidden="0"/>
    </dxf>
    <dxf>
      <border outline="0">
        <bottom style="thin">
          <color rgb="FF00B0F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FF"/>
        <name val="Times New Roman"/>
        <family val="1"/>
        <scheme val="none"/>
      </font>
      <fill>
        <patternFill patternType="solid">
          <fgColor indexed="64"/>
          <bgColor rgb="FFFFFF99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B0F0"/>
        </left>
        <right style="thin">
          <color rgb="FF00B0F0"/>
        </right>
        <top/>
        <bottom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border diagonalUp="0" diagonalDown="0" outline="0">
        <left style="thin">
          <color rgb="FF00B0F0"/>
        </left>
        <right style="thin">
          <color rgb="FF00B0F0"/>
        </right>
        <top style="thin">
          <color rgb="FF00B0F0"/>
        </top>
        <bottom style="thin">
          <color rgb="FF00B0F0"/>
        </bottom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border diagonalUp="0" diagonalDown="0" outline="0">
        <left style="thin">
          <color rgb="FF00B0F0"/>
        </left>
        <right style="thin">
          <color rgb="FF00B0F0"/>
        </right>
        <top style="thin">
          <color rgb="FF00B0F0"/>
        </top>
        <bottom style="thin">
          <color rgb="FF00B0F0"/>
        </bottom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border diagonalUp="0" diagonalDown="0" outline="0">
        <left style="thin">
          <color rgb="FF00B0F0"/>
        </left>
        <right style="thin">
          <color rgb="FF00B0F0"/>
        </right>
        <top style="thin">
          <color rgb="FF00B0F0"/>
        </top>
        <bottom style="thin">
          <color rgb="FF00B0F0"/>
        </bottom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border diagonalUp="0" diagonalDown="0" outline="0">
        <left style="thin">
          <color rgb="FF00B0F0"/>
        </left>
        <right style="thin">
          <color rgb="FF00B0F0"/>
        </right>
        <top style="thin">
          <color rgb="FF00B0F0"/>
        </top>
        <bottom style="thin">
          <color rgb="FF00B0F0"/>
        </bottom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border diagonalUp="0" diagonalDown="0" outline="0">
        <left style="thin">
          <color rgb="FF00B0F0"/>
        </left>
        <right style="thin">
          <color rgb="FF00B0F0"/>
        </right>
        <top style="thin">
          <color rgb="FF00B0F0"/>
        </top>
        <bottom style="thin">
          <color rgb="FF00B0F0"/>
        </bottom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border diagonalUp="0" diagonalDown="0" outline="0">
        <left style="thin">
          <color rgb="FF00B0F0"/>
        </left>
        <right style="thin">
          <color rgb="FF00B0F0"/>
        </right>
        <top style="thin">
          <color rgb="FF00B0F0"/>
        </top>
        <bottom style="thin">
          <color rgb="FF00B0F0"/>
        </bottom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border diagonalUp="0" diagonalDown="0" outline="0">
        <left style="thin">
          <color rgb="FF00B0F0"/>
        </left>
        <right style="thin">
          <color rgb="FF00B0F0"/>
        </right>
        <top style="thin">
          <color rgb="FF00B0F0"/>
        </top>
        <bottom style="thin">
          <color rgb="FF00B0F0"/>
        </bottom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border diagonalUp="0" diagonalDown="0" outline="0">
        <left style="thin">
          <color rgb="FF00B0F0"/>
        </left>
        <right style="thin">
          <color rgb="FF00B0F0"/>
        </right>
        <top style="thin">
          <color rgb="FF00B0F0"/>
        </top>
        <bottom style="thin">
          <color rgb="FF00B0F0"/>
        </bottom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border diagonalUp="0" diagonalDown="0" outline="0">
        <left style="thin">
          <color rgb="FF00B0F0"/>
        </left>
        <right style="thin">
          <color rgb="FF00B0F0"/>
        </right>
        <top style="thin">
          <color rgb="FF00B0F0"/>
        </top>
        <bottom style="thin">
          <color rgb="FF00B0F0"/>
        </bottom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border diagonalUp="0" diagonalDown="0" outline="0">
        <left style="thin">
          <color rgb="FF00B0F0"/>
        </left>
        <right style="thin">
          <color rgb="FF00B0F0"/>
        </right>
        <top style="thin">
          <color rgb="FF00B0F0"/>
        </top>
        <bottom style="thin">
          <color rgb="FF00B0F0"/>
        </bottom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border diagonalUp="0" diagonalDown="0" outline="0">
        <left style="thin">
          <color rgb="FF00B0F0"/>
        </left>
        <right style="thin">
          <color rgb="FF00B0F0"/>
        </right>
        <top style="thin">
          <color rgb="FF00B0F0"/>
        </top>
        <bottom style="thin">
          <color rgb="FF00B0F0"/>
        </bottom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border diagonalUp="0" diagonalDown="0" outline="0">
        <left style="thin">
          <color rgb="FF00B0F0"/>
        </left>
        <right style="thin">
          <color rgb="FF00B0F0"/>
        </right>
        <top style="thin">
          <color rgb="FF00B0F0"/>
        </top>
        <bottom style="thin">
          <color rgb="FF00B0F0"/>
        </bottom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border diagonalUp="0" diagonalDown="0" outline="0">
        <left style="thin">
          <color rgb="FF00B0F0"/>
        </left>
        <right style="thin">
          <color rgb="FF00B0F0"/>
        </right>
        <top style="thin">
          <color rgb="FF00B0F0"/>
        </top>
        <bottom style="thin">
          <color rgb="FF00B0F0"/>
        </bottom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border diagonalUp="0" diagonalDown="0" outline="0">
        <left style="thin">
          <color rgb="FF00B0F0"/>
        </left>
        <right style="thin">
          <color rgb="FF00B0F0"/>
        </right>
        <top style="thin">
          <color rgb="FF00B0F0"/>
        </top>
        <bottom style="thin">
          <color rgb="FF00B0F0"/>
        </bottom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border diagonalUp="0" diagonalDown="0" outline="0">
        <left style="thin">
          <color rgb="FF00B0F0"/>
        </left>
        <right style="thin">
          <color rgb="FF00B0F0"/>
        </right>
        <top style="thin">
          <color rgb="FF00B0F0"/>
        </top>
        <bottom style="thin">
          <color rgb="FF00B0F0"/>
        </bottom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border diagonalUp="0" diagonalDown="0" outline="0">
        <left style="thin">
          <color rgb="FF00B0F0"/>
        </left>
        <right style="thin">
          <color rgb="FF00B0F0"/>
        </right>
        <top style="thin">
          <color rgb="FF00B0F0"/>
        </top>
        <bottom style="thin">
          <color rgb="FF00B0F0"/>
        </bottom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border diagonalUp="0" diagonalDown="0" outline="0">
        <left style="thin">
          <color rgb="FF00B0F0"/>
        </left>
        <right style="thin">
          <color rgb="FF00B0F0"/>
        </right>
        <top style="thin">
          <color rgb="FF00B0F0"/>
        </top>
        <bottom style="thin">
          <color rgb="FF00B0F0"/>
        </bottom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border diagonalUp="0" diagonalDown="0" outline="0">
        <left style="thin">
          <color rgb="FF00B0F0"/>
        </left>
        <right style="thin">
          <color rgb="FF00B0F0"/>
        </right>
        <top style="thin">
          <color rgb="FF00B0F0"/>
        </top>
        <bottom style="thin">
          <color rgb="FF00B0F0"/>
        </bottom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border diagonalUp="0" diagonalDown="0" outline="0">
        <left style="thin">
          <color rgb="FF00B0F0"/>
        </left>
        <right style="thin">
          <color rgb="FF00B0F0"/>
        </right>
        <top style="thin">
          <color rgb="FF00B0F0"/>
        </top>
        <bottom style="thin">
          <color rgb="FF00B0F0"/>
        </bottom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border diagonalUp="0" diagonalDown="0" outline="0">
        <left style="thin">
          <color rgb="FF00B0F0"/>
        </left>
        <right style="thin">
          <color rgb="FF00B0F0"/>
        </right>
        <top style="thin">
          <color rgb="FF00B0F0"/>
        </top>
        <bottom style="thin">
          <color rgb="FF00B0F0"/>
        </bottom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border diagonalUp="0" diagonalDown="0" outline="0">
        <left style="thin">
          <color rgb="FF00B0F0"/>
        </left>
        <right style="thin">
          <color rgb="FF00B0F0"/>
        </right>
        <top style="thin">
          <color rgb="FF00B0F0"/>
        </top>
        <bottom style="thin">
          <color rgb="FF00B0F0"/>
        </bottom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border diagonalUp="0" diagonalDown="0" outline="0">
        <left style="thin">
          <color rgb="FF00B0F0"/>
        </left>
        <right style="thin">
          <color rgb="FF00B0F0"/>
        </right>
        <top style="thin">
          <color rgb="FF00B0F0"/>
        </top>
        <bottom style="thin">
          <color rgb="FF00B0F0"/>
        </bottom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border diagonalUp="0" diagonalDown="0" outline="0">
        <left style="thin">
          <color rgb="FF00B0F0"/>
        </left>
        <right style="thin">
          <color rgb="FF00B0F0"/>
        </right>
        <top style="thin">
          <color rgb="FF00B0F0"/>
        </top>
        <bottom style="thin">
          <color rgb="FF00B0F0"/>
        </bottom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border diagonalUp="0" diagonalDown="0" outline="0">
        <left style="thin">
          <color rgb="FF00B0F0"/>
        </left>
        <right style="thin">
          <color rgb="FF00B0F0"/>
        </right>
        <top style="thin">
          <color rgb="FF00B0F0"/>
        </top>
        <bottom style="thin">
          <color rgb="FF00B0F0"/>
        </bottom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border diagonalUp="0" diagonalDown="0" outline="0">
        <left style="thin">
          <color rgb="FF00B0F0"/>
        </left>
        <right style="thin">
          <color rgb="FF00B0F0"/>
        </right>
        <top style="thin">
          <color rgb="FF00B0F0"/>
        </top>
        <bottom style="thin">
          <color rgb="FF00B0F0"/>
        </bottom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border diagonalUp="0" diagonalDown="0" outline="0">
        <left style="thin">
          <color rgb="FF00B0F0"/>
        </left>
        <right style="thin">
          <color rgb="FF00B0F0"/>
        </right>
        <top style="thin">
          <color rgb="FF00B0F0"/>
        </top>
        <bottom style="thin">
          <color rgb="FF00B0F0"/>
        </bottom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border diagonalUp="0" diagonalDown="0" outline="0">
        <left style="thin">
          <color rgb="FF00B0F0"/>
        </left>
        <right style="thin">
          <color rgb="FF00B0F0"/>
        </right>
        <top style="thin">
          <color rgb="FF00B0F0"/>
        </top>
        <bottom style="thin">
          <color rgb="FF00B0F0"/>
        </bottom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border diagonalUp="0" diagonalDown="0" outline="0">
        <left style="thin">
          <color rgb="FF00B0F0"/>
        </left>
        <right style="thin">
          <color rgb="FF00B0F0"/>
        </right>
        <top style="thin">
          <color rgb="FF00B0F0"/>
        </top>
        <bottom style="thin">
          <color rgb="FF00B0F0"/>
        </bottom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border diagonalUp="0" diagonalDown="0" outline="0">
        <left style="thin">
          <color rgb="FF00B0F0"/>
        </left>
        <right style="thin">
          <color rgb="FF00B0F0"/>
        </right>
        <top style="thin">
          <color rgb="FF00B0F0"/>
        </top>
        <bottom style="thin">
          <color rgb="FF00B0F0"/>
        </bottom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border diagonalUp="0" diagonalDown="0" outline="0">
        <left style="thin">
          <color rgb="FF00B0F0"/>
        </left>
        <right style="thin">
          <color rgb="FF00B0F0"/>
        </right>
        <top style="thin">
          <color rgb="FF00B0F0"/>
        </top>
        <bottom style="thin">
          <color rgb="FF00B0F0"/>
        </bottom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border diagonalUp="0" diagonalDown="0" outline="0">
        <left style="thin">
          <color rgb="FF00B0F0"/>
        </left>
        <right style="thin">
          <color rgb="FF00B0F0"/>
        </right>
        <top style="thin">
          <color rgb="FF00B0F0"/>
        </top>
        <bottom style="thin">
          <color rgb="FF00B0F0"/>
        </bottom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border diagonalUp="0" diagonalDown="0" outline="0">
        <left style="thin">
          <color rgb="FF00B0F0"/>
        </left>
        <right style="thin">
          <color rgb="FF00B0F0"/>
        </right>
        <top style="thin">
          <color rgb="FF00B0F0"/>
        </top>
        <bottom style="thin">
          <color rgb="FF00B0F0"/>
        </bottom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border diagonalUp="0" diagonalDown="0" outline="0">
        <left style="thin">
          <color rgb="FF00B0F0"/>
        </left>
        <right style="thin">
          <color rgb="FF00B0F0"/>
        </right>
        <top style="thin">
          <color rgb="FF00B0F0"/>
        </top>
        <bottom style="thin">
          <color rgb="FF00B0F0"/>
        </bottom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border diagonalUp="0" diagonalDown="0" outline="0">
        <left style="thin">
          <color rgb="FF00B0F0"/>
        </left>
        <right style="thin">
          <color rgb="FF00B0F0"/>
        </right>
        <top style="thin">
          <color rgb="FF00B0F0"/>
        </top>
        <bottom style="thin">
          <color rgb="FF00B0F0"/>
        </bottom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border diagonalUp="0" diagonalDown="0" outline="0">
        <left style="thin">
          <color rgb="FF00B0F0"/>
        </left>
        <right style="thin">
          <color rgb="FF00B0F0"/>
        </right>
        <top style="thin">
          <color rgb="FF00B0F0"/>
        </top>
        <bottom style="thin">
          <color rgb="FF00B0F0"/>
        </bottom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border diagonalUp="0" diagonalDown="0" outline="0">
        <left style="thin">
          <color rgb="FF00B0F0"/>
        </left>
        <right style="thin">
          <color rgb="FF00B0F0"/>
        </right>
        <top style="thin">
          <color rgb="FF00B0F0"/>
        </top>
        <bottom style="thin">
          <color rgb="FF00B0F0"/>
        </bottom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border diagonalUp="0" diagonalDown="0" outline="0">
        <left style="thin">
          <color rgb="FF00B0F0"/>
        </left>
        <right style="thin">
          <color rgb="FF00B0F0"/>
        </right>
        <top style="thin">
          <color rgb="FF00B0F0"/>
        </top>
        <bottom style="thin">
          <color rgb="FF00B0F0"/>
        </bottom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border diagonalUp="0" diagonalDown="0" outline="0">
        <left style="thin">
          <color rgb="FF00B0F0"/>
        </left>
        <right style="thin">
          <color rgb="FF00B0F0"/>
        </right>
        <top style="thin">
          <color rgb="FF00B0F0"/>
        </top>
        <bottom style="thin">
          <color rgb="FF00B0F0"/>
        </bottom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border diagonalUp="0" diagonalDown="0" outline="0">
        <left style="thin">
          <color rgb="FF00B0F0"/>
        </left>
        <right style="thin">
          <color rgb="FF00B0F0"/>
        </right>
        <top style="thin">
          <color rgb="FF00B0F0"/>
        </top>
        <bottom style="thin">
          <color rgb="FF00B0F0"/>
        </bottom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border diagonalUp="0" diagonalDown="0" outline="0">
        <left style="thin">
          <color rgb="FF00B0F0"/>
        </left>
        <right style="thin">
          <color rgb="FF00B0F0"/>
        </right>
        <top style="thin">
          <color rgb="FF00B0F0"/>
        </top>
        <bottom style="thin">
          <color rgb="FF00B0F0"/>
        </bottom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border diagonalUp="0" diagonalDown="0" outline="0">
        <left style="thin">
          <color rgb="FF00B0F0"/>
        </left>
        <right style="thin">
          <color rgb="FF00B0F0"/>
        </right>
        <top style="thin">
          <color rgb="FF00B0F0"/>
        </top>
        <bottom style="thin">
          <color rgb="FF00B0F0"/>
        </bottom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border diagonalUp="0" diagonalDown="0" outline="0">
        <left style="thin">
          <color rgb="FF00B0F0"/>
        </left>
        <right style="thin">
          <color rgb="FF00B0F0"/>
        </right>
        <top style="thin">
          <color rgb="FF00B0F0"/>
        </top>
        <bottom style="thin">
          <color rgb="FF00B0F0"/>
        </bottom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border diagonalUp="0" diagonalDown="0" outline="0">
        <left style="thin">
          <color rgb="FF00B0F0"/>
        </left>
        <right style="thin">
          <color rgb="FF00B0F0"/>
        </right>
        <top style="thin">
          <color rgb="FF00B0F0"/>
        </top>
        <bottom style="thin">
          <color rgb="FF00B0F0"/>
        </bottom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border diagonalUp="0" diagonalDown="0" outline="0">
        <left style="thin">
          <color rgb="FF00B0F0"/>
        </left>
        <right style="thin">
          <color rgb="FF00B0F0"/>
        </right>
        <top style="thin">
          <color rgb="FF00B0F0"/>
        </top>
        <bottom style="thin">
          <color rgb="FF00B0F0"/>
        </bottom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border diagonalUp="0" diagonalDown="0" outline="0">
        <left style="thin">
          <color rgb="FF00B0F0"/>
        </left>
        <right style="thin">
          <color rgb="FF00B0F0"/>
        </right>
        <top style="thin">
          <color rgb="FF00B0F0"/>
        </top>
        <bottom style="thin">
          <color rgb="FF00B0F0"/>
        </bottom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border diagonalUp="0" diagonalDown="0" outline="0">
        <left style="thin">
          <color rgb="FF00B0F0"/>
        </left>
        <right style="thin">
          <color rgb="FF00B0F0"/>
        </right>
        <top style="thin">
          <color rgb="FF00B0F0"/>
        </top>
        <bottom style="thin">
          <color rgb="FF00B0F0"/>
        </bottom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border diagonalUp="0" diagonalDown="0" outline="0">
        <left style="thin">
          <color rgb="FF00B0F0"/>
        </left>
        <right style="thin">
          <color rgb="FF00B0F0"/>
        </right>
        <top style="thin">
          <color rgb="FF00B0F0"/>
        </top>
        <bottom style="thin">
          <color rgb="FF00B0F0"/>
        </bottom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border diagonalUp="0" diagonalDown="0" outline="0">
        <left style="thin">
          <color rgb="FF00B0F0"/>
        </left>
        <right style="thin">
          <color rgb="FF00B0F0"/>
        </right>
        <top style="thin">
          <color rgb="FF00B0F0"/>
        </top>
        <bottom style="thin">
          <color rgb="FF00B0F0"/>
        </bottom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border diagonalUp="0" diagonalDown="0" outline="0">
        <left style="thin">
          <color rgb="FF00B0F0"/>
        </left>
        <right style="thin">
          <color rgb="FF00B0F0"/>
        </right>
        <top style="thin">
          <color rgb="FF00B0F0"/>
        </top>
        <bottom style="thin">
          <color rgb="FF00B0F0"/>
        </bottom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border diagonalUp="0" diagonalDown="0" outline="0">
        <left style="thin">
          <color rgb="FF00B0F0"/>
        </left>
        <right style="thin">
          <color rgb="FF00B0F0"/>
        </right>
        <top style="thin">
          <color rgb="FF00B0F0"/>
        </top>
        <bottom style="thin">
          <color rgb="FF00B0F0"/>
        </bottom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border diagonalUp="0" diagonalDown="0" outline="0">
        <left style="thin">
          <color rgb="FF00B0F0"/>
        </left>
        <right style="thin">
          <color rgb="FF00B0F0"/>
        </right>
        <top style="thin">
          <color rgb="FF00B0F0"/>
        </top>
        <bottom style="thin">
          <color rgb="FF00B0F0"/>
        </bottom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border diagonalUp="0" diagonalDown="0" outline="0">
        <left style="thin">
          <color rgb="FF00B0F0"/>
        </left>
        <right style="thin">
          <color rgb="FF00B0F0"/>
        </right>
        <top style="thin">
          <color rgb="FF00B0F0"/>
        </top>
        <bottom style="thin">
          <color rgb="FF00B0F0"/>
        </bottom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border diagonalUp="0" diagonalDown="0" outline="0">
        <left style="thin">
          <color rgb="FF00B0F0"/>
        </left>
        <right style="thin">
          <color rgb="FF00B0F0"/>
        </right>
        <top style="thin">
          <color rgb="FF00B0F0"/>
        </top>
        <bottom style="thin">
          <color rgb="FF00B0F0"/>
        </bottom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border diagonalUp="0" diagonalDown="0" outline="0">
        <left style="thin">
          <color rgb="FF00B0F0"/>
        </left>
        <right style="thin">
          <color rgb="FF00B0F0"/>
        </right>
        <top style="thin">
          <color rgb="FF00B0F0"/>
        </top>
        <bottom style="thin">
          <color rgb="FF00B0F0"/>
        </bottom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border diagonalUp="0" diagonalDown="0" outline="0">
        <left style="thin">
          <color rgb="FF00B0F0"/>
        </left>
        <right style="thin">
          <color rgb="FF00B0F0"/>
        </right>
        <top style="thin">
          <color rgb="FF00B0F0"/>
        </top>
        <bottom style="thin">
          <color rgb="FF00B0F0"/>
        </bottom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border diagonalUp="0" diagonalDown="0" outline="0">
        <left style="thin">
          <color rgb="FF00B0F0"/>
        </left>
        <right style="thin">
          <color rgb="FF00B0F0"/>
        </right>
        <top style="thin">
          <color rgb="FF00B0F0"/>
        </top>
        <bottom style="thin">
          <color rgb="FF00B0F0"/>
        </bottom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border diagonalUp="0" diagonalDown="0" outline="0">
        <left style="thin">
          <color rgb="FF00B0F0"/>
        </left>
        <right style="thin">
          <color rgb="FF00B0F0"/>
        </right>
        <top style="thin">
          <color rgb="FF00B0F0"/>
        </top>
        <bottom style="thin">
          <color rgb="FF00B0F0"/>
        </bottom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border diagonalUp="0" diagonalDown="0" outline="0">
        <left style="thin">
          <color rgb="FF00B0F0"/>
        </left>
        <right style="thin">
          <color rgb="FF00B0F0"/>
        </right>
        <top style="thin">
          <color rgb="FF00B0F0"/>
        </top>
        <bottom style="thin">
          <color rgb="FF00B0F0"/>
        </bottom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border diagonalUp="0" diagonalDown="0" outline="0">
        <left style="thin">
          <color rgb="FF00B0F0"/>
        </left>
        <right style="thin">
          <color rgb="FF00B0F0"/>
        </right>
        <top style="thin">
          <color rgb="FF00B0F0"/>
        </top>
        <bottom style="thin">
          <color rgb="FF00B0F0"/>
        </bottom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border diagonalUp="0" diagonalDown="0" outline="0">
        <left style="thin">
          <color rgb="FF00B0F0"/>
        </left>
        <right style="thin">
          <color rgb="FF00B0F0"/>
        </right>
        <top style="thin">
          <color rgb="FF00B0F0"/>
        </top>
        <bottom style="thin">
          <color rgb="FF00B0F0"/>
        </bottom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border diagonalUp="0" diagonalDown="0" outline="0">
        <left style="thin">
          <color rgb="FF00B0F0"/>
        </left>
        <right style="thin">
          <color rgb="FF00B0F0"/>
        </right>
        <top style="thin">
          <color rgb="FF00B0F0"/>
        </top>
        <bottom style="thin">
          <color rgb="FF00B0F0"/>
        </bottom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border diagonalUp="0" diagonalDown="0" outline="0">
        <left style="thin">
          <color rgb="FF00B0F0"/>
        </left>
        <right style="thin">
          <color rgb="FF00B0F0"/>
        </right>
        <top style="thin">
          <color rgb="FF00B0F0"/>
        </top>
        <bottom style="thin">
          <color rgb="FF00B0F0"/>
        </bottom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border diagonalUp="0" diagonalDown="0" outline="0">
        <left style="thin">
          <color rgb="FF00B0F0"/>
        </left>
        <right style="thin">
          <color rgb="FF00B0F0"/>
        </right>
        <top style="thin">
          <color rgb="FF00B0F0"/>
        </top>
        <bottom style="thin">
          <color rgb="FF00B0F0"/>
        </bottom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border diagonalUp="0" diagonalDown="0" outline="0">
        <left style="thin">
          <color rgb="FF00B0F0"/>
        </left>
        <right style="thin">
          <color rgb="FF00B0F0"/>
        </right>
        <top style="thin">
          <color rgb="FF00B0F0"/>
        </top>
        <bottom style="thin">
          <color rgb="FF00B0F0"/>
        </bottom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border diagonalUp="0" diagonalDown="0" outline="0">
        <left style="thin">
          <color rgb="FF00B0F0"/>
        </left>
        <right style="thin">
          <color rgb="FF00B0F0"/>
        </right>
        <top style="thin">
          <color rgb="FF00B0F0"/>
        </top>
        <bottom style="thin">
          <color rgb="FF00B0F0"/>
        </bottom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border diagonalUp="0" diagonalDown="0" outline="0">
        <left style="thin">
          <color rgb="FF00B0F0"/>
        </left>
        <right style="thin">
          <color rgb="FF00B0F0"/>
        </right>
        <top style="thin">
          <color rgb="FF00B0F0"/>
        </top>
        <bottom style="thin">
          <color rgb="FF00B0F0"/>
        </bottom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border diagonalUp="0" diagonalDown="0" outline="0">
        <left style="thin">
          <color rgb="FF00B0F0"/>
        </left>
        <right style="thin">
          <color rgb="FF00B0F0"/>
        </right>
        <top style="thin">
          <color rgb="FF00B0F0"/>
        </top>
        <bottom style="thin">
          <color rgb="FF00B0F0"/>
        </bottom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border diagonalUp="0" diagonalDown="0" outline="0">
        <left style="thin">
          <color rgb="FF00B0F0"/>
        </left>
        <right style="thin">
          <color rgb="FF00B0F0"/>
        </right>
        <top style="thin">
          <color rgb="FF00B0F0"/>
        </top>
        <bottom style="thin">
          <color rgb="FF00B0F0"/>
        </bottom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border diagonalUp="0" diagonalDown="0" outline="0">
        <left style="thin">
          <color rgb="FF00B0F0"/>
        </left>
        <right style="thin">
          <color rgb="FF00B0F0"/>
        </right>
        <top style="thin">
          <color rgb="FF00B0F0"/>
        </top>
        <bottom style="thin">
          <color rgb="FF00B0F0"/>
        </bottom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border diagonalUp="0" diagonalDown="0" outline="0">
        <left style="thin">
          <color rgb="FF00B0F0"/>
        </left>
        <right style="thin">
          <color rgb="FF00B0F0"/>
        </right>
        <top style="thin">
          <color rgb="FF00B0F0"/>
        </top>
        <bottom style="thin">
          <color rgb="FF00B0F0"/>
        </bottom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border diagonalUp="0" diagonalDown="0" outline="0">
        <left style="thin">
          <color rgb="FF00B0F0"/>
        </left>
        <right style="thin">
          <color rgb="FF00B0F0"/>
        </right>
        <top style="thin">
          <color rgb="FF00B0F0"/>
        </top>
        <bottom style="thin">
          <color rgb="FF00B0F0"/>
        </bottom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border diagonalUp="0" diagonalDown="0" outline="0">
        <left/>
        <right style="thin">
          <color rgb="FF00B0F0"/>
        </right>
        <top style="thin">
          <color rgb="FF00B0F0"/>
        </top>
        <bottom style="thin">
          <color rgb="FF00B0F0"/>
        </bottom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FF"/>
        <name val="Times New Roman"/>
        <family val="1"/>
        <charset val="163"/>
        <scheme val="none"/>
      </font>
      <border diagonalUp="0" diagonalDown="0">
        <left style="thin">
          <color rgb="FF00B0F0"/>
        </left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FF"/>
        <name val="Times New Roman"/>
        <family val="1"/>
        <charset val="163"/>
        <scheme val="none"/>
      </font>
      <alignment horizontal="center" vertical="bottom" textRotation="0" wrapText="0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1" hidden="0"/>
    </dxf>
    <dxf>
      <border outline="0">
        <left style="thin">
          <color rgb="FF00B0F0"/>
        </left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fill>
        <patternFill patternType="none">
          <fgColor indexed="64"/>
          <bgColor indexed="65"/>
        </patternFill>
      </fill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FF"/>
        <name val="Times New Roman"/>
        <family val="1"/>
        <scheme val="none"/>
      </font>
      <fill>
        <patternFill patternType="solid">
          <fgColor indexed="64"/>
          <bgColor rgb="FFFFFF99"/>
        </patternFill>
      </fill>
      <alignment horizontal="center" vertical="center" textRotation="0" wrapText="1" indent="0" justifyLastLine="0" shrinkToFit="0" readingOrder="0"/>
      <protection locked="1" hidden="0"/>
    </dxf>
    <dxf>
      <font>
        <strike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177" formatCode="_(* #.##0_);_(* \(#.##0\);_(* &quot;-&quot;??_);_(@_)"/>
      <protection locked="0" hidden="0"/>
    </dxf>
    <dxf>
      <font>
        <strike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177" formatCode="_(* #.##0_);_(* \(#.##0\);_(* &quot;-&quot;??_);_(@_)"/>
      <protection locked="0" hidden="0"/>
    </dxf>
    <dxf>
      <font>
        <strike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177" formatCode="_(* #.##0_);_(* \(#.##0\);_(* &quot;-&quot;??_);_(@_)"/>
      <protection locked="0" hidden="0"/>
    </dxf>
    <dxf>
      <font>
        <strike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177" formatCode="_(* #.##0_);_(* \(#.##0\);_(* &quot;-&quot;??_);_(@_)"/>
      <protection locked="0" hidden="0"/>
    </dxf>
    <dxf>
      <font>
        <strike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177" formatCode="_(* #.##0_);_(* \(#.##0\);_(* &quot;-&quot;??_);_(@_)"/>
      <protection locked="0" hidden="0"/>
    </dxf>
    <dxf>
      <font>
        <strike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177" formatCode="_(* #.##0_);_(* \(#.##0\);_(* &quot;-&quot;??_);_(@_)"/>
      <protection locked="0" hidden="0"/>
    </dxf>
    <dxf>
      <font>
        <strike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177" formatCode="_(* #.##0_);_(* \(#.##0\);_(* &quot;-&quot;??_);_(@_)"/>
      <protection locked="0" hidden="0"/>
    </dxf>
    <dxf>
      <font>
        <strike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177" formatCode="_(* #.##0_);_(* \(#.##0\);_(* &quot;-&quot;??_);_(@_)"/>
      <protection locked="0" hidden="0"/>
    </dxf>
    <dxf>
      <font>
        <strike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177" formatCode="_(* #.##0_);_(* \(#.##0\);_(* &quot;-&quot;??_);_(@_)"/>
      <protection locked="0" hidden="0"/>
    </dxf>
    <dxf>
      <font>
        <strike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177" formatCode="_(* #.##0_);_(* \(#.##0\);_(* &quot;-&quot;??_);_(@_)"/>
      <protection locked="0" hidden="0"/>
    </dxf>
    <dxf>
      <font>
        <strike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177" formatCode="_(* #.##0_);_(* \(#.##0\);_(* &quot;-&quot;??_);_(@_)"/>
      <protection locked="0" hidden="0"/>
    </dxf>
    <dxf>
      <font>
        <strike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177" formatCode="_(* #.##0_);_(* \(#.##0\);_(* &quot;-&quot;??_);_(@_)"/>
      <protection locked="0" hidden="0"/>
    </dxf>
    <dxf>
      <font>
        <strike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177" formatCode="_(* #.##0_);_(* \(#.##0\);_(* &quot;-&quot;??_);_(@_)"/>
      <protection locked="0" hidden="0"/>
    </dxf>
    <dxf>
      <font>
        <strike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177" formatCode="_(* #.##0_);_(* \(#.##0\);_(* &quot;-&quot;??_);_(@_)"/>
      <protection locked="0" hidden="0"/>
    </dxf>
    <dxf>
      <font>
        <strike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177" formatCode="_(* #.##0_);_(* \(#.##0\);_(* &quot;-&quot;??_);_(@_)"/>
      <protection locked="0" hidden="0"/>
    </dxf>
    <dxf>
      <font>
        <strike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177" formatCode="_(* #.##0_);_(* \(#.##0\);_(* &quot;-&quot;??_);_(@_)"/>
      <protection locked="0" hidden="0"/>
    </dxf>
    <dxf>
      <font>
        <strike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177" formatCode="_(* #.##0_);_(* \(#.##0\);_(* &quot;-&quot;??_);_(@_)"/>
      <protection locked="0" hidden="0"/>
    </dxf>
    <dxf>
      <font>
        <strike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177" formatCode="_(* #.##0_);_(* \(#.##0\);_(* &quot;-&quot;??_);_(@_)"/>
      <protection locked="0" hidden="0"/>
    </dxf>
    <dxf>
      <font>
        <strike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177" formatCode="_(* #.##0_);_(* \(#.##0\);_(* &quot;-&quot;??_);_(@_)"/>
      <protection locked="0" hidden="0"/>
    </dxf>
    <dxf>
      <font>
        <strike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177" formatCode="_(* #.##0_);_(* \(#.##0\);_(* &quot;-&quot;??_);_(@_)"/>
      <protection locked="0" hidden="0"/>
    </dxf>
    <dxf>
      <font>
        <strike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177" formatCode="_(* #.##0_);_(* \(#.##0\);_(* &quot;-&quot;??_);_(@_)"/>
      <protection locked="0" hidden="0"/>
    </dxf>
    <dxf>
      <font>
        <strike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177" formatCode="_(* #.##0_);_(* \(#.##0\);_(* &quot;-&quot;??_);_(@_)"/>
      <protection locked="0" hidden="0"/>
    </dxf>
    <dxf>
      <font>
        <strike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177" formatCode="_(* #.##0_);_(* \(#.##0\);_(* &quot;-&quot;??_);_(@_)"/>
      <protection locked="0" hidden="0"/>
    </dxf>
    <dxf>
      <font>
        <strike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177" formatCode="_(* #.##0_);_(* \(#.##0\);_(* &quot;-&quot;??_);_(@_)"/>
      <protection locked="0" hidden="0"/>
    </dxf>
    <dxf>
      <font>
        <strike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177" formatCode="_(* #.##0_);_(* \(#.##0\);_(* &quot;-&quot;??_);_(@_)"/>
      <protection locked="0" hidden="0"/>
    </dxf>
    <dxf>
      <font>
        <strike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177" formatCode="_(* #.##0_);_(* \(#.##0\);_(* &quot;-&quot;??_);_(@_)"/>
      <protection locked="0" hidden="0"/>
    </dxf>
    <dxf>
      <font>
        <strike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177" formatCode="_(* #.##0_);_(* \(#.##0\);_(* &quot;-&quot;??_);_(@_)"/>
      <protection locked="0" hidden="0"/>
    </dxf>
    <dxf>
      <font>
        <strike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177" formatCode="_(* #.##0_);_(* \(#.##0\);_(* &quot;-&quot;??_);_(@_)"/>
      <protection locked="0" hidden="0"/>
    </dxf>
    <dxf>
      <font>
        <strike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177" formatCode="_(* #.##0_);_(* \(#.##0\);_(* &quot;-&quot;??_);_(@_)"/>
      <protection locked="0" hidden="0"/>
    </dxf>
    <dxf>
      <font>
        <strike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177" formatCode="_(* #.##0_);_(* \(#.##0\);_(* &quot;-&quot;??_);_(@_)"/>
      <protection locked="0" hidden="0"/>
    </dxf>
    <dxf>
      <font>
        <strike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177" formatCode="_(* #.##0_);_(* \(#.##0\);_(* &quot;-&quot;??_);_(@_)"/>
      <protection locked="0" hidden="0"/>
    </dxf>
    <dxf>
      <font>
        <strike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177" formatCode="_(* #.##0_);_(* \(#.##0\);_(* &quot;-&quot;??_);_(@_)"/>
      <protection locked="0" hidden="0"/>
    </dxf>
    <dxf>
      <font>
        <strike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177" formatCode="_(* #.##0_);_(* \(#.##0\);_(* &quot;-&quot;??_);_(@_)"/>
      <protection locked="0" hidden="0"/>
    </dxf>
    <dxf>
      <font>
        <strike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177" formatCode="_(* #.##0_);_(* \(#.##0\);_(* &quot;-&quot;??_);_(@_)"/>
      <protection locked="0" hidden="0"/>
    </dxf>
    <dxf>
      <font>
        <strike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177" formatCode="_(* #.##0_);_(* \(#.##0\);_(* &quot;-&quot;??_);_(@_)"/>
      <protection locked="0" hidden="0"/>
    </dxf>
    <dxf>
      <font>
        <strike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177" formatCode="_(* #.##0_);_(* \(#.##0\);_(* &quot;-&quot;??_);_(@_)"/>
      <protection locked="0" hidden="0"/>
    </dxf>
    <dxf>
      <font>
        <strike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177" formatCode="_(* #.##0_);_(* \(#.##0\);_(* &quot;-&quot;??_);_(@_)"/>
      <protection locked="0" hidden="0"/>
    </dxf>
    <dxf>
      <font>
        <strike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177" formatCode="_(* #.##0_);_(* \(#.##0\);_(* &quot;-&quot;??_);_(@_)"/>
      <protection locked="0" hidden="0"/>
    </dxf>
    <dxf>
      <font>
        <strike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177" formatCode="_(* #.##0_);_(* \(#.##0\);_(* &quot;-&quot;??_);_(@_)"/>
      <protection locked="0" hidden="0"/>
    </dxf>
    <dxf>
      <font>
        <strike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177" formatCode="_(* #.##0_);_(* \(#.##0\);_(* &quot;-&quot;??_);_(@_)"/>
      <protection locked="0" hidden="0"/>
    </dxf>
    <dxf>
      <font>
        <strike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177" formatCode="_(* #.##0_);_(* \(#.##0\);_(* &quot;-&quot;??_);_(@_)"/>
      <protection locked="0" hidden="0"/>
    </dxf>
    <dxf>
      <font>
        <strike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177" formatCode="_(* #.##0_);_(* \(#.##0\);_(* &quot;-&quot;??_);_(@_)"/>
      <protection locked="0" hidden="0"/>
    </dxf>
    <dxf>
      <font>
        <strike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177" formatCode="_(* #.##0_);_(* \(#.##0\);_(* &quot;-&quot;??_);_(@_)"/>
      <protection locked="0" hidden="0"/>
    </dxf>
    <dxf>
      <font>
        <strike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177" formatCode="_(* #.##0_);_(* \(#.##0\);_(* &quot;-&quot;??_);_(@_)"/>
      <protection locked="0" hidden="0"/>
    </dxf>
    <dxf>
      <font>
        <strike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177" formatCode="_(* #.##0_);_(* \(#.##0\);_(* &quot;-&quot;??_);_(@_)"/>
      <protection locked="0" hidden="0"/>
    </dxf>
    <dxf>
      <font>
        <strike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177" formatCode="_(* #.##0_);_(* \(#.##0\);_(* &quot;-&quot;??_);_(@_)"/>
      <protection locked="0" hidden="0"/>
    </dxf>
    <dxf>
      <font>
        <strike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177" formatCode="_(* #.##0_);_(* \(#.##0\);_(* &quot;-&quot;??_);_(@_)"/>
      <protection locked="0" hidden="0"/>
    </dxf>
    <dxf>
      <font>
        <strike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177" formatCode="_(* #.##0_);_(* \(#.##0\);_(* &quot;-&quot;??_);_(@_)"/>
      <protection locked="0" hidden="0"/>
    </dxf>
    <dxf>
      <font>
        <strike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protection locked="0" hidden="0"/>
    </dxf>
    <dxf>
      <font>
        <strike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protection locked="0" hidden="0"/>
    </dxf>
    <dxf>
      <font>
        <strike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protection locked="0" hidden="0"/>
    </dxf>
    <dxf>
      <font>
        <strike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protection locked="0" hidden="0"/>
    </dxf>
    <dxf>
      <font>
        <strike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protection locked="0" hidden="0"/>
    </dxf>
    <dxf>
      <font>
        <strike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protection locked="0" hidden="0"/>
    </dxf>
    <dxf>
      <font>
        <strike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protection locked="0" hidden="0"/>
    </dxf>
    <dxf>
      <font>
        <strike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protection locked="0" hidden="0"/>
    </dxf>
    <dxf>
      <font>
        <strike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protection locked="0" hidden="0"/>
    </dxf>
    <dxf>
      <font>
        <strike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protection locked="0" hidden="0"/>
    </dxf>
    <dxf>
      <font>
        <strike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protection locked="0" hidden="0"/>
    </dxf>
    <dxf>
      <font>
        <strike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protection locked="0" hidden="0"/>
    </dxf>
    <dxf>
      <font>
        <strike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protection locked="0" hidden="0"/>
    </dxf>
    <dxf>
      <font>
        <strike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protection locked="0" hidden="0"/>
    </dxf>
    <dxf>
      <font>
        <strike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protection locked="0" hidden="0"/>
    </dxf>
    <dxf>
      <font>
        <strike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protection locked="0" hidden="0"/>
    </dxf>
    <dxf>
      <font>
        <strike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protection locked="0" hidden="0"/>
    </dxf>
    <dxf>
      <font>
        <strike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protection locked="0" hidden="0"/>
    </dxf>
    <dxf>
      <font>
        <strike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protection locked="0" hidden="0"/>
    </dxf>
    <dxf>
      <font>
        <strike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protection locked="0" hidden="0"/>
    </dxf>
    <dxf>
      <font>
        <strike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protection locked="0" hidden="0"/>
    </dxf>
    <dxf>
      <font>
        <strike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protection locked="0" hidden="0"/>
    </dxf>
    <dxf>
      <font>
        <strike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protection locked="0" hidden="0"/>
    </dxf>
    <dxf>
      <font>
        <strike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protection locked="0" hidden="0"/>
    </dxf>
    <dxf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FF"/>
        <name val="Times New Roman"/>
        <family val="1"/>
        <charset val="163"/>
        <scheme val="none"/>
      </font>
      <numFmt numFmtId="3" formatCode="#,##0"/>
      <alignment horizontal="left" vertical="top" textRotation="0" wrapText="1" indent="1" justifyLastLine="0" shrinkToFit="0" readingOrder="0"/>
      <border diagonalUp="0" diagonalDown="0">
        <left style="thin">
          <color rgb="FF00B0F0"/>
        </left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FF"/>
        <name val="Times New Roman"/>
        <family val="1"/>
        <charset val="163"/>
        <scheme val="none"/>
      </font>
      <numFmt numFmtId="3" formatCode="#,##0"/>
      <alignment horizontal="center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1" hidden="0"/>
    </dxf>
    <dxf>
      <border outline="0">
        <left style="thin">
          <color rgb="FF00B0F0"/>
        </left>
      </border>
    </dxf>
    <dxf>
      <numFmt numFmtId="177" formatCode="_(* #.##0_);_(* \(#.##0\);_(* &quot;-&quot;??_);_(@_)"/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FF"/>
        <name val="Times New Roman"/>
        <family val="1"/>
        <scheme val="none"/>
      </font>
      <numFmt numFmtId="0" formatCode="General"/>
      <fill>
        <patternFill patternType="solid">
          <fgColor indexed="64"/>
          <bgColor rgb="FFFFFF99"/>
        </patternFill>
      </fill>
      <alignment horizontal="center" vertical="center" textRotation="0" wrapText="1" indent="0" justifyLastLine="0" shrinkToFit="0" readingOrder="0"/>
      <protection locked="1" hidden="0"/>
    </dxf>
    <dxf>
      <font>
        <strike val="0"/>
        <outline val="0"/>
        <shadow val="0"/>
        <vertAlign val="baseline"/>
        <sz val="11"/>
        <color theme="1"/>
        <name val="Times New Roman"/>
        <family val="1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 outline="0">
        <left style="thin">
          <color rgb="FF00B0F0"/>
        </left>
        <right style="thin">
          <color rgb="FF00B0F0"/>
        </right>
        <top style="thin">
          <color rgb="FF00B0F0"/>
        </top>
        <bottom style="thin">
          <color rgb="FF00B0F0"/>
        </bottom>
      </border>
      <protection locked="0" hidden="0"/>
    </dxf>
    <dxf>
      <font>
        <strike val="0"/>
        <outline val="0"/>
        <shadow val="0"/>
        <vertAlign val="baseline"/>
        <sz val="11"/>
        <color theme="1"/>
        <name val="Times New Roman"/>
        <family val="1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 outline="0">
        <left style="thin">
          <color rgb="FF00B0F0"/>
        </left>
        <right/>
        <top style="thin">
          <color rgb="FF00B0F0"/>
        </top>
        <bottom style="thin">
          <color rgb="FF00B0F0"/>
        </bottom>
      </border>
      <protection locked="0" hidden="0"/>
    </dxf>
    <dxf>
      <font>
        <strike val="0"/>
        <outline val="0"/>
        <shadow val="0"/>
        <vertAlign val="baseline"/>
        <sz val="11"/>
        <color theme="1"/>
        <name val="Times New Roman"/>
        <family val="1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 outline="0">
        <left style="thin">
          <color rgb="FF00B0F0"/>
        </left>
        <right/>
        <top style="thin">
          <color rgb="FF00B0F0"/>
        </top>
        <bottom style="thin">
          <color rgb="FF00B0F0"/>
        </bottom>
      </border>
      <protection locked="0" hidden="0"/>
    </dxf>
    <dxf>
      <font>
        <strike val="0"/>
        <outline val="0"/>
        <shadow val="0"/>
        <vertAlign val="baseline"/>
        <sz val="11"/>
        <color theme="1"/>
        <name val="Times New Roman"/>
        <family val="1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 outline="0">
        <left style="thin">
          <color rgb="FF00B0F0"/>
        </left>
        <right/>
        <top style="thin">
          <color rgb="FF00B0F0"/>
        </top>
        <bottom style="thin">
          <color rgb="FF00B0F0"/>
        </bottom>
      </border>
      <protection locked="0" hidden="0"/>
    </dxf>
    <dxf>
      <font>
        <strike val="0"/>
        <outline val="0"/>
        <shadow val="0"/>
        <vertAlign val="baseline"/>
        <sz val="11"/>
        <color theme="1"/>
        <name val="Times New Roman"/>
        <family val="1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 outline="0">
        <left style="thin">
          <color rgb="FF00B0F0"/>
        </left>
        <right/>
        <top style="thin">
          <color rgb="FF00B0F0"/>
        </top>
        <bottom style="thin">
          <color rgb="FF00B0F0"/>
        </bottom>
      </border>
      <protection locked="0" hidden="0"/>
    </dxf>
    <dxf>
      <font>
        <strike val="0"/>
        <outline val="0"/>
        <shadow val="0"/>
        <vertAlign val="baseline"/>
        <sz val="11"/>
        <color theme="1"/>
        <name val="Times New Roman"/>
        <family val="1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 outline="0">
        <left style="thin">
          <color rgb="FF00B0F0"/>
        </left>
        <right/>
        <top style="thin">
          <color rgb="FF00B0F0"/>
        </top>
        <bottom style="thin">
          <color rgb="FF00B0F0"/>
        </bottom>
      </border>
      <protection locked="0" hidden="0"/>
    </dxf>
    <dxf>
      <font>
        <strike val="0"/>
        <outline val="0"/>
        <shadow val="0"/>
        <vertAlign val="baseline"/>
        <sz val="11"/>
        <color theme="1"/>
        <name val="Times New Roman"/>
        <family val="1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 outline="0">
        <left style="thin">
          <color rgb="FF00B0F0"/>
        </left>
        <right/>
        <top style="thin">
          <color rgb="FF00B0F0"/>
        </top>
        <bottom style="thin">
          <color rgb="FF00B0F0"/>
        </bottom>
      </border>
      <protection locked="0" hidden="0"/>
    </dxf>
    <dxf>
      <font>
        <strike val="0"/>
        <outline val="0"/>
        <shadow val="0"/>
        <vertAlign val="baseline"/>
        <sz val="11"/>
        <color theme="1"/>
        <name val="Times New Roman"/>
        <family val="1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 outline="0">
        <left style="thin">
          <color rgb="FF00B0F0"/>
        </left>
        <right/>
        <top style="thin">
          <color rgb="FF00B0F0"/>
        </top>
        <bottom style="thin">
          <color rgb="FF00B0F0"/>
        </bottom>
      </border>
      <protection locked="0" hidden="0"/>
    </dxf>
    <dxf>
      <font>
        <strike val="0"/>
        <outline val="0"/>
        <shadow val="0"/>
        <vertAlign val="baseline"/>
        <sz val="11"/>
        <color theme="1"/>
        <name val="Times New Roman"/>
        <family val="1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 outline="0">
        <left style="thin">
          <color rgb="FF00B0F0"/>
        </left>
        <right/>
        <top style="thin">
          <color rgb="FF00B0F0"/>
        </top>
        <bottom style="thin">
          <color rgb="FF00B0F0"/>
        </bottom>
      </border>
      <protection locked="0" hidden="0"/>
    </dxf>
    <dxf>
      <font>
        <strike val="0"/>
        <outline val="0"/>
        <shadow val="0"/>
        <vertAlign val="baseline"/>
        <sz val="11"/>
        <color theme="1"/>
        <name val="Times New Roman"/>
        <family val="1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 outline="0">
        <left style="thin">
          <color rgb="FF00B0F0"/>
        </left>
        <right/>
        <top style="thin">
          <color rgb="FF00B0F0"/>
        </top>
        <bottom style="thin">
          <color rgb="FF00B0F0"/>
        </bottom>
      </border>
      <protection locked="0" hidden="0"/>
    </dxf>
    <dxf>
      <font>
        <strike val="0"/>
        <outline val="0"/>
        <shadow val="0"/>
        <vertAlign val="baseline"/>
        <sz val="11"/>
        <color theme="1"/>
        <name val="Times New Roman"/>
        <family val="1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 outline="0">
        <left style="thin">
          <color rgb="FF00B0F0"/>
        </left>
        <right/>
        <top style="thin">
          <color rgb="FF00B0F0"/>
        </top>
        <bottom style="thin">
          <color rgb="FF00B0F0"/>
        </bottom>
      </border>
      <protection locked="0" hidden="0"/>
    </dxf>
    <dxf>
      <font>
        <strike val="0"/>
        <outline val="0"/>
        <shadow val="0"/>
        <vertAlign val="baseline"/>
        <sz val="11"/>
        <color theme="1"/>
        <name val="Times New Roman"/>
        <family val="1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 outline="0">
        <left style="thin">
          <color rgb="FF00B0F0"/>
        </left>
        <right/>
        <top style="thin">
          <color rgb="FF00B0F0"/>
        </top>
        <bottom style="thin">
          <color rgb="FF00B0F0"/>
        </bottom>
      </border>
      <protection locked="0" hidden="0"/>
    </dxf>
    <dxf>
      <font>
        <strike val="0"/>
        <outline val="0"/>
        <shadow val="0"/>
        <vertAlign val="baseline"/>
        <sz val="11"/>
        <color theme="1"/>
        <name val="Times New Roman"/>
        <family val="1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 outline="0">
        <left style="thin">
          <color rgb="FF00B0F0"/>
        </left>
        <right/>
        <top style="thin">
          <color rgb="FF00B0F0"/>
        </top>
        <bottom style="thin">
          <color rgb="FF00B0F0"/>
        </bottom>
      </border>
      <protection locked="0" hidden="0"/>
    </dxf>
    <dxf>
      <font>
        <strike val="0"/>
        <outline val="0"/>
        <shadow val="0"/>
        <vertAlign val="baseline"/>
        <sz val="11"/>
        <color theme="1"/>
        <name val="Times New Roman"/>
        <family val="1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 outline="0">
        <left style="thin">
          <color rgb="FF00B0F0"/>
        </left>
        <right/>
        <top style="thin">
          <color rgb="FF00B0F0"/>
        </top>
        <bottom style="thin">
          <color rgb="FF00B0F0"/>
        </bottom>
      </border>
      <protection locked="0" hidden="0"/>
    </dxf>
    <dxf>
      <font>
        <strike val="0"/>
        <outline val="0"/>
        <shadow val="0"/>
        <vertAlign val="baseline"/>
        <sz val="11"/>
        <color theme="1"/>
        <name val="Times New Roman"/>
        <family val="1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 outline="0">
        <left style="thin">
          <color rgb="FF00B0F0"/>
        </left>
        <right/>
        <top style="thin">
          <color rgb="FF00B0F0"/>
        </top>
        <bottom style="thin">
          <color rgb="FF00B0F0"/>
        </bottom>
      </border>
      <protection locked="0" hidden="0"/>
    </dxf>
    <dxf>
      <font>
        <strike val="0"/>
        <outline val="0"/>
        <shadow val="0"/>
        <vertAlign val="baseline"/>
        <sz val="11"/>
        <color theme="1"/>
        <name val="Times New Roman"/>
        <family val="1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 outline="0">
        <left style="thin">
          <color rgb="FF00B0F0"/>
        </left>
        <right/>
        <top style="thin">
          <color rgb="FF00B0F0"/>
        </top>
        <bottom style="thin">
          <color rgb="FF00B0F0"/>
        </bottom>
      </border>
      <protection locked="0" hidden="0"/>
    </dxf>
    <dxf>
      <font>
        <strike val="0"/>
        <outline val="0"/>
        <shadow val="0"/>
        <vertAlign val="baseline"/>
        <sz val="11"/>
        <color theme="1"/>
        <name val="Times New Roman"/>
        <family val="1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 outline="0">
        <left style="thin">
          <color rgb="FF00B0F0"/>
        </left>
        <right/>
        <top style="thin">
          <color rgb="FF00B0F0"/>
        </top>
        <bottom style="thin">
          <color rgb="FF00B0F0"/>
        </bottom>
      </border>
      <protection locked="0" hidden="0"/>
    </dxf>
    <dxf>
      <font>
        <strike val="0"/>
        <outline val="0"/>
        <shadow val="0"/>
        <vertAlign val="baseline"/>
        <sz val="11"/>
        <color theme="1"/>
        <name val="Times New Roman"/>
        <family val="1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 outline="0">
        <left style="thin">
          <color rgb="FF00B0F0"/>
        </left>
        <right/>
        <top style="thin">
          <color rgb="FF00B0F0"/>
        </top>
        <bottom style="thin">
          <color rgb="FF00B0F0"/>
        </bottom>
      </border>
      <protection locked="0" hidden="0"/>
    </dxf>
    <dxf>
      <font>
        <strike val="0"/>
        <outline val="0"/>
        <shadow val="0"/>
        <vertAlign val="baseline"/>
        <sz val="11"/>
        <color theme="1"/>
        <name val="Times New Roman"/>
        <family val="1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 outline="0">
        <left style="thin">
          <color rgb="FF00B0F0"/>
        </left>
        <right/>
        <top style="thin">
          <color rgb="FF00B0F0"/>
        </top>
        <bottom style="thin">
          <color rgb="FF00B0F0"/>
        </bottom>
      </border>
      <protection locked="0" hidden="0"/>
    </dxf>
    <dxf>
      <font>
        <strike val="0"/>
        <outline val="0"/>
        <shadow val="0"/>
        <vertAlign val="baseline"/>
        <sz val="11"/>
        <color theme="1"/>
        <name val="Times New Roman"/>
        <family val="1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 outline="0">
        <left style="thin">
          <color rgb="FF00B0F0"/>
        </left>
        <right/>
        <top style="thin">
          <color rgb="FF00B0F0"/>
        </top>
        <bottom style="thin">
          <color rgb="FF00B0F0"/>
        </bottom>
      </border>
      <protection locked="0" hidden="0"/>
    </dxf>
    <dxf>
      <font>
        <strike val="0"/>
        <outline val="0"/>
        <shadow val="0"/>
        <vertAlign val="baseline"/>
        <sz val="11"/>
        <color theme="1"/>
        <name val="Times New Roman"/>
        <family val="1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 outline="0">
        <left style="thin">
          <color rgb="FF00B0F0"/>
        </left>
        <right/>
        <top style="thin">
          <color rgb="FF00B0F0"/>
        </top>
        <bottom style="thin">
          <color rgb="FF00B0F0"/>
        </bottom>
      </border>
      <protection locked="0" hidden="0"/>
    </dxf>
    <dxf>
      <font>
        <strike val="0"/>
        <outline val="0"/>
        <shadow val="0"/>
        <vertAlign val="baseline"/>
        <sz val="11"/>
        <color theme="1"/>
        <name val="Times New Roman"/>
        <family val="1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 outline="0">
        <left style="thin">
          <color rgb="FF00B0F0"/>
        </left>
        <right/>
        <top style="thin">
          <color rgb="FF00B0F0"/>
        </top>
        <bottom style="thin">
          <color rgb="FF00B0F0"/>
        </bottom>
      </border>
      <protection locked="0" hidden="0"/>
    </dxf>
    <dxf>
      <font>
        <strike val="0"/>
        <outline val="0"/>
        <shadow val="0"/>
        <vertAlign val="baseline"/>
        <sz val="11"/>
        <color theme="1"/>
        <name val="Times New Roman"/>
        <family val="1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 outline="0">
        <left style="thin">
          <color rgb="FF00B0F0"/>
        </left>
        <right/>
        <top style="thin">
          <color rgb="FF00B0F0"/>
        </top>
        <bottom style="thin">
          <color rgb="FF00B0F0"/>
        </bottom>
      </border>
      <protection locked="0" hidden="0"/>
    </dxf>
    <dxf>
      <font>
        <strike val="0"/>
        <outline val="0"/>
        <shadow val="0"/>
        <vertAlign val="baseline"/>
        <sz val="11"/>
        <color theme="1"/>
        <name val="Times New Roman"/>
        <family val="1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 outline="0">
        <left style="thin">
          <color rgb="FF00B0F0"/>
        </left>
        <right/>
        <top style="thin">
          <color rgb="FF00B0F0"/>
        </top>
        <bottom style="thin">
          <color rgb="FF00B0F0"/>
        </bottom>
      </border>
      <protection locked="0" hidden="0"/>
    </dxf>
    <dxf>
      <font>
        <strike val="0"/>
        <outline val="0"/>
        <shadow val="0"/>
        <vertAlign val="baseline"/>
        <sz val="11"/>
        <name val="Times New Roman"/>
        <family val="1"/>
        <scheme val="none"/>
      </font>
      <border outline="0">
        <left style="thin">
          <color rgb="FF00B0F0"/>
        </left>
        <right/>
      </border>
      <protection locked="0" hidden="0"/>
    </dxf>
    <dxf>
      <font>
        <strike val="0"/>
        <outline val="0"/>
        <shadow val="0"/>
        <vertAlign val="baseline"/>
        <sz val="11"/>
        <name val="Times New Roman"/>
        <family val="1"/>
        <scheme val="none"/>
      </font>
      <border outline="0">
        <left style="thin">
          <color rgb="FF00B0F0"/>
        </left>
        <right/>
      </border>
      <protection locked="0" hidden="0"/>
    </dxf>
    <dxf>
      <font>
        <strike val="0"/>
        <outline val="0"/>
        <shadow val="0"/>
        <vertAlign val="baseline"/>
        <sz val="11"/>
        <name val="Times New Roman"/>
        <family val="1"/>
        <scheme val="none"/>
      </font>
      <border outline="0">
        <left style="thin">
          <color rgb="FF00B0F0"/>
        </left>
        <right/>
      </border>
      <protection locked="0" hidden="0"/>
    </dxf>
    <dxf>
      <font>
        <strike val="0"/>
        <outline val="0"/>
        <shadow val="0"/>
        <vertAlign val="baseline"/>
        <sz val="11"/>
        <name val="Times New Roman"/>
        <family val="1"/>
        <scheme val="none"/>
      </font>
      <border outline="0">
        <left style="thin">
          <color rgb="FF00B0F0"/>
        </left>
        <right/>
      </border>
      <protection locked="0" hidden="0"/>
    </dxf>
    <dxf>
      <font>
        <strike val="0"/>
        <outline val="0"/>
        <shadow val="0"/>
        <vertAlign val="baseline"/>
        <sz val="11"/>
        <name val="Times New Roman"/>
        <family val="1"/>
        <scheme val="none"/>
      </font>
      <border outline="0">
        <left style="thin">
          <color rgb="FF00B0F0"/>
        </left>
        <right/>
      </border>
      <protection locked="0" hidden="0"/>
    </dxf>
    <dxf>
      <font>
        <strike val="0"/>
        <outline val="0"/>
        <shadow val="0"/>
        <vertAlign val="baseline"/>
        <sz val="11"/>
        <name val="Times New Roman"/>
        <family val="1"/>
        <scheme val="none"/>
      </font>
      <border outline="0">
        <left style="thin">
          <color rgb="FF00B0F0"/>
        </left>
        <right/>
      </border>
      <protection locked="0" hidden="0"/>
    </dxf>
    <dxf>
      <font>
        <strike val="0"/>
        <outline val="0"/>
        <shadow val="0"/>
        <vertAlign val="baseline"/>
        <sz val="11"/>
        <name val="Times New Roman"/>
        <family val="1"/>
        <scheme val="none"/>
      </font>
      <border outline="0">
        <left style="thin">
          <color rgb="FF00B0F0"/>
        </left>
        <right/>
      </border>
      <protection locked="0" hidden="0"/>
    </dxf>
    <dxf>
      <font>
        <strike val="0"/>
        <outline val="0"/>
        <shadow val="0"/>
        <vertAlign val="baseline"/>
        <sz val="11"/>
        <name val="Times New Roman"/>
        <family val="1"/>
        <scheme val="none"/>
      </font>
      <border outline="0">
        <left style="thin">
          <color rgb="FF00B0F0"/>
        </left>
        <right/>
      </border>
      <protection locked="0" hidden="0"/>
    </dxf>
    <dxf>
      <font>
        <strike val="0"/>
        <outline val="0"/>
        <shadow val="0"/>
        <vertAlign val="baseline"/>
        <sz val="11"/>
        <name val="Times New Roman"/>
        <family val="1"/>
        <scheme val="none"/>
      </font>
      <border outline="0">
        <left style="thin">
          <color rgb="FF00B0F0"/>
        </left>
        <right/>
      </border>
      <protection locked="0" hidden="0"/>
    </dxf>
    <dxf>
      <font>
        <strike val="0"/>
        <outline val="0"/>
        <shadow val="0"/>
        <vertAlign val="baseline"/>
        <sz val="11"/>
        <name val="Times New Roman"/>
        <family val="1"/>
        <scheme val="none"/>
      </font>
      <border outline="0">
        <left style="thin">
          <color rgb="FF00B0F0"/>
        </left>
        <right/>
      </border>
      <protection locked="0" hidden="0"/>
    </dxf>
    <dxf>
      <font>
        <strike val="0"/>
        <outline val="0"/>
        <shadow val="0"/>
        <vertAlign val="baseline"/>
        <sz val="11"/>
        <name val="Times New Roman"/>
        <family val="1"/>
        <scheme val="none"/>
      </font>
      <border outline="0">
        <left style="thin">
          <color rgb="FF00B0F0"/>
        </left>
        <right/>
      </border>
      <protection locked="0" hidden="0"/>
    </dxf>
    <dxf>
      <font>
        <strike val="0"/>
        <outline val="0"/>
        <shadow val="0"/>
        <vertAlign val="baseline"/>
        <sz val="11"/>
        <name val="Times New Roman"/>
        <family val="1"/>
        <scheme val="none"/>
      </font>
      <border outline="0">
        <left style="thin">
          <color rgb="FF00B0F0"/>
        </left>
        <right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  <border diagonalUp="0" diagonalDown="0" outline="0">
        <left style="thin">
          <color rgb="FF00B0F0"/>
        </left>
        <right/>
        <top style="thin">
          <color rgb="FF00B0F0"/>
        </top>
        <bottom style="thin">
          <color rgb="FF00B0F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  <border diagonalUp="0" diagonalDown="0" outline="0">
        <left style="thin">
          <color rgb="FF00B0F0"/>
        </left>
        <right/>
        <top style="thin">
          <color rgb="FF00B0F0"/>
        </top>
        <bottom style="thin">
          <color rgb="FF00B0F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  <border diagonalUp="0" diagonalDown="0" outline="0">
        <left style="thin">
          <color rgb="FF00B0F0"/>
        </left>
        <right/>
        <top style="thin">
          <color rgb="FF00B0F0"/>
        </top>
        <bottom style="thin">
          <color rgb="FF00B0F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  <border diagonalUp="0" diagonalDown="0" outline="0">
        <left style="thin">
          <color rgb="FF00B0F0"/>
        </left>
        <right/>
        <top style="thin">
          <color rgb="FF00B0F0"/>
        </top>
        <bottom style="thin">
          <color rgb="FF00B0F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  <border diagonalUp="0" diagonalDown="0" outline="0">
        <left style="thin">
          <color rgb="FF00B0F0"/>
        </left>
        <right/>
        <top style="thin">
          <color rgb="FF00B0F0"/>
        </top>
        <bottom style="thin">
          <color rgb="FF00B0F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  <border diagonalUp="0" diagonalDown="0" outline="0">
        <left style="thin">
          <color rgb="FF00B0F0"/>
        </left>
        <right/>
        <top style="thin">
          <color rgb="FF00B0F0"/>
        </top>
        <bottom style="thin">
          <color rgb="FF00B0F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  <border diagonalUp="0" diagonalDown="0" outline="0">
        <left style="thin">
          <color rgb="FF00B0F0"/>
        </left>
        <right/>
        <top style="thin">
          <color rgb="FF00B0F0"/>
        </top>
        <bottom style="thin">
          <color rgb="FF00B0F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  <border diagonalUp="0" diagonalDown="0" outline="0">
        <left style="thin">
          <color rgb="FF00B0F0"/>
        </left>
        <right/>
        <top style="thin">
          <color rgb="FF00B0F0"/>
        </top>
        <bottom style="thin">
          <color rgb="FF00B0F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  <border diagonalUp="0" diagonalDown="0" outline="0">
        <left style="thin">
          <color rgb="FF00B0F0"/>
        </left>
        <right/>
        <top style="thin">
          <color rgb="FF00B0F0"/>
        </top>
        <bottom style="thin">
          <color rgb="FF00B0F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  <border diagonalUp="0" diagonalDown="0" outline="0">
        <left style="thin">
          <color rgb="FF00B0F0"/>
        </left>
        <right/>
        <top style="thin">
          <color rgb="FF00B0F0"/>
        </top>
        <bottom style="thin">
          <color rgb="FF00B0F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  <border diagonalUp="0" diagonalDown="0" outline="0">
        <left style="thin">
          <color rgb="FF00B0F0"/>
        </left>
        <right/>
        <top style="thin">
          <color rgb="FF00B0F0"/>
        </top>
        <bottom style="thin">
          <color rgb="FF00B0F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  <border diagonalUp="0" diagonalDown="0" outline="0">
        <left style="thin">
          <color rgb="FF00B0F0"/>
        </left>
        <right/>
        <top style="thin">
          <color rgb="FF00B0F0"/>
        </top>
        <bottom style="thin">
          <color rgb="FF00B0F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  <border diagonalUp="0" diagonalDown="0" outline="0">
        <left style="thin">
          <color rgb="FF00B0F0"/>
        </left>
        <right/>
        <top style="thin">
          <color rgb="FF00B0F0"/>
        </top>
        <bottom style="thin">
          <color rgb="FF00B0F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  <border diagonalUp="0" diagonalDown="0" outline="0">
        <left style="thin">
          <color rgb="FF00B0F0"/>
        </left>
        <right/>
        <top style="thin">
          <color rgb="FF00B0F0"/>
        </top>
        <bottom style="thin">
          <color rgb="FF00B0F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  <border diagonalUp="0" diagonalDown="0" outline="0">
        <left style="thin">
          <color rgb="FF00B0F0"/>
        </left>
        <right/>
        <top style="thin">
          <color rgb="FF00B0F0"/>
        </top>
        <bottom style="thin">
          <color rgb="FF00B0F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 outline="0">
        <left style="thin">
          <color rgb="FF00B0F0"/>
        </left>
        <right/>
        <top style="thin">
          <color rgb="FF00B0F0"/>
        </top>
        <bottom style="thin">
          <color rgb="FF00B0F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 outline="0">
        <left style="thin">
          <color rgb="FF00B0F0"/>
        </left>
        <right/>
        <top style="thin">
          <color rgb="FF00B0F0"/>
        </top>
        <bottom style="thin">
          <color rgb="FF00B0F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 outline="0">
        <left style="thin">
          <color rgb="FF00B0F0"/>
        </left>
        <right/>
        <top style="thin">
          <color rgb="FF00B0F0"/>
        </top>
        <bottom style="thin">
          <color rgb="FF00B0F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 outline="0">
        <left style="thin">
          <color rgb="FF00B0F0"/>
        </left>
        <right/>
        <top style="thin">
          <color rgb="FF00B0F0"/>
        </top>
        <bottom style="thin">
          <color rgb="FF00B0F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 outline="0">
        <left style="thin">
          <color rgb="FF00B0F0"/>
        </left>
        <right/>
        <top style="thin">
          <color rgb="FF00B0F0"/>
        </top>
        <bottom style="thin">
          <color rgb="FF00B0F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 outline="0">
        <left style="thin">
          <color rgb="FF00B0F0"/>
        </left>
        <right/>
        <top style="thin">
          <color rgb="FF00B0F0"/>
        </top>
        <bottom style="thin">
          <color rgb="FF00B0F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 outline="0">
        <left style="thin">
          <color rgb="FF00B0F0"/>
        </left>
        <right/>
        <top style="thin">
          <color rgb="FF00B0F0"/>
        </top>
        <bottom style="thin">
          <color rgb="FF00B0F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 outline="0">
        <left style="thin">
          <color rgb="FF00B0F0"/>
        </left>
        <right/>
        <top style="thin">
          <color rgb="FF00B0F0"/>
        </top>
        <bottom style="thin">
          <color rgb="FF00B0F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 outline="0">
        <left style="thin">
          <color rgb="FF00B0F0"/>
        </left>
        <right/>
        <top style="thin">
          <color rgb="FF00B0F0"/>
        </top>
        <bottom style="thin">
          <color rgb="FF00B0F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 outline="0">
        <left style="thin">
          <color rgb="FF00B0F0"/>
        </left>
        <right/>
        <top style="thin">
          <color rgb="FF00B0F0"/>
        </top>
        <bottom style="thin">
          <color rgb="FF00B0F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 outline="0">
        <left style="thin">
          <color rgb="FF00B0F0"/>
        </left>
        <right/>
        <top style="thin">
          <color rgb="FF00B0F0"/>
        </top>
        <bottom style="thin">
          <color rgb="FF00B0F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 outline="0">
        <left style="thin">
          <color rgb="FF00B0F0"/>
        </left>
        <right/>
        <top style="thin">
          <color rgb="FF00B0F0"/>
        </top>
        <bottom style="thin">
          <color rgb="FF00B0F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 outline="0">
        <left style="thin">
          <color rgb="FF00B0F0"/>
        </left>
        <right/>
        <top style="thin">
          <color rgb="FF00B0F0"/>
        </top>
        <bottom style="thin">
          <color rgb="FF00B0F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 outline="0">
        <left style="thin">
          <color rgb="FF00B0F0"/>
        </left>
        <right/>
        <top style="thin">
          <color rgb="FF00B0F0"/>
        </top>
        <bottom style="thin">
          <color rgb="FF00B0F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 outline="0">
        <left style="thin">
          <color rgb="FF00B0F0"/>
        </left>
        <right/>
        <top style="thin">
          <color rgb="FF00B0F0"/>
        </top>
        <bottom style="thin">
          <color rgb="FF00B0F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 outline="0">
        <left style="thin">
          <color rgb="FF00B0F0"/>
        </left>
        <right/>
        <top style="thin">
          <color rgb="FF00B0F0"/>
        </top>
        <bottom style="thin">
          <color rgb="FF00B0F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 outline="0">
        <left style="thin">
          <color rgb="FF00B0F0"/>
        </left>
        <right/>
        <top style="thin">
          <color rgb="FF00B0F0"/>
        </top>
        <bottom style="thin">
          <color rgb="FF00B0F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 outline="0">
        <left style="thin">
          <color rgb="FF00B0F0"/>
        </left>
        <right/>
        <top style="thin">
          <color rgb="FF00B0F0"/>
        </top>
        <bottom style="thin">
          <color rgb="FF00B0F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 outline="0">
        <left style="thin">
          <color rgb="FF00B0F0"/>
        </left>
        <right/>
        <top style="thin">
          <color rgb="FF00B0F0"/>
        </top>
        <bottom style="thin">
          <color rgb="FF00B0F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 outline="0">
        <left style="thin">
          <color rgb="FF00B0F0"/>
        </left>
        <right/>
        <top style="thin">
          <color rgb="FF00B0F0"/>
        </top>
        <bottom style="thin">
          <color rgb="FF00B0F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 outline="0">
        <left/>
        <right/>
        <top style="thin">
          <color rgb="FF00B0F0"/>
        </top>
        <bottom style="thin">
          <color rgb="FF00B0F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center" vertical="top" textRotation="0" wrapText="1" indent="0" justifyLastLine="0" shrinkToFit="0" readingOrder="0"/>
      <border diagonalUp="0" diagonalDown="0" outline="0">
        <left/>
        <right/>
        <top style="thin">
          <color rgb="FF00B0F0"/>
        </top>
        <bottom style="thin">
          <color rgb="FF00B0F0"/>
        </bottom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Times New Roman"/>
        <family val="1"/>
        <scheme val="none"/>
      </font>
      <alignment horizontal="left" vertical="top" textRotation="0" wrapText="1" indent="1" justifyLastLine="0" shrinkToFit="0" readingOrder="0"/>
      <border diagonalUp="0" diagonalDown="0">
        <left style="thin">
          <color rgb="FF00B0F0"/>
        </left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center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1" hidden="0"/>
    </dxf>
    <dxf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FF"/>
        <name val="Times New Roman"/>
        <family val="1"/>
        <scheme val="none"/>
      </font>
      <fill>
        <patternFill patternType="solid">
          <fgColor indexed="64"/>
          <bgColor rgb="FFFFFF99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B0F0"/>
        </left>
        <right style="thin">
          <color rgb="FF00B0F0"/>
        </right>
        <top/>
        <bottom/>
      </border>
      <protection locked="1" hidden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28575</xdr:colOff>
      <xdr:row>0</xdr:row>
      <xdr:rowOff>47625</xdr:rowOff>
    </xdr:from>
    <xdr:to>
      <xdr:col>10</xdr:col>
      <xdr:colOff>533400</xdr:colOff>
      <xdr:row>50</xdr:row>
      <xdr:rowOff>152400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75541191-D515-48E8-AB7D-EA83AD49111D}"/>
            </a:ext>
          </a:extLst>
        </xdr:cNvPr>
        <xdr:cNvSpPr>
          <a:spLocks noChangeArrowheads="1"/>
        </xdr:cNvSpPr>
      </xdr:nvSpPr>
      <xdr:spPr bwMode="auto">
        <a:xfrm>
          <a:off x="28575" y="47625"/>
          <a:ext cx="6381750" cy="9867900"/>
        </a:xfrm>
        <a:prstGeom prst="rect">
          <a:avLst/>
        </a:prstGeom>
        <a:noFill/>
        <a:ln w="57150" cmpd="thinThick">
          <a:solidFill>
            <a:srgbClr val="3366FF"/>
          </a:solidFill>
          <a:miter lim="800000"/>
          <a:headEnd/>
          <a:tailEnd/>
        </a:ln>
      </xdr:spPr>
    </xdr:sp>
    <xdr:clientData/>
  </xdr:twoCellAnchor>
  <xdr:twoCellAnchor editAs="oneCell">
    <xdr:from>
      <xdr:col>0</xdr:col>
      <xdr:colOff>314325</xdr:colOff>
      <xdr:row>1</xdr:row>
      <xdr:rowOff>1</xdr:rowOff>
    </xdr:from>
    <xdr:to>
      <xdr:col>3</xdr:col>
      <xdr:colOff>142875</xdr:colOff>
      <xdr:row>4</xdr:row>
      <xdr:rowOff>38101</xdr:rowOff>
    </xdr:to>
    <xdr:sp macro="" textlink="">
      <xdr:nvSpPr>
        <xdr:cNvPr id="3" name="Text Box 3">
          <a:extLst>
            <a:ext uri="{FF2B5EF4-FFF2-40B4-BE49-F238E27FC236}">
              <a16:creationId xmlns:a16="http://schemas.microsoft.com/office/drawing/2014/main" id="{0D107A8E-6371-4F6A-BD1C-EACE9C2BB51A}"/>
            </a:ext>
          </a:extLst>
        </xdr:cNvPr>
        <xdr:cNvSpPr txBox="1">
          <a:spLocks noChangeArrowheads="1"/>
        </xdr:cNvSpPr>
      </xdr:nvSpPr>
      <xdr:spPr bwMode="auto">
        <a:xfrm>
          <a:off x="314325" y="180976"/>
          <a:ext cx="1657350" cy="704850"/>
        </a:xfrm>
        <a:prstGeom prst="rect">
          <a:avLst/>
        </a:prstGeom>
        <a:solidFill>
          <a:srgbClr val="FFFFFF"/>
        </a:solidFill>
        <a:ln w="9525">
          <a:noFill/>
          <a:miter lim="800000"/>
          <a:headEnd/>
          <a:tailEnd/>
        </a:ln>
      </xdr:spPr>
      <xdr:txBody>
        <a:bodyPr vertOverflow="clip" wrap="square" lIns="91440" tIns="45720" rIns="91440" bIns="45720" anchor="t" upright="1"/>
        <a:lstStyle/>
        <a:p>
          <a:pPr algn="l" rtl="0">
            <a:defRPr sz="1000"/>
          </a:pPr>
          <a:endParaRPr lang="en-US" sz="1200" b="0" i="0" u="none" strike="noStrike" baseline="0">
            <a:solidFill>
              <a:srgbClr val="000000"/>
            </a:solidFill>
            <a:latin typeface="Times New Roman"/>
            <a:cs typeface="Times New Roman"/>
          </a:endParaRPr>
        </a:p>
        <a:p>
          <a:pPr algn="l" rtl="0">
            <a:defRPr sz="1000"/>
          </a:pPr>
          <a:endParaRPr lang="en-US" sz="1200" b="0" i="0" u="none" strike="noStrike" baseline="0">
            <a:solidFill>
              <a:srgbClr val="000000"/>
            </a:solidFill>
            <a:latin typeface="Times New Roman"/>
            <a:cs typeface="Times New Roman"/>
          </a:endParaRPr>
        </a:p>
      </xdr:txBody>
    </xdr:sp>
    <xdr:clientData/>
  </xdr:twoCellAnchor>
  <xdr:twoCellAnchor editAs="oneCell">
    <xdr:from>
      <xdr:col>1</xdr:col>
      <xdr:colOff>514350</xdr:colOff>
      <xdr:row>19</xdr:row>
      <xdr:rowOff>142875</xdr:rowOff>
    </xdr:from>
    <xdr:to>
      <xdr:col>9</xdr:col>
      <xdr:colOff>57150</xdr:colOff>
      <xdr:row>27</xdr:row>
      <xdr:rowOff>0</xdr:rowOff>
    </xdr:to>
    <xdr:sp macro="" textlink="">
      <xdr:nvSpPr>
        <xdr:cNvPr id="4" name="AutoShape 2696">
          <a:extLst>
            <a:ext uri="{FF2B5EF4-FFF2-40B4-BE49-F238E27FC236}">
              <a16:creationId xmlns:a16="http://schemas.microsoft.com/office/drawing/2014/main" id="{7B97A37E-9DC4-4009-B7E9-F26620AB37DB}"/>
            </a:ext>
          </a:extLst>
        </xdr:cNvPr>
        <xdr:cNvSpPr>
          <a:spLocks noChangeAspect="1" noChangeArrowheads="1"/>
        </xdr:cNvSpPr>
      </xdr:nvSpPr>
      <xdr:spPr bwMode="auto">
        <a:xfrm>
          <a:off x="1123950" y="4019550"/>
          <a:ext cx="4419600" cy="14954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sp>
    <xdr:clientData/>
  </xdr:twoCellAnchor>
  <xdr:twoCellAnchor>
    <xdr:from>
      <xdr:col>0</xdr:col>
      <xdr:colOff>476250</xdr:colOff>
      <xdr:row>16</xdr:row>
      <xdr:rowOff>66675</xdr:rowOff>
    </xdr:from>
    <xdr:to>
      <xdr:col>9</xdr:col>
      <xdr:colOff>371475</xdr:colOff>
      <xdr:row>26</xdr:row>
      <xdr:rowOff>180975</xdr:rowOff>
    </xdr:to>
    <xdr:sp macro="" textlink="">
      <xdr:nvSpPr>
        <xdr:cNvPr id="5" name="AutoShape 5">
          <a:extLst>
            <a:ext uri="{FF2B5EF4-FFF2-40B4-BE49-F238E27FC236}">
              <a16:creationId xmlns:a16="http://schemas.microsoft.com/office/drawing/2014/main" id="{F1F36060-56A1-441E-85CB-EEE02C2025A7}"/>
            </a:ext>
          </a:extLst>
        </xdr:cNvPr>
        <xdr:cNvSpPr>
          <a:spLocks noChangeArrowheads="1"/>
        </xdr:cNvSpPr>
      </xdr:nvSpPr>
      <xdr:spPr bwMode="auto">
        <a:xfrm>
          <a:off x="476250" y="3400425"/>
          <a:ext cx="5381625" cy="2047875"/>
        </a:xfrm>
        <a:prstGeom prst="flowChartAlternateProcess">
          <a:avLst/>
        </a:prstGeom>
        <a:ln>
          <a:headEnd/>
          <a:tailEnd/>
        </a:ln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wrap="square" lIns="91440" tIns="45720" rIns="91440" bIns="45720" anchor="t" upright="1"/>
        <a:lstStyle/>
        <a:p>
          <a:pPr algn="ctr" rtl="0">
            <a:defRPr sz="1000"/>
          </a:pPr>
          <a:r>
            <a:rPr lang="en-US" sz="3000" b="0" i="0" u="none" strike="noStrike" baseline="0">
              <a:solidFill>
                <a:srgbClr val="000080"/>
              </a:solidFill>
              <a:latin typeface="Microsoft Sans Serif"/>
              <a:cs typeface="Microsoft Sans Serif"/>
            </a:rPr>
            <a:t> BÁO CÁO TÀI CHÍNH </a:t>
          </a:r>
        </a:p>
        <a:p>
          <a:pPr algn="ctr" rtl="0">
            <a:defRPr sz="1000"/>
          </a:pPr>
          <a:r>
            <a:rPr lang="en-US" sz="3000" b="0" i="0" u="none" strike="noStrike" baseline="0">
              <a:solidFill>
                <a:srgbClr val="000080"/>
              </a:solidFill>
              <a:latin typeface="Microsoft Sans Serif"/>
              <a:cs typeface="Microsoft Sans Serif"/>
            </a:rPr>
            <a:t>HỢP NHẤT</a:t>
          </a:r>
        </a:p>
        <a:p>
          <a:pPr algn="ctr" rtl="0">
            <a:defRPr sz="1000"/>
          </a:pPr>
          <a:r>
            <a:rPr lang="en-US" sz="3000" b="0" i="0" u="none" strike="noStrike" baseline="0">
              <a:solidFill>
                <a:srgbClr val="000080"/>
              </a:solidFill>
              <a:latin typeface="Microsoft Sans Serif"/>
              <a:cs typeface="Microsoft Sans Serif"/>
            </a:rPr>
            <a:t> </a:t>
          </a:r>
          <a:endParaRPr lang="en-US" sz="2400" b="0" i="0" u="none" strike="noStrike" baseline="0">
            <a:solidFill>
              <a:srgbClr val="000000"/>
            </a:solidFill>
            <a:latin typeface="Microsoft Sans Serif"/>
            <a:cs typeface="Microsoft Sans Serif"/>
          </a:endParaRPr>
        </a:p>
        <a:p>
          <a:pPr algn="ctr" rtl="0">
            <a:defRPr sz="1000"/>
          </a:pPr>
          <a:endParaRPr lang="en-US" sz="1600" b="0" i="0" u="none" strike="noStrike" baseline="0">
            <a:solidFill>
              <a:srgbClr val="000000"/>
            </a:solidFill>
            <a:latin typeface="Microsoft Sans Serif"/>
            <a:cs typeface="Microsoft Sans Serif"/>
          </a:endParaRPr>
        </a:p>
        <a:p>
          <a:pPr algn="ctr" rtl="0">
            <a:defRPr sz="1000"/>
          </a:pPr>
          <a:endParaRPr lang="en-US" sz="1600" b="0" i="0" u="none" strike="noStrike" baseline="0">
            <a:solidFill>
              <a:srgbClr val="000000"/>
            </a:solidFill>
            <a:latin typeface="Microsoft Sans Serif"/>
            <a:cs typeface="Microsoft Sans Serif"/>
          </a:endParaRPr>
        </a:p>
        <a:p>
          <a:pPr algn="ctr" rtl="0">
            <a:defRPr sz="1000"/>
          </a:pPr>
          <a:endParaRPr lang="en-US" sz="1600" b="0" i="0" u="none" strike="noStrike" baseline="0">
            <a:solidFill>
              <a:srgbClr val="000000"/>
            </a:solidFill>
            <a:latin typeface="Microsoft Sans Serif"/>
            <a:cs typeface="Microsoft Sans Serif"/>
          </a:endParaRPr>
        </a:p>
        <a:p>
          <a:pPr algn="ctr" rtl="0">
            <a:defRPr sz="1000"/>
          </a:pPr>
          <a:r>
            <a:rPr lang="en-US" sz="1600" b="1" i="0" u="none" strike="noStrike" baseline="0">
              <a:solidFill>
                <a:srgbClr val="0000FF"/>
              </a:solidFill>
              <a:latin typeface="Times New Roman"/>
              <a:cs typeface="Times New Roman"/>
            </a:rPr>
            <a:t> </a:t>
          </a:r>
        </a:p>
        <a:p>
          <a:pPr algn="ctr" rtl="0">
            <a:defRPr sz="1000"/>
          </a:pPr>
          <a:endParaRPr lang="en-US" sz="1600" b="1" i="0" u="none" strike="noStrike" baseline="0">
            <a:solidFill>
              <a:srgbClr val="0000FF"/>
            </a:solidFill>
            <a:latin typeface="Times New Roman"/>
            <a:cs typeface="Times New Roman"/>
          </a:endParaRPr>
        </a:p>
        <a:p>
          <a:pPr algn="ctr" rtl="0">
            <a:defRPr sz="1000"/>
          </a:pPr>
          <a:endParaRPr lang="en-US" sz="1600" b="1" i="0" u="none" strike="noStrike" baseline="0">
            <a:solidFill>
              <a:srgbClr val="0000FF"/>
            </a:solidFill>
            <a:latin typeface="Times New Roman"/>
            <a:cs typeface="Times New Roman"/>
          </a:endParaRPr>
        </a:p>
      </xdr:txBody>
    </xdr:sp>
    <xdr:clientData/>
  </xdr:twoCellAnchor>
  <xdr:twoCellAnchor>
    <xdr:from>
      <xdr:col>0</xdr:col>
      <xdr:colOff>28575</xdr:colOff>
      <xdr:row>0</xdr:row>
      <xdr:rowOff>47625</xdr:rowOff>
    </xdr:from>
    <xdr:to>
      <xdr:col>10</xdr:col>
      <xdr:colOff>533400</xdr:colOff>
      <xdr:row>50</xdr:row>
      <xdr:rowOff>152400</xdr:rowOff>
    </xdr:to>
    <xdr:sp macro="" textlink="">
      <xdr:nvSpPr>
        <xdr:cNvPr id="6" name="Rectangle 1">
          <a:extLst>
            <a:ext uri="{FF2B5EF4-FFF2-40B4-BE49-F238E27FC236}">
              <a16:creationId xmlns:a16="http://schemas.microsoft.com/office/drawing/2014/main" id="{BBF72425-BEE8-49F3-9839-7E519070AA8F}"/>
            </a:ext>
          </a:extLst>
        </xdr:cNvPr>
        <xdr:cNvSpPr>
          <a:spLocks noChangeArrowheads="1"/>
        </xdr:cNvSpPr>
      </xdr:nvSpPr>
      <xdr:spPr bwMode="auto">
        <a:xfrm>
          <a:off x="28575" y="47625"/>
          <a:ext cx="6381750" cy="9867900"/>
        </a:xfrm>
        <a:prstGeom prst="rect">
          <a:avLst/>
        </a:prstGeom>
        <a:noFill/>
        <a:ln w="57150" cmpd="thinThick">
          <a:solidFill>
            <a:srgbClr val="3366FF"/>
          </a:solidFill>
          <a:miter lim="800000"/>
          <a:headEnd/>
          <a:tailEnd/>
        </a:ln>
      </xdr:spPr>
    </xdr:sp>
    <xdr:clientData/>
  </xdr:twoCellAnchor>
  <xdr:twoCellAnchor editAs="oneCell">
    <xdr:from>
      <xdr:col>0</xdr:col>
      <xdr:colOff>314325</xdr:colOff>
      <xdr:row>1</xdr:row>
      <xdr:rowOff>1</xdr:rowOff>
    </xdr:from>
    <xdr:to>
      <xdr:col>3</xdr:col>
      <xdr:colOff>142875</xdr:colOff>
      <xdr:row>4</xdr:row>
      <xdr:rowOff>38101</xdr:rowOff>
    </xdr:to>
    <xdr:sp macro="" textlink="">
      <xdr:nvSpPr>
        <xdr:cNvPr id="7" name="Text Box 3">
          <a:extLst>
            <a:ext uri="{FF2B5EF4-FFF2-40B4-BE49-F238E27FC236}">
              <a16:creationId xmlns:a16="http://schemas.microsoft.com/office/drawing/2014/main" id="{A068F420-8B5A-460B-8913-9CF89EF4C668}"/>
            </a:ext>
          </a:extLst>
        </xdr:cNvPr>
        <xdr:cNvSpPr txBox="1">
          <a:spLocks noChangeArrowheads="1"/>
        </xdr:cNvSpPr>
      </xdr:nvSpPr>
      <xdr:spPr bwMode="auto">
        <a:xfrm>
          <a:off x="314325" y="180976"/>
          <a:ext cx="1657350" cy="704850"/>
        </a:xfrm>
        <a:prstGeom prst="rect">
          <a:avLst/>
        </a:prstGeom>
        <a:solidFill>
          <a:srgbClr val="FFFFFF"/>
        </a:solidFill>
        <a:ln w="9525">
          <a:noFill/>
          <a:miter lim="800000"/>
          <a:headEnd/>
          <a:tailEnd/>
        </a:ln>
      </xdr:spPr>
      <xdr:txBody>
        <a:bodyPr vertOverflow="clip" wrap="square" lIns="91440" tIns="45720" rIns="91440" bIns="45720" anchor="t" upright="1"/>
        <a:lstStyle/>
        <a:p>
          <a:pPr algn="l" rtl="0">
            <a:defRPr sz="1000"/>
          </a:pPr>
          <a:endParaRPr lang="en-US" sz="1200" b="0" i="0" u="none" strike="noStrike" baseline="0">
            <a:solidFill>
              <a:srgbClr val="000000"/>
            </a:solidFill>
            <a:latin typeface="Times New Roman"/>
            <a:cs typeface="Times New Roman"/>
          </a:endParaRPr>
        </a:p>
        <a:p>
          <a:pPr algn="l" rtl="0">
            <a:defRPr sz="1000"/>
          </a:pPr>
          <a:endParaRPr lang="en-US" sz="1200" b="0" i="0" u="none" strike="noStrike" baseline="0">
            <a:solidFill>
              <a:srgbClr val="000000"/>
            </a:solidFill>
            <a:latin typeface="Times New Roman"/>
            <a:cs typeface="Times New Roman"/>
          </a:endParaRPr>
        </a:p>
      </xdr:txBody>
    </xdr:sp>
    <xdr:clientData/>
  </xdr:twoCellAnchor>
  <xdr:twoCellAnchor editAs="oneCell">
    <xdr:from>
      <xdr:col>1</xdr:col>
      <xdr:colOff>514350</xdr:colOff>
      <xdr:row>19</xdr:row>
      <xdr:rowOff>142875</xdr:rowOff>
    </xdr:from>
    <xdr:to>
      <xdr:col>9</xdr:col>
      <xdr:colOff>57150</xdr:colOff>
      <xdr:row>27</xdr:row>
      <xdr:rowOff>0</xdr:rowOff>
    </xdr:to>
    <xdr:sp macro="" textlink="">
      <xdr:nvSpPr>
        <xdr:cNvPr id="8" name="AutoShape 2696">
          <a:extLst>
            <a:ext uri="{FF2B5EF4-FFF2-40B4-BE49-F238E27FC236}">
              <a16:creationId xmlns:a16="http://schemas.microsoft.com/office/drawing/2014/main" id="{B4439AE4-2DC8-4D54-8345-097B96EECC9E}"/>
            </a:ext>
          </a:extLst>
        </xdr:cNvPr>
        <xdr:cNvSpPr>
          <a:spLocks noChangeAspect="1" noChangeArrowheads="1"/>
        </xdr:cNvSpPr>
      </xdr:nvSpPr>
      <xdr:spPr bwMode="auto">
        <a:xfrm>
          <a:off x="1123950" y="4019550"/>
          <a:ext cx="4419600" cy="14954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sp>
    <xdr:clientData/>
  </xdr:twoCellAnchor>
  <xdr:twoCellAnchor>
    <xdr:from>
      <xdr:col>2</xdr:col>
      <xdr:colOff>171450</xdr:colOff>
      <xdr:row>0</xdr:row>
      <xdr:rowOff>142875</xdr:rowOff>
    </xdr:from>
    <xdr:to>
      <xdr:col>9</xdr:col>
      <xdr:colOff>279400</xdr:colOff>
      <xdr:row>2</xdr:row>
      <xdr:rowOff>63500</xdr:rowOff>
    </xdr:to>
    <xdr:sp macro="" textlink="'Thong tin'!A1">
      <xdr:nvSpPr>
        <xdr:cNvPr id="9" name="Text Box 4">
          <a:extLst>
            <a:ext uri="{FF2B5EF4-FFF2-40B4-BE49-F238E27FC236}">
              <a16:creationId xmlns:a16="http://schemas.microsoft.com/office/drawing/2014/main" id="{06C8CA9C-3C55-4D72-9656-8B3685D32932}"/>
            </a:ext>
          </a:extLst>
        </xdr:cNvPr>
        <xdr:cNvSpPr txBox="1">
          <a:spLocks noChangeArrowheads="1"/>
        </xdr:cNvSpPr>
      </xdr:nvSpPr>
      <xdr:spPr bwMode="auto">
        <a:xfrm>
          <a:off x="1454150" y="142875"/>
          <a:ext cx="4597400" cy="276225"/>
        </a:xfrm>
        <a:prstGeom prst="rect">
          <a:avLst/>
        </a:prstGeom>
        <a:solidFill>
          <a:srgbClr val="FFFFFF"/>
        </a:solidFill>
        <a:ln w="9525">
          <a:noFill/>
          <a:miter lim="800000"/>
          <a:headEnd/>
          <a:tailEnd/>
        </a:ln>
      </xdr:spPr>
      <xdr:txBody>
        <a:bodyPr vertOverflow="clip" wrap="square" lIns="91440" tIns="45720" rIns="91440" bIns="45720" anchor="t" upright="1"/>
        <a:lstStyle/>
        <a:p>
          <a:pPr algn="l" rtl="0">
            <a:defRPr sz="1000"/>
          </a:pPr>
          <a:fld id="{328A9696-B93F-4C93-8D2E-1C7EA015A10F}" type="TxLink">
            <a:rPr lang="en-US" sz="1200" b="1" i="0" u="none" strike="noStrike" spc="-20" baseline="0">
              <a:solidFill>
                <a:srgbClr val="000080"/>
              </a:solidFill>
              <a:latin typeface="Microsoft Sans Serif" panose="020B0604020202020204" pitchFamily="34" charset="0"/>
              <a:ea typeface="Microsoft Sans Serif" panose="020B0604020202020204" pitchFamily="34" charset="0"/>
              <a:cs typeface="Microsoft Sans Serif" panose="020B0604020202020204" pitchFamily="34" charset="0"/>
            </a:rPr>
            <a:pPr algn="l" rtl="0">
              <a:defRPr sz="1000"/>
            </a:pPr>
            <a:t>CÔNG TY CP NHỰA TÁI CHẾ DUY TÂN</a:t>
          </a:fld>
          <a:endParaRPr lang="vi-VN" sz="1400" b="0" i="0" u="none" strike="noStrike" spc="-20" baseline="0">
            <a:solidFill>
              <a:srgbClr val="000080"/>
            </a:solidFill>
            <a:latin typeface="Microsoft Sans Serif" panose="020B0604020202020204" pitchFamily="34" charset="0"/>
            <a:ea typeface="Microsoft Sans Serif" panose="020B0604020202020204" pitchFamily="34" charset="0"/>
            <a:cs typeface="Microsoft Sans Serif" panose="020B0604020202020204" pitchFamily="34" charset="0"/>
          </a:endParaRPr>
        </a:p>
      </xdr:txBody>
    </xdr:sp>
    <xdr:clientData/>
  </xdr:twoCellAnchor>
  <xdr:oneCellAnchor>
    <xdr:from>
      <xdr:col>1</xdr:col>
      <xdr:colOff>303797</xdr:colOff>
      <xdr:row>23</xdr:row>
      <xdr:rowOff>1085</xdr:rowOff>
    </xdr:from>
    <xdr:ext cx="4923271" cy="530658"/>
    <xdr:sp macro="" textlink="">
      <xdr:nvSpPr>
        <xdr:cNvPr id="12" name="Rectangle 11">
          <a:extLst>
            <a:ext uri="{FF2B5EF4-FFF2-40B4-BE49-F238E27FC236}">
              <a16:creationId xmlns:a16="http://schemas.microsoft.com/office/drawing/2014/main" id="{F1DEF9DA-C4F9-90FA-8D3A-ACEFDDCC0F7B}"/>
            </a:ext>
          </a:extLst>
        </xdr:cNvPr>
        <xdr:cNvSpPr/>
      </xdr:nvSpPr>
      <xdr:spPr>
        <a:xfrm>
          <a:off x="945147" y="4534985"/>
          <a:ext cx="4923271" cy="530658"/>
        </a:xfrm>
        <a:prstGeom prst="rect">
          <a:avLst/>
        </a:prstGeom>
        <a:noFill/>
      </xdr:spPr>
      <xdr:txBody>
        <a:bodyPr wrap="none" lIns="91440" tIns="45720" rIns="91440" bIns="45720">
          <a:spAutoFit/>
        </a:bodyPr>
        <a:lstStyle/>
        <a:p>
          <a:pPr algn="ctr"/>
          <a:r>
            <a:rPr lang="en-US" sz="2800" b="1" cap="none" spc="0">
              <a:ln w="0"/>
              <a:solidFill>
                <a:srgbClr val="00B050"/>
              </a:solidFill>
              <a:effectLst>
                <a:outerShdw blurRad="38100" dist="25400" dir="5400000" algn="ctr" rotWithShape="0">
                  <a:srgbClr val="6E747A">
                    <a:alpha val="43000"/>
                  </a:srgbClr>
                </a:outerShdw>
              </a:effectLst>
            </a:rPr>
            <a:t>CTY</a:t>
          </a:r>
          <a:r>
            <a:rPr lang="en-US" sz="2800" b="1" cap="none" spc="0" baseline="0">
              <a:ln w="0"/>
              <a:solidFill>
                <a:srgbClr val="00B050"/>
              </a:solidFill>
              <a:effectLst>
                <a:outerShdw blurRad="38100" dist="25400" dir="5400000" algn="ctr" rotWithShape="0">
                  <a:srgbClr val="6E747A">
                    <a:alpha val="43000"/>
                  </a:srgbClr>
                </a:outerShdw>
              </a:effectLst>
            </a:rPr>
            <a:t> CP NHỰA TÁI CHẾ DUY TÂN</a:t>
          </a:r>
          <a:endParaRPr lang="en-US" sz="2800" b="1" cap="none" spc="0">
            <a:ln w="0"/>
            <a:solidFill>
              <a:srgbClr val="00B050"/>
            </a:solidFill>
            <a:effectLst>
              <a:outerShdw blurRad="38100" dist="25400" dir="5400000" algn="ctr" rotWithShape="0">
                <a:srgbClr val="6E747A">
                  <a:alpha val="43000"/>
                </a:srgbClr>
              </a:outerShdw>
            </a:effectLst>
          </a:endParaRPr>
        </a:p>
      </xdr:txBody>
    </xdr:sp>
    <xdr:clientData/>
  </xdr:oneCellAnchor>
  <xdr:oneCellAnchor>
    <xdr:from>
      <xdr:col>0</xdr:col>
      <xdr:colOff>117475</xdr:colOff>
      <xdr:row>0</xdr:row>
      <xdr:rowOff>136526</xdr:rowOff>
    </xdr:from>
    <xdr:ext cx="1616075" cy="358774"/>
    <xdr:pic>
      <xdr:nvPicPr>
        <xdr:cNvPr id="10" name="Picture 9">
          <a:extLst>
            <a:ext uri="{FF2B5EF4-FFF2-40B4-BE49-F238E27FC236}">
              <a16:creationId xmlns:a16="http://schemas.microsoft.com/office/drawing/2014/main" id="{13309CB5-B69F-424C-B057-194607210694}"/>
            </a:ext>
          </a:extLst>
        </xdr:cNvPr>
        <xdr:cNvPicPr/>
      </xdr:nvPicPr>
      <xdr:blipFill rotWithShape="1"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r="71132" b="8080"/>
        <a:stretch>
          <a:fillRect/>
        </a:stretch>
      </xdr:blipFill>
      <xdr:spPr bwMode="auto">
        <a:xfrm>
          <a:off x="117475" y="136526"/>
          <a:ext cx="1616075" cy="358774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2</xdr:col>
      <xdr:colOff>177800</xdr:colOff>
      <xdr:row>2</xdr:row>
      <xdr:rowOff>34925</xdr:rowOff>
    </xdr:from>
    <xdr:to>
      <xdr:col>10</xdr:col>
      <xdr:colOff>425450</xdr:colOff>
      <xdr:row>3</xdr:row>
      <xdr:rowOff>76200</xdr:rowOff>
    </xdr:to>
    <xdr:sp macro="" textlink="'Thong tin'!B2">
      <xdr:nvSpPr>
        <xdr:cNvPr id="11" name="Text Box 4">
          <a:extLst>
            <a:ext uri="{FF2B5EF4-FFF2-40B4-BE49-F238E27FC236}">
              <a16:creationId xmlns:a16="http://schemas.microsoft.com/office/drawing/2014/main" id="{3A578D44-3A4B-42E8-A133-CA2BC828310C}"/>
            </a:ext>
          </a:extLst>
        </xdr:cNvPr>
        <xdr:cNvSpPr txBox="1">
          <a:spLocks noChangeArrowheads="1"/>
        </xdr:cNvSpPr>
      </xdr:nvSpPr>
      <xdr:spPr bwMode="auto">
        <a:xfrm>
          <a:off x="1460500" y="390525"/>
          <a:ext cx="5143500" cy="219075"/>
        </a:xfrm>
        <a:prstGeom prst="rect">
          <a:avLst/>
        </a:prstGeom>
        <a:solidFill>
          <a:srgbClr val="FFFFFF"/>
        </a:solidFill>
        <a:ln w="9525">
          <a:noFill/>
          <a:miter lim="800000"/>
          <a:headEnd/>
          <a:tailEnd/>
        </a:ln>
      </xdr:spPr>
      <xdr:txBody>
        <a:bodyPr vertOverflow="clip" wrap="square" lIns="91440" tIns="45720" rIns="91440" bIns="45720" anchor="t" upright="1"/>
        <a:lstStyle/>
        <a:p>
          <a:pPr algn="l" rtl="0">
            <a:defRPr sz="1000"/>
          </a:pPr>
          <a:fld id="{4725929F-A21B-4D77-809E-229819CF8E15}" type="TxLink">
            <a:rPr lang="en-US" sz="1200" b="0" i="0" u="none" strike="noStrike" baseline="0">
              <a:solidFill>
                <a:srgbClr val="000080"/>
              </a:solidFill>
              <a:latin typeface="Microsoft Sans Serif" panose="020B0604020202020204" pitchFamily="34" charset="0"/>
              <a:ea typeface="Microsoft Sans Serif" panose="020B0604020202020204" pitchFamily="34" charset="0"/>
              <a:cs typeface="Microsoft Sans Serif" panose="020B0604020202020204" pitchFamily="34" charset="0"/>
            </a:rPr>
            <a:pPr algn="l" rtl="0">
              <a:defRPr sz="1000"/>
            </a:pPr>
            <a:t>Lô D2, Cụm Công nghiệp Nhựa Đức Hoà Hạ, Xã Đức Hoà, Tỉnh Tây Ninh</a:t>
          </a:fld>
          <a:endParaRPr lang="vi-VN" sz="1000" b="0" i="0" u="none" strike="noStrike" baseline="0">
            <a:solidFill>
              <a:srgbClr val="000080"/>
            </a:solidFill>
            <a:latin typeface="Microsoft Sans Serif" panose="020B0604020202020204" pitchFamily="34" charset="0"/>
            <a:ea typeface="Microsoft Sans Serif" panose="020B0604020202020204" pitchFamily="34" charset="0"/>
            <a:cs typeface="Microsoft Sans Serif" panose="020B0604020202020204" pitchFamily="34" charset="0"/>
          </a:endParaRPr>
        </a:p>
      </xdr:txBody>
    </xdr:sp>
    <xdr:clientData/>
  </xdr:twoCellAnchor>
  <xdr:twoCellAnchor>
    <xdr:from>
      <xdr:col>2</xdr:col>
      <xdr:colOff>177800</xdr:colOff>
      <xdr:row>3</xdr:row>
      <xdr:rowOff>111125</xdr:rowOff>
    </xdr:from>
    <xdr:to>
      <xdr:col>6</xdr:col>
      <xdr:colOff>533400</xdr:colOff>
      <xdr:row>4</xdr:row>
      <xdr:rowOff>76199</xdr:rowOff>
    </xdr:to>
    <xdr:grpSp>
      <xdr:nvGrpSpPr>
        <xdr:cNvPr id="18" name="Group 17">
          <a:extLst>
            <a:ext uri="{FF2B5EF4-FFF2-40B4-BE49-F238E27FC236}">
              <a16:creationId xmlns:a16="http://schemas.microsoft.com/office/drawing/2014/main" id="{344DB9AF-F23D-DBE0-AB2D-28E4CBA10AA2}"/>
            </a:ext>
          </a:extLst>
        </xdr:cNvPr>
        <xdr:cNvGrpSpPr/>
      </xdr:nvGrpSpPr>
      <xdr:grpSpPr>
        <a:xfrm>
          <a:off x="1447800" y="644525"/>
          <a:ext cx="2895600" cy="269874"/>
          <a:chOff x="2070100" y="657225"/>
          <a:chExt cx="2921000" cy="269874"/>
        </a:xfrm>
      </xdr:grpSpPr>
      <xdr:sp macro="" textlink="'Thong tin'!B3">
        <xdr:nvSpPr>
          <xdr:cNvPr id="14" name="Text Box 4">
            <a:extLst>
              <a:ext uri="{FF2B5EF4-FFF2-40B4-BE49-F238E27FC236}">
                <a16:creationId xmlns:a16="http://schemas.microsoft.com/office/drawing/2014/main" id="{B11F1738-50E6-4C6F-AD38-7AB72E98FA0A}"/>
              </a:ext>
            </a:extLst>
          </xdr:cNvPr>
          <xdr:cNvSpPr txBox="1">
            <a:spLocks noChangeArrowheads="1"/>
          </xdr:cNvSpPr>
        </xdr:nvSpPr>
        <xdr:spPr bwMode="auto">
          <a:xfrm>
            <a:off x="3028950" y="657225"/>
            <a:ext cx="1962150" cy="225425"/>
          </a:xfrm>
          <a:prstGeom prst="rect">
            <a:avLst/>
          </a:prstGeom>
          <a:solidFill>
            <a:srgbClr val="FFFFFF"/>
          </a:solidFill>
          <a:ln w="9525">
            <a:noFill/>
            <a:miter lim="800000"/>
            <a:headEnd/>
            <a:tailEnd/>
          </a:ln>
        </xdr:spPr>
        <xdr:txBody>
          <a:bodyPr vertOverflow="clip" wrap="square" lIns="91440" tIns="45720" rIns="91440" bIns="45720" anchor="t" upright="1"/>
          <a:lstStyle/>
          <a:p>
            <a:pPr algn="l" rtl="0">
              <a:defRPr sz="1000"/>
            </a:pPr>
            <a:fld id="{060FAE2C-E190-4EB1-92A9-C52F57C3C6DF}" type="TxLink">
              <a:rPr lang="en-US" sz="1200" b="0" i="0" u="none" strike="noStrike" baseline="0">
                <a:solidFill>
                  <a:srgbClr val="000080"/>
                </a:solidFill>
                <a:latin typeface="Microsoft Sans Serif" panose="020B0604020202020204" pitchFamily="34" charset="0"/>
                <a:ea typeface="Microsoft Sans Serif" panose="020B0604020202020204" pitchFamily="34" charset="0"/>
                <a:cs typeface="Microsoft Sans Serif" panose="020B0604020202020204" pitchFamily="34" charset="0"/>
              </a:rPr>
              <a:pPr algn="l" rtl="0">
                <a:defRPr sz="1000"/>
              </a:pPr>
              <a:t>1100676611</a:t>
            </a:fld>
            <a:endParaRPr lang="vi-VN" sz="1000" b="0" i="0" u="none" strike="noStrike" baseline="0">
              <a:solidFill>
                <a:srgbClr val="000080"/>
              </a:solidFill>
              <a:latin typeface="Microsoft Sans Serif" panose="020B0604020202020204" pitchFamily="34" charset="0"/>
              <a:ea typeface="Microsoft Sans Serif" panose="020B0604020202020204" pitchFamily="34" charset="0"/>
              <a:cs typeface="Microsoft Sans Serif" panose="020B0604020202020204" pitchFamily="34" charset="0"/>
            </a:endParaRPr>
          </a:p>
        </xdr:txBody>
      </xdr:sp>
      <xdr:sp macro="" textlink="">
        <xdr:nvSpPr>
          <xdr:cNvPr id="17" name="Text Box 4">
            <a:extLst>
              <a:ext uri="{FF2B5EF4-FFF2-40B4-BE49-F238E27FC236}">
                <a16:creationId xmlns:a16="http://schemas.microsoft.com/office/drawing/2014/main" id="{B155541C-3E00-4F38-9BCC-44E7442EFAAA}"/>
              </a:ext>
            </a:extLst>
          </xdr:cNvPr>
          <xdr:cNvSpPr txBox="1">
            <a:spLocks noChangeArrowheads="1"/>
          </xdr:cNvSpPr>
        </xdr:nvSpPr>
        <xdr:spPr bwMode="auto">
          <a:xfrm>
            <a:off x="2070100" y="660400"/>
            <a:ext cx="996950" cy="266699"/>
          </a:xfrm>
          <a:prstGeom prst="rect">
            <a:avLst/>
          </a:prstGeom>
          <a:solidFill>
            <a:srgbClr val="FFFFFF"/>
          </a:solidFill>
          <a:ln w="9525">
            <a:noFill/>
            <a:miter lim="800000"/>
            <a:headEnd/>
            <a:tailEnd/>
          </a:ln>
        </xdr:spPr>
        <xdr:txBody>
          <a:bodyPr vertOverflow="clip" wrap="square" lIns="91440" tIns="45720" rIns="91440" bIns="45720" anchor="t" upright="1"/>
          <a:lstStyle/>
          <a:p>
            <a:pPr algn="l" rtl="0">
              <a:defRPr sz="1000"/>
            </a:pPr>
            <a:r>
              <a:rPr lang="en-US" sz="1200" b="0" i="0" u="none" strike="noStrike" baseline="0">
                <a:solidFill>
                  <a:srgbClr val="000080"/>
                </a:solidFill>
                <a:latin typeface="Microsoft Sans Serif" panose="020B0604020202020204" pitchFamily="34" charset="0"/>
                <a:ea typeface="Microsoft Sans Serif" panose="020B0604020202020204" pitchFamily="34" charset="0"/>
                <a:cs typeface="Microsoft Sans Serif" panose="020B0604020202020204" pitchFamily="34" charset="0"/>
              </a:rPr>
              <a:t>Mã số thuế:</a:t>
            </a:r>
          </a:p>
        </xdr:txBody>
      </xdr:sp>
    </xdr:grpSp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A3F658A-CE4F-4584-A83B-11853981C9F1}" name="Data_BS" displayName="Data_BS" ref="A3:BW129" totalsRowShown="0" headerRowDxfId="393" dataDxfId="392" headerRowCellStyle="Normal 2">
  <tableColumns count="75">
    <tableColumn id="1" xr3:uid="{2346B998-A4E8-4612-916D-F977366F1063}" name="Index BS" dataDxfId="391" dataCellStyle="Normal 2"/>
    <tableColumn id="2" xr3:uid="{CC13EC2B-BF0F-4943-8853-FB86EAB106FD}" name="PHẦN I-BÁO CÁO TÌNH HÌNH TÀI CHÍNH" dataDxfId="390" dataCellStyle="Normal 2"/>
    <tableColumn id="3" xr3:uid="{A55CD9F7-CED9-40D5-9938-3332982A7289}" name="TenCongTyID" dataDxfId="389" dataCellStyle="Normal 2"/>
    <tableColumn id="4" xr3:uid="{790A87AF-D568-4626-B632-EA96D07B197D}" name="T1.2021" dataDxfId="388" dataCellStyle="Normal 2"/>
    <tableColumn id="5" xr3:uid="{02D196F4-A181-44C5-B745-87448AF51EBB}" name="T02.2021" dataDxfId="387" dataCellStyle="Normal 2"/>
    <tableColumn id="6" xr3:uid="{DBD11FF4-A26B-4EFF-8417-427ADE051E31}" name="T03.2021" dataDxfId="386" dataCellStyle="Normal 2"/>
    <tableColumn id="7" xr3:uid="{8A2CAA7B-7D2C-4A9A-B243-25BE52FEC458}" name="T04.2021" dataDxfId="385" dataCellStyle="Normal 2"/>
    <tableColumn id="8" xr3:uid="{6C77A2AC-3E8F-4EAB-9D34-7A810CB792AF}" name="T05.2021" dataDxfId="384" dataCellStyle="Normal 2"/>
    <tableColumn id="9" xr3:uid="{54B45428-615C-4DCA-8FA1-FBD241253E9A}" name="T06.2021" dataDxfId="383" dataCellStyle="Normal 2"/>
    <tableColumn id="10" xr3:uid="{707E4805-C48C-48F3-AC57-2955FA8032BC}" name="T07.2021" dataDxfId="382" dataCellStyle="Normal 2"/>
    <tableColumn id="11" xr3:uid="{6C7998FA-7A8D-47BB-9558-BB97B4D180E4}" name="T08.2021" dataDxfId="381" dataCellStyle="Normal 2"/>
    <tableColumn id="12" xr3:uid="{6C4886D9-9749-4090-8287-B38DBFD5CC0E}" name="T09.2021" dataDxfId="380" dataCellStyle="Normal 2"/>
    <tableColumn id="13" xr3:uid="{C55D2224-AB0A-46CF-863C-1C6126730513}" name="T10.2021" dataDxfId="379" dataCellStyle="Normal 2"/>
    <tableColumn id="14" xr3:uid="{3DBC3487-7EAA-43EF-8DCF-A34BEE6D9A80}" name="T11.2021" dataDxfId="378" dataCellStyle="Normal 2"/>
    <tableColumn id="15" xr3:uid="{E9D79070-C2E7-439D-91B3-E552D6847FA0}" name="T12.2021" dataDxfId="377" dataCellStyle="Normal 2"/>
    <tableColumn id="16" xr3:uid="{E72E0326-BBF0-408E-A243-B6A8699B6061}" name="T1.2022" dataDxfId="376" dataCellStyle="Normal 2"/>
    <tableColumn id="17" xr3:uid="{FCA8EFA8-B75A-4AE6-AD3C-F4C23F28A423}" name="T02.2022" dataDxfId="375" dataCellStyle="Normal 2"/>
    <tableColumn id="18" xr3:uid="{EBBD0BDF-833F-4AEA-BF7B-64021E8AEE34}" name="T03.2022" dataDxfId="374" dataCellStyle="Normal 2"/>
    <tableColumn id="19" xr3:uid="{0D431D58-F1A6-434E-A00F-B2D29323FFB0}" name="T04.2022" dataDxfId="373" dataCellStyle="Normal 2"/>
    <tableColumn id="20" xr3:uid="{FDCACBB4-A726-4391-96A8-2F72690EE85A}" name="T05.2022" dataDxfId="372" dataCellStyle="Normal 2"/>
    <tableColumn id="21" xr3:uid="{F8407201-0DC1-45F9-85E6-D8C49B06091C}" name="T06.2022" dataDxfId="371" dataCellStyle="Normal 2"/>
    <tableColumn id="22" xr3:uid="{3407483D-0156-44A9-9619-38E3AA86FF13}" name="T07.2022" dataDxfId="370" dataCellStyle="Normal 2"/>
    <tableColumn id="23" xr3:uid="{7865B64B-99E2-4E5C-B786-17A618C7D3CF}" name="T08.2022" dataDxfId="369" dataCellStyle="Normal 2"/>
    <tableColumn id="24" xr3:uid="{C5E2BAD2-F483-4531-9560-1C5B375F4DE4}" name="T09.2022" dataDxfId="368" dataCellStyle="Normal 2"/>
    <tableColumn id="25" xr3:uid="{76F0AD01-9389-4CAE-AF19-E944F3BDA1CF}" name="T10.2022" dataDxfId="367" dataCellStyle="Normal 2"/>
    <tableColumn id="26" xr3:uid="{A27D4330-D9AF-4119-B52F-C8BD7BDCBF53}" name="T11.2022" dataDxfId="366" dataCellStyle="Normal 2"/>
    <tableColumn id="27" xr3:uid="{B97F819D-FC8F-40C7-8D6A-537702B6FAAB}" name="T12.2022" dataDxfId="365" dataCellStyle="Normal 2"/>
    <tableColumn id="52" xr3:uid="{886CE37A-1144-4C17-9CDD-A6E00EF03B7E}" name="T1.2023" dataDxfId="364" dataCellStyle="Normal 2"/>
    <tableColumn id="53" xr3:uid="{61F078E8-B687-4286-9AAA-F58770EC6A18}" name="T02.2023" dataDxfId="363" dataCellStyle="Normal 2"/>
    <tableColumn id="54" xr3:uid="{839CFF96-EA93-4F36-9D0A-F4BB458F7F15}" name="T03.2023" dataDxfId="362" dataCellStyle="Normal 2"/>
    <tableColumn id="55" xr3:uid="{3478BD60-B56B-4C57-9B5A-42D231CE5FD7}" name="T04.2023" dataDxfId="361" dataCellStyle="Normal 2"/>
    <tableColumn id="56" xr3:uid="{FD799F2C-63EF-4375-91B6-47C2613B7F1C}" name="T05.2023" dataDxfId="360" dataCellStyle="Normal 2"/>
    <tableColumn id="57" xr3:uid="{4C3DEA82-D6EF-47D7-883E-46BDE6E7EDA3}" name="T06.2023" dataDxfId="359" dataCellStyle="Normal 2"/>
    <tableColumn id="58" xr3:uid="{C2CA653D-2BB1-40F6-8EC4-A5225E1407E0}" name="T07.2023" dataDxfId="358" dataCellStyle="Normal 2"/>
    <tableColumn id="59" xr3:uid="{B72CED66-956C-4E1B-B684-D865D2396419}" name="T08.2023" dataDxfId="357" dataCellStyle="Normal 2"/>
    <tableColumn id="60" xr3:uid="{366A896B-B85F-4646-BE9C-028AC600FEBC}" name="T09.2023" dataDxfId="356" dataCellStyle="Normal 2"/>
    <tableColumn id="61" xr3:uid="{E86E5397-6401-497F-8DAA-B6EAF97D84EE}" name="T10.2023" dataDxfId="355" dataCellStyle="Normal 2"/>
    <tableColumn id="62" xr3:uid="{3B26858F-A63E-4E97-89F7-DEB9018AAC8D}" name="T11.2023" dataDxfId="354" dataCellStyle="Normal 2"/>
    <tableColumn id="63" xr3:uid="{1451E534-DA86-4C71-8BFA-B6FF7E2B94F6}" name="T12.2023" dataDxfId="353" dataCellStyle="Normal 2"/>
    <tableColumn id="28" xr3:uid="{A9F375CE-AC01-4578-B467-569D67B08915}" name="T01.2024" dataDxfId="352"/>
    <tableColumn id="29" xr3:uid="{13BA71A9-FC56-4D0D-AB03-F5EB14E3CD67}" name="T02.2024" dataDxfId="351"/>
    <tableColumn id="30" xr3:uid="{C31F8CA9-6BA0-497A-AF31-C84A176BCBB0}" name="T03.2024" dataDxfId="350"/>
    <tableColumn id="31" xr3:uid="{394D569B-4209-4B64-8BC2-4A0BA5C92E02}" name="T04.2024" dataDxfId="349"/>
    <tableColumn id="32" xr3:uid="{252AAFB7-2475-4190-B66D-85886C638242}" name="T05.2024" dataDxfId="348"/>
    <tableColumn id="33" xr3:uid="{A2CBD8FA-F81C-49B6-8077-EE88DAC1D11A}" name="T06.2024" dataDxfId="347"/>
    <tableColumn id="34" xr3:uid="{B51976E2-1D9D-466E-B9F6-162072C77892}" name="T07.2024" dataDxfId="346"/>
    <tableColumn id="35" xr3:uid="{F094D3B5-B6A0-4D91-B109-BB8A81C9E05B}" name="T08.2024" dataDxfId="345"/>
    <tableColumn id="36" xr3:uid="{E775E21A-A24E-44AE-882E-B5A22F9618FB}" name="T09.2024" dataDxfId="344"/>
    <tableColumn id="37" xr3:uid="{3ACC8DF5-05A5-4D66-8425-FFD27770486D}" name="T10.2024" dataDxfId="343"/>
    <tableColumn id="38" xr3:uid="{5DD1AA75-7128-40B8-AEEA-6150B8741F71}" name="T11.2024" dataDxfId="342"/>
    <tableColumn id="39" xr3:uid="{403EA274-923F-447C-9C21-56D632771F42}" name="T12.2024" dataDxfId="341"/>
    <tableColumn id="40" xr3:uid="{BA3A1F80-2E1E-4482-BA69-2325875F315A}" name="T01.2025" dataDxfId="340" dataCellStyle="Normal 2"/>
    <tableColumn id="41" xr3:uid="{1A54F5A0-375D-4345-9534-E57D0A023742}" name="T02.2025" dataDxfId="339" dataCellStyle="Normal 2"/>
    <tableColumn id="42" xr3:uid="{2AB39A12-EB41-41AE-965A-AA559121A121}" name="T03.2025" dataDxfId="338" dataCellStyle="Normal 2"/>
    <tableColumn id="43" xr3:uid="{490CF469-452A-4537-B314-5CD8A5C31CD7}" name="T04.2025" dataDxfId="337" dataCellStyle="Normal 2"/>
    <tableColumn id="44" xr3:uid="{636E5D1C-E0AA-4E14-B618-BDF399B0EB67}" name="T05.2025" dataDxfId="336" dataCellStyle="Normal 2"/>
    <tableColumn id="45" xr3:uid="{C5928489-0551-4C70-90D8-892116F533F0}" name="T06.2025" dataDxfId="335" dataCellStyle="Normal 2"/>
    <tableColumn id="46" xr3:uid="{A50E431F-7203-4CCC-B86C-17A5B3C9EF49}" name="T07.2025" dataDxfId="334" dataCellStyle="Normal 2"/>
    <tableColumn id="47" xr3:uid="{32473C0E-2C14-4DD6-9037-57E9F9187A30}" name="T08.2025" dataDxfId="333" dataCellStyle="Normal 2"/>
    <tableColumn id="48" xr3:uid="{3E046469-70BC-4DAC-A017-BBCD9DAE6DE2}" name="T09.2025" dataDxfId="332" dataCellStyle="Normal 2"/>
    <tableColumn id="49" xr3:uid="{3C4706E3-F8E5-4D50-AB75-38DED572FB80}" name="T10.2025" dataDxfId="331" dataCellStyle="Normal 2"/>
    <tableColumn id="50" xr3:uid="{A3C6E784-0A8B-49FD-A8D8-EF063407F61A}" name="T11.2025" dataDxfId="330" dataCellStyle="Normal 2"/>
    <tableColumn id="51" xr3:uid="{43334BF2-AE84-4871-90FF-E1289F1AF5EC}" name="T12.2025" dataDxfId="329" dataCellStyle="Normal 2"/>
    <tableColumn id="64" xr3:uid="{0530E79C-DD8B-488E-92C5-45A096649242}" name="T01.2026" dataDxfId="328" dataCellStyle="Normal 2"/>
    <tableColumn id="65" xr3:uid="{44021364-1FF3-4C68-9030-1529BFC38FFC}" name="T02.2026" dataDxfId="327" dataCellStyle="Normal 2"/>
    <tableColumn id="66" xr3:uid="{10E13A9B-890E-4E61-8880-5165741F8E68}" name="T03.2026" dataDxfId="326" dataCellStyle="Normal 2"/>
    <tableColumn id="67" xr3:uid="{57999070-F4CD-462D-9C25-8E8E8C300B37}" name="T04.2026" dataDxfId="325" dataCellStyle="Normal 2"/>
    <tableColumn id="68" xr3:uid="{860DAFEA-C7E1-4BCF-A09F-17B9FC8F6C35}" name="T05.2026" dataDxfId="324" dataCellStyle="Normal 2"/>
    <tableColumn id="69" xr3:uid="{BAE22BAC-1CDD-49E2-8D29-8B05F9994D1E}" name="T06.2026" dataDxfId="323" dataCellStyle="Normal 2"/>
    <tableColumn id="70" xr3:uid="{49C929DB-3DD7-4429-B5F5-0D7282285583}" name="T07.2026" dataDxfId="322" dataCellStyle="Normal 2"/>
    <tableColumn id="71" xr3:uid="{97A23455-9D2B-4A93-A0D2-4B84249CB2F1}" name="T08.2026" dataDxfId="321" dataCellStyle="Normal 2"/>
    <tableColumn id="72" xr3:uid="{EC5F0E35-19A7-415C-B1B9-390AC282A361}" name="T09.2026" dataDxfId="320" dataCellStyle="Normal 2"/>
    <tableColumn id="73" xr3:uid="{0A877FFD-1B4C-4256-AC93-1B4EEF35C426}" name="T10.2026" dataDxfId="319" dataCellStyle="Normal 2"/>
    <tableColumn id="74" xr3:uid="{1C0602BC-1904-4DD9-A30B-6CC94DD6C118}" name="T11.2026" dataDxfId="318" dataCellStyle="Normal 2"/>
    <tableColumn id="75" xr3:uid="{5D44FAA7-DDD7-4C67-8147-204E51AB9279}" name="T12.2026" dataDxfId="317" dataCellStyle="Normal 2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E13522E-9AE6-4857-9C74-5B4C5A3EBA9D}" name="Data_PL" displayName="Data_PL" ref="A3:BW23" totalsRowShown="0" headerRowDxfId="316" dataDxfId="315" tableBorderDxfId="314" headerRowCellStyle="Comma 3">
  <tableColumns count="75">
    <tableColumn id="1" xr3:uid="{ABB05ADA-C0B8-4AB9-BCB1-BB6622F367B2}" name="Index PL" dataDxfId="313" dataCellStyle="Normal 2"/>
    <tableColumn id="2" xr3:uid="{D6408AC8-8E0C-4398-ADE6-ADB7EDDE6D44}" name="PHẦN II-KẾT QUẢ HOẠT ĐỘNG KINH DOANH" dataDxfId="312" dataCellStyle="Normal 2"/>
    <tableColumn id="3" xr3:uid="{9B19B0BE-D14C-430C-88C8-38B06E711033}" name="TenCongTyID" dataDxfId="311"/>
    <tableColumn id="4" xr3:uid="{C676693E-9173-4154-8B46-279F5ED5B511}" name="T1.2021" dataDxfId="310" dataCellStyle="Normal 2"/>
    <tableColumn id="5" xr3:uid="{673BB486-DD38-4C06-BD78-BB9CC172201C}" name="T02.2021" dataDxfId="309" dataCellStyle="Normal 2"/>
    <tableColumn id="6" xr3:uid="{D78C5B02-B9C5-4F25-AAB2-9B324F7DE7CC}" name="T03.2021" dataDxfId="308" dataCellStyle="Normal 2"/>
    <tableColumn id="7" xr3:uid="{1F00329E-5480-4EAF-8469-FE1DED7FCF90}" name="T04.2021" dataDxfId="307" dataCellStyle="Normal 2"/>
    <tableColumn id="8" xr3:uid="{A08D820A-539D-4C74-ABA9-6DFD3C269DC4}" name="T05.2021" dataDxfId="306" dataCellStyle="Normal 2"/>
    <tableColumn id="9" xr3:uid="{592E2C33-2B69-457E-A80D-CA323A583C2D}" name="T06.2021" dataDxfId="305" dataCellStyle="Normal 2"/>
    <tableColumn id="10" xr3:uid="{6CE799F8-01D1-4C42-8C43-19EBA6AA42E5}" name="T07.2021" dataDxfId="304" dataCellStyle="Normal 2"/>
    <tableColumn id="11" xr3:uid="{900947EB-BD18-4729-B63B-563CAFFA0419}" name="T08.2021" dataDxfId="303" dataCellStyle="Normal 2"/>
    <tableColumn id="12" xr3:uid="{6A13575A-7BDD-4B1A-98E5-0EF31D668557}" name="T09.2021" dataDxfId="302" dataCellStyle="Normal 2"/>
    <tableColumn id="13" xr3:uid="{EDDEC4E9-2AE7-4A66-97BA-0523AC40C016}" name="T10.2021" dataDxfId="301" dataCellStyle="Normal 2"/>
    <tableColumn id="14" xr3:uid="{C4AF1CE7-3DDA-4814-A8B2-8112C52A8F76}" name="T11.2021" dataDxfId="300" dataCellStyle="Normal 2"/>
    <tableColumn id="15" xr3:uid="{86280B82-B36C-4893-B4B6-8FFDDE363B01}" name="T12.2021" dataDxfId="299" dataCellStyle="Normal 2"/>
    <tableColumn id="16" xr3:uid="{71778AF8-2EA4-4245-9CC0-628F85D0490F}" name="T1.2022" dataDxfId="298" dataCellStyle="Normal 2"/>
    <tableColumn id="17" xr3:uid="{A6B3ED9B-24F2-46E2-B5D0-7D4AB7D57FA3}" name="T02.2022" dataDxfId="297" dataCellStyle="Normal 2"/>
    <tableColumn id="18" xr3:uid="{B0AB81B5-2D64-4090-8912-9F0587FA660E}" name="T03.2022" dataDxfId="296" dataCellStyle="Normal 2"/>
    <tableColumn id="19" xr3:uid="{DCB3C9C2-A1F7-4083-A521-98D337BD3DD6}" name="T04.2022" dataDxfId="295" dataCellStyle="Normal 2"/>
    <tableColumn id="20" xr3:uid="{E8386E23-D17F-421B-B623-F6A0DB69BCA9}" name="T05.2022" dataDxfId="294" dataCellStyle="Normal 2"/>
    <tableColumn id="21" xr3:uid="{985EDD12-BC26-4D4B-BAD8-5073B9C2146D}" name="T06.2022" dataDxfId="293" dataCellStyle="Normal 2"/>
    <tableColumn id="22" xr3:uid="{AAC7B673-6FA2-49B2-8DF4-1FB1D597CC73}" name="T07.2022" dataDxfId="292" dataCellStyle="Normal 2"/>
    <tableColumn id="23" xr3:uid="{4A0DBD10-E230-4DEB-AC7F-A09C88752940}" name="T08.2022" dataDxfId="291" dataCellStyle="Normal 2"/>
    <tableColumn id="24" xr3:uid="{04B410D7-849D-43A1-AF56-1CE384034DC7}" name="T09.2022" dataDxfId="290" dataCellStyle="Normal 2"/>
    <tableColumn id="25" xr3:uid="{50511BF5-FA11-4ED0-92FA-E09F7FBAD0A7}" name="T10.2022" dataDxfId="289" dataCellStyle="Normal 2"/>
    <tableColumn id="26" xr3:uid="{C10D6AAC-61D9-4F62-B621-558B05B2C212}" name="T11.2022" dataDxfId="288" dataCellStyle="Normal 2"/>
    <tableColumn id="27" xr3:uid="{B2BB4008-48F1-4F9E-885A-6A425EC18EC6}" name="T12.2022" dataDxfId="287" dataCellStyle="Normal 2"/>
    <tableColumn id="28" xr3:uid="{E1BB6770-E0DD-4955-8FB9-98425C373754}" name="T1.2023" dataDxfId="286" dataCellStyle="Normal 2"/>
    <tableColumn id="29" xr3:uid="{179AB70A-2DF8-49B7-B3EE-E7B1F7114266}" name="T02.2023" dataDxfId="285" dataCellStyle="Normal 2"/>
    <tableColumn id="30" xr3:uid="{FAEC944D-DEBB-451C-91A2-9F1CC09FBC16}" name="T03.2023" dataDxfId="284" dataCellStyle="Normal 2"/>
    <tableColumn id="31" xr3:uid="{138A8B5D-49B3-4065-92C4-951733FC55F8}" name="T04.2023" dataDxfId="283" dataCellStyle="Normal 2"/>
    <tableColumn id="32" xr3:uid="{6D6BC989-9DFC-4EE3-BBEE-19F14B7CD81A}" name="T05.2023" dataDxfId="282" dataCellStyle="Normal 2"/>
    <tableColumn id="33" xr3:uid="{F9A8FE50-45DB-46F3-9E89-B11A577FF6DC}" name="T06.2023" dataDxfId="281" dataCellStyle="Normal 2"/>
    <tableColumn id="34" xr3:uid="{507ABD84-3DE8-44F4-A0BD-197C7DF15030}" name="T07.2023" dataDxfId="280" dataCellStyle="Normal 2"/>
    <tableColumn id="35" xr3:uid="{6364D778-F090-4C6B-8B99-170ABD65412C}" name="T08.2023" dataDxfId="279" dataCellStyle="Normal 2"/>
    <tableColumn id="36" xr3:uid="{82205527-3735-4B7C-8889-BF7E136C37DA}" name="T09.2023" dataDxfId="278" dataCellStyle="Normal 2"/>
    <tableColumn id="37" xr3:uid="{79662330-48BE-4AB8-95C8-35923EFC2EDB}" name="T10.2023" dataDxfId="277" dataCellStyle="Normal 2"/>
    <tableColumn id="38" xr3:uid="{04418C41-56A3-4EE8-8E58-152B1CBE363E}" name="T11.2023" dataDxfId="276" dataCellStyle="Normal 2"/>
    <tableColumn id="39" xr3:uid="{BE2EF19D-A2E1-4BDB-820A-88F27A9C7C45}" name="T12.2023" dataDxfId="275" dataCellStyle="Normal 2"/>
    <tableColumn id="40" xr3:uid="{4F60F36D-727C-4BBF-A576-7EB54EF2A58B}" name="T01.2024" dataDxfId="274" dataCellStyle="Normal 2"/>
    <tableColumn id="41" xr3:uid="{CB0FFFCA-B09C-4388-ADF6-ADC1E0E1A31A}" name="T02.2024" dataDxfId="273" dataCellStyle="Normal 2"/>
    <tableColumn id="42" xr3:uid="{215BF7E2-C6C0-490C-8035-FE411D279F46}" name="T03.2024" dataDxfId="272" dataCellStyle="Normal 2"/>
    <tableColumn id="43" xr3:uid="{2B0E66D4-3459-4508-8AA2-BDA43F3129D9}" name="T04.2024" dataDxfId="271" dataCellStyle="Normal 2"/>
    <tableColumn id="44" xr3:uid="{9A1DD862-DA93-4E6B-B529-A6B53349C37B}" name="T05.2024" dataDxfId="270" dataCellStyle="Normal 2"/>
    <tableColumn id="45" xr3:uid="{0CB9E258-8162-46D3-84F4-3D5ABD6EACE3}" name="T06.2024" dataDxfId="269" dataCellStyle="Normal 2"/>
    <tableColumn id="46" xr3:uid="{E1BE263B-B214-48F2-B1E0-BEF034B14EE5}" name="T07.2024" dataDxfId="268" dataCellStyle="Normal 2"/>
    <tableColumn id="47" xr3:uid="{C692BC09-A5A7-4F8C-8808-85606F0CCE20}" name="T08.2024" dataDxfId="267" dataCellStyle="Normal 2"/>
    <tableColumn id="48" xr3:uid="{A48865DA-41A1-41A2-B2F0-CF1004329CAC}" name="T09.2024" dataDxfId="266" dataCellStyle="Normal 2"/>
    <tableColumn id="49" xr3:uid="{EAC1CD4E-D1FC-413B-A66B-4C314A36265B}" name="T10.2024" dataDxfId="265" dataCellStyle="Normal 2"/>
    <tableColumn id="50" xr3:uid="{CA553365-D88E-40D2-AF86-ACEDBC8771C0}" name="T11.2024" dataDxfId="264" dataCellStyle="Normal 2"/>
    <tableColumn id="51" xr3:uid="{34367242-41FC-415A-ADDB-B0694CABF19A}" name="T12.2024" dataDxfId="263" dataCellStyle="Normal 2"/>
    <tableColumn id="52" xr3:uid="{C18FAD02-6F94-4D4C-A965-EEF454294A65}" name="T01.2025" dataDxfId="262" dataCellStyle="Normal 2"/>
    <tableColumn id="53" xr3:uid="{E2F7B803-84C1-46A3-9F34-186C4E96C10E}" name="T02.2025" dataDxfId="261" dataCellStyle="Normal 2"/>
    <tableColumn id="54" xr3:uid="{52B3202F-D5CB-4E5C-B74F-3DD0D7BCCB99}" name="T03.2025" dataDxfId="260" dataCellStyle="Normal 2"/>
    <tableColumn id="55" xr3:uid="{919B2868-E78D-4229-A429-BD6D6A48BE64}" name="T04.2025" dataDxfId="259" dataCellStyle="Normal 2"/>
    <tableColumn id="56" xr3:uid="{DAA084EE-88D6-4AEA-8AE2-621041ADFFB3}" name="T05.2025" dataDxfId="258" dataCellStyle="Normal 2"/>
    <tableColumn id="57" xr3:uid="{3455FDB7-A081-4AF3-9606-20130D43C0BF}" name="T06.2025" dataDxfId="257" dataCellStyle="Normal 2"/>
    <tableColumn id="58" xr3:uid="{C93F07C4-911E-4811-BA56-3A770AFE6F5A}" name="T07.2025" dataDxfId="256" dataCellStyle="Normal 2"/>
    <tableColumn id="59" xr3:uid="{2A1C5016-E1B1-4EF1-AE25-98187B2A7055}" name="T08.2025" dataDxfId="255" dataCellStyle="Normal 2"/>
    <tableColumn id="60" xr3:uid="{1FB114F5-ACE8-4379-88F2-1F287BF281CB}" name="T09.2025" dataDxfId="254" dataCellStyle="Normal 2"/>
    <tableColumn id="61" xr3:uid="{72068B1E-377A-4F41-BA1A-5CE9B9A0C872}" name="T10.2025" dataDxfId="253" dataCellStyle="Normal 2"/>
    <tableColumn id="62" xr3:uid="{FE2ADD2C-091C-467F-95BB-642DC6602AD6}" name="T11.2025" dataDxfId="252" dataCellStyle="Normal 2"/>
    <tableColumn id="63" xr3:uid="{D2D46047-1F75-4F75-A3CA-AE33276DCA2E}" name="T12.2025" dataDxfId="251" dataCellStyle="Normal 2"/>
    <tableColumn id="64" xr3:uid="{1FAC4D1F-5B30-4224-AE25-8474A644787E}" name="T01.2026" dataDxfId="250" dataCellStyle="Normal 2"/>
    <tableColumn id="65" xr3:uid="{E35FB438-9FD4-4741-B2BD-228E47BEB261}" name="T02.2026" dataDxfId="249" dataCellStyle="Normal 2"/>
    <tableColumn id="66" xr3:uid="{D4D0B6DF-10AC-43CC-9DD6-0D2378CB241C}" name="T03.2026" dataDxfId="248" dataCellStyle="Normal 2"/>
    <tableColumn id="67" xr3:uid="{D2C2605D-7E7E-4191-BC9B-07C176F6DA49}" name="T04.2026" dataDxfId="247" dataCellStyle="Normal 2"/>
    <tableColumn id="68" xr3:uid="{051AB179-6AC6-44F4-9B97-1E2C31FBAE10}" name="T05.2026" dataDxfId="246" dataCellStyle="Normal 2"/>
    <tableColumn id="69" xr3:uid="{72D2BF5D-B7B1-4951-B73C-E9E375789F9D}" name="T06.2026" dataDxfId="245" dataCellStyle="Normal 2"/>
    <tableColumn id="70" xr3:uid="{EDD1E68C-48FA-4730-B542-E82991688943}" name="T07.2026" dataDxfId="244" dataCellStyle="Normal 2"/>
    <tableColumn id="71" xr3:uid="{33A4A1AC-F1C7-4624-9218-89AC2767000F}" name="T08.2026" dataDxfId="243" dataCellStyle="Normal 2"/>
    <tableColumn id="72" xr3:uid="{E4E7FD63-419E-4A90-8298-7917164EBBF8}" name="T09.2026" dataDxfId="242" dataCellStyle="Normal 2"/>
    <tableColumn id="73" xr3:uid="{33788D51-B216-474C-9DFB-951DCCB9CE13}" name="T10.2026" dataDxfId="241" dataCellStyle="Normal 2"/>
    <tableColumn id="74" xr3:uid="{5670A762-2C4C-41F5-9661-8FB3C3A68749}" name="T11.2026" dataDxfId="240" dataCellStyle="Normal 2"/>
    <tableColumn id="75" xr3:uid="{8ED678DB-F781-4B94-B5E5-73E7C8D6A1D4}" name="T12.2026" dataDxfId="239" dataCellStyle="Normal 2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2030F10-FA6E-4E5E-9899-AE7D4B276917}" name="Data_CF" displayName="Data_CF" ref="A3:BW44" totalsRowShown="0" headerRowDxfId="238" dataDxfId="237" tableBorderDxfId="236" headerRowCellStyle="Normal 2" dataCellStyle="Comma 5">
  <tableColumns count="75">
    <tableColumn id="1" xr3:uid="{152180A5-269C-43F0-AB5F-937D55FE030B}" name="Index CF" dataDxfId="235" dataCellStyle="Normal 2"/>
    <tableColumn id="2" xr3:uid="{B9900D71-8816-4CD1-B30C-B8648A9B68BE}" name="PHẦN III- LƯU CHUYỂN TIỀN TỆ" dataDxfId="234" dataCellStyle="Normal 2"/>
    <tableColumn id="3" xr3:uid="{0A071564-AACE-492C-9C0B-72662CD45432}" name="TenCongTyID" dataDxfId="233" dataCellStyle="Comma 5"/>
    <tableColumn id="4" xr3:uid="{0C5D3483-AC50-4B5F-8327-08E4015998BB}" name="T1.2021" dataDxfId="232" dataCellStyle="Comma 5"/>
    <tableColumn id="5" xr3:uid="{3B8A8914-E34B-400F-9FB9-D5A4BA7621E4}" name="T02.2021" dataDxfId="231" dataCellStyle="Comma 5"/>
    <tableColumn id="6" xr3:uid="{EA9C6C6D-CCC0-4D28-9E02-25E9A915D510}" name="T03.2021" dataDxfId="230" dataCellStyle="Comma 5"/>
    <tableColumn id="7" xr3:uid="{F0C96CF6-D340-4B05-B1EA-5614D995EE8D}" name="T04.2021" dataDxfId="229" dataCellStyle="Comma 5"/>
    <tableColumn id="8" xr3:uid="{C64AB6BB-B68F-41EC-8DA5-3DC4E18BA1BA}" name="T05.2021" dataDxfId="228" dataCellStyle="Comma 5"/>
    <tableColumn id="9" xr3:uid="{46D218E3-9144-45A5-AAF0-078C5EB49042}" name="T06.2021" dataDxfId="227" dataCellStyle="Comma 5"/>
    <tableColumn id="10" xr3:uid="{F3C50D00-6991-45A5-9F62-0256E999CFAB}" name="T07.2021" dataDxfId="226" dataCellStyle="Comma 5"/>
    <tableColumn id="11" xr3:uid="{71F6B9D4-850E-411B-8597-E30690302D8D}" name="T08.2021" dataDxfId="225" dataCellStyle="Comma 5"/>
    <tableColumn id="12" xr3:uid="{F6FDF97B-3CE8-4BCA-A9DE-EB9EBF72D8C7}" name="T09.2021" dataDxfId="224" dataCellStyle="Comma 5"/>
    <tableColumn id="13" xr3:uid="{174B5B8B-7900-436C-BAB1-E90BFE172B8B}" name="T10.2021" dataDxfId="223" dataCellStyle="Comma 5"/>
    <tableColumn id="14" xr3:uid="{F8D09DBE-102D-4078-A2A4-D33A669849B5}" name="T11.2021" dataDxfId="222" dataCellStyle="Comma 5"/>
    <tableColumn id="15" xr3:uid="{5CEFA0D4-141C-41FF-8DAF-2B01CB26E4A7}" name="T12.2021" dataDxfId="221" dataCellStyle="Comma 5"/>
    <tableColumn id="16" xr3:uid="{AE42F600-1914-465B-93C2-9B862A13E503}" name="T1.2022" dataDxfId="220" dataCellStyle="Comma 5"/>
    <tableColumn id="17" xr3:uid="{D8F8C661-D775-415E-992A-DF74A906A68B}" name="T02.2022" dataDxfId="219" dataCellStyle="Comma 5"/>
    <tableColumn id="18" xr3:uid="{D2D71E9C-36AB-4E17-94AF-9AEB059C9DC3}" name="T03.2022" dataDxfId="218" dataCellStyle="Comma 5"/>
    <tableColumn id="19" xr3:uid="{8BCB8C12-F5F2-4EA9-8762-D39F291CBD5A}" name="T04.2022" dataDxfId="217" dataCellStyle="Comma 5"/>
    <tableColumn id="20" xr3:uid="{33F46276-1831-439E-8E26-6397CDC37645}" name="T05.2022" dataDxfId="216" dataCellStyle="Comma 5"/>
    <tableColumn id="21" xr3:uid="{9E5F32D7-B9DC-47D6-AE8A-418BED817594}" name="T06.2022" dataDxfId="215" dataCellStyle="Comma 5"/>
    <tableColumn id="22" xr3:uid="{AFB80707-25B3-4A71-93BB-391CF79176CE}" name="T07.2022" dataDxfId="214" dataCellStyle="Comma 5"/>
    <tableColumn id="23" xr3:uid="{8D91B10A-8F00-41FA-9A57-4F6DC73F9301}" name="T08.2022" dataDxfId="213" dataCellStyle="Comma 5"/>
    <tableColumn id="24" xr3:uid="{22EFC852-E149-4881-9E59-77501F8F7B1F}" name="T09.2022" dataDxfId="212" dataCellStyle="Comma 5"/>
    <tableColumn id="25" xr3:uid="{249B8860-F878-48D1-8598-49C6F436D639}" name="T10.2022" dataDxfId="211" dataCellStyle="Comma 5"/>
    <tableColumn id="26" xr3:uid="{23DBE4E9-1626-485A-A3FC-84B683AF304F}" name="T11.2022" dataDxfId="210" dataCellStyle="Comma 5"/>
    <tableColumn id="27" xr3:uid="{503AF48F-25D2-4602-90DE-74A11B16B882}" name="T12.2022" dataDxfId="209" dataCellStyle="Comma 5"/>
    <tableColumn id="28" xr3:uid="{0F03A32D-7568-4A7D-AA0F-49E8FEFF300A}" name="T1.2023" dataDxfId="208" dataCellStyle="Comma 5"/>
    <tableColumn id="29" xr3:uid="{14D954B6-C998-45B3-8417-7E7CD73C004A}" name="T02.2023" dataDxfId="207" dataCellStyle="Comma 5"/>
    <tableColumn id="30" xr3:uid="{493997C7-9163-4CC9-A252-AFE28F74CFF4}" name="T03.2023" dataDxfId="206" dataCellStyle="Comma 5"/>
    <tableColumn id="31" xr3:uid="{ADF86CDE-FB8F-4A66-8C9E-BD80ECD95BA2}" name="T04.2023" dataDxfId="205" dataCellStyle="Comma 5"/>
    <tableColumn id="32" xr3:uid="{79CBF5B9-8AA9-435F-8FDE-FA9583164563}" name="T05.2023" dataDxfId="204" dataCellStyle="Comma 5"/>
    <tableColumn id="33" xr3:uid="{6D875C50-4AC3-4F5F-8D29-CEB53D61589C}" name="T06.2023" dataDxfId="203" dataCellStyle="Comma 5"/>
    <tableColumn id="34" xr3:uid="{656B75F9-D614-4A85-A80D-69072299F7B5}" name="T07.2023" dataDxfId="202" dataCellStyle="Comma 5"/>
    <tableColumn id="35" xr3:uid="{7BD2381C-5433-4794-99E5-F0A67B22CB3E}" name="T08.2023" dataDxfId="201" dataCellStyle="Comma 5"/>
    <tableColumn id="36" xr3:uid="{C3D96681-83F3-4363-AE1D-7413F9A65C33}" name="T09.2023" dataDxfId="200" dataCellStyle="Comma 5"/>
    <tableColumn id="37" xr3:uid="{F9F840E7-F666-4656-B9F5-E49BC4991073}" name="T10.2023" dataDxfId="199" dataCellStyle="Comma 5"/>
    <tableColumn id="38" xr3:uid="{35A43D1B-F373-4C31-8B5C-B0614643AE15}" name="T11.2023" dataDxfId="198" dataCellStyle="Comma 5"/>
    <tableColumn id="39" xr3:uid="{8FDC1DD5-335D-4856-8134-A58CD04D6643}" name="T12.2023" dataDxfId="197" dataCellStyle="Comma 5"/>
    <tableColumn id="40" xr3:uid="{69165328-F1FF-4520-B8CB-A29948440BED}" name="T01.2024" dataDxfId="196" dataCellStyle="Comma 5"/>
    <tableColumn id="41" xr3:uid="{171F3FE9-9D74-4E45-97A6-7EA9AD537618}" name="T02.2024" dataDxfId="195" dataCellStyle="Comma 5"/>
    <tableColumn id="42" xr3:uid="{F6EC0B1B-AC89-49E8-8B03-614E5CED5A28}" name="T03.2024" dataDxfId="194" dataCellStyle="Comma 5"/>
    <tableColumn id="43" xr3:uid="{4937F194-A031-424F-AFDF-0BCD61DF3205}" name="T04.2024" dataDxfId="193" dataCellStyle="Comma 5"/>
    <tableColumn id="44" xr3:uid="{256E694A-92F1-4956-9145-AA10FA2AC51A}" name="T05.2024" dataDxfId="192" dataCellStyle="Comma 5"/>
    <tableColumn id="45" xr3:uid="{986EEEE0-D32B-46F7-B386-C5741DBDB62A}" name="T06.2024" dataDxfId="191" dataCellStyle="Comma 5"/>
    <tableColumn id="46" xr3:uid="{C5D74BBB-C383-4BC8-B092-BE37E9CC9B9B}" name="T07.2024" dataDxfId="190" dataCellStyle="Comma 5"/>
    <tableColumn id="47" xr3:uid="{56A6D2C1-7CB6-4317-9AD1-8A0A87F834A9}" name="T08.2024" dataDxfId="189" dataCellStyle="Comma 5"/>
    <tableColumn id="48" xr3:uid="{A96ADE5F-F8E4-4389-84FD-CC34668C61C7}" name="T09.2024" dataDxfId="188" dataCellStyle="Comma 5"/>
    <tableColumn id="49" xr3:uid="{78EC4C08-57B2-4CC5-B4E0-F6D5914C177A}" name="T10.2024" dataDxfId="187" dataCellStyle="Comma 5"/>
    <tableColumn id="50" xr3:uid="{0956F0CF-A46A-45A6-A350-A6BCD27DAEEB}" name="T11.2024" dataDxfId="186" dataCellStyle="Comma 5"/>
    <tableColumn id="51" xr3:uid="{AB5C20AC-1F8D-4F81-B8DF-2BBEDA90B131}" name="T12.2024" dataDxfId="185" dataCellStyle="Comma 5"/>
    <tableColumn id="52" xr3:uid="{937E2652-A06F-4E72-8886-C1595A906469}" name="T01.2025" dataDxfId="184" dataCellStyle="Comma 5"/>
    <tableColumn id="53" xr3:uid="{909CF940-8FA1-4749-92E9-EFB71B3ECF5B}" name="T02.2025" dataDxfId="183" dataCellStyle="Comma 5"/>
    <tableColumn id="54" xr3:uid="{BE5F20D9-03EA-4235-96C4-5A19DDF78D22}" name="T03.2025" dataDxfId="182" dataCellStyle="Comma 5"/>
    <tableColumn id="55" xr3:uid="{CA2D42D1-C01B-44CB-9704-330A382B588E}" name="T04.2025" dataDxfId="181" dataCellStyle="Comma 5"/>
    <tableColumn id="56" xr3:uid="{7327A4F8-6904-4CA3-826C-AADEEDD2E052}" name="T05.2025" dataDxfId="180" dataCellStyle="Comma 5"/>
    <tableColumn id="57" xr3:uid="{B2AFDC75-A23B-4B46-815F-383787BBBEC3}" name="T06.2025" dataDxfId="179" dataCellStyle="Comma 5"/>
    <tableColumn id="58" xr3:uid="{C22467E8-1C11-474E-AF0B-AB11A5ADCFCE}" name="T07.2025" dataDxfId="178" dataCellStyle="Comma 5"/>
    <tableColumn id="59" xr3:uid="{D4053331-DF05-4398-8007-A9EA6ABC1C61}" name="T08.2025" dataDxfId="177" dataCellStyle="Comma 5"/>
    <tableColumn id="60" xr3:uid="{0A680FEE-BE77-467E-83CB-D5EA8942B331}" name="T09.2025" dataDxfId="176" dataCellStyle="Comma 5"/>
    <tableColumn id="61" xr3:uid="{51A83FB5-1CBF-49E2-9957-F2664689B47B}" name="T10.2025" dataDxfId="175" dataCellStyle="Comma 5"/>
    <tableColumn id="62" xr3:uid="{BDFCC9FF-2597-442F-9AFC-833624B9397C}" name="T11.2025" dataDxfId="174" dataCellStyle="Comma 5"/>
    <tableColumn id="63" xr3:uid="{3BE05993-10AC-40A6-84E0-A099FC690490}" name="T12.2025" dataDxfId="173" dataCellStyle="Comma 5"/>
    <tableColumn id="64" xr3:uid="{3A43C573-629E-49B1-A54D-E9000337ABA5}" name="T01.2026" dataDxfId="172" dataCellStyle="Comma 5"/>
    <tableColumn id="65" xr3:uid="{ADC718CF-3B15-4539-B671-7E7E944B734D}" name="T02.2026" dataDxfId="171" dataCellStyle="Comma 5"/>
    <tableColumn id="66" xr3:uid="{1D1E1BBA-3A28-4E5E-AB00-E438C360C7CD}" name="T03.2026" dataDxfId="170" dataCellStyle="Comma 5"/>
    <tableColumn id="67" xr3:uid="{58FC35D6-C45A-4ADB-A7E6-CB85F469BFEF}" name="T04.2026" dataDxfId="169" dataCellStyle="Comma 5"/>
    <tableColumn id="68" xr3:uid="{257A9100-041C-4D6E-BFDB-3EE3356C1FCF}" name="T05.2026" dataDxfId="168" dataCellStyle="Comma 5"/>
    <tableColumn id="69" xr3:uid="{1320AA19-1E85-40B5-A9E2-D51B22FDC87A}" name="T06.2026" dataDxfId="167" dataCellStyle="Comma 5"/>
    <tableColumn id="70" xr3:uid="{1E4EF4FE-590A-45AB-8DD7-28417FD39D95}" name="T07.2026" dataDxfId="166" dataCellStyle="Comma 5"/>
    <tableColumn id="71" xr3:uid="{4ED0DFAF-4BF7-44F2-9828-25283340B371}" name="T08.2026" dataDxfId="165" dataCellStyle="Comma 5"/>
    <tableColumn id="72" xr3:uid="{0059A639-6B65-4F1A-BBE4-91457946CF92}" name="T09.2026" dataDxfId="164" dataCellStyle="Comma 5"/>
    <tableColumn id="73" xr3:uid="{119FB850-9575-47C4-B4FA-84297DB317E6}" name="T10.2026" dataDxfId="163" dataCellStyle="Comma 5"/>
    <tableColumn id="74" xr3:uid="{D7ADFCDF-6545-450F-8A8E-F0E4F6C619C0}" name="T11.2026" dataDxfId="162" dataCellStyle="Comma 5"/>
    <tableColumn id="75" xr3:uid="{529E0E60-8580-44B8-B98D-BC2F70811F23}" name="T12.2026" dataDxfId="161" dataCellStyle="Comma 5"/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7B12149-5C68-4A2C-BC02-28142F6A1EA2}" name="Data_PL_Element" displayName="Data_PL_Element" ref="A3:BW57" totalsRowShown="0" headerRowDxfId="160" dataDxfId="158" headerRowBorderDxfId="159" tableBorderDxfId="157" totalsRowBorderDxfId="156" headerRowCellStyle="Normal 2">
  <tableColumns count="75">
    <tableColumn id="1" xr3:uid="{8ED1312E-28D0-44D9-9265-6A054720DC57}" name="Index PL Element" dataDxfId="155"/>
    <tableColumn id="2" xr3:uid="{1AF09CB1-EAC2-4B8D-83FB-AD75E89AE8C5}" name="PHẦN IV: CHI PHÍ THEO YẾU TỐ" dataDxfId="154"/>
    <tableColumn id="3" xr3:uid="{795D1CCB-1330-4CEB-81A4-4A1DAB914EB9}" name="TenCongTyID" dataDxfId="153" dataCellStyle="Normal 2"/>
    <tableColumn id="4" xr3:uid="{236D2B58-578E-49BD-8C52-F598D00E6967}" name="T1.2021" dataDxfId="152" dataCellStyle="Normal 2"/>
    <tableColumn id="5" xr3:uid="{51AD6431-12E3-4C60-994B-2CF44E4D7E3A}" name="T02.2021" dataDxfId="151" dataCellStyle="Normal 2"/>
    <tableColumn id="6" xr3:uid="{C6F44C41-AA1E-48F6-B189-89624ACF1A82}" name="T03.2021" dataDxfId="150" dataCellStyle="Normal 2"/>
    <tableColumn id="7" xr3:uid="{3E102F70-F559-4877-8A11-70C46A24EDDF}" name="T04.2021" dataDxfId="149" dataCellStyle="Normal 2"/>
    <tableColumn id="8" xr3:uid="{9170F1CE-1A33-412C-A4B8-95CE38EC1E2C}" name="T05.2021" dataDxfId="148" dataCellStyle="Normal 2"/>
    <tableColumn id="9" xr3:uid="{80254BE4-B020-4872-93CD-DB594BA10386}" name="T06.2021" dataDxfId="147" dataCellStyle="Normal 2"/>
    <tableColumn id="10" xr3:uid="{4A546E8E-3D48-4623-8F0A-0BC8E3C86442}" name="T07.2021" dataDxfId="146" dataCellStyle="Normal 2"/>
    <tableColumn id="11" xr3:uid="{3B49014A-DE57-4649-8667-47482E1EF2E0}" name="T08.2021" dataDxfId="145" dataCellStyle="Normal 2"/>
    <tableColumn id="12" xr3:uid="{54F86B13-95E8-49A3-9F98-9BB809EC85AA}" name="T09.2021" dataDxfId="144" dataCellStyle="Normal 2"/>
    <tableColumn id="13" xr3:uid="{9222B05A-B1CF-465D-AB9A-615533EF9100}" name="T10.2021" dataDxfId="143" dataCellStyle="Normal 2"/>
    <tableColumn id="14" xr3:uid="{DB7F9196-08E4-4A0E-A5B9-0FF6DEA1E6F9}" name="T11.2021" dataDxfId="142" dataCellStyle="Normal 2"/>
    <tableColumn id="15" xr3:uid="{9A9D5157-3FB7-4CBD-91FC-619875C05F68}" name="T12.2021" dataDxfId="141" dataCellStyle="Normal 2"/>
    <tableColumn id="16" xr3:uid="{FF9EE199-98F5-48C8-9EFE-FEB417EF82A2}" name="T1.2022" dataDxfId="140" dataCellStyle="Normal 2"/>
    <tableColumn id="17" xr3:uid="{18948D08-4975-4F5F-9892-6759DE683D41}" name="T02.2022" dataDxfId="139" dataCellStyle="Normal 2"/>
    <tableColumn id="18" xr3:uid="{CCE5E67D-DA38-400A-A463-781746163AB2}" name="T03.2022" dataDxfId="138" dataCellStyle="Normal 2"/>
    <tableColumn id="19" xr3:uid="{82B89AD8-5318-4AF1-88BB-4596E1F0C0A4}" name="T04.2022" dataDxfId="137" dataCellStyle="Normal 2"/>
    <tableColumn id="20" xr3:uid="{EEFC73F8-8D27-4FCD-82E0-491E0E9F8158}" name="T05.2022" dataDxfId="136" dataCellStyle="Normal 2"/>
    <tableColumn id="21" xr3:uid="{B6667A10-873E-44AA-8556-689F083F23D9}" name="T06.2022" dataDxfId="135" dataCellStyle="Normal 2"/>
    <tableColumn id="22" xr3:uid="{528A60D2-744D-4CAF-A2FA-889338777B08}" name="T07.2022" dataDxfId="134" dataCellStyle="Normal 2"/>
    <tableColumn id="23" xr3:uid="{F01B702E-E727-41CE-88DF-841FFD73A5FD}" name="T08.2022" dataDxfId="133" dataCellStyle="Normal 2"/>
    <tableColumn id="24" xr3:uid="{6AD3E0C4-E66D-4FF7-AA55-277441E0899F}" name="T09.2022" dataDxfId="132" dataCellStyle="Normal 2"/>
    <tableColumn id="25" xr3:uid="{B5312EF5-5862-4897-A5C4-B2DC02C5FD80}" name="T10.2022" dataDxfId="131" dataCellStyle="Normal 2"/>
    <tableColumn id="26" xr3:uid="{AA02A3BD-69CC-49E1-9200-A5A4D566F681}" name="T11.2022" dataDxfId="130" dataCellStyle="Normal 2"/>
    <tableColumn id="27" xr3:uid="{F6E48C4B-943C-4855-9C73-54F899CE9383}" name="T12.2022" dataDxfId="129" dataCellStyle="Normal 2"/>
    <tableColumn id="28" xr3:uid="{96C05F34-DB2B-4AF7-AB67-F7F91182C94E}" name="T1.2023" dataDxfId="128" dataCellStyle="Normal 2"/>
    <tableColumn id="29" xr3:uid="{004CD040-3033-46AF-A94C-109617E2A3D4}" name="T02.2023" dataDxfId="127" dataCellStyle="Normal 2"/>
    <tableColumn id="30" xr3:uid="{81FCF645-F06B-4CC6-88B5-F4E2F77EA10A}" name="T03.2023" dataDxfId="126" dataCellStyle="Normal 2"/>
    <tableColumn id="31" xr3:uid="{4E888D90-CA05-4E77-9FB8-7246733AAD2F}" name="T04.2023" dataDxfId="125" dataCellStyle="Normal 2"/>
    <tableColumn id="32" xr3:uid="{79C5A840-62C9-489F-8999-BE9DA68B490D}" name="T05.2023" dataDxfId="124" dataCellStyle="Normal 2"/>
    <tableColumn id="33" xr3:uid="{4660253B-C7AE-450A-B162-53E218C74F84}" name="T06.2023" dataDxfId="123" dataCellStyle="Normal 2"/>
    <tableColumn id="34" xr3:uid="{C50D7FA4-A715-4AC4-887D-87E4BE168B73}" name="T07.2023" dataDxfId="122" dataCellStyle="Normal 2"/>
    <tableColumn id="35" xr3:uid="{E0D362B8-9B03-4892-ACF1-164678F4A671}" name="T08.2023" dataDxfId="121" dataCellStyle="Normal 2"/>
    <tableColumn id="36" xr3:uid="{764FC098-3E3A-4F30-8BC5-A42C88989501}" name="T09.2023" dataDxfId="120" dataCellStyle="Normal 2"/>
    <tableColumn id="37" xr3:uid="{2B1ADF2C-9372-43EC-8606-6704A47579AB}" name="T10.2023" dataDxfId="119" dataCellStyle="Normal 2"/>
    <tableColumn id="38" xr3:uid="{7A213BAA-6344-4CEA-A130-03043EAE5D30}" name="T11.2023" dataDxfId="118" dataCellStyle="Normal 2"/>
    <tableColumn id="39" xr3:uid="{1A0BD67A-94B3-4E0C-B630-3D85724B5CFD}" name="T12.2023" dataDxfId="117" dataCellStyle="Normal 2"/>
    <tableColumn id="40" xr3:uid="{45795683-2FD9-40D9-BBAE-A51FC69BB248}" name="T01.2024" dataDxfId="116" dataCellStyle="Normal 2"/>
    <tableColumn id="41" xr3:uid="{1DA49AC5-4C82-462F-A99A-54082AADF6DB}" name="T02.2024" dataDxfId="115" dataCellStyle="Normal 2"/>
    <tableColumn id="42" xr3:uid="{C51C0378-CE9F-48CA-ADAE-4CA377F2D7BB}" name="T03.2024" dataDxfId="114" dataCellStyle="Normal 2"/>
    <tableColumn id="43" xr3:uid="{EDEFBDF9-C973-4653-B8B1-0EF9C88AC210}" name="T04.2024" dataDxfId="113" dataCellStyle="Normal 2"/>
    <tableColumn id="44" xr3:uid="{E7FF94A3-CBF2-4201-A94B-D98EBCB235EE}" name="T05.2024" dataDxfId="112" dataCellStyle="Normal 2"/>
    <tableColumn id="45" xr3:uid="{C5B35C9C-178A-4FE8-B878-B5A0D815B3DA}" name="T06.2024" dataDxfId="111" dataCellStyle="Normal 2"/>
    <tableColumn id="46" xr3:uid="{9C91D370-ED80-434C-913A-D73DAA760D0A}" name="T07.2024" dataDxfId="110" dataCellStyle="Normal 2"/>
    <tableColumn id="47" xr3:uid="{8EEEBD78-3511-4F39-B868-6992906B0639}" name="T08.2024" dataDxfId="109" dataCellStyle="Normal 2"/>
    <tableColumn id="48" xr3:uid="{927BE811-D4C3-477C-9314-56B4A6C742FA}" name="T09.2024" dataDxfId="108" dataCellStyle="Normal 2"/>
    <tableColumn id="49" xr3:uid="{CD5E05AE-80CF-43ED-A85A-C2E8C96E6DF1}" name="T10.2024" dataDxfId="107" dataCellStyle="Normal 2"/>
    <tableColumn id="50" xr3:uid="{C439DC2D-5E71-48A0-8466-E2ACB501B057}" name="T11.2024" dataDxfId="106" dataCellStyle="Normal 2"/>
    <tableColumn id="51" xr3:uid="{45CCC44D-9B92-46A6-97CA-BDEB69B5A954}" name="T12.2024" dataDxfId="105" dataCellStyle="Normal 2"/>
    <tableColumn id="52" xr3:uid="{50B7E4F0-861A-4317-8683-16F1D8461FE2}" name="T01.2025" dataDxfId="104" dataCellStyle="Normal 2"/>
    <tableColumn id="53" xr3:uid="{07783411-3239-4C2F-9FDC-6C5997A30019}" name="T02.2025" dataDxfId="103" dataCellStyle="Normal 2"/>
    <tableColumn id="54" xr3:uid="{5522B82A-3CC2-4CB5-A76E-650CA80D6AC9}" name="T03.2025" dataDxfId="102" dataCellStyle="Normal 2"/>
    <tableColumn id="55" xr3:uid="{C639BDB7-1FD2-416D-8AC1-9B0AC4384681}" name="T04.2025" dataDxfId="101" dataCellStyle="Normal 2"/>
    <tableColumn id="56" xr3:uid="{38BF1E87-63E1-4671-8942-B8274482A7B2}" name="T05.2025" dataDxfId="100" dataCellStyle="Normal 2"/>
    <tableColumn id="57" xr3:uid="{B3752A11-52AC-4FD9-90E7-F3F8E441807E}" name="T06.2025" dataDxfId="99" dataCellStyle="Normal 2"/>
    <tableColumn id="58" xr3:uid="{A1870A5F-38B7-473A-8905-C7FFB6F4F414}" name="T07.2025" dataDxfId="98" dataCellStyle="Normal 2"/>
    <tableColumn id="59" xr3:uid="{BDE520B9-F587-467C-9D19-95C0483BB5BD}" name="T08.2025" dataDxfId="97" dataCellStyle="Normal 2"/>
    <tableColumn id="60" xr3:uid="{7F09AFF6-5199-4611-8C7B-59FAB6CC0CB9}" name="T09.2025" dataDxfId="96" dataCellStyle="Normal 2"/>
    <tableColumn id="61" xr3:uid="{CAD79E9B-CDF8-4437-82E1-383048F30186}" name="T10.2025" dataDxfId="95" dataCellStyle="Normal 2"/>
    <tableColumn id="62" xr3:uid="{2C068344-F541-4CAD-96A2-D45F9D5D3A37}" name="T11.2025" dataDxfId="94" dataCellStyle="Normal 2"/>
    <tableColumn id="63" xr3:uid="{27B75D5C-056C-4A9D-9D7F-37AEA99078FC}" name="T12.2025" dataDxfId="93" dataCellStyle="Normal 2"/>
    <tableColumn id="64" xr3:uid="{F8E5D1E4-7371-4803-8E37-00AF664A0F41}" name="T01.2026" dataDxfId="92" dataCellStyle="Normal 2"/>
    <tableColumn id="65" xr3:uid="{E63D1E74-64BC-47EC-B26A-9369EDF1C317}" name="T02.2026" dataDxfId="91" dataCellStyle="Normal 2"/>
    <tableColumn id="66" xr3:uid="{63AA9E0A-2783-4BCA-AC44-91889DD893FF}" name="T03.2026" dataDxfId="90" dataCellStyle="Normal 2"/>
    <tableColumn id="67" xr3:uid="{8BD20F5C-FBFB-4CB6-80F0-D572C56B0056}" name="T04.2026" dataDxfId="89" dataCellStyle="Normal 2"/>
    <tableColumn id="68" xr3:uid="{5E58C6A2-021E-4F7C-8C48-73A60C52B3D1}" name="T05.2026" dataDxfId="88" dataCellStyle="Normal 2"/>
    <tableColumn id="69" xr3:uid="{F7EEA467-4915-4C3F-99DC-5D30387A9A07}" name="T06.2026" dataDxfId="87" dataCellStyle="Normal 2"/>
    <tableColumn id="70" xr3:uid="{39F0B4F0-0F8B-4FD8-A5DD-B19834C17C95}" name="T07.2026" dataDxfId="86" dataCellStyle="Normal 2"/>
    <tableColumn id="71" xr3:uid="{24716850-7C85-4D38-B947-9E05FBA09C55}" name="T08.2026" dataDxfId="85" dataCellStyle="Normal 2"/>
    <tableColumn id="72" xr3:uid="{B47B101A-EA76-48A7-806B-F2F775B033D2}" name="T09.2026" dataDxfId="84" dataCellStyle="Normal 2"/>
    <tableColumn id="73" xr3:uid="{4E907F87-0131-45B9-AF0F-616BEC689F66}" name="T10.2026" dataDxfId="83" dataCellStyle="Normal 2"/>
    <tableColumn id="74" xr3:uid="{AD1B8077-066A-4140-8879-FAB70A422B16}" name="T11.2026" dataDxfId="82" dataCellStyle="Normal 2"/>
    <tableColumn id="75" xr3:uid="{5E02205D-3DCC-4423-9FA4-6D6586A97398}" name="T12.2026" dataDxfId="81" dataCellStyle="Normal 2"/>
  </tableColumns>
  <tableStyleInfo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776A2518-1065-4073-8855-CD8290761D8C}" name="Data_Loan" displayName="Data_Loan" ref="A3:BW74" totalsRowShown="0" headerRowDxfId="80" dataDxfId="79" headerRowCellStyle="Normal 2" dataCellStyle="Normal 2">
  <tableColumns count="75">
    <tableColumn id="1" xr3:uid="{CB850D93-94A0-40DD-BDE6-DB8DB35DC185}" name="Index Loan" dataDxfId="78" dataCellStyle="Normal 2"/>
    <tableColumn id="2" xr3:uid="{DE7479E9-673C-4B9F-B78E-83707B727FD5}" name="PHẦN V: CHI TIẾT NỢ VAY NGÂN HÀNG" dataDxfId="77" dataCellStyle="Normal 2"/>
    <tableColumn id="3" xr3:uid="{7A299076-6F9B-411F-A62D-66E409FF72DE}" name="TenCongTyID" dataDxfId="76" dataCellStyle="Normal 2"/>
    <tableColumn id="4" xr3:uid="{767998D8-5CB5-4789-A154-F2D0C9EAB581}" name="T1.2021" dataDxfId="75" dataCellStyle="Normal 2"/>
    <tableColumn id="5" xr3:uid="{5816DB5D-01B9-41FF-9B85-F215CF54124F}" name="T02.2021" dataDxfId="74" dataCellStyle="Normal 2"/>
    <tableColumn id="6" xr3:uid="{004E6981-AFB2-4B98-B4C9-FDB7D97DC20B}" name="T03.2021" dataDxfId="73" dataCellStyle="Normal 2"/>
    <tableColumn id="7" xr3:uid="{47221F01-E256-4E8F-B3DE-6F3153D39A05}" name="T04.2021" dataDxfId="72" dataCellStyle="Normal 2"/>
    <tableColumn id="8" xr3:uid="{D6638A7F-D9E1-4A55-A4D3-291FFD14EFCF}" name="T05.2021" dataDxfId="71" dataCellStyle="Normal 2"/>
    <tableColumn id="9" xr3:uid="{96F9EAB7-4CE1-4499-90C2-FB9B0CA4B5A6}" name="T06.2021" dataDxfId="70" dataCellStyle="Normal 2"/>
    <tableColumn id="10" xr3:uid="{D6C744C4-3454-4F20-9CAA-E1D5A2A012EA}" name="T07.2021" dataDxfId="69" dataCellStyle="Normal 2"/>
    <tableColumn id="11" xr3:uid="{1AFAD7D8-0F88-4B8B-B487-C1F92A54FBC8}" name="T08.2021" dataDxfId="68" dataCellStyle="Normal 2"/>
    <tableColumn id="12" xr3:uid="{3B67F611-929E-4F26-8763-EF4C700EB488}" name="T09.2021" dataDxfId="67" dataCellStyle="Normal 2"/>
    <tableColumn id="13" xr3:uid="{95C16C54-A69B-44F8-B586-FBFF16F05F53}" name="T10.2021" dataDxfId="66" dataCellStyle="Normal 2"/>
    <tableColumn id="14" xr3:uid="{1BC1E933-9B8D-48FF-8C0D-165D1ACC3D1F}" name="T11.2021" dataDxfId="65" dataCellStyle="Normal 2"/>
    <tableColumn id="15" xr3:uid="{1A94812C-5332-4C53-BCBD-171590BF88F2}" name="T12.2021" dataDxfId="64" dataCellStyle="Normal 2"/>
    <tableColumn id="16" xr3:uid="{5E6D6D6B-4A8A-4141-B54B-F3587FA82E07}" name="T1.2022" dataDxfId="63" dataCellStyle="Normal 2"/>
    <tableColumn id="17" xr3:uid="{2E610773-6AE8-4766-9292-CEFF9C1B39B9}" name="T02.2022" dataDxfId="62" dataCellStyle="Normal 2"/>
    <tableColumn id="18" xr3:uid="{C992DA52-8F6B-4214-87E2-D1766AE54A3D}" name="T03.2022" dataDxfId="61" dataCellStyle="Normal 2"/>
    <tableColumn id="19" xr3:uid="{116254CA-1157-4A00-BE6E-7605D08A95FA}" name="T04.2022" dataDxfId="60" dataCellStyle="Normal 2"/>
    <tableColumn id="20" xr3:uid="{C8F8CA0B-0CCF-42FB-BDC0-68933A20A6D3}" name="T05.2022" dataDxfId="59" dataCellStyle="Normal 2"/>
    <tableColumn id="21" xr3:uid="{D3AB7B9D-6FF1-49C2-8C1F-BA592B9E6EF5}" name="T06.2022" dataDxfId="58" dataCellStyle="Normal 2"/>
    <tableColumn id="22" xr3:uid="{A16C040A-904B-4FAC-ADC8-32E1FFDA9183}" name="T07.2022" dataDxfId="57" dataCellStyle="Normal 2"/>
    <tableColumn id="23" xr3:uid="{18BDCDB6-9029-4F32-88AD-8270E4DE3051}" name="T08.2022" dataDxfId="56" dataCellStyle="Normal 2"/>
    <tableColumn id="24" xr3:uid="{465E5E0F-E7B7-42B6-BE68-7EC34DFDFBAD}" name="T09.2022" dataDxfId="55" dataCellStyle="Normal 2"/>
    <tableColumn id="25" xr3:uid="{0CC04C31-F48F-49C3-9EAB-7E86F80F1C28}" name="T10.2022" dataDxfId="54" dataCellStyle="Normal 2"/>
    <tableColumn id="26" xr3:uid="{4B390DE7-8D16-4146-8F1E-6C5CC09F0FD1}" name="T11.2022" dataDxfId="53" dataCellStyle="Normal 2"/>
    <tableColumn id="27" xr3:uid="{17E178EA-7917-41DE-ABCA-B132D70B60AC}" name="T12.2022" dataDxfId="52" dataCellStyle="Normal 2"/>
    <tableColumn id="28" xr3:uid="{2E7B7B65-EE41-4790-BCFC-9ADD0F797473}" name="T1.2023" dataDxfId="51" dataCellStyle="Normal 2"/>
    <tableColumn id="29" xr3:uid="{001D9914-23CC-47E5-A264-F662AFA01989}" name="T02.2023" dataDxfId="50" dataCellStyle="Normal 2"/>
    <tableColumn id="30" xr3:uid="{5564D827-1E98-4C6A-8A3F-049594E8BA99}" name="T03.2023" dataDxfId="49" dataCellStyle="Normal 2"/>
    <tableColumn id="31" xr3:uid="{E3BBC626-90B4-4079-A3EB-23DA1FB0E4FE}" name="T04.2023" dataDxfId="48" dataCellStyle="Normal 2"/>
    <tableColumn id="32" xr3:uid="{0B683A6D-8C9E-4587-9F56-0F34BB0EB2A3}" name="T05.2023" dataDxfId="47" dataCellStyle="Normal 2"/>
    <tableColumn id="33" xr3:uid="{9060B830-DBD3-4D90-ABBB-1EF512A27779}" name="T06.2023" dataDxfId="46" dataCellStyle="Normal 2"/>
    <tableColumn id="34" xr3:uid="{8BAC83AC-43EA-405F-8AF8-CED522B5D388}" name="T07.2023" dataDxfId="45" dataCellStyle="Normal 2"/>
    <tableColumn id="35" xr3:uid="{5B319937-284C-46B7-A7EF-EC02CD52AED4}" name="T08.2023" dataDxfId="44" dataCellStyle="Normal 2"/>
    <tableColumn id="36" xr3:uid="{FA18F312-B5AE-49DD-BABF-0D82827BDCF7}" name="T09.2023" dataDxfId="43" dataCellStyle="Normal 2"/>
    <tableColumn id="37" xr3:uid="{6F6AAEB8-1DC2-4A72-B3F2-1F5AA5474288}" name="T10.2023" dataDxfId="42" dataCellStyle="Normal 2"/>
    <tableColumn id="38" xr3:uid="{853A5275-8792-48AE-8A5E-E68792AEA3CA}" name="T11.2023" dataDxfId="41" dataCellStyle="Normal 2"/>
    <tableColumn id="39" xr3:uid="{D0827DB6-36FF-4ECA-97CC-38C2F1899920}" name="T12.2023" dataDxfId="40" dataCellStyle="Normal 2"/>
    <tableColumn id="40" xr3:uid="{C4781926-86B3-4FBF-A9E5-A5C90D52E318}" name="T01.2024" dataDxfId="39" dataCellStyle="Normal 2"/>
    <tableColumn id="41" xr3:uid="{2DA6C329-DEC0-42DE-92C0-CE41A682BF53}" name="T02.2024" dataDxfId="38" dataCellStyle="Normal 2"/>
    <tableColumn id="42" xr3:uid="{7A84FBAA-4A30-4979-8688-71A33780B1F8}" name="T03.2024" dataDxfId="37" dataCellStyle="Normal 2"/>
    <tableColumn id="43" xr3:uid="{DE46645D-EB00-4CA3-BB32-16B97A15C4E4}" name="T04.2024" dataDxfId="36" dataCellStyle="Normal 2"/>
    <tableColumn id="44" xr3:uid="{AD20D5AB-D62C-4F3B-97EB-29E683700EC2}" name="T05.2024" dataDxfId="35" dataCellStyle="Normal 2"/>
    <tableColumn id="45" xr3:uid="{D5D5A9F4-D380-47EE-9F4C-C46F83A6AA1D}" name="T06.2024" dataDxfId="34" dataCellStyle="Normal 2"/>
    <tableColumn id="46" xr3:uid="{58C46039-CEFD-4C8A-8AA9-7051F6977082}" name="T07.2024" dataDxfId="33" dataCellStyle="Normal 2"/>
    <tableColumn id="47" xr3:uid="{1903512A-D1C2-4C04-9562-6ED96C23635C}" name="T08.2024" dataDxfId="32" dataCellStyle="Normal 2"/>
    <tableColumn id="48" xr3:uid="{EA2F8858-8C58-4D92-8558-CDA1B859EA74}" name="T09.2024" dataDxfId="31" dataCellStyle="Normal 2"/>
    <tableColumn id="49" xr3:uid="{4BAF26D0-1139-458F-A4B6-3C3105F78CFB}" name="T10.2024" dataDxfId="30" dataCellStyle="Normal 2"/>
    <tableColumn id="50" xr3:uid="{FAA7E747-452C-4F13-BFD1-C5B79A15FFAF}" name="T11.2024" dataDxfId="29" dataCellStyle="Normal 2"/>
    <tableColumn id="51" xr3:uid="{88247BD9-E98E-489B-9E63-73034C6D8D4F}" name="T12.2024" dataDxfId="28" dataCellStyle="Normal 2"/>
    <tableColumn id="52" xr3:uid="{A4768191-0C4E-4EB6-B6E7-8D8090ED5B2C}" name="T01.2025" dataDxfId="27" dataCellStyle="Normal 2">
      <calculatedColumnFormula>'KQKD theo yeu to'!AZ51/AZ$40</calculatedColumnFormula>
    </tableColumn>
    <tableColumn id="53" xr3:uid="{07CB03E1-051D-4970-8023-473F12F487E6}" name="T02.2025" dataDxfId="26" dataCellStyle="Normal 2">
      <calculatedColumnFormula>'KQKD theo yeu to'!BA51/BA$40</calculatedColumnFormula>
    </tableColumn>
    <tableColumn id="54" xr3:uid="{51EFBB30-3F66-4B60-8564-BC84ADFCD07D}" name="T03.2025" dataDxfId="25" dataCellStyle="Normal 2">
      <calculatedColumnFormula>'KQKD theo yeu to'!BB51/BB$40</calculatedColumnFormula>
    </tableColumn>
    <tableColumn id="55" xr3:uid="{CECE7AAA-CF94-4387-8613-16831EE609E5}" name="T04.2025" dataDxfId="24" dataCellStyle="Normal 2">
      <calculatedColumnFormula>'KQKD theo yeu to'!BC51/BC$40</calculatedColumnFormula>
    </tableColumn>
    <tableColumn id="56" xr3:uid="{E8DE9C7A-670B-46B5-B314-5DAAF9098296}" name="T05.2025" dataDxfId="23" dataCellStyle="Normal 2">
      <calculatedColumnFormula>'KQKD theo yeu to'!BD51/BD$40</calculatedColumnFormula>
    </tableColumn>
    <tableColumn id="57" xr3:uid="{B6936F29-FB9F-49E1-B2C3-0297AB41BC91}" name="T06.2025" dataDxfId="22" dataCellStyle="Normal 2">
      <calculatedColumnFormula>'KQKD theo yeu to'!BE51/BE$40</calculatedColumnFormula>
    </tableColumn>
    <tableColumn id="58" xr3:uid="{DF1BAC63-6BEE-49FD-9C6A-3F14F4734B54}" name="T07.2025" dataDxfId="21" dataCellStyle="Normal 2">
      <calculatedColumnFormula>'KQKD theo yeu to'!BF51/BF$40</calculatedColumnFormula>
    </tableColumn>
    <tableColumn id="59" xr3:uid="{2B829319-3E0D-4C78-B005-7DF9931C3BDB}" name="T08.2025" dataDxfId="20" dataCellStyle="Normal 2">
      <calculatedColumnFormula>'KQKD theo yeu to'!BG51/BG$40</calculatedColumnFormula>
    </tableColumn>
    <tableColumn id="60" xr3:uid="{8F75313B-DE2D-4D4F-AD25-E2C997C06CCF}" name="T09.2025" dataDxfId="19" dataCellStyle="Normal 2">
      <calculatedColumnFormula>'KQKD theo yeu to'!BH51/BH$40</calculatedColumnFormula>
    </tableColumn>
    <tableColumn id="61" xr3:uid="{CC008DEE-2C1D-41F5-B350-F47D1911351A}" name="T10.2025" dataDxfId="18" dataCellStyle="Normal 2"/>
    <tableColumn id="62" xr3:uid="{0D447DAA-DE0C-48BA-8BB2-661F96C8712F}" name="T11.2025" dataDxfId="17" dataCellStyle="Normal 2"/>
    <tableColumn id="63" xr3:uid="{9785EAB6-EBD4-4C57-BD96-E5C04EC62562}" name="T12.2025" dataDxfId="16" dataCellStyle="Normal 2"/>
    <tableColumn id="64" xr3:uid="{50B822AC-3D3A-4DFA-85DE-0B5AE345F418}" name="T01.2026" dataDxfId="15" dataCellStyle="Normal 2"/>
    <tableColumn id="65" xr3:uid="{0F79E89E-A066-4A34-A5CA-039B4DEEECA9}" name="T02.2026" dataDxfId="14" dataCellStyle="Normal 2"/>
    <tableColumn id="66" xr3:uid="{40AB1D8D-3BD5-440F-A2F2-36FD5EA68839}" name="T03.2026" dataDxfId="13" dataCellStyle="Normal 2"/>
    <tableColumn id="67" xr3:uid="{E6AD70F6-B38E-4A87-ADA6-2DBC995B771D}" name="T04.2026" dataDxfId="12" dataCellStyle="Normal 2"/>
    <tableColumn id="68" xr3:uid="{710DF88E-BB88-4E8F-A150-3EB82CF16E28}" name="T05.2026" dataDxfId="0" dataCellStyle="Normal 2"/>
    <tableColumn id="69" xr3:uid="{9FB42754-C5D1-4490-B8AE-B827EE315501}" name="T06.2026" dataDxfId="11" dataCellStyle="Normal 2"/>
    <tableColumn id="70" xr3:uid="{2736F25C-CBDB-4F6B-AA20-754F406CE042}" name="T07.2026" dataDxfId="10" dataCellStyle="Normal 2"/>
    <tableColumn id="71" xr3:uid="{221179AF-96FB-44A0-99DE-03537C207E65}" name="T08.2026" dataDxfId="9" dataCellStyle="Normal 2"/>
    <tableColumn id="72" xr3:uid="{9983F6B3-276E-4FF4-869E-A98BC3AB2D59}" name="T09.2026" dataDxfId="8" dataCellStyle="Normal 2"/>
    <tableColumn id="73" xr3:uid="{29485E18-5798-4607-8A12-B6E77606AE5E}" name="T10.2026" dataDxfId="7" dataCellStyle="Normal 2"/>
    <tableColumn id="74" xr3:uid="{A9460EB1-71DA-4315-B688-C69F4CCC5574}" name="T11.2026" dataDxfId="6" dataCellStyle="Normal 2"/>
    <tableColumn id="75" xr3:uid="{7942A990-7E86-47BF-9711-E693179816EE}" name="T12.2026" dataDxfId="5" dataCellStyle="Normal 2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9A6682-461D-4A7D-B197-8EA7D8BD16A5}">
  <sheetPr>
    <tabColor theme="9" tint="0.59999389629810485"/>
  </sheetPr>
  <dimension ref="A1:J19"/>
  <sheetViews>
    <sheetView showGridLines="0" zoomScale="160" zoomScaleNormal="160" workbookViewId="0">
      <selection activeCell="E10" sqref="E10"/>
    </sheetView>
  </sheetViews>
  <sheetFormatPr defaultColWidth="9.08984375" defaultRowHeight="13"/>
  <cols>
    <col min="1" max="1" width="12.6328125" style="186" customWidth="1"/>
    <col min="2" max="2" width="19.54296875" style="186" bestFit="1" customWidth="1"/>
    <col min="3" max="3" width="11.36328125" style="186" customWidth="1"/>
    <col min="4" max="16384" width="9.08984375" style="186"/>
  </cols>
  <sheetData>
    <row r="1" spans="1:10" s="179" customFormat="1" ht="15.5">
      <c r="A1" s="177" t="s">
        <v>0</v>
      </c>
      <c r="B1" s="178"/>
      <c r="C1" s="178"/>
      <c r="D1" s="178"/>
      <c r="E1" s="178"/>
      <c r="J1" s="180"/>
    </row>
    <row r="2" spans="1:10" s="179" customFormat="1" ht="16" thickBot="1">
      <c r="A2" s="181" t="s">
        <v>1</v>
      </c>
      <c r="B2" s="181" t="s">
        <v>2</v>
      </c>
      <c r="C2" s="181"/>
      <c r="D2" s="181"/>
      <c r="E2" s="181"/>
      <c r="F2" s="182"/>
      <c r="G2" s="182"/>
      <c r="H2" s="182"/>
      <c r="I2" s="182"/>
      <c r="J2" s="183"/>
    </row>
    <row r="3" spans="1:10" s="179" customFormat="1" ht="15.5">
      <c r="A3" s="178" t="s">
        <v>3</v>
      </c>
      <c r="B3" s="530">
        <v>1100676611</v>
      </c>
      <c r="J3" s="184"/>
    </row>
    <row r="4" spans="1:10">
      <c r="A4" s="185" t="s">
        <v>4</v>
      </c>
    </row>
    <row r="6" spans="1:10">
      <c r="B6" s="186" t="s">
        <v>5</v>
      </c>
      <c r="C6" s="187">
        <v>2026</v>
      </c>
    </row>
    <row r="7" spans="1:10">
      <c r="B7" s="186" t="s">
        <v>6</v>
      </c>
      <c r="C7" s="186">
        <f>C6-1</f>
        <v>2025</v>
      </c>
    </row>
    <row r="9" spans="1:10">
      <c r="B9" s="188" t="s">
        <v>7</v>
      </c>
      <c r="C9" s="189">
        <v>1</v>
      </c>
      <c r="F9" s="190"/>
    </row>
    <row r="10" spans="1:10">
      <c r="B10" s="188"/>
    </row>
    <row r="12" spans="1:10" ht="14">
      <c r="B12" s="191" t="s">
        <v>8</v>
      </c>
    </row>
    <row r="13" spans="1:10" ht="14">
      <c r="B13" s="192" t="s">
        <v>9</v>
      </c>
    </row>
    <row r="15" spans="1:10" ht="14">
      <c r="B15" s="191" t="s">
        <v>10</v>
      </c>
    </row>
    <row r="16" spans="1:10" ht="14">
      <c r="B16" s="192" t="s">
        <v>11</v>
      </c>
    </row>
    <row r="18" spans="2:2" ht="14">
      <c r="B18" s="191" t="s">
        <v>12</v>
      </c>
    </row>
    <row r="19" spans="2:2" ht="14">
      <c r="B19" s="193" t="s">
        <v>13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975773-F1DA-4D69-B46F-6F89E515B8B5}">
  <sheetPr>
    <tabColor theme="9" tint="0.59999389629810485"/>
  </sheetPr>
  <dimension ref="A3:J50"/>
  <sheetViews>
    <sheetView showGridLines="0" showZeros="0" topLeftCell="A8" workbookViewId="0">
      <selection activeCell="M7" sqref="M7"/>
    </sheetView>
  </sheetViews>
  <sheetFormatPr defaultColWidth="9.08984375" defaultRowHeight="14"/>
  <cols>
    <col min="1" max="9" width="9.08984375" style="195"/>
    <col min="10" max="10" width="5.90625" style="195" customWidth="1"/>
    <col min="11" max="11" width="11" style="195" customWidth="1"/>
    <col min="12" max="16384" width="9.08984375" style="195"/>
  </cols>
  <sheetData>
    <row r="3" spans="9:9">
      <c r="I3" s="194"/>
    </row>
    <row r="4" spans="9:9" ht="24" customHeight="1"/>
    <row r="5" spans="9:9" ht="31.5" customHeight="1"/>
    <row r="6" spans="9:9" ht="21.75" customHeight="1"/>
    <row r="26" spans="1:10" ht="24" customHeight="1">
      <c r="B26" s="196"/>
    </row>
    <row r="27" spans="1:10" ht="20">
      <c r="A27" s="560"/>
      <c r="B27" s="560"/>
      <c r="C27" s="560"/>
      <c r="D27" s="560"/>
      <c r="E27" s="560"/>
      <c r="F27" s="560"/>
      <c r="G27" s="560"/>
      <c r="H27" s="560"/>
      <c r="I27" s="560"/>
      <c r="J27" s="560"/>
    </row>
    <row r="28" spans="1:10" ht="6.75" customHeight="1"/>
    <row r="29" spans="1:10" ht="22.5" customHeight="1">
      <c r="A29" s="197"/>
      <c r="B29" s="561" t="s">
        <v>14</v>
      </c>
      <c r="C29" s="562"/>
      <c r="D29" s="561"/>
      <c r="E29" s="562"/>
      <c r="F29" s="562"/>
      <c r="G29" s="562"/>
      <c r="H29" s="562"/>
      <c r="I29" s="562"/>
      <c r="J29" s="562"/>
    </row>
    <row r="30" spans="1:10" ht="15.9" customHeight="1">
      <c r="A30" s="198"/>
      <c r="B30" s="199"/>
      <c r="C30" s="199"/>
      <c r="D30" s="199"/>
      <c r="E30" s="199"/>
      <c r="F30" s="199"/>
      <c r="G30" s="199"/>
      <c r="H30" s="199"/>
      <c r="I30" s="199"/>
      <c r="J30" s="199"/>
    </row>
    <row r="31" spans="1:10" ht="15.9" customHeight="1">
      <c r="A31" s="197"/>
      <c r="B31" s="199"/>
      <c r="C31" s="199"/>
      <c r="D31" s="199"/>
      <c r="E31" s="199"/>
      <c r="F31" s="199"/>
      <c r="G31" s="199"/>
      <c r="H31" s="199"/>
      <c r="I31" s="199"/>
      <c r="J31" s="199"/>
    </row>
    <row r="34" spans="1:10" ht="15" customHeight="1">
      <c r="B34" s="563"/>
      <c r="C34" s="563"/>
      <c r="D34" s="563"/>
      <c r="E34" s="563"/>
      <c r="F34" s="563"/>
      <c r="G34" s="563"/>
      <c r="H34" s="563"/>
      <c r="I34" s="563"/>
      <c r="J34" s="563"/>
    </row>
    <row r="45" spans="1:10" ht="3" customHeight="1"/>
    <row r="46" spans="1:10" ht="16.5" customHeight="1">
      <c r="A46" s="200"/>
    </row>
    <row r="47" spans="1:10" ht="22.5" customHeight="1">
      <c r="A47" s="201"/>
      <c r="B47" s="199"/>
      <c r="C47" s="199"/>
      <c r="D47" s="199"/>
      <c r="E47" s="199"/>
      <c r="F47" s="199"/>
      <c r="G47" s="199"/>
      <c r="H47" s="199"/>
      <c r="I47" s="199"/>
      <c r="J47" s="199"/>
    </row>
    <row r="48" spans="1:10">
      <c r="A48" s="201"/>
      <c r="B48" s="199"/>
      <c r="C48" s="199"/>
      <c r="D48" s="199"/>
      <c r="E48" s="199"/>
      <c r="F48" s="199"/>
      <c r="G48" s="199"/>
      <c r="H48" s="199"/>
      <c r="I48" s="199"/>
      <c r="J48" s="199"/>
    </row>
    <row r="49" spans="1:10">
      <c r="A49" s="201"/>
      <c r="B49" s="199"/>
      <c r="C49" s="199"/>
      <c r="D49" s="199"/>
      <c r="E49" s="199"/>
      <c r="F49" s="199"/>
      <c r="G49" s="199"/>
      <c r="H49" s="199"/>
      <c r="I49" s="199"/>
      <c r="J49" s="199"/>
    </row>
    <row r="50" spans="1:10" ht="15" customHeight="1">
      <c r="B50" s="564" t="s">
        <v>15</v>
      </c>
      <c r="C50" s="564"/>
      <c r="D50" s="564"/>
      <c r="E50" s="564"/>
      <c r="F50" s="564"/>
      <c r="G50" s="564"/>
      <c r="H50" s="564"/>
      <c r="I50" s="564"/>
      <c r="J50" s="564"/>
    </row>
  </sheetData>
  <mergeCells count="4">
    <mergeCell ref="A27:J27"/>
    <mergeCell ref="B29:J29"/>
    <mergeCell ref="B34:J34"/>
    <mergeCell ref="B50:J50"/>
  </mergeCells>
  <printOptions horizontalCentered="1"/>
  <pageMargins left="0.59055118110236227" right="0.31496062992125984" top="0.31496062992125984" bottom="0.31496062992125984" header="0.23622047244094491" footer="0.15748031496062992"/>
  <pageSetup paperSize="9" scale="90" orientation="portrait" r:id="rId1"/>
  <headerFooter alignWithMargins="0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F26B71-84C3-4257-BB24-70803C8F9771}">
  <sheetPr>
    <tabColor theme="8" tint="0.59999389629810485"/>
  </sheetPr>
  <dimension ref="A1:I31"/>
  <sheetViews>
    <sheetView showGridLines="0" showZeros="0" zoomScaleNormal="100" workbookViewId="0"/>
  </sheetViews>
  <sheetFormatPr defaultColWidth="9.08984375" defaultRowHeight="15.5"/>
  <cols>
    <col min="1" max="5" width="9.08984375" style="204"/>
    <col min="6" max="6" width="12.08984375" style="204" customWidth="1"/>
    <col min="7" max="8" width="9.08984375" style="204"/>
    <col min="9" max="9" width="26.36328125" style="204" customWidth="1"/>
    <col min="10" max="16384" width="9.08984375" style="204"/>
  </cols>
  <sheetData>
    <row r="1" spans="1:9" s="179" customFormat="1">
      <c r="A1" s="202" t="str">
        <f>'Thong tin'!A1</f>
        <v>CÔNG TY CP NHỰA TÁI CHẾ DUY TÂN</v>
      </c>
      <c r="I1" s="180" t="s">
        <v>16</v>
      </c>
    </row>
    <row r="2" spans="1:9" s="179" customFormat="1" ht="16" thickBot="1">
      <c r="A2" s="182" t="str">
        <f>'Thong tin'!A2</f>
        <v>Địa chỉ:</v>
      </c>
      <c r="B2" s="182"/>
      <c r="C2" s="182"/>
      <c r="D2" s="182"/>
      <c r="E2" s="182"/>
      <c r="F2" s="182"/>
      <c r="G2" s="182"/>
      <c r="H2" s="182"/>
      <c r="I2" s="183"/>
    </row>
    <row r="5" spans="1:9">
      <c r="A5" s="203"/>
    </row>
    <row r="10" spans="1:9" ht="20">
      <c r="A10" s="205" t="str">
        <f>"BÁO CÁO TÀI CHÍNH THÁNG "&amp;'Thong tin'!C9&amp;" NĂM 2026"</f>
        <v>BÁO CÁO TÀI CHÍNH THÁNG 1 NĂM 2026</v>
      </c>
      <c r="I10" s="206" t="s">
        <v>17</v>
      </c>
    </row>
    <row r="11" spans="1:9" ht="20">
      <c r="A11" s="205"/>
    </row>
    <row r="12" spans="1:9" s="207" customFormat="1" ht="24.9" hidden="1" customHeight="1">
      <c r="A12" s="207" t="s">
        <v>18</v>
      </c>
      <c r="I12" s="208" t="s">
        <v>19</v>
      </c>
    </row>
    <row r="13" spans="1:9" s="207" customFormat="1" ht="24.9" hidden="1" customHeight="1">
      <c r="A13" s="207" t="s">
        <v>20</v>
      </c>
      <c r="I13" s="208" t="s">
        <v>21</v>
      </c>
    </row>
    <row r="14" spans="1:9" s="210" customFormat="1" ht="27" customHeight="1">
      <c r="A14" s="209" t="s">
        <v>22</v>
      </c>
      <c r="I14" s="211" t="s">
        <v>23</v>
      </c>
    </row>
    <row r="15" spans="1:9" s="213" customFormat="1" ht="25.5" customHeight="1">
      <c r="A15" s="212" t="s">
        <v>24</v>
      </c>
      <c r="I15" s="214" t="s">
        <v>25</v>
      </c>
    </row>
    <row r="16" spans="1:9" s="216" customFormat="1" ht="27.75" customHeight="1">
      <c r="A16" s="215" t="s">
        <v>26</v>
      </c>
      <c r="I16" s="217" t="s">
        <v>27</v>
      </c>
    </row>
    <row r="17" spans="1:9" ht="27" hidden="1" customHeight="1">
      <c r="A17" s="218" t="s">
        <v>28</v>
      </c>
      <c r="I17" s="219" t="s">
        <v>29</v>
      </c>
    </row>
    <row r="30" spans="1:9" s="207" customFormat="1">
      <c r="A30" s="565" t="s">
        <v>30</v>
      </c>
      <c r="B30" s="565"/>
      <c r="C30" s="565"/>
      <c r="D30" s="565"/>
      <c r="E30" s="565"/>
      <c r="F30" s="565"/>
      <c r="G30" s="565"/>
      <c r="H30" s="565"/>
      <c r="I30" s="565"/>
    </row>
    <row r="31" spans="1:9" s="207" customFormat="1">
      <c r="A31" s="565" t="s">
        <v>31</v>
      </c>
      <c r="B31" s="565"/>
      <c r="C31" s="565"/>
      <c r="D31" s="565"/>
      <c r="E31" s="565"/>
      <c r="F31" s="565"/>
      <c r="G31" s="565"/>
      <c r="H31" s="565"/>
      <c r="I31" s="565"/>
    </row>
  </sheetData>
  <mergeCells count="2">
    <mergeCell ref="A30:I30"/>
    <mergeCell ref="A31:I31"/>
  </mergeCells>
  <printOptions horizontalCentered="1"/>
  <pageMargins left="0.64" right="0.31496062992125984" top="0.31496062992125984" bottom="0.19685039370078741" header="0.31496062992125984" footer="0.19685039370078741"/>
  <pageSetup paperSize="9" scale="90" orientation="portrait" useFirstPageNumber="1" r:id="rId1"/>
  <headerFooter alignWithMargins="0">
    <oddFooter>&amp;CTrang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5321EC-EF07-473C-BBB5-D5668FAEF996}">
  <sheetPr>
    <tabColor theme="8" tint="0.59999389629810485"/>
  </sheetPr>
  <dimension ref="A1:J168"/>
  <sheetViews>
    <sheetView showGridLines="0" showZeros="0" zoomScaleNormal="100" zoomScaleSheetLayoutView="90" workbookViewId="0">
      <pane xSplit="1" ySplit="7" topLeftCell="B8" activePane="bottomRight" state="frozen"/>
      <selection pane="topRight" activeCell="P9" sqref="P9"/>
      <selection pane="bottomLeft" activeCell="P9" sqref="P9"/>
      <selection pane="bottomRight" activeCell="C13" sqref="C13"/>
    </sheetView>
  </sheetViews>
  <sheetFormatPr defaultColWidth="9.08984375" defaultRowHeight="14"/>
  <cols>
    <col min="1" max="1" width="57.54296875" style="225" customWidth="1"/>
    <col min="2" max="2" width="20" style="260" customWidth="1"/>
    <col min="3" max="3" width="20" style="260" bestFit="1" customWidth="1"/>
    <col min="4" max="4" width="6.54296875" style="225" hidden="1" customWidth="1"/>
    <col min="5" max="5" width="16.36328125" style="225" bestFit="1" customWidth="1"/>
    <col min="6" max="16384" width="9.08984375" style="225"/>
  </cols>
  <sheetData>
    <row r="1" spans="1:10" s="222" customFormat="1" ht="15">
      <c r="A1" s="220" t="str">
        <f>'Thong tin'!$A$1</f>
        <v>CÔNG TY CP NHỰA TÁI CHẾ DUY TÂN</v>
      </c>
      <c r="B1" s="221"/>
      <c r="C1" s="180"/>
    </row>
    <row r="2" spans="1:10" s="222" customFormat="1" ht="16" thickBot="1">
      <c r="A2" s="223" t="str">
        <f>'Thong tin'!B2</f>
        <v>Lô D2, Cụm Công nghiệp Nhựa Đức Hoà Hạ, Xã Đức Hoà, Tỉnh Tây Ninh</v>
      </c>
      <c r="B2" s="224"/>
      <c r="C2" s="183"/>
    </row>
    <row r="3" spans="1:10" s="222" customFormat="1" ht="15.5">
      <c r="A3" s="225"/>
      <c r="B3" s="221"/>
      <c r="C3" s="184"/>
    </row>
    <row r="4" spans="1:10" ht="20">
      <c r="A4" s="566" t="s">
        <v>32</v>
      </c>
      <c r="B4" s="566"/>
      <c r="C4" s="566"/>
    </row>
    <row r="5" spans="1:10" ht="15">
      <c r="A5" s="567" t="str">
        <f>"Năm " &amp; 'Thong tin'!$C$6</f>
        <v>Năm 2026</v>
      </c>
      <c r="B5" s="567"/>
      <c r="C5" s="567"/>
    </row>
    <row r="6" spans="1:10">
      <c r="A6" s="226"/>
      <c r="B6" s="227"/>
      <c r="C6" s="228" t="str">
        <f>'KQKD in'!G6</f>
        <v>ĐVT: VNĐ</v>
      </c>
    </row>
    <row r="7" spans="1:10" s="233" customFormat="1" ht="30" customHeight="1">
      <c r="A7" s="229" t="s">
        <v>33</v>
      </c>
      <c r="B7" s="230" t="str">
        <f>"Số cuối tháng"&amp;" "&amp;$D$7</f>
        <v>Số cuối tháng 1</v>
      </c>
      <c r="C7" s="231" t="str">
        <f>"Số dư đầu năm " &amp; 'Thong tin'!$C$6</f>
        <v>Số dư đầu năm 2026</v>
      </c>
      <c r="D7" s="232">
        <f>'Thong tin'!C9</f>
        <v>1</v>
      </c>
    </row>
    <row r="8" spans="1:10" s="237" customFormat="1">
      <c r="A8" s="234" t="s">
        <v>34</v>
      </c>
      <c r="B8" s="235">
        <f ca="1">B10+B14+B22+B31+B40</f>
        <v>1052772372027.8055</v>
      </c>
      <c r="C8" s="235">
        <f>C10+C14+C22+C31+C40</f>
        <v>1006445367388.4821</v>
      </c>
      <c r="D8" s="236"/>
      <c r="E8" s="236"/>
    </row>
    <row r="9" spans="1:10">
      <c r="A9" s="238"/>
      <c r="B9" s="239"/>
      <c r="C9" s="239"/>
    </row>
    <row r="10" spans="1:10" s="222" customFormat="1">
      <c r="A10" s="240" t="s">
        <v>35</v>
      </c>
      <c r="B10" s="241">
        <f t="shared" ref="B10:C10" ca="1" si="0">SUM(B11:B12)</f>
        <v>160064376330</v>
      </c>
      <c r="C10" s="241">
        <f t="shared" si="0"/>
        <v>63726156404</v>
      </c>
    </row>
    <row r="11" spans="1:10">
      <c r="A11" s="238" t="s">
        <v>36</v>
      </c>
      <c r="B11" s="239">
        <f ca="1">OFFSET('Tinh hinh tai chinh'!$BL6,0,'THTC in'!$D$7 - 1)</f>
        <v>50364376330</v>
      </c>
      <c r="C11" s="239">
        <f>'Tinh hinh tai chinh'!BK6</f>
        <v>48026156404</v>
      </c>
    </row>
    <row r="12" spans="1:10">
      <c r="A12" s="238" t="s">
        <v>37</v>
      </c>
      <c r="B12" s="239">
        <f ca="1">OFFSET('Tinh hinh tai chinh'!$BL7,0,'THTC in'!$D$7 - 1)</f>
        <v>109700000000</v>
      </c>
      <c r="C12" s="239">
        <f>'Tinh hinh tai chinh'!BK7</f>
        <v>15700000000</v>
      </c>
    </row>
    <row r="13" spans="1:10">
      <c r="A13" s="238"/>
      <c r="B13" s="239"/>
      <c r="C13" s="239"/>
      <c r="J13" s="242"/>
    </row>
    <row r="14" spans="1:10" s="222" customFormat="1">
      <c r="A14" s="240" t="s">
        <v>38</v>
      </c>
      <c r="B14" s="241">
        <f ca="1">SUM(B15:B20)</f>
        <v>38542000000</v>
      </c>
      <c r="C14" s="241">
        <f>SUM(C15:C20)</f>
        <v>38542000000</v>
      </c>
    </row>
    <row r="15" spans="1:10">
      <c r="A15" s="238" t="s">
        <v>39</v>
      </c>
      <c r="B15" s="239">
        <f ca="1">OFFSET('Tinh hinh tai chinh'!$BL9,0,'THTC in'!$D$7 - 1)</f>
        <v>0</v>
      </c>
      <c r="C15" s="239">
        <f>'Tinh hinh tai chinh'!BK9</f>
        <v>0</v>
      </c>
      <c r="J15" s="242"/>
    </row>
    <row r="16" spans="1:10" ht="17.25" customHeight="1">
      <c r="A16" s="243" t="s">
        <v>40</v>
      </c>
      <c r="B16" s="239">
        <f ca="1">OFFSET('Tinh hinh tai chinh'!$BL10,0,'THTC in'!$D$7 - 1)</f>
        <v>0</v>
      </c>
      <c r="C16" s="239">
        <f>'Tinh hinh tai chinh'!BK10</f>
        <v>0</v>
      </c>
    </row>
    <row r="17" spans="1:6" ht="18" customHeight="1">
      <c r="A17" s="244" t="s">
        <v>41</v>
      </c>
      <c r="B17" s="239">
        <f ca="1">OFFSET('Tinh hinh tai chinh'!$BL11,0,'THTC in'!$D$7 - 1)</f>
        <v>38542000000</v>
      </c>
      <c r="C17" s="239">
        <f>'Tinh hinh tai chinh'!BK11</f>
        <v>38542000000</v>
      </c>
    </row>
    <row r="18" spans="1:6" ht="18" customHeight="1">
      <c r="A18" s="244" t="s">
        <v>42</v>
      </c>
      <c r="B18" s="239">
        <f ca="1">OFFSET('Tinh hinh tai chinh'!$BL12,0,'THTC in'!$D$7 - 1)</f>
        <v>0</v>
      </c>
      <c r="C18" s="239">
        <f>'Tinh hinh tai chinh'!BK12</f>
        <v>0</v>
      </c>
    </row>
    <row r="19" spans="1:6" ht="18" customHeight="1">
      <c r="A19" s="244" t="s">
        <v>43</v>
      </c>
      <c r="B19" s="239">
        <f ca="1">OFFSET('Tinh hinh tai chinh'!$BL13,0,'THTC in'!$D$7 - 1)</f>
        <v>0</v>
      </c>
      <c r="C19" s="239">
        <f>'Tinh hinh tai chinh'!BK13</f>
        <v>0</v>
      </c>
    </row>
    <row r="20" spans="1:6" ht="18" customHeight="1">
      <c r="A20" s="244" t="s">
        <v>44</v>
      </c>
      <c r="B20" s="239">
        <f ca="1">OFFSET('Tinh hinh tai chinh'!$BL14,0,'THTC in'!$D$7 - 1)</f>
        <v>0</v>
      </c>
      <c r="C20" s="239">
        <f>'Tinh hinh tai chinh'!BK14</f>
        <v>0</v>
      </c>
    </row>
    <row r="21" spans="1:6" ht="15" customHeight="1">
      <c r="A21" s="244"/>
      <c r="B21" s="239"/>
      <c r="C21" s="239"/>
    </row>
    <row r="22" spans="1:6" s="222" customFormat="1">
      <c r="A22" s="240" t="s">
        <v>45</v>
      </c>
      <c r="B22" s="241">
        <f ca="1">SUM(B23:B29)</f>
        <v>279961205359</v>
      </c>
      <c r="C22" s="241">
        <f>SUM(C23:C29)</f>
        <v>310459942750</v>
      </c>
    </row>
    <row r="23" spans="1:6">
      <c r="A23" s="238" t="s">
        <v>46</v>
      </c>
      <c r="B23" s="239">
        <f ca="1">OFFSET('Tinh hinh tai chinh'!$BL16,0,'THTC in'!$D$7 - 1)</f>
        <v>132729767167</v>
      </c>
      <c r="C23" s="239">
        <f>'Tinh hinh tai chinh'!BK16</f>
        <v>154220517132</v>
      </c>
      <c r="D23" s="245"/>
      <c r="F23" s="245"/>
    </row>
    <row r="24" spans="1:6">
      <c r="A24" s="238" t="s">
        <v>47</v>
      </c>
      <c r="B24" s="239">
        <f ca="1">OFFSET('Tinh hinh tai chinh'!$BL17,0,'THTC in'!$D$7 - 1)</f>
        <v>68216577270</v>
      </c>
      <c r="C24" s="239">
        <f>'Tinh hinh tai chinh'!BK17</f>
        <v>60848470883</v>
      </c>
    </row>
    <row r="25" spans="1:6">
      <c r="A25" s="238" t="s">
        <v>48</v>
      </c>
      <c r="B25" s="239">
        <f ca="1">OFFSET('Tinh hinh tai chinh'!$BL18,0,'THTC in'!$D$7 - 1)</f>
        <v>0</v>
      </c>
      <c r="C25" s="239">
        <f>'Tinh hinh tai chinh'!BK18</f>
        <v>0</v>
      </c>
    </row>
    <row r="26" spans="1:6" ht="16.5" customHeight="1">
      <c r="A26" s="243" t="s">
        <v>49</v>
      </c>
      <c r="B26" s="239">
        <f ca="1">OFFSET('Tinh hinh tai chinh'!$BL19,0,'THTC in'!$D$7 - 1)</f>
        <v>0</v>
      </c>
      <c r="C26" s="239">
        <f>'Tinh hinh tai chinh'!BK19</f>
        <v>0</v>
      </c>
    </row>
    <row r="27" spans="1:6">
      <c r="A27" s="238" t="s">
        <v>50</v>
      </c>
      <c r="B27" s="239">
        <f ca="1">OFFSET('Tinh hinh tai chinh'!$BL20,0,'THTC in'!$D$7 - 1)</f>
        <v>78504042664</v>
      </c>
      <c r="C27" s="239">
        <f>'Tinh hinh tai chinh'!BK20</f>
        <v>96000050435</v>
      </c>
    </row>
    <row r="28" spans="1:6">
      <c r="A28" s="238" t="s">
        <v>51</v>
      </c>
      <c r="B28" s="239">
        <f ca="1">OFFSET('Tinh hinh tai chinh'!$BL21,0,'THTC in'!$D$7 - 1)</f>
        <v>-609095700</v>
      </c>
      <c r="C28" s="239">
        <f>'Tinh hinh tai chinh'!BK21</f>
        <v>-609095700</v>
      </c>
    </row>
    <row r="29" spans="1:6">
      <c r="A29" s="244" t="s">
        <v>52</v>
      </c>
      <c r="B29" s="239">
        <f ca="1">OFFSET('Tinh hinh tai chinh'!$BL22,0,'THTC in'!$D$7 - 1)</f>
        <v>1119913958</v>
      </c>
      <c r="C29" s="239">
        <f>'Tinh hinh tai chinh'!BK22</f>
        <v>0</v>
      </c>
    </row>
    <row r="30" spans="1:6" ht="15" customHeight="1">
      <c r="A30" s="244"/>
      <c r="B30" s="239"/>
      <c r="C30" s="239"/>
    </row>
    <row r="31" spans="1:6" s="222" customFormat="1">
      <c r="A31" s="240" t="s">
        <v>53</v>
      </c>
      <c r="B31" s="241">
        <f t="shared" ref="B31:C31" ca="1" si="1">SUM(B32:B33)</f>
        <v>548909898693.80554</v>
      </c>
      <c r="C31" s="241">
        <f t="shared" si="1"/>
        <v>570584514136.48206</v>
      </c>
    </row>
    <row r="32" spans="1:6">
      <c r="A32" s="238" t="s">
        <v>54</v>
      </c>
      <c r="B32" s="246">
        <f ca="1">OFFSET('Tinh hinh tai chinh'!$BL24,0,'THTC in'!$D$7 - 1)</f>
        <v>548909898693.80554</v>
      </c>
      <c r="C32" s="239">
        <f>'Tinh hinh tai chinh'!BK24</f>
        <v>570584514136.48206</v>
      </c>
    </row>
    <row r="33" spans="1:3">
      <c r="A33" s="238" t="s">
        <v>55</v>
      </c>
      <c r="B33" s="246">
        <f ca="1">OFFSET('Tinh hinh tai chinh'!$BL25,0,'THTC in'!$D$7 - 1)</f>
        <v>0</v>
      </c>
      <c r="C33" s="239">
        <f>'Tinh hinh tai chinh'!BK25</f>
        <v>0</v>
      </c>
    </row>
    <row r="34" spans="1:3">
      <c r="A34" s="238"/>
      <c r="B34" s="246"/>
      <c r="C34" s="239"/>
    </row>
    <row r="35" spans="1:3">
      <c r="A35" s="240" t="s">
        <v>56</v>
      </c>
      <c r="B35" s="246">
        <f ca="1">SUM(B36:B38)</f>
        <v>0</v>
      </c>
      <c r="C35" s="239">
        <f>SUM(C36:C38)</f>
        <v>0</v>
      </c>
    </row>
    <row r="36" spans="1:3">
      <c r="A36" s="238" t="s">
        <v>57</v>
      </c>
      <c r="B36" s="246">
        <f ca="1">OFFSET('Tinh hinh tai chinh'!$BL27,0,'THTC in'!$D$7 - 1)</f>
        <v>0</v>
      </c>
      <c r="C36" s="239">
        <f>'Tinh hinh tai chinh'!BK27</f>
        <v>0</v>
      </c>
    </row>
    <row r="37" spans="1:3">
      <c r="A37" s="238" t="s">
        <v>58</v>
      </c>
      <c r="B37" s="246">
        <f ca="1">OFFSET('Tinh hinh tai chinh'!$BL28,0,'THTC in'!$D$7 - 1)</f>
        <v>0</v>
      </c>
      <c r="C37" s="239">
        <f>'Tinh hinh tai chinh'!BK28</f>
        <v>0</v>
      </c>
    </row>
    <row r="38" spans="1:3">
      <c r="A38" s="238" t="s">
        <v>59</v>
      </c>
      <c r="B38" s="246">
        <f ca="1">OFFSET('Tinh hinh tai chinh'!$BL29,0,'THTC in'!$D$7 - 1)</f>
        <v>0</v>
      </c>
      <c r="C38" s="239">
        <f>'Tinh hinh tai chinh'!BK29</f>
        <v>0</v>
      </c>
    </row>
    <row r="39" spans="1:3">
      <c r="A39" s="238"/>
      <c r="B39" s="239"/>
      <c r="C39" s="239"/>
    </row>
    <row r="40" spans="1:3" s="222" customFormat="1">
      <c r="A40" s="240" t="s">
        <v>60</v>
      </c>
      <c r="B40" s="241">
        <f t="shared" ref="B40:C40" ca="1" si="2">SUM(B41:B45)</f>
        <v>25294891645</v>
      </c>
      <c r="C40" s="241">
        <f t="shared" si="2"/>
        <v>23132754098</v>
      </c>
    </row>
    <row r="41" spans="1:3">
      <c r="A41" s="238" t="s">
        <v>61</v>
      </c>
      <c r="B41" s="239">
        <f ca="1">OFFSET('Tinh hinh tai chinh'!$BL31,0,'THTC in'!$D$7 - 1)</f>
        <v>8760714009</v>
      </c>
      <c r="C41" s="239">
        <f>'Tinh hinh tai chinh'!BK31</f>
        <v>9528997722</v>
      </c>
    </row>
    <row r="42" spans="1:3">
      <c r="A42" s="238" t="s">
        <v>62</v>
      </c>
      <c r="B42" s="239">
        <f ca="1">OFFSET('Tinh hinh tai chinh'!$BL32,0,'THTC in'!$D$7 - 1)</f>
        <v>15814070933</v>
      </c>
      <c r="C42" s="239">
        <f>'Tinh hinh tai chinh'!BK32</f>
        <v>13603756376</v>
      </c>
    </row>
    <row r="43" spans="1:3">
      <c r="A43" s="238" t="s">
        <v>63</v>
      </c>
      <c r="B43" s="239">
        <f ca="1">OFFSET('Tinh hinh tai chinh'!$BL33,0,'THTC in'!$D$7 - 1)</f>
        <v>720106703</v>
      </c>
      <c r="C43" s="239">
        <f>'Tinh hinh tai chinh'!BK33</f>
        <v>0</v>
      </c>
    </row>
    <row r="44" spans="1:3">
      <c r="A44" s="244" t="s">
        <v>64</v>
      </c>
      <c r="B44" s="239">
        <f ca="1">OFFSET('Tinh hinh tai chinh'!$BL34,0,'THTC in'!$D$7 - 1)</f>
        <v>0</v>
      </c>
      <c r="C44" s="239">
        <f>'Tinh hinh tai chinh'!BK34</f>
        <v>0</v>
      </c>
    </row>
    <row r="45" spans="1:3">
      <c r="A45" s="238" t="s">
        <v>65</v>
      </c>
      <c r="B45" s="239">
        <f ca="1">OFFSET('Tinh hinh tai chinh'!$BL35,0,'THTC in'!$D$7 - 1)</f>
        <v>0</v>
      </c>
      <c r="C45" s="239">
        <f>'Tinh hinh tai chinh'!BK35</f>
        <v>0</v>
      </c>
    </row>
    <row r="46" spans="1:3" ht="15" customHeight="1">
      <c r="A46" s="238"/>
      <c r="B46" s="239"/>
      <c r="C46" s="239"/>
    </row>
    <row r="47" spans="1:3" s="237" customFormat="1">
      <c r="A47" s="247" t="s">
        <v>66</v>
      </c>
      <c r="B47" s="248">
        <f ca="1">B48+B58+B79+B87+B95+B83</f>
        <v>371950740747</v>
      </c>
      <c r="C47" s="248">
        <f>C48+C58+C79+C87+C95+C83</f>
        <v>370861183445</v>
      </c>
    </row>
    <row r="48" spans="1:3" s="222" customFormat="1">
      <c r="A48" s="240" t="s">
        <v>67</v>
      </c>
      <c r="B48" s="249">
        <f ca="1">SUM(B49:B54)</f>
        <v>5315314211</v>
      </c>
      <c r="C48" s="249">
        <f>SUM(C49:C54)</f>
        <v>5600000000</v>
      </c>
    </row>
    <row r="49" spans="1:4">
      <c r="A49" s="238" t="s">
        <v>68</v>
      </c>
      <c r="B49" s="239">
        <f ca="1">OFFSET('Tinh hinh tai chinh'!$BL38,0,'THTC in'!$D$7 - 1)</f>
        <v>0</v>
      </c>
      <c r="C49" s="239">
        <f>'Tinh hinh tai chinh'!BK38</f>
        <v>0</v>
      </c>
    </row>
    <row r="50" spans="1:4">
      <c r="A50" s="238" t="s">
        <v>69</v>
      </c>
      <c r="B50" s="239">
        <f ca="1">OFFSET('Tinh hinh tai chinh'!$BL39,0,'THTC in'!$D$7 - 1)</f>
        <v>0</v>
      </c>
      <c r="C50" s="239">
        <f>'Tinh hinh tai chinh'!BK39</f>
        <v>0</v>
      </c>
    </row>
    <row r="51" spans="1:4">
      <c r="A51" s="238" t="s">
        <v>70</v>
      </c>
      <c r="B51" s="239">
        <f ca="1">OFFSET('Tinh hinh tai chinh'!$BL40,0,'THTC in'!$D$7 - 1)</f>
        <v>0</v>
      </c>
      <c r="C51" s="239">
        <f>'Tinh hinh tai chinh'!BK40</f>
        <v>0</v>
      </c>
    </row>
    <row r="52" spans="1:4">
      <c r="A52" s="238" t="s">
        <v>71</v>
      </c>
      <c r="B52" s="239">
        <f ca="1">OFFSET('Tinh hinh tai chinh'!$BL41,0,'THTC in'!$D$7 - 1)</f>
        <v>0</v>
      </c>
      <c r="C52" s="239">
        <f>'Tinh hinh tai chinh'!BK41</f>
        <v>0</v>
      </c>
    </row>
    <row r="53" spans="1:4">
      <c r="A53" s="238" t="s">
        <v>72</v>
      </c>
      <c r="B53" s="239">
        <f ca="1">OFFSET('Tinh hinh tai chinh'!$BL42,0,'THTC in'!$D$7 - 1)</f>
        <v>5315314211</v>
      </c>
      <c r="C53" s="239">
        <f>'Tinh hinh tai chinh'!BK42</f>
        <v>5600000000</v>
      </c>
    </row>
    <row r="54" spans="1:4">
      <c r="A54" s="250" t="s">
        <v>73</v>
      </c>
      <c r="B54" s="251">
        <f ca="1">OFFSET('Tinh hinh tai chinh'!$BL43,0,'THTC in'!$D$7 - 1)</f>
        <v>0</v>
      </c>
      <c r="C54" s="251">
        <f>'Tinh hinh tai chinh'!BK43</f>
        <v>0</v>
      </c>
    </row>
    <row r="55" spans="1:4">
      <c r="A55" s="252"/>
      <c r="B55" s="253"/>
      <c r="C55" s="253"/>
    </row>
    <row r="56" spans="1:4" s="255" customFormat="1" ht="32.25" customHeight="1">
      <c r="A56" s="229" t="s">
        <v>33</v>
      </c>
      <c r="B56" s="254" t="str">
        <f>B7</f>
        <v>Số cuối tháng 1</v>
      </c>
      <c r="C56" s="254" t="str">
        <f>C7</f>
        <v>Số dư đầu năm 2026</v>
      </c>
    </row>
    <row r="57" spans="1:4">
      <c r="A57" s="256"/>
      <c r="B57" s="257"/>
      <c r="C57" s="257"/>
    </row>
    <row r="58" spans="1:4" s="222" customFormat="1">
      <c r="A58" s="240" t="s">
        <v>74</v>
      </c>
      <c r="B58" s="249">
        <f t="shared" ref="B58:C58" ca="1" si="3">B59+B62+B65</f>
        <v>289420127851</v>
      </c>
      <c r="C58" s="249">
        <f t="shared" si="3"/>
        <v>289479799346</v>
      </c>
    </row>
    <row r="59" spans="1:4">
      <c r="A59" s="238" t="s">
        <v>75</v>
      </c>
      <c r="B59" s="258">
        <f t="shared" ref="B59:C59" ca="1" si="4">SUM(B60:B61)</f>
        <v>268060842069</v>
      </c>
      <c r="C59" s="258">
        <f t="shared" si="4"/>
        <v>267235780601</v>
      </c>
    </row>
    <row r="60" spans="1:4" s="222" customFormat="1">
      <c r="A60" s="238" t="s">
        <v>76</v>
      </c>
      <c r="B60" s="258">
        <f ca="1">OFFSET('Tinh hinh tai chinh'!$BL46,0,'THTC in'!$D$7 - 1)</f>
        <v>426876282673</v>
      </c>
      <c r="C60" s="258">
        <f>'Tinh hinh tai chinh'!BK46</f>
        <v>423259856618</v>
      </c>
      <c r="D60" s="221"/>
    </row>
    <row r="61" spans="1:4">
      <c r="A61" s="238" t="s">
        <v>77</v>
      </c>
      <c r="B61" s="259">
        <f ca="1">OFFSET('Tinh hinh tai chinh'!$BL47,0,'THTC in'!$D$7 - 1)</f>
        <v>-158815440604</v>
      </c>
      <c r="C61" s="259">
        <f>'Tinh hinh tai chinh'!BK47</f>
        <v>-156024076017</v>
      </c>
      <c r="D61" s="260"/>
    </row>
    <row r="62" spans="1:4">
      <c r="A62" s="238" t="s">
        <v>78</v>
      </c>
      <c r="B62" s="258">
        <f ca="1">SUM(B63:B64)</f>
        <v>17684886028</v>
      </c>
      <c r="C62" s="258">
        <f>SUM(C63:C64)</f>
        <v>18517028601</v>
      </c>
    </row>
    <row r="63" spans="1:4">
      <c r="A63" s="238" t="s">
        <v>76</v>
      </c>
      <c r="B63" s="259">
        <f ca="1">OFFSET('Tinh hinh tai chinh'!$BL49,0,'THTC in'!$D$7 - 1)</f>
        <v>24160519140</v>
      </c>
      <c r="C63" s="258">
        <f>'Tinh hinh tai chinh'!BK49</f>
        <v>25454545455</v>
      </c>
    </row>
    <row r="64" spans="1:4">
      <c r="A64" s="238" t="s">
        <v>77</v>
      </c>
      <c r="B64" s="259">
        <f ca="1">OFFSET('Tinh hinh tai chinh'!$BL50,0,'THTC in'!$D$7 - 1)</f>
        <v>-6475633112</v>
      </c>
      <c r="C64" s="259">
        <f>'Tinh hinh tai chinh'!BK50</f>
        <v>-6937516854</v>
      </c>
    </row>
    <row r="65" spans="1:4">
      <c r="A65" s="238" t="s">
        <v>79</v>
      </c>
      <c r="B65" s="258">
        <f t="shared" ref="B65" ca="1" si="5">SUM(B66:B67)</f>
        <v>3674399754</v>
      </c>
      <c r="C65" s="258">
        <f>SUM(C66:C67)</f>
        <v>3726990144</v>
      </c>
    </row>
    <row r="66" spans="1:4">
      <c r="A66" s="238" t="s">
        <v>76</v>
      </c>
      <c r="B66" s="259">
        <f ca="1">OFFSET('Tinh hinh tai chinh'!$BL52,0,'THTC in'!$D$7 - 1)</f>
        <v>6518070070</v>
      </c>
      <c r="C66" s="258">
        <f>'Tinh hinh tai chinh'!BK52</f>
        <v>6518070070</v>
      </c>
      <c r="D66" s="260"/>
    </row>
    <row r="67" spans="1:4">
      <c r="A67" s="238" t="s">
        <v>77</v>
      </c>
      <c r="B67" s="259">
        <f ca="1">OFFSET('Tinh hinh tai chinh'!$BL53,0,'THTC in'!$D$7 - 1)</f>
        <v>-2843670316</v>
      </c>
      <c r="C67" s="259">
        <f>'Tinh hinh tai chinh'!BK53</f>
        <v>-2791079926</v>
      </c>
    </row>
    <row r="68" spans="1:4">
      <c r="A68" s="238"/>
      <c r="B68" s="239"/>
      <c r="C68" s="239"/>
    </row>
    <row r="69" spans="1:4">
      <c r="A69" s="240" t="s">
        <v>80</v>
      </c>
      <c r="B69" s="239"/>
      <c r="C69" s="239">
        <f>SUM(C70,C75:C77)</f>
        <v>0</v>
      </c>
    </row>
    <row r="70" spans="1:4">
      <c r="A70" s="238" t="s">
        <v>81</v>
      </c>
      <c r="B70" s="239">
        <f ca="1">OFFSET('Tinh hinh tai chinh'!$BL55,0,'THTC in'!$D$7 - 1)</f>
        <v>0</v>
      </c>
      <c r="C70" s="239">
        <f>'Tinh hinh tai chinh'!BK55</f>
        <v>0</v>
      </c>
    </row>
    <row r="71" spans="1:4">
      <c r="A71" s="261" t="s">
        <v>82</v>
      </c>
      <c r="B71" s="239">
        <f ca="1">OFFSET('Tinh hinh tai chinh'!$BL56,0,'THTC in'!$D$7 - 1)</f>
        <v>0</v>
      </c>
      <c r="C71" s="239">
        <f>'Tinh hinh tai chinh'!BK56</f>
        <v>0</v>
      </c>
    </row>
    <row r="72" spans="1:4">
      <c r="A72" s="261" t="s">
        <v>83</v>
      </c>
      <c r="B72" s="239">
        <f ca="1">OFFSET('Tinh hinh tai chinh'!$BL57,0,'THTC in'!$D$7 - 1)</f>
        <v>0</v>
      </c>
      <c r="C72" s="239">
        <f>'Tinh hinh tai chinh'!BK57</f>
        <v>0</v>
      </c>
    </row>
    <row r="73" spans="1:4">
      <c r="A73" s="262" t="s">
        <v>84</v>
      </c>
      <c r="B73" s="239">
        <f ca="1">OFFSET('Tinh hinh tai chinh'!$BL58,0,'THTC in'!$D$7 - 1)</f>
        <v>0</v>
      </c>
      <c r="C73" s="239">
        <f>'Tinh hinh tai chinh'!BK58</f>
        <v>0</v>
      </c>
    </row>
    <row r="74" spans="1:4">
      <c r="A74" s="262" t="s">
        <v>85</v>
      </c>
      <c r="B74" s="239">
        <f ca="1">OFFSET('Tinh hinh tai chinh'!$BL59,0,'THTC in'!$D$7 - 1)</f>
        <v>0</v>
      </c>
      <c r="C74" s="239">
        <f>'Tinh hinh tai chinh'!BK59</f>
        <v>0</v>
      </c>
    </row>
    <row r="75" spans="1:4">
      <c r="A75" s="238" t="s">
        <v>86</v>
      </c>
      <c r="B75" s="239">
        <f ca="1">OFFSET('Tinh hinh tai chinh'!$BL60,0,'THTC in'!$D$7 - 1)</f>
        <v>0</v>
      </c>
      <c r="C75" s="239">
        <f>'Tinh hinh tai chinh'!BK60</f>
        <v>0</v>
      </c>
    </row>
    <row r="76" spans="1:4">
      <c r="A76" s="238" t="s">
        <v>87</v>
      </c>
      <c r="B76" s="239">
        <f ca="1">OFFSET('Tinh hinh tai chinh'!$BL61,0,'THTC in'!$D$7 - 1)</f>
        <v>0</v>
      </c>
      <c r="C76" s="239">
        <f>'Tinh hinh tai chinh'!BK61</f>
        <v>0</v>
      </c>
    </row>
    <row r="77" spans="1:4">
      <c r="A77" s="238" t="s">
        <v>88</v>
      </c>
      <c r="B77" s="239">
        <f ca="1">OFFSET('Tinh hinh tai chinh'!$BL62,0,'THTC in'!$D$7 - 1)</f>
        <v>0</v>
      </c>
      <c r="C77" s="239">
        <f>'Tinh hinh tai chinh'!BK62</f>
        <v>0</v>
      </c>
    </row>
    <row r="78" spans="1:4">
      <c r="A78" s="238"/>
      <c r="B78" s="239"/>
      <c r="C78" s="239"/>
    </row>
    <row r="79" spans="1:4">
      <c r="A79" s="240" t="s">
        <v>89</v>
      </c>
      <c r="B79" s="241">
        <f ca="1">SUM(B80:B81)</f>
        <v>0</v>
      </c>
      <c r="C79" s="241">
        <f>SUM(C80:C81)</f>
        <v>0</v>
      </c>
    </row>
    <row r="80" spans="1:4" ht="18" customHeight="1">
      <c r="A80" s="263" t="s">
        <v>84</v>
      </c>
      <c r="B80" s="258">
        <f ca="1">OFFSET('Tinh hinh tai chinh'!$BL64,0,'THTC in'!$D$7 - 1)</f>
        <v>0</v>
      </c>
      <c r="C80" s="239">
        <f>'Tinh hinh tai chinh'!BK64</f>
        <v>0</v>
      </c>
    </row>
    <row r="81" spans="1:4" s="222" customFormat="1" ht="18" customHeight="1">
      <c r="A81" s="238" t="s">
        <v>90</v>
      </c>
      <c r="B81" s="258">
        <f ca="1">OFFSET('Tinh hinh tai chinh'!$BL65,0,'THTC in'!$D$7 - 1)</f>
        <v>0</v>
      </c>
      <c r="C81" s="239">
        <f>'Tinh hinh tai chinh'!BK65</f>
        <v>0</v>
      </c>
    </row>
    <row r="82" spans="1:4" s="222" customFormat="1">
      <c r="A82" s="238"/>
      <c r="B82" s="239"/>
      <c r="C82" s="239"/>
    </row>
    <row r="83" spans="1:4" s="222" customFormat="1">
      <c r="A83" s="240" t="s">
        <v>91</v>
      </c>
      <c r="B83" s="249">
        <f t="shared" ref="B83:C83" ca="1" si="6">SUM(B84:B85)</f>
        <v>67367429293</v>
      </c>
      <c r="C83" s="249">
        <f t="shared" si="6"/>
        <v>64594176344</v>
      </c>
    </row>
    <row r="84" spans="1:4" s="222" customFormat="1" ht="18" customHeight="1">
      <c r="A84" s="263" t="s">
        <v>92</v>
      </c>
      <c r="B84" s="239">
        <f ca="1">OFFSET('Tinh hinh tai chinh'!$BL67,0,'THTC in'!$D$7 - 1)</f>
        <v>10176000</v>
      </c>
      <c r="C84" s="239">
        <f>'Tinh hinh tai chinh'!BK67</f>
        <v>10176000</v>
      </c>
    </row>
    <row r="85" spans="1:4" s="222" customFormat="1" ht="18" customHeight="1">
      <c r="A85" s="238" t="s">
        <v>93</v>
      </c>
      <c r="B85" s="239">
        <f ca="1">OFFSET('Tinh hinh tai chinh'!$BL68,0,'THTC in'!$D$7 - 1)</f>
        <v>67357253293</v>
      </c>
      <c r="C85" s="239">
        <f>'Tinh hinh tai chinh'!BK68</f>
        <v>64584000344</v>
      </c>
      <c r="D85" s="221"/>
    </row>
    <row r="86" spans="1:4">
      <c r="A86" s="238"/>
      <c r="B86" s="239"/>
      <c r="C86" s="239"/>
    </row>
    <row r="87" spans="1:4">
      <c r="A87" s="240" t="s">
        <v>94</v>
      </c>
      <c r="B87" s="241">
        <f t="shared" ref="B87" ca="1" si="7">SUM(B88:B92)</f>
        <v>0</v>
      </c>
      <c r="C87" s="241">
        <f>SUM(C88:C93)</f>
        <v>0</v>
      </c>
    </row>
    <row r="88" spans="1:4" ht="18" customHeight="1">
      <c r="A88" s="238" t="s">
        <v>95</v>
      </c>
      <c r="B88" s="239">
        <f ca="1">OFFSET('Tinh hinh tai chinh'!$BL70,0,'THTC in'!$D$7 - 1)</f>
        <v>0</v>
      </c>
      <c r="C88" s="239">
        <f>'Tinh hinh tai chinh'!BK70</f>
        <v>0</v>
      </c>
    </row>
    <row r="89" spans="1:4" s="222" customFormat="1" ht="18" customHeight="1">
      <c r="A89" s="238" t="s">
        <v>96</v>
      </c>
      <c r="B89" s="239">
        <f ca="1">OFFSET('Tinh hinh tai chinh'!$BL71,0,'THTC in'!$D$7 - 1)</f>
        <v>0</v>
      </c>
      <c r="C89" s="239">
        <f>'Tinh hinh tai chinh'!BK71</f>
        <v>0</v>
      </c>
    </row>
    <row r="90" spans="1:4" ht="18" customHeight="1">
      <c r="A90" s="238" t="s">
        <v>97</v>
      </c>
      <c r="B90" s="239">
        <f ca="1">OFFSET('Tinh hinh tai chinh'!$BL72,0,'THTC in'!$D$7 - 1)</f>
        <v>0</v>
      </c>
      <c r="C90" s="239">
        <f>'Tinh hinh tai chinh'!BK72</f>
        <v>0</v>
      </c>
    </row>
    <row r="91" spans="1:4" ht="18" customHeight="1">
      <c r="A91" s="243" t="s">
        <v>98</v>
      </c>
      <c r="B91" s="239">
        <f ca="1">OFFSET('Tinh hinh tai chinh'!$BL73,0,'THTC in'!$D$7 - 1)</f>
        <v>0</v>
      </c>
      <c r="C91" s="239">
        <f>'Tinh hinh tai chinh'!BK73</f>
        <v>0</v>
      </c>
    </row>
    <row r="92" spans="1:4" ht="18" customHeight="1">
      <c r="A92" s="243" t="s">
        <v>99</v>
      </c>
      <c r="B92" s="239">
        <f ca="1">OFFSET('Tinh hinh tai chinh'!$BL74,0,'THTC in'!$D$7 - 1)</f>
        <v>0</v>
      </c>
      <c r="C92" s="239">
        <f>'Tinh hinh tai chinh'!BK74</f>
        <v>0</v>
      </c>
    </row>
    <row r="93" spans="1:4" ht="18" customHeight="1">
      <c r="A93" s="243" t="s">
        <v>100</v>
      </c>
      <c r="B93" s="239">
        <f ca="1">OFFSET('Tinh hinh tai chinh'!$BL75,0,'THTC in'!$D$7 - 1)</f>
        <v>0</v>
      </c>
      <c r="C93" s="239">
        <f>'Tinh hinh tai chinh'!BK75</f>
        <v>0</v>
      </c>
    </row>
    <row r="94" spans="1:4">
      <c r="A94" s="243"/>
      <c r="B94" s="239"/>
      <c r="C94" s="239"/>
    </row>
    <row r="95" spans="1:4">
      <c r="A95" s="240" t="s">
        <v>101</v>
      </c>
      <c r="B95" s="241">
        <f t="shared" ref="B95:C95" ca="1" si="8">SUM(B96:B99)</f>
        <v>9847869392</v>
      </c>
      <c r="C95" s="241">
        <f t="shared" si="8"/>
        <v>11187207755</v>
      </c>
    </row>
    <row r="96" spans="1:4" ht="18" customHeight="1">
      <c r="A96" s="238" t="s">
        <v>102</v>
      </c>
      <c r="B96" s="239">
        <f ca="1">OFFSET('Tinh hinh tai chinh'!$BL77,0,'THTC in'!$D$7 - 1)</f>
        <v>9847869392</v>
      </c>
      <c r="C96" s="239">
        <f>'Tinh hinh tai chinh'!BK77</f>
        <v>11187207755</v>
      </c>
    </row>
    <row r="97" spans="1:5" s="222" customFormat="1" ht="18" customHeight="1">
      <c r="A97" s="238" t="s">
        <v>103</v>
      </c>
      <c r="B97" s="239">
        <f ca="1">OFFSET('Tinh hinh tai chinh'!$BL78,0,'THTC in'!$D$7 - 1)</f>
        <v>0</v>
      </c>
      <c r="C97" s="239">
        <f>'Tinh hinh tai chinh'!BK78</f>
        <v>0</v>
      </c>
    </row>
    <row r="98" spans="1:5" ht="18" customHeight="1">
      <c r="A98" s="238" t="s">
        <v>104</v>
      </c>
      <c r="B98" s="239">
        <f ca="1">OFFSET('Tinh hinh tai chinh'!$BL79,0,'THTC in'!$D$7 - 1)</f>
        <v>0</v>
      </c>
      <c r="C98" s="239">
        <f>'Tinh hinh tai chinh'!BK79</f>
        <v>0</v>
      </c>
    </row>
    <row r="99" spans="1:5" ht="18" customHeight="1">
      <c r="A99" s="264" t="s">
        <v>105</v>
      </c>
      <c r="B99" s="239">
        <f ca="1">OFFSET('Tinh hinh tai chinh'!$BL80,0,'THTC in'!$D$7 - 1)</f>
        <v>0</v>
      </c>
      <c r="C99" s="239">
        <f>'Tinh hinh tai chinh'!BK80</f>
        <v>0</v>
      </c>
    </row>
    <row r="100" spans="1:5" ht="21.75" customHeight="1">
      <c r="A100" s="265" t="s">
        <v>106</v>
      </c>
      <c r="B100" s="266">
        <f ca="1">B8+B47</f>
        <v>1424723112774.8057</v>
      </c>
      <c r="C100" s="266">
        <f>C8+C47</f>
        <v>1377306550833.4819</v>
      </c>
      <c r="E100" s="260"/>
    </row>
    <row r="101" spans="1:5" ht="16.5" customHeight="1">
      <c r="B101" s="267"/>
      <c r="C101" s="267"/>
    </row>
    <row r="102" spans="1:5" s="222" customFormat="1" ht="30" customHeight="1">
      <c r="A102" s="229" t="s">
        <v>107</v>
      </c>
      <c r="B102" s="254" t="str">
        <f>B7</f>
        <v>Số cuối tháng 1</v>
      </c>
      <c r="C102" s="254" t="str">
        <f>C7</f>
        <v>Số dư đầu năm 2026</v>
      </c>
    </row>
    <row r="103" spans="1:5" s="237" customFormat="1">
      <c r="A103" s="268" t="s">
        <v>108</v>
      </c>
      <c r="B103" s="269">
        <f t="shared" ref="B103:C103" ca="1" si="9">B104+B121</f>
        <v>398201612300</v>
      </c>
      <c r="C103" s="269">
        <f t="shared" si="9"/>
        <v>441716876964.48199</v>
      </c>
    </row>
    <row r="104" spans="1:5" s="222" customFormat="1" ht="18" customHeight="1">
      <c r="A104" s="240" t="s">
        <v>109</v>
      </c>
      <c r="B104" s="241">
        <f t="shared" ref="B104:C104" ca="1" si="10">SUM(B105:B119)</f>
        <v>315958770885</v>
      </c>
      <c r="C104" s="241">
        <f t="shared" si="10"/>
        <v>358564622610.48199</v>
      </c>
    </row>
    <row r="105" spans="1:5" ht="18" customHeight="1">
      <c r="A105" s="238" t="s">
        <v>110</v>
      </c>
      <c r="B105" s="239">
        <f ca="1">OFFSET('Tinh hinh tai chinh'!$BL84,0,'THTC in'!$D$7 - 1)</f>
        <v>34204260957</v>
      </c>
      <c r="C105" s="239">
        <f>'Tinh hinh tai chinh'!BK84</f>
        <v>28643819309</v>
      </c>
      <c r="D105" s="245"/>
    </row>
    <row r="106" spans="1:5" ht="18" customHeight="1">
      <c r="A106" s="238" t="s">
        <v>111</v>
      </c>
      <c r="B106" s="239">
        <f ca="1">OFFSET('Tinh hinh tai chinh'!$BL85,0,'THTC in'!$D$7 - 1)</f>
        <v>11995200530</v>
      </c>
      <c r="C106" s="239">
        <f>'Tinh hinh tai chinh'!BK85</f>
        <v>17509392514</v>
      </c>
    </row>
    <row r="107" spans="1:5" ht="18" customHeight="1">
      <c r="A107" s="238" t="s">
        <v>112</v>
      </c>
      <c r="B107" s="239">
        <f ca="1">OFFSET('Tinh hinh tai chinh'!$BL86,0,'THTC in'!$D$7 - 1)</f>
        <v>0</v>
      </c>
      <c r="C107" s="239">
        <f>'Tinh hinh tai chinh'!BK86</f>
        <v>0</v>
      </c>
    </row>
    <row r="108" spans="1:5" ht="18" customHeight="1">
      <c r="A108" s="238" t="s">
        <v>113</v>
      </c>
      <c r="B108" s="239">
        <f ca="1">OFFSET('Tinh hinh tai chinh'!$BL87,0,'THTC in'!$D$7 - 1)</f>
        <v>3781272766</v>
      </c>
      <c r="C108" s="239">
        <f>'Tinh hinh tai chinh'!BK87</f>
        <v>8223438377</v>
      </c>
    </row>
    <row r="109" spans="1:5" ht="18" customHeight="1">
      <c r="A109" s="238" t="s">
        <v>114</v>
      </c>
      <c r="B109" s="239">
        <f ca="1">OFFSET('Tinh hinh tai chinh'!$BL88,0,'THTC in'!$D$7 - 1)</f>
        <v>19154092290</v>
      </c>
      <c r="C109" s="239">
        <f>'Tinh hinh tai chinh'!BK88</f>
        <v>10866562186</v>
      </c>
    </row>
    <row r="110" spans="1:5" ht="18" customHeight="1">
      <c r="A110" s="238" t="s">
        <v>115</v>
      </c>
      <c r="B110" s="239">
        <f ca="1">OFFSET('Tinh hinh tai chinh'!$BL89,0,'THTC in'!$D$7 - 1)</f>
        <v>18218565408</v>
      </c>
      <c r="C110" s="239">
        <f>'Tinh hinh tai chinh'!BK89</f>
        <v>20102188452</v>
      </c>
    </row>
    <row r="111" spans="1:5" ht="18" customHeight="1">
      <c r="A111" s="238" t="s">
        <v>116</v>
      </c>
      <c r="B111" s="239">
        <f ca="1">OFFSET('Tinh hinh tai chinh'!$BL90,0,'THTC in'!$D$7 - 1)</f>
        <v>0</v>
      </c>
      <c r="C111" s="239">
        <f>'Tinh hinh tai chinh'!BK90</f>
        <v>0</v>
      </c>
    </row>
    <row r="112" spans="1:5" ht="18" customHeight="1">
      <c r="A112" s="238" t="s">
        <v>117</v>
      </c>
      <c r="B112" s="239">
        <f ca="1">OFFSET('Tinh hinh tai chinh'!$BL91,0,'THTC in'!$D$7 - 1)</f>
        <v>0</v>
      </c>
      <c r="C112" s="239">
        <f>'Tinh hinh tai chinh'!BK91</f>
        <v>0</v>
      </c>
    </row>
    <row r="113" spans="1:3" ht="18" customHeight="1">
      <c r="A113" s="243" t="s">
        <v>118</v>
      </c>
      <c r="B113" s="239">
        <f ca="1">OFFSET('Tinh hinh tai chinh'!$BL92,0,'THTC in'!$D$7 - 1)</f>
        <v>0</v>
      </c>
      <c r="C113" s="239">
        <f>'Tinh hinh tai chinh'!BK92</f>
        <v>0</v>
      </c>
    </row>
    <row r="114" spans="1:3" ht="18" customHeight="1">
      <c r="A114" s="238" t="s">
        <v>119</v>
      </c>
      <c r="B114" s="239">
        <f ca="1">OFFSET('Tinh hinh tai chinh'!$BL93,0,'THTC in'!$D$7 - 1)</f>
        <v>10596548323</v>
      </c>
      <c r="C114" s="239">
        <f>'Tinh hinh tai chinh'!BK93</f>
        <v>9558710068.4820004</v>
      </c>
    </row>
    <row r="115" spans="1:3" ht="18" customHeight="1">
      <c r="A115" s="238" t="s">
        <v>120</v>
      </c>
      <c r="B115" s="239">
        <f ca="1">OFFSET('Tinh hinh tai chinh'!$BL94,0,'THTC in'!$D$7 - 1)</f>
        <v>216818798145</v>
      </c>
      <c r="C115" s="239">
        <f>'Tinh hinh tai chinh'!BK94</f>
        <v>262225979238</v>
      </c>
    </row>
    <row r="116" spans="1:3" ht="18" customHeight="1">
      <c r="A116" s="238" t="s">
        <v>121</v>
      </c>
      <c r="B116" s="239">
        <f ca="1">OFFSET('Tinh hinh tai chinh'!$BL95,0,'THTC in'!$D$7 - 1)</f>
        <v>0</v>
      </c>
      <c r="C116" s="239">
        <f>'Tinh hinh tai chinh'!BK95</f>
        <v>0</v>
      </c>
    </row>
    <row r="117" spans="1:3" ht="18" customHeight="1">
      <c r="A117" s="238" t="s">
        <v>122</v>
      </c>
      <c r="B117" s="239">
        <f ca="1">OFFSET('Tinh hinh tai chinh'!$BL96,0,'THTC in'!$D$7 - 1)</f>
        <v>1190032466</v>
      </c>
      <c r="C117" s="239">
        <f>'Tinh hinh tai chinh'!BK96</f>
        <v>1434532466</v>
      </c>
    </row>
    <row r="118" spans="1:3" ht="18" customHeight="1">
      <c r="A118" s="238" t="s">
        <v>123</v>
      </c>
      <c r="B118" s="239">
        <f ca="1">OFFSET('Tinh hinh tai chinh'!$BL97,0,'THTC in'!$D$7 - 1)</f>
        <v>0</v>
      </c>
      <c r="C118" s="239">
        <f>'Tinh hinh tai chinh'!BK97</f>
        <v>0</v>
      </c>
    </row>
    <row r="119" spans="1:3" ht="18" customHeight="1">
      <c r="A119" s="238" t="s">
        <v>124</v>
      </c>
      <c r="B119" s="239">
        <f ca="1">OFFSET('Tinh hinh tai chinh'!$BL98,0,'THTC in'!$D$7 - 1)</f>
        <v>0</v>
      </c>
      <c r="C119" s="239">
        <f>'Tinh hinh tai chinh'!BK98</f>
        <v>0</v>
      </c>
    </row>
    <row r="120" spans="1:3" ht="9.75" customHeight="1">
      <c r="A120" s="238"/>
      <c r="B120" s="239"/>
      <c r="C120" s="239"/>
    </row>
    <row r="121" spans="1:3" s="222" customFormat="1" ht="14.25" customHeight="1">
      <c r="A121" s="240" t="s">
        <v>125</v>
      </c>
      <c r="B121" s="241">
        <f t="shared" ref="B121:C121" ca="1" si="11">SUM(B122:B135)</f>
        <v>82242841415</v>
      </c>
      <c r="C121" s="241">
        <f t="shared" si="11"/>
        <v>83152254354</v>
      </c>
    </row>
    <row r="122" spans="1:3" ht="18.75" customHeight="1">
      <c r="A122" s="238" t="s">
        <v>126</v>
      </c>
      <c r="B122" s="239">
        <f ca="1">OFFSET('Tinh hinh tai chinh'!$BL100,0,'THTC in'!$D$7 - 1)</f>
        <v>0</v>
      </c>
      <c r="C122" s="239">
        <f>'Tinh hinh tai chinh'!BK100</f>
        <v>0</v>
      </c>
    </row>
    <row r="123" spans="1:3" ht="18" customHeight="1">
      <c r="A123" s="238" t="s">
        <v>127</v>
      </c>
      <c r="B123" s="239">
        <f ca="1">OFFSET('Tinh hinh tai chinh'!$BL101,0,'THTC in'!$D$7 - 1)</f>
        <v>0</v>
      </c>
      <c r="C123" s="239">
        <f>'Tinh hinh tai chinh'!BK101</f>
        <v>0</v>
      </c>
    </row>
    <row r="124" spans="1:3" ht="18" customHeight="1">
      <c r="A124" s="238" t="s">
        <v>128</v>
      </c>
      <c r="B124" s="239">
        <f ca="1">OFFSET('Tinh hinh tai chinh'!$BL102,0,'THTC in'!$D$7 - 1)</f>
        <v>0</v>
      </c>
      <c r="C124" s="239">
        <f>'Tinh hinh tai chinh'!BK102</f>
        <v>0</v>
      </c>
    </row>
    <row r="125" spans="1:3" ht="18" customHeight="1">
      <c r="A125" s="238" t="s">
        <v>129</v>
      </c>
      <c r="B125" s="239">
        <f ca="1">OFFSET('Tinh hinh tai chinh'!$BL103,0,'THTC in'!$D$7 - 1)</f>
        <v>0</v>
      </c>
      <c r="C125" s="239">
        <f>'Tinh hinh tai chinh'!BK103</f>
        <v>0</v>
      </c>
    </row>
    <row r="126" spans="1:3" ht="18" customHeight="1">
      <c r="A126" s="238" t="s">
        <v>130</v>
      </c>
      <c r="B126" s="239">
        <f ca="1">OFFSET('Tinh hinh tai chinh'!$BL104,0,'THTC in'!$D$7 - 1)</f>
        <v>0</v>
      </c>
      <c r="C126" s="239">
        <f>'Tinh hinh tai chinh'!BK104</f>
        <v>0</v>
      </c>
    </row>
    <row r="127" spans="1:3" ht="18" customHeight="1">
      <c r="A127" s="238" t="s">
        <v>131</v>
      </c>
      <c r="B127" s="239">
        <f ca="1">OFFSET('Tinh hinh tai chinh'!$BL105,0,'THTC in'!$D$7 - 1)</f>
        <v>0</v>
      </c>
      <c r="C127" s="239">
        <f>'Tinh hinh tai chinh'!BK105</f>
        <v>0</v>
      </c>
    </row>
    <row r="128" spans="1:3" ht="18" customHeight="1">
      <c r="A128" s="238" t="s">
        <v>132</v>
      </c>
      <c r="B128" s="239">
        <f ca="1">OFFSET('Tinh hinh tai chinh'!$BL106,0,'THTC in'!$D$7 - 1)</f>
        <v>0</v>
      </c>
      <c r="C128" s="239">
        <f>'Tinh hinh tai chinh'!BK106</f>
        <v>0</v>
      </c>
    </row>
    <row r="129" spans="1:3" ht="18" customHeight="1">
      <c r="A129" s="238" t="s">
        <v>133</v>
      </c>
      <c r="B129" s="239">
        <f ca="1">OFFSET('Tinh hinh tai chinh'!$BL107,0,'THTC in'!$D$7 - 1)</f>
        <v>0</v>
      </c>
      <c r="C129" s="239">
        <f>'Tinh hinh tai chinh'!BK107</f>
        <v>0</v>
      </c>
    </row>
    <row r="130" spans="1:3" ht="18" customHeight="1">
      <c r="A130" s="238" t="s">
        <v>134</v>
      </c>
      <c r="B130" s="239">
        <f ca="1">OFFSET('Tinh hinh tai chinh'!$BL108,0,'THTC in'!$D$7 - 1)</f>
        <v>82242841415</v>
      </c>
      <c r="C130" s="239">
        <f>'Tinh hinh tai chinh'!BK108</f>
        <v>83152254354</v>
      </c>
    </row>
    <row r="131" spans="1:3" ht="18" customHeight="1">
      <c r="A131" s="238" t="s">
        <v>135</v>
      </c>
      <c r="B131" s="239">
        <f ca="1">OFFSET('Tinh hinh tai chinh'!$BL109,0,'THTC in'!$D$7 - 1)</f>
        <v>0</v>
      </c>
      <c r="C131" s="239">
        <f>'Tinh hinh tai chinh'!BK109</f>
        <v>0</v>
      </c>
    </row>
    <row r="132" spans="1:3" ht="18" customHeight="1">
      <c r="A132" s="238" t="s">
        <v>136</v>
      </c>
      <c r="B132" s="239">
        <f ca="1">OFFSET('Tinh hinh tai chinh'!$BL110,0,'THTC in'!$D$7 - 1)</f>
        <v>0</v>
      </c>
      <c r="C132" s="239">
        <f>'Tinh hinh tai chinh'!BK110</f>
        <v>0</v>
      </c>
    </row>
    <row r="133" spans="1:3" ht="18" customHeight="1">
      <c r="A133" s="238" t="s">
        <v>137</v>
      </c>
      <c r="B133" s="239">
        <f ca="1">OFFSET('Tinh hinh tai chinh'!$BL111,0,'THTC in'!$D$7 - 1)</f>
        <v>0</v>
      </c>
      <c r="C133" s="239">
        <f>'Tinh hinh tai chinh'!BK111</f>
        <v>0</v>
      </c>
    </row>
    <row r="134" spans="1:3" ht="18" customHeight="1">
      <c r="A134" s="238" t="s">
        <v>138</v>
      </c>
      <c r="B134" s="239">
        <f ca="1">OFFSET('Tinh hinh tai chinh'!$BL112,0,'THTC in'!$D$7 - 1)</f>
        <v>0</v>
      </c>
      <c r="C134" s="239">
        <f>'Tinh hinh tai chinh'!BK112</f>
        <v>0</v>
      </c>
    </row>
    <row r="135" spans="1:3" ht="18" customHeight="1">
      <c r="A135" s="264" t="s">
        <v>139</v>
      </c>
      <c r="B135" s="251">
        <f ca="1">OFFSET('Tinh hinh tai chinh'!$BL113,0,'THTC in'!$D$7 - 1)</f>
        <v>0</v>
      </c>
      <c r="C135" s="251">
        <f>'Tinh hinh tai chinh'!BK113</f>
        <v>0</v>
      </c>
    </row>
    <row r="136" spans="1:3">
      <c r="A136" s="252"/>
      <c r="B136" s="270"/>
      <c r="C136" s="271"/>
    </row>
    <row r="137" spans="1:3" s="222" customFormat="1" ht="30" customHeight="1">
      <c r="A137" s="229" t="s">
        <v>107</v>
      </c>
      <c r="B137" s="254" t="str">
        <f>B7</f>
        <v>Số cuối tháng 1</v>
      </c>
      <c r="C137" s="254" t="str">
        <f>C7</f>
        <v>Số dư đầu năm 2026</v>
      </c>
    </row>
    <row r="138" spans="1:3" s="237" customFormat="1">
      <c r="A138" s="268" t="s">
        <v>140</v>
      </c>
      <c r="B138" s="269">
        <f ca="1">B139+SUM(B142:B150)</f>
        <v>1026521500474.8055</v>
      </c>
      <c r="C138" s="269">
        <f>C139+SUM(C142:C150)</f>
        <v>935589673869</v>
      </c>
    </row>
    <row r="139" spans="1:3" ht="18" customHeight="1">
      <c r="A139" s="238" t="s">
        <v>141</v>
      </c>
      <c r="B139" s="272">
        <f ca="1">B140</f>
        <v>872000000000</v>
      </c>
      <c r="C139" s="272">
        <f>SUM(C140:C141)</f>
        <v>778000000000</v>
      </c>
    </row>
    <row r="140" spans="1:3" ht="18" customHeight="1">
      <c r="A140" s="238" t="s">
        <v>142</v>
      </c>
      <c r="B140" s="272">
        <f ca="1">OFFSET('Tinh hinh tai chinh'!$BL116,0,'THTC in'!$D$7 - 1)</f>
        <v>872000000000</v>
      </c>
      <c r="C140" s="272">
        <f>'Tinh hinh tai chinh'!BK116</f>
        <v>778000000000</v>
      </c>
    </row>
    <row r="141" spans="1:3" ht="18" customHeight="1">
      <c r="A141" s="238" t="s">
        <v>143</v>
      </c>
      <c r="B141" s="272">
        <f ca="1">OFFSET('Tinh hinh tai chinh'!$BL117,0,'THTC in'!$D$7 - 1)</f>
        <v>0</v>
      </c>
      <c r="C141" s="272">
        <f>'Tinh hinh tai chinh'!BK117</f>
        <v>0</v>
      </c>
    </row>
    <row r="142" spans="1:3" ht="18" customHeight="1">
      <c r="A142" s="238" t="s">
        <v>144</v>
      </c>
      <c r="B142" s="272">
        <f ca="1">OFFSET('Tinh hinh tai chinh'!$BL118,0,'THTC in'!$D$7 - 1)</f>
        <v>0</v>
      </c>
      <c r="C142" s="272">
        <f>'Tinh hinh tai chinh'!BK118</f>
        <v>0</v>
      </c>
    </row>
    <row r="143" spans="1:3" ht="18" customHeight="1">
      <c r="A143" s="238" t="s">
        <v>145</v>
      </c>
      <c r="B143" s="272">
        <f ca="1">OFFSET('Tinh hinh tai chinh'!$BL119,0,'THTC in'!$D$7 - 1)</f>
        <v>0</v>
      </c>
      <c r="C143" s="272">
        <f>'Tinh hinh tai chinh'!BK119</f>
        <v>0</v>
      </c>
    </row>
    <row r="144" spans="1:3" ht="18" customHeight="1">
      <c r="A144" s="238" t="s">
        <v>146</v>
      </c>
      <c r="B144" s="272">
        <f ca="1">OFFSET('Tinh hinh tai chinh'!$BL120,0,'THTC in'!$D$7 - 1)</f>
        <v>0</v>
      </c>
      <c r="C144" s="272">
        <f>'Tinh hinh tai chinh'!BK120</f>
        <v>0</v>
      </c>
    </row>
    <row r="145" spans="1:5" ht="18" customHeight="1">
      <c r="A145" s="238" t="s">
        <v>147</v>
      </c>
      <c r="B145" s="272">
        <f ca="1">OFFSET('Tinh hinh tai chinh'!$BL121,0,'THTC in'!$D$7 - 1)</f>
        <v>0</v>
      </c>
      <c r="C145" s="272">
        <f>'Tinh hinh tai chinh'!BK121</f>
        <v>0</v>
      </c>
    </row>
    <row r="146" spans="1:5" ht="18" customHeight="1">
      <c r="A146" s="238" t="s">
        <v>148</v>
      </c>
      <c r="B146" s="272">
        <f ca="1">OFFSET('Tinh hinh tai chinh'!$BL122,0,'THTC in'!$D$7 - 1)</f>
        <v>0</v>
      </c>
      <c r="C146" s="272">
        <f>'Tinh hinh tai chinh'!BK122</f>
        <v>0</v>
      </c>
    </row>
    <row r="147" spans="1:5" ht="18" customHeight="1">
      <c r="A147" s="238" t="s">
        <v>149</v>
      </c>
      <c r="B147" s="272">
        <f ca="1">OFFSET('Tinh hinh tai chinh'!$BL123,0,'THTC in'!$D$7 - 1)</f>
        <v>0</v>
      </c>
      <c r="C147" s="272">
        <f>'Tinh hinh tai chinh'!BK123</f>
        <v>0</v>
      </c>
    </row>
    <row r="148" spans="1:5" ht="18" customHeight="1">
      <c r="A148" s="238" t="s">
        <v>150</v>
      </c>
      <c r="B148" s="272">
        <f ca="1">OFFSET('Tinh hinh tai chinh'!$BL124,0,'THTC in'!$D$7 - 1)</f>
        <v>0</v>
      </c>
      <c r="C148" s="272">
        <f>'Tinh hinh tai chinh'!BK124</f>
        <v>0</v>
      </c>
    </row>
    <row r="149" spans="1:5" ht="18" customHeight="1">
      <c r="A149" s="238" t="s">
        <v>151</v>
      </c>
      <c r="B149" s="272">
        <f ca="1">OFFSET('Tinh hinh tai chinh'!$BL125,0,'THTC in'!$D$7 - 1)</f>
        <v>0</v>
      </c>
      <c r="C149" s="272">
        <f>'Tinh hinh tai chinh'!BK125</f>
        <v>0</v>
      </c>
    </row>
    <row r="150" spans="1:5" ht="18" customHeight="1">
      <c r="A150" s="238" t="s">
        <v>152</v>
      </c>
      <c r="B150" s="273">
        <f t="shared" ref="B150" ca="1" si="12">B151+B152</f>
        <v>154521500474.80554</v>
      </c>
      <c r="C150" s="273">
        <f>C151+C152</f>
        <v>157589673869</v>
      </c>
      <c r="D150" s="274"/>
      <c r="E150" s="260"/>
    </row>
    <row r="151" spans="1:5" ht="18" customHeight="1">
      <c r="A151" s="275" t="s">
        <v>153</v>
      </c>
      <c r="B151" s="276">
        <f ca="1">OFFSET('Tinh hinh tai chinh'!$BL127,0,'THTC in'!$D$7 - 1)</f>
        <v>157589673869</v>
      </c>
      <c r="C151" s="276">
        <f>'Tinh hinh tai chinh'!BK127</f>
        <v>155244834346</v>
      </c>
      <c r="D151" s="274"/>
    </row>
    <row r="152" spans="1:5" ht="18" customHeight="1">
      <c r="A152" s="275" t="s">
        <v>154</v>
      </c>
      <c r="B152" s="276">
        <f ca="1">OFFSET('Tinh hinh tai chinh'!$BL128,0,'THTC in'!$D$7 - 1)</f>
        <v>-3068173394.1944447</v>
      </c>
      <c r="C152" s="276">
        <f>'Tinh hinh tai chinh'!BK128</f>
        <v>2344839523</v>
      </c>
      <c r="D152" s="274"/>
    </row>
    <row r="153" spans="1:5">
      <c r="A153" s="277"/>
      <c r="B153" s="257"/>
      <c r="C153" s="257"/>
    </row>
    <row r="154" spans="1:5" ht="22.5" customHeight="1">
      <c r="A154" s="265" t="s">
        <v>155</v>
      </c>
      <c r="B154" s="266">
        <f ca="1">B138+B103</f>
        <v>1424723112774.8057</v>
      </c>
      <c r="C154" s="266">
        <f>C103+C138</f>
        <v>1377306550833.4819</v>
      </c>
      <c r="E154" s="260"/>
    </row>
    <row r="155" spans="1:5">
      <c r="B155" s="278">
        <f ca="1">+B154-B100</f>
        <v>0</v>
      </c>
      <c r="C155" s="278">
        <f>+C154-C100</f>
        <v>0</v>
      </c>
    </row>
    <row r="156" spans="1:5">
      <c r="B156" s="278">
        <v>0</v>
      </c>
      <c r="C156" s="278"/>
    </row>
    <row r="157" spans="1:5">
      <c r="B157" s="568" t="str">
        <f>'KQKD in'!F32</f>
        <v>Lập, ngày 30 tháng 11 năm 2025</v>
      </c>
      <c r="C157" s="568"/>
    </row>
    <row r="158" spans="1:5" ht="6.75" customHeight="1">
      <c r="B158" s="279"/>
      <c r="C158" s="279"/>
    </row>
    <row r="159" spans="1:5">
      <c r="A159" s="280" t="s">
        <v>10</v>
      </c>
      <c r="B159" s="569" t="str">
        <f>'Thong tin'!B18</f>
        <v xml:space="preserve">TỔNG GIÁM ĐỐC </v>
      </c>
      <c r="C159" s="569"/>
    </row>
    <row r="160" spans="1:5">
      <c r="A160" s="279"/>
      <c r="B160" s="225"/>
      <c r="C160" s="225"/>
    </row>
    <row r="161" spans="1:3">
      <c r="A161" s="279"/>
      <c r="B161" s="274"/>
      <c r="C161" s="225"/>
    </row>
    <row r="162" spans="1:3">
      <c r="A162" s="279"/>
      <c r="B162" s="225"/>
      <c r="C162" s="225"/>
    </row>
    <row r="163" spans="1:3">
      <c r="A163" s="279"/>
      <c r="B163" s="225"/>
      <c r="C163" s="225"/>
    </row>
    <row r="164" spans="1:3">
      <c r="A164" s="279"/>
      <c r="B164" s="225"/>
      <c r="C164" s="225"/>
    </row>
    <row r="165" spans="1:3" ht="15.5">
      <c r="A165" s="281"/>
      <c r="B165" s="225"/>
      <c r="C165" s="225"/>
    </row>
    <row r="166" spans="1:3">
      <c r="A166" s="279" t="str">
        <f>'Thong tin'!B16</f>
        <v>Giang Văn Lộc</v>
      </c>
      <c r="B166" s="568" t="str">
        <f>'Thong tin'!B19</f>
        <v>Trần Duy Hy</v>
      </c>
      <c r="C166" s="568"/>
    </row>
    <row r="167" spans="1:3">
      <c r="B167" s="225"/>
      <c r="C167" s="225"/>
    </row>
    <row r="168" spans="1:3">
      <c r="B168" s="225"/>
      <c r="C168" s="225"/>
    </row>
  </sheetData>
  <mergeCells count="5">
    <mergeCell ref="A4:C4"/>
    <mergeCell ref="A5:C5"/>
    <mergeCell ref="B157:C157"/>
    <mergeCell ref="B159:C159"/>
    <mergeCell ref="B166:C166"/>
  </mergeCells>
  <printOptions horizontalCentered="1"/>
  <pageMargins left="0.59055118110236227" right="0.31496062992125984" top="0.31496062992125984" bottom="0.31496062992125984" header="0.31496062992125984" footer="0.19685039370078741"/>
  <pageSetup paperSize="9" scale="90" orientation="portrait" useFirstPageNumber="1" r:id="rId1"/>
  <headerFooter>
    <oddFooter>&amp;CTrang &amp;P</oddFooter>
  </headerFooter>
  <rowBreaks count="3" manualBreakCount="3">
    <brk id="55" max="16383" man="1"/>
    <brk id="101" max="16383" man="1"/>
    <brk id="135" max="16383" man="1"/>
  </row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59E650-BF98-49D2-B511-537F41B37F2A}">
  <sheetPr>
    <tabColor theme="8" tint="0.59999389629810485"/>
  </sheetPr>
  <dimension ref="A1:G48"/>
  <sheetViews>
    <sheetView showGridLines="0" showZeros="0" zoomScaleNormal="100" workbookViewId="0">
      <pane xSplit="3" ySplit="9" topLeftCell="D31" activePane="bottomRight" state="frozen"/>
      <selection pane="topRight" activeCell="P9" sqref="P9"/>
      <selection pane="bottomLeft" activeCell="P9" sqref="P9"/>
      <selection pane="bottomRight" activeCell="A5" sqref="A5:G5"/>
    </sheetView>
  </sheetViews>
  <sheetFormatPr defaultColWidth="9.08984375" defaultRowHeight="14"/>
  <cols>
    <col min="1" max="1" width="3.54296875" style="225" customWidth="1"/>
    <col min="2" max="2" width="21.6328125" style="225" customWidth="1"/>
    <col min="3" max="3" width="18.453125" style="225" customWidth="1"/>
    <col min="4" max="4" width="14.36328125" style="260" customWidth="1"/>
    <col min="5" max="5" width="14.36328125" style="225" customWidth="1"/>
    <col min="6" max="6" width="15.08984375" style="260" customWidth="1"/>
    <col min="7" max="7" width="15.08984375" style="225" customWidth="1"/>
    <col min="8" max="8" width="5.90625" style="225" customWidth="1"/>
    <col min="9" max="16384" width="9.08984375" style="225"/>
  </cols>
  <sheetData>
    <row r="1" spans="1:7" ht="15">
      <c r="A1" s="282" t="str">
        <f>'Thong tin'!$A$1</f>
        <v>CÔNG TY CP NHỰA TÁI CHẾ DUY TÂN</v>
      </c>
      <c r="B1" s="283"/>
      <c r="D1" s="225"/>
      <c r="E1" s="180"/>
      <c r="F1" s="225"/>
      <c r="G1" s="180"/>
    </row>
    <row r="2" spans="1:7" ht="16" thickBot="1">
      <c r="A2" s="223" t="str">
        <f>'Thong tin'!B2</f>
        <v>Lô D2, Cụm Công nghiệp Nhựa Đức Hoà Hạ, Xã Đức Hoà, Tỉnh Tây Ninh</v>
      </c>
      <c r="B2" s="284"/>
      <c r="C2" s="284"/>
      <c r="D2" s="284"/>
      <c r="E2" s="183"/>
      <c r="F2" s="284"/>
      <c r="G2" s="183"/>
    </row>
    <row r="3" spans="1:7" ht="15.5">
      <c r="D3" s="225"/>
      <c r="E3" s="184"/>
      <c r="F3" s="225"/>
      <c r="G3" s="184"/>
    </row>
    <row r="4" spans="1:7" ht="18.75" customHeight="1">
      <c r="A4" s="573" t="s">
        <v>156</v>
      </c>
      <c r="B4" s="573"/>
      <c r="C4" s="573"/>
      <c r="D4" s="573"/>
      <c r="E4" s="573"/>
      <c r="F4" s="573"/>
      <c r="G4" s="573"/>
    </row>
    <row r="5" spans="1:7" ht="15">
      <c r="A5" s="574" t="str">
        <f>"Năm " &amp; 'Thong tin'!$C$6</f>
        <v>Năm 2026</v>
      </c>
      <c r="B5" s="574"/>
      <c r="C5" s="574"/>
      <c r="D5" s="574"/>
      <c r="E5" s="574"/>
      <c r="F5" s="574"/>
      <c r="G5" s="574"/>
    </row>
    <row r="6" spans="1:7">
      <c r="E6" s="285"/>
      <c r="G6" s="286" t="s">
        <v>157</v>
      </c>
    </row>
    <row r="7" spans="1:7" ht="5.15" customHeight="1"/>
    <row r="8" spans="1:7" ht="18.75" customHeight="1">
      <c r="A8" s="575" t="s">
        <v>158</v>
      </c>
      <c r="B8" s="576"/>
      <c r="C8" s="577"/>
      <c r="D8" s="581" t="str">
        <f>"Tháng "&amp;'Thong tin'!$C$9</f>
        <v>Tháng 1</v>
      </c>
      <c r="E8" s="582"/>
      <c r="F8" s="583" t="str">
        <f>"Lũy kế"&amp;" "&amp;'Thong tin'!$C$9 &amp;" "&amp;"tháng"</f>
        <v>Lũy kế 1 tháng</v>
      </c>
      <c r="G8" s="584"/>
    </row>
    <row r="9" spans="1:7" ht="18.75" customHeight="1">
      <c r="A9" s="578"/>
      <c r="B9" s="579"/>
      <c r="C9" s="580"/>
      <c r="D9" s="287" t="str">
        <f>"Năm " &amp; 'Thong tin'!$C$6</f>
        <v>Năm 2026</v>
      </c>
      <c r="E9" s="287" t="str">
        <f>"Năm " &amp; 'Thong tin'!$C$7</f>
        <v>Năm 2025</v>
      </c>
      <c r="F9" s="287" t="str">
        <f>"Năm " &amp; 'Thong tin'!$C$6</f>
        <v>Năm 2026</v>
      </c>
      <c r="G9" s="287" t="str">
        <f>"Năm " &amp; 'Thong tin'!$C$7</f>
        <v>Năm 2025</v>
      </c>
    </row>
    <row r="10" spans="1:7" ht="28.5" customHeight="1">
      <c r="A10" s="288" t="s">
        <v>159</v>
      </c>
      <c r="B10" s="585" t="s">
        <v>160</v>
      </c>
      <c r="C10" s="586"/>
      <c r="D10" s="289">
        <f ca="1">OFFSET('Ket qua kinh doanh'!$BL5,0,'Thong tin'!$C$9 - 1)</f>
        <v>126470480720</v>
      </c>
      <c r="E10" s="289">
        <f ca="1">OFFSET('Ket qua kinh doanh'!$AZ5,0,'Thong tin'!$C$9 - 1)</f>
        <v>114983880947</v>
      </c>
      <c r="F10" s="289">
        <f ca="1">SUM(OFFSET('Ket qua kinh doanh'!$BL5,0,0,1,'Thong tin'!$C$9))</f>
        <v>126470480720</v>
      </c>
      <c r="G10" s="289">
        <f ca="1">SUM(OFFSET('Ket qua kinh doanh'!$AZ5,0,0,1,'Thong tin'!$C$9))</f>
        <v>114983880947</v>
      </c>
    </row>
    <row r="11" spans="1:7" ht="18" customHeight="1">
      <c r="A11" s="290" t="s">
        <v>161</v>
      </c>
      <c r="B11" s="291" t="s">
        <v>162</v>
      </c>
      <c r="C11" s="292"/>
      <c r="D11" s="293">
        <f ca="1">OFFSET('Ket qua kinh doanh'!$BL6,0,'Thong tin'!$C$9 - 1)</f>
        <v>687876997</v>
      </c>
      <c r="E11" s="293">
        <f ca="1">OFFSET('Ket qua kinh doanh'!$AZ6,0,'Thong tin'!$C$9 - 1)</f>
        <v>513935495</v>
      </c>
      <c r="F11" s="293">
        <f ca="1">SUM(OFFSET('Ket qua kinh doanh'!$BL6,0,0,1,'Thong tin'!$C$9))</f>
        <v>687876997</v>
      </c>
      <c r="G11" s="293">
        <f ca="1">SUM(OFFSET('Ket qua kinh doanh'!$AZ6,0,0,1,'Thong tin'!$C$9))</f>
        <v>513935495</v>
      </c>
    </row>
    <row r="12" spans="1:7" s="296" customFormat="1" ht="29.25" customHeight="1">
      <c r="A12" s="294" t="s">
        <v>163</v>
      </c>
      <c r="B12" s="587" t="s">
        <v>164</v>
      </c>
      <c r="C12" s="588"/>
      <c r="D12" s="295">
        <f ca="1">OFFSET('Ket qua kinh doanh'!$BL7,0,'Thong tin'!$C$9 - 1)</f>
        <v>125782603723</v>
      </c>
      <c r="E12" s="295">
        <f ca="1">OFFSET('Ket qua kinh doanh'!$AZ7,0,'Thong tin'!$C$9 - 1)</f>
        <v>114469945452</v>
      </c>
      <c r="F12" s="295">
        <f ca="1">SUM(OFFSET('Ket qua kinh doanh'!$BL7,0,0,1,'Thong tin'!$C$9))</f>
        <v>125782603723</v>
      </c>
      <c r="G12" s="295">
        <f ca="1">SUM(OFFSET('Ket qua kinh doanh'!$AZ7,0,0,1,'Thong tin'!$C$9))</f>
        <v>114469945452</v>
      </c>
    </row>
    <row r="13" spans="1:7" ht="18" customHeight="1">
      <c r="A13" s="297" t="s">
        <v>165</v>
      </c>
      <c r="B13" s="298" t="s">
        <v>166</v>
      </c>
      <c r="C13" s="299"/>
      <c r="D13" s="300">
        <f ca="1">OFFSET('Ket qua kinh doanh'!$BL8,0,'Thong tin'!$C$9 - 1)</f>
        <v>114204897263.19444</v>
      </c>
      <c r="E13" s="300">
        <f ca="1">OFFSET('Ket qua kinh doanh'!$AZ8,0,'Thong tin'!$C$9 - 1)</f>
        <v>97986840184</v>
      </c>
      <c r="F13" s="300">
        <f ca="1">SUM(OFFSET('Ket qua kinh doanh'!$BL8,0,0,1,'Thong tin'!$C$9))</f>
        <v>114204897263.19444</v>
      </c>
      <c r="G13" s="289">
        <f ca="1">SUM(OFFSET('Ket qua kinh doanh'!$AZ8,0,0,1,'Thong tin'!$C$9))</f>
        <v>97986840184</v>
      </c>
    </row>
    <row r="14" spans="1:7" s="296" customFormat="1" ht="28.5" customHeight="1">
      <c r="A14" s="294" t="s">
        <v>167</v>
      </c>
      <c r="B14" s="587" t="s">
        <v>168</v>
      </c>
      <c r="C14" s="588"/>
      <c r="D14" s="301">
        <f ca="1">OFFSET('Ket qua kinh doanh'!$BL9,0,'Thong tin'!$C$9 - 1)</f>
        <v>11577706459.805557</v>
      </c>
      <c r="E14" s="301">
        <f ca="1">OFFSET('Ket qua kinh doanh'!$AZ9,0,'Thong tin'!$C$9 - 1)</f>
        <v>16483105268</v>
      </c>
      <c r="F14" s="301">
        <f ca="1">SUM(OFFSET('Ket qua kinh doanh'!$BL9,0,0,1,'Thong tin'!$C$9))</f>
        <v>11577706459.805557</v>
      </c>
      <c r="G14" s="301">
        <f ca="1">SUM(OFFSET('Ket qua kinh doanh'!$AZ9,0,0,1,'Thong tin'!$C$9))</f>
        <v>16483105268</v>
      </c>
    </row>
    <row r="15" spans="1:7" s="296" customFormat="1" ht="28.5" customHeight="1">
      <c r="A15" s="294" t="s">
        <v>169</v>
      </c>
      <c r="B15" s="587" t="s">
        <v>170</v>
      </c>
      <c r="C15" s="588"/>
      <c r="D15" s="301">
        <f ca="1">OFFSET('Ket qua kinh doanh'!$BL10,0,'Thong tin'!$C$9 - 1)</f>
        <v>0</v>
      </c>
      <c r="E15" s="301">
        <f ca="1">OFFSET('Ket qua kinh doanh'!$AZ10,0,'Thong tin'!$C$9 - 1)</f>
        <v>0</v>
      </c>
      <c r="F15" s="301">
        <f ca="1">SUM(OFFSET('Ket qua kinh doanh'!$BL10,0,0,1,'Thong tin'!$C$9))</f>
        <v>0</v>
      </c>
      <c r="G15" s="301">
        <f ca="1">SUM(OFFSET('Ket qua kinh doanh'!$AZ10,0,0,1,'Thong tin'!$C$9))</f>
        <v>0</v>
      </c>
    </row>
    <row r="16" spans="1:7" ht="18" customHeight="1">
      <c r="A16" s="290" t="s">
        <v>171</v>
      </c>
      <c r="B16" s="291" t="s">
        <v>172</v>
      </c>
      <c r="C16" s="292"/>
      <c r="D16" s="302">
        <f ca="1">OFFSET('Ket qua kinh doanh'!$BL11,0,'Thong tin'!$C$9 - 1)</f>
        <v>1119033075</v>
      </c>
      <c r="E16" s="302">
        <f ca="1">OFFSET('Ket qua kinh doanh'!$AZ11,0,'Thong tin'!$C$9 - 1)</f>
        <v>830662240</v>
      </c>
      <c r="F16" s="293">
        <f ca="1">SUM(OFFSET('Ket qua kinh doanh'!$BL11,0,0,1,'Thong tin'!$C$9))</f>
        <v>1119033075</v>
      </c>
      <c r="G16" s="293">
        <f ca="1">SUM(OFFSET('Ket qua kinh doanh'!$AZ11,0,0,1,'Thong tin'!$C$9))</f>
        <v>830662240</v>
      </c>
    </row>
    <row r="17" spans="1:7" ht="18" customHeight="1">
      <c r="A17" s="290" t="s">
        <v>173</v>
      </c>
      <c r="B17" s="291" t="s">
        <v>174</v>
      </c>
      <c r="C17" s="292"/>
      <c r="D17" s="302">
        <f ca="1">OFFSET('Ket qua kinh doanh'!$BL12,0,'Thong tin'!$C$9 - 1)</f>
        <v>1532817392</v>
      </c>
      <c r="E17" s="293">
        <f ca="1">OFFSET('Ket qua kinh doanh'!$AZ12,0,'Thong tin'!$C$9 - 1)</f>
        <v>1529745602</v>
      </c>
      <c r="F17" s="293">
        <f ca="1">SUM(OFFSET('Ket qua kinh doanh'!$BL12,0,0,1,'Thong tin'!$C$9))</f>
        <v>1532817392</v>
      </c>
      <c r="G17" s="293">
        <f ca="1">SUM(OFFSET('Ket qua kinh doanh'!$AZ12,0,0,1,'Thong tin'!$C$9))</f>
        <v>1529745602</v>
      </c>
    </row>
    <row r="18" spans="1:7" s="306" customFormat="1" ht="18" customHeight="1">
      <c r="A18" s="303"/>
      <c r="B18" s="304" t="s">
        <v>175</v>
      </c>
      <c r="C18" s="305"/>
      <c r="D18" s="293">
        <f ca="1">OFFSET('Ket qua kinh doanh'!$BL13,0,'Thong tin'!$C$9 - 1)</f>
        <v>1240115065</v>
      </c>
      <c r="E18" s="293">
        <f ca="1">OFFSET('Ket qua kinh doanh'!$AZ13,0,'Thong tin'!$C$9 - 1)</f>
        <v>1114824276</v>
      </c>
      <c r="F18" s="293">
        <f ca="1">SUM(OFFSET('Ket qua kinh doanh'!$BL13,0,0,1,'Thong tin'!$C$9))</f>
        <v>1240115065</v>
      </c>
      <c r="G18" s="293">
        <f ca="1">SUM(OFFSET('Ket qua kinh doanh'!$AZ13,0,0,1,'Thong tin'!$C$9))</f>
        <v>1114824276</v>
      </c>
    </row>
    <row r="19" spans="1:7" ht="18" customHeight="1">
      <c r="A19" s="290" t="s">
        <v>176</v>
      </c>
      <c r="B19" s="291" t="s">
        <v>177</v>
      </c>
      <c r="C19" s="292"/>
      <c r="D19" s="302">
        <f ca="1">OFFSET('Ket qua kinh doanh'!$BL14,0,'Thong tin'!$C$9 - 1)</f>
        <v>4308598004</v>
      </c>
      <c r="E19" s="302">
        <f ca="1">OFFSET('Ket qua kinh doanh'!$AZ14,0,'Thong tin'!$C$9 - 1)</f>
        <v>4181224849</v>
      </c>
      <c r="F19" s="293">
        <f ca="1">SUM(OFFSET('Ket qua kinh doanh'!$BL14,0,0,1,'Thong tin'!$C$9))</f>
        <v>4308598004</v>
      </c>
      <c r="G19" s="293">
        <f ca="1">SUM(OFFSET('Ket qua kinh doanh'!$AZ14,0,0,1,'Thong tin'!$C$9))</f>
        <v>4181224849</v>
      </c>
    </row>
    <row r="20" spans="1:7" ht="18" customHeight="1">
      <c r="A20" s="290" t="s">
        <v>178</v>
      </c>
      <c r="B20" s="291" t="s">
        <v>179</v>
      </c>
      <c r="C20" s="292"/>
      <c r="D20" s="293">
        <f ca="1">OFFSET('Ket qua kinh doanh'!$BL15,0,'Thong tin'!$C$9 - 1)</f>
        <v>9741945070</v>
      </c>
      <c r="E20" s="293">
        <f ca="1">OFFSET('Ket qua kinh doanh'!$AZ15,0,'Thong tin'!$C$9 - 1)</f>
        <v>8548199037</v>
      </c>
      <c r="F20" s="293">
        <f ca="1">SUM(OFFSET('Ket qua kinh doanh'!$BL15,0,0,1,'Thong tin'!$C$9))</f>
        <v>9741945070</v>
      </c>
      <c r="G20" s="293">
        <f ca="1">SUM(OFFSET('Ket qua kinh doanh'!$AZ15,0,0,1,'Thong tin'!$C$9))</f>
        <v>8548199037</v>
      </c>
    </row>
    <row r="21" spans="1:7" s="296" customFormat="1" ht="18" customHeight="1">
      <c r="A21" s="307" t="s">
        <v>180</v>
      </c>
      <c r="B21" s="587" t="s">
        <v>181</v>
      </c>
      <c r="C21" s="588"/>
      <c r="D21" s="301">
        <f ca="1">OFFSET('Ket qua kinh doanh'!$BL16,0,'Thong tin'!$C$9 - 1)</f>
        <v>-2886620931.1944427</v>
      </c>
      <c r="E21" s="301">
        <f ca="1">OFFSET('Ket qua kinh doanh'!$AZ16,0,'Thong tin'!$C$9 - 1)</f>
        <v>3054598020</v>
      </c>
      <c r="F21" s="301">
        <f ca="1">SUM(OFFSET('Ket qua kinh doanh'!$BL16,0,0,1,'Thong tin'!$C$9))</f>
        <v>-2886620931.1944427</v>
      </c>
      <c r="G21" s="301">
        <f ca="1">SUM(OFFSET('Ket qua kinh doanh'!$AZ16,0,0,1,'Thong tin'!$C$9))</f>
        <v>3054598020</v>
      </c>
    </row>
    <row r="22" spans="1:7" ht="18" customHeight="1">
      <c r="A22" s="290" t="s">
        <v>182</v>
      </c>
      <c r="B22" s="291" t="s">
        <v>183</v>
      </c>
      <c r="C22" s="292"/>
      <c r="D22" s="293">
        <f ca="1">OFFSET('Ket qua kinh doanh'!$BL17,0,'Thong tin'!$C$9 - 1)</f>
        <v>62317597</v>
      </c>
      <c r="E22" s="293">
        <f ca="1">OFFSET('Ket qua kinh doanh'!$AZ17,0,'Thong tin'!$C$9 - 1)</f>
        <v>105489733</v>
      </c>
      <c r="F22" s="293">
        <f ca="1">SUM(OFFSET('Ket qua kinh doanh'!$BL17,0,0,1,'Thong tin'!$C$9))</f>
        <v>62317597</v>
      </c>
      <c r="G22" s="293">
        <f ca="1">SUM(OFFSET('Ket qua kinh doanh'!$AZ17,0,0,1,'Thong tin'!$C$9))</f>
        <v>105489733</v>
      </c>
    </row>
    <row r="23" spans="1:7" ht="18" customHeight="1">
      <c r="A23" s="290" t="s">
        <v>184</v>
      </c>
      <c r="B23" s="291" t="s">
        <v>185</v>
      </c>
      <c r="C23" s="292"/>
      <c r="D23" s="293">
        <f ca="1">OFFSET('Ket qua kinh doanh'!$BL18,0,'Thong tin'!$C$9 - 1)</f>
        <v>243870060</v>
      </c>
      <c r="E23" s="293">
        <f ca="1">OFFSET('Ket qua kinh doanh'!$AZ18,0,'Thong tin'!$C$9 - 1)</f>
        <v>60241342</v>
      </c>
      <c r="F23" s="293">
        <f ca="1">SUM(OFFSET('Ket qua kinh doanh'!$BL18,0,0,1,'Thong tin'!$C$9))</f>
        <v>243870060</v>
      </c>
      <c r="G23" s="293">
        <f ca="1">SUM(OFFSET('Ket qua kinh doanh'!$AZ18,0,0,1,'Thong tin'!$C$9))</f>
        <v>60241342</v>
      </c>
    </row>
    <row r="24" spans="1:7" ht="18" customHeight="1">
      <c r="A24" s="297" t="s">
        <v>186</v>
      </c>
      <c r="B24" s="298" t="s">
        <v>187</v>
      </c>
      <c r="C24" s="299"/>
      <c r="D24" s="308">
        <f ca="1">OFFSET('Ket qua kinh doanh'!$BL19,0,'Thong tin'!$C$9 - 1)</f>
        <v>-181552463</v>
      </c>
      <c r="E24" s="308">
        <f ca="1">OFFSET('Ket qua kinh doanh'!$AZ19,0,'Thong tin'!$C$9 - 1)</f>
        <v>45248391</v>
      </c>
      <c r="F24" s="308">
        <f ca="1">SUM(OFFSET('Ket qua kinh doanh'!$BL19,0,0,1,'Thong tin'!$C$9))</f>
        <v>-181552463</v>
      </c>
      <c r="G24" s="308">
        <f ca="1">SUM(OFFSET('Ket qua kinh doanh'!$AZ19,0,0,1,'Thong tin'!$C$9))</f>
        <v>45248391</v>
      </c>
    </row>
    <row r="25" spans="1:7" s="296" customFormat="1" ht="18" customHeight="1">
      <c r="A25" s="294" t="s">
        <v>188</v>
      </c>
      <c r="B25" s="309" t="s">
        <v>189</v>
      </c>
      <c r="C25" s="310"/>
      <c r="D25" s="311">
        <f ca="1">OFFSET('Ket qua kinh doanh'!$BL20,0,'Thong tin'!$C$9 - 1)</f>
        <v>-3068173394.1944427</v>
      </c>
      <c r="E25" s="311">
        <f ca="1">OFFSET('Ket qua kinh doanh'!$AZ20,0,'Thong tin'!$C$9 - 1)</f>
        <v>3099846411</v>
      </c>
      <c r="F25" s="311">
        <f ca="1">SUM(OFFSET('Ket qua kinh doanh'!$BL20,0,0,1,'Thong tin'!$C$9))</f>
        <v>-3068173394.1944427</v>
      </c>
      <c r="G25" s="311">
        <f ca="1">SUM(OFFSET('Ket qua kinh doanh'!$AZ20,0,0,1,'Thong tin'!$C$9))</f>
        <v>3099846411</v>
      </c>
    </row>
    <row r="26" spans="1:7" ht="18" customHeight="1">
      <c r="A26" s="290" t="s">
        <v>190</v>
      </c>
      <c r="B26" s="291" t="s">
        <v>191</v>
      </c>
      <c r="C26" s="292"/>
      <c r="D26" s="312">
        <f ca="1">OFFSET('Ket qua kinh doanh'!$BL22,0,'Thong tin'!$C$9 - 1)</f>
        <v>0</v>
      </c>
      <c r="E26" s="302">
        <f ca="1">OFFSET('Ket qua kinh doanh'!$AZ21,0,'Thong tin'!$C$9 - 1)</f>
        <v>864190686</v>
      </c>
      <c r="F26" s="293">
        <f ca="1">SUM(OFFSET('Ket qua kinh doanh'!$BL22,0,0,1,'Thong tin'!$C$9))</f>
        <v>0</v>
      </c>
      <c r="G26" s="293">
        <f ca="1">SUM(OFFSET('Ket qua kinh doanh'!$AZ21,0,0,1,'Thong tin'!$C$9))</f>
        <v>864190686</v>
      </c>
    </row>
    <row r="27" spans="1:7" ht="18" customHeight="1">
      <c r="A27" s="290" t="s">
        <v>192</v>
      </c>
      <c r="B27" s="291" t="s">
        <v>193</v>
      </c>
      <c r="C27" s="292"/>
      <c r="D27" s="312">
        <f ca="1">OFFSET('Ket qua kinh doanh'!BL22,0,'Thong tin'!$C$9 - 1)</f>
        <v>0</v>
      </c>
      <c r="E27" s="302">
        <f ca="1">OFFSET('Ket qua kinh doanh'!$AZ22,0,'Thong tin'!$C$9 - 1)</f>
        <v>0</v>
      </c>
      <c r="F27" s="312">
        <f ca="1">SUM(OFFSET('Ket qua kinh doanh'!BL22,0,0,1,'Thong tin'!$C$9))</f>
        <v>0</v>
      </c>
      <c r="G27" s="293">
        <f ca="1">SUM(OFFSET('Ket qua kinh doanh'!$AZ22,0,0,1,'Thong tin'!$C$9))</f>
        <v>0</v>
      </c>
    </row>
    <row r="28" spans="1:7" s="296" customFormat="1" ht="18" customHeight="1">
      <c r="A28" s="313" t="s">
        <v>194</v>
      </c>
      <c r="B28" s="314" t="s">
        <v>195</v>
      </c>
      <c r="C28" s="315"/>
      <c r="D28" s="316">
        <f ca="1">OFFSET('Ket qua kinh doanh'!$BL23,0,'Thong tin'!$C$9 - 1)</f>
        <v>-3068173394.1944427</v>
      </c>
      <c r="E28" s="316">
        <f ca="1">OFFSET('Ket qua kinh doanh'!$AZ23,0,'Thong tin'!$C$9 - 1)</f>
        <v>2235655725</v>
      </c>
      <c r="F28" s="316">
        <f ca="1">SUM(OFFSET('Ket qua kinh doanh'!$BL23,0,0,1,'Thong tin'!$C$9))</f>
        <v>-3068173394.1944427</v>
      </c>
      <c r="G28" s="316">
        <f ca="1">SUM(OFFSET('Ket qua kinh doanh'!$AZ23,0,0,1,'Thong tin'!$C$9))</f>
        <v>2235655725</v>
      </c>
    </row>
    <row r="29" spans="1:7" hidden="1">
      <c r="A29" s="317" t="s">
        <v>196</v>
      </c>
      <c r="B29" s="283" t="s">
        <v>197</v>
      </c>
      <c r="C29" s="318"/>
      <c r="D29" s="319"/>
      <c r="E29" s="320"/>
      <c r="F29" s="321" t="e">
        <f>#REF!+#REF!+#REF!+#REF!+#REF!+#REF!+#REF!+#REF!+#REF!+#REF!+#REF!+D29</f>
        <v>#REF!</v>
      </c>
      <c r="G29" s="321" t="e">
        <f>#REF!+#REF!+#REF!+#REF!+#REF!+#REF!+#REF!+#REF!+#REF!+#REF!+#REF!+E29</f>
        <v>#REF!</v>
      </c>
    </row>
    <row r="30" spans="1:7" ht="6" customHeight="1">
      <c r="A30" s="322"/>
      <c r="B30" s="323"/>
      <c r="C30" s="324"/>
      <c r="D30" s="325"/>
      <c r="E30" s="326"/>
      <c r="F30" s="325"/>
      <c r="G30" s="326"/>
    </row>
    <row r="31" spans="1:7" ht="11.25" customHeight="1">
      <c r="D31" s="278">
        <v>0</v>
      </c>
      <c r="E31" s="278">
        <v>0</v>
      </c>
      <c r="F31" s="278">
        <v>0</v>
      </c>
      <c r="G31" s="278">
        <v>0</v>
      </c>
    </row>
    <row r="32" spans="1:7">
      <c r="D32" s="589"/>
      <c r="E32" s="589"/>
      <c r="F32" s="572" t="s">
        <v>198</v>
      </c>
      <c r="G32" s="572"/>
    </row>
    <row r="33" spans="2:7">
      <c r="D33" s="327"/>
      <c r="E33" s="327"/>
      <c r="F33" s="327"/>
      <c r="G33" s="327"/>
    </row>
    <row r="34" spans="2:7">
      <c r="B34" s="570" t="s">
        <v>10</v>
      </c>
      <c r="C34" s="570"/>
      <c r="D34" s="570"/>
      <c r="E34" s="570"/>
      <c r="F34" s="569" t="str">
        <f>'Thong tin'!B18</f>
        <v xml:space="preserve">TỔNG GIÁM ĐỐC </v>
      </c>
      <c r="G34" s="569"/>
    </row>
    <row r="35" spans="2:7" ht="15" customHeight="1">
      <c r="B35" s="328"/>
      <c r="D35" s="329"/>
    </row>
    <row r="36" spans="2:7" ht="15" customHeight="1">
      <c r="B36" s="328"/>
      <c r="D36" s="329"/>
    </row>
    <row r="37" spans="2:7" ht="15" customHeight="1">
      <c r="B37" s="328"/>
      <c r="D37" s="329"/>
    </row>
    <row r="38" spans="2:7" ht="15" customHeight="1">
      <c r="B38" s="328"/>
      <c r="D38" s="329"/>
    </row>
    <row r="39" spans="2:7" ht="15" customHeight="1">
      <c r="B39" s="328"/>
      <c r="D39" s="329"/>
    </row>
    <row r="40" spans="2:7" ht="15" customHeight="1">
      <c r="B40" s="328"/>
      <c r="D40" s="329"/>
    </row>
    <row r="41" spans="2:7" ht="15" customHeight="1">
      <c r="B41" s="571" t="str">
        <f>'Thong tin'!B16</f>
        <v>Giang Văn Lộc</v>
      </c>
      <c r="C41" s="571"/>
      <c r="D41" s="571"/>
      <c r="E41" s="571"/>
      <c r="F41" s="568" t="str">
        <f>'Thong tin'!B19</f>
        <v>Trần Duy Hy</v>
      </c>
      <c r="G41" s="568"/>
    </row>
    <row r="42" spans="2:7" ht="15" customHeight="1"/>
    <row r="43" spans="2:7" ht="15" customHeight="1"/>
    <row r="44" spans="2:7" ht="15" customHeight="1"/>
    <row r="45" spans="2:7" ht="15" customHeight="1"/>
    <row r="46" spans="2:7" ht="15" customHeight="1"/>
    <row r="48" spans="2:7" ht="15" customHeight="1"/>
  </sheetData>
  <mergeCells count="18">
    <mergeCell ref="F32:G32"/>
    <mergeCell ref="A4:G4"/>
    <mergeCell ref="A5:G5"/>
    <mergeCell ref="A8:C9"/>
    <mergeCell ref="D8:E8"/>
    <mergeCell ref="F8:G8"/>
    <mergeCell ref="B10:C10"/>
    <mergeCell ref="B12:C12"/>
    <mergeCell ref="B14:C14"/>
    <mergeCell ref="B15:C15"/>
    <mergeCell ref="B21:C21"/>
    <mergeCell ref="D32:E32"/>
    <mergeCell ref="B34:C34"/>
    <mergeCell ref="D34:E34"/>
    <mergeCell ref="F34:G34"/>
    <mergeCell ref="B41:C41"/>
    <mergeCell ref="D41:E41"/>
    <mergeCell ref="F41:G41"/>
  </mergeCells>
  <printOptions horizontalCentered="1"/>
  <pageMargins left="0.59055118110236227" right="0.31496062992125984" top="0.31496062992125984" bottom="0.31496062992125984" header="0.31496062992125984" footer="0.19685039370078741"/>
  <pageSetup paperSize="9" scale="90" firstPageNumber="5" orientation="portrait" useFirstPageNumber="1" r:id="rId1"/>
  <headerFooter>
    <oddFooter>&amp;CTrang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6B97F5-E69A-40C6-BCA9-2FCD6D3FE136}">
  <sheetPr>
    <tabColor theme="8" tint="0.59999389629810485"/>
  </sheetPr>
  <dimension ref="A1:G59"/>
  <sheetViews>
    <sheetView showGridLines="0" showZeros="0" zoomScaleNormal="100" workbookViewId="0">
      <pane xSplit="1" ySplit="9" topLeftCell="B49" activePane="bottomRight" state="frozen"/>
      <selection pane="topRight" activeCell="P9" sqref="P9"/>
      <selection pane="bottomLeft" activeCell="P9" sqref="P9"/>
      <selection pane="bottomRight" activeCell="C49" sqref="C49"/>
    </sheetView>
  </sheetViews>
  <sheetFormatPr defaultColWidth="9.08984375" defaultRowHeight="14"/>
  <cols>
    <col min="1" max="1" width="37.08984375" style="330" customWidth="1"/>
    <col min="2" max="2" width="16.36328125" style="330" customWidth="1"/>
    <col min="3" max="3" width="17.08984375" style="357" customWidth="1"/>
    <col min="4" max="4" width="16.453125" style="330" customWidth="1"/>
    <col min="5" max="5" width="17.08984375" style="357" customWidth="1"/>
    <col min="6" max="6" width="12" style="330" bestFit="1" customWidth="1"/>
    <col min="7" max="7" width="17.90625" style="330" bestFit="1" customWidth="1"/>
    <col min="8" max="16384" width="9.08984375" style="330"/>
  </cols>
  <sheetData>
    <row r="1" spans="1:7" ht="15">
      <c r="A1" s="282" t="str">
        <f>'Thong tin'!$A$1</f>
        <v>CÔNG TY CP NHỰA TÁI CHẾ DUY TÂN</v>
      </c>
      <c r="B1" s="225"/>
      <c r="C1" s="180"/>
      <c r="D1" s="225"/>
      <c r="E1" s="180"/>
    </row>
    <row r="2" spans="1:7" ht="16" thickBot="1">
      <c r="A2" s="223" t="str">
        <f>'Thong tin'!B2</f>
        <v>Lô D2, Cụm Công nghiệp Nhựa Đức Hoà Hạ, Xã Đức Hoà, Tỉnh Tây Ninh</v>
      </c>
      <c r="B2" s="284"/>
      <c r="C2" s="183"/>
      <c r="D2" s="284"/>
      <c r="E2" s="183"/>
    </row>
    <row r="3" spans="1:7" ht="27" customHeight="1">
      <c r="A3" s="225"/>
      <c r="B3" s="225"/>
      <c r="C3" s="184"/>
      <c r="D3" s="225"/>
      <c r="E3" s="184"/>
    </row>
    <row r="4" spans="1:7" ht="20">
      <c r="A4" s="573" t="s">
        <v>199</v>
      </c>
      <c r="B4" s="573"/>
      <c r="C4" s="573"/>
      <c r="D4" s="573"/>
      <c r="E4" s="573"/>
    </row>
    <row r="5" spans="1:7" ht="12" customHeight="1">
      <c r="A5" s="592" t="s">
        <v>200</v>
      </c>
      <c r="B5" s="592"/>
      <c r="C5" s="592"/>
      <c r="D5" s="592"/>
      <c r="E5" s="592"/>
    </row>
    <row r="6" spans="1:7" ht="12.75" customHeight="1">
      <c r="A6" s="593" t="str">
        <f>"Năm " &amp; 'Thong tin'!$C$6</f>
        <v>Năm 2026</v>
      </c>
      <c r="B6" s="593"/>
      <c r="C6" s="593"/>
      <c r="D6" s="593"/>
      <c r="E6" s="593"/>
    </row>
    <row r="7" spans="1:7" ht="12" customHeight="1">
      <c r="B7" s="331"/>
      <c r="C7" s="285"/>
      <c r="D7" s="331"/>
      <c r="E7" s="332" t="str">
        <f>'KQKD in'!G6</f>
        <v>ĐVT: VNĐ</v>
      </c>
    </row>
    <row r="8" spans="1:7" s="333" customFormat="1" ht="14.25" customHeight="1">
      <c r="A8" s="594" t="s">
        <v>158</v>
      </c>
      <c r="B8" s="581" t="str">
        <f>"Tháng " &amp; 'Thong tin'!$C$9</f>
        <v>Tháng 1</v>
      </c>
      <c r="C8" s="582"/>
      <c r="D8" s="583" t="str">
        <f>"Lũy kế"&amp;" "&amp; 'Thong tin'!$C$9 &amp;" "&amp;"tháng"</f>
        <v>Lũy kế 1 tháng</v>
      </c>
      <c r="E8" s="584"/>
    </row>
    <row r="9" spans="1:7">
      <c r="A9" s="595"/>
      <c r="B9" s="334" t="str">
        <f>"Năm " &amp; 'Thong tin'!$C$6</f>
        <v>Năm 2026</v>
      </c>
      <c r="C9" s="334" t="str">
        <f>"Năm " &amp; 'Thong tin'!$C$7</f>
        <v>Năm 2025</v>
      </c>
      <c r="D9" s="334" t="str">
        <f>"Năm " &amp; 'Thong tin'!$C$6</f>
        <v>Năm 2026</v>
      </c>
      <c r="E9" s="334" t="str">
        <f>"Năm " &amp; 'Thong tin'!$C$7</f>
        <v>Năm 2025</v>
      </c>
    </row>
    <row r="10" spans="1:7" ht="18" customHeight="1">
      <c r="A10" s="335" t="s">
        <v>201</v>
      </c>
      <c r="B10" s="336"/>
      <c r="C10" s="336"/>
      <c r="D10" s="336"/>
      <c r="E10" s="336"/>
    </row>
    <row r="11" spans="1:7" s="338" customFormat="1" ht="17.149999999999999" customHeight="1">
      <c r="A11" s="337" t="s">
        <v>202</v>
      </c>
      <c r="B11" s="486">
        <f ca="1">OFFSET('Luu chuyen tien te'!$BL5,0,'Thong tin'!$C$9 - 1)</f>
        <v>-3068173394.1944427</v>
      </c>
      <c r="C11" s="486">
        <f ca="1">OFFSET('Luu chuyen tien te'!$AZ5,0,'Thong tin'!$C$9 - 1)</f>
        <v>3099846411</v>
      </c>
      <c r="D11" s="486">
        <f ca="1">SUM(OFFSET('Luu chuyen tien te'!$BL5,0,0,1,'Thong tin'!$C$9))</f>
        <v>-3068173394.1944427</v>
      </c>
      <c r="E11" s="486">
        <f ca="1">SUM(OFFSET('Luu chuyen tien te'!$AZ5,0,0,1,'Thong tin'!$C$9))</f>
        <v>3099846411</v>
      </c>
    </row>
    <row r="12" spans="1:7" s="338" customFormat="1" ht="17.149999999999999" customHeight="1">
      <c r="A12" s="337" t="s">
        <v>203</v>
      </c>
      <c r="B12" s="486"/>
      <c r="C12" s="486"/>
      <c r="D12" s="486"/>
      <c r="E12" s="486"/>
    </row>
    <row r="13" spans="1:7">
      <c r="A13" s="339" t="s">
        <v>204</v>
      </c>
      <c r="B13" s="487">
        <f ca="1">OFFSET('Luu chuyen tien te'!$BL7,0,'Thong tin'!$C$9 - 1)</f>
        <v>2382071235</v>
      </c>
      <c r="C13" s="487">
        <f ca="1">OFFSET('Luu chuyen tien te'!$AZ7,0,'Thong tin'!$C$9 - 1)</f>
        <v>4869731514</v>
      </c>
      <c r="D13" s="487">
        <f ca="1">SUM(OFFSET('Luu chuyen tien te'!$BL7,0,0,1,'Thong tin'!$C$9))</f>
        <v>2382071235</v>
      </c>
      <c r="E13" s="487">
        <f ca="1">SUM(OFFSET('Luu chuyen tien te'!$AZ7,0,0,1,'Thong tin'!$C$9))</f>
        <v>4869731514</v>
      </c>
    </row>
    <row r="14" spans="1:7">
      <c r="A14" s="339" t="s">
        <v>205</v>
      </c>
      <c r="B14" s="487">
        <f ca="1">OFFSET('Luu chuyen tien te'!$BL8,0,'Thong tin'!$C$9 - 1)</f>
        <v>0</v>
      </c>
      <c r="C14" s="487">
        <f ca="1">OFFSET('Luu chuyen tien te'!$AZ8,0,'Thong tin'!$C$9 - 1)</f>
        <v>0</v>
      </c>
      <c r="D14" s="487">
        <f ca="1">SUM(OFFSET('Luu chuyen tien te'!$BL8,0,0,1,'Thong tin'!$C$9))</f>
        <v>0</v>
      </c>
      <c r="E14" s="487">
        <f ca="1">SUM(OFFSET('Luu chuyen tien te'!$AZ8,0,0,1,'Thong tin'!$C$9))</f>
        <v>0</v>
      </c>
      <c r="G14" s="340"/>
    </row>
    <row r="15" spans="1:7" ht="29.25" customHeight="1">
      <c r="A15" s="341" t="s">
        <v>206</v>
      </c>
      <c r="B15" s="487">
        <f ca="1">OFFSET('Luu chuyen tien te'!$BL9,0,'Thong tin'!$C$9 - 1)</f>
        <v>-282378363</v>
      </c>
      <c r="C15" s="487">
        <f ca="1">OFFSET('Luu chuyen tien te'!$AZ9,0,'Thong tin'!$C$9 - 1)</f>
        <v>-357780096</v>
      </c>
      <c r="D15" s="487">
        <f ca="1">SUM(OFFSET('Luu chuyen tien te'!$BL9,0,0,1,'Thong tin'!$C$9))</f>
        <v>-282378363</v>
      </c>
      <c r="E15" s="487">
        <f ca="1">SUM(OFFSET('Luu chuyen tien te'!$AZ9,0,0,1,'Thong tin'!$C$9))</f>
        <v>-357780096</v>
      </c>
    </row>
    <row r="16" spans="1:7">
      <c r="A16" s="339" t="s">
        <v>207</v>
      </c>
      <c r="B16" s="487">
        <f ca="1">OFFSET('Luu chuyen tien te'!$BL10,0,'Thong tin'!$C$9 - 1)</f>
        <v>-67576364</v>
      </c>
      <c r="C16" s="487">
        <f ca="1">OFFSET('Luu chuyen tien te'!$AZ10,0,'Thong tin'!$C$9 - 1)</f>
        <v>-454865223</v>
      </c>
      <c r="D16" s="487">
        <f ca="1">SUM(OFFSET('Luu chuyen tien te'!$BL10,0,0,1,'Thong tin'!$C$9))</f>
        <v>-67576364</v>
      </c>
      <c r="E16" s="487">
        <f ca="1">SUM(OFFSET('Luu chuyen tien te'!$AZ10,0,0,1,'Thong tin'!$C$9))</f>
        <v>-454865223</v>
      </c>
    </row>
    <row r="17" spans="1:5">
      <c r="A17" s="339" t="s">
        <v>208</v>
      </c>
      <c r="B17" s="487">
        <f ca="1">OFFSET('Luu chuyen tien te'!$BL11,0,'Thong tin'!$C$9 - 1)</f>
        <v>1240115065</v>
      </c>
      <c r="C17" s="487">
        <f ca="1">OFFSET('Luu chuyen tien te'!$AZ11,0,'Thong tin'!$C$9 - 1)</f>
        <v>739360517</v>
      </c>
      <c r="D17" s="487">
        <f ca="1">SUM(OFFSET('Luu chuyen tien te'!$BL11,0,0,1,'Thong tin'!$C$9))</f>
        <v>1240115065</v>
      </c>
      <c r="E17" s="487">
        <f ca="1">SUM(OFFSET('Luu chuyen tien te'!$AZ11,0,0,1,'Thong tin'!$C$9))</f>
        <v>739360517</v>
      </c>
    </row>
    <row r="18" spans="1:5">
      <c r="A18" s="339" t="s">
        <v>209</v>
      </c>
      <c r="B18" s="487">
        <f ca="1">OFFSET('Luu chuyen tien te'!$BL12,0,'Thong tin'!$C$9 - 1)</f>
        <v>-128152205</v>
      </c>
      <c r="C18" s="487">
        <f ca="1">OFFSET('Luu chuyen tien te'!$AZ12,0,'Thong tin'!$C$9 - 1)</f>
        <v>5872690</v>
      </c>
      <c r="D18" s="487">
        <f ca="1">SUM(OFFSET('Luu chuyen tien te'!$BL12,0,0,1,'Thong tin'!$C$9))</f>
        <v>-128152205</v>
      </c>
      <c r="E18" s="487">
        <f ca="1">SUM(OFFSET('Luu chuyen tien te'!$AZ12,0,0,1,'Thong tin'!$C$9))</f>
        <v>5872690</v>
      </c>
    </row>
    <row r="19" spans="1:5" s="343" customFormat="1" ht="32.25" customHeight="1">
      <c r="A19" s="342" t="s">
        <v>210</v>
      </c>
      <c r="B19" s="488">
        <f t="shared" ref="B19:D19" ca="1" si="0">SUM(B11:B18)</f>
        <v>75905973.805557251</v>
      </c>
      <c r="C19" s="488">
        <f t="shared" ref="C19" ca="1" si="1">SUM(C11:C18)</f>
        <v>7902165813</v>
      </c>
      <c r="D19" s="488">
        <f t="shared" ca="1" si="0"/>
        <v>75905973.805557251</v>
      </c>
      <c r="E19" s="488">
        <f t="shared" ref="E19" ca="1" si="2">SUM(E11:E18)</f>
        <v>7902165813</v>
      </c>
    </row>
    <row r="20" spans="1:5" s="343" customFormat="1">
      <c r="A20" s="344" t="s">
        <v>211</v>
      </c>
      <c r="B20" s="487">
        <f ca="1">OFFSET('Luu chuyen tien te'!$BL14,0,'Thong tin'!$C$9 - 1)</f>
        <v>41432499374</v>
      </c>
      <c r="C20" s="487">
        <f ca="1">OFFSET('Luu chuyen tien te'!$AZ14,0,'Thong tin'!$C$9 - 1)</f>
        <v>56768185813.482101</v>
      </c>
      <c r="D20" s="487">
        <f ca="1">SUM(OFFSET('Luu chuyen tien te'!$BL14,0,0,1,'Thong tin'!$C$9))</f>
        <v>41432499374</v>
      </c>
      <c r="E20" s="487">
        <f ca="1">SUM(OFFSET('Luu chuyen tien te'!$AZ14,0,0,1,'Thong tin'!$C$9))</f>
        <v>56768185813.482101</v>
      </c>
    </row>
    <row r="21" spans="1:5" s="343" customFormat="1">
      <c r="A21" s="344" t="s">
        <v>212</v>
      </c>
      <c r="B21" s="487">
        <f ca="1">OFFSET('Luu chuyen tien te'!$BL15,0,'Thong tin'!$C$9 - 1)</f>
        <v>21674615442.676445</v>
      </c>
      <c r="C21" s="487">
        <f ca="1">OFFSET('Luu chuyen tien te'!$AZ15,0,'Thong tin'!$C$9 - 1)</f>
        <v>34011025895</v>
      </c>
      <c r="D21" s="487">
        <f ca="1">SUM(OFFSET('Luu chuyen tien te'!$BL15,0,0,1,'Thong tin'!$C$9))</f>
        <v>21674615442.676445</v>
      </c>
      <c r="E21" s="487">
        <f ca="1">SUM(OFFSET('Luu chuyen tien te'!$AZ15,0,0,1,'Thong tin'!$C$9))</f>
        <v>34011025895</v>
      </c>
    </row>
    <row r="22" spans="1:5" s="343" customFormat="1" ht="30" customHeight="1">
      <c r="A22" s="345" t="s">
        <v>213</v>
      </c>
      <c r="B22" s="487">
        <f ca="1">OFFSET('Luu chuyen tien te'!$BL16,0,'Thong tin'!$C$9 - 1)</f>
        <v>-9880013016.4820004</v>
      </c>
      <c r="C22" s="487">
        <f ca="1">OFFSET('Luu chuyen tien te'!$AZ16,0,'Thong tin'!$C$9 - 1)</f>
        <v>-21447246879.482002</v>
      </c>
      <c r="D22" s="487">
        <f ca="1">SUM(OFFSET('Luu chuyen tien te'!$BL16,0,0,1,'Thong tin'!$C$9))</f>
        <v>-9880013016.4820004</v>
      </c>
      <c r="E22" s="487">
        <f ca="1">SUM(OFFSET('Luu chuyen tien te'!$AZ16,0,0,1,'Thong tin'!$C$9))</f>
        <v>-21447246879.482002</v>
      </c>
    </row>
    <row r="23" spans="1:5" s="343" customFormat="1">
      <c r="A23" s="344" t="s">
        <v>214</v>
      </c>
      <c r="B23" s="487">
        <f ca="1">OFFSET('Luu chuyen tien te'!$BL17,0,'Thong tin'!$C$9 - 1)</f>
        <v>2029033267</v>
      </c>
      <c r="C23" s="487">
        <f ca="1">OFFSET('Luu chuyen tien te'!$AZ17,0,'Thong tin'!$C$9 - 1)</f>
        <v>-594058884</v>
      </c>
      <c r="D23" s="487">
        <f ca="1">SUM(OFFSET('Luu chuyen tien te'!$BL17,0,0,1,'Thong tin'!$C$9))</f>
        <v>2029033267</v>
      </c>
      <c r="E23" s="487">
        <f ca="1">SUM(OFFSET('Luu chuyen tien te'!$AZ17,0,0,1,'Thong tin'!$C$9))</f>
        <v>-594058884</v>
      </c>
    </row>
    <row r="24" spans="1:5" s="343" customFormat="1">
      <c r="A24" s="344" t="s">
        <v>215</v>
      </c>
      <c r="B24" s="487">
        <f ca="1">OFFSET('Luu chuyen tien te'!$BL18,0,'Thong tin'!$C$9 - 1)</f>
        <v>0</v>
      </c>
      <c r="C24" s="487">
        <f ca="1">OFFSET('Luu chuyen tien te'!$AZ18,0,'Thong tin'!$C$9 - 1)</f>
        <v>0</v>
      </c>
      <c r="D24" s="487">
        <f ca="1">SUM(OFFSET('Luu chuyen tien te'!$BL18,0,0,1,'Thong tin'!$C$9))</f>
        <v>0</v>
      </c>
      <c r="E24" s="487">
        <f ca="1">SUM(OFFSET('Luu chuyen tien te'!$AZ18,0,0,1,'Thong tin'!$C$9))</f>
        <v>0</v>
      </c>
    </row>
    <row r="25" spans="1:5" s="343" customFormat="1">
      <c r="A25" s="344" t="s">
        <v>216</v>
      </c>
      <c r="B25" s="487">
        <f ca="1">OFFSET('Luu chuyen tien te'!$BL19,0,'Thong tin'!$C$9 - 1)</f>
        <v>-1240115065</v>
      </c>
      <c r="C25" s="487">
        <f ca="1">OFFSET('Luu chuyen tien te'!$AZ19,0,'Thong tin'!$C$9 - 1)</f>
        <v>-739360517</v>
      </c>
      <c r="D25" s="487">
        <f ca="1">SUM(OFFSET('Luu chuyen tien te'!$BL19,0,0,1,'Thong tin'!$C$9))</f>
        <v>-1240115065</v>
      </c>
      <c r="E25" s="487">
        <f ca="1">SUM(OFFSET('Luu chuyen tien te'!$AZ19,0,0,1,'Thong tin'!$C$9))</f>
        <v>-739360517</v>
      </c>
    </row>
    <row r="26" spans="1:5" s="343" customFormat="1">
      <c r="A26" s="344" t="s">
        <v>217</v>
      </c>
      <c r="B26" s="487">
        <f ca="1">OFFSET('Luu chuyen tien te'!$BL20,0,'Thong tin'!$C$9 - 1)</f>
        <v>-400000000</v>
      </c>
      <c r="C26" s="487">
        <f ca="1">OFFSET('Luu chuyen tien te'!$AZ20,0,'Thong tin'!$C$9 - 1)</f>
        <v>0</v>
      </c>
      <c r="D26" s="487">
        <f ca="1">SUM(OFFSET('Luu chuyen tien te'!$BL20,0,0,1,'Thong tin'!$C$9))</f>
        <v>-400000000</v>
      </c>
      <c r="E26" s="487">
        <f ca="1">SUM(OFFSET('Luu chuyen tien te'!$AZ20,0,0,1,'Thong tin'!$C$9))</f>
        <v>0</v>
      </c>
    </row>
    <row r="27" spans="1:5" s="343" customFormat="1">
      <c r="A27" s="344" t="s">
        <v>218</v>
      </c>
      <c r="B27" s="487">
        <f ca="1">OFFSET('Luu chuyen tien te'!$BL21,0,'Thong tin'!$C$9 - 1)</f>
        <v>0</v>
      </c>
      <c r="C27" s="487">
        <f ca="1">OFFSET('Luu chuyen tien te'!$AZ21,0,'Thong tin'!$C$9 - 1)</f>
        <v>0</v>
      </c>
      <c r="D27" s="487">
        <f ca="1">SUM(OFFSET('Luu chuyen tien te'!$BL21,0,0,1,'Thong tin'!$C$9))</f>
        <v>0</v>
      </c>
      <c r="E27" s="487">
        <f ca="1">SUM(OFFSET('Luu chuyen tien te'!$AZ21,0,0,1,'Thong tin'!$C$9))</f>
        <v>0</v>
      </c>
    </row>
    <row r="28" spans="1:5" s="343" customFormat="1">
      <c r="A28" s="344" t="s">
        <v>219</v>
      </c>
      <c r="B28" s="487">
        <f ca="1">OFFSET('Luu chuyen tien te'!$BL22,0,'Thong tin'!$C$9 - 1)</f>
        <v>-7231426096</v>
      </c>
      <c r="C28" s="487">
        <f ca="1">OFFSET('Luu chuyen tien te'!$AZ22,0,'Thong tin'!$C$9 - 1)</f>
        <v>-2457877506</v>
      </c>
      <c r="D28" s="487">
        <f ca="1">SUM(OFFSET('Luu chuyen tien te'!$BL22,0,0,1,'Thong tin'!$C$9))</f>
        <v>-7231426096</v>
      </c>
      <c r="E28" s="487">
        <f ca="1">SUM(OFFSET('Luu chuyen tien te'!$AZ22,0,0,1,'Thong tin'!$C$9))</f>
        <v>-2457877506</v>
      </c>
    </row>
    <row r="29" spans="1:5" s="343" customFormat="1" ht="29.25" customHeight="1">
      <c r="A29" s="342" t="s">
        <v>220</v>
      </c>
      <c r="B29" s="486">
        <f ca="1">SUM(B19:B28)</f>
        <v>46460499880</v>
      </c>
      <c r="C29" s="486">
        <f t="shared" ref="C29:E29" ca="1" si="3">SUM(C19:C28)</f>
        <v>73442833735.000092</v>
      </c>
      <c r="D29" s="486">
        <f t="shared" ca="1" si="3"/>
        <v>46460499880</v>
      </c>
      <c r="E29" s="486">
        <f t="shared" ca="1" si="3"/>
        <v>73442833735.000092</v>
      </c>
    </row>
    <row r="30" spans="1:5" ht="18.75" customHeight="1">
      <c r="A30" s="346" t="s">
        <v>221</v>
      </c>
      <c r="B30" s="489"/>
      <c r="C30" s="489"/>
      <c r="D30" s="489"/>
      <c r="E30" s="489"/>
    </row>
    <row r="31" spans="1:5" s="348" customFormat="1" ht="30" customHeight="1">
      <c r="A31" s="347" t="s">
        <v>222</v>
      </c>
      <c r="B31" s="487">
        <f ca="1">OFFSET('Luu chuyen tien te'!$BL25,0,'Thong tin'!$C$9 - 1)</f>
        <v>1844370204</v>
      </c>
      <c r="C31" s="487">
        <f ca="1">OFFSET('Luu chuyen tien te'!$AZ25,0,'Thong tin'!$C$9 - 1)</f>
        <v>-9821622713</v>
      </c>
      <c r="D31" s="487">
        <f ca="1">SUM(OFFSET('Luu chuyen tien te'!$BL25,0,0,1,'Thong tin'!$C$9))</f>
        <v>1844370204</v>
      </c>
      <c r="E31" s="487">
        <f ca="1">SUM(OFFSET('Luu chuyen tien te'!$AZ25,0,0,1,'Thong tin'!$C$9))</f>
        <v>-9821622713</v>
      </c>
    </row>
    <row r="32" spans="1:5" s="348" customFormat="1" ht="30" customHeight="1">
      <c r="A32" s="347" t="s">
        <v>223</v>
      </c>
      <c r="B32" s="487">
        <f ca="1">OFFSET('Luu chuyen tien te'!$BL26,0,'Thong tin'!$C$9 - 1)</f>
        <v>0</v>
      </c>
      <c r="C32" s="487">
        <f ca="1">OFFSET('Luu chuyen tien te'!$AZ26,0,'Thong tin'!$C$9 - 1)</f>
        <v>0</v>
      </c>
      <c r="D32" s="487">
        <f ca="1">SUM(OFFSET('Luu chuyen tien te'!$BL26,0,0,1,'Thong tin'!$C$9))</f>
        <v>0</v>
      </c>
      <c r="E32" s="487">
        <f ca="1">SUM(OFFSET('Luu chuyen tien te'!$AZ26,0,0,1,'Thong tin'!$C$9))</f>
        <v>0</v>
      </c>
    </row>
    <row r="33" spans="1:5" ht="30" customHeight="1">
      <c r="A33" s="347" t="s">
        <v>224</v>
      </c>
      <c r="B33" s="487">
        <f ca="1">OFFSET('Luu chuyen tien te'!$BL27,0,'Thong tin'!$C$9 - 1)</f>
        <v>0</v>
      </c>
      <c r="C33" s="487">
        <f ca="1">OFFSET('Luu chuyen tien te'!$AZ27,0,'Thong tin'!$C$9 - 1)</f>
        <v>-2000000000</v>
      </c>
      <c r="D33" s="487">
        <f ca="1">SUM(OFFSET('Luu chuyen tien te'!$BL27,0,0,1,'Thong tin'!$C$9))</f>
        <v>0</v>
      </c>
      <c r="E33" s="487">
        <f ca="1">SUM(OFFSET('Luu chuyen tien te'!$AZ27,0,0,1,'Thong tin'!$C$9))</f>
        <v>-2000000000</v>
      </c>
    </row>
    <row r="34" spans="1:5" ht="29.25" customHeight="1">
      <c r="A34" s="347" t="s">
        <v>225</v>
      </c>
      <c r="B34" s="487">
        <f ca="1">OFFSET('Luu chuyen tien te'!$BL28,0,'Thong tin'!$C$9 - 1)</f>
        <v>0</v>
      </c>
      <c r="C34" s="487">
        <f ca="1">OFFSET('Luu chuyen tien te'!$AZ28,0,'Thong tin'!$C$9 - 1)</f>
        <v>0</v>
      </c>
      <c r="D34" s="487">
        <f ca="1">SUM(OFFSET('Luu chuyen tien te'!$BL28,0,0,1,'Thong tin'!$C$9))</f>
        <v>0</v>
      </c>
      <c r="E34" s="487">
        <f ca="1">SUM(OFFSET('Luu chuyen tien te'!$AZ28,0,0,1,'Thong tin'!$C$9))</f>
        <v>0</v>
      </c>
    </row>
    <row r="35" spans="1:5" ht="18" customHeight="1">
      <c r="A35" s="349" t="s">
        <v>226</v>
      </c>
      <c r="B35" s="487">
        <f ca="1">OFFSET('Luu chuyen tien te'!$BL29,0,'Thong tin'!$C$9 - 1)</f>
        <v>0</v>
      </c>
      <c r="C35" s="487">
        <f ca="1">OFFSET('Luu chuyen tien te'!$AZ29,0,'Thong tin'!$C$9 - 1)</f>
        <v>0</v>
      </c>
      <c r="D35" s="487">
        <f ca="1">SUM(OFFSET('Luu chuyen tien te'!$BL29,0,0,1,'Thong tin'!$C$9))</f>
        <v>0</v>
      </c>
      <c r="E35" s="487">
        <f ca="1">SUM(OFFSET('Luu chuyen tien te'!$AZ29,0,0,1,'Thong tin'!$C$9))</f>
        <v>0</v>
      </c>
    </row>
    <row r="36" spans="1:5" ht="18" customHeight="1">
      <c r="A36" s="349" t="s">
        <v>227</v>
      </c>
      <c r="B36" s="487">
        <f ca="1">OFFSET('Luu chuyen tien te'!$BL30,0,'Thong tin'!$C$9 - 1)</f>
        <v>0</v>
      </c>
      <c r="C36" s="487">
        <f ca="1">OFFSET('Luu chuyen tien te'!$AZ30,0,'Thong tin'!$C$9 - 1)</f>
        <v>0</v>
      </c>
      <c r="D36" s="487">
        <f ca="1">SUM(OFFSET('Luu chuyen tien te'!$BL30,0,0,1,'Thong tin'!$C$9))</f>
        <v>0</v>
      </c>
      <c r="E36" s="487">
        <f ca="1">SUM(OFFSET('Luu chuyen tien te'!$AZ30,0,0,1,'Thong tin'!$C$9))</f>
        <v>0</v>
      </c>
    </row>
    <row r="37" spans="1:5" s="348" customFormat="1" ht="30" customHeight="1">
      <c r="A37" s="347" t="s">
        <v>228</v>
      </c>
      <c r="B37" s="487">
        <f ca="1">OFFSET('Luu chuyen tien te'!$BL31,0,'Thong tin'!$C$9 - 1)</f>
        <v>67565511</v>
      </c>
      <c r="C37" s="487">
        <f ca="1">OFFSET('Luu chuyen tien te'!$AZ31,0,'Thong tin'!$C$9 - 1)</f>
        <v>454849601</v>
      </c>
      <c r="D37" s="487">
        <f ca="1">SUM(OFFSET('Luu chuyen tien te'!$BL31,0,0,1,'Thong tin'!$C$9))</f>
        <v>67565511</v>
      </c>
      <c r="E37" s="487">
        <f ca="1">SUM(OFFSET('Luu chuyen tien te'!$AZ31,0,0,1,'Thong tin'!$C$9))</f>
        <v>454849601</v>
      </c>
    </row>
    <row r="38" spans="1:5" s="343" customFormat="1" ht="18" customHeight="1">
      <c r="A38" s="337" t="s">
        <v>229</v>
      </c>
      <c r="B38" s="490">
        <f t="shared" ref="B38:D38" ca="1" si="4">SUM(B31:B37)</f>
        <v>1911935715</v>
      </c>
      <c r="C38" s="490">
        <f t="shared" ca="1" si="4"/>
        <v>-11366773112</v>
      </c>
      <c r="D38" s="490">
        <f t="shared" ca="1" si="4"/>
        <v>1911935715</v>
      </c>
      <c r="E38" s="490">
        <f t="shared" ref="E38" ca="1" si="5">SUM(E31:E37)</f>
        <v>-11366773112</v>
      </c>
    </row>
    <row r="39" spans="1:5" ht="20.25" customHeight="1">
      <c r="A39" s="346" t="s">
        <v>230</v>
      </c>
      <c r="B39" s="489"/>
      <c r="C39" s="489"/>
      <c r="D39" s="489"/>
      <c r="E39" s="489"/>
    </row>
    <row r="40" spans="1:5" ht="30" customHeight="1">
      <c r="A40" s="350" t="s">
        <v>231</v>
      </c>
      <c r="B40" s="487">
        <f ca="1">OFFSET('Luu chuyen tien te'!$BL34,0,'Thong tin'!$C$9 - 1)</f>
        <v>94000000000</v>
      </c>
      <c r="C40" s="487">
        <f ca="1">OFFSET('Luu chuyen tien te'!$AZ34,0,'Thong tin'!$C$9 - 1)</f>
        <v>0</v>
      </c>
      <c r="D40" s="487">
        <f ca="1">SUM(OFFSET('Luu chuyen tien te'!$BL34,0,0,1,'Thong tin'!$C$9))</f>
        <v>94000000000</v>
      </c>
      <c r="E40" s="487">
        <f ca="1">SUM(OFFSET('Luu chuyen tien te'!$AZ34,0,0,1,'Thong tin'!$C$9))</f>
        <v>0</v>
      </c>
    </row>
    <row r="41" spans="1:5" s="348" customFormat="1" ht="30" customHeight="1">
      <c r="A41" s="350" t="s">
        <v>232</v>
      </c>
      <c r="B41" s="487">
        <f ca="1">OFFSET('Luu chuyen tien te'!$BL35,0,'Thong tin'!$C$9 - 1)</f>
        <v>0</v>
      </c>
      <c r="C41" s="487">
        <f ca="1">OFFSET('Luu chuyen tien te'!$AZ35,0,'Thong tin'!$C$9 - 1)</f>
        <v>0</v>
      </c>
      <c r="D41" s="487">
        <f ca="1">SUM(OFFSET('Luu chuyen tien te'!$BL35,0,0,1,'Thong tin'!$C$9))</f>
        <v>0</v>
      </c>
      <c r="E41" s="487">
        <f ca="1">SUM(OFFSET('Luu chuyen tien te'!$AZ35,0,0,1,'Thong tin'!$C$9))</f>
        <v>0</v>
      </c>
    </row>
    <row r="42" spans="1:5">
      <c r="A42" s="351" t="s">
        <v>233</v>
      </c>
      <c r="B42" s="487">
        <f ca="1">OFFSET('Luu chuyen tien te'!$BL36,0,'Thong tin'!$C$9 - 1)</f>
        <v>56609988510</v>
      </c>
      <c r="C42" s="487">
        <f ca="1">OFFSET('Luu chuyen tien te'!$AZ36,0,'Thong tin'!$C$9 - 1)</f>
        <v>2310562000</v>
      </c>
      <c r="D42" s="487">
        <f ca="1">SUM(OFFSET('Luu chuyen tien te'!$BL36,0,0,1,'Thong tin'!$C$9))</f>
        <v>56609988510</v>
      </c>
      <c r="E42" s="487">
        <f ca="1">SUM(OFFSET('Luu chuyen tien te'!$AZ36,0,0,1,'Thong tin'!$C$9))</f>
        <v>2310562000</v>
      </c>
    </row>
    <row r="43" spans="1:5">
      <c r="A43" s="351" t="s">
        <v>234</v>
      </c>
      <c r="B43" s="487">
        <f ca="1">OFFSET('Luu chuyen tien te'!$BL37,0,'Thong tin'!$C$9 - 1)</f>
        <v>-101278931518</v>
      </c>
      <c r="C43" s="487">
        <f ca="1">OFFSET('Luu chuyen tien te'!$AZ37,0,'Thong tin'!$C$9 - 1)</f>
        <v>-33725113955</v>
      </c>
      <c r="D43" s="487">
        <f ca="1">SUM(OFFSET('Luu chuyen tien te'!$BL37,0,0,1,'Thong tin'!$C$9))</f>
        <v>-101278931518</v>
      </c>
      <c r="E43" s="487">
        <f ca="1">SUM(OFFSET('Luu chuyen tien te'!$AZ37,0,0,1,'Thong tin'!$C$9))</f>
        <v>-33725113955</v>
      </c>
    </row>
    <row r="44" spans="1:5">
      <c r="A44" s="351" t="s">
        <v>235</v>
      </c>
      <c r="B44" s="487">
        <f ca="1">OFFSET('Luu chuyen tien te'!$BL38,0,'Thong tin'!$C$9 - 1)</f>
        <v>-1647651024</v>
      </c>
      <c r="C44" s="487">
        <f ca="1">OFFSET('Luu chuyen tien te'!$AZ38,0,'Thong tin'!$C$9 - 1)</f>
        <v>-777777778</v>
      </c>
      <c r="D44" s="487">
        <f ca="1">SUM(OFFSET('Luu chuyen tien te'!$BL38,0,0,1,'Thong tin'!$C$9))</f>
        <v>-1647651024</v>
      </c>
      <c r="E44" s="487">
        <f ca="1">SUM(OFFSET('Luu chuyen tien te'!$AZ38,0,0,1,'Thong tin'!$C$9))</f>
        <v>-777777778</v>
      </c>
    </row>
    <row r="45" spans="1:5">
      <c r="A45" s="351" t="s">
        <v>236</v>
      </c>
      <c r="B45" s="487">
        <f ca="1">OFFSET('Luu chuyen tien te'!$BL39,0,'Thong tin'!$C$9 - 1)</f>
        <v>0</v>
      </c>
      <c r="C45" s="487">
        <f ca="1">OFFSET('Luu chuyen tien te'!$AZ39,0,'Thong tin'!$C$9 - 1)</f>
        <v>0</v>
      </c>
      <c r="D45" s="487">
        <f ca="1">SUM(OFFSET('Luu chuyen tien te'!$BL39,0,0,1,'Thong tin'!$C$9))</f>
        <v>0</v>
      </c>
      <c r="E45" s="487">
        <f ca="1">SUM(OFFSET('Luu chuyen tien te'!$AZ39,0,0,1,'Thong tin'!$C$9))</f>
        <v>0</v>
      </c>
    </row>
    <row r="46" spans="1:5" s="343" customFormat="1" ht="18" customHeight="1">
      <c r="A46" s="352" t="s">
        <v>237</v>
      </c>
      <c r="B46" s="486">
        <f t="shared" ref="B46:E46" ca="1" si="6">SUM(B40:B45)</f>
        <v>47683405968</v>
      </c>
      <c r="C46" s="486">
        <f t="shared" ca="1" si="6"/>
        <v>-32192329733</v>
      </c>
      <c r="D46" s="486">
        <f t="shared" ca="1" si="6"/>
        <v>47683405968</v>
      </c>
      <c r="E46" s="486">
        <f t="shared" ca="1" si="6"/>
        <v>-32192329733</v>
      </c>
    </row>
    <row r="47" spans="1:5" s="343" customFormat="1" ht="18" customHeight="1">
      <c r="A47" s="352" t="s">
        <v>238</v>
      </c>
      <c r="B47" s="486">
        <f ca="1">SUM(B29,B38,B46)</f>
        <v>96055841563</v>
      </c>
      <c r="C47" s="486">
        <f t="shared" ref="C47:E47" ca="1" si="7">SUM(C29,C38,C46)</f>
        <v>29883730890.000092</v>
      </c>
      <c r="D47" s="486">
        <f t="shared" ca="1" si="7"/>
        <v>96055841563</v>
      </c>
      <c r="E47" s="486">
        <f t="shared" ca="1" si="7"/>
        <v>29883730890.000092</v>
      </c>
    </row>
    <row r="48" spans="1:5" s="343" customFormat="1" ht="18" customHeight="1">
      <c r="A48" s="352" t="s">
        <v>239</v>
      </c>
      <c r="B48" s="491">
        <f ca="1">OFFSET('Luu chuyen tien te'!$BL42,0,'Thong tin'!$C$9 - 1)</f>
        <v>63726156403.996582</v>
      </c>
      <c r="C48" s="491">
        <f ca="1">OFFSET('Luu chuyen tien te'!$AZ42,0,'Thong tin'!$C$9 - 1)</f>
        <v>78515947311.006836</v>
      </c>
      <c r="D48" s="486">
        <f>'Luu chuyen tien te'!BL42</f>
        <v>63726156403.996582</v>
      </c>
      <c r="E48" s="491">
        <f>'Luu chuyen tien te'!AZ42</f>
        <v>78515947311.006836</v>
      </c>
    </row>
    <row r="49" spans="1:6" ht="30" customHeight="1">
      <c r="A49" s="350" t="s">
        <v>240</v>
      </c>
      <c r="B49" s="487">
        <f ca="1">OFFSET('Luu chuyen tien te'!$BL43,0,'Thong tin'!$C$9 - 1)</f>
        <v>282378363</v>
      </c>
      <c r="C49" s="487">
        <f ca="1">OFFSET('Luu chuyen tien te'!$AZ43,0,'Thong tin'!$C$9 - 1)</f>
        <v>357780096</v>
      </c>
      <c r="D49" s="487">
        <f ca="1">SUM(OFFSET('Luu chuyen tien te'!$BL43,0,0,1,'Thong tin'!$C$9))</f>
        <v>282378363</v>
      </c>
      <c r="E49" s="487">
        <f ca="1">SUM(OFFSET('Luu chuyen tien te'!$AZ43,0,0,1,'Thong tin'!$C$9))</f>
        <v>357780096</v>
      </c>
    </row>
    <row r="50" spans="1:6" s="296" customFormat="1" ht="18" customHeight="1">
      <c r="A50" s="353" t="s">
        <v>241</v>
      </c>
      <c r="B50" s="492">
        <f ca="1">SUM(B47:B49)</f>
        <v>160064376329.99658</v>
      </c>
      <c r="C50" s="492">
        <f t="shared" ref="C50:E50" ca="1" si="8">SUM(C47:C49)</f>
        <v>108757458297.00693</v>
      </c>
      <c r="D50" s="492">
        <f t="shared" ca="1" si="8"/>
        <v>160064376329.99658</v>
      </c>
      <c r="E50" s="492">
        <f t="shared" ca="1" si="8"/>
        <v>108757458297.00693</v>
      </c>
      <c r="F50" s="354"/>
    </row>
    <row r="51" spans="1:6" ht="17.25" customHeight="1">
      <c r="A51" s="355"/>
      <c r="B51" s="356">
        <v>0</v>
      </c>
      <c r="C51" s="356">
        <v>0</v>
      </c>
      <c r="D51" s="356">
        <v>0</v>
      </c>
      <c r="E51" s="356">
        <v>0</v>
      </c>
    </row>
    <row r="52" spans="1:6">
      <c r="B52" s="590"/>
      <c r="C52" s="590"/>
      <c r="D52" s="590" t="str">
        <f>'KQKD in'!F32</f>
        <v>Lập, ngày 30 tháng 11 năm 2025</v>
      </c>
      <c r="E52" s="590"/>
    </row>
    <row r="53" spans="1:6" ht="22.5" customHeight="1">
      <c r="A53" s="280" t="s">
        <v>10</v>
      </c>
      <c r="D53" s="591" t="s">
        <v>242</v>
      </c>
      <c r="E53" s="591"/>
    </row>
    <row r="54" spans="1:6">
      <c r="C54" s="330"/>
    </row>
    <row r="55" spans="1:6">
      <c r="C55" s="330"/>
    </row>
    <row r="56" spans="1:6">
      <c r="C56" s="330"/>
    </row>
    <row r="57" spans="1:6">
      <c r="C57" s="330"/>
    </row>
    <row r="58" spans="1:6">
      <c r="C58" s="330"/>
    </row>
    <row r="59" spans="1:6" s="225" customFormat="1">
      <c r="A59" s="279" t="str">
        <f>'Thong tin'!B16</f>
        <v>Giang Văn Lộc</v>
      </c>
      <c r="B59" s="568"/>
      <c r="C59" s="568"/>
      <c r="D59" s="568" t="str">
        <f>'Thong tin'!B19</f>
        <v>Trần Duy Hy</v>
      </c>
      <c r="E59" s="568"/>
    </row>
  </sheetData>
  <mergeCells count="11">
    <mergeCell ref="A4:E4"/>
    <mergeCell ref="A5:E5"/>
    <mergeCell ref="A6:E6"/>
    <mergeCell ref="A8:A9"/>
    <mergeCell ref="B8:C8"/>
    <mergeCell ref="D8:E8"/>
    <mergeCell ref="B52:C52"/>
    <mergeCell ref="D52:E52"/>
    <mergeCell ref="D53:E53"/>
    <mergeCell ref="B59:C59"/>
    <mergeCell ref="D59:E59"/>
  </mergeCells>
  <printOptions horizontalCentered="1"/>
  <pageMargins left="0.59055118110236227" right="0.31496062992125984" top="0.31496062992125984" bottom="0.31496062992125984" header="0.31496062992125984" footer="0.19685039370078741"/>
  <pageSetup paperSize="9" scale="90" firstPageNumber="6" orientation="portrait" useFirstPageNumber="1" r:id="rId1"/>
  <headerFooter>
    <oddFooter>&amp;CTrang &amp;P</oddFooter>
  </headerFooter>
  <rowBreaks count="1" manualBreakCount="1">
    <brk id="38" max="16383" man="1"/>
  </row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B47E50-B1C9-42CD-AEBD-7C8F948A9242}">
  <sheetPr>
    <tabColor theme="9" tint="0.59999389629810485"/>
    <outlinePr summaryBelow="0" summaryRight="0"/>
  </sheetPr>
  <dimension ref="A1:BW315"/>
  <sheetViews>
    <sheetView showGridLines="0" showZeros="0" zoomScale="85" zoomScaleNormal="85" workbookViewId="0">
      <pane xSplit="3" ySplit="3" topLeftCell="BM117" activePane="bottomRight" state="frozen"/>
      <selection pane="topRight" activeCell="BL10" sqref="BL10"/>
      <selection pane="bottomLeft" activeCell="BL10" sqref="BL10"/>
      <selection pane="bottomRight" activeCell="BP127" sqref="BP127"/>
    </sheetView>
  </sheetViews>
  <sheetFormatPr defaultColWidth="9.36328125" defaultRowHeight="15" customHeight="1"/>
  <cols>
    <col min="1" max="1" width="7" style="86" hidden="1" customWidth="1"/>
    <col min="2" max="2" width="46.36328125" style="87" customWidth="1"/>
    <col min="3" max="3" width="8.36328125" style="86" hidden="1" customWidth="1"/>
    <col min="4" max="5" width="18.36328125" style="87" customWidth="1"/>
    <col min="6" max="39" width="18" style="87" customWidth="1"/>
    <col min="40" max="62" width="20" style="44" customWidth="1"/>
    <col min="63" max="63" width="20.36328125" style="44" customWidth="1"/>
    <col min="64" max="65" width="18.36328125" style="44" bestFit="1" customWidth="1"/>
    <col min="66" max="75" width="20.36328125" style="44" customWidth="1"/>
    <col min="76" max="16384" width="9.36328125" style="44"/>
  </cols>
  <sheetData>
    <row r="1" spans="1:75" ht="19.5" customHeight="1">
      <c r="A1" s="39"/>
      <c r="B1" s="40" t="str">
        <f>'Thong tin'!A1</f>
        <v>CÔNG TY CP NHỰA TÁI CHẾ DUY TÂN</v>
      </c>
      <c r="C1" s="45"/>
      <c r="D1" s="41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3"/>
      <c r="Q1" s="42"/>
      <c r="R1" s="42"/>
      <c r="S1" s="42"/>
      <c r="T1" s="42"/>
      <c r="U1" s="42"/>
      <c r="V1" s="42"/>
      <c r="W1" s="42"/>
      <c r="X1" s="42"/>
      <c r="Y1" s="42"/>
      <c r="Z1" s="42"/>
      <c r="AA1" s="42"/>
      <c r="AB1" s="42"/>
      <c r="AC1" s="42"/>
      <c r="AD1" s="42"/>
      <c r="AE1" s="42"/>
      <c r="AF1" s="42"/>
      <c r="AG1" s="42"/>
      <c r="AH1" s="42"/>
      <c r="AI1" s="42"/>
      <c r="AJ1" s="42"/>
      <c r="AK1" s="42"/>
      <c r="AL1" s="42"/>
      <c r="AM1" s="42"/>
    </row>
    <row r="2" spans="1:75" ht="19.5" customHeight="1">
      <c r="A2" s="45"/>
      <c r="B2" s="46" t="s">
        <v>243</v>
      </c>
      <c r="C2" s="45"/>
      <c r="D2" s="43"/>
      <c r="E2" s="42"/>
      <c r="F2" s="42"/>
      <c r="G2" s="42"/>
      <c r="H2" s="42"/>
      <c r="I2" s="42"/>
      <c r="J2" s="42"/>
      <c r="K2" s="42"/>
      <c r="L2" s="47"/>
      <c r="M2" s="42"/>
      <c r="N2" s="42"/>
      <c r="O2" s="48"/>
      <c r="P2" s="43"/>
      <c r="Q2" s="42"/>
      <c r="R2" s="42"/>
      <c r="S2" s="42"/>
      <c r="T2" s="42"/>
      <c r="U2" s="42"/>
      <c r="V2" s="42"/>
      <c r="W2" s="42"/>
      <c r="X2" s="42"/>
      <c r="Y2" s="42"/>
      <c r="Z2" s="42"/>
      <c r="AA2" s="42"/>
      <c r="AB2" s="42"/>
      <c r="AC2" s="42"/>
      <c r="AD2" s="42"/>
      <c r="AE2" s="42"/>
      <c r="AF2" s="42"/>
      <c r="AG2" s="42"/>
      <c r="AH2" s="42"/>
      <c r="AI2" s="42"/>
      <c r="AJ2" s="42"/>
      <c r="AK2" s="42"/>
      <c r="AL2" s="42"/>
      <c r="AM2" s="42"/>
    </row>
    <row r="3" spans="1:75" ht="28">
      <c r="A3" s="49" t="s">
        <v>244</v>
      </c>
      <c r="B3" s="50" t="s">
        <v>245</v>
      </c>
      <c r="C3" s="49" t="s">
        <v>246</v>
      </c>
      <c r="D3" s="49" t="s">
        <v>247</v>
      </c>
      <c r="E3" s="49" t="s">
        <v>248</v>
      </c>
      <c r="F3" s="49" t="s">
        <v>249</v>
      </c>
      <c r="G3" s="49" t="s">
        <v>250</v>
      </c>
      <c r="H3" s="49" t="s">
        <v>251</v>
      </c>
      <c r="I3" s="49" t="s">
        <v>252</v>
      </c>
      <c r="J3" s="49" t="s">
        <v>253</v>
      </c>
      <c r="K3" s="49" t="s">
        <v>254</v>
      </c>
      <c r="L3" s="49" t="s">
        <v>255</v>
      </c>
      <c r="M3" s="49" t="s">
        <v>256</v>
      </c>
      <c r="N3" s="49" t="s">
        <v>257</v>
      </c>
      <c r="O3" s="49" t="s">
        <v>258</v>
      </c>
      <c r="P3" s="49" t="s">
        <v>259</v>
      </c>
      <c r="Q3" s="49" t="s">
        <v>260</v>
      </c>
      <c r="R3" s="49" t="s">
        <v>261</v>
      </c>
      <c r="S3" s="49" t="s">
        <v>262</v>
      </c>
      <c r="T3" s="49" t="s">
        <v>263</v>
      </c>
      <c r="U3" s="49" t="s">
        <v>264</v>
      </c>
      <c r="V3" s="49" t="s">
        <v>265</v>
      </c>
      <c r="W3" s="49" t="s">
        <v>266</v>
      </c>
      <c r="X3" s="49" t="s">
        <v>267</v>
      </c>
      <c r="Y3" s="49" t="s">
        <v>268</v>
      </c>
      <c r="Z3" s="49" t="s">
        <v>269</v>
      </c>
      <c r="AA3" s="49" t="s">
        <v>270</v>
      </c>
      <c r="AB3" s="49" t="s">
        <v>271</v>
      </c>
      <c r="AC3" s="49" t="s">
        <v>272</v>
      </c>
      <c r="AD3" s="49" t="s">
        <v>273</v>
      </c>
      <c r="AE3" s="49" t="s">
        <v>274</v>
      </c>
      <c r="AF3" s="49" t="s">
        <v>275</v>
      </c>
      <c r="AG3" s="49" t="s">
        <v>276</v>
      </c>
      <c r="AH3" s="49" t="s">
        <v>277</v>
      </c>
      <c r="AI3" s="49" t="s">
        <v>278</v>
      </c>
      <c r="AJ3" s="49" t="s">
        <v>279</v>
      </c>
      <c r="AK3" s="49" t="s">
        <v>280</v>
      </c>
      <c r="AL3" s="49" t="s">
        <v>281</v>
      </c>
      <c r="AM3" s="49" t="s">
        <v>282</v>
      </c>
      <c r="AN3" s="49" t="s">
        <v>283</v>
      </c>
      <c r="AO3" s="49" t="s">
        <v>284</v>
      </c>
      <c r="AP3" s="49" t="s">
        <v>285</v>
      </c>
      <c r="AQ3" s="49" t="s">
        <v>286</v>
      </c>
      <c r="AR3" s="49" t="s">
        <v>287</v>
      </c>
      <c r="AS3" s="49" t="s">
        <v>288</v>
      </c>
      <c r="AT3" s="49" t="s">
        <v>289</v>
      </c>
      <c r="AU3" s="49" t="s">
        <v>290</v>
      </c>
      <c r="AV3" s="49" t="s">
        <v>291</v>
      </c>
      <c r="AW3" s="49" t="s">
        <v>292</v>
      </c>
      <c r="AX3" s="49" t="s">
        <v>293</v>
      </c>
      <c r="AY3" s="49" t="s">
        <v>294</v>
      </c>
      <c r="AZ3" s="49" t="s">
        <v>295</v>
      </c>
      <c r="BA3" s="49" t="s">
        <v>296</v>
      </c>
      <c r="BB3" s="49" t="s">
        <v>297</v>
      </c>
      <c r="BC3" s="49" t="s">
        <v>298</v>
      </c>
      <c r="BD3" s="49" t="s">
        <v>299</v>
      </c>
      <c r="BE3" s="49" t="s">
        <v>300</v>
      </c>
      <c r="BF3" s="49" t="s">
        <v>301</v>
      </c>
      <c r="BG3" s="49" t="s">
        <v>302</v>
      </c>
      <c r="BH3" s="49" t="s">
        <v>303</v>
      </c>
      <c r="BI3" s="49" t="s">
        <v>304</v>
      </c>
      <c r="BJ3" s="49" t="s">
        <v>305</v>
      </c>
      <c r="BK3" s="49" t="s">
        <v>306</v>
      </c>
      <c r="BL3" s="49" t="s">
        <v>307</v>
      </c>
      <c r="BM3" s="49" t="s">
        <v>308</v>
      </c>
      <c r="BN3" s="49" t="s">
        <v>309</v>
      </c>
      <c r="BO3" s="49" t="s">
        <v>310</v>
      </c>
      <c r="BP3" s="49" t="s">
        <v>311</v>
      </c>
      <c r="BQ3" s="49" t="s">
        <v>312</v>
      </c>
      <c r="BR3" s="49" t="s">
        <v>313</v>
      </c>
      <c r="BS3" s="49" t="s">
        <v>314</v>
      </c>
      <c r="BT3" s="49" t="s">
        <v>315</v>
      </c>
      <c r="BU3" s="49" t="s">
        <v>316</v>
      </c>
      <c r="BV3" s="49" t="s">
        <v>317</v>
      </c>
      <c r="BW3" s="49" t="s">
        <v>318</v>
      </c>
    </row>
    <row r="4" spans="1:75" ht="15" customHeight="1">
      <c r="A4" s="51">
        <v>1</v>
      </c>
      <c r="B4" s="52" t="s">
        <v>319</v>
      </c>
      <c r="C4" s="51">
        <v>28</v>
      </c>
      <c r="D4" s="1">
        <f t="shared" ref="D4:AY4" si="0">SUM(D5,D8,D15,D23,D26,D30)</f>
        <v>0</v>
      </c>
      <c r="E4" s="1">
        <f t="shared" si="0"/>
        <v>0</v>
      </c>
      <c r="F4" s="1">
        <f t="shared" si="0"/>
        <v>0</v>
      </c>
      <c r="G4" s="1">
        <f t="shared" si="0"/>
        <v>0</v>
      </c>
      <c r="H4" s="1">
        <f t="shared" si="0"/>
        <v>0</v>
      </c>
      <c r="I4" s="1">
        <f t="shared" si="0"/>
        <v>0</v>
      </c>
      <c r="J4" s="1">
        <f t="shared" si="0"/>
        <v>0</v>
      </c>
      <c r="K4" s="1">
        <f t="shared" si="0"/>
        <v>0</v>
      </c>
      <c r="L4" s="1">
        <f t="shared" si="0"/>
        <v>0</v>
      </c>
      <c r="M4" s="1">
        <f t="shared" si="0"/>
        <v>0</v>
      </c>
      <c r="N4" s="1">
        <f t="shared" si="0"/>
        <v>0</v>
      </c>
      <c r="O4" s="1">
        <f t="shared" si="0"/>
        <v>0</v>
      </c>
      <c r="P4" s="1">
        <f t="shared" si="0"/>
        <v>0</v>
      </c>
      <c r="Q4" s="1">
        <f t="shared" si="0"/>
        <v>0</v>
      </c>
      <c r="R4" s="1">
        <f t="shared" si="0"/>
        <v>0</v>
      </c>
      <c r="S4" s="1">
        <f t="shared" si="0"/>
        <v>0</v>
      </c>
      <c r="T4" s="1">
        <f t="shared" si="0"/>
        <v>0</v>
      </c>
      <c r="U4" s="1">
        <f t="shared" si="0"/>
        <v>0</v>
      </c>
      <c r="V4" s="1">
        <f t="shared" si="0"/>
        <v>0</v>
      </c>
      <c r="W4" s="1">
        <f t="shared" si="0"/>
        <v>0</v>
      </c>
      <c r="X4" s="1">
        <f t="shared" si="0"/>
        <v>0</v>
      </c>
      <c r="Y4" s="1">
        <f t="shared" si="0"/>
        <v>0</v>
      </c>
      <c r="Z4" s="1">
        <f t="shared" si="0"/>
        <v>0</v>
      </c>
      <c r="AA4" s="1">
        <f t="shared" si="0"/>
        <v>0</v>
      </c>
      <c r="AB4" s="1">
        <f t="shared" si="0"/>
        <v>0</v>
      </c>
      <c r="AC4" s="1">
        <f t="shared" si="0"/>
        <v>0</v>
      </c>
      <c r="AD4" s="1">
        <f t="shared" si="0"/>
        <v>0</v>
      </c>
      <c r="AE4" s="1">
        <f t="shared" si="0"/>
        <v>0</v>
      </c>
      <c r="AF4" s="1">
        <f t="shared" si="0"/>
        <v>0</v>
      </c>
      <c r="AG4" s="1">
        <f t="shared" si="0"/>
        <v>0</v>
      </c>
      <c r="AH4" s="1">
        <f t="shared" si="0"/>
        <v>0</v>
      </c>
      <c r="AI4" s="1">
        <f t="shared" si="0"/>
        <v>0</v>
      </c>
      <c r="AJ4" s="1">
        <f t="shared" si="0"/>
        <v>0</v>
      </c>
      <c r="AK4" s="1">
        <f t="shared" si="0"/>
        <v>0</v>
      </c>
      <c r="AL4" s="1">
        <f t="shared" si="0"/>
        <v>0</v>
      </c>
      <c r="AM4" s="1">
        <f t="shared" si="0"/>
        <v>0</v>
      </c>
      <c r="AN4" s="1">
        <f t="shared" si="0"/>
        <v>842504987537</v>
      </c>
      <c r="AO4" s="1">
        <f t="shared" si="0"/>
        <v>828028218928</v>
      </c>
      <c r="AP4" s="1">
        <f t="shared" si="0"/>
        <v>866642137961.85999</v>
      </c>
      <c r="AQ4" s="1">
        <f t="shared" si="0"/>
        <v>928663771131.88208</v>
      </c>
      <c r="AR4" s="1">
        <f t="shared" si="0"/>
        <v>974972463666</v>
      </c>
      <c r="AS4" s="1">
        <f t="shared" si="0"/>
        <v>1000977606992</v>
      </c>
      <c r="AT4" s="1">
        <f t="shared" si="0"/>
        <v>945309048746</v>
      </c>
      <c r="AU4" s="1">
        <f t="shared" si="0"/>
        <v>891517737502</v>
      </c>
      <c r="AV4" s="1">
        <f t="shared" si="0"/>
        <v>936081186419</v>
      </c>
      <c r="AW4" s="1">
        <f t="shared" si="0"/>
        <v>958515464055</v>
      </c>
      <c r="AX4" s="1">
        <f t="shared" si="0"/>
        <v>1056118226546</v>
      </c>
      <c r="AY4" s="1">
        <f t="shared" si="0"/>
        <v>1029421488703.4821</v>
      </c>
      <c r="AZ4" s="1">
        <v>948017090738</v>
      </c>
      <c r="BA4" s="1">
        <v>865350947449</v>
      </c>
      <c r="BB4" s="1">
        <v>912022523180.48193</v>
      </c>
      <c r="BC4" s="1">
        <v>976848146781</v>
      </c>
      <c r="BD4" s="1">
        <v>1029083422325</v>
      </c>
      <c r="BE4" s="1">
        <v>1063373742518.4821</v>
      </c>
      <c r="BF4" s="1">
        <v>1058451310914.4821</v>
      </c>
      <c r="BG4" s="1">
        <v>1119802194415.4819</v>
      </c>
      <c r="BH4" s="1">
        <v>1098805071473.4821</v>
      </c>
      <c r="BI4" s="1">
        <v>1036939679178.4821</v>
      </c>
      <c r="BJ4" s="1">
        <v>1015910101078.4821</v>
      </c>
      <c r="BK4" s="1">
        <v>1006445367388.4821</v>
      </c>
      <c r="BL4" s="503">
        <v>1052772372027.8055</v>
      </c>
      <c r="BM4" s="1">
        <v>1046479024024.0341</v>
      </c>
      <c r="BN4" s="1">
        <v>995275074509.04236</v>
      </c>
      <c r="BO4" s="1">
        <v>955846785966.87305</v>
      </c>
      <c r="BP4" s="1">
        <v>1035497880762.6418</v>
      </c>
      <c r="BQ4" s="1">
        <f t="shared" ref="BQ4:BW4" si="1">SUM(BQ5,BQ8,BQ15,BQ23,BQ26,BQ30)</f>
        <v>0</v>
      </c>
      <c r="BR4" s="1">
        <f t="shared" si="1"/>
        <v>0</v>
      </c>
      <c r="BS4" s="1">
        <f t="shared" si="1"/>
        <v>0</v>
      </c>
      <c r="BT4" s="1">
        <f t="shared" si="1"/>
        <v>0</v>
      </c>
      <c r="BU4" s="1">
        <f t="shared" si="1"/>
        <v>0</v>
      </c>
      <c r="BV4" s="1">
        <f t="shared" si="1"/>
        <v>0</v>
      </c>
      <c r="BW4" s="1">
        <f t="shared" si="1"/>
        <v>0</v>
      </c>
    </row>
    <row r="5" spans="1:75" ht="15" customHeight="1">
      <c r="A5" s="53">
        <v>2</v>
      </c>
      <c r="B5" s="54" t="s">
        <v>320</v>
      </c>
      <c r="C5" s="53">
        <v>28</v>
      </c>
      <c r="D5" s="2">
        <f t="shared" ref="D5:AY5" si="2">SUM(D6:D7)</f>
        <v>0</v>
      </c>
      <c r="E5" s="2">
        <f t="shared" si="2"/>
        <v>0</v>
      </c>
      <c r="F5" s="2">
        <f t="shared" si="2"/>
        <v>0</v>
      </c>
      <c r="G5" s="2">
        <f t="shared" si="2"/>
        <v>0</v>
      </c>
      <c r="H5" s="2">
        <f t="shared" si="2"/>
        <v>0</v>
      </c>
      <c r="I5" s="2">
        <f t="shared" si="2"/>
        <v>0</v>
      </c>
      <c r="J5" s="2">
        <f t="shared" si="2"/>
        <v>0</v>
      </c>
      <c r="K5" s="2">
        <f t="shared" si="2"/>
        <v>0</v>
      </c>
      <c r="L5" s="2">
        <f t="shared" si="2"/>
        <v>0</v>
      </c>
      <c r="M5" s="2">
        <f t="shared" si="2"/>
        <v>0</v>
      </c>
      <c r="N5" s="2">
        <f t="shared" si="2"/>
        <v>0</v>
      </c>
      <c r="O5" s="2">
        <f t="shared" si="2"/>
        <v>0</v>
      </c>
      <c r="P5" s="2">
        <f t="shared" si="2"/>
        <v>0</v>
      </c>
      <c r="Q5" s="2">
        <f t="shared" si="2"/>
        <v>0</v>
      </c>
      <c r="R5" s="2">
        <f t="shared" si="2"/>
        <v>0</v>
      </c>
      <c r="S5" s="2">
        <f t="shared" si="2"/>
        <v>0</v>
      </c>
      <c r="T5" s="2">
        <f t="shared" si="2"/>
        <v>0</v>
      </c>
      <c r="U5" s="2">
        <f t="shared" si="2"/>
        <v>0</v>
      </c>
      <c r="V5" s="2">
        <f t="shared" si="2"/>
        <v>0</v>
      </c>
      <c r="W5" s="2">
        <f t="shared" si="2"/>
        <v>0</v>
      </c>
      <c r="X5" s="2">
        <f t="shared" si="2"/>
        <v>0</v>
      </c>
      <c r="Y5" s="2">
        <f t="shared" si="2"/>
        <v>0</v>
      </c>
      <c r="Z5" s="2">
        <f t="shared" si="2"/>
        <v>0</v>
      </c>
      <c r="AA5" s="2">
        <f t="shared" si="2"/>
        <v>0</v>
      </c>
      <c r="AB5" s="2">
        <f t="shared" si="2"/>
        <v>0</v>
      </c>
      <c r="AC5" s="2">
        <f t="shared" si="2"/>
        <v>0</v>
      </c>
      <c r="AD5" s="2">
        <f t="shared" si="2"/>
        <v>0</v>
      </c>
      <c r="AE5" s="2">
        <f t="shared" si="2"/>
        <v>0</v>
      </c>
      <c r="AF5" s="2">
        <f t="shared" si="2"/>
        <v>0</v>
      </c>
      <c r="AG5" s="2">
        <f t="shared" si="2"/>
        <v>0</v>
      </c>
      <c r="AH5" s="2">
        <f t="shared" si="2"/>
        <v>0</v>
      </c>
      <c r="AI5" s="2">
        <f t="shared" si="2"/>
        <v>0</v>
      </c>
      <c r="AJ5" s="2">
        <f t="shared" si="2"/>
        <v>0</v>
      </c>
      <c r="AK5" s="2">
        <f t="shared" si="2"/>
        <v>0</v>
      </c>
      <c r="AL5" s="2">
        <f t="shared" si="2"/>
        <v>0</v>
      </c>
      <c r="AM5" s="2">
        <f t="shared" si="2"/>
        <v>0</v>
      </c>
      <c r="AN5" s="2">
        <f t="shared" si="2"/>
        <v>46633249760</v>
      </c>
      <c r="AO5" s="2">
        <f t="shared" si="2"/>
        <v>35851802774</v>
      </c>
      <c r="AP5" s="2">
        <f t="shared" si="2"/>
        <v>26393055917</v>
      </c>
      <c r="AQ5" s="2">
        <f t="shared" si="2"/>
        <v>34593153167</v>
      </c>
      <c r="AR5" s="2">
        <f t="shared" si="2"/>
        <v>33199136312</v>
      </c>
      <c r="AS5" s="2">
        <f t="shared" si="2"/>
        <v>19638634542</v>
      </c>
      <c r="AT5" s="2">
        <f t="shared" si="2"/>
        <v>56271006190</v>
      </c>
      <c r="AU5" s="2">
        <f t="shared" si="2"/>
        <v>35429490170</v>
      </c>
      <c r="AV5" s="2">
        <f t="shared" si="2"/>
        <v>48429525475</v>
      </c>
      <c r="AW5" s="2">
        <f t="shared" si="2"/>
        <v>78014775934</v>
      </c>
      <c r="AX5" s="2">
        <f t="shared" si="2"/>
        <v>81105192016</v>
      </c>
      <c r="AY5" s="2">
        <f t="shared" si="2"/>
        <v>78515947311</v>
      </c>
      <c r="AZ5" s="2">
        <v>108757458297</v>
      </c>
      <c r="BA5" s="2">
        <v>63047560922</v>
      </c>
      <c r="BB5" s="2">
        <v>57546333332</v>
      </c>
      <c r="BC5" s="2">
        <v>72781093895</v>
      </c>
      <c r="BD5" s="2">
        <v>53850392378</v>
      </c>
      <c r="BE5" s="2">
        <v>47310681042</v>
      </c>
      <c r="BF5" s="2">
        <v>46943683940</v>
      </c>
      <c r="BG5" s="2">
        <v>52760383890</v>
      </c>
      <c r="BH5" s="2">
        <v>94749581700</v>
      </c>
      <c r="BI5" s="2">
        <v>86336513720</v>
      </c>
      <c r="BJ5" s="2">
        <v>82814145673</v>
      </c>
      <c r="BK5" s="2">
        <v>63726156404</v>
      </c>
      <c r="BL5" s="502">
        <v>160064376330</v>
      </c>
      <c r="BM5" s="2">
        <v>158595220342</v>
      </c>
      <c r="BN5" s="2">
        <v>147256262964</v>
      </c>
      <c r="BO5" s="2">
        <v>165964800039</v>
      </c>
      <c r="BP5" s="2">
        <v>156543872808</v>
      </c>
      <c r="BQ5" s="2">
        <f t="shared" ref="BQ5:BW5" si="3">SUM(BQ6:BQ7)</f>
        <v>0</v>
      </c>
      <c r="BR5" s="2">
        <f t="shared" si="3"/>
        <v>0</v>
      </c>
      <c r="BS5" s="2">
        <f t="shared" si="3"/>
        <v>0</v>
      </c>
      <c r="BT5" s="2">
        <f t="shared" si="3"/>
        <v>0</v>
      </c>
      <c r="BU5" s="2">
        <f t="shared" si="3"/>
        <v>0</v>
      </c>
      <c r="BV5" s="2">
        <f t="shared" si="3"/>
        <v>0</v>
      </c>
      <c r="BW5" s="2">
        <f t="shared" si="3"/>
        <v>0</v>
      </c>
    </row>
    <row r="6" spans="1:75" ht="15" customHeight="1">
      <c r="A6" s="55">
        <v>3</v>
      </c>
      <c r="B6" s="56" t="s">
        <v>321</v>
      </c>
      <c r="C6" s="55">
        <v>28</v>
      </c>
      <c r="D6" s="508"/>
      <c r="E6" s="508"/>
      <c r="F6" s="508"/>
      <c r="G6" s="508"/>
      <c r="H6" s="508"/>
      <c r="I6" s="508"/>
      <c r="J6" s="508"/>
      <c r="K6" s="508"/>
      <c r="L6" s="508"/>
      <c r="M6" s="508"/>
      <c r="N6" s="508"/>
      <c r="O6" s="508"/>
      <c r="P6" s="508"/>
      <c r="Q6" s="508"/>
      <c r="R6" s="508"/>
      <c r="S6" s="508"/>
      <c r="T6" s="508"/>
      <c r="U6" s="508"/>
      <c r="V6" s="508"/>
      <c r="W6" s="508"/>
      <c r="X6" s="508"/>
      <c r="Y6" s="508"/>
      <c r="Z6" s="508"/>
      <c r="AA6" s="508"/>
      <c r="AB6" s="508"/>
      <c r="AC6" s="508"/>
      <c r="AD6" s="508"/>
      <c r="AE6" s="508"/>
      <c r="AF6" s="508"/>
      <c r="AG6" s="508"/>
      <c r="AH6" s="508"/>
      <c r="AI6" s="508"/>
      <c r="AJ6" s="508"/>
      <c r="AK6" s="508"/>
      <c r="AL6" s="508"/>
      <c r="AM6" s="508"/>
      <c r="AN6" s="508">
        <v>39793249760</v>
      </c>
      <c r="AO6" s="508">
        <v>29011802774</v>
      </c>
      <c r="AP6" s="508">
        <v>21563055917</v>
      </c>
      <c r="AQ6" s="508">
        <v>25763153167</v>
      </c>
      <c r="AR6" s="508">
        <v>24369136312</v>
      </c>
      <c r="AS6" s="508">
        <v>14808634542</v>
      </c>
      <c r="AT6" s="508">
        <v>48441006190</v>
      </c>
      <c r="AU6" s="508">
        <v>27599490170</v>
      </c>
      <c r="AV6" s="508">
        <v>41429525475</v>
      </c>
      <c r="AW6" s="508">
        <v>71014775934</v>
      </c>
      <c r="AX6" s="508">
        <v>74105192016</v>
      </c>
      <c r="AY6" s="508">
        <v>61515947311</v>
      </c>
      <c r="AZ6" s="508">
        <v>98917458297</v>
      </c>
      <c r="BA6" s="508">
        <v>53207560922</v>
      </c>
      <c r="BB6" s="508">
        <v>49746333332</v>
      </c>
      <c r="BC6" s="508">
        <v>64981093895</v>
      </c>
      <c r="BD6" s="508">
        <v>46850392378</v>
      </c>
      <c r="BE6" s="508">
        <v>40310681042</v>
      </c>
      <c r="BF6" s="508">
        <v>40943683940</v>
      </c>
      <c r="BG6" s="508">
        <v>46060383890</v>
      </c>
      <c r="BH6" s="508">
        <v>88049581700</v>
      </c>
      <c r="BI6" s="508">
        <v>51636513720</v>
      </c>
      <c r="BJ6" s="508">
        <v>50114145673</v>
      </c>
      <c r="BK6" s="508">
        <v>48026156404</v>
      </c>
      <c r="BL6" s="508">
        <v>50364376330</v>
      </c>
      <c r="BM6" s="508">
        <v>51895220342</v>
      </c>
      <c r="BN6" s="508">
        <v>36356262964</v>
      </c>
      <c r="BO6" s="508">
        <v>42964800039</v>
      </c>
      <c r="BP6" s="508">
        <v>41543872808</v>
      </c>
      <c r="BQ6" s="508"/>
      <c r="BR6" s="508"/>
      <c r="BS6" s="508"/>
      <c r="BT6" s="508"/>
      <c r="BU6" s="508"/>
      <c r="BV6" s="508"/>
      <c r="BW6" s="508"/>
    </row>
    <row r="7" spans="1:75" ht="15" customHeight="1">
      <c r="A7" s="55">
        <v>4</v>
      </c>
      <c r="B7" s="56" t="s">
        <v>322</v>
      </c>
      <c r="C7" s="55">
        <v>28</v>
      </c>
      <c r="D7" s="508"/>
      <c r="E7" s="508"/>
      <c r="F7" s="508"/>
      <c r="G7" s="508"/>
      <c r="H7" s="508"/>
      <c r="I7" s="508"/>
      <c r="J7" s="508"/>
      <c r="K7" s="508"/>
      <c r="L7" s="508"/>
      <c r="M7" s="508"/>
      <c r="N7" s="508"/>
      <c r="O7" s="508"/>
      <c r="P7" s="508"/>
      <c r="Q7" s="508"/>
      <c r="R7" s="508"/>
      <c r="S7" s="508"/>
      <c r="T7" s="508"/>
      <c r="U7" s="508"/>
      <c r="V7" s="508"/>
      <c r="W7" s="508"/>
      <c r="X7" s="508"/>
      <c r="Y7" s="508"/>
      <c r="Z7" s="508"/>
      <c r="AA7" s="508"/>
      <c r="AB7" s="508"/>
      <c r="AC7" s="508"/>
      <c r="AD7" s="508"/>
      <c r="AE7" s="508"/>
      <c r="AF7" s="508"/>
      <c r="AG7" s="508"/>
      <c r="AH7" s="508"/>
      <c r="AI7" s="508"/>
      <c r="AJ7" s="508"/>
      <c r="AK7" s="508"/>
      <c r="AL7" s="508"/>
      <c r="AM7" s="508"/>
      <c r="AN7" s="508">
        <v>6840000000</v>
      </c>
      <c r="AO7" s="508">
        <v>6840000000</v>
      </c>
      <c r="AP7" s="508">
        <v>4830000000</v>
      </c>
      <c r="AQ7" s="508">
        <v>8830000000</v>
      </c>
      <c r="AR7" s="508">
        <v>8830000000</v>
      </c>
      <c r="AS7" s="508">
        <v>4830000000</v>
      </c>
      <c r="AT7" s="508">
        <v>7830000000</v>
      </c>
      <c r="AU7" s="508">
        <v>7830000000</v>
      </c>
      <c r="AV7" s="508">
        <v>7000000000</v>
      </c>
      <c r="AW7" s="508">
        <v>7000000000</v>
      </c>
      <c r="AX7" s="508">
        <v>7000000000</v>
      </c>
      <c r="AY7" s="508">
        <v>17000000000</v>
      </c>
      <c r="AZ7" s="508">
        <v>9840000000</v>
      </c>
      <c r="BA7" s="508">
        <v>9840000000</v>
      </c>
      <c r="BB7" s="508">
        <v>7800000000</v>
      </c>
      <c r="BC7" s="508">
        <v>7800000000</v>
      </c>
      <c r="BD7" s="508">
        <v>7000000000</v>
      </c>
      <c r="BE7" s="508">
        <v>7000000000</v>
      </c>
      <c r="BF7" s="508">
        <v>6000000000</v>
      </c>
      <c r="BG7" s="508">
        <v>6700000000</v>
      </c>
      <c r="BH7" s="508">
        <v>6700000000</v>
      </c>
      <c r="BI7" s="508">
        <v>34700000000</v>
      </c>
      <c r="BJ7" s="508">
        <v>32700000000</v>
      </c>
      <c r="BK7" s="508">
        <v>15700000000</v>
      </c>
      <c r="BL7" s="508">
        <v>109700000000</v>
      </c>
      <c r="BM7" s="508">
        <v>106700000000</v>
      </c>
      <c r="BN7" s="508">
        <v>110900000000</v>
      </c>
      <c r="BO7" s="508">
        <v>123000000000</v>
      </c>
      <c r="BP7" s="508">
        <v>115000000000</v>
      </c>
      <c r="BQ7" s="508"/>
      <c r="BR7" s="508"/>
      <c r="BS7" s="508"/>
      <c r="BT7" s="508"/>
      <c r="BU7" s="508"/>
      <c r="BV7" s="508"/>
      <c r="BW7" s="508"/>
    </row>
    <row r="8" spans="1:75" ht="15" customHeight="1">
      <c r="A8" s="57">
        <v>5</v>
      </c>
      <c r="B8" s="54" t="s">
        <v>323</v>
      </c>
      <c r="C8" s="57">
        <v>28</v>
      </c>
      <c r="D8" s="3">
        <f t="shared" ref="D8:AY8" si="4">SUM(D9:D14)</f>
        <v>0</v>
      </c>
      <c r="E8" s="3">
        <f t="shared" si="4"/>
        <v>0</v>
      </c>
      <c r="F8" s="3">
        <f t="shared" si="4"/>
        <v>0</v>
      </c>
      <c r="G8" s="3">
        <f t="shared" si="4"/>
        <v>0</v>
      </c>
      <c r="H8" s="3">
        <f t="shared" si="4"/>
        <v>0</v>
      </c>
      <c r="I8" s="3">
        <f t="shared" si="4"/>
        <v>0</v>
      </c>
      <c r="J8" s="3">
        <f t="shared" si="4"/>
        <v>0</v>
      </c>
      <c r="K8" s="3">
        <f t="shared" si="4"/>
        <v>0</v>
      </c>
      <c r="L8" s="3">
        <f t="shared" si="4"/>
        <v>0</v>
      </c>
      <c r="M8" s="3">
        <f t="shared" si="4"/>
        <v>0</v>
      </c>
      <c r="N8" s="3">
        <f t="shared" si="4"/>
        <v>0</v>
      </c>
      <c r="O8" s="3">
        <f t="shared" si="4"/>
        <v>0</v>
      </c>
      <c r="P8" s="3">
        <f t="shared" si="4"/>
        <v>0</v>
      </c>
      <c r="Q8" s="3">
        <f t="shared" si="4"/>
        <v>0</v>
      </c>
      <c r="R8" s="3">
        <f t="shared" si="4"/>
        <v>0</v>
      </c>
      <c r="S8" s="3">
        <f t="shared" si="4"/>
        <v>0</v>
      </c>
      <c r="T8" s="3">
        <f t="shared" si="4"/>
        <v>0</v>
      </c>
      <c r="U8" s="3">
        <f t="shared" si="4"/>
        <v>0</v>
      </c>
      <c r="V8" s="3">
        <f t="shared" si="4"/>
        <v>0</v>
      </c>
      <c r="W8" s="3">
        <f t="shared" si="4"/>
        <v>0</v>
      </c>
      <c r="X8" s="3">
        <f t="shared" si="4"/>
        <v>0</v>
      </c>
      <c r="Y8" s="3">
        <f t="shared" si="4"/>
        <v>0</v>
      </c>
      <c r="Z8" s="3">
        <f t="shared" si="4"/>
        <v>0</v>
      </c>
      <c r="AA8" s="3">
        <f t="shared" si="4"/>
        <v>0</v>
      </c>
      <c r="AB8" s="3">
        <f t="shared" si="4"/>
        <v>0</v>
      </c>
      <c r="AC8" s="3">
        <f t="shared" si="4"/>
        <v>0</v>
      </c>
      <c r="AD8" s="3">
        <f t="shared" si="4"/>
        <v>0</v>
      </c>
      <c r="AE8" s="3">
        <f t="shared" si="4"/>
        <v>0</v>
      </c>
      <c r="AF8" s="3">
        <f t="shared" si="4"/>
        <v>0</v>
      </c>
      <c r="AG8" s="3">
        <f t="shared" si="4"/>
        <v>0</v>
      </c>
      <c r="AH8" s="3">
        <f t="shared" si="4"/>
        <v>0</v>
      </c>
      <c r="AI8" s="3">
        <f t="shared" si="4"/>
        <v>0</v>
      </c>
      <c r="AJ8" s="3">
        <f t="shared" si="4"/>
        <v>0</v>
      </c>
      <c r="AK8" s="3">
        <f t="shared" si="4"/>
        <v>0</v>
      </c>
      <c r="AL8" s="3">
        <f t="shared" si="4"/>
        <v>0</v>
      </c>
      <c r="AM8" s="3">
        <f t="shared" si="4"/>
        <v>0</v>
      </c>
      <c r="AN8" s="3">
        <f t="shared" si="4"/>
        <v>108051581921</v>
      </c>
      <c r="AO8" s="3">
        <f t="shared" si="4"/>
        <v>108041861921</v>
      </c>
      <c r="AP8" s="3">
        <f t="shared" si="4"/>
        <v>108032141921</v>
      </c>
      <c r="AQ8" s="3">
        <f t="shared" si="4"/>
        <v>97522421921</v>
      </c>
      <c r="AR8" s="3">
        <f t="shared" si="4"/>
        <v>97512701921</v>
      </c>
      <c r="AS8" s="3">
        <f t="shared" si="4"/>
        <v>77502981921</v>
      </c>
      <c r="AT8" s="3">
        <f t="shared" si="4"/>
        <v>57993261921</v>
      </c>
      <c r="AU8" s="3">
        <f t="shared" si="4"/>
        <v>57983541921</v>
      </c>
      <c r="AV8" s="3">
        <f t="shared" si="4"/>
        <v>58813541921</v>
      </c>
      <c r="AW8" s="3">
        <f t="shared" si="4"/>
        <v>58794101921</v>
      </c>
      <c r="AX8" s="3">
        <f t="shared" si="4"/>
        <v>98794101921</v>
      </c>
      <c r="AY8" s="3">
        <f t="shared" si="4"/>
        <v>78774661921</v>
      </c>
      <c r="AZ8" s="3">
        <v>2202000000</v>
      </c>
      <c r="BA8" s="3">
        <v>202000000</v>
      </c>
      <c r="BB8" s="3">
        <v>23042000000</v>
      </c>
      <c r="BC8" s="3">
        <v>23042000000</v>
      </c>
      <c r="BD8" s="3">
        <v>23042000000</v>
      </c>
      <c r="BE8" s="3">
        <v>23042000000</v>
      </c>
      <c r="BF8" s="3">
        <v>23042000000</v>
      </c>
      <c r="BG8" s="3">
        <v>23042000000</v>
      </c>
      <c r="BH8" s="3">
        <v>23042000000</v>
      </c>
      <c r="BI8" s="3">
        <v>33042000000</v>
      </c>
      <c r="BJ8" s="3">
        <v>33042000000</v>
      </c>
      <c r="BK8" s="3">
        <v>38542000000</v>
      </c>
      <c r="BL8" s="3">
        <v>38542000000</v>
      </c>
      <c r="BM8" s="3">
        <v>38542000000</v>
      </c>
      <c r="BN8" s="3">
        <v>38542000000</v>
      </c>
      <c r="BO8" s="3">
        <v>41042000000</v>
      </c>
      <c r="BP8" s="3">
        <v>41042000000</v>
      </c>
      <c r="BQ8" s="3">
        <f t="shared" ref="BQ8:BW8" si="5">SUM(BQ9:BQ14)</f>
        <v>0</v>
      </c>
      <c r="BR8" s="3">
        <f t="shared" si="5"/>
        <v>0</v>
      </c>
      <c r="BS8" s="3">
        <f t="shared" si="5"/>
        <v>0</v>
      </c>
      <c r="BT8" s="3">
        <f t="shared" si="5"/>
        <v>0</v>
      </c>
      <c r="BU8" s="3">
        <f t="shared" si="5"/>
        <v>0</v>
      </c>
      <c r="BV8" s="3">
        <f t="shared" si="5"/>
        <v>0</v>
      </c>
      <c r="BW8" s="3">
        <f t="shared" si="5"/>
        <v>0</v>
      </c>
    </row>
    <row r="9" spans="1:75" ht="15" customHeight="1">
      <c r="A9" s="55">
        <v>6</v>
      </c>
      <c r="B9" s="56" t="s">
        <v>39</v>
      </c>
      <c r="C9" s="55">
        <v>28</v>
      </c>
      <c r="D9" s="508"/>
      <c r="E9" s="508"/>
      <c r="F9" s="508"/>
      <c r="G9" s="508"/>
      <c r="H9" s="508"/>
      <c r="I9" s="508"/>
      <c r="J9" s="508"/>
      <c r="K9" s="508"/>
      <c r="L9" s="508"/>
      <c r="M9" s="508"/>
      <c r="N9" s="508"/>
      <c r="O9" s="508"/>
      <c r="P9" s="508"/>
      <c r="Q9" s="508"/>
      <c r="R9" s="508"/>
      <c r="S9" s="508"/>
      <c r="T9" s="508"/>
      <c r="U9" s="508"/>
      <c r="V9" s="508"/>
      <c r="W9" s="508"/>
      <c r="X9" s="508"/>
      <c r="Y9" s="508"/>
      <c r="Z9" s="508"/>
      <c r="AA9" s="508"/>
      <c r="AB9" s="508"/>
      <c r="AC9" s="508"/>
      <c r="AD9" s="508"/>
      <c r="AE9" s="508"/>
      <c r="AF9" s="508"/>
      <c r="AG9" s="508"/>
      <c r="AH9" s="508"/>
      <c r="AI9" s="508"/>
      <c r="AJ9" s="508"/>
      <c r="AK9" s="508"/>
      <c r="AL9" s="508"/>
      <c r="AM9" s="508"/>
      <c r="AN9" s="508">
        <v>0</v>
      </c>
      <c r="AO9" s="508">
        <v>0</v>
      </c>
      <c r="AP9" s="508">
        <v>0</v>
      </c>
      <c r="AQ9" s="508">
        <v>0</v>
      </c>
      <c r="AR9" s="508">
        <v>0</v>
      </c>
      <c r="AS9" s="508">
        <v>0</v>
      </c>
      <c r="AT9" s="508">
        <v>0</v>
      </c>
      <c r="AU9" s="508">
        <v>0</v>
      </c>
      <c r="AV9" s="508">
        <v>0</v>
      </c>
      <c r="AW9" s="508">
        <v>0</v>
      </c>
      <c r="AX9" s="508">
        <v>0</v>
      </c>
      <c r="AY9" s="508">
        <v>0</v>
      </c>
      <c r="AZ9" s="508">
        <v>0</v>
      </c>
      <c r="BA9" s="508">
        <v>0</v>
      </c>
      <c r="BB9" s="508">
        <v>0</v>
      </c>
      <c r="BC9" s="508">
        <v>0</v>
      </c>
      <c r="BD9" s="508">
        <v>0</v>
      </c>
      <c r="BE9" s="508">
        <v>0</v>
      </c>
      <c r="BF9" s="508">
        <v>0</v>
      </c>
      <c r="BG9" s="508">
        <v>0</v>
      </c>
      <c r="BH9" s="508">
        <v>0</v>
      </c>
      <c r="BI9" s="508">
        <v>0</v>
      </c>
      <c r="BJ9" s="508">
        <v>0</v>
      </c>
      <c r="BK9" s="508">
        <v>0</v>
      </c>
      <c r="BL9" s="508">
        <v>0</v>
      </c>
      <c r="BM9" s="508">
        <v>0</v>
      </c>
      <c r="BN9" s="508">
        <v>0</v>
      </c>
      <c r="BO9" s="508">
        <v>0</v>
      </c>
      <c r="BP9" s="508">
        <v>0</v>
      </c>
      <c r="BQ9" s="508"/>
      <c r="BR9" s="508"/>
      <c r="BS9" s="508"/>
      <c r="BT9" s="508"/>
      <c r="BU9" s="508"/>
      <c r="BV9" s="508"/>
      <c r="BW9" s="508"/>
    </row>
    <row r="10" spans="1:75" ht="15" customHeight="1">
      <c r="A10" s="55">
        <v>7</v>
      </c>
      <c r="B10" s="56" t="s">
        <v>40</v>
      </c>
      <c r="C10" s="55">
        <v>28</v>
      </c>
      <c r="D10" s="508"/>
      <c r="E10" s="508"/>
      <c r="F10" s="508"/>
      <c r="G10" s="508"/>
      <c r="H10" s="508"/>
      <c r="I10" s="508"/>
      <c r="J10" s="508"/>
      <c r="K10" s="508"/>
      <c r="L10" s="508"/>
      <c r="M10" s="508"/>
      <c r="N10" s="508"/>
      <c r="O10" s="508"/>
      <c r="P10" s="508"/>
      <c r="Q10" s="508"/>
      <c r="R10" s="508"/>
      <c r="S10" s="508"/>
      <c r="T10" s="508"/>
      <c r="U10" s="508"/>
      <c r="V10" s="508"/>
      <c r="W10" s="508"/>
      <c r="X10" s="508"/>
      <c r="Y10" s="508"/>
      <c r="Z10" s="508"/>
      <c r="AA10" s="508"/>
      <c r="AB10" s="508"/>
      <c r="AC10" s="508"/>
      <c r="AD10" s="508"/>
      <c r="AE10" s="508"/>
      <c r="AF10" s="508"/>
      <c r="AG10" s="508"/>
      <c r="AH10" s="508"/>
      <c r="AI10" s="508"/>
      <c r="AJ10" s="508"/>
      <c r="AK10" s="508"/>
      <c r="AL10" s="508"/>
      <c r="AM10" s="508"/>
      <c r="AN10" s="508">
        <v>0</v>
      </c>
      <c r="AO10" s="508">
        <v>0</v>
      </c>
      <c r="AP10" s="508">
        <v>0</v>
      </c>
      <c r="AQ10" s="508">
        <v>0</v>
      </c>
      <c r="AR10" s="508">
        <v>0</v>
      </c>
      <c r="AS10" s="508">
        <v>0</v>
      </c>
      <c r="AT10" s="508">
        <v>0</v>
      </c>
      <c r="AU10" s="508">
        <v>0</v>
      </c>
      <c r="AV10" s="508">
        <v>0</v>
      </c>
      <c r="AW10" s="508">
        <v>0</v>
      </c>
      <c r="AX10" s="508">
        <v>0</v>
      </c>
      <c r="AY10" s="508">
        <v>0</v>
      </c>
      <c r="AZ10" s="508">
        <v>0</v>
      </c>
      <c r="BA10" s="508">
        <v>0</v>
      </c>
      <c r="BB10" s="508">
        <v>0</v>
      </c>
      <c r="BC10" s="508">
        <v>0</v>
      </c>
      <c r="BD10" s="508">
        <v>0</v>
      </c>
      <c r="BE10" s="508">
        <v>0</v>
      </c>
      <c r="BF10" s="508">
        <v>0</v>
      </c>
      <c r="BG10" s="508">
        <v>0</v>
      </c>
      <c r="BH10" s="508">
        <v>0</v>
      </c>
      <c r="BI10" s="508">
        <v>0</v>
      </c>
      <c r="BJ10" s="508">
        <v>0</v>
      </c>
      <c r="BK10" s="508">
        <v>0</v>
      </c>
      <c r="BL10" s="508">
        <v>0</v>
      </c>
      <c r="BM10" s="508">
        <v>0</v>
      </c>
      <c r="BN10" s="508">
        <v>0</v>
      </c>
      <c r="BO10" s="508">
        <v>0</v>
      </c>
      <c r="BP10" s="508">
        <v>0</v>
      </c>
      <c r="BQ10" s="508"/>
      <c r="BR10" s="508"/>
      <c r="BS10" s="508"/>
      <c r="BT10" s="508"/>
      <c r="BU10" s="508"/>
      <c r="BV10" s="508"/>
      <c r="BW10" s="508"/>
    </row>
    <row r="11" spans="1:75" ht="15" customHeight="1">
      <c r="A11" s="55">
        <v>8</v>
      </c>
      <c r="B11" s="58" t="s">
        <v>41</v>
      </c>
      <c r="C11" s="55">
        <v>28</v>
      </c>
      <c r="D11" s="508"/>
      <c r="E11" s="508"/>
      <c r="F11" s="508"/>
      <c r="G11" s="508"/>
      <c r="H11" s="508"/>
      <c r="I11" s="508"/>
      <c r="J11" s="508"/>
      <c r="K11" s="508"/>
      <c r="L11" s="508"/>
      <c r="M11" s="508"/>
      <c r="N11" s="508"/>
      <c r="O11" s="508"/>
      <c r="P11" s="508"/>
      <c r="Q11" s="508"/>
      <c r="R11" s="508"/>
      <c r="S11" s="508"/>
      <c r="T11" s="508"/>
      <c r="U11" s="508"/>
      <c r="V11" s="508"/>
      <c r="W11" s="508"/>
      <c r="X11" s="508"/>
      <c r="Y11" s="508"/>
      <c r="Z11" s="508"/>
      <c r="AA11" s="508"/>
      <c r="AB11" s="508"/>
      <c r="AC11" s="508"/>
      <c r="AD11" s="508"/>
      <c r="AE11" s="508"/>
      <c r="AF11" s="508"/>
      <c r="AG11" s="508"/>
      <c r="AH11" s="508"/>
      <c r="AI11" s="508"/>
      <c r="AJ11" s="508"/>
      <c r="AK11" s="508"/>
      <c r="AL11" s="508"/>
      <c r="AM11" s="508"/>
      <c r="AN11" s="508">
        <v>108051581921</v>
      </c>
      <c r="AO11" s="508">
        <v>108041861921</v>
      </c>
      <c r="AP11" s="508">
        <v>108032141921</v>
      </c>
      <c r="AQ11" s="508">
        <v>97522421921</v>
      </c>
      <c r="AR11" s="508">
        <v>97512701921</v>
      </c>
      <c r="AS11" s="508">
        <v>77502981921</v>
      </c>
      <c r="AT11" s="508">
        <v>57993261921</v>
      </c>
      <c r="AU11" s="508">
        <v>57983541921</v>
      </c>
      <c r="AV11" s="508">
        <v>58813541921</v>
      </c>
      <c r="AW11" s="508">
        <v>58794101921</v>
      </c>
      <c r="AX11" s="508">
        <v>98794101921</v>
      </c>
      <c r="AY11" s="508">
        <v>78774661921</v>
      </c>
      <c r="AZ11" s="508">
        <v>2202000000</v>
      </c>
      <c r="BA11" s="508">
        <v>202000000</v>
      </c>
      <c r="BB11" s="508">
        <v>23042000000</v>
      </c>
      <c r="BC11" s="508">
        <v>23042000000</v>
      </c>
      <c r="BD11" s="508">
        <v>23042000000</v>
      </c>
      <c r="BE11" s="508">
        <v>23042000000</v>
      </c>
      <c r="BF11" s="508">
        <v>23042000000</v>
      </c>
      <c r="BG11" s="508">
        <v>23042000000</v>
      </c>
      <c r="BH11" s="508">
        <v>23042000000</v>
      </c>
      <c r="BI11" s="508">
        <v>33042000000</v>
      </c>
      <c r="BJ11" s="508">
        <v>33042000000</v>
      </c>
      <c r="BK11" s="508">
        <v>38542000000</v>
      </c>
      <c r="BL11" s="508">
        <v>38542000000</v>
      </c>
      <c r="BM11" s="508">
        <v>38542000000</v>
      </c>
      <c r="BN11" s="508">
        <v>38542000000</v>
      </c>
      <c r="BO11" s="508">
        <v>41042000000</v>
      </c>
      <c r="BP11" s="508">
        <v>41042000000</v>
      </c>
      <c r="BQ11" s="508"/>
      <c r="BR11" s="508"/>
      <c r="BS11" s="508"/>
      <c r="BT11" s="508"/>
      <c r="BU11" s="508"/>
      <c r="BV11" s="508"/>
      <c r="BW11" s="508"/>
    </row>
    <row r="12" spans="1:75" ht="15" customHeight="1">
      <c r="A12" s="55">
        <v>9</v>
      </c>
      <c r="B12" s="58" t="s">
        <v>42</v>
      </c>
      <c r="C12" s="55">
        <v>28</v>
      </c>
      <c r="D12" s="508"/>
      <c r="E12" s="508"/>
      <c r="F12" s="508"/>
      <c r="G12" s="508"/>
      <c r="H12" s="508"/>
      <c r="I12" s="508"/>
      <c r="J12" s="508"/>
      <c r="K12" s="508"/>
      <c r="L12" s="508"/>
      <c r="M12" s="508"/>
      <c r="N12" s="508"/>
      <c r="O12" s="508"/>
      <c r="P12" s="508"/>
      <c r="Q12" s="508"/>
      <c r="R12" s="508"/>
      <c r="S12" s="508"/>
      <c r="T12" s="508"/>
      <c r="U12" s="508"/>
      <c r="V12" s="508"/>
      <c r="W12" s="508"/>
      <c r="X12" s="508"/>
      <c r="Y12" s="508"/>
      <c r="Z12" s="508"/>
      <c r="AA12" s="508"/>
      <c r="AB12" s="508"/>
      <c r="AC12" s="508"/>
      <c r="AD12" s="508"/>
      <c r="AE12" s="508"/>
      <c r="AF12" s="508"/>
      <c r="AG12" s="508"/>
      <c r="AH12" s="508"/>
      <c r="AI12" s="508"/>
      <c r="AJ12" s="508"/>
      <c r="AK12" s="508"/>
      <c r="AL12" s="508"/>
      <c r="AM12" s="508"/>
      <c r="AN12" s="508">
        <v>0</v>
      </c>
      <c r="AO12" s="508">
        <v>0</v>
      </c>
      <c r="AP12" s="508">
        <v>0</v>
      </c>
      <c r="AQ12" s="508">
        <v>0</v>
      </c>
      <c r="AR12" s="508">
        <v>0</v>
      </c>
      <c r="AS12" s="508">
        <v>0</v>
      </c>
      <c r="AT12" s="508">
        <v>0</v>
      </c>
      <c r="AU12" s="508">
        <v>0</v>
      </c>
      <c r="AV12" s="508">
        <v>0</v>
      </c>
      <c r="AW12" s="508">
        <v>0</v>
      </c>
      <c r="AX12" s="508">
        <v>0</v>
      </c>
      <c r="AY12" s="508">
        <v>0</v>
      </c>
      <c r="AZ12" s="508">
        <v>0</v>
      </c>
      <c r="BA12" s="508">
        <v>0</v>
      </c>
      <c r="BB12" s="508">
        <v>0</v>
      </c>
      <c r="BC12" s="508">
        <v>0</v>
      </c>
      <c r="BD12" s="508">
        <v>0</v>
      </c>
      <c r="BE12" s="508">
        <v>0</v>
      </c>
      <c r="BF12" s="508">
        <v>0</v>
      </c>
      <c r="BG12" s="508">
        <v>0</v>
      </c>
      <c r="BH12" s="508">
        <v>0</v>
      </c>
      <c r="BI12" s="508">
        <v>0</v>
      </c>
      <c r="BJ12" s="508">
        <v>0</v>
      </c>
      <c r="BK12" s="508">
        <v>0</v>
      </c>
      <c r="BL12" s="508">
        <v>0</v>
      </c>
      <c r="BM12" s="508">
        <v>0</v>
      </c>
      <c r="BN12" s="508">
        <v>0</v>
      </c>
      <c r="BO12" s="508">
        <v>0</v>
      </c>
      <c r="BP12" s="508">
        <v>0</v>
      </c>
      <c r="BQ12" s="508"/>
      <c r="BR12" s="508"/>
      <c r="BS12" s="508"/>
      <c r="BT12" s="508"/>
      <c r="BU12" s="508"/>
      <c r="BV12" s="508"/>
      <c r="BW12" s="508"/>
    </row>
    <row r="13" spans="1:75" ht="15" customHeight="1">
      <c r="A13" s="55">
        <v>10</v>
      </c>
      <c r="B13" s="58" t="s">
        <v>43</v>
      </c>
      <c r="C13" s="55">
        <v>28</v>
      </c>
      <c r="D13" s="508"/>
      <c r="E13" s="508"/>
      <c r="F13" s="508"/>
      <c r="G13" s="508"/>
      <c r="H13" s="508"/>
      <c r="I13" s="508"/>
      <c r="J13" s="508"/>
      <c r="K13" s="508"/>
      <c r="L13" s="508"/>
      <c r="M13" s="508"/>
      <c r="N13" s="508"/>
      <c r="O13" s="508"/>
      <c r="P13" s="508"/>
      <c r="Q13" s="508"/>
      <c r="R13" s="508"/>
      <c r="S13" s="508"/>
      <c r="T13" s="508"/>
      <c r="U13" s="508"/>
      <c r="V13" s="508"/>
      <c r="W13" s="508"/>
      <c r="X13" s="508"/>
      <c r="Y13" s="508"/>
      <c r="Z13" s="508"/>
      <c r="AA13" s="508"/>
      <c r="AB13" s="508"/>
      <c r="AC13" s="508"/>
      <c r="AD13" s="508"/>
      <c r="AE13" s="508"/>
      <c r="AF13" s="508"/>
      <c r="AG13" s="508"/>
      <c r="AH13" s="508"/>
      <c r="AI13" s="508"/>
      <c r="AJ13" s="508"/>
      <c r="AK13" s="508"/>
      <c r="AL13" s="508"/>
      <c r="AM13" s="508"/>
      <c r="AN13" s="508">
        <v>0</v>
      </c>
      <c r="AO13" s="508">
        <v>0</v>
      </c>
      <c r="AP13" s="508">
        <v>0</v>
      </c>
      <c r="AQ13" s="508">
        <v>0</v>
      </c>
      <c r="AR13" s="508">
        <v>0</v>
      </c>
      <c r="AS13" s="508">
        <v>0</v>
      </c>
      <c r="AT13" s="508">
        <v>0</v>
      </c>
      <c r="AU13" s="508">
        <v>0</v>
      </c>
      <c r="AV13" s="508">
        <v>0</v>
      </c>
      <c r="AW13" s="508">
        <v>0</v>
      </c>
      <c r="AX13" s="508">
        <v>0</v>
      </c>
      <c r="AY13" s="508">
        <v>0</v>
      </c>
      <c r="AZ13" s="508">
        <v>0</v>
      </c>
      <c r="BA13" s="508">
        <v>0</v>
      </c>
      <c r="BB13" s="508">
        <v>0</v>
      </c>
      <c r="BC13" s="508">
        <v>0</v>
      </c>
      <c r="BD13" s="508">
        <v>0</v>
      </c>
      <c r="BE13" s="508">
        <v>0</v>
      </c>
      <c r="BF13" s="508">
        <v>0</v>
      </c>
      <c r="BG13" s="508">
        <v>0</v>
      </c>
      <c r="BH13" s="508">
        <v>0</v>
      </c>
      <c r="BI13" s="508">
        <v>0</v>
      </c>
      <c r="BJ13" s="508">
        <v>0</v>
      </c>
      <c r="BK13" s="508">
        <v>0</v>
      </c>
      <c r="BL13" s="508">
        <v>0</v>
      </c>
      <c r="BM13" s="508">
        <v>0</v>
      </c>
      <c r="BN13" s="508">
        <v>0</v>
      </c>
      <c r="BO13" s="508">
        <v>0</v>
      </c>
      <c r="BP13" s="508">
        <v>0</v>
      </c>
      <c r="BQ13" s="508"/>
      <c r="BR13" s="508"/>
      <c r="BS13" s="508"/>
      <c r="BT13" s="508"/>
      <c r="BU13" s="508"/>
      <c r="BV13" s="508"/>
      <c r="BW13" s="508"/>
    </row>
    <row r="14" spans="1:75" ht="15" customHeight="1">
      <c r="A14" s="55">
        <v>11</v>
      </c>
      <c r="B14" s="58" t="s">
        <v>44</v>
      </c>
      <c r="C14" s="55">
        <v>28</v>
      </c>
      <c r="D14" s="508"/>
      <c r="E14" s="508"/>
      <c r="F14" s="508"/>
      <c r="G14" s="508"/>
      <c r="H14" s="508"/>
      <c r="I14" s="508"/>
      <c r="J14" s="508"/>
      <c r="K14" s="508"/>
      <c r="L14" s="508"/>
      <c r="M14" s="508"/>
      <c r="N14" s="508"/>
      <c r="O14" s="508"/>
      <c r="P14" s="508"/>
      <c r="Q14" s="508"/>
      <c r="R14" s="508"/>
      <c r="S14" s="508"/>
      <c r="T14" s="508"/>
      <c r="U14" s="508"/>
      <c r="V14" s="508"/>
      <c r="W14" s="508"/>
      <c r="X14" s="508"/>
      <c r="Y14" s="508"/>
      <c r="Z14" s="508"/>
      <c r="AA14" s="508"/>
      <c r="AB14" s="508"/>
      <c r="AC14" s="508"/>
      <c r="AD14" s="508"/>
      <c r="AE14" s="508"/>
      <c r="AF14" s="508"/>
      <c r="AG14" s="508"/>
      <c r="AH14" s="508"/>
      <c r="AI14" s="508"/>
      <c r="AJ14" s="508"/>
      <c r="AK14" s="508"/>
      <c r="AL14" s="508"/>
      <c r="AM14" s="508"/>
      <c r="AN14" s="508">
        <v>0</v>
      </c>
      <c r="AO14" s="508">
        <v>0</v>
      </c>
      <c r="AP14" s="508">
        <v>0</v>
      </c>
      <c r="AQ14" s="508">
        <v>0</v>
      </c>
      <c r="AR14" s="508">
        <v>0</v>
      </c>
      <c r="AS14" s="508">
        <v>0</v>
      </c>
      <c r="AT14" s="508">
        <v>0</v>
      </c>
      <c r="AU14" s="508">
        <v>0</v>
      </c>
      <c r="AV14" s="508">
        <v>0</v>
      </c>
      <c r="AW14" s="508">
        <v>0</v>
      </c>
      <c r="AX14" s="508">
        <v>0</v>
      </c>
      <c r="AY14" s="508">
        <v>0</v>
      </c>
      <c r="AZ14" s="508">
        <v>0</v>
      </c>
      <c r="BA14" s="508">
        <v>0</v>
      </c>
      <c r="BB14" s="508">
        <v>0</v>
      </c>
      <c r="BC14" s="508">
        <v>0</v>
      </c>
      <c r="BD14" s="508">
        <v>0</v>
      </c>
      <c r="BE14" s="508">
        <v>0</v>
      </c>
      <c r="BF14" s="508">
        <v>0</v>
      </c>
      <c r="BG14" s="508">
        <v>0</v>
      </c>
      <c r="BH14" s="508">
        <v>0</v>
      </c>
      <c r="BI14" s="508">
        <v>0</v>
      </c>
      <c r="BJ14" s="508">
        <v>0</v>
      </c>
      <c r="BK14" s="508">
        <v>0</v>
      </c>
      <c r="BL14" s="508">
        <v>0</v>
      </c>
      <c r="BM14" s="508">
        <v>0</v>
      </c>
      <c r="BN14" s="508">
        <v>0</v>
      </c>
      <c r="BO14" s="508">
        <v>0</v>
      </c>
      <c r="BP14" s="508">
        <v>0</v>
      </c>
      <c r="BQ14" s="508"/>
      <c r="BR14" s="508"/>
      <c r="BS14" s="508"/>
      <c r="BT14" s="508"/>
      <c r="BU14" s="508"/>
      <c r="BV14" s="508"/>
      <c r="BW14" s="508"/>
    </row>
    <row r="15" spans="1:75" ht="15" customHeight="1">
      <c r="A15" s="59">
        <v>12</v>
      </c>
      <c r="B15" s="54" t="s">
        <v>324</v>
      </c>
      <c r="C15" s="59">
        <v>28</v>
      </c>
      <c r="D15" s="3">
        <f t="shared" ref="D15:AY15" si="6">SUM(D16:D22)</f>
        <v>0</v>
      </c>
      <c r="E15" s="3">
        <f t="shared" si="6"/>
        <v>0</v>
      </c>
      <c r="F15" s="3">
        <f t="shared" si="6"/>
        <v>0</v>
      </c>
      <c r="G15" s="3">
        <f t="shared" si="6"/>
        <v>0</v>
      </c>
      <c r="H15" s="3">
        <f t="shared" si="6"/>
        <v>0</v>
      </c>
      <c r="I15" s="3">
        <f t="shared" si="6"/>
        <v>0</v>
      </c>
      <c r="J15" s="3">
        <f t="shared" si="6"/>
        <v>0</v>
      </c>
      <c r="K15" s="3">
        <f t="shared" si="6"/>
        <v>0</v>
      </c>
      <c r="L15" s="3">
        <f t="shared" si="6"/>
        <v>0</v>
      </c>
      <c r="M15" s="3">
        <f t="shared" si="6"/>
        <v>0</v>
      </c>
      <c r="N15" s="3">
        <f t="shared" si="6"/>
        <v>0</v>
      </c>
      <c r="O15" s="3">
        <f t="shared" si="6"/>
        <v>0</v>
      </c>
      <c r="P15" s="3">
        <f t="shared" si="6"/>
        <v>0</v>
      </c>
      <c r="Q15" s="3">
        <f t="shared" si="6"/>
        <v>0</v>
      </c>
      <c r="R15" s="3">
        <f t="shared" si="6"/>
        <v>0</v>
      </c>
      <c r="S15" s="3">
        <f t="shared" si="6"/>
        <v>0</v>
      </c>
      <c r="T15" s="3">
        <f t="shared" si="6"/>
        <v>0</v>
      </c>
      <c r="U15" s="3">
        <f t="shared" si="6"/>
        <v>0</v>
      </c>
      <c r="V15" s="3">
        <f t="shared" si="6"/>
        <v>0</v>
      </c>
      <c r="W15" s="3">
        <f t="shared" si="6"/>
        <v>0</v>
      </c>
      <c r="X15" s="3">
        <f t="shared" si="6"/>
        <v>0</v>
      </c>
      <c r="Y15" s="3">
        <f t="shared" si="6"/>
        <v>0</v>
      </c>
      <c r="Z15" s="3">
        <f t="shared" si="6"/>
        <v>0</v>
      </c>
      <c r="AA15" s="3">
        <f t="shared" si="6"/>
        <v>0</v>
      </c>
      <c r="AB15" s="3">
        <f t="shared" si="6"/>
        <v>0</v>
      </c>
      <c r="AC15" s="3">
        <f t="shared" si="6"/>
        <v>0</v>
      </c>
      <c r="AD15" s="3">
        <f t="shared" si="6"/>
        <v>0</v>
      </c>
      <c r="AE15" s="3">
        <f t="shared" si="6"/>
        <v>0</v>
      </c>
      <c r="AF15" s="3">
        <f t="shared" si="6"/>
        <v>0</v>
      </c>
      <c r="AG15" s="3">
        <f t="shared" si="6"/>
        <v>0</v>
      </c>
      <c r="AH15" s="3">
        <f t="shared" si="6"/>
        <v>0</v>
      </c>
      <c r="AI15" s="3">
        <f t="shared" si="6"/>
        <v>0</v>
      </c>
      <c r="AJ15" s="3">
        <f t="shared" si="6"/>
        <v>0</v>
      </c>
      <c r="AK15" s="3">
        <f t="shared" si="6"/>
        <v>0</v>
      </c>
      <c r="AL15" s="3">
        <f t="shared" si="6"/>
        <v>0</v>
      </c>
      <c r="AM15" s="3">
        <f t="shared" si="6"/>
        <v>0</v>
      </c>
      <c r="AN15" s="3">
        <f t="shared" si="6"/>
        <v>208760771261.14001</v>
      </c>
      <c r="AO15" s="3">
        <f t="shared" si="6"/>
        <v>193914556321.14001</v>
      </c>
      <c r="AP15" s="3">
        <f t="shared" si="6"/>
        <v>201044728738</v>
      </c>
      <c r="AQ15" s="3">
        <f t="shared" si="6"/>
        <v>218534804131</v>
      </c>
      <c r="AR15" s="3">
        <f t="shared" si="6"/>
        <v>221552374341.74799</v>
      </c>
      <c r="AS15" s="3">
        <f t="shared" si="6"/>
        <v>247679067362.74799</v>
      </c>
      <c r="AT15" s="3">
        <f t="shared" si="6"/>
        <v>152821201175.51801</v>
      </c>
      <c r="AU15" s="3">
        <f t="shared" si="6"/>
        <v>177806369111.51801</v>
      </c>
      <c r="AV15" s="3">
        <f t="shared" si="6"/>
        <v>209006347244.51801</v>
      </c>
      <c r="AW15" s="3">
        <f t="shared" si="6"/>
        <v>202825461782.51801</v>
      </c>
      <c r="AX15" s="3">
        <f t="shared" si="6"/>
        <v>243037929149.51801</v>
      </c>
      <c r="AY15" s="4">
        <f t="shared" si="6"/>
        <v>226296560348</v>
      </c>
      <c r="AZ15" s="4">
        <v>222406194448</v>
      </c>
      <c r="BA15" s="4">
        <v>266345785436.51801</v>
      </c>
      <c r="BB15" s="4">
        <v>310288883815</v>
      </c>
      <c r="BC15" s="4">
        <v>296898185243.51801</v>
      </c>
      <c r="BD15" s="4">
        <v>354207256666.51801</v>
      </c>
      <c r="BE15" s="4">
        <v>365571482051</v>
      </c>
      <c r="BF15" s="4">
        <v>339058924133</v>
      </c>
      <c r="BG15" s="4">
        <v>425113236252</v>
      </c>
      <c r="BH15" s="4">
        <v>357432202896</v>
      </c>
      <c r="BI15" s="4">
        <v>315052540892</v>
      </c>
      <c r="BJ15" s="4">
        <v>297501008911</v>
      </c>
      <c r="BK15" s="4">
        <v>310459942750</v>
      </c>
      <c r="BL15" s="4">
        <v>279961205359</v>
      </c>
      <c r="BM15" s="4">
        <v>303216966393.40002</v>
      </c>
      <c r="BN15" s="4">
        <v>343051411345</v>
      </c>
      <c r="BO15" s="4">
        <v>341187593965</v>
      </c>
      <c r="BP15" s="4">
        <v>431651334653</v>
      </c>
      <c r="BQ15" s="4">
        <f t="shared" ref="BQ15:BW15" si="7">SUM(BQ16:BQ22)</f>
        <v>0</v>
      </c>
      <c r="BR15" s="4">
        <f t="shared" si="7"/>
        <v>0</v>
      </c>
      <c r="BS15" s="4">
        <f t="shared" si="7"/>
        <v>0</v>
      </c>
      <c r="BT15" s="4">
        <f t="shared" si="7"/>
        <v>0</v>
      </c>
      <c r="BU15" s="4">
        <f t="shared" si="7"/>
        <v>0</v>
      </c>
      <c r="BV15" s="4">
        <f t="shared" si="7"/>
        <v>0</v>
      </c>
      <c r="BW15" s="4">
        <f t="shared" si="7"/>
        <v>0</v>
      </c>
    </row>
    <row r="16" spans="1:75" ht="15" customHeight="1">
      <c r="A16" s="55">
        <v>13</v>
      </c>
      <c r="B16" s="60" t="s">
        <v>46</v>
      </c>
      <c r="C16" s="55">
        <v>28</v>
      </c>
      <c r="D16" s="508"/>
      <c r="E16" s="508"/>
      <c r="F16" s="508"/>
      <c r="G16" s="508"/>
      <c r="H16" s="508"/>
      <c r="I16" s="508"/>
      <c r="J16" s="508"/>
      <c r="K16" s="508"/>
      <c r="L16" s="508"/>
      <c r="M16" s="508"/>
      <c r="N16" s="508"/>
      <c r="O16" s="508"/>
      <c r="P16" s="508"/>
      <c r="Q16" s="508"/>
      <c r="R16" s="508"/>
      <c r="S16" s="508"/>
      <c r="T16" s="508"/>
      <c r="U16" s="508"/>
      <c r="V16" s="508"/>
      <c r="W16" s="508"/>
      <c r="X16" s="508"/>
      <c r="Y16" s="508"/>
      <c r="Z16" s="508"/>
      <c r="AA16" s="508"/>
      <c r="AB16" s="508"/>
      <c r="AC16" s="508"/>
      <c r="AD16" s="508"/>
      <c r="AE16" s="508"/>
      <c r="AF16" s="508"/>
      <c r="AG16" s="508"/>
      <c r="AH16" s="508"/>
      <c r="AI16" s="508"/>
      <c r="AJ16" s="508"/>
      <c r="AK16" s="508"/>
      <c r="AL16" s="508"/>
      <c r="AM16" s="508"/>
      <c r="AN16" s="508">
        <v>139866573147</v>
      </c>
      <c r="AO16" s="508">
        <v>145639317187</v>
      </c>
      <c r="AP16" s="508">
        <v>145029363992</v>
      </c>
      <c r="AQ16" s="508">
        <v>158990592845</v>
      </c>
      <c r="AR16" s="508">
        <v>169879811667</v>
      </c>
      <c r="AS16" s="508">
        <v>169929811366</v>
      </c>
      <c r="AT16" s="508">
        <v>102331112462</v>
      </c>
      <c r="AU16" s="508">
        <v>127587662576</v>
      </c>
      <c r="AV16" s="508">
        <v>161236707683</v>
      </c>
      <c r="AW16" s="508">
        <v>156193512518</v>
      </c>
      <c r="AX16" s="508">
        <v>158918995344</v>
      </c>
      <c r="AY16" s="508">
        <v>159389289311</v>
      </c>
      <c r="AZ16" s="508">
        <v>105980494877</v>
      </c>
      <c r="BA16" s="508">
        <v>159524871557</v>
      </c>
      <c r="BB16" s="508">
        <v>200045097235</v>
      </c>
      <c r="BC16" s="508">
        <v>155380145983</v>
      </c>
      <c r="BD16" s="508">
        <v>167509298140</v>
      </c>
      <c r="BE16" s="508">
        <v>154486175751</v>
      </c>
      <c r="BF16" s="508">
        <v>153095689903</v>
      </c>
      <c r="BG16" s="508">
        <v>190031772805</v>
      </c>
      <c r="BH16" s="508">
        <v>157982845758</v>
      </c>
      <c r="BI16" s="508">
        <v>151626732436</v>
      </c>
      <c r="BJ16" s="508">
        <v>154563122279</v>
      </c>
      <c r="BK16" s="508">
        <v>154220517132</v>
      </c>
      <c r="BL16" s="508">
        <v>132729767167</v>
      </c>
      <c r="BM16" s="508">
        <v>140125808596.39999</v>
      </c>
      <c r="BN16" s="508">
        <v>152517322708</v>
      </c>
      <c r="BO16" s="508">
        <v>177359967457</v>
      </c>
      <c r="BP16" s="508">
        <v>177880438140</v>
      </c>
      <c r="BQ16" s="508"/>
      <c r="BR16" s="508"/>
      <c r="BS16" s="508"/>
      <c r="BT16" s="508"/>
      <c r="BU16" s="508"/>
      <c r="BV16" s="508"/>
      <c r="BW16" s="508"/>
    </row>
    <row r="17" spans="1:75" ht="15" customHeight="1">
      <c r="A17" s="55">
        <v>14</v>
      </c>
      <c r="B17" s="60" t="s">
        <v>47</v>
      </c>
      <c r="C17" s="55">
        <v>28</v>
      </c>
      <c r="D17" s="508"/>
      <c r="E17" s="508"/>
      <c r="F17" s="508"/>
      <c r="G17" s="508"/>
      <c r="H17" s="508"/>
      <c r="I17" s="508"/>
      <c r="J17" s="508"/>
      <c r="K17" s="508"/>
      <c r="L17" s="508"/>
      <c r="M17" s="508"/>
      <c r="N17" s="508"/>
      <c r="O17" s="508"/>
      <c r="P17" s="508"/>
      <c r="Q17" s="508"/>
      <c r="R17" s="508"/>
      <c r="S17" s="508"/>
      <c r="T17" s="508"/>
      <c r="U17" s="508"/>
      <c r="V17" s="508"/>
      <c r="W17" s="508"/>
      <c r="X17" s="508"/>
      <c r="Y17" s="508"/>
      <c r="Z17" s="508"/>
      <c r="AA17" s="508"/>
      <c r="AB17" s="508"/>
      <c r="AC17" s="508"/>
      <c r="AD17" s="508"/>
      <c r="AE17" s="508"/>
      <c r="AF17" s="508"/>
      <c r="AG17" s="508"/>
      <c r="AH17" s="508"/>
      <c r="AI17" s="508"/>
      <c r="AJ17" s="508"/>
      <c r="AK17" s="508"/>
      <c r="AL17" s="508"/>
      <c r="AM17" s="508"/>
      <c r="AN17" s="508">
        <v>19848285706</v>
      </c>
      <c r="AO17" s="508">
        <v>18001368927</v>
      </c>
      <c r="AP17" s="508">
        <v>17409185425</v>
      </c>
      <c r="AQ17" s="508">
        <v>18980934468</v>
      </c>
      <c r="AR17" s="508">
        <v>18972917626</v>
      </c>
      <c r="AS17" s="508">
        <v>16946912554</v>
      </c>
      <c r="AT17" s="508">
        <v>15624304617</v>
      </c>
      <c r="AU17" s="508">
        <v>15352055458</v>
      </c>
      <c r="AV17" s="508">
        <v>12264421488</v>
      </c>
      <c r="AW17" s="508">
        <v>10758004465</v>
      </c>
      <c r="AX17" s="508">
        <v>12010431039</v>
      </c>
      <c r="AY17" s="508">
        <v>24401454639</v>
      </c>
      <c r="AZ17" s="508">
        <v>18219388431</v>
      </c>
      <c r="BA17" s="508">
        <v>22646304860</v>
      </c>
      <c r="BB17" s="508">
        <v>20708830735</v>
      </c>
      <c r="BC17" s="508">
        <v>26192684967</v>
      </c>
      <c r="BD17" s="508">
        <v>62897284043</v>
      </c>
      <c r="BE17" s="508">
        <v>65291388780</v>
      </c>
      <c r="BF17" s="508">
        <v>54584222857</v>
      </c>
      <c r="BG17" s="508">
        <v>69767861908</v>
      </c>
      <c r="BH17" s="508">
        <v>76188674935</v>
      </c>
      <c r="BI17" s="508">
        <v>71648142604</v>
      </c>
      <c r="BJ17" s="508">
        <v>61105796375</v>
      </c>
      <c r="BK17" s="508">
        <v>60848470883</v>
      </c>
      <c r="BL17" s="508">
        <v>68216577270</v>
      </c>
      <c r="BM17" s="508">
        <v>71732450749</v>
      </c>
      <c r="BN17" s="508">
        <v>84845735477</v>
      </c>
      <c r="BO17" s="508">
        <v>66925106351</v>
      </c>
      <c r="BP17" s="508">
        <v>153006350044</v>
      </c>
      <c r="BQ17" s="508"/>
      <c r="BR17" s="508"/>
      <c r="BS17" s="508"/>
      <c r="BT17" s="508"/>
      <c r="BU17" s="508"/>
      <c r="BV17" s="508"/>
      <c r="BW17" s="508"/>
    </row>
    <row r="18" spans="1:75" ht="15" customHeight="1">
      <c r="A18" s="55">
        <v>15</v>
      </c>
      <c r="B18" s="60" t="s">
        <v>48</v>
      </c>
      <c r="C18" s="55">
        <v>28</v>
      </c>
      <c r="D18" s="508"/>
      <c r="E18" s="508"/>
      <c r="F18" s="508"/>
      <c r="G18" s="508"/>
      <c r="H18" s="508"/>
      <c r="I18" s="508"/>
      <c r="J18" s="508"/>
      <c r="K18" s="508"/>
      <c r="L18" s="508"/>
      <c r="M18" s="508"/>
      <c r="N18" s="508"/>
      <c r="O18" s="508"/>
      <c r="P18" s="508"/>
      <c r="Q18" s="508"/>
      <c r="R18" s="508"/>
      <c r="S18" s="508"/>
      <c r="T18" s="508"/>
      <c r="U18" s="508"/>
      <c r="V18" s="508"/>
      <c r="W18" s="508"/>
      <c r="X18" s="508"/>
      <c r="Y18" s="508"/>
      <c r="Z18" s="508"/>
      <c r="AA18" s="508"/>
      <c r="AB18" s="508"/>
      <c r="AC18" s="508"/>
      <c r="AD18" s="508"/>
      <c r="AE18" s="508"/>
      <c r="AF18" s="508"/>
      <c r="AG18" s="508"/>
      <c r="AH18" s="508"/>
      <c r="AI18" s="508"/>
      <c r="AJ18" s="508"/>
      <c r="AK18" s="508"/>
      <c r="AL18" s="508"/>
      <c r="AM18" s="508"/>
      <c r="AN18" s="508">
        <v>0</v>
      </c>
      <c r="AO18" s="508">
        <v>0</v>
      </c>
      <c r="AP18" s="508">
        <v>0</v>
      </c>
      <c r="AQ18" s="508">
        <v>0</v>
      </c>
      <c r="AR18" s="508">
        <v>0</v>
      </c>
      <c r="AS18" s="508">
        <v>0</v>
      </c>
      <c r="AT18" s="508">
        <v>0</v>
      </c>
      <c r="AU18" s="508">
        <v>0</v>
      </c>
      <c r="AV18" s="508">
        <v>0</v>
      </c>
      <c r="AW18" s="508">
        <v>0</v>
      </c>
      <c r="AX18" s="508">
        <v>0</v>
      </c>
      <c r="AY18" s="508">
        <v>0</v>
      </c>
      <c r="AZ18" s="508">
        <v>0</v>
      </c>
      <c r="BA18" s="508">
        <v>0</v>
      </c>
      <c r="BB18" s="508">
        <v>0</v>
      </c>
      <c r="BC18" s="508">
        <v>0</v>
      </c>
      <c r="BD18" s="508">
        <v>0</v>
      </c>
      <c r="BE18" s="508">
        <v>0</v>
      </c>
      <c r="BF18" s="508">
        <v>0</v>
      </c>
      <c r="BG18" s="508">
        <v>0</v>
      </c>
      <c r="BH18" s="508">
        <v>0</v>
      </c>
      <c r="BI18" s="508">
        <v>0</v>
      </c>
      <c r="BJ18" s="508">
        <v>0</v>
      </c>
      <c r="BK18" s="508">
        <v>0</v>
      </c>
      <c r="BL18" s="508">
        <v>0</v>
      </c>
      <c r="BM18" s="508">
        <v>0</v>
      </c>
      <c r="BN18" s="508">
        <v>0</v>
      </c>
      <c r="BO18" s="508">
        <v>0</v>
      </c>
      <c r="BP18" s="508">
        <v>0</v>
      </c>
      <c r="BQ18" s="508"/>
      <c r="BR18" s="508"/>
      <c r="BS18" s="508"/>
      <c r="BT18" s="508"/>
      <c r="BU18" s="508"/>
      <c r="BV18" s="508"/>
      <c r="BW18" s="508"/>
    </row>
    <row r="19" spans="1:75" ht="15" customHeight="1">
      <c r="A19" s="55">
        <v>16</v>
      </c>
      <c r="B19" s="60" t="s">
        <v>49</v>
      </c>
      <c r="C19" s="55">
        <v>28</v>
      </c>
      <c r="D19" s="508"/>
      <c r="E19" s="508"/>
      <c r="F19" s="508"/>
      <c r="G19" s="508"/>
      <c r="H19" s="508"/>
      <c r="I19" s="508"/>
      <c r="J19" s="508"/>
      <c r="K19" s="508"/>
      <c r="L19" s="508"/>
      <c r="M19" s="508"/>
      <c r="N19" s="508"/>
      <c r="O19" s="508"/>
      <c r="P19" s="508"/>
      <c r="Q19" s="508"/>
      <c r="R19" s="508"/>
      <c r="S19" s="508"/>
      <c r="T19" s="508"/>
      <c r="U19" s="508"/>
      <c r="V19" s="508"/>
      <c r="W19" s="508"/>
      <c r="X19" s="508"/>
      <c r="Y19" s="508"/>
      <c r="Z19" s="508"/>
      <c r="AA19" s="508"/>
      <c r="AB19" s="508"/>
      <c r="AC19" s="508"/>
      <c r="AD19" s="508"/>
      <c r="AE19" s="508"/>
      <c r="AF19" s="508"/>
      <c r="AG19" s="508"/>
      <c r="AH19" s="508"/>
      <c r="AI19" s="508"/>
      <c r="AJ19" s="508"/>
      <c r="AK19" s="508"/>
      <c r="AL19" s="508"/>
      <c r="AM19" s="508"/>
      <c r="AN19" s="508">
        <v>0</v>
      </c>
      <c r="AO19" s="508">
        <v>0</v>
      </c>
      <c r="AP19" s="508">
        <v>0</v>
      </c>
      <c r="AQ19" s="508">
        <v>0</v>
      </c>
      <c r="AR19" s="508">
        <v>0</v>
      </c>
      <c r="AS19" s="508">
        <v>0</v>
      </c>
      <c r="AT19" s="508">
        <v>0</v>
      </c>
      <c r="AU19" s="508">
        <v>0</v>
      </c>
      <c r="AV19" s="508">
        <v>0</v>
      </c>
      <c r="AW19" s="508">
        <v>0</v>
      </c>
      <c r="AX19" s="508">
        <v>0</v>
      </c>
      <c r="AY19" s="508">
        <v>0</v>
      </c>
      <c r="AZ19" s="508">
        <v>0</v>
      </c>
      <c r="BA19" s="508">
        <v>0</v>
      </c>
      <c r="BB19" s="508">
        <v>0</v>
      </c>
      <c r="BC19" s="508">
        <v>0</v>
      </c>
      <c r="BD19" s="508">
        <v>0</v>
      </c>
      <c r="BE19" s="508">
        <v>0</v>
      </c>
      <c r="BF19" s="508">
        <v>0</v>
      </c>
      <c r="BG19" s="508">
        <v>0</v>
      </c>
      <c r="BH19" s="508">
        <v>0</v>
      </c>
      <c r="BI19" s="508">
        <v>0</v>
      </c>
      <c r="BJ19" s="508">
        <v>0</v>
      </c>
      <c r="BK19" s="508">
        <v>0</v>
      </c>
      <c r="BL19" s="508">
        <v>0</v>
      </c>
      <c r="BM19" s="508">
        <v>0</v>
      </c>
      <c r="BN19" s="508">
        <v>0</v>
      </c>
      <c r="BO19" s="508">
        <v>0</v>
      </c>
      <c r="BP19" s="508">
        <v>0</v>
      </c>
      <c r="BQ19" s="508"/>
      <c r="BR19" s="508"/>
      <c r="BS19" s="508"/>
      <c r="BT19" s="508"/>
      <c r="BU19" s="508"/>
      <c r="BV19" s="508"/>
      <c r="BW19" s="508"/>
    </row>
    <row r="20" spans="1:75" ht="15" customHeight="1">
      <c r="A20" s="55">
        <v>17</v>
      </c>
      <c r="B20" s="60" t="s">
        <v>50</v>
      </c>
      <c r="C20" s="55">
        <v>28</v>
      </c>
      <c r="D20" s="508"/>
      <c r="E20" s="508"/>
      <c r="F20" s="508"/>
      <c r="G20" s="508"/>
      <c r="H20" s="508"/>
      <c r="I20" s="508"/>
      <c r="J20" s="508"/>
      <c r="K20" s="508"/>
      <c r="L20" s="508"/>
      <c r="M20" s="508"/>
      <c r="N20" s="508"/>
      <c r="O20" s="508"/>
      <c r="P20" s="508"/>
      <c r="Q20" s="508"/>
      <c r="R20" s="508"/>
      <c r="S20" s="508"/>
      <c r="T20" s="508"/>
      <c r="U20" s="508"/>
      <c r="V20" s="508"/>
      <c r="W20" s="508"/>
      <c r="X20" s="508"/>
      <c r="Y20" s="508"/>
      <c r="Z20" s="508"/>
      <c r="AA20" s="508"/>
      <c r="AB20" s="508"/>
      <c r="AC20" s="508"/>
      <c r="AD20" s="508"/>
      <c r="AE20" s="508"/>
      <c r="AF20" s="508"/>
      <c r="AG20" s="508"/>
      <c r="AH20" s="508"/>
      <c r="AI20" s="508"/>
      <c r="AJ20" s="508"/>
      <c r="AK20" s="508"/>
      <c r="AL20" s="508"/>
      <c r="AM20" s="508"/>
      <c r="AN20" s="508">
        <v>49691047547.139999</v>
      </c>
      <c r="AO20" s="508">
        <v>30919005346.139999</v>
      </c>
      <c r="AP20" s="508">
        <v>30825313041</v>
      </c>
      <c r="AQ20" s="508">
        <v>32782410538</v>
      </c>
      <c r="AR20" s="508">
        <v>33344780187.748001</v>
      </c>
      <c r="AS20" s="508">
        <v>61447478581.748001</v>
      </c>
      <c r="AT20" s="508">
        <v>35510919235.517998</v>
      </c>
      <c r="AU20" s="508">
        <v>35511786216.517998</v>
      </c>
      <c r="AV20" s="508">
        <v>36150353212.517998</v>
      </c>
      <c r="AW20" s="508">
        <v>36519079938.517998</v>
      </c>
      <c r="AX20" s="508">
        <v>72633112041.518005</v>
      </c>
      <c r="AY20" s="508">
        <v>42505816398</v>
      </c>
      <c r="AZ20" s="508">
        <v>98206311140</v>
      </c>
      <c r="BA20" s="508">
        <v>84174609019.518005</v>
      </c>
      <c r="BB20" s="508">
        <v>89534955845</v>
      </c>
      <c r="BC20" s="508">
        <v>115325354293.51801</v>
      </c>
      <c r="BD20" s="508">
        <v>123800674483.51801</v>
      </c>
      <c r="BE20" s="508">
        <v>145793917520</v>
      </c>
      <c r="BF20" s="508">
        <v>131379011373</v>
      </c>
      <c r="BG20" s="508">
        <v>165313601539</v>
      </c>
      <c r="BH20" s="508">
        <v>123260682203</v>
      </c>
      <c r="BI20" s="508">
        <v>91777665852</v>
      </c>
      <c r="BJ20" s="508">
        <v>81832090257</v>
      </c>
      <c r="BK20" s="508">
        <v>96000050435</v>
      </c>
      <c r="BL20" s="508">
        <v>78504042664</v>
      </c>
      <c r="BM20" s="508">
        <v>90712080902</v>
      </c>
      <c r="BN20" s="508">
        <v>105041727014</v>
      </c>
      <c r="BO20" s="508">
        <v>96255894011</v>
      </c>
      <c r="BP20" s="508">
        <v>100690688471</v>
      </c>
      <c r="BQ20" s="508"/>
      <c r="BR20" s="508"/>
      <c r="BS20" s="508"/>
      <c r="BT20" s="508"/>
      <c r="BU20" s="508"/>
      <c r="BV20" s="508"/>
      <c r="BW20" s="508"/>
    </row>
    <row r="21" spans="1:75" ht="15" customHeight="1">
      <c r="A21" s="55">
        <v>18</v>
      </c>
      <c r="B21" s="60" t="s">
        <v>51</v>
      </c>
      <c r="C21" s="55">
        <v>28</v>
      </c>
      <c r="D21" s="508"/>
      <c r="E21" s="508"/>
      <c r="F21" s="508"/>
      <c r="G21" s="508"/>
      <c r="H21" s="508"/>
      <c r="I21" s="508"/>
      <c r="J21" s="508"/>
      <c r="K21" s="508"/>
      <c r="L21" s="508"/>
      <c r="M21" s="508"/>
      <c r="N21" s="508"/>
      <c r="O21" s="508"/>
      <c r="P21" s="508"/>
      <c r="Q21" s="508"/>
      <c r="R21" s="508"/>
      <c r="S21" s="508"/>
      <c r="T21" s="508"/>
      <c r="U21" s="508"/>
      <c r="V21" s="508"/>
      <c r="W21" s="508"/>
      <c r="X21" s="508"/>
      <c r="Y21" s="508"/>
      <c r="Z21" s="508"/>
      <c r="AA21" s="508"/>
      <c r="AB21" s="508"/>
      <c r="AC21" s="508"/>
      <c r="AD21" s="508"/>
      <c r="AE21" s="508"/>
      <c r="AF21" s="508"/>
      <c r="AG21" s="508"/>
      <c r="AH21" s="508"/>
      <c r="AI21" s="508"/>
      <c r="AJ21" s="508"/>
      <c r="AK21" s="508"/>
      <c r="AL21" s="508"/>
      <c r="AM21" s="508"/>
      <c r="AN21" s="508">
        <v>-120525864</v>
      </c>
      <c r="AO21" s="508">
        <v>-120525864</v>
      </c>
      <c r="AP21" s="508">
        <v>-120525864</v>
      </c>
      <c r="AQ21" s="508">
        <v>-120525864</v>
      </c>
      <c r="AR21" s="508">
        <v>-120525864</v>
      </c>
      <c r="AS21" s="508">
        <v>-120525864</v>
      </c>
      <c r="AT21" s="508">
        <v>-120525864</v>
      </c>
      <c r="AU21" s="508">
        <v>-120525864</v>
      </c>
      <c r="AV21" s="508">
        <v>-120525864</v>
      </c>
      <c r="AW21" s="508">
        <v>-120525864</v>
      </c>
      <c r="AX21" s="508">
        <v>0</v>
      </c>
      <c r="AY21" s="508">
        <v>0</v>
      </c>
      <c r="AZ21" s="508">
        <v>0</v>
      </c>
      <c r="BA21" s="508">
        <v>0</v>
      </c>
      <c r="BB21" s="508">
        <v>0</v>
      </c>
      <c r="BC21" s="508">
        <v>0</v>
      </c>
      <c r="BD21" s="508">
        <v>0</v>
      </c>
      <c r="BE21" s="508">
        <v>0</v>
      </c>
      <c r="BF21" s="508">
        <v>0</v>
      </c>
      <c r="BG21" s="508">
        <v>0</v>
      </c>
      <c r="BH21" s="508">
        <v>0</v>
      </c>
      <c r="BI21" s="508">
        <v>0</v>
      </c>
      <c r="BJ21" s="508">
        <v>0</v>
      </c>
      <c r="BK21" s="508">
        <v>-609095700</v>
      </c>
      <c r="BL21" s="508">
        <v>-609095700</v>
      </c>
      <c r="BM21" s="508">
        <v>-609095700</v>
      </c>
      <c r="BN21" s="508">
        <v>-609095700</v>
      </c>
      <c r="BO21" s="508">
        <v>-609095700</v>
      </c>
      <c r="BP21" s="508">
        <v>-609095700</v>
      </c>
      <c r="BQ21" s="508"/>
      <c r="BR21" s="508"/>
      <c r="BS21" s="508"/>
      <c r="BT21" s="508"/>
      <c r="BU21" s="508"/>
      <c r="BV21" s="508"/>
      <c r="BW21" s="508"/>
    </row>
    <row r="22" spans="1:75" ht="15" customHeight="1">
      <c r="A22" s="55">
        <v>19</v>
      </c>
      <c r="B22" s="61" t="s">
        <v>52</v>
      </c>
      <c r="C22" s="55">
        <v>28</v>
      </c>
      <c r="D22" s="508"/>
      <c r="E22" s="508"/>
      <c r="F22" s="508"/>
      <c r="G22" s="508"/>
      <c r="H22" s="508"/>
      <c r="I22" s="508"/>
      <c r="J22" s="508"/>
      <c r="K22" s="508"/>
      <c r="L22" s="508"/>
      <c r="M22" s="508"/>
      <c r="N22" s="508"/>
      <c r="O22" s="508"/>
      <c r="P22" s="508"/>
      <c r="Q22" s="508"/>
      <c r="R22" s="508"/>
      <c r="S22" s="508"/>
      <c r="T22" s="508"/>
      <c r="U22" s="508"/>
      <c r="V22" s="508"/>
      <c r="W22" s="508"/>
      <c r="X22" s="508"/>
      <c r="Y22" s="508"/>
      <c r="Z22" s="508"/>
      <c r="AA22" s="508"/>
      <c r="AB22" s="508"/>
      <c r="AC22" s="508"/>
      <c r="AD22" s="508"/>
      <c r="AE22" s="508"/>
      <c r="AF22" s="508"/>
      <c r="AG22" s="508"/>
      <c r="AH22" s="508"/>
      <c r="AI22" s="508"/>
      <c r="AJ22" s="508"/>
      <c r="AK22" s="508"/>
      <c r="AL22" s="508"/>
      <c r="AM22" s="508"/>
      <c r="AN22" s="508">
        <v>-524609275</v>
      </c>
      <c r="AO22" s="508">
        <v>-524609275</v>
      </c>
      <c r="AP22" s="508">
        <v>7901392144</v>
      </c>
      <c r="AQ22" s="508">
        <v>7901392144</v>
      </c>
      <c r="AR22" s="508">
        <v>-524609275</v>
      </c>
      <c r="AS22" s="508">
        <v>-524609275</v>
      </c>
      <c r="AT22" s="508">
        <v>-524609275</v>
      </c>
      <c r="AU22" s="508">
        <v>-524609275</v>
      </c>
      <c r="AV22" s="508">
        <v>-524609275</v>
      </c>
      <c r="AW22" s="508">
        <v>-524609275</v>
      </c>
      <c r="AX22" s="508">
        <v>-524609275</v>
      </c>
      <c r="AY22" s="508">
        <v>0</v>
      </c>
      <c r="AZ22" s="508">
        <v>0</v>
      </c>
      <c r="BA22" s="508">
        <v>0</v>
      </c>
      <c r="BB22" s="508">
        <v>0</v>
      </c>
      <c r="BC22" s="508">
        <v>0</v>
      </c>
      <c r="BD22" s="508">
        <v>0</v>
      </c>
      <c r="BE22" s="508">
        <v>0</v>
      </c>
      <c r="BF22" s="508">
        <v>0</v>
      </c>
      <c r="BG22" s="508">
        <v>0</v>
      </c>
      <c r="BH22" s="508">
        <v>0</v>
      </c>
      <c r="BI22" s="508">
        <v>0</v>
      </c>
      <c r="BJ22" s="508">
        <v>0</v>
      </c>
      <c r="BK22" s="508">
        <v>0</v>
      </c>
      <c r="BL22" s="508">
        <v>1119913958</v>
      </c>
      <c r="BM22" s="508">
        <v>1255721846</v>
      </c>
      <c r="BN22" s="508">
        <v>1255721846</v>
      </c>
      <c r="BO22" s="508">
        <v>1255721846</v>
      </c>
      <c r="BP22" s="508">
        <v>682953698</v>
      </c>
      <c r="BQ22" s="508"/>
      <c r="BR22" s="508"/>
      <c r="BS22" s="508"/>
      <c r="BT22" s="508"/>
      <c r="BU22" s="508"/>
      <c r="BV22" s="508"/>
      <c r="BW22" s="508"/>
    </row>
    <row r="23" spans="1:75" ht="15" customHeight="1">
      <c r="A23" s="59">
        <v>20</v>
      </c>
      <c r="B23" s="54" t="s">
        <v>53</v>
      </c>
      <c r="C23" s="59">
        <v>28</v>
      </c>
      <c r="D23" s="3">
        <f t="shared" ref="D23:AY23" si="8">SUM(D24:D25)</f>
        <v>0</v>
      </c>
      <c r="E23" s="3">
        <f t="shared" si="8"/>
        <v>0</v>
      </c>
      <c r="F23" s="3">
        <f t="shared" si="8"/>
        <v>0</v>
      </c>
      <c r="G23" s="3">
        <f t="shared" si="8"/>
        <v>0</v>
      </c>
      <c r="H23" s="3">
        <f t="shared" si="8"/>
        <v>0</v>
      </c>
      <c r="I23" s="3">
        <f t="shared" si="8"/>
        <v>0</v>
      </c>
      <c r="J23" s="3">
        <f t="shared" si="8"/>
        <v>0</v>
      </c>
      <c r="K23" s="3">
        <f t="shared" si="8"/>
        <v>0</v>
      </c>
      <c r="L23" s="3">
        <f t="shared" si="8"/>
        <v>0</v>
      </c>
      <c r="M23" s="3">
        <f t="shared" si="8"/>
        <v>0</v>
      </c>
      <c r="N23" s="3">
        <f t="shared" si="8"/>
        <v>0</v>
      </c>
      <c r="O23" s="3">
        <f t="shared" si="8"/>
        <v>0</v>
      </c>
      <c r="P23" s="3">
        <f t="shared" si="8"/>
        <v>0</v>
      </c>
      <c r="Q23" s="3">
        <f t="shared" si="8"/>
        <v>0</v>
      </c>
      <c r="R23" s="3">
        <f t="shared" si="8"/>
        <v>0</v>
      </c>
      <c r="S23" s="3">
        <f t="shared" si="8"/>
        <v>0</v>
      </c>
      <c r="T23" s="3">
        <f t="shared" si="8"/>
        <v>0</v>
      </c>
      <c r="U23" s="3">
        <f t="shared" si="8"/>
        <v>0</v>
      </c>
      <c r="V23" s="3">
        <f t="shared" si="8"/>
        <v>0</v>
      </c>
      <c r="W23" s="3">
        <f t="shared" si="8"/>
        <v>0</v>
      </c>
      <c r="X23" s="3">
        <f t="shared" si="8"/>
        <v>0</v>
      </c>
      <c r="Y23" s="3">
        <f t="shared" si="8"/>
        <v>0</v>
      </c>
      <c r="Z23" s="3">
        <f t="shared" si="8"/>
        <v>0</v>
      </c>
      <c r="AA23" s="3">
        <f t="shared" si="8"/>
        <v>0</v>
      </c>
      <c r="AB23" s="3">
        <f t="shared" si="8"/>
        <v>0</v>
      </c>
      <c r="AC23" s="3">
        <f t="shared" si="8"/>
        <v>0</v>
      </c>
      <c r="AD23" s="3">
        <f t="shared" si="8"/>
        <v>0</v>
      </c>
      <c r="AE23" s="3">
        <f t="shared" si="8"/>
        <v>0</v>
      </c>
      <c r="AF23" s="3">
        <f t="shared" si="8"/>
        <v>0</v>
      </c>
      <c r="AG23" s="3">
        <f t="shared" si="8"/>
        <v>0</v>
      </c>
      <c r="AH23" s="3">
        <f t="shared" si="8"/>
        <v>0</v>
      </c>
      <c r="AI23" s="3">
        <f t="shared" si="8"/>
        <v>0</v>
      </c>
      <c r="AJ23" s="3">
        <f t="shared" si="8"/>
        <v>0</v>
      </c>
      <c r="AK23" s="3">
        <f t="shared" si="8"/>
        <v>0</v>
      </c>
      <c r="AL23" s="3">
        <f t="shared" si="8"/>
        <v>0</v>
      </c>
      <c r="AM23" s="3">
        <f t="shared" si="8"/>
        <v>0</v>
      </c>
      <c r="AN23" s="3">
        <f t="shared" si="8"/>
        <v>430096484178.85999</v>
      </c>
      <c r="AO23" s="3">
        <f t="shared" si="8"/>
        <v>437301765372.85999</v>
      </c>
      <c r="AP23" s="3">
        <f t="shared" si="8"/>
        <v>477162060831.85999</v>
      </c>
      <c r="AQ23" s="3">
        <f t="shared" si="8"/>
        <v>517614404978.88202</v>
      </c>
      <c r="AR23" s="3">
        <f t="shared" si="8"/>
        <v>557633015691.25195</v>
      </c>
      <c r="AS23" s="3">
        <f t="shared" si="8"/>
        <v>613742905725.25195</v>
      </c>
      <c r="AT23" s="3">
        <f t="shared" si="8"/>
        <v>630876783389.48206</v>
      </c>
      <c r="AU23" s="3">
        <f t="shared" si="8"/>
        <v>571035083187.48206</v>
      </c>
      <c r="AV23" s="3">
        <f t="shared" si="8"/>
        <v>562348665912.48206</v>
      </c>
      <c r="AW23" s="3">
        <f t="shared" si="8"/>
        <v>558117702257.48206</v>
      </c>
      <c r="AX23" s="3">
        <f t="shared" si="8"/>
        <v>599902987900.48206</v>
      </c>
      <c r="AY23" s="4">
        <f t="shared" si="8"/>
        <v>614300196665.48206</v>
      </c>
      <c r="AZ23" s="4">
        <v>580289170770</v>
      </c>
      <c r="BA23" s="4">
        <v>500507106354.48199</v>
      </c>
      <c r="BB23" s="4">
        <v>480641555258.48199</v>
      </c>
      <c r="BC23" s="4">
        <v>534948091340.48199</v>
      </c>
      <c r="BD23" s="4">
        <v>540062379851.48199</v>
      </c>
      <c r="BE23" s="4">
        <v>559774086836.48206</v>
      </c>
      <c r="BF23" s="4">
        <v>574368996605.48206</v>
      </c>
      <c r="BG23" s="4">
        <v>572758965444.48206</v>
      </c>
      <c r="BH23" s="4">
        <v>576109442562.48206</v>
      </c>
      <c r="BI23" s="4">
        <v>555856951749.48206</v>
      </c>
      <c r="BJ23" s="4">
        <v>558085932410.48206</v>
      </c>
      <c r="BK23" s="4">
        <v>570584514136.48206</v>
      </c>
      <c r="BL23" s="4">
        <v>548909898693.80554</v>
      </c>
      <c r="BM23" s="4">
        <v>518463893550.63403</v>
      </c>
      <c r="BN23" s="4">
        <v>438002733516.04236</v>
      </c>
      <c r="BO23" s="4">
        <v>378077083598.87311</v>
      </c>
      <c r="BP23" s="4">
        <v>371101437313.64191</v>
      </c>
      <c r="BQ23" s="4">
        <f t="shared" ref="BQ23:BW23" si="9">SUM(BQ24:BQ25)</f>
        <v>0</v>
      </c>
      <c r="BR23" s="4">
        <f t="shared" si="9"/>
        <v>0</v>
      </c>
      <c r="BS23" s="4">
        <f t="shared" si="9"/>
        <v>0</v>
      </c>
      <c r="BT23" s="4">
        <f t="shared" si="9"/>
        <v>0</v>
      </c>
      <c r="BU23" s="4">
        <f t="shared" si="9"/>
        <v>0</v>
      </c>
      <c r="BV23" s="4">
        <f t="shared" si="9"/>
        <v>0</v>
      </c>
      <c r="BW23" s="4">
        <f t="shared" si="9"/>
        <v>0</v>
      </c>
    </row>
    <row r="24" spans="1:75" ht="15" customHeight="1">
      <c r="A24" s="55">
        <v>21</v>
      </c>
      <c r="B24" s="56" t="s">
        <v>325</v>
      </c>
      <c r="C24" s="55">
        <v>28</v>
      </c>
      <c r="D24" s="508"/>
      <c r="E24" s="508"/>
      <c r="F24" s="508"/>
      <c r="G24" s="508"/>
      <c r="H24" s="508"/>
      <c r="I24" s="508"/>
      <c r="J24" s="508"/>
      <c r="K24" s="508"/>
      <c r="L24" s="508"/>
      <c r="M24" s="508"/>
      <c r="N24" s="508"/>
      <c r="O24" s="508"/>
      <c r="P24" s="508"/>
      <c r="Q24" s="508"/>
      <c r="R24" s="508"/>
      <c r="S24" s="508"/>
      <c r="T24" s="508"/>
      <c r="U24" s="508"/>
      <c r="V24" s="508"/>
      <c r="W24" s="508"/>
      <c r="X24" s="508"/>
      <c r="Y24" s="508"/>
      <c r="Z24" s="508"/>
      <c r="AA24" s="508"/>
      <c r="AB24" s="508"/>
      <c r="AC24" s="508"/>
      <c r="AD24" s="508"/>
      <c r="AE24" s="508"/>
      <c r="AF24" s="508"/>
      <c r="AG24" s="508"/>
      <c r="AH24" s="508"/>
      <c r="AI24" s="508"/>
      <c r="AJ24" s="508"/>
      <c r="AK24" s="508"/>
      <c r="AL24" s="508"/>
      <c r="AM24" s="508"/>
      <c r="AN24" s="508">
        <v>430096484178.85999</v>
      </c>
      <c r="AO24" s="508">
        <v>437301765372.85999</v>
      </c>
      <c r="AP24" s="508">
        <v>477162060831.85999</v>
      </c>
      <c r="AQ24" s="508">
        <v>517614404978.88202</v>
      </c>
      <c r="AR24" s="508">
        <v>557633015691.25195</v>
      </c>
      <c r="AS24" s="508">
        <v>613742905725.25195</v>
      </c>
      <c r="AT24" s="508">
        <v>630876783389.48206</v>
      </c>
      <c r="AU24" s="508">
        <v>571035083187.48206</v>
      </c>
      <c r="AV24" s="508">
        <v>562348665912.48206</v>
      </c>
      <c r="AW24" s="508">
        <v>558117702257.48206</v>
      </c>
      <c r="AX24" s="508">
        <v>599902987900.48206</v>
      </c>
      <c r="AY24" s="508">
        <v>614300196665.48206</v>
      </c>
      <c r="AZ24" s="508">
        <v>580289170770</v>
      </c>
      <c r="BA24" s="508">
        <v>500507106354.48199</v>
      </c>
      <c r="BB24" s="508">
        <v>480641555258.48199</v>
      </c>
      <c r="BC24" s="508">
        <v>534948091340.48199</v>
      </c>
      <c r="BD24" s="508">
        <v>540062379851.48199</v>
      </c>
      <c r="BE24" s="508">
        <v>559774086836.48206</v>
      </c>
      <c r="BF24" s="508">
        <v>574368996605.48206</v>
      </c>
      <c r="BG24" s="508">
        <v>572758965444.48206</v>
      </c>
      <c r="BH24" s="508">
        <v>576109442562.48206</v>
      </c>
      <c r="BI24" s="508">
        <v>555856951749.48206</v>
      </c>
      <c r="BJ24" s="508">
        <v>558085932410.48206</v>
      </c>
      <c r="BK24" s="508">
        <v>570584514136.48206</v>
      </c>
      <c r="BL24" s="508">
        <v>548909898693.80554</v>
      </c>
      <c r="BM24" s="508">
        <v>518463893550.63403</v>
      </c>
      <c r="BN24" s="508">
        <v>438002733516.04236</v>
      </c>
      <c r="BO24" s="508">
        <v>378077083598.87311</v>
      </c>
      <c r="BP24" s="508">
        <v>371101437313.64191</v>
      </c>
      <c r="BQ24" s="508"/>
      <c r="BR24" s="508"/>
      <c r="BS24" s="508"/>
      <c r="BT24" s="508"/>
      <c r="BU24" s="508"/>
      <c r="BV24" s="508"/>
      <c r="BW24" s="508"/>
    </row>
    <row r="25" spans="1:75" ht="15" customHeight="1">
      <c r="A25" s="55">
        <v>22</v>
      </c>
      <c r="B25" s="56" t="s">
        <v>326</v>
      </c>
      <c r="C25" s="55">
        <v>28</v>
      </c>
      <c r="D25" s="508"/>
      <c r="E25" s="508"/>
      <c r="F25" s="508"/>
      <c r="G25" s="508"/>
      <c r="H25" s="508"/>
      <c r="I25" s="508"/>
      <c r="J25" s="508"/>
      <c r="K25" s="508"/>
      <c r="L25" s="508"/>
      <c r="M25" s="508"/>
      <c r="N25" s="508"/>
      <c r="O25" s="508"/>
      <c r="P25" s="508"/>
      <c r="Q25" s="508"/>
      <c r="R25" s="508"/>
      <c r="S25" s="508"/>
      <c r="T25" s="508"/>
      <c r="U25" s="508"/>
      <c r="V25" s="508"/>
      <c r="W25" s="508"/>
      <c r="X25" s="508"/>
      <c r="Y25" s="508"/>
      <c r="Z25" s="508"/>
      <c r="AA25" s="508"/>
      <c r="AB25" s="508"/>
      <c r="AC25" s="508"/>
      <c r="AD25" s="508"/>
      <c r="AE25" s="508"/>
      <c r="AF25" s="508"/>
      <c r="AG25" s="508"/>
      <c r="AH25" s="508"/>
      <c r="AI25" s="508"/>
      <c r="AJ25" s="508"/>
      <c r="AK25" s="508"/>
      <c r="AL25" s="508"/>
      <c r="AM25" s="508"/>
      <c r="AN25" s="508">
        <v>0</v>
      </c>
      <c r="AO25" s="508">
        <v>0</v>
      </c>
      <c r="AP25" s="508">
        <v>0</v>
      </c>
      <c r="AQ25" s="508">
        <v>0</v>
      </c>
      <c r="AR25" s="508">
        <v>0</v>
      </c>
      <c r="AS25" s="508">
        <v>0</v>
      </c>
      <c r="AT25" s="508">
        <v>0</v>
      </c>
      <c r="AU25" s="508">
        <v>0</v>
      </c>
      <c r="AV25" s="508">
        <v>0</v>
      </c>
      <c r="AW25" s="508">
        <v>0</v>
      </c>
      <c r="AX25" s="508">
        <v>0</v>
      </c>
      <c r="AY25" s="508">
        <v>0</v>
      </c>
      <c r="AZ25" s="508">
        <v>0</v>
      </c>
      <c r="BA25" s="508">
        <v>0</v>
      </c>
      <c r="BB25" s="508">
        <v>0</v>
      </c>
      <c r="BC25" s="508">
        <v>0</v>
      </c>
      <c r="BD25" s="508">
        <v>0</v>
      </c>
      <c r="BE25" s="508">
        <v>0</v>
      </c>
      <c r="BF25" s="508">
        <v>0</v>
      </c>
      <c r="BG25" s="508">
        <v>0</v>
      </c>
      <c r="BH25" s="508">
        <v>0</v>
      </c>
      <c r="BI25" s="508">
        <v>0</v>
      </c>
      <c r="BJ25" s="508">
        <v>0</v>
      </c>
      <c r="BK25" s="508">
        <v>0</v>
      </c>
      <c r="BL25" s="508">
        <v>0</v>
      </c>
      <c r="BM25" s="508">
        <v>0</v>
      </c>
      <c r="BN25" s="508">
        <v>0</v>
      </c>
      <c r="BO25" s="508">
        <v>0</v>
      </c>
      <c r="BP25" s="508">
        <v>0</v>
      </c>
      <c r="BQ25" s="508"/>
      <c r="BR25" s="508"/>
      <c r="BS25" s="508"/>
      <c r="BT25" s="508"/>
      <c r="BU25" s="508"/>
      <c r="BV25" s="508"/>
      <c r="BW25" s="508"/>
    </row>
    <row r="26" spans="1:75" ht="15" customHeight="1">
      <c r="A26" s="59">
        <v>23</v>
      </c>
      <c r="B26" s="54" t="s">
        <v>56</v>
      </c>
      <c r="C26" s="59">
        <v>28</v>
      </c>
      <c r="D26" s="508">
        <f t="shared" ref="D26:AY26" si="10">SUM(D27:D29)</f>
        <v>0</v>
      </c>
      <c r="E26" s="508">
        <f t="shared" si="10"/>
        <v>0</v>
      </c>
      <c r="F26" s="508">
        <f t="shared" si="10"/>
        <v>0</v>
      </c>
      <c r="G26" s="508">
        <f t="shared" si="10"/>
        <v>0</v>
      </c>
      <c r="H26" s="508">
        <f t="shared" si="10"/>
        <v>0</v>
      </c>
      <c r="I26" s="508">
        <f t="shared" si="10"/>
        <v>0</v>
      </c>
      <c r="J26" s="508">
        <f t="shared" si="10"/>
        <v>0</v>
      </c>
      <c r="K26" s="508">
        <f t="shared" si="10"/>
        <v>0</v>
      </c>
      <c r="L26" s="508">
        <f t="shared" si="10"/>
        <v>0</v>
      </c>
      <c r="M26" s="508">
        <f t="shared" si="10"/>
        <v>0</v>
      </c>
      <c r="N26" s="508">
        <f t="shared" si="10"/>
        <v>0</v>
      </c>
      <c r="O26" s="508">
        <f t="shared" si="10"/>
        <v>0</v>
      </c>
      <c r="P26" s="508">
        <f t="shared" si="10"/>
        <v>0</v>
      </c>
      <c r="Q26" s="508">
        <f t="shared" si="10"/>
        <v>0</v>
      </c>
      <c r="R26" s="508">
        <f t="shared" si="10"/>
        <v>0</v>
      </c>
      <c r="S26" s="508">
        <f t="shared" si="10"/>
        <v>0</v>
      </c>
      <c r="T26" s="508">
        <f t="shared" si="10"/>
        <v>0</v>
      </c>
      <c r="U26" s="508">
        <f t="shared" si="10"/>
        <v>0</v>
      </c>
      <c r="V26" s="508">
        <f t="shared" si="10"/>
        <v>0</v>
      </c>
      <c r="W26" s="508">
        <f t="shared" si="10"/>
        <v>0</v>
      </c>
      <c r="X26" s="508">
        <f t="shared" si="10"/>
        <v>0</v>
      </c>
      <c r="Y26" s="508">
        <f t="shared" si="10"/>
        <v>0</v>
      </c>
      <c r="Z26" s="508">
        <f t="shared" si="10"/>
        <v>0</v>
      </c>
      <c r="AA26" s="508">
        <f t="shared" si="10"/>
        <v>0</v>
      </c>
      <c r="AB26" s="508">
        <f t="shared" si="10"/>
        <v>0</v>
      </c>
      <c r="AC26" s="508">
        <f t="shared" si="10"/>
        <v>0</v>
      </c>
      <c r="AD26" s="508">
        <f t="shared" si="10"/>
        <v>0</v>
      </c>
      <c r="AE26" s="508">
        <f t="shared" si="10"/>
        <v>0</v>
      </c>
      <c r="AF26" s="508">
        <f t="shared" si="10"/>
        <v>0</v>
      </c>
      <c r="AG26" s="508">
        <f t="shared" si="10"/>
        <v>0</v>
      </c>
      <c r="AH26" s="508">
        <f t="shared" si="10"/>
        <v>0</v>
      </c>
      <c r="AI26" s="508">
        <f t="shared" si="10"/>
        <v>0</v>
      </c>
      <c r="AJ26" s="508">
        <f t="shared" si="10"/>
        <v>0</v>
      </c>
      <c r="AK26" s="508">
        <f t="shared" si="10"/>
        <v>0</v>
      </c>
      <c r="AL26" s="508">
        <f t="shared" si="10"/>
        <v>0</v>
      </c>
      <c r="AM26" s="508">
        <f t="shared" si="10"/>
        <v>0</v>
      </c>
      <c r="AN26" s="508">
        <f t="shared" si="10"/>
        <v>0</v>
      </c>
      <c r="AO26" s="508">
        <f t="shared" si="10"/>
        <v>0</v>
      </c>
      <c r="AP26" s="508">
        <f t="shared" si="10"/>
        <v>0</v>
      </c>
      <c r="AQ26" s="508">
        <f t="shared" si="10"/>
        <v>0</v>
      </c>
      <c r="AR26" s="508">
        <f t="shared" si="10"/>
        <v>0</v>
      </c>
      <c r="AS26" s="508">
        <f t="shared" si="10"/>
        <v>0</v>
      </c>
      <c r="AT26" s="508">
        <f t="shared" si="10"/>
        <v>0</v>
      </c>
      <c r="AU26" s="508">
        <f t="shared" si="10"/>
        <v>0</v>
      </c>
      <c r="AV26" s="508">
        <f t="shared" si="10"/>
        <v>0</v>
      </c>
      <c r="AW26" s="508">
        <f t="shared" si="10"/>
        <v>0</v>
      </c>
      <c r="AX26" s="508">
        <f t="shared" si="10"/>
        <v>0</v>
      </c>
      <c r="AY26" s="508">
        <f t="shared" si="10"/>
        <v>0</v>
      </c>
      <c r="AZ26" s="508">
        <v>0</v>
      </c>
      <c r="BA26" s="508">
        <v>0</v>
      </c>
      <c r="BB26" s="508">
        <v>0</v>
      </c>
      <c r="BC26" s="508">
        <v>0</v>
      </c>
      <c r="BD26" s="508">
        <v>0</v>
      </c>
      <c r="BE26" s="508">
        <v>0</v>
      </c>
      <c r="BF26" s="508">
        <v>0</v>
      </c>
      <c r="BG26" s="508">
        <v>0</v>
      </c>
      <c r="BH26" s="508">
        <v>0</v>
      </c>
      <c r="BI26" s="508">
        <v>0</v>
      </c>
      <c r="BJ26" s="508">
        <v>0</v>
      </c>
      <c r="BK26" s="508">
        <v>0</v>
      </c>
      <c r="BL26" s="508">
        <v>0</v>
      </c>
      <c r="BM26" s="508">
        <v>0</v>
      </c>
      <c r="BN26" s="508">
        <v>0</v>
      </c>
      <c r="BO26" s="508">
        <v>0</v>
      </c>
      <c r="BP26" s="508">
        <v>0</v>
      </c>
      <c r="BQ26" s="508">
        <f t="shared" ref="BQ26:BW26" si="11">SUM(BQ27:BQ29)</f>
        <v>0</v>
      </c>
      <c r="BR26" s="508">
        <f t="shared" si="11"/>
        <v>0</v>
      </c>
      <c r="BS26" s="508">
        <f t="shared" si="11"/>
        <v>0</v>
      </c>
      <c r="BT26" s="508">
        <f t="shared" si="11"/>
        <v>0</v>
      </c>
      <c r="BU26" s="508">
        <f t="shared" si="11"/>
        <v>0</v>
      </c>
      <c r="BV26" s="508">
        <f t="shared" si="11"/>
        <v>0</v>
      </c>
      <c r="BW26" s="508">
        <f t="shared" si="11"/>
        <v>0</v>
      </c>
    </row>
    <row r="27" spans="1:75" ht="15" customHeight="1">
      <c r="A27" s="55">
        <v>24</v>
      </c>
      <c r="B27" s="56" t="s">
        <v>57</v>
      </c>
      <c r="C27" s="55">
        <v>28</v>
      </c>
      <c r="D27" s="508"/>
      <c r="E27" s="508"/>
      <c r="F27" s="508"/>
      <c r="G27" s="508"/>
      <c r="H27" s="508"/>
      <c r="I27" s="508"/>
      <c r="J27" s="508"/>
      <c r="K27" s="508"/>
      <c r="L27" s="508"/>
      <c r="M27" s="508"/>
      <c r="N27" s="508"/>
      <c r="O27" s="508"/>
      <c r="P27" s="508"/>
      <c r="Q27" s="508"/>
      <c r="R27" s="508"/>
      <c r="S27" s="508"/>
      <c r="T27" s="508"/>
      <c r="U27" s="508"/>
      <c r="V27" s="508"/>
      <c r="W27" s="508"/>
      <c r="X27" s="508"/>
      <c r="Y27" s="508"/>
      <c r="Z27" s="508"/>
      <c r="AA27" s="508"/>
      <c r="AB27" s="508"/>
      <c r="AC27" s="508"/>
      <c r="AD27" s="508"/>
      <c r="AE27" s="508"/>
      <c r="AF27" s="508"/>
      <c r="AG27" s="508"/>
      <c r="AH27" s="508"/>
      <c r="AI27" s="508"/>
      <c r="AJ27" s="508"/>
      <c r="AK27" s="508"/>
      <c r="AL27" s="508"/>
      <c r="AM27" s="508"/>
      <c r="AN27" s="508"/>
      <c r="AO27" s="508"/>
      <c r="AP27" s="508"/>
      <c r="AQ27" s="508"/>
      <c r="AR27" s="508"/>
      <c r="AS27" s="508"/>
      <c r="AT27" s="508"/>
      <c r="AU27" s="508"/>
      <c r="AV27" s="508"/>
      <c r="AW27" s="508"/>
      <c r="AX27" s="508"/>
      <c r="AY27" s="508"/>
      <c r="AZ27" s="508">
        <v>0</v>
      </c>
      <c r="BA27" s="508">
        <v>0</v>
      </c>
      <c r="BB27" s="508">
        <v>0</v>
      </c>
      <c r="BC27" s="508">
        <v>0</v>
      </c>
      <c r="BD27" s="508">
        <v>0</v>
      </c>
      <c r="BE27" s="508">
        <v>0</v>
      </c>
      <c r="BF27" s="508">
        <v>0</v>
      </c>
      <c r="BG27" s="508">
        <v>0</v>
      </c>
      <c r="BH27" s="508">
        <v>0</v>
      </c>
      <c r="BI27" s="508">
        <v>0</v>
      </c>
      <c r="BJ27" s="508">
        <v>0</v>
      </c>
      <c r="BK27" s="508">
        <v>0</v>
      </c>
      <c r="BL27" s="508">
        <v>0</v>
      </c>
      <c r="BM27" s="508">
        <v>0</v>
      </c>
      <c r="BN27" s="508">
        <v>0</v>
      </c>
      <c r="BO27" s="508">
        <v>0</v>
      </c>
      <c r="BP27" s="508">
        <v>0</v>
      </c>
      <c r="BQ27" s="508"/>
      <c r="BR27" s="508"/>
      <c r="BS27" s="508"/>
      <c r="BT27" s="508"/>
      <c r="BU27" s="508"/>
      <c r="BV27" s="508"/>
      <c r="BW27" s="508"/>
    </row>
    <row r="28" spans="1:75" ht="15" customHeight="1">
      <c r="A28" s="55">
        <v>25</v>
      </c>
      <c r="B28" s="56" t="s">
        <v>58</v>
      </c>
      <c r="C28" s="55">
        <v>28</v>
      </c>
      <c r="D28" s="508"/>
      <c r="E28" s="508"/>
      <c r="F28" s="508"/>
      <c r="G28" s="508"/>
      <c r="H28" s="508"/>
      <c r="I28" s="508"/>
      <c r="J28" s="508"/>
      <c r="K28" s="508"/>
      <c r="L28" s="508"/>
      <c r="M28" s="508"/>
      <c r="N28" s="508"/>
      <c r="O28" s="508"/>
      <c r="P28" s="508"/>
      <c r="Q28" s="508"/>
      <c r="R28" s="508"/>
      <c r="S28" s="508"/>
      <c r="T28" s="508"/>
      <c r="U28" s="508"/>
      <c r="V28" s="508"/>
      <c r="W28" s="508"/>
      <c r="X28" s="508"/>
      <c r="Y28" s="508"/>
      <c r="Z28" s="508"/>
      <c r="AA28" s="508"/>
      <c r="AB28" s="508"/>
      <c r="AC28" s="508"/>
      <c r="AD28" s="508"/>
      <c r="AE28" s="508"/>
      <c r="AF28" s="508"/>
      <c r="AG28" s="508"/>
      <c r="AH28" s="508"/>
      <c r="AI28" s="508"/>
      <c r="AJ28" s="508"/>
      <c r="AK28" s="508"/>
      <c r="AL28" s="508"/>
      <c r="AM28" s="508"/>
      <c r="AN28" s="508"/>
      <c r="AO28" s="508"/>
      <c r="AP28" s="508"/>
      <c r="AQ28" s="508"/>
      <c r="AR28" s="508"/>
      <c r="AS28" s="508"/>
      <c r="AT28" s="508"/>
      <c r="AU28" s="508"/>
      <c r="AV28" s="508"/>
      <c r="AW28" s="508"/>
      <c r="AX28" s="508"/>
      <c r="AY28" s="508"/>
      <c r="AZ28" s="508">
        <v>0</v>
      </c>
      <c r="BA28" s="508">
        <v>0</v>
      </c>
      <c r="BB28" s="508">
        <v>0</v>
      </c>
      <c r="BC28" s="508">
        <v>0</v>
      </c>
      <c r="BD28" s="508">
        <v>0</v>
      </c>
      <c r="BE28" s="508">
        <v>0</v>
      </c>
      <c r="BF28" s="508">
        <v>0</v>
      </c>
      <c r="BG28" s="508">
        <v>0</v>
      </c>
      <c r="BH28" s="508">
        <v>0</v>
      </c>
      <c r="BI28" s="508">
        <v>0</v>
      </c>
      <c r="BJ28" s="508">
        <v>0</v>
      </c>
      <c r="BK28" s="508">
        <v>0</v>
      </c>
      <c r="BL28" s="508">
        <v>0</v>
      </c>
      <c r="BM28" s="508">
        <v>0</v>
      </c>
      <c r="BN28" s="508">
        <v>0</v>
      </c>
      <c r="BO28" s="508">
        <v>0</v>
      </c>
      <c r="BP28" s="508">
        <v>0</v>
      </c>
      <c r="BQ28" s="508"/>
      <c r="BR28" s="508"/>
      <c r="BS28" s="508"/>
      <c r="BT28" s="508"/>
      <c r="BU28" s="508"/>
      <c r="BV28" s="508"/>
      <c r="BW28" s="508"/>
    </row>
    <row r="29" spans="1:75" ht="15" customHeight="1">
      <c r="A29" s="55">
        <v>26</v>
      </c>
      <c r="B29" s="56" t="s">
        <v>59</v>
      </c>
      <c r="C29" s="55">
        <v>28</v>
      </c>
      <c r="D29" s="508"/>
      <c r="E29" s="508"/>
      <c r="F29" s="508"/>
      <c r="G29" s="508"/>
      <c r="H29" s="508"/>
      <c r="I29" s="508"/>
      <c r="J29" s="508"/>
      <c r="K29" s="508"/>
      <c r="L29" s="508"/>
      <c r="M29" s="508"/>
      <c r="N29" s="508"/>
      <c r="O29" s="508"/>
      <c r="P29" s="508"/>
      <c r="Q29" s="508"/>
      <c r="R29" s="508"/>
      <c r="S29" s="508"/>
      <c r="T29" s="508"/>
      <c r="U29" s="508"/>
      <c r="V29" s="508"/>
      <c r="W29" s="508"/>
      <c r="X29" s="508"/>
      <c r="Y29" s="508"/>
      <c r="Z29" s="508"/>
      <c r="AA29" s="508"/>
      <c r="AB29" s="508"/>
      <c r="AC29" s="508"/>
      <c r="AD29" s="508"/>
      <c r="AE29" s="508"/>
      <c r="AF29" s="508"/>
      <c r="AG29" s="508"/>
      <c r="AH29" s="508"/>
      <c r="AI29" s="508"/>
      <c r="AJ29" s="508"/>
      <c r="AK29" s="508"/>
      <c r="AL29" s="508"/>
      <c r="AM29" s="508"/>
      <c r="AN29" s="508"/>
      <c r="AO29" s="508"/>
      <c r="AP29" s="508"/>
      <c r="AQ29" s="508"/>
      <c r="AR29" s="508"/>
      <c r="AS29" s="508"/>
      <c r="AT29" s="508"/>
      <c r="AU29" s="508"/>
      <c r="AV29" s="508"/>
      <c r="AW29" s="508"/>
      <c r="AX29" s="508"/>
      <c r="AY29" s="508"/>
      <c r="AZ29" s="508">
        <v>0</v>
      </c>
      <c r="BA29" s="508">
        <v>0</v>
      </c>
      <c r="BB29" s="508">
        <v>0</v>
      </c>
      <c r="BC29" s="508">
        <v>0</v>
      </c>
      <c r="BD29" s="508">
        <v>0</v>
      </c>
      <c r="BE29" s="508">
        <v>0</v>
      </c>
      <c r="BF29" s="508">
        <v>0</v>
      </c>
      <c r="BG29" s="508">
        <v>0</v>
      </c>
      <c r="BH29" s="508">
        <v>0</v>
      </c>
      <c r="BI29" s="508">
        <v>0</v>
      </c>
      <c r="BJ29" s="508">
        <v>0</v>
      </c>
      <c r="BK29" s="508">
        <v>0</v>
      </c>
      <c r="BL29" s="508">
        <v>0</v>
      </c>
      <c r="BM29" s="508">
        <v>0</v>
      </c>
      <c r="BN29" s="508">
        <v>0</v>
      </c>
      <c r="BO29" s="508">
        <v>0</v>
      </c>
      <c r="BP29" s="508">
        <v>0</v>
      </c>
      <c r="BQ29" s="508"/>
      <c r="BR29" s="508"/>
      <c r="BS29" s="508"/>
      <c r="BT29" s="508"/>
      <c r="BU29" s="508"/>
      <c r="BV29" s="508"/>
      <c r="BW29" s="508"/>
    </row>
    <row r="30" spans="1:75" ht="15" customHeight="1">
      <c r="A30" s="59">
        <v>27</v>
      </c>
      <c r="B30" s="54" t="s">
        <v>60</v>
      </c>
      <c r="C30" s="59">
        <v>28</v>
      </c>
      <c r="D30" s="3">
        <f t="shared" ref="D30:AY30" si="12">SUM(D31:D35)</f>
        <v>0</v>
      </c>
      <c r="E30" s="3">
        <f t="shared" si="12"/>
        <v>0</v>
      </c>
      <c r="F30" s="3">
        <f t="shared" si="12"/>
        <v>0</v>
      </c>
      <c r="G30" s="3">
        <f t="shared" si="12"/>
        <v>0</v>
      </c>
      <c r="H30" s="3">
        <f t="shared" si="12"/>
        <v>0</v>
      </c>
      <c r="I30" s="3">
        <f t="shared" si="12"/>
        <v>0</v>
      </c>
      <c r="J30" s="3">
        <f t="shared" si="12"/>
        <v>0</v>
      </c>
      <c r="K30" s="3">
        <f t="shared" si="12"/>
        <v>0</v>
      </c>
      <c r="L30" s="3">
        <f t="shared" si="12"/>
        <v>0</v>
      </c>
      <c r="M30" s="3">
        <f t="shared" si="12"/>
        <v>0</v>
      </c>
      <c r="N30" s="3">
        <f t="shared" si="12"/>
        <v>0</v>
      </c>
      <c r="O30" s="3">
        <f t="shared" si="12"/>
        <v>0</v>
      </c>
      <c r="P30" s="3">
        <f t="shared" si="12"/>
        <v>0</v>
      </c>
      <c r="Q30" s="3">
        <f t="shared" si="12"/>
        <v>0</v>
      </c>
      <c r="R30" s="3">
        <f t="shared" si="12"/>
        <v>0</v>
      </c>
      <c r="S30" s="3">
        <f t="shared" si="12"/>
        <v>0</v>
      </c>
      <c r="T30" s="3">
        <f t="shared" si="12"/>
        <v>0</v>
      </c>
      <c r="U30" s="3">
        <f t="shared" si="12"/>
        <v>0</v>
      </c>
      <c r="V30" s="3">
        <f t="shared" si="12"/>
        <v>0</v>
      </c>
      <c r="W30" s="3">
        <f t="shared" si="12"/>
        <v>0</v>
      </c>
      <c r="X30" s="3">
        <f t="shared" si="12"/>
        <v>0</v>
      </c>
      <c r="Y30" s="3">
        <f t="shared" si="12"/>
        <v>0</v>
      </c>
      <c r="Z30" s="3">
        <f t="shared" si="12"/>
        <v>0</v>
      </c>
      <c r="AA30" s="3">
        <f t="shared" si="12"/>
        <v>0</v>
      </c>
      <c r="AB30" s="3">
        <f t="shared" si="12"/>
        <v>0</v>
      </c>
      <c r="AC30" s="3">
        <f t="shared" si="12"/>
        <v>0</v>
      </c>
      <c r="AD30" s="3">
        <f t="shared" si="12"/>
        <v>0</v>
      </c>
      <c r="AE30" s="3">
        <f t="shared" si="12"/>
        <v>0</v>
      </c>
      <c r="AF30" s="3">
        <f t="shared" si="12"/>
        <v>0</v>
      </c>
      <c r="AG30" s="3">
        <f t="shared" si="12"/>
        <v>0</v>
      </c>
      <c r="AH30" s="3">
        <f t="shared" si="12"/>
        <v>0</v>
      </c>
      <c r="AI30" s="3">
        <f t="shared" si="12"/>
        <v>0</v>
      </c>
      <c r="AJ30" s="3">
        <f t="shared" si="12"/>
        <v>0</v>
      </c>
      <c r="AK30" s="3">
        <f t="shared" si="12"/>
        <v>0</v>
      </c>
      <c r="AL30" s="3">
        <f t="shared" si="12"/>
        <v>0</v>
      </c>
      <c r="AM30" s="3">
        <f t="shared" si="12"/>
        <v>0</v>
      </c>
      <c r="AN30" s="3">
        <f t="shared" si="12"/>
        <v>48962900416</v>
      </c>
      <c r="AO30" s="3">
        <f t="shared" si="12"/>
        <v>52918232539</v>
      </c>
      <c r="AP30" s="3">
        <f t="shared" si="12"/>
        <v>54010150554</v>
      </c>
      <c r="AQ30" s="3">
        <f t="shared" si="12"/>
        <v>60398986934</v>
      </c>
      <c r="AR30" s="3">
        <f t="shared" si="12"/>
        <v>65075235400</v>
      </c>
      <c r="AS30" s="3">
        <f t="shared" si="12"/>
        <v>42414017441</v>
      </c>
      <c r="AT30" s="3">
        <f t="shared" si="12"/>
        <v>47346796070</v>
      </c>
      <c r="AU30" s="3">
        <f t="shared" si="12"/>
        <v>49263253112</v>
      </c>
      <c r="AV30" s="3">
        <f t="shared" si="12"/>
        <v>57483105866</v>
      </c>
      <c r="AW30" s="3">
        <f t="shared" si="12"/>
        <v>60763422160</v>
      </c>
      <c r="AX30" s="3">
        <f t="shared" si="12"/>
        <v>33278015559</v>
      </c>
      <c r="AY30" s="4">
        <f t="shared" si="12"/>
        <v>31534122458</v>
      </c>
      <c r="AZ30" s="4">
        <v>34362267223</v>
      </c>
      <c r="BA30" s="4">
        <v>35248494736</v>
      </c>
      <c r="BB30" s="4">
        <v>40503750775</v>
      </c>
      <c r="BC30" s="4">
        <v>49178776302</v>
      </c>
      <c r="BD30" s="4">
        <v>57921393429</v>
      </c>
      <c r="BE30" s="4">
        <v>67675492589</v>
      </c>
      <c r="BF30" s="4">
        <v>75037706236</v>
      </c>
      <c r="BG30" s="4">
        <v>46127608829</v>
      </c>
      <c r="BH30" s="4">
        <v>47471844315</v>
      </c>
      <c r="BI30" s="4">
        <v>46651672817</v>
      </c>
      <c r="BJ30" s="4">
        <v>44467014084</v>
      </c>
      <c r="BK30" s="4">
        <v>23132754098</v>
      </c>
      <c r="BL30" s="4">
        <v>25294891645</v>
      </c>
      <c r="BM30" s="4">
        <v>27660943738</v>
      </c>
      <c r="BN30" s="4">
        <v>28422666684</v>
      </c>
      <c r="BO30" s="4">
        <v>29575308364</v>
      </c>
      <c r="BP30" s="4">
        <v>35159235988</v>
      </c>
      <c r="BQ30" s="4">
        <f t="shared" ref="BQ30:BW30" si="13">SUM(BQ31:BQ35)</f>
        <v>0</v>
      </c>
      <c r="BR30" s="4">
        <f t="shared" si="13"/>
        <v>0</v>
      </c>
      <c r="BS30" s="4">
        <f t="shared" si="13"/>
        <v>0</v>
      </c>
      <c r="BT30" s="4">
        <f t="shared" si="13"/>
        <v>0</v>
      </c>
      <c r="BU30" s="4">
        <f t="shared" si="13"/>
        <v>0</v>
      </c>
      <c r="BV30" s="4">
        <f t="shared" si="13"/>
        <v>0</v>
      </c>
      <c r="BW30" s="4">
        <f t="shared" si="13"/>
        <v>0</v>
      </c>
    </row>
    <row r="31" spans="1:75" ht="15" customHeight="1">
      <c r="A31" s="55">
        <v>28</v>
      </c>
      <c r="B31" s="60" t="s">
        <v>61</v>
      </c>
      <c r="C31" s="55">
        <v>28</v>
      </c>
      <c r="D31" s="508"/>
      <c r="E31" s="508"/>
      <c r="F31" s="508"/>
      <c r="G31" s="508"/>
      <c r="H31" s="508"/>
      <c r="I31" s="508"/>
      <c r="J31" s="508"/>
      <c r="K31" s="508"/>
      <c r="L31" s="508"/>
      <c r="M31" s="508"/>
      <c r="N31" s="508"/>
      <c r="O31" s="508"/>
      <c r="P31" s="508"/>
      <c r="Q31" s="508"/>
      <c r="R31" s="508"/>
      <c r="S31" s="508"/>
      <c r="T31" s="508"/>
      <c r="U31" s="508"/>
      <c r="V31" s="508"/>
      <c r="W31" s="508"/>
      <c r="X31" s="508"/>
      <c r="Y31" s="508"/>
      <c r="Z31" s="508"/>
      <c r="AA31" s="508"/>
      <c r="AB31" s="508"/>
      <c r="AC31" s="508"/>
      <c r="AD31" s="508"/>
      <c r="AE31" s="508"/>
      <c r="AF31" s="508"/>
      <c r="AG31" s="508"/>
      <c r="AH31" s="508"/>
      <c r="AI31" s="508"/>
      <c r="AJ31" s="508"/>
      <c r="AK31" s="508"/>
      <c r="AL31" s="508"/>
      <c r="AM31" s="508"/>
      <c r="AN31" s="508">
        <v>7035999486</v>
      </c>
      <c r="AO31" s="508">
        <v>8848304154</v>
      </c>
      <c r="AP31" s="508">
        <v>7783371139</v>
      </c>
      <c r="AQ31" s="508">
        <v>8731138492</v>
      </c>
      <c r="AR31" s="508">
        <v>8451404044</v>
      </c>
      <c r="AS31" s="508">
        <v>9556103747</v>
      </c>
      <c r="AT31" s="508">
        <v>11050173464</v>
      </c>
      <c r="AU31" s="508">
        <v>11388113648</v>
      </c>
      <c r="AV31" s="508">
        <v>12602861919</v>
      </c>
      <c r="AW31" s="508">
        <v>11727591383</v>
      </c>
      <c r="AX31" s="508">
        <v>10973880534</v>
      </c>
      <c r="AY31" s="508">
        <v>10657489774</v>
      </c>
      <c r="AZ31" s="508">
        <v>11395924021</v>
      </c>
      <c r="BA31" s="508">
        <v>11989589155</v>
      </c>
      <c r="BB31" s="508">
        <v>11598601196</v>
      </c>
      <c r="BC31" s="508">
        <v>10468261049</v>
      </c>
      <c r="BD31" s="508">
        <v>9171782469</v>
      </c>
      <c r="BE31" s="508">
        <v>14684835555</v>
      </c>
      <c r="BF31" s="508">
        <v>15885866296</v>
      </c>
      <c r="BG31" s="508">
        <v>16474015139</v>
      </c>
      <c r="BH31" s="508">
        <v>13849463748</v>
      </c>
      <c r="BI31" s="508">
        <v>11763139600</v>
      </c>
      <c r="BJ31" s="508">
        <v>9200737004</v>
      </c>
      <c r="BK31" s="508">
        <v>9528997722</v>
      </c>
      <c r="BL31" s="508">
        <v>8760714009</v>
      </c>
      <c r="BM31" s="508">
        <v>7853530050</v>
      </c>
      <c r="BN31" s="508">
        <v>8398294453</v>
      </c>
      <c r="BO31" s="508">
        <v>9369872729</v>
      </c>
      <c r="BP31" s="508">
        <v>10243788263</v>
      </c>
      <c r="BQ31" s="508"/>
      <c r="BR31" s="508"/>
      <c r="BS31" s="508"/>
      <c r="BT31" s="508"/>
      <c r="BU31" s="508"/>
      <c r="BV31" s="508"/>
      <c r="BW31" s="508"/>
    </row>
    <row r="32" spans="1:75" ht="15" customHeight="1">
      <c r="A32" s="55">
        <v>29</v>
      </c>
      <c r="B32" s="60" t="s">
        <v>62</v>
      </c>
      <c r="C32" s="55">
        <v>28</v>
      </c>
      <c r="D32" s="508"/>
      <c r="E32" s="508"/>
      <c r="F32" s="508"/>
      <c r="G32" s="508"/>
      <c r="H32" s="508"/>
      <c r="I32" s="508"/>
      <c r="J32" s="508"/>
      <c r="K32" s="508"/>
      <c r="L32" s="508"/>
      <c r="M32" s="508"/>
      <c r="N32" s="508"/>
      <c r="O32" s="508"/>
      <c r="P32" s="508"/>
      <c r="Q32" s="508"/>
      <c r="R32" s="508"/>
      <c r="S32" s="508"/>
      <c r="T32" s="508"/>
      <c r="U32" s="508"/>
      <c r="V32" s="508"/>
      <c r="W32" s="508"/>
      <c r="X32" s="508"/>
      <c r="Y32" s="508"/>
      <c r="Z32" s="508"/>
      <c r="AA32" s="508"/>
      <c r="AB32" s="508"/>
      <c r="AC32" s="508"/>
      <c r="AD32" s="508"/>
      <c r="AE32" s="508"/>
      <c r="AF32" s="508"/>
      <c r="AG32" s="508"/>
      <c r="AH32" s="508"/>
      <c r="AI32" s="508"/>
      <c r="AJ32" s="508"/>
      <c r="AK32" s="508"/>
      <c r="AL32" s="508"/>
      <c r="AM32" s="508"/>
      <c r="AN32" s="508">
        <v>41926900930</v>
      </c>
      <c r="AO32" s="508">
        <v>43981339223</v>
      </c>
      <c r="AP32" s="508">
        <v>46171681706</v>
      </c>
      <c r="AQ32" s="508">
        <v>51636650946</v>
      </c>
      <c r="AR32" s="508">
        <v>56579510013</v>
      </c>
      <c r="AS32" s="508">
        <v>32789088899</v>
      </c>
      <c r="AT32" s="508">
        <v>36250538837</v>
      </c>
      <c r="AU32" s="508">
        <v>37779643794</v>
      </c>
      <c r="AV32" s="508">
        <v>44831223018</v>
      </c>
      <c r="AW32" s="508">
        <v>48983963098</v>
      </c>
      <c r="AX32" s="508">
        <v>22259084600</v>
      </c>
      <c r="AY32" s="508">
        <v>20876632684</v>
      </c>
      <c r="AZ32" s="508">
        <v>22966343202</v>
      </c>
      <c r="BA32" s="508">
        <v>23255035548</v>
      </c>
      <c r="BB32" s="508">
        <v>28905149579</v>
      </c>
      <c r="BC32" s="508">
        <v>38710515253</v>
      </c>
      <c r="BD32" s="508">
        <v>48749610960</v>
      </c>
      <c r="BE32" s="508">
        <v>52990657034</v>
      </c>
      <c r="BF32" s="508">
        <v>59140177682</v>
      </c>
      <c r="BG32" s="508">
        <v>29653593690</v>
      </c>
      <c r="BH32" s="508">
        <v>33622380567</v>
      </c>
      <c r="BI32" s="508">
        <v>34888533217</v>
      </c>
      <c r="BJ32" s="508">
        <v>35266277080</v>
      </c>
      <c r="BK32" s="508">
        <v>13603756376</v>
      </c>
      <c r="BL32" s="508">
        <v>15814070933</v>
      </c>
      <c r="BM32" s="508">
        <v>19039790084</v>
      </c>
      <c r="BN32" s="508">
        <v>19387371189</v>
      </c>
      <c r="BO32" s="508">
        <v>19651522849</v>
      </c>
      <c r="BP32" s="508">
        <v>24397240178</v>
      </c>
      <c r="BQ32" s="508"/>
      <c r="BR32" s="508"/>
      <c r="BS32" s="508"/>
      <c r="BT32" s="508"/>
      <c r="BU32" s="508"/>
      <c r="BV32" s="508"/>
      <c r="BW32" s="508"/>
    </row>
    <row r="33" spans="1:75" ht="15" customHeight="1">
      <c r="A33" s="55">
        <v>30</v>
      </c>
      <c r="B33" s="60" t="s">
        <v>63</v>
      </c>
      <c r="C33" s="55">
        <v>28</v>
      </c>
      <c r="D33" s="508"/>
      <c r="E33" s="508"/>
      <c r="F33" s="508"/>
      <c r="G33" s="508"/>
      <c r="H33" s="508"/>
      <c r="I33" s="508"/>
      <c r="J33" s="508"/>
      <c r="K33" s="508"/>
      <c r="L33" s="508"/>
      <c r="M33" s="508"/>
      <c r="N33" s="508"/>
      <c r="O33" s="508"/>
      <c r="P33" s="508"/>
      <c r="Q33" s="508"/>
      <c r="R33" s="508"/>
      <c r="S33" s="508"/>
      <c r="T33" s="508"/>
      <c r="U33" s="508"/>
      <c r="V33" s="508"/>
      <c r="W33" s="508"/>
      <c r="X33" s="508"/>
      <c r="Y33" s="508"/>
      <c r="Z33" s="508"/>
      <c r="AA33" s="508"/>
      <c r="AB33" s="508"/>
      <c r="AC33" s="508"/>
      <c r="AD33" s="508"/>
      <c r="AE33" s="508"/>
      <c r="AF33" s="508"/>
      <c r="AG33" s="508"/>
      <c r="AH33" s="508"/>
      <c r="AI33" s="508"/>
      <c r="AJ33" s="508"/>
      <c r="AK33" s="508"/>
      <c r="AL33" s="508"/>
      <c r="AM33" s="508"/>
      <c r="AN33" s="508">
        <v>0</v>
      </c>
      <c r="AO33" s="508">
        <v>88589162</v>
      </c>
      <c r="AP33" s="508">
        <v>55097709</v>
      </c>
      <c r="AQ33" s="508">
        <v>31197496</v>
      </c>
      <c r="AR33" s="508">
        <v>44321343</v>
      </c>
      <c r="AS33" s="508">
        <v>68824795</v>
      </c>
      <c r="AT33" s="508">
        <v>46083769</v>
      </c>
      <c r="AU33" s="508">
        <v>95495670</v>
      </c>
      <c r="AV33" s="508">
        <v>49020929</v>
      </c>
      <c r="AW33" s="508">
        <v>51867679</v>
      </c>
      <c r="AX33" s="508">
        <v>45050425</v>
      </c>
      <c r="AY33" s="508">
        <v>0</v>
      </c>
      <c r="AZ33" s="508">
        <v>0</v>
      </c>
      <c r="BA33" s="508">
        <v>3870033</v>
      </c>
      <c r="BB33" s="508">
        <v>0</v>
      </c>
      <c r="BC33" s="508">
        <v>0</v>
      </c>
      <c r="BD33" s="508">
        <v>0</v>
      </c>
      <c r="BE33" s="508">
        <v>0</v>
      </c>
      <c r="BF33" s="508">
        <v>11662258</v>
      </c>
      <c r="BG33" s="508">
        <v>0</v>
      </c>
      <c r="BH33" s="508">
        <v>0</v>
      </c>
      <c r="BI33" s="508">
        <v>0</v>
      </c>
      <c r="BJ33" s="508">
        <v>0</v>
      </c>
      <c r="BK33" s="508">
        <v>0</v>
      </c>
      <c r="BL33" s="508">
        <v>720106703</v>
      </c>
      <c r="BM33" s="508">
        <v>767623604</v>
      </c>
      <c r="BN33" s="508">
        <v>637001042</v>
      </c>
      <c r="BO33" s="508">
        <v>553912786</v>
      </c>
      <c r="BP33" s="508">
        <v>518207547</v>
      </c>
      <c r="BQ33" s="508"/>
      <c r="BR33" s="508"/>
      <c r="BS33" s="508"/>
      <c r="BT33" s="508"/>
      <c r="BU33" s="508"/>
      <c r="BV33" s="508"/>
      <c r="BW33" s="508"/>
    </row>
    <row r="34" spans="1:75" ht="15" customHeight="1">
      <c r="A34" s="55">
        <v>31</v>
      </c>
      <c r="B34" s="60" t="s">
        <v>64</v>
      </c>
      <c r="C34" s="55">
        <v>28</v>
      </c>
      <c r="D34" s="508"/>
      <c r="E34" s="508"/>
      <c r="F34" s="508"/>
      <c r="G34" s="508"/>
      <c r="H34" s="508"/>
      <c r="I34" s="508"/>
      <c r="J34" s="508"/>
      <c r="K34" s="508"/>
      <c r="L34" s="508"/>
      <c r="M34" s="508"/>
      <c r="N34" s="508"/>
      <c r="O34" s="508"/>
      <c r="P34" s="508"/>
      <c r="Q34" s="508"/>
      <c r="R34" s="508"/>
      <c r="S34" s="508"/>
      <c r="T34" s="508"/>
      <c r="U34" s="508"/>
      <c r="V34" s="508"/>
      <c r="W34" s="508"/>
      <c r="X34" s="508"/>
      <c r="Y34" s="508"/>
      <c r="Z34" s="508"/>
      <c r="AA34" s="508"/>
      <c r="AB34" s="508"/>
      <c r="AC34" s="508"/>
      <c r="AD34" s="508"/>
      <c r="AE34" s="508"/>
      <c r="AF34" s="508"/>
      <c r="AG34" s="508"/>
      <c r="AH34" s="508"/>
      <c r="AI34" s="508"/>
      <c r="AJ34" s="508"/>
      <c r="AK34" s="508"/>
      <c r="AL34" s="508"/>
      <c r="AM34" s="508"/>
      <c r="AN34" s="508">
        <v>0</v>
      </c>
      <c r="AO34" s="508">
        <v>0</v>
      </c>
      <c r="AP34" s="508">
        <v>0</v>
      </c>
      <c r="AQ34" s="508">
        <v>0</v>
      </c>
      <c r="AR34" s="508">
        <v>0</v>
      </c>
      <c r="AS34" s="508">
        <v>0</v>
      </c>
      <c r="AT34" s="508">
        <v>0</v>
      </c>
      <c r="AU34" s="508">
        <v>0</v>
      </c>
      <c r="AV34" s="508">
        <v>0</v>
      </c>
      <c r="AW34" s="508">
        <v>0</v>
      </c>
      <c r="AX34" s="508">
        <v>0</v>
      </c>
      <c r="AY34" s="508">
        <v>0</v>
      </c>
      <c r="AZ34" s="508">
        <v>0</v>
      </c>
      <c r="BA34" s="508">
        <v>0</v>
      </c>
      <c r="BB34" s="508">
        <v>0</v>
      </c>
      <c r="BC34" s="508">
        <v>0</v>
      </c>
      <c r="BD34" s="508">
        <v>0</v>
      </c>
      <c r="BE34" s="508">
        <v>0</v>
      </c>
      <c r="BF34" s="508">
        <v>0</v>
      </c>
      <c r="BG34" s="508">
        <v>0</v>
      </c>
      <c r="BH34" s="508">
        <v>0</v>
      </c>
      <c r="BI34" s="508">
        <v>0</v>
      </c>
      <c r="BJ34" s="508">
        <v>0</v>
      </c>
      <c r="BK34" s="508">
        <v>0</v>
      </c>
      <c r="BL34" s="508">
        <v>0</v>
      </c>
      <c r="BM34" s="508">
        <v>0</v>
      </c>
      <c r="BN34" s="508">
        <v>0</v>
      </c>
      <c r="BO34" s="508">
        <v>0</v>
      </c>
      <c r="BP34" s="508">
        <v>0</v>
      </c>
      <c r="BQ34" s="508"/>
      <c r="BR34" s="508"/>
      <c r="BS34" s="508"/>
      <c r="BT34" s="508"/>
      <c r="BU34" s="508"/>
      <c r="BV34" s="508"/>
      <c r="BW34" s="508"/>
    </row>
    <row r="35" spans="1:75" ht="15" customHeight="1">
      <c r="A35" s="55">
        <v>32</v>
      </c>
      <c r="B35" s="60" t="s">
        <v>65</v>
      </c>
      <c r="C35" s="55">
        <v>28</v>
      </c>
      <c r="D35" s="508"/>
      <c r="E35" s="508"/>
      <c r="F35" s="508"/>
      <c r="G35" s="508"/>
      <c r="H35" s="508"/>
      <c r="I35" s="508"/>
      <c r="J35" s="508"/>
      <c r="K35" s="508"/>
      <c r="L35" s="508"/>
      <c r="M35" s="508"/>
      <c r="N35" s="508"/>
      <c r="O35" s="508"/>
      <c r="P35" s="508"/>
      <c r="Q35" s="508"/>
      <c r="R35" s="508"/>
      <c r="S35" s="508"/>
      <c r="T35" s="508"/>
      <c r="U35" s="508"/>
      <c r="V35" s="508"/>
      <c r="W35" s="508"/>
      <c r="X35" s="508"/>
      <c r="Y35" s="508"/>
      <c r="Z35" s="508"/>
      <c r="AA35" s="508"/>
      <c r="AB35" s="508"/>
      <c r="AC35" s="508"/>
      <c r="AD35" s="508"/>
      <c r="AE35" s="508"/>
      <c r="AF35" s="508"/>
      <c r="AG35" s="508"/>
      <c r="AH35" s="508"/>
      <c r="AI35" s="508"/>
      <c r="AJ35" s="508"/>
      <c r="AK35" s="508"/>
      <c r="AL35" s="508"/>
      <c r="AM35" s="508"/>
      <c r="AN35" s="508">
        <v>0</v>
      </c>
      <c r="AO35" s="508">
        <v>0</v>
      </c>
      <c r="AP35" s="508">
        <v>0</v>
      </c>
      <c r="AQ35" s="508">
        <v>0</v>
      </c>
      <c r="AR35" s="508">
        <v>0</v>
      </c>
      <c r="AS35" s="508">
        <v>0</v>
      </c>
      <c r="AT35" s="508">
        <v>0</v>
      </c>
      <c r="AU35" s="508">
        <v>0</v>
      </c>
      <c r="AV35" s="508">
        <v>0</v>
      </c>
      <c r="AW35" s="508">
        <v>0</v>
      </c>
      <c r="AX35" s="508">
        <v>0</v>
      </c>
      <c r="AY35" s="508">
        <v>0</v>
      </c>
      <c r="AZ35" s="508">
        <v>0</v>
      </c>
      <c r="BA35" s="508">
        <v>0</v>
      </c>
      <c r="BB35" s="508">
        <v>0</v>
      </c>
      <c r="BC35" s="508">
        <v>0</v>
      </c>
      <c r="BD35" s="508">
        <v>0</v>
      </c>
      <c r="BE35" s="508">
        <v>0</v>
      </c>
      <c r="BF35" s="508">
        <v>0</v>
      </c>
      <c r="BG35" s="508">
        <v>0</v>
      </c>
      <c r="BH35" s="508">
        <v>0</v>
      </c>
      <c r="BI35" s="508">
        <v>0</v>
      </c>
      <c r="BJ35" s="508">
        <v>0</v>
      </c>
      <c r="BK35" s="508">
        <v>0</v>
      </c>
      <c r="BL35" s="508">
        <v>0</v>
      </c>
      <c r="BM35" s="508">
        <v>0</v>
      </c>
      <c r="BN35" s="508">
        <v>0</v>
      </c>
      <c r="BO35" s="508">
        <v>0</v>
      </c>
      <c r="BP35" s="508">
        <v>0</v>
      </c>
      <c r="BQ35" s="508"/>
      <c r="BR35" s="508"/>
      <c r="BS35" s="508"/>
      <c r="BT35" s="508"/>
      <c r="BU35" s="508"/>
      <c r="BV35" s="508"/>
      <c r="BW35" s="508"/>
    </row>
    <row r="36" spans="1:75" ht="14">
      <c r="A36" s="62">
        <v>33</v>
      </c>
      <c r="B36" s="63" t="s">
        <v>327</v>
      </c>
      <c r="C36" s="62">
        <v>28</v>
      </c>
      <c r="D36" s="5">
        <f t="shared" ref="D36:AY36" si="14">SUM(D37,D44,D54,D63,D66,D69,D76)</f>
        <v>0</v>
      </c>
      <c r="E36" s="5">
        <f t="shared" si="14"/>
        <v>0</v>
      </c>
      <c r="F36" s="5">
        <f t="shared" si="14"/>
        <v>0</v>
      </c>
      <c r="G36" s="5">
        <f t="shared" si="14"/>
        <v>0</v>
      </c>
      <c r="H36" s="5">
        <f t="shared" si="14"/>
        <v>0</v>
      </c>
      <c r="I36" s="5">
        <f t="shared" si="14"/>
        <v>0</v>
      </c>
      <c r="J36" s="5">
        <f t="shared" si="14"/>
        <v>0</v>
      </c>
      <c r="K36" s="5">
        <f t="shared" si="14"/>
        <v>0</v>
      </c>
      <c r="L36" s="5">
        <f t="shared" si="14"/>
        <v>0</v>
      </c>
      <c r="M36" s="5">
        <f t="shared" si="14"/>
        <v>0</v>
      </c>
      <c r="N36" s="5">
        <f t="shared" si="14"/>
        <v>0</v>
      </c>
      <c r="O36" s="5">
        <f t="shared" si="14"/>
        <v>0</v>
      </c>
      <c r="P36" s="5">
        <f t="shared" si="14"/>
        <v>0</v>
      </c>
      <c r="Q36" s="5">
        <f t="shared" si="14"/>
        <v>0</v>
      </c>
      <c r="R36" s="5">
        <f t="shared" si="14"/>
        <v>0</v>
      </c>
      <c r="S36" s="5">
        <f t="shared" si="14"/>
        <v>0</v>
      </c>
      <c r="T36" s="5">
        <f t="shared" si="14"/>
        <v>0</v>
      </c>
      <c r="U36" s="5">
        <f t="shared" si="14"/>
        <v>0</v>
      </c>
      <c r="V36" s="5">
        <f t="shared" si="14"/>
        <v>0</v>
      </c>
      <c r="W36" s="5">
        <f t="shared" si="14"/>
        <v>0</v>
      </c>
      <c r="X36" s="5">
        <f t="shared" si="14"/>
        <v>0</v>
      </c>
      <c r="Y36" s="5">
        <f t="shared" si="14"/>
        <v>0</v>
      </c>
      <c r="Z36" s="5">
        <f t="shared" si="14"/>
        <v>0</v>
      </c>
      <c r="AA36" s="5">
        <f t="shared" si="14"/>
        <v>0</v>
      </c>
      <c r="AB36" s="5">
        <f t="shared" si="14"/>
        <v>0</v>
      </c>
      <c r="AC36" s="5">
        <f t="shared" si="14"/>
        <v>0</v>
      </c>
      <c r="AD36" s="5">
        <f t="shared" si="14"/>
        <v>0</v>
      </c>
      <c r="AE36" s="5">
        <f t="shared" si="14"/>
        <v>0</v>
      </c>
      <c r="AF36" s="5">
        <f t="shared" si="14"/>
        <v>0</v>
      </c>
      <c r="AG36" s="5">
        <f t="shared" si="14"/>
        <v>0</v>
      </c>
      <c r="AH36" s="5">
        <f t="shared" si="14"/>
        <v>0</v>
      </c>
      <c r="AI36" s="5">
        <f t="shared" si="14"/>
        <v>0</v>
      </c>
      <c r="AJ36" s="5">
        <f t="shared" si="14"/>
        <v>0</v>
      </c>
      <c r="AK36" s="5">
        <f t="shared" si="14"/>
        <v>0</v>
      </c>
      <c r="AL36" s="5">
        <f t="shared" si="14"/>
        <v>0</v>
      </c>
      <c r="AM36" s="5">
        <f t="shared" si="14"/>
        <v>0</v>
      </c>
      <c r="AN36" s="5">
        <f t="shared" si="14"/>
        <v>332625414815</v>
      </c>
      <c r="AO36" s="5">
        <f t="shared" si="14"/>
        <v>328842339529</v>
      </c>
      <c r="AP36" s="5">
        <f t="shared" si="14"/>
        <v>326860219147</v>
      </c>
      <c r="AQ36" s="5">
        <f t="shared" si="14"/>
        <v>325876836997</v>
      </c>
      <c r="AR36" s="5">
        <f t="shared" si="14"/>
        <v>323966420495</v>
      </c>
      <c r="AS36" s="5">
        <f t="shared" si="14"/>
        <v>324626376319</v>
      </c>
      <c r="AT36" s="5">
        <f t="shared" si="14"/>
        <v>322169750156</v>
      </c>
      <c r="AU36" s="5">
        <f t="shared" si="14"/>
        <v>326771678464</v>
      </c>
      <c r="AV36" s="5">
        <f t="shared" si="14"/>
        <v>324411130594</v>
      </c>
      <c r="AW36" s="5">
        <f t="shared" si="14"/>
        <v>324205243077</v>
      </c>
      <c r="AX36" s="5">
        <f t="shared" si="14"/>
        <v>324813983532</v>
      </c>
      <c r="AY36" s="6">
        <f t="shared" si="14"/>
        <v>336474874329</v>
      </c>
      <c r="AZ36" s="6">
        <v>340380140059</v>
      </c>
      <c r="BA36" s="6">
        <v>335623957890</v>
      </c>
      <c r="BB36" s="6">
        <v>337167352653</v>
      </c>
      <c r="BC36" s="6">
        <v>345195829633</v>
      </c>
      <c r="BD36" s="6">
        <v>349130154104</v>
      </c>
      <c r="BE36" s="6">
        <v>349265800786</v>
      </c>
      <c r="BF36" s="6">
        <v>347766774950</v>
      </c>
      <c r="BG36" s="6">
        <v>347596408883</v>
      </c>
      <c r="BH36" s="6">
        <v>354522543809</v>
      </c>
      <c r="BI36" s="6">
        <v>365541010978</v>
      </c>
      <c r="BJ36" s="6">
        <v>364826588171</v>
      </c>
      <c r="BK36" s="6">
        <v>370861183445</v>
      </c>
      <c r="BL36" s="6">
        <v>371950740747</v>
      </c>
      <c r="BM36" s="6">
        <v>393184153968</v>
      </c>
      <c r="BN36" s="6">
        <v>400308290666</v>
      </c>
      <c r="BO36" s="6">
        <v>422096241613</v>
      </c>
      <c r="BP36" s="6">
        <v>423309149685</v>
      </c>
      <c r="BQ36" s="6">
        <f t="shared" ref="BQ36:BW36" si="15">SUM(BQ37,BQ44,BQ54,BQ63,BQ66,BQ69,BQ76)</f>
        <v>0</v>
      </c>
      <c r="BR36" s="6">
        <f t="shared" si="15"/>
        <v>0</v>
      </c>
      <c r="BS36" s="6">
        <f t="shared" si="15"/>
        <v>0</v>
      </c>
      <c r="BT36" s="6">
        <f t="shared" si="15"/>
        <v>0</v>
      </c>
      <c r="BU36" s="6">
        <f t="shared" si="15"/>
        <v>0</v>
      </c>
      <c r="BV36" s="6">
        <f t="shared" si="15"/>
        <v>0</v>
      </c>
      <c r="BW36" s="6">
        <f t="shared" si="15"/>
        <v>0</v>
      </c>
    </row>
    <row r="37" spans="1:75" ht="15" customHeight="1">
      <c r="A37" s="59">
        <v>34</v>
      </c>
      <c r="B37" s="54" t="s">
        <v>67</v>
      </c>
      <c r="C37" s="59">
        <v>28</v>
      </c>
      <c r="D37" s="3">
        <f t="shared" ref="D37:AY37" si="16">SUM(D38:D43)</f>
        <v>0</v>
      </c>
      <c r="E37" s="3">
        <f t="shared" si="16"/>
        <v>0</v>
      </c>
      <c r="F37" s="3">
        <f t="shared" si="16"/>
        <v>0</v>
      </c>
      <c r="G37" s="3">
        <f t="shared" si="16"/>
        <v>0</v>
      </c>
      <c r="H37" s="3">
        <f t="shared" si="16"/>
        <v>0</v>
      </c>
      <c r="I37" s="3">
        <f t="shared" si="16"/>
        <v>0</v>
      </c>
      <c r="J37" s="3">
        <f t="shared" si="16"/>
        <v>0</v>
      </c>
      <c r="K37" s="3">
        <f t="shared" si="16"/>
        <v>0</v>
      </c>
      <c r="L37" s="3">
        <f t="shared" si="16"/>
        <v>0</v>
      </c>
      <c r="M37" s="3">
        <f t="shared" si="16"/>
        <v>0</v>
      </c>
      <c r="N37" s="3">
        <f t="shared" si="16"/>
        <v>0</v>
      </c>
      <c r="O37" s="3">
        <f t="shared" si="16"/>
        <v>0</v>
      </c>
      <c r="P37" s="3">
        <f t="shared" si="16"/>
        <v>0</v>
      </c>
      <c r="Q37" s="3">
        <f t="shared" si="16"/>
        <v>0</v>
      </c>
      <c r="R37" s="3">
        <f t="shared" si="16"/>
        <v>0</v>
      </c>
      <c r="S37" s="3">
        <f t="shared" si="16"/>
        <v>0</v>
      </c>
      <c r="T37" s="3">
        <f t="shared" si="16"/>
        <v>0</v>
      </c>
      <c r="U37" s="3">
        <f t="shared" si="16"/>
        <v>0</v>
      </c>
      <c r="V37" s="3">
        <f t="shared" si="16"/>
        <v>0</v>
      </c>
      <c r="W37" s="3">
        <f t="shared" si="16"/>
        <v>0</v>
      </c>
      <c r="X37" s="3">
        <f t="shared" si="16"/>
        <v>0</v>
      </c>
      <c r="Y37" s="3">
        <f t="shared" si="16"/>
        <v>0</v>
      </c>
      <c r="Z37" s="3">
        <f t="shared" si="16"/>
        <v>0</v>
      </c>
      <c r="AA37" s="3">
        <f t="shared" si="16"/>
        <v>0</v>
      </c>
      <c r="AB37" s="3">
        <f t="shared" si="16"/>
        <v>0</v>
      </c>
      <c r="AC37" s="3">
        <f t="shared" si="16"/>
        <v>0</v>
      </c>
      <c r="AD37" s="3">
        <f t="shared" si="16"/>
        <v>0</v>
      </c>
      <c r="AE37" s="3">
        <f t="shared" si="16"/>
        <v>0</v>
      </c>
      <c r="AF37" s="3">
        <f t="shared" si="16"/>
        <v>0</v>
      </c>
      <c r="AG37" s="3">
        <f t="shared" si="16"/>
        <v>0</v>
      </c>
      <c r="AH37" s="3">
        <f t="shared" si="16"/>
        <v>0</v>
      </c>
      <c r="AI37" s="3">
        <f t="shared" si="16"/>
        <v>0</v>
      </c>
      <c r="AJ37" s="3">
        <f t="shared" si="16"/>
        <v>0</v>
      </c>
      <c r="AK37" s="3">
        <f t="shared" si="16"/>
        <v>0</v>
      </c>
      <c r="AL37" s="3">
        <f t="shared" si="16"/>
        <v>0</v>
      </c>
      <c r="AM37" s="3">
        <f t="shared" si="16"/>
        <v>0</v>
      </c>
      <c r="AN37" s="3">
        <f t="shared" si="16"/>
        <v>240000000</v>
      </c>
      <c r="AO37" s="3">
        <f t="shared" si="16"/>
        <v>240000000</v>
      </c>
      <c r="AP37" s="3">
        <f t="shared" si="16"/>
        <v>240000000</v>
      </c>
      <c r="AQ37" s="3">
        <f t="shared" si="16"/>
        <v>240000000</v>
      </c>
      <c r="AR37" s="3">
        <f t="shared" si="16"/>
        <v>240000000</v>
      </c>
      <c r="AS37" s="3">
        <f t="shared" si="16"/>
        <v>1140000000</v>
      </c>
      <c r="AT37" s="3">
        <f t="shared" si="16"/>
        <v>930823092</v>
      </c>
      <c r="AU37" s="3">
        <f t="shared" si="16"/>
        <v>930823092</v>
      </c>
      <c r="AV37" s="3">
        <f t="shared" si="16"/>
        <v>930823092</v>
      </c>
      <c r="AW37" s="3">
        <f t="shared" si="16"/>
        <v>930823092</v>
      </c>
      <c r="AX37" s="3">
        <f t="shared" si="16"/>
        <v>930823092</v>
      </c>
      <c r="AY37" s="4">
        <f t="shared" si="16"/>
        <v>6530823092</v>
      </c>
      <c r="AZ37" s="4">
        <v>6530823092</v>
      </c>
      <c r="BA37" s="4">
        <v>6530823092</v>
      </c>
      <c r="BB37" s="4">
        <v>6530823092</v>
      </c>
      <c r="BC37" s="4">
        <v>6530823092</v>
      </c>
      <c r="BD37" s="4">
        <v>6530823092</v>
      </c>
      <c r="BE37" s="4">
        <v>6530823092</v>
      </c>
      <c r="BF37" s="4">
        <v>6530823092</v>
      </c>
      <c r="BG37" s="4">
        <v>6530823092</v>
      </c>
      <c r="BH37" s="4">
        <v>6530823092</v>
      </c>
      <c r="BI37" s="4">
        <v>6530823092</v>
      </c>
      <c r="BJ37" s="4">
        <v>6530823092</v>
      </c>
      <c r="BK37" s="4">
        <v>5600000000</v>
      </c>
      <c r="BL37" s="4">
        <v>5315314211</v>
      </c>
      <c r="BM37" s="4">
        <v>5315314211</v>
      </c>
      <c r="BN37" s="4">
        <v>5315314211</v>
      </c>
      <c r="BO37" s="4">
        <v>5315314210</v>
      </c>
      <c r="BP37" s="4">
        <v>5315314210</v>
      </c>
      <c r="BQ37" s="4">
        <f t="shared" ref="BQ37:BW37" si="17">SUM(BQ38:BQ43)</f>
        <v>0</v>
      </c>
      <c r="BR37" s="4">
        <f t="shared" si="17"/>
        <v>0</v>
      </c>
      <c r="BS37" s="4">
        <f t="shared" si="17"/>
        <v>0</v>
      </c>
      <c r="BT37" s="4">
        <f t="shared" si="17"/>
        <v>0</v>
      </c>
      <c r="BU37" s="4">
        <f t="shared" si="17"/>
        <v>0</v>
      </c>
      <c r="BV37" s="4">
        <f t="shared" si="17"/>
        <v>0</v>
      </c>
      <c r="BW37" s="4">
        <f t="shared" si="17"/>
        <v>0</v>
      </c>
    </row>
    <row r="38" spans="1:75" ht="15" customHeight="1">
      <c r="A38" s="55">
        <v>35</v>
      </c>
      <c r="B38" s="56" t="s">
        <v>68</v>
      </c>
      <c r="C38" s="55">
        <v>28</v>
      </c>
      <c r="D38" s="508"/>
      <c r="E38" s="508"/>
      <c r="F38" s="508"/>
      <c r="G38" s="508"/>
      <c r="H38" s="508"/>
      <c r="I38" s="508"/>
      <c r="J38" s="508"/>
      <c r="K38" s="508"/>
      <c r="L38" s="508"/>
      <c r="M38" s="508"/>
      <c r="N38" s="508"/>
      <c r="O38" s="508"/>
      <c r="P38" s="508"/>
      <c r="Q38" s="508"/>
      <c r="R38" s="508"/>
      <c r="S38" s="508"/>
      <c r="T38" s="508"/>
      <c r="U38" s="508"/>
      <c r="V38" s="508"/>
      <c r="W38" s="508"/>
      <c r="X38" s="508"/>
      <c r="Y38" s="508"/>
      <c r="Z38" s="508"/>
      <c r="AA38" s="508"/>
      <c r="AB38" s="508"/>
      <c r="AC38" s="508"/>
      <c r="AD38" s="508"/>
      <c r="AE38" s="508"/>
      <c r="AF38" s="508"/>
      <c r="AG38" s="508"/>
      <c r="AH38" s="508"/>
      <c r="AI38" s="508"/>
      <c r="AJ38" s="508"/>
      <c r="AK38" s="508"/>
      <c r="AL38" s="508"/>
      <c r="AM38" s="508"/>
      <c r="AN38" s="508">
        <v>0</v>
      </c>
      <c r="AO38" s="508">
        <v>0</v>
      </c>
      <c r="AP38" s="508">
        <v>0</v>
      </c>
      <c r="AQ38" s="508">
        <v>0</v>
      </c>
      <c r="AR38" s="508">
        <v>0</v>
      </c>
      <c r="AS38" s="508">
        <v>0</v>
      </c>
      <c r="AT38" s="508">
        <v>0</v>
      </c>
      <c r="AU38" s="508">
        <v>0</v>
      </c>
      <c r="AV38" s="508">
        <v>0</v>
      </c>
      <c r="AW38" s="508">
        <v>0</v>
      </c>
      <c r="AX38" s="508">
        <v>0</v>
      </c>
      <c r="AY38" s="508">
        <v>0</v>
      </c>
      <c r="AZ38" s="508">
        <v>0</v>
      </c>
      <c r="BA38" s="508">
        <v>0</v>
      </c>
      <c r="BB38" s="508">
        <v>0</v>
      </c>
      <c r="BC38" s="508">
        <v>0</v>
      </c>
      <c r="BD38" s="508">
        <v>0</v>
      </c>
      <c r="BE38" s="508">
        <v>0</v>
      </c>
      <c r="BF38" s="508">
        <v>0</v>
      </c>
      <c r="BG38" s="508">
        <v>0</v>
      </c>
      <c r="BH38" s="508">
        <v>0</v>
      </c>
      <c r="BI38" s="508">
        <v>0</v>
      </c>
      <c r="BJ38" s="508">
        <v>0</v>
      </c>
      <c r="BK38" s="508">
        <v>0</v>
      </c>
      <c r="BL38" s="508">
        <v>0</v>
      </c>
      <c r="BM38" s="508">
        <v>0</v>
      </c>
      <c r="BN38" s="508">
        <v>0</v>
      </c>
      <c r="BO38" s="508">
        <v>0</v>
      </c>
      <c r="BP38" s="508">
        <v>0</v>
      </c>
      <c r="BQ38" s="508"/>
      <c r="BR38" s="508"/>
      <c r="BS38" s="508"/>
      <c r="BT38" s="508"/>
      <c r="BU38" s="508"/>
      <c r="BV38" s="508"/>
      <c r="BW38" s="508"/>
    </row>
    <row r="39" spans="1:75" ht="15" customHeight="1">
      <c r="A39" s="55">
        <v>36</v>
      </c>
      <c r="B39" s="56" t="s">
        <v>69</v>
      </c>
      <c r="C39" s="55">
        <v>28</v>
      </c>
      <c r="D39" s="508"/>
      <c r="E39" s="508"/>
      <c r="F39" s="508"/>
      <c r="G39" s="508"/>
      <c r="H39" s="508"/>
      <c r="I39" s="508"/>
      <c r="J39" s="508"/>
      <c r="K39" s="508"/>
      <c r="L39" s="508"/>
      <c r="M39" s="508"/>
      <c r="N39" s="508"/>
      <c r="O39" s="508"/>
      <c r="P39" s="508"/>
      <c r="Q39" s="508"/>
      <c r="R39" s="508"/>
      <c r="S39" s="508"/>
      <c r="T39" s="508"/>
      <c r="U39" s="508"/>
      <c r="V39" s="508"/>
      <c r="W39" s="508"/>
      <c r="X39" s="508"/>
      <c r="Y39" s="508"/>
      <c r="Z39" s="508"/>
      <c r="AA39" s="508"/>
      <c r="AB39" s="508"/>
      <c r="AC39" s="508"/>
      <c r="AD39" s="508"/>
      <c r="AE39" s="508"/>
      <c r="AF39" s="508"/>
      <c r="AG39" s="508"/>
      <c r="AH39" s="508"/>
      <c r="AI39" s="508"/>
      <c r="AJ39" s="508"/>
      <c r="AK39" s="508"/>
      <c r="AL39" s="508"/>
      <c r="AM39" s="508"/>
      <c r="AN39" s="508">
        <v>0</v>
      </c>
      <c r="AO39" s="508">
        <v>0</v>
      </c>
      <c r="AP39" s="508">
        <v>0</v>
      </c>
      <c r="AQ39" s="508">
        <v>0</v>
      </c>
      <c r="AR39" s="508">
        <v>0</v>
      </c>
      <c r="AS39" s="508">
        <v>0</v>
      </c>
      <c r="AT39" s="508">
        <v>0</v>
      </c>
      <c r="AU39" s="508">
        <v>0</v>
      </c>
      <c r="AV39" s="508">
        <v>0</v>
      </c>
      <c r="AW39" s="508">
        <v>0</v>
      </c>
      <c r="AX39" s="508">
        <v>0</v>
      </c>
      <c r="AY39" s="508">
        <v>0</v>
      </c>
      <c r="AZ39" s="508">
        <v>0</v>
      </c>
      <c r="BA39" s="508">
        <v>0</v>
      </c>
      <c r="BB39" s="508">
        <v>0</v>
      </c>
      <c r="BC39" s="508">
        <v>0</v>
      </c>
      <c r="BD39" s="508">
        <v>0</v>
      </c>
      <c r="BE39" s="508">
        <v>0</v>
      </c>
      <c r="BF39" s="508">
        <v>0</v>
      </c>
      <c r="BG39" s="508">
        <v>0</v>
      </c>
      <c r="BH39" s="508">
        <v>0</v>
      </c>
      <c r="BI39" s="508">
        <v>0</v>
      </c>
      <c r="BJ39" s="508">
        <v>0</v>
      </c>
      <c r="BK39" s="508">
        <v>0</v>
      </c>
      <c r="BL39" s="508">
        <v>0</v>
      </c>
      <c r="BM39" s="508">
        <v>0</v>
      </c>
      <c r="BN39" s="508">
        <v>0</v>
      </c>
      <c r="BO39" s="508">
        <v>0</v>
      </c>
      <c r="BP39" s="508">
        <v>0</v>
      </c>
      <c r="BQ39" s="508"/>
      <c r="BR39" s="508"/>
      <c r="BS39" s="508"/>
      <c r="BT39" s="508"/>
      <c r="BU39" s="508"/>
      <c r="BV39" s="508"/>
      <c r="BW39" s="508"/>
    </row>
    <row r="40" spans="1:75" ht="15" customHeight="1">
      <c r="A40" s="55">
        <v>37</v>
      </c>
      <c r="B40" s="56" t="s">
        <v>70</v>
      </c>
      <c r="C40" s="55">
        <v>28</v>
      </c>
      <c r="D40" s="508"/>
      <c r="E40" s="508"/>
      <c r="F40" s="508"/>
      <c r="G40" s="508"/>
      <c r="H40" s="508"/>
      <c r="I40" s="508"/>
      <c r="J40" s="508"/>
      <c r="K40" s="508"/>
      <c r="L40" s="508"/>
      <c r="M40" s="508"/>
      <c r="N40" s="508"/>
      <c r="O40" s="508"/>
      <c r="P40" s="508"/>
      <c r="Q40" s="508"/>
      <c r="R40" s="508"/>
      <c r="S40" s="508"/>
      <c r="T40" s="508"/>
      <c r="U40" s="508"/>
      <c r="V40" s="508"/>
      <c r="W40" s="508"/>
      <c r="X40" s="508"/>
      <c r="Y40" s="508"/>
      <c r="Z40" s="508"/>
      <c r="AA40" s="508"/>
      <c r="AB40" s="508"/>
      <c r="AC40" s="508"/>
      <c r="AD40" s="508"/>
      <c r="AE40" s="508"/>
      <c r="AF40" s="508"/>
      <c r="AG40" s="508"/>
      <c r="AH40" s="508"/>
      <c r="AI40" s="508"/>
      <c r="AJ40" s="508"/>
      <c r="AK40" s="508"/>
      <c r="AL40" s="508"/>
      <c r="AM40" s="508"/>
      <c r="AN40" s="508">
        <v>0</v>
      </c>
      <c r="AO40" s="508">
        <v>0</v>
      </c>
      <c r="AP40" s="508">
        <v>0</v>
      </c>
      <c r="AQ40" s="508">
        <v>0</v>
      </c>
      <c r="AR40" s="508">
        <v>0</v>
      </c>
      <c r="AS40" s="508">
        <v>0</v>
      </c>
      <c r="AT40" s="508">
        <v>0</v>
      </c>
      <c r="AU40" s="508">
        <v>0</v>
      </c>
      <c r="AV40" s="508">
        <v>0</v>
      </c>
      <c r="AW40" s="508">
        <v>0</v>
      </c>
      <c r="AX40" s="508">
        <v>0</v>
      </c>
      <c r="AY40" s="508">
        <v>0</v>
      </c>
      <c r="AZ40" s="508">
        <v>0</v>
      </c>
      <c r="BA40" s="508">
        <v>0</v>
      </c>
      <c r="BB40" s="508">
        <v>0</v>
      </c>
      <c r="BC40" s="508">
        <v>0</v>
      </c>
      <c r="BD40" s="508">
        <v>0</v>
      </c>
      <c r="BE40" s="508">
        <v>0</v>
      </c>
      <c r="BF40" s="508">
        <v>0</v>
      </c>
      <c r="BG40" s="508">
        <v>0</v>
      </c>
      <c r="BH40" s="508">
        <v>0</v>
      </c>
      <c r="BI40" s="508">
        <v>0</v>
      </c>
      <c r="BJ40" s="508">
        <v>0</v>
      </c>
      <c r="BK40" s="508">
        <v>0</v>
      </c>
      <c r="BL40" s="508">
        <v>0</v>
      </c>
      <c r="BM40" s="508">
        <v>0</v>
      </c>
      <c r="BN40" s="508">
        <v>0</v>
      </c>
      <c r="BO40" s="508">
        <v>0</v>
      </c>
      <c r="BP40" s="508">
        <v>0</v>
      </c>
      <c r="BQ40" s="508"/>
      <c r="BR40" s="508"/>
      <c r="BS40" s="508"/>
      <c r="BT40" s="508"/>
      <c r="BU40" s="508"/>
      <c r="BV40" s="508"/>
      <c r="BW40" s="508"/>
    </row>
    <row r="41" spans="1:75" ht="15" customHeight="1">
      <c r="A41" s="55">
        <v>38</v>
      </c>
      <c r="B41" s="56" t="s">
        <v>71</v>
      </c>
      <c r="C41" s="55">
        <v>28</v>
      </c>
      <c r="D41" s="508"/>
      <c r="E41" s="508"/>
      <c r="F41" s="508"/>
      <c r="G41" s="508"/>
      <c r="H41" s="508"/>
      <c r="I41" s="508"/>
      <c r="J41" s="508"/>
      <c r="K41" s="508"/>
      <c r="L41" s="508"/>
      <c r="M41" s="508"/>
      <c r="N41" s="508"/>
      <c r="O41" s="508"/>
      <c r="P41" s="508"/>
      <c r="Q41" s="508"/>
      <c r="R41" s="508"/>
      <c r="S41" s="508"/>
      <c r="T41" s="508"/>
      <c r="U41" s="508"/>
      <c r="V41" s="508"/>
      <c r="W41" s="508"/>
      <c r="X41" s="508"/>
      <c r="Y41" s="508"/>
      <c r="Z41" s="508"/>
      <c r="AA41" s="508"/>
      <c r="AB41" s="508"/>
      <c r="AC41" s="508"/>
      <c r="AD41" s="508"/>
      <c r="AE41" s="508"/>
      <c r="AF41" s="508"/>
      <c r="AG41" s="508"/>
      <c r="AH41" s="508"/>
      <c r="AI41" s="508"/>
      <c r="AJ41" s="508"/>
      <c r="AK41" s="508"/>
      <c r="AL41" s="508"/>
      <c r="AM41" s="508"/>
      <c r="AN41" s="508">
        <v>0</v>
      </c>
      <c r="AO41" s="508">
        <v>0</v>
      </c>
      <c r="AP41" s="508">
        <v>0</v>
      </c>
      <c r="AQ41" s="508">
        <v>0</v>
      </c>
      <c r="AR41" s="508">
        <v>0</v>
      </c>
      <c r="AS41" s="508">
        <v>0</v>
      </c>
      <c r="AT41" s="508">
        <v>0</v>
      </c>
      <c r="AU41" s="508">
        <v>0</v>
      </c>
      <c r="AV41" s="508">
        <v>0</v>
      </c>
      <c r="AW41" s="508">
        <v>0</v>
      </c>
      <c r="AX41" s="508">
        <v>0</v>
      </c>
      <c r="AY41" s="508">
        <v>0</v>
      </c>
      <c r="AZ41" s="508">
        <v>0</v>
      </c>
      <c r="BA41" s="508">
        <v>0</v>
      </c>
      <c r="BB41" s="508">
        <v>0</v>
      </c>
      <c r="BC41" s="508">
        <v>0</v>
      </c>
      <c r="BD41" s="508">
        <v>0</v>
      </c>
      <c r="BE41" s="508">
        <v>0</v>
      </c>
      <c r="BF41" s="508">
        <v>0</v>
      </c>
      <c r="BG41" s="508">
        <v>0</v>
      </c>
      <c r="BH41" s="508">
        <v>0</v>
      </c>
      <c r="BI41" s="508">
        <v>0</v>
      </c>
      <c r="BJ41" s="508">
        <v>0</v>
      </c>
      <c r="BK41" s="508">
        <v>0</v>
      </c>
      <c r="BL41" s="508">
        <v>0</v>
      </c>
      <c r="BM41" s="508">
        <v>0</v>
      </c>
      <c r="BN41" s="508">
        <v>0</v>
      </c>
      <c r="BO41" s="508">
        <v>0</v>
      </c>
      <c r="BP41" s="508">
        <v>0</v>
      </c>
      <c r="BQ41" s="508"/>
      <c r="BR41" s="508"/>
      <c r="BS41" s="508"/>
      <c r="BT41" s="508"/>
      <c r="BU41" s="508"/>
      <c r="BV41" s="508"/>
      <c r="BW41" s="508"/>
    </row>
    <row r="42" spans="1:75" ht="15" customHeight="1">
      <c r="A42" s="55">
        <v>39</v>
      </c>
      <c r="B42" s="56" t="s">
        <v>72</v>
      </c>
      <c r="C42" s="55">
        <v>28</v>
      </c>
      <c r="D42" s="508"/>
      <c r="E42" s="508"/>
      <c r="F42" s="508"/>
      <c r="G42" s="508"/>
      <c r="H42" s="508"/>
      <c r="I42" s="508"/>
      <c r="J42" s="508"/>
      <c r="K42" s="508"/>
      <c r="L42" s="508"/>
      <c r="M42" s="508"/>
      <c r="N42" s="508"/>
      <c r="O42" s="508"/>
      <c r="P42" s="508"/>
      <c r="Q42" s="508"/>
      <c r="R42" s="508"/>
      <c r="S42" s="508"/>
      <c r="T42" s="508"/>
      <c r="U42" s="508"/>
      <c r="V42" s="508"/>
      <c r="W42" s="508"/>
      <c r="X42" s="508"/>
      <c r="Y42" s="508"/>
      <c r="Z42" s="508"/>
      <c r="AA42" s="508"/>
      <c r="AB42" s="508"/>
      <c r="AC42" s="508"/>
      <c r="AD42" s="508"/>
      <c r="AE42" s="508"/>
      <c r="AF42" s="508"/>
      <c r="AG42" s="508"/>
      <c r="AH42" s="508"/>
      <c r="AI42" s="508"/>
      <c r="AJ42" s="508"/>
      <c r="AK42" s="508"/>
      <c r="AL42" s="508"/>
      <c r="AM42" s="508"/>
      <c r="AN42" s="508">
        <v>240000000</v>
      </c>
      <c r="AO42" s="508">
        <v>240000000</v>
      </c>
      <c r="AP42" s="508">
        <v>240000000</v>
      </c>
      <c r="AQ42" s="508">
        <v>240000000</v>
      </c>
      <c r="AR42" s="508">
        <v>240000000</v>
      </c>
      <c r="AS42" s="508">
        <v>1140000000</v>
      </c>
      <c r="AT42" s="508">
        <v>930823092</v>
      </c>
      <c r="AU42" s="508">
        <v>930823092</v>
      </c>
      <c r="AV42" s="508">
        <v>930823092</v>
      </c>
      <c r="AW42" s="508">
        <v>930823092</v>
      </c>
      <c r="AX42" s="508">
        <v>930823092</v>
      </c>
      <c r="AY42" s="508">
        <v>6530823092</v>
      </c>
      <c r="AZ42" s="508">
        <v>6530823092</v>
      </c>
      <c r="BA42" s="508">
        <v>6530823092</v>
      </c>
      <c r="BB42" s="508">
        <v>6530823092</v>
      </c>
      <c r="BC42" s="508">
        <v>6530823092</v>
      </c>
      <c r="BD42" s="508">
        <v>6530823092</v>
      </c>
      <c r="BE42" s="508">
        <v>6530823092</v>
      </c>
      <c r="BF42" s="508">
        <v>6530823092</v>
      </c>
      <c r="BG42" s="508">
        <v>6530823092</v>
      </c>
      <c r="BH42" s="508">
        <v>6530823092</v>
      </c>
      <c r="BI42" s="508">
        <v>6530823092</v>
      </c>
      <c r="BJ42" s="508">
        <v>6530823092</v>
      </c>
      <c r="BK42" s="508">
        <v>5600000000</v>
      </c>
      <c r="BL42" s="508">
        <v>5315314211</v>
      </c>
      <c r="BM42" s="508">
        <v>5315314211</v>
      </c>
      <c r="BN42" s="508">
        <v>5315314211</v>
      </c>
      <c r="BO42" s="508">
        <v>5315314210</v>
      </c>
      <c r="BP42" s="508">
        <v>5315314210</v>
      </c>
      <c r="BQ42" s="508"/>
      <c r="BR42" s="508"/>
      <c r="BS42" s="508"/>
      <c r="BT42" s="508"/>
      <c r="BU42" s="508"/>
      <c r="BV42" s="508"/>
      <c r="BW42" s="508"/>
    </row>
    <row r="43" spans="1:75" ht="15" customHeight="1">
      <c r="A43" s="55">
        <v>40</v>
      </c>
      <c r="B43" s="56" t="s">
        <v>73</v>
      </c>
      <c r="C43" s="55">
        <v>28</v>
      </c>
      <c r="D43" s="508"/>
      <c r="E43" s="508"/>
      <c r="F43" s="508"/>
      <c r="G43" s="508"/>
      <c r="H43" s="508"/>
      <c r="I43" s="508"/>
      <c r="J43" s="508"/>
      <c r="K43" s="508"/>
      <c r="L43" s="508"/>
      <c r="M43" s="508"/>
      <c r="N43" s="508"/>
      <c r="O43" s="508"/>
      <c r="P43" s="508"/>
      <c r="Q43" s="508"/>
      <c r="R43" s="508"/>
      <c r="S43" s="508"/>
      <c r="T43" s="508"/>
      <c r="U43" s="508"/>
      <c r="V43" s="508"/>
      <c r="W43" s="508"/>
      <c r="X43" s="508"/>
      <c r="Y43" s="508"/>
      <c r="Z43" s="508"/>
      <c r="AA43" s="508"/>
      <c r="AB43" s="508"/>
      <c r="AC43" s="508"/>
      <c r="AD43" s="508"/>
      <c r="AE43" s="508"/>
      <c r="AF43" s="508"/>
      <c r="AG43" s="508"/>
      <c r="AH43" s="508"/>
      <c r="AI43" s="508"/>
      <c r="AJ43" s="508"/>
      <c r="AK43" s="508"/>
      <c r="AL43" s="508"/>
      <c r="AM43" s="508"/>
      <c r="AN43" s="508">
        <v>0</v>
      </c>
      <c r="AO43" s="508">
        <v>0</v>
      </c>
      <c r="AP43" s="508">
        <v>0</v>
      </c>
      <c r="AQ43" s="508">
        <v>0</v>
      </c>
      <c r="AR43" s="508">
        <v>0</v>
      </c>
      <c r="AS43" s="508">
        <v>0</v>
      </c>
      <c r="AT43" s="508">
        <v>0</v>
      </c>
      <c r="AU43" s="508">
        <v>0</v>
      </c>
      <c r="AV43" s="508">
        <v>0</v>
      </c>
      <c r="AW43" s="508">
        <v>0</v>
      </c>
      <c r="AX43" s="508">
        <v>0</v>
      </c>
      <c r="AY43" s="508">
        <v>0</v>
      </c>
      <c r="AZ43" s="508">
        <v>0</v>
      </c>
      <c r="BA43" s="508">
        <v>0</v>
      </c>
      <c r="BB43" s="508">
        <v>0</v>
      </c>
      <c r="BC43" s="508">
        <v>0</v>
      </c>
      <c r="BD43" s="508">
        <v>0</v>
      </c>
      <c r="BE43" s="508">
        <v>0</v>
      </c>
      <c r="BF43" s="508">
        <v>0</v>
      </c>
      <c r="BG43" s="508">
        <v>0</v>
      </c>
      <c r="BH43" s="508">
        <v>0</v>
      </c>
      <c r="BI43" s="508">
        <v>0</v>
      </c>
      <c r="BJ43" s="508">
        <v>0</v>
      </c>
      <c r="BK43" s="508">
        <v>0</v>
      </c>
      <c r="BL43" s="508">
        <v>0</v>
      </c>
      <c r="BM43" s="508">
        <v>0</v>
      </c>
      <c r="BN43" s="508">
        <v>0</v>
      </c>
      <c r="BO43" s="508">
        <v>0</v>
      </c>
      <c r="BP43" s="508">
        <v>0</v>
      </c>
      <c r="BQ43" s="508"/>
      <c r="BR43" s="508"/>
      <c r="BS43" s="508"/>
      <c r="BT43" s="508"/>
      <c r="BU43" s="508"/>
      <c r="BV43" s="508"/>
      <c r="BW43" s="508"/>
    </row>
    <row r="44" spans="1:75" ht="15" customHeight="1">
      <c r="A44" s="59">
        <v>41</v>
      </c>
      <c r="B44" s="64" t="s">
        <v>328</v>
      </c>
      <c r="C44" s="59">
        <v>28</v>
      </c>
      <c r="D44" s="3">
        <f t="shared" ref="D44:AY44" si="18">SUM(D45,D48,D51)</f>
        <v>0</v>
      </c>
      <c r="E44" s="3">
        <f t="shared" si="18"/>
        <v>0</v>
      </c>
      <c r="F44" s="3">
        <f t="shared" si="18"/>
        <v>0</v>
      </c>
      <c r="G44" s="3">
        <f t="shared" si="18"/>
        <v>0</v>
      </c>
      <c r="H44" s="3">
        <f t="shared" si="18"/>
        <v>0</v>
      </c>
      <c r="I44" s="3">
        <f t="shared" si="18"/>
        <v>0</v>
      </c>
      <c r="J44" s="3">
        <f t="shared" si="18"/>
        <v>0</v>
      </c>
      <c r="K44" s="3">
        <f t="shared" si="18"/>
        <v>0</v>
      </c>
      <c r="L44" s="3">
        <f t="shared" si="18"/>
        <v>0</v>
      </c>
      <c r="M44" s="3">
        <f t="shared" si="18"/>
        <v>0</v>
      </c>
      <c r="N44" s="3">
        <f t="shared" si="18"/>
        <v>0</v>
      </c>
      <c r="O44" s="3">
        <f t="shared" si="18"/>
        <v>0</v>
      </c>
      <c r="P44" s="3">
        <f t="shared" si="18"/>
        <v>0</v>
      </c>
      <c r="Q44" s="3">
        <f t="shared" si="18"/>
        <v>0</v>
      </c>
      <c r="R44" s="3">
        <f t="shared" si="18"/>
        <v>0</v>
      </c>
      <c r="S44" s="3">
        <f t="shared" si="18"/>
        <v>0</v>
      </c>
      <c r="T44" s="3">
        <f t="shared" si="18"/>
        <v>0</v>
      </c>
      <c r="U44" s="3">
        <f t="shared" si="18"/>
        <v>0</v>
      </c>
      <c r="V44" s="3">
        <f t="shared" si="18"/>
        <v>0</v>
      </c>
      <c r="W44" s="3">
        <f t="shared" si="18"/>
        <v>0</v>
      </c>
      <c r="X44" s="3">
        <f t="shared" si="18"/>
        <v>0</v>
      </c>
      <c r="Y44" s="3">
        <f t="shared" si="18"/>
        <v>0</v>
      </c>
      <c r="Z44" s="3">
        <f t="shared" si="18"/>
        <v>0</v>
      </c>
      <c r="AA44" s="3">
        <f t="shared" si="18"/>
        <v>0</v>
      </c>
      <c r="AB44" s="3">
        <f t="shared" si="18"/>
        <v>0</v>
      </c>
      <c r="AC44" s="3">
        <f t="shared" si="18"/>
        <v>0</v>
      </c>
      <c r="AD44" s="3">
        <f t="shared" si="18"/>
        <v>0</v>
      </c>
      <c r="AE44" s="3">
        <f t="shared" si="18"/>
        <v>0</v>
      </c>
      <c r="AF44" s="3">
        <f t="shared" si="18"/>
        <v>0</v>
      </c>
      <c r="AG44" s="3">
        <f t="shared" si="18"/>
        <v>0</v>
      </c>
      <c r="AH44" s="3">
        <f t="shared" si="18"/>
        <v>0</v>
      </c>
      <c r="AI44" s="3">
        <f t="shared" si="18"/>
        <v>0</v>
      </c>
      <c r="AJ44" s="3">
        <f t="shared" si="18"/>
        <v>0</v>
      </c>
      <c r="AK44" s="3">
        <f t="shared" si="18"/>
        <v>0</v>
      </c>
      <c r="AL44" s="3">
        <f t="shared" si="18"/>
        <v>0</v>
      </c>
      <c r="AM44" s="3">
        <f t="shared" si="18"/>
        <v>0</v>
      </c>
      <c r="AN44" s="3">
        <f t="shared" si="18"/>
        <v>249655788198</v>
      </c>
      <c r="AO44" s="3">
        <f t="shared" si="18"/>
        <v>245716365002</v>
      </c>
      <c r="AP44" s="3">
        <f t="shared" si="18"/>
        <v>275559746506</v>
      </c>
      <c r="AQ44" s="3">
        <f t="shared" si="18"/>
        <v>277827593851</v>
      </c>
      <c r="AR44" s="3">
        <f t="shared" si="18"/>
        <v>276054917951</v>
      </c>
      <c r="AS44" s="3">
        <f t="shared" si="18"/>
        <v>271729373194</v>
      </c>
      <c r="AT44" s="3">
        <f t="shared" si="18"/>
        <v>269325388109</v>
      </c>
      <c r="AU44" s="3">
        <f t="shared" si="18"/>
        <v>275400557911</v>
      </c>
      <c r="AV44" s="3">
        <f t="shared" si="18"/>
        <v>272127241547</v>
      </c>
      <c r="AW44" s="3">
        <f t="shared" si="18"/>
        <v>271857790006</v>
      </c>
      <c r="AX44" s="3">
        <f t="shared" si="18"/>
        <v>287235595670</v>
      </c>
      <c r="AY44" s="4">
        <f t="shared" si="18"/>
        <v>284367832366</v>
      </c>
      <c r="AZ44" s="4">
        <v>280850195913</v>
      </c>
      <c r="BA44" s="4">
        <v>286751550270</v>
      </c>
      <c r="BB44" s="4">
        <v>290751177313</v>
      </c>
      <c r="BC44" s="4">
        <v>287962022032</v>
      </c>
      <c r="BD44" s="4">
        <v>282781975426</v>
      </c>
      <c r="BE44" s="4">
        <v>278127416000</v>
      </c>
      <c r="BF44" s="4">
        <v>275654584449</v>
      </c>
      <c r="BG44" s="4">
        <v>293217640642</v>
      </c>
      <c r="BH44" s="4">
        <v>289918627327</v>
      </c>
      <c r="BI44" s="4">
        <v>287386592779</v>
      </c>
      <c r="BJ44" s="4">
        <v>291084744995</v>
      </c>
      <c r="BK44" s="4">
        <v>289479799346</v>
      </c>
      <c r="BL44" s="4">
        <v>289420127851</v>
      </c>
      <c r="BM44" s="4">
        <v>290580920269</v>
      </c>
      <c r="BN44" s="4">
        <v>311554672138</v>
      </c>
      <c r="BO44" s="4">
        <v>315947544274</v>
      </c>
      <c r="BP44" s="4">
        <v>313156045927</v>
      </c>
      <c r="BQ44" s="4">
        <f t="shared" ref="BQ44:BW44" si="19">SUM(BQ45,BQ48,BQ51)</f>
        <v>0</v>
      </c>
      <c r="BR44" s="4">
        <f t="shared" si="19"/>
        <v>0</v>
      </c>
      <c r="BS44" s="4">
        <f t="shared" si="19"/>
        <v>0</v>
      </c>
      <c r="BT44" s="4">
        <f t="shared" si="19"/>
        <v>0</v>
      </c>
      <c r="BU44" s="4">
        <f t="shared" si="19"/>
        <v>0</v>
      </c>
      <c r="BV44" s="4">
        <f t="shared" si="19"/>
        <v>0</v>
      </c>
      <c r="BW44" s="4">
        <f t="shared" si="19"/>
        <v>0</v>
      </c>
    </row>
    <row r="45" spans="1:75" ht="15" customHeight="1">
      <c r="A45" s="59">
        <v>42</v>
      </c>
      <c r="B45" s="65" t="s">
        <v>329</v>
      </c>
      <c r="C45" s="59">
        <v>28</v>
      </c>
      <c r="D45" s="3">
        <f t="shared" ref="D45:AY45" si="20">SUM(D46:D47)</f>
        <v>0</v>
      </c>
      <c r="E45" s="3">
        <f t="shared" si="20"/>
        <v>0</v>
      </c>
      <c r="F45" s="3">
        <f t="shared" si="20"/>
        <v>0</v>
      </c>
      <c r="G45" s="3">
        <f t="shared" si="20"/>
        <v>0</v>
      </c>
      <c r="H45" s="3">
        <f t="shared" si="20"/>
        <v>0</v>
      </c>
      <c r="I45" s="3">
        <f t="shared" si="20"/>
        <v>0</v>
      </c>
      <c r="J45" s="3">
        <f t="shared" si="20"/>
        <v>0</v>
      </c>
      <c r="K45" s="3">
        <f t="shared" si="20"/>
        <v>0</v>
      </c>
      <c r="L45" s="3">
        <f t="shared" si="20"/>
        <v>0</v>
      </c>
      <c r="M45" s="3">
        <f t="shared" si="20"/>
        <v>0</v>
      </c>
      <c r="N45" s="3">
        <f t="shared" si="20"/>
        <v>0</v>
      </c>
      <c r="O45" s="3">
        <f t="shared" si="20"/>
        <v>0</v>
      </c>
      <c r="P45" s="3">
        <f t="shared" si="20"/>
        <v>0</v>
      </c>
      <c r="Q45" s="3">
        <f t="shared" si="20"/>
        <v>0</v>
      </c>
      <c r="R45" s="3">
        <f t="shared" si="20"/>
        <v>0</v>
      </c>
      <c r="S45" s="3">
        <f t="shared" si="20"/>
        <v>0</v>
      </c>
      <c r="T45" s="3">
        <f t="shared" si="20"/>
        <v>0</v>
      </c>
      <c r="U45" s="3">
        <f t="shared" si="20"/>
        <v>0</v>
      </c>
      <c r="V45" s="3">
        <f t="shared" si="20"/>
        <v>0</v>
      </c>
      <c r="W45" s="3">
        <f t="shared" si="20"/>
        <v>0</v>
      </c>
      <c r="X45" s="3">
        <f t="shared" si="20"/>
        <v>0</v>
      </c>
      <c r="Y45" s="3">
        <f t="shared" si="20"/>
        <v>0</v>
      </c>
      <c r="Z45" s="3">
        <f t="shared" si="20"/>
        <v>0</v>
      </c>
      <c r="AA45" s="3">
        <f t="shared" si="20"/>
        <v>0</v>
      </c>
      <c r="AB45" s="3">
        <f t="shared" si="20"/>
        <v>0</v>
      </c>
      <c r="AC45" s="3">
        <f t="shared" si="20"/>
        <v>0</v>
      </c>
      <c r="AD45" s="3">
        <f t="shared" si="20"/>
        <v>0</v>
      </c>
      <c r="AE45" s="3">
        <f t="shared" si="20"/>
        <v>0</v>
      </c>
      <c r="AF45" s="3">
        <f t="shared" si="20"/>
        <v>0</v>
      </c>
      <c r="AG45" s="3">
        <f t="shared" si="20"/>
        <v>0</v>
      </c>
      <c r="AH45" s="3">
        <f t="shared" si="20"/>
        <v>0</v>
      </c>
      <c r="AI45" s="3">
        <f t="shared" si="20"/>
        <v>0</v>
      </c>
      <c r="AJ45" s="3">
        <f t="shared" si="20"/>
        <v>0</v>
      </c>
      <c r="AK45" s="3">
        <f t="shared" si="20"/>
        <v>0</v>
      </c>
      <c r="AL45" s="3">
        <f t="shared" si="20"/>
        <v>0</v>
      </c>
      <c r="AM45" s="3">
        <f t="shared" si="20"/>
        <v>0</v>
      </c>
      <c r="AN45" s="3">
        <f t="shared" si="20"/>
        <v>247686311862</v>
      </c>
      <c r="AO45" s="3">
        <f t="shared" si="20"/>
        <v>243789053467</v>
      </c>
      <c r="AP45" s="3">
        <f t="shared" si="20"/>
        <v>273243299734</v>
      </c>
      <c r="AQ45" s="3">
        <f t="shared" si="20"/>
        <v>275565292437</v>
      </c>
      <c r="AR45" s="3">
        <f t="shared" si="20"/>
        <v>273846761895</v>
      </c>
      <c r="AS45" s="3">
        <f t="shared" si="20"/>
        <v>269575362499</v>
      </c>
      <c r="AT45" s="3">
        <f t="shared" si="20"/>
        <v>267225522772</v>
      </c>
      <c r="AU45" s="3">
        <f t="shared" si="20"/>
        <v>273354837931</v>
      </c>
      <c r="AV45" s="3">
        <f t="shared" si="20"/>
        <v>270135666926</v>
      </c>
      <c r="AW45" s="3">
        <f t="shared" si="20"/>
        <v>269920360744</v>
      </c>
      <c r="AX45" s="3">
        <f t="shared" si="20"/>
        <v>259897766310</v>
      </c>
      <c r="AY45" s="4">
        <f t="shared" si="20"/>
        <v>257088680605</v>
      </c>
      <c r="AZ45" s="4">
        <v>254173542509</v>
      </c>
      <c r="BA45" s="4">
        <v>260677395229</v>
      </c>
      <c r="BB45" s="4">
        <v>264791909848</v>
      </c>
      <c r="BC45" s="4">
        <v>262618797672</v>
      </c>
      <c r="BD45" s="4">
        <v>258054794170</v>
      </c>
      <c r="BE45" s="4">
        <v>254016277850</v>
      </c>
      <c r="BF45" s="4">
        <v>252159489399</v>
      </c>
      <c r="BG45" s="4">
        <v>270337414891</v>
      </c>
      <c r="BH45" s="4">
        <v>265713293890</v>
      </c>
      <c r="BI45" s="4">
        <v>263835030905</v>
      </c>
      <c r="BJ45" s="4">
        <v>268186954686</v>
      </c>
      <c r="BK45" s="4">
        <v>267235780601</v>
      </c>
      <c r="BL45" s="4">
        <v>268060842069</v>
      </c>
      <c r="BM45" s="4">
        <v>269154387249</v>
      </c>
      <c r="BN45" s="4">
        <v>290063568969</v>
      </c>
      <c r="BO45" s="4">
        <v>294648870961</v>
      </c>
      <c r="BP45" s="4">
        <v>292049802458</v>
      </c>
      <c r="BQ45" s="4">
        <f t="shared" ref="BQ45:BW45" si="21">SUM(BQ46:BQ47)</f>
        <v>0</v>
      </c>
      <c r="BR45" s="4">
        <f t="shared" si="21"/>
        <v>0</v>
      </c>
      <c r="BS45" s="4">
        <f t="shared" si="21"/>
        <v>0</v>
      </c>
      <c r="BT45" s="4">
        <f t="shared" si="21"/>
        <v>0</v>
      </c>
      <c r="BU45" s="4">
        <f t="shared" si="21"/>
        <v>0</v>
      </c>
      <c r="BV45" s="4">
        <f t="shared" si="21"/>
        <v>0</v>
      </c>
      <c r="BW45" s="4">
        <f t="shared" si="21"/>
        <v>0</v>
      </c>
    </row>
    <row r="46" spans="1:75" ht="15" customHeight="1">
      <c r="A46" s="55">
        <v>43</v>
      </c>
      <c r="B46" s="66" t="s">
        <v>330</v>
      </c>
      <c r="C46" s="55">
        <v>28</v>
      </c>
      <c r="D46" s="508"/>
      <c r="E46" s="508"/>
      <c r="F46" s="508"/>
      <c r="G46" s="508"/>
      <c r="H46" s="508"/>
      <c r="I46" s="508"/>
      <c r="J46" s="508"/>
      <c r="K46" s="508"/>
      <c r="L46" s="508"/>
      <c r="M46" s="508"/>
      <c r="N46" s="508"/>
      <c r="O46" s="508"/>
      <c r="P46" s="508"/>
      <c r="Q46" s="508"/>
      <c r="R46" s="508"/>
      <c r="S46" s="508"/>
      <c r="T46" s="508"/>
      <c r="U46" s="508"/>
      <c r="V46" s="508"/>
      <c r="W46" s="508"/>
      <c r="X46" s="508"/>
      <c r="Y46" s="508"/>
      <c r="Z46" s="508"/>
      <c r="AA46" s="508"/>
      <c r="AB46" s="508"/>
      <c r="AC46" s="508"/>
      <c r="AD46" s="508"/>
      <c r="AE46" s="508"/>
      <c r="AF46" s="508"/>
      <c r="AG46" s="508"/>
      <c r="AH46" s="508"/>
      <c r="AI46" s="508"/>
      <c r="AJ46" s="508"/>
      <c r="AK46" s="508"/>
      <c r="AL46" s="508"/>
      <c r="AM46" s="508"/>
      <c r="AN46" s="508">
        <v>320763061585</v>
      </c>
      <c r="AO46" s="508">
        <v>320763061585</v>
      </c>
      <c r="AP46" s="508">
        <v>354111019751</v>
      </c>
      <c r="AQ46" s="508">
        <v>360410194088</v>
      </c>
      <c r="AR46" s="508">
        <v>362896921284</v>
      </c>
      <c r="AS46" s="508">
        <v>362777184617</v>
      </c>
      <c r="AT46" s="508">
        <v>364651866569</v>
      </c>
      <c r="AU46" s="508">
        <v>374855872549</v>
      </c>
      <c r="AV46" s="508">
        <v>376024168845</v>
      </c>
      <c r="AW46" s="508">
        <v>380073671166</v>
      </c>
      <c r="AX46" s="508">
        <v>358508874510</v>
      </c>
      <c r="AY46" s="508">
        <v>359916452008</v>
      </c>
      <c r="AZ46" s="508">
        <v>361070968177</v>
      </c>
      <c r="BA46" s="508">
        <v>371841366827</v>
      </c>
      <c r="BB46" s="508">
        <v>380424978133</v>
      </c>
      <c r="BC46" s="508">
        <v>382236063184</v>
      </c>
      <c r="BD46" s="508">
        <v>382230780224</v>
      </c>
      <c r="BE46" s="508">
        <v>382070975608</v>
      </c>
      <c r="BF46" s="508">
        <v>384541494580</v>
      </c>
      <c r="BG46" s="508">
        <v>406915782897</v>
      </c>
      <c r="BH46" s="508">
        <v>407229367127</v>
      </c>
      <c r="BI46" s="508">
        <v>410101780731</v>
      </c>
      <c r="BJ46" s="508">
        <v>419369408793</v>
      </c>
      <c r="BK46" s="508">
        <v>423259856618</v>
      </c>
      <c r="BL46" s="508">
        <v>426876282673</v>
      </c>
      <c r="BM46" s="508">
        <v>430632774491</v>
      </c>
      <c r="BN46" s="508">
        <v>454216171425</v>
      </c>
      <c r="BO46" s="508">
        <v>461639337242</v>
      </c>
      <c r="BP46" s="508">
        <v>461870467582</v>
      </c>
      <c r="BQ46" s="508"/>
      <c r="BR46" s="508"/>
      <c r="BS46" s="508"/>
      <c r="BT46" s="508"/>
      <c r="BU46" s="508"/>
      <c r="BV46" s="508"/>
      <c r="BW46" s="508"/>
    </row>
    <row r="47" spans="1:75" ht="15" customHeight="1">
      <c r="A47" s="55">
        <v>44</v>
      </c>
      <c r="B47" s="66" t="s">
        <v>331</v>
      </c>
      <c r="C47" s="55">
        <v>28</v>
      </c>
      <c r="D47" s="508"/>
      <c r="E47" s="508"/>
      <c r="F47" s="508"/>
      <c r="G47" s="508"/>
      <c r="H47" s="508"/>
      <c r="I47" s="508"/>
      <c r="J47" s="508"/>
      <c r="K47" s="508"/>
      <c r="L47" s="508"/>
      <c r="M47" s="508"/>
      <c r="N47" s="508"/>
      <c r="O47" s="508"/>
      <c r="P47" s="508"/>
      <c r="Q47" s="508"/>
      <c r="R47" s="508"/>
      <c r="S47" s="508"/>
      <c r="T47" s="508"/>
      <c r="U47" s="508"/>
      <c r="V47" s="508"/>
      <c r="W47" s="508"/>
      <c r="X47" s="508"/>
      <c r="Y47" s="508"/>
      <c r="Z47" s="508"/>
      <c r="AA47" s="508"/>
      <c r="AB47" s="508"/>
      <c r="AC47" s="508"/>
      <c r="AD47" s="508"/>
      <c r="AE47" s="508"/>
      <c r="AF47" s="508"/>
      <c r="AG47" s="508"/>
      <c r="AH47" s="508"/>
      <c r="AI47" s="508"/>
      <c r="AJ47" s="508"/>
      <c r="AK47" s="508"/>
      <c r="AL47" s="508"/>
      <c r="AM47" s="508"/>
      <c r="AN47" s="508">
        <v>-73076749723</v>
      </c>
      <c r="AO47" s="508">
        <v>-76974008118</v>
      </c>
      <c r="AP47" s="508">
        <v>-80867720017</v>
      </c>
      <c r="AQ47" s="508">
        <v>-84844901651</v>
      </c>
      <c r="AR47" s="508">
        <v>-89050159389</v>
      </c>
      <c r="AS47" s="508">
        <v>-93201822118</v>
      </c>
      <c r="AT47" s="508">
        <v>-97426343797</v>
      </c>
      <c r="AU47" s="508">
        <v>-101501034618</v>
      </c>
      <c r="AV47" s="508">
        <v>-105888501919</v>
      </c>
      <c r="AW47" s="508">
        <v>-110153310422</v>
      </c>
      <c r="AX47" s="508">
        <v>-98611108200</v>
      </c>
      <c r="AY47" s="508">
        <v>-102827771403</v>
      </c>
      <c r="AZ47" s="508">
        <v>-106897425668</v>
      </c>
      <c r="BA47" s="508">
        <v>-111163971598</v>
      </c>
      <c r="BB47" s="508">
        <v>-115633068285</v>
      </c>
      <c r="BC47" s="508">
        <v>-119617265512</v>
      </c>
      <c r="BD47" s="508">
        <v>-124175986054</v>
      </c>
      <c r="BE47" s="508">
        <v>-128054697758</v>
      </c>
      <c r="BF47" s="508">
        <v>-132382005181</v>
      </c>
      <c r="BG47" s="508">
        <v>-136578368006</v>
      </c>
      <c r="BH47" s="508">
        <v>-141516073237</v>
      </c>
      <c r="BI47" s="508">
        <v>-146266749826</v>
      </c>
      <c r="BJ47" s="508">
        <v>-151182454107</v>
      </c>
      <c r="BK47" s="508">
        <v>-156024076017</v>
      </c>
      <c r="BL47" s="508">
        <v>-158815440604</v>
      </c>
      <c r="BM47" s="508">
        <v>-161478387242</v>
      </c>
      <c r="BN47" s="508">
        <v>-164152602456</v>
      </c>
      <c r="BO47" s="508">
        <v>-166990466281</v>
      </c>
      <c r="BP47" s="508">
        <v>-169820665124</v>
      </c>
      <c r="BQ47" s="508"/>
      <c r="BR47" s="508"/>
      <c r="BS47" s="508"/>
      <c r="BT47" s="508"/>
      <c r="BU47" s="508"/>
      <c r="BV47" s="508"/>
      <c r="BW47" s="508"/>
    </row>
    <row r="48" spans="1:75" ht="15" customHeight="1">
      <c r="A48" s="59">
        <v>45</v>
      </c>
      <c r="B48" s="65" t="s">
        <v>78</v>
      </c>
      <c r="C48" s="59">
        <v>28</v>
      </c>
      <c r="D48" s="3">
        <f t="shared" ref="D48:AY48" si="22">SUM(D49:D50)</f>
        <v>0</v>
      </c>
      <c r="E48" s="3">
        <f t="shared" si="22"/>
        <v>0</v>
      </c>
      <c r="F48" s="3">
        <f t="shared" si="22"/>
        <v>0</v>
      </c>
      <c r="G48" s="3">
        <f t="shared" si="22"/>
        <v>0</v>
      </c>
      <c r="H48" s="3">
        <f t="shared" si="22"/>
        <v>0</v>
      </c>
      <c r="I48" s="3">
        <f t="shared" si="22"/>
        <v>0</v>
      </c>
      <c r="J48" s="3">
        <f t="shared" si="22"/>
        <v>0</v>
      </c>
      <c r="K48" s="3">
        <f t="shared" si="22"/>
        <v>0</v>
      </c>
      <c r="L48" s="3">
        <f t="shared" si="22"/>
        <v>0</v>
      </c>
      <c r="M48" s="3">
        <f t="shared" si="22"/>
        <v>0</v>
      </c>
      <c r="N48" s="3">
        <f t="shared" si="22"/>
        <v>0</v>
      </c>
      <c r="O48" s="3">
        <f t="shared" si="22"/>
        <v>0</v>
      </c>
      <c r="P48" s="3">
        <f t="shared" si="22"/>
        <v>0</v>
      </c>
      <c r="Q48" s="3">
        <f t="shared" si="22"/>
        <v>0</v>
      </c>
      <c r="R48" s="3">
        <f t="shared" si="22"/>
        <v>0</v>
      </c>
      <c r="S48" s="3">
        <f t="shared" si="22"/>
        <v>0</v>
      </c>
      <c r="T48" s="3">
        <f t="shared" si="22"/>
        <v>0</v>
      </c>
      <c r="U48" s="3">
        <f t="shared" si="22"/>
        <v>0</v>
      </c>
      <c r="V48" s="3">
        <f t="shared" si="22"/>
        <v>0</v>
      </c>
      <c r="W48" s="3">
        <f t="shared" si="22"/>
        <v>0</v>
      </c>
      <c r="X48" s="3">
        <f t="shared" si="22"/>
        <v>0</v>
      </c>
      <c r="Y48" s="3">
        <f t="shared" si="22"/>
        <v>0</v>
      </c>
      <c r="Z48" s="3">
        <f t="shared" si="22"/>
        <v>0</v>
      </c>
      <c r="AA48" s="3">
        <f t="shared" si="22"/>
        <v>0</v>
      </c>
      <c r="AB48" s="3">
        <f t="shared" si="22"/>
        <v>0</v>
      </c>
      <c r="AC48" s="3">
        <f t="shared" si="22"/>
        <v>0</v>
      </c>
      <c r="AD48" s="3">
        <f t="shared" si="22"/>
        <v>0</v>
      </c>
      <c r="AE48" s="3">
        <f t="shared" si="22"/>
        <v>0</v>
      </c>
      <c r="AF48" s="3">
        <f t="shared" si="22"/>
        <v>0</v>
      </c>
      <c r="AG48" s="3">
        <f t="shared" si="22"/>
        <v>0</v>
      </c>
      <c r="AH48" s="3">
        <f t="shared" si="22"/>
        <v>0</v>
      </c>
      <c r="AI48" s="3">
        <f t="shared" si="22"/>
        <v>0</v>
      </c>
      <c r="AJ48" s="3">
        <f t="shared" si="22"/>
        <v>0</v>
      </c>
      <c r="AK48" s="3">
        <f t="shared" si="22"/>
        <v>0</v>
      </c>
      <c r="AL48" s="3">
        <f t="shared" si="22"/>
        <v>0</v>
      </c>
      <c r="AM48" s="3">
        <f t="shared" si="22"/>
        <v>0</v>
      </c>
      <c r="AN48" s="3">
        <f t="shared" si="22"/>
        <v>21543584</v>
      </c>
      <c r="AO48" s="3">
        <f t="shared" si="22"/>
        <v>20347932</v>
      </c>
      <c r="AP48" s="3">
        <f t="shared" si="22"/>
        <v>19152280</v>
      </c>
      <c r="AQ48" s="3">
        <f t="shared" si="22"/>
        <v>17956628</v>
      </c>
      <c r="AR48" s="3">
        <f t="shared" si="22"/>
        <v>16760976</v>
      </c>
      <c r="AS48" s="3">
        <f t="shared" si="22"/>
        <v>15565324</v>
      </c>
      <c r="AT48" s="3">
        <f t="shared" si="22"/>
        <v>14369672</v>
      </c>
      <c r="AU48" s="3">
        <f t="shared" si="22"/>
        <v>13174020</v>
      </c>
      <c r="AV48" s="3">
        <f t="shared" si="22"/>
        <v>11978368</v>
      </c>
      <c r="AW48" s="3">
        <f t="shared" si="22"/>
        <v>10782716</v>
      </c>
      <c r="AX48" s="3">
        <f t="shared" si="22"/>
        <v>25464132519</v>
      </c>
      <c r="AY48" s="4">
        <f t="shared" si="22"/>
        <v>24929281727</v>
      </c>
      <c r="AZ48" s="4">
        <v>24387235175</v>
      </c>
      <c r="BA48" s="4">
        <v>23853580028</v>
      </c>
      <c r="BB48" s="4">
        <v>23319924886</v>
      </c>
      <c r="BC48" s="4">
        <v>22786269743</v>
      </c>
      <c r="BD48" s="4">
        <v>22252614599</v>
      </c>
      <c r="BE48" s="4">
        <v>21718959455</v>
      </c>
      <c r="BF48" s="4">
        <v>21185304314</v>
      </c>
      <c r="BG48" s="4">
        <v>20651649171</v>
      </c>
      <c r="BH48" s="4">
        <v>20117994030</v>
      </c>
      <c r="BI48" s="4">
        <v>19584338888</v>
      </c>
      <c r="BJ48" s="4">
        <v>19050683744</v>
      </c>
      <c r="BK48" s="4">
        <v>18517028601</v>
      </c>
      <c r="BL48" s="4">
        <v>17684886028</v>
      </c>
      <c r="BM48" s="4">
        <v>17550400741</v>
      </c>
      <c r="BN48" s="4">
        <v>17415915447</v>
      </c>
      <c r="BO48" s="4">
        <v>17281430151</v>
      </c>
      <c r="BP48" s="4">
        <v>17146944864</v>
      </c>
      <c r="BQ48" s="4">
        <f t="shared" ref="BQ48:BW48" si="23">SUM(BQ49:BQ50)</f>
        <v>0</v>
      </c>
      <c r="BR48" s="4">
        <f t="shared" si="23"/>
        <v>0</v>
      </c>
      <c r="BS48" s="4">
        <f t="shared" si="23"/>
        <v>0</v>
      </c>
      <c r="BT48" s="4">
        <f t="shared" si="23"/>
        <v>0</v>
      </c>
      <c r="BU48" s="4">
        <f t="shared" si="23"/>
        <v>0</v>
      </c>
      <c r="BV48" s="4">
        <f t="shared" si="23"/>
        <v>0</v>
      </c>
      <c r="BW48" s="4">
        <f t="shared" si="23"/>
        <v>0</v>
      </c>
    </row>
    <row r="49" spans="1:75" ht="15" customHeight="1">
      <c r="A49" s="55">
        <v>46</v>
      </c>
      <c r="B49" s="66" t="s">
        <v>332</v>
      </c>
      <c r="C49" s="55">
        <v>28</v>
      </c>
      <c r="D49" s="508"/>
      <c r="E49" s="508"/>
      <c r="F49" s="508"/>
      <c r="G49" s="508"/>
      <c r="H49" s="508"/>
      <c r="I49" s="508"/>
      <c r="J49" s="508"/>
      <c r="K49" s="508"/>
      <c r="L49" s="508"/>
      <c r="M49" s="508"/>
      <c r="N49" s="508"/>
      <c r="O49" s="508"/>
      <c r="P49" s="508"/>
      <c r="Q49" s="508"/>
      <c r="R49" s="508"/>
      <c r="S49" s="508"/>
      <c r="T49" s="508"/>
      <c r="U49" s="508"/>
      <c r="V49" s="508"/>
      <c r="W49" s="508"/>
      <c r="X49" s="508"/>
      <c r="Y49" s="508"/>
      <c r="Z49" s="508"/>
      <c r="AA49" s="508"/>
      <c r="AB49" s="508"/>
      <c r="AC49" s="508"/>
      <c r="AD49" s="508"/>
      <c r="AE49" s="508"/>
      <c r="AF49" s="508"/>
      <c r="AG49" s="508"/>
      <c r="AH49" s="508"/>
      <c r="AI49" s="508"/>
      <c r="AJ49" s="508"/>
      <c r="AK49" s="508"/>
      <c r="AL49" s="508"/>
      <c r="AM49" s="508"/>
      <c r="AN49" s="508">
        <v>55000000</v>
      </c>
      <c r="AO49" s="508">
        <v>55000000</v>
      </c>
      <c r="AP49" s="508">
        <v>55000000</v>
      </c>
      <c r="AQ49" s="508">
        <v>55000000</v>
      </c>
      <c r="AR49" s="508">
        <v>55000000</v>
      </c>
      <c r="AS49" s="508">
        <v>55000000</v>
      </c>
      <c r="AT49" s="508">
        <v>55000000</v>
      </c>
      <c r="AU49" s="508">
        <v>55000000</v>
      </c>
      <c r="AV49" s="508">
        <v>55000000</v>
      </c>
      <c r="AW49" s="508">
        <v>55000000</v>
      </c>
      <c r="AX49" s="508">
        <v>25509545455</v>
      </c>
      <c r="AY49" s="508">
        <v>25509545455</v>
      </c>
      <c r="AZ49" s="508">
        <v>25454545455</v>
      </c>
      <c r="BA49" s="508">
        <v>25454545455</v>
      </c>
      <c r="BB49" s="508">
        <v>25454545455</v>
      </c>
      <c r="BC49" s="508">
        <v>25454545455</v>
      </c>
      <c r="BD49" s="508">
        <v>25454545455</v>
      </c>
      <c r="BE49" s="508">
        <v>25454545455</v>
      </c>
      <c r="BF49" s="508">
        <v>25454545455</v>
      </c>
      <c r="BG49" s="508">
        <v>25454545455</v>
      </c>
      <c r="BH49" s="508">
        <v>25454545455</v>
      </c>
      <c r="BI49" s="508">
        <v>25454545455</v>
      </c>
      <c r="BJ49" s="508">
        <v>25454545455</v>
      </c>
      <c r="BK49" s="508">
        <v>25454545455</v>
      </c>
      <c r="BL49" s="508">
        <v>24160519140</v>
      </c>
      <c r="BM49" s="508">
        <v>24160519140</v>
      </c>
      <c r="BN49" s="508">
        <v>24160519140</v>
      </c>
      <c r="BO49" s="508">
        <v>24160519140</v>
      </c>
      <c r="BP49" s="508">
        <v>24160519140</v>
      </c>
      <c r="BQ49" s="508"/>
      <c r="BR49" s="508"/>
      <c r="BS49" s="508"/>
      <c r="BT49" s="508"/>
      <c r="BU49" s="508"/>
      <c r="BV49" s="508"/>
      <c r="BW49" s="508"/>
    </row>
    <row r="50" spans="1:75" ht="15" customHeight="1">
      <c r="A50" s="55">
        <v>47</v>
      </c>
      <c r="B50" s="66" t="s">
        <v>333</v>
      </c>
      <c r="C50" s="55">
        <v>28</v>
      </c>
      <c r="D50" s="508"/>
      <c r="E50" s="508"/>
      <c r="F50" s="508"/>
      <c r="G50" s="508"/>
      <c r="H50" s="508"/>
      <c r="I50" s="508"/>
      <c r="J50" s="508"/>
      <c r="K50" s="508"/>
      <c r="L50" s="508"/>
      <c r="M50" s="508"/>
      <c r="N50" s="508"/>
      <c r="O50" s="508"/>
      <c r="P50" s="508"/>
      <c r="Q50" s="508"/>
      <c r="R50" s="508"/>
      <c r="S50" s="508"/>
      <c r="T50" s="508"/>
      <c r="U50" s="508"/>
      <c r="V50" s="508"/>
      <c r="W50" s="508"/>
      <c r="X50" s="508"/>
      <c r="Y50" s="508"/>
      <c r="Z50" s="508"/>
      <c r="AA50" s="508"/>
      <c r="AB50" s="508"/>
      <c r="AC50" s="508"/>
      <c r="AD50" s="508"/>
      <c r="AE50" s="508"/>
      <c r="AF50" s="508"/>
      <c r="AG50" s="508"/>
      <c r="AH50" s="508"/>
      <c r="AI50" s="508"/>
      <c r="AJ50" s="508"/>
      <c r="AK50" s="508"/>
      <c r="AL50" s="508"/>
      <c r="AM50" s="508"/>
      <c r="AN50" s="508">
        <v>-33456416</v>
      </c>
      <c r="AO50" s="508">
        <v>-34652068</v>
      </c>
      <c r="AP50" s="508">
        <v>-35847720</v>
      </c>
      <c r="AQ50" s="508">
        <v>-37043372</v>
      </c>
      <c r="AR50" s="508">
        <v>-38239024</v>
      </c>
      <c r="AS50" s="508">
        <v>-39434676</v>
      </c>
      <c r="AT50" s="508">
        <v>-40630328</v>
      </c>
      <c r="AU50" s="508">
        <v>-41825980</v>
      </c>
      <c r="AV50" s="508">
        <v>-43021632</v>
      </c>
      <c r="AW50" s="508">
        <v>-44217284</v>
      </c>
      <c r="AX50" s="508">
        <v>-45412936</v>
      </c>
      <c r="AY50" s="508">
        <v>-580263728</v>
      </c>
      <c r="AZ50" s="508">
        <v>-1067310280</v>
      </c>
      <c r="BA50" s="508">
        <v>-1600965427</v>
      </c>
      <c r="BB50" s="508">
        <v>-2134620569</v>
      </c>
      <c r="BC50" s="508">
        <v>-2668275712</v>
      </c>
      <c r="BD50" s="508">
        <v>-3201930856</v>
      </c>
      <c r="BE50" s="508">
        <v>-3735586000</v>
      </c>
      <c r="BF50" s="508">
        <v>-4269241141</v>
      </c>
      <c r="BG50" s="508">
        <v>-4802896284</v>
      </c>
      <c r="BH50" s="508">
        <v>-5336551425</v>
      </c>
      <c r="BI50" s="508">
        <v>-5870206567</v>
      </c>
      <c r="BJ50" s="508">
        <v>-6403861711</v>
      </c>
      <c r="BK50" s="508">
        <v>-6937516854</v>
      </c>
      <c r="BL50" s="508">
        <v>-6475633112</v>
      </c>
      <c r="BM50" s="508">
        <v>-6610118399</v>
      </c>
      <c r="BN50" s="508">
        <v>-6744603693</v>
      </c>
      <c r="BO50" s="508">
        <v>-6879088989</v>
      </c>
      <c r="BP50" s="508">
        <v>-7013574276</v>
      </c>
      <c r="BQ50" s="508"/>
      <c r="BR50" s="508"/>
      <c r="BS50" s="508"/>
      <c r="BT50" s="508"/>
      <c r="BU50" s="508"/>
      <c r="BV50" s="508"/>
      <c r="BW50" s="508"/>
    </row>
    <row r="51" spans="1:75" ht="15" customHeight="1">
      <c r="A51" s="59">
        <v>48</v>
      </c>
      <c r="B51" s="65" t="s">
        <v>79</v>
      </c>
      <c r="C51" s="59">
        <v>28</v>
      </c>
      <c r="D51" s="3">
        <f t="shared" ref="D51:AY51" si="24">SUM(D52:D53)</f>
        <v>0</v>
      </c>
      <c r="E51" s="3">
        <f t="shared" si="24"/>
        <v>0</v>
      </c>
      <c r="F51" s="3">
        <f t="shared" si="24"/>
        <v>0</v>
      </c>
      <c r="G51" s="3">
        <f t="shared" si="24"/>
        <v>0</v>
      </c>
      <c r="H51" s="3">
        <f t="shared" si="24"/>
        <v>0</v>
      </c>
      <c r="I51" s="3">
        <f t="shared" si="24"/>
        <v>0</v>
      </c>
      <c r="J51" s="3">
        <f t="shared" si="24"/>
        <v>0</v>
      </c>
      <c r="K51" s="3">
        <f t="shared" si="24"/>
        <v>0</v>
      </c>
      <c r="L51" s="3">
        <f t="shared" si="24"/>
        <v>0</v>
      </c>
      <c r="M51" s="3">
        <f t="shared" si="24"/>
        <v>0</v>
      </c>
      <c r="N51" s="3">
        <f t="shared" si="24"/>
        <v>0</v>
      </c>
      <c r="O51" s="3">
        <f t="shared" si="24"/>
        <v>0</v>
      </c>
      <c r="P51" s="3">
        <f t="shared" si="24"/>
        <v>0</v>
      </c>
      <c r="Q51" s="3">
        <f t="shared" si="24"/>
        <v>0</v>
      </c>
      <c r="R51" s="3">
        <f t="shared" si="24"/>
        <v>0</v>
      </c>
      <c r="S51" s="3">
        <f t="shared" si="24"/>
        <v>0</v>
      </c>
      <c r="T51" s="3">
        <f t="shared" si="24"/>
        <v>0</v>
      </c>
      <c r="U51" s="3">
        <f t="shared" si="24"/>
        <v>0</v>
      </c>
      <c r="V51" s="3">
        <f t="shared" si="24"/>
        <v>0</v>
      </c>
      <c r="W51" s="3">
        <f t="shared" si="24"/>
        <v>0</v>
      </c>
      <c r="X51" s="3">
        <f t="shared" si="24"/>
        <v>0</v>
      </c>
      <c r="Y51" s="3">
        <f t="shared" si="24"/>
        <v>0</v>
      </c>
      <c r="Z51" s="3">
        <f t="shared" si="24"/>
        <v>0</v>
      </c>
      <c r="AA51" s="3">
        <f t="shared" si="24"/>
        <v>0</v>
      </c>
      <c r="AB51" s="3">
        <f t="shared" si="24"/>
        <v>0</v>
      </c>
      <c r="AC51" s="3">
        <f t="shared" si="24"/>
        <v>0</v>
      </c>
      <c r="AD51" s="3">
        <f t="shared" si="24"/>
        <v>0</v>
      </c>
      <c r="AE51" s="3">
        <f t="shared" si="24"/>
        <v>0</v>
      </c>
      <c r="AF51" s="3">
        <f t="shared" si="24"/>
        <v>0</v>
      </c>
      <c r="AG51" s="3">
        <f t="shared" si="24"/>
        <v>0</v>
      </c>
      <c r="AH51" s="3">
        <f t="shared" si="24"/>
        <v>0</v>
      </c>
      <c r="AI51" s="3">
        <f t="shared" si="24"/>
        <v>0</v>
      </c>
      <c r="AJ51" s="3">
        <f t="shared" si="24"/>
        <v>0</v>
      </c>
      <c r="AK51" s="3">
        <f t="shared" si="24"/>
        <v>0</v>
      </c>
      <c r="AL51" s="3">
        <f t="shared" si="24"/>
        <v>0</v>
      </c>
      <c r="AM51" s="3">
        <f t="shared" si="24"/>
        <v>0</v>
      </c>
      <c r="AN51" s="3">
        <f t="shared" si="24"/>
        <v>1947932752</v>
      </c>
      <c r="AO51" s="3">
        <f t="shared" si="24"/>
        <v>1906963603</v>
      </c>
      <c r="AP51" s="3">
        <f t="shared" si="24"/>
        <v>2297294492</v>
      </c>
      <c r="AQ51" s="3">
        <f t="shared" si="24"/>
        <v>2244344786</v>
      </c>
      <c r="AR51" s="3">
        <f t="shared" si="24"/>
        <v>2191395080</v>
      </c>
      <c r="AS51" s="3">
        <f t="shared" si="24"/>
        <v>2138445371</v>
      </c>
      <c r="AT51" s="3">
        <f t="shared" si="24"/>
        <v>2085495665</v>
      </c>
      <c r="AU51" s="3">
        <f t="shared" si="24"/>
        <v>2032545960</v>
      </c>
      <c r="AV51" s="3">
        <f t="shared" si="24"/>
        <v>1979596253</v>
      </c>
      <c r="AW51" s="3">
        <f t="shared" si="24"/>
        <v>1926646546</v>
      </c>
      <c r="AX51" s="3">
        <f t="shared" si="24"/>
        <v>1873696841</v>
      </c>
      <c r="AY51" s="4">
        <f t="shared" si="24"/>
        <v>2349870034</v>
      </c>
      <c r="AZ51" s="4">
        <v>2289418229</v>
      </c>
      <c r="BA51" s="4">
        <v>2220575013</v>
      </c>
      <c r="BB51" s="4">
        <v>2639342579</v>
      </c>
      <c r="BC51" s="4">
        <v>2556954617</v>
      </c>
      <c r="BD51" s="4">
        <v>2474566657</v>
      </c>
      <c r="BE51" s="4">
        <v>2392178695</v>
      </c>
      <c r="BF51" s="4">
        <v>2309790736</v>
      </c>
      <c r="BG51" s="4">
        <v>2228576580</v>
      </c>
      <c r="BH51" s="4">
        <v>4087339407</v>
      </c>
      <c r="BI51" s="4">
        <v>3967222986</v>
      </c>
      <c r="BJ51" s="4">
        <v>3847106565</v>
      </c>
      <c r="BK51" s="4">
        <v>3726990144</v>
      </c>
      <c r="BL51" s="4">
        <v>3674399754</v>
      </c>
      <c r="BM51" s="4">
        <v>3876132279</v>
      </c>
      <c r="BN51" s="4">
        <v>4075187722</v>
      </c>
      <c r="BO51" s="4">
        <v>4017243162</v>
      </c>
      <c r="BP51" s="4">
        <v>3959298605</v>
      </c>
      <c r="BQ51" s="4">
        <f t="shared" ref="BQ51:BW51" si="25">SUM(BQ52:BQ53)</f>
        <v>0</v>
      </c>
      <c r="BR51" s="4">
        <f t="shared" si="25"/>
        <v>0</v>
      </c>
      <c r="BS51" s="4">
        <f t="shared" si="25"/>
        <v>0</v>
      </c>
      <c r="BT51" s="4">
        <f t="shared" si="25"/>
        <v>0</v>
      </c>
      <c r="BU51" s="4">
        <f t="shared" si="25"/>
        <v>0</v>
      </c>
      <c r="BV51" s="4">
        <f t="shared" si="25"/>
        <v>0</v>
      </c>
      <c r="BW51" s="4">
        <f t="shared" si="25"/>
        <v>0</v>
      </c>
    </row>
    <row r="52" spans="1:75" ht="15" customHeight="1">
      <c r="A52" s="55">
        <v>49</v>
      </c>
      <c r="B52" s="66" t="s">
        <v>334</v>
      </c>
      <c r="C52" s="55">
        <v>28</v>
      </c>
      <c r="D52" s="508"/>
      <c r="E52" s="508"/>
      <c r="F52" s="508"/>
      <c r="G52" s="508"/>
      <c r="H52" s="508"/>
      <c r="I52" s="508"/>
      <c r="J52" s="508"/>
      <c r="K52" s="508"/>
      <c r="L52" s="508"/>
      <c r="M52" s="508"/>
      <c r="N52" s="508"/>
      <c r="O52" s="508"/>
      <c r="P52" s="508"/>
      <c r="Q52" s="508"/>
      <c r="R52" s="508"/>
      <c r="S52" s="508"/>
      <c r="T52" s="508"/>
      <c r="U52" s="508"/>
      <c r="V52" s="508"/>
      <c r="W52" s="508"/>
      <c r="X52" s="508"/>
      <c r="Y52" s="508"/>
      <c r="Z52" s="508"/>
      <c r="AA52" s="508"/>
      <c r="AB52" s="508"/>
      <c r="AC52" s="508"/>
      <c r="AD52" s="508"/>
      <c r="AE52" s="508"/>
      <c r="AF52" s="508"/>
      <c r="AG52" s="508"/>
      <c r="AH52" s="508"/>
      <c r="AI52" s="508"/>
      <c r="AJ52" s="508"/>
      <c r="AK52" s="508"/>
      <c r="AL52" s="508"/>
      <c r="AM52" s="508"/>
      <c r="AN52" s="508">
        <v>3076542391</v>
      </c>
      <c r="AO52" s="508">
        <v>3076542391</v>
      </c>
      <c r="AP52" s="508">
        <v>3507842430</v>
      </c>
      <c r="AQ52" s="508">
        <v>3507842430</v>
      </c>
      <c r="AR52" s="508">
        <v>3507842430</v>
      </c>
      <c r="AS52" s="508">
        <v>3507842430</v>
      </c>
      <c r="AT52" s="508">
        <v>3507842430</v>
      </c>
      <c r="AU52" s="508">
        <v>3507842430</v>
      </c>
      <c r="AV52" s="508">
        <v>3507842430</v>
      </c>
      <c r="AW52" s="508">
        <v>3507842430</v>
      </c>
      <c r="AX52" s="508">
        <v>3507842430</v>
      </c>
      <c r="AY52" s="508">
        <v>4036965329</v>
      </c>
      <c r="AZ52" s="508">
        <v>4091965329</v>
      </c>
      <c r="BA52" s="508">
        <v>4091965329</v>
      </c>
      <c r="BB52" s="508">
        <v>4579576112</v>
      </c>
      <c r="BC52" s="508">
        <v>4579576112</v>
      </c>
      <c r="BD52" s="508">
        <v>4579576112</v>
      </c>
      <c r="BE52" s="508">
        <v>4579576112</v>
      </c>
      <c r="BF52" s="508">
        <v>4579576112</v>
      </c>
      <c r="BG52" s="508">
        <v>4579576112</v>
      </c>
      <c r="BH52" s="508">
        <v>6518070070</v>
      </c>
      <c r="BI52" s="508">
        <v>6518070070</v>
      </c>
      <c r="BJ52" s="508">
        <v>6518070070</v>
      </c>
      <c r="BK52" s="508">
        <v>6518070070</v>
      </c>
      <c r="BL52" s="508">
        <v>6518070070</v>
      </c>
      <c r="BM52" s="508">
        <v>6775070070</v>
      </c>
      <c r="BN52" s="508">
        <v>7032070070</v>
      </c>
      <c r="BO52" s="508">
        <v>7032070070</v>
      </c>
      <c r="BP52" s="508">
        <v>7032070070</v>
      </c>
      <c r="BQ52" s="508"/>
      <c r="BR52" s="508"/>
      <c r="BS52" s="508"/>
      <c r="BT52" s="508"/>
      <c r="BU52" s="508"/>
      <c r="BV52" s="508"/>
      <c r="BW52" s="508"/>
    </row>
    <row r="53" spans="1:75" ht="15" customHeight="1">
      <c r="A53" s="55">
        <v>50</v>
      </c>
      <c r="B53" s="66" t="s">
        <v>335</v>
      </c>
      <c r="C53" s="55">
        <v>28</v>
      </c>
      <c r="D53" s="508"/>
      <c r="E53" s="508"/>
      <c r="F53" s="508"/>
      <c r="G53" s="508"/>
      <c r="H53" s="508"/>
      <c r="I53" s="508"/>
      <c r="J53" s="508"/>
      <c r="K53" s="508"/>
      <c r="L53" s="508"/>
      <c r="M53" s="508"/>
      <c r="N53" s="508"/>
      <c r="O53" s="508"/>
      <c r="P53" s="508"/>
      <c r="Q53" s="508"/>
      <c r="R53" s="508"/>
      <c r="S53" s="508"/>
      <c r="T53" s="508"/>
      <c r="U53" s="508"/>
      <c r="V53" s="508"/>
      <c r="W53" s="508"/>
      <c r="X53" s="508"/>
      <c r="Y53" s="508"/>
      <c r="Z53" s="508"/>
      <c r="AA53" s="508"/>
      <c r="AB53" s="508"/>
      <c r="AC53" s="508"/>
      <c r="AD53" s="508"/>
      <c r="AE53" s="508"/>
      <c r="AF53" s="508"/>
      <c r="AG53" s="508"/>
      <c r="AH53" s="508"/>
      <c r="AI53" s="508"/>
      <c r="AJ53" s="508"/>
      <c r="AK53" s="508"/>
      <c r="AL53" s="508"/>
      <c r="AM53" s="508"/>
      <c r="AN53" s="508">
        <v>-1128609639</v>
      </c>
      <c r="AO53" s="508">
        <v>-1169578788</v>
      </c>
      <c r="AP53" s="508">
        <v>-1210547938</v>
      </c>
      <c r="AQ53" s="508">
        <v>-1263497644</v>
      </c>
      <c r="AR53" s="508">
        <v>-1316447350</v>
      </c>
      <c r="AS53" s="508">
        <v>-1369397059</v>
      </c>
      <c r="AT53" s="508">
        <v>-1422346765</v>
      </c>
      <c r="AU53" s="508">
        <v>-1475296470</v>
      </c>
      <c r="AV53" s="508">
        <v>-1528246177</v>
      </c>
      <c r="AW53" s="508">
        <v>-1581195884</v>
      </c>
      <c r="AX53" s="508">
        <v>-1634145589</v>
      </c>
      <c r="AY53" s="508">
        <v>-1687095295</v>
      </c>
      <c r="AZ53" s="508">
        <v>-1802547100</v>
      </c>
      <c r="BA53" s="508">
        <v>-1871390316</v>
      </c>
      <c r="BB53" s="508">
        <v>-1940233533</v>
      </c>
      <c r="BC53" s="508">
        <v>-2022621495</v>
      </c>
      <c r="BD53" s="508">
        <v>-2105009455</v>
      </c>
      <c r="BE53" s="508">
        <v>-2187397417</v>
      </c>
      <c r="BF53" s="508">
        <v>-2269785376</v>
      </c>
      <c r="BG53" s="508">
        <v>-2350999532</v>
      </c>
      <c r="BH53" s="508">
        <v>-2430730663</v>
      </c>
      <c r="BI53" s="508">
        <v>-2550847084</v>
      </c>
      <c r="BJ53" s="508">
        <v>-2670963505</v>
      </c>
      <c r="BK53" s="508">
        <v>-2791079926</v>
      </c>
      <c r="BL53" s="508">
        <v>-2843670316</v>
      </c>
      <c r="BM53" s="508">
        <v>-2898937791</v>
      </c>
      <c r="BN53" s="508">
        <v>-2956882348</v>
      </c>
      <c r="BO53" s="508">
        <v>-3014826908</v>
      </c>
      <c r="BP53" s="508">
        <v>-3072771465</v>
      </c>
      <c r="BQ53" s="508"/>
      <c r="BR53" s="508"/>
      <c r="BS53" s="508"/>
      <c r="BT53" s="508"/>
      <c r="BU53" s="508"/>
      <c r="BV53" s="508"/>
      <c r="BW53" s="508"/>
    </row>
    <row r="54" spans="1:75" ht="15" customHeight="1">
      <c r="A54" s="59">
        <v>51</v>
      </c>
      <c r="B54" s="64" t="s">
        <v>336</v>
      </c>
      <c r="C54" s="59">
        <v>28</v>
      </c>
      <c r="D54" s="508">
        <f t="shared" ref="D54:AY54" si="26">SUM(D55,D60:D62)</f>
        <v>0</v>
      </c>
      <c r="E54" s="508">
        <f t="shared" si="26"/>
        <v>0</v>
      </c>
      <c r="F54" s="508">
        <f t="shared" si="26"/>
        <v>0</v>
      </c>
      <c r="G54" s="508">
        <f t="shared" si="26"/>
        <v>0</v>
      </c>
      <c r="H54" s="508">
        <f t="shared" si="26"/>
        <v>0</v>
      </c>
      <c r="I54" s="508">
        <f t="shared" si="26"/>
        <v>0</v>
      </c>
      <c r="J54" s="508">
        <f t="shared" si="26"/>
        <v>0</v>
      </c>
      <c r="K54" s="508">
        <f t="shared" si="26"/>
        <v>0</v>
      </c>
      <c r="L54" s="508">
        <f t="shared" si="26"/>
        <v>0</v>
      </c>
      <c r="M54" s="508">
        <f t="shared" si="26"/>
        <v>0</v>
      </c>
      <c r="N54" s="508">
        <f t="shared" si="26"/>
        <v>0</v>
      </c>
      <c r="O54" s="508">
        <f t="shared" si="26"/>
        <v>0</v>
      </c>
      <c r="P54" s="508">
        <f t="shared" si="26"/>
        <v>0</v>
      </c>
      <c r="Q54" s="508">
        <f t="shared" si="26"/>
        <v>0</v>
      </c>
      <c r="R54" s="508">
        <f t="shared" si="26"/>
        <v>0</v>
      </c>
      <c r="S54" s="508">
        <f t="shared" si="26"/>
        <v>0</v>
      </c>
      <c r="T54" s="508">
        <f t="shared" si="26"/>
        <v>0</v>
      </c>
      <c r="U54" s="508">
        <f t="shared" si="26"/>
        <v>0</v>
      </c>
      <c r="V54" s="508">
        <f t="shared" si="26"/>
        <v>0</v>
      </c>
      <c r="W54" s="508">
        <f t="shared" si="26"/>
        <v>0</v>
      </c>
      <c r="X54" s="508">
        <f t="shared" si="26"/>
        <v>0</v>
      </c>
      <c r="Y54" s="508">
        <f t="shared" si="26"/>
        <v>0</v>
      </c>
      <c r="Z54" s="508">
        <f t="shared" si="26"/>
        <v>0</v>
      </c>
      <c r="AA54" s="508">
        <f t="shared" si="26"/>
        <v>0</v>
      </c>
      <c r="AB54" s="508">
        <f t="shared" si="26"/>
        <v>0</v>
      </c>
      <c r="AC54" s="508">
        <f t="shared" si="26"/>
        <v>0</v>
      </c>
      <c r="AD54" s="508">
        <f t="shared" si="26"/>
        <v>0</v>
      </c>
      <c r="AE54" s="508">
        <f t="shared" si="26"/>
        <v>0</v>
      </c>
      <c r="AF54" s="508">
        <f t="shared" si="26"/>
        <v>0</v>
      </c>
      <c r="AG54" s="508">
        <f t="shared" si="26"/>
        <v>0</v>
      </c>
      <c r="AH54" s="508">
        <f t="shared" si="26"/>
        <v>0</v>
      </c>
      <c r="AI54" s="508">
        <f t="shared" si="26"/>
        <v>0</v>
      </c>
      <c r="AJ54" s="508">
        <f t="shared" si="26"/>
        <v>0</v>
      </c>
      <c r="AK54" s="508">
        <f t="shared" si="26"/>
        <v>0</v>
      </c>
      <c r="AL54" s="508">
        <f t="shared" si="26"/>
        <v>0</v>
      </c>
      <c r="AM54" s="508">
        <f t="shared" si="26"/>
        <v>0</v>
      </c>
      <c r="AN54" s="508">
        <f t="shared" si="26"/>
        <v>0</v>
      </c>
      <c r="AO54" s="508">
        <f t="shared" si="26"/>
        <v>0</v>
      </c>
      <c r="AP54" s="508">
        <f t="shared" si="26"/>
        <v>0</v>
      </c>
      <c r="AQ54" s="508">
        <f t="shared" si="26"/>
        <v>0</v>
      </c>
      <c r="AR54" s="508">
        <f t="shared" si="26"/>
        <v>0</v>
      </c>
      <c r="AS54" s="508">
        <f t="shared" si="26"/>
        <v>0</v>
      </c>
      <c r="AT54" s="508">
        <f t="shared" si="26"/>
        <v>0</v>
      </c>
      <c r="AU54" s="508">
        <f t="shared" si="26"/>
        <v>0</v>
      </c>
      <c r="AV54" s="508">
        <f t="shared" si="26"/>
        <v>0</v>
      </c>
      <c r="AW54" s="508">
        <f t="shared" si="26"/>
        <v>0</v>
      </c>
      <c r="AX54" s="508">
        <f t="shared" si="26"/>
        <v>0</v>
      </c>
      <c r="AY54" s="508">
        <f t="shared" si="26"/>
        <v>0</v>
      </c>
      <c r="AZ54" s="508">
        <v>0</v>
      </c>
      <c r="BA54" s="508">
        <v>0</v>
      </c>
      <c r="BB54" s="508">
        <v>0</v>
      </c>
      <c r="BC54" s="508">
        <v>0</v>
      </c>
      <c r="BD54" s="508">
        <v>0</v>
      </c>
      <c r="BE54" s="508">
        <v>0</v>
      </c>
      <c r="BF54" s="508">
        <v>0</v>
      </c>
      <c r="BG54" s="508">
        <v>0</v>
      </c>
      <c r="BH54" s="508">
        <v>0</v>
      </c>
      <c r="BI54" s="508">
        <v>0</v>
      </c>
      <c r="BJ54" s="508">
        <v>0</v>
      </c>
      <c r="BK54" s="508">
        <v>0</v>
      </c>
      <c r="BL54" s="508">
        <v>0</v>
      </c>
      <c r="BM54" s="508">
        <v>0</v>
      </c>
      <c r="BN54" s="508">
        <v>0</v>
      </c>
      <c r="BO54" s="508">
        <v>0</v>
      </c>
      <c r="BP54" s="508">
        <v>0</v>
      </c>
      <c r="BQ54" s="508">
        <f t="shared" ref="BQ54:BW54" si="27">SUM(BQ55,BQ60:BQ62)</f>
        <v>0</v>
      </c>
      <c r="BR54" s="508">
        <f t="shared" si="27"/>
        <v>0</v>
      </c>
      <c r="BS54" s="508">
        <f t="shared" si="27"/>
        <v>0</v>
      </c>
      <c r="BT54" s="508">
        <f t="shared" si="27"/>
        <v>0</v>
      </c>
      <c r="BU54" s="508">
        <f t="shared" si="27"/>
        <v>0</v>
      </c>
      <c r="BV54" s="508">
        <f t="shared" si="27"/>
        <v>0</v>
      </c>
      <c r="BW54" s="508">
        <f t="shared" si="27"/>
        <v>0</v>
      </c>
    </row>
    <row r="55" spans="1:75" ht="15" customHeight="1">
      <c r="A55" s="55">
        <v>52</v>
      </c>
      <c r="B55" s="67" t="s">
        <v>81</v>
      </c>
      <c r="C55" s="55">
        <v>28</v>
      </c>
      <c r="D55" s="508">
        <f t="shared" ref="D55:AY55" si="28">SUM(D56:D57)</f>
        <v>0</v>
      </c>
      <c r="E55" s="508">
        <f t="shared" si="28"/>
        <v>0</v>
      </c>
      <c r="F55" s="508">
        <f t="shared" si="28"/>
        <v>0</v>
      </c>
      <c r="G55" s="508">
        <f t="shared" si="28"/>
        <v>0</v>
      </c>
      <c r="H55" s="508">
        <f t="shared" si="28"/>
        <v>0</v>
      </c>
      <c r="I55" s="508">
        <f t="shared" si="28"/>
        <v>0</v>
      </c>
      <c r="J55" s="508">
        <f t="shared" si="28"/>
        <v>0</v>
      </c>
      <c r="K55" s="508">
        <f t="shared" si="28"/>
        <v>0</v>
      </c>
      <c r="L55" s="508">
        <f t="shared" si="28"/>
        <v>0</v>
      </c>
      <c r="M55" s="508">
        <f t="shared" si="28"/>
        <v>0</v>
      </c>
      <c r="N55" s="508">
        <f t="shared" si="28"/>
        <v>0</v>
      </c>
      <c r="O55" s="508">
        <f t="shared" si="28"/>
        <v>0</v>
      </c>
      <c r="P55" s="508">
        <f t="shared" si="28"/>
        <v>0</v>
      </c>
      <c r="Q55" s="508">
        <f t="shared" si="28"/>
        <v>0</v>
      </c>
      <c r="R55" s="508">
        <f t="shared" si="28"/>
        <v>0</v>
      </c>
      <c r="S55" s="508">
        <f t="shared" si="28"/>
        <v>0</v>
      </c>
      <c r="T55" s="508">
        <f t="shared" si="28"/>
        <v>0</v>
      </c>
      <c r="U55" s="508">
        <f t="shared" si="28"/>
        <v>0</v>
      </c>
      <c r="V55" s="508">
        <f t="shared" si="28"/>
        <v>0</v>
      </c>
      <c r="W55" s="508">
        <f t="shared" si="28"/>
        <v>0</v>
      </c>
      <c r="X55" s="508">
        <f t="shared" si="28"/>
        <v>0</v>
      </c>
      <c r="Y55" s="508">
        <f t="shared" si="28"/>
        <v>0</v>
      </c>
      <c r="Z55" s="508">
        <f t="shared" si="28"/>
        <v>0</v>
      </c>
      <c r="AA55" s="508">
        <f t="shared" si="28"/>
        <v>0</v>
      </c>
      <c r="AB55" s="508">
        <f t="shared" si="28"/>
        <v>0</v>
      </c>
      <c r="AC55" s="508">
        <f t="shared" si="28"/>
        <v>0</v>
      </c>
      <c r="AD55" s="508">
        <f t="shared" si="28"/>
        <v>0</v>
      </c>
      <c r="AE55" s="508">
        <f t="shared" si="28"/>
        <v>0</v>
      </c>
      <c r="AF55" s="508">
        <f t="shared" si="28"/>
        <v>0</v>
      </c>
      <c r="AG55" s="508">
        <f t="shared" si="28"/>
        <v>0</v>
      </c>
      <c r="AH55" s="508">
        <f t="shared" si="28"/>
        <v>0</v>
      </c>
      <c r="AI55" s="508">
        <f t="shared" si="28"/>
        <v>0</v>
      </c>
      <c r="AJ55" s="508">
        <f t="shared" si="28"/>
        <v>0</v>
      </c>
      <c r="AK55" s="508">
        <f t="shared" si="28"/>
        <v>0</v>
      </c>
      <c r="AL55" s="508">
        <f t="shared" si="28"/>
        <v>0</v>
      </c>
      <c r="AM55" s="508">
        <f t="shared" si="28"/>
        <v>0</v>
      </c>
      <c r="AN55" s="508">
        <f t="shared" si="28"/>
        <v>0</v>
      </c>
      <c r="AO55" s="508">
        <f t="shared" si="28"/>
        <v>0</v>
      </c>
      <c r="AP55" s="508">
        <f t="shared" si="28"/>
        <v>0</v>
      </c>
      <c r="AQ55" s="508">
        <f t="shared" si="28"/>
        <v>0</v>
      </c>
      <c r="AR55" s="508">
        <f t="shared" si="28"/>
        <v>0</v>
      </c>
      <c r="AS55" s="508">
        <f t="shared" si="28"/>
        <v>0</v>
      </c>
      <c r="AT55" s="508">
        <f t="shared" si="28"/>
        <v>0</v>
      </c>
      <c r="AU55" s="508">
        <f t="shared" si="28"/>
        <v>0</v>
      </c>
      <c r="AV55" s="508">
        <f t="shared" si="28"/>
        <v>0</v>
      </c>
      <c r="AW55" s="508">
        <f t="shared" si="28"/>
        <v>0</v>
      </c>
      <c r="AX55" s="508">
        <f t="shared" si="28"/>
        <v>0</v>
      </c>
      <c r="AY55" s="508">
        <f t="shared" si="28"/>
        <v>0</v>
      </c>
      <c r="AZ55" s="508">
        <v>0</v>
      </c>
      <c r="BA55" s="508">
        <v>0</v>
      </c>
      <c r="BB55" s="508">
        <v>0</v>
      </c>
      <c r="BC55" s="508">
        <v>0</v>
      </c>
      <c r="BD55" s="508">
        <v>0</v>
      </c>
      <c r="BE55" s="508">
        <v>0</v>
      </c>
      <c r="BF55" s="508">
        <v>0</v>
      </c>
      <c r="BG55" s="508">
        <v>0</v>
      </c>
      <c r="BH55" s="508">
        <v>0</v>
      </c>
      <c r="BI55" s="508">
        <v>0</v>
      </c>
      <c r="BJ55" s="508">
        <v>0</v>
      </c>
      <c r="BK55" s="508">
        <v>0</v>
      </c>
      <c r="BL55" s="508">
        <v>0</v>
      </c>
      <c r="BM55" s="508">
        <v>0</v>
      </c>
      <c r="BN55" s="508">
        <v>0</v>
      </c>
      <c r="BO55" s="508">
        <v>0</v>
      </c>
      <c r="BP55" s="508">
        <v>0</v>
      </c>
      <c r="BQ55" s="508">
        <f t="shared" ref="BQ55:BW55" si="29">SUM(BQ56:BQ57)</f>
        <v>0</v>
      </c>
      <c r="BR55" s="508">
        <f t="shared" si="29"/>
        <v>0</v>
      </c>
      <c r="BS55" s="508">
        <f t="shared" si="29"/>
        <v>0</v>
      </c>
      <c r="BT55" s="508">
        <f t="shared" si="29"/>
        <v>0</v>
      </c>
      <c r="BU55" s="508">
        <f t="shared" si="29"/>
        <v>0</v>
      </c>
      <c r="BV55" s="508">
        <f t="shared" si="29"/>
        <v>0</v>
      </c>
      <c r="BW55" s="508">
        <f t="shared" si="29"/>
        <v>0</v>
      </c>
    </row>
    <row r="56" spans="1:75" ht="15" customHeight="1">
      <c r="A56" s="55">
        <v>53</v>
      </c>
      <c r="B56" s="66" t="s">
        <v>82</v>
      </c>
      <c r="C56" s="55">
        <v>28</v>
      </c>
      <c r="D56" s="508"/>
      <c r="E56" s="508"/>
      <c r="F56" s="508"/>
      <c r="G56" s="508"/>
      <c r="H56" s="508"/>
      <c r="I56" s="508"/>
      <c r="J56" s="508"/>
      <c r="K56" s="508"/>
      <c r="L56" s="508"/>
      <c r="M56" s="508"/>
      <c r="N56" s="508"/>
      <c r="O56" s="508"/>
      <c r="P56" s="508"/>
      <c r="Q56" s="508"/>
      <c r="R56" s="508"/>
      <c r="S56" s="508"/>
      <c r="T56" s="508"/>
      <c r="U56" s="508"/>
      <c r="V56" s="508"/>
      <c r="W56" s="508"/>
      <c r="X56" s="508"/>
      <c r="Y56" s="508"/>
      <c r="Z56" s="508"/>
      <c r="AA56" s="508"/>
      <c r="AB56" s="508"/>
      <c r="AC56" s="508"/>
      <c r="AD56" s="508"/>
      <c r="AE56" s="508"/>
      <c r="AF56" s="508"/>
      <c r="AG56" s="508"/>
      <c r="AH56" s="508"/>
      <c r="AI56" s="508"/>
      <c r="AJ56" s="508"/>
      <c r="AK56" s="508"/>
      <c r="AL56" s="508"/>
      <c r="AM56" s="508"/>
      <c r="AN56" s="508"/>
      <c r="AO56" s="508"/>
      <c r="AP56" s="508"/>
      <c r="AQ56" s="508"/>
      <c r="AR56" s="508"/>
      <c r="AS56" s="508"/>
      <c r="AT56" s="508"/>
      <c r="AU56" s="508"/>
      <c r="AV56" s="508"/>
      <c r="AW56" s="508"/>
      <c r="AX56" s="508"/>
      <c r="AY56" s="508"/>
      <c r="AZ56" s="508">
        <v>0</v>
      </c>
      <c r="BA56" s="508">
        <v>0</v>
      </c>
      <c r="BB56" s="508">
        <v>0</v>
      </c>
      <c r="BC56" s="508">
        <v>0</v>
      </c>
      <c r="BD56" s="508">
        <v>0</v>
      </c>
      <c r="BE56" s="508">
        <v>0</v>
      </c>
      <c r="BF56" s="508">
        <v>0</v>
      </c>
      <c r="BG56" s="508">
        <v>0</v>
      </c>
      <c r="BH56" s="508">
        <v>0</v>
      </c>
      <c r="BI56" s="508">
        <v>0</v>
      </c>
      <c r="BJ56" s="508">
        <v>0</v>
      </c>
      <c r="BK56" s="508">
        <v>0</v>
      </c>
      <c r="BL56" s="508">
        <v>0</v>
      </c>
      <c r="BM56" s="508">
        <v>0</v>
      </c>
      <c r="BN56" s="508">
        <v>0</v>
      </c>
      <c r="BO56" s="508">
        <v>0</v>
      </c>
      <c r="BP56" s="508">
        <v>0</v>
      </c>
      <c r="BQ56" s="508"/>
      <c r="BR56" s="508"/>
      <c r="BS56" s="508"/>
      <c r="BT56" s="508"/>
      <c r="BU56" s="508"/>
      <c r="BV56" s="508"/>
      <c r="BW56" s="508"/>
    </row>
    <row r="57" spans="1:75" ht="15" customHeight="1">
      <c r="A57" s="55">
        <v>54</v>
      </c>
      <c r="B57" s="66" t="s">
        <v>83</v>
      </c>
      <c r="C57" s="55">
        <v>28</v>
      </c>
      <c r="D57" s="508">
        <f t="shared" ref="D57:AY57" si="30">SUM(D58:D59)</f>
        <v>0</v>
      </c>
      <c r="E57" s="508">
        <f t="shared" si="30"/>
        <v>0</v>
      </c>
      <c r="F57" s="508">
        <f t="shared" si="30"/>
        <v>0</v>
      </c>
      <c r="G57" s="508">
        <f t="shared" si="30"/>
        <v>0</v>
      </c>
      <c r="H57" s="508">
        <f t="shared" si="30"/>
        <v>0</v>
      </c>
      <c r="I57" s="508">
        <f t="shared" si="30"/>
        <v>0</v>
      </c>
      <c r="J57" s="508">
        <f t="shared" si="30"/>
        <v>0</v>
      </c>
      <c r="K57" s="508">
        <f t="shared" si="30"/>
        <v>0</v>
      </c>
      <c r="L57" s="508">
        <f t="shared" si="30"/>
        <v>0</v>
      </c>
      <c r="M57" s="508">
        <f t="shared" si="30"/>
        <v>0</v>
      </c>
      <c r="N57" s="508">
        <f t="shared" si="30"/>
        <v>0</v>
      </c>
      <c r="O57" s="508">
        <f t="shared" si="30"/>
        <v>0</v>
      </c>
      <c r="P57" s="508">
        <f t="shared" si="30"/>
        <v>0</v>
      </c>
      <c r="Q57" s="508">
        <f t="shared" si="30"/>
        <v>0</v>
      </c>
      <c r="R57" s="508">
        <f t="shared" si="30"/>
        <v>0</v>
      </c>
      <c r="S57" s="508">
        <f t="shared" si="30"/>
        <v>0</v>
      </c>
      <c r="T57" s="508">
        <f t="shared" si="30"/>
        <v>0</v>
      </c>
      <c r="U57" s="508">
        <f t="shared" si="30"/>
        <v>0</v>
      </c>
      <c r="V57" s="508">
        <f t="shared" si="30"/>
        <v>0</v>
      </c>
      <c r="W57" s="508">
        <f t="shared" si="30"/>
        <v>0</v>
      </c>
      <c r="X57" s="508">
        <f t="shared" si="30"/>
        <v>0</v>
      </c>
      <c r="Y57" s="508">
        <f t="shared" si="30"/>
        <v>0</v>
      </c>
      <c r="Z57" s="508">
        <f t="shared" si="30"/>
        <v>0</v>
      </c>
      <c r="AA57" s="508">
        <f t="shared" si="30"/>
        <v>0</v>
      </c>
      <c r="AB57" s="508">
        <f t="shared" si="30"/>
        <v>0</v>
      </c>
      <c r="AC57" s="508">
        <f t="shared" si="30"/>
        <v>0</v>
      </c>
      <c r="AD57" s="508">
        <f t="shared" si="30"/>
        <v>0</v>
      </c>
      <c r="AE57" s="508">
        <f t="shared" si="30"/>
        <v>0</v>
      </c>
      <c r="AF57" s="508">
        <f t="shared" si="30"/>
        <v>0</v>
      </c>
      <c r="AG57" s="508">
        <f t="shared" si="30"/>
        <v>0</v>
      </c>
      <c r="AH57" s="508">
        <f t="shared" si="30"/>
        <v>0</v>
      </c>
      <c r="AI57" s="508">
        <f t="shared" si="30"/>
        <v>0</v>
      </c>
      <c r="AJ57" s="508">
        <f t="shared" si="30"/>
        <v>0</v>
      </c>
      <c r="AK57" s="508">
        <f t="shared" si="30"/>
        <v>0</v>
      </c>
      <c r="AL57" s="508">
        <f t="shared" si="30"/>
        <v>0</v>
      </c>
      <c r="AM57" s="508">
        <f t="shared" si="30"/>
        <v>0</v>
      </c>
      <c r="AN57" s="508">
        <f t="shared" si="30"/>
        <v>0</v>
      </c>
      <c r="AO57" s="508">
        <f t="shared" si="30"/>
        <v>0</v>
      </c>
      <c r="AP57" s="508">
        <f t="shared" si="30"/>
        <v>0</v>
      </c>
      <c r="AQ57" s="508">
        <f t="shared" si="30"/>
        <v>0</v>
      </c>
      <c r="AR57" s="508">
        <f t="shared" si="30"/>
        <v>0</v>
      </c>
      <c r="AS57" s="508">
        <f t="shared" si="30"/>
        <v>0</v>
      </c>
      <c r="AT57" s="508">
        <f t="shared" si="30"/>
        <v>0</v>
      </c>
      <c r="AU57" s="508">
        <f t="shared" si="30"/>
        <v>0</v>
      </c>
      <c r="AV57" s="508">
        <f t="shared" si="30"/>
        <v>0</v>
      </c>
      <c r="AW57" s="508">
        <f t="shared" si="30"/>
        <v>0</v>
      </c>
      <c r="AX57" s="508">
        <f t="shared" si="30"/>
        <v>0</v>
      </c>
      <c r="AY57" s="508">
        <f t="shared" si="30"/>
        <v>0</v>
      </c>
      <c r="AZ57" s="508">
        <v>0</v>
      </c>
      <c r="BA57" s="508">
        <v>0</v>
      </c>
      <c r="BB57" s="508">
        <v>0</v>
      </c>
      <c r="BC57" s="508">
        <v>0</v>
      </c>
      <c r="BD57" s="508">
        <v>0</v>
      </c>
      <c r="BE57" s="508">
        <v>0</v>
      </c>
      <c r="BF57" s="508">
        <v>0</v>
      </c>
      <c r="BG57" s="508">
        <v>0</v>
      </c>
      <c r="BH57" s="508">
        <v>0</v>
      </c>
      <c r="BI57" s="508">
        <v>0</v>
      </c>
      <c r="BJ57" s="508">
        <v>0</v>
      </c>
      <c r="BK57" s="508">
        <v>0</v>
      </c>
      <c r="BL57" s="508">
        <v>0</v>
      </c>
      <c r="BM57" s="508">
        <v>0</v>
      </c>
      <c r="BN57" s="508">
        <v>0</v>
      </c>
      <c r="BO57" s="508">
        <v>0</v>
      </c>
      <c r="BP57" s="508">
        <v>0</v>
      </c>
      <c r="BQ57" s="508">
        <f t="shared" ref="BQ57:BW57" si="31">SUM(BQ58:BQ59)</f>
        <v>0</v>
      </c>
      <c r="BR57" s="508">
        <f t="shared" si="31"/>
        <v>0</v>
      </c>
      <c r="BS57" s="508">
        <f t="shared" si="31"/>
        <v>0</v>
      </c>
      <c r="BT57" s="508">
        <f t="shared" si="31"/>
        <v>0</v>
      </c>
      <c r="BU57" s="508">
        <f t="shared" si="31"/>
        <v>0</v>
      </c>
      <c r="BV57" s="508">
        <f t="shared" si="31"/>
        <v>0</v>
      </c>
      <c r="BW57" s="508">
        <f t="shared" si="31"/>
        <v>0</v>
      </c>
    </row>
    <row r="58" spans="1:75" ht="15" customHeight="1">
      <c r="A58" s="55">
        <v>55</v>
      </c>
      <c r="B58" s="68" t="s">
        <v>337</v>
      </c>
      <c r="C58" s="55">
        <v>28</v>
      </c>
      <c r="D58" s="508"/>
      <c r="E58" s="508"/>
      <c r="F58" s="508"/>
      <c r="G58" s="508"/>
      <c r="H58" s="508"/>
      <c r="I58" s="508"/>
      <c r="J58" s="508"/>
      <c r="K58" s="508"/>
      <c r="L58" s="508"/>
      <c r="M58" s="508"/>
      <c r="N58" s="508"/>
      <c r="O58" s="508"/>
      <c r="P58" s="508"/>
      <c r="Q58" s="508"/>
      <c r="R58" s="508"/>
      <c r="S58" s="508"/>
      <c r="T58" s="508"/>
      <c r="U58" s="508"/>
      <c r="V58" s="508"/>
      <c r="W58" s="508"/>
      <c r="X58" s="508"/>
      <c r="Y58" s="508"/>
      <c r="Z58" s="508"/>
      <c r="AA58" s="508"/>
      <c r="AB58" s="508"/>
      <c r="AC58" s="508"/>
      <c r="AD58" s="508"/>
      <c r="AE58" s="508"/>
      <c r="AF58" s="508"/>
      <c r="AG58" s="508"/>
      <c r="AH58" s="508"/>
      <c r="AI58" s="508"/>
      <c r="AJ58" s="508"/>
      <c r="AK58" s="508"/>
      <c r="AL58" s="508"/>
      <c r="AM58" s="508"/>
      <c r="AN58" s="508"/>
      <c r="AO58" s="508"/>
      <c r="AP58" s="508"/>
      <c r="AQ58" s="508"/>
      <c r="AR58" s="508"/>
      <c r="AS58" s="508"/>
      <c r="AT58" s="508"/>
      <c r="AU58" s="508"/>
      <c r="AV58" s="508"/>
      <c r="AW58" s="508"/>
      <c r="AX58" s="508"/>
      <c r="AY58" s="508"/>
      <c r="AZ58" s="508">
        <v>0</v>
      </c>
      <c r="BA58" s="508">
        <v>0</v>
      </c>
      <c r="BB58" s="508">
        <v>0</v>
      </c>
      <c r="BC58" s="508">
        <v>0</v>
      </c>
      <c r="BD58" s="508">
        <v>0</v>
      </c>
      <c r="BE58" s="508">
        <v>0</v>
      </c>
      <c r="BF58" s="508">
        <v>0</v>
      </c>
      <c r="BG58" s="508">
        <v>0</v>
      </c>
      <c r="BH58" s="508">
        <v>0</v>
      </c>
      <c r="BI58" s="508">
        <v>0</v>
      </c>
      <c r="BJ58" s="508">
        <v>0</v>
      </c>
      <c r="BK58" s="508">
        <v>0</v>
      </c>
      <c r="BL58" s="508">
        <v>0</v>
      </c>
      <c r="BM58" s="508">
        <v>0</v>
      </c>
      <c r="BN58" s="508">
        <v>0</v>
      </c>
      <c r="BO58" s="508">
        <v>0</v>
      </c>
      <c r="BP58" s="508">
        <v>0</v>
      </c>
      <c r="BQ58" s="508"/>
      <c r="BR58" s="508"/>
      <c r="BS58" s="508"/>
      <c r="BT58" s="508"/>
      <c r="BU58" s="508"/>
      <c r="BV58" s="508"/>
      <c r="BW58" s="508"/>
    </row>
    <row r="59" spans="1:75" ht="15" customHeight="1">
      <c r="A59" s="55">
        <v>56</v>
      </c>
      <c r="B59" s="68" t="s">
        <v>338</v>
      </c>
      <c r="C59" s="55">
        <v>28</v>
      </c>
      <c r="D59" s="508"/>
      <c r="E59" s="508"/>
      <c r="F59" s="508"/>
      <c r="G59" s="508"/>
      <c r="H59" s="508"/>
      <c r="I59" s="508"/>
      <c r="J59" s="508"/>
      <c r="K59" s="508"/>
      <c r="L59" s="508"/>
      <c r="M59" s="508"/>
      <c r="N59" s="508"/>
      <c r="O59" s="508"/>
      <c r="P59" s="508"/>
      <c r="Q59" s="508"/>
      <c r="R59" s="508"/>
      <c r="S59" s="508"/>
      <c r="T59" s="508"/>
      <c r="U59" s="508"/>
      <c r="V59" s="508"/>
      <c r="W59" s="508"/>
      <c r="X59" s="508"/>
      <c r="Y59" s="508"/>
      <c r="Z59" s="508"/>
      <c r="AA59" s="508"/>
      <c r="AB59" s="508"/>
      <c r="AC59" s="508"/>
      <c r="AD59" s="508"/>
      <c r="AE59" s="508"/>
      <c r="AF59" s="508"/>
      <c r="AG59" s="508"/>
      <c r="AH59" s="508"/>
      <c r="AI59" s="508"/>
      <c r="AJ59" s="508"/>
      <c r="AK59" s="508"/>
      <c r="AL59" s="508"/>
      <c r="AM59" s="508"/>
      <c r="AN59" s="508"/>
      <c r="AO59" s="508"/>
      <c r="AP59" s="508"/>
      <c r="AQ59" s="508"/>
      <c r="AR59" s="508"/>
      <c r="AS59" s="508"/>
      <c r="AT59" s="508"/>
      <c r="AU59" s="508"/>
      <c r="AV59" s="508"/>
      <c r="AW59" s="508"/>
      <c r="AX59" s="508"/>
      <c r="AY59" s="508"/>
      <c r="AZ59" s="508">
        <v>0</v>
      </c>
      <c r="BA59" s="508">
        <v>0</v>
      </c>
      <c r="BB59" s="508">
        <v>0</v>
      </c>
      <c r="BC59" s="508">
        <v>0</v>
      </c>
      <c r="BD59" s="508">
        <v>0</v>
      </c>
      <c r="BE59" s="508">
        <v>0</v>
      </c>
      <c r="BF59" s="508">
        <v>0</v>
      </c>
      <c r="BG59" s="508">
        <v>0</v>
      </c>
      <c r="BH59" s="508">
        <v>0</v>
      </c>
      <c r="BI59" s="508">
        <v>0</v>
      </c>
      <c r="BJ59" s="508">
        <v>0</v>
      </c>
      <c r="BK59" s="508">
        <v>0</v>
      </c>
      <c r="BL59" s="508">
        <v>0</v>
      </c>
      <c r="BM59" s="508">
        <v>0</v>
      </c>
      <c r="BN59" s="508">
        <v>0</v>
      </c>
      <c r="BO59" s="508">
        <v>0</v>
      </c>
      <c r="BP59" s="508">
        <v>0</v>
      </c>
      <c r="BQ59" s="508"/>
      <c r="BR59" s="508"/>
      <c r="BS59" s="508"/>
      <c r="BT59" s="508"/>
      <c r="BU59" s="508"/>
      <c r="BV59" s="508"/>
      <c r="BW59" s="508"/>
    </row>
    <row r="60" spans="1:75" ht="15" customHeight="1">
      <c r="A60" s="55">
        <v>57</v>
      </c>
      <c r="B60" s="67" t="s">
        <v>86</v>
      </c>
      <c r="C60" s="55">
        <v>28</v>
      </c>
      <c r="D60" s="508"/>
      <c r="E60" s="508"/>
      <c r="F60" s="508"/>
      <c r="G60" s="508"/>
      <c r="H60" s="508"/>
      <c r="I60" s="508"/>
      <c r="J60" s="508"/>
      <c r="K60" s="508"/>
      <c r="L60" s="508"/>
      <c r="M60" s="508"/>
      <c r="N60" s="508"/>
      <c r="O60" s="508"/>
      <c r="P60" s="508"/>
      <c r="Q60" s="508"/>
      <c r="R60" s="508"/>
      <c r="S60" s="508"/>
      <c r="T60" s="508"/>
      <c r="U60" s="508"/>
      <c r="V60" s="508"/>
      <c r="W60" s="508"/>
      <c r="X60" s="508"/>
      <c r="Y60" s="508"/>
      <c r="Z60" s="508"/>
      <c r="AA60" s="508"/>
      <c r="AB60" s="508"/>
      <c r="AC60" s="508"/>
      <c r="AD60" s="508"/>
      <c r="AE60" s="508"/>
      <c r="AF60" s="508"/>
      <c r="AG60" s="508"/>
      <c r="AH60" s="508"/>
      <c r="AI60" s="508"/>
      <c r="AJ60" s="508"/>
      <c r="AK60" s="508"/>
      <c r="AL60" s="508"/>
      <c r="AM60" s="508"/>
      <c r="AN60" s="508"/>
      <c r="AO60" s="508"/>
      <c r="AP60" s="508"/>
      <c r="AQ60" s="508"/>
      <c r="AR60" s="508"/>
      <c r="AS60" s="508"/>
      <c r="AT60" s="508"/>
      <c r="AU60" s="508"/>
      <c r="AV60" s="508"/>
      <c r="AW60" s="508"/>
      <c r="AX60" s="508"/>
      <c r="AY60" s="508"/>
      <c r="AZ60" s="508">
        <v>0</v>
      </c>
      <c r="BA60" s="508">
        <v>0</v>
      </c>
      <c r="BB60" s="508">
        <v>0</v>
      </c>
      <c r="BC60" s="508">
        <v>0</v>
      </c>
      <c r="BD60" s="508">
        <v>0</v>
      </c>
      <c r="BE60" s="508">
        <v>0</v>
      </c>
      <c r="BF60" s="508">
        <v>0</v>
      </c>
      <c r="BG60" s="508">
        <v>0</v>
      </c>
      <c r="BH60" s="508">
        <v>0</v>
      </c>
      <c r="BI60" s="508">
        <v>0</v>
      </c>
      <c r="BJ60" s="508">
        <v>0</v>
      </c>
      <c r="BK60" s="508">
        <v>0</v>
      </c>
      <c r="BL60" s="508">
        <v>0</v>
      </c>
      <c r="BM60" s="508">
        <v>0</v>
      </c>
      <c r="BN60" s="508">
        <v>0</v>
      </c>
      <c r="BO60" s="508">
        <v>0</v>
      </c>
      <c r="BP60" s="508">
        <v>0</v>
      </c>
      <c r="BQ60" s="508"/>
      <c r="BR60" s="508"/>
      <c r="BS60" s="508"/>
      <c r="BT60" s="508"/>
      <c r="BU60" s="508"/>
      <c r="BV60" s="508"/>
      <c r="BW60" s="508"/>
    </row>
    <row r="61" spans="1:75" ht="15" customHeight="1">
      <c r="A61" s="55">
        <v>58</v>
      </c>
      <c r="B61" s="67" t="s">
        <v>87</v>
      </c>
      <c r="C61" s="55">
        <v>28</v>
      </c>
      <c r="D61" s="508"/>
      <c r="E61" s="508"/>
      <c r="F61" s="508"/>
      <c r="G61" s="508"/>
      <c r="H61" s="508"/>
      <c r="I61" s="508"/>
      <c r="J61" s="508"/>
      <c r="K61" s="508"/>
      <c r="L61" s="508"/>
      <c r="M61" s="508"/>
      <c r="N61" s="508"/>
      <c r="O61" s="508"/>
      <c r="P61" s="508"/>
      <c r="Q61" s="508"/>
      <c r="R61" s="508"/>
      <c r="S61" s="508"/>
      <c r="T61" s="508"/>
      <c r="U61" s="508"/>
      <c r="V61" s="508"/>
      <c r="W61" s="508"/>
      <c r="X61" s="508"/>
      <c r="Y61" s="508"/>
      <c r="Z61" s="508"/>
      <c r="AA61" s="508"/>
      <c r="AB61" s="508"/>
      <c r="AC61" s="508"/>
      <c r="AD61" s="508"/>
      <c r="AE61" s="508"/>
      <c r="AF61" s="508"/>
      <c r="AG61" s="508"/>
      <c r="AH61" s="508"/>
      <c r="AI61" s="508"/>
      <c r="AJ61" s="508"/>
      <c r="AK61" s="508"/>
      <c r="AL61" s="508"/>
      <c r="AM61" s="508"/>
      <c r="AN61" s="508"/>
      <c r="AO61" s="508"/>
      <c r="AP61" s="508"/>
      <c r="AQ61" s="508"/>
      <c r="AR61" s="508"/>
      <c r="AS61" s="508"/>
      <c r="AT61" s="508"/>
      <c r="AU61" s="508"/>
      <c r="AV61" s="508"/>
      <c r="AW61" s="508"/>
      <c r="AX61" s="508"/>
      <c r="AY61" s="508"/>
      <c r="AZ61" s="508">
        <v>0</v>
      </c>
      <c r="BA61" s="508">
        <v>0</v>
      </c>
      <c r="BB61" s="508">
        <v>0</v>
      </c>
      <c r="BC61" s="508">
        <v>0</v>
      </c>
      <c r="BD61" s="508">
        <v>0</v>
      </c>
      <c r="BE61" s="508">
        <v>0</v>
      </c>
      <c r="BF61" s="508">
        <v>0</v>
      </c>
      <c r="BG61" s="508">
        <v>0</v>
      </c>
      <c r="BH61" s="508">
        <v>0</v>
      </c>
      <c r="BI61" s="508">
        <v>0</v>
      </c>
      <c r="BJ61" s="508">
        <v>0</v>
      </c>
      <c r="BK61" s="508">
        <v>0</v>
      </c>
      <c r="BL61" s="508">
        <v>0</v>
      </c>
      <c r="BM61" s="508">
        <v>0</v>
      </c>
      <c r="BN61" s="508">
        <v>0</v>
      </c>
      <c r="BO61" s="508">
        <v>0</v>
      </c>
      <c r="BP61" s="508">
        <v>0</v>
      </c>
      <c r="BQ61" s="508"/>
      <c r="BR61" s="508"/>
      <c r="BS61" s="508"/>
      <c r="BT61" s="508"/>
      <c r="BU61" s="508"/>
      <c r="BV61" s="508"/>
      <c r="BW61" s="508"/>
    </row>
    <row r="62" spans="1:75" ht="15" customHeight="1">
      <c r="A62" s="55">
        <v>59</v>
      </c>
      <c r="B62" s="67" t="s">
        <v>88</v>
      </c>
      <c r="C62" s="55">
        <v>28</v>
      </c>
      <c r="D62" s="508"/>
      <c r="E62" s="508"/>
      <c r="F62" s="508"/>
      <c r="G62" s="508"/>
      <c r="H62" s="508"/>
      <c r="I62" s="508"/>
      <c r="J62" s="508"/>
      <c r="K62" s="508"/>
      <c r="L62" s="508"/>
      <c r="M62" s="508"/>
      <c r="N62" s="508"/>
      <c r="O62" s="508"/>
      <c r="P62" s="508"/>
      <c r="Q62" s="508"/>
      <c r="R62" s="508"/>
      <c r="S62" s="508"/>
      <c r="T62" s="508"/>
      <c r="U62" s="508"/>
      <c r="V62" s="508"/>
      <c r="W62" s="508"/>
      <c r="X62" s="508"/>
      <c r="Y62" s="508"/>
      <c r="Z62" s="508"/>
      <c r="AA62" s="508"/>
      <c r="AB62" s="508"/>
      <c r="AC62" s="508"/>
      <c r="AD62" s="508"/>
      <c r="AE62" s="508"/>
      <c r="AF62" s="508"/>
      <c r="AG62" s="508"/>
      <c r="AH62" s="508"/>
      <c r="AI62" s="508"/>
      <c r="AJ62" s="508"/>
      <c r="AK62" s="508"/>
      <c r="AL62" s="508"/>
      <c r="AM62" s="508"/>
      <c r="AN62" s="508"/>
      <c r="AO62" s="508"/>
      <c r="AP62" s="508"/>
      <c r="AQ62" s="508"/>
      <c r="AR62" s="508"/>
      <c r="AS62" s="508"/>
      <c r="AT62" s="508"/>
      <c r="AU62" s="508"/>
      <c r="AV62" s="508"/>
      <c r="AW62" s="508"/>
      <c r="AX62" s="508"/>
      <c r="AY62" s="508"/>
      <c r="AZ62" s="508">
        <v>0</v>
      </c>
      <c r="BA62" s="508">
        <v>0</v>
      </c>
      <c r="BB62" s="508">
        <v>0</v>
      </c>
      <c r="BC62" s="508">
        <v>0</v>
      </c>
      <c r="BD62" s="508">
        <v>0</v>
      </c>
      <c r="BE62" s="508">
        <v>0</v>
      </c>
      <c r="BF62" s="508">
        <v>0</v>
      </c>
      <c r="BG62" s="508">
        <v>0</v>
      </c>
      <c r="BH62" s="508">
        <v>0</v>
      </c>
      <c r="BI62" s="508">
        <v>0</v>
      </c>
      <c r="BJ62" s="508">
        <v>0</v>
      </c>
      <c r="BK62" s="508">
        <v>0</v>
      </c>
      <c r="BL62" s="508">
        <v>0</v>
      </c>
      <c r="BM62" s="508">
        <v>0</v>
      </c>
      <c r="BN62" s="508">
        <v>0</v>
      </c>
      <c r="BO62" s="508">
        <v>0</v>
      </c>
      <c r="BP62" s="508">
        <v>0</v>
      </c>
      <c r="BQ62" s="508"/>
      <c r="BR62" s="508"/>
      <c r="BS62" s="508"/>
      <c r="BT62" s="508"/>
      <c r="BU62" s="508"/>
      <c r="BV62" s="508"/>
      <c r="BW62" s="508"/>
    </row>
    <row r="63" spans="1:75" ht="15" customHeight="1">
      <c r="A63" s="57">
        <v>60</v>
      </c>
      <c r="B63" s="64" t="s">
        <v>89</v>
      </c>
      <c r="C63" s="57">
        <v>28</v>
      </c>
      <c r="D63" s="3">
        <f t="shared" ref="D63:AY63" si="32">SUM(D64:D65)</f>
        <v>0</v>
      </c>
      <c r="E63" s="3">
        <f t="shared" si="32"/>
        <v>0</v>
      </c>
      <c r="F63" s="3">
        <f t="shared" si="32"/>
        <v>0</v>
      </c>
      <c r="G63" s="3">
        <f t="shared" si="32"/>
        <v>0</v>
      </c>
      <c r="H63" s="3">
        <f t="shared" si="32"/>
        <v>0</v>
      </c>
      <c r="I63" s="3">
        <f t="shared" si="32"/>
        <v>0</v>
      </c>
      <c r="J63" s="3">
        <f t="shared" si="32"/>
        <v>0</v>
      </c>
      <c r="K63" s="3">
        <f t="shared" si="32"/>
        <v>0</v>
      </c>
      <c r="L63" s="3">
        <f t="shared" si="32"/>
        <v>0</v>
      </c>
      <c r="M63" s="3">
        <f t="shared" si="32"/>
        <v>0</v>
      </c>
      <c r="N63" s="3">
        <f t="shared" si="32"/>
        <v>0</v>
      </c>
      <c r="O63" s="3">
        <f t="shared" si="32"/>
        <v>0</v>
      </c>
      <c r="P63" s="3">
        <f t="shared" si="32"/>
        <v>0</v>
      </c>
      <c r="Q63" s="3">
        <f t="shared" si="32"/>
        <v>0</v>
      </c>
      <c r="R63" s="3">
        <f t="shared" si="32"/>
        <v>0</v>
      </c>
      <c r="S63" s="3">
        <f t="shared" si="32"/>
        <v>0</v>
      </c>
      <c r="T63" s="3">
        <f t="shared" si="32"/>
        <v>0</v>
      </c>
      <c r="U63" s="3">
        <f t="shared" si="32"/>
        <v>0</v>
      </c>
      <c r="V63" s="3">
        <f t="shared" si="32"/>
        <v>0</v>
      </c>
      <c r="W63" s="3">
        <f t="shared" si="32"/>
        <v>0</v>
      </c>
      <c r="X63" s="3">
        <f t="shared" si="32"/>
        <v>0</v>
      </c>
      <c r="Y63" s="3">
        <f t="shared" si="32"/>
        <v>0</v>
      </c>
      <c r="Z63" s="3">
        <f t="shared" si="32"/>
        <v>0</v>
      </c>
      <c r="AA63" s="3">
        <f t="shared" si="32"/>
        <v>0</v>
      </c>
      <c r="AB63" s="3">
        <f t="shared" si="32"/>
        <v>0</v>
      </c>
      <c r="AC63" s="3">
        <f t="shared" si="32"/>
        <v>0</v>
      </c>
      <c r="AD63" s="3">
        <f t="shared" si="32"/>
        <v>0</v>
      </c>
      <c r="AE63" s="3">
        <f t="shared" si="32"/>
        <v>0</v>
      </c>
      <c r="AF63" s="3">
        <f t="shared" si="32"/>
        <v>0</v>
      </c>
      <c r="AG63" s="3">
        <f t="shared" si="32"/>
        <v>0</v>
      </c>
      <c r="AH63" s="3">
        <f t="shared" si="32"/>
        <v>0</v>
      </c>
      <c r="AI63" s="3">
        <f t="shared" si="32"/>
        <v>0</v>
      </c>
      <c r="AJ63" s="3">
        <f t="shared" si="32"/>
        <v>0</v>
      </c>
      <c r="AK63" s="3">
        <f t="shared" si="32"/>
        <v>0</v>
      </c>
      <c r="AL63" s="3">
        <f t="shared" si="32"/>
        <v>0</v>
      </c>
      <c r="AM63" s="3">
        <f t="shared" si="32"/>
        <v>0</v>
      </c>
      <c r="AN63" s="3">
        <f t="shared" si="32"/>
        <v>0</v>
      </c>
      <c r="AO63" s="3">
        <f t="shared" si="32"/>
        <v>0</v>
      </c>
      <c r="AP63" s="3">
        <f t="shared" si="32"/>
        <v>0</v>
      </c>
      <c r="AQ63" s="3">
        <f t="shared" si="32"/>
        <v>0</v>
      </c>
      <c r="AR63" s="3">
        <f t="shared" si="32"/>
        <v>0</v>
      </c>
      <c r="AS63" s="3">
        <f t="shared" si="32"/>
        <v>0</v>
      </c>
      <c r="AT63" s="3">
        <f t="shared" si="32"/>
        <v>0</v>
      </c>
      <c r="AU63" s="3">
        <f t="shared" si="32"/>
        <v>0</v>
      </c>
      <c r="AV63" s="3">
        <f t="shared" si="32"/>
        <v>0</v>
      </c>
      <c r="AW63" s="3">
        <f t="shared" si="32"/>
        <v>0</v>
      </c>
      <c r="AX63" s="3">
        <f t="shared" si="32"/>
        <v>0</v>
      </c>
      <c r="AY63" s="3">
        <f t="shared" si="32"/>
        <v>0</v>
      </c>
      <c r="AZ63" s="3">
        <v>0</v>
      </c>
      <c r="BA63" s="3">
        <v>0</v>
      </c>
      <c r="BB63" s="3">
        <v>0</v>
      </c>
      <c r="BC63" s="3">
        <v>0</v>
      </c>
      <c r="BD63" s="3">
        <v>0</v>
      </c>
      <c r="BE63" s="3">
        <v>0</v>
      </c>
      <c r="BF63" s="3">
        <v>0</v>
      </c>
      <c r="BG63" s="3">
        <v>0</v>
      </c>
      <c r="BH63" s="3">
        <v>0</v>
      </c>
      <c r="BI63" s="3">
        <v>0</v>
      </c>
      <c r="BJ63" s="3">
        <v>0</v>
      </c>
      <c r="BK63" s="3">
        <v>0</v>
      </c>
      <c r="BL63" s="3">
        <v>0</v>
      </c>
      <c r="BM63" s="3">
        <v>0</v>
      </c>
      <c r="BN63" s="3">
        <v>0</v>
      </c>
      <c r="BO63" s="3">
        <v>0</v>
      </c>
      <c r="BP63" s="3">
        <v>0</v>
      </c>
      <c r="BQ63" s="3">
        <f t="shared" ref="BQ63:BW63" si="33">SUM(BQ64:BQ65)</f>
        <v>0</v>
      </c>
      <c r="BR63" s="3">
        <f t="shared" si="33"/>
        <v>0</v>
      </c>
      <c r="BS63" s="3">
        <f t="shared" si="33"/>
        <v>0</v>
      </c>
      <c r="BT63" s="3">
        <f t="shared" si="33"/>
        <v>0</v>
      </c>
      <c r="BU63" s="3">
        <f t="shared" si="33"/>
        <v>0</v>
      </c>
      <c r="BV63" s="3">
        <f t="shared" si="33"/>
        <v>0</v>
      </c>
      <c r="BW63" s="3">
        <f t="shared" si="33"/>
        <v>0</v>
      </c>
    </row>
    <row r="64" spans="1:75" ht="15" customHeight="1">
      <c r="A64" s="55">
        <v>61</v>
      </c>
      <c r="B64" s="56" t="s">
        <v>339</v>
      </c>
      <c r="C64" s="55">
        <v>28</v>
      </c>
      <c r="D64" s="508"/>
      <c r="E64" s="508"/>
      <c r="F64" s="508"/>
      <c r="G64" s="508"/>
      <c r="H64" s="508"/>
      <c r="I64" s="508"/>
      <c r="J64" s="508"/>
      <c r="K64" s="508"/>
      <c r="L64" s="508"/>
      <c r="M64" s="508"/>
      <c r="N64" s="508"/>
      <c r="O64" s="508"/>
      <c r="P64" s="508"/>
      <c r="Q64" s="508"/>
      <c r="R64" s="508"/>
      <c r="S64" s="508"/>
      <c r="T64" s="508"/>
      <c r="U64" s="508"/>
      <c r="V64" s="508"/>
      <c r="W64" s="508"/>
      <c r="X64" s="508"/>
      <c r="Y64" s="508"/>
      <c r="Z64" s="508"/>
      <c r="AA64" s="508"/>
      <c r="AB64" s="508"/>
      <c r="AC64" s="508"/>
      <c r="AD64" s="508"/>
      <c r="AE64" s="508"/>
      <c r="AF64" s="508"/>
      <c r="AG64" s="508"/>
      <c r="AH64" s="508"/>
      <c r="AI64" s="508"/>
      <c r="AJ64" s="508"/>
      <c r="AK64" s="508"/>
      <c r="AL64" s="508"/>
      <c r="AM64" s="508"/>
      <c r="AN64" s="508"/>
      <c r="AO64" s="508"/>
      <c r="AP64" s="508"/>
      <c r="AQ64" s="508"/>
      <c r="AR64" s="508"/>
      <c r="AS64" s="508"/>
      <c r="AT64" s="508"/>
      <c r="AU64" s="508"/>
      <c r="AV64" s="508"/>
      <c r="AW64" s="508"/>
      <c r="AX64" s="508"/>
      <c r="AY64" s="508"/>
      <c r="AZ64" s="508">
        <v>0</v>
      </c>
      <c r="BA64" s="508">
        <v>0</v>
      </c>
      <c r="BB64" s="508">
        <v>0</v>
      </c>
      <c r="BC64" s="508">
        <v>0</v>
      </c>
      <c r="BD64" s="508">
        <v>0</v>
      </c>
      <c r="BE64" s="508">
        <v>0</v>
      </c>
      <c r="BF64" s="508">
        <v>0</v>
      </c>
      <c r="BG64" s="508">
        <v>0</v>
      </c>
      <c r="BH64" s="508">
        <v>0</v>
      </c>
      <c r="BI64" s="508">
        <v>0</v>
      </c>
      <c r="BJ64" s="508">
        <v>0</v>
      </c>
      <c r="BK64" s="508">
        <v>0</v>
      </c>
      <c r="BL64" s="508">
        <v>0</v>
      </c>
      <c r="BM64" s="508">
        <v>0</v>
      </c>
      <c r="BN64" s="508">
        <v>0</v>
      </c>
      <c r="BO64" s="508">
        <v>0</v>
      </c>
      <c r="BP64" s="508">
        <v>0</v>
      </c>
      <c r="BQ64" s="508"/>
      <c r="BR64" s="508"/>
      <c r="BS64" s="508"/>
      <c r="BT64" s="508"/>
      <c r="BU64" s="508"/>
      <c r="BV64" s="508"/>
      <c r="BW64" s="508"/>
    </row>
    <row r="65" spans="1:75" ht="15" customHeight="1">
      <c r="A65" s="55">
        <v>62</v>
      </c>
      <c r="B65" s="56" t="s">
        <v>340</v>
      </c>
      <c r="C65" s="55">
        <v>28</v>
      </c>
      <c r="D65" s="508"/>
      <c r="E65" s="508"/>
      <c r="F65" s="508"/>
      <c r="G65" s="508"/>
      <c r="H65" s="508"/>
      <c r="I65" s="508"/>
      <c r="J65" s="508"/>
      <c r="K65" s="508"/>
      <c r="L65" s="508"/>
      <c r="M65" s="508"/>
      <c r="N65" s="508"/>
      <c r="O65" s="508"/>
      <c r="P65" s="508"/>
      <c r="Q65" s="508"/>
      <c r="R65" s="508"/>
      <c r="S65" s="508"/>
      <c r="T65" s="508"/>
      <c r="U65" s="508"/>
      <c r="V65" s="508"/>
      <c r="W65" s="508"/>
      <c r="X65" s="508"/>
      <c r="Y65" s="508"/>
      <c r="Z65" s="508"/>
      <c r="AA65" s="508"/>
      <c r="AB65" s="508"/>
      <c r="AC65" s="508"/>
      <c r="AD65" s="508"/>
      <c r="AE65" s="508"/>
      <c r="AF65" s="508"/>
      <c r="AG65" s="508"/>
      <c r="AH65" s="508"/>
      <c r="AI65" s="508"/>
      <c r="AJ65" s="508"/>
      <c r="AK65" s="508"/>
      <c r="AL65" s="508"/>
      <c r="AM65" s="508"/>
      <c r="AN65" s="508"/>
      <c r="AO65" s="508"/>
      <c r="AP65" s="508"/>
      <c r="AQ65" s="508"/>
      <c r="AR65" s="508"/>
      <c r="AS65" s="508"/>
      <c r="AT65" s="508"/>
      <c r="AU65" s="508"/>
      <c r="AV65" s="508"/>
      <c r="AW65" s="508"/>
      <c r="AX65" s="508"/>
      <c r="AY65" s="508"/>
      <c r="AZ65" s="508">
        <v>0</v>
      </c>
      <c r="BA65" s="508">
        <v>0</v>
      </c>
      <c r="BB65" s="508">
        <v>0</v>
      </c>
      <c r="BC65" s="508">
        <v>0</v>
      </c>
      <c r="BD65" s="508">
        <v>0</v>
      </c>
      <c r="BE65" s="508">
        <v>0</v>
      </c>
      <c r="BF65" s="508">
        <v>0</v>
      </c>
      <c r="BG65" s="508">
        <v>0</v>
      </c>
      <c r="BH65" s="508">
        <v>0</v>
      </c>
      <c r="BI65" s="508">
        <v>0</v>
      </c>
      <c r="BJ65" s="508">
        <v>0</v>
      </c>
      <c r="BK65" s="508">
        <v>0</v>
      </c>
      <c r="BL65" s="508">
        <v>0</v>
      </c>
      <c r="BM65" s="508">
        <v>0</v>
      </c>
      <c r="BN65" s="508">
        <v>0</v>
      </c>
      <c r="BO65" s="508">
        <v>0</v>
      </c>
      <c r="BP65" s="508">
        <v>0</v>
      </c>
      <c r="BQ65" s="508"/>
      <c r="BR65" s="508"/>
      <c r="BS65" s="508"/>
      <c r="BT65" s="508"/>
      <c r="BU65" s="508"/>
      <c r="BV65" s="508"/>
      <c r="BW65" s="508"/>
    </row>
    <row r="66" spans="1:75" ht="15" customHeight="1">
      <c r="A66" s="59">
        <v>63</v>
      </c>
      <c r="B66" s="64" t="s">
        <v>341</v>
      </c>
      <c r="C66" s="59">
        <v>28</v>
      </c>
      <c r="D66" s="3">
        <f t="shared" ref="D66:AY66" si="34">SUM(D67:D68)</f>
        <v>0</v>
      </c>
      <c r="E66" s="3">
        <f t="shared" si="34"/>
        <v>0</v>
      </c>
      <c r="F66" s="3">
        <f t="shared" si="34"/>
        <v>0</v>
      </c>
      <c r="G66" s="3">
        <f t="shared" si="34"/>
        <v>0</v>
      </c>
      <c r="H66" s="3">
        <f t="shared" si="34"/>
        <v>0</v>
      </c>
      <c r="I66" s="3">
        <f t="shared" si="34"/>
        <v>0</v>
      </c>
      <c r="J66" s="3">
        <f t="shared" si="34"/>
        <v>0</v>
      </c>
      <c r="K66" s="3">
        <f t="shared" si="34"/>
        <v>0</v>
      </c>
      <c r="L66" s="3">
        <f t="shared" si="34"/>
        <v>0</v>
      </c>
      <c r="M66" s="3">
        <f t="shared" si="34"/>
        <v>0</v>
      </c>
      <c r="N66" s="3">
        <f t="shared" si="34"/>
        <v>0</v>
      </c>
      <c r="O66" s="3">
        <f t="shared" si="34"/>
        <v>0</v>
      </c>
      <c r="P66" s="3">
        <f t="shared" si="34"/>
        <v>0</v>
      </c>
      <c r="Q66" s="3">
        <f t="shared" si="34"/>
        <v>0</v>
      </c>
      <c r="R66" s="3">
        <f t="shared" si="34"/>
        <v>0</v>
      </c>
      <c r="S66" s="3">
        <f t="shared" si="34"/>
        <v>0</v>
      </c>
      <c r="T66" s="3">
        <f t="shared" si="34"/>
        <v>0</v>
      </c>
      <c r="U66" s="3">
        <f t="shared" si="34"/>
        <v>0</v>
      </c>
      <c r="V66" s="3">
        <f t="shared" si="34"/>
        <v>0</v>
      </c>
      <c r="W66" s="3">
        <f t="shared" si="34"/>
        <v>0</v>
      </c>
      <c r="X66" s="3">
        <f t="shared" si="34"/>
        <v>0</v>
      </c>
      <c r="Y66" s="3">
        <f t="shared" si="34"/>
        <v>0</v>
      </c>
      <c r="Z66" s="3">
        <f t="shared" si="34"/>
        <v>0</v>
      </c>
      <c r="AA66" s="3">
        <f t="shared" si="34"/>
        <v>0</v>
      </c>
      <c r="AB66" s="3">
        <f t="shared" si="34"/>
        <v>0</v>
      </c>
      <c r="AC66" s="3">
        <f t="shared" si="34"/>
        <v>0</v>
      </c>
      <c r="AD66" s="3">
        <f t="shared" si="34"/>
        <v>0</v>
      </c>
      <c r="AE66" s="3">
        <f t="shared" si="34"/>
        <v>0</v>
      </c>
      <c r="AF66" s="3">
        <f t="shared" si="34"/>
        <v>0</v>
      </c>
      <c r="AG66" s="3">
        <f t="shared" si="34"/>
        <v>0</v>
      </c>
      <c r="AH66" s="3">
        <f t="shared" si="34"/>
        <v>0</v>
      </c>
      <c r="AI66" s="3">
        <f t="shared" si="34"/>
        <v>0</v>
      </c>
      <c r="AJ66" s="3">
        <f t="shared" si="34"/>
        <v>0</v>
      </c>
      <c r="AK66" s="3">
        <f t="shared" si="34"/>
        <v>0</v>
      </c>
      <c r="AL66" s="3">
        <f t="shared" si="34"/>
        <v>0</v>
      </c>
      <c r="AM66" s="3">
        <f t="shared" si="34"/>
        <v>0</v>
      </c>
      <c r="AN66" s="3">
        <f t="shared" si="34"/>
        <v>77329584118</v>
      </c>
      <c r="AO66" s="3">
        <f t="shared" si="34"/>
        <v>77763600271</v>
      </c>
      <c r="AP66" s="3">
        <f t="shared" si="34"/>
        <v>44952330241</v>
      </c>
      <c r="AQ66" s="3">
        <f t="shared" si="34"/>
        <v>41117545565</v>
      </c>
      <c r="AR66" s="3">
        <f t="shared" si="34"/>
        <v>41598285505</v>
      </c>
      <c r="AS66" s="3">
        <f t="shared" si="34"/>
        <v>45834019605</v>
      </c>
      <c r="AT66" s="3">
        <f t="shared" si="34"/>
        <v>45620157237</v>
      </c>
      <c r="AU66" s="3">
        <f t="shared" si="34"/>
        <v>43295611577</v>
      </c>
      <c r="AV66" s="3">
        <f t="shared" si="34"/>
        <v>44563784234</v>
      </c>
      <c r="AW66" s="3">
        <f t="shared" si="34"/>
        <v>44870745260</v>
      </c>
      <c r="AX66" s="3">
        <f t="shared" si="34"/>
        <v>29903428024</v>
      </c>
      <c r="AY66" s="4">
        <f t="shared" si="34"/>
        <v>38102315137</v>
      </c>
      <c r="AZ66" s="4">
        <v>47351685312</v>
      </c>
      <c r="BA66" s="4">
        <v>33270243294</v>
      </c>
      <c r="BB66" s="4">
        <v>28917153034</v>
      </c>
      <c r="BC66" s="4">
        <v>39983110298</v>
      </c>
      <c r="BD66" s="4">
        <v>48611974769</v>
      </c>
      <c r="BE66" s="4">
        <v>52991191597</v>
      </c>
      <c r="BF66" s="4">
        <v>54380932320</v>
      </c>
      <c r="BG66" s="4">
        <v>36472336589</v>
      </c>
      <c r="BH66" s="4">
        <v>46588311385</v>
      </c>
      <c r="BI66" s="4">
        <v>59728156173</v>
      </c>
      <c r="BJ66" s="4">
        <v>55496100548</v>
      </c>
      <c r="BK66" s="4">
        <v>64594176344</v>
      </c>
      <c r="BL66" s="4">
        <v>67367429293</v>
      </c>
      <c r="BM66" s="4">
        <v>87657276867</v>
      </c>
      <c r="BN66" s="4">
        <v>74320784423</v>
      </c>
      <c r="BO66" s="4">
        <v>92016367246</v>
      </c>
      <c r="BP66" s="4">
        <v>95504353332</v>
      </c>
      <c r="BQ66" s="4">
        <f t="shared" ref="BQ66:BW66" si="35">SUM(BQ67:BQ68)</f>
        <v>0</v>
      </c>
      <c r="BR66" s="4">
        <f t="shared" si="35"/>
        <v>0</v>
      </c>
      <c r="BS66" s="4">
        <f t="shared" si="35"/>
        <v>0</v>
      </c>
      <c r="BT66" s="4">
        <f t="shared" si="35"/>
        <v>0</v>
      </c>
      <c r="BU66" s="4">
        <f t="shared" si="35"/>
        <v>0</v>
      </c>
      <c r="BV66" s="4">
        <f t="shared" si="35"/>
        <v>0</v>
      </c>
      <c r="BW66" s="4">
        <f t="shared" si="35"/>
        <v>0</v>
      </c>
    </row>
    <row r="67" spans="1:75" ht="15" customHeight="1">
      <c r="A67" s="55">
        <v>64</v>
      </c>
      <c r="B67" s="56" t="s">
        <v>92</v>
      </c>
      <c r="C67" s="55">
        <v>28</v>
      </c>
      <c r="D67" s="508"/>
      <c r="E67" s="508"/>
      <c r="F67" s="508"/>
      <c r="G67" s="508"/>
      <c r="H67" s="508"/>
      <c r="I67" s="508"/>
      <c r="J67" s="508"/>
      <c r="K67" s="508"/>
      <c r="L67" s="508"/>
      <c r="M67" s="508"/>
      <c r="N67" s="508"/>
      <c r="O67" s="508"/>
      <c r="P67" s="508"/>
      <c r="Q67" s="508"/>
      <c r="R67" s="508"/>
      <c r="S67" s="508"/>
      <c r="T67" s="508"/>
      <c r="U67" s="508"/>
      <c r="V67" s="508"/>
      <c r="W67" s="508"/>
      <c r="X67" s="508"/>
      <c r="Y67" s="508"/>
      <c r="Z67" s="508"/>
      <c r="AA67" s="508"/>
      <c r="AB67" s="508"/>
      <c r="AC67" s="508"/>
      <c r="AD67" s="508"/>
      <c r="AE67" s="508"/>
      <c r="AF67" s="508"/>
      <c r="AG67" s="508"/>
      <c r="AH67" s="508"/>
      <c r="AI67" s="508"/>
      <c r="AJ67" s="508"/>
      <c r="AK67" s="508"/>
      <c r="AL67" s="508"/>
      <c r="AM67" s="508"/>
      <c r="AN67" s="508">
        <v>419846709</v>
      </c>
      <c r="AO67" s="508">
        <v>408674531</v>
      </c>
      <c r="AP67" s="508">
        <v>403047661</v>
      </c>
      <c r="AQ67" s="508">
        <v>390879241</v>
      </c>
      <c r="AR67" s="508">
        <v>460263307</v>
      </c>
      <c r="AS67" s="508">
        <v>598268760</v>
      </c>
      <c r="AT67" s="508">
        <v>546898463</v>
      </c>
      <c r="AU67" s="508">
        <v>461756176</v>
      </c>
      <c r="AV67" s="508">
        <v>440940331</v>
      </c>
      <c r="AW67" s="508">
        <v>412338743</v>
      </c>
      <c r="AX67" s="508">
        <v>361348558</v>
      </c>
      <c r="AY67" s="508">
        <v>344917157</v>
      </c>
      <c r="AZ67" s="508">
        <v>0</v>
      </c>
      <c r="BA67" s="508">
        <v>0</v>
      </c>
      <c r="BB67" s="508">
        <v>0</v>
      </c>
      <c r="BC67" s="508">
        <v>0</v>
      </c>
      <c r="BD67" s="508">
        <v>0</v>
      </c>
      <c r="BE67" s="508">
        <v>0</v>
      </c>
      <c r="BF67" s="508">
        <v>0</v>
      </c>
      <c r="BG67" s="508">
        <v>0</v>
      </c>
      <c r="BH67" s="508">
        <v>0</v>
      </c>
      <c r="BI67" s="508">
        <v>0</v>
      </c>
      <c r="BJ67" s="508">
        <v>10176000</v>
      </c>
      <c r="BK67" s="508">
        <v>10176000</v>
      </c>
      <c r="BL67" s="508">
        <v>10176000</v>
      </c>
      <c r="BM67" s="508">
        <v>10176000</v>
      </c>
      <c r="BN67" s="508">
        <v>10176000</v>
      </c>
      <c r="BO67" s="508">
        <v>10176000</v>
      </c>
      <c r="BP67" s="508">
        <v>10176000</v>
      </c>
      <c r="BQ67" s="508"/>
      <c r="BR67" s="508"/>
      <c r="BS67" s="508"/>
      <c r="BT67" s="508"/>
      <c r="BU67" s="508"/>
      <c r="BV67" s="508"/>
      <c r="BW67" s="508"/>
    </row>
    <row r="68" spans="1:75" ht="15" customHeight="1">
      <c r="A68" s="55">
        <v>65</v>
      </c>
      <c r="B68" s="56" t="s">
        <v>93</v>
      </c>
      <c r="C68" s="55">
        <v>28</v>
      </c>
      <c r="D68" s="508"/>
      <c r="E68" s="508"/>
      <c r="F68" s="508"/>
      <c r="G68" s="508"/>
      <c r="H68" s="508"/>
      <c r="I68" s="508"/>
      <c r="J68" s="508"/>
      <c r="K68" s="508"/>
      <c r="L68" s="508"/>
      <c r="M68" s="508"/>
      <c r="N68" s="508"/>
      <c r="O68" s="508"/>
      <c r="P68" s="508"/>
      <c r="Q68" s="508"/>
      <c r="R68" s="508"/>
      <c r="S68" s="508"/>
      <c r="T68" s="508"/>
      <c r="U68" s="508"/>
      <c r="V68" s="508"/>
      <c r="W68" s="508"/>
      <c r="X68" s="508"/>
      <c r="Y68" s="508"/>
      <c r="Z68" s="508"/>
      <c r="AA68" s="508"/>
      <c r="AB68" s="508"/>
      <c r="AC68" s="508"/>
      <c r="AD68" s="508"/>
      <c r="AE68" s="508"/>
      <c r="AF68" s="508"/>
      <c r="AG68" s="508"/>
      <c r="AH68" s="508"/>
      <c r="AI68" s="508"/>
      <c r="AJ68" s="508"/>
      <c r="AK68" s="508"/>
      <c r="AL68" s="508"/>
      <c r="AM68" s="508"/>
      <c r="AN68" s="508">
        <v>76909737409</v>
      </c>
      <c r="AO68" s="508">
        <v>77354925740</v>
      </c>
      <c r="AP68" s="508">
        <v>44549282580</v>
      </c>
      <c r="AQ68" s="508">
        <v>40726666324</v>
      </c>
      <c r="AR68" s="508">
        <v>41138022198</v>
      </c>
      <c r="AS68" s="508">
        <v>45235750845</v>
      </c>
      <c r="AT68" s="508">
        <v>45073258774</v>
      </c>
      <c r="AU68" s="508">
        <v>42833855401</v>
      </c>
      <c r="AV68" s="508">
        <v>44122843903</v>
      </c>
      <c r="AW68" s="508">
        <v>44458406517</v>
      </c>
      <c r="AX68" s="508">
        <v>29542079466</v>
      </c>
      <c r="AY68" s="508">
        <v>37757397980</v>
      </c>
      <c r="AZ68" s="508">
        <v>47351685312</v>
      </c>
      <c r="BA68" s="508">
        <v>33270243294</v>
      </c>
      <c r="BB68" s="508">
        <v>28917153034</v>
      </c>
      <c r="BC68" s="508">
        <v>39983110298</v>
      </c>
      <c r="BD68" s="508">
        <v>48611974769</v>
      </c>
      <c r="BE68" s="508">
        <v>52991191597</v>
      </c>
      <c r="BF68" s="508">
        <v>54380932320</v>
      </c>
      <c r="BG68" s="508">
        <v>36472336589</v>
      </c>
      <c r="BH68" s="508">
        <v>46588311385</v>
      </c>
      <c r="BI68" s="508">
        <v>59728156173</v>
      </c>
      <c r="BJ68" s="508">
        <v>55485924548</v>
      </c>
      <c r="BK68" s="508">
        <v>64584000344</v>
      </c>
      <c r="BL68" s="508">
        <v>67357253293</v>
      </c>
      <c r="BM68" s="508">
        <v>87647100867</v>
      </c>
      <c r="BN68" s="508">
        <v>74310608423</v>
      </c>
      <c r="BO68" s="508">
        <v>92006191246</v>
      </c>
      <c r="BP68" s="508">
        <v>95494177332</v>
      </c>
      <c r="BQ68" s="508"/>
      <c r="BR68" s="508"/>
      <c r="BS68" s="508"/>
      <c r="BT68" s="508"/>
      <c r="BU68" s="508"/>
      <c r="BV68" s="508"/>
      <c r="BW68" s="508"/>
    </row>
    <row r="69" spans="1:75" ht="15" customHeight="1">
      <c r="A69" s="59">
        <v>66</v>
      </c>
      <c r="B69" s="69" t="s">
        <v>342</v>
      </c>
      <c r="C69" s="59">
        <v>28</v>
      </c>
      <c r="D69" s="3">
        <f t="shared" ref="D69:AY69" si="36">SUM(D70:D75)</f>
        <v>0</v>
      </c>
      <c r="E69" s="3">
        <f t="shared" si="36"/>
        <v>0</v>
      </c>
      <c r="F69" s="3">
        <f t="shared" si="36"/>
        <v>0</v>
      </c>
      <c r="G69" s="3">
        <f t="shared" si="36"/>
        <v>0</v>
      </c>
      <c r="H69" s="3">
        <f t="shared" si="36"/>
        <v>0</v>
      </c>
      <c r="I69" s="3">
        <f t="shared" si="36"/>
        <v>0</v>
      </c>
      <c r="J69" s="3">
        <f t="shared" si="36"/>
        <v>0</v>
      </c>
      <c r="K69" s="3">
        <f t="shared" si="36"/>
        <v>0</v>
      </c>
      <c r="L69" s="3">
        <f t="shared" si="36"/>
        <v>0</v>
      </c>
      <c r="M69" s="3">
        <f t="shared" si="36"/>
        <v>0</v>
      </c>
      <c r="N69" s="3">
        <f t="shared" si="36"/>
        <v>0</v>
      </c>
      <c r="O69" s="3">
        <f t="shared" si="36"/>
        <v>0</v>
      </c>
      <c r="P69" s="3">
        <f t="shared" si="36"/>
        <v>0</v>
      </c>
      <c r="Q69" s="3">
        <f t="shared" si="36"/>
        <v>0</v>
      </c>
      <c r="R69" s="3">
        <f t="shared" si="36"/>
        <v>0</v>
      </c>
      <c r="S69" s="3">
        <f t="shared" si="36"/>
        <v>0</v>
      </c>
      <c r="T69" s="3">
        <f t="shared" si="36"/>
        <v>0</v>
      </c>
      <c r="U69" s="3">
        <f t="shared" si="36"/>
        <v>0</v>
      </c>
      <c r="V69" s="3">
        <f t="shared" si="36"/>
        <v>0</v>
      </c>
      <c r="W69" s="3">
        <f t="shared" si="36"/>
        <v>0</v>
      </c>
      <c r="X69" s="3">
        <f t="shared" si="36"/>
        <v>0</v>
      </c>
      <c r="Y69" s="3">
        <f t="shared" si="36"/>
        <v>0</v>
      </c>
      <c r="Z69" s="3">
        <f t="shared" si="36"/>
        <v>0</v>
      </c>
      <c r="AA69" s="3">
        <f t="shared" si="36"/>
        <v>0</v>
      </c>
      <c r="AB69" s="3">
        <f t="shared" si="36"/>
        <v>0</v>
      </c>
      <c r="AC69" s="3">
        <f t="shared" si="36"/>
        <v>0</v>
      </c>
      <c r="AD69" s="3">
        <f t="shared" si="36"/>
        <v>0</v>
      </c>
      <c r="AE69" s="3">
        <f t="shared" si="36"/>
        <v>0</v>
      </c>
      <c r="AF69" s="3">
        <f t="shared" si="36"/>
        <v>0</v>
      </c>
      <c r="AG69" s="3">
        <f t="shared" si="36"/>
        <v>0</v>
      </c>
      <c r="AH69" s="3">
        <f t="shared" si="36"/>
        <v>0</v>
      </c>
      <c r="AI69" s="3">
        <f t="shared" si="36"/>
        <v>0</v>
      </c>
      <c r="AJ69" s="3">
        <f t="shared" si="36"/>
        <v>0</v>
      </c>
      <c r="AK69" s="3">
        <f t="shared" si="36"/>
        <v>0</v>
      </c>
      <c r="AL69" s="3">
        <f t="shared" si="36"/>
        <v>0</v>
      </c>
      <c r="AM69" s="3">
        <f t="shared" si="36"/>
        <v>0</v>
      </c>
      <c r="AN69" s="3">
        <f t="shared" si="36"/>
        <v>0</v>
      </c>
      <c r="AO69" s="3">
        <f t="shared" si="36"/>
        <v>0</v>
      </c>
      <c r="AP69" s="3">
        <f t="shared" si="36"/>
        <v>0</v>
      </c>
      <c r="AQ69" s="3">
        <f t="shared" si="36"/>
        <v>0</v>
      </c>
      <c r="AR69" s="3">
        <f t="shared" si="36"/>
        <v>0</v>
      </c>
      <c r="AS69" s="3">
        <f t="shared" si="36"/>
        <v>0</v>
      </c>
      <c r="AT69" s="3">
        <f t="shared" si="36"/>
        <v>0</v>
      </c>
      <c r="AU69" s="3">
        <f t="shared" si="36"/>
        <v>0</v>
      </c>
      <c r="AV69" s="3">
        <f t="shared" si="36"/>
        <v>0</v>
      </c>
      <c r="AW69" s="3">
        <f t="shared" si="36"/>
        <v>0</v>
      </c>
      <c r="AX69" s="3">
        <f t="shared" si="36"/>
        <v>0</v>
      </c>
      <c r="AY69" s="3">
        <f t="shared" si="36"/>
        <v>0</v>
      </c>
      <c r="AZ69" s="3">
        <v>0</v>
      </c>
      <c r="BA69" s="3">
        <v>0</v>
      </c>
      <c r="BB69" s="3">
        <v>0</v>
      </c>
      <c r="BC69" s="3">
        <v>0</v>
      </c>
      <c r="BD69" s="3">
        <v>0</v>
      </c>
      <c r="BE69" s="3">
        <v>0</v>
      </c>
      <c r="BF69" s="3">
        <v>0</v>
      </c>
      <c r="BG69" s="3">
        <v>0</v>
      </c>
      <c r="BH69" s="3">
        <v>0</v>
      </c>
      <c r="BI69" s="3">
        <v>0</v>
      </c>
      <c r="BJ69" s="3">
        <v>0</v>
      </c>
      <c r="BK69" s="3">
        <v>0</v>
      </c>
      <c r="BL69" s="3">
        <v>0</v>
      </c>
      <c r="BM69" s="3">
        <v>0</v>
      </c>
      <c r="BN69" s="3">
        <v>0</v>
      </c>
      <c r="BO69" s="3">
        <v>0</v>
      </c>
      <c r="BP69" s="3">
        <v>0</v>
      </c>
      <c r="BQ69" s="3">
        <f t="shared" ref="BQ69:BW69" si="37">SUM(BQ70:BQ75)</f>
        <v>0</v>
      </c>
      <c r="BR69" s="3">
        <f t="shared" si="37"/>
        <v>0</v>
      </c>
      <c r="BS69" s="3">
        <f t="shared" si="37"/>
        <v>0</v>
      </c>
      <c r="BT69" s="3">
        <f t="shared" si="37"/>
        <v>0</v>
      </c>
      <c r="BU69" s="3">
        <f t="shared" si="37"/>
        <v>0</v>
      </c>
      <c r="BV69" s="3">
        <f t="shared" si="37"/>
        <v>0</v>
      </c>
      <c r="BW69" s="3">
        <f t="shared" si="37"/>
        <v>0</v>
      </c>
    </row>
    <row r="70" spans="1:75" ht="15" customHeight="1">
      <c r="A70" s="55">
        <v>67</v>
      </c>
      <c r="B70" s="56" t="s">
        <v>95</v>
      </c>
      <c r="C70" s="55">
        <v>28</v>
      </c>
      <c r="D70" s="508"/>
      <c r="E70" s="508"/>
      <c r="F70" s="508"/>
      <c r="G70" s="508"/>
      <c r="H70" s="508"/>
      <c r="I70" s="508"/>
      <c r="J70" s="508"/>
      <c r="K70" s="508"/>
      <c r="L70" s="508"/>
      <c r="M70" s="508"/>
      <c r="N70" s="508"/>
      <c r="O70" s="508"/>
      <c r="P70" s="508"/>
      <c r="Q70" s="508"/>
      <c r="R70" s="508"/>
      <c r="S70" s="508"/>
      <c r="T70" s="508"/>
      <c r="U70" s="508"/>
      <c r="V70" s="508"/>
      <c r="W70" s="508"/>
      <c r="X70" s="508"/>
      <c r="Y70" s="508"/>
      <c r="Z70" s="508"/>
      <c r="AA70" s="508"/>
      <c r="AB70" s="508"/>
      <c r="AC70" s="508"/>
      <c r="AD70" s="508"/>
      <c r="AE70" s="508"/>
      <c r="AF70" s="508"/>
      <c r="AG70" s="508"/>
      <c r="AH70" s="508"/>
      <c r="AI70" s="508"/>
      <c r="AJ70" s="508"/>
      <c r="AK70" s="508"/>
      <c r="AL70" s="508"/>
      <c r="AM70" s="508"/>
      <c r="AN70" s="508"/>
      <c r="AO70" s="508"/>
      <c r="AP70" s="508"/>
      <c r="AQ70" s="508"/>
      <c r="AR70" s="508"/>
      <c r="AS70" s="508"/>
      <c r="AT70" s="508"/>
      <c r="AU70" s="508"/>
      <c r="AV70" s="508"/>
      <c r="AW70" s="508"/>
      <c r="AX70" s="508"/>
      <c r="AY70" s="508"/>
      <c r="AZ70" s="508">
        <v>0</v>
      </c>
      <c r="BA70" s="508">
        <v>0</v>
      </c>
      <c r="BB70" s="508">
        <v>0</v>
      </c>
      <c r="BC70" s="508">
        <v>0</v>
      </c>
      <c r="BD70" s="508">
        <v>0</v>
      </c>
      <c r="BE70" s="508">
        <v>0</v>
      </c>
      <c r="BF70" s="508">
        <v>0</v>
      </c>
      <c r="BG70" s="508">
        <v>0</v>
      </c>
      <c r="BH70" s="508">
        <v>0</v>
      </c>
      <c r="BI70" s="508">
        <v>0</v>
      </c>
      <c r="BJ70" s="508">
        <v>0</v>
      </c>
      <c r="BK70" s="508">
        <v>0</v>
      </c>
      <c r="BL70" s="508">
        <v>0</v>
      </c>
      <c r="BM70" s="508">
        <v>0</v>
      </c>
      <c r="BN70" s="508">
        <v>0</v>
      </c>
      <c r="BO70" s="508">
        <v>0</v>
      </c>
      <c r="BP70" s="508">
        <v>0</v>
      </c>
      <c r="BQ70" s="508"/>
      <c r="BR70" s="508"/>
      <c r="BS70" s="508"/>
      <c r="BT70" s="508"/>
      <c r="BU70" s="508"/>
      <c r="BV70" s="508"/>
      <c r="BW70" s="508"/>
    </row>
    <row r="71" spans="1:75" ht="15" customHeight="1">
      <c r="A71" s="55">
        <v>68</v>
      </c>
      <c r="B71" s="56" t="s">
        <v>96</v>
      </c>
      <c r="C71" s="55">
        <v>28</v>
      </c>
      <c r="D71" s="508"/>
      <c r="E71" s="508"/>
      <c r="F71" s="508"/>
      <c r="G71" s="508"/>
      <c r="H71" s="508"/>
      <c r="I71" s="508"/>
      <c r="J71" s="508"/>
      <c r="K71" s="508"/>
      <c r="L71" s="508"/>
      <c r="M71" s="508"/>
      <c r="N71" s="508"/>
      <c r="O71" s="508"/>
      <c r="P71" s="508"/>
      <c r="Q71" s="508"/>
      <c r="R71" s="508"/>
      <c r="S71" s="508"/>
      <c r="T71" s="508"/>
      <c r="U71" s="508"/>
      <c r="V71" s="508"/>
      <c r="W71" s="508"/>
      <c r="X71" s="508"/>
      <c r="Y71" s="508"/>
      <c r="Z71" s="508"/>
      <c r="AA71" s="508"/>
      <c r="AB71" s="508"/>
      <c r="AC71" s="508"/>
      <c r="AD71" s="508"/>
      <c r="AE71" s="508"/>
      <c r="AF71" s="508"/>
      <c r="AG71" s="508"/>
      <c r="AH71" s="508"/>
      <c r="AI71" s="508"/>
      <c r="AJ71" s="508"/>
      <c r="AK71" s="508"/>
      <c r="AL71" s="508"/>
      <c r="AM71" s="508"/>
      <c r="AN71" s="508"/>
      <c r="AO71" s="508"/>
      <c r="AP71" s="508"/>
      <c r="AQ71" s="508"/>
      <c r="AR71" s="508"/>
      <c r="AS71" s="508"/>
      <c r="AT71" s="508"/>
      <c r="AU71" s="508"/>
      <c r="AV71" s="508"/>
      <c r="AW71" s="508"/>
      <c r="AX71" s="508"/>
      <c r="AY71" s="508"/>
      <c r="AZ71" s="508">
        <v>0</v>
      </c>
      <c r="BA71" s="508">
        <v>0</v>
      </c>
      <c r="BB71" s="508">
        <v>0</v>
      </c>
      <c r="BC71" s="508">
        <v>0</v>
      </c>
      <c r="BD71" s="508">
        <v>0</v>
      </c>
      <c r="BE71" s="508">
        <v>0</v>
      </c>
      <c r="BF71" s="508">
        <v>0</v>
      </c>
      <c r="BG71" s="508">
        <v>0</v>
      </c>
      <c r="BH71" s="508">
        <v>0</v>
      </c>
      <c r="BI71" s="508">
        <v>0</v>
      </c>
      <c r="BJ71" s="508">
        <v>0</v>
      </c>
      <c r="BK71" s="508">
        <v>0</v>
      </c>
      <c r="BL71" s="508">
        <v>0</v>
      </c>
      <c r="BM71" s="508">
        <v>0</v>
      </c>
      <c r="BN71" s="508">
        <v>0</v>
      </c>
      <c r="BO71" s="508">
        <v>0</v>
      </c>
      <c r="BP71" s="508">
        <v>0</v>
      </c>
      <c r="BQ71" s="508"/>
      <c r="BR71" s="508"/>
      <c r="BS71" s="508"/>
      <c r="BT71" s="508"/>
      <c r="BU71" s="508"/>
      <c r="BV71" s="508"/>
      <c r="BW71" s="508"/>
    </row>
    <row r="72" spans="1:75" ht="15" customHeight="1">
      <c r="A72" s="55">
        <v>69</v>
      </c>
      <c r="B72" s="56" t="s">
        <v>97</v>
      </c>
      <c r="C72" s="55">
        <v>28</v>
      </c>
      <c r="D72" s="508"/>
      <c r="E72" s="508"/>
      <c r="F72" s="508"/>
      <c r="G72" s="508"/>
      <c r="H72" s="508"/>
      <c r="I72" s="508"/>
      <c r="J72" s="508"/>
      <c r="K72" s="508"/>
      <c r="L72" s="508"/>
      <c r="M72" s="508"/>
      <c r="N72" s="508"/>
      <c r="O72" s="508"/>
      <c r="P72" s="508"/>
      <c r="Q72" s="508"/>
      <c r="R72" s="508"/>
      <c r="S72" s="508"/>
      <c r="T72" s="508"/>
      <c r="U72" s="508"/>
      <c r="V72" s="508"/>
      <c r="W72" s="508"/>
      <c r="X72" s="508"/>
      <c r="Y72" s="508"/>
      <c r="Z72" s="508"/>
      <c r="AA72" s="508"/>
      <c r="AB72" s="508"/>
      <c r="AC72" s="508"/>
      <c r="AD72" s="508"/>
      <c r="AE72" s="508"/>
      <c r="AF72" s="508"/>
      <c r="AG72" s="508"/>
      <c r="AH72" s="508"/>
      <c r="AI72" s="508"/>
      <c r="AJ72" s="508"/>
      <c r="AK72" s="508"/>
      <c r="AL72" s="508"/>
      <c r="AM72" s="508"/>
      <c r="AN72" s="508"/>
      <c r="AO72" s="508"/>
      <c r="AP72" s="508"/>
      <c r="AQ72" s="508"/>
      <c r="AR72" s="508"/>
      <c r="AS72" s="508"/>
      <c r="AT72" s="508"/>
      <c r="AU72" s="508"/>
      <c r="AV72" s="508"/>
      <c r="AW72" s="508"/>
      <c r="AX72" s="508"/>
      <c r="AY72" s="508"/>
      <c r="AZ72" s="508">
        <v>0</v>
      </c>
      <c r="BA72" s="508">
        <v>0</v>
      </c>
      <c r="BB72" s="508">
        <v>0</v>
      </c>
      <c r="BC72" s="508">
        <v>0</v>
      </c>
      <c r="BD72" s="508">
        <v>0</v>
      </c>
      <c r="BE72" s="508">
        <v>0</v>
      </c>
      <c r="BF72" s="508">
        <v>0</v>
      </c>
      <c r="BG72" s="508">
        <v>0</v>
      </c>
      <c r="BH72" s="508">
        <v>0</v>
      </c>
      <c r="BI72" s="508">
        <v>0</v>
      </c>
      <c r="BJ72" s="508">
        <v>0</v>
      </c>
      <c r="BK72" s="508">
        <v>0</v>
      </c>
      <c r="BL72" s="508">
        <v>0</v>
      </c>
      <c r="BM72" s="508">
        <v>0</v>
      </c>
      <c r="BN72" s="508">
        <v>0</v>
      </c>
      <c r="BO72" s="508">
        <v>0</v>
      </c>
      <c r="BP72" s="508">
        <v>0</v>
      </c>
      <c r="BQ72" s="508"/>
      <c r="BR72" s="508"/>
      <c r="BS72" s="508"/>
      <c r="BT72" s="508"/>
      <c r="BU72" s="508"/>
      <c r="BV72" s="508"/>
      <c r="BW72" s="508"/>
    </row>
    <row r="73" spans="1:75" ht="15" customHeight="1">
      <c r="A73" s="55">
        <v>70</v>
      </c>
      <c r="B73" s="56" t="s">
        <v>98</v>
      </c>
      <c r="C73" s="55">
        <v>28</v>
      </c>
      <c r="D73" s="508"/>
      <c r="E73" s="508"/>
      <c r="F73" s="508"/>
      <c r="G73" s="508"/>
      <c r="H73" s="508"/>
      <c r="I73" s="508"/>
      <c r="J73" s="508"/>
      <c r="K73" s="508"/>
      <c r="L73" s="508"/>
      <c r="M73" s="508"/>
      <c r="N73" s="508"/>
      <c r="O73" s="508"/>
      <c r="P73" s="508"/>
      <c r="Q73" s="508"/>
      <c r="R73" s="508"/>
      <c r="S73" s="508"/>
      <c r="T73" s="508"/>
      <c r="U73" s="508"/>
      <c r="V73" s="508"/>
      <c r="W73" s="508"/>
      <c r="X73" s="508"/>
      <c r="Y73" s="508"/>
      <c r="Z73" s="508"/>
      <c r="AA73" s="508"/>
      <c r="AB73" s="508"/>
      <c r="AC73" s="508"/>
      <c r="AD73" s="508"/>
      <c r="AE73" s="508"/>
      <c r="AF73" s="508"/>
      <c r="AG73" s="508"/>
      <c r="AH73" s="508"/>
      <c r="AI73" s="508"/>
      <c r="AJ73" s="508"/>
      <c r="AK73" s="508"/>
      <c r="AL73" s="508"/>
      <c r="AM73" s="508"/>
      <c r="AN73" s="508"/>
      <c r="AO73" s="508"/>
      <c r="AP73" s="508"/>
      <c r="AQ73" s="508"/>
      <c r="AR73" s="508"/>
      <c r="AS73" s="508"/>
      <c r="AT73" s="508"/>
      <c r="AU73" s="508"/>
      <c r="AV73" s="508"/>
      <c r="AW73" s="508"/>
      <c r="AX73" s="508"/>
      <c r="AY73" s="508"/>
      <c r="AZ73" s="508">
        <v>0</v>
      </c>
      <c r="BA73" s="508">
        <v>0</v>
      </c>
      <c r="BB73" s="508">
        <v>0</v>
      </c>
      <c r="BC73" s="508">
        <v>0</v>
      </c>
      <c r="BD73" s="508">
        <v>0</v>
      </c>
      <c r="BE73" s="508">
        <v>0</v>
      </c>
      <c r="BF73" s="508">
        <v>0</v>
      </c>
      <c r="BG73" s="508">
        <v>0</v>
      </c>
      <c r="BH73" s="508">
        <v>0</v>
      </c>
      <c r="BI73" s="508">
        <v>0</v>
      </c>
      <c r="BJ73" s="508">
        <v>0</v>
      </c>
      <c r="BK73" s="508">
        <v>0</v>
      </c>
      <c r="BL73" s="508">
        <v>0</v>
      </c>
      <c r="BM73" s="508">
        <v>0</v>
      </c>
      <c r="BN73" s="508">
        <v>0</v>
      </c>
      <c r="BO73" s="508">
        <v>0</v>
      </c>
      <c r="BP73" s="508">
        <v>0</v>
      </c>
      <c r="BQ73" s="508"/>
      <c r="BR73" s="508"/>
      <c r="BS73" s="508"/>
      <c r="BT73" s="508"/>
      <c r="BU73" s="508"/>
      <c r="BV73" s="508"/>
      <c r="BW73" s="508"/>
    </row>
    <row r="74" spans="1:75" ht="15" customHeight="1">
      <c r="A74" s="55">
        <v>71</v>
      </c>
      <c r="B74" s="58" t="s">
        <v>99</v>
      </c>
      <c r="C74" s="55">
        <v>28</v>
      </c>
      <c r="D74" s="508"/>
      <c r="E74" s="508"/>
      <c r="F74" s="508"/>
      <c r="G74" s="508"/>
      <c r="H74" s="508"/>
      <c r="I74" s="508"/>
      <c r="J74" s="508"/>
      <c r="K74" s="508"/>
      <c r="L74" s="508"/>
      <c r="M74" s="508"/>
      <c r="N74" s="508"/>
      <c r="O74" s="508"/>
      <c r="P74" s="508"/>
      <c r="Q74" s="508"/>
      <c r="R74" s="508"/>
      <c r="S74" s="508"/>
      <c r="T74" s="508"/>
      <c r="U74" s="508"/>
      <c r="V74" s="508"/>
      <c r="W74" s="508"/>
      <c r="X74" s="508"/>
      <c r="Y74" s="508"/>
      <c r="Z74" s="508"/>
      <c r="AA74" s="508"/>
      <c r="AB74" s="508"/>
      <c r="AC74" s="508"/>
      <c r="AD74" s="508"/>
      <c r="AE74" s="508"/>
      <c r="AF74" s="508"/>
      <c r="AG74" s="508"/>
      <c r="AH74" s="508"/>
      <c r="AI74" s="508"/>
      <c r="AJ74" s="508"/>
      <c r="AK74" s="508"/>
      <c r="AL74" s="508"/>
      <c r="AM74" s="508"/>
      <c r="AN74" s="508"/>
      <c r="AO74" s="508"/>
      <c r="AP74" s="508"/>
      <c r="AQ74" s="508"/>
      <c r="AR74" s="508"/>
      <c r="AS74" s="508"/>
      <c r="AT74" s="508"/>
      <c r="AU74" s="508"/>
      <c r="AV74" s="508"/>
      <c r="AW74" s="508"/>
      <c r="AX74" s="508"/>
      <c r="AY74" s="508"/>
      <c r="AZ74" s="508">
        <v>0</v>
      </c>
      <c r="BA74" s="508">
        <v>0</v>
      </c>
      <c r="BB74" s="508">
        <v>0</v>
      </c>
      <c r="BC74" s="508">
        <v>0</v>
      </c>
      <c r="BD74" s="508">
        <v>0</v>
      </c>
      <c r="BE74" s="508">
        <v>0</v>
      </c>
      <c r="BF74" s="508">
        <v>0</v>
      </c>
      <c r="BG74" s="508">
        <v>0</v>
      </c>
      <c r="BH74" s="508">
        <v>0</v>
      </c>
      <c r="BI74" s="508">
        <v>0</v>
      </c>
      <c r="BJ74" s="508">
        <v>0</v>
      </c>
      <c r="BK74" s="508">
        <v>0</v>
      </c>
      <c r="BL74" s="508">
        <v>0</v>
      </c>
      <c r="BM74" s="508">
        <v>0</v>
      </c>
      <c r="BN74" s="508">
        <v>0</v>
      </c>
      <c r="BO74" s="508">
        <v>0</v>
      </c>
      <c r="BP74" s="508">
        <v>0</v>
      </c>
      <c r="BQ74" s="508"/>
      <c r="BR74" s="508"/>
      <c r="BS74" s="508"/>
      <c r="BT74" s="508"/>
      <c r="BU74" s="508"/>
      <c r="BV74" s="508"/>
      <c r="BW74" s="508"/>
    </row>
    <row r="75" spans="1:75" ht="15" customHeight="1">
      <c r="A75" s="55">
        <v>72</v>
      </c>
      <c r="B75" s="58" t="s">
        <v>100</v>
      </c>
      <c r="C75" s="55">
        <v>28</v>
      </c>
      <c r="D75" s="508"/>
      <c r="E75" s="508"/>
      <c r="F75" s="508"/>
      <c r="G75" s="508"/>
      <c r="H75" s="508"/>
      <c r="I75" s="508"/>
      <c r="J75" s="508"/>
      <c r="K75" s="508"/>
      <c r="L75" s="508"/>
      <c r="M75" s="508"/>
      <c r="N75" s="508"/>
      <c r="O75" s="508"/>
      <c r="P75" s="508"/>
      <c r="Q75" s="508"/>
      <c r="R75" s="508"/>
      <c r="S75" s="508"/>
      <c r="T75" s="508"/>
      <c r="U75" s="508"/>
      <c r="V75" s="508"/>
      <c r="W75" s="508"/>
      <c r="X75" s="508"/>
      <c r="Y75" s="508"/>
      <c r="Z75" s="508"/>
      <c r="AA75" s="508"/>
      <c r="AB75" s="508"/>
      <c r="AC75" s="508"/>
      <c r="AD75" s="508"/>
      <c r="AE75" s="508"/>
      <c r="AF75" s="508"/>
      <c r="AG75" s="508"/>
      <c r="AH75" s="508"/>
      <c r="AI75" s="508"/>
      <c r="AJ75" s="508"/>
      <c r="AK75" s="508"/>
      <c r="AL75" s="508"/>
      <c r="AM75" s="508"/>
      <c r="AN75" s="508"/>
      <c r="AO75" s="508"/>
      <c r="AP75" s="508"/>
      <c r="AQ75" s="508"/>
      <c r="AR75" s="508"/>
      <c r="AS75" s="508"/>
      <c r="AT75" s="508"/>
      <c r="AU75" s="508"/>
      <c r="AV75" s="508"/>
      <c r="AW75" s="508"/>
      <c r="AX75" s="508"/>
      <c r="AY75" s="508"/>
      <c r="AZ75" s="508">
        <v>0</v>
      </c>
      <c r="BA75" s="508">
        <v>0</v>
      </c>
      <c r="BB75" s="508">
        <v>0</v>
      </c>
      <c r="BC75" s="508">
        <v>0</v>
      </c>
      <c r="BD75" s="508">
        <v>0</v>
      </c>
      <c r="BE75" s="508">
        <v>0</v>
      </c>
      <c r="BF75" s="508">
        <v>0</v>
      </c>
      <c r="BG75" s="508">
        <v>0</v>
      </c>
      <c r="BH75" s="508">
        <v>0</v>
      </c>
      <c r="BI75" s="508">
        <v>0</v>
      </c>
      <c r="BJ75" s="508">
        <v>0</v>
      </c>
      <c r="BK75" s="508">
        <v>0</v>
      </c>
      <c r="BL75" s="508">
        <v>0</v>
      </c>
      <c r="BM75" s="508">
        <v>0</v>
      </c>
      <c r="BN75" s="508">
        <v>0</v>
      </c>
      <c r="BO75" s="508">
        <v>0</v>
      </c>
      <c r="BP75" s="508">
        <v>0</v>
      </c>
      <c r="BQ75" s="508"/>
      <c r="BR75" s="508"/>
      <c r="BS75" s="508"/>
      <c r="BT75" s="508"/>
      <c r="BU75" s="508"/>
      <c r="BV75" s="508"/>
      <c r="BW75" s="508"/>
    </row>
    <row r="76" spans="1:75" s="71" customFormat="1" ht="15" customHeight="1">
      <c r="A76" s="59">
        <v>73</v>
      </c>
      <c r="B76" s="70" t="s">
        <v>343</v>
      </c>
      <c r="C76" s="59">
        <v>28</v>
      </c>
      <c r="D76" s="3">
        <f t="shared" ref="D76:AY76" si="38">SUM(D77:D80)</f>
        <v>0</v>
      </c>
      <c r="E76" s="3">
        <f t="shared" si="38"/>
        <v>0</v>
      </c>
      <c r="F76" s="3">
        <f t="shared" si="38"/>
        <v>0</v>
      </c>
      <c r="G76" s="3">
        <f t="shared" si="38"/>
        <v>0</v>
      </c>
      <c r="H76" s="3">
        <f t="shared" si="38"/>
        <v>0</v>
      </c>
      <c r="I76" s="3">
        <f t="shared" si="38"/>
        <v>0</v>
      </c>
      <c r="J76" s="3">
        <f t="shared" si="38"/>
        <v>0</v>
      </c>
      <c r="K76" s="3">
        <f t="shared" si="38"/>
        <v>0</v>
      </c>
      <c r="L76" s="3">
        <f t="shared" si="38"/>
        <v>0</v>
      </c>
      <c r="M76" s="3">
        <f t="shared" si="38"/>
        <v>0</v>
      </c>
      <c r="N76" s="3">
        <f t="shared" si="38"/>
        <v>0</v>
      </c>
      <c r="O76" s="3">
        <f t="shared" si="38"/>
        <v>0</v>
      </c>
      <c r="P76" s="3">
        <f t="shared" si="38"/>
        <v>0</v>
      </c>
      <c r="Q76" s="3">
        <f t="shared" si="38"/>
        <v>0</v>
      </c>
      <c r="R76" s="3">
        <f t="shared" si="38"/>
        <v>0</v>
      </c>
      <c r="S76" s="3">
        <f t="shared" si="38"/>
        <v>0</v>
      </c>
      <c r="T76" s="3">
        <f t="shared" si="38"/>
        <v>0</v>
      </c>
      <c r="U76" s="3">
        <f t="shared" si="38"/>
        <v>0</v>
      </c>
      <c r="V76" s="3">
        <f t="shared" si="38"/>
        <v>0</v>
      </c>
      <c r="W76" s="3">
        <f t="shared" si="38"/>
        <v>0</v>
      </c>
      <c r="X76" s="3">
        <f t="shared" si="38"/>
        <v>0</v>
      </c>
      <c r="Y76" s="3">
        <f t="shared" si="38"/>
        <v>0</v>
      </c>
      <c r="Z76" s="3">
        <f t="shared" si="38"/>
        <v>0</v>
      </c>
      <c r="AA76" s="3">
        <f t="shared" si="38"/>
        <v>0</v>
      </c>
      <c r="AB76" s="3">
        <f t="shared" si="38"/>
        <v>0</v>
      </c>
      <c r="AC76" s="3">
        <f t="shared" si="38"/>
        <v>0</v>
      </c>
      <c r="AD76" s="3">
        <f t="shared" si="38"/>
        <v>0</v>
      </c>
      <c r="AE76" s="3">
        <f t="shared" si="38"/>
        <v>0</v>
      </c>
      <c r="AF76" s="3">
        <f t="shared" si="38"/>
        <v>0</v>
      </c>
      <c r="AG76" s="3">
        <f t="shared" si="38"/>
        <v>0</v>
      </c>
      <c r="AH76" s="3">
        <f t="shared" si="38"/>
        <v>0</v>
      </c>
      <c r="AI76" s="3">
        <f t="shared" si="38"/>
        <v>0</v>
      </c>
      <c r="AJ76" s="3">
        <f t="shared" si="38"/>
        <v>0</v>
      </c>
      <c r="AK76" s="3">
        <f t="shared" si="38"/>
        <v>0</v>
      </c>
      <c r="AL76" s="3">
        <f t="shared" si="38"/>
        <v>0</v>
      </c>
      <c r="AM76" s="3">
        <f t="shared" si="38"/>
        <v>0</v>
      </c>
      <c r="AN76" s="3">
        <f t="shared" si="38"/>
        <v>5400042499</v>
      </c>
      <c r="AO76" s="3">
        <f t="shared" si="38"/>
        <v>5122374256</v>
      </c>
      <c r="AP76" s="3">
        <f t="shared" si="38"/>
        <v>6108142400</v>
      </c>
      <c r="AQ76" s="3">
        <f t="shared" si="38"/>
        <v>6691697581</v>
      </c>
      <c r="AR76" s="3">
        <f t="shared" si="38"/>
        <v>6073217039</v>
      </c>
      <c r="AS76" s="3">
        <f t="shared" si="38"/>
        <v>5922983520</v>
      </c>
      <c r="AT76" s="3">
        <f t="shared" si="38"/>
        <v>6293381718</v>
      </c>
      <c r="AU76" s="3">
        <f t="shared" si="38"/>
        <v>7144685884</v>
      </c>
      <c r="AV76" s="3">
        <f t="shared" si="38"/>
        <v>6789281721</v>
      </c>
      <c r="AW76" s="3">
        <f t="shared" si="38"/>
        <v>6545884719</v>
      </c>
      <c r="AX76" s="3">
        <f t="shared" si="38"/>
        <v>6744136746</v>
      </c>
      <c r="AY76" s="4">
        <f t="shared" si="38"/>
        <v>7473903734</v>
      </c>
      <c r="AZ76" s="4">
        <v>5647435742</v>
      </c>
      <c r="BA76" s="4">
        <v>9071341234</v>
      </c>
      <c r="BB76" s="4">
        <v>10968199214</v>
      </c>
      <c r="BC76" s="4">
        <v>10719874211</v>
      </c>
      <c r="BD76" s="4">
        <v>11205380817</v>
      </c>
      <c r="BE76" s="4">
        <v>11616370097</v>
      </c>
      <c r="BF76" s="4">
        <v>11200435089</v>
      </c>
      <c r="BG76" s="4">
        <v>11375608560</v>
      </c>
      <c r="BH76" s="4">
        <v>11484782005</v>
      </c>
      <c r="BI76" s="4">
        <v>11895438934</v>
      </c>
      <c r="BJ76" s="4">
        <v>11714919536</v>
      </c>
      <c r="BK76" s="4">
        <v>11187207755</v>
      </c>
      <c r="BL76" s="4">
        <v>9847869392</v>
      </c>
      <c r="BM76" s="4">
        <v>9630642621</v>
      </c>
      <c r="BN76" s="4">
        <v>9117519894</v>
      </c>
      <c r="BO76" s="4">
        <v>8817015883</v>
      </c>
      <c r="BP76" s="4">
        <v>9333436216</v>
      </c>
      <c r="BQ76" s="4">
        <f t="shared" ref="BQ76:BW76" si="39">SUM(BQ77:BQ80)</f>
        <v>0</v>
      </c>
      <c r="BR76" s="4">
        <f t="shared" si="39"/>
        <v>0</v>
      </c>
      <c r="BS76" s="4">
        <f t="shared" si="39"/>
        <v>0</v>
      </c>
      <c r="BT76" s="4">
        <f t="shared" si="39"/>
        <v>0</v>
      </c>
      <c r="BU76" s="4">
        <f t="shared" si="39"/>
        <v>0</v>
      </c>
      <c r="BV76" s="4">
        <f t="shared" si="39"/>
        <v>0</v>
      </c>
      <c r="BW76" s="4">
        <f t="shared" si="39"/>
        <v>0</v>
      </c>
    </row>
    <row r="77" spans="1:75" ht="15" customHeight="1">
      <c r="A77" s="55">
        <v>74</v>
      </c>
      <c r="B77" s="60" t="s">
        <v>102</v>
      </c>
      <c r="C77" s="55">
        <v>28</v>
      </c>
      <c r="D77" s="508"/>
      <c r="E77" s="508"/>
      <c r="F77" s="508"/>
      <c r="G77" s="508"/>
      <c r="H77" s="508"/>
      <c r="I77" s="508"/>
      <c r="J77" s="508"/>
      <c r="K77" s="508"/>
      <c r="L77" s="508"/>
      <c r="M77" s="508"/>
      <c r="N77" s="508"/>
      <c r="O77" s="508"/>
      <c r="P77" s="508"/>
      <c r="Q77" s="508"/>
      <c r="R77" s="508"/>
      <c r="S77" s="508"/>
      <c r="T77" s="508"/>
      <c r="U77" s="508"/>
      <c r="V77" s="508"/>
      <c r="W77" s="508"/>
      <c r="X77" s="508"/>
      <c r="Y77" s="508"/>
      <c r="Z77" s="508"/>
      <c r="AA77" s="508"/>
      <c r="AB77" s="508"/>
      <c r="AC77" s="508"/>
      <c r="AD77" s="508"/>
      <c r="AE77" s="508"/>
      <c r="AF77" s="508"/>
      <c r="AG77" s="508"/>
      <c r="AH77" s="508"/>
      <c r="AI77" s="508"/>
      <c r="AJ77" s="508"/>
      <c r="AK77" s="508"/>
      <c r="AL77" s="508"/>
      <c r="AM77" s="508"/>
      <c r="AN77" s="508">
        <v>5400042499</v>
      </c>
      <c r="AO77" s="508">
        <v>5122374256</v>
      </c>
      <c r="AP77" s="508">
        <v>6108142400</v>
      </c>
      <c r="AQ77" s="508">
        <v>6691697581</v>
      </c>
      <c r="AR77" s="508">
        <v>6073217039</v>
      </c>
      <c r="AS77" s="508">
        <v>5922983520</v>
      </c>
      <c r="AT77" s="508">
        <v>6293381718</v>
      </c>
      <c r="AU77" s="508">
        <v>7144685884</v>
      </c>
      <c r="AV77" s="508">
        <v>6789281721</v>
      </c>
      <c r="AW77" s="508">
        <v>6545884719</v>
      </c>
      <c r="AX77" s="508">
        <v>6744136746</v>
      </c>
      <c r="AY77" s="508">
        <v>7473903734</v>
      </c>
      <c r="AZ77" s="508">
        <v>7486377052</v>
      </c>
      <c r="BA77" s="508">
        <v>10902239544</v>
      </c>
      <c r="BB77" s="508">
        <v>10938837524</v>
      </c>
      <c r="BC77" s="508">
        <v>10690512521</v>
      </c>
      <c r="BD77" s="508">
        <v>11176019127</v>
      </c>
      <c r="BE77" s="508">
        <v>11587008407</v>
      </c>
      <c r="BF77" s="508">
        <v>11200435089</v>
      </c>
      <c r="BG77" s="508">
        <v>11375608560</v>
      </c>
      <c r="BH77" s="508">
        <v>11484782005</v>
      </c>
      <c r="BI77" s="508">
        <v>11895438934</v>
      </c>
      <c r="BJ77" s="508">
        <v>11714919536</v>
      </c>
      <c r="BK77" s="508">
        <v>11187207755</v>
      </c>
      <c r="BL77" s="508">
        <v>9847869392</v>
      </c>
      <c r="BM77" s="508">
        <v>9630642621</v>
      </c>
      <c r="BN77" s="508">
        <v>9117519894</v>
      </c>
      <c r="BO77" s="508">
        <v>8817015883</v>
      </c>
      <c r="BP77" s="508">
        <v>9333436216</v>
      </c>
      <c r="BQ77" s="508"/>
      <c r="BR77" s="508"/>
      <c r="BS77" s="508"/>
      <c r="BT77" s="508"/>
      <c r="BU77" s="508"/>
      <c r="BV77" s="508"/>
      <c r="BW77" s="508"/>
    </row>
    <row r="78" spans="1:75" ht="15" customHeight="1">
      <c r="A78" s="55">
        <v>75</v>
      </c>
      <c r="B78" s="60" t="s">
        <v>103</v>
      </c>
      <c r="C78" s="55">
        <v>28</v>
      </c>
      <c r="D78" s="508"/>
      <c r="E78" s="508"/>
      <c r="F78" s="508"/>
      <c r="G78" s="508"/>
      <c r="H78" s="508"/>
      <c r="I78" s="508"/>
      <c r="J78" s="508"/>
      <c r="K78" s="508"/>
      <c r="L78" s="508"/>
      <c r="M78" s="508"/>
      <c r="N78" s="508"/>
      <c r="O78" s="508"/>
      <c r="P78" s="508"/>
      <c r="Q78" s="508"/>
      <c r="R78" s="508"/>
      <c r="S78" s="508"/>
      <c r="T78" s="508"/>
      <c r="U78" s="508"/>
      <c r="V78" s="508"/>
      <c r="W78" s="508"/>
      <c r="X78" s="508"/>
      <c r="Y78" s="508"/>
      <c r="Z78" s="508"/>
      <c r="AA78" s="508"/>
      <c r="AB78" s="508"/>
      <c r="AC78" s="508"/>
      <c r="AD78" s="508"/>
      <c r="AE78" s="508"/>
      <c r="AF78" s="508"/>
      <c r="AG78" s="508"/>
      <c r="AH78" s="508"/>
      <c r="AI78" s="508"/>
      <c r="AJ78" s="508"/>
      <c r="AK78" s="508"/>
      <c r="AL78" s="508"/>
      <c r="AM78" s="508"/>
      <c r="AN78" s="508">
        <v>0</v>
      </c>
      <c r="AO78" s="508">
        <v>0</v>
      </c>
      <c r="AP78" s="508">
        <v>0</v>
      </c>
      <c r="AQ78" s="508">
        <v>0</v>
      </c>
      <c r="AR78" s="508">
        <v>0</v>
      </c>
      <c r="AS78" s="508">
        <v>0</v>
      </c>
      <c r="AT78" s="508">
        <v>0</v>
      </c>
      <c r="AU78" s="508">
        <v>0</v>
      </c>
      <c r="AV78" s="508">
        <v>0</v>
      </c>
      <c r="AW78" s="508">
        <v>0</v>
      </c>
      <c r="AX78" s="508">
        <v>0</v>
      </c>
      <c r="AY78" s="508">
        <v>0</v>
      </c>
      <c r="AZ78" s="508">
        <v>-1838941310</v>
      </c>
      <c r="BA78" s="508">
        <v>-1830898310</v>
      </c>
      <c r="BB78" s="508">
        <v>29361690</v>
      </c>
      <c r="BC78" s="508">
        <v>29361690</v>
      </c>
      <c r="BD78" s="508">
        <v>29361690</v>
      </c>
      <c r="BE78" s="508">
        <v>29361690</v>
      </c>
      <c r="BF78" s="508">
        <v>0</v>
      </c>
      <c r="BG78" s="508">
        <v>0</v>
      </c>
      <c r="BH78" s="508">
        <v>0</v>
      </c>
      <c r="BI78" s="508">
        <v>0</v>
      </c>
      <c r="BJ78" s="508">
        <v>0</v>
      </c>
      <c r="BK78" s="508">
        <v>0</v>
      </c>
      <c r="BL78" s="508">
        <v>0</v>
      </c>
      <c r="BM78" s="508">
        <v>0</v>
      </c>
      <c r="BN78" s="508">
        <v>0</v>
      </c>
      <c r="BO78" s="508">
        <v>0</v>
      </c>
      <c r="BP78" s="508">
        <v>0</v>
      </c>
      <c r="BQ78" s="508"/>
      <c r="BR78" s="508"/>
      <c r="BS78" s="508"/>
      <c r="BT78" s="508"/>
      <c r="BU78" s="508"/>
      <c r="BV78" s="508"/>
      <c r="BW78" s="508"/>
    </row>
    <row r="79" spans="1:75" ht="15" customHeight="1">
      <c r="A79" s="55">
        <v>76</v>
      </c>
      <c r="B79" s="60" t="s">
        <v>104</v>
      </c>
      <c r="C79" s="55">
        <v>28</v>
      </c>
      <c r="D79" s="508"/>
      <c r="E79" s="508"/>
      <c r="F79" s="508"/>
      <c r="G79" s="508"/>
      <c r="H79" s="508"/>
      <c r="I79" s="508"/>
      <c r="J79" s="508"/>
      <c r="K79" s="508"/>
      <c r="L79" s="508"/>
      <c r="M79" s="508"/>
      <c r="N79" s="508"/>
      <c r="O79" s="508"/>
      <c r="P79" s="508"/>
      <c r="Q79" s="508"/>
      <c r="R79" s="508"/>
      <c r="S79" s="508"/>
      <c r="T79" s="508"/>
      <c r="U79" s="508"/>
      <c r="V79" s="508"/>
      <c r="W79" s="508"/>
      <c r="X79" s="508"/>
      <c r="Y79" s="508"/>
      <c r="Z79" s="508"/>
      <c r="AA79" s="508"/>
      <c r="AB79" s="508"/>
      <c r="AC79" s="508"/>
      <c r="AD79" s="508"/>
      <c r="AE79" s="508"/>
      <c r="AF79" s="508"/>
      <c r="AG79" s="508"/>
      <c r="AH79" s="508"/>
      <c r="AI79" s="508"/>
      <c r="AJ79" s="508"/>
      <c r="AK79" s="508"/>
      <c r="AL79" s="508"/>
      <c r="AM79" s="508"/>
      <c r="AN79" s="508">
        <v>0</v>
      </c>
      <c r="AO79" s="508">
        <v>0</v>
      </c>
      <c r="AP79" s="508">
        <v>0</v>
      </c>
      <c r="AQ79" s="508">
        <v>0</v>
      </c>
      <c r="AR79" s="508">
        <v>0</v>
      </c>
      <c r="AS79" s="508">
        <v>0</v>
      </c>
      <c r="AT79" s="508">
        <v>0</v>
      </c>
      <c r="AU79" s="508">
        <v>0</v>
      </c>
      <c r="AV79" s="508">
        <v>0</v>
      </c>
      <c r="AW79" s="508">
        <v>0</v>
      </c>
      <c r="AX79" s="508">
        <v>0</v>
      </c>
      <c r="AY79" s="508">
        <v>0</v>
      </c>
      <c r="AZ79" s="508">
        <v>0</v>
      </c>
      <c r="BA79" s="508">
        <v>0</v>
      </c>
      <c r="BB79" s="508">
        <v>0</v>
      </c>
      <c r="BC79" s="508">
        <v>0</v>
      </c>
      <c r="BD79" s="508">
        <v>0</v>
      </c>
      <c r="BE79" s="508">
        <v>0</v>
      </c>
      <c r="BF79" s="508">
        <v>0</v>
      </c>
      <c r="BG79" s="508">
        <v>0</v>
      </c>
      <c r="BH79" s="508">
        <v>0</v>
      </c>
      <c r="BI79" s="508">
        <v>0</v>
      </c>
      <c r="BJ79" s="508">
        <v>0</v>
      </c>
      <c r="BK79" s="508">
        <v>0</v>
      </c>
      <c r="BL79" s="508">
        <v>0</v>
      </c>
      <c r="BM79" s="508">
        <v>0</v>
      </c>
      <c r="BN79" s="508">
        <v>0</v>
      </c>
      <c r="BO79" s="508">
        <v>0</v>
      </c>
      <c r="BP79" s="508">
        <v>0</v>
      </c>
      <c r="BQ79" s="508"/>
      <c r="BR79" s="508"/>
      <c r="BS79" s="508"/>
      <c r="BT79" s="508"/>
      <c r="BU79" s="508"/>
      <c r="BV79" s="508"/>
      <c r="BW79" s="508"/>
    </row>
    <row r="80" spans="1:75" ht="15" customHeight="1">
      <c r="A80" s="55">
        <v>77</v>
      </c>
      <c r="B80" s="60" t="s">
        <v>105</v>
      </c>
      <c r="C80" s="55">
        <v>28</v>
      </c>
      <c r="D80" s="508"/>
      <c r="E80" s="508"/>
      <c r="F80" s="508"/>
      <c r="G80" s="508"/>
      <c r="H80" s="508"/>
      <c r="I80" s="508"/>
      <c r="J80" s="508"/>
      <c r="K80" s="508"/>
      <c r="L80" s="508"/>
      <c r="M80" s="508"/>
      <c r="N80" s="508"/>
      <c r="O80" s="508"/>
      <c r="P80" s="508"/>
      <c r="Q80" s="508"/>
      <c r="R80" s="508"/>
      <c r="S80" s="508"/>
      <c r="T80" s="508"/>
      <c r="U80" s="508"/>
      <c r="V80" s="508"/>
      <c r="W80" s="508"/>
      <c r="X80" s="508"/>
      <c r="Y80" s="508"/>
      <c r="Z80" s="508"/>
      <c r="AA80" s="508"/>
      <c r="AB80" s="508"/>
      <c r="AC80" s="508"/>
      <c r="AD80" s="508"/>
      <c r="AE80" s="508"/>
      <c r="AF80" s="508"/>
      <c r="AG80" s="508"/>
      <c r="AH80" s="508"/>
      <c r="AI80" s="508"/>
      <c r="AJ80" s="508"/>
      <c r="AK80" s="508"/>
      <c r="AL80" s="508"/>
      <c r="AM80" s="508"/>
      <c r="AN80" s="508">
        <v>0</v>
      </c>
      <c r="AO80" s="508">
        <v>0</v>
      </c>
      <c r="AP80" s="508">
        <v>0</v>
      </c>
      <c r="AQ80" s="508">
        <v>0</v>
      </c>
      <c r="AR80" s="508">
        <v>0</v>
      </c>
      <c r="AS80" s="508">
        <v>0</v>
      </c>
      <c r="AT80" s="508">
        <v>0</v>
      </c>
      <c r="AU80" s="508">
        <v>0</v>
      </c>
      <c r="AV80" s="508">
        <v>0</v>
      </c>
      <c r="AW80" s="508">
        <v>0</v>
      </c>
      <c r="AX80" s="508">
        <v>0</v>
      </c>
      <c r="AY80" s="508">
        <v>0</v>
      </c>
      <c r="AZ80" s="508">
        <v>0</v>
      </c>
      <c r="BA80" s="508">
        <v>0</v>
      </c>
      <c r="BB80" s="508">
        <v>0</v>
      </c>
      <c r="BC80" s="508">
        <v>0</v>
      </c>
      <c r="BD80" s="508">
        <v>0</v>
      </c>
      <c r="BE80" s="508">
        <v>0</v>
      </c>
      <c r="BF80" s="508">
        <v>0</v>
      </c>
      <c r="BG80" s="508">
        <v>0</v>
      </c>
      <c r="BH80" s="508">
        <v>0</v>
      </c>
      <c r="BI80" s="508">
        <v>0</v>
      </c>
      <c r="BJ80" s="508">
        <v>0</v>
      </c>
      <c r="BK80" s="508">
        <v>0</v>
      </c>
      <c r="BL80" s="508">
        <v>0</v>
      </c>
      <c r="BM80" s="508">
        <v>0</v>
      </c>
      <c r="BN80" s="508">
        <v>0</v>
      </c>
      <c r="BO80" s="508">
        <v>0</v>
      </c>
      <c r="BP80" s="508">
        <v>0</v>
      </c>
      <c r="BQ80" s="508"/>
      <c r="BR80" s="508"/>
      <c r="BS80" s="508"/>
      <c r="BT80" s="508"/>
      <c r="BU80" s="508"/>
      <c r="BV80" s="508"/>
      <c r="BW80" s="508"/>
    </row>
    <row r="81" spans="1:75" s="74" customFormat="1" ht="15" customHeight="1">
      <c r="A81" s="72">
        <v>78</v>
      </c>
      <c r="B81" s="73" t="s">
        <v>344</v>
      </c>
      <c r="C81" s="72">
        <v>28</v>
      </c>
      <c r="D81" s="7">
        <f t="shared" ref="D81:AY81" si="40">SUM(D4,D36)</f>
        <v>0</v>
      </c>
      <c r="E81" s="7">
        <f t="shared" si="40"/>
        <v>0</v>
      </c>
      <c r="F81" s="7">
        <f t="shared" si="40"/>
        <v>0</v>
      </c>
      <c r="G81" s="7">
        <f t="shared" si="40"/>
        <v>0</v>
      </c>
      <c r="H81" s="7">
        <f t="shared" si="40"/>
        <v>0</v>
      </c>
      <c r="I81" s="7">
        <f t="shared" si="40"/>
        <v>0</v>
      </c>
      <c r="J81" s="7">
        <f t="shared" si="40"/>
        <v>0</v>
      </c>
      <c r="K81" s="7">
        <f t="shared" si="40"/>
        <v>0</v>
      </c>
      <c r="L81" s="7">
        <f t="shared" si="40"/>
        <v>0</v>
      </c>
      <c r="M81" s="7">
        <f t="shared" si="40"/>
        <v>0</v>
      </c>
      <c r="N81" s="7">
        <f t="shared" si="40"/>
        <v>0</v>
      </c>
      <c r="O81" s="7">
        <f t="shared" si="40"/>
        <v>0</v>
      </c>
      <c r="P81" s="7">
        <f t="shared" si="40"/>
        <v>0</v>
      </c>
      <c r="Q81" s="7">
        <f t="shared" si="40"/>
        <v>0</v>
      </c>
      <c r="R81" s="7">
        <f t="shared" si="40"/>
        <v>0</v>
      </c>
      <c r="S81" s="7">
        <f t="shared" si="40"/>
        <v>0</v>
      </c>
      <c r="T81" s="7">
        <f t="shared" si="40"/>
        <v>0</v>
      </c>
      <c r="U81" s="7">
        <f t="shared" si="40"/>
        <v>0</v>
      </c>
      <c r="V81" s="7">
        <f t="shared" si="40"/>
        <v>0</v>
      </c>
      <c r="W81" s="7">
        <f t="shared" si="40"/>
        <v>0</v>
      </c>
      <c r="X81" s="7">
        <f t="shared" si="40"/>
        <v>0</v>
      </c>
      <c r="Y81" s="7">
        <f t="shared" si="40"/>
        <v>0</v>
      </c>
      <c r="Z81" s="7">
        <f t="shared" si="40"/>
        <v>0</v>
      </c>
      <c r="AA81" s="7">
        <f t="shared" si="40"/>
        <v>0</v>
      </c>
      <c r="AB81" s="7">
        <f t="shared" si="40"/>
        <v>0</v>
      </c>
      <c r="AC81" s="7">
        <f t="shared" si="40"/>
        <v>0</v>
      </c>
      <c r="AD81" s="7">
        <f t="shared" si="40"/>
        <v>0</v>
      </c>
      <c r="AE81" s="7">
        <f t="shared" si="40"/>
        <v>0</v>
      </c>
      <c r="AF81" s="7">
        <f t="shared" si="40"/>
        <v>0</v>
      </c>
      <c r="AG81" s="7">
        <f t="shared" si="40"/>
        <v>0</v>
      </c>
      <c r="AH81" s="7">
        <f t="shared" si="40"/>
        <v>0</v>
      </c>
      <c r="AI81" s="7">
        <f t="shared" si="40"/>
        <v>0</v>
      </c>
      <c r="AJ81" s="7">
        <f t="shared" si="40"/>
        <v>0</v>
      </c>
      <c r="AK81" s="7">
        <f t="shared" si="40"/>
        <v>0</v>
      </c>
      <c r="AL81" s="7">
        <f t="shared" si="40"/>
        <v>0</v>
      </c>
      <c r="AM81" s="7">
        <f t="shared" si="40"/>
        <v>0</v>
      </c>
      <c r="AN81" s="7">
        <f t="shared" si="40"/>
        <v>1175130402352</v>
      </c>
      <c r="AO81" s="7">
        <f t="shared" si="40"/>
        <v>1156870558457</v>
      </c>
      <c r="AP81" s="7">
        <f t="shared" si="40"/>
        <v>1193502357108.8599</v>
      </c>
      <c r="AQ81" s="7">
        <f t="shared" si="40"/>
        <v>1254540608128.8821</v>
      </c>
      <c r="AR81" s="7">
        <f t="shared" si="40"/>
        <v>1298938884161</v>
      </c>
      <c r="AS81" s="7">
        <f t="shared" si="40"/>
        <v>1325603983311</v>
      </c>
      <c r="AT81" s="7">
        <f t="shared" si="40"/>
        <v>1267478798902</v>
      </c>
      <c r="AU81" s="7">
        <f t="shared" si="40"/>
        <v>1218289415966</v>
      </c>
      <c r="AV81" s="7">
        <f t="shared" si="40"/>
        <v>1260492317013</v>
      </c>
      <c r="AW81" s="7">
        <f t="shared" si="40"/>
        <v>1282720707132</v>
      </c>
      <c r="AX81" s="7">
        <f t="shared" si="40"/>
        <v>1380932210078</v>
      </c>
      <c r="AY81" s="8">
        <f t="shared" si="40"/>
        <v>1365896363032.4819</v>
      </c>
      <c r="AZ81" s="8">
        <v>1288397230797</v>
      </c>
      <c r="BA81" s="8">
        <v>1200974905339</v>
      </c>
      <c r="BB81" s="8">
        <v>1249189875833.4819</v>
      </c>
      <c r="BC81" s="8">
        <v>1322043976414</v>
      </c>
      <c r="BD81" s="8">
        <v>1378213576429</v>
      </c>
      <c r="BE81" s="8">
        <v>1412639543304.4819</v>
      </c>
      <c r="BF81" s="8">
        <v>1406218085864.4819</v>
      </c>
      <c r="BG81" s="8">
        <v>1467398603298.4819</v>
      </c>
      <c r="BH81" s="8">
        <v>1453327615282.4819</v>
      </c>
      <c r="BI81" s="8">
        <v>1402480690156.4819</v>
      </c>
      <c r="BJ81" s="8">
        <v>1380736689249.4819</v>
      </c>
      <c r="BK81" s="8">
        <v>1377306550833.4819</v>
      </c>
      <c r="BL81" s="8">
        <v>1424723112774.8057</v>
      </c>
      <c r="BM81" s="8">
        <v>1439663177992.0342</v>
      </c>
      <c r="BN81" s="8">
        <v>1395583365175.0425</v>
      </c>
      <c r="BO81" s="8">
        <v>1377943027579.873</v>
      </c>
      <c r="BP81" s="8">
        <v>1458807030447.6418</v>
      </c>
      <c r="BQ81" s="8">
        <f t="shared" ref="BQ81:BW81" si="41">SUM(BQ4,BQ36)</f>
        <v>0</v>
      </c>
      <c r="BR81" s="8">
        <f t="shared" si="41"/>
        <v>0</v>
      </c>
      <c r="BS81" s="8">
        <f t="shared" si="41"/>
        <v>0</v>
      </c>
      <c r="BT81" s="8">
        <f t="shared" si="41"/>
        <v>0</v>
      </c>
      <c r="BU81" s="8">
        <f t="shared" si="41"/>
        <v>0</v>
      </c>
      <c r="BV81" s="8">
        <f t="shared" si="41"/>
        <v>0</v>
      </c>
      <c r="BW81" s="8">
        <f t="shared" si="41"/>
        <v>0</v>
      </c>
    </row>
    <row r="82" spans="1:75" ht="15" customHeight="1">
      <c r="A82" s="62">
        <v>79</v>
      </c>
      <c r="B82" s="52" t="s">
        <v>345</v>
      </c>
      <c r="C82" s="62">
        <v>28</v>
      </c>
      <c r="D82" s="5">
        <f t="shared" ref="D82:AY82" si="42">SUM(D83,D99)</f>
        <v>0</v>
      </c>
      <c r="E82" s="5">
        <f t="shared" si="42"/>
        <v>0</v>
      </c>
      <c r="F82" s="5">
        <f t="shared" si="42"/>
        <v>0</v>
      </c>
      <c r="G82" s="5">
        <f t="shared" si="42"/>
        <v>0</v>
      </c>
      <c r="H82" s="5">
        <f t="shared" si="42"/>
        <v>0</v>
      </c>
      <c r="I82" s="5">
        <f t="shared" si="42"/>
        <v>0</v>
      </c>
      <c r="J82" s="5">
        <f t="shared" si="42"/>
        <v>0</v>
      </c>
      <c r="K82" s="5">
        <f t="shared" si="42"/>
        <v>0</v>
      </c>
      <c r="L82" s="5">
        <f t="shared" si="42"/>
        <v>0</v>
      </c>
      <c r="M82" s="5">
        <f t="shared" si="42"/>
        <v>0</v>
      </c>
      <c r="N82" s="5">
        <f t="shared" si="42"/>
        <v>0</v>
      </c>
      <c r="O82" s="5">
        <f t="shared" si="42"/>
        <v>0</v>
      </c>
      <c r="P82" s="5">
        <f t="shared" si="42"/>
        <v>0</v>
      </c>
      <c r="Q82" s="5">
        <f t="shared" si="42"/>
        <v>0</v>
      </c>
      <c r="R82" s="5">
        <f t="shared" si="42"/>
        <v>0</v>
      </c>
      <c r="S82" s="5">
        <f t="shared" si="42"/>
        <v>0</v>
      </c>
      <c r="T82" s="5">
        <f t="shared" si="42"/>
        <v>0</v>
      </c>
      <c r="U82" s="5">
        <f t="shared" si="42"/>
        <v>0</v>
      </c>
      <c r="V82" s="5">
        <f t="shared" si="42"/>
        <v>0</v>
      </c>
      <c r="W82" s="5">
        <f t="shared" si="42"/>
        <v>0</v>
      </c>
      <c r="X82" s="5">
        <f t="shared" si="42"/>
        <v>0</v>
      </c>
      <c r="Y82" s="5">
        <f t="shared" si="42"/>
        <v>0</v>
      </c>
      <c r="Z82" s="5">
        <f t="shared" si="42"/>
        <v>0</v>
      </c>
      <c r="AA82" s="5">
        <f t="shared" si="42"/>
        <v>0</v>
      </c>
      <c r="AB82" s="5">
        <f t="shared" si="42"/>
        <v>0</v>
      </c>
      <c r="AC82" s="5">
        <f t="shared" si="42"/>
        <v>0</v>
      </c>
      <c r="AD82" s="5">
        <f t="shared" si="42"/>
        <v>0</v>
      </c>
      <c r="AE82" s="5">
        <f t="shared" si="42"/>
        <v>0</v>
      </c>
      <c r="AF82" s="5">
        <f t="shared" si="42"/>
        <v>0</v>
      </c>
      <c r="AG82" s="5">
        <f t="shared" si="42"/>
        <v>0</v>
      </c>
      <c r="AH82" s="5">
        <f t="shared" si="42"/>
        <v>0</v>
      </c>
      <c r="AI82" s="5">
        <f t="shared" si="42"/>
        <v>0</v>
      </c>
      <c r="AJ82" s="5">
        <f t="shared" si="42"/>
        <v>0</v>
      </c>
      <c r="AK82" s="5">
        <f t="shared" si="42"/>
        <v>0</v>
      </c>
      <c r="AL82" s="5">
        <f t="shared" si="42"/>
        <v>0</v>
      </c>
      <c r="AM82" s="5">
        <f t="shared" si="42"/>
        <v>0</v>
      </c>
      <c r="AN82" s="5">
        <f t="shared" si="42"/>
        <v>319278887594</v>
      </c>
      <c r="AO82" s="5">
        <f t="shared" si="42"/>
        <v>307757355551</v>
      </c>
      <c r="AP82" s="5">
        <f t="shared" si="42"/>
        <v>347132475490.85999</v>
      </c>
      <c r="AQ82" s="5">
        <f t="shared" si="42"/>
        <v>406502386093.88196</v>
      </c>
      <c r="AR82" s="5">
        <f t="shared" si="42"/>
        <v>456592470300</v>
      </c>
      <c r="AS82" s="5">
        <f t="shared" si="42"/>
        <v>495400218095</v>
      </c>
      <c r="AT82" s="5">
        <f t="shared" si="42"/>
        <v>452469310020</v>
      </c>
      <c r="AU82" s="5">
        <f t="shared" si="42"/>
        <v>413326872943</v>
      </c>
      <c r="AV82" s="5">
        <f t="shared" si="42"/>
        <v>447411505392</v>
      </c>
      <c r="AW82" s="5">
        <f t="shared" si="42"/>
        <v>475985642175</v>
      </c>
      <c r="AX82" s="5">
        <f t="shared" si="42"/>
        <v>560249294793</v>
      </c>
      <c r="AY82" s="6">
        <f t="shared" si="42"/>
        <v>455639093773.48199</v>
      </c>
      <c r="AZ82" s="6">
        <v>375937104713</v>
      </c>
      <c r="BA82" s="6">
        <v>274454550569</v>
      </c>
      <c r="BB82" s="6">
        <v>316925261180.48199</v>
      </c>
      <c r="BC82" s="6">
        <v>386520151527</v>
      </c>
      <c r="BD82" s="6">
        <v>433391232413</v>
      </c>
      <c r="BE82" s="6">
        <v>467131698044.48199</v>
      </c>
      <c r="BF82" s="6">
        <v>457466251634.48212</v>
      </c>
      <c r="BG82" s="6">
        <v>516097615886.48212</v>
      </c>
      <c r="BH82" s="6">
        <v>513214714850.48199</v>
      </c>
      <c r="BI82" s="6">
        <v>467249572613.48199</v>
      </c>
      <c r="BJ82" s="6">
        <v>452992625682.48199</v>
      </c>
      <c r="BK82" s="6">
        <v>441716876964.48199</v>
      </c>
      <c r="BL82" s="6">
        <v>398201612300</v>
      </c>
      <c r="BM82" s="6">
        <v>420876347698.40002</v>
      </c>
      <c r="BN82" s="6">
        <v>383883142958</v>
      </c>
      <c r="BO82" s="6">
        <v>361445974341</v>
      </c>
      <c r="BP82" s="6">
        <v>433386882531</v>
      </c>
      <c r="BQ82" s="6">
        <f t="shared" ref="BQ82:BW82" si="43">SUM(BQ83,BQ99)</f>
        <v>0</v>
      </c>
      <c r="BR82" s="6">
        <f t="shared" si="43"/>
        <v>0</v>
      </c>
      <c r="BS82" s="6">
        <f t="shared" si="43"/>
        <v>0</v>
      </c>
      <c r="BT82" s="6">
        <f t="shared" si="43"/>
        <v>0</v>
      </c>
      <c r="BU82" s="6">
        <f t="shared" si="43"/>
        <v>0</v>
      </c>
      <c r="BV82" s="6">
        <f t="shared" si="43"/>
        <v>0</v>
      </c>
      <c r="BW82" s="6">
        <f t="shared" si="43"/>
        <v>0</v>
      </c>
    </row>
    <row r="83" spans="1:75" ht="15" customHeight="1">
      <c r="A83" s="59">
        <v>80</v>
      </c>
      <c r="B83" s="54" t="s">
        <v>346</v>
      </c>
      <c r="C83" s="59">
        <v>28</v>
      </c>
      <c r="D83" s="3">
        <f t="shared" ref="D83:AY83" si="44">SUM(D84:D98)</f>
        <v>0</v>
      </c>
      <c r="E83" s="3">
        <f t="shared" si="44"/>
        <v>0</v>
      </c>
      <c r="F83" s="3">
        <f t="shared" si="44"/>
        <v>0</v>
      </c>
      <c r="G83" s="3">
        <f t="shared" si="44"/>
        <v>0</v>
      </c>
      <c r="H83" s="3">
        <f t="shared" si="44"/>
        <v>0</v>
      </c>
      <c r="I83" s="3">
        <f t="shared" si="44"/>
        <v>0</v>
      </c>
      <c r="J83" s="3">
        <f t="shared" si="44"/>
        <v>0</v>
      </c>
      <c r="K83" s="3">
        <f t="shared" si="44"/>
        <v>0</v>
      </c>
      <c r="L83" s="3">
        <f t="shared" si="44"/>
        <v>0</v>
      </c>
      <c r="M83" s="3">
        <f t="shared" si="44"/>
        <v>0</v>
      </c>
      <c r="N83" s="3">
        <f t="shared" si="44"/>
        <v>0</v>
      </c>
      <c r="O83" s="3">
        <f t="shared" si="44"/>
        <v>0</v>
      </c>
      <c r="P83" s="3">
        <f t="shared" si="44"/>
        <v>0</v>
      </c>
      <c r="Q83" s="3">
        <f t="shared" si="44"/>
        <v>0</v>
      </c>
      <c r="R83" s="3">
        <f t="shared" si="44"/>
        <v>0</v>
      </c>
      <c r="S83" s="3">
        <f t="shared" si="44"/>
        <v>0</v>
      </c>
      <c r="T83" s="3">
        <f t="shared" si="44"/>
        <v>0</v>
      </c>
      <c r="U83" s="3">
        <f t="shared" si="44"/>
        <v>0</v>
      </c>
      <c r="V83" s="3">
        <f t="shared" si="44"/>
        <v>0</v>
      </c>
      <c r="W83" s="3">
        <f t="shared" si="44"/>
        <v>0</v>
      </c>
      <c r="X83" s="3">
        <f t="shared" si="44"/>
        <v>0</v>
      </c>
      <c r="Y83" s="3">
        <f t="shared" si="44"/>
        <v>0</v>
      </c>
      <c r="Z83" s="3">
        <f t="shared" si="44"/>
        <v>0</v>
      </c>
      <c r="AA83" s="3">
        <f t="shared" si="44"/>
        <v>0</v>
      </c>
      <c r="AB83" s="3">
        <f t="shared" si="44"/>
        <v>0</v>
      </c>
      <c r="AC83" s="3">
        <f t="shared" si="44"/>
        <v>0</v>
      </c>
      <c r="AD83" s="3">
        <f t="shared" si="44"/>
        <v>0</v>
      </c>
      <c r="AE83" s="3">
        <f t="shared" si="44"/>
        <v>0</v>
      </c>
      <c r="AF83" s="3">
        <f t="shared" si="44"/>
        <v>0</v>
      </c>
      <c r="AG83" s="3">
        <f t="shared" si="44"/>
        <v>0</v>
      </c>
      <c r="AH83" s="3">
        <f t="shared" si="44"/>
        <v>0</v>
      </c>
      <c r="AI83" s="3">
        <f t="shared" si="44"/>
        <v>0</v>
      </c>
      <c r="AJ83" s="3">
        <f t="shared" si="44"/>
        <v>0</v>
      </c>
      <c r="AK83" s="3">
        <f t="shared" si="44"/>
        <v>0</v>
      </c>
      <c r="AL83" s="3">
        <f t="shared" si="44"/>
        <v>0</v>
      </c>
      <c r="AM83" s="3">
        <f t="shared" si="44"/>
        <v>0</v>
      </c>
      <c r="AN83" s="3">
        <f t="shared" si="44"/>
        <v>208892476524</v>
      </c>
      <c r="AO83" s="3">
        <f t="shared" si="44"/>
        <v>197465004481</v>
      </c>
      <c r="AP83" s="3">
        <f t="shared" si="44"/>
        <v>236899124420.85999</v>
      </c>
      <c r="AQ83" s="3">
        <f t="shared" si="44"/>
        <v>296564228415.88196</v>
      </c>
      <c r="AR83" s="3">
        <f t="shared" si="44"/>
        <v>348607602622</v>
      </c>
      <c r="AS83" s="3">
        <f t="shared" si="44"/>
        <v>386086182417</v>
      </c>
      <c r="AT83" s="3">
        <f t="shared" si="44"/>
        <v>343042467734</v>
      </c>
      <c r="AU83" s="3">
        <f t="shared" si="44"/>
        <v>304557090657</v>
      </c>
      <c r="AV83" s="3">
        <f t="shared" si="44"/>
        <v>338046723106</v>
      </c>
      <c r="AW83" s="3">
        <f t="shared" si="44"/>
        <v>366397053281</v>
      </c>
      <c r="AX83" s="3">
        <f t="shared" si="44"/>
        <v>424034765899</v>
      </c>
      <c r="AY83" s="4">
        <f t="shared" si="44"/>
        <v>338131748251.48199</v>
      </c>
      <c r="AZ83" s="4">
        <v>234756762767</v>
      </c>
      <c r="BA83" s="4">
        <v>137522046401</v>
      </c>
      <c r="BB83" s="4">
        <v>180829534790.48199</v>
      </c>
      <c r="BC83" s="4">
        <v>251497396307</v>
      </c>
      <c r="BD83" s="4">
        <v>302616314971</v>
      </c>
      <c r="BE83" s="4">
        <v>357239906650.48199</v>
      </c>
      <c r="BF83" s="4">
        <v>348647431410.48212</v>
      </c>
      <c r="BG83" s="4">
        <v>408864105440.48212</v>
      </c>
      <c r="BH83" s="4">
        <v>406817982182.48199</v>
      </c>
      <c r="BI83" s="4">
        <v>365906438671.48199</v>
      </c>
      <c r="BJ83" s="4">
        <v>350591252740.48199</v>
      </c>
      <c r="BK83" s="4">
        <v>358564622610.48199</v>
      </c>
      <c r="BL83" s="4">
        <v>315958770885</v>
      </c>
      <c r="BM83" s="4">
        <v>316706006283.40002</v>
      </c>
      <c r="BN83" s="4">
        <v>271012801543</v>
      </c>
      <c r="BO83" s="4">
        <v>248575632926</v>
      </c>
      <c r="BP83" s="4">
        <v>245683646116</v>
      </c>
      <c r="BQ83" s="4">
        <f t="shared" ref="BQ83:BW83" si="45">SUM(BQ84:BQ98)</f>
        <v>0</v>
      </c>
      <c r="BR83" s="4">
        <f t="shared" si="45"/>
        <v>0</v>
      </c>
      <c r="BS83" s="4">
        <f t="shared" si="45"/>
        <v>0</v>
      </c>
      <c r="BT83" s="4">
        <f t="shared" si="45"/>
        <v>0</v>
      </c>
      <c r="BU83" s="4">
        <f t="shared" si="45"/>
        <v>0</v>
      </c>
      <c r="BV83" s="4">
        <f t="shared" si="45"/>
        <v>0</v>
      </c>
      <c r="BW83" s="4">
        <f t="shared" si="45"/>
        <v>0</v>
      </c>
    </row>
    <row r="84" spans="1:75" ht="15" customHeight="1">
      <c r="A84" s="55">
        <v>81</v>
      </c>
      <c r="B84" s="75" t="s">
        <v>110</v>
      </c>
      <c r="C84" s="55">
        <v>28</v>
      </c>
      <c r="D84" s="508"/>
      <c r="E84" s="508"/>
      <c r="F84" s="508"/>
      <c r="G84" s="508"/>
      <c r="H84" s="508"/>
      <c r="I84" s="508"/>
      <c r="J84" s="508"/>
      <c r="K84" s="508"/>
      <c r="L84" s="508"/>
      <c r="M84" s="508"/>
      <c r="N84" s="508"/>
      <c r="O84" s="508"/>
      <c r="P84" s="508"/>
      <c r="Q84" s="508"/>
      <c r="R84" s="508"/>
      <c r="S84" s="508"/>
      <c r="T84" s="508"/>
      <c r="U84" s="508"/>
      <c r="V84" s="508"/>
      <c r="W84" s="508"/>
      <c r="X84" s="508"/>
      <c r="Y84" s="508"/>
      <c r="Z84" s="508"/>
      <c r="AA84" s="508"/>
      <c r="AB84" s="508"/>
      <c r="AC84" s="508"/>
      <c r="AD84" s="508"/>
      <c r="AE84" s="508"/>
      <c r="AF84" s="508"/>
      <c r="AG84" s="508"/>
      <c r="AH84" s="508"/>
      <c r="AI84" s="508"/>
      <c r="AJ84" s="508"/>
      <c r="AK84" s="508"/>
      <c r="AL84" s="508"/>
      <c r="AM84" s="508"/>
      <c r="AN84" s="508">
        <v>82949409956</v>
      </c>
      <c r="AO84" s="508">
        <v>85403340041</v>
      </c>
      <c r="AP84" s="508">
        <v>89847500656</v>
      </c>
      <c r="AQ84" s="508">
        <v>92084070378</v>
      </c>
      <c r="AR84" s="508">
        <v>97185029412</v>
      </c>
      <c r="AS84" s="508">
        <v>129200888383</v>
      </c>
      <c r="AT84" s="508">
        <v>101456785709</v>
      </c>
      <c r="AU84" s="508">
        <v>115528799746</v>
      </c>
      <c r="AV84" s="508">
        <v>154591767517</v>
      </c>
      <c r="AW84" s="508">
        <v>155116256899</v>
      </c>
      <c r="AX84" s="508">
        <v>163705606191</v>
      </c>
      <c r="AY84" s="508">
        <v>51214283090</v>
      </c>
      <c r="AZ84" s="508">
        <v>24816615843</v>
      </c>
      <c r="BA84" s="508">
        <v>20606927353</v>
      </c>
      <c r="BB84" s="508">
        <v>40828775779</v>
      </c>
      <c r="BC84" s="508">
        <v>43887723430</v>
      </c>
      <c r="BD84" s="508">
        <v>42033194457</v>
      </c>
      <c r="BE84" s="508">
        <v>59295501625</v>
      </c>
      <c r="BF84" s="508">
        <v>19562723494</v>
      </c>
      <c r="BG84" s="508">
        <v>28765117740</v>
      </c>
      <c r="BH84" s="508">
        <v>35900353394</v>
      </c>
      <c r="BI84" s="508">
        <v>42762502755</v>
      </c>
      <c r="BJ84" s="508">
        <v>34584894012</v>
      </c>
      <c r="BK84" s="508">
        <v>28643819309</v>
      </c>
      <c r="BL84" s="508">
        <v>34204260957</v>
      </c>
      <c r="BM84" s="508">
        <v>33850667391.400002</v>
      </c>
      <c r="BN84" s="508">
        <v>44076786444</v>
      </c>
      <c r="BO84" s="508">
        <v>44354699133</v>
      </c>
      <c r="BP84" s="508">
        <v>67359231049</v>
      </c>
      <c r="BQ84" s="508"/>
      <c r="BR84" s="508"/>
      <c r="BS84" s="508"/>
      <c r="BT84" s="508"/>
      <c r="BU84" s="508"/>
      <c r="BV84" s="508"/>
      <c r="BW84" s="508"/>
    </row>
    <row r="85" spans="1:75" ht="15" customHeight="1">
      <c r="A85" s="55">
        <v>82</v>
      </c>
      <c r="B85" s="75" t="s">
        <v>111</v>
      </c>
      <c r="C85" s="55">
        <v>28</v>
      </c>
      <c r="D85" s="508"/>
      <c r="E85" s="508"/>
      <c r="F85" s="508"/>
      <c r="G85" s="508"/>
      <c r="H85" s="508"/>
      <c r="I85" s="508"/>
      <c r="J85" s="508"/>
      <c r="K85" s="508"/>
      <c r="L85" s="508"/>
      <c r="M85" s="508"/>
      <c r="N85" s="508"/>
      <c r="O85" s="508"/>
      <c r="P85" s="508"/>
      <c r="Q85" s="508"/>
      <c r="R85" s="508"/>
      <c r="S85" s="508"/>
      <c r="T85" s="508"/>
      <c r="U85" s="508"/>
      <c r="V85" s="508"/>
      <c r="W85" s="508"/>
      <c r="X85" s="508"/>
      <c r="Y85" s="508"/>
      <c r="Z85" s="508"/>
      <c r="AA85" s="508"/>
      <c r="AB85" s="508"/>
      <c r="AC85" s="508"/>
      <c r="AD85" s="508"/>
      <c r="AE85" s="508"/>
      <c r="AF85" s="508"/>
      <c r="AG85" s="508"/>
      <c r="AH85" s="508"/>
      <c r="AI85" s="508"/>
      <c r="AJ85" s="508"/>
      <c r="AK85" s="508"/>
      <c r="AL85" s="508"/>
      <c r="AM85" s="508"/>
      <c r="AN85" s="508">
        <v>4031903040</v>
      </c>
      <c r="AO85" s="508">
        <v>0</v>
      </c>
      <c r="AP85" s="508">
        <v>-540918440</v>
      </c>
      <c r="AQ85" s="508">
        <v>4278155246</v>
      </c>
      <c r="AR85" s="508">
        <v>14753134850</v>
      </c>
      <c r="AS85" s="508">
        <v>36030101433</v>
      </c>
      <c r="AT85" s="508">
        <v>34757495667</v>
      </c>
      <c r="AU85" s="508">
        <v>16991723009</v>
      </c>
      <c r="AV85" s="508">
        <v>39469513</v>
      </c>
      <c r="AW85" s="508">
        <v>10373831336</v>
      </c>
      <c r="AX85" s="508">
        <v>37975916928</v>
      </c>
      <c r="AY85" s="508">
        <v>41546475913</v>
      </c>
      <c r="AZ85" s="508">
        <v>37388020046</v>
      </c>
      <c r="BA85" s="508">
        <v>23937907310</v>
      </c>
      <c r="BB85" s="508">
        <v>15058088135</v>
      </c>
      <c r="BC85" s="508">
        <v>4008722750</v>
      </c>
      <c r="BD85" s="508">
        <v>75365353</v>
      </c>
      <c r="BE85" s="508">
        <v>14926125753</v>
      </c>
      <c r="BF85" s="508">
        <v>23360719857</v>
      </c>
      <c r="BG85" s="508">
        <v>21001775533</v>
      </c>
      <c r="BH85" s="508">
        <v>14685336667</v>
      </c>
      <c r="BI85" s="508">
        <v>8914886658</v>
      </c>
      <c r="BJ85" s="508">
        <v>5997845638</v>
      </c>
      <c r="BK85" s="508">
        <v>17509392514</v>
      </c>
      <c r="BL85" s="508">
        <v>11995200530</v>
      </c>
      <c r="BM85" s="508">
        <v>6213138401</v>
      </c>
      <c r="BN85" s="508">
        <v>6298509550</v>
      </c>
      <c r="BO85" s="508">
        <v>10025771454</v>
      </c>
      <c r="BP85" s="508">
        <v>14080108614</v>
      </c>
      <c r="BQ85" s="508"/>
      <c r="BR85" s="508"/>
      <c r="BS85" s="508"/>
      <c r="BT85" s="508"/>
      <c r="BU85" s="508"/>
      <c r="BV85" s="508"/>
      <c r="BW85" s="508"/>
    </row>
    <row r="86" spans="1:75" ht="15" customHeight="1">
      <c r="A86" s="55">
        <v>83</v>
      </c>
      <c r="B86" s="75" t="s">
        <v>112</v>
      </c>
      <c r="C86" s="55">
        <v>28</v>
      </c>
      <c r="D86" s="508"/>
      <c r="E86" s="508"/>
      <c r="F86" s="508"/>
      <c r="G86" s="508"/>
      <c r="H86" s="508"/>
      <c r="I86" s="508"/>
      <c r="J86" s="508"/>
      <c r="K86" s="508"/>
      <c r="L86" s="508"/>
      <c r="M86" s="508"/>
      <c r="N86" s="508"/>
      <c r="O86" s="508"/>
      <c r="P86" s="508"/>
      <c r="Q86" s="508"/>
      <c r="R86" s="508"/>
      <c r="S86" s="508"/>
      <c r="T86" s="508"/>
      <c r="U86" s="508"/>
      <c r="V86" s="508"/>
      <c r="W86" s="508"/>
      <c r="X86" s="508"/>
      <c r="Y86" s="508"/>
      <c r="Z86" s="508"/>
      <c r="AA86" s="508"/>
      <c r="AB86" s="508"/>
      <c r="AC86" s="508"/>
      <c r="AD86" s="508"/>
      <c r="AE86" s="508"/>
      <c r="AF86" s="508"/>
      <c r="AG86" s="508"/>
      <c r="AH86" s="508"/>
      <c r="AI86" s="508"/>
      <c r="AJ86" s="508"/>
      <c r="AK86" s="508"/>
      <c r="AL86" s="508"/>
      <c r="AM86" s="508"/>
      <c r="AN86" s="508">
        <v>0</v>
      </c>
      <c r="AO86" s="508">
        <v>0</v>
      </c>
      <c r="AP86" s="508">
        <v>0</v>
      </c>
      <c r="AQ86" s="508">
        <v>0</v>
      </c>
      <c r="AR86" s="508">
        <v>0</v>
      </c>
      <c r="AS86" s="508">
        <v>0</v>
      </c>
      <c r="AT86" s="508">
        <v>0</v>
      </c>
      <c r="AU86" s="508">
        <v>0</v>
      </c>
      <c r="AV86" s="508">
        <v>0</v>
      </c>
      <c r="AW86" s="508">
        <v>0</v>
      </c>
      <c r="AX86" s="508">
        <v>0</v>
      </c>
      <c r="AY86" s="508">
        <v>0</v>
      </c>
      <c r="AZ86" s="508">
        <v>0</v>
      </c>
      <c r="BA86" s="508">
        <v>0</v>
      </c>
      <c r="BB86" s="508">
        <v>0</v>
      </c>
      <c r="BC86" s="508">
        <v>0</v>
      </c>
      <c r="BD86" s="508">
        <v>0</v>
      </c>
      <c r="BE86" s="508">
        <v>0</v>
      </c>
      <c r="BF86" s="508">
        <v>0</v>
      </c>
      <c r="BG86" s="508">
        <v>0</v>
      </c>
      <c r="BH86" s="508">
        <v>0</v>
      </c>
      <c r="BI86" s="508">
        <v>0</v>
      </c>
      <c r="BJ86" s="508">
        <v>0</v>
      </c>
      <c r="BK86" s="508">
        <v>0</v>
      </c>
      <c r="BL86" s="508">
        <v>0</v>
      </c>
      <c r="BM86" s="508">
        <v>0</v>
      </c>
      <c r="BN86" s="508">
        <v>0</v>
      </c>
      <c r="BO86" s="508">
        <v>0</v>
      </c>
      <c r="BP86" s="508">
        <v>0</v>
      </c>
      <c r="BQ86" s="508"/>
      <c r="BR86" s="508"/>
      <c r="BS86" s="508"/>
      <c r="BT86" s="508"/>
      <c r="BU86" s="508"/>
      <c r="BV86" s="508"/>
      <c r="BW86" s="508"/>
    </row>
    <row r="87" spans="1:75" ht="15" customHeight="1">
      <c r="A87" s="55">
        <v>84</v>
      </c>
      <c r="B87" s="75" t="s">
        <v>113</v>
      </c>
      <c r="C87" s="55">
        <v>28</v>
      </c>
      <c r="D87" s="508"/>
      <c r="E87" s="508"/>
      <c r="F87" s="508"/>
      <c r="G87" s="508"/>
      <c r="H87" s="508"/>
      <c r="I87" s="508"/>
      <c r="J87" s="508"/>
      <c r="K87" s="508"/>
      <c r="L87" s="508"/>
      <c r="M87" s="508"/>
      <c r="N87" s="508"/>
      <c r="O87" s="508"/>
      <c r="P87" s="508"/>
      <c r="Q87" s="508"/>
      <c r="R87" s="508"/>
      <c r="S87" s="508"/>
      <c r="T87" s="508"/>
      <c r="U87" s="508"/>
      <c r="V87" s="508"/>
      <c r="W87" s="508"/>
      <c r="X87" s="508"/>
      <c r="Y87" s="508"/>
      <c r="Z87" s="508"/>
      <c r="AA87" s="508"/>
      <c r="AB87" s="508"/>
      <c r="AC87" s="508"/>
      <c r="AD87" s="508"/>
      <c r="AE87" s="508"/>
      <c r="AF87" s="508"/>
      <c r="AG87" s="508"/>
      <c r="AH87" s="508"/>
      <c r="AI87" s="508"/>
      <c r="AJ87" s="508"/>
      <c r="AK87" s="508"/>
      <c r="AL87" s="508"/>
      <c r="AM87" s="508"/>
      <c r="AN87" s="508">
        <v>10498883610</v>
      </c>
      <c r="AO87" s="508">
        <v>3689814164</v>
      </c>
      <c r="AP87" s="508">
        <v>4062755871</v>
      </c>
      <c r="AQ87" s="508">
        <v>1384290807</v>
      </c>
      <c r="AR87" s="508">
        <v>2308850961</v>
      </c>
      <c r="AS87" s="508">
        <v>3118570444</v>
      </c>
      <c r="AT87" s="508">
        <v>1058457452</v>
      </c>
      <c r="AU87" s="508">
        <v>1211020482</v>
      </c>
      <c r="AV87" s="508">
        <v>2139521500</v>
      </c>
      <c r="AW87" s="508">
        <v>1189419782</v>
      </c>
      <c r="AX87" s="508">
        <v>1509849868</v>
      </c>
      <c r="AY87" s="508">
        <v>9527733939</v>
      </c>
      <c r="AZ87" s="508">
        <v>3269238961</v>
      </c>
      <c r="BA87" s="508">
        <v>5753987528</v>
      </c>
      <c r="BB87" s="508">
        <v>9117684571</v>
      </c>
      <c r="BC87" s="508">
        <v>9695857514</v>
      </c>
      <c r="BD87" s="508">
        <v>14897920840</v>
      </c>
      <c r="BE87" s="508">
        <v>12417210865</v>
      </c>
      <c r="BF87" s="508">
        <v>8626660891</v>
      </c>
      <c r="BG87" s="508">
        <v>9156127696</v>
      </c>
      <c r="BH87" s="508">
        <v>7002659285</v>
      </c>
      <c r="BI87" s="508">
        <v>6028567487</v>
      </c>
      <c r="BJ87" s="508">
        <v>4386912961</v>
      </c>
      <c r="BK87" s="508">
        <v>8223438377</v>
      </c>
      <c r="BL87" s="508">
        <v>3781272766</v>
      </c>
      <c r="BM87" s="508">
        <v>3558051653</v>
      </c>
      <c r="BN87" s="508">
        <v>2680262753</v>
      </c>
      <c r="BO87" s="508">
        <v>2439038386</v>
      </c>
      <c r="BP87" s="508">
        <v>3466395589</v>
      </c>
      <c r="BQ87" s="508"/>
      <c r="BR87" s="508"/>
      <c r="BS87" s="508"/>
      <c r="BT87" s="508"/>
      <c r="BU87" s="508"/>
      <c r="BV87" s="508"/>
      <c r="BW87" s="508"/>
    </row>
    <row r="88" spans="1:75" ht="15" customHeight="1">
      <c r="A88" s="55">
        <v>85</v>
      </c>
      <c r="B88" s="75" t="s">
        <v>114</v>
      </c>
      <c r="C88" s="55">
        <v>28</v>
      </c>
      <c r="D88" s="508"/>
      <c r="E88" s="508"/>
      <c r="F88" s="508"/>
      <c r="G88" s="508"/>
      <c r="H88" s="508"/>
      <c r="I88" s="508"/>
      <c r="J88" s="508"/>
      <c r="K88" s="508"/>
      <c r="L88" s="508"/>
      <c r="M88" s="508"/>
      <c r="N88" s="508"/>
      <c r="O88" s="508"/>
      <c r="P88" s="508"/>
      <c r="Q88" s="508"/>
      <c r="R88" s="508"/>
      <c r="S88" s="508"/>
      <c r="T88" s="508"/>
      <c r="U88" s="508"/>
      <c r="V88" s="508"/>
      <c r="W88" s="508"/>
      <c r="X88" s="508"/>
      <c r="Y88" s="508"/>
      <c r="Z88" s="508"/>
      <c r="AA88" s="508"/>
      <c r="AB88" s="508"/>
      <c r="AC88" s="508"/>
      <c r="AD88" s="508"/>
      <c r="AE88" s="508"/>
      <c r="AF88" s="508"/>
      <c r="AG88" s="508"/>
      <c r="AH88" s="508"/>
      <c r="AI88" s="508"/>
      <c r="AJ88" s="508"/>
      <c r="AK88" s="508"/>
      <c r="AL88" s="508"/>
      <c r="AM88" s="508"/>
      <c r="AN88" s="508">
        <v>11362712285</v>
      </c>
      <c r="AO88" s="508">
        <v>7261112290</v>
      </c>
      <c r="AP88" s="508">
        <v>7584838673</v>
      </c>
      <c r="AQ88" s="508">
        <v>8802335330</v>
      </c>
      <c r="AR88" s="508">
        <v>8252419463</v>
      </c>
      <c r="AS88" s="508">
        <v>8124186029</v>
      </c>
      <c r="AT88" s="508">
        <v>7811815324</v>
      </c>
      <c r="AU88" s="508">
        <v>457937876</v>
      </c>
      <c r="AV88" s="508">
        <v>8485574144</v>
      </c>
      <c r="AW88" s="508">
        <v>8401248944</v>
      </c>
      <c r="AX88" s="508">
        <v>8616270563</v>
      </c>
      <c r="AY88" s="508">
        <v>12882678899</v>
      </c>
      <c r="AZ88" s="508">
        <v>8655764617</v>
      </c>
      <c r="BA88" s="508">
        <v>9095727516</v>
      </c>
      <c r="BB88" s="508">
        <v>9239322502</v>
      </c>
      <c r="BC88" s="508">
        <v>519338426</v>
      </c>
      <c r="BD88" s="508">
        <v>10493661520</v>
      </c>
      <c r="BE88" s="508">
        <v>10746467156</v>
      </c>
      <c r="BF88" s="508">
        <v>10421088708</v>
      </c>
      <c r="BG88" s="508">
        <v>10791732094</v>
      </c>
      <c r="BH88" s="508">
        <v>11366691930</v>
      </c>
      <c r="BI88" s="508">
        <v>10525542918</v>
      </c>
      <c r="BJ88" s="508">
        <v>10283351512</v>
      </c>
      <c r="BK88" s="508">
        <v>10866562186</v>
      </c>
      <c r="BL88" s="508">
        <v>19154092290</v>
      </c>
      <c r="BM88" s="508">
        <v>10329206889</v>
      </c>
      <c r="BN88" s="508">
        <v>9926791691</v>
      </c>
      <c r="BO88" s="508">
        <v>11847537763</v>
      </c>
      <c r="BP88" s="508">
        <v>10109666016</v>
      </c>
      <c r="BQ88" s="508"/>
      <c r="BR88" s="508"/>
      <c r="BS88" s="508"/>
      <c r="BT88" s="508"/>
      <c r="BU88" s="508"/>
      <c r="BV88" s="508"/>
      <c r="BW88" s="508"/>
    </row>
    <row r="89" spans="1:75" ht="15" customHeight="1">
      <c r="A89" s="55">
        <v>86</v>
      </c>
      <c r="B89" s="75" t="s">
        <v>115</v>
      </c>
      <c r="C89" s="55">
        <v>28</v>
      </c>
      <c r="D89" s="508"/>
      <c r="E89" s="508"/>
      <c r="F89" s="508"/>
      <c r="G89" s="508"/>
      <c r="H89" s="508"/>
      <c r="I89" s="508"/>
      <c r="J89" s="508"/>
      <c r="K89" s="508"/>
      <c r="L89" s="508"/>
      <c r="M89" s="508"/>
      <c r="N89" s="508"/>
      <c r="O89" s="508"/>
      <c r="P89" s="508"/>
      <c r="Q89" s="508"/>
      <c r="R89" s="508"/>
      <c r="S89" s="508"/>
      <c r="T89" s="508"/>
      <c r="U89" s="508"/>
      <c r="V89" s="508"/>
      <c r="W89" s="508"/>
      <c r="X89" s="508"/>
      <c r="Y89" s="508"/>
      <c r="Z89" s="508"/>
      <c r="AA89" s="508"/>
      <c r="AB89" s="508"/>
      <c r="AC89" s="508"/>
      <c r="AD89" s="508"/>
      <c r="AE89" s="508"/>
      <c r="AF89" s="508"/>
      <c r="AG89" s="508"/>
      <c r="AH89" s="508"/>
      <c r="AI89" s="508"/>
      <c r="AJ89" s="508"/>
      <c r="AK89" s="508"/>
      <c r="AL89" s="508"/>
      <c r="AM89" s="508"/>
      <c r="AN89" s="508">
        <v>16153446903</v>
      </c>
      <c r="AO89" s="508">
        <v>22420169080</v>
      </c>
      <c r="AP89" s="508">
        <v>7052345407</v>
      </c>
      <c r="AQ89" s="508">
        <v>17025705880</v>
      </c>
      <c r="AR89" s="508">
        <v>26551396101</v>
      </c>
      <c r="AS89" s="508">
        <v>9643768625</v>
      </c>
      <c r="AT89" s="508">
        <v>19498083536</v>
      </c>
      <c r="AU89" s="508">
        <v>32054507492</v>
      </c>
      <c r="AV89" s="508">
        <v>17871987185</v>
      </c>
      <c r="AW89" s="508">
        <v>25354416886</v>
      </c>
      <c r="AX89" s="508">
        <v>33287993453</v>
      </c>
      <c r="AY89" s="508">
        <v>17891877693</v>
      </c>
      <c r="AZ89" s="508">
        <v>12873679613</v>
      </c>
      <c r="BA89" s="508">
        <v>18374210204</v>
      </c>
      <c r="BB89" s="508">
        <v>-5606260254</v>
      </c>
      <c r="BC89" s="508">
        <v>-3804295862</v>
      </c>
      <c r="BD89" s="508">
        <v>98594660</v>
      </c>
      <c r="BE89" s="508">
        <v>1515541421</v>
      </c>
      <c r="BF89" s="508">
        <v>17721365268</v>
      </c>
      <c r="BG89" s="508">
        <v>23723350128</v>
      </c>
      <c r="BH89" s="508">
        <v>16832372739</v>
      </c>
      <c r="BI89" s="508">
        <v>22569568619</v>
      </c>
      <c r="BJ89" s="508">
        <v>27478663520</v>
      </c>
      <c r="BK89" s="508">
        <v>20102188452</v>
      </c>
      <c r="BL89" s="508">
        <v>18218565408</v>
      </c>
      <c r="BM89" s="508">
        <v>17524826056</v>
      </c>
      <c r="BN89" s="508">
        <v>16942458226</v>
      </c>
      <c r="BO89" s="508">
        <v>20943915952</v>
      </c>
      <c r="BP89" s="508">
        <v>22092967765</v>
      </c>
      <c r="BQ89" s="508"/>
      <c r="BR89" s="508"/>
      <c r="BS89" s="508"/>
      <c r="BT89" s="508"/>
      <c r="BU89" s="508"/>
      <c r="BV89" s="508"/>
      <c r="BW89" s="508"/>
    </row>
    <row r="90" spans="1:75" ht="15" customHeight="1">
      <c r="A90" s="55">
        <v>87</v>
      </c>
      <c r="B90" s="75" t="s">
        <v>116</v>
      </c>
      <c r="C90" s="55">
        <v>28</v>
      </c>
      <c r="D90" s="508"/>
      <c r="E90" s="508"/>
      <c r="F90" s="508"/>
      <c r="G90" s="508"/>
      <c r="H90" s="508"/>
      <c r="I90" s="508"/>
      <c r="J90" s="508"/>
      <c r="K90" s="508"/>
      <c r="L90" s="508"/>
      <c r="M90" s="508"/>
      <c r="N90" s="508"/>
      <c r="O90" s="508"/>
      <c r="P90" s="508"/>
      <c r="Q90" s="508"/>
      <c r="R90" s="508"/>
      <c r="S90" s="508"/>
      <c r="T90" s="508"/>
      <c r="U90" s="508"/>
      <c r="V90" s="508"/>
      <c r="W90" s="508"/>
      <c r="X90" s="508"/>
      <c r="Y90" s="508"/>
      <c r="Z90" s="508"/>
      <c r="AA90" s="508"/>
      <c r="AB90" s="508"/>
      <c r="AC90" s="508"/>
      <c r="AD90" s="508"/>
      <c r="AE90" s="508"/>
      <c r="AF90" s="508"/>
      <c r="AG90" s="508"/>
      <c r="AH90" s="508"/>
      <c r="AI90" s="508"/>
      <c r="AJ90" s="508"/>
      <c r="AK90" s="508"/>
      <c r="AL90" s="508"/>
      <c r="AM90" s="508"/>
      <c r="AN90" s="508">
        <v>0</v>
      </c>
      <c r="AO90" s="508">
        <v>0</v>
      </c>
      <c r="AP90" s="508">
        <v>0</v>
      </c>
      <c r="AQ90" s="508">
        <v>0</v>
      </c>
      <c r="AR90" s="508">
        <v>0</v>
      </c>
      <c r="AS90" s="508">
        <v>0</v>
      </c>
      <c r="AT90" s="508">
        <v>0</v>
      </c>
      <c r="AU90" s="508">
        <v>0</v>
      </c>
      <c r="AV90" s="508">
        <v>0</v>
      </c>
      <c r="AW90" s="508">
        <v>0</v>
      </c>
      <c r="AX90" s="508">
        <v>0</v>
      </c>
      <c r="AY90" s="508">
        <v>0</v>
      </c>
      <c r="AZ90" s="508">
        <v>0</v>
      </c>
      <c r="BA90" s="508">
        <v>0</v>
      </c>
      <c r="BB90" s="508">
        <v>0</v>
      </c>
      <c r="BC90" s="508">
        <v>0</v>
      </c>
      <c r="BD90" s="508">
        <v>0</v>
      </c>
      <c r="BE90" s="508">
        <v>0</v>
      </c>
      <c r="BF90" s="508">
        <v>0</v>
      </c>
      <c r="BG90" s="508">
        <v>0</v>
      </c>
      <c r="BH90" s="508">
        <v>0</v>
      </c>
      <c r="BI90" s="508">
        <v>0</v>
      </c>
      <c r="BJ90" s="508">
        <v>0</v>
      </c>
      <c r="BK90" s="508">
        <v>0</v>
      </c>
      <c r="BL90" s="508">
        <v>0</v>
      </c>
      <c r="BM90" s="508">
        <v>0</v>
      </c>
      <c r="BN90" s="508">
        <v>0</v>
      </c>
      <c r="BO90" s="508">
        <v>0</v>
      </c>
      <c r="BP90" s="508">
        <v>0</v>
      </c>
      <c r="BQ90" s="508"/>
      <c r="BR90" s="508"/>
      <c r="BS90" s="508"/>
      <c r="BT90" s="508"/>
      <c r="BU90" s="508"/>
      <c r="BV90" s="508"/>
      <c r="BW90" s="508"/>
    </row>
    <row r="91" spans="1:75" ht="15" customHeight="1">
      <c r="A91" s="55">
        <v>88</v>
      </c>
      <c r="B91" s="75" t="s">
        <v>117</v>
      </c>
      <c r="C91" s="55">
        <v>28</v>
      </c>
      <c r="D91" s="508"/>
      <c r="E91" s="508"/>
      <c r="F91" s="508"/>
      <c r="G91" s="508"/>
      <c r="H91" s="508"/>
      <c r="I91" s="508"/>
      <c r="J91" s="508"/>
      <c r="K91" s="508"/>
      <c r="L91" s="508"/>
      <c r="M91" s="508"/>
      <c r="N91" s="508"/>
      <c r="O91" s="508"/>
      <c r="P91" s="508"/>
      <c r="Q91" s="508"/>
      <c r="R91" s="508"/>
      <c r="S91" s="508"/>
      <c r="T91" s="508"/>
      <c r="U91" s="508"/>
      <c r="V91" s="508"/>
      <c r="W91" s="508"/>
      <c r="X91" s="508"/>
      <c r="Y91" s="508"/>
      <c r="Z91" s="508"/>
      <c r="AA91" s="508"/>
      <c r="AB91" s="508"/>
      <c r="AC91" s="508"/>
      <c r="AD91" s="508"/>
      <c r="AE91" s="508"/>
      <c r="AF91" s="508"/>
      <c r="AG91" s="508"/>
      <c r="AH91" s="508"/>
      <c r="AI91" s="508"/>
      <c r="AJ91" s="508"/>
      <c r="AK91" s="508"/>
      <c r="AL91" s="508"/>
      <c r="AM91" s="508"/>
      <c r="AN91" s="508">
        <v>0</v>
      </c>
      <c r="AO91" s="508">
        <v>0</v>
      </c>
      <c r="AP91" s="508">
        <v>0</v>
      </c>
      <c r="AQ91" s="508">
        <v>0</v>
      </c>
      <c r="AR91" s="508">
        <v>0</v>
      </c>
      <c r="AS91" s="508">
        <v>0</v>
      </c>
      <c r="AT91" s="508">
        <v>0</v>
      </c>
      <c r="AU91" s="508">
        <v>0</v>
      </c>
      <c r="AV91" s="508">
        <v>0</v>
      </c>
      <c r="AW91" s="508">
        <v>0</v>
      </c>
      <c r="AX91" s="508">
        <v>0</v>
      </c>
      <c r="AY91" s="508">
        <v>0</v>
      </c>
      <c r="AZ91" s="508">
        <v>0</v>
      </c>
      <c r="BA91" s="508">
        <v>0</v>
      </c>
      <c r="BB91" s="508">
        <v>0</v>
      </c>
      <c r="BC91" s="508">
        <v>0</v>
      </c>
      <c r="BD91" s="508">
        <v>0</v>
      </c>
      <c r="BE91" s="508">
        <v>0</v>
      </c>
      <c r="BF91" s="508">
        <v>0</v>
      </c>
      <c r="BG91" s="508">
        <v>0</v>
      </c>
      <c r="BH91" s="508">
        <v>0</v>
      </c>
      <c r="BI91" s="508">
        <v>0</v>
      </c>
      <c r="BJ91" s="508">
        <v>0</v>
      </c>
      <c r="BK91" s="508">
        <v>0</v>
      </c>
      <c r="BL91" s="508">
        <v>0</v>
      </c>
      <c r="BM91" s="508">
        <v>0</v>
      </c>
      <c r="BN91" s="508">
        <v>0</v>
      </c>
      <c r="BO91" s="508">
        <v>0</v>
      </c>
      <c r="BP91" s="508">
        <v>0</v>
      </c>
      <c r="BQ91" s="508"/>
      <c r="BR91" s="508"/>
      <c r="BS91" s="508"/>
      <c r="BT91" s="508"/>
      <c r="BU91" s="508"/>
      <c r="BV91" s="508"/>
      <c r="BW91" s="508"/>
    </row>
    <row r="92" spans="1:75" ht="15" customHeight="1">
      <c r="A92" s="55">
        <v>89</v>
      </c>
      <c r="B92" s="75" t="s">
        <v>118</v>
      </c>
      <c r="C92" s="55">
        <v>28</v>
      </c>
      <c r="D92" s="508"/>
      <c r="E92" s="508"/>
      <c r="F92" s="508"/>
      <c r="G92" s="508"/>
      <c r="H92" s="508"/>
      <c r="I92" s="508"/>
      <c r="J92" s="508"/>
      <c r="K92" s="508"/>
      <c r="L92" s="508"/>
      <c r="M92" s="508"/>
      <c r="N92" s="508"/>
      <c r="O92" s="508"/>
      <c r="P92" s="508"/>
      <c r="Q92" s="508"/>
      <c r="R92" s="508"/>
      <c r="S92" s="508"/>
      <c r="T92" s="508"/>
      <c r="U92" s="508"/>
      <c r="V92" s="508"/>
      <c r="W92" s="508"/>
      <c r="X92" s="508"/>
      <c r="Y92" s="508"/>
      <c r="Z92" s="508"/>
      <c r="AA92" s="508"/>
      <c r="AB92" s="508"/>
      <c r="AC92" s="508"/>
      <c r="AD92" s="508"/>
      <c r="AE92" s="508"/>
      <c r="AF92" s="508"/>
      <c r="AG92" s="508"/>
      <c r="AH92" s="508"/>
      <c r="AI92" s="508"/>
      <c r="AJ92" s="508"/>
      <c r="AK92" s="508"/>
      <c r="AL92" s="508"/>
      <c r="AM92" s="508"/>
      <c r="AN92" s="508">
        <v>0</v>
      </c>
      <c r="AO92" s="508">
        <v>0</v>
      </c>
      <c r="AP92" s="508">
        <v>0</v>
      </c>
      <c r="AQ92" s="508">
        <v>0</v>
      </c>
      <c r="AR92" s="508">
        <v>0</v>
      </c>
      <c r="AS92" s="508">
        <v>0</v>
      </c>
      <c r="AT92" s="508">
        <v>0</v>
      </c>
      <c r="AU92" s="508">
        <v>0</v>
      </c>
      <c r="AV92" s="508">
        <v>0</v>
      </c>
      <c r="AW92" s="508">
        <v>0</v>
      </c>
      <c r="AX92" s="508">
        <v>0</v>
      </c>
      <c r="AY92" s="508">
        <v>0</v>
      </c>
      <c r="AZ92" s="508">
        <v>0</v>
      </c>
      <c r="BA92" s="508">
        <v>0</v>
      </c>
      <c r="BB92" s="508">
        <v>0</v>
      </c>
      <c r="BC92" s="508">
        <v>0</v>
      </c>
      <c r="BD92" s="508">
        <v>0</v>
      </c>
      <c r="BE92" s="508">
        <v>0</v>
      </c>
      <c r="BF92" s="508">
        <v>0</v>
      </c>
      <c r="BG92" s="508">
        <v>0</v>
      </c>
      <c r="BH92" s="508">
        <v>0</v>
      </c>
      <c r="BI92" s="508">
        <v>0</v>
      </c>
      <c r="BJ92" s="508">
        <v>0</v>
      </c>
      <c r="BK92" s="508">
        <v>0</v>
      </c>
      <c r="BL92" s="508">
        <v>0</v>
      </c>
      <c r="BM92" s="508">
        <v>0</v>
      </c>
      <c r="BN92" s="508">
        <v>0</v>
      </c>
      <c r="BO92" s="508">
        <v>0</v>
      </c>
      <c r="BP92" s="508">
        <v>0</v>
      </c>
      <c r="BQ92" s="508"/>
      <c r="BR92" s="508"/>
      <c r="BS92" s="508"/>
      <c r="BT92" s="508"/>
      <c r="BU92" s="508"/>
      <c r="BV92" s="508"/>
      <c r="BW92" s="508"/>
    </row>
    <row r="93" spans="1:75" ht="15" customHeight="1">
      <c r="A93" s="55">
        <v>90</v>
      </c>
      <c r="B93" s="75" t="s">
        <v>119</v>
      </c>
      <c r="C93" s="55">
        <v>28</v>
      </c>
      <c r="D93" s="508"/>
      <c r="E93" s="508"/>
      <c r="F93" s="508"/>
      <c r="G93" s="508"/>
      <c r="H93" s="508"/>
      <c r="I93" s="508"/>
      <c r="J93" s="508"/>
      <c r="K93" s="508"/>
      <c r="L93" s="508"/>
      <c r="M93" s="508"/>
      <c r="N93" s="508"/>
      <c r="O93" s="508"/>
      <c r="P93" s="508"/>
      <c r="Q93" s="508"/>
      <c r="R93" s="508"/>
      <c r="S93" s="508"/>
      <c r="T93" s="508"/>
      <c r="U93" s="508"/>
      <c r="V93" s="508"/>
      <c r="W93" s="508"/>
      <c r="X93" s="508"/>
      <c r="Y93" s="508"/>
      <c r="Z93" s="508"/>
      <c r="AA93" s="508"/>
      <c r="AB93" s="508"/>
      <c r="AC93" s="508"/>
      <c r="AD93" s="508"/>
      <c r="AE93" s="508"/>
      <c r="AF93" s="508"/>
      <c r="AG93" s="508"/>
      <c r="AH93" s="508"/>
      <c r="AI93" s="508"/>
      <c r="AJ93" s="508"/>
      <c r="AK93" s="508"/>
      <c r="AL93" s="508"/>
      <c r="AM93" s="508"/>
      <c r="AN93" s="508">
        <v>20696481661</v>
      </c>
      <c r="AO93" s="508">
        <v>20595840087</v>
      </c>
      <c r="AP93" s="508">
        <v>26813125892.860001</v>
      </c>
      <c r="AQ93" s="508">
        <v>27765488547.882</v>
      </c>
      <c r="AR93" s="508">
        <v>20403961843</v>
      </c>
      <c r="AS93" s="508">
        <v>8973254724</v>
      </c>
      <c r="AT93" s="508">
        <v>9334621417</v>
      </c>
      <c r="AU93" s="508">
        <v>12038191666</v>
      </c>
      <c r="AV93" s="508">
        <v>14568081439</v>
      </c>
      <c r="AW93" s="508">
        <v>9244155132</v>
      </c>
      <c r="AX93" s="508">
        <v>12004819534</v>
      </c>
      <c r="AY93" s="508">
        <v>11216627279.482</v>
      </c>
      <c r="AZ93" s="508">
        <v>11890639716</v>
      </c>
      <c r="BA93" s="508">
        <v>15214207492</v>
      </c>
      <c r="BB93" s="508">
        <v>13274237856.482</v>
      </c>
      <c r="BC93" s="508">
        <v>23351476909</v>
      </c>
      <c r="BD93" s="508">
        <v>33444587733</v>
      </c>
      <c r="BE93" s="508">
        <v>19043714839.482002</v>
      </c>
      <c r="BF93" s="508">
        <v>17481729946.482101</v>
      </c>
      <c r="BG93" s="508">
        <v>19912766033.482101</v>
      </c>
      <c r="BH93" s="508">
        <v>9977435941.4820004</v>
      </c>
      <c r="BI93" s="508">
        <v>10333921176.482</v>
      </c>
      <c r="BJ93" s="508">
        <v>11722247952.482</v>
      </c>
      <c r="BK93" s="508">
        <v>9558710068.4820004</v>
      </c>
      <c r="BL93" s="508">
        <v>10596548323</v>
      </c>
      <c r="BM93" s="508">
        <v>12254355641</v>
      </c>
      <c r="BN93" s="508">
        <v>9260668294</v>
      </c>
      <c r="BO93" s="508">
        <v>9316047513</v>
      </c>
      <c r="BP93" s="508">
        <v>9851495283</v>
      </c>
      <c r="BQ93" s="508"/>
      <c r="BR93" s="508"/>
      <c r="BS93" s="508"/>
      <c r="BT93" s="508"/>
      <c r="BU93" s="508"/>
      <c r="BV93" s="508"/>
      <c r="BW93" s="508"/>
    </row>
    <row r="94" spans="1:75" ht="15" customHeight="1">
      <c r="A94" s="55">
        <v>91</v>
      </c>
      <c r="B94" s="75" t="s">
        <v>120</v>
      </c>
      <c r="C94" s="55">
        <v>28</v>
      </c>
      <c r="D94" s="508"/>
      <c r="E94" s="508"/>
      <c r="F94" s="508"/>
      <c r="G94" s="508"/>
      <c r="H94" s="508"/>
      <c r="I94" s="508"/>
      <c r="J94" s="508"/>
      <c r="K94" s="508"/>
      <c r="L94" s="508"/>
      <c r="M94" s="508"/>
      <c r="N94" s="508"/>
      <c r="O94" s="508"/>
      <c r="P94" s="508"/>
      <c r="Q94" s="508"/>
      <c r="R94" s="508"/>
      <c r="S94" s="508"/>
      <c r="T94" s="508"/>
      <c r="U94" s="508"/>
      <c r="V94" s="508"/>
      <c r="W94" s="508"/>
      <c r="X94" s="508"/>
      <c r="Y94" s="508"/>
      <c r="Z94" s="508"/>
      <c r="AA94" s="508"/>
      <c r="AB94" s="508"/>
      <c r="AC94" s="508"/>
      <c r="AD94" s="508"/>
      <c r="AE94" s="508"/>
      <c r="AF94" s="508"/>
      <c r="AG94" s="508"/>
      <c r="AH94" s="508"/>
      <c r="AI94" s="508"/>
      <c r="AJ94" s="508"/>
      <c r="AK94" s="508"/>
      <c r="AL94" s="508"/>
      <c r="AM94" s="508"/>
      <c r="AN94" s="508">
        <v>62822745245</v>
      </c>
      <c r="AO94" s="508">
        <v>57847834995</v>
      </c>
      <c r="AP94" s="508">
        <v>101832582537</v>
      </c>
      <c r="AQ94" s="508">
        <v>144977288403</v>
      </c>
      <c r="AR94" s="508">
        <v>178905916168</v>
      </c>
      <c r="AS94" s="508">
        <v>190748518955</v>
      </c>
      <c r="AT94" s="508">
        <v>168894814805</v>
      </c>
      <c r="AU94" s="508">
        <v>126048766562</v>
      </c>
      <c r="AV94" s="508">
        <v>139654417984</v>
      </c>
      <c r="AW94" s="508">
        <v>155306260478</v>
      </c>
      <c r="AX94" s="508">
        <v>165536679982</v>
      </c>
      <c r="AY94" s="508">
        <v>192629821718</v>
      </c>
      <c r="AZ94" s="508">
        <v>134925554251</v>
      </c>
      <c r="BA94" s="508">
        <v>43611829278</v>
      </c>
      <c r="BB94" s="508">
        <v>98003020481</v>
      </c>
      <c r="BC94" s="508">
        <v>172928907420</v>
      </c>
      <c r="BD94" s="508">
        <v>200666324688</v>
      </c>
      <c r="BE94" s="508">
        <v>238388679271</v>
      </c>
      <c r="BF94" s="508">
        <v>250573370780</v>
      </c>
      <c r="BG94" s="508">
        <v>294832243750</v>
      </c>
      <c r="BH94" s="508">
        <v>309616499760</v>
      </c>
      <c r="BI94" s="508">
        <v>263334816592</v>
      </c>
      <c r="BJ94" s="508">
        <v>254700704679</v>
      </c>
      <c r="BK94" s="508">
        <v>262225979238</v>
      </c>
      <c r="BL94" s="508">
        <v>216818798145</v>
      </c>
      <c r="BM94" s="508">
        <v>231846507077</v>
      </c>
      <c r="BN94" s="508">
        <v>179737111410</v>
      </c>
      <c r="BO94" s="508">
        <v>147514569550</v>
      </c>
      <c r="BP94" s="508">
        <v>116595603825</v>
      </c>
      <c r="BQ94" s="508"/>
      <c r="BR94" s="508"/>
      <c r="BS94" s="508"/>
      <c r="BT94" s="508"/>
      <c r="BU94" s="508"/>
      <c r="BV94" s="508"/>
      <c r="BW94" s="508"/>
    </row>
    <row r="95" spans="1:75" ht="15" customHeight="1">
      <c r="A95" s="55">
        <v>92</v>
      </c>
      <c r="B95" s="75" t="s">
        <v>121</v>
      </c>
      <c r="C95" s="55">
        <v>28</v>
      </c>
      <c r="D95" s="508"/>
      <c r="E95" s="508"/>
      <c r="F95" s="508"/>
      <c r="G95" s="508"/>
      <c r="H95" s="508"/>
      <c r="I95" s="508"/>
      <c r="J95" s="508"/>
      <c r="K95" s="508"/>
      <c r="L95" s="508"/>
      <c r="M95" s="508"/>
      <c r="N95" s="508"/>
      <c r="O95" s="508"/>
      <c r="P95" s="508"/>
      <c r="Q95" s="508"/>
      <c r="R95" s="508"/>
      <c r="S95" s="508"/>
      <c r="T95" s="508"/>
      <c r="U95" s="508"/>
      <c r="V95" s="508"/>
      <c r="W95" s="508"/>
      <c r="X95" s="508"/>
      <c r="Y95" s="508"/>
      <c r="Z95" s="508"/>
      <c r="AA95" s="508"/>
      <c r="AB95" s="508"/>
      <c r="AC95" s="508"/>
      <c r="AD95" s="508"/>
      <c r="AE95" s="508"/>
      <c r="AF95" s="508"/>
      <c r="AG95" s="508"/>
      <c r="AH95" s="508"/>
      <c r="AI95" s="508"/>
      <c r="AJ95" s="508"/>
      <c r="AK95" s="508"/>
      <c r="AL95" s="508"/>
      <c r="AM95" s="508"/>
      <c r="AN95" s="508">
        <v>0</v>
      </c>
      <c r="AO95" s="508">
        <v>0</v>
      </c>
      <c r="AP95" s="508">
        <v>0</v>
      </c>
      <c r="AQ95" s="508">
        <v>0</v>
      </c>
      <c r="AR95" s="508">
        <v>0</v>
      </c>
      <c r="AS95" s="508">
        <v>0</v>
      </c>
      <c r="AT95" s="508">
        <v>0</v>
      </c>
      <c r="AU95" s="508">
        <v>0</v>
      </c>
      <c r="AV95" s="508">
        <v>0</v>
      </c>
      <c r="AW95" s="508">
        <v>0</v>
      </c>
      <c r="AX95" s="508">
        <v>0</v>
      </c>
      <c r="AY95" s="508">
        <v>0</v>
      </c>
      <c r="AZ95" s="508">
        <v>0</v>
      </c>
      <c r="BA95" s="508">
        <v>0</v>
      </c>
      <c r="BB95" s="508">
        <v>0</v>
      </c>
      <c r="BC95" s="508">
        <v>0</v>
      </c>
      <c r="BD95" s="508">
        <v>0</v>
      </c>
      <c r="BE95" s="508">
        <v>0</v>
      </c>
      <c r="BF95" s="508">
        <v>0</v>
      </c>
      <c r="BG95" s="508">
        <v>0</v>
      </c>
      <c r="BH95" s="508">
        <v>0</v>
      </c>
      <c r="BI95" s="508">
        <v>0</v>
      </c>
      <c r="BJ95" s="508">
        <v>0</v>
      </c>
      <c r="BK95" s="508">
        <v>0</v>
      </c>
      <c r="BL95" s="508">
        <v>0</v>
      </c>
      <c r="BM95" s="508">
        <v>0</v>
      </c>
      <c r="BN95" s="508">
        <v>0</v>
      </c>
      <c r="BO95" s="508">
        <v>0</v>
      </c>
      <c r="BP95" s="508">
        <v>0</v>
      </c>
      <c r="BQ95" s="508"/>
      <c r="BR95" s="508"/>
      <c r="BS95" s="508"/>
      <c r="BT95" s="508"/>
      <c r="BU95" s="508"/>
      <c r="BV95" s="508"/>
      <c r="BW95" s="508"/>
    </row>
    <row r="96" spans="1:75" ht="15" customHeight="1">
      <c r="A96" s="55">
        <v>93</v>
      </c>
      <c r="B96" s="75" t="s">
        <v>122</v>
      </c>
      <c r="C96" s="55">
        <v>28</v>
      </c>
      <c r="D96" s="508"/>
      <c r="E96" s="508"/>
      <c r="F96" s="508"/>
      <c r="G96" s="508"/>
      <c r="H96" s="508"/>
      <c r="I96" s="508"/>
      <c r="J96" s="508"/>
      <c r="K96" s="508"/>
      <c r="L96" s="508"/>
      <c r="M96" s="508"/>
      <c r="N96" s="508"/>
      <c r="O96" s="508"/>
      <c r="P96" s="508"/>
      <c r="Q96" s="508"/>
      <c r="R96" s="508"/>
      <c r="S96" s="508"/>
      <c r="T96" s="508"/>
      <c r="U96" s="508"/>
      <c r="V96" s="508"/>
      <c r="W96" s="508"/>
      <c r="X96" s="508"/>
      <c r="Y96" s="508"/>
      <c r="Z96" s="508"/>
      <c r="AA96" s="508"/>
      <c r="AB96" s="508"/>
      <c r="AC96" s="508"/>
      <c r="AD96" s="508"/>
      <c r="AE96" s="508"/>
      <c r="AF96" s="508"/>
      <c r="AG96" s="508"/>
      <c r="AH96" s="508"/>
      <c r="AI96" s="508"/>
      <c r="AJ96" s="508"/>
      <c r="AK96" s="508"/>
      <c r="AL96" s="508"/>
      <c r="AM96" s="508"/>
      <c r="AN96" s="508">
        <v>376893824</v>
      </c>
      <c r="AO96" s="508">
        <v>246893824</v>
      </c>
      <c r="AP96" s="508">
        <v>246893824</v>
      </c>
      <c r="AQ96" s="508">
        <v>246893824</v>
      </c>
      <c r="AR96" s="508">
        <v>246893824</v>
      </c>
      <c r="AS96" s="508">
        <v>246893824</v>
      </c>
      <c r="AT96" s="508">
        <v>230393824</v>
      </c>
      <c r="AU96" s="508">
        <v>226143824</v>
      </c>
      <c r="AV96" s="508">
        <v>695903824</v>
      </c>
      <c r="AW96" s="508">
        <v>1411463824</v>
      </c>
      <c r="AX96" s="508">
        <v>1397629380</v>
      </c>
      <c r="AY96" s="508">
        <v>1222249720</v>
      </c>
      <c r="AZ96" s="508">
        <v>937249720</v>
      </c>
      <c r="BA96" s="508">
        <v>927249720</v>
      </c>
      <c r="BB96" s="508">
        <v>914665720</v>
      </c>
      <c r="BC96" s="508">
        <v>909665720</v>
      </c>
      <c r="BD96" s="508">
        <v>906665720</v>
      </c>
      <c r="BE96" s="508">
        <v>906665720</v>
      </c>
      <c r="BF96" s="508">
        <v>899772466</v>
      </c>
      <c r="BG96" s="508">
        <v>680992466</v>
      </c>
      <c r="BH96" s="508">
        <v>1436632466</v>
      </c>
      <c r="BI96" s="508">
        <v>1436632466</v>
      </c>
      <c r="BJ96" s="508">
        <v>1436632466</v>
      </c>
      <c r="BK96" s="508">
        <v>1434532466</v>
      </c>
      <c r="BL96" s="508">
        <v>1190032466</v>
      </c>
      <c r="BM96" s="508">
        <v>1129253175</v>
      </c>
      <c r="BN96" s="508">
        <v>2090213175</v>
      </c>
      <c r="BO96" s="508">
        <v>2134053175</v>
      </c>
      <c r="BP96" s="508">
        <v>2128177975</v>
      </c>
      <c r="BQ96" s="508"/>
      <c r="BR96" s="508"/>
      <c r="BS96" s="508"/>
      <c r="BT96" s="508"/>
      <c r="BU96" s="508"/>
      <c r="BV96" s="508"/>
      <c r="BW96" s="508"/>
    </row>
    <row r="97" spans="1:75" ht="15" customHeight="1">
      <c r="A97" s="55">
        <v>94</v>
      </c>
      <c r="B97" s="76" t="s">
        <v>123</v>
      </c>
      <c r="C97" s="55">
        <v>28</v>
      </c>
      <c r="D97" s="508"/>
      <c r="E97" s="508"/>
      <c r="F97" s="508"/>
      <c r="G97" s="508"/>
      <c r="H97" s="508"/>
      <c r="I97" s="508"/>
      <c r="J97" s="508"/>
      <c r="K97" s="508"/>
      <c r="L97" s="508"/>
      <c r="M97" s="508"/>
      <c r="N97" s="508"/>
      <c r="O97" s="508"/>
      <c r="P97" s="508"/>
      <c r="Q97" s="508"/>
      <c r="R97" s="508"/>
      <c r="S97" s="508"/>
      <c r="T97" s="508"/>
      <c r="U97" s="508"/>
      <c r="V97" s="508"/>
      <c r="W97" s="508"/>
      <c r="X97" s="508"/>
      <c r="Y97" s="508"/>
      <c r="Z97" s="508"/>
      <c r="AA97" s="508"/>
      <c r="AB97" s="508"/>
      <c r="AC97" s="508"/>
      <c r="AD97" s="508"/>
      <c r="AE97" s="508"/>
      <c r="AF97" s="508"/>
      <c r="AG97" s="508"/>
      <c r="AH97" s="508"/>
      <c r="AI97" s="508"/>
      <c r="AJ97" s="508"/>
      <c r="AK97" s="508"/>
      <c r="AL97" s="508"/>
      <c r="AM97" s="508"/>
      <c r="AN97" s="508">
        <v>0</v>
      </c>
      <c r="AO97" s="508">
        <v>0</v>
      </c>
      <c r="AP97" s="508">
        <v>0</v>
      </c>
      <c r="AQ97" s="508">
        <v>0</v>
      </c>
      <c r="AR97" s="508">
        <v>0</v>
      </c>
      <c r="AS97" s="508">
        <v>0</v>
      </c>
      <c r="AT97" s="508">
        <v>0</v>
      </c>
      <c r="AU97" s="508">
        <v>0</v>
      </c>
      <c r="AV97" s="508">
        <v>0</v>
      </c>
      <c r="AW97" s="508">
        <v>0</v>
      </c>
      <c r="AX97" s="508">
        <v>0</v>
      </c>
      <c r="AY97" s="508">
        <v>0</v>
      </c>
      <c r="AZ97" s="508">
        <v>0</v>
      </c>
      <c r="BA97" s="508">
        <v>0</v>
      </c>
      <c r="BB97" s="508">
        <v>0</v>
      </c>
      <c r="BC97" s="508">
        <v>0</v>
      </c>
      <c r="BD97" s="508">
        <v>0</v>
      </c>
      <c r="BE97" s="508">
        <v>0</v>
      </c>
      <c r="BF97" s="508">
        <v>0</v>
      </c>
      <c r="BG97" s="508">
        <v>0</v>
      </c>
      <c r="BH97" s="508">
        <v>0</v>
      </c>
      <c r="BI97" s="508">
        <v>0</v>
      </c>
      <c r="BJ97" s="508">
        <v>0</v>
      </c>
      <c r="BK97" s="508">
        <v>0</v>
      </c>
      <c r="BL97" s="508">
        <v>0</v>
      </c>
      <c r="BM97" s="508">
        <v>0</v>
      </c>
      <c r="BN97" s="508">
        <v>0</v>
      </c>
      <c r="BO97" s="508">
        <v>0</v>
      </c>
      <c r="BP97" s="508">
        <v>0</v>
      </c>
      <c r="BQ97" s="508"/>
      <c r="BR97" s="508"/>
      <c r="BS97" s="508"/>
      <c r="BT97" s="508"/>
      <c r="BU97" s="508"/>
      <c r="BV97" s="508"/>
      <c r="BW97" s="508"/>
    </row>
    <row r="98" spans="1:75" ht="15" customHeight="1">
      <c r="A98" s="55">
        <v>95</v>
      </c>
      <c r="B98" s="76" t="s">
        <v>124</v>
      </c>
      <c r="C98" s="55">
        <v>28</v>
      </c>
      <c r="D98" s="508"/>
      <c r="E98" s="508"/>
      <c r="F98" s="508"/>
      <c r="G98" s="508"/>
      <c r="H98" s="508"/>
      <c r="I98" s="508"/>
      <c r="J98" s="508"/>
      <c r="K98" s="508"/>
      <c r="L98" s="508"/>
      <c r="M98" s="508"/>
      <c r="N98" s="508"/>
      <c r="O98" s="508"/>
      <c r="P98" s="508"/>
      <c r="Q98" s="508"/>
      <c r="R98" s="508"/>
      <c r="S98" s="508"/>
      <c r="T98" s="508"/>
      <c r="U98" s="508"/>
      <c r="V98" s="508"/>
      <c r="W98" s="508"/>
      <c r="X98" s="508"/>
      <c r="Y98" s="508"/>
      <c r="Z98" s="508"/>
      <c r="AA98" s="508"/>
      <c r="AB98" s="508"/>
      <c r="AC98" s="508"/>
      <c r="AD98" s="508"/>
      <c r="AE98" s="508"/>
      <c r="AF98" s="508"/>
      <c r="AG98" s="508"/>
      <c r="AH98" s="508"/>
      <c r="AI98" s="508"/>
      <c r="AJ98" s="508"/>
      <c r="AK98" s="508"/>
      <c r="AL98" s="508"/>
      <c r="AM98" s="508"/>
      <c r="AN98" s="508">
        <v>0</v>
      </c>
      <c r="AO98" s="508">
        <v>0</v>
      </c>
      <c r="AP98" s="508">
        <v>0</v>
      </c>
      <c r="AQ98" s="508">
        <v>0</v>
      </c>
      <c r="AR98" s="508">
        <v>0</v>
      </c>
      <c r="AS98" s="508">
        <v>0</v>
      </c>
      <c r="AT98" s="508">
        <v>0</v>
      </c>
      <c r="AU98" s="508">
        <v>0</v>
      </c>
      <c r="AV98" s="508">
        <v>0</v>
      </c>
      <c r="AW98" s="508">
        <v>0</v>
      </c>
      <c r="AX98" s="508">
        <v>0</v>
      </c>
      <c r="AY98" s="508">
        <v>0</v>
      </c>
      <c r="AZ98" s="508">
        <v>0</v>
      </c>
      <c r="BA98" s="508">
        <v>0</v>
      </c>
      <c r="BB98" s="508">
        <v>0</v>
      </c>
      <c r="BC98" s="508">
        <v>0</v>
      </c>
      <c r="BD98" s="508">
        <v>0</v>
      </c>
      <c r="BE98" s="508">
        <v>0</v>
      </c>
      <c r="BF98" s="508">
        <v>0</v>
      </c>
      <c r="BG98" s="508">
        <v>0</v>
      </c>
      <c r="BH98" s="508">
        <v>0</v>
      </c>
      <c r="BI98" s="508">
        <v>0</v>
      </c>
      <c r="BJ98" s="508">
        <v>0</v>
      </c>
      <c r="BK98" s="508">
        <v>0</v>
      </c>
      <c r="BL98" s="508">
        <v>0</v>
      </c>
      <c r="BM98" s="508">
        <v>0</v>
      </c>
      <c r="BN98" s="508">
        <v>0</v>
      </c>
      <c r="BO98" s="508">
        <v>0</v>
      </c>
      <c r="BP98" s="508">
        <v>0</v>
      </c>
      <c r="BQ98" s="508"/>
      <c r="BR98" s="508"/>
      <c r="BS98" s="508"/>
      <c r="BT98" s="508"/>
      <c r="BU98" s="508"/>
      <c r="BV98" s="508"/>
      <c r="BW98" s="508"/>
    </row>
    <row r="99" spans="1:75" ht="15" customHeight="1">
      <c r="A99" s="59">
        <v>96</v>
      </c>
      <c r="B99" s="64" t="s">
        <v>347</v>
      </c>
      <c r="C99" s="59">
        <v>28</v>
      </c>
      <c r="D99" s="3">
        <f t="shared" ref="D99:AY99" si="46">SUM(D100:D113)</f>
        <v>0</v>
      </c>
      <c r="E99" s="3">
        <f t="shared" si="46"/>
        <v>0</v>
      </c>
      <c r="F99" s="3">
        <f t="shared" si="46"/>
        <v>0</v>
      </c>
      <c r="G99" s="3">
        <f t="shared" si="46"/>
        <v>0</v>
      </c>
      <c r="H99" s="3">
        <f t="shared" si="46"/>
        <v>0</v>
      </c>
      <c r="I99" s="3">
        <f t="shared" si="46"/>
        <v>0</v>
      </c>
      <c r="J99" s="3">
        <f t="shared" si="46"/>
        <v>0</v>
      </c>
      <c r="K99" s="3">
        <f t="shared" si="46"/>
        <v>0</v>
      </c>
      <c r="L99" s="3">
        <f t="shared" si="46"/>
        <v>0</v>
      </c>
      <c r="M99" s="3">
        <f t="shared" si="46"/>
        <v>0</v>
      </c>
      <c r="N99" s="3">
        <f t="shared" si="46"/>
        <v>0</v>
      </c>
      <c r="O99" s="3">
        <f t="shared" si="46"/>
        <v>0</v>
      </c>
      <c r="P99" s="3">
        <f t="shared" si="46"/>
        <v>0</v>
      </c>
      <c r="Q99" s="3">
        <f t="shared" si="46"/>
        <v>0</v>
      </c>
      <c r="R99" s="3">
        <f t="shared" si="46"/>
        <v>0</v>
      </c>
      <c r="S99" s="3">
        <f t="shared" si="46"/>
        <v>0</v>
      </c>
      <c r="T99" s="3">
        <f t="shared" si="46"/>
        <v>0</v>
      </c>
      <c r="U99" s="3">
        <f t="shared" si="46"/>
        <v>0</v>
      </c>
      <c r="V99" s="3">
        <f t="shared" si="46"/>
        <v>0</v>
      </c>
      <c r="W99" s="3">
        <f t="shared" si="46"/>
        <v>0</v>
      </c>
      <c r="X99" s="3">
        <f t="shared" si="46"/>
        <v>0</v>
      </c>
      <c r="Y99" s="3">
        <f t="shared" si="46"/>
        <v>0</v>
      </c>
      <c r="Z99" s="3">
        <f t="shared" si="46"/>
        <v>0</v>
      </c>
      <c r="AA99" s="3">
        <f t="shared" si="46"/>
        <v>0</v>
      </c>
      <c r="AB99" s="3">
        <f t="shared" si="46"/>
        <v>0</v>
      </c>
      <c r="AC99" s="3">
        <f t="shared" si="46"/>
        <v>0</v>
      </c>
      <c r="AD99" s="3">
        <f t="shared" si="46"/>
        <v>0</v>
      </c>
      <c r="AE99" s="3">
        <f t="shared" si="46"/>
        <v>0</v>
      </c>
      <c r="AF99" s="3">
        <f t="shared" si="46"/>
        <v>0</v>
      </c>
      <c r="AG99" s="3">
        <f t="shared" si="46"/>
        <v>0</v>
      </c>
      <c r="AH99" s="3">
        <f t="shared" si="46"/>
        <v>0</v>
      </c>
      <c r="AI99" s="3">
        <f t="shared" si="46"/>
        <v>0</v>
      </c>
      <c r="AJ99" s="3">
        <f t="shared" si="46"/>
        <v>0</v>
      </c>
      <c r="AK99" s="3">
        <f t="shared" si="46"/>
        <v>0</v>
      </c>
      <c r="AL99" s="3">
        <f t="shared" si="46"/>
        <v>0</v>
      </c>
      <c r="AM99" s="3">
        <f t="shared" si="46"/>
        <v>0</v>
      </c>
      <c r="AN99" s="3">
        <f t="shared" si="46"/>
        <v>110386411070</v>
      </c>
      <c r="AO99" s="3">
        <f t="shared" si="46"/>
        <v>110292351070</v>
      </c>
      <c r="AP99" s="3">
        <f t="shared" si="46"/>
        <v>110233351070</v>
      </c>
      <c r="AQ99" s="3">
        <f t="shared" si="46"/>
        <v>109938157678</v>
      </c>
      <c r="AR99" s="3">
        <f t="shared" si="46"/>
        <v>107984867678</v>
      </c>
      <c r="AS99" s="3">
        <f t="shared" si="46"/>
        <v>109314035678</v>
      </c>
      <c r="AT99" s="3">
        <f t="shared" si="46"/>
        <v>109426842286</v>
      </c>
      <c r="AU99" s="3">
        <f t="shared" si="46"/>
        <v>108769782286</v>
      </c>
      <c r="AV99" s="3">
        <f t="shared" si="46"/>
        <v>109364782286</v>
      </c>
      <c r="AW99" s="3">
        <f t="shared" si="46"/>
        <v>109588588894</v>
      </c>
      <c r="AX99" s="3">
        <f t="shared" si="46"/>
        <v>136214528894</v>
      </c>
      <c r="AY99" s="4">
        <f t="shared" si="46"/>
        <v>117507345522</v>
      </c>
      <c r="AZ99" s="4">
        <v>141180341946</v>
      </c>
      <c r="BA99" s="4">
        <v>136932504168</v>
      </c>
      <c r="BB99" s="4">
        <v>136095726390</v>
      </c>
      <c r="BC99" s="4">
        <v>135022755220</v>
      </c>
      <c r="BD99" s="4">
        <v>130774917442</v>
      </c>
      <c r="BE99" s="4">
        <v>109891791394</v>
      </c>
      <c r="BF99" s="4">
        <v>108818820224</v>
      </c>
      <c r="BG99" s="4">
        <v>107233510446</v>
      </c>
      <c r="BH99" s="4">
        <v>106396732668</v>
      </c>
      <c r="BI99" s="4">
        <v>101343133942</v>
      </c>
      <c r="BJ99" s="4">
        <v>102401372942</v>
      </c>
      <c r="BK99" s="4">
        <v>83152254354</v>
      </c>
      <c r="BL99" s="4">
        <v>82242841415</v>
      </c>
      <c r="BM99" s="4">
        <v>104170341415</v>
      </c>
      <c r="BN99" s="4">
        <v>112870341415</v>
      </c>
      <c r="BO99" s="4">
        <v>112870341415</v>
      </c>
      <c r="BP99" s="4">
        <v>187703236415</v>
      </c>
      <c r="BQ99" s="4">
        <f t="shared" ref="BQ99:BW99" si="47">SUM(BQ100:BQ113)</f>
        <v>0</v>
      </c>
      <c r="BR99" s="4">
        <f t="shared" si="47"/>
        <v>0</v>
      </c>
      <c r="BS99" s="4">
        <f t="shared" si="47"/>
        <v>0</v>
      </c>
      <c r="BT99" s="4">
        <f t="shared" si="47"/>
        <v>0</v>
      </c>
      <c r="BU99" s="4">
        <f t="shared" si="47"/>
        <v>0</v>
      </c>
      <c r="BV99" s="4">
        <f t="shared" si="47"/>
        <v>0</v>
      </c>
      <c r="BW99" s="4">
        <f t="shared" si="47"/>
        <v>0</v>
      </c>
    </row>
    <row r="100" spans="1:75" ht="15" customHeight="1">
      <c r="A100" s="55">
        <v>97</v>
      </c>
      <c r="B100" s="75" t="s">
        <v>126</v>
      </c>
      <c r="C100" s="55">
        <v>28</v>
      </c>
      <c r="D100" s="508"/>
      <c r="E100" s="508"/>
      <c r="F100" s="508"/>
      <c r="G100" s="508"/>
      <c r="H100" s="508"/>
      <c r="I100" s="508"/>
      <c r="J100" s="508"/>
      <c r="K100" s="508"/>
      <c r="L100" s="508"/>
      <c r="M100" s="508"/>
      <c r="N100" s="508"/>
      <c r="O100" s="508"/>
      <c r="P100" s="508"/>
      <c r="Q100" s="508"/>
      <c r="R100" s="508"/>
      <c r="S100" s="508"/>
      <c r="T100" s="508"/>
      <c r="U100" s="508"/>
      <c r="V100" s="508"/>
      <c r="W100" s="508"/>
      <c r="X100" s="508"/>
      <c r="Y100" s="508"/>
      <c r="Z100" s="508"/>
      <c r="AA100" s="508"/>
      <c r="AB100" s="508"/>
      <c r="AC100" s="508"/>
      <c r="AD100" s="508"/>
      <c r="AE100" s="508"/>
      <c r="AF100" s="508"/>
      <c r="AG100" s="508"/>
      <c r="AH100" s="508"/>
      <c r="AI100" s="508"/>
      <c r="AJ100" s="508"/>
      <c r="AK100" s="508"/>
      <c r="AL100" s="508"/>
      <c r="AM100" s="508"/>
      <c r="AN100" s="508">
        <v>0</v>
      </c>
      <c r="AO100" s="508">
        <v>0</v>
      </c>
      <c r="AP100" s="508">
        <v>0</v>
      </c>
      <c r="AQ100" s="508">
        <v>0</v>
      </c>
      <c r="AR100" s="508">
        <v>0</v>
      </c>
      <c r="AS100" s="508">
        <v>0</v>
      </c>
      <c r="AT100" s="508">
        <v>0</v>
      </c>
      <c r="AU100" s="508">
        <v>0</v>
      </c>
      <c r="AV100" s="508">
        <v>0</v>
      </c>
      <c r="AW100" s="508">
        <v>0</v>
      </c>
      <c r="AX100" s="508">
        <v>0</v>
      </c>
      <c r="AY100" s="508">
        <v>0</v>
      </c>
      <c r="AZ100" s="508">
        <v>0</v>
      </c>
      <c r="BA100" s="508">
        <v>0</v>
      </c>
      <c r="BB100" s="508">
        <v>0</v>
      </c>
      <c r="BC100" s="508">
        <v>0</v>
      </c>
      <c r="BD100" s="508">
        <v>0</v>
      </c>
      <c r="BE100" s="508">
        <v>0</v>
      </c>
      <c r="BF100" s="508">
        <v>0</v>
      </c>
      <c r="BG100" s="508">
        <v>0</v>
      </c>
      <c r="BH100" s="508">
        <v>0</v>
      </c>
      <c r="BI100" s="508">
        <v>0</v>
      </c>
      <c r="BJ100" s="508">
        <v>0</v>
      </c>
      <c r="BK100" s="508">
        <v>0</v>
      </c>
      <c r="BL100" s="508">
        <v>0</v>
      </c>
      <c r="BM100" s="508">
        <v>0</v>
      </c>
      <c r="BN100" s="508">
        <v>0</v>
      </c>
      <c r="BO100" s="508">
        <v>0</v>
      </c>
      <c r="BP100" s="508">
        <v>0</v>
      </c>
      <c r="BQ100" s="508"/>
      <c r="BR100" s="508"/>
      <c r="BS100" s="508"/>
      <c r="BT100" s="508"/>
      <c r="BU100" s="508"/>
      <c r="BV100" s="508"/>
      <c r="BW100" s="508"/>
    </row>
    <row r="101" spans="1:75" ht="15" customHeight="1">
      <c r="A101" s="55">
        <v>98</v>
      </c>
      <c r="B101" s="75" t="s">
        <v>127</v>
      </c>
      <c r="C101" s="55">
        <v>28</v>
      </c>
      <c r="D101" s="508"/>
      <c r="E101" s="508"/>
      <c r="F101" s="508"/>
      <c r="G101" s="508"/>
      <c r="H101" s="508"/>
      <c r="I101" s="508"/>
      <c r="J101" s="508"/>
      <c r="K101" s="508"/>
      <c r="L101" s="508"/>
      <c r="M101" s="508"/>
      <c r="N101" s="508"/>
      <c r="O101" s="508"/>
      <c r="P101" s="508"/>
      <c r="Q101" s="508"/>
      <c r="R101" s="508"/>
      <c r="S101" s="508"/>
      <c r="T101" s="508"/>
      <c r="U101" s="508"/>
      <c r="V101" s="508"/>
      <c r="W101" s="508"/>
      <c r="X101" s="508"/>
      <c r="Y101" s="508"/>
      <c r="Z101" s="508"/>
      <c r="AA101" s="508"/>
      <c r="AB101" s="508"/>
      <c r="AC101" s="508"/>
      <c r="AD101" s="508"/>
      <c r="AE101" s="508"/>
      <c r="AF101" s="508"/>
      <c r="AG101" s="508"/>
      <c r="AH101" s="508"/>
      <c r="AI101" s="508"/>
      <c r="AJ101" s="508"/>
      <c r="AK101" s="508"/>
      <c r="AL101" s="508"/>
      <c r="AM101" s="508"/>
      <c r="AN101" s="508">
        <v>0</v>
      </c>
      <c r="AO101" s="508">
        <v>0</v>
      </c>
      <c r="AP101" s="508">
        <v>0</v>
      </c>
      <c r="AQ101" s="508">
        <v>0</v>
      </c>
      <c r="AR101" s="508">
        <v>0</v>
      </c>
      <c r="AS101" s="508">
        <v>0</v>
      </c>
      <c r="AT101" s="508">
        <v>0</v>
      </c>
      <c r="AU101" s="508">
        <v>0</v>
      </c>
      <c r="AV101" s="508">
        <v>0</v>
      </c>
      <c r="AW101" s="508">
        <v>0</v>
      </c>
      <c r="AX101" s="508">
        <v>0</v>
      </c>
      <c r="AY101" s="508">
        <v>0</v>
      </c>
      <c r="AZ101" s="508">
        <v>0</v>
      </c>
      <c r="BA101" s="508">
        <v>0</v>
      </c>
      <c r="BB101" s="508">
        <v>0</v>
      </c>
      <c r="BC101" s="508">
        <v>0</v>
      </c>
      <c r="BD101" s="508">
        <v>0</v>
      </c>
      <c r="BE101" s="508">
        <v>0</v>
      </c>
      <c r="BF101" s="508">
        <v>0</v>
      </c>
      <c r="BG101" s="508">
        <v>0</v>
      </c>
      <c r="BH101" s="508">
        <v>0</v>
      </c>
      <c r="BI101" s="508">
        <v>0</v>
      </c>
      <c r="BJ101" s="508">
        <v>0</v>
      </c>
      <c r="BK101" s="508">
        <v>0</v>
      </c>
      <c r="BL101" s="508">
        <v>0</v>
      </c>
      <c r="BM101" s="508">
        <v>0</v>
      </c>
      <c r="BN101" s="508">
        <v>0</v>
      </c>
      <c r="BO101" s="508">
        <v>0</v>
      </c>
      <c r="BP101" s="508">
        <v>0</v>
      </c>
      <c r="BQ101" s="508"/>
      <c r="BR101" s="508"/>
      <c r="BS101" s="508"/>
      <c r="BT101" s="508"/>
      <c r="BU101" s="508"/>
      <c r="BV101" s="508"/>
      <c r="BW101" s="508"/>
    </row>
    <row r="102" spans="1:75" ht="15" customHeight="1">
      <c r="A102" s="55">
        <v>99</v>
      </c>
      <c r="B102" s="75" t="s">
        <v>128</v>
      </c>
      <c r="C102" s="55">
        <v>28</v>
      </c>
      <c r="D102" s="508"/>
      <c r="E102" s="508"/>
      <c r="F102" s="508"/>
      <c r="G102" s="508"/>
      <c r="H102" s="508"/>
      <c r="I102" s="508"/>
      <c r="J102" s="508"/>
      <c r="K102" s="508"/>
      <c r="L102" s="508"/>
      <c r="M102" s="508"/>
      <c r="N102" s="508"/>
      <c r="O102" s="508"/>
      <c r="P102" s="508"/>
      <c r="Q102" s="508"/>
      <c r="R102" s="508"/>
      <c r="S102" s="508"/>
      <c r="T102" s="508"/>
      <c r="U102" s="508"/>
      <c r="V102" s="508"/>
      <c r="W102" s="508"/>
      <c r="X102" s="508"/>
      <c r="Y102" s="508"/>
      <c r="Z102" s="508"/>
      <c r="AA102" s="508"/>
      <c r="AB102" s="508"/>
      <c r="AC102" s="508"/>
      <c r="AD102" s="508"/>
      <c r="AE102" s="508"/>
      <c r="AF102" s="508"/>
      <c r="AG102" s="508"/>
      <c r="AH102" s="508"/>
      <c r="AI102" s="508"/>
      <c r="AJ102" s="508"/>
      <c r="AK102" s="508"/>
      <c r="AL102" s="508"/>
      <c r="AM102" s="508"/>
      <c r="AN102" s="508">
        <v>0</v>
      </c>
      <c r="AO102" s="508">
        <v>0</v>
      </c>
      <c r="AP102" s="508">
        <v>0</v>
      </c>
      <c r="AQ102" s="508">
        <v>0</v>
      </c>
      <c r="AR102" s="508">
        <v>0</v>
      </c>
      <c r="AS102" s="508">
        <v>0</v>
      </c>
      <c r="AT102" s="508">
        <v>0</v>
      </c>
      <c r="AU102" s="508">
        <v>0</v>
      </c>
      <c r="AV102" s="508">
        <v>0</v>
      </c>
      <c r="AW102" s="508">
        <v>0</v>
      </c>
      <c r="AX102" s="508">
        <v>0</v>
      </c>
      <c r="AY102" s="508">
        <v>0</v>
      </c>
      <c r="AZ102" s="508">
        <v>0</v>
      </c>
      <c r="BA102" s="508">
        <v>0</v>
      </c>
      <c r="BB102" s="508">
        <v>0</v>
      </c>
      <c r="BC102" s="508">
        <v>0</v>
      </c>
      <c r="BD102" s="508">
        <v>0</v>
      </c>
      <c r="BE102" s="508">
        <v>0</v>
      </c>
      <c r="BF102" s="508">
        <v>0</v>
      </c>
      <c r="BG102" s="508">
        <v>0</v>
      </c>
      <c r="BH102" s="508">
        <v>0</v>
      </c>
      <c r="BI102" s="508">
        <v>0</v>
      </c>
      <c r="BJ102" s="508">
        <v>0</v>
      </c>
      <c r="BK102" s="508">
        <v>0</v>
      </c>
      <c r="BL102" s="508">
        <v>0</v>
      </c>
      <c r="BM102" s="508">
        <v>0</v>
      </c>
      <c r="BN102" s="508">
        <v>0</v>
      </c>
      <c r="BO102" s="508">
        <v>0</v>
      </c>
      <c r="BP102" s="508">
        <v>0</v>
      </c>
      <c r="BQ102" s="508"/>
      <c r="BR102" s="508"/>
      <c r="BS102" s="508"/>
      <c r="BT102" s="508"/>
      <c r="BU102" s="508"/>
      <c r="BV102" s="508"/>
      <c r="BW102" s="508"/>
    </row>
    <row r="103" spans="1:75" ht="15" customHeight="1">
      <c r="A103" s="55">
        <v>100</v>
      </c>
      <c r="B103" s="75" t="s">
        <v>129</v>
      </c>
      <c r="C103" s="55">
        <v>28</v>
      </c>
      <c r="D103" s="508"/>
      <c r="E103" s="508"/>
      <c r="F103" s="508"/>
      <c r="G103" s="508"/>
      <c r="H103" s="508"/>
      <c r="I103" s="508"/>
      <c r="J103" s="508"/>
      <c r="K103" s="508"/>
      <c r="L103" s="508"/>
      <c r="M103" s="508"/>
      <c r="N103" s="508"/>
      <c r="O103" s="508"/>
      <c r="P103" s="508"/>
      <c r="Q103" s="508"/>
      <c r="R103" s="508"/>
      <c r="S103" s="508"/>
      <c r="T103" s="508"/>
      <c r="U103" s="508"/>
      <c r="V103" s="508"/>
      <c r="W103" s="508"/>
      <c r="X103" s="508"/>
      <c r="Y103" s="508"/>
      <c r="Z103" s="508"/>
      <c r="AA103" s="508"/>
      <c r="AB103" s="508"/>
      <c r="AC103" s="508"/>
      <c r="AD103" s="508"/>
      <c r="AE103" s="508"/>
      <c r="AF103" s="508"/>
      <c r="AG103" s="508"/>
      <c r="AH103" s="508"/>
      <c r="AI103" s="508"/>
      <c r="AJ103" s="508"/>
      <c r="AK103" s="508"/>
      <c r="AL103" s="508"/>
      <c r="AM103" s="508"/>
      <c r="AN103" s="508">
        <v>0</v>
      </c>
      <c r="AO103" s="508">
        <v>0</v>
      </c>
      <c r="AP103" s="508">
        <v>0</v>
      </c>
      <c r="AQ103" s="508">
        <v>0</v>
      </c>
      <c r="AR103" s="508">
        <v>0</v>
      </c>
      <c r="AS103" s="508">
        <v>0</v>
      </c>
      <c r="AT103" s="508">
        <v>0</v>
      </c>
      <c r="AU103" s="508">
        <v>0</v>
      </c>
      <c r="AV103" s="508">
        <v>0</v>
      </c>
      <c r="AW103" s="508">
        <v>0</v>
      </c>
      <c r="AX103" s="508">
        <v>0</v>
      </c>
      <c r="AY103" s="508">
        <v>0</v>
      </c>
      <c r="AZ103" s="508">
        <v>0</v>
      </c>
      <c r="BA103" s="508">
        <v>0</v>
      </c>
      <c r="BB103" s="508">
        <v>0</v>
      </c>
      <c r="BC103" s="508">
        <v>0</v>
      </c>
      <c r="BD103" s="508">
        <v>0</v>
      </c>
      <c r="BE103" s="508">
        <v>0</v>
      </c>
      <c r="BF103" s="508">
        <v>0</v>
      </c>
      <c r="BG103" s="508">
        <v>0</v>
      </c>
      <c r="BH103" s="508">
        <v>0</v>
      </c>
      <c r="BI103" s="508">
        <v>0</v>
      </c>
      <c r="BJ103" s="508">
        <v>0</v>
      </c>
      <c r="BK103" s="508">
        <v>0</v>
      </c>
      <c r="BL103" s="508">
        <v>0</v>
      </c>
      <c r="BM103" s="508">
        <v>0</v>
      </c>
      <c r="BN103" s="508">
        <v>0</v>
      </c>
      <c r="BO103" s="508">
        <v>0</v>
      </c>
      <c r="BP103" s="508">
        <v>0</v>
      </c>
      <c r="BQ103" s="508"/>
      <c r="BR103" s="508"/>
      <c r="BS103" s="508"/>
      <c r="BT103" s="508"/>
      <c r="BU103" s="508"/>
      <c r="BV103" s="508"/>
      <c r="BW103" s="508"/>
    </row>
    <row r="104" spans="1:75" ht="15" customHeight="1">
      <c r="A104" s="55">
        <v>101</v>
      </c>
      <c r="B104" s="75" t="s">
        <v>130</v>
      </c>
      <c r="C104" s="55">
        <v>28</v>
      </c>
      <c r="D104" s="508"/>
      <c r="E104" s="508"/>
      <c r="F104" s="508"/>
      <c r="G104" s="508"/>
      <c r="H104" s="508"/>
      <c r="I104" s="508"/>
      <c r="J104" s="508"/>
      <c r="K104" s="508"/>
      <c r="L104" s="508"/>
      <c r="M104" s="508"/>
      <c r="N104" s="508"/>
      <c r="O104" s="508"/>
      <c r="P104" s="508"/>
      <c r="Q104" s="508"/>
      <c r="R104" s="508"/>
      <c r="S104" s="508"/>
      <c r="T104" s="508"/>
      <c r="U104" s="508"/>
      <c r="V104" s="508"/>
      <c r="W104" s="508"/>
      <c r="X104" s="508"/>
      <c r="Y104" s="508"/>
      <c r="Z104" s="508"/>
      <c r="AA104" s="508"/>
      <c r="AB104" s="508"/>
      <c r="AC104" s="508"/>
      <c r="AD104" s="508"/>
      <c r="AE104" s="508"/>
      <c r="AF104" s="508"/>
      <c r="AG104" s="508"/>
      <c r="AH104" s="508"/>
      <c r="AI104" s="508"/>
      <c r="AJ104" s="508"/>
      <c r="AK104" s="508"/>
      <c r="AL104" s="508"/>
      <c r="AM104" s="508"/>
      <c r="AN104" s="508">
        <v>0</v>
      </c>
      <c r="AO104" s="508">
        <v>0</v>
      </c>
      <c r="AP104" s="508">
        <v>0</v>
      </c>
      <c r="AQ104" s="508">
        <v>0</v>
      </c>
      <c r="AR104" s="508">
        <v>0</v>
      </c>
      <c r="AS104" s="508">
        <v>0</v>
      </c>
      <c r="AT104" s="508">
        <v>0</v>
      </c>
      <c r="AU104" s="508">
        <v>0</v>
      </c>
      <c r="AV104" s="508">
        <v>0</v>
      </c>
      <c r="AW104" s="508">
        <v>0</v>
      </c>
      <c r="AX104" s="508">
        <v>0</v>
      </c>
      <c r="AY104" s="508">
        <v>0</v>
      </c>
      <c r="AZ104" s="508">
        <v>0</v>
      </c>
      <c r="BA104" s="508">
        <v>0</v>
      </c>
      <c r="BB104" s="508">
        <v>0</v>
      </c>
      <c r="BC104" s="508">
        <v>0</v>
      </c>
      <c r="BD104" s="508">
        <v>0</v>
      </c>
      <c r="BE104" s="508">
        <v>0</v>
      </c>
      <c r="BF104" s="508">
        <v>0</v>
      </c>
      <c r="BG104" s="508">
        <v>0</v>
      </c>
      <c r="BH104" s="508">
        <v>0</v>
      </c>
      <c r="BI104" s="508">
        <v>0</v>
      </c>
      <c r="BJ104" s="508">
        <v>0</v>
      </c>
      <c r="BK104" s="508">
        <v>0</v>
      </c>
      <c r="BL104" s="508">
        <v>0</v>
      </c>
      <c r="BM104" s="508">
        <v>0</v>
      </c>
      <c r="BN104" s="508">
        <v>0</v>
      </c>
      <c r="BO104" s="508">
        <v>0</v>
      </c>
      <c r="BP104" s="508">
        <v>0</v>
      </c>
      <c r="BQ104" s="508"/>
      <c r="BR104" s="508"/>
      <c r="BS104" s="508"/>
      <c r="BT104" s="508"/>
      <c r="BU104" s="508"/>
      <c r="BV104" s="508"/>
      <c r="BW104" s="508"/>
    </row>
    <row r="105" spans="1:75" ht="15" customHeight="1">
      <c r="A105" s="55">
        <v>102</v>
      </c>
      <c r="B105" s="75" t="s">
        <v>131</v>
      </c>
      <c r="C105" s="55">
        <v>28</v>
      </c>
      <c r="D105" s="508"/>
      <c r="E105" s="508"/>
      <c r="F105" s="508"/>
      <c r="G105" s="508"/>
      <c r="H105" s="508"/>
      <c r="I105" s="508"/>
      <c r="J105" s="508"/>
      <c r="K105" s="508"/>
      <c r="L105" s="508"/>
      <c r="M105" s="508"/>
      <c r="N105" s="508"/>
      <c r="O105" s="508"/>
      <c r="P105" s="508"/>
      <c r="Q105" s="508"/>
      <c r="R105" s="508"/>
      <c r="S105" s="508"/>
      <c r="T105" s="508"/>
      <c r="U105" s="508"/>
      <c r="V105" s="508"/>
      <c r="W105" s="508"/>
      <c r="X105" s="508"/>
      <c r="Y105" s="508"/>
      <c r="Z105" s="508"/>
      <c r="AA105" s="508"/>
      <c r="AB105" s="508"/>
      <c r="AC105" s="508"/>
      <c r="AD105" s="508"/>
      <c r="AE105" s="508"/>
      <c r="AF105" s="508"/>
      <c r="AG105" s="508"/>
      <c r="AH105" s="508"/>
      <c r="AI105" s="508"/>
      <c r="AJ105" s="508"/>
      <c r="AK105" s="508"/>
      <c r="AL105" s="508"/>
      <c r="AM105" s="508"/>
      <c r="AN105" s="508">
        <v>0</v>
      </c>
      <c r="AO105" s="508">
        <v>0</v>
      </c>
      <c r="AP105" s="508">
        <v>0</v>
      </c>
      <c r="AQ105" s="508">
        <v>0</v>
      </c>
      <c r="AR105" s="508">
        <v>0</v>
      </c>
      <c r="AS105" s="508">
        <v>0</v>
      </c>
      <c r="AT105" s="508">
        <v>0</v>
      </c>
      <c r="AU105" s="508">
        <v>0</v>
      </c>
      <c r="AV105" s="508">
        <v>0</v>
      </c>
      <c r="AW105" s="508">
        <v>0</v>
      </c>
      <c r="AX105" s="508">
        <v>0</v>
      </c>
      <c r="AY105" s="508">
        <v>0</v>
      </c>
      <c r="AZ105" s="508">
        <v>0</v>
      </c>
      <c r="BA105" s="508">
        <v>0</v>
      </c>
      <c r="BB105" s="508">
        <v>0</v>
      </c>
      <c r="BC105" s="508">
        <v>0</v>
      </c>
      <c r="BD105" s="508">
        <v>0</v>
      </c>
      <c r="BE105" s="508">
        <v>0</v>
      </c>
      <c r="BF105" s="508">
        <v>0</v>
      </c>
      <c r="BG105" s="508">
        <v>0</v>
      </c>
      <c r="BH105" s="508">
        <v>0</v>
      </c>
      <c r="BI105" s="508">
        <v>0</v>
      </c>
      <c r="BJ105" s="508">
        <v>0</v>
      </c>
      <c r="BK105" s="508">
        <v>0</v>
      </c>
      <c r="BL105" s="508">
        <v>0</v>
      </c>
      <c r="BM105" s="508">
        <v>0</v>
      </c>
      <c r="BN105" s="508">
        <v>0</v>
      </c>
      <c r="BO105" s="508">
        <v>0</v>
      </c>
      <c r="BP105" s="508">
        <v>0</v>
      </c>
      <c r="BQ105" s="508"/>
      <c r="BR105" s="508"/>
      <c r="BS105" s="508"/>
      <c r="BT105" s="508"/>
      <c r="BU105" s="508"/>
      <c r="BV105" s="508"/>
      <c r="BW105" s="508"/>
    </row>
    <row r="106" spans="1:75" ht="15" customHeight="1">
      <c r="A106" s="55">
        <v>103</v>
      </c>
      <c r="B106" s="75" t="s">
        <v>132</v>
      </c>
      <c r="C106" s="55">
        <v>28</v>
      </c>
      <c r="D106" s="508"/>
      <c r="E106" s="508"/>
      <c r="F106" s="508"/>
      <c r="G106" s="508"/>
      <c r="H106" s="508"/>
      <c r="I106" s="508"/>
      <c r="J106" s="508"/>
      <c r="K106" s="508"/>
      <c r="L106" s="508"/>
      <c r="M106" s="508"/>
      <c r="N106" s="508"/>
      <c r="O106" s="508"/>
      <c r="P106" s="508"/>
      <c r="Q106" s="508"/>
      <c r="R106" s="508"/>
      <c r="S106" s="508"/>
      <c r="T106" s="508"/>
      <c r="U106" s="508"/>
      <c r="V106" s="508"/>
      <c r="W106" s="508"/>
      <c r="X106" s="508"/>
      <c r="Y106" s="508"/>
      <c r="Z106" s="508"/>
      <c r="AA106" s="508"/>
      <c r="AB106" s="508"/>
      <c r="AC106" s="508"/>
      <c r="AD106" s="508"/>
      <c r="AE106" s="508"/>
      <c r="AF106" s="508"/>
      <c r="AG106" s="508"/>
      <c r="AH106" s="508"/>
      <c r="AI106" s="508"/>
      <c r="AJ106" s="508"/>
      <c r="AK106" s="508"/>
      <c r="AL106" s="508"/>
      <c r="AM106" s="508"/>
      <c r="AN106" s="508">
        <v>0</v>
      </c>
      <c r="AO106" s="508">
        <v>0</v>
      </c>
      <c r="AP106" s="508">
        <v>0</v>
      </c>
      <c r="AQ106" s="508">
        <v>0</v>
      </c>
      <c r="AR106" s="508">
        <v>0</v>
      </c>
      <c r="AS106" s="508">
        <v>0</v>
      </c>
      <c r="AT106" s="508">
        <v>0</v>
      </c>
      <c r="AU106" s="508">
        <v>0</v>
      </c>
      <c r="AV106" s="508">
        <v>0</v>
      </c>
      <c r="AW106" s="508">
        <v>0</v>
      </c>
      <c r="AX106" s="508">
        <v>0</v>
      </c>
      <c r="AY106" s="508">
        <v>0</v>
      </c>
      <c r="AZ106" s="508">
        <v>0</v>
      </c>
      <c r="BA106" s="508">
        <v>0</v>
      </c>
      <c r="BB106" s="508">
        <v>0</v>
      </c>
      <c r="BC106" s="508">
        <v>0</v>
      </c>
      <c r="BD106" s="508">
        <v>0</v>
      </c>
      <c r="BE106" s="508">
        <v>0</v>
      </c>
      <c r="BF106" s="508">
        <v>0</v>
      </c>
      <c r="BG106" s="508">
        <v>0</v>
      </c>
      <c r="BH106" s="508">
        <v>0</v>
      </c>
      <c r="BI106" s="508">
        <v>0</v>
      </c>
      <c r="BJ106" s="508">
        <v>0</v>
      </c>
      <c r="BK106" s="508">
        <v>0</v>
      </c>
      <c r="BL106" s="508">
        <v>0</v>
      </c>
      <c r="BM106" s="508">
        <v>0</v>
      </c>
      <c r="BN106" s="508">
        <v>0</v>
      </c>
      <c r="BO106" s="508">
        <v>0</v>
      </c>
      <c r="BP106" s="508">
        <v>0</v>
      </c>
      <c r="BQ106" s="508"/>
      <c r="BR106" s="508"/>
      <c r="BS106" s="508"/>
      <c r="BT106" s="508"/>
      <c r="BU106" s="508"/>
      <c r="BV106" s="508"/>
      <c r="BW106" s="508"/>
    </row>
    <row r="107" spans="1:75" ht="15" customHeight="1">
      <c r="A107" s="55">
        <v>104</v>
      </c>
      <c r="B107" s="75" t="s">
        <v>133</v>
      </c>
      <c r="C107" s="55">
        <v>28</v>
      </c>
      <c r="D107" s="508"/>
      <c r="E107" s="508"/>
      <c r="F107" s="508"/>
      <c r="G107" s="508"/>
      <c r="H107" s="508"/>
      <c r="I107" s="508"/>
      <c r="J107" s="508"/>
      <c r="K107" s="508"/>
      <c r="L107" s="508"/>
      <c r="M107" s="508"/>
      <c r="N107" s="508"/>
      <c r="O107" s="508"/>
      <c r="P107" s="508"/>
      <c r="Q107" s="508"/>
      <c r="R107" s="508"/>
      <c r="S107" s="508"/>
      <c r="T107" s="508"/>
      <c r="U107" s="508"/>
      <c r="V107" s="508"/>
      <c r="W107" s="508"/>
      <c r="X107" s="508"/>
      <c r="Y107" s="508"/>
      <c r="Z107" s="508"/>
      <c r="AA107" s="508"/>
      <c r="AB107" s="508"/>
      <c r="AC107" s="508"/>
      <c r="AD107" s="508"/>
      <c r="AE107" s="508"/>
      <c r="AF107" s="508"/>
      <c r="AG107" s="508"/>
      <c r="AH107" s="508"/>
      <c r="AI107" s="508"/>
      <c r="AJ107" s="508"/>
      <c r="AK107" s="508"/>
      <c r="AL107" s="508"/>
      <c r="AM107" s="508"/>
      <c r="AN107" s="508">
        <v>0</v>
      </c>
      <c r="AO107" s="508">
        <v>0</v>
      </c>
      <c r="AP107" s="508">
        <v>0</v>
      </c>
      <c r="AQ107" s="508">
        <v>0</v>
      </c>
      <c r="AR107" s="508">
        <v>0</v>
      </c>
      <c r="AS107" s="508">
        <v>0</v>
      </c>
      <c r="AT107" s="508">
        <v>0</v>
      </c>
      <c r="AU107" s="508">
        <v>0</v>
      </c>
      <c r="AV107" s="508">
        <v>0</v>
      </c>
      <c r="AW107" s="508">
        <v>0</v>
      </c>
      <c r="AX107" s="508">
        <v>0</v>
      </c>
      <c r="AY107" s="508">
        <v>0</v>
      </c>
      <c r="AZ107" s="508">
        <v>0</v>
      </c>
      <c r="BA107" s="508">
        <v>0</v>
      </c>
      <c r="BB107" s="508">
        <v>0</v>
      </c>
      <c r="BC107" s="508">
        <v>0</v>
      </c>
      <c r="BD107" s="508">
        <v>0</v>
      </c>
      <c r="BE107" s="508">
        <v>0</v>
      </c>
      <c r="BF107" s="508">
        <v>0</v>
      </c>
      <c r="BG107" s="508">
        <v>0</v>
      </c>
      <c r="BH107" s="508">
        <v>0</v>
      </c>
      <c r="BI107" s="508">
        <v>0</v>
      </c>
      <c r="BJ107" s="508">
        <v>0</v>
      </c>
      <c r="BK107" s="508">
        <v>0</v>
      </c>
      <c r="BL107" s="508">
        <v>0</v>
      </c>
      <c r="BM107" s="508">
        <v>0</v>
      </c>
      <c r="BN107" s="508">
        <v>0</v>
      </c>
      <c r="BO107" s="508">
        <v>0</v>
      </c>
      <c r="BP107" s="508">
        <v>0</v>
      </c>
      <c r="BQ107" s="508"/>
      <c r="BR107" s="508"/>
      <c r="BS107" s="508"/>
      <c r="BT107" s="508"/>
      <c r="BU107" s="508"/>
      <c r="BV107" s="508"/>
      <c r="BW107" s="508"/>
    </row>
    <row r="108" spans="1:75" ht="15" customHeight="1">
      <c r="A108" s="55">
        <v>105</v>
      </c>
      <c r="B108" s="75" t="s">
        <v>348</v>
      </c>
      <c r="C108" s="55">
        <v>28</v>
      </c>
      <c r="D108" s="508"/>
      <c r="E108" s="508"/>
      <c r="F108" s="508"/>
      <c r="G108" s="508"/>
      <c r="H108" s="508"/>
      <c r="I108" s="508"/>
      <c r="J108" s="508"/>
      <c r="K108" s="508"/>
      <c r="L108" s="508"/>
      <c r="M108" s="508"/>
      <c r="N108" s="508"/>
      <c r="O108" s="508"/>
      <c r="P108" s="508"/>
      <c r="Q108" s="508"/>
      <c r="R108" s="508"/>
      <c r="S108" s="508"/>
      <c r="T108" s="508"/>
      <c r="U108" s="508"/>
      <c r="V108" s="508"/>
      <c r="W108" s="508"/>
      <c r="X108" s="508"/>
      <c r="Y108" s="508"/>
      <c r="Z108" s="508"/>
      <c r="AA108" s="508"/>
      <c r="AB108" s="508"/>
      <c r="AC108" s="508"/>
      <c r="AD108" s="508"/>
      <c r="AE108" s="508"/>
      <c r="AF108" s="508"/>
      <c r="AG108" s="508"/>
      <c r="AH108" s="508"/>
      <c r="AI108" s="508"/>
      <c r="AJ108" s="508"/>
      <c r="AK108" s="508"/>
      <c r="AL108" s="508"/>
      <c r="AM108" s="508"/>
      <c r="AN108" s="508">
        <v>110386411070</v>
      </c>
      <c r="AO108" s="508">
        <v>110292351070</v>
      </c>
      <c r="AP108" s="508">
        <v>110233351070</v>
      </c>
      <c r="AQ108" s="508">
        <v>109938157678</v>
      </c>
      <c r="AR108" s="508">
        <v>107984867678</v>
      </c>
      <c r="AS108" s="508">
        <v>109314035678</v>
      </c>
      <c r="AT108" s="508">
        <v>109426842286</v>
      </c>
      <c r="AU108" s="508">
        <v>108769782286</v>
      </c>
      <c r="AV108" s="508">
        <v>109364782286</v>
      </c>
      <c r="AW108" s="508">
        <v>109588588894</v>
      </c>
      <c r="AX108" s="508">
        <v>136214528894</v>
      </c>
      <c r="AY108" s="508">
        <v>115668404212</v>
      </c>
      <c r="AZ108" s="508">
        <v>141180341946</v>
      </c>
      <c r="BA108" s="508">
        <v>136932504168</v>
      </c>
      <c r="BB108" s="508">
        <v>136095726390</v>
      </c>
      <c r="BC108" s="508">
        <v>135022755220</v>
      </c>
      <c r="BD108" s="508">
        <v>130774917442</v>
      </c>
      <c r="BE108" s="508">
        <v>109891791394</v>
      </c>
      <c r="BF108" s="508">
        <v>108818820224</v>
      </c>
      <c r="BG108" s="508">
        <v>107233510446</v>
      </c>
      <c r="BH108" s="508">
        <v>106396732668</v>
      </c>
      <c r="BI108" s="508">
        <v>101343133942</v>
      </c>
      <c r="BJ108" s="508">
        <v>102401372942</v>
      </c>
      <c r="BK108" s="508">
        <v>83152254354</v>
      </c>
      <c r="BL108" s="508">
        <v>82242841415</v>
      </c>
      <c r="BM108" s="508">
        <v>104170341415</v>
      </c>
      <c r="BN108" s="508">
        <v>112870341415</v>
      </c>
      <c r="BO108" s="508">
        <v>112870341415</v>
      </c>
      <c r="BP108" s="508">
        <v>187703236415</v>
      </c>
      <c r="BQ108" s="508"/>
      <c r="BR108" s="508"/>
      <c r="BS108" s="508"/>
      <c r="BT108" s="508"/>
      <c r="BU108" s="508"/>
      <c r="BV108" s="508"/>
      <c r="BW108" s="508"/>
    </row>
    <row r="109" spans="1:75" ht="15" customHeight="1">
      <c r="A109" s="55">
        <v>106</v>
      </c>
      <c r="B109" s="75" t="s">
        <v>135</v>
      </c>
      <c r="C109" s="55">
        <v>28</v>
      </c>
      <c r="D109" s="508"/>
      <c r="E109" s="508"/>
      <c r="F109" s="508"/>
      <c r="G109" s="508"/>
      <c r="H109" s="508"/>
      <c r="I109" s="508"/>
      <c r="J109" s="508"/>
      <c r="K109" s="508"/>
      <c r="L109" s="508"/>
      <c r="M109" s="508"/>
      <c r="N109" s="508"/>
      <c r="O109" s="508"/>
      <c r="P109" s="508"/>
      <c r="Q109" s="508"/>
      <c r="R109" s="508"/>
      <c r="S109" s="508"/>
      <c r="T109" s="508"/>
      <c r="U109" s="508"/>
      <c r="V109" s="508"/>
      <c r="W109" s="508"/>
      <c r="X109" s="508"/>
      <c r="Y109" s="508"/>
      <c r="Z109" s="508"/>
      <c r="AA109" s="508"/>
      <c r="AB109" s="508"/>
      <c r="AC109" s="508"/>
      <c r="AD109" s="508"/>
      <c r="AE109" s="508"/>
      <c r="AF109" s="508"/>
      <c r="AG109" s="508"/>
      <c r="AH109" s="508"/>
      <c r="AI109" s="508"/>
      <c r="AJ109" s="508"/>
      <c r="AK109" s="508"/>
      <c r="AL109" s="508"/>
      <c r="AM109" s="508"/>
      <c r="AN109" s="508">
        <v>0</v>
      </c>
      <c r="AO109" s="508">
        <v>0</v>
      </c>
      <c r="AP109" s="508">
        <v>0</v>
      </c>
      <c r="AQ109" s="508">
        <v>0</v>
      </c>
      <c r="AR109" s="508">
        <v>0</v>
      </c>
      <c r="AS109" s="508">
        <v>0</v>
      </c>
      <c r="AT109" s="508">
        <v>0</v>
      </c>
      <c r="AU109" s="508">
        <v>0</v>
      </c>
      <c r="AV109" s="508">
        <v>0</v>
      </c>
      <c r="AW109" s="508">
        <v>0</v>
      </c>
      <c r="AX109" s="508">
        <v>0</v>
      </c>
      <c r="AY109" s="508">
        <v>0</v>
      </c>
      <c r="AZ109" s="508">
        <v>0</v>
      </c>
      <c r="BA109" s="508">
        <v>0</v>
      </c>
      <c r="BB109" s="508">
        <v>0</v>
      </c>
      <c r="BC109" s="508">
        <v>0</v>
      </c>
      <c r="BD109" s="508">
        <v>0</v>
      </c>
      <c r="BE109" s="508">
        <v>0</v>
      </c>
      <c r="BF109" s="508">
        <v>0</v>
      </c>
      <c r="BG109" s="508">
        <v>0</v>
      </c>
      <c r="BH109" s="508">
        <v>0</v>
      </c>
      <c r="BI109" s="508">
        <v>0</v>
      </c>
      <c r="BJ109" s="508">
        <v>0</v>
      </c>
      <c r="BK109" s="508">
        <v>0</v>
      </c>
      <c r="BL109" s="508">
        <v>0</v>
      </c>
      <c r="BM109" s="508">
        <v>0</v>
      </c>
      <c r="BN109" s="508">
        <v>0</v>
      </c>
      <c r="BO109" s="508">
        <v>0</v>
      </c>
      <c r="BP109" s="508">
        <v>0</v>
      </c>
      <c r="BQ109" s="508"/>
      <c r="BR109" s="508"/>
      <c r="BS109" s="508"/>
      <c r="BT109" s="508"/>
      <c r="BU109" s="508"/>
      <c r="BV109" s="508"/>
      <c r="BW109" s="508"/>
    </row>
    <row r="110" spans="1:75" ht="15" customHeight="1">
      <c r="A110" s="55">
        <v>107</v>
      </c>
      <c r="B110" s="75" t="s">
        <v>136</v>
      </c>
      <c r="C110" s="55">
        <v>28</v>
      </c>
      <c r="D110" s="508"/>
      <c r="E110" s="508"/>
      <c r="F110" s="508"/>
      <c r="G110" s="508"/>
      <c r="H110" s="508"/>
      <c r="I110" s="508"/>
      <c r="J110" s="508"/>
      <c r="K110" s="508"/>
      <c r="L110" s="508"/>
      <c r="M110" s="508"/>
      <c r="N110" s="508"/>
      <c r="O110" s="508"/>
      <c r="P110" s="508"/>
      <c r="Q110" s="508"/>
      <c r="R110" s="508"/>
      <c r="S110" s="508"/>
      <c r="T110" s="508"/>
      <c r="U110" s="508"/>
      <c r="V110" s="508"/>
      <c r="W110" s="508"/>
      <c r="X110" s="508"/>
      <c r="Y110" s="508"/>
      <c r="Z110" s="508"/>
      <c r="AA110" s="508"/>
      <c r="AB110" s="508"/>
      <c r="AC110" s="508"/>
      <c r="AD110" s="508"/>
      <c r="AE110" s="508"/>
      <c r="AF110" s="508"/>
      <c r="AG110" s="508"/>
      <c r="AH110" s="508"/>
      <c r="AI110" s="508"/>
      <c r="AJ110" s="508"/>
      <c r="AK110" s="508"/>
      <c r="AL110" s="508"/>
      <c r="AM110" s="508"/>
      <c r="AN110" s="508">
        <v>0</v>
      </c>
      <c r="AO110" s="508">
        <v>0</v>
      </c>
      <c r="AP110" s="508">
        <v>0</v>
      </c>
      <c r="AQ110" s="508">
        <v>0</v>
      </c>
      <c r="AR110" s="508">
        <v>0</v>
      </c>
      <c r="AS110" s="508">
        <v>0</v>
      </c>
      <c r="AT110" s="508">
        <v>0</v>
      </c>
      <c r="AU110" s="508">
        <v>0</v>
      </c>
      <c r="AV110" s="508">
        <v>0</v>
      </c>
      <c r="AW110" s="508">
        <v>0</v>
      </c>
      <c r="AX110" s="508">
        <v>0</v>
      </c>
      <c r="AY110" s="508">
        <v>0</v>
      </c>
      <c r="AZ110" s="508">
        <v>0</v>
      </c>
      <c r="BA110" s="508">
        <v>0</v>
      </c>
      <c r="BB110" s="508">
        <v>0</v>
      </c>
      <c r="BC110" s="508">
        <v>0</v>
      </c>
      <c r="BD110" s="508">
        <v>0</v>
      </c>
      <c r="BE110" s="508">
        <v>0</v>
      </c>
      <c r="BF110" s="508">
        <v>0</v>
      </c>
      <c r="BG110" s="508">
        <v>0</v>
      </c>
      <c r="BH110" s="508">
        <v>0</v>
      </c>
      <c r="BI110" s="508">
        <v>0</v>
      </c>
      <c r="BJ110" s="508">
        <v>0</v>
      </c>
      <c r="BK110" s="508">
        <v>0</v>
      </c>
      <c r="BL110" s="508">
        <v>0</v>
      </c>
      <c r="BM110" s="508">
        <v>0</v>
      </c>
      <c r="BN110" s="508">
        <v>0</v>
      </c>
      <c r="BO110" s="508">
        <v>0</v>
      </c>
      <c r="BP110" s="508">
        <v>0</v>
      </c>
      <c r="BQ110" s="508"/>
      <c r="BR110" s="508"/>
      <c r="BS110" s="508"/>
      <c r="BT110" s="508"/>
      <c r="BU110" s="508"/>
      <c r="BV110" s="508"/>
      <c r="BW110" s="508"/>
    </row>
    <row r="111" spans="1:75" ht="15" customHeight="1">
      <c r="A111" s="55">
        <v>108</v>
      </c>
      <c r="B111" s="75" t="s">
        <v>137</v>
      </c>
      <c r="C111" s="55">
        <v>28</v>
      </c>
      <c r="D111" s="508"/>
      <c r="E111" s="508"/>
      <c r="F111" s="508"/>
      <c r="G111" s="508"/>
      <c r="H111" s="508"/>
      <c r="I111" s="508"/>
      <c r="J111" s="508"/>
      <c r="K111" s="508"/>
      <c r="L111" s="508"/>
      <c r="M111" s="508"/>
      <c r="N111" s="508"/>
      <c r="O111" s="508"/>
      <c r="P111" s="508"/>
      <c r="Q111" s="508"/>
      <c r="R111" s="508"/>
      <c r="S111" s="508"/>
      <c r="T111" s="508"/>
      <c r="U111" s="508"/>
      <c r="V111" s="508"/>
      <c r="W111" s="508"/>
      <c r="X111" s="508"/>
      <c r="Y111" s="508"/>
      <c r="Z111" s="508"/>
      <c r="AA111" s="508"/>
      <c r="AB111" s="508"/>
      <c r="AC111" s="508"/>
      <c r="AD111" s="508"/>
      <c r="AE111" s="508"/>
      <c r="AF111" s="508"/>
      <c r="AG111" s="508"/>
      <c r="AH111" s="508"/>
      <c r="AI111" s="508"/>
      <c r="AJ111" s="508"/>
      <c r="AK111" s="508"/>
      <c r="AL111" s="508"/>
      <c r="AM111" s="508"/>
      <c r="AN111" s="508">
        <v>0</v>
      </c>
      <c r="AO111" s="508">
        <v>0</v>
      </c>
      <c r="AP111" s="508">
        <v>0</v>
      </c>
      <c r="AQ111" s="508">
        <v>0</v>
      </c>
      <c r="AR111" s="508">
        <v>0</v>
      </c>
      <c r="AS111" s="508">
        <v>0</v>
      </c>
      <c r="AT111" s="508">
        <v>0</v>
      </c>
      <c r="AU111" s="508">
        <v>0</v>
      </c>
      <c r="AV111" s="508">
        <v>0</v>
      </c>
      <c r="AW111" s="508">
        <v>0</v>
      </c>
      <c r="AX111" s="508">
        <v>0</v>
      </c>
      <c r="AY111" s="508">
        <v>1838941310</v>
      </c>
      <c r="AZ111" s="508">
        <v>0</v>
      </c>
      <c r="BA111" s="508">
        <v>0</v>
      </c>
      <c r="BB111" s="508">
        <v>0</v>
      </c>
      <c r="BC111" s="508">
        <v>0</v>
      </c>
      <c r="BD111" s="508">
        <v>0</v>
      </c>
      <c r="BE111" s="508">
        <v>0</v>
      </c>
      <c r="BF111" s="508">
        <v>0</v>
      </c>
      <c r="BG111" s="508">
        <v>0</v>
      </c>
      <c r="BH111" s="508">
        <v>0</v>
      </c>
      <c r="BI111" s="508">
        <v>0</v>
      </c>
      <c r="BJ111" s="508">
        <v>0</v>
      </c>
      <c r="BK111" s="508">
        <v>0</v>
      </c>
      <c r="BL111" s="508">
        <v>0</v>
      </c>
      <c r="BM111" s="508">
        <v>0</v>
      </c>
      <c r="BN111" s="508">
        <v>0</v>
      </c>
      <c r="BO111" s="508">
        <v>0</v>
      </c>
      <c r="BP111" s="508">
        <v>0</v>
      </c>
      <c r="BQ111" s="508"/>
      <c r="BR111" s="508"/>
      <c r="BS111" s="508"/>
      <c r="BT111" s="508"/>
      <c r="BU111" s="508"/>
      <c r="BV111" s="508"/>
      <c r="BW111" s="508"/>
    </row>
    <row r="112" spans="1:75" ht="15" customHeight="1">
      <c r="A112" s="55">
        <v>109</v>
      </c>
      <c r="B112" s="75" t="s">
        <v>138</v>
      </c>
      <c r="C112" s="55">
        <v>28</v>
      </c>
      <c r="D112" s="508"/>
      <c r="E112" s="508"/>
      <c r="F112" s="508"/>
      <c r="G112" s="508"/>
      <c r="H112" s="508"/>
      <c r="I112" s="508"/>
      <c r="J112" s="508"/>
      <c r="K112" s="508"/>
      <c r="L112" s="508"/>
      <c r="M112" s="508"/>
      <c r="N112" s="508"/>
      <c r="O112" s="508"/>
      <c r="P112" s="508"/>
      <c r="Q112" s="508"/>
      <c r="R112" s="508"/>
      <c r="S112" s="508"/>
      <c r="T112" s="508"/>
      <c r="U112" s="508"/>
      <c r="V112" s="508"/>
      <c r="W112" s="508"/>
      <c r="X112" s="508"/>
      <c r="Y112" s="508"/>
      <c r="Z112" s="508"/>
      <c r="AA112" s="508"/>
      <c r="AB112" s="508"/>
      <c r="AC112" s="508"/>
      <c r="AD112" s="508"/>
      <c r="AE112" s="508"/>
      <c r="AF112" s="508"/>
      <c r="AG112" s="508"/>
      <c r="AH112" s="508"/>
      <c r="AI112" s="508"/>
      <c r="AJ112" s="508"/>
      <c r="AK112" s="508"/>
      <c r="AL112" s="508"/>
      <c r="AM112" s="508"/>
      <c r="AN112" s="508">
        <v>0</v>
      </c>
      <c r="AO112" s="508">
        <v>0</v>
      </c>
      <c r="AP112" s="508">
        <v>0</v>
      </c>
      <c r="AQ112" s="508">
        <v>0</v>
      </c>
      <c r="AR112" s="508">
        <v>0</v>
      </c>
      <c r="AS112" s="508">
        <v>0</v>
      </c>
      <c r="AT112" s="508">
        <v>0</v>
      </c>
      <c r="AU112" s="508">
        <v>0</v>
      </c>
      <c r="AV112" s="508">
        <v>0</v>
      </c>
      <c r="AW112" s="508">
        <v>0</v>
      </c>
      <c r="AX112" s="508">
        <v>0</v>
      </c>
      <c r="AY112" s="508">
        <v>0</v>
      </c>
      <c r="AZ112" s="508">
        <v>0</v>
      </c>
      <c r="BA112" s="508">
        <v>0</v>
      </c>
      <c r="BB112" s="508">
        <v>0</v>
      </c>
      <c r="BC112" s="508">
        <v>0</v>
      </c>
      <c r="BD112" s="508">
        <v>0</v>
      </c>
      <c r="BE112" s="508">
        <v>0</v>
      </c>
      <c r="BF112" s="508">
        <v>0</v>
      </c>
      <c r="BG112" s="508">
        <v>0</v>
      </c>
      <c r="BH112" s="508">
        <v>0</v>
      </c>
      <c r="BI112" s="508">
        <v>0</v>
      </c>
      <c r="BJ112" s="508">
        <v>0</v>
      </c>
      <c r="BK112" s="508">
        <v>0</v>
      </c>
      <c r="BL112" s="508">
        <v>0</v>
      </c>
      <c r="BM112" s="508">
        <v>0</v>
      </c>
      <c r="BN112" s="508">
        <v>0</v>
      </c>
      <c r="BO112" s="508">
        <v>0</v>
      </c>
      <c r="BP112" s="508">
        <v>0</v>
      </c>
      <c r="BQ112" s="508"/>
      <c r="BR112" s="508"/>
      <c r="BS112" s="508"/>
      <c r="BT112" s="508"/>
      <c r="BU112" s="508"/>
      <c r="BV112" s="508"/>
      <c r="BW112" s="508"/>
    </row>
    <row r="113" spans="1:75" ht="15" customHeight="1">
      <c r="A113" s="55">
        <v>110</v>
      </c>
      <c r="B113" s="75" t="s">
        <v>139</v>
      </c>
      <c r="C113" s="55">
        <v>28</v>
      </c>
      <c r="D113" s="508"/>
      <c r="E113" s="508"/>
      <c r="F113" s="508"/>
      <c r="G113" s="508"/>
      <c r="H113" s="508"/>
      <c r="I113" s="508"/>
      <c r="J113" s="508"/>
      <c r="K113" s="508"/>
      <c r="L113" s="508"/>
      <c r="M113" s="508"/>
      <c r="N113" s="508"/>
      <c r="O113" s="508"/>
      <c r="P113" s="508"/>
      <c r="Q113" s="508"/>
      <c r="R113" s="508"/>
      <c r="S113" s="508"/>
      <c r="T113" s="508"/>
      <c r="U113" s="508"/>
      <c r="V113" s="508"/>
      <c r="W113" s="508"/>
      <c r="X113" s="508"/>
      <c r="Y113" s="508"/>
      <c r="Z113" s="508"/>
      <c r="AA113" s="508"/>
      <c r="AB113" s="508"/>
      <c r="AC113" s="508"/>
      <c r="AD113" s="508"/>
      <c r="AE113" s="508"/>
      <c r="AF113" s="508"/>
      <c r="AG113" s="508"/>
      <c r="AH113" s="508"/>
      <c r="AI113" s="508"/>
      <c r="AJ113" s="508"/>
      <c r="AK113" s="508"/>
      <c r="AL113" s="508"/>
      <c r="AM113" s="508"/>
      <c r="AN113" s="508">
        <v>0</v>
      </c>
      <c r="AO113" s="508">
        <v>0</v>
      </c>
      <c r="AP113" s="508">
        <v>0</v>
      </c>
      <c r="AQ113" s="508">
        <v>0</v>
      </c>
      <c r="AR113" s="508">
        <v>0</v>
      </c>
      <c r="AS113" s="508">
        <v>0</v>
      </c>
      <c r="AT113" s="508">
        <v>0</v>
      </c>
      <c r="AU113" s="508">
        <v>0</v>
      </c>
      <c r="AV113" s="508">
        <v>0</v>
      </c>
      <c r="AW113" s="508">
        <v>0</v>
      </c>
      <c r="AX113" s="508">
        <v>0</v>
      </c>
      <c r="AY113" s="508">
        <v>0</v>
      </c>
      <c r="AZ113" s="508">
        <v>0</v>
      </c>
      <c r="BA113" s="508">
        <v>0</v>
      </c>
      <c r="BB113" s="508">
        <v>0</v>
      </c>
      <c r="BC113" s="508">
        <v>0</v>
      </c>
      <c r="BD113" s="508">
        <v>0</v>
      </c>
      <c r="BE113" s="508">
        <v>0</v>
      </c>
      <c r="BF113" s="508">
        <v>0</v>
      </c>
      <c r="BG113" s="508">
        <v>0</v>
      </c>
      <c r="BH113" s="508">
        <v>0</v>
      </c>
      <c r="BI113" s="508">
        <v>0</v>
      </c>
      <c r="BJ113" s="508">
        <v>0</v>
      </c>
      <c r="BK113" s="508">
        <v>0</v>
      </c>
      <c r="BL113" s="508">
        <v>0</v>
      </c>
      <c r="BM113" s="508">
        <v>0</v>
      </c>
      <c r="BN113" s="508">
        <v>0</v>
      </c>
      <c r="BO113" s="508">
        <v>0</v>
      </c>
      <c r="BP113" s="508">
        <v>0</v>
      </c>
      <c r="BQ113" s="508"/>
      <c r="BR113" s="508"/>
      <c r="BS113" s="508"/>
      <c r="BT113" s="508"/>
      <c r="BU113" s="508"/>
      <c r="BV113" s="508"/>
      <c r="BW113" s="508"/>
    </row>
    <row r="114" spans="1:75" ht="15" customHeight="1">
      <c r="A114" s="62">
        <v>111</v>
      </c>
      <c r="B114" s="52" t="s">
        <v>349</v>
      </c>
      <c r="C114" s="62">
        <v>28</v>
      </c>
      <c r="D114" s="5">
        <f t="shared" ref="D114:AY114" si="48">SUM(D115,D118:D126)</f>
        <v>0</v>
      </c>
      <c r="E114" s="5">
        <f t="shared" si="48"/>
        <v>0</v>
      </c>
      <c r="F114" s="5">
        <f t="shared" si="48"/>
        <v>0</v>
      </c>
      <c r="G114" s="5">
        <f t="shared" si="48"/>
        <v>0</v>
      </c>
      <c r="H114" s="5">
        <f t="shared" si="48"/>
        <v>0</v>
      </c>
      <c r="I114" s="5">
        <f t="shared" si="48"/>
        <v>0</v>
      </c>
      <c r="J114" s="5">
        <f t="shared" si="48"/>
        <v>0</v>
      </c>
      <c r="K114" s="5">
        <f t="shared" si="48"/>
        <v>0</v>
      </c>
      <c r="L114" s="5">
        <f t="shared" si="48"/>
        <v>0</v>
      </c>
      <c r="M114" s="5">
        <f t="shared" si="48"/>
        <v>0</v>
      </c>
      <c r="N114" s="5">
        <f t="shared" si="48"/>
        <v>0</v>
      </c>
      <c r="O114" s="5">
        <f t="shared" si="48"/>
        <v>0</v>
      </c>
      <c r="P114" s="5">
        <f t="shared" si="48"/>
        <v>0</v>
      </c>
      <c r="Q114" s="5">
        <f t="shared" si="48"/>
        <v>0</v>
      </c>
      <c r="R114" s="5">
        <f t="shared" si="48"/>
        <v>0</v>
      </c>
      <c r="S114" s="5">
        <f t="shared" si="48"/>
        <v>0</v>
      </c>
      <c r="T114" s="5">
        <f t="shared" si="48"/>
        <v>0</v>
      </c>
      <c r="U114" s="5">
        <f t="shared" si="48"/>
        <v>0</v>
      </c>
      <c r="V114" s="5">
        <f t="shared" si="48"/>
        <v>0</v>
      </c>
      <c r="W114" s="5">
        <f t="shared" si="48"/>
        <v>0</v>
      </c>
      <c r="X114" s="5">
        <f t="shared" si="48"/>
        <v>0</v>
      </c>
      <c r="Y114" s="5">
        <f t="shared" si="48"/>
        <v>0</v>
      </c>
      <c r="Z114" s="5">
        <f t="shared" si="48"/>
        <v>0</v>
      </c>
      <c r="AA114" s="5">
        <f t="shared" si="48"/>
        <v>0</v>
      </c>
      <c r="AB114" s="5">
        <f t="shared" si="48"/>
        <v>0</v>
      </c>
      <c r="AC114" s="5">
        <f t="shared" si="48"/>
        <v>0</v>
      </c>
      <c r="AD114" s="5">
        <f t="shared" si="48"/>
        <v>0</v>
      </c>
      <c r="AE114" s="5">
        <f t="shared" si="48"/>
        <v>0</v>
      </c>
      <c r="AF114" s="5">
        <f t="shared" si="48"/>
        <v>0</v>
      </c>
      <c r="AG114" s="5">
        <f t="shared" si="48"/>
        <v>0</v>
      </c>
      <c r="AH114" s="5">
        <f t="shared" si="48"/>
        <v>0</v>
      </c>
      <c r="AI114" s="5">
        <f t="shared" si="48"/>
        <v>0</v>
      </c>
      <c r="AJ114" s="5">
        <f t="shared" si="48"/>
        <v>0</v>
      </c>
      <c r="AK114" s="5">
        <f t="shared" si="48"/>
        <v>0</v>
      </c>
      <c r="AL114" s="5">
        <f t="shared" si="48"/>
        <v>0</v>
      </c>
      <c r="AM114" s="5">
        <f t="shared" si="48"/>
        <v>0</v>
      </c>
      <c r="AN114" s="5">
        <f t="shared" si="48"/>
        <v>855851514758</v>
      </c>
      <c r="AO114" s="5">
        <f t="shared" si="48"/>
        <v>849113202906</v>
      </c>
      <c r="AP114" s="5">
        <f t="shared" si="48"/>
        <v>846369881618</v>
      </c>
      <c r="AQ114" s="5">
        <f t="shared" si="48"/>
        <v>848038222035</v>
      </c>
      <c r="AR114" s="5">
        <f t="shared" si="48"/>
        <v>842346413861</v>
      </c>
      <c r="AS114" s="5">
        <f t="shared" si="48"/>
        <v>830203765216</v>
      </c>
      <c r="AT114" s="5">
        <f t="shared" si="48"/>
        <v>815009488882</v>
      </c>
      <c r="AU114" s="5">
        <f t="shared" si="48"/>
        <v>804963168023</v>
      </c>
      <c r="AV114" s="5">
        <f t="shared" si="48"/>
        <v>813080811621</v>
      </c>
      <c r="AW114" s="5">
        <f t="shared" si="48"/>
        <v>806735064957</v>
      </c>
      <c r="AX114" s="5">
        <f t="shared" si="48"/>
        <v>820682915285</v>
      </c>
      <c r="AY114" s="6">
        <f t="shared" si="48"/>
        <v>910257269259</v>
      </c>
      <c r="AZ114" s="6">
        <v>912460126084</v>
      </c>
      <c r="BA114" s="6">
        <v>926520354770</v>
      </c>
      <c r="BB114" s="6">
        <v>932264614653</v>
      </c>
      <c r="BC114" s="6">
        <v>935523824887</v>
      </c>
      <c r="BD114" s="6">
        <v>944822344016</v>
      </c>
      <c r="BE114" s="6">
        <v>945507845260</v>
      </c>
      <c r="BF114" s="6">
        <v>948751834230</v>
      </c>
      <c r="BG114" s="6">
        <v>951300987412</v>
      </c>
      <c r="BH114" s="6">
        <v>940112900432</v>
      </c>
      <c r="BI114" s="6">
        <v>935231117543</v>
      </c>
      <c r="BJ114" s="6">
        <v>927744063567</v>
      </c>
      <c r="BK114" s="6">
        <v>935589673869</v>
      </c>
      <c r="BL114" s="6">
        <v>1026521500474.8055</v>
      </c>
      <c r="BM114" s="6">
        <v>1018786830293.634</v>
      </c>
      <c r="BN114" s="6">
        <v>1011700222217.0424</v>
      </c>
      <c r="BO114" s="6">
        <v>1016497053238.873</v>
      </c>
      <c r="BP114" s="6">
        <v>1025420147916.6418</v>
      </c>
      <c r="BQ114" s="6">
        <f t="shared" ref="BQ114:BW114" si="49">SUM(BQ115,BQ118:BQ126)</f>
        <v>0</v>
      </c>
      <c r="BR114" s="6">
        <f t="shared" si="49"/>
        <v>0</v>
      </c>
      <c r="BS114" s="6">
        <f t="shared" si="49"/>
        <v>0</v>
      </c>
      <c r="BT114" s="6">
        <f t="shared" si="49"/>
        <v>0</v>
      </c>
      <c r="BU114" s="6">
        <f t="shared" si="49"/>
        <v>0</v>
      </c>
      <c r="BV114" s="6">
        <f t="shared" si="49"/>
        <v>0</v>
      </c>
      <c r="BW114" s="6">
        <f t="shared" si="49"/>
        <v>0</v>
      </c>
    </row>
    <row r="115" spans="1:75" ht="15" customHeight="1">
      <c r="A115" s="55">
        <v>112</v>
      </c>
      <c r="B115" s="75" t="s">
        <v>141</v>
      </c>
      <c r="C115" s="55">
        <v>28</v>
      </c>
      <c r="D115" s="508">
        <f t="shared" ref="D115:AY115" si="50">SUM(D116:D117)</f>
        <v>0</v>
      </c>
      <c r="E115" s="508">
        <f t="shared" si="50"/>
        <v>0</v>
      </c>
      <c r="F115" s="508">
        <f t="shared" si="50"/>
        <v>0</v>
      </c>
      <c r="G115" s="508">
        <f t="shared" si="50"/>
        <v>0</v>
      </c>
      <c r="H115" s="508">
        <f t="shared" si="50"/>
        <v>0</v>
      </c>
      <c r="I115" s="508">
        <f t="shared" si="50"/>
        <v>0</v>
      </c>
      <c r="J115" s="508">
        <f t="shared" si="50"/>
        <v>0</v>
      </c>
      <c r="K115" s="508">
        <f t="shared" si="50"/>
        <v>0</v>
      </c>
      <c r="L115" s="508">
        <f t="shared" si="50"/>
        <v>0</v>
      </c>
      <c r="M115" s="508">
        <f t="shared" si="50"/>
        <v>0</v>
      </c>
      <c r="N115" s="508">
        <f t="shared" si="50"/>
        <v>0</v>
      </c>
      <c r="O115" s="508">
        <f t="shared" si="50"/>
        <v>0</v>
      </c>
      <c r="P115" s="508">
        <f t="shared" si="50"/>
        <v>0</v>
      </c>
      <c r="Q115" s="508">
        <f t="shared" si="50"/>
        <v>0</v>
      </c>
      <c r="R115" s="508">
        <f t="shared" si="50"/>
        <v>0</v>
      </c>
      <c r="S115" s="508">
        <f t="shared" si="50"/>
        <v>0</v>
      </c>
      <c r="T115" s="508">
        <f t="shared" si="50"/>
        <v>0</v>
      </c>
      <c r="U115" s="508">
        <f t="shared" si="50"/>
        <v>0</v>
      </c>
      <c r="V115" s="508">
        <f t="shared" si="50"/>
        <v>0</v>
      </c>
      <c r="W115" s="508">
        <f t="shared" si="50"/>
        <v>0</v>
      </c>
      <c r="X115" s="508">
        <f t="shared" si="50"/>
        <v>0</v>
      </c>
      <c r="Y115" s="508">
        <f t="shared" si="50"/>
        <v>0</v>
      </c>
      <c r="Z115" s="508">
        <f t="shared" si="50"/>
        <v>0</v>
      </c>
      <c r="AA115" s="508">
        <f t="shared" si="50"/>
        <v>0</v>
      </c>
      <c r="AB115" s="508">
        <f t="shared" si="50"/>
        <v>0</v>
      </c>
      <c r="AC115" s="508">
        <f t="shared" si="50"/>
        <v>0</v>
      </c>
      <c r="AD115" s="508">
        <f t="shared" si="50"/>
        <v>0</v>
      </c>
      <c r="AE115" s="508">
        <f t="shared" si="50"/>
        <v>0</v>
      </c>
      <c r="AF115" s="508">
        <f t="shared" si="50"/>
        <v>0</v>
      </c>
      <c r="AG115" s="508">
        <f t="shared" si="50"/>
        <v>0</v>
      </c>
      <c r="AH115" s="508">
        <f t="shared" si="50"/>
        <v>0</v>
      </c>
      <c r="AI115" s="508">
        <f t="shared" si="50"/>
        <v>0</v>
      </c>
      <c r="AJ115" s="508">
        <f t="shared" si="50"/>
        <v>0</v>
      </c>
      <c r="AK115" s="508">
        <f t="shared" si="50"/>
        <v>0</v>
      </c>
      <c r="AL115" s="508">
        <f t="shared" si="50"/>
        <v>0</v>
      </c>
      <c r="AM115" s="508">
        <f t="shared" si="50"/>
        <v>0</v>
      </c>
      <c r="AN115" s="508">
        <f t="shared" si="50"/>
        <v>752000000000</v>
      </c>
      <c r="AO115" s="508">
        <f t="shared" si="50"/>
        <v>752000000000</v>
      </c>
      <c r="AP115" s="508">
        <f t="shared" si="50"/>
        <v>752000000000</v>
      </c>
      <c r="AQ115" s="508">
        <f t="shared" si="50"/>
        <v>752000000000</v>
      </c>
      <c r="AR115" s="508">
        <f t="shared" si="50"/>
        <v>752000000000</v>
      </c>
      <c r="AS115" s="508">
        <f t="shared" si="50"/>
        <v>752000000000</v>
      </c>
      <c r="AT115" s="508">
        <f t="shared" si="50"/>
        <v>752000000000</v>
      </c>
      <c r="AU115" s="508">
        <f t="shared" si="50"/>
        <v>752000000000</v>
      </c>
      <c r="AV115" s="508">
        <f t="shared" si="50"/>
        <v>752000000000</v>
      </c>
      <c r="AW115" s="508">
        <f t="shared" si="50"/>
        <v>752000000000</v>
      </c>
      <c r="AX115" s="508">
        <f t="shared" si="50"/>
        <v>772000000000</v>
      </c>
      <c r="AY115" s="508">
        <f t="shared" si="50"/>
        <v>772000000000</v>
      </c>
      <c r="AZ115" s="508">
        <v>772000000000</v>
      </c>
      <c r="BA115" s="508">
        <v>772000000000</v>
      </c>
      <c r="BB115" s="508">
        <v>772000000000</v>
      </c>
      <c r="BC115" s="508">
        <v>772000000000</v>
      </c>
      <c r="BD115" s="508">
        <v>772000000000</v>
      </c>
      <c r="BE115" s="508">
        <v>772000000000</v>
      </c>
      <c r="BF115" s="508">
        <v>772000000000</v>
      </c>
      <c r="BG115" s="508">
        <v>772000000000</v>
      </c>
      <c r="BH115" s="508">
        <v>772000000000</v>
      </c>
      <c r="BI115" s="508">
        <v>772000000000</v>
      </c>
      <c r="BJ115" s="508">
        <v>772500000000</v>
      </c>
      <c r="BK115" s="508">
        <v>778000000000</v>
      </c>
      <c r="BL115" s="508">
        <v>872000000000</v>
      </c>
      <c r="BM115" s="508">
        <v>872000000000</v>
      </c>
      <c r="BN115" s="508">
        <v>872000000000</v>
      </c>
      <c r="BO115" s="508">
        <v>872000000000</v>
      </c>
      <c r="BP115" s="508">
        <v>872000000000</v>
      </c>
      <c r="BQ115" s="508">
        <f t="shared" ref="BQ115:BW115" si="51">SUM(BQ116:BQ117)</f>
        <v>0</v>
      </c>
      <c r="BR115" s="508">
        <f t="shared" si="51"/>
        <v>0</v>
      </c>
      <c r="BS115" s="508">
        <f t="shared" si="51"/>
        <v>0</v>
      </c>
      <c r="BT115" s="508">
        <f t="shared" si="51"/>
        <v>0</v>
      </c>
      <c r="BU115" s="508">
        <f t="shared" si="51"/>
        <v>0</v>
      </c>
      <c r="BV115" s="508">
        <f t="shared" si="51"/>
        <v>0</v>
      </c>
      <c r="BW115" s="508">
        <f t="shared" si="51"/>
        <v>0</v>
      </c>
    </row>
    <row r="116" spans="1:75" ht="15" customHeight="1">
      <c r="A116" s="55">
        <v>113</v>
      </c>
      <c r="B116" s="75" t="s">
        <v>142</v>
      </c>
      <c r="C116" s="55">
        <v>28</v>
      </c>
      <c r="D116" s="508"/>
      <c r="E116" s="508"/>
      <c r="F116" s="508"/>
      <c r="G116" s="508"/>
      <c r="H116" s="508"/>
      <c r="I116" s="508"/>
      <c r="J116" s="508"/>
      <c r="K116" s="508"/>
      <c r="L116" s="508"/>
      <c r="M116" s="508"/>
      <c r="N116" s="508"/>
      <c r="O116" s="508"/>
      <c r="P116" s="508"/>
      <c r="Q116" s="508"/>
      <c r="R116" s="508"/>
      <c r="S116" s="508"/>
      <c r="T116" s="508"/>
      <c r="U116" s="508"/>
      <c r="V116" s="508"/>
      <c r="W116" s="508"/>
      <c r="X116" s="508"/>
      <c r="Y116" s="508"/>
      <c r="Z116" s="508"/>
      <c r="AA116" s="508"/>
      <c r="AB116" s="508"/>
      <c r="AC116" s="508"/>
      <c r="AD116" s="508"/>
      <c r="AE116" s="508"/>
      <c r="AF116" s="508"/>
      <c r="AG116" s="508"/>
      <c r="AH116" s="508"/>
      <c r="AI116" s="508"/>
      <c r="AJ116" s="508"/>
      <c r="AK116" s="508"/>
      <c r="AL116" s="508"/>
      <c r="AM116" s="508"/>
      <c r="AN116" s="508">
        <v>752000000000</v>
      </c>
      <c r="AO116" s="508">
        <v>752000000000</v>
      </c>
      <c r="AP116" s="508">
        <v>752000000000</v>
      </c>
      <c r="AQ116" s="508">
        <v>752000000000</v>
      </c>
      <c r="AR116" s="508">
        <v>752000000000</v>
      </c>
      <c r="AS116" s="508">
        <v>752000000000</v>
      </c>
      <c r="AT116" s="508">
        <v>752000000000</v>
      </c>
      <c r="AU116" s="508">
        <v>752000000000</v>
      </c>
      <c r="AV116" s="508">
        <v>752000000000</v>
      </c>
      <c r="AW116" s="508">
        <v>752000000000</v>
      </c>
      <c r="AX116" s="508">
        <v>772000000000</v>
      </c>
      <c r="AY116" s="508">
        <v>772000000000</v>
      </c>
      <c r="AZ116" s="508">
        <v>772000000000</v>
      </c>
      <c r="BA116" s="508">
        <v>772000000000</v>
      </c>
      <c r="BB116" s="508">
        <v>772000000000</v>
      </c>
      <c r="BC116" s="508">
        <v>772000000000</v>
      </c>
      <c r="BD116" s="508">
        <v>772000000000</v>
      </c>
      <c r="BE116" s="508">
        <v>772000000000</v>
      </c>
      <c r="BF116" s="508">
        <v>772000000000</v>
      </c>
      <c r="BG116" s="508">
        <v>772000000000</v>
      </c>
      <c r="BH116" s="508">
        <v>772000000000</v>
      </c>
      <c r="BI116" s="508">
        <v>772000000000</v>
      </c>
      <c r="BJ116" s="508">
        <v>772500000000</v>
      </c>
      <c r="BK116" s="508">
        <v>778000000000</v>
      </c>
      <c r="BL116" s="508">
        <v>872000000000</v>
      </c>
      <c r="BM116" s="508">
        <v>872000000000</v>
      </c>
      <c r="BN116" s="508">
        <v>872000000000</v>
      </c>
      <c r="BO116" s="508">
        <v>872000000000</v>
      </c>
      <c r="BP116" s="508">
        <v>872000000000</v>
      </c>
      <c r="BQ116" s="508"/>
      <c r="BR116" s="508"/>
      <c r="BS116" s="508"/>
      <c r="BT116" s="508"/>
      <c r="BU116" s="508"/>
      <c r="BV116" s="508"/>
      <c r="BW116" s="508"/>
    </row>
    <row r="117" spans="1:75" ht="15" customHeight="1">
      <c r="A117" s="55">
        <v>114</v>
      </c>
      <c r="B117" s="75" t="s">
        <v>143</v>
      </c>
      <c r="C117" s="55">
        <v>28</v>
      </c>
      <c r="D117" s="508">
        <v>0</v>
      </c>
      <c r="E117" s="508">
        <v>0</v>
      </c>
      <c r="F117" s="508">
        <v>0</v>
      </c>
      <c r="G117" s="508">
        <v>0</v>
      </c>
      <c r="H117" s="508">
        <v>0</v>
      </c>
      <c r="I117" s="508">
        <v>0</v>
      </c>
      <c r="J117" s="508">
        <v>0</v>
      </c>
      <c r="K117" s="508">
        <v>0</v>
      </c>
      <c r="L117" s="508">
        <v>0</v>
      </c>
      <c r="M117" s="508">
        <v>0</v>
      </c>
      <c r="N117" s="508">
        <v>0</v>
      </c>
      <c r="O117" s="508">
        <v>0</v>
      </c>
      <c r="P117" s="508">
        <v>0</v>
      </c>
      <c r="Q117" s="508">
        <v>0</v>
      </c>
      <c r="R117" s="508">
        <v>0</v>
      </c>
      <c r="S117" s="508">
        <v>0</v>
      </c>
      <c r="T117" s="508">
        <v>0</v>
      </c>
      <c r="U117" s="508">
        <v>0</v>
      </c>
      <c r="V117" s="508">
        <v>0</v>
      </c>
      <c r="W117" s="508">
        <v>0</v>
      </c>
      <c r="X117" s="508">
        <v>0</v>
      </c>
      <c r="Y117" s="508">
        <v>0</v>
      </c>
      <c r="Z117" s="508">
        <v>0</v>
      </c>
      <c r="AA117" s="508">
        <v>0</v>
      </c>
      <c r="AB117" s="508">
        <v>0</v>
      </c>
      <c r="AC117" s="508">
        <v>0</v>
      </c>
      <c r="AD117" s="508">
        <v>0</v>
      </c>
      <c r="AE117" s="508">
        <v>0</v>
      </c>
      <c r="AF117" s="508">
        <v>0</v>
      </c>
      <c r="AG117" s="508">
        <v>0</v>
      </c>
      <c r="AH117" s="508">
        <v>0</v>
      </c>
      <c r="AI117" s="508">
        <v>0</v>
      </c>
      <c r="AJ117" s="508">
        <v>0</v>
      </c>
      <c r="AK117" s="508">
        <v>0</v>
      </c>
      <c r="AL117" s="508">
        <v>0</v>
      </c>
      <c r="AM117" s="508">
        <v>0</v>
      </c>
      <c r="AN117" s="508">
        <v>0</v>
      </c>
      <c r="AO117" s="508">
        <v>0</v>
      </c>
      <c r="AP117" s="508">
        <v>0</v>
      </c>
      <c r="AQ117" s="508">
        <v>0</v>
      </c>
      <c r="AR117" s="508">
        <v>0</v>
      </c>
      <c r="AS117" s="508">
        <v>0</v>
      </c>
      <c r="AT117" s="508">
        <v>0</v>
      </c>
      <c r="AU117" s="508">
        <v>0</v>
      </c>
      <c r="AV117" s="508">
        <v>0</v>
      </c>
      <c r="AW117" s="508">
        <v>0</v>
      </c>
      <c r="AX117" s="508">
        <v>0</v>
      </c>
      <c r="AY117" s="508">
        <v>0</v>
      </c>
      <c r="AZ117" s="508">
        <v>0</v>
      </c>
      <c r="BA117" s="508">
        <v>0</v>
      </c>
      <c r="BB117" s="508">
        <v>0</v>
      </c>
      <c r="BC117" s="508">
        <v>0</v>
      </c>
      <c r="BD117" s="508">
        <v>0</v>
      </c>
      <c r="BE117" s="508">
        <v>0</v>
      </c>
      <c r="BF117" s="508">
        <v>0</v>
      </c>
      <c r="BG117" s="508">
        <v>0</v>
      </c>
      <c r="BH117" s="508">
        <v>0</v>
      </c>
      <c r="BI117" s="508">
        <v>0</v>
      </c>
      <c r="BJ117" s="508">
        <v>0</v>
      </c>
      <c r="BK117" s="508">
        <v>0</v>
      </c>
      <c r="BL117" s="508">
        <v>0</v>
      </c>
      <c r="BM117" s="508">
        <v>0</v>
      </c>
      <c r="BN117" s="508">
        <v>0</v>
      </c>
      <c r="BO117" s="508">
        <v>0</v>
      </c>
      <c r="BP117" s="508">
        <v>0</v>
      </c>
      <c r="BQ117" s="508">
        <v>0</v>
      </c>
      <c r="BR117" s="508">
        <v>0</v>
      </c>
      <c r="BS117" s="508">
        <v>0</v>
      </c>
      <c r="BT117" s="508">
        <v>0</v>
      </c>
      <c r="BU117" s="508">
        <v>0</v>
      </c>
      <c r="BV117" s="508">
        <v>0</v>
      </c>
      <c r="BW117" s="508"/>
    </row>
    <row r="118" spans="1:75" ht="15" customHeight="1">
      <c r="A118" s="55">
        <v>115</v>
      </c>
      <c r="B118" s="75" t="s">
        <v>144</v>
      </c>
      <c r="C118" s="55">
        <v>28</v>
      </c>
      <c r="D118" s="508">
        <v>0</v>
      </c>
      <c r="E118" s="508">
        <v>0</v>
      </c>
      <c r="F118" s="508">
        <v>0</v>
      </c>
      <c r="G118" s="508">
        <v>0</v>
      </c>
      <c r="H118" s="508">
        <v>0</v>
      </c>
      <c r="I118" s="508">
        <v>0</v>
      </c>
      <c r="J118" s="508">
        <v>0</v>
      </c>
      <c r="K118" s="508">
        <v>0</v>
      </c>
      <c r="L118" s="508">
        <v>0</v>
      </c>
      <c r="M118" s="508">
        <v>0</v>
      </c>
      <c r="N118" s="508">
        <v>0</v>
      </c>
      <c r="O118" s="508">
        <v>0</v>
      </c>
      <c r="P118" s="508">
        <v>0</v>
      </c>
      <c r="Q118" s="508">
        <v>0</v>
      </c>
      <c r="R118" s="508">
        <v>0</v>
      </c>
      <c r="S118" s="508">
        <v>0</v>
      </c>
      <c r="T118" s="508">
        <v>0</v>
      </c>
      <c r="U118" s="508">
        <v>0</v>
      </c>
      <c r="V118" s="508">
        <v>0</v>
      </c>
      <c r="W118" s="508">
        <v>0</v>
      </c>
      <c r="X118" s="508">
        <v>0</v>
      </c>
      <c r="Y118" s="508">
        <v>0</v>
      </c>
      <c r="Z118" s="508">
        <v>0</v>
      </c>
      <c r="AA118" s="508">
        <v>0</v>
      </c>
      <c r="AB118" s="508">
        <v>0</v>
      </c>
      <c r="AC118" s="508">
        <v>0</v>
      </c>
      <c r="AD118" s="508">
        <v>0</v>
      </c>
      <c r="AE118" s="508">
        <v>0</v>
      </c>
      <c r="AF118" s="508">
        <v>0</v>
      </c>
      <c r="AG118" s="508">
        <v>0</v>
      </c>
      <c r="AH118" s="508">
        <v>0</v>
      </c>
      <c r="AI118" s="508">
        <v>0</v>
      </c>
      <c r="AJ118" s="508">
        <v>0</v>
      </c>
      <c r="AK118" s="508">
        <v>0</v>
      </c>
      <c r="AL118" s="508">
        <v>0</v>
      </c>
      <c r="AM118" s="508">
        <v>0</v>
      </c>
      <c r="AN118" s="508">
        <v>0</v>
      </c>
      <c r="AO118" s="508">
        <v>0</v>
      </c>
      <c r="AP118" s="508">
        <v>0</v>
      </c>
      <c r="AQ118" s="508">
        <v>0</v>
      </c>
      <c r="AR118" s="508">
        <v>0</v>
      </c>
      <c r="AS118" s="508">
        <v>0</v>
      </c>
      <c r="AT118" s="508">
        <v>0</v>
      </c>
      <c r="AU118" s="508">
        <v>0</v>
      </c>
      <c r="AV118" s="508">
        <v>0</v>
      </c>
      <c r="AW118" s="508">
        <v>0</v>
      </c>
      <c r="AX118" s="508">
        <v>0</v>
      </c>
      <c r="AY118" s="508">
        <v>0</v>
      </c>
      <c r="AZ118" s="508">
        <v>0</v>
      </c>
      <c r="BA118" s="508">
        <v>0</v>
      </c>
      <c r="BB118" s="508">
        <v>0</v>
      </c>
      <c r="BC118" s="508">
        <v>0</v>
      </c>
      <c r="BD118" s="508">
        <v>0</v>
      </c>
      <c r="BE118" s="508">
        <v>0</v>
      </c>
      <c r="BF118" s="508">
        <v>0</v>
      </c>
      <c r="BG118" s="508">
        <v>0</v>
      </c>
      <c r="BH118" s="508">
        <v>0</v>
      </c>
      <c r="BI118" s="508">
        <v>0</v>
      </c>
      <c r="BJ118" s="508">
        <v>0</v>
      </c>
      <c r="BK118" s="508">
        <v>0</v>
      </c>
      <c r="BL118" s="508">
        <v>0</v>
      </c>
      <c r="BM118" s="508">
        <v>0</v>
      </c>
      <c r="BN118" s="508">
        <v>0</v>
      </c>
      <c r="BO118" s="508">
        <v>0</v>
      </c>
      <c r="BP118" s="508">
        <v>0</v>
      </c>
      <c r="BQ118" s="508">
        <v>0</v>
      </c>
      <c r="BR118" s="508">
        <v>0</v>
      </c>
      <c r="BS118" s="508">
        <v>0</v>
      </c>
      <c r="BT118" s="508">
        <v>0</v>
      </c>
      <c r="BU118" s="508">
        <v>0</v>
      </c>
      <c r="BV118" s="508">
        <v>0</v>
      </c>
      <c r="BW118" s="508"/>
    </row>
    <row r="119" spans="1:75" ht="15" customHeight="1">
      <c r="A119" s="55">
        <v>116</v>
      </c>
      <c r="B119" s="75" t="s">
        <v>145</v>
      </c>
      <c r="C119" s="55">
        <v>28</v>
      </c>
      <c r="D119" s="508">
        <v>0</v>
      </c>
      <c r="E119" s="508">
        <v>0</v>
      </c>
      <c r="F119" s="508">
        <v>0</v>
      </c>
      <c r="G119" s="508">
        <v>0</v>
      </c>
      <c r="H119" s="508">
        <v>0</v>
      </c>
      <c r="I119" s="508">
        <v>0</v>
      </c>
      <c r="J119" s="508">
        <v>0</v>
      </c>
      <c r="K119" s="508">
        <v>0</v>
      </c>
      <c r="L119" s="508">
        <v>0</v>
      </c>
      <c r="M119" s="508">
        <v>0</v>
      </c>
      <c r="N119" s="508">
        <v>0</v>
      </c>
      <c r="O119" s="508">
        <v>0</v>
      </c>
      <c r="P119" s="508">
        <v>0</v>
      </c>
      <c r="Q119" s="508">
        <v>0</v>
      </c>
      <c r="R119" s="508">
        <v>0</v>
      </c>
      <c r="S119" s="508">
        <v>0</v>
      </c>
      <c r="T119" s="508">
        <v>0</v>
      </c>
      <c r="U119" s="508">
        <v>0</v>
      </c>
      <c r="V119" s="508">
        <v>0</v>
      </c>
      <c r="W119" s="508">
        <v>0</v>
      </c>
      <c r="X119" s="508">
        <v>0</v>
      </c>
      <c r="Y119" s="508">
        <v>0</v>
      </c>
      <c r="Z119" s="508">
        <v>0</v>
      </c>
      <c r="AA119" s="508">
        <v>0</v>
      </c>
      <c r="AB119" s="508">
        <v>0</v>
      </c>
      <c r="AC119" s="508">
        <v>0</v>
      </c>
      <c r="AD119" s="508">
        <v>0</v>
      </c>
      <c r="AE119" s="508">
        <v>0</v>
      </c>
      <c r="AF119" s="508">
        <v>0</v>
      </c>
      <c r="AG119" s="508">
        <v>0</v>
      </c>
      <c r="AH119" s="508">
        <v>0</v>
      </c>
      <c r="AI119" s="508">
        <v>0</v>
      </c>
      <c r="AJ119" s="508">
        <v>0</v>
      </c>
      <c r="AK119" s="508">
        <v>0</v>
      </c>
      <c r="AL119" s="508">
        <v>0</v>
      </c>
      <c r="AM119" s="508">
        <v>0</v>
      </c>
      <c r="AN119" s="508">
        <v>0</v>
      </c>
      <c r="AO119" s="508">
        <v>0</v>
      </c>
      <c r="AP119" s="508">
        <v>0</v>
      </c>
      <c r="AQ119" s="508">
        <v>0</v>
      </c>
      <c r="AR119" s="508">
        <v>0</v>
      </c>
      <c r="AS119" s="508">
        <v>0</v>
      </c>
      <c r="AT119" s="508">
        <v>0</v>
      </c>
      <c r="AU119" s="508">
        <v>0</v>
      </c>
      <c r="AV119" s="508">
        <v>0</v>
      </c>
      <c r="AW119" s="508">
        <v>0</v>
      </c>
      <c r="AX119" s="508">
        <v>0</v>
      </c>
      <c r="AY119" s="508">
        <v>0</v>
      </c>
      <c r="AZ119" s="508">
        <v>0</v>
      </c>
      <c r="BA119" s="508">
        <v>0</v>
      </c>
      <c r="BB119" s="508">
        <v>0</v>
      </c>
      <c r="BC119" s="508">
        <v>0</v>
      </c>
      <c r="BD119" s="508">
        <v>0</v>
      </c>
      <c r="BE119" s="508">
        <v>0</v>
      </c>
      <c r="BF119" s="508">
        <v>0</v>
      </c>
      <c r="BG119" s="508">
        <v>0</v>
      </c>
      <c r="BH119" s="508">
        <v>0</v>
      </c>
      <c r="BI119" s="508">
        <v>0</v>
      </c>
      <c r="BJ119" s="508">
        <v>0</v>
      </c>
      <c r="BK119" s="508">
        <v>0</v>
      </c>
      <c r="BL119" s="508">
        <v>0</v>
      </c>
      <c r="BM119" s="508">
        <v>0</v>
      </c>
      <c r="BN119" s="508">
        <v>0</v>
      </c>
      <c r="BO119" s="508">
        <v>0</v>
      </c>
      <c r="BP119" s="508">
        <v>0</v>
      </c>
      <c r="BQ119" s="508">
        <v>0</v>
      </c>
      <c r="BR119" s="508">
        <v>0</v>
      </c>
      <c r="BS119" s="508">
        <v>0</v>
      </c>
      <c r="BT119" s="508">
        <v>0</v>
      </c>
      <c r="BU119" s="508">
        <v>0</v>
      </c>
      <c r="BV119" s="508">
        <v>0</v>
      </c>
      <c r="BW119" s="508"/>
    </row>
    <row r="120" spans="1:75" ht="15" customHeight="1">
      <c r="A120" s="55">
        <v>117</v>
      </c>
      <c r="B120" s="75" t="s">
        <v>146</v>
      </c>
      <c r="C120" s="55">
        <v>28</v>
      </c>
      <c r="D120" s="508">
        <v>0</v>
      </c>
      <c r="E120" s="508">
        <v>0</v>
      </c>
      <c r="F120" s="508">
        <v>0</v>
      </c>
      <c r="G120" s="508">
        <v>0</v>
      </c>
      <c r="H120" s="508">
        <v>0</v>
      </c>
      <c r="I120" s="508">
        <v>0</v>
      </c>
      <c r="J120" s="508">
        <v>0</v>
      </c>
      <c r="K120" s="508">
        <v>0</v>
      </c>
      <c r="L120" s="508">
        <v>0</v>
      </c>
      <c r="M120" s="508">
        <v>0</v>
      </c>
      <c r="N120" s="508">
        <v>0</v>
      </c>
      <c r="O120" s="508">
        <v>0</v>
      </c>
      <c r="P120" s="508">
        <v>0</v>
      </c>
      <c r="Q120" s="508">
        <v>0</v>
      </c>
      <c r="R120" s="508">
        <v>0</v>
      </c>
      <c r="S120" s="508">
        <v>0</v>
      </c>
      <c r="T120" s="508">
        <v>0</v>
      </c>
      <c r="U120" s="508">
        <v>0</v>
      </c>
      <c r="V120" s="508">
        <v>0</v>
      </c>
      <c r="W120" s="508">
        <v>0</v>
      </c>
      <c r="X120" s="508">
        <v>0</v>
      </c>
      <c r="Y120" s="508">
        <v>0</v>
      </c>
      <c r="Z120" s="508">
        <v>0</v>
      </c>
      <c r="AA120" s="508">
        <v>0</v>
      </c>
      <c r="AB120" s="508">
        <v>0</v>
      </c>
      <c r="AC120" s="508">
        <v>0</v>
      </c>
      <c r="AD120" s="508">
        <v>0</v>
      </c>
      <c r="AE120" s="508">
        <v>0</v>
      </c>
      <c r="AF120" s="508">
        <v>0</v>
      </c>
      <c r="AG120" s="508">
        <v>0</v>
      </c>
      <c r="AH120" s="508">
        <v>0</v>
      </c>
      <c r="AI120" s="508">
        <v>0</v>
      </c>
      <c r="AJ120" s="508">
        <v>0</v>
      </c>
      <c r="AK120" s="508">
        <v>0</v>
      </c>
      <c r="AL120" s="508">
        <v>0</v>
      </c>
      <c r="AM120" s="508">
        <v>0</v>
      </c>
      <c r="AN120" s="508">
        <v>0</v>
      </c>
      <c r="AO120" s="508">
        <v>0</v>
      </c>
      <c r="AP120" s="508">
        <v>0</v>
      </c>
      <c r="AQ120" s="508">
        <v>0</v>
      </c>
      <c r="AR120" s="508">
        <v>0</v>
      </c>
      <c r="AS120" s="508">
        <v>0</v>
      </c>
      <c r="AT120" s="508">
        <v>0</v>
      </c>
      <c r="AU120" s="508">
        <v>0</v>
      </c>
      <c r="AV120" s="508">
        <v>0</v>
      </c>
      <c r="AW120" s="508">
        <v>0</v>
      </c>
      <c r="AX120" s="508">
        <v>0</v>
      </c>
      <c r="AY120" s="508">
        <v>0</v>
      </c>
      <c r="AZ120" s="508">
        <v>0</v>
      </c>
      <c r="BA120" s="508">
        <v>0</v>
      </c>
      <c r="BB120" s="508">
        <v>0</v>
      </c>
      <c r="BC120" s="508">
        <v>0</v>
      </c>
      <c r="BD120" s="508">
        <v>0</v>
      </c>
      <c r="BE120" s="508">
        <v>0</v>
      </c>
      <c r="BF120" s="508">
        <v>0</v>
      </c>
      <c r="BG120" s="508">
        <v>0</v>
      </c>
      <c r="BH120" s="508">
        <v>0</v>
      </c>
      <c r="BI120" s="508">
        <v>0</v>
      </c>
      <c r="BJ120" s="508">
        <v>0</v>
      </c>
      <c r="BK120" s="508">
        <v>0</v>
      </c>
      <c r="BL120" s="508">
        <v>0</v>
      </c>
      <c r="BM120" s="508">
        <v>0</v>
      </c>
      <c r="BN120" s="508">
        <v>0</v>
      </c>
      <c r="BO120" s="508">
        <v>0</v>
      </c>
      <c r="BP120" s="508">
        <v>0</v>
      </c>
      <c r="BQ120" s="508">
        <v>0</v>
      </c>
      <c r="BR120" s="508">
        <v>0</v>
      </c>
      <c r="BS120" s="508">
        <v>0</v>
      </c>
      <c r="BT120" s="508">
        <v>0</v>
      </c>
      <c r="BU120" s="508">
        <v>0</v>
      </c>
      <c r="BV120" s="508">
        <v>0</v>
      </c>
      <c r="BW120" s="508"/>
    </row>
    <row r="121" spans="1:75" ht="15" customHeight="1">
      <c r="A121" s="55">
        <v>118</v>
      </c>
      <c r="B121" s="75" t="s">
        <v>147</v>
      </c>
      <c r="C121" s="55">
        <v>28</v>
      </c>
      <c r="D121" s="508">
        <v>0</v>
      </c>
      <c r="E121" s="508">
        <v>0</v>
      </c>
      <c r="F121" s="508">
        <v>0</v>
      </c>
      <c r="G121" s="508">
        <v>0</v>
      </c>
      <c r="H121" s="508">
        <v>0</v>
      </c>
      <c r="I121" s="508">
        <v>0</v>
      </c>
      <c r="J121" s="508">
        <v>0</v>
      </c>
      <c r="K121" s="508">
        <v>0</v>
      </c>
      <c r="L121" s="508">
        <v>0</v>
      </c>
      <c r="M121" s="508">
        <v>0</v>
      </c>
      <c r="N121" s="508">
        <v>0</v>
      </c>
      <c r="O121" s="508">
        <v>0</v>
      </c>
      <c r="P121" s="508">
        <v>0</v>
      </c>
      <c r="Q121" s="508">
        <v>0</v>
      </c>
      <c r="R121" s="508">
        <v>0</v>
      </c>
      <c r="S121" s="508">
        <v>0</v>
      </c>
      <c r="T121" s="508">
        <v>0</v>
      </c>
      <c r="U121" s="508">
        <v>0</v>
      </c>
      <c r="V121" s="508">
        <v>0</v>
      </c>
      <c r="W121" s="508">
        <v>0</v>
      </c>
      <c r="X121" s="508">
        <v>0</v>
      </c>
      <c r="Y121" s="508">
        <v>0</v>
      </c>
      <c r="Z121" s="508">
        <v>0</v>
      </c>
      <c r="AA121" s="508">
        <v>0</v>
      </c>
      <c r="AB121" s="508">
        <v>0</v>
      </c>
      <c r="AC121" s="508">
        <v>0</v>
      </c>
      <c r="AD121" s="508">
        <v>0</v>
      </c>
      <c r="AE121" s="508">
        <v>0</v>
      </c>
      <c r="AF121" s="508">
        <v>0</v>
      </c>
      <c r="AG121" s="508">
        <v>0</v>
      </c>
      <c r="AH121" s="508">
        <v>0</v>
      </c>
      <c r="AI121" s="508">
        <v>0</v>
      </c>
      <c r="AJ121" s="508">
        <v>0</v>
      </c>
      <c r="AK121" s="508">
        <v>0</v>
      </c>
      <c r="AL121" s="508">
        <v>0</v>
      </c>
      <c r="AM121" s="508">
        <v>0</v>
      </c>
      <c r="AN121" s="508">
        <v>0</v>
      </c>
      <c r="AO121" s="508">
        <v>0</v>
      </c>
      <c r="AP121" s="508">
        <v>0</v>
      </c>
      <c r="AQ121" s="508">
        <v>0</v>
      </c>
      <c r="AR121" s="508">
        <v>0</v>
      </c>
      <c r="AS121" s="508">
        <v>0</v>
      </c>
      <c r="AT121" s="508">
        <v>0</v>
      </c>
      <c r="AU121" s="508">
        <v>0</v>
      </c>
      <c r="AV121" s="508">
        <v>0</v>
      </c>
      <c r="AW121" s="508">
        <v>0</v>
      </c>
      <c r="AX121" s="508">
        <v>0</v>
      </c>
      <c r="AY121" s="508">
        <v>0</v>
      </c>
      <c r="AZ121" s="508">
        <v>0</v>
      </c>
      <c r="BA121" s="508">
        <v>0</v>
      </c>
      <c r="BB121" s="508">
        <v>0</v>
      </c>
      <c r="BC121" s="508">
        <v>0</v>
      </c>
      <c r="BD121" s="508">
        <v>0</v>
      </c>
      <c r="BE121" s="508">
        <v>0</v>
      </c>
      <c r="BF121" s="508">
        <v>0</v>
      </c>
      <c r="BG121" s="508">
        <v>0</v>
      </c>
      <c r="BH121" s="508">
        <v>0</v>
      </c>
      <c r="BI121" s="508">
        <v>0</v>
      </c>
      <c r="BJ121" s="508">
        <v>0</v>
      </c>
      <c r="BK121" s="508">
        <v>0</v>
      </c>
      <c r="BL121" s="508">
        <v>0</v>
      </c>
      <c r="BM121" s="508">
        <v>0</v>
      </c>
      <c r="BN121" s="508">
        <v>0</v>
      </c>
      <c r="BO121" s="508">
        <v>0</v>
      </c>
      <c r="BP121" s="508">
        <v>0</v>
      </c>
      <c r="BQ121" s="508">
        <v>0</v>
      </c>
      <c r="BR121" s="508">
        <v>0</v>
      </c>
      <c r="BS121" s="508">
        <v>0</v>
      </c>
      <c r="BT121" s="508">
        <v>0</v>
      </c>
      <c r="BU121" s="508">
        <v>0</v>
      </c>
      <c r="BV121" s="508">
        <v>0</v>
      </c>
      <c r="BW121" s="508"/>
    </row>
    <row r="122" spans="1:75" ht="15" customHeight="1">
      <c r="A122" s="55">
        <v>119</v>
      </c>
      <c r="B122" s="75" t="s">
        <v>148</v>
      </c>
      <c r="C122" s="55">
        <v>28</v>
      </c>
      <c r="D122" s="508">
        <v>0</v>
      </c>
      <c r="E122" s="508">
        <v>0</v>
      </c>
      <c r="F122" s="508">
        <v>0</v>
      </c>
      <c r="G122" s="508">
        <v>0</v>
      </c>
      <c r="H122" s="508">
        <v>0</v>
      </c>
      <c r="I122" s="508">
        <v>0</v>
      </c>
      <c r="J122" s="508">
        <v>0</v>
      </c>
      <c r="K122" s="508">
        <v>0</v>
      </c>
      <c r="L122" s="508">
        <v>0</v>
      </c>
      <c r="M122" s="508">
        <v>0</v>
      </c>
      <c r="N122" s="508">
        <v>0</v>
      </c>
      <c r="O122" s="508">
        <v>0</v>
      </c>
      <c r="P122" s="508">
        <v>0</v>
      </c>
      <c r="Q122" s="508">
        <v>0</v>
      </c>
      <c r="R122" s="508">
        <v>0</v>
      </c>
      <c r="S122" s="508">
        <v>0</v>
      </c>
      <c r="T122" s="508">
        <v>0</v>
      </c>
      <c r="U122" s="508">
        <v>0</v>
      </c>
      <c r="V122" s="508">
        <v>0</v>
      </c>
      <c r="W122" s="508">
        <v>0</v>
      </c>
      <c r="X122" s="508">
        <v>0</v>
      </c>
      <c r="Y122" s="508">
        <v>0</v>
      </c>
      <c r="Z122" s="508">
        <v>0</v>
      </c>
      <c r="AA122" s="508">
        <v>0</v>
      </c>
      <c r="AB122" s="508">
        <v>0</v>
      </c>
      <c r="AC122" s="508">
        <v>0</v>
      </c>
      <c r="AD122" s="508">
        <v>0</v>
      </c>
      <c r="AE122" s="508">
        <v>0</v>
      </c>
      <c r="AF122" s="508">
        <v>0</v>
      </c>
      <c r="AG122" s="508">
        <v>0</v>
      </c>
      <c r="AH122" s="508">
        <v>0</v>
      </c>
      <c r="AI122" s="508">
        <v>0</v>
      </c>
      <c r="AJ122" s="508">
        <v>0</v>
      </c>
      <c r="AK122" s="508">
        <v>0</v>
      </c>
      <c r="AL122" s="508">
        <v>0</v>
      </c>
      <c r="AM122" s="508">
        <v>0</v>
      </c>
      <c r="AN122" s="508">
        <v>0</v>
      </c>
      <c r="AO122" s="508">
        <v>0</v>
      </c>
      <c r="AP122" s="508">
        <v>0</v>
      </c>
      <c r="AQ122" s="508">
        <v>0</v>
      </c>
      <c r="AR122" s="508">
        <v>0</v>
      </c>
      <c r="AS122" s="508">
        <v>0</v>
      </c>
      <c r="AT122" s="508">
        <v>0</v>
      </c>
      <c r="AU122" s="508">
        <v>0</v>
      </c>
      <c r="AV122" s="508">
        <v>0</v>
      </c>
      <c r="AW122" s="508">
        <v>0</v>
      </c>
      <c r="AX122" s="508">
        <v>0</v>
      </c>
      <c r="AY122" s="508">
        <v>0</v>
      </c>
      <c r="AZ122" s="508">
        <v>0</v>
      </c>
      <c r="BA122" s="508">
        <v>0</v>
      </c>
      <c r="BB122" s="508">
        <v>0</v>
      </c>
      <c r="BC122" s="508">
        <v>0</v>
      </c>
      <c r="BD122" s="508">
        <v>0</v>
      </c>
      <c r="BE122" s="508">
        <v>0</v>
      </c>
      <c r="BF122" s="508">
        <v>0</v>
      </c>
      <c r="BG122" s="508">
        <v>0</v>
      </c>
      <c r="BH122" s="508">
        <v>0</v>
      </c>
      <c r="BI122" s="508">
        <v>0</v>
      </c>
      <c r="BJ122" s="508">
        <v>0</v>
      </c>
      <c r="BK122" s="508">
        <v>0</v>
      </c>
      <c r="BL122" s="508">
        <v>0</v>
      </c>
      <c r="BM122" s="508">
        <v>0</v>
      </c>
      <c r="BN122" s="508">
        <v>0</v>
      </c>
      <c r="BO122" s="508">
        <v>0</v>
      </c>
      <c r="BP122" s="508">
        <v>0</v>
      </c>
      <c r="BQ122" s="508">
        <v>0</v>
      </c>
      <c r="BR122" s="508">
        <v>0</v>
      </c>
      <c r="BS122" s="508">
        <v>0</v>
      </c>
      <c r="BT122" s="508">
        <v>0</v>
      </c>
      <c r="BU122" s="508">
        <v>0</v>
      </c>
      <c r="BV122" s="508">
        <v>0</v>
      </c>
      <c r="BW122" s="508"/>
    </row>
    <row r="123" spans="1:75" ht="15" customHeight="1">
      <c r="A123" s="55">
        <v>120</v>
      </c>
      <c r="B123" s="75" t="s">
        <v>149</v>
      </c>
      <c r="C123" s="55">
        <v>28</v>
      </c>
      <c r="D123" s="508">
        <v>0</v>
      </c>
      <c r="E123" s="508">
        <v>0</v>
      </c>
      <c r="F123" s="508">
        <v>0</v>
      </c>
      <c r="G123" s="508">
        <v>0</v>
      </c>
      <c r="H123" s="508">
        <v>0</v>
      </c>
      <c r="I123" s="508">
        <v>0</v>
      </c>
      <c r="J123" s="508">
        <v>0</v>
      </c>
      <c r="K123" s="508">
        <v>0</v>
      </c>
      <c r="L123" s="508">
        <v>0</v>
      </c>
      <c r="M123" s="508">
        <v>0</v>
      </c>
      <c r="N123" s="508">
        <v>0</v>
      </c>
      <c r="O123" s="508">
        <v>0</v>
      </c>
      <c r="P123" s="508">
        <v>0</v>
      </c>
      <c r="Q123" s="508">
        <v>0</v>
      </c>
      <c r="R123" s="508">
        <v>0</v>
      </c>
      <c r="S123" s="508">
        <v>0</v>
      </c>
      <c r="T123" s="508">
        <v>0</v>
      </c>
      <c r="U123" s="508">
        <v>0</v>
      </c>
      <c r="V123" s="508">
        <v>0</v>
      </c>
      <c r="W123" s="508">
        <v>0</v>
      </c>
      <c r="X123" s="508">
        <v>0</v>
      </c>
      <c r="Y123" s="508">
        <v>0</v>
      </c>
      <c r="Z123" s="508">
        <v>0</v>
      </c>
      <c r="AA123" s="508">
        <v>0</v>
      </c>
      <c r="AB123" s="508">
        <v>0</v>
      </c>
      <c r="AC123" s="508">
        <v>0</v>
      </c>
      <c r="AD123" s="508">
        <v>0</v>
      </c>
      <c r="AE123" s="508">
        <v>0</v>
      </c>
      <c r="AF123" s="508">
        <v>0</v>
      </c>
      <c r="AG123" s="508">
        <v>0</v>
      </c>
      <c r="AH123" s="508">
        <v>0</v>
      </c>
      <c r="AI123" s="508">
        <v>0</v>
      </c>
      <c r="AJ123" s="508">
        <v>0</v>
      </c>
      <c r="AK123" s="508">
        <v>0</v>
      </c>
      <c r="AL123" s="508">
        <v>0</v>
      </c>
      <c r="AM123" s="508">
        <v>0</v>
      </c>
      <c r="AN123" s="508">
        <v>0</v>
      </c>
      <c r="AO123" s="508">
        <v>0</v>
      </c>
      <c r="AP123" s="508">
        <v>0</v>
      </c>
      <c r="AQ123" s="508">
        <v>0</v>
      </c>
      <c r="AR123" s="508">
        <v>0</v>
      </c>
      <c r="AS123" s="508">
        <v>0</v>
      </c>
      <c r="AT123" s="508">
        <v>0</v>
      </c>
      <c r="AU123" s="508">
        <v>0</v>
      </c>
      <c r="AV123" s="508">
        <v>0</v>
      </c>
      <c r="AW123" s="508">
        <v>0</v>
      </c>
      <c r="AX123" s="508">
        <v>0</v>
      </c>
      <c r="AY123" s="508">
        <v>0</v>
      </c>
      <c r="AZ123" s="508">
        <v>0</v>
      </c>
      <c r="BA123" s="508">
        <v>0</v>
      </c>
      <c r="BB123" s="508">
        <v>0</v>
      </c>
      <c r="BC123" s="508">
        <v>0</v>
      </c>
      <c r="BD123" s="508">
        <v>0</v>
      </c>
      <c r="BE123" s="508">
        <v>0</v>
      </c>
      <c r="BF123" s="508">
        <v>0</v>
      </c>
      <c r="BG123" s="508">
        <v>0</v>
      </c>
      <c r="BH123" s="508">
        <v>0</v>
      </c>
      <c r="BI123" s="508">
        <v>0</v>
      </c>
      <c r="BJ123" s="508">
        <v>0</v>
      </c>
      <c r="BK123" s="508">
        <v>0</v>
      </c>
      <c r="BL123" s="508">
        <v>0</v>
      </c>
      <c r="BM123" s="508">
        <v>0</v>
      </c>
      <c r="BN123" s="508">
        <v>0</v>
      </c>
      <c r="BO123" s="508">
        <v>0</v>
      </c>
      <c r="BP123" s="508">
        <v>0</v>
      </c>
      <c r="BQ123" s="508">
        <v>0</v>
      </c>
      <c r="BR123" s="508">
        <v>0</v>
      </c>
      <c r="BS123" s="508">
        <v>0</v>
      </c>
      <c r="BT123" s="508">
        <v>0</v>
      </c>
      <c r="BU123" s="508">
        <v>0</v>
      </c>
      <c r="BV123" s="508">
        <v>0</v>
      </c>
      <c r="BW123" s="508"/>
    </row>
    <row r="124" spans="1:75" ht="15" customHeight="1">
      <c r="A124" s="55">
        <v>121</v>
      </c>
      <c r="B124" s="75" t="s">
        <v>150</v>
      </c>
      <c r="C124" s="55">
        <v>28</v>
      </c>
      <c r="D124" s="508">
        <v>0</v>
      </c>
      <c r="E124" s="508">
        <v>0</v>
      </c>
      <c r="F124" s="508">
        <v>0</v>
      </c>
      <c r="G124" s="508">
        <v>0</v>
      </c>
      <c r="H124" s="508">
        <v>0</v>
      </c>
      <c r="I124" s="508">
        <v>0</v>
      </c>
      <c r="J124" s="508">
        <v>0</v>
      </c>
      <c r="K124" s="508">
        <v>0</v>
      </c>
      <c r="L124" s="508">
        <v>0</v>
      </c>
      <c r="M124" s="508">
        <v>0</v>
      </c>
      <c r="N124" s="508">
        <v>0</v>
      </c>
      <c r="O124" s="508">
        <v>0</v>
      </c>
      <c r="P124" s="508">
        <v>0</v>
      </c>
      <c r="Q124" s="508">
        <v>0</v>
      </c>
      <c r="R124" s="508">
        <v>0</v>
      </c>
      <c r="S124" s="508">
        <v>0</v>
      </c>
      <c r="T124" s="508">
        <v>0</v>
      </c>
      <c r="U124" s="508">
        <v>0</v>
      </c>
      <c r="V124" s="508">
        <v>0</v>
      </c>
      <c r="W124" s="508">
        <v>0</v>
      </c>
      <c r="X124" s="508">
        <v>0</v>
      </c>
      <c r="Y124" s="508">
        <v>0</v>
      </c>
      <c r="Z124" s="508">
        <v>0</v>
      </c>
      <c r="AA124" s="508">
        <v>0</v>
      </c>
      <c r="AB124" s="508">
        <v>0</v>
      </c>
      <c r="AC124" s="508">
        <v>0</v>
      </c>
      <c r="AD124" s="508">
        <v>0</v>
      </c>
      <c r="AE124" s="508">
        <v>0</v>
      </c>
      <c r="AF124" s="508">
        <v>0</v>
      </c>
      <c r="AG124" s="508">
        <v>0</v>
      </c>
      <c r="AH124" s="508">
        <v>0</v>
      </c>
      <c r="AI124" s="508">
        <v>0</v>
      </c>
      <c r="AJ124" s="508">
        <v>0</v>
      </c>
      <c r="AK124" s="508">
        <v>0</v>
      </c>
      <c r="AL124" s="508">
        <v>0</v>
      </c>
      <c r="AM124" s="508">
        <v>0</v>
      </c>
      <c r="AN124" s="508">
        <v>0</v>
      </c>
      <c r="AO124" s="508">
        <v>0</v>
      </c>
      <c r="AP124" s="508">
        <v>0</v>
      </c>
      <c r="AQ124" s="508">
        <v>0</v>
      </c>
      <c r="AR124" s="508">
        <v>0</v>
      </c>
      <c r="AS124" s="508">
        <v>0</v>
      </c>
      <c r="AT124" s="508">
        <v>0</v>
      </c>
      <c r="AU124" s="508">
        <v>0</v>
      </c>
      <c r="AV124" s="508">
        <v>0</v>
      </c>
      <c r="AW124" s="508">
        <v>0</v>
      </c>
      <c r="AX124" s="508">
        <v>0</v>
      </c>
      <c r="AY124" s="508">
        <v>0</v>
      </c>
      <c r="AZ124" s="508">
        <v>0</v>
      </c>
      <c r="BA124" s="508">
        <v>0</v>
      </c>
      <c r="BB124" s="508">
        <v>0</v>
      </c>
      <c r="BC124" s="508">
        <v>0</v>
      </c>
      <c r="BD124" s="508">
        <v>0</v>
      </c>
      <c r="BE124" s="508">
        <v>0</v>
      </c>
      <c r="BF124" s="508">
        <v>0</v>
      </c>
      <c r="BG124" s="508">
        <v>0</v>
      </c>
      <c r="BH124" s="508">
        <v>0</v>
      </c>
      <c r="BI124" s="508">
        <v>0</v>
      </c>
      <c r="BJ124" s="508">
        <v>0</v>
      </c>
      <c r="BK124" s="508">
        <v>0</v>
      </c>
      <c r="BL124" s="508">
        <v>0</v>
      </c>
      <c r="BM124" s="508">
        <v>0</v>
      </c>
      <c r="BN124" s="508">
        <v>0</v>
      </c>
      <c r="BO124" s="508">
        <v>0</v>
      </c>
      <c r="BP124" s="508">
        <v>0</v>
      </c>
      <c r="BQ124" s="508">
        <v>0</v>
      </c>
      <c r="BR124" s="508">
        <v>0</v>
      </c>
      <c r="BS124" s="508">
        <v>0</v>
      </c>
      <c r="BT124" s="508">
        <v>0</v>
      </c>
      <c r="BU124" s="508">
        <v>0</v>
      </c>
      <c r="BV124" s="508">
        <v>0</v>
      </c>
      <c r="BW124" s="508"/>
    </row>
    <row r="125" spans="1:75" ht="15" customHeight="1">
      <c r="A125" s="55">
        <v>122</v>
      </c>
      <c r="B125" s="75" t="s">
        <v>151</v>
      </c>
      <c r="C125" s="55">
        <v>28</v>
      </c>
      <c r="D125" s="508">
        <v>0</v>
      </c>
      <c r="E125" s="508">
        <v>0</v>
      </c>
      <c r="F125" s="508">
        <v>0</v>
      </c>
      <c r="G125" s="508">
        <v>0</v>
      </c>
      <c r="H125" s="508">
        <v>0</v>
      </c>
      <c r="I125" s="508">
        <v>0</v>
      </c>
      <c r="J125" s="508">
        <v>0</v>
      </c>
      <c r="K125" s="508">
        <v>0</v>
      </c>
      <c r="L125" s="508">
        <v>0</v>
      </c>
      <c r="M125" s="508">
        <v>0</v>
      </c>
      <c r="N125" s="508">
        <v>0</v>
      </c>
      <c r="O125" s="508">
        <v>0</v>
      </c>
      <c r="P125" s="508">
        <v>0</v>
      </c>
      <c r="Q125" s="508">
        <v>0</v>
      </c>
      <c r="R125" s="508">
        <v>0</v>
      </c>
      <c r="S125" s="508">
        <v>0</v>
      </c>
      <c r="T125" s="508">
        <v>0</v>
      </c>
      <c r="U125" s="508">
        <v>0</v>
      </c>
      <c r="V125" s="508">
        <v>0</v>
      </c>
      <c r="W125" s="508">
        <v>0</v>
      </c>
      <c r="X125" s="508">
        <v>0</v>
      </c>
      <c r="Y125" s="508">
        <v>0</v>
      </c>
      <c r="Z125" s="508">
        <v>0</v>
      </c>
      <c r="AA125" s="508">
        <v>0</v>
      </c>
      <c r="AB125" s="508">
        <v>0</v>
      </c>
      <c r="AC125" s="508">
        <v>0</v>
      </c>
      <c r="AD125" s="508">
        <v>0</v>
      </c>
      <c r="AE125" s="508">
        <v>0</v>
      </c>
      <c r="AF125" s="508">
        <v>0</v>
      </c>
      <c r="AG125" s="508">
        <v>0</v>
      </c>
      <c r="AH125" s="508">
        <v>0</v>
      </c>
      <c r="AI125" s="508">
        <v>0</v>
      </c>
      <c r="AJ125" s="508">
        <v>0</v>
      </c>
      <c r="AK125" s="508">
        <v>0</v>
      </c>
      <c r="AL125" s="508">
        <v>0</v>
      </c>
      <c r="AM125" s="508">
        <v>0</v>
      </c>
      <c r="AN125" s="508">
        <v>0</v>
      </c>
      <c r="AO125" s="508">
        <v>0</v>
      </c>
      <c r="AP125" s="508">
        <v>0</v>
      </c>
      <c r="AQ125" s="508">
        <v>0</v>
      </c>
      <c r="AR125" s="508">
        <v>0</v>
      </c>
      <c r="AS125" s="508">
        <v>0</v>
      </c>
      <c r="AT125" s="508">
        <v>0</v>
      </c>
      <c r="AU125" s="508">
        <v>0</v>
      </c>
      <c r="AV125" s="508">
        <v>0</v>
      </c>
      <c r="AW125" s="508">
        <v>0</v>
      </c>
      <c r="AX125" s="508">
        <v>0</v>
      </c>
      <c r="AY125" s="508">
        <v>0</v>
      </c>
      <c r="AZ125" s="508">
        <v>0</v>
      </c>
      <c r="BA125" s="508">
        <v>0</v>
      </c>
      <c r="BB125" s="508">
        <v>0</v>
      </c>
      <c r="BC125" s="508">
        <v>0</v>
      </c>
      <c r="BD125" s="508">
        <v>0</v>
      </c>
      <c r="BE125" s="508">
        <v>0</v>
      </c>
      <c r="BF125" s="508">
        <v>0</v>
      </c>
      <c r="BG125" s="508">
        <v>0</v>
      </c>
      <c r="BH125" s="508">
        <v>0</v>
      </c>
      <c r="BI125" s="508">
        <v>0</v>
      </c>
      <c r="BJ125" s="508">
        <v>0</v>
      </c>
      <c r="BK125" s="508">
        <v>0</v>
      </c>
      <c r="BL125" s="508">
        <v>0</v>
      </c>
      <c r="BM125" s="508">
        <v>0</v>
      </c>
      <c r="BN125" s="508">
        <v>0</v>
      </c>
      <c r="BO125" s="508">
        <v>0</v>
      </c>
      <c r="BP125" s="508">
        <v>0</v>
      </c>
      <c r="BQ125" s="508">
        <v>0</v>
      </c>
      <c r="BR125" s="508">
        <v>0</v>
      </c>
      <c r="BS125" s="508">
        <v>0</v>
      </c>
      <c r="BT125" s="508">
        <v>0</v>
      </c>
      <c r="BU125" s="508">
        <v>0</v>
      </c>
      <c r="BV125" s="508">
        <v>0</v>
      </c>
      <c r="BW125" s="508"/>
    </row>
    <row r="126" spans="1:75" ht="15" customHeight="1">
      <c r="A126" s="77">
        <v>123</v>
      </c>
      <c r="B126" s="78" t="s">
        <v>152</v>
      </c>
      <c r="C126" s="77">
        <v>28</v>
      </c>
      <c r="D126" s="509">
        <f t="shared" ref="D126:AY126" si="52">SUM(D127:D128)</f>
        <v>0</v>
      </c>
      <c r="E126" s="509">
        <f t="shared" si="52"/>
        <v>0</v>
      </c>
      <c r="F126" s="509">
        <f t="shared" si="52"/>
        <v>0</v>
      </c>
      <c r="G126" s="509">
        <f t="shared" si="52"/>
        <v>0</v>
      </c>
      <c r="H126" s="509">
        <f t="shared" si="52"/>
        <v>0</v>
      </c>
      <c r="I126" s="509">
        <f t="shared" si="52"/>
        <v>0</v>
      </c>
      <c r="J126" s="509">
        <f t="shared" si="52"/>
        <v>0</v>
      </c>
      <c r="K126" s="509">
        <f t="shared" si="52"/>
        <v>0</v>
      </c>
      <c r="L126" s="509">
        <f t="shared" si="52"/>
        <v>0</v>
      </c>
      <c r="M126" s="509">
        <f t="shared" si="52"/>
        <v>0</v>
      </c>
      <c r="N126" s="509">
        <f t="shared" si="52"/>
        <v>0</v>
      </c>
      <c r="O126" s="509">
        <f t="shared" si="52"/>
        <v>0</v>
      </c>
      <c r="P126" s="509">
        <f t="shared" si="52"/>
        <v>0</v>
      </c>
      <c r="Q126" s="509">
        <f t="shared" si="52"/>
        <v>0</v>
      </c>
      <c r="R126" s="509">
        <f t="shared" si="52"/>
        <v>0</v>
      </c>
      <c r="S126" s="509">
        <f t="shared" si="52"/>
        <v>0</v>
      </c>
      <c r="T126" s="509">
        <f t="shared" si="52"/>
        <v>0</v>
      </c>
      <c r="U126" s="509">
        <f t="shared" si="52"/>
        <v>0</v>
      </c>
      <c r="V126" s="509">
        <f t="shared" si="52"/>
        <v>0</v>
      </c>
      <c r="W126" s="509">
        <f t="shared" si="52"/>
        <v>0</v>
      </c>
      <c r="X126" s="509">
        <f t="shared" si="52"/>
        <v>0</v>
      </c>
      <c r="Y126" s="509">
        <f t="shared" si="52"/>
        <v>0</v>
      </c>
      <c r="Z126" s="509">
        <f t="shared" si="52"/>
        <v>0</v>
      </c>
      <c r="AA126" s="509">
        <f t="shared" si="52"/>
        <v>0</v>
      </c>
      <c r="AB126" s="509">
        <f t="shared" si="52"/>
        <v>0</v>
      </c>
      <c r="AC126" s="509">
        <f t="shared" si="52"/>
        <v>0</v>
      </c>
      <c r="AD126" s="509">
        <f t="shared" si="52"/>
        <v>0</v>
      </c>
      <c r="AE126" s="509">
        <f t="shared" si="52"/>
        <v>0</v>
      </c>
      <c r="AF126" s="509">
        <f t="shared" si="52"/>
        <v>0</v>
      </c>
      <c r="AG126" s="509">
        <f t="shared" si="52"/>
        <v>0</v>
      </c>
      <c r="AH126" s="509">
        <f t="shared" si="52"/>
        <v>0</v>
      </c>
      <c r="AI126" s="509">
        <f t="shared" si="52"/>
        <v>0</v>
      </c>
      <c r="AJ126" s="509">
        <f t="shared" si="52"/>
        <v>0</v>
      </c>
      <c r="AK126" s="509">
        <f t="shared" si="52"/>
        <v>0</v>
      </c>
      <c r="AL126" s="509">
        <f t="shared" si="52"/>
        <v>0</v>
      </c>
      <c r="AM126" s="509">
        <f t="shared" si="52"/>
        <v>0</v>
      </c>
      <c r="AN126" s="509">
        <f t="shared" si="52"/>
        <v>103851514758</v>
      </c>
      <c r="AO126" s="509">
        <f t="shared" si="52"/>
        <v>97113202906</v>
      </c>
      <c r="AP126" s="509">
        <f t="shared" si="52"/>
        <v>94369881618</v>
      </c>
      <c r="AQ126" s="509">
        <f t="shared" si="52"/>
        <v>96038222035</v>
      </c>
      <c r="AR126" s="509">
        <f t="shared" si="52"/>
        <v>90346413861</v>
      </c>
      <c r="AS126" s="509">
        <f t="shared" si="52"/>
        <v>78203765216</v>
      </c>
      <c r="AT126" s="509">
        <f t="shared" si="52"/>
        <v>63009488882</v>
      </c>
      <c r="AU126" s="509">
        <f t="shared" si="52"/>
        <v>52963168023</v>
      </c>
      <c r="AV126" s="509">
        <f t="shared" si="52"/>
        <v>61080811621</v>
      </c>
      <c r="AW126" s="509">
        <f t="shared" si="52"/>
        <v>54735064957</v>
      </c>
      <c r="AX126" s="509">
        <f t="shared" si="52"/>
        <v>48682915285</v>
      </c>
      <c r="AY126" s="509">
        <f t="shared" si="52"/>
        <v>138257269259</v>
      </c>
      <c r="AZ126" s="509">
        <v>140460126084</v>
      </c>
      <c r="BA126" s="509">
        <v>154520354770</v>
      </c>
      <c r="BB126" s="509">
        <v>160264614653</v>
      </c>
      <c r="BC126" s="509">
        <v>163523824887</v>
      </c>
      <c r="BD126" s="509">
        <v>172822344016</v>
      </c>
      <c r="BE126" s="509">
        <v>173507845260</v>
      </c>
      <c r="BF126" s="509">
        <v>176751834230</v>
      </c>
      <c r="BG126" s="509">
        <v>179300987412</v>
      </c>
      <c r="BH126" s="509">
        <v>168112900432</v>
      </c>
      <c r="BI126" s="509">
        <v>163231117543</v>
      </c>
      <c r="BJ126" s="509">
        <v>155244063567</v>
      </c>
      <c r="BK126" s="509">
        <v>157589673869</v>
      </c>
      <c r="BL126" s="509">
        <v>154521500474.80554</v>
      </c>
      <c r="BM126" s="509">
        <v>146786830293.63403</v>
      </c>
      <c r="BN126" s="509">
        <v>139700222217.04236</v>
      </c>
      <c r="BO126" s="509">
        <v>144497053238.87311</v>
      </c>
      <c r="BP126" s="509">
        <v>153420147916.64191</v>
      </c>
      <c r="BQ126" s="509">
        <f t="shared" ref="BQ126:BW126" si="53">SUM(BQ127:BQ128)</f>
        <v>0</v>
      </c>
      <c r="BR126" s="509">
        <f t="shared" si="53"/>
        <v>0</v>
      </c>
      <c r="BS126" s="509">
        <f t="shared" si="53"/>
        <v>0</v>
      </c>
      <c r="BT126" s="509">
        <f t="shared" si="53"/>
        <v>0</v>
      </c>
      <c r="BU126" s="509">
        <f t="shared" si="53"/>
        <v>0</v>
      </c>
      <c r="BV126" s="509">
        <f t="shared" si="53"/>
        <v>0</v>
      </c>
      <c r="BW126" s="509">
        <f t="shared" si="53"/>
        <v>0</v>
      </c>
    </row>
    <row r="127" spans="1:75" ht="15" customHeight="1">
      <c r="A127" s="55">
        <v>124</v>
      </c>
      <c r="B127" s="79" t="s">
        <v>153</v>
      </c>
      <c r="C127" s="55">
        <v>28</v>
      </c>
      <c r="D127" s="508"/>
      <c r="E127" s="508"/>
      <c r="F127" s="508"/>
      <c r="G127" s="508"/>
      <c r="H127" s="508"/>
      <c r="I127" s="508"/>
      <c r="J127" s="508"/>
      <c r="K127" s="508"/>
      <c r="L127" s="508"/>
      <c r="M127" s="508"/>
      <c r="N127" s="508"/>
      <c r="O127" s="508"/>
      <c r="P127" s="508"/>
      <c r="Q127" s="508"/>
      <c r="R127" s="508"/>
      <c r="S127" s="508"/>
      <c r="T127" s="508"/>
      <c r="U127" s="508"/>
      <c r="V127" s="508"/>
      <c r="W127" s="508"/>
      <c r="X127" s="508"/>
      <c r="Y127" s="508"/>
      <c r="Z127" s="508"/>
      <c r="AA127" s="508"/>
      <c r="AB127" s="508"/>
      <c r="AC127" s="508"/>
      <c r="AD127" s="508"/>
      <c r="AE127" s="508"/>
      <c r="AF127" s="508"/>
      <c r="AG127" s="508"/>
      <c r="AH127" s="508"/>
      <c r="AI127" s="508"/>
      <c r="AJ127" s="508"/>
      <c r="AK127" s="508"/>
      <c r="AL127" s="508"/>
      <c r="AM127" s="508"/>
      <c r="AN127" s="508">
        <v>106616032141</v>
      </c>
      <c r="AO127" s="508">
        <v>106089690091</v>
      </c>
      <c r="AP127" s="508">
        <v>99638196434</v>
      </c>
      <c r="AQ127" s="508">
        <v>96598905145</v>
      </c>
      <c r="AR127" s="508">
        <v>98504096257</v>
      </c>
      <c r="AS127" s="508">
        <v>93134079207</v>
      </c>
      <c r="AT127" s="508">
        <v>81298575935</v>
      </c>
      <c r="AU127" s="508">
        <v>66817200404</v>
      </c>
      <c r="AV127" s="508">
        <v>57599901812</v>
      </c>
      <c r="AW127" s="508">
        <v>66581916057</v>
      </c>
      <c r="AX127" s="508">
        <v>60563420421</v>
      </c>
      <c r="AY127" s="508">
        <v>55535997499</v>
      </c>
      <c r="AZ127" s="508">
        <v>138224470359</v>
      </c>
      <c r="BA127" s="508">
        <v>140460126084</v>
      </c>
      <c r="BB127" s="508">
        <v>154520354770</v>
      </c>
      <c r="BC127" s="508">
        <v>160264584003</v>
      </c>
      <c r="BD127" s="508">
        <v>163523383887</v>
      </c>
      <c r="BE127" s="508">
        <v>172822533016</v>
      </c>
      <c r="BF127" s="508">
        <v>173508627910</v>
      </c>
      <c r="BG127" s="508">
        <v>176751834230</v>
      </c>
      <c r="BH127" s="508">
        <v>179300987412</v>
      </c>
      <c r="BI127" s="508">
        <v>168112900432</v>
      </c>
      <c r="BJ127" s="508">
        <v>163231117543</v>
      </c>
      <c r="BK127" s="508">
        <v>155244834346</v>
      </c>
      <c r="BL127" s="508">
        <v>157589673869</v>
      </c>
      <c r="BM127" s="508">
        <v>154521500474.80554</v>
      </c>
      <c r="BN127" s="508">
        <v>146786830293.63403</v>
      </c>
      <c r="BO127" s="508">
        <v>139700222217.04236</v>
      </c>
      <c r="BP127" s="508">
        <v>144035731522.87311</v>
      </c>
      <c r="BQ127" s="508"/>
      <c r="BR127" s="508"/>
      <c r="BS127" s="508"/>
      <c r="BT127" s="508"/>
      <c r="BU127" s="508"/>
      <c r="BV127" s="508"/>
      <c r="BW127" s="508"/>
    </row>
    <row r="128" spans="1:75" ht="15" customHeight="1">
      <c r="A128" s="55">
        <v>125</v>
      </c>
      <c r="B128" s="79" t="s">
        <v>154</v>
      </c>
      <c r="C128" s="55">
        <v>28</v>
      </c>
      <c r="D128" s="508"/>
      <c r="E128" s="508"/>
      <c r="F128" s="508"/>
      <c r="G128" s="508"/>
      <c r="H128" s="508"/>
      <c r="I128" s="508"/>
      <c r="J128" s="508"/>
      <c r="K128" s="508"/>
      <c r="L128" s="508"/>
      <c r="M128" s="508"/>
      <c r="N128" s="508"/>
      <c r="O128" s="508"/>
      <c r="P128" s="508"/>
      <c r="Q128" s="508"/>
      <c r="R128" s="508"/>
      <c r="S128" s="508"/>
      <c r="T128" s="508"/>
      <c r="U128" s="508"/>
      <c r="V128" s="508"/>
      <c r="W128" s="508"/>
      <c r="X128" s="508"/>
      <c r="Y128" s="508"/>
      <c r="Z128" s="508"/>
      <c r="AA128" s="508"/>
      <c r="AB128" s="508"/>
      <c r="AC128" s="508"/>
      <c r="AD128" s="508"/>
      <c r="AE128" s="508"/>
      <c r="AF128" s="508"/>
      <c r="AG128" s="508"/>
      <c r="AH128" s="508"/>
      <c r="AI128" s="508"/>
      <c r="AJ128" s="508"/>
      <c r="AK128" s="508"/>
      <c r="AL128" s="508"/>
      <c r="AM128" s="508"/>
      <c r="AN128" s="508">
        <v>-2764517383</v>
      </c>
      <c r="AO128" s="508">
        <v>-8976487185</v>
      </c>
      <c r="AP128" s="508">
        <v>-5268314816</v>
      </c>
      <c r="AQ128" s="508">
        <v>-560683110</v>
      </c>
      <c r="AR128" s="508">
        <v>-8157682396</v>
      </c>
      <c r="AS128" s="508">
        <v>-14930313991</v>
      </c>
      <c r="AT128" s="508">
        <v>-18289087053</v>
      </c>
      <c r="AU128" s="508">
        <v>-13854032381</v>
      </c>
      <c r="AV128" s="508">
        <v>3480909809</v>
      </c>
      <c r="AW128" s="508">
        <v>-11846851100</v>
      </c>
      <c r="AX128" s="508">
        <v>-11880505136</v>
      </c>
      <c r="AY128" s="508">
        <v>82721271760</v>
      </c>
      <c r="AZ128" s="508">
        <v>2235655725</v>
      </c>
      <c r="BA128" s="508">
        <v>14060228686</v>
      </c>
      <c r="BB128" s="508">
        <v>5744259883</v>
      </c>
      <c r="BC128" s="508">
        <v>3259240884</v>
      </c>
      <c r="BD128" s="508">
        <v>9298960129</v>
      </c>
      <c r="BE128" s="508">
        <v>685312244</v>
      </c>
      <c r="BF128" s="508">
        <v>3243206320</v>
      </c>
      <c r="BG128" s="508">
        <v>2549153182</v>
      </c>
      <c r="BH128" s="508">
        <v>-11188086980</v>
      </c>
      <c r="BI128" s="508">
        <v>-4881782889</v>
      </c>
      <c r="BJ128" s="508">
        <v>-7987053976</v>
      </c>
      <c r="BK128" s="508">
        <v>2344839523</v>
      </c>
      <c r="BL128" s="508">
        <v>-3068173394.1944447</v>
      </c>
      <c r="BM128" s="508">
        <v>-7734670181.1715136</v>
      </c>
      <c r="BN128" s="508">
        <v>-7086608076.5916672</v>
      </c>
      <c r="BO128" s="508">
        <v>4796831021.8307524</v>
      </c>
      <c r="BP128" s="508">
        <v>9384416393.7688103</v>
      </c>
      <c r="BQ128" s="508"/>
      <c r="BR128" s="508"/>
      <c r="BS128" s="508"/>
      <c r="BT128" s="508"/>
      <c r="BU128" s="508"/>
      <c r="BV128" s="508"/>
      <c r="BW128" s="508"/>
    </row>
    <row r="129" spans="1:75" s="81" customFormat="1" ht="15" customHeight="1">
      <c r="A129" s="80">
        <v>126</v>
      </c>
      <c r="B129" s="511" t="s">
        <v>350</v>
      </c>
      <c r="C129" s="80">
        <v>28</v>
      </c>
      <c r="D129" s="510">
        <f t="shared" ref="D129:AY129" si="54">SUM(D82,D114)</f>
        <v>0</v>
      </c>
      <c r="E129" s="510">
        <f t="shared" si="54"/>
        <v>0</v>
      </c>
      <c r="F129" s="510">
        <f t="shared" si="54"/>
        <v>0</v>
      </c>
      <c r="G129" s="510">
        <f t="shared" si="54"/>
        <v>0</v>
      </c>
      <c r="H129" s="510">
        <f t="shared" si="54"/>
        <v>0</v>
      </c>
      <c r="I129" s="510">
        <f t="shared" si="54"/>
        <v>0</v>
      </c>
      <c r="J129" s="510">
        <f t="shared" si="54"/>
        <v>0</v>
      </c>
      <c r="K129" s="510">
        <f t="shared" si="54"/>
        <v>0</v>
      </c>
      <c r="L129" s="510">
        <f t="shared" si="54"/>
        <v>0</v>
      </c>
      <c r="M129" s="510">
        <f t="shared" si="54"/>
        <v>0</v>
      </c>
      <c r="N129" s="510">
        <f t="shared" si="54"/>
        <v>0</v>
      </c>
      <c r="O129" s="510">
        <f t="shared" si="54"/>
        <v>0</v>
      </c>
      <c r="P129" s="510">
        <f t="shared" si="54"/>
        <v>0</v>
      </c>
      <c r="Q129" s="510">
        <f t="shared" si="54"/>
        <v>0</v>
      </c>
      <c r="R129" s="510">
        <f t="shared" si="54"/>
        <v>0</v>
      </c>
      <c r="S129" s="510">
        <f t="shared" si="54"/>
        <v>0</v>
      </c>
      <c r="T129" s="510">
        <f t="shared" si="54"/>
        <v>0</v>
      </c>
      <c r="U129" s="510">
        <f t="shared" si="54"/>
        <v>0</v>
      </c>
      <c r="V129" s="510">
        <f t="shared" si="54"/>
        <v>0</v>
      </c>
      <c r="W129" s="510">
        <f t="shared" si="54"/>
        <v>0</v>
      </c>
      <c r="X129" s="510">
        <f t="shared" si="54"/>
        <v>0</v>
      </c>
      <c r="Y129" s="510">
        <f t="shared" si="54"/>
        <v>0</v>
      </c>
      <c r="Z129" s="510">
        <f t="shared" si="54"/>
        <v>0</v>
      </c>
      <c r="AA129" s="510">
        <f t="shared" si="54"/>
        <v>0</v>
      </c>
      <c r="AB129" s="510">
        <f t="shared" si="54"/>
        <v>0</v>
      </c>
      <c r="AC129" s="510">
        <f t="shared" si="54"/>
        <v>0</v>
      </c>
      <c r="AD129" s="510">
        <f t="shared" si="54"/>
        <v>0</v>
      </c>
      <c r="AE129" s="510">
        <f t="shared" si="54"/>
        <v>0</v>
      </c>
      <c r="AF129" s="510">
        <f t="shared" si="54"/>
        <v>0</v>
      </c>
      <c r="AG129" s="510">
        <f t="shared" si="54"/>
        <v>0</v>
      </c>
      <c r="AH129" s="510">
        <f t="shared" si="54"/>
        <v>0</v>
      </c>
      <c r="AI129" s="510">
        <f t="shared" si="54"/>
        <v>0</v>
      </c>
      <c r="AJ129" s="510">
        <f t="shared" si="54"/>
        <v>0</v>
      </c>
      <c r="AK129" s="510">
        <f t="shared" si="54"/>
        <v>0</v>
      </c>
      <c r="AL129" s="510">
        <f t="shared" si="54"/>
        <v>0</v>
      </c>
      <c r="AM129" s="510">
        <f t="shared" si="54"/>
        <v>0</v>
      </c>
      <c r="AN129" s="510">
        <f t="shared" si="54"/>
        <v>1175130402352</v>
      </c>
      <c r="AO129" s="510">
        <f t="shared" si="54"/>
        <v>1156870558457</v>
      </c>
      <c r="AP129" s="510">
        <f t="shared" si="54"/>
        <v>1193502357108.8599</v>
      </c>
      <c r="AQ129" s="510">
        <f t="shared" si="54"/>
        <v>1254540608128.8818</v>
      </c>
      <c r="AR129" s="510">
        <f t="shared" si="54"/>
        <v>1298938884161</v>
      </c>
      <c r="AS129" s="510">
        <f t="shared" si="54"/>
        <v>1325603983311</v>
      </c>
      <c r="AT129" s="510">
        <f t="shared" si="54"/>
        <v>1267478798902</v>
      </c>
      <c r="AU129" s="510">
        <f t="shared" si="54"/>
        <v>1218290040966</v>
      </c>
      <c r="AV129" s="510">
        <f t="shared" si="54"/>
        <v>1260492317013</v>
      </c>
      <c r="AW129" s="510">
        <f t="shared" si="54"/>
        <v>1282720707132</v>
      </c>
      <c r="AX129" s="510">
        <f t="shared" si="54"/>
        <v>1380932210078</v>
      </c>
      <c r="AY129" s="507">
        <f t="shared" si="54"/>
        <v>1365896363032.4819</v>
      </c>
      <c r="AZ129" s="507">
        <v>1288397230797</v>
      </c>
      <c r="BA129" s="507">
        <v>1200974905339</v>
      </c>
      <c r="BB129" s="507">
        <v>1249189875833.4819</v>
      </c>
      <c r="BC129" s="507">
        <v>1322043976414</v>
      </c>
      <c r="BD129" s="507">
        <v>1378213576429</v>
      </c>
      <c r="BE129" s="507">
        <v>1412639543304.4819</v>
      </c>
      <c r="BF129" s="507">
        <v>1406218085864.4822</v>
      </c>
      <c r="BG129" s="507">
        <v>1467398603298.4822</v>
      </c>
      <c r="BH129" s="507">
        <v>1453327615282.4819</v>
      </c>
      <c r="BI129" s="507">
        <v>1402480690156.4819</v>
      </c>
      <c r="BJ129" s="507">
        <v>1380736689249.4819</v>
      </c>
      <c r="BK129" s="507">
        <v>1377306550833.4819</v>
      </c>
      <c r="BL129" s="507">
        <v>1424723112774.8057</v>
      </c>
      <c r="BM129" s="507">
        <v>1439663177992.0342</v>
      </c>
      <c r="BN129" s="507">
        <v>1395583365175.0425</v>
      </c>
      <c r="BO129" s="507">
        <v>1377943027579.873</v>
      </c>
      <c r="BP129" s="507">
        <v>1458807030447.6418</v>
      </c>
      <c r="BQ129" s="507">
        <f t="shared" ref="BQ129:BW129" si="55">SUM(BQ82,BQ114)</f>
        <v>0</v>
      </c>
      <c r="BR129" s="507">
        <f t="shared" si="55"/>
        <v>0</v>
      </c>
      <c r="BS129" s="507">
        <f t="shared" si="55"/>
        <v>0</v>
      </c>
      <c r="BT129" s="507">
        <f t="shared" si="55"/>
        <v>0</v>
      </c>
      <c r="BU129" s="507">
        <f t="shared" si="55"/>
        <v>0</v>
      </c>
      <c r="BV129" s="507">
        <f t="shared" si="55"/>
        <v>0</v>
      </c>
      <c r="BW129" s="507">
        <f t="shared" si="55"/>
        <v>0</v>
      </c>
    </row>
    <row r="130" spans="1:75" ht="15" customHeight="1">
      <c r="A130" s="21"/>
      <c r="B130" s="20"/>
      <c r="C130" s="21"/>
      <c r="D130" s="21"/>
      <c r="E130" s="21"/>
      <c r="F130" s="21"/>
      <c r="G130" s="21"/>
      <c r="H130" s="21"/>
      <c r="I130" s="21"/>
      <c r="J130" s="22"/>
      <c r="K130" s="22"/>
      <c r="L130" s="22"/>
      <c r="M130" s="22"/>
      <c r="N130" s="22"/>
      <c r="O130" s="22"/>
      <c r="P130" s="23"/>
      <c r="Q130" s="23"/>
      <c r="R130" s="23"/>
      <c r="S130" s="23"/>
      <c r="T130" s="23"/>
      <c r="U130" s="23"/>
      <c r="V130" s="23"/>
      <c r="W130" s="23"/>
      <c r="X130" s="24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</row>
    <row r="131" spans="1:75" ht="15" customHeight="1">
      <c r="A131" s="44"/>
      <c r="B131" s="44"/>
      <c r="C131" s="44"/>
      <c r="D131" s="44"/>
      <c r="E131" s="44"/>
      <c r="F131" s="44"/>
      <c r="G131" s="44"/>
      <c r="H131" s="44"/>
      <c r="I131" s="44"/>
      <c r="J131" s="44"/>
      <c r="K131" s="44"/>
      <c r="L131" s="44"/>
      <c r="M131" s="44"/>
      <c r="N131" s="44"/>
      <c r="O131" s="44"/>
      <c r="P131" s="44"/>
      <c r="Q131" s="44"/>
      <c r="R131" s="44"/>
      <c r="S131" s="44"/>
      <c r="T131" s="44"/>
      <c r="U131" s="44"/>
      <c r="V131" s="44"/>
      <c r="W131" s="44"/>
      <c r="X131" s="44"/>
      <c r="Y131" s="44"/>
      <c r="Z131" s="44"/>
      <c r="AA131" s="44"/>
      <c r="AB131" s="44"/>
      <c r="AC131" s="44"/>
      <c r="AD131" s="44"/>
      <c r="AE131" s="44"/>
      <c r="AF131" s="44"/>
      <c r="AG131" s="44"/>
      <c r="AH131" s="44"/>
      <c r="AI131" s="44"/>
      <c r="AJ131" s="44"/>
      <c r="AK131" s="44"/>
      <c r="AL131" s="44"/>
      <c r="AM131" s="44"/>
    </row>
    <row r="132" spans="1:75" ht="15" customHeight="1">
      <c r="A132" s="44"/>
      <c r="B132" s="44"/>
      <c r="C132" s="44"/>
      <c r="D132" s="44"/>
      <c r="E132" s="44"/>
      <c r="F132" s="44"/>
      <c r="G132" s="44"/>
      <c r="H132" s="44"/>
      <c r="I132" s="44"/>
      <c r="J132" s="44"/>
      <c r="K132" s="44"/>
      <c r="L132" s="44"/>
      <c r="M132" s="44"/>
      <c r="N132" s="44"/>
      <c r="O132" s="44"/>
      <c r="P132" s="44"/>
      <c r="Q132" s="44"/>
      <c r="R132" s="44"/>
      <c r="S132" s="44"/>
      <c r="T132" s="44"/>
      <c r="U132" s="44"/>
      <c r="V132" s="44"/>
      <c r="W132" s="44"/>
      <c r="X132" s="44"/>
      <c r="Y132" s="44"/>
      <c r="Z132" s="44"/>
      <c r="AA132" s="44"/>
      <c r="AB132" s="44"/>
      <c r="AC132" s="44"/>
      <c r="AD132" s="44"/>
      <c r="AE132" s="44"/>
      <c r="AF132" s="44"/>
      <c r="AG132" s="44"/>
      <c r="AH132" s="44"/>
      <c r="AI132" s="44"/>
      <c r="AJ132" s="44"/>
      <c r="AK132" s="44"/>
      <c r="AL132" s="44"/>
      <c r="AM132" s="44"/>
    </row>
    <row r="133" spans="1:75" ht="15" customHeight="1">
      <c r="A133" s="44"/>
      <c r="B133" s="44"/>
      <c r="C133" s="44"/>
      <c r="D133" s="44"/>
      <c r="E133" s="44"/>
      <c r="F133" s="44"/>
      <c r="G133" s="44"/>
      <c r="H133" s="44"/>
      <c r="I133" s="44"/>
      <c r="J133" s="44"/>
      <c r="K133" s="44"/>
      <c r="L133" s="44"/>
      <c r="M133" s="44"/>
      <c r="N133" s="44"/>
      <c r="O133" s="44"/>
      <c r="P133" s="44"/>
      <c r="Q133" s="44"/>
      <c r="R133" s="44"/>
      <c r="S133" s="44"/>
      <c r="T133" s="44"/>
      <c r="U133" s="44"/>
      <c r="V133" s="44"/>
      <c r="W133" s="44"/>
      <c r="X133" s="44"/>
      <c r="Y133" s="44"/>
      <c r="Z133" s="44"/>
      <c r="AA133" s="44"/>
      <c r="AB133" s="44"/>
      <c r="AC133" s="44"/>
      <c r="AD133" s="44"/>
      <c r="AE133" s="44"/>
      <c r="AF133" s="44"/>
      <c r="AG133" s="44"/>
      <c r="AH133" s="44"/>
      <c r="AI133" s="44"/>
      <c r="AJ133" s="44"/>
      <c r="AK133" s="44"/>
      <c r="AL133" s="44"/>
      <c r="AM133" s="44"/>
    </row>
    <row r="134" spans="1:75" ht="15" customHeight="1">
      <c r="A134" s="44"/>
      <c r="B134" s="44"/>
      <c r="C134" s="44"/>
      <c r="D134" s="44"/>
      <c r="E134" s="44"/>
      <c r="F134" s="44"/>
      <c r="G134" s="44"/>
      <c r="H134" s="44"/>
      <c r="I134" s="44"/>
      <c r="J134" s="44"/>
      <c r="K134" s="44"/>
      <c r="L134" s="44"/>
      <c r="M134" s="44"/>
      <c r="N134" s="44"/>
      <c r="O134" s="44"/>
      <c r="P134" s="44"/>
      <c r="Q134" s="44"/>
      <c r="R134" s="44"/>
      <c r="S134" s="44"/>
      <c r="T134" s="44"/>
      <c r="U134" s="44"/>
      <c r="V134" s="44"/>
      <c r="W134" s="44"/>
      <c r="X134" s="44"/>
      <c r="Y134" s="44"/>
      <c r="Z134" s="44"/>
      <c r="AA134" s="44"/>
      <c r="AB134" s="44"/>
      <c r="AC134" s="44"/>
      <c r="AD134" s="44"/>
      <c r="AE134" s="44"/>
      <c r="AF134" s="44"/>
      <c r="AG134" s="44"/>
      <c r="AH134" s="44"/>
      <c r="AI134" s="44"/>
      <c r="AJ134" s="44"/>
      <c r="AK134" s="44"/>
      <c r="AL134" s="44"/>
      <c r="AM134" s="44"/>
    </row>
    <row r="135" spans="1:75" ht="15" customHeight="1">
      <c r="A135" s="44"/>
      <c r="B135" s="44"/>
      <c r="C135" s="44"/>
      <c r="D135" s="44"/>
      <c r="E135" s="44"/>
      <c r="F135" s="44"/>
      <c r="G135" s="44"/>
      <c r="H135" s="44"/>
      <c r="I135" s="44"/>
      <c r="J135" s="44"/>
      <c r="K135" s="44"/>
      <c r="L135" s="44"/>
      <c r="M135" s="44"/>
      <c r="N135" s="44"/>
      <c r="O135" s="44"/>
      <c r="P135" s="44"/>
      <c r="Q135" s="44"/>
      <c r="R135" s="44"/>
      <c r="S135" s="44"/>
      <c r="T135" s="44"/>
      <c r="U135" s="44"/>
      <c r="V135" s="44"/>
      <c r="W135" s="44"/>
      <c r="X135" s="44"/>
      <c r="Y135" s="44"/>
      <c r="Z135" s="44"/>
      <c r="AA135" s="44"/>
      <c r="AB135" s="44"/>
      <c r="AC135" s="44"/>
      <c r="AD135" s="44"/>
      <c r="AE135" s="44"/>
      <c r="AF135" s="44"/>
      <c r="AG135" s="44"/>
      <c r="AH135" s="44"/>
      <c r="AI135" s="44"/>
      <c r="AJ135" s="44"/>
      <c r="AK135" s="44"/>
      <c r="AL135" s="44"/>
      <c r="AM135" s="44"/>
    </row>
    <row r="136" spans="1:75" ht="15" customHeight="1">
      <c r="A136" s="44"/>
      <c r="B136" s="44"/>
      <c r="C136" s="44"/>
      <c r="D136" s="44"/>
      <c r="E136" s="44"/>
      <c r="F136" s="44"/>
      <c r="G136" s="44"/>
      <c r="H136" s="44"/>
      <c r="I136" s="44"/>
      <c r="J136" s="44"/>
      <c r="K136" s="44"/>
      <c r="L136" s="44"/>
      <c r="M136" s="44"/>
      <c r="N136" s="44"/>
      <c r="O136" s="44"/>
      <c r="P136" s="44"/>
      <c r="Q136" s="44"/>
      <c r="R136" s="44"/>
      <c r="S136" s="44"/>
      <c r="T136" s="44"/>
      <c r="U136" s="44"/>
      <c r="V136" s="44"/>
      <c r="W136" s="44"/>
      <c r="X136" s="44"/>
      <c r="Y136" s="44"/>
      <c r="Z136" s="44"/>
      <c r="AA136" s="44"/>
      <c r="AB136" s="44"/>
      <c r="AC136" s="44"/>
      <c r="AD136" s="44"/>
      <c r="AE136" s="44"/>
      <c r="AF136" s="44"/>
      <c r="AG136" s="44"/>
      <c r="AH136" s="44"/>
      <c r="AI136" s="44"/>
      <c r="AJ136" s="44"/>
      <c r="AK136" s="44"/>
      <c r="AL136" s="44"/>
      <c r="AM136" s="44"/>
    </row>
    <row r="137" spans="1:75" ht="15" customHeight="1">
      <c r="A137" s="44"/>
      <c r="B137" s="44"/>
      <c r="C137" s="44"/>
      <c r="D137" s="44"/>
      <c r="E137" s="44"/>
      <c r="F137" s="44"/>
      <c r="G137" s="44"/>
      <c r="H137" s="44"/>
      <c r="I137" s="44"/>
      <c r="J137" s="44"/>
      <c r="K137" s="44"/>
      <c r="L137" s="44"/>
      <c r="M137" s="44"/>
      <c r="N137" s="44"/>
      <c r="O137" s="44"/>
      <c r="P137" s="44"/>
      <c r="Q137" s="44"/>
      <c r="R137" s="44"/>
      <c r="S137" s="44"/>
      <c r="T137" s="44"/>
      <c r="U137" s="44"/>
      <c r="V137" s="44"/>
      <c r="W137" s="44"/>
      <c r="X137" s="44"/>
      <c r="Y137" s="44"/>
      <c r="Z137" s="44"/>
      <c r="AA137" s="44"/>
      <c r="AB137" s="44"/>
      <c r="AC137" s="44"/>
      <c r="AD137" s="44"/>
      <c r="AE137" s="44"/>
      <c r="AF137" s="44"/>
      <c r="AG137" s="44"/>
      <c r="AH137" s="44"/>
      <c r="AI137" s="44"/>
      <c r="AJ137" s="44"/>
      <c r="AK137" s="44"/>
      <c r="AL137" s="44"/>
      <c r="AM137" s="44"/>
    </row>
    <row r="138" spans="1:75" ht="15" customHeight="1">
      <c r="A138" s="44"/>
      <c r="B138" s="44"/>
      <c r="C138" s="44"/>
      <c r="D138" s="44"/>
      <c r="E138" s="44"/>
      <c r="F138" s="44"/>
      <c r="G138" s="44"/>
      <c r="H138" s="44"/>
      <c r="I138" s="44"/>
      <c r="J138" s="44"/>
      <c r="K138" s="44"/>
      <c r="L138" s="44"/>
      <c r="M138" s="44"/>
      <c r="N138" s="44"/>
      <c r="O138" s="44"/>
      <c r="P138" s="44"/>
      <c r="Q138" s="44"/>
      <c r="R138" s="44"/>
      <c r="S138" s="44"/>
      <c r="T138" s="44"/>
      <c r="U138" s="44"/>
      <c r="V138" s="44"/>
      <c r="W138" s="44"/>
      <c r="X138" s="44"/>
      <c r="Y138" s="44"/>
      <c r="Z138" s="44"/>
      <c r="AA138" s="44"/>
      <c r="AB138" s="44"/>
      <c r="AC138" s="44"/>
      <c r="AD138" s="44"/>
      <c r="AE138" s="44"/>
      <c r="AF138" s="44"/>
      <c r="AG138" s="44"/>
      <c r="AH138" s="44"/>
      <c r="AI138" s="44"/>
      <c r="AJ138" s="44"/>
      <c r="AK138" s="44"/>
      <c r="AL138" s="44"/>
      <c r="AM138" s="44"/>
    </row>
    <row r="139" spans="1:75" ht="15" customHeight="1">
      <c r="A139" s="44"/>
      <c r="B139" s="44"/>
      <c r="C139" s="44"/>
      <c r="D139" s="44"/>
      <c r="E139" s="44"/>
      <c r="F139" s="44"/>
      <c r="G139" s="44"/>
      <c r="H139" s="44"/>
      <c r="I139" s="44"/>
      <c r="J139" s="44"/>
      <c r="K139" s="44"/>
      <c r="L139" s="44"/>
      <c r="M139" s="44"/>
      <c r="N139" s="44"/>
      <c r="O139" s="44"/>
      <c r="P139" s="44"/>
      <c r="Q139" s="44"/>
      <c r="R139" s="44"/>
      <c r="S139" s="44"/>
      <c r="T139" s="44"/>
      <c r="U139" s="44"/>
      <c r="V139" s="44"/>
      <c r="W139" s="44"/>
      <c r="X139" s="44"/>
      <c r="Y139" s="44"/>
      <c r="Z139" s="44"/>
      <c r="AA139" s="44"/>
      <c r="AB139" s="44"/>
      <c r="AC139" s="44"/>
      <c r="AD139" s="44"/>
      <c r="AE139" s="44"/>
      <c r="AF139" s="44"/>
      <c r="AG139" s="44"/>
      <c r="AH139" s="44"/>
      <c r="AI139" s="44"/>
      <c r="AJ139" s="44"/>
      <c r="AK139" s="44"/>
      <c r="AL139" s="44"/>
      <c r="AM139" s="44"/>
    </row>
    <row r="140" spans="1:75" ht="15" customHeight="1">
      <c r="A140" s="44"/>
      <c r="B140" s="44"/>
      <c r="C140" s="44"/>
      <c r="D140" s="44"/>
      <c r="E140" s="44"/>
      <c r="F140" s="44"/>
      <c r="G140" s="44"/>
      <c r="H140" s="44"/>
      <c r="I140" s="44"/>
      <c r="J140" s="44"/>
      <c r="K140" s="44"/>
      <c r="L140" s="44"/>
      <c r="M140" s="44"/>
      <c r="N140" s="44"/>
      <c r="O140" s="44"/>
      <c r="P140" s="44"/>
      <c r="Q140" s="44"/>
      <c r="R140" s="44"/>
      <c r="S140" s="44"/>
      <c r="T140" s="44"/>
      <c r="U140" s="44"/>
      <c r="V140" s="44"/>
      <c r="W140" s="44"/>
      <c r="X140" s="44"/>
      <c r="Y140" s="44"/>
      <c r="Z140" s="44"/>
      <c r="AA140" s="44"/>
      <c r="AB140" s="44"/>
      <c r="AC140" s="44"/>
      <c r="AD140" s="44"/>
      <c r="AE140" s="44"/>
      <c r="AF140" s="44"/>
      <c r="AG140" s="44"/>
      <c r="AH140" s="44"/>
      <c r="AI140" s="44"/>
      <c r="AJ140" s="44"/>
      <c r="AK140" s="44"/>
      <c r="AL140" s="44"/>
      <c r="AM140" s="44"/>
    </row>
    <row r="141" spans="1:75" ht="15" customHeight="1">
      <c r="A141" s="44"/>
      <c r="B141" s="44"/>
      <c r="C141" s="44"/>
      <c r="D141" s="44"/>
      <c r="E141" s="44"/>
      <c r="F141" s="44"/>
      <c r="G141" s="44"/>
      <c r="H141" s="44"/>
      <c r="I141" s="44"/>
      <c r="J141" s="44"/>
      <c r="K141" s="44"/>
      <c r="L141" s="44"/>
      <c r="M141" s="44"/>
      <c r="N141" s="44"/>
      <c r="O141" s="44"/>
      <c r="P141" s="44"/>
      <c r="Q141" s="44"/>
      <c r="R141" s="44"/>
      <c r="S141" s="44"/>
      <c r="T141" s="44"/>
      <c r="U141" s="44"/>
      <c r="V141" s="44"/>
      <c r="W141" s="44"/>
      <c r="X141" s="44"/>
      <c r="Y141" s="44"/>
      <c r="Z141" s="44"/>
      <c r="AA141" s="44"/>
      <c r="AB141" s="44"/>
      <c r="AC141" s="44"/>
      <c r="AD141" s="44"/>
      <c r="AE141" s="44"/>
      <c r="AF141" s="44"/>
      <c r="AG141" s="44"/>
      <c r="AH141" s="44"/>
      <c r="AI141" s="44"/>
      <c r="AJ141" s="44"/>
      <c r="AK141" s="44"/>
      <c r="AL141" s="44"/>
      <c r="AM141" s="44"/>
    </row>
    <row r="142" spans="1:75" ht="15" customHeight="1">
      <c r="A142" s="44"/>
      <c r="B142" s="44"/>
      <c r="C142" s="44"/>
      <c r="D142" s="44"/>
      <c r="E142" s="44"/>
      <c r="F142" s="44"/>
      <c r="G142" s="44"/>
      <c r="H142" s="44"/>
      <c r="I142" s="44"/>
      <c r="J142" s="44"/>
      <c r="K142" s="44"/>
      <c r="L142" s="44"/>
      <c r="M142" s="44"/>
      <c r="N142" s="44"/>
      <c r="O142" s="44"/>
      <c r="P142" s="44"/>
      <c r="Q142" s="44"/>
      <c r="R142" s="44"/>
      <c r="S142" s="44"/>
      <c r="T142" s="44"/>
      <c r="U142" s="44"/>
      <c r="V142" s="44"/>
      <c r="W142" s="44"/>
      <c r="X142" s="44"/>
      <c r="Y142" s="44"/>
      <c r="Z142" s="44"/>
      <c r="AA142" s="44"/>
      <c r="AB142" s="44"/>
      <c r="AC142" s="44"/>
      <c r="AD142" s="44"/>
      <c r="AE142" s="44"/>
      <c r="AF142" s="44"/>
      <c r="AG142" s="44"/>
      <c r="AH142" s="44"/>
      <c r="AI142" s="44"/>
      <c r="AJ142" s="44"/>
      <c r="AK142" s="44"/>
      <c r="AL142" s="44"/>
      <c r="AM142" s="44"/>
    </row>
    <row r="143" spans="1:75" ht="15" customHeight="1">
      <c r="A143" s="44"/>
      <c r="B143" s="44"/>
      <c r="C143" s="44"/>
      <c r="D143" s="44"/>
      <c r="E143" s="44"/>
      <c r="F143" s="44"/>
      <c r="G143" s="44"/>
      <c r="H143" s="44"/>
      <c r="I143" s="44"/>
      <c r="J143" s="44"/>
      <c r="K143" s="44"/>
      <c r="L143" s="44"/>
      <c r="M143" s="44"/>
      <c r="N143" s="44"/>
      <c r="O143" s="44"/>
      <c r="P143" s="44"/>
      <c r="Q143" s="44"/>
      <c r="R143" s="44"/>
      <c r="S143" s="44"/>
      <c r="T143" s="44"/>
      <c r="U143" s="44"/>
      <c r="V143" s="44"/>
      <c r="W143" s="44"/>
      <c r="X143" s="44"/>
      <c r="Y143" s="44"/>
      <c r="Z143" s="44"/>
      <c r="AA143" s="44"/>
      <c r="AB143" s="44"/>
      <c r="AC143" s="44"/>
      <c r="AD143" s="44"/>
      <c r="AE143" s="44"/>
      <c r="AF143" s="44"/>
      <c r="AG143" s="44"/>
      <c r="AH143" s="44"/>
      <c r="AI143" s="44"/>
      <c r="AJ143" s="44"/>
      <c r="AK143" s="44"/>
      <c r="AL143" s="44"/>
      <c r="AM143" s="44"/>
    </row>
    <row r="144" spans="1:75" ht="15" customHeight="1">
      <c r="A144" s="44"/>
      <c r="B144" s="44"/>
      <c r="C144" s="44"/>
      <c r="D144" s="44"/>
      <c r="E144" s="44"/>
      <c r="F144" s="44"/>
      <c r="G144" s="44"/>
      <c r="H144" s="44"/>
      <c r="I144" s="44"/>
      <c r="J144" s="44"/>
      <c r="K144" s="44"/>
      <c r="L144" s="44"/>
      <c r="M144" s="44"/>
      <c r="N144" s="44"/>
      <c r="O144" s="44"/>
      <c r="P144" s="44"/>
      <c r="Q144" s="44"/>
      <c r="R144" s="44"/>
      <c r="S144" s="44"/>
      <c r="T144" s="44"/>
      <c r="U144" s="44"/>
      <c r="V144" s="44"/>
      <c r="W144" s="44"/>
      <c r="X144" s="44"/>
      <c r="Y144" s="44"/>
      <c r="Z144" s="44"/>
      <c r="AA144" s="44"/>
      <c r="AB144" s="44"/>
      <c r="AC144" s="44"/>
      <c r="AD144" s="44"/>
      <c r="AE144" s="44"/>
      <c r="AF144" s="44"/>
      <c r="AG144" s="44"/>
      <c r="AH144" s="44"/>
      <c r="AI144" s="44"/>
      <c r="AJ144" s="44"/>
      <c r="AK144" s="44"/>
      <c r="AL144" s="44"/>
      <c r="AM144" s="44"/>
    </row>
    <row r="145" spans="1:39" ht="15" customHeight="1">
      <c r="A145" s="44"/>
      <c r="B145" s="44"/>
      <c r="C145" s="44"/>
      <c r="D145" s="44"/>
      <c r="E145" s="44"/>
      <c r="F145" s="44"/>
      <c r="G145" s="44"/>
      <c r="H145" s="44"/>
      <c r="I145" s="44"/>
      <c r="J145" s="44"/>
      <c r="K145" s="44"/>
      <c r="L145" s="44"/>
      <c r="M145" s="44"/>
      <c r="N145" s="44"/>
      <c r="O145" s="44"/>
      <c r="P145" s="44"/>
      <c r="Q145" s="44"/>
      <c r="R145" s="44"/>
      <c r="S145" s="44"/>
      <c r="T145" s="44"/>
      <c r="U145" s="44"/>
      <c r="V145" s="44"/>
      <c r="W145" s="44"/>
      <c r="X145" s="44"/>
      <c r="Y145" s="44"/>
      <c r="Z145" s="44"/>
      <c r="AA145" s="44"/>
      <c r="AB145" s="44"/>
      <c r="AC145" s="44"/>
      <c r="AD145" s="44"/>
      <c r="AE145" s="44"/>
      <c r="AF145" s="44"/>
      <c r="AG145" s="44"/>
      <c r="AH145" s="44"/>
      <c r="AI145" s="44"/>
      <c r="AJ145" s="44"/>
      <c r="AK145" s="44"/>
      <c r="AL145" s="44"/>
      <c r="AM145" s="44"/>
    </row>
    <row r="146" spans="1:39" ht="15" customHeight="1">
      <c r="A146" s="44"/>
      <c r="B146" s="44"/>
      <c r="C146" s="44"/>
      <c r="D146" s="44"/>
      <c r="E146" s="44"/>
      <c r="F146" s="44"/>
      <c r="G146" s="44"/>
      <c r="H146" s="44"/>
      <c r="I146" s="44"/>
      <c r="J146" s="44"/>
      <c r="K146" s="44"/>
      <c r="L146" s="44"/>
      <c r="M146" s="44"/>
      <c r="N146" s="44"/>
      <c r="O146" s="44"/>
      <c r="P146" s="44"/>
      <c r="Q146" s="44"/>
      <c r="R146" s="44"/>
      <c r="S146" s="44"/>
      <c r="T146" s="44"/>
      <c r="U146" s="44"/>
      <c r="V146" s="44"/>
      <c r="W146" s="44"/>
      <c r="X146" s="44"/>
      <c r="Y146" s="44"/>
      <c r="Z146" s="44"/>
      <c r="AA146" s="44"/>
      <c r="AB146" s="44"/>
      <c r="AC146" s="44"/>
      <c r="AD146" s="44"/>
      <c r="AE146" s="44"/>
      <c r="AF146" s="44"/>
      <c r="AG146" s="44"/>
      <c r="AH146" s="44"/>
      <c r="AI146" s="44"/>
      <c r="AJ146" s="44"/>
      <c r="AK146" s="44"/>
      <c r="AL146" s="44"/>
      <c r="AM146" s="44"/>
    </row>
    <row r="147" spans="1:39" ht="15" customHeight="1">
      <c r="A147" s="44"/>
      <c r="B147" s="44"/>
      <c r="C147" s="44"/>
      <c r="D147" s="44"/>
      <c r="E147" s="44"/>
      <c r="F147" s="44"/>
      <c r="G147" s="44"/>
      <c r="H147" s="44"/>
      <c r="I147" s="44"/>
      <c r="J147" s="44"/>
      <c r="K147" s="44"/>
      <c r="L147" s="44"/>
      <c r="M147" s="44"/>
      <c r="N147" s="44"/>
      <c r="O147" s="44"/>
      <c r="P147" s="44"/>
      <c r="Q147" s="44"/>
      <c r="R147" s="44"/>
      <c r="S147" s="44"/>
      <c r="T147" s="44"/>
      <c r="U147" s="44"/>
      <c r="V147" s="44"/>
      <c r="W147" s="44"/>
      <c r="X147" s="44"/>
      <c r="Y147" s="44"/>
      <c r="Z147" s="44"/>
      <c r="AA147" s="44"/>
      <c r="AB147" s="44"/>
      <c r="AC147" s="44"/>
      <c r="AD147" s="44"/>
      <c r="AE147" s="44"/>
      <c r="AF147" s="44"/>
      <c r="AG147" s="44"/>
      <c r="AH147" s="44"/>
      <c r="AI147" s="44"/>
      <c r="AJ147" s="44"/>
      <c r="AK147" s="44"/>
      <c r="AL147" s="44"/>
      <c r="AM147" s="44"/>
    </row>
    <row r="148" spans="1:39" ht="15" customHeight="1">
      <c r="A148" s="44"/>
      <c r="B148" s="44"/>
      <c r="C148" s="44"/>
      <c r="D148" s="44"/>
      <c r="E148" s="44"/>
      <c r="F148" s="44"/>
      <c r="G148" s="44"/>
      <c r="H148" s="44"/>
      <c r="I148" s="44"/>
      <c r="J148" s="44"/>
      <c r="K148" s="44"/>
      <c r="L148" s="44"/>
      <c r="M148" s="44"/>
      <c r="N148" s="44"/>
      <c r="O148" s="44"/>
      <c r="P148" s="44"/>
      <c r="Q148" s="44"/>
      <c r="R148" s="44"/>
      <c r="S148" s="44"/>
      <c r="T148" s="44"/>
      <c r="U148" s="44"/>
      <c r="V148" s="44"/>
      <c r="W148" s="44"/>
      <c r="X148" s="44"/>
      <c r="Y148" s="44"/>
      <c r="Z148" s="44"/>
      <c r="AA148" s="44"/>
      <c r="AB148" s="44"/>
      <c r="AC148" s="44"/>
      <c r="AD148" s="44"/>
      <c r="AE148" s="44"/>
      <c r="AF148" s="44"/>
      <c r="AG148" s="44"/>
      <c r="AH148" s="44"/>
      <c r="AI148" s="44"/>
      <c r="AJ148" s="44"/>
      <c r="AK148" s="44"/>
      <c r="AL148" s="44"/>
      <c r="AM148" s="44"/>
    </row>
    <row r="149" spans="1:39" ht="15" customHeight="1">
      <c r="A149" s="44"/>
      <c r="B149" s="44"/>
      <c r="C149" s="44"/>
      <c r="D149" s="44"/>
      <c r="E149" s="44"/>
      <c r="F149" s="44"/>
      <c r="G149" s="44"/>
      <c r="H149" s="44"/>
      <c r="I149" s="44"/>
      <c r="J149" s="44"/>
      <c r="K149" s="44"/>
      <c r="L149" s="44"/>
      <c r="M149" s="44"/>
      <c r="N149" s="44"/>
      <c r="O149" s="44"/>
      <c r="P149" s="44"/>
      <c r="Q149" s="44"/>
      <c r="R149" s="44"/>
      <c r="S149" s="44"/>
      <c r="T149" s="44"/>
      <c r="U149" s="44"/>
      <c r="V149" s="44"/>
      <c r="W149" s="44"/>
      <c r="X149" s="44"/>
      <c r="Y149" s="44"/>
      <c r="Z149" s="44"/>
      <c r="AA149" s="44"/>
      <c r="AB149" s="44"/>
      <c r="AC149" s="44"/>
      <c r="AD149" s="44"/>
      <c r="AE149" s="44"/>
      <c r="AF149" s="44"/>
      <c r="AG149" s="44"/>
      <c r="AH149" s="44"/>
      <c r="AI149" s="44"/>
      <c r="AJ149" s="44"/>
      <c r="AK149" s="44"/>
      <c r="AL149" s="44"/>
      <c r="AM149" s="44"/>
    </row>
    <row r="150" spans="1:39" ht="15" customHeight="1">
      <c r="A150" s="44"/>
      <c r="B150" s="44"/>
      <c r="C150" s="44"/>
      <c r="D150" s="44"/>
      <c r="E150" s="44"/>
      <c r="F150" s="44"/>
      <c r="G150" s="44"/>
      <c r="H150" s="44"/>
      <c r="I150" s="44"/>
      <c r="J150" s="44"/>
      <c r="K150" s="44"/>
      <c r="L150" s="44"/>
      <c r="M150" s="44"/>
      <c r="N150" s="44"/>
      <c r="O150" s="44"/>
      <c r="P150" s="44"/>
      <c r="Q150" s="44"/>
      <c r="R150" s="44"/>
      <c r="S150" s="44"/>
      <c r="T150" s="44"/>
      <c r="U150" s="44"/>
      <c r="V150" s="44"/>
      <c r="W150" s="44"/>
      <c r="X150" s="44"/>
      <c r="Y150" s="44"/>
      <c r="Z150" s="44"/>
      <c r="AA150" s="44"/>
      <c r="AB150" s="44"/>
      <c r="AC150" s="44"/>
      <c r="AD150" s="44"/>
      <c r="AE150" s="44"/>
      <c r="AF150" s="44"/>
      <c r="AG150" s="44"/>
      <c r="AH150" s="44"/>
      <c r="AI150" s="44"/>
      <c r="AJ150" s="44"/>
      <c r="AK150" s="44"/>
      <c r="AL150" s="44"/>
      <c r="AM150" s="44"/>
    </row>
    <row r="151" spans="1:39" ht="15" customHeight="1">
      <c r="A151" s="82"/>
      <c r="B151" s="83"/>
      <c r="C151" s="82"/>
      <c r="D151" s="84"/>
      <c r="E151" s="84"/>
      <c r="F151" s="84"/>
      <c r="G151" s="84"/>
      <c r="H151" s="84"/>
      <c r="I151" s="84"/>
      <c r="J151" s="84"/>
      <c r="K151" s="84"/>
      <c r="L151" s="84"/>
      <c r="M151" s="84"/>
      <c r="N151" s="85"/>
      <c r="O151" s="85"/>
      <c r="P151" s="84"/>
      <c r="Q151" s="84"/>
      <c r="R151" s="84"/>
      <c r="S151" s="84"/>
      <c r="T151" s="84"/>
      <c r="U151" s="84"/>
      <c r="V151" s="84"/>
      <c r="W151" s="84"/>
      <c r="X151" s="84"/>
      <c r="Y151" s="84"/>
      <c r="Z151" s="85"/>
      <c r="AA151" s="85"/>
      <c r="AB151" s="85"/>
      <c r="AC151" s="85"/>
      <c r="AD151" s="85"/>
      <c r="AE151" s="85"/>
      <c r="AF151" s="85"/>
      <c r="AG151" s="85"/>
      <c r="AH151" s="85"/>
      <c r="AI151" s="85"/>
      <c r="AJ151" s="85"/>
      <c r="AK151" s="85"/>
      <c r="AL151" s="85"/>
      <c r="AM151" s="85"/>
    </row>
    <row r="152" spans="1:39" ht="15" customHeight="1">
      <c r="A152" s="44"/>
      <c r="B152" s="44"/>
      <c r="C152" s="44"/>
      <c r="D152" s="44"/>
      <c r="E152" s="44"/>
      <c r="F152" s="44"/>
      <c r="G152" s="44"/>
      <c r="H152" s="44"/>
      <c r="I152" s="44"/>
      <c r="J152" s="44"/>
      <c r="K152" s="44"/>
      <c r="L152" s="44"/>
      <c r="M152" s="44"/>
      <c r="N152" s="44"/>
      <c r="O152" s="44"/>
      <c r="P152" s="44"/>
      <c r="Q152" s="44"/>
      <c r="R152" s="44"/>
      <c r="S152" s="44"/>
      <c r="T152" s="44"/>
      <c r="U152" s="44"/>
      <c r="V152" s="44"/>
      <c r="W152" s="44"/>
      <c r="X152" s="44"/>
      <c r="Y152" s="44"/>
      <c r="Z152" s="44"/>
      <c r="AA152" s="44"/>
      <c r="AB152" s="44"/>
      <c r="AC152" s="44"/>
      <c r="AD152" s="44"/>
      <c r="AE152" s="44"/>
      <c r="AF152" s="44"/>
      <c r="AG152" s="44"/>
      <c r="AH152" s="44"/>
      <c r="AI152" s="44"/>
      <c r="AJ152" s="44"/>
      <c r="AK152" s="44"/>
      <c r="AL152" s="44"/>
      <c r="AM152" s="44"/>
    </row>
    <row r="153" spans="1:39" ht="15" customHeight="1">
      <c r="A153" s="44"/>
      <c r="B153" s="44"/>
      <c r="C153" s="44"/>
      <c r="D153" s="44"/>
      <c r="E153" s="44"/>
      <c r="F153" s="44"/>
      <c r="G153" s="44"/>
      <c r="H153" s="44"/>
      <c r="I153" s="44"/>
      <c r="J153" s="44"/>
      <c r="K153" s="44"/>
      <c r="L153" s="44"/>
      <c r="M153" s="44"/>
      <c r="N153" s="44"/>
      <c r="O153" s="44"/>
      <c r="P153" s="44"/>
      <c r="Q153" s="44"/>
      <c r="R153" s="44"/>
      <c r="S153" s="44"/>
      <c r="T153" s="44"/>
      <c r="U153" s="44"/>
      <c r="V153" s="44"/>
      <c r="W153" s="44"/>
      <c r="X153" s="44"/>
      <c r="Y153" s="44"/>
      <c r="Z153" s="44"/>
      <c r="AA153" s="44"/>
      <c r="AB153" s="44"/>
      <c r="AC153" s="44"/>
      <c r="AD153" s="44"/>
      <c r="AE153" s="44"/>
      <c r="AF153" s="44"/>
      <c r="AG153" s="44"/>
      <c r="AH153" s="44"/>
      <c r="AI153" s="44"/>
      <c r="AJ153" s="44"/>
      <c r="AK153" s="44"/>
      <c r="AL153" s="44"/>
      <c r="AM153" s="44"/>
    </row>
    <row r="154" spans="1:39" ht="15" customHeight="1">
      <c r="A154" s="44"/>
      <c r="B154" s="44"/>
      <c r="C154" s="44"/>
      <c r="D154" s="44"/>
      <c r="E154" s="44"/>
      <c r="F154" s="44"/>
      <c r="G154" s="44"/>
      <c r="H154" s="44"/>
      <c r="I154" s="44"/>
      <c r="J154" s="44"/>
      <c r="K154" s="44"/>
      <c r="L154" s="44"/>
      <c r="M154" s="44"/>
      <c r="N154" s="44"/>
      <c r="O154" s="44"/>
      <c r="P154" s="44"/>
      <c r="Q154" s="44"/>
      <c r="R154" s="44"/>
      <c r="S154" s="44"/>
      <c r="T154" s="44"/>
      <c r="U154" s="44"/>
      <c r="V154" s="44"/>
      <c r="W154" s="44"/>
      <c r="X154" s="44"/>
      <c r="Y154" s="44"/>
      <c r="Z154" s="44"/>
      <c r="AA154" s="44"/>
      <c r="AB154" s="44"/>
      <c r="AC154" s="44"/>
      <c r="AD154" s="44"/>
      <c r="AE154" s="44"/>
      <c r="AF154" s="44"/>
      <c r="AG154" s="44"/>
      <c r="AH154" s="44"/>
      <c r="AI154" s="44"/>
      <c r="AJ154" s="44"/>
      <c r="AK154" s="44"/>
      <c r="AL154" s="44"/>
      <c r="AM154" s="44"/>
    </row>
    <row r="155" spans="1:39" ht="15" customHeight="1">
      <c r="A155" s="44"/>
      <c r="B155" s="44"/>
      <c r="C155" s="44"/>
      <c r="D155" s="44"/>
      <c r="E155" s="44"/>
      <c r="F155" s="44"/>
      <c r="G155" s="44"/>
      <c r="H155" s="44"/>
      <c r="I155" s="44"/>
      <c r="J155" s="44"/>
      <c r="K155" s="44"/>
      <c r="L155" s="44"/>
      <c r="M155" s="44"/>
      <c r="N155" s="44"/>
      <c r="O155" s="44"/>
      <c r="P155" s="44"/>
      <c r="Q155" s="44"/>
      <c r="R155" s="44"/>
      <c r="S155" s="44"/>
      <c r="T155" s="44"/>
      <c r="U155" s="44"/>
      <c r="V155" s="44"/>
      <c r="W155" s="44"/>
      <c r="X155" s="44"/>
      <c r="Y155" s="44"/>
      <c r="Z155" s="44"/>
      <c r="AA155" s="44"/>
      <c r="AB155" s="44"/>
      <c r="AC155" s="44"/>
      <c r="AD155" s="44"/>
      <c r="AE155" s="44"/>
      <c r="AF155" s="44"/>
      <c r="AG155" s="44"/>
      <c r="AH155" s="44"/>
      <c r="AI155" s="44"/>
      <c r="AJ155" s="44"/>
      <c r="AK155" s="44"/>
      <c r="AL155" s="44"/>
      <c r="AM155" s="44"/>
    </row>
    <row r="156" spans="1:39" ht="15" customHeight="1">
      <c r="A156" s="44"/>
      <c r="B156" s="44"/>
      <c r="C156" s="44"/>
      <c r="D156" s="44"/>
      <c r="E156" s="44"/>
      <c r="F156" s="44"/>
      <c r="G156" s="44"/>
      <c r="H156" s="44"/>
      <c r="I156" s="44"/>
      <c r="J156" s="44"/>
      <c r="K156" s="44"/>
      <c r="L156" s="44"/>
      <c r="M156" s="44"/>
      <c r="N156" s="44"/>
      <c r="O156" s="44"/>
      <c r="P156" s="44"/>
      <c r="Q156" s="44"/>
      <c r="R156" s="44"/>
      <c r="S156" s="44"/>
      <c r="T156" s="44"/>
      <c r="U156" s="44"/>
      <c r="V156" s="44"/>
      <c r="W156" s="44"/>
      <c r="X156" s="44"/>
      <c r="Y156" s="44"/>
      <c r="Z156" s="44"/>
      <c r="AA156" s="44"/>
      <c r="AB156" s="44"/>
      <c r="AC156" s="44"/>
      <c r="AD156" s="44"/>
      <c r="AE156" s="44"/>
      <c r="AF156" s="44"/>
      <c r="AG156" s="44"/>
      <c r="AH156" s="44"/>
      <c r="AI156" s="44"/>
      <c r="AJ156" s="44"/>
      <c r="AK156" s="44"/>
      <c r="AL156" s="44"/>
      <c r="AM156" s="44"/>
    </row>
    <row r="157" spans="1:39" ht="15" customHeight="1">
      <c r="A157" s="44"/>
      <c r="B157" s="44"/>
      <c r="C157" s="44"/>
      <c r="D157" s="44"/>
      <c r="E157" s="44"/>
      <c r="F157" s="44"/>
      <c r="G157" s="44"/>
      <c r="H157" s="44"/>
      <c r="I157" s="44"/>
      <c r="J157" s="44"/>
      <c r="K157" s="44"/>
      <c r="L157" s="44"/>
      <c r="M157" s="44"/>
      <c r="N157" s="44"/>
      <c r="O157" s="44"/>
      <c r="P157" s="44"/>
      <c r="Q157" s="44"/>
      <c r="R157" s="44"/>
      <c r="S157" s="44"/>
      <c r="T157" s="44"/>
      <c r="U157" s="44"/>
      <c r="V157" s="44"/>
      <c r="W157" s="44"/>
      <c r="X157" s="44"/>
      <c r="Y157" s="44"/>
      <c r="Z157" s="44"/>
      <c r="AA157" s="44"/>
      <c r="AB157" s="44"/>
      <c r="AC157" s="44"/>
      <c r="AD157" s="44"/>
      <c r="AE157" s="44"/>
      <c r="AF157" s="44"/>
      <c r="AG157" s="44"/>
      <c r="AH157" s="44"/>
      <c r="AI157" s="44"/>
      <c r="AJ157" s="44"/>
      <c r="AK157" s="44"/>
      <c r="AL157" s="44"/>
      <c r="AM157" s="44"/>
    </row>
    <row r="158" spans="1:39" ht="12.5">
      <c r="A158" s="44"/>
      <c r="B158" s="44"/>
      <c r="C158" s="44"/>
      <c r="D158" s="44"/>
      <c r="E158" s="44"/>
      <c r="F158" s="44"/>
      <c r="G158" s="44"/>
      <c r="H158" s="44"/>
      <c r="I158" s="44"/>
      <c r="J158" s="44"/>
      <c r="K158" s="44"/>
      <c r="L158" s="44"/>
      <c r="M158" s="44"/>
      <c r="N158" s="44"/>
      <c r="O158" s="44"/>
      <c r="P158" s="44"/>
      <c r="Q158" s="44"/>
      <c r="R158" s="44"/>
      <c r="S158" s="44"/>
      <c r="T158" s="44"/>
      <c r="U158" s="44"/>
      <c r="V158" s="44"/>
      <c r="W158" s="44"/>
      <c r="X158" s="44"/>
      <c r="Y158" s="44"/>
      <c r="Z158" s="44"/>
      <c r="AA158" s="44"/>
      <c r="AB158" s="44"/>
      <c r="AC158" s="44"/>
      <c r="AD158" s="44"/>
      <c r="AE158" s="44"/>
      <c r="AF158" s="44"/>
      <c r="AG158" s="44"/>
      <c r="AH158" s="44"/>
      <c r="AI158" s="44"/>
      <c r="AJ158" s="44"/>
      <c r="AK158" s="44"/>
      <c r="AL158" s="44"/>
      <c r="AM158" s="44"/>
    </row>
    <row r="159" spans="1:39" ht="15" customHeight="1">
      <c r="A159" s="44"/>
      <c r="B159" s="44"/>
      <c r="C159" s="44"/>
      <c r="D159" s="44"/>
      <c r="E159" s="44"/>
      <c r="F159" s="44"/>
      <c r="G159" s="44"/>
      <c r="H159" s="44"/>
      <c r="I159" s="44"/>
      <c r="J159" s="44"/>
      <c r="K159" s="44"/>
      <c r="L159" s="44"/>
      <c r="M159" s="44"/>
      <c r="N159" s="44"/>
      <c r="O159" s="44"/>
      <c r="P159" s="44"/>
      <c r="Q159" s="44"/>
      <c r="R159" s="44"/>
      <c r="S159" s="44"/>
      <c r="T159" s="44"/>
      <c r="U159" s="44"/>
      <c r="V159" s="44"/>
      <c r="W159" s="44"/>
      <c r="X159" s="44"/>
      <c r="Y159" s="44"/>
      <c r="Z159" s="44"/>
      <c r="AA159" s="44"/>
      <c r="AB159" s="44"/>
      <c r="AC159" s="44"/>
      <c r="AD159" s="44"/>
      <c r="AE159" s="44"/>
      <c r="AF159" s="44"/>
      <c r="AG159" s="44"/>
      <c r="AH159" s="44"/>
      <c r="AI159" s="44"/>
      <c r="AJ159" s="44"/>
      <c r="AK159" s="44"/>
      <c r="AL159" s="44"/>
      <c r="AM159" s="44"/>
    </row>
    <row r="160" spans="1:39" ht="15" customHeight="1">
      <c r="A160" s="44"/>
      <c r="B160" s="44"/>
      <c r="C160" s="44"/>
      <c r="D160" s="44"/>
      <c r="E160" s="44"/>
      <c r="F160" s="44"/>
      <c r="G160" s="44"/>
      <c r="H160" s="44"/>
      <c r="I160" s="44"/>
      <c r="J160" s="44"/>
      <c r="K160" s="44"/>
      <c r="L160" s="44"/>
      <c r="M160" s="44"/>
      <c r="N160" s="44"/>
      <c r="O160" s="44"/>
      <c r="P160" s="44"/>
      <c r="Q160" s="44"/>
      <c r="R160" s="44"/>
      <c r="S160" s="44"/>
      <c r="T160" s="44"/>
      <c r="U160" s="44"/>
      <c r="V160" s="44"/>
      <c r="W160" s="44"/>
      <c r="X160" s="44"/>
      <c r="Y160" s="44"/>
      <c r="Z160" s="44"/>
      <c r="AA160" s="44"/>
      <c r="AB160" s="44"/>
      <c r="AC160" s="44"/>
      <c r="AD160" s="44"/>
      <c r="AE160" s="44"/>
      <c r="AF160" s="44"/>
      <c r="AG160" s="44"/>
      <c r="AH160" s="44"/>
      <c r="AI160" s="44"/>
      <c r="AJ160" s="44"/>
      <c r="AK160" s="44"/>
      <c r="AL160" s="44"/>
      <c r="AM160" s="44"/>
    </row>
    <row r="161" s="44" customFormat="1" ht="15" customHeight="1"/>
    <row r="162" s="44" customFormat="1" ht="12.5"/>
    <row r="163" s="44" customFormat="1" ht="15" customHeight="1"/>
    <row r="164" s="44" customFormat="1" ht="15" customHeight="1"/>
    <row r="165" s="44" customFormat="1" ht="12.5"/>
    <row r="166" s="44" customFormat="1" ht="15" customHeight="1"/>
    <row r="167" s="44" customFormat="1" ht="15" customHeight="1"/>
    <row r="168" s="44" customFormat="1" ht="15" customHeight="1"/>
    <row r="169" s="44" customFormat="1" ht="15" customHeight="1"/>
    <row r="170" s="44" customFormat="1" ht="15" customHeight="1"/>
    <row r="171" s="44" customFormat="1" ht="15" customHeight="1"/>
    <row r="172" s="44" customFormat="1" ht="15" customHeight="1"/>
    <row r="173" s="44" customFormat="1" ht="15" customHeight="1"/>
    <row r="174" s="44" customFormat="1" ht="12.5"/>
    <row r="175" s="44" customFormat="1" ht="12.5"/>
    <row r="176" s="44" customFormat="1" ht="12.5"/>
    <row r="177" s="44" customFormat="1" ht="12.5"/>
    <row r="178" s="44" customFormat="1" ht="15" customHeight="1"/>
    <row r="179" s="44" customFormat="1" ht="15" customHeight="1"/>
    <row r="180" s="44" customFormat="1" ht="15" customHeight="1"/>
    <row r="181" s="44" customFormat="1" ht="15" customHeight="1"/>
    <row r="182" s="44" customFormat="1" ht="15" customHeight="1"/>
    <row r="183" s="44" customFormat="1" ht="12.5"/>
    <row r="184" s="44" customFormat="1" ht="12.5"/>
    <row r="185" s="44" customFormat="1" ht="15" customHeight="1"/>
    <row r="186" s="44" customFormat="1" ht="15" customHeight="1"/>
    <row r="187" s="44" customFormat="1" ht="15" customHeight="1"/>
    <row r="188" s="44" customFormat="1" ht="15" customHeight="1"/>
    <row r="189" s="44" customFormat="1" ht="15" customHeight="1"/>
    <row r="190" s="44" customFormat="1" ht="15" customHeight="1"/>
    <row r="191" s="44" customFormat="1" ht="15" customHeight="1"/>
    <row r="192" s="44" customFormat="1" ht="15" customHeight="1"/>
    <row r="193" spans="1:39" ht="15" customHeight="1">
      <c r="A193" s="44"/>
      <c r="B193" s="44"/>
      <c r="C193" s="44"/>
      <c r="D193" s="44"/>
      <c r="E193" s="44"/>
      <c r="F193" s="44"/>
      <c r="G193" s="44"/>
      <c r="H193" s="44"/>
      <c r="I193" s="44"/>
      <c r="J193" s="44"/>
      <c r="K193" s="44"/>
      <c r="L193" s="44"/>
      <c r="M193" s="44"/>
      <c r="N193" s="44"/>
      <c r="O193" s="44"/>
      <c r="P193" s="44"/>
      <c r="Q193" s="44"/>
      <c r="R193" s="44"/>
      <c r="S193" s="44"/>
      <c r="T193" s="44"/>
      <c r="U193" s="44"/>
      <c r="V193" s="44"/>
      <c r="W193" s="44"/>
      <c r="X193" s="44"/>
      <c r="Y193" s="44"/>
      <c r="Z193" s="44"/>
      <c r="AA193" s="44"/>
      <c r="AB193" s="44"/>
      <c r="AC193" s="44"/>
      <c r="AD193" s="44"/>
      <c r="AE193" s="44"/>
      <c r="AF193" s="44"/>
      <c r="AG193" s="44"/>
      <c r="AH193" s="44"/>
      <c r="AI193" s="44"/>
      <c r="AJ193" s="44"/>
      <c r="AK193" s="44"/>
      <c r="AL193" s="44"/>
      <c r="AM193" s="44"/>
    </row>
    <row r="194" spans="1:39" ht="15" customHeight="1">
      <c r="D194" s="88"/>
      <c r="E194" s="88"/>
      <c r="F194" s="88"/>
      <c r="G194" s="88"/>
      <c r="H194" s="88"/>
      <c r="I194" s="88"/>
      <c r="J194" s="88"/>
      <c r="K194" s="88"/>
      <c r="L194" s="88"/>
      <c r="M194" s="88"/>
      <c r="N194" s="88"/>
      <c r="O194" s="88"/>
      <c r="P194" s="88"/>
      <c r="Q194" s="88"/>
      <c r="R194" s="88"/>
      <c r="S194" s="88"/>
      <c r="T194" s="88"/>
      <c r="U194" s="88"/>
      <c r="V194" s="88"/>
      <c r="W194" s="88"/>
      <c r="X194" s="88"/>
      <c r="Y194" s="88"/>
      <c r="Z194" s="88"/>
      <c r="AA194" s="88"/>
      <c r="AB194" s="88"/>
      <c r="AC194" s="88"/>
      <c r="AD194" s="88"/>
      <c r="AE194" s="88"/>
      <c r="AF194" s="88"/>
      <c r="AG194" s="88"/>
      <c r="AH194" s="88"/>
      <c r="AI194" s="88"/>
      <c r="AJ194" s="88"/>
      <c r="AK194" s="88"/>
      <c r="AL194" s="88"/>
      <c r="AM194" s="88"/>
    </row>
    <row r="195" spans="1:39" ht="15" customHeight="1">
      <c r="A195" s="44"/>
      <c r="B195" s="44"/>
      <c r="C195" s="44"/>
      <c r="D195" s="44"/>
      <c r="E195" s="44"/>
      <c r="F195" s="44"/>
      <c r="G195" s="44"/>
      <c r="H195" s="44"/>
      <c r="I195" s="44"/>
      <c r="J195" s="44"/>
      <c r="K195" s="44"/>
      <c r="L195" s="44"/>
      <c r="M195" s="44"/>
      <c r="N195" s="44"/>
      <c r="O195" s="44"/>
      <c r="P195" s="44"/>
      <c r="Q195" s="44"/>
      <c r="R195" s="44"/>
      <c r="S195" s="44"/>
      <c r="T195" s="44"/>
      <c r="U195" s="44"/>
      <c r="V195" s="44"/>
      <c r="W195" s="44"/>
      <c r="X195" s="44"/>
      <c r="Y195" s="44"/>
      <c r="Z195" s="44"/>
      <c r="AA195" s="44"/>
      <c r="AB195" s="44"/>
      <c r="AC195" s="44"/>
      <c r="AD195" s="44"/>
      <c r="AE195" s="44"/>
      <c r="AF195" s="44"/>
      <c r="AG195" s="44"/>
      <c r="AH195" s="44"/>
      <c r="AI195" s="44"/>
      <c r="AJ195" s="44"/>
      <c r="AK195" s="44"/>
      <c r="AL195" s="44"/>
      <c r="AM195" s="44"/>
    </row>
    <row r="196" spans="1:39" ht="15" customHeight="1">
      <c r="A196" s="44"/>
      <c r="B196" s="44"/>
      <c r="C196" s="44"/>
      <c r="D196" s="44"/>
      <c r="E196" s="44"/>
      <c r="F196" s="44"/>
      <c r="G196" s="44"/>
      <c r="H196" s="44"/>
      <c r="I196" s="44"/>
      <c r="J196" s="44"/>
      <c r="K196" s="44"/>
      <c r="L196" s="44"/>
      <c r="M196" s="44"/>
      <c r="N196" s="44"/>
      <c r="O196" s="44"/>
      <c r="P196" s="44"/>
      <c r="Q196" s="44"/>
      <c r="R196" s="44"/>
      <c r="S196" s="44"/>
      <c r="T196" s="44"/>
      <c r="U196" s="44"/>
      <c r="V196" s="44"/>
      <c r="W196" s="44"/>
      <c r="X196" s="44"/>
      <c r="Y196" s="44"/>
      <c r="Z196" s="44"/>
      <c r="AA196" s="44"/>
      <c r="AB196" s="44"/>
      <c r="AC196" s="44"/>
      <c r="AD196" s="44"/>
      <c r="AE196" s="44"/>
      <c r="AF196" s="44"/>
      <c r="AG196" s="44"/>
      <c r="AH196" s="44"/>
      <c r="AI196" s="44"/>
      <c r="AJ196" s="44"/>
      <c r="AK196" s="44"/>
      <c r="AL196" s="44"/>
      <c r="AM196" s="44"/>
    </row>
    <row r="197" spans="1:39" ht="15" customHeight="1">
      <c r="A197" s="44"/>
      <c r="B197" s="44"/>
      <c r="C197" s="44"/>
      <c r="D197" s="44"/>
      <c r="E197" s="44"/>
      <c r="F197" s="44"/>
      <c r="G197" s="44"/>
      <c r="H197" s="44"/>
      <c r="I197" s="44"/>
      <c r="J197" s="44"/>
      <c r="K197" s="44"/>
      <c r="L197" s="44"/>
      <c r="M197" s="44"/>
      <c r="N197" s="44"/>
      <c r="O197" s="44"/>
      <c r="P197" s="44"/>
      <c r="Q197" s="44"/>
      <c r="R197" s="44"/>
      <c r="S197" s="44"/>
      <c r="T197" s="44"/>
      <c r="U197" s="44"/>
      <c r="V197" s="44"/>
      <c r="W197" s="44"/>
      <c r="X197" s="44"/>
      <c r="Y197" s="44"/>
      <c r="Z197" s="44"/>
      <c r="AA197" s="44"/>
      <c r="AB197" s="44"/>
      <c r="AC197" s="44"/>
      <c r="AD197" s="44"/>
      <c r="AE197" s="44"/>
      <c r="AF197" s="44"/>
      <c r="AG197" s="44"/>
      <c r="AH197" s="44"/>
      <c r="AI197" s="44"/>
      <c r="AJ197" s="44"/>
      <c r="AK197" s="44"/>
      <c r="AL197" s="44"/>
      <c r="AM197" s="44"/>
    </row>
    <row r="198" spans="1:39" ht="15" customHeight="1">
      <c r="A198" s="44"/>
      <c r="B198" s="44"/>
      <c r="C198" s="44"/>
      <c r="D198" s="44"/>
      <c r="E198" s="44"/>
      <c r="F198" s="44"/>
      <c r="G198" s="44"/>
      <c r="H198" s="44"/>
      <c r="I198" s="44"/>
      <c r="J198" s="44"/>
      <c r="K198" s="44"/>
      <c r="L198" s="44"/>
      <c r="M198" s="44"/>
      <c r="N198" s="44"/>
      <c r="O198" s="44"/>
      <c r="P198" s="44"/>
      <c r="Q198" s="44"/>
      <c r="R198" s="44"/>
      <c r="S198" s="44"/>
      <c r="T198" s="44"/>
      <c r="U198" s="44"/>
      <c r="V198" s="44"/>
      <c r="W198" s="44"/>
      <c r="X198" s="44"/>
      <c r="Y198" s="44"/>
      <c r="Z198" s="44"/>
      <c r="AA198" s="44"/>
      <c r="AB198" s="44"/>
      <c r="AC198" s="44"/>
      <c r="AD198" s="44"/>
      <c r="AE198" s="44"/>
      <c r="AF198" s="44"/>
      <c r="AG198" s="44"/>
      <c r="AH198" s="44"/>
      <c r="AI198" s="44"/>
      <c r="AJ198" s="44"/>
      <c r="AK198" s="44"/>
      <c r="AL198" s="44"/>
      <c r="AM198" s="44"/>
    </row>
    <row r="199" spans="1:39" ht="15" customHeight="1">
      <c r="A199" s="44"/>
      <c r="B199" s="44"/>
      <c r="C199" s="44"/>
      <c r="D199" s="44"/>
      <c r="E199" s="44"/>
      <c r="F199" s="44"/>
      <c r="G199" s="44"/>
      <c r="H199" s="44"/>
      <c r="I199" s="44"/>
      <c r="J199" s="44"/>
      <c r="K199" s="44"/>
      <c r="L199" s="44"/>
      <c r="M199" s="44"/>
      <c r="N199" s="44"/>
      <c r="O199" s="44"/>
      <c r="P199" s="44"/>
      <c r="Q199" s="44"/>
      <c r="R199" s="44"/>
      <c r="S199" s="44"/>
      <c r="T199" s="44"/>
      <c r="U199" s="44"/>
      <c r="V199" s="44"/>
      <c r="W199" s="44"/>
      <c r="X199" s="44"/>
      <c r="Y199" s="44"/>
      <c r="Z199" s="44"/>
      <c r="AA199" s="44"/>
      <c r="AB199" s="44"/>
      <c r="AC199" s="44"/>
      <c r="AD199" s="44"/>
      <c r="AE199" s="44"/>
      <c r="AF199" s="44"/>
      <c r="AG199" s="44"/>
      <c r="AH199" s="44"/>
      <c r="AI199" s="44"/>
      <c r="AJ199" s="44"/>
      <c r="AK199" s="44"/>
      <c r="AL199" s="44"/>
      <c r="AM199" s="44"/>
    </row>
    <row r="200" spans="1:39" ht="15" customHeight="1">
      <c r="A200" s="44"/>
      <c r="B200" s="44"/>
      <c r="C200" s="44"/>
      <c r="D200" s="44"/>
      <c r="E200" s="44"/>
      <c r="F200" s="44"/>
      <c r="G200" s="44"/>
      <c r="H200" s="44"/>
      <c r="I200" s="44"/>
      <c r="J200" s="44"/>
      <c r="K200" s="44"/>
      <c r="L200" s="44"/>
      <c r="M200" s="44"/>
      <c r="N200" s="44"/>
      <c r="O200" s="44"/>
      <c r="P200" s="44"/>
      <c r="Q200" s="44"/>
      <c r="R200" s="44"/>
      <c r="S200" s="44"/>
      <c r="T200" s="44"/>
      <c r="U200" s="44"/>
      <c r="V200" s="44"/>
      <c r="W200" s="44"/>
      <c r="X200" s="44"/>
      <c r="Y200" s="44"/>
      <c r="Z200" s="44"/>
      <c r="AA200" s="44"/>
      <c r="AB200" s="44"/>
      <c r="AC200" s="44"/>
      <c r="AD200" s="44"/>
      <c r="AE200" s="44"/>
      <c r="AF200" s="44"/>
      <c r="AG200" s="44"/>
      <c r="AH200" s="44"/>
      <c r="AI200" s="44"/>
      <c r="AJ200" s="44"/>
      <c r="AK200" s="44"/>
      <c r="AL200" s="44"/>
      <c r="AM200" s="44"/>
    </row>
    <row r="201" spans="1:39" ht="15" customHeight="1">
      <c r="A201" s="44"/>
      <c r="B201" s="44"/>
      <c r="C201" s="44"/>
      <c r="D201" s="44"/>
      <c r="E201" s="44"/>
      <c r="F201" s="44"/>
      <c r="G201" s="44"/>
      <c r="H201" s="44"/>
      <c r="I201" s="44"/>
      <c r="J201" s="44"/>
      <c r="K201" s="44"/>
      <c r="L201" s="44"/>
      <c r="M201" s="44"/>
      <c r="N201" s="44"/>
      <c r="O201" s="44"/>
      <c r="P201" s="44"/>
      <c r="Q201" s="44"/>
      <c r="R201" s="44"/>
      <c r="S201" s="44"/>
      <c r="T201" s="44"/>
      <c r="U201" s="44"/>
      <c r="V201" s="44"/>
      <c r="W201" s="44"/>
      <c r="X201" s="44"/>
      <c r="Y201" s="44"/>
      <c r="Z201" s="44"/>
      <c r="AA201" s="44"/>
      <c r="AB201" s="44"/>
      <c r="AC201" s="44"/>
      <c r="AD201" s="44"/>
      <c r="AE201" s="44"/>
      <c r="AF201" s="44"/>
      <c r="AG201" s="44"/>
      <c r="AH201" s="44"/>
      <c r="AI201" s="44"/>
      <c r="AJ201" s="44"/>
      <c r="AK201" s="44"/>
      <c r="AL201" s="44"/>
      <c r="AM201" s="44"/>
    </row>
    <row r="202" spans="1:39" ht="15" customHeight="1">
      <c r="A202" s="44"/>
      <c r="B202" s="44"/>
      <c r="C202" s="44"/>
      <c r="D202" s="44"/>
      <c r="E202" s="44"/>
      <c r="F202" s="44"/>
      <c r="G202" s="44"/>
      <c r="H202" s="44"/>
      <c r="I202" s="44"/>
      <c r="J202" s="44"/>
      <c r="K202" s="44"/>
      <c r="L202" s="44"/>
      <c r="M202" s="44"/>
      <c r="N202" s="44"/>
      <c r="O202" s="44"/>
      <c r="P202" s="44"/>
      <c r="Q202" s="44"/>
      <c r="R202" s="44"/>
      <c r="S202" s="44"/>
      <c r="T202" s="44"/>
      <c r="U202" s="44"/>
      <c r="V202" s="44"/>
      <c r="W202" s="44"/>
      <c r="X202" s="44"/>
      <c r="Y202" s="44"/>
      <c r="Z202" s="44"/>
      <c r="AA202" s="44"/>
      <c r="AB202" s="44"/>
      <c r="AC202" s="44"/>
      <c r="AD202" s="44"/>
      <c r="AE202" s="44"/>
      <c r="AF202" s="44"/>
      <c r="AG202" s="44"/>
      <c r="AH202" s="44"/>
      <c r="AI202" s="44"/>
      <c r="AJ202" s="44"/>
      <c r="AK202" s="44"/>
      <c r="AL202" s="44"/>
      <c r="AM202" s="44"/>
    </row>
    <row r="203" spans="1:39" ht="15" customHeight="1">
      <c r="A203" s="44"/>
      <c r="B203" s="44"/>
      <c r="C203" s="44"/>
      <c r="D203" s="44"/>
      <c r="E203" s="44"/>
      <c r="F203" s="44"/>
      <c r="G203" s="44"/>
      <c r="H203" s="44"/>
      <c r="I203" s="44"/>
      <c r="J203" s="44"/>
      <c r="K203" s="44"/>
      <c r="L203" s="44"/>
      <c r="M203" s="44"/>
      <c r="N203" s="44"/>
      <c r="O203" s="44"/>
      <c r="P203" s="44"/>
      <c r="Q203" s="44"/>
      <c r="R203" s="44"/>
      <c r="S203" s="44"/>
      <c r="T203" s="44"/>
      <c r="U203" s="44"/>
      <c r="V203" s="44"/>
      <c r="W203" s="44"/>
      <c r="X203" s="44"/>
      <c r="Y203" s="44"/>
      <c r="Z203" s="44"/>
      <c r="AA203" s="44"/>
      <c r="AB203" s="44"/>
      <c r="AC203" s="44"/>
      <c r="AD203" s="44"/>
      <c r="AE203" s="44"/>
      <c r="AF203" s="44"/>
      <c r="AG203" s="44"/>
      <c r="AH203" s="44"/>
      <c r="AI203" s="44"/>
      <c r="AJ203" s="44"/>
      <c r="AK203" s="44"/>
      <c r="AL203" s="44"/>
      <c r="AM203" s="44"/>
    </row>
    <row r="204" spans="1:39" ht="15" customHeight="1">
      <c r="A204" s="44"/>
      <c r="B204" s="44"/>
      <c r="C204" s="44"/>
      <c r="D204" s="44"/>
      <c r="E204" s="44"/>
      <c r="F204" s="44"/>
      <c r="G204" s="44"/>
      <c r="H204" s="44"/>
      <c r="I204" s="44"/>
      <c r="J204" s="44"/>
      <c r="K204" s="44"/>
      <c r="L204" s="44"/>
      <c r="M204" s="44"/>
      <c r="N204" s="44"/>
      <c r="O204" s="44"/>
      <c r="P204" s="44"/>
      <c r="Q204" s="44"/>
      <c r="R204" s="44"/>
      <c r="S204" s="44"/>
      <c r="T204" s="44"/>
      <c r="U204" s="44"/>
      <c r="V204" s="44"/>
      <c r="W204" s="44"/>
      <c r="X204" s="44"/>
      <c r="Y204" s="44"/>
      <c r="Z204" s="44"/>
      <c r="AA204" s="44"/>
      <c r="AB204" s="44"/>
      <c r="AC204" s="44"/>
      <c r="AD204" s="44"/>
      <c r="AE204" s="44"/>
      <c r="AF204" s="44"/>
      <c r="AG204" s="44"/>
      <c r="AH204" s="44"/>
      <c r="AI204" s="44"/>
      <c r="AJ204" s="44"/>
      <c r="AK204" s="44"/>
      <c r="AL204" s="44"/>
      <c r="AM204" s="44"/>
    </row>
    <row r="205" spans="1:39" ht="15" customHeight="1">
      <c r="A205" s="44"/>
      <c r="B205" s="44"/>
      <c r="C205" s="44"/>
      <c r="D205" s="44"/>
      <c r="E205" s="44"/>
      <c r="F205" s="44"/>
      <c r="G205" s="44"/>
      <c r="H205" s="44"/>
      <c r="I205" s="44"/>
      <c r="J205" s="44"/>
      <c r="K205" s="44"/>
      <c r="L205" s="44"/>
      <c r="M205" s="44"/>
      <c r="N205" s="44"/>
      <c r="O205" s="44"/>
      <c r="P205" s="44"/>
      <c r="Q205" s="44"/>
      <c r="R205" s="44"/>
      <c r="S205" s="44"/>
      <c r="T205" s="44"/>
      <c r="U205" s="44"/>
      <c r="V205" s="44"/>
      <c r="W205" s="44"/>
      <c r="X205" s="44"/>
      <c r="Y205" s="44"/>
      <c r="Z205" s="44"/>
      <c r="AA205" s="44"/>
      <c r="AB205" s="44"/>
      <c r="AC205" s="44"/>
      <c r="AD205" s="44"/>
      <c r="AE205" s="44"/>
      <c r="AF205" s="44"/>
      <c r="AG205" s="44"/>
      <c r="AH205" s="44"/>
      <c r="AI205" s="44"/>
      <c r="AJ205" s="44"/>
      <c r="AK205" s="44"/>
      <c r="AL205" s="44"/>
      <c r="AM205" s="44"/>
    </row>
    <row r="206" spans="1:39" ht="15" customHeight="1">
      <c r="A206" s="44"/>
      <c r="B206" s="44"/>
      <c r="C206" s="44"/>
      <c r="D206" s="44"/>
      <c r="E206" s="44"/>
      <c r="F206" s="44"/>
      <c r="G206" s="44"/>
      <c r="H206" s="44"/>
      <c r="I206" s="44"/>
      <c r="J206" s="44"/>
      <c r="K206" s="44"/>
      <c r="L206" s="44"/>
      <c r="M206" s="44"/>
      <c r="N206" s="44"/>
      <c r="O206" s="44"/>
      <c r="P206" s="44"/>
      <c r="Q206" s="44"/>
      <c r="R206" s="44"/>
      <c r="S206" s="44"/>
      <c r="T206" s="44"/>
      <c r="U206" s="44"/>
      <c r="V206" s="44"/>
      <c r="W206" s="44"/>
      <c r="X206" s="44"/>
      <c r="Y206" s="44"/>
      <c r="Z206" s="44"/>
      <c r="AA206" s="44"/>
      <c r="AB206" s="44"/>
      <c r="AC206" s="44"/>
      <c r="AD206" s="44"/>
      <c r="AE206" s="44"/>
      <c r="AF206" s="44"/>
      <c r="AG206" s="44"/>
      <c r="AH206" s="44"/>
      <c r="AI206" s="44"/>
      <c r="AJ206" s="44"/>
      <c r="AK206" s="44"/>
      <c r="AL206" s="44"/>
      <c r="AM206" s="44"/>
    </row>
    <row r="207" spans="1:39" ht="15" customHeight="1">
      <c r="A207" s="44"/>
      <c r="B207" s="44"/>
      <c r="C207" s="44"/>
      <c r="D207" s="44"/>
      <c r="E207" s="44"/>
      <c r="F207" s="44"/>
      <c r="G207" s="44"/>
      <c r="H207" s="44"/>
      <c r="I207" s="44"/>
      <c r="J207" s="44"/>
      <c r="K207" s="44"/>
      <c r="L207" s="44"/>
      <c r="M207" s="44"/>
      <c r="N207" s="44"/>
      <c r="O207" s="44"/>
      <c r="P207" s="44"/>
      <c r="Q207" s="44"/>
      <c r="R207" s="44"/>
      <c r="S207" s="44"/>
      <c r="T207" s="44"/>
      <c r="U207" s="44"/>
      <c r="V207" s="44"/>
      <c r="W207" s="44"/>
      <c r="X207" s="44"/>
      <c r="Y207" s="44"/>
      <c r="Z207" s="44"/>
      <c r="AA207" s="44"/>
      <c r="AB207" s="44"/>
      <c r="AC207" s="44"/>
      <c r="AD207" s="44"/>
      <c r="AE207" s="44"/>
      <c r="AF207" s="44"/>
      <c r="AG207" s="44"/>
      <c r="AH207" s="44"/>
      <c r="AI207" s="44"/>
      <c r="AJ207" s="44"/>
      <c r="AK207" s="44"/>
      <c r="AL207" s="44"/>
      <c r="AM207" s="44"/>
    </row>
    <row r="208" spans="1:39" ht="15" customHeight="1">
      <c r="A208" s="44"/>
      <c r="B208" s="44"/>
      <c r="C208" s="44"/>
      <c r="D208" s="44"/>
      <c r="E208" s="44"/>
      <c r="F208" s="44"/>
      <c r="G208" s="44"/>
      <c r="H208" s="44"/>
      <c r="I208" s="44"/>
      <c r="J208" s="44"/>
      <c r="K208" s="44"/>
      <c r="L208" s="44"/>
      <c r="M208" s="44"/>
      <c r="N208" s="44"/>
      <c r="O208" s="44"/>
      <c r="P208" s="44"/>
      <c r="Q208" s="44"/>
      <c r="R208" s="44"/>
      <c r="S208" s="44"/>
      <c r="T208" s="44"/>
      <c r="U208" s="44"/>
      <c r="V208" s="44"/>
      <c r="W208" s="44"/>
      <c r="X208" s="44"/>
      <c r="Y208" s="44"/>
      <c r="Z208" s="44"/>
      <c r="AA208" s="44"/>
      <c r="AB208" s="44"/>
      <c r="AC208" s="44"/>
      <c r="AD208" s="44"/>
      <c r="AE208" s="44"/>
      <c r="AF208" s="44"/>
      <c r="AG208" s="44"/>
      <c r="AH208" s="44"/>
      <c r="AI208" s="44"/>
      <c r="AJ208" s="44"/>
      <c r="AK208" s="44"/>
      <c r="AL208" s="44"/>
      <c r="AM208" s="44"/>
    </row>
    <row r="209" s="44" customFormat="1" ht="15" customHeight="1"/>
    <row r="210" s="44" customFormat="1" ht="15" customHeight="1"/>
    <row r="211" s="44" customFormat="1" ht="15" customHeight="1"/>
    <row r="212" s="44" customFormat="1" ht="15" customHeight="1"/>
    <row r="213" s="44" customFormat="1" ht="15" customHeight="1"/>
    <row r="214" s="44" customFormat="1" ht="15" customHeight="1"/>
    <row r="215" s="44" customFormat="1" ht="15" customHeight="1"/>
    <row r="216" s="44" customFormat="1" ht="15" customHeight="1"/>
    <row r="217" s="44" customFormat="1" ht="15" customHeight="1"/>
    <row r="218" s="44" customFormat="1" ht="15" customHeight="1"/>
    <row r="219" s="44" customFormat="1" ht="15" customHeight="1"/>
    <row r="220" s="44" customFormat="1" ht="15" customHeight="1"/>
    <row r="221" s="44" customFormat="1" ht="15" customHeight="1"/>
    <row r="222" s="44" customFormat="1" ht="15" customHeight="1"/>
    <row r="223" s="44" customFormat="1" ht="15" customHeight="1"/>
    <row r="224" s="44" customFormat="1" ht="15" customHeight="1"/>
    <row r="225" s="44" customFormat="1" ht="15" customHeight="1"/>
    <row r="226" s="44" customFormat="1" ht="15" customHeight="1"/>
    <row r="227" s="44" customFormat="1" ht="15" customHeight="1"/>
    <row r="228" s="44" customFormat="1" ht="15" customHeight="1"/>
    <row r="229" s="44" customFormat="1" ht="15" customHeight="1"/>
    <row r="230" s="44" customFormat="1" ht="15" customHeight="1"/>
    <row r="231" s="44" customFormat="1" ht="15" customHeight="1"/>
    <row r="232" s="44" customFormat="1" ht="15" customHeight="1"/>
    <row r="233" s="44" customFormat="1" ht="15" customHeight="1"/>
    <row r="234" s="44" customFormat="1" ht="15" customHeight="1"/>
    <row r="235" s="44" customFormat="1" ht="15" customHeight="1"/>
    <row r="236" s="44" customFormat="1" ht="15" customHeight="1"/>
    <row r="237" s="44" customFormat="1" ht="15" customHeight="1"/>
    <row r="238" s="44" customFormat="1" ht="15" customHeight="1"/>
    <row r="239" s="44" customFormat="1" ht="15" customHeight="1"/>
    <row r="240" s="44" customFormat="1" ht="15" customHeight="1"/>
    <row r="241" s="44" customFormat="1" ht="15" customHeight="1"/>
    <row r="242" s="44" customFormat="1" ht="15" customHeight="1"/>
    <row r="243" s="44" customFormat="1" ht="15" customHeight="1"/>
    <row r="244" s="44" customFormat="1" ht="15" customHeight="1"/>
    <row r="245" s="44" customFormat="1" ht="15" customHeight="1"/>
    <row r="246" s="44" customFormat="1" ht="15" customHeight="1"/>
    <row r="247" s="44" customFormat="1" ht="15" customHeight="1"/>
    <row r="248" s="44" customFormat="1" ht="15" customHeight="1"/>
    <row r="249" s="44" customFormat="1" ht="15" customHeight="1"/>
    <row r="251" s="44" customFormat="1" ht="15" customHeight="1"/>
    <row r="252" s="44" customFormat="1" ht="15" customHeight="1"/>
    <row r="253" s="44" customFormat="1" ht="15" customHeight="1"/>
    <row r="254" s="44" customFormat="1" ht="15" customHeight="1"/>
    <row r="255" s="44" customFormat="1" ht="15" customHeight="1"/>
    <row r="256" s="44" customFormat="1" ht="15" customHeight="1"/>
    <row r="257" s="44" customFormat="1" ht="15" customHeight="1"/>
    <row r="258" s="44" customFormat="1" ht="15" customHeight="1"/>
    <row r="259" s="44" customFormat="1" ht="15" customHeight="1"/>
    <row r="260" s="44" customFormat="1" ht="15" customHeight="1"/>
    <row r="261" s="44" customFormat="1" ht="15" customHeight="1"/>
    <row r="262" s="44" customFormat="1" ht="15" customHeight="1"/>
    <row r="263" s="44" customFormat="1" ht="15" customHeight="1"/>
    <row r="264" s="44" customFormat="1" ht="15" customHeight="1"/>
    <row r="265" s="44" customFormat="1" ht="15" customHeight="1"/>
    <row r="266" s="44" customFormat="1" ht="15" customHeight="1"/>
    <row r="267" s="44" customFormat="1" ht="15" customHeight="1"/>
    <row r="268" s="44" customFormat="1" ht="15" customHeight="1"/>
    <row r="269" s="44" customFormat="1" ht="15" customHeight="1"/>
    <row r="270" s="44" customFormat="1" ht="15" customHeight="1"/>
    <row r="271" s="44" customFormat="1" ht="15" customHeight="1"/>
    <row r="272" s="44" customFormat="1" ht="15" customHeight="1"/>
    <row r="273" s="44" customFormat="1" ht="15" customHeight="1"/>
    <row r="274" s="44" customFormat="1" ht="15" customHeight="1"/>
    <row r="275" s="44" customFormat="1" ht="15" customHeight="1"/>
    <row r="276" s="44" customFormat="1" ht="15" customHeight="1"/>
    <row r="277" s="44" customFormat="1" ht="15" customHeight="1"/>
    <row r="278" s="44" customFormat="1" ht="15" customHeight="1"/>
    <row r="279" s="44" customFormat="1" ht="15" customHeight="1"/>
    <row r="280" s="44" customFormat="1" ht="15" customHeight="1"/>
    <row r="281" s="44" customFormat="1" ht="15" customHeight="1"/>
    <row r="282" s="44" customFormat="1" ht="15" customHeight="1"/>
    <row r="283" s="44" customFormat="1" ht="15" customHeight="1"/>
    <row r="284" s="44" customFormat="1" ht="15" customHeight="1"/>
    <row r="285" s="44" customFormat="1" ht="15" customHeight="1"/>
    <row r="286" s="44" customFormat="1" ht="15" customHeight="1"/>
    <row r="287" s="44" customFormat="1" ht="15" customHeight="1"/>
    <row r="288" s="44" customFormat="1" ht="15" customHeight="1"/>
    <row r="289" s="89" customFormat="1" ht="15" customHeight="1"/>
    <row r="290" s="44" customFormat="1" ht="15" customHeight="1"/>
    <row r="291" s="44" customFormat="1" ht="15" customHeight="1"/>
    <row r="292" s="44" customFormat="1" ht="15" customHeight="1"/>
    <row r="293" s="44" customFormat="1" ht="15" customHeight="1"/>
    <row r="294" s="44" customFormat="1" ht="15" customHeight="1"/>
    <row r="295" s="44" customFormat="1" ht="15" customHeight="1"/>
    <row r="296" s="44" customFormat="1" ht="15" customHeight="1"/>
    <row r="297" s="44" customFormat="1" ht="15" customHeight="1"/>
    <row r="298" s="44" customFormat="1" ht="15" customHeight="1"/>
    <row r="299" s="44" customFormat="1" ht="15" customHeight="1"/>
    <row r="300" s="44" customFormat="1" ht="15" customHeight="1"/>
    <row r="301" s="44" customFormat="1" ht="15" customHeight="1"/>
    <row r="302" s="44" customFormat="1" ht="15" customHeight="1"/>
    <row r="303" s="44" customFormat="1" ht="15" customHeight="1"/>
    <row r="304" s="44" customFormat="1" ht="15" customHeight="1"/>
    <row r="315" spans="4:24" ht="15" customHeight="1">
      <c r="D315" s="90"/>
      <c r="E315" s="90"/>
      <c r="F315" s="90"/>
      <c r="G315" s="90"/>
      <c r="H315" s="90"/>
      <c r="I315" s="90"/>
      <c r="J315" s="90"/>
      <c r="K315" s="90"/>
      <c r="L315" s="90"/>
      <c r="M315" s="90"/>
      <c r="N315" s="90"/>
      <c r="O315" s="90"/>
      <c r="P315" s="90"/>
      <c r="Q315" s="90"/>
      <c r="R315" s="90"/>
      <c r="S315" s="90"/>
      <c r="T315" s="90"/>
      <c r="U315" s="90"/>
      <c r="V315" s="90"/>
      <c r="W315" s="90"/>
      <c r="X315" s="90"/>
    </row>
  </sheetData>
  <sheetProtection algorithmName="SHA-512" hashValue="6qEOXDpKtBUJbzkQpQbhw8cvImkvUd5jLS3PcyG+FFT1RCpdqpRdYSv/6o/ZTCjP4DnU53Gt+TEJfZkT00mjbA==" saltValue="5By56/EVz0Cf3r6ZEKSaIA==" spinCount="100000" sheet="1" objects="1" scenarios="1"/>
  <protectedRanges>
    <protectedRange sqref="D4:BW129" name="BS"/>
  </protectedRanges>
  <phoneticPr fontId="51" type="noConversion"/>
  <pageMargins left="0.18" right="0.2" top="0.18" bottom="0.16" header="0.17" footer="0.16"/>
  <pageSetup paperSize="9" orientation="landscape" r:id="rId1"/>
  <headerFooter alignWithMargins="0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9C2A50-7006-4226-9158-4AFC110AD560}">
  <sheetPr>
    <tabColor theme="9" tint="0.59999389629810485"/>
  </sheetPr>
  <dimension ref="A1:BW23"/>
  <sheetViews>
    <sheetView showGridLines="0" zoomScale="85" zoomScaleNormal="85" workbookViewId="0">
      <pane xSplit="3" ySplit="3" topLeftCell="BM7" activePane="bottomRight" state="frozen"/>
      <selection pane="topRight" activeCell="BL10" sqref="BL10"/>
      <selection pane="bottomLeft" activeCell="BL10" sqref="BL10"/>
      <selection pane="bottomRight" activeCell="BP23" sqref="BP23"/>
    </sheetView>
  </sheetViews>
  <sheetFormatPr defaultRowHeight="14.5"/>
  <cols>
    <col min="1" max="1" width="7" hidden="1" customWidth="1"/>
    <col min="2" max="2" width="56" bestFit="1" customWidth="1"/>
    <col min="3" max="3" width="12.08984375" hidden="1" customWidth="1"/>
    <col min="4" max="10" width="15.54296875" customWidth="1"/>
    <col min="11" max="11" width="16.36328125" customWidth="1"/>
    <col min="12" max="14" width="15.54296875" customWidth="1"/>
    <col min="15" max="15" width="16.6328125" customWidth="1"/>
    <col min="16" max="16" width="15.54296875" customWidth="1"/>
    <col min="17" max="17" width="16.36328125" customWidth="1"/>
    <col min="18" max="44" width="16.6328125" customWidth="1"/>
    <col min="45" max="46" width="17.453125" customWidth="1"/>
    <col min="47" max="49" width="18" customWidth="1"/>
    <col min="50" max="50" width="16.6328125" customWidth="1"/>
    <col min="51" max="51" width="18" customWidth="1"/>
    <col min="52" max="52" width="16.6328125" customWidth="1"/>
    <col min="53" max="59" width="18" customWidth="1"/>
    <col min="60" max="60" width="17.453125" customWidth="1"/>
    <col min="61" max="63" width="16.6328125" customWidth="1"/>
    <col min="64" max="64" width="16.54296875" bestFit="1" customWidth="1"/>
    <col min="65" max="65" width="15.453125" bestFit="1" customWidth="1"/>
    <col min="66" max="75" width="18" customWidth="1"/>
  </cols>
  <sheetData>
    <row r="1" spans="1:75" ht="17.5">
      <c r="B1" s="40" t="str">
        <f>'Thong tin'!A1</f>
        <v>CÔNG TY CP NHỰA TÁI CHẾ DUY TÂN</v>
      </c>
    </row>
    <row r="2" spans="1:75">
      <c r="B2" s="46" t="s">
        <v>243</v>
      </c>
      <c r="AZ2" s="506"/>
    </row>
    <row r="3" spans="1:75" ht="28">
      <c r="A3" s="175" t="s">
        <v>351</v>
      </c>
      <c r="B3" s="176" t="s">
        <v>352</v>
      </c>
      <c r="C3" s="175" t="s">
        <v>246</v>
      </c>
      <c r="D3" s="175" t="s">
        <v>247</v>
      </c>
      <c r="E3" s="175" t="s">
        <v>248</v>
      </c>
      <c r="F3" s="175" t="s">
        <v>249</v>
      </c>
      <c r="G3" s="175" t="s">
        <v>250</v>
      </c>
      <c r="H3" s="175" t="s">
        <v>251</v>
      </c>
      <c r="I3" s="175" t="s">
        <v>252</v>
      </c>
      <c r="J3" s="175" t="s">
        <v>253</v>
      </c>
      <c r="K3" s="175" t="s">
        <v>254</v>
      </c>
      <c r="L3" s="175" t="s">
        <v>255</v>
      </c>
      <c r="M3" s="175" t="s">
        <v>256</v>
      </c>
      <c r="N3" s="175" t="s">
        <v>257</v>
      </c>
      <c r="O3" s="175" t="s">
        <v>258</v>
      </c>
      <c r="P3" s="175" t="s">
        <v>259</v>
      </c>
      <c r="Q3" s="175" t="s">
        <v>260</v>
      </c>
      <c r="R3" s="175" t="s">
        <v>261</v>
      </c>
      <c r="S3" s="175" t="s">
        <v>262</v>
      </c>
      <c r="T3" s="175" t="s">
        <v>263</v>
      </c>
      <c r="U3" s="175" t="s">
        <v>264</v>
      </c>
      <c r="V3" s="175" t="s">
        <v>265</v>
      </c>
      <c r="W3" s="175" t="s">
        <v>266</v>
      </c>
      <c r="X3" s="175" t="s">
        <v>267</v>
      </c>
      <c r="Y3" s="175" t="s">
        <v>268</v>
      </c>
      <c r="Z3" s="175" t="s">
        <v>269</v>
      </c>
      <c r="AA3" s="175" t="s">
        <v>270</v>
      </c>
      <c r="AB3" s="175" t="s">
        <v>271</v>
      </c>
      <c r="AC3" s="175" t="s">
        <v>272</v>
      </c>
      <c r="AD3" s="175" t="s">
        <v>273</v>
      </c>
      <c r="AE3" s="175" t="s">
        <v>274</v>
      </c>
      <c r="AF3" s="175" t="s">
        <v>275</v>
      </c>
      <c r="AG3" s="175" t="s">
        <v>276</v>
      </c>
      <c r="AH3" s="175" t="s">
        <v>277</v>
      </c>
      <c r="AI3" s="175" t="s">
        <v>278</v>
      </c>
      <c r="AJ3" s="175" t="s">
        <v>279</v>
      </c>
      <c r="AK3" s="175" t="s">
        <v>280</v>
      </c>
      <c r="AL3" s="175" t="s">
        <v>281</v>
      </c>
      <c r="AM3" s="175" t="s">
        <v>282</v>
      </c>
      <c r="AN3" s="175" t="s">
        <v>283</v>
      </c>
      <c r="AO3" s="175" t="s">
        <v>284</v>
      </c>
      <c r="AP3" s="175" t="s">
        <v>285</v>
      </c>
      <c r="AQ3" s="175" t="s">
        <v>286</v>
      </c>
      <c r="AR3" s="175" t="s">
        <v>287</v>
      </c>
      <c r="AS3" s="175" t="s">
        <v>288</v>
      </c>
      <c r="AT3" s="175" t="s">
        <v>289</v>
      </c>
      <c r="AU3" s="175" t="s">
        <v>290</v>
      </c>
      <c r="AV3" s="175" t="s">
        <v>291</v>
      </c>
      <c r="AW3" s="175" t="s">
        <v>292</v>
      </c>
      <c r="AX3" s="175" t="s">
        <v>293</v>
      </c>
      <c r="AY3" s="175" t="s">
        <v>294</v>
      </c>
      <c r="AZ3" s="175" t="s">
        <v>295</v>
      </c>
      <c r="BA3" s="175" t="s">
        <v>296</v>
      </c>
      <c r="BB3" s="175" t="s">
        <v>297</v>
      </c>
      <c r="BC3" s="175" t="s">
        <v>298</v>
      </c>
      <c r="BD3" s="175" t="s">
        <v>299</v>
      </c>
      <c r="BE3" s="175" t="s">
        <v>300</v>
      </c>
      <c r="BF3" s="175" t="s">
        <v>301</v>
      </c>
      <c r="BG3" s="175" t="s">
        <v>302</v>
      </c>
      <c r="BH3" s="175" t="s">
        <v>303</v>
      </c>
      <c r="BI3" s="175" t="s">
        <v>304</v>
      </c>
      <c r="BJ3" s="175" t="s">
        <v>305</v>
      </c>
      <c r="BK3" s="175" t="s">
        <v>306</v>
      </c>
      <c r="BL3" s="175" t="s">
        <v>307</v>
      </c>
      <c r="BM3" s="175" t="s">
        <v>308</v>
      </c>
      <c r="BN3" s="175" t="s">
        <v>309</v>
      </c>
      <c r="BO3" s="175" t="s">
        <v>310</v>
      </c>
      <c r="BP3" s="175" t="s">
        <v>311</v>
      </c>
      <c r="BQ3" s="175" t="s">
        <v>312</v>
      </c>
      <c r="BR3" s="175" t="s">
        <v>313</v>
      </c>
      <c r="BS3" s="175" t="s">
        <v>314</v>
      </c>
      <c r="BT3" s="175" t="s">
        <v>315</v>
      </c>
      <c r="BU3" s="175" t="s">
        <v>316</v>
      </c>
      <c r="BV3" s="175" t="s">
        <v>317</v>
      </c>
      <c r="BW3" s="175" t="s">
        <v>318</v>
      </c>
    </row>
    <row r="4" spans="1:75">
      <c r="A4" s="91">
        <v>1</v>
      </c>
      <c r="B4" s="92" t="s">
        <v>353</v>
      </c>
      <c r="C4" s="91">
        <v>28</v>
      </c>
      <c r="D4" s="512"/>
      <c r="E4" s="512"/>
      <c r="F4" s="512"/>
      <c r="G4" s="512"/>
      <c r="H4" s="512"/>
      <c r="I4" s="512"/>
      <c r="J4" s="512"/>
      <c r="K4" s="512"/>
      <c r="L4" s="512"/>
      <c r="M4" s="512"/>
      <c r="N4" s="512"/>
      <c r="O4" s="512"/>
      <c r="P4" s="512"/>
      <c r="Q4" s="512"/>
      <c r="R4" s="512"/>
      <c r="S4" s="512"/>
      <c r="T4" s="512"/>
      <c r="U4" s="512"/>
      <c r="V4" s="512"/>
      <c r="W4" s="512"/>
      <c r="X4" s="512"/>
      <c r="Y4" s="512"/>
      <c r="Z4" s="512"/>
      <c r="AA4" s="512"/>
      <c r="AB4" s="512"/>
      <c r="AC4" s="512"/>
      <c r="AD4" s="512"/>
      <c r="AE4" s="512"/>
      <c r="AF4" s="512"/>
      <c r="AG4" s="512"/>
      <c r="AH4" s="512"/>
      <c r="AI4" s="512"/>
      <c r="AJ4" s="512"/>
      <c r="AK4" s="512"/>
      <c r="AL4" s="512"/>
      <c r="AM4" s="512"/>
      <c r="AN4" s="512"/>
      <c r="AO4" s="512"/>
      <c r="AP4" s="512"/>
      <c r="AQ4" s="512"/>
      <c r="AR4" s="512"/>
      <c r="AS4" s="512"/>
      <c r="AT4" s="512"/>
      <c r="AU4" s="512"/>
      <c r="AV4" s="512"/>
      <c r="AW4" s="512"/>
      <c r="AX4" s="512"/>
      <c r="AY4" s="512"/>
      <c r="AZ4" s="512">
        <v>3616.4013</v>
      </c>
      <c r="BA4" s="512">
        <v>6002.0379999999996</v>
      </c>
      <c r="BB4" s="512">
        <v>4987.3979999999992</v>
      </c>
      <c r="BC4" s="512">
        <v>4085.9469999999997</v>
      </c>
      <c r="BD4" s="512">
        <v>4800.6903000000002</v>
      </c>
      <c r="BE4" s="512">
        <v>4045.3530000000001</v>
      </c>
      <c r="BF4" s="512">
        <v>4698.9850999999999</v>
      </c>
      <c r="BG4" s="512">
        <v>5678.89</v>
      </c>
      <c r="BH4" s="512">
        <v>3116.5699999999997</v>
      </c>
      <c r="BI4" s="512">
        <v>3435.779</v>
      </c>
      <c r="BJ4" s="512">
        <v>3062.1559999999999</v>
      </c>
      <c r="BK4" s="512">
        <v>3190.5890000000004</v>
      </c>
      <c r="BL4" s="512">
        <v>4402.0519999999997</v>
      </c>
      <c r="BM4" s="512">
        <v>3277.83</v>
      </c>
      <c r="BN4" s="512">
        <v>6446.3829999999998</v>
      </c>
      <c r="BO4" s="512">
        <v>5783.4650000000001</v>
      </c>
      <c r="BP4" s="512">
        <v>5176.4000000000005</v>
      </c>
      <c r="BQ4" s="512"/>
      <c r="BR4" s="512"/>
      <c r="BS4" s="512"/>
      <c r="BT4" s="512"/>
      <c r="BU4" s="512"/>
      <c r="BV4" s="512"/>
      <c r="BW4" s="512"/>
    </row>
    <row r="5" spans="1:75">
      <c r="A5" s="59">
        <v>2</v>
      </c>
      <c r="B5" s="93" t="s">
        <v>354</v>
      </c>
      <c r="C5" s="59">
        <v>28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>
        <v>130037940981</v>
      </c>
      <c r="AO5" s="3">
        <v>84645791256</v>
      </c>
      <c r="AP5" s="3">
        <v>115625416433</v>
      </c>
      <c r="AQ5" s="3">
        <v>117647266094</v>
      </c>
      <c r="AR5" s="3">
        <v>128085507494</v>
      </c>
      <c r="AS5" s="3">
        <v>95661572209</v>
      </c>
      <c r="AT5" s="3">
        <v>74679662458</v>
      </c>
      <c r="AU5" s="3">
        <v>178936926222</v>
      </c>
      <c r="AV5" s="3">
        <v>180140886766</v>
      </c>
      <c r="AW5" s="3">
        <v>143211413018</v>
      </c>
      <c r="AX5" s="3">
        <v>97197472020</v>
      </c>
      <c r="AY5" s="3">
        <v>128687104846</v>
      </c>
      <c r="AZ5" s="3">
        <v>114983880947</v>
      </c>
      <c r="BA5" s="3">
        <v>188477338235</v>
      </c>
      <c r="BB5" s="3">
        <v>150716555192</v>
      </c>
      <c r="BC5" s="3">
        <v>125691833422</v>
      </c>
      <c r="BD5" s="3">
        <v>153638670524</v>
      </c>
      <c r="BE5" s="3">
        <v>120188501523</v>
      </c>
      <c r="BF5" s="3">
        <v>138030275641</v>
      </c>
      <c r="BG5" s="3">
        <v>169482496928</v>
      </c>
      <c r="BH5" s="3">
        <v>91503288423</v>
      </c>
      <c r="BI5" s="3">
        <v>109010675108</v>
      </c>
      <c r="BJ5" s="3">
        <v>89868450986</v>
      </c>
      <c r="BK5" s="3">
        <v>100768484341</v>
      </c>
      <c r="BL5" s="3">
        <v>126470480720</v>
      </c>
      <c r="BM5" s="3">
        <v>96582496962</v>
      </c>
      <c r="BN5" s="3">
        <v>173962786425</v>
      </c>
      <c r="BO5" s="3">
        <v>159236581985</v>
      </c>
      <c r="BP5" s="3">
        <v>161004715441</v>
      </c>
      <c r="BQ5" s="3"/>
      <c r="BR5" s="3"/>
      <c r="BS5" s="3"/>
      <c r="BT5" s="3"/>
      <c r="BU5" s="3"/>
      <c r="BV5" s="3"/>
      <c r="BW5" s="3"/>
    </row>
    <row r="6" spans="1:75">
      <c r="A6" s="55">
        <v>3</v>
      </c>
      <c r="B6" s="94" t="s">
        <v>355</v>
      </c>
      <c r="C6" s="55">
        <v>28</v>
      </c>
      <c r="D6" s="508"/>
      <c r="E6" s="508"/>
      <c r="F6" s="508"/>
      <c r="G6" s="508"/>
      <c r="H6" s="508"/>
      <c r="I6" s="508"/>
      <c r="J6" s="508"/>
      <c r="K6" s="508"/>
      <c r="L6" s="508"/>
      <c r="M6" s="508"/>
      <c r="N6" s="508"/>
      <c r="O6" s="508"/>
      <c r="P6" s="508"/>
      <c r="Q6" s="508"/>
      <c r="R6" s="508"/>
      <c r="S6" s="508"/>
      <c r="T6" s="508"/>
      <c r="U6" s="508"/>
      <c r="V6" s="508"/>
      <c r="W6" s="508"/>
      <c r="X6" s="508"/>
      <c r="Y6" s="508"/>
      <c r="Z6" s="508"/>
      <c r="AA6" s="508"/>
      <c r="AB6" s="508"/>
      <c r="AC6" s="508"/>
      <c r="AD6" s="508"/>
      <c r="AE6" s="508"/>
      <c r="AF6" s="508"/>
      <c r="AG6" s="508"/>
      <c r="AH6" s="508"/>
      <c r="AI6" s="508"/>
      <c r="AJ6" s="508"/>
      <c r="AK6" s="508"/>
      <c r="AL6" s="508"/>
      <c r="AM6" s="508"/>
      <c r="AN6" s="508">
        <v>0</v>
      </c>
      <c r="AO6" s="508">
        <v>1166125000</v>
      </c>
      <c r="AP6" s="508">
        <v>0</v>
      </c>
      <c r="AQ6" s="508">
        <v>0</v>
      </c>
      <c r="AR6" s="508">
        <v>136455000</v>
      </c>
      <c r="AS6" s="508">
        <v>0</v>
      </c>
      <c r="AT6" s="508">
        <v>0</v>
      </c>
      <c r="AU6" s="508">
        <v>6345077301</v>
      </c>
      <c r="AV6" s="508">
        <v>4671587529</v>
      </c>
      <c r="AW6" s="508">
        <v>2922205276</v>
      </c>
      <c r="AX6" s="508">
        <v>49359030</v>
      </c>
      <c r="AY6" s="508">
        <v>4680420540</v>
      </c>
      <c r="AZ6" s="508">
        <v>513935495</v>
      </c>
      <c r="BA6" s="508">
        <v>477877176</v>
      </c>
      <c r="BB6" s="508">
        <v>477350452</v>
      </c>
      <c r="BC6" s="508">
        <v>304590498</v>
      </c>
      <c r="BD6" s="508">
        <v>1607115262</v>
      </c>
      <c r="BE6" s="508">
        <v>708638196</v>
      </c>
      <c r="BF6" s="508">
        <v>26953743</v>
      </c>
      <c r="BG6" s="508">
        <v>1000293545</v>
      </c>
      <c r="BH6" s="508">
        <v>6773818500</v>
      </c>
      <c r="BI6" s="508">
        <v>0</v>
      </c>
      <c r="BJ6" s="508">
        <v>1479093000</v>
      </c>
      <c r="BK6" s="508">
        <v>1103092320</v>
      </c>
      <c r="BL6" s="508">
        <v>687876997</v>
      </c>
      <c r="BM6" s="508">
        <v>33305556</v>
      </c>
      <c r="BN6" s="508">
        <v>956126160</v>
      </c>
      <c r="BO6" s="508">
        <v>86574074</v>
      </c>
      <c r="BP6" s="508">
        <v>1221964024</v>
      </c>
      <c r="BQ6" s="508"/>
      <c r="BR6" s="508"/>
      <c r="BS6" s="508"/>
      <c r="BT6" s="508"/>
      <c r="BU6" s="508"/>
      <c r="BV6" s="508"/>
      <c r="BW6" s="508"/>
    </row>
    <row r="7" spans="1:75">
      <c r="A7" s="95">
        <v>4</v>
      </c>
      <c r="B7" s="93" t="s">
        <v>356</v>
      </c>
      <c r="C7" s="95">
        <v>28</v>
      </c>
      <c r="D7" s="9">
        <f>D5-D6</f>
        <v>0</v>
      </c>
      <c r="E7" s="9">
        <f t="shared" ref="E7:BP7" si="0">E5-E6</f>
        <v>0</v>
      </c>
      <c r="F7" s="9">
        <f t="shared" si="0"/>
        <v>0</v>
      </c>
      <c r="G7" s="9">
        <f t="shared" si="0"/>
        <v>0</v>
      </c>
      <c r="H7" s="9">
        <f t="shared" si="0"/>
        <v>0</v>
      </c>
      <c r="I7" s="9">
        <f t="shared" si="0"/>
        <v>0</v>
      </c>
      <c r="J7" s="9">
        <f t="shared" si="0"/>
        <v>0</v>
      </c>
      <c r="K7" s="9">
        <f t="shared" si="0"/>
        <v>0</v>
      </c>
      <c r="L7" s="9">
        <f t="shared" si="0"/>
        <v>0</v>
      </c>
      <c r="M7" s="9">
        <f t="shared" si="0"/>
        <v>0</v>
      </c>
      <c r="N7" s="9">
        <f t="shared" si="0"/>
        <v>0</v>
      </c>
      <c r="O7" s="9">
        <f t="shared" si="0"/>
        <v>0</v>
      </c>
      <c r="P7" s="9">
        <f t="shared" si="0"/>
        <v>0</v>
      </c>
      <c r="Q7" s="9">
        <f t="shared" si="0"/>
        <v>0</v>
      </c>
      <c r="R7" s="9">
        <f t="shared" si="0"/>
        <v>0</v>
      </c>
      <c r="S7" s="9">
        <f t="shared" si="0"/>
        <v>0</v>
      </c>
      <c r="T7" s="9">
        <f t="shared" si="0"/>
        <v>0</v>
      </c>
      <c r="U7" s="9">
        <f t="shared" si="0"/>
        <v>0</v>
      </c>
      <c r="V7" s="9">
        <f t="shared" si="0"/>
        <v>0</v>
      </c>
      <c r="W7" s="9">
        <f t="shared" si="0"/>
        <v>0</v>
      </c>
      <c r="X7" s="9">
        <f t="shared" si="0"/>
        <v>0</v>
      </c>
      <c r="Y7" s="9">
        <f t="shared" si="0"/>
        <v>0</v>
      </c>
      <c r="Z7" s="9">
        <f t="shared" si="0"/>
        <v>0</v>
      </c>
      <c r="AA7" s="9">
        <f t="shared" si="0"/>
        <v>0</v>
      </c>
      <c r="AB7" s="9">
        <f t="shared" si="0"/>
        <v>0</v>
      </c>
      <c r="AC7" s="9">
        <f t="shared" si="0"/>
        <v>0</v>
      </c>
      <c r="AD7" s="9">
        <f t="shared" si="0"/>
        <v>0</v>
      </c>
      <c r="AE7" s="9">
        <f t="shared" si="0"/>
        <v>0</v>
      </c>
      <c r="AF7" s="9">
        <f t="shared" si="0"/>
        <v>0</v>
      </c>
      <c r="AG7" s="9">
        <f t="shared" si="0"/>
        <v>0</v>
      </c>
      <c r="AH7" s="9">
        <f t="shared" si="0"/>
        <v>0</v>
      </c>
      <c r="AI7" s="9">
        <f t="shared" si="0"/>
        <v>0</v>
      </c>
      <c r="AJ7" s="9">
        <f t="shared" si="0"/>
        <v>0</v>
      </c>
      <c r="AK7" s="9">
        <f t="shared" si="0"/>
        <v>0</v>
      </c>
      <c r="AL7" s="9">
        <f t="shared" si="0"/>
        <v>0</v>
      </c>
      <c r="AM7" s="9">
        <f t="shared" si="0"/>
        <v>0</v>
      </c>
      <c r="AN7" s="9">
        <f t="shared" si="0"/>
        <v>130037940981</v>
      </c>
      <c r="AO7" s="9">
        <f t="shared" si="0"/>
        <v>83479666256</v>
      </c>
      <c r="AP7" s="9">
        <f t="shared" si="0"/>
        <v>115625416433</v>
      </c>
      <c r="AQ7" s="9">
        <f t="shared" si="0"/>
        <v>117647266094</v>
      </c>
      <c r="AR7" s="9">
        <f t="shared" si="0"/>
        <v>127949052494</v>
      </c>
      <c r="AS7" s="9">
        <f t="shared" si="0"/>
        <v>95661572209</v>
      </c>
      <c r="AT7" s="9">
        <f t="shared" si="0"/>
        <v>74679662458</v>
      </c>
      <c r="AU7" s="9">
        <f t="shared" si="0"/>
        <v>172591848921</v>
      </c>
      <c r="AV7" s="9">
        <f t="shared" si="0"/>
        <v>175469299237</v>
      </c>
      <c r="AW7" s="9">
        <f t="shared" si="0"/>
        <v>140289207742</v>
      </c>
      <c r="AX7" s="9">
        <f t="shared" si="0"/>
        <v>97148112990</v>
      </c>
      <c r="AY7" s="9">
        <f t="shared" si="0"/>
        <v>124006684306</v>
      </c>
      <c r="AZ7" s="9">
        <v>114469945452</v>
      </c>
      <c r="BA7" s="9">
        <v>187999461059</v>
      </c>
      <c r="BB7" s="9">
        <v>150239204740</v>
      </c>
      <c r="BC7" s="9">
        <v>125387242924</v>
      </c>
      <c r="BD7" s="9">
        <v>152031555262</v>
      </c>
      <c r="BE7" s="9">
        <v>119479863327</v>
      </c>
      <c r="BF7" s="9">
        <v>138003321898</v>
      </c>
      <c r="BG7" s="9">
        <v>168482203383</v>
      </c>
      <c r="BH7" s="9">
        <v>84729469923</v>
      </c>
      <c r="BI7" s="9">
        <v>109010675108</v>
      </c>
      <c r="BJ7" s="9">
        <v>88389357986</v>
      </c>
      <c r="BK7" s="9">
        <v>99665392021</v>
      </c>
      <c r="BL7" s="9">
        <f>BL5-BL6</f>
        <v>125782603723</v>
      </c>
      <c r="BM7" s="9">
        <f>BM5-BM6</f>
        <v>96549191406</v>
      </c>
      <c r="BN7" s="9">
        <v>173006660265</v>
      </c>
      <c r="BO7" s="9">
        <v>159150007911</v>
      </c>
      <c r="BP7" s="9">
        <f t="shared" si="0"/>
        <v>159782751417</v>
      </c>
      <c r="BQ7" s="9">
        <f t="shared" ref="BQ7:BW7" si="1">BQ5-BQ6</f>
        <v>0</v>
      </c>
      <c r="BR7" s="9">
        <f t="shared" si="1"/>
        <v>0</v>
      </c>
      <c r="BS7" s="9">
        <f t="shared" si="1"/>
        <v>0</v>
      </c>
      <c r="BT7" s="9">
        <f t="shared" si="1"/>
        <v>0</v>
      </c>
      <c r="BU7" s="9">
        <f t="shared" si="1"/>
        <v>0</v>
      </c>
      <c r="BV7" s="9">
        <f t="shared" si="1"/>
        <v>0</v>
      </c>
      <c r="BW7" s="9">
        <f t="shared" si="1"/>
        <v>0</v>
      </c>
    </row>
    <row r="8" spans="1:75">
      <c r="A8" s="96">
        <v>5</v>
      </c>
      <c r="B8" s="94" t="s">
        <v>357</v>
      </c>
      <c r="C8" s="96">
        <v>28</v>
      </c>
      <c r="D8" s="513"/>
      <c r="E8" s="513"/>
      <c r="F8" s="513"/>
      <c r="G8" s="513"/>
      <c r="H8" s="513"/>
      <c r="I8" s="513"/>
      <c r="J8" s="513"/>
      <c r="K8" s="513"/>
      <c r="L8" s="513"/>
      <c r="M8" s="513"/>
      <c r="N8" s="513"/>
      <c r="O8" s="513"/>
      <c r="P8" s="513"/>
      <c r="Q8" s="513"/>
      <c r="R8" s="513"/>
      <c r="S8" s="513"/>
      <c r="T8" s="513"/>
      <c r="U8" s="513"/>
      <c r="V8" s="513"/>
      <c r="W8" s="513"/>
      <c r="X8" s="513"/>
      <c r="Y8" s="513"/>
      <c r="Z8" s="513"/>
      <c r="AA8" s="513"/>
      <c r="AB8" s="513"/>
      <c r="AC8" s="513"/>
      <c r="AD8" s="513"/>
      <c r="AE8" s="513"/>
      <c r="AF8" s="513"/>
      <c r="AG8" s="513"/>
      <c r="AH8" s="513"/>
      <c r="AI8" s="513"/>
      <c r="AJ8" s="513"/>
      <c r="AK8" s="513"/>
      <c r="AL8" s="513"/>
      <c r="AM8" s="513"/>
      <c r="AN8" s="513">
        <v>120065457134</v>
      </c>
      <c r="AO8" s="513">
        <v>83995360322</v>
      </c>
      <c r="AP8" s="513">
        <v>109165390822</v>
      </c>
      <c r="AQ8" s="513">
        <v>105655387173</v>
      </c>
      <c r="AR8" s="513">
        <v>125507167216</v>
      </c>
      <c r="AS8" s="513">
        <v>98477492806</v>
      </c>
      <c r="AT8" s="513">
        <v>80393606783</v>
      </c>
      <c r="AU8" s="513">
        <v>167228552558</v>
      </c>
      <c r="AV8" s="513">
        <v>152083786508</v>
      </c>
      <c r="AW8" s="513">
        <v>135696763155</v>
      </c>
      <c r="AX8" s="513">
        <v>92718574459</v>
      </c>
      <c r="AY8" s="513">
        <v>-4137926966</v>
      </c>
      <c r="AZ8" s="513">
        <v>97986840184</v>
      </c>
      <c r="BA8" s="513">
        <v>155693128574</v>
      </c>
      <c r="BB8" s="513">
        <v>129053280797</v>
      </c>
      <c r="BC8" s="513">
        <v>108257691858</v>
      </c>
      <c r="BD8" s="513">
        <v>128243821985</v>
      </c>
      <c r="BE8" s="513">
        <v>104299018492</v>
      </c>
      <c r="BF8" s="513">
        <v>124260554437</v>
      </c>
      <c r="BG8" s="513">
        <v>150760754200</v>
      </c>
      <c r="BH8" s="513">
        <v>81919659396</v>
      </c>
      <c r="BI8" s="513">
        <v>98239930365</v>
      </c>
      <c r="BJ8" s="513">
        <v>80093235439</v>
      </c>
      <c r="BK8" s="513">
        <v>67988837293</v>
      </c>
      <c r="BL8" s="513">
        <v>114204897263.19444</v>
      </c>
      <c r="BM8" s="513">
        <v>89643992316.171509</v>
      </c>
      <c r="BN8" s="513">
        <v>163965172379.59167</v>
      </c>
      <c r="BO8" s="513">
        <v>139017443039.16925</v>
      </c>
      <c r="BP8" s="513">
        <v>134579580692.2312</v>
      </c>
      <c r="BQ8" s="513"/>
      <c r="BR8" s="513"/>
      <c r="BS8" s="513"/>
      <c r="BT8" s="513"/>
      <c r="BU8" s="513"/>
      <c r="BV8" s="513"/>
      <c r="BW8" s="513"/>
    </row>
    <row r="9" spans="1:75">
      <c r="A9" s="97">
        <v>6</v>
      </c>
      <c r="B9" s="93" t="s">
        <v>358</v>
      </c>
      <c r="C9" s="97">
        <v>28</v>
      </c>
      <c r="D9" s="4">
        <f>D7-D8</f>
        <v>0</v>
      </c>
      <c r="E9" s="4">
        <f t="shared" ref="E9:AY9" si="2">E7-E8</f>
        <v>0</v>
      </c>
      <c r="F9" s="4">
        <f t="shared" si="2"/>
        <v>0</v>
      </c>
      <c r="G9" s="4">
        <f t="shared" si="2"/>
        <v>0</v>
      </c>
      <c r="H9" s="4">
        <f t="shared" si="2"/>
        <v>0</v>
      </c>
      <c r="I9" s="4">
        <f t="shared" si="2"/>
        <v>0</v>
      </c>
      <c r="J9" s="4">
        <f t="shared" si="2"/>
        <v>0</v>
      </c>
      <c r="K9" s="4">
        <f t="shared" si="2"/>
        <v>0</v>
      </c>
      <c r="L9" s="4">
        <f t="shared" si="2"/>
        <v>0</v>
      </c>
      <c r="M9" s="4">
        <f t="shared" si="2"/>
        <v>0</v>
      </c>
      <c r="N9" s="4">
        <f t="shared" si="2"/>
        <v>0</v>
      </c>
      <c r="O9" s="4">
        <f t="shared" si="2"/>
        <v>0</v>
      </c>
      <c r="P9" s="4">
        <f t="shared" si="2"/>
        <v>0</v>
      </c>
      <c r="Q9" s="4">
        <f t="shared" si="2"/>
        <v>0</v>
      </c>
      <c r="R9" s="4">
        <f t="shared" si="2"/>
        <v>0</v>
      </c>
      <c r="S9" s="4">
        <f t="shared" si="2"/>
        <v>0</v>
      </c>
      <c r="T9" s="4">
        <f t="shared" si="2"/>
        <v>0</v>
      </c>
      <c r="U9" s="4">
        <f t="shared" si="2"/>
        <v>0</v>
      </c>
      <c r="V9" s="4">
        <f t="shared" si="2"/>
        <v>0</v>
      </c>
      <c r="W9" s="4">
        <f t="shared" si="2"/>
        <v>0</v>
      </c>
      <c r="X9" s="4">
        <f t="shared" si="2"/>
        <v>0</v>
      </c>
      <c r="Y9" s="4">
        <f t="shared" si="2"/>
        <v>0</v>
      </c>
      <c r="Z9" s="4">
        <f t="shared" si="2"/>
        <v>0</v>
      </c>
      <c r="AA9" s="4">
        <f t="shared" si="2"/>
        <v>0</v>
      </c>
      <c r="AB9" s="4">
        <f t="shared" si="2"/>
        <v>0</v>
      </c>
      <c r="AC9" s="4">
        <f t="shared" si="2"/>
        <v>0</v>
      </c>
      <c r="AD9" s="4">
        <f t="shared" si="2"/>
        <v>0</v>
      </c>
      <c r="AE9" s="4">
        <f t="shared" si="2"/>
        <v>0</v>
      </c>
      <c r="AF9" s="4">
        <f t="shared" si="2"/>
        <v>0</v>
      </c>
      <c r="AG9" s="4">
        <f t="shared" si="2"/>
        <v>0</v>
      </c>
      <c r="AH9" s="4">
        <f t="shared" si="2"/>
        <v>0</v>
      </c>
      <c r="AI9" s="4">
        <f t="shared" si="2"/>
        <v>0</v>
      </c>
      <c r="AJ9" s="4">
        <f t="shared" si="2"/>
        <v>0</v>
      </c>
      <c r="AK9" s="4">
        <f t="shared" si="2"/>
        <v>0</v>
      </c>
      <c r="AL9" s="4">
        <f t="shared" si="2"/>
        <v>0</v>
      </c>
      <c r="AM9" s="4">
        <f t="shared" si="2"/>
        <v>0</v>
      </c>
      <c r="AN9" s="4">
        <f t="shared" si="2"/>
        <v>9972483847</v>
      </c>
      <c r="AO9" s="4">
        <f t="shared" si="2"/>
        <v>-515694066</v>
      </c>
      <c r="AP9" s="4">
        <f t="shared" si="2"/>
        <v>6460025611</v>
      </c>
      <c r="AQ9" s="4">
        <f t="shared" si="2"/>
        <v>11991878921</v>
      </c>
      <c r="AR9" s="4">
        <f t="shared" si="2"/>
        <v>2441885278</v>
      </c>
      <c r="AS9" s="4">
        <f t="shared" si="2"/>
        <v>-2815920597</v>
      </c>
      <c r="AT9" s="4">
        <f t="shared" si="2"/>
        <v>-5713944325</v>
      </c>
      <c r="AU9" s="4">
        <f t="shared" si="2"/>
        <v>5363296363</v>
      </c>
      <c r="AV9" s="4">
        <f t="shared" si="2"/>
        <v>23385512729</v>
      </c>
      <c r="AW9" s="4">
        <f t="shared" si="2"/>
        <v>4592444587</v>
      </c>
      <c r="AX9" s="4">
        <f t="shared" si="2"/>
        <v>4429538531</v>
      </c>
      <c r="AY9" s="4">
        <f t="shared" si="2"/>
        <v>128144611272</v>
      </c>
      <c r="AZ9" s="4">
        <v>16483105268</v>
      </c>
      <c r="BA9" s="4">
        <v>32306332485</v>
      </c>
      <c r="BB9" s="4">
        <v>21185923943</v>
      </c>
      <c r="BC9" s="4">
        <v>17129551066</v>
      </c>
      <c r="BD9" s="4">
        <v>23787733277</v>
      </c>
      <c r="BE9" s="4">
        <v>15180844835</v>
      </c>
      <c r="BF9" s="4">
        <v>13742767461</v>
      </c>
      <c r="BG9" s="4">
        <v>17721449183</v>
      </c>
      <c r="BH9" s="4">
        <v>2809810527</v>
      </c>
      <c r="BI9" s="4">
        <v>10770744743</v>
      </c>
      <c r="BJ9" s="4">
        <v>8296122547</v>
      </c>
      <c r="BK9" s="4">
        <v>31676554728</v>
      </c>
      <c r="BL9" s="4">
        <f>BL7-BL8</f>
        <v>11577706459.805557</v>
      </c>
      <c r="BM9" s="4">
        <f>BM7-BM8</f>
        <v>6905199089.8284912</v>
      </c>
      <c r="BN9" s="4">
        <v>9041487885.4083328</v>
      </c>
      <c r="BO9" s="4">
        <v>20132564871.830753</v>
      </c>
      <c r="BP9" s="4">
        <f>BP7-BP8</f>
        <v>25203170724.768799</v>
      </c>
      <c r="BQ9" s="4">
        <f t="shared" ref="BQ9:BW9" si="3">BQ7-BQ8</f>
        <v>0</v>
      </c>
      <c r="BR9" s="4">
        <f t="shared" si="3"/>
        <v>0</v>
      </c>
      <c r="BS9" s="4">
        <f t="shared" si="3"/>
        <v>0</v>
      </c>
      <c r="BT9" s="4">
        <f t="shared" si="3"/>
        <v>0</v>
      </c>
      <c r="BU9" s="4">
        <f t="shared" si="3"/>
        <v>0</v>
      </c>
      <c r="BV9" s="4">
        <f t="shared" si="3"/>
        <v>0</v>
      </c>
      <c r="BW9" s="4">
        <f t="shared" si="3"/>
        <v>0</v>
      </c>
    </row>
    <row r="10" spans="1:75">
      <c r="A10" s="97">
        <v>7</v>
      </c>
      <c r="B10" s="93" t="s">
        <v>359</v>
      </c>
      <c r="C10" s="97">
        <v>28</v>
      </c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>
        <v>0</v>
      </c>
      <c r="BA10" s="4">
        <v>0</v>
      </c>
      <c r="BB10" s="4">
        <v>0</v>
      </c>
      <c r="BC10" s="4">
        <v>0</v>
      </c>
      <c r="BD10" s="4">
        <v>0</v>
      </c>
      <c r="BE10" s="4">
        <v>0</v>
      </c>
      <c r="BF10" s="4">
        <v>0</v>
      </c>
      <c r="BG10" s="4">
        <v>0</v>
      </c>
      <c r="BH10" s="4">
        <v>0</v>
      </c>
      <c r="BI10" s="4">
        <v>0</v>
      </c>
      <c r="BJ10" s="4">
        <v>0</v>
      </c>
      <c r="BK10" s="4">
        <v>0</v>
      </c>
      <c r="BL10" s="4"/>
      <c r="BM10" s="4">
        <v>0</v>
      </c>
      <c r="BN10" s="4">
        <v>0</v>
      </c>
      <c r="BO10" s="4">
        <v>0</v>
      </c>
      <c r="BP10" s="4"/>
      <c r="BQ10" s="4"/>
      <c r="BR10" s="4"/>
      <c r="BS10" s="4"/>
      <c r="BT10" s="4"/>
      <c r="BU10" s="4"/>
      <c r="BV10" s="4"/>
      <c r="BW10" s="4"/>
    </row>
    <row r="11" spans="1:75">
      <c r="A11" s="55">
        <v>8</v>
      </c>
      <c r="B11" s="94" t="s">
        <v>360</v>
      </c>
      <c r="C11" s="55">
        <v>28</v>
      </c>
      <c r="D11" s="508"/>
      <c r="E11" s="508"/>
      <c r="F11" s="508"/>
      <c r="G11" s="508"/>
      <c r="H11" s="508"/>
      <c r="I11" s="508"/>
      <c r="J11" s="508"/>
      <c r="K11" s="508"/>
      <c r="L11" s="508"/>
      <c r="M11" s="508"/>
      <c r="N11" s="508"/>
      <c r="O11" s="508"/>
      <c r="P11" s="508"/>
      <c r="Q11" s="508"/>
      <c r="R11" s="508"/>
      <c r="S11" s="508"/>
      <c r="T11" s="508"/>
      <c r="U11" s="508"/>
      <c r="V11" s="508"/>
      <c r="W11" s="508"/>
      <c r="X11" s="508"/>
      <c r="Y11" s="508"/>
      <c r="Z11" s="508"/>
      <c r="AA11" s="508"/>
      <c r="AB11" s="508"/>
      <c r="AC11" s="508"/>
      <c r="AD11" s="508"/>
      <c r="AE11" s="508"/>
      <c r="AF11" s="508"/>
      <c r="AG11" s="508"/>
      <c r="AH11" s="508"/>
      <c r="AI11" s="508"/>
      <c r="AJ11" s="508"/>
      <c r="AK11" s="508"/>
      <c r="AL11" s="508"/>
      <c r="AM11" s="508"/>
      <c r="AN11" s="508">
        <v>712260969</v>
      </c>
      <c r="AO11" s="508">
        <v>1111471110</v>
      </c>
      <c r="AP11" s="508">
        <v>1004651784</v>
      </c>
      <c r="AQ11" s="508">
        <v>1746021208</v>
      </c>
      <c r="AR11" s="508">
        <v>1032867505</v>
      </c>
      <c r="AS11" s="508">
        <v>591086157</v>
      </c>
      <c r="AT11" s="508">
        <v>376652862</v>
      </c>
      <c r="AU11" s="508">
        <v>1253018630</v>
      </c>
      <c r="AV11" s="508">
        <v>1560156089</v>
      </c>
      <c r="AW11" s="508">
        <v>2831268643</v>
      </c>
      <c r="AX11" s="508">
        <v>886951972</v>
      </c>
      <c r="AY11" s="508">
        <v>2195155035</v>
      </c>
      <c r="AZ11" s="508">
        <v>830662240</v>
      </c>
      <c r="BA11" s="508">
        <v>1805467216</v>
      </c>
      <c r="BB11" s="508">
        <v>941747687</v>
      </c>
      <c r="BC11" s="508">
        <v>1368536357</v>
      </c>
      <c r="BD11" s="508">
        <v>2440495098</v>
      </c>
      <c r="BE11" s="508">
        <v>1651919997</v>
      </c>
      <c r="BF11" s="508">
        <v>1450067480</v>
      </c>
      <c r="BG11" s="508">
        <v>1506125345</v>
      </c>
      <c r="BH11" s="508">
        <v>1236220214</v>
      </c>
      <c r="BI11" s="508">
        <v>2769344197</v>
      </c>
      <c r="BJ11" s="508">
        <v>564107321</v>
      </c>
      <c r="BK11" s="508">
        <v>727547755</v>
      </c>
      <c r="BL11" s="508">
        <v>1119033075</v>
      </c>
      <c r="BM11" s="508">
        <v>334221183</v>
      </c>
      <c r="BN11" s="508">
        <v>895384046</v>
      </c>
      <c r="BO11" s="508">
        <v>2939826098</v>
      </c>
      <c r="BP11" s="508">
        <v>1281094644</v>
      </c>
      <c r="BQ11" s="508"/>
      <c r="BR11" s="508"/>
      <c r="BS11" s="508"/>
      <c r="BT11" s="508"/>
      <c r="BU11" s="508"/>
      <c r="BV11" s="508"/>
      <c r="BW11" s="508"/>
    </row>
    <row r="12" spans="1:75">
      <c r="A12" s="59">
        <v>9</v>
      </c>
      <c r="B12" s="93" t="s">
        <v>361</v>
      </c>
      <c r="C12" s="59">
        <v>28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>
        <v>801399604</v>
      </c>
      <c r="AO12" s="3">
        <v>695500231</v>
      </c>
      <c r="AP12" s="3">
        <v>663502461</v>
      </c>
      <c r="AQ12" s="3">
        <v>1555671370</v>
      </c>
      <c r="AR12" s="3">
        <v>936492932</v>
      </c>
      <c r="AS12" s="3">
        <v>1103852896</v>
      </c>
      <c r="AT12" s="3">
        <v>1608708972</v>
      </c>
      <c r="AU12" s="3">
        <v>1489581015</v>
      </c>
      <c r="AV12" s="3">
        <v>1372261307</v>
      </c>
      <c r="AW12" s="3">
        <v>636041020</v>
      </c>
      <c r="AX12" s="3">
        <v>1257673070</v>
      </c>
      <c r="AY12" s="3">
        <v>993026233</v>
      </c>
      <c r="AZ12" s="3">
        <v>1529745602</v>
      </c>
      <c r="BA12" s="3">
        <v>1349010483</v>
      </c>
      <c r="BB12" s="3">
        <v>902730488</v>
      </c>
      <c r="BC12" s="3">
        <v>1450570894</v>
      </c>
      <c r="BD12" s="3">
        <v>858169737</v>
      </c>
      <c r="BE12" s="3">
        <v>1483876982</v>
      </c>
      <c r="BF12" s="3">
        <v>1318435167</v>
      </c>
      <c r="BG12" s="3">
        <v>1366041150</v>
      </c>
      <c r="BH12" s="3">
        <v>1603769193</v>
      </c>
      <c r="BI12" s="3">
        <v>2900732378</v>
      </c>
      <c r="BJ12" s="3">
        <v>1301741764</v>
      </c>
      <c r="BK12" s="3">
        <v>2479436989</v>
      </c>
      <c r="BL12" s="3">
        <v>1532817392</v>
      </c>
      <c r="BM12" s="3">
        <v>1578519037</v>
      </c>
      <c r="BN12" s="3">
        <v>1510605035</v>
      </c>
      <c r="BO12" s="3">
        <v>1999303711</v>
      </c>
      <c r="BP12" s="3">
        <v>1209081371</v>
      </c>
      <c r="BQ12" s="3"/>
      <c r="BR12" s="3"/>
      <c r="BS12" s="3"/>
      <c r="BT12" s="3"/>
      <c r="BU12" s="3"/>
      <c r="BV12" s="3"/>
      <c r="BW12" s="3"/>
    </row>
    <row r="13" spans="1:75">
      <c r="A13" s="55">
        <v>10</v>
      </c>
      <c r="B13" s="98" t="s">
        <v>362</v>
      </c>
      <c r="C13" s="55">
        <v>28</v>
      </c>
      <c r="D13" s="508"/>
      <c r="E13" s="508"/>
      <c r="F13" s="508"/>
      <c r="G13" s="508"/>
      <c r="H13" s="508"/>
      <c r="I13" s="508"/>
      <c r="J13" s="508"/>
      <c r="K13" s="508"/>
      <c r="L13" s="508"/>
      <c r="M13" s="508"/>
      <c r="N13" s="508"/>
      <c r="O13" s="508"/>
      <c r="P13" s="508"/>
      <c r="Q13" s="508"/>
      <c r="R13" s="508"/>
      <c r="S13" s="508"/>
      <c r="T13" s="508"/>
      <c r="U13" s="508"/>
      <c r="V13" s="508"/>
      <c r="W13" s="508"/>
      <c r="X13" s="508"/>
      <c r="Y13" s="508"/>
      <c r="Z13" s="508"/>
      <c r="AA13" s="508"/>
      <c r="AB13" s="508"/>
      <c r="AC13" s="508"/>
      <c r="AD13" s="508"/>
      <c r="AE13" s="508"/>
      <c r="AF13" s="508"/>
      <c r="AG13" s="508"/>
      <c r="AH13" s="508"/>
      <c r="AI13" s="508"/>
      <c r="AJ13" s="508"/>
      <c r="AK13" s="508"/>
      <c r="AL13" s="508"/>
      <c r="AM13" s="508"/>
      <c r="AN13" s="508">
        <v>460461775</v>
      </c>
      <c r="AO13" s="508">
        <v>563909516</v>
      </c>
      <c r="AP13" s="508">
        <v>587315920</v>
      </c>
      <c r="AQ13" s="508">
        <v>905708142</v>
      </c>
      <c r="AR13" s="508">
        <v>974310029</v>
      </c>
      <c r="AS13" s="508">
        <v>1115056080</v>
      </c>
      <c r="AT13" s="508">
        <v>1160823006</v>
      </c>
      <c r="AU13" s="508">
        <v>939585045</v>
      </c>
      <c r="AV13" s="508">
        <v>859444105</v>
      </c>
      <c r="AW13" s="508">
        <v>840165515</v>
      </c>
      <c r="AX13" s="508">
        <v>889159081</v>
      </c>
      <c r="AY13" s="508">
        <v>1032562923</v>
      </c>
      <c r="AZ13" s="508">
        <v>1114824276</v>
      </c>
      <c r="BA13" s="508">
        <v>928379281</v>
      </c>
      <c r="BB13" s="508">
        <v>673966789</v>
      </c>
      <c r="BC13" s="508">
        <v>888393452</v>
      </c>
      <c r="BD13" s="508">
        <v>1186588729</v>
      </c>
      <c r="BE13" s="508">
        <v>1448899822</v>
      </c>
      <c r="BF13" s="508">
        <v>1245210526</v>
      </c>
      <c r="BG13" s="508">
        <v>1303560910</v>
      </c>
      <c r="BH13" s="508">
        <v>1595764355</v>
      </c>
      <c r="BI13" s="508">
        <v>1368802426</v>
      </c>
      <c r="BJ13" s="508">
        <v>1256132292</v>
      </c>
      <c r="BK13" s="508">
        <v>1256103396</v>
      </c>
      <c r="BL13" s="508">
        <v>1240115065</v>
      </c>
      <c r="BM13" s="508">
        <v>1156279418</v>
      </c>
      <c r="BN13" s="508">
        <v>959718564</v>
      </c>
      <c r="BO13" s="508">
        <v>1062084475</v>
      </c>
      <c r="BP13" s="508">
        <v>838836791</v>
      </c>
      <c r="BQ13" s="508"/>
      <c r="BR13" s="508"/>
      <c r="BS13" s="508"/>
      <c r="BT13" s="508"/>
      <c r="BU13" s="508"/>
      <c r="BV13" s="508"/>
      <c r="BW13" s="508"/>
    </row>
    <row r="14" spans="1:75">
      <c r="A14" s="55">
        <v>11</v>
      </c>
      <c r="B14" s="94" t="s">
        <v>363</v>
      </c>
      <c r="C14" s="55">
        <v>28</v>
      </c>
      <c r="D14" s="508"/>
      <c r="E14" s="508"/>
      <c r="F14" s="508"/>
      <c r="G14" s="508"/>
      <c r="H14" s="508"/>
      <c r="I14" s="508"/>
      <c r="J14" s="508"/>
      <c r="K14" s="508"/>
      <c r="L14" s="508"/>
      <c r="M14" s="508"/>
      <c r="N14" s="508"/>
      <c r="O14" s="508"/>
      <c r="P14" s="508"/>
      <c r="Q14" s="508"/>
      <c r="R14" s="508"/>
      <c r="S14" s="508"/>
      <c r="T14" s="508"/>
      <c r="U14" s="508"/>
      <c r="V14" s="508"/>
      <c r="W14" s="508"/>
      <c r="X14" s="508"/>
      <c r="Y14" s="508"/>
      <c r="Z14" s="508"/>
      <c r="AA14" s="508"/>
      <c r="AB14" s="508"/>
      <c r="AC14" s="508"/>
      <c r="AD14" s="508"/>
      <c r="AE14" s="508"/>
      <c r="AF14" s="508"/>
      <c r="AG14" s="508"/>
      <c r="AH14" s="508"/>
      <c r="AI14" s="508"/>
      <c r="AJ14" s="508"/>
      <c r="AK14" s="508"/>
      <c r="AL14" s="508"/>
      <c r="AM14" s="508"/>
      <c r="AN14" s="508">
        <v>4849994610</v>
      </c>
      <c r="AO14" s="508">
        <v>1560472559</v>
      </c>
      <c r="AP14" s="508">
        <v>4219375143</v>
      </c>
      <c r="AQ14" s="508">
        <v>4926459549</v>
      </c>
      <c r="AR14" s="508">
        <v>2125110954</v>
      </c>
      <c r="AS14" s="508">
        <v>2824966874</v>
      </c>
      <c r="AT14" s="508">
        <v>2596964337</v>
      </c>
      <c r="AU14" s="508">
        <v>8480107205</v>
      </c>
      <c r="AV14" s="508">
        <v>7368729523</v>
      </c>
      <c r="AW14" s="508">
        <v>4936551194</v>
      </c>
      <c r="AX14" s="508">
        <v>2249627546</v>
      </c>
      <c r="AY14" s="508">
        <v>10540748080</v>
      </c>
      <c r="AZ14" s="508">
        <v>4181224849</v>
      </c>
      <c r="BA14" s="508">
        <v>6634982258</v>
      </c>
      <c r="BB14" s="508">
        <v>5629444776</v>
      </c>
      <c r="BC14" s="508">
        <v>4622826734</v>
      </c>
      <c r="BD14" s="508">
        <v>5242336575</v>
      </c>
      <c r="BE14" s="508">
        <v>5451129528</v>
      </c>
      <c r="BF14" s="508">
        <v>4248972349</v>
      </c>
      <c r="BG14" s="508">
        <v>5750995751</v>
      </c>
      <c r="BH14" s="508">
        <v>3513998286</v>
      </c>
      <c r="BI14" s="508">
        <v>7273403934</v>
      </c>
      <c r="BJ14" s="508">
        <v>3829549635</v>
      </c>
      <c r="BK14" s="508">
        <v>5362380917</v>
      </c>
      <c r="BL14" s="508">
        <v>4308598004</v>
      </c>
      <c r="BM14" s="508">
        <v>3594645336</v>
      </c>
      <c r="BN14" s="508">
        <v>7012095788</v>
      </c>
      <c r="BO14" s="508">
        <v>6469509126</v>
      </c>
      <c r="BP14" s="508">
        <v>6626905090</v>
      </c>
      <c r="BQ14" s="508"/>
      <c r="BR14" s="508"/>
      <c r="BS14" s="508"/>
      <c r="BT14" s="508"/>
      <c r="BU14" s="508"/>
      <c r="BV14" s="508"/>
      <c r="BW14" s="508"/>
    </row>
    <row r="15" spans="1:75">
      <c r="A15" s="55">
        <v>12</v>
      </c>
      <c r="B15" s="94" t="s">
        <v>364</v>
      </c>
      <c r="C15" s="55">
        <v>28</v>
      </c>
      <c r="D15" s="508"/>
      <c r="E15" s="508"/>
      <c r="F15" s="508"/>
      <c r="G15" s="508"/>
      <c r="H15" s="508"/>
      <c r="I15" s="508"/>
      <c r="J15" s="508"/>
      <c r="K15" s="508"/>
      <c r="L15" s="508"/>
      <c r="M15" s="508"/>
      <c r="N15" s="508"/>
      <c r="O15" s="508"/>
      <c r="P15" s="508"/>
      <c r="Q15" s="508"/>
      <c r="R15" s="508"/>
      <c r="S15" s="508"/>
      <c r="T15" s="508"/>
      <c r="U15" s="508"/>
      <c r="V15" s="508"/>
      <c r="W15" s="508"/>
      <c r="X15" s="508"/>
      <c r="Y15" s="508"/>
      <c r="Z15" s="508"/>
      <c r="AA15" s="508"/>
      <c r="AB15" s="508"/>
      <c r="AC15" s="508"/>
      <c r="AD15" s="508"/>
      <c r="AE15" s="508"/>
      <c r="AF15" s="508"/>
      <c r="AG15" s="508"/>
      <c r="AH15" s="508"/>
      <c r="AI15" s="508"/>
      <c r="AJ15" s="508"/>
      <c r="AK15" s="508"/>
      <c r="AL15" s="508"/>
      <c r="AM15" s="508"/>
      <c r="AN15" s="508">
        <v>5698695249</v>
      </c>
      <c r="AO15" s="508">
        <v>5090845577</v>
      </c>
      <c r="AP15" s="508">
        <v>5285019459</v>
      </c>
      <c r="AQ15" s="508">
        <v>5584474639</v>
      </c>
      <c r="AR15" s="508">
        <v>6069340865</v>
      </c>
      <c r="AS15" s="508">
        <v>5881960019</v>
      </c>
      <c r="AT15" s="508">
        <v>5698093117</v>
      </c>
      <c r="AU15" s="508">
        <v>6840474838</v>
      </c>
      <c r="AV15" s="508">
        <v>8084946891</v>
      </c>
      <c r="AW15" s="508">
        <v>8025871294</v>
      </c>
      <c r="AX15" s="508">
        <v>9126335400</v>
      </c>
      <c r="AY15" s="508">
        <v>7087963087</v>
      </c>
      <c r="AZ15" s="508">
        <v>8548199037</v>
      </c>
      <c r="BA15" s="508">
        <v>8928537962</v>
      </c>
      <c r="BB15" s="508">
        <v>8618282018</v>
      </c>
      <c r="BC15" s="508">
        <v>8518246563</v>
      </c>
      <c r="BD15" s="508">
        <v>9277438311</v>
      </c>
      <c r="BE15" s="508">
        <v>9026767632</v>
      </c>
      <c r="BF15" s="508">
        <v>8998978187</v>
      </c>
      <c r="BG15" s="508">
        <v>9320823983</v>
      </c>
      <c r="BH15" s="508">
        <v>10936858648</v>
      </c>
      <c r="BI15" s="508">
        <v>5273319876</v>
      </c>
      <c r="BJ15" s="508">
        <v>11469860627</v>
      </c>
      <c r="BK15" s="508">
        <v>17451279792</v>
      </c>
      <c r="BL15" s="508">
        <v>9741945070</v>
      </c>
      <c r="BM15" s="508">
        <v>9621802832</v>
      </c>
      <c r="BN15" s="508">
        <v>8391794513</v>
      </c>
      <c r="BO15" s="508">
        <v>9291402760</v>
      </c>
      <c r="BP15" s="508">
        <v>9149183956</v>
      </c>
      <c r="BQ15" s="508"/>
      <c r="BR15" s="508"/>
      <c r="BS15" s="508"/>
      <c r="BT15" s="508"/>
      <c r="BU15" s="508"/>
      <c r="BV15" s="508"/>
      <c r="BW15" s="508"/>
    </row>
    <row r="16" spans="1:75">
      <c r="A16" s="59">
        <v>13</v>
      </c>
      <c r="B16" s="93" t="s">
        <v>365</v>
      </c>
      <c r="C16" s="59">
        <v>28</v>
      </c>
      <c r="D16" s="3">
        <f>SUM(D9:D11)-D12-D14-D15</f>
        <v>0</v>
      </c>
      <c r="E16" s="3">
        <f t="shared" ref="E16:BP16" si="4">SUM(E9:E11)-E12-E14-E15</f>
        <v>0</v>
      </c>
      <c r="F16" s="3">
        <f t="shared" si="4"/>
        <v>0</v>
      </c>
      <c r="G16" s="3">
        <f t="shared" si="4"/>
        <v>0</v>
      </c>
      <c r="H16" s="3">
        <f t="shared" si="4"/>
        <v>0</v>
      </c>
      <c r="I16" s="3">
        <f t="shared" si="4"/>
        <v>0</v>
      </c>
      <c r="J16" s="3">
        <f t="shared" si="4"/>
        <v>0</v>
      </c>
      <c r="K16" s="3">
        <f t="shared" si="4"/>
        <v>0</v>
      </c>
      <c r="L16" s="3">
        <f t="shared" si="4"/>
        <v>0</v>
      </c>
      <c r="M16" s="3">
        <f t="shared" si="4"/>
        <v>0</v>
      </c>
      <c r="N16" s="3">
        <f t="shared" si="4"/>
        <v>0</v>
      </c>
      <c r="O16" s="3">
        <f t="shared" si="4"/>
        <v>0</v>
      </c>
      <c r="P16" s="3">
        <f t="shared" si="4"/>
        <v>0</v>
      </c>
      <c r="Q16" s="3">
        <f t="shared" si="4"/>
        <v>0</v>
      </c>
      <c r="R16" s="3">
        <f t="shared" si="4"/>
        <v>0</v>
      </c>
      <c r="S16" s="3">
        <f t="shared" si="4"/>
        <v>0</v>
      </c>
      <c r="T16" s="3">
        <f t="shared" si="4"/>
        <v>0</v>
      </c>
      <c r="U16" s="3">
        <f t="shared" si="4"/>
        <v>0</v>
      </c>
      <c r="V16" s="3">
        <f t="shared" si="4"/>
        <v>0</v>
      </c>
      <c r="W16" s="3">
        <f t="shared" si="4"/>
        <v>0</v>
      </c>
      <c r="X16" s="3">
        <f t="shared" si="4"/>
        <v>0</v>
      </c>
      <c r="Y16" s="3">
        <f t="shared" si="4"/>
        <v>0</v>
      </c>
      <c r="Z16" s="3">
        <f t="shared" si="4"/>
        <v>0</v>
      </c>
      <c r="AA16" s="3">
        <f t="shared" si="4"/>
        <v>0</v>
      </c>
      <c r="AB16" s="3">
        <f t="shared" si="4"/>
        <v>0</v>
      </c>
      <c r="AC16" s="3">
        <f t="shared" si="4"/>
        <v>0</v>
      </c>
      <c r="AD16" s="3">
        <f t="shared" si="4"/>
        <v>0</v>
      </c>
      <c r="AE16" s="3">
        <f t="shared" si="4"/>
        <v>0</v>
      </c>
      <c r="AF16" s="3">
        <f t="shared" si="4"/>
        <v>0</v>
      </c>
      <c r="AG16" s="3">
        <f t="shared" si="4"/>
        <v>0</v>
      </c>
      <c r="AH16" s="3">
        <f t="shared" si="4"/>
        <v>0</v>
      </c>
      <c r="AI16" s="3">
        <f t="shared" si="4"/>
        <v>0</v>
      </c>
      <c r="AJ16" s="3">
        <f t="shared" si="4"/>
        <v>0</v>
      </c>
      <c r="AK16" s="3">
        <f t="shared" si="4"/>
        <v>0</v>
      </c>
      <c r="AL16" s="3">
        <f t="shared" si="4"/>
        <v>0</v>
      </c>
      <c r="AM16" s="3">
        <f t="shared" si="4"/>
        <v>0</v>
      </c>
      <c r="AN16" s="3">
        <f t="shared" si="4"/>
        <v>-665344647</v>
      </c>
      <c r="AO16" s="3">
        <f t="shared" si="4"/>
        <v>-6751041323</v>
      </c>
      <c r="AP16" s="3">
        <f t="shared" si="4"/>
        <v>-2703219668</v>
      </c>
      <c r="AQ16" s="3">
        <f t="shared" si="4"/>
        <v>1671294571</v>
      </c>
      <c r="AR16" s="3">
        <f t="shared" si="4"/>
        <v>-5656191968</v>
      </c>
      <c r="AS16" s="3">
        <f t="shared" si="4"/>
        <v>-12035614229</v>
      </c>
      <c r="AT16" s="3">
        <f t="shared" si="4"/>
        <v>-15241057889</v>
      </c>
      <c r="AU16" s="3">
        <f t="shared" si="4"/>
        <v>-10193848065</v>
      </c>
      <c r="AV16" s="3">
        <f t="shared" si="4"/>
        <v>8119731097</v>
      </c>
      <c r="AW16" s="3">
        <f t="shared" si="4"/>
        <v>-6174750278</v>
      </c>
      <c r="AX16" s="3">
        <f t="shared" si="4"/>
        <v>-7317145513</v>
      </c>
      <c r="AY16" s="3">
        <f t="shared" si="4"/>
        <v>111718028907</v>
      </c>
      <c r="AZ16" s="3">
        <v>3054598020</v>
      </c>
      <c r="BA16" s="3">
        <v>17199268998</v>
      </c>
      <c r="BB16" s="3">
        <v>6977214348</v>
      </c>
      <c r="BC16" s="3">
        <v>3906443232</v>
      </c>
      <c r="BD16" s="3">
        <v>10850283752</v>
      </c>
      <c r="BE16" s="3">
        <v>870990690</v>
      </c>
      <c r="BF16" s="3">
        <v>626449238</v>
      </c>
      <c r="BG16" s="3">
        <v>2789713644</v>
      </c>
      <c r="BH16" s="3">
        <v>-12008595386</v>
      </c>
      <c r="BI16" s="3">
        <v>-1907367248</v>
      </c>
      <c r="BJ16" s="3">
        <v>-7740922158</v>
      </c>
      <c r="BK16" s="3">
        <v>7111004785</v>
      </c>
      <c r="BL16" s="531">
        <f>BL9+BL10+BL11-BL12-BL14-BL15</f>
        <v>-2886620931.1944427</v>
      </c>
      <c r="BM16" s="531">
        <f>BM9+BM10+BM11-BM12-BM14-BM15</f>
        <v>-7555546932.1715088</v>
      </c>
      <c r="BN16" s="4">
        <v>-6977623404.5916672</v>
      </c>
      <c r="BO16" s="4">
        <v>5312175372.8307533</v>
      </c>
      <c r="BP16" s="4">
        <f t="shared" si="4"/>
        <v>9499094951.7687988</v>
      </c>
      <c r="BQ16" s="4">
        <f t="shared" ref="BQ16:BW16" si="5">SUM(BQ9:BQ11)-BQ12-BQ14-BQ15</f>
        <v>0</v>
      </c>
      <c r="BR16" s="4">
        <f t="shared" si="5"/>
        <v>0</v>
      </c>
      <c r="BS16" s="4">
        <f t="shared" si="5"/>
        <v>0</v>
      </c>
      <c r="BT16" s="4">
        <f t="shared" si="5"/>
        <v>0</v>
      </c>
      <c r="BU16" s="4">
        <f t="shared" si="5"/>
        <v>0</v>
      </c>
      <c r="BV16" s="4">
        <f t="shared" si="5"/>
        <v>0</v>
      </c>
      <c r="BW16" s="4">
        <f t="shared" si="5"/>
        <v>0</v>
      </c>
    </row>
    <row r="17" spans="1:75">
      <c r="A17" s="55">
        <v>14</v>
      </c>
      <c r="B17" s="94" t="s">
        <v>366</v>
      </c>
      <c r="C17" s="55">
        <v>28</v>
      </c>
      <c r="D17" s="508"/>
      <c r="E17" s="508"/>
      <c r="F17" s="508"/>
      <c r="G17" s="508"/>
      <c r="H17" s="508"/>
      <c r="I17" s="508"/>
      <c r="J17" s="508"/>
      <c r="K17" s="508"/>
      <c r="L17" s="508"/>
      <c r="M17" s="508"/>
      <c r="N17" s="508"/>
      <c r="O17" s="508"/>
      <c r="P17" s="508"/>
      <c r="Q17" s="508"/>
      <c r="R17" s="508"/>
      <c r="S17" s="508"/>
      <c r="T17" s="508"/>
      <c r="U17" s="508"/>
      <c r="V17" s="508"/>
      <c r="W17" s="508"/>
      <c r="X17" s="508"/>
      <c r="Y17" s="508"/>
      <c r="Z17" s="508"/>
      <c r="AA17" s="508"/>
      <c r="AB17" s="508"/>
      <c r="AC17" s="508"/>
      <c r="AD17" s="508"/>
      <c r="AE17" s="508"/>
      <c r="AF17" s="508"/>
      <c r="AG17" s="508"/>
      <c r="AH17" s="508"/>
      <c r="AI17" s="508"/>
      <c r="AJ17" s="508"/>
      <c r="AK17" s="508"/>
      <c r="AL17" s="508"/>
      <c r="AM17" s="508"/>
      <c r="AN17" s="508">
        <v>1945</v>
      </c>
      <c r="AO17" s="508">
        <v>1109349</v>
      </c>
      <c r="AP17" s="508">
        <v>0</v>
      </c>
      <c r="AQ17" s="508">
        <v>81700000</v>
      </c>
      <c r="AR17" s="508">
        <v>4696127</v>
      </c>
      <c r="AS17" s="508">
        <v>64937878</v>
      </c>
      <c r="AT17" s="508">
        <v>54384750</v>
      </c>
      <c r="AU17" s="508">
        <v>184242778</v>
      </c>
      <c r="AV17" s="508">
        <v>5869054</v>
      </c>
      <c r="AW17" s="508">
        <v>3145774</v>
      </c>
      <c r="AX17" s="508">
        <v>1405742798</v>
      </c>
      <c r="AY17" s="508">
        <v>7237102</v>
      </c>
      <c r="AZ17" s="508">
        <v>105489733</v>
      </c>
      <c r="BA17" s="508">
        <v>7492780</v>
      </c>
      <c r="BB17" s="508">
        <v>22177722</v>
      </c>
      <c r="BC17" s="508">
        <v>54899780</v>
      </c>
      <c r="BD17" s="508">
        <v>136977736</v>
      </c>
      <c r="BE17" s="508">
        <v>60909877</v>
      </c>
      <c r="BF17" s="508">
        <v>45395718</v>
      </c>
      <c r="BG17" s="508">
        <v>516819765</v>
      </c>
      <c r="BH17" s="508">
        <v>15045562</v>
      </c>
      <c r="BI17" s="508">
        <v>25464983</v>
      </c>
      <c r="BJ17" s="508">
        <v>8392356</v>
      </c>
      <c r="BK17" s="508">
        <v>173856388</v>
      </c>
      <c r="BL17" s="508">
        <v>62317597</v>
      </c>
      <c r="BM17" s="508">
        <v>20729933</v>
      </c>
      <c r="BN17" s="508">
        <v>83481212</v>
      </c>
      <c r="BO17" s="508">
        <v>164659578</v>
      </c>
      <c r="BP17" s="508">
        <v>182616632</v>
      </c>
      <c r="BQ17" s="508"/>
      <c r="BR17" s="508"/>
      <c r="BS17" s="508"/>
      <c r="BT17" s="508"/>
      <c r="BU17" s="508"/>
      <c r="BV17" s="508"/>
      <c r="BW17" s="508"/>
    </row>
    <row r="18" spans="1:75">
      <c r="A18" s="55">
        <v>15</v>
      </c>
      <c r="B18" s="94" t="s">
        <v>367</v>
      </c>
      <c r="C18" s="55">
        <v>28</v>
      </c>
      <c r="D18" s="508"/>
      <c r="E18" s="508"/>
      <c r="F18" s="508"/>
      <c r="G18" s="508"/>
      <c r="H18" s="508"/>
      <c r="I18" s="508"/>
      <c r="J18" s="508"/>
      <c r="K18" s="508"/>
      <c r="L18" s="508"/>
      <c r="M18" s="508"/>
      <c r="N18" s="508"/>
      <c r="O18" s="508"/>
      <c r="P18" s="508"/>
      <c r="Q18" s="508"/>
      <c r="R18" s="508"/>
      <c r="S18" s="508"/>
      <c r="T18" s="508"/>
      <c r="U18" s="508"/>
      <c r="V18" s="508"/>
      <c r="W18" s="508"/>
      <c r="X18" s="508"/>
      <c r="Y18" s="508"/>
      <c r="Z18" s="508"/>
      <c r="AA18" s="508"/>
      <c r="AB18" s="508"/>
      <c r="AC18" s="508"/>
      <c r="AD18" s="508"/>
      <c r="AE18" s="508"/>
      <c r="AF18" s="508"/>
      <c r="AG18" s="508"/>
      <c r="AH18" s="508"/>
      <c r="AI18" s="508"/>
      <c r="AJ18" s="508"/>
      <c r="AK18" s="508"/>
      <c r="AL18" s="508"/>
      <c r="AM18" s="508"/>
      <c r="AN18" s="508">
        <v>54643068</v>
      </c>
      <c r="AO18" s="508">
        <v>9000870</v>
      </c>
      <c r="AP18" s="508">
        <v>40101620</v>
      </c>
      <c r="AQ18" s="508">
        <v>84654154</v>
      </c>
      <c r="AR18" s="508">
        <v>40312330</v>
      </c>
      <c r="AS18" s="508">
        <v>171972294</v>
      </c>
      <c r="AT18" s="508">
        <v>7603195</v>
      </c>
      <c r="AU18" s="508">
        <v>4413241</v>
      </c>
      <c r="AV18" s="508">
        <v>7331553</v>
      </c>
      <c r="AW18" s="508">
        <v>177107310</v>
      </c>
      <c r="AX18" s="508">
        <v>140746957</v>
      </c>
      <c r="AY18" s="508">
        <v>8816704270</v>
      </c>
      <c r="AZ18" s="508">
        <v>60241342</v>
      </c>
      <c r="BA18" s="508">
        <v>133833312</v>
      </c>
      <c r="BB18" s="508">
        <v>2500000</v>
      </c>
      <c r="BC18" s="508">
        <v>24808640</v>
      </c>
      <c r="BD18" s="508">
        <v>6500600</v>
      </c>
      <c r="BE18" s="508">
        <v>57323484</v>
      </c>
      <c r="BF18" s="508">
        <v>259624976</v>
      </c>
      <c r="BG18" s="508">
        <v>553180625</v>
      </c>
      <c r="BH18" s="508">
        <v>543708002</v>
      </c>
      <c r="BI18" s="508">
        <v>3516569246</v>
      </c>
      <c r="BJ18" s="508">
        <v>1108557251</v>
      </c>
      <c r="BK18" s="508">
        <v>1609092429</v>
      </c>
      <c r="BL18" s="508">
        <v>243870060</v>
      </c>
      <c r="BM18" s="508">
        <v>199853182</v>
      </c>
      <c r="BN18" s="508">
        <v>38712958</v>
      </c>
      <c r="BO18" s="508">
        <v>574336056</v>
      </c>
      <c r="BP18" s="508">
        <v>146865976</v>
      </c>
      <c r="BQ18" s="508"/>
      <c r="BR18" s="508"/>
      <c r="BS18" s="508"/>
      <c r="BT18" s="508"/>
      <c r="BU18" s="508"/>
      <c r="BV18" s="508"/>
      <c r="BW18" s="508"/>
    </row>
    <row r="19" spans="1:75">
      <c r="A19" s="59">
        <v>16</v>
      </c>
      <c r="B19" s="93" t="s">
        <v>368</v>
      </c>
      <c r="C19" s="59">
        <v>28</v>
      </c>
      <c r="D19" s="3">
        <f>D17-D18</f>
        <v>0</v>
      </c>
      <c r="E19" s="3">
        <f t="shared" ref="E19:BP19" si="6">E17-E18</f>
        <v>0</v>
      </c>
      <c r="F19" s="3">
        <f t="shared" si="6"/>
        <v>0</v>
      </c>
      <c r="G19" s="3">
        <f t="shared" si="6"/>
        <v>0</v>
      </c>
      <c r="H19" s="3">
        <f t="shared" si="6"/>
        <v>0</v>
      </c>
      <c r="I19" s="3">
        <f t="shared" si="6"/>
        <v>0</v>
      </c>
      <c r="J19" s="3">
        <f t="shared" si="6"/>
        <v>0</v>
      </c>
      <c r="K19" s="3">
        <f t="shared" si="6"/>
        <v>0</v>
      </c>
      <c r="L19" s="3">
        <f t="shared" si="6"/>
        <v>0</v>
      </c>
      <c r="M19" s="3">
        <f t="shared" si="6"/>
        <v>0</v>
      </c>
      <c r="N19" s="3">
        <f t="shared" si="6"/>
        <v>0</v>
      </c>
      <c r="O19" s="3">
        <f t="shared" si="6"/>
        <v>0</v>
      </c>
      <c r="P19" s="3">
        <f t="shared" si="6"/>
        <v>0</v>
      </c>
      <c r="Q19" s="3">
        <f t="shared" si="6"/>
        <v>0</v>
      </c>
      <c r="R19" s="3">
        <f t="shared" si="6"/>
        <v>0</v>
      </c>
      <c r="S19" s="3">
        <f t="shared" si="6"/>
        <v>0</v>
      </c>
      <c r="T19" s="3">
        <f t="shared" si="6"/>
        <v>0</v>
      </c>
      <c r="U19" s="3">
        <f t="shared" si="6"/>
        <v>0</v>
      </c>
      <c r="V19" s="3">
        <f t="shared" si="6"/>
        <v>0</v>
      </c>
      <c r="W19" s="3">
        <f t="shared" si="6"/>
        <v>0</v>
      </c>
      <c r="X19" s="3">
        <f t="shared" si="6"/>
        <v>0</v>
      </c>
      <c r="Y19" s="3">
        <f t="shared" si="6"/>
        <v>0</v>
      </c>
      <c r="Z19" s="3">
        <f t="shared" si="6"/>
        <v>0</v>
      </c>
      <c r="AA19" s="3">
        <f t="shared" si="6"/>
        <v>0</v>
      </c>
      <c r="AB19" s="3">
        <f t="shared" si="6"/>
        <v>0</v>
      </c>
      <c r="AC19" s="3">
        <f t="shared" si="6"/>
        <v>0</v>
      </c>
      <c r="AD19" s="3">
        <f t="shared" si="6"/>
        <v>0</v>
      </c>
      <c r="AE19" s="3">
        <f t="shared" si="6"/>
        <v>0</v>
      </c>
      <c r="AF19" s="3">
        <f t="shared" si="6"/>
        <v>0</v>
      </c>
      <c r="AG19" s="3">
        <f t="shared" si="6"/>
        <v>0</v>
      </c>
      <c r="AH19" s="3">
        <f t="shared" si="6"/>
        <v>0</v>
      </c>
      <c r="AI19" s="3">
        <f t="shared" si="6"/>
        <v>0</v>
      </c>
      <c r="AJ19" s="3">
        <f t="shared" si="6"/>
        <v>0</v>
      </c>
      <c r="AK19" s="3">
        <f t="shared" si="6"/>
        <v>0</v>
      </c>
      <c r="AL19" s="3">
        <f t="shared" si="6"/>
        <v>0</v>
      </c>
      <c r="AM19" s="3">
        <f t="shared" si="6"/>
        <v>0</v>
      </c>
      <c r="AN19" s="3">
        <f t="shared" si="6"/>
        <v>-54641123</v>
      </c>
      <c r="AO19" s="3">
        <f t="shared" si="6"/>
        <v>-7891521</v>
      </c>
      <c r="AP19" s="3">
        <f t="shared" si="6"/>
        <v>-40101620</v>
      </c>
      <c r="AQ19" s="3">
        <f t="shared" si="6"/>
        <v>-2954154</v>
      </c>
      <c r="AR19" s="3">
        <f t="shared" si="6"/>
        <v>-35616203</v>
      </c>
      <c r="AS19" s="3">
        <f t="shared" si="6"/>
        <v>-107034416</v>
      </c>
      <c r="AT19" s="3">
        <f t="shared" si="6"/>
        <v>46781555</v>
      </c>
      <c r="AU19" s="3">
        <f t="shared" si="6"/>
        <v>179829537</v>
      </c>
      <c r="AV19" s="3">
        <f t="shared" si="6"/>
        <v>-1462499</v>
      </c>
      <c r="AW19" s="3">
        <f t="shared" si="6"/>
        <v>-173961536</v>
      </c>
      <c r="AX19" s="3">
        <f t="shared" si="6"/>
        <v>1264995841</v>
      </c>
      <c r="AY19" s="3">
        <f t="shared" si="6"/>
        <v>-8809467168</v>
      </c>
      <c r="AZ19" s="3">
        <v>45248391</v>
      </c>
      <c r="BA19" s="3">
        <v>-126340532</v>
      </c>
      <c r="BB19" s="3">
        <v>19677722</v>
      </c>
      <c r="BC19" s="3">
        <v>30091140</v>
      </c>
      <c r="BD19" s="3">
        <v>130477136</v>
      </c>
      <c r="BE19" s="3">
        <v>3586393</v>
      </c>
      <c r="BF19" s="3">
        <v>-214229258</v>
      </c>
      <c r="BG19" s="3">
        <v>-36360860</v>
      </c>
      <c r="BH19" s="3">
        <v>-528662440</v>
      </c>
      <c r="BI19" s="3">
        <v>-3491104263</v>
      </c>
      <c r="BJ19" s="3">
        <v>-1100164895</v>
      </c>
      <c r="BK19" s="3">
        <v>-1435236041</v>
      </c>
      <c r="BL19" s="3">
        <f t="shared" si="6"/>
        <v>-181552463</v>
      </c>
      <c r="BM19" s="3">
        <f>BM17-BM18</f>
        <v>-179123249</v>
      </c>
      <c r="BN19" s="4">
        <v>44768254</v>
      </c>
      <c r="BO19" s="4">
        <v>-409676478</v>
      </c>
      <c r="BP19" s="4">
        <f t="shared" si="6"/>
        <v>35750656</v>
      </c>
      <c r="BQ19" s="4">
        <f t="shared" ref="BQ19:BW19" si="7">BQ17-BQ18</f>
        <v>0</v>
      </c>
      <c r="BR19" s="4">
        <f t="shared" si="7"/>
        <v>0</v>
      </c>
      <c r="BS19" s="4">
        <f t="shared" si="7"/>
        <v>0</v>
      </c>
      <c r="BT19" s="4">
        <f t="shared" si="7"/>
        <v>0</v>
      </c>
      <c r="BU19" s="4">
        <f t="shared" si="7"/>
        <v>0</v>
      </c>
      <c r="BV19" s="4">
        <f t="shared" si="7"/>
        <v>0</v>
      </c>
      <c r="BW19" s="4">
        <f t="shared" si="7"/>
        <v>0</v>
      </c>
    </row>
    <row r="20" spans="1:75">
      <c r="A20" s="95">
        <v>17</v>
      </c>
      <c r="B20" s="93" t="s">
        <v>369</v>
      </c>
      <c r="C20" s="95">
        <v>28</v>
      </c>
      <c r="D20" s="9">
        <f>SUM(D16,D19)</f>
        <v>0</v>
      </c>
      <c r="E20" s="9">
        <f t="shared" ref="E20:BP20" si="8">SUM(E16,E19)</f>
        <v>0</v>
      </c>
      <c r="F20" s="9">
        <f t="shared" si="8"/>
        <v>0</v>
      </c>
      <c r="G20" s="9">
        <f t="shared" si="8"/>
        <v>0</v>
      </c>
      <c r="H20" s="9">
        <f t="shared" si="8"/>
        <v>0</v>
      </c>
      <c r="I20" s="9">
        <f t="shared" si="8"/>
        <v>0</v>
      </c>
      <c r="J20" s="9">
        <f t="shared" si="8"/>
        <v>0</v>
      </c>
      <c r="K20" s="9">
        <f t="shared" si="8"/>
        <v>0</v>
      </c>
      <c r="L20" s="9">
        <f t="shared" si="8"/>
        <v>0</v>
      </c>
      <c r="M20" s="9">
        <f t="shared" si="8"/>
        <v>0</v>
      </c>
      <c r="N20" s="9">
        <f t="shared" si="8"/>
        <v>0</v>
      </c>
      <c r="O20" s="9">
        <f t="shared" si="8"/>
        <v>0</v>
      </c>
      <c r="P20" s="9">
        <f t="shared" si="8"/>
        <v>0</v>
      </c>
      <c r="Q20" s="9">
        <f t="shared" si="8"/>
        <v>0</v>
      </c>
      <c r="R20" s="9">
        <f t="shared" si="8"/>
        <v>0</v>
      </c>
      <c r="S20" s="9">
        <f t="shared" si="8"/>
        <v>0</v>
      </c>
      <c r="T20" s="9">
        <f t="shared" si="8"/>
        <v>0</v>
      </c>
      <c r="U20" s="9">
        <f t="shared" si="8"/>
        <v>0</v>
      </c>
      <c r="V20" s="9">
        <f t="shared" si="8"/>
        <v>0</v>
      </c>
      <c r="W20" s="9">
        <f t="shared" si="8"/>
        <v>0</v>
      </c>
      <c r="X20" s="9">
        <f t="shared" si="8"/>
        <v>0</v>
      </c>
      <c r="Y20" s="9">
        <f t="shared" si="8"/>
        <v>0</v>
      </c>
      <c r="Z20" s="9">
        <f t="shared" si="8"/>
        <v>0</v>
      </c>
      <c r="AA20" s="9">
        <f t="shared" si="8"/>
        <v>0</v>
      </c>
      <c r="AB20" s="9">
        <f t="shared" si="8"/>
        <v>0</v>
      </c>
      <c r="AC20" s="9">
        <f t="shared" si="8"/>
        <v>0</v>
      </c>
      <c r="AD20" s="9">
        <f t="shared" si="8"/>
        <v>0</v>
      </c>
      <c r="AE20" s="9">
        <f t="shared" si="8"/>
        <v>0</v>
      </c>
      <c r="AF20" s="9">
        <f t="shared" si="8"/>
        <v>0</v>
      </c>
      <c r="AG20" s="9">
        <f t="shared" si="8"/>
        <v>0</v>
      </c>
      <c r="AH20" s="9">
        <f t="shared" si="8"/>
        <v>0</v>
      </c>
      <c r="AI20" s="9">
        <f t="shared" si="8"/>
        <v>0</v>
      </c>
      <c r="AJ20" s="9">
        <f t="shared" si="8"/>
        <v>0</v>
      </c>
      <c r="AK20" s="9">
        <f t="shared" si="8"/>
        <v>0</v>
      </c>
      <c r="AL20" s="9">
        <f t="shared" si="8"/>
        <v>0</v>
      </c>
      <c r="AM20" s="9">
        <f t="shared" si="8"/>
        <v>0</v>
      </c>
      <c r="AN20" s="9">
        <f t="shared" si="8"/>
        <v>-719985770</v>
      </c>
      <c r="AO20" s="9">
        <f t="shared" si="8"/>
        <v>-6758932844</v>
      </c>
      <c r="AP20" s="9">
        <f t="shared" si="8"/>
        <v>-2743321288</v>
      </c>
      <c r="AQ20" s="9">
        <f t="shared" si="8"/>
        <v>1668340417</v>
      </c>
      <c r="AR20" s="9">
        <f t="shared" si="8"/>
        <v>-5691808171</v>
      </c>
      <c r="AS20" s="9">
        <f t="shared" si="8"/>
        <v>-12142648645</v>
      </c>
      <c r="AT20" s="9">
        <f t="shared" si="8"/>
        <v>-15194276334</v>
      </c>
      <c r="AU20" s="9">
        <f t="shared" si="8"/>
        <v>-10014018528</v>
      </c>
      <c r="AV20" s="9">
        <f t="shared" si="8"/>
        <v>8118268598</v>
      </c>
      <c r="AW20" s="9">
        <f t="shared" si="8"/>
        <v>-6348711814</v>
      </c>
      <c r="AX20" s="9">
        <f t="shared" si="8"/>
        <v>-6052149672</v>
      </c>
      <c r="AY20" s="9">
        <f t="shared" si="8"/>
        <v>102908561739</v>
      </c>
      <c r="AZ20" s="9">
        <v>3099846411</v>
      </c>
      <c r="BA20" s="9">
        <v>17072928466</v>
      </c>
      <c r="BB20" s="9">
        <v>6996892070</v>
      </c>
      <c r="BC20" s="9">
        <v>3936534372</v>
      </c>
      <c r="BD20" s="9">
        <v>10980760888</v>
      </c>
      <c r="BE20" s="9">
        <v>874577083</v>
      </c>
      <c r="BF20" s="9">
        <v>412219980</v>
      </c>
      <c r="BG20" s="9">
        <v>2753352784</v>
      </c>
      <c r="BH20" s="9">
        <v>-12537257826</v>
      </c>
      <c r="BI20" s="9">
        <v>-5398471511</v>
      </c>
      <c r="BJ20" s="9">
        <v>-8841087053</v>
      </c>
      <c r="BK20" s="9">
        <v>5675768744</v>
      </c>
      <c r="BL20" s="531">
        <f>BL16+BL19</f>
        <v>-3068173394.1944427</v>
      </c>
      <c r="BM20" s="531">
        <f>BM16+BM19</f>
        <v>-7734670181.1715088</v>
      </c>
      <c r="BN20" s="4">
        <v>-6932855150.5916672</v>
      </c>
      <c r="BO20" s="4">
        <v>4902498894.8307533</v>
      </c>
      <c r="BP20" s="4">
        <f t="shared" si="8"/>
        <v>9534845607.7687988</v>
      </c>
      <c r="BQ20" s="4">
        <f t="shared" ref="BQ20:BW20" si="9">SUM(BQ16,BQ19)</f>
        <v>0</v>
      </c>
      <c r="BR20" s="4">
        <f t="shared" si="9"/>
        <v>0</v>
      </c>
      <c r="BS20" s="4">
        <f t="shared" si="9"/>
        <v>0</v>
      </c>
      <c r="BT20" s="4">
        <f t="shared" si="9"/>
        <v>0</v>
      </c>
      <c r="BU20" s="4">
        <f t="shared" si="9"/>
        <v>0</v>
      </c>
      <c r="BV20" s="4">
        <f t="shared" si="9"/>
        <v>0</v>
      </c>
      <c r="BW20" s="4">
        <f t="shared" si="9"/>
        <v>0</v>
      </c>
    </row>
    <row r="21" spans="1:75">
      <c r="A21" s="55">
        <v>18</v>
      </c>
      <c r="B21" s="99" t="s">
        <v>370</v>
      </c>
      <c r="C21" s="55">
        <v>28</v>
      </c>
      <c r="D21" s="508"/>
      <c r="E21" s="508"/>
      <c r="F21" s="508"/>
      <c r="G21" s="508"/>
      <c r="H21" s="508"/>
      <c r="I21" s="508"/>
      <c r="J21" s="508"/>
      <c r="K21" s="508"/>
      <c r="L21" s="508"/>
      <c r="M21" s="508"/>
      <c r="N21" s="508"/>
      <c r="O21" s="508"/>
      <c r="P21" s="508"/>
      <c r="Q21" s="508"/>
      <c r="R21" s="508"/>
      <c r="S21" s="508"/>
      <c r="T21" s="508"/>
      <c r="U21" s="508"/>
      <c r="V21" s="508"/>
      <c r="W21" s="508"/>
      <c r="X21" s="508"/>
      <c r="Y21" s="508"/>
      <c r="Z21" s="508"/>
      <c r="AA21" s="508"/>
      <c r="AB21" s="508"/>
      <c r="AC21" s="508"/>
      <c r="AD21" s="508"/>
      <c r="AE21" s="508"/>
      <c r="AF21" s="508"/>
      <c r="AG21" s="508"/>
      <c r="AH21" s="508"/>
      <c r="AI21" s="508"/>
      <c r="AJ21" s="508"/>
      <c r="AK21" s="508"/>
      <c r="AL21" s="508"/>
      <c r="AM21" s="508"/>
      <c r="AN21" s="508">
        <v>0</v>
      </c>
      <c r="AO21" s="508">
        <v>0</v>
      </c>
      <c r="AP21" s="508">
        <v>0</v>
      </c>
      <c r="AQ21" s="508">
        <v>0</v>
      </c>
      <c r="AR21" s="508">
        <v>0</v>
      </c>
      <c r="AS21" s="508">
        <v>0</v>
      </c>
      <c r="AT21" s="508">
        <v>0</v>
      </c>
      <c r="AU21" s="508">
        <v>32927331</v>
      </c>
      <c r="AV21" s="508">
        <v>0</v>
      </c>
      <c r="AW21" s="508">
        <v>0</v>
      </c>
      <c r="AX21" s="508">
        <v>0</v>
      </c>
      <c r="AY21" s="508">
        <v>11495266455</v>
      </c>
      <c r="AZ21" s="508">
        <v>864190686</v>
      </c>
      <c r="BA21" s="508">
        <v>3020742780</v>
      </c>
      <c r="BB21" s="508">
        <v>1252632187</v>
      </c>
      <c r="BC21" s="508">
        <v>677293488</v>
      </c>
      <c r="BD21" s="508">
        <v>1681800759</v>
      </c>
      <c r="BE21" s="508">
        <v>189264839</v>
      </c>
      <c r="BF21" s="508">
        <v>-1000088030</v>
      </c>
      <c r="BG21" s="508">
        <v>204199602</v>
      </c>
      <c r="BH21" s="508">
        <v>-1349170846</v>
      </c>
      <c r="BI21" s="508">
        <v>-516688622</v>
      </c>
      <c r="BJ21" s="508">
        <v>-854033077</v>
      </c>
      <c r="BK21" s="508">
        <v>3330158442</v>
      </c>
      <c r="BL21" s="504"/>
      <c r="BM21" s="513"/>
      <c r="BN21" s="508">
        <v>153752926</v>
      </c>
      <c r="BO21" s="508">
        <v>105667873</v>
      </c>
      <c r="BP21" s="508">
        <v>150429214</v>
      </c>
      <c r="BQ21" s="508"/>
      <c r="BR21" s="508"/>
      <c r="BS21" s="508"/>
      <c r="BT21" s="508"/>
      <c r="BU21" s="508"/>
      <c r="BV21" s="508"/>
      <c r="BW21" s="508"/>
    </row>
    <row r="22" spans="1:75">
      <c r="A22" s="55">
        <v>19</v>
      </c>
      <c r="B22" s="94" t="s">
        <v>371</v>
      </c>
      <c r="C22" s="55">
        <v>28</v>
      </c>
      <c r="D22" s="508"/>
      <c r="E22" s="508"/>
      <c r="F22" s="508"/>
      <c r="G22" s="508"/>
      <c r="H22" s="508"/>
      <c r="I22" s="508"/>
      <c r="J22" s="508"/>
      <c r="K22" s="508"/>
      <c r="L22" s="508"/>
      <c r="M22" s="508"/>
      <c r="N22" s="508"/>
      <c r="O22" s="508"/>
      <c r="P22" s="508"/>
      <c r="Q22" s="508"/>
      <c r="R22" s="508"/>
      <c r="S22" s="508"/>
      <c r="T22" s="508"/>
      <c r="U22" s="508"/>
      <c r="V22" s="508"/>
      <c r="W22" s="508"/>
      <c r="X22" s="508"/>
      <c r="Y22" s="508"/>
      <c r="Z22" s="508"/>
      <c r="AA22" s="508"/>
      <c r="AB22" s="508"/>
      <c r="AC22" s="508"/>
      <c r="AD22" s="508"/>
      <c r="AE22" s="508"/>
      <c r="AF22" s="508"/>
      <c r="AG22" s="508"/>
      <c r="AH22" s="508"/>
      <c r="AI22" s="508"/>
      <c r="AJ22" s="508"/>
      <c r="AK22" s="508"/>
      <c r="AL22" s="508"/>
      <c r="AM22" s="508"/>
      <c r="AN22" s="508">
        <v>0</v>
      </c>
      <c r="AO22" s="508">
        <v>0</v>
      </c>
      <c r="AP22" s="508">
        <v>0</v>
      </c>
      <c r="AQ22" s="508">
        <v>0</v>
      </c>
      <c r="AR22" s="508">
        <v>0</v>
      </c>
      <c r="AS22" s="508">
        <v>0</v>
      </c>
      <c r="AT22" s="508">
        <v>0</v>
      </c>
      <c r="AU22" s="508">
        <v>0</v>
      </c>
      <c r="AV22" s="508">
        <v>0</v>
      </c>
      <c r="AW22" s="508">
        <v>0</v>
      </c>
      <c r="AX22" s="508">
        <v>0</v>
      </c>
      <c r="AY22" s="508">
        <v>1838941310</v>
      </c>
      <c r="AZ22" s="508">
        <v>0</v>
      </c>
      <c r="BA22" s="508">
        <v>-8043000</v>
      </c>
      <c r="BB22" s="508">
        <v>0</v>
      </c>
      <c r="BC22" s="508">
        <v>0</v>
      </c>
      <c r="BD22" s="508">
        <v>0</v>
      </c>
      <c r="BE22" s="508">
        <v>0</v>
      </c>
      <c r="BF22" s="508">
        <v>-1830898310</v>
      </c>
      <c r="BG22" s="508">
        <v>0</v>
      </c>
      <c r="BH22" s="508">
        <v>0</v>
      </c>
      <c r="BI22" s="508">
        <v>0</v>
      </c>
      <c r="BJ22" s="508">
        <v>0</v>
      </c>
      <c r="BK22" s="508">
        <v>0</v>
      </c>
      <c r="BL22" s="508"/>
      <c r="BM22" s="508"/>
      <c r="BN22" s="508">
        <v>0</v>
      </c>
      <c r="BO22" s="508">
        <v>0</v>
      </c>
      <c r="BP22" s="508">
        <v>0</v>
      </c>
      <c r="BQ22" s="508"/>
      <c r="BR22" s="508"/>
      <c r="BS22" s="508"/>
      <c r="BT22" s="508"/>
      <c r="BU22" s="508"/>
      <c r="BV22" s="508"/>
      <c r="BW22" s="508"/>
    </row>
    <row r="23" spans="1:75">
      <c r="A23" s="97">
        <v>20</v>
      </c>
      <c r="B23" s="93" t="s">
        <v>372</v>
      </c>
      <c r="C23" s="97">
        <v>28</v>
      </c>
      <c r="D23" s="4">
        <f>D20-D21-D22</f>
        <v>0</v>
      </c>
      <c r="E23" s="4">
        <f t="shared" ref="E23:BP23" si="10">E20-E21-E22</f>
        <v>0</v>
      </c>
      <c r="F23" s="4">
        <f t="shared" si="10"/>
        <v>0</v>
      </c>
      <c r="G23" s="4">
        <f t="shared" si="10"/>
        <v>0</v>
      </c>
      <c r="H23" s="4">
        <f t="shared" si="10"/>
        <v>0</v>
      </c>
      <c r="I23" s="4">
        <f t="shared" si="10"/>
        <v>0</v>
      </c>
      <c r="J23" s="4">
        <f t="shared" si="10"/>
        <v>0</v>
      </c>
      <c r="K23" s="4">
        <f t="shared" si="10"/>
        <v>0</v>
      </c>
      <c r="L23" s="4">
        <f t="shared" si="10"/>
        <v>0</v>
      </c>
      <c r="M23" s="4">
        <f t="shared" si="10"/>
        <v>0</v>
      </c>
      <c r="N23" s="4">
        <f t="shared" si="10"/>
        <v>0</v>
      </c>
      <c r="O23" s="4">
        <f t="shared" si="10"/>
        <v>0</v>
      </c>
      <c r="P23" s="4">
        <f t="shared" si="10"/>
        <v>0</v>
      </c>
      <c r="Q23" s="4">
        <f t="shared" si="10"/>
        <v>0</v>
      </c>
      <c r="R23" s="4">
        <f t="shared" si="10"/>
        <v>0</v>
      </c>
      <c r="S23" s="4">
        <f t="shared" si="10"/>
        <v>0</v>
      </c>
      <c r="T23" s="4">
        <f t="shared" si="10"/>
        <v>0</v>
      </c>
      <c r="U23" s="4">
        <f t="shared" si="10"/>
        <v>0</v>
      </c>
      <c r="V23" s="4">
        <f t="shared" si="10"/>
        <v>0</v>
      </c>
      <c r="W23" s="4">
        <f t="shared" si="10"/>
        <v>0</v>
      </c>
      <c r="X23" s="4">
        <f t="shared" si="10"/>
        <v>0</v>
      </c>
      <c r="Y23" s="4">
        <f t="shared" si="10"/>
        <v>0</v>
      </c>
      <c r="Z23" s="4">
        <f t="shared" si="10"/>
        <v>0</v>
      </c>
      <c r="AA23" s="4">
        <f t="shared" si="10"/>
        <v>0</v>
      </c>
      <c r="AB23" s="4">
        <f t="shared" si="10"/>
        <v>0</v>
      </c>
      <c r="AC23" s="4">
        <f t="shared" si="10"/>
        <v>0</v>
      </c>
      <c r="AD23" s="4">
        <f t="shared" si="10"/>
        <v>0</v>
      </c>
      <c r="AE23" s="4">
        <f t="shared" si="10"/>
        <v>0</v>
      </c>
      <c r="AF23" s="4">
        <f t="shared" si="10"/>
        <v>0</v>
      </c>
      <c r="AG23" s="4">
        <f t="shared" si="10"/>
        <v>0</v>
      </c>
      <c r="AH23" s="4">
        <f t="shared" si="10"/>
        <v>0</v>
      </c>
      <c r="AI23" s="4">
        <f t="shared" si="10"/>
        <v>0</v>
      </c>
      <c r="AJ23" s="4">
        <f t="shared" si="10"/>
        <v>0</v>
      </c>
      <c r="AK23" s="4">
        <f t="shared" si="10"/>
        <v>0</v>
      </c>
      <c r="AL23" s="4">
        <f t="shared" si="10"/>
        <v>0</v>
      </c>
      <c r="AM23" s="4">
        <f t="shared" si="10"/>
        <v>0</v>
      </c>
      <c r="AN23" s="4">
        <f t="shared" si="10"/>
        <v>-719985770</v>
      </c>
      <c r="AO23" s="4">
        <f t="shared" si="10"/>
        <v>-6758932844</v>
      </c>
      <c r="AP23" s="4">
        <f t="shared" si="10"/>
        <v>-2743321288</v>
      </c>
      <c r="AQ23" s="4">
        <f t="shared" si="10"/>
        <v>1668340417</v>
      </c>
      <c r="AR23" s="4">
        <f t="shared" si="10"/>
        <v>-5691808171</v>
      </c>
      <c r="AS23" s="4">
        <f t="shared" si="10"/>
        <v>-12142648645</v>
      </c>
      <c r="AT23" s="4">
        <f t="shared" si="10"/>
        <v>-15194276334</v>
      </c>
      <c r="AU23" s="4">
        <f t="shared" si="10"/>
        <v>-10046945859</v>
      </c>
      <c r="AV23" s="4">
        <f t="shared" si="10"/>
        <v>8118268598</v>
      </c>
      <c r="AW23" s="4">
        <f t="shared" si="10"/>
        <v>-6348711814</v>
      </c>
      <c r="AX23" s="4">
        <f t="shared" si="10"/>
        <v>-6052149672</v>
      </c>
      <c r="AY23" s="4">
        <f t="shared" si="10"/>
        <v>89574353974</v>
      </c>
      <c r="AZ23" s="4">
        <v>2235655725</v>
      </c>
      <c r="BA23" s="4">
        <v>14060228686</v>
      </c>
      <c r="BB23" s="4">
        <v>5744259883</v>
      </c>
      <c r="BC23" s="4">
        <v>3259240884</v>
      </c>
      <c r="BD23" s="4">
        <v>9298960129</v>
      </c>
      <c r="BE23" s="4">
        <v>685312244</v>
      </c>
      <c r="BF23" s="4">
        <v>3243206320</v>
      </c>
      <c r="BG23" s="4">
        <v>2549153182</v>
      </c>
      <c r="BH23" s="4">
        <v>-11188086980</v>
      </c>
      <c r="BI23" s="4">
        <v>-4881782889</v>
      </c>
      <c r="BJ23" s="4">
        <v>-7987053976</v>
      </c>
      <c r="BK23" s="4">
        <v>2345610302</v>
      </c>
      <c r="BL23" s="531">
        <f>BL20-BL21</f>
        <v>-3068173394.1944427</v>
      </c>
      <c r="BM23" s="531">
        <f>BM20-BM21</f>
        <v>-7734670181.1715088</v>
      </c>
      <c r="BN23" s="4">
        <v>-7086608076.5916672</v>
      </c>
      <c r="BO23" s="4">
        <v>4796831021.8307533</v>
      </c>
      <c r="BP23" s="4">
        <f t="shared" si="10"/>
        <v>9384416393.7687988</v>
      </c>
      <c r="BQ23" s="4">
        <f t="shared" ref="BQ23:BW23" si="11">BQ20-BQ21-BQ22</f>
        <v>0</v>
      </c>
      <c r="BR23" s="4">
        <f t="shared" si="11"/>
        <v>0</v>
      </c>
      <c r="BS23" s="4">
        <f t="shared" si="11"/>
        <v>0</v>
      </c>
      <c r="BT23" s="4">
        <f t="shared" si="11"/>
        <v>0</v>
      </c>
      <c r="BU23" s="4">
        <f t="shared" si="11"/>
        <v>0</v>
      </c>
      <c r="BV23" s="4">
        <f t="shared" si="11"/>
        <v>0</v>
      </c>
      <c r="BW23" s="4">
        <f t="shared" si="11"/>
        <v>0</v>
      </c>
    </row>
  </sheetData>
  <sheetProtection algorithmName="SHA-512" hashValue="IfzK6U3OgSv6jo7Tw6Jhy3YWozkfkrypT496Xx9bz9nTQr5bXJpIA/d6lfo4mFRwjFzB2lPYtGPPlaih+XMvQA==" saltValue="BW/l2BDIKr9k9SKCVxOJJQ==" spinCount="100000" sheet="1" objects="1" scenarios="1"/>
  <protectedRanges>
    <protectedRange sqref="BL22 D21:BK22 BM21:BW22 D4:BW20 D23:BW23" name="PL"/>
  </protectedRanges>
  <conditionalFormatting sqref="BL16:BW16">
    <cfRule type="cellIs" dxfId="4" priority="1" operator="lessThan">
      <formula>0</formula>
    </cfRule>
  </conditionalFormatting>
  <conditionalFormatting sqref="BL20:BW20">
    <cfRule type="cellIs" dxfId="3" priority="3" operator="lessThan">
      <formula>0</formula>
    </cfRule>
  </conditionalFormatting>
  <conditionalFormatting sqref="BL23:BW23">
    <cfRule type="cellIs" dxfId="2" priority="4" operator="lessThan">
      <formula>0</formula>
    </cfRule>
  </conditionalFormatting>
  <conditionalFormatting sqref="BN19:BW19">
    <cfRule type="cellIs" dxfId="1" priority="2" operator="lessThan">
      <formula>0</formula>
    </cfRule>
  </conditionalFormatting>
  <pageMargins left="0.7" right="0.7" top="0.75" bottom="0.75" header="0.3" footer="0.3"/>
  <ignoredErrors>
    <ignoredError sqref="BM7:BM15 BL7 BL9:BL10 BL16 BL19:BL23" unlockedFormula="1"/>
    <ignoredError sqref="BM16:BM23" formula="1" unlockedFormula="1"/>
  </ignoredErrors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CB5394-5B77-4071-BB64-AC21CE5C40FB}">
  <sheetPr>
    <tabColor theme="9" tint="0.59999389629810485"/>
  </sheetPr>
  <dimension ref="A1:BW44"/>
  <sheetViews>
    <sheetView showGridLines="0" zoomScale="80" zoomScaleNormal="80" workbookViewId="0">
      <pane xSplit="3" ySplit="3" topLeftCell="BN25" activePane="bottomRight" state="frozen"/>
      <selection pane="topRight" activeCell="BL10" sqref="BL10"/>
      <selection pane="bottomLeft" activeCell="BL10" sqref="BL10"/>
      <selection pane="bottomRight" activeCell="BP41" sqref="BP41"/>
    </sheetView>
  </sheetViews>
  <sheetFormatPr defaultRowHeight="14.5"/>
  <cols>
    <col min="1" max="1" width="7" hidden="1" customWidth="1"/>
    <col min="2" max="2" width="67.08984375" customWidth="1"/>
    <col min="3" max="3" width="14.54296875" hidden="1" customWidth="1"/>
    <col min="4" max="7" width="17.6328125" customWidth="1"/>
    <col min="8" max="8" width="19.08984375" customWidth="1"/>
    <col min="9" max="9" width="17.6328125" customWidth="1"/>
    <col min="10" max="10" width="19.08984375" customWidth="1"/>
    <col min="11" max="11" width="20.36328125" customWidth="1"/>
    <col min="12" max="13" width="17.6328125" customWidth="1"/>
    <col min="14" max="16" width="19.08984375" customWidth="1"/>
    <col min="17" max="17" width="18.08984375" customWidth="1"/>
    <col min="18" max="22" width="19.08984375" customWidth="1"/>
    <col min="23" max="23" width="18.08984375" customWidth="1"/>
    <col min="24" max="26" width="19.08984375" customWidth="1"/>
    <col min="27" max="27" width="20.36328125" customWidth="1"/>
    <col min="28" max="30" width="19.08984375" customWidth="1"/>
    <col min="31" max="31" width="20.36328125" customWidth="1"/>
    <col min="32" max="40" width="19.08984375" customWidth="1"/>
    <col min="41" max="41" width="18.08984375" customWidth="1"/>
    <col min="42" max="48" width="19.08984375" customWidth="1"/>
    <col min="49" max="49" width="19.54296875" customWidth="1"/>
    <col min="50" max="50" width="19.08984375" customWidth="1"/>
    <col min="51" max="51" width="20.36328125" customWidth="1"/>
    <col min="52" max="52" width="19.08984375" customWidth="1"/>
    <col min="53" max="53" width="20.36328125" customWidth="1"/>
    <col min="54" max="63" width="19.08984375" customWidth="1"/>
    <col min="64" max="65" width="18.08984375" bestFit="1" customWidth="1"/>
    <col min="66" max="75" width="20.54296875" customWidth="1"/>
  </cols>
  <sheetData>
    <row r="1" spans="1:75" ht="17.5">
      <c r="B1" s="40" t="str">
        <f>'Thong tin'!A1</f>
        <v>CÔNG TY CP NHỰA TÁI CHẾ DUY TÂN</v>
      </c>
    </row>
    <row r="2" spans="1:75">
      <c r="B2" s="46" t="s">
        <v>243</v>
      </c>
    </row>
    <row r="3" spans="1:75" ht="28">
      <c r="A3" s="100" t="s">
        <v>373</v>
      </c>
      <c r="B3" s="50" t="s">
        <v>374</v>
      </c>
      <c r="C3" s="49" t="s">
        <v>246</v>
      </c>
      <c r="D3" s="49" t="s">
        <v>247</v>
      </c>
      <c r="E3" s="49" t="s">
        <v>248</v>
      </c>
      <c r="F3" s="49" t="s">
        <v>249</v>
      </c>
      <c r="G3" s="49" t="s">
        <v>250</v>
      </c>
      <c r="H3" s="49" t="s">
        <v>251</v>
      </c>
      <c r="I3" s="49" t="s">
        <v>252</v>
      </c>
      <c r="J3" s="49" t="s">
        <v>253</v>
      </c>
      <c r="K3" s="49" t="s">
        <v>254</v>
      </c>
      <c r="L3" s="49" t="s">
        <v>255</v>
      </c>
      <c r="M3" s="49" t="s">
        <v>256</v>
      </c>
      <c r="N3" s="49" t="s">
        <v>257</v>
      </c>
      <c r="O3" s="49" t="s">
        <v>258</v>
      </c>
      <c r="P3" s="49" t="s">
        <v>259</v>
      </c>
      <c r="Q3" s="49" t="s">
        <v>260</v>
      </c>
      <c r="R3" s="49" t="s">
        <v>261</v>
      </c>
      <c r="S3" s="49" t="s">
        <v>262</v>
      </c>
      <c r="T3" s="49" t="s">
        <v>263</v>
      </c>
      <c r="U3" s="49" t="s">
        <v>264</v>
      </c>
      <c r="V3" s="49" t="s">
        <v>265</v>
      </c>
      <c r="W3" s="49" t="s">
        <v>266</v>
      </c>
      <c r="X3" s="49" t="s">
        <v>267</v>
      </c>
      <c r="Y3" s="49" t="s">
        <v>268</v>
      </c>
      <c r="Z3" s="49" t="s">
        <v>269</v>
      </c>
      <c r="AA3" s="49" t="s">
        <v>270</v>
      </c>
      <c r="AB3" s="49" t="s">
        <v>271</v>
      </c>
      <c r="AC3" s="49" t="s">
        <v>272</v>
      </c>
      <c r="AD3" s="49" t="s">
        <v>273</v>
      </c>
      <c r="AE3" s="49" t="s">
        <v>274</v>
      </c>
      <c r="AF3" s="49" t="s">
        <v>275</v>
      </c>
      <c r="AG3" s="49" t="s">
        <v>276</v>
      </c>
      <c r="AH3" s="49" t="s">
        <v>277</v>
      </c>
      <c r="AI3" s="49" t="s">
        <v>278</v>
      </c>
      <c r="AJ3" s="49" t="s">
        <v>279</v>
      </c>
      <c r="AK3" s="49" t="s">
        <v>280</v>
      </c>
      <c r="AL3" s="49" t="s">
        <v>281</v>
      </c>
      <c r="AM3" s="49" t="s">
        <v>282</v>
      </c>
      <c r="AN3" s="49" t="s">
        <v>283</v>
      </c>
      <c r="AO3" s="49" t="s">
        <v>284</v>
      </c>
      <c r="AP3" s="49" t="s">
        <v>285</v>
      </c>
      <c r="AQ3" s="49" t="s">
        <v>286</v>
      </c>
      <c r="AR3" s="49" t="s">
        <v>287</v>
      </c>
      <c r="AS3" s="49" t="s">
        <v>288</v>
      </c>
      <c r="AT3" s="49" t="s">
        <v>289</v>
      </c>
      <c r="AU3" s="49" t="s">
        <v>290</v>
      </c>
      <c r="AV3" s="49" t="s">
        <v>291</v>
      </c>
      <c r="AW3" s="49" t="s">
        <v>292</v>
      </c>
      <c r="AX3" s="49" t="s">
        <v>293</v>
      </c>
      <c r="AY3" s="49" t="s">
        <v>294</v>
      </c>
      <c r="AZ3" s="49" t="s">
        <v>295</v>
      </c>
      <c r="BA3" s="49" t="s">
        <v>296</v>
      </c>
      <c r="BB3" s="49" t="s">
        <v>297</v>
      </c>
      <c r="BC3" s="49" t="s">
        <v>298</v>
      </c>
      <c r="BD3" s="49" t="s">
        <v>299</v>
      </c>
      <c r="BE3" s="49" t="s">
        <v>300</v>
      </c>
      <c r="BF3" s="49" t="s">
        <v>301</v>
      </c>
      <c r="BG3" s="49" t="s">
        <v>302</v>
      </c>
      <c r="BH3" s="49" t="s">
        <v>303</v>
      </c>
      <c r="BI3" s="49" t="s">
        <v>304</v>
      </c>
      <c r="BJ3" s="49" t="s">
        <v>305</v>
      </c>
      <c r="BK3" s="49" t="s">
        <v>306</v>
      </c>
      <c r="BL3" s="49" t="s">
        <v>307</v>
      </c>
      <c r="BM3" s="49" t="s">
        <v>308</v>
      </c>
      <c r="BN3" s="49" t="s">
        <v>309</v>
      </c>
      <c r="BO3" s="49" t="s">
        <v>310</v>
      </c>
      <c r="BP3" s="49" t="s">
        <v>311</v>
      </c>
      <c r="BQ3" s="49" t="s">
        <v>312</v>
      </c>
      <c r="BR3" s="49" t="s">
        <v>313</v>
      </c>
      <c r="BS3" s="49" t="s">
        <v>314</v>
      </c>
      <c r="BT3" s="49" t="s">
        <v>315</v>
      </c>
      <c r="BU3" s="49" t="s">
        <v>316</v>
      </c>
      <c r="BV3" s="49" t="s">
        <v>317</v>
      </c>
      <c r="BW3" s="49" t="s">
        <v>318</v>
      </c>
    </row>
    <row r="4" spans="1:75">
      <c r="A4" s="101">
        <v>1</v>
      </c>
      <c r="B4" s="102" t="s">
        <v>201</v>
      </c>
      <c r="C4" s="103">
        <v>28</v>
      </c>
      <c r="D4" s="521"/>
      <c r="E4" s="521"/>
      <c r="F4" s="521"/>
      <c r="G4" s="521"/>
      <c r="H4" s="521"/>
      <c r="I4" s="521"/>
      <c r="J4" s="521"/>
      <c r="K4" s="521"/>
      <c r="L4" s="521"/>
      <c r="M4" s="521"/>
      <c r="N4" s="521"/>
      <c r="O4" s="521"/>
      <c r="P4" s="521"/>
      <c r="Q4" s="521"/>
      <c r="R4" s="521"/>
      <c r="S4" s="521"/>
      <c r="T4" s="521"/>
      <c r="U4" s="521"/>
      <c r="V4" s="521"/>
      <c r="W4" s="521"/>
      <c r="X4" s="521"/>
      <c r="Y4" s="521"/>
      <c r="Z4" s="521"/>
      <c r="AA4" s="521"/>
      <c r="AB4" s="521"/>
      <c r="AC4" s="521"/>
      <c r="AD4" s="521"/>
      <c r="AE4" s="521"/>
      <c r="AF4" s="521"/>
      <c r="AG4" s="521"/>
      <c r="AH4" s="521"/>
      <c r="AI4" s="521"/>
      <c r="AJ4" s="521"/>
      <c r="AK4" s="521"/>
      <c r="AL4" s="521"/>
      <c r="AM4" s="521"/>
      <c r="AN4" s="521"/>
      <c r="AO4" s="521"/>
      <c r="AP4" s="521"/>
      <c r="AQ4" s="521"/>
      <c r="AR4" s="521"/>
      <c r="AS4" s="521"/>
      <c r="AT4" s="521"/>
      <c r="AU4" s="521"/>
      <c r="AV4" s="521"/>
      <c r="AW4" s="521"/>
      <c r="AX4" s="521"/>
      <c r="AY4" s="521"/>
      <c r="AZ4" s="521"/>
      <c r="BA4" s="521"/>
      <c r="BB4" s="521"/>
      <c r="BC4" s="521"/>
      <c r="BD4" s="521"/>
      <c r="BE4" s="521"/>
      <c r="BF4" s="521"/>
      <c r="BG4" s="521"/>
      <c r="BH4" s="521"/>
      <c r="BI4" s="521"/>
      <c r="BJ4" s="521"/>
      <c r="BK4" s="521"/>
      <c r="BL4" s="521"/>
      <c r="BM4" s="521"/>
      <c r="BN4" s="521"/>
      <c r="BO4" s="521"/>
      <c r="BP4" s="521"/>
      <c r="BQ4" s="521"/>
      <c r="BR4" s="521"/>
      <c r="BS4" s="521"/>
      <c r="BT4" s="521"/>
      <c r="BU4" s="521"/>
      <c r="BV4" s="521"/>
      <c r="BW4" s="521"/>
    </row>
    <row r="5" spans="1:75">
      <c r="A5" s="101">
        <v>2</v>
      </c>
      <c r="B5" s="102" t="s">
        <v>375</v>
      </c>
      <c r="C5" s="104">
        <v>28</v>
      </c>
      <c r="D5" s="10">
        <f>'Ket qua kinh doanh'!D$20</f>
        <v>0</v>
      </c>
      <c r="E5" s="10">
        <f>'Ket qua kinh doanh'!E$20</f>
        <v>0</v>
      </c>
      <c r="F5" s="10">
        <f>'Ket qua kinh doanh'!F$20</f>
        <v>0</v>
      </c>
      <c r="G5" s="10">
        <f>'Ket qua kinh doanh'!G$20</f>
        <v>0</v>
      </c>
      <c r="H5" s="10">
        <f>'Ket qua kinh doanh'!H$20</f>
        <v>0</v>
      </c>
      <c r="I5" s="10">
        <f>'Ket qua kinh doanh'!I$20</f>
        <v>0</v>
      </c>
      <c r="J5" s="10">
        <f>'Ket qua kinh doanh'!J$20</f>
        <v>0</v>
      </c>
      <c r="K5" s="10">
        <f>'Ket qua kinh doanh'!K$20</f>
        <v>0</v>
      </c>
      <c r="L5" s="10">
        <f>'Ket qua kinh doanh'!L$20</f>
        <v>0</v>
      </c>
      <c r="M5" s="10">
        <f>'Ket qua kinh doanh'!M$20</f>
        <v>0</v>
      </c>
      <c r="N5" s="10">
        <f>'Ket qua kinh doanh'!N$20</f>
        <v>0</v>
      </c>
      <c r="O5" s="10">
        <f>'Ket qua kinh doanh'!O$20</f>
        <v>0</v>
      </c>
      <c r="P5" s="10">
        <f>'Ket qua kinh doanh'!P$20</f>
        <v>0</v>
      </c>
      <c r="Q5" s="10">
        <f>'Ket qua kinh doanh'!Q$20</f>
        <v>0</v>
      </c>
      <c r="R5" s="10">
        <f>'Ket qua kinh doanh'!R$20</f>
        <v>0</v>
      </c>
      <c r="S5" s="10">
        <f>'Ket qua kinh doanh'!S$20</f>
        <v>0</v>
      </c>
      <c r="T5" s="10">
        <f>'Ket qua kinh doanh'!T$20</f>
        <v>0</v>
      </c>
      <c r="U5" s="10">
        <f>'Ket qua kinh doanh'!U$20</f>
        <v>0</v>
      </c>
      <c r="V5" s="10">
        <f>'Ket qua kinh doanh'!V$20</f>
        <v>0</v>
      </c>
      <c r="W5" s="10">
        <f>'Ket qua kinh doanh'!W$20</f>
        <v>0</v>
      </c>
      <c r="X5" s="10">
        <f>'Ket qua kinh doanh'!X$20</f>
        <v>0</v>
      </c>
      <c r="Y5" s="10">
        <f>'Ket qua kinh doanh'!Y$20</f>
        <v>0</v>
      </c>
      <c r="Z5" s="10">
        <f>'Ket qua kinh doanh'!Z$20</f>
        <v>0</v>
      </c>
      <c r="AA5" s="10">
        <f>'Ket qua kinh doanh'!AA$20</f>
        <v>0</v>
      </c>
      <c r="AB5" s="10">
        <f>'Ket qua kinh doanh'!AB$20</f>
        <v>0</v>
      </c>
      <c r="AC5" s="10">
        <f>'Ket qua kinh doanh'!AC$20</f>
        <v>0</v>
      </c>
      <c r="AD5" s="10">
        <f>'Ket qua kinh doanh'!AD$20</f>
        <v>0</v>
      </c>
      <c r="AE5" s="10">
        <f>'Ket qua kinh doanh'!AE$20</f>
        <v>0</v>
      </c>
      <c r="AF5" s="10">
        <f>'Ket qua kinh doanh'!AF$20</f>
        <v>0</v>
      </c>
      <c r="AG5" s="10">
        <f>'Ket qua kinh doanh'!AG$20</f>
        <v>0</v>
      </c>
      <c r="AH5" s="10">
        <f>'Ket qua kinh doanh'!AH$20</f>
        <v>0</v>
      </c>
      <c r="AI5" s="10">
        <f>'Ket qua kinh doanh'!AI$20</f>
        <v>0</v>
      </c>
      <c r="AJ5" s="10">
        <f>'Ket qua kinh doanh'!AJ$20</f>
        <v>0</v>
      </c>
      <c r="AK5" s="10">
        <f>'Ket qua kinh doanh'!AK$20</f>
        <v>0</v>
      </c>
      <c r="AL5" s="10">
        <f>'Ket qua kinh doanh'!AL$20</f>
        <v>0</v>
      </c>
      <c r="AM5" s="10">
        <f>'Ket qua kinh doanh'!AM$20</f>
        <v>0</v>
      </c>
      <c r="AN5" s="10">
        <f>'Ket qua kinh doanh'!AN$20</f>
        <v>-719985770</v>
      </c>
      <c r="AO5" s="10">
        <f>'Ket qua kinh doanh'!AO$20</f>
        <v>-6758932844</v>
      </c>
      <c r="AP5" s="10">
        <f>'Ket qua kinh doanh'!AP$20</f>
        <v>-2743321288</v>
      </c>
      <c r="AQ5" s="10">
        <f>'Ket qua kinh doanh'!AQ$20</f>
        <v>1668340417</v>
      </c>
      <c r="AR5" s="10">
        <f>'Ket qua kinh doanh'!AR$20</f>
        <v>-5691808171</v>
      </c>
      <c r="AS5" s="10">
        <f>'Ket qua kinh doanh'!AS$20</f>
        <v>-12142648645</v>
      </c>
      <c r="AT5" s="10">
        <f>'Ket qua kinh doanh'!AT$20</f>
        <v>-15194276334</v>
      </c>
      <c r="AU5" s="10">
        <f>'Ket qua kinh doanh'!AU$20</f>
        <v>-10014018528</v>
      </c>
      <c r="AV5" s="10">
        <f>'Ket qua kinh doanh'!AV$20</f>
        <v>8118268598</v>
      </c>
      <c r="AW5" s="10">
        <f>'Ket qua kinh doanh'!AW$20</f>
        <v>-6348711814</v>
      </c>
      <c r="AX5" s="10">
        <f>'Ket qua kinh doanh'!AX$20</f>
        <v>-6052149672</v>
      </c>
      <c r="AY5" s="10">
        <f>'Ket qua kinh doanh'!AY$20</f>
        <v>102908561739</v>
      </c>
      <c r="AZ5" s="10">
        <f>'Ket qua kinh doanh'!AZ$20</f>
        <v>3099846411</v>
      </c>
      <c r="BA5" s="10">
        <f>'Ket qua kinh doanh'!BA$20</f>
        <v>17072928466</v>
      </c>
      <c r="BB5" s="10">
        <f>'Ket qua kinh doanh'!BB$20</f>
        <v>6996892070</v>
      </c>
      <c r="BC5" s="10">
        <f>'Ket qua kinh doanh'!BC$20</f>
        <v>3936534372</v>
      </c>
      <c r="BD5" s="10">
        <f>'Ket qua kinh doanh'!BD$20</f>
        <v>10980760888</v>
      </c>
      <c r="BE5" s="10">
        <f>'Ket qua kinh doanh'!BE$20</f>
        <v>874577083</v>
      </c>
      <c r="BF5" s="10">
        <f>'Ket qua kinh doanh'!BF$20</f>
        <v>412219980</v>
      </c>
      <c r="BG5" s="10">
        <f>'Ket qua kinh doanh'!BG$20</f>
        <v>2753352784</v>
      </c>
      <c r="BH5" s="10">
        <f>'Ket qua kinh doanh'!BH$20</f>
        <v>-12537257826</v>
      </c>
      <c r="BI5" s="10">
        <f>'Ket qua kinh doanh'!BI$20</f>
        <v>-5398471511</v>
      </c>
      <c r="BJ5" s="10">
        <f>'Ket qua kinh doanh'!BJ$20</f>
        <v>-8841087053</v>
      </c>
      <c r="BK5" s="10">
        <f>'Ket qua kinh doanh'!BK$20</f>
        <v>5675768744</v>
      </c>
      <c r="BL5" s="10">
        <f>'Ket qua kinh doanh'!BL$20</f>
        <v>-3068173394.1944427</v>
      </c>
      <c r="BM5" s="10">
        <f>'Ket qua kinh doanh'!BM$20</f>
        <v>-7734670181.1715088</v>
      </c>
      <c r="BN5" s="10">
        <f>'Ket qua kinh doanh'!BN$20</f>
        <v>-6932855150.5916672</v>
      </c>
      <c r="BO5" s="10">
        <f>'Ket qua kinh doanh'!BO$20</f>
        <v>4902498894.8307533</v>
      </c>
      <c r="BP5" s="10">
        <f>'Ket qua kinh doanh'!BP$20</f>
        <v>9534845607.7687988</v>
      </c>
      <c r="BQ5" s="10">
        <f>'Ket qua kinh doanh'!BQ$20</f>
        <v>0</v>
      </c>
      <c r="BR5" s="10">
        <f>'Ket qua kinh doanh'!BR$20</f>
        <v>0</v>
      </c>
      <c r="BS5" s="10">
        <f>'Ket qua kinh doanh'!BS$20</f>
        <v>0</v>
      </c>
      <c r="BT5" s="10">
        <f>'Ket qua kinh doanh'!BT$20</f>
        <v>0</v>
      </c>
      <c r="BU5" s="10">
        <f>'Ket qua kinh doanh'!BU$20</f>
        <v>0</v>
      </c>
      <c r="BV5" s="10">
        <f>'Ket qua kinh doanh'!BV$20</f>
        <v>0</v>
      </c>
      <c r="BW5" s="10">
        <f>'Ket qua kinh doanh'!BW$20</f>
        <v>0</v>
      </c>
    </row>
    <row r="6" spans="1:75">
      <c r="A6" s="105">
        <v>3</v>
      </c>
      <c r="B6" s="106" t="s">
        <v>376</v>
      </c>
      <c r="C6" s="107">
        <v>28</v>
      </c>
      <c r="D6" s="11"/>
      <c r="E6" s="11"/>
      <c r="F6" s="11"/>
      <c r="G6" s="11"/>
      <c r="H6" s="11"/>
      <c r="I6" s="11"/>
      <c r="J6" s="11"/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  <c r="Z6" s="11"/>
      <c r="AA6" s="11"/>
      <c r="AB6" s="11"/>
      <c r="AC6" s="11"/>
      <c r="AD6" s="11"/>
      <c r="AE6" s="11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  <c r="BC6" s="11"/>
      <c r="BD6" s="11"/>
      <c r="BE6" s="11"/>
      <c r="BF6" s="11"/>
      <c r="BG6" s="11"/>
      <c r="BH6" s="11"/>
      <c r="BI6" s="11"/>
      <c r="BJ6" s="11"/>
      <c r="BK6" s="11"/>
      <c r="BL6" s="532">
        <v>3144079368</v>
      </c>
      <c r="BM6" s="532">
        <v>3747769605</v>
      </c>
      <c r="BN6" s="11">
        <v>1002414459</v>
      </c>
      <c r="BO6" s="11">
        <v>1639498636</v>
      </c>
      <c r="BP6" s="11">
        <v>2947271511</v>
      </c>
      <c r="BQ6" s="11"/>
      <c r="BR6" s="11"/>
      <c r="BS6" s="11"/>
      <c r="BT6" s="11"/>
      <c r="BU6" s="11"/>
      <c r="BV6" s="11"/>
      <c r="BW6" s="11"/>
    </row>
    <row r="7" spans="1:75">
      <c r="A7" s="108">
        <v>4</v>
      </c>
      <c r="B7" s="109" t="s">
        <v>377</v>
      </c>
      <c r="C7" s="110">
        <v>28</v>
      </c>
      <c r="D7" s="514"/>
      <c r="E7" s="514"/>
      <c r="F7" s="514"/>
      <c r="G7" s="514"/>
      <c r="H7" s="514"/>
      <c r="I7" s="514"/>
      <c r="J7" s="514"/>
      <c r="K7" s="514"/>
      <c r="L7" s="514"/>
      <c r="M7" s="514"/>
      <c r="N7" s="514"/>
      <c r="O7" s="514"/>
      <c r="P7" s="514"/>
      <c r="Q7" s="514"/>
      <c r="R7" s="514"/>
      <c r="S7" s="514"/>
      <c r="T7" s="514"/>
      <c r="U7" s="514"/>
      <c r="V7" s="514"/>
      <c r="W7" s="514"/>
      <c r="X7" s="514"/>
      <c r="Y7" s="514"/>
      <c r="Z7" s="514"/>
      <c r="AA7" s="514"/>
      <c r="AB7" s="514"/>
      <c r="AC7" s="514"/>
      <c r="AD7" s="514"/>
      <c r="AE7" s="514"/>
      <c r="AF7" s="514"/>
      <c r="AG7" s="514"/>
      <c r="AH7" s="514"/>
      <c r="AI7" s="514"/>
      <c r="AJ7" s="514"/>
      <c r="AK7" s="514"/>
      <c r="AL7" s="514"/>
      <c r="AM7" s="514"/>
      <c r="AN7" s="514">
        <v>3935422859</v>
      </c>
      <c r="AO7" s="514">
        <v>3945256529</v>
      </c>
      <c r="AP7" s="514">
        <v>3941710034</v>
      </c>
      <c r="AQ7" s="514">
        <v>4176778135</v>
      </c>
      <c r="AR7" s="514">
        <v>4265236429</v>
      </c>
      <c r="AS7" s="514">
        <v>4239641424</v>
      </c>
      <c r="AT7" s="514">
        <v>4278667037</v>
      </c>
      <c r="AU7" s="514">
        <v>4312396443</v>
      </c>
      <c r="AV7" s="514">
        <v>4447445993</v>
      </c>
      <c r="AW7" s="514">
        <v>4467524904</v>
      </c>
      <c r="AX7" s="514">
        <v>4494861573</v>
      </c>
      <c r="AY7" s="514">
        <v>4792296828</v>
      </c>
      <c r="AZ7" s="514">
        <v>4869731514</v>
      </c>
      <c r="BA7" s="514">
        <v>4871682917</v>
      </c>
      <c r="BB7" s="514">
        <v>5074245337</v>
      </c>
      <c r="BC7" s="514">
        <v>5011765623</v>
      </c>
      <c r="BD7" s="514">
        <v>5177413937</v>
      </c>
      <c r="BE7" s="514">
        <v>5167876130</v>
      </c>
      <c r="BF7" s="514">
        <v>5183350528</v>
      </c>
      <c r="BG7" s="514">
        <v>5169671321</v>
      </c>
      <c r="BH7" s="514">
        <v>5509530706</v>
      </c>
      <c r="BI7" s="514">
        <v>5362887350</v>
      </c>
      <c r="BJ7" s="514">
        <v>5527915050</v>
      </c>
      <c r="BK7" s="514">
        <v>5597408199</v>
      </c>
      <c r="BL7" s="514">
        <v>2382071235</v>
      </c>
      <c r="BM7" s="514">
        <v>2852699400</v>
      </c>
      <c r="BN7" s="514">
        <v>2863967982</v>
      </c>
      <c r="BO7" s="514">
        <v>3030293681</v>
      </c>
      <c r="BP7" s="514">
        <v>3022628687</v>
      </c>
      <c r="BQ7" s="514"/>
      <c r="BR7" s="514"/>
      <c r="BS7" s="514"/>
      <c r="BT7" s="514"/>
      <c r="BU7" s="514"/>
      <c r="BV7" s="514"/>
      <c r="BW7" s="514"/>
    </row>
    <row r="8" spans="1:75">
      <c r="A8" s="108">
        <v>5</v>
      </c>
      <c r="B8" s="109" t="s">
        <v>378</v>
      </c>
      <c r="C8" s="110">
        <v>28</v>
      </c>
      <c r="D8" s="514"/>
      <c r="E8" s="514"/>
      <c r="F8" s="514"/>
      <c r="G8" s="514"/>
      <c r="H8" s="514"/>
      <c r="I8" s="514"/>
      <c r="J8" s="514"/>
      <c r="K8" s="514"/>
      <c r="L8" s="514"/>
      <c r="M8" s="514"/>
      <c r="N8" s="514"/>
      <c r="O8" s="514"/>
      <c r="P8" s="514"/>
      <c r="Q8" s="514"/>
      <c r="R8" s="514"/>
      <c r="S8" s="514"/>
      <c r="T8" s="514"/>
      <c r="U8" s="514"/>
      <c r="V8" s="514"/>
      <c r="W8" s="514"/>
      <c r="X8" s="514"/>
      <c r="Y8" s="514"/>
      <c r="Z8" s="514"/>
      <c r="AA8" s="514"/>
      <c r="AB8" s="514"/>
      <c r="AC8" s="514"/>
      <c r="AD8" s="514"/>
      <c r="AE8" s="514"/>
      <c r="AF8" s="514"/>
      <c r="AG8" s="514"/>
      <c r="AH8" s="514"/>
      <c r="AI8" s="514"/>
      <c r="AJ8" s="514"/>
      <c r="AK8" s="514"/>
      <c r="AL8" s="514"/>
      <c r="AM8" s="514"/>
      <c r="AN8" s="514">
        <v>0</v>
      </c>
      <c r="AO8" s="514">
        <v>0</v>
      </c>
      <c r="AP8" s="514">
        <v>0</v>
      </c>
      <c r="AQ8" s="514">
        <v>0</v>
      </c>
      <c r="AR8" s="514">
        <v>0</v>
      </c>
      <c r="AS8" s="514">
        <v>0</v>
      </c>
      <c r="AT8" s="514">
        <v>0</v>
      </c>
      <c r="AU8" s="514">
        <v>0</v>
      </c>
      <c r="AV8" s="514">
        <v>0</v>
      </c>
      <c r="AW8" s="514">
        <v>0</v>
      </c>
      <c r="AX8" s="514">
        <v>0</v>
      </c>
      <c r="AY8" s="514">
        <v>0</v>
      </c>
      <c r="AZ8" s="514">
        <v>0</v>
      </c>
      <c r="BA8" s="514">
        <v>0</v>
      </c>
      <c r="BB8" s="514">
        <v>0</v>
      </c>
      <c r="BC8" s="514">
        <v>0</v>
      </c>
      <c r="BD8" s="514">
        <v>0</v>
      </c>
      <c r="BE8" s="514">
        <v>0</v>
      </c>
      <c r="BF8" s="514">
        <v>0</v>
      </c>
      <c r="BG8" s="514">
        <v>0</v>
      </c>
      <c r="BH8" s="514">
        <v>0</v>
      </c>
      <c r="BI8" s="514">
        <v>0</v>
      </c>
      <c r="BJ8" s="514">
        <v>0</v>
      </c>
      <c r="BK8" s="514">
        <v>0</v>
      </c>
      <c r="BL8" s="514">
        <v>0</v>
      </c>
      <c r="BM8" s="514">
        <v>0</v>
      </c>
      <c r="BN8" s="514">
        <v>0</v>
      </c>
      <c r="BO8" s="514">
        <v>0</v>
      </c>
      <c r="BP8" s="514">
        <v>0</v>
      </c>
      <c r="BQ8" s="514"/>
      <c r="BR8" s="514"/>
      <c r="BS8" s="514"/>
      <c r="BT8" s="514"/>
      <c r="BU8" s="514"/>
      <c r="BV8" s="514"/>
      <c r="BW8" s="514"/>
    </row>
    <row r="9" spans="1:75">
      <c r="A9" s="111">
        <v>6</v>
      </c>
      <c r="B9" s="112" t="s">
        <v>379</v>
      </c>
      <c r="C9" s="113">
        <v>28</v>
      </c>
      <c r="D9" s="515"/>
      <c r="E9" s="515"/>
      <c r="F9" s="515"/>
      <c r="G9" s="515"/>
      <c r="H9" s="515"/>
      <c r="I9" s="515"/>
      <c r="J9" s="515"/>
      <c r="K9" s="515"/>
      <c r="L9" s="515"/>
      <c r="M9" s="515"/>
      <c r="N9" s="515"/>
      <c r="O9" s="515"/>
      <c r="P9" s="515"/>
      <c r="Q9" s="515"/>
      <c r="R9" s="515"/>
      <c r="S9" s="515"/>
      <c r="T9" s="515"/>
      <c r="U9" s="515"/>
      <c r="V9" s="515"/>
      <c r="W9" s="515"/>
      <c r="X9" s="515"/>
      <c r="Y9" s="515"/>
      <c r="Z9" s="515"/>
      <c r="AA9" s="515"/>
      <c r="AB9" s="515"/>
      <c r="AC9" s="515"/>
      <c r="AD9" s="515"/>
      <c r="AE9" s="515"/>
      <c r="AF9" s="515"/>
      <c r="AG9" s="515"/>
      <c r="AH9" s="515"/>
      <c r="AI9" s="515"/>
      <c r="AJ9" s="515"/>
      <c r="AK9" s="515"/>
      <c r="AL9" s="515"/>
      <c r="AM9" s="515"/>
      <c r="AN9" s="515">
        <v>-55279705</v>
      </c>
      <c r="AO9" s="515">
        <v>-427077314</v>
      </c>
      <c r="AP9" s="515">
        <v>-320017067</v>
      </c>
      <c r="AQ9" s="515">
        <v>-242395730</v>
      </c>
      <c r="AR9" s="515">
        <v>-818581781</v>
      </c>
      <c r="AS9" s="515">
        <v>-185223798</v>
      </c>
      <c r="AT9" s="515">
        <v>-180874896</v>
      </c>
      <c r="AU9" s="515">
        <v>-263960563</v>
      </c>
      <c r="AV9" s="515">
        <v>-297048858</v>
      </c>
      <c r="AW9" s="515">
        <v>-1429021178</v>
      </c>
      <c r="AX9" s="515">
        <v>-522578257</v>
      </c>
      <c r="AY9" s="515">
        <v>-1311270209</v>
      </c>
      <c r="AZ9" s="515">
        <v>-357780096</v>
      </c>
      <c r="BA9" s="515">
        <v>-1275864519</v>
      </c>
      <c r="BB9" s="515">
        <v>-608968263</v>
      </c>
      <c r="BC9" s="515">
        <v>-658231709</v>
      </c>
      <c r="BD9" s="515">
        <v>-1643945913</v>
      </c>
      <c r="BE9" s="515">
        <v>-645043805</v>
      </c>
      <c r="BF9" s="515">
        <v>-757881624</v>
      </c>
      <c r="BG9" s="515">
        <v>-621393506</v>
      </c>
      <c r="BH9" s="515">
        <v>-844098636</v>
      </c>
      <c r="BI9" s="515">
        <v>-1011211322</v>
      </c>
      <c r="BJ9" s="515">
        <v>-120205688</v>
      </c>
      <c r="BK9" s="515">
        <v>-252471998</v>
      </c>
      <c r="BL9" s="515">
        <v>-282378363</v>
      </c>
      <c r="BM9" s="515">
        <v>-195993248</v>
      </c>
      <c r="BN9" s="515">
        <v>-773200542</v>
      </c>
      <c r="BO9" s="515">
        <v>-16042566</v>
      </c>
      <c r="BP9" s="515">
        <v>-618868933</v>
      </c>
      <c r="BQ9" s="515"/>
      <c r="BR9" s="515"/>
      <c r="BS9" s="515"/>
      <c r="BT9" s="515"/>
      <c r="BU9" s="515"/>
      <c r="BV9" s="515"/>
      <c r="BW9" s="515"/>
    </row>
    <row r="10" spans="1:75">
      <c r="A10" s="108">
        <v>7</v>
      </c>
      <c r="B10" s="109" t="s">
        <v>380</v>
      </c>
      <c r="C10" s="110">
        <v>28</v>
      </c>
      <c r="D10" s="514"/>
      <c r="E10" s="514"/>
      <c r="F10" s="514"/>
      <c r="G10" s="514"/>
      <c r="H10" s="514"/>
      <c r="I10" s="514"/>
      <c r="J10" s="514"/>
      <c r="K10" s="514"/>
      <c r="L10" s="514"/>
      <c r="M10" s="514"/>
      <c r="N10" s="514"/>
      <c r="O10" s="514"/>
      <c r="P10" s="514"/>
      <c r="Q10" s="514"/>
      <c r="R10" s="514"/>
      <c r="S10" s="514"/>
      <c r="T10" s="514"/>
      <c r="U10" s="514"/>
      <c r="V10" s="514"/>
      <c r="W10" s="514"/>
      <c r="X10" s="514"/>
      <c r="Y10" s="514"/>
      <c r="Z10" s="514"/>
      <c r="AA10" s="514"/>
      <c r="AB10" s="514"/>
      <c r="AC10" s="514"/>
      <c r="AD10" s="514"/>
      <c r="AE10" s="514"/>
      <c r="AF10" s="514"/>
      <c r="AG10" s="514"/>
      <c r="AH10" s="514"/>
      <c r="AI10" s="514"/>
      <c r="AJ10" s="514"/>
      <c r="AK10" s="514"/>
      <c r="AL10" s="514"/>
      <c r="AM10" s="514"/>
      <c r="AN10" s="514">
        <v>-9368981</v>
      </c>
      <c r="AO10" s="514">
        <v>-10886349</v>
      </c>
      <c r="AP10" s="514">
        <v>-181577162</v>
      </c>
      <c r="AQ10" s="514">
        <v>-11461163</v>
      </c>
      <c r="AR10" s="514">
        <v>-11369270</v>
      </c>
      <c r="AS10" s="514">
        <v>-12784224</v>
      </c>
      <c r="AT10" s="514">
        <v>-33383947</v>
      </c>
      <c r="AU10" s="514">
        <v>-11556024</v>
      </c>
      <c r="AV10" s="514">
        <v>-11870459</v>
      </c>
      <c r="AW10" s="514">
        <v>-208264097</v>
      </c>
      <c r="AX10" s="514">
        <v>-22078194</v>
      </c>
      <c r="AY10" s="514">
        <v>-1325725860</v>
      </c>
      <c r="AZ10" s="514">
        <v>-454865223</v>
      </c>
      <c r="BA10" s="514">
        <v>-1295538741</v>
      </c>
      <c r="BB10" s="514">
        <v>-11304824</v>
      </c>
      <c r="BC10" s="514">
        <v>-62271990</v>
      </c>
      <c r="BD10" s="514">
        <v>-11802821</v>
      </c>
      <c r="BE10" s="514">
        <v>-11455724</v>
      </c>
      <c r="BF10" s="514">
        <v>-57423350</v>
      </c>
      <c r="BG10" s="514">
        <v>-8302038</v>
      </c>
      <c r="BH10" s="514">
        <v>-8471618</v>
      </c>
      <c r="BI10" s="514">
        <v>-770249979</v>
      </c>
      <c r="BJ10" s="514">
        <v>-92067047</v>
      </c>
      <c r="BK10" s="514">
        <v>-383755372</v>
      </c>
      <c r="BL10" s="514">
        <v>-67576364</v>
      </c>
      <c r="BM10" s="514">
        <v>-27632237</v>
      </c>
      <c r="BN10" s="514">
        <v>-2057175685</v>
      </c>
      <c r="BO10" s="514">
        <v>-1975329984</v>
      </c>
      <c r="BP10" s="514">
        <v>-92506890</v>
      </c>
      <c r="BQ10" s="514"/>
      <c r="BR10" s="514"/>
      <c r="BS10" s="514"/>
      <c r="BT10" s="514"/>
      <c r="BU10" s="514"/>
      <c r="BV10" s="514"/>
      <c r="BW10" s="514"/>
    </row>
    <row r="11" spans="1:75">
      <c r="A11" s="108">
        <v>8</v>
      </c>
      <c r="B11" s="109" t="s">
        <v>381</v>
      </c>
      <c r="C11" s="110">
        <v>28</v>
      </c>
      <c r="D11" s="516"/>
      <c r="E11" s="516"/>
      <c r="F11" s="516"/>
      <c r="G11" s="516"/>
      <c r="H11" s="516"/>
      <c r="I11" s="516"/>
      <c r="J11" s="516"/>
      <c r="K11" s="516"/>
      <c r="L11" s="516"/>
      <c r="M11" s="516"/>
      <c r="N11" s="516"/>
      <c r="O11" s="516"/>
      <c r="P11" s="516"/>
      <c r="Q11" s="516"/>
      <c r="R11" s="516"/>
      <c r="S11" s="516"/>
      <c r="T11" s="516"/>
      <c r="U11" s="516"/>
      <c r="V11" s="516"/>
      <c r="W11" s="516"/>
      <c r="X11" s="516"/>
      <c r="Y11" s="516"/>
      <c r="Z11" s="516"/>
      <c r="AA11" s="516"/>
      <c r="AB11" s="516"/>
      <c r="AC11" s="516"/>
      <c r="AD11" s="516"/>
      <c r="AE11" s="516"/>
      <c r="AF11" s="516"/>
      <c r="AG11" s="516"/>
      <c r="AH11" s="516"/>
      <c r="AI11" s="516"/>
      <c r="AJ11" s="516"/>
      <c r="AK11" s="516"/>
      <c r="AL11" s="516"/>
      <c r="AM11" s="516"/>
      <c r="AN11" s="516">
        <v>422755791</v>
      </c>
      <c r="AO11" s="516">
        <v>563909516</v>
      </c>
      <c r="AP11" s="516">
        <v>567924561</v>
      </c>
      <c r="AQ11" s="516">
        <v>840791009</v>
      </c>
      <c r="AR11" s="516">
        <v>961855770</v>
      </c>
      <c r="AS11" s="516">
        <v>1030712173</v>
      </c>
      <c r="AT11" s="516">
        <v>1160823006</v>
      </c>
      <c r="AU11" s="516">
        <v>939585045</v>
      </c>
      <c r="AV11" s="516">
        <v>859444105</v>
      </c>
      <c r="AW11" s="516">
        <v>840165515</v>
      </c>
      <c r="AX11" s="516">
        <v>889159081</v>
      </c>
      <c r="AY11" s="516">
        <v>1032562923</v>
      </c>
      <c r="AZ11" s="516">
        <v>739360517</v>
      </c>
      <c r="BA11" s="516">
        <v>1303843040</v>
      </c>
      <c r="BB11" s="516">
        <v>673966789</v>
      </c>
      <c r="BC11" s="516">
        <v>888393452</v>
      </c>
      <c r="BD11" s="516">
        <v>1186588729</v>
      </c>
      <c r="BE11" s="516">
        <v>1448899822</v>
      </c>
      <c r="BF11" s="516">
        <v>1242023326</v>
      </c>
      <c r="BG11" s="516">
        <v>1303560910</v>
      </c>
      <c r="BH11" s="516">
        <v>1595764355</v>
      </c>
      <c r="BI11" s="516">
        <v>1368802426</v>
      </c>
      <c r="BJ11" s="516">
        <v>1256132292</v>
      </c>
      <c r="BK11" s="516">
        <v>1256103396</v>
      </c>
      <c r="BL11" s="516">
        <v>1240115065</v>
      </c>
      <c r="BM11" s="516">
        <v>1156279418</v>
      </c>
      <c r="BN11" s="516">
        <v>959718564</v>
      </c>
      <c r="BO11" s="516">
        <v>1062084475</v>
      </c>
      <c r="BP11" s="516">
        <v>838836791</v>
      </c>
      <c r="BQ11" s="516"/>
      <c r="BR11" s="516"/>
      <c r="BS11" s="516"/>
      <c r="BT11" s="516"/>
      <c r="BU11" s="516"/>
      <c r="BV11" s="516"/>
      <c r="BW11" s="516"/>
    </row>
    <row r="12" spans="1:75">
      <c r="A12" s="108">
        <v>9</v>
      </c>
      <c r="B12" s="109" t="s">
        <v>382</v>
      </c>
      <c r="C12" s="114">
        <v>28</v>
      </c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  <c r="O12" s="12"/>
      <c r="P12" s="12"/>
      <c r="Q12" s="12"/>
      <c r="R12" s="12"/>
      <c r="S12" s="12"/>
      <c r="T12" s="12"/>
      <c r="U12" s="12"/>
      <c r="V12" s="12"/>
      <c r="W12" s="12"/>
      <c r="X12" s="12"/>
      <c r="Y12" s="12"/>
      <c r="Z12" s="12"/>
      <c r="AA12" s="12"/>
      <c r="AB12" s="12"/>
      <c r="AC12" s="12"/>
      <c r="AD12" s="12"/>
      <c r="AE12" s="12"/>
      <c r="AF12" s="12"/>
      <c r="AG12" s="12"/>
      <c r="AH12" s="12"/>
      <c r="AI12" s="12"/>
      <c r="AJ12" s="12"/>
      <c r="AK12" s="12"/>
      <c r="AL12" s="12"/>
      <c r="AM12" s="12"/>
      <c r="AN12" s="12">
        <v>-25035000</v>
      </c>
      <c r="AO12" s="12">
        <v>-4500869</v>
      </c>
      <c r="AP12" s="12">
        <v>-15342970</v>
      </c>
      <c r="AQ12" s="12">
        <v>-1400000</v>
      </c>
      <c r="AR12" s="12">
        <v>583594</v>
      </c>
      <c r="AS12" s="12">
        <v>2638761</v>
      </c>
      <c r="AT12" s="12">
        <v>-1603193</v>
      </c>
      <c r="AU12" s="12">
        <v>2915785</v>
      </c>
      <c r="AV12" s="12">
        <v>1137535</v>
      </c>
      <c r="AW12" s="12">
        <v>-2150926</v>
      </c>
      <c r="AX12" s="12">
        <v>2544907</v>
      </c>
      <c r="AY12" s="12">
        <v>-153600711</v>
      </c>
      <c r="AZ12" s="12">
        <v>5872690</v>
      </c>
      <c r="BA12" s="12">
        <v>-3800000</v>
      </c>
      <c r="BB12" s="12">
        <v>3397640</v>
      </c>
      <c r="BC12" s="12">
        <v>13981280</v>
      </c>
      <c r="BD12" s="12">
        <v>15477736</v>
      </c>
      <c r="BE12" s="12">
        <v>18540080</v>
      </c>
      <c r="BF12" s="12">
        <v>-93607732</v>
      </c>
      <c r="BG12" s="12">
        <v>15000048</v>
      </c>
      <c r="BH12" s="12">
        <v>10984820</v>
      </c>
      <c r="BI12" s="12">
        <v>24070392</v>
      </c>
      <c r="BJ12" s="12">
        <v>6071410</v>
      </c>
      <c r="BK12" s="12">
        <v>35991776</v>
      </c>
      <c r="BL12" s="12">
        <v>-128152205</v>
      </c>
      <c r="BM12" s="12">
        <v>-37583728</v>
      </c>
      <c r="BN12" s="12">
        <v>9104140</v>
      </c>
      <c r="BO12" s="12">
        <v>-461506970</v>
      </c>
      <c r="BP12" s="12">
        <v>-202818144</v>
      </c>
      <c r="BQ12" s="12"/>
      <c r="BR12" s="12"/>
      <c r="BS12" s="12"/>
      <c r="BT12" s="12"/>
      <c r="BU12" s="12"/>
      <c r="BV12" s="12"/>
      <c r="BW12" s="12"/>
    </row>
    <row r="13" spans="1:75">
      <c r="A13" s="115">
        <v>10</v>
      </c>
      <c r="B13" s="116" t="s">
        <v>383</v>
      </c>
      <c r="C13" s="117">
        <v>28</v>
      </c>
      <c r="D13" s="13">
        <f>SUM(D5:D12)</f>
        <v>0</v>
      </c>
      <c r="E13" s="13">
        <f t="shared" ref="E13:BK13" si="0">SUM(E5:E12)</f>
        <v>0</v>
      </c>
      <c r="F13" s="13">
        <f t="shared" si="0"/>
        <v>0</v>
      </c>
      <c r="G13" s="13">
        <f t="shared" si="0"/>
        <v>0</v>
      </c>
      <c r="H13" s="13">
        <f t="shared" si="0"/>
        <v>0</v>
      </c>
      <c r="I13" s="13">
        <f t="shared" si="0"/>
        <v>0</v>
      </c>
      <c r="J13" s="13">
        <f t="shared" si="0"/>
        <v>0</v>
      </c>
      <c r="K13" s="13">
        <f t="shared" si="0"/>
        <v>0</v>
      </c>
      <c r="L13" s="13">
        <f t="shared" si="0"/>
        <v>0</v>
      </c>
      <c r="M13" s="13">
        <f t="shared" si="0"/>
        <v>0</v>
      </c>
      <c r="N13" s="13">
        <f t="shared" si="0"/>
        <v>0</v>
      </c>
      <c r="O13" s="13">
        <f t="shared" si="0"/>
        <v>0</v>
      </c>
      <c r="P13" s="13">
        <f t="shared" si="0"/>
        <v>0</v>
      </c>
      <c r="Q13" s="13">
        <f t="shared" si="0"/>
        <v>0</v>
      </c>
      <c r="R13" s="13">
        <f t="shared" si="0"/>
        <v>0</v>
      </c>
      <c r="S13" s="13">
        <f t="shared" si="0"/>
        <v>0</v>
      </c>
      <c r="T13" s="13">
        <f t="shared" si="0"/>
        <v>0</v>
      </c>
      <c r="U13" s="13">
        <f t="shared" si="0"/>
        <v>0</v>
      </c>
      <c r="V13" s="13">
        <f t="shared" si="0"/>
        <v>0</v>
      </c>
      <c r="W13" s="13">
        <f t="shared" si="0"/>
        <v>0</v>
      </c>
      <c r="X13" s="13">
        <f t="shared" si="0"/>
        <v>0</v>
      </c>
      <c r="Y13" s="13">
        <f t="shared" si="0"/>
        <v>0</v>
      </c>
      <c r="Z13" s="13">
        <f t="shared" si="0"/>
        <v>0</v>
      </c>
      <c r="AA13" s="13">
        <f t="shared" si="0"/>
        <v>0</v>
      </c>
      <c r="AB13" s="13">
        <f t="shared" si="0"/>
        <v>0</v>
      </c>
      <c r="AC13" s="13">
        <f t="shared" si="0"/>
        <v>0</v>
      </c>
      <c r="AD13" s="13">
        <f t="shared" si="0"/>
        <v>0</v>
      </c>
      <c r="AE13" s="13">
        <f t="shared" si="0"/>
        <v>0</v>
      </c>
      <c r="AF13" s="13">
        <f t="shared" si="0"/>
        <v>0</v>
      </c>
      <c r="AG13" s="13">
        <f t="shared" si="0"/>
        <v>0</v>
      </c>
      <c r="AH13" s="13">
        <f t="shared" si="0"/>
        <v>0</v>
      </c>
      <c r="AI13" s="13">
        <f t="shared" si="0"/>
        <v>0</v>
      </c>
      <c r="AJ13" s="13">
        <f t="shared" si="0"/>
        <v>0</v>
      </c>
      <c r="AK13" s="13">
        <f t="shared" si="0"/>
        <v>0</v>
      </c>
      <c r="AL13" s="13">
        <f t="shared" si="0"/>
        <v>0</v>
      </c>
      <c r="AM13" s="13">
        <f t="shared" si="0"/>
        <v>0</v>
      </c>
      <c r="AN13" s="13">
        <f t="shared" si="0"/>
        <v>3548509194</v>
      </c>
      <c r="AO13" s="13">
        <f t="shared" si="0"/>
        <v>-2692231331</v>
      </c>
      <c r="AP13" s="13">
        <f t="shared" si="0"/>
        <v>1249376108</v>
      </c>
      <c r="AQ13" s="13">
        <f t="shared" si="0"/>
        <v>6430652668</v>
      </c>
      <c r="AR13" s="13">
        <f t="shared" si="0"/>
        <v>-1294083429</v>
      </c>
      <c r="AS13" s="13">
        <f t="shared" si="0"/>
        <v>-7067664309</v>
      </c>
      <c r="AT13" s="13">
        <f t="shared" si="0"/>
        <v>-9970648327</v>
      </c>
      <c r="AU13" s="13">
        <f t="shared" si="0"/>
        <v>-5034637842</v>
      </c>
      <c r="AV13" s="13">
        <f t="shared" si="0"/>
        <v>13117376914</v>
      </c>
      <c r="AW13" s="13">
        <f t="shared" si="0"/>
        <v>-2680457596</v>
      </c>
      <c r="AX13" s="13">
        <f t="shared" si="0"/>
        <v>-1210240562</v>
      </c>
      <c r="AY13" s="13">
        <f t="shared" si="0"/>
        <v>105942824710</v>
      </c>
      <c r="AZ13" s="13">
        <f t="shared" si="0"/>
        <v>7902165813</v>
      </c>
      <c r="BA13" s="13">
        <f t="shared" si="0"/>
        <v>20673251163</v>
      </c>
      <c r="BB13" s="13">
        <f t="shared" si="0"/>
        <v>12128228749</v>
      </c>
      <c r="BC13" s="13">
        <f t="shared" si="0"/>
        <v>9130171028</v>
      </c>
      <c r="BD13" s="13">
        <f t="shared" si="0"/>
        <v>15704492556</v>
      </c>
      <c r="BE13" s="13">
        <f t="shared" si="0"/>
        <v>6853393586</v>
      </c>
      <c r="BF13" s="13">
        <f t="shared" si="0"/>
        <v>5928681128</v>
      </c>
      <c r="BG13" s="13">
        <f t="shared" si="0"/>
        <v>8611889519</v>
      </c>
      <c r="BH13" s="13">
        <f t="shared" si="0"/>
        <v>-6273548199</v>
      </c>
      <c r="BI13" s="13">
        <f t="shared" si="0"/>
        <v>-424172644</v>
      </c>
      <c r="BJ13" s="13">
        <f t="shared" si="0"/>
        <v>-2263241036</v>
      </c>
      <c r="BK13" s="13">
        <f t="shared" si="0"/>
        <v>11929044745</v>
      </c>
      <c r="BL13" s="13">
        <v>75905973.805555344</v>
      </c>
      <c r="BM13" s="13">
        <v>-3986900576.1715136</v>
      </c>
      <c r="BN13" s="13">
        <v>-5930440691.5916672</v>
      </c>
      <c r="BO13" s="13">
        <v>6541997530.8307524</v>
      </c>
      <c r="BP13" s="13">
        <v>12482117118.76881</v>
      </c>
      <c r="BQ13" s="13">
        <f t="shared" ref="BQ13:BW13" si="1">SUM(BQ5:BQ12)</f>
        <v>0</v>
      </c>
      <c r="BR13" s="13">
        <f t="shared" si="1"/>
        <v>0</v>
      </c>
      <c r="BS13" s="13">
        <f t="shared" si="1"/>
        <v>0</v>
      </c>
      <c r="BT13" s="13">
        <f t="shared" si="1"/>
        <v>0</v>
      </c>
      <c r="BU13" s="13">
        <f t="shared" si="1"/>
        <v>0</v>
      </c>
      <c r="BV13" s="13">
        <f t="shared" si="1"/>
        <v>0</v>
      </c>
      <c r="BW13" s="13">
        <f t="shared" si="1"/>
        <v>0</v>
      </c>
    </row>
    <row r="14" spans="1:75">
      <c r="A14" s="118">
        <v>11</v>
      </c>
      <c r="B14" s="119" t="s">
        <v>384</v>
      </c>
      <c r="C14" s="110">
        <v>28</v>
      </c>
      <c r="D14" s="514"/>
      <c r="E14" s="514"/>
      <c r="F14" s="514"/>
      <c r="G14" s="514"/>
      <c r="H14" s="514"/>
      <c r="I14" s="514"/>
      <c r="J14" s="514"/>
      <c r="K14" s="514"/>
      <c r="L14" s="514"/>
      <c r="M14" s="514"/>
      <c r="N14" s="514"/>
      <c r="O14" s="514"/>
      <c r="P14" s="514"/>
      <c r="Q14" s="514"/>
      <c r="R14" s="514"/>
      <c r="S14" s="514"/>
      <c r="T14" s="514"/>
      <c r="U14" s="514"/>
      <c r="V14" s="514"/>
      <c r="W14" s="514"/>
      <c r="X14" s="514"/>
      <c r="Y14" s="514"/>
      <c r="Z14" s="514"/>
      <c r="AA14" s="514"/>
      <c r="AB14" s="514"/>
      <c r="AC14" s="514"/>
      <c r="AD14" s="514"/>
      <c r="AE14" s="514"/>
      <c r="AF14" s="514"/>
      <c r="AG14" s="514"/>
      <c r="AH14" s="514"/>
      <c r="AI14" s="514"/>
      <c r="AJ14" s="514"/>
      <c r="AK14" s="514"/>
      <c r="AL14" s="514"/>
      <c r="AM14" s="514"/>
      <c r="AN14" s="514">
        <v>-12246234123.139999</v>
      </c>
      <c r="AO14" s="514">
        <v>10826066152</v>
      </c>
      <c r="AP14" s="514">
        <v>-15227377699.860001</v>
      </c>
      <c r="AQ14" s="514">
        <v>-18242361446</v>
      </c>
      <c r="AR14" s="514">
        <v>-17831483386.748001</v>
      </c>
      <c r="AS14" s="514">
        <v>-24693912300</v>
      </c>
      <c r="AT14" s="514">
        <v>90882621825.229996</v>
      </c>
      <c r="AU14" s="514">
        <v>-25565536759</v>
      </c>
      <c r="AV14" s="514">
        <v>-37899408750</v>
      </c>
      <c r="AW14" s="514">
        <v>1909176260</v>
      </c>
      <c r="AX14" s="514">
        <v>-52509399614</v>
      </c>
      <c r="AY14" s="514">
        <v>52498955385.517998</v>
      </c>
      <c r="AZ14" s="514">
        <v>56768185813.482101</v>
      </c>
      <c r="BA14" s="514">
        <v>-36630991069.000099</v>
      </c>
      <c r="BB14" s="514">
        <v>-21020361595.482002</v>
      </c>
      <c r="BC14" s="514">
        <v>42835361084.481995</v>
      </c>
      <c r="BD14" s="514">
        <v>-43963636110</v>
      </c>
      <c r="BE14" s="514">
        <v>-4112398302.4820004</v>
      </c>
      <c r="BF14" s="514">
        <v>16922063061</v>
      </c>
      <c r="BG14" s="514">
        <v>-41954236295</v>
      </c>
      <c r="BH14" s="514">
        <v>72972973761</v>
      </c>
      <c r="BI14" s="514">
        <v>58464143238</v>
      </c>
      <c r="BJ14" s="514">
        <v>28256716493</v>
      </c>
      <c r="BK14" s="514">
        <v>-3535093080</v>
      </c>
      <c r="BL14" s="514">
        <v>41432499374</v>
      </c>
      <c r="BM14" s="514">
        <v>2218696211.5999985</v>
      </c>
      <c r="BN14" s="514">
        <v>-3343051671</v>
      </c>
      <c r="BO14" s="514">
        <v>42141861613</v>
      </c>
      <c r="BP14" s="514">
        <v>-77088604901</v>
      </c>
      <c r="BQ14" s="514"/>
      <c r="BR14" s="514"/>
      <c r="BS14" s="514"/>
      <c r="BT14" s="514"/>
      <c r="BU14" s="514"/>
      <c r="BV14" s="514"/>
      <c r="BW14" s="514"/>
    </row>
    <row r="15" spans="1:75">
      <c r="A15" s="120">
        <v>12</v>
      </c>
      <c r="B15" s="121" t="s">
        <v>385</v>
      </c>
      <c r="C15" s="110">
        <v>28</v>
      </c>
      <c r="D15" s="514"/>
      <c r="E15" s="514"/>
      <c r="F15" s="514"/>
      <c r="G15" s="514"/>
      <c r="H15" s="514"/>
      <c r="I15" s="514"/>
      <c r="J15" s="514"/>
      <c r="K15" s="514"/>
      <c r="L15" s="514"/>
      <c r="M15" s="514"/>
      <c r="N15" s="514"/>
      <c r="O15" s="514"/>
      <c r="P15" s="514"/>
      <c r="Q15" s="514"/>
      <c r="R15" s="514"/>
      <c r="S15" s="514"/>
      <c r="T15" s="514"/>
      <c r="U15" s="514"/>
      <c r="V15" s="514"/>
      <c r="W15" s="514"/>
      <c r="X15" s="514"/>
      <c r="Y15" s="514"/>
      <c r="Z15" s="514"/>
      <c r="AA15" s="514"/>
      <c r="AB15" s="514"/>
      <c r="AC15" s="514"/>
      <c r="AD15" s="514"/>
      <c r="AE15" s="514"/>
      <c r="AF15" s="514"/>
      <c r="AG15" s="514"/>
      <c r="AH15" s="514"/>
      <c r="AI15" s="514"/>
      <c r="AJ15" s="514"/>
      <c r="AK15" s="514"/>
      <c r="AL15" s="514"/>
      <c r="AM15" s="514"/>
      <c r="AN15" s="514">
        <v>-49549238548</v>
      </c>
      <c r="AO15" s="514">
        <v>-7205281194</v>
      </c>
      <c r="AP15" s="514">
        <v>-39860295459</v>
      </c>
      <c r="AQ15" s="514">
        <v>-40452344147.022003</v>
      </c>
      <c r="AR15" s="514">
        <v>-40018610715.370003</v>
      </c>
      <c r="AS15" s="514">
        <v>-22253771084</v>
      </c>
      <c r="AT15" s="514">
        <v>-21156666302.23</v>
      </c>
      <c r="AU15" s="514">
        <v>40083282616</v>
      </c>
      <c r="AV15" s="514">
        <v>-10488525390</v>
      </c>
      <c r="AW15" s="514">
        <v>4230963655</v>
      </c>
      <c r="AX15" s="514">
        <v>-41785285643</v>
      </c>
      <c r="AY15" s="514">
        <v>-14397208765</v>
      </c>
      <c r="AZ15" s="514">
        <v>34011025895</v>
      </c>
      <c r="BA15" s="514">
        <v>80139198645</v>
      </c>
      <c r="BB15" s="514">
        <v>19508416867</v>
      </c>
      <c r="BC15" s="514">
        <v>-54306536082</v>
      </c>
      <c r="BD15" s="514">
        <v>-5114288511</v>
      </c>
      <c r="BE15" s="514">
        <v>-19711706985</v>
      </c>
      <c r="BF15" s="514">
        <v>-14594923828</v>
      </c>
      <c r="BG15" s="514">
        <v>1610031161</v>
      </c>
      <c r="BH15" s="514">
        <v>-3350477118</v>
      </c>
      <c r="BI15" s="514">
        <v>20252490813</v>
      </c>
      <c r="BJ15" s="514">
        <v>-2228980661</v>
      </c>
      <c r="BK15" s="514">
        <v>-12498581726</v>
      </c>
      <c r="BL15" s="514">
        <v>21674615442.676445</v>
      </c>
      <c r="BM15" s="514">
        <v>30446005143.171513</v>
      </c>
      <c r="BN15" s="514">
        <v>80461160034.591675</v>
      </c>
      <c r="BO15" s="514">
        <v>59925649917.16925</v>
      </c>
      <c r="BP15" s="514">
        <v>6975646285.2311888</v>
      </c>
      <c r="BQ15" s="514"/>
      <c r="BR15" s="514"/>
      <c r="BS15" s="514"/>
      <c r="BT15" s="514"/>
      <c r="BU15" s="514"/>
      <c r="BV15" s="514"/>
      <c r="BW15" s="514"/>
    </row>
    <row r="16" spans="1:75">
      <c r="A16" s="122">
        <v>13</v>
      </c>
      <c r="B16" s="123" t="s">
        <v>386</v>
      </c>
      <c r="C16" s="113">
        <v>28</v>
      </c>
      <c r="D16" s="517"/>
      <c r="E16" s="517"/>
      <c r="F16" s="517"/>
      <c r="G16" s="517"/>
      <c r="H16" s="517"/>
      <c r="I16" s="517"/>
      <c r="J16" s="517"/>
      <c r="K16" s="517"/>
      <c r="L16" s="517"/>
      <c r="M16" s="517"/>
      <c r="N16" s="517"/>
      <c r="O16" s="517"/>
      <c r="P16" s="517"/>
      <c r="Q16" s="517"/>
      <c r="R16" s="517"/>
      <c r="S16" s="517"/>
      <c r="T16" s="517"/>
      <c r="U16" s="517"/>
      <c r="V16" s="517"/>
      <c r="W16" s="517"/>
      <c r="X16" s="517"/>
      <c r="Y16" s="517"/>
      <c r="Z16" s="517"/>
      <c r="AA16" s="517"/>
      <c r="AB16" s="517"/>
      <c r="AC16" s="517"/>
      <c r="AD16" s="517"/>
      <c r="AE16" s="517"/>
      <c r="AF16" s="517"/>
      <c r="AG16" s="517"/>
      <c r="AH16" s="517"/>
      <c r="AI16" s="517"/>
      <c r="AJ16" s="517"/>
      <c r="AK16" s="517"/>
      <c r="AL16" s="517"/>
      <c r="AM16" s="517"/>
      <c r="AN16" s="517">
        <v>8012642277.1399994</v>
      </c>
      <c r="AO16" s="517">
        <v>4278312829</v>
      </c>
      <c r="AP16" s="517">
        <v>3821000527.8600006</v>
      </c>
      <c r="AQ16" s="517">
        <v>17456991667.021999</v>
      </c>
      <c r="AR16" s="517">
        <v>27971780976.118</v>
      </c>
      <c r="AS16" s="517">
        <v>28656935853</v>
      </c>
      <c r="AT16" s="517">
        <v>13949162110</v>
      </c>
      <c r="AU16" s="517">
        <v>15821078146</v>
      </c>
      <c r="AV16" s="517">
        <v>36706376899</v>
      </c>
      <c r="AW16" s="517">
        <v>12026587562</v>
      </c>
      <c r="AX16" s="517">
        <v>46633842767</v>
      </c>
      <c r="AY16" s="517">
        <v>-144613571973.51801</v>
      </c>
      <c r="AZ16" s="517">
        <v>-21447246879.482002</v>
      </c>
      <c r="BA16" s="517">
        <v>-11100930173</v>
      </c>
      <c r="BB16" s="517">
        <v>-27710273222.517998</v>
      </c>
      <c r="BC16" s="517">
        <v>-27154040090.482002</v>
      </c>
      <c r="BD16" s="517">
        <v>7561434255</v>
      </c>
      <c r="BE16" s="517">
        <v>5449153266.4820023</v>
      </c>
      <c r="BF16" s="517">
        <v>-28894530585.999901</v>
      </c>
      <c r="BG16" s="517">
        <v>-675180367</v>
      </c>
      <c r="BH16" s="517">
        <v>-35023233265.000099</v>
      </c>
      <c r="BI16" s="517">
        <v>-11083861146</v>
      </c>
      <c r="BJ16" s="517">
        <v>-26268904249</v>
      </c>
      <c r="BK16" s="517">
        <v>-14914992666</v>
      </c>
      <c r="BL16" s="517">
        <v>-9880013016.4820004</v>
      </c>
      <c r="BM16" s="517">
        <v>-30314729949.599998</v>
      </c>
      <c r="BN16" s="517">
        <v>-14991190710</v>
      </c>
      <c r="BO16" s="517">
        <v>-18812121522</v>
      </c>
      <c r="BP16" s="517">
        <v>4374295809</v>
      </c>
      <c r="BQ16" s="517"/>
      <c r="BR16" s="517"/>
      <c r="BS16" s="517"/>
      <c r="BT16" s="517"/>
      <c r="BU16" s="517"/>
      <c r="BV16" s="517"/>
      <c r="BW16" s="517"/>
    </row>
    <row r="17" spans="1:75">
      <c r="A17" s="118">
        <v>14</v>
      </c>
      <c r="B17" s="119" t="s">
        <v>387</v>
      </c>
      <c r="C17" s="110">
        <v>28</v>
      </c>
      <c r="D17" s="514"/>
      <c r="E17" s="514"/>
      <c r="F17" s="514"/>
      <c r="G17" s="514"/>
      <c r="H17" s="514"/>
      <c r="I17" s="514"/>
      <c r="J17" s="514"/>
      <c r="K17" s="514"/>
      <c r="L17" s="514"/>
      <c r="M17" s="514"/>
      <c r="N17" s="514"/>
      <c r="O17" s="514"/>
      <c r="P17" s="514"/>
      <c r="Q17" s="514"/>
      <c r="R17" s="514"/>
      <c r="S17" s="514"/>
      <c r="T17" s="514"/>
      <c r="U17" s="514"/>
      <c r="V17" s="514"/>
      <c r="W17" s="514"/>
      <c r="X17" s="514"/>
      <c r="Y17" s="514"/>
      <c r="Z17" s="514"/>
      <c r="AA17" s="514"/>
      <c r="AB17" s="514"/>
      <c r="AC17" s="514"/>
      <c r="AD17" s="514"/>
      <c r="AE17" s="514"/>
      <c r="AF17" s="514"/>
      <c r="AG17" s="514"/>
      <c r="AH17" s="514"/>
      <c r="AI17" s="514"/>
      <c r="AJ17" s="514"/>
      <c r="AK17" s="514"/>
      <c r="AL17" s="514"/>
      <c r="AM17" s="514"/>
      <c r="AN17" s="514">
        <v>138419414</v>
      </c>
      <c r="AO17" s="514">
        <v>-195536893</v>
      </c>
      <c r="AP17" s="514">
        <v>208271418</v>
      </c>
      <c r="AQ17" s="514">
        <v>-156105027</v>
      </c>
      <c r="AR17" s="514">
        <v>163996298</v>
      </c>
      <c r="AS17" s="514">
        <v>223255844</v>
      </c>
      <c r="AT17" s="514">
        <v>-51586114</v>
      </c>
      <c r="AU17" s="514">
        <v>-547678801</v>
      </c>
      <c r="AV17" s="514">
        <v>259681006</v>
      </c>
      <c r="AW17" s="514">
        <v>-52949085</v>
      </c>
      <c r="AX17" s="514">
        <v>371337406</v>
      </c>
      <c r="AY17" s="514">
        <v>-201730567</v>
      </c>
      <c r="AZ17" s="514">
        <v>-594058884</v>
      </c>
      <c r="BA17" s="514">
        <v>-4016083188</v>
      </c>
      <c r="BB17" s="514">
        <v>609477126</v>
      </c>
      <c r="BC17" s="514">
        <v>1329395572</v>
      </c>
      <c r="BD17" s="514">
        <v>730927901</v>
      </c>
      <c r="BE17" s="514">
        <v>-6018972917</v>
      </c>
      <c r="BF17" s="514">
        <v>-908214055</v>
      </c>
      <c r="BG17" s="514">
        <v>-861781925</v>
      </c>
      <c r="BH17" s="514">
        <v>2426045734</v>
      </c>
      <c r="BI17" s="514">
        <v>1597604553</v>
      </c>
      <c r="BJ17" s="514">
        <v>2650850606</v>
      </c>
      <c r="BK17" s="514">
        <v>110030657</v>
      </c>
      <c r="BL17" s="514">
        <v>2029033267</v>
      </c>
      <c r="BM17" s="514">
        <v>1056446575</v>
      </c>
      <c r="BN17" s="514">
        <v>-110001747</v>
      </c>
      <c r="BO17" s="514">
        <v>-779099093</v>
      </c>
      <c r="BP17" s="514">
        <v>-1203019891</v>
      </c>
      <c r="BQ17" s="514"/>
      <c r="BR17" s="514"/>
      <c r="BS17" s="514"/>
      <c r="BT17" s="514"/>
      <c r="BU17" s="514"/>
      <c r="BV17" s="514"/>
      <c r="BW17" s="514"/>
    </row>
    <row r="18" spans="1:75">
      <c r="A18" s="118">
        <v>15</v>
      </c>
      <c r="B18" s="119" t="s">
        <v>388</v>
      </c>
      <c r="C18" s="110">
        <v>28</v>
      </c>
      <c r="D18" s="516"/>
      <c r="E18" s="516"/>
      <c r="F18" s="516"/>
      <c r="G18" s="516"/>
      <c r="H18" s="516"/>
      <c r="I18" s="516"/>
      <c r="J18" s="516"/>
      <c r="K18" s="516"/>
      <c r="L18" s="516"/>
      <c r="M18" s="516"/>
      <c r="N18" s="516"/>
      <c r="O18" s="516"/>
      <c r="P18" s="516"/>
      <c r="Q18" s="516"/>
      <c r="R18" s="516"/>
      <c r="S18" s="516"/>
      <c r="T18" s="516"/>
      <c r="U18" s="516"/>
      <c r="V18" s="516"/>
      <c r="W18" s="516"/>
      <c r="X18" s="516"/>
      <c r="Y18" s="516"/>
      <c r="Z18" s="516"/>
      <c r="AA18" s="516"/>
      <c r="AB18" s="516"/>
      <c r="AC18" s="516"/>
      <c r="AD18" s="516"/>
      <c r="AE18" s="516"/>
      <c r="AF18" s="516"/>
      <c r="AG18" s="516"/>
      <c r="AH18" s="516"/>
      <c r="AI18" s="516"/>
      <c r="AJ18" s="516"/>
      <c r="AK18" s="516"/>
      <c r="AL18" s="516"/>
      <c r="AM18" s="516"/>
      <c r="AN18" s="516">
        <v>0</v>
      </c>
      <c r="AO18" s="516">
        <v>0</v>
      </c>
      <c r="AP18" s="516">
        <v>0</v>
      </c>
      <c r="AQ18" s="516">
        <v>0</v>
      </c>
      <c r="AR18" s="516">
        <v>0</v>
      </c>
      <c r="AS18" s="516">
        <v>0</v>
      </c>
      <c r="AT18" s="516">
        <v>0</v>
      </c>
      <c r="AU18" s="516">
        <v>0</v>
      </c>
      <c r="AV18" s="516">
        <v>0</v>
      </c>
      <c r="AW18" s="516">
        <v>0</v>
      </c>
      <c r="AX18" s="516">
        <v>0</v>
      </c>
      <c r="AY18" s="516">
        <v>0</v>
      </c>
      <c r="AZ18" s="516">
        <v>0</v>
      </c>
      <c r="BA18" s="516">
        <v>0</v>
      </c>
      <c r="BB18" s="516">
        <v>0</v>
      </c>
      <c r="BC18" s="516">
        <v>0</v>
      </c>
      <c r="BD18" s="516">
        <v>0</v>
      </c>
      <c r="BE18" s="516">
        <v>0</v>
      </c>
      <c r="BF18" s="516">
        <v>0</v>
      </c>
      <c r="BG18" s="516">
        <v>0</v>
      </c>
      <c r="BH18" s="516">
        <v>0</v>
      </c>
      <c r="BI18" s="516">
        <v>0</v>
      </c>
      <c r="BJ18" s="516">
        <v>0</v>
      </c>
      <c r="BK18" s="516">
        <v>0</v>
      </c>
      <c r="BL18" s="516">
        <v>0</v>
      </c>
      <c r="BM18" s="516">
        <v>0</v>
      </c>
      <c r="BN18" s="516">
        <v>0</v>
      </c>
      <c r="BO18" s="516">
        <v>0</v>
      </c>
      <c r="BP18" s="516">
        <v>0</v>
      </c>
      <c r="BQ18" s="516"/>
      <c r="BR18" s="516"/>
      <c r="BS18" s="516"/>
      <c r="BT18" s="516"/>
      <c r="BU18" s="516"/>
      <c r="BV18" s="516"/>
      <c r="BW18" s="516"/>
    </row>
    <row r="19" spans="1:75">
      <c r="A19" s="118">
        <v>16</v>
      </c>
      <c r="B19" s="119" t="s">
        <v>389</v>
      </c>
      <c r="C19" s="110">
        <v>28</v>
      </c>
      <c r="D19" s="514"/>
      <c r="E19" s="514"/>
      <c r="F19" s="514"/>
      <c r="G19" s="514"/>
      <c r="H19" s="514"/>
      <c r="I19" s="514"/>
      <c r="J19" s="514"/>
      <c r="K19" s="514"/>
      <c r="L19" s="514"/>
      <c r="M19" s="514"/>
      <c r="N19" s="514"/>
      <c r="O19" s="514"/>
      <c r="P19" s="514"/>
      <c r="Q19" s="514"/>
      <c r="R19" s="514"/>
      <c r="S19" s="514"/>
      <c r="T19" s="514"/>
      <c r="U19" s="514"/>
      <c r="V19" s="514"/>
      <c r="W19" s="514"/>
      <c r="X19" s="514"/>
      <c r="Y19" s="514"/>
      <c r="Z19" s="514"/>
      <c r="AA19" s="514"/>
      <c r="AB19" s="514"/>
      <c r="AC19" s="514"/>
      <c r="AD19" s="514"/>
      <c r="AE19" s="514"/>
      <c r="AF19" s="514"/>
      <c r="AG19" s="514"/>
      <c r="AH19" s="514"/>
      <c r="AI19" s="514"/>
      <c r="AJ19" s="514"/>
      <c r="AK19" s="514"/>
      <c r="AL19" s="514"/>
      <c r="AM19" s="514"/>
      <c r="AN19" s="514">
        <v>-422755791</v>
      </c>
      <c r="AO19" s="514">
        <v>-563909516</v>
      </c>
      <c r="AP19" s="514">
        <v>-567924561</v>
      </c>
      <c r="AQ19" s="514">
        <v>-840791009</v>
      </c>
      <c r="AR19" s="514">
        <v>-961855770</v>
      </c>
      <c r="AS19" s="514">
        <v>-1030712173</v>
      </c>
      <c r="AT19" s="514">
        <v>-1160823006</v>
      </c>
      <c r="AU19" s="514">
        <v>-939585045</v>
      </c>
      <c r="AV19" s="514">
        <v>-859444105</v>
      </c>
      <c r="AW19" s="514">
        <v>-840165515</v>
      </c>
      <c r="AX19" s="514">
        <v>-889159081</v>
      </c>
      <c r="AY19" s="514">
        <v>-1032562923</v>
      </c>
      <c r="AZ19" s="514">
        <v>-739360517</v>
      </c>
      <c r="BA19" s="514">
        <v>-1303843040</v>
      </c>
      <c r="BB19" s="514">
        <v>-673966789</v>
      </c>
      <c r="BC19" s="514">
        <v>-888393452</v>
      </c>
      <c r="BD19" s="514">
        <v>-1186588729</v>
      </c>
      <c r="BE19" s="514">
        <v>-1448899822</v>
      </c>
      <c r="BF19" s="514">
        <v>-1242023326</v>
      </c>
      <c r="BG19" s="514">
        <v>-1303560910</v>
      </c>
      <c r="BH19" s="514">
        <v>-1595764355</v>
      </c>
      <c r="BI19" s="514">
        <v>-1368802426</v>
      </c>
      <c r="BJ19" s="514">
        <v>-1256132292</v>
      </c>
      <c r="BK19" s="514">
        <v>-1256103396</v>
      </c>
      <c r="BL19" s="514">
        <v>-1240115065</v>
      </c>
      <c r="BM19" s="514">
        <v>-1156279418</v>
      </c>
      <c r="BN19" s="514">
        <v>-959718564</v>
      </c>
      <c r="BO19" s="514">
        <v>-1062084475</v>
      </c>
      <c r="BP19" s="514">
        <v>-838836791</v>
      </c>
      <c r="BQ19" s="514"/>
      <c r="BR19" s="514"/>
      <c r="BS19" s="514"/>
      <c r="BT19" s="514"/>
      <c r="BU19" s="514"/>
      <c r="BV19" s="514"/>
      <c r="BW19" s="514"/>
    </row>
    <row r="20" spans="1:75">
      <c r="A20" s="118">
        <v>17</v>
      </c>
      <c r="B20" s="119" t="s">
        <v>390</v>
      </c>
      <c r="C20" s="110">
        <v>28</v>
      </c>
      <c r="D20" s="514"/>
      <c r="E20" s="514"/>
      <c r="F20" s="514"/>
      <c r="G20" s="514"/>
      <c r="H20" s="514"/>
      <c r="I20" s="514"/>
      <c r="J20" s="514"/>
      <c r="K20" s="514"/>
      <c r="L20" s="514"/>
      <c r="M20" s="514"/>
      <c r="N20" s="514"/>
      <c r="O20" s="514"/>
      <c r="P20" s="514"/>
      <c r="Q20" s="514"/>
      <c r="R20" s="514"/>
      <c r="S20" s="514"/>
      <c r="T20" s="514"/>
      <c r="U20" s="514"/>
      <c r="V20" s="514"/>
      <c r="W20" s="514"/>
      <c r="X20" s="514"/>
      <c r="Y20" s="514"/>
      <c r="Z20" s="514"/>
      <c r="AA20" s="514"/>
      <c r="AB20" s="514"/>
      <c r="AC20" s="514"/>
      <c r="AD20" s="514"/>
      <c r="AE20" s="514"/>
      <c r="AF20" s="514"/>
      <c r="AG20" s="514"/>
      <c r="AH20" s="514"/>
      <c r="AI20" s="514"/>
      <c r="AJ20" s="514"/>
      <c r="AK20" s="514"/>
      <c r="AL20" s="514"/>
      <c r="AM20" s="514"/>
      <c r="AN20" s="514">
        <v>0</v>
      </c>
      <c r="AO20" s="514">
        <v>-6372627736</v>
      </c>
      <c r="AP20" s="514">
        <v>0</v>
      </c>
      <c r="AQ20" s="514">
        <v>-1567047590</v>
      </c>
      <c r="AR20" s="514">
        <v>0</v>
      </c>
      <c r="AS20" s="514">
        <v>0</v>
      </c>
      <c r="AT20" s="514">
        <v>-4839738089</v>
      </c>
      <c r="AU20" s="514">
        <v>0</v>
      </c>
      <c r="AV20" s="514">
        <v>0</v>
      </c>
      <c r="AW20" s="514">
        <v>0</v>
      </c>
      <c r="AX20" s="514">
        <v>0</v>
      </c>
      <c r="AY20" s="514">
        <v>0</v>
      </c>
      <c r="AZ20" s="514">
        <v>0</v>
      </c>
      <c r="BA20" s="514">
        <v>0</v>
      </c>
      <c r="BB20" s="514">
        <v>0</v>
      </c>
      <c r="BC20" s="514">
        <v>0</v>
      </c>
      <c r="BD20" s="514">
        <v>0</v>
      </c>
      <c r="BE20" s="514">
        <v>0</v>
      </c>
      <c r="BF20" s="514">
        <v>0</v>
      </c>
      <c r="BG20" s="514">
        <v>0</v>
      </c>
      <c r="BH20" s="514">
        <v>0</v>
      </c>
      <c r="BI20" s="514">
        <v>0</v>
      </c>
      <c r="BJ20" s="514">
        <v>0</v>
      </c>
      <c r="BK20" s="514">
        <v>0</v>
      </c>
      <c r="BL20" s="514">
        <v>-400000000</v>
      </c>
      <c r="BM20" s="514">
        <v>0</v>
      </c>
      <c r="BN20" s="514">
        <v>-61321716</v>
      </c>
      <c r="BO20" s="514">
        <v>91454412</v>
      </c>
      <c r="BP20" s="514">
        <v>0</v>
      </c>
      <c r="BQ20" s="514"/>
      <c r="BR20" s="514"/>
      <c r="BS20" s="514"/>
      <c r="BT20" s="514"/>
      <c r="BU20" s="514"/>
      <c r="BV20" s="514"/>
      <c r="BW20" s="514"/>
    </row>
    <row r="21" spans="1:75">
      <c r="A21" s="118">
        <v>18</v>
      </c>
      <c r="B21" s="119" t="s">
        <v>391</v>
      </c>
      <c r="C21" s="124">
        <v>28</v>
      </c>
      <c r="D21" s="518"/>
      <c r="E21" s="518"/>
      <c r="F21" s="518"/>
      <c r="G21" s="518"/>
      <c r="H21" s="518"/>
      <c r="I21" s="518"/>
      <c r="J21" s="518"/>
      <c r="K21" s="518"/>
      <c r="L21" s="518"/>
      <c r="M21" s="518"/>
      <c r="N21" s="518"/>
      <c r="O21" s="518"/>
      <c r="P21" s="518"/>
      <c r="Q21" s="518"/>
      <c r="R21" s="518"/>
      <c r="S21" s="518"/>
      <c r="T21" s="518"/>
      <c r="U21" s="518"/>
      <c r="V21" s="518"/>
      <c r="W21" s="518"/>
      <c r="X21" s="518"/>
      <c r="Y21" s="518"/>
      <c r="Z21" s="518"/>
      <c r="AA21" s="518"/>
      <c r="AB21" s="518"/>
      <c r="AC21" s="518"/>
      <c r="AD21" s="518"/>
      <c r="AE21" s="518"/>
      <c r="AF21" s="518"/>
      <c r="AG21" s="518"/>
      <c r="AH21" s="518"/>
      <c r="AI21" s="518"/>
      <c r="AJ21" s="518"/>
      <c r="AK21" s="518"/>
      <c r="AL21" s="518"/>
      <c r="AM21" s="518"/>
      <c r="AN21" s="518">
        <v>33300285459</v>
      </c>
      <c r="AO21" s="518">
        <v>581261898</v>
      </c>
      <c r="AP21" s="518">
        <v>295846464</v>
      </c>
      <c r="AQ21" s="518">
        <v>6044827458</v>
      </c>
      <c r="AR21" s="518">
        <v>0</v>
      </c>
      <c r="AS21" s="518">
        <v>183077251</v>
      </c>
      <c r="AT21" s="518">
        <v>0</v>
      </c>
      <c r="AU21" s="518">
        <v>0</v>
      </c>
      <c r="AV21" s="518">
        <v>0</v>
      </c>
      <c r="AW21" s="518">
        <v>0</v>
      </c>
      <c r="AX21" s="518">
        <v>44753129</v>
      </c>
      <c r="AY21" s="518">
        <v>100064303</v>
      </c>
      <c r="AZ21" s="518">
        <v>0</v>
      </c>
      <c r="BA21" s="518">
        <v>310813567</v>
      </c>
      <c r="BB21" s="518">
        <v>0</v>
      </c>
      <c r="BC21" s="518">
        <v>0</v>
      </c>
      <c r="BD21" s="518">
        <v>1602926131</v>
      </c>
      <c r="BE21" s="518">
        <v>1730001720</v>
      </c>
      <c r="BF21" s="518">
        <v>0</v>
      </c>
      <c r="BG21" s="518">
        <v>1725983270</v>
      </c>
      <c r="BH21" s="518">
        <v>0</v>
      </c>
      <c r="BI21" s="518">
        <v>0</v>
      </c>
      <c r="BJ21" s="518">
        <v>0</v>
      </c>
      <c r="BK21" s="518">
        <v>0</v>
      </c>
      <c r="BL21" s="518">
        <v>0</v>
      </c>
      <c r="BM21" s="518">
        <v>0</v>
      </c>
      <c r="BN21" s="518">
        <v>0</v>
      </c>
      <c r="BO21" s="518">
        <v>157635856</v>
      </c>
      <c r="BP21" s="518">
        <v>0</v>
      </c>
      <c r="BQ21" s="518"/>
      <c r="BR21" s="518"/>
      <c r="BS21" s="518"/>
      <c r="BT21" s="518"/>
      <c r="BU21" s="518"/>
      <c r="BV21" s="518"/>
      <c r="BW21" s="518"/>
    </row>
    <row r="22" spans="1:75">
      <c r="A22" s="118">
        <v>19</v>
      </c>
      <c r="B22" s="119" t="s">
        <v>392</v>
      </c>
      <c r="C22" s="114">
        <v>28</v>
      </c>
      <c r="D22" s="12"/>
      <c r="E22" s="12"/>
      <c r="F22" s="12"/>
      <c r="G22" s="12"/>
      <c r="H22" s="12"/>
      <c r="I22" s="12"/>
      <c r="J22" s="12"/>
      <c r="K22" s="12"/>
      <c r="L22" s="12"/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  <c r="AE22" s="12"/>
      <c r="AF22" s="12"/>
      <c r="AG22" s="12"/>
      <c r="AH22" s="12"/>
      <c r="AI22" s="12"/>
      <c r="AJ22" s="12"/>
      <c r="AK22" s="12"/>
      <c r="AL22" s="12"/>
      <c r="AM22" s="12"/>
      <c r="AN22" s="12">
        <v>-556985123</v>
      </c>
      <c r="AO22" s="12">
        <v>0</v>
      </c>
      <c r="AP22" s="12">
        <v>-2626029698</v>
      </c>
      <c r="AQ22" s="12">
        <v>-1520939337</v>
      </c>
      <c r="AR22" s="12">
        <v>-231157127</v>
      </c>
      <c r="AS22" s="12">
        <v>-168183405</v>
      </c>
      <c r="AT22" s="12">
        <v>-7757502843</v>
      </c>
      <c r="AU22" s="12">
        <v>-843147474</v>
      </c>
      <c r="AV22" s="12">
        <v>-778536028</v>
      </c>
      <c r="AW22" s="12">
        <v>-88004798</v>
      </c>
      <c r="AX22" s="12">
        <v>0</v>
      </c>
      <c r="AY22" s="12">
        <v>0</v>
      </c>
      <c r="AZ22" s="12">
        <v>-2457877506</v>
      </c>
      <c r="BA22" s="12">
        <v>0</v>
      </c>
      <c r="BB22" s="12">
        <v>-46111316</v>
      </c>
      <c r="BC22" s="12">
        <v>-2524601239</v>
      </c>
      <c r="BD22" s="12">
        <v>0</v>
      </c>
      <c r="BE22" s="12">
        <v>0</v>
      </c>
      <c r="BF22" s="12">
        <v>-5614800580</v>
      </c>
      <c r="BG22" s="12">
        <v>0</v>
      </c>
      <c r="BH22" s="12">
        <v>-1667537838</v>
      </c>
      <c r="BI22" s="12">
        <v>-284344487</v>
      </c>
      <c r="BJ22" s="12">
        <v>-527732656</v>
      </c>
      <c r="BK22" s="12">
        <v>-1260571042</v>
      </c>
      <c r="BL22" s="12">
        <v>-7231426096</v>
      </c>
      <c r="BM22" s="12">
        <v>-2359246078</v>
      </c>
      <c r="BN22" s="12">
        <v>-3805554912</v>
      </c>
      <c r="BO22" s="12">
        <v>0</v>
      </c>
      <c r="BP22" s="12">
        <v>-270608817</v>
      </c>
      <c r="BQ22" s="12"/>
      <c r="BR22" s="12"/>
      <c r="BS22" s="12"/>
      <c r="BT22" s="12"/>
      <c r="BU22" s="12"/>
      <c r="BV22" s="12"/>
      <c r="BW22" s="12"/>
    </row>
    <row r="23" spans="1:75">
      <c r="A23" s="101">
        <v>20</v>
      </c>
      <c r="B23" s="125" t="s">
        <v>220</v>
      </c>
      <c r="C23" s="126">
        <v>28</v>
      </c>
      <c r="D23" s="14">
        <f>SUM(D13:D22)</f>
        <v>0</v>
      </c>
      <c r="E23" s="14">
        <f t="shared" ref="E23:BK23" si="2">SUM(E13:E22)</f>
        <v>0</v>
      </c>
      <c r="F23" s="14">
        <f t="shared" si="2"/>
        <v>0</v>
      </c>
      <c r="G23" s="14">
        <f t="shared" si="2"/>
        <v>0</v>
      </c>
      <c r="H23" s="14">
        <f t="shared" si="2"/>
        <v>0</v>
      </c>
      <c r="I23" s="14">
        <f t="shared" si="2"/>
        <v>0</v>
      </c>
      <c r="J23" s="14">
        <f t="shared" si="2"/>
        <v>0</v>
      </c>
      <c r="K23" s="14">
        <f t="shared" si="2"/>
        <v>0</v>
      </c>
      <c r="L23" s="14">
        <f t="shared" si="2"/>
        <v>0</v>
      </c>
      <c r="M23" s="14">
        <f t="shared" si="2"/>
        <v>0</v>
      </c>
      <c r="N23" s="14">
        <f t="shared" si="2"/>
        <v>0</v>
      </c>
      <c r="O23" s="14">
        <f t="shared" si="2"/>
        <v>0</v>
      </c>
      <c r="P23" s="14">
        <f t="shared" si="2"/>
        <v>0</v>
      </c>
      <c r="Q23" s="14">
        <f t="shared" si="2"/>
        <v>0</v>
      </c>
      <c r="R23" s="14">
        <f t="shared" si="2"/>
        <v>0</v>
      </c>
      <c r="S23" s="14">
        <f t="shared" si="2"/>
        <v>0</v>
      </c>
      <c r="T23" s="14">
        <f t="shared" si="2"/>
        <v>0</v>
      </c>
      <c r="U23" s="14">
        <f t="shared" si="2"/>
        <v>0</v>
      </c>
      <c r="V23" s="14">
        <f t="shared" si="2"/>
        <v>0</v>
      </c>
      <c r="W23" s="14">
        <f t="shared" si="2"/>
        <v>0</v>
      </c>
      <c r="X23" s="14">
        <f t="shared" si="2"/>
        <v>0</v>
      </c>
      <c r="Y23" s="14">
        <f t="shared" si="2"/>
        <v>0</v>
      </c>
      <c r="Z23" s="14">
        <f t="shared" si="2"/>
        <v>0</v>
      </c>
      <c r="AA23" s="14">
        <f t="shared" si="2"/>
        <v>0</v>
      </c>
      <c r="AB23" s="14">
        <f t="shared" si="2"/>
        <v>0</v>
      </c>
      <c r="AC23" s="14">
        <f t="shared" si="2"/>
        <v>0</v>
      </c>
      <c r="AD23" s="14">
        <f t="shared" si="2"/>
        <v>0</v>
      </c>
      <c r="AE23" s="14">
        <f t="shared" si="2"/>
        <v>0</v>
      </c>
      <c r="AF23" s="14">
        <f t="shared" si="2"/>
        <v>0</v>
      </c>
      <c r="AG23" s="14">
        <f t="shared" si="2"/>
        <v>0</v>
      </c>
      <c r="AH23" s="14">
        <f t="shared" si="2"/>
        <v>0</v>
      </c>
      <c r="AI23" s="14">
        <f t="shared" si="2"/>
        <v>0</v>
      </c>
      <c r="AJ23" s="14">
        <f t="shared" si="2"/>
        <v>0</v>
      </c>
      <c r="AK23" s="14">
        <f t="shared" si="2"/>
        <v>0</v>
      </c>
      <c r="AL23" s="14">
        <f t="shared" si="2"/>
        <v>0</v>
      </c>
      <c r="AM23" s="14">
        <f t="shared" si="2"/>
        <v>0</v>
      </c>
      <c r="AN23" s="14">
        <f t="shared" si="2"/>
        <v>-17775357241</v>
      </c>
      <c r="AO23" s="14">
        <f t="shared" si="2"/>
        <v>-1343945791</v>
      </c>
      <c r="AP23" s="14">
        <f t="shared" si="2"/>
        <v>-52707132900</v>
      </c>
      <c r="AQ23" s="14">
        <f t="shared" si="2"/>
        <v>-32847116763</v>
      </c>
      <c r="AR23" s="14">
        <f t="shared" si="2"/>
        <v>-32201413154.000004</v>
      </c>
      <c r="AS23" s="14">
        <f t="shared" si="2"/>
        <v>-26150974323</v>
      </c>
      <c r="AT23" s="14">
        <f t="shared" si="2"/>
        <v>59894819254</v>
      </c>
      <c r="AU23" s="14">
        <f t="shared" si="2"/>
        <v>22973774841</v>
      </c>
      <c r="AV23" s="14">
        <f t="shared" si="2"/>
        <v>57520546</v>
      </c>
      <c r="AW23" s="14">
        <f t="shared" si="2"/>
        <v>14505150483</v>
      </c>
      <c r="AX23" s="14">
        <f t="shared" si="2"/>
        <v>-49344151598</v>
      </c>
      <c r="AY23" s="14">
        <f t="shared" si="2"/>
        <v>-1703229830</v>
      </c>
      <c r="AZ23" s="14">
        <f t="shared" si="2"/>
        <v>73442833735.000092</v>
      </c>
      <c r="BA23" s="14">
        <f t="shared" si="2"/>
        <v>48071415904.999901</v>
      </c>
      <c r="BB23" s="14">
        <f t="shared" si="2"/>
        <v>-17204590181</v>
      </c>
      <c r="BC23" s="14">
        <f t="shared" si="2"/>
        <v>-31578643179.000008</v>
      </c>
      <c r="BD23" s="14">
        <f t="shared" si="2"/>
        <v>-24664732507</v>
      </c>
      <c r="BE23" s="14">
        <f t="shared" si="2"/>
        <v>-17259429454</v>
      </c>
      <c r="BF23" s="14">
        <f t="shared" si="2"/>
        <v>-28403748185.999901</v>
      </c>
      <c r="BG23" s="14">
        <f t="shared" si="2"/>
        <v>-32846855547</v>
      </c>
      <c r="BH23" s="14">
        <f t="shared" si="2"/>
        <v>27488458719.999901</v>
      </c>
      <c r="BI23" s="14">
        <f t="shared" si="2"/>
        <v>67153057901</v>
      </c>
      <c r="BJ23" s="14">
        <f t="shared" si="2"/>
        <v>-1637423795</v>
      </c>
      <c r="BK23" s="14">
        <f t="shared" si="2"/>
        <v>-21426266508</v>
      </c>
      <c r="BL23" s="14">
        <v>46460499880</v>
      </c>
      <c r="BM23" s="14">
        <v>-4096008092</v>
      </c>
      <c r="BN23" s="14">
        <v>51259880023</v>
      </c>
      <c r="BO23" s="14">
        <v>88205294239</v>
      </c>
      <c r="BP23" s="14">
        <v>-55569011187</v>
      </c>
      <c r="BQ23" s="14">
        <f t="shared" ref="BQ23:BW23" si="3">SUM(BQ13:BQ22)</f>
        <v>0</v>
      </c>
      <c r="BR23" s="14">
        <f t="shared" si="3"/>
        <v>0</v>
      </c>
      <c r="BS23" s="14">
        <f t="shared" si="3"/>
        <v>0</v>
      </c>
      <c r="BT23" s="14">
        <f t="shared" si="3"/>
        <v>0</v>
      </c>
      <c r="BU23" s="14">
        <f t="shared" si="3"/>
        <v>0</v>
      </c>
      <c r="BV23" s="14">
        <f t="shared" si="3"/>
        <v>0</v>
      </c>
      <c r="BW23" s="14">
        <f t="shared" si="3"/>
        <v>0</v>
      </c>
    </row>
    <row r="24" spans="1:75">
      <c r="A24" s="101">
        <v>21</v>
      </c>
      <c r="B24" s="102" t="s">
        <v>221</v>
      </c>
      <c r="C24" s="127">
        <v>28</v>
      </c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  <c r="AA24" s="15"/>
      <c r="AB24" s="15"/>
      <c r="AC24" s="15"/>
      <c r="AD24" s="15"/>
      <c r="AE24" s="15"/>
      <c r="AF24" s="15"/>
      <c r="AG24" s="15"/>
      <c r="AH24" s="15"/>
      <c r="AI24" s="15"/>
      <c r="AJ24" s="15"/>
      <c r="AK24" s="15"/>
      <c r="AL24" s="15"/>
      <c r="AM24" s="15"/>
      <c r="AN24" s="15"/>
      <c r="AO24" s="15"/>
      <c r="AP24" s="15"/>
      <c r="AQ24" s="15"/>
      <c r="AR24" s="15"/>
      <c r="AS24" s="15"/>
      <c r="AT24" s="15"/>
      <c r="AU24" s="15"/>
      <c r="AV24" s="15"/>
      <c r="AW24" s="15"/>
      <c r="AX24" s="15"/>
      <c r="AY24" s="15"/>
      <c r="AZ24" s="15"/>
      <c r="BA24" s="15">
        <v>0</v>
      </c>
      <c r="BB24" s="15"/>
      <c r="BC24" s="15"/>
      <c r="BD24" s="15"/>
      <c r="BE24" s="15"/>
      <c r="BF24" s="15"/>
      <c r="BG24" s="15"/>
      <c r="BH24" s="15"/>
      <c r="BI24" s="15"/>
      <c r="BJ24" s="15"/>
      <c r="BK24" s="15"/>
      <c r="BL24" s="15">
        <v>0</v>
      </c>
      <c r="BM24" s="15">
        <v>0</v>
      </c>
      <c r="BN24" s="15">
        <v>0</v>
      </c>
      <c r="BO24" s="15">
        <v>0</v>
      </c>
      <c r="BP24" s="15">
        <v>0</v>
      </c>
      <c r="BQ24" s="15"/>
      <c r="BR24" s="15"/>
      <c r="BS24" s="15"/>
      <c r="BT24" s="15"/>
      <c r="BU24" s="15"/>
      <c r="BV24" s="15"/>
      <c r="BW24" s="15"/>
    </row>
    <row r="25" spans="1:75">
      <c r="A25" s="128">
        <v>22</v>
      </c>
      <c r="B25" s="129" t="s">
        <v>393</v>
      </c>
      <c r="C25" s="113">
        <v>28</v>
      </c>
      <c r="D25" s="517"/>
      <c r="E25" s="517"/>
      <c r="F25" s="517"/>
      <c r="G25" s="517"/>
      <c r="H25" s="517"/>
      <c r="I25" s="517"/>
      <c r="J25" s="517"/>
      <c r="K25" s="517"/>
      <c r="L25" s="517"/>
      <c r="M25" s="517"/>
      <c r="N25" s="517"/>
      <c r="O25" s="517"/>
      <c r="P25" s="517"/>
      <c r="Q25" s="517"/>
      <c r="R25" s="517"/>
      <c r="S25" s="517"/>
      <c r="T25" s="517"/>
      <c r="U25" s="517"/>
      <c r="V25" s="517"/>
      <c r="W25" s="517"/>
      <c r="X25" s="517"/>
      <c r="Y25" s="517"/>
      <c r="Z25" s="517"/>
      <c r="AA25" s="517"/>
      <c r="AB25" s="517"/>
      <c r="AC25" s="517"/>
      <c r="AD25" s="517"/>
      <c r="AE25" s="517"/>
      <c r="AF25" s="517"/>
      <c r="AG25" s="517"/>
      <c r="AH25" s="517"/>
      <c r="AI25" s="517"/>
      <c r="AJ25" s="517"/>
      <c r="AK25" s="517"/>
      <c r="AL25" s="517"/>
      <c r="AM25" s="517"/>
      <c r="AN25" s="517">
        <v>-4433253562</v>
      </c>
      <c r="AO25" s="517">
        <v>-4806499635</v>
      </c>
      <c r="AP25" s="517">
        <v>-1178976480</v>
      </c>
      <c r="AQ25" s="517">
        <v>-2137822833</v>
      </c>
      <c r="AR25" s="517">
        <v>-1997868497</v>
      </c>
      <c r="AS25" s="517">
        <v>-779289764</v>
      </c>
      <c r="AT25" s="517">
        <v>-1731396930</v>
      </c>
      <c r="AU25" s="517">
        <v>-587684497</v>
      </c>
      <c r="AV25" s="517">
        <v>-737051257</v>
      </c>
      <c r="AW25" s="517">
        <v>-2432817561</v>
      </c>
      <c r="AX25" s="517">
        <v>-4956702014.9965801</v>
      </c>
      <c r="AY25" s="517">
        <v>-10070018910.996582</v>
      </c>
      <c r="AZ25" s="517">
        <v>-9821622713</v>
      </c>
      <c r="BA25" s="517">
        <v>-2791142302</v>
      </c>
      <c r="BB25" s="517">
        <v>-5471315854</v>
      </c>
      <c r="BC25" s="517">
        <v>-3883627959</v>
      </c>
      <c r="BD25" s="517">
        <v>-9506285511</v>
      </c>
      <c r="BE25" s="517">
        <v>-7002001812</v>
      </c>
      <c r="BF25" s="517">
        <v>1109740305</v>
      </c>
      <c r="BG25" s="517">
        <v>-4865692586</v>
      </c>
      <c r="BH25" s="517">
        <v>-12299284463</v>
      </c>
      <c r="BI25" s="517">
        <v>-16012258392</v>
      </c>
      <c r="BJ25" s="517">
        <v>-5017993937</v>
      </c>
      <c r="BK25" s="517">
        <v>-11567056729</v>
      </c>
      <c r="BL25" s="517">
        <v>1844370204</v>
      </c>
      <c r="BM25" s="517">
        <v>-22551974424</v>
      </c>
      <c r="BN25" s="517">
        <v>-6819813192</v>
      </c>
      <c r="BO25" s="517">
        <v>-24665546926</v>
      </c>
      <c r="BP25" s="517">
        <v>-3477189108</v>
      </c>
      <c r="BQ25" s="517"/>
      <c r="BR25" s="517"/>
      <c r="BS25" s="517"/>
      <c r="BT25" s="517"/>
      <c r="BU25" s="517"/>
      <c r="BV25" s="517"/>
      <c r="BW25" s="517"/>
    </row>
    <row r="26" spans="1:75">
      <c r="A26" s="128">
        <v>23</v>
      </c>
      <c r="B26" s="129" t="s">
        <v>394</v>
      </c>
      <c r="C26" s="124">
        <v>28</v>
      </c>
      <c r="D26" s="519"/>
      <c r="E26" s="519"/>
      <c r="F26" s="519"/>
      <c r="G26" s="519"/>
      <c r="H26" s="519"/>
      <c r="I26" s="519"/>
      <c r="J26" s="519"/>
      <c r="K26" s="519"/>
      <c r="L26" s="519"/>
      <c r="M26" s="519"/>
      <c r="N26" s="519"/>
      <c r="O26" s="519"/>
      <c r="P26" s="519"/>
      <c r="Q26" s="519"/>
      <c r="R26" s="519"/>
      <c r="S26" s="519"/>
      <c r="T26" s="519"/>
      <c r="U26" s="519"/>
      <c r="V26" s="519"/>
      <c r="W26" s="519"/>
      <c r="X26" s="519"/>
      <c r="Y26" s="519"/>
      <c r="Z26" s="519"/>
      <c r="AA26" s="519"/>
      <c r="AB26" s="519"/>
      <c r="AC26" s="519"/>
      <c r="AD26" s="519"/>
      <c r="AE26" s="519"/>
      <c r="AF26" s="519"/>
      <c r="AG26" s="519"/>
      <c r="AH26" s="519"/>
      <c r="AI26" s="519"/>
      <c r="AJ26" s="519"/>
      <c r="AK26" s="519"/>
      <c r="AL26" s="519"/>
      <c r="AM26" s="519"/>
      <c r="AN26" s="519">
        <v>0</v>
      </c>
      <c r="AO26" s="519">
        <v>0</v>
      </c>
      <c r="AP26" s="519">
        <v>0</v>
      </c>
      <c r="AQ26" s="519">
        <v>81700000</v>
      </c>
      <c r="AR26" s="519">
        <v>0</v>
      </c>
      <c r="AS26" s="519">
        <v>0</v>
      </c>
      <c r="AT26" s="519">
        <v>0</v>
      </c>
      <c r="AU26" s="519">
        <v>0</v>
      </c>
      <c r="AV26" s="519">
        <v>0</v>
      </c>
      <c r="AW26" s="519">
        <v>0</v>
      </c>
      <c r="AX26" s="519">
        <v>0</v>
      </c>
      <c r="AY26" s="519">
        <v>0</v>
      </c>
      <c r="AZ26" s="519">
        <v>0</v>
      </c>
      <c r="BA26" s="519">
        <v>0</v>
      </c>
      <c r="BB26" s="519">
        <v>0</v>
      </c>
      <c r="BC26" s="519">
        <v>623633187</v>
      </c>
      <c r="BD26" s="519">
        <v>95000000</v>
      </c>
      <c r="BE26" s="519">
        <v>226000000</v>
      </c>
      <c r="BF26" s="519">
        <v>0</v>
      </c>
      <c r="BG26" s="519">
        <v>226000000</v>
      </c>
      <c r="BH26" s="519">
        <v>0</v>
      </c>
      <c r="BI26" s="519">
        <v>0</v>
      </c>
      <c r="BJ26" s="519">
        <v>0</v>
      </c>
      <c r="BK26" s="519">
        <v>0</v>
      </c>
      <c r="BL26" s="519">
        <v>0</v>
      </c>
      <c r="BM26" s="519">
        <v>0</v>
      </c>
      <c r="BN26" s="519">
        <v>0</v>
      </c>
      <c r="BO26" s="519">
        <v>0</v>
      </c>
      <c r="BP26" s="519">
        <v>0</v>
      </c>
      <c r="BQ26" s="519"/>
      <c r="BR26" s="519"/>
      <c r="BS26" s="519"/>
      <c r="BT26" s="519"/>
      <c r="BU26" s="519"/>
      <c r="BV26" s="519"/>
      <c r="BW26" s="519"/>
    </row>
    <row r="27" spans="1:75">
      <c r="A27" s="128">
        <v>24</v>
      </c>
      <c r="B27" s="129" t="s">
        <v>395</v>
      </c>
      <c r="C27" s="124">
        <v>28</v>
      </c>
      <c r="D27" s="520"/>
      <c r="E27" s="520"/>
      <c r="F27" s="520"/>
      <c r="G27" s="520"/>
      <c r="H27" s="520"/>
      <c r="I27" s="520"/>
      <c r="J27" s="520"/>
      <c r="K27" s="520"/>
      <c r="L27" s="520"/>
      <c r="M27" s="520"/>
      <c r="N27" s="520"/>
      <c r="O27" s="520"/>
      <c r="P27" s="520"/>
      <c r="Q27" s="520"/>
      <c r="R27" s="520"/>
      <c r="S27" s="520"/>
      <c r="T27" s="520"/>
      <c r="U27" s="520"/>
      <c r="V27" s="520"/>
      <c r="W27" s="520"/>
      <c r="X27" s="520"/>
      <c r="Y27" s="520"/>
      <c r="Z27" s="520"/>
      <c r="AA27" s="520"/>
      <c r="AB27" s="520"/>
      <c r="AC27" s="520"/>
      <c r="AD27" s="520"/>
      <c r="AE27" s="520"/>
      <c r="AF27" s="520"/>
      <c r="AG27" s="520"/>
      <c r="AH27" s="520"/>
      <c r="AI27" s="520"/>
      <c r="AJ27" s="520"/>
      <c r="AK27" s="520"/>
      <c r="AL27" s="520"/>
      <c r="AM27" s="520"/>
      <c r="AN27" s="520">
        <v>0</v>
      </c>
      <c r="AO27" s="520">
        <v>0</v>
      </c>
      <c r="AP27" s="520">
        <v>0</v>
      </c>
      <c r="AQ27" s="520">
        <v>0</v>
      </c>
      <c r="AR27" s="520">
        <v>0</v>
      </c>
      <c r="AS27" s="520">
        <v>0</v>
      </c>
      <c r="AT27" s="520">
        <v>0</v>
      </c>
      <c r="AU27" s="520">
        <v>0</v>
      </c>
      <c r="AV27" s="520">
        <v>0</v>
      </c>
      <c r="AW27" s="520">
        <v>0</v>
      </c>
      <c r="AX27" s="520">
        <v>0</v>
      </c>
      <c r="AY27" s="520">
        <v>0</v>
      </c>
      <c r="AZ27" s="520">
        <v>-2000000000</v>
      </c>
      <c r="BA27" s="520">
        <v>2000000000</v>
      </c>
      <c r="BB27" s="520">
        <v>-37000000000</v>
      </c>
      <c r="BC27" s="520">
        <v>-30000000000</v>
      </c>
      <c r="BD27" s="520">
        <v>-10000000000</v>
      </c>
      <c r="BE27" s="520">
        <v>0</v>
      </c>
      <c r="BF27" s="520">
        <v>0</v>
      </c>
      <c r="BG27" s="520">
        <v>0</v>
      </c>
      <c r="BH27" s="520">
        <v>0</v>
      </c>
      <c r="BI27" s="520">
        <v>-20000000000</v>
      </c>
      <c r="BJ27" s="520">
        <v>-20000000000</v>
      </c>
      <c r="BK27" s="520">
        <v>-5500000000</v>
      </c>
      <c r="BL27" s="520">
        <v>0</v>
      </c>
      <c r="BM27" s="520">
        <v>-12000000000</v>
      </c>
      <c r="BN27" s="520">
        <v>-18200000000</v>
      </c>
      <c r="BO27" s="520">
        <v>-20800000000</v>
      </c>
      <c r="BP27" s="520">
        <v>-37000000000</v>
      </c>
      <c r="BQ27" s="520"/>
      <c r="BR27" s="520"/>
      <c r="BS27" s="520"/>
      <c r="BT27" s="520"/>
      <c r="BU27" s="520"/>
      <c r="BV27" s="520"/>
      <c r="BW27" s="520"/>
    </row>
    <row r="28" spans="1:75">
      <c r="A28" s="128">
        <v>25</v>
      </c>
      <c r="B28" s="129" t="s">
        <v>396</v>
      </c>
      <c r="C28" s="124">
        <v>28</v>
      </c>
      <c r="D28" s="519"/>
      <c r="E28" s="519"/>
      <c r="F28" s="519"/>
      <c r="G28" s="519"/>
      <c r="H28" s="519"/>
      <c r="I28" s="519"/>
      <c r="J28" s="519"/>
      <c r="K28" s="519"/>
      <c r="L28" s="519"/>
      <c r="M28" s="519"/>
      <c r="N28" s="519"/>
      <c r="O28" s="519"/>
      <c r="P28" s="519"/>
      <c r="Q28" s="519"/>
      <c r="R28" s="519"/>
      <c r="S28" s="519"/>
      <c r="T28" s="519"/>
      <c r="U28" s="519"/>
      <c r="V28" s="519"/>
      <c r="W28" s="519"/>
      <c r="X28" s="519"/>
      <c r="Y28" s="519"/>
      <c r="Z28" s="519"/>
      <c r="AA28" s="519"/>
      <c r="AB28" s="519"/>
      <c r="AC28" s="519"/>
      <c r="AD28" s="519"/>
      <c r="AE28" s="519"/>
      <c r="AF28" s="519"/>
      <c r="AG28" s="519"/>
      <c r="AH28" s="519"/>
      <c r="AI28" s="519"/>
      <c r="AJ28" s="519"/>
      <c r="AK28" s="519"/>
      <c r="AL28" s="519"/>
      <c r="AM28" s="519"/>
      <c r="AN28" s="519">
        <v>0</v>
      </c>
      <c r="AO28" s="519">
        <v>0</v>
      </c>
      <c r="AP28" s="519">
        <v>0</v>
      </c>
      <c r="AQ28" s="519">
        <v>0</v>
      </c>
      <c r="AR28" s="519">
        <v>0</v>
      </c>
      <c r="AS28" s="519">
        <v>0</v>
      </c>
      <c r="AT28" s="519">
        <v>0</v>
      </c>
      <c r="AU28" s="519">
        <v>0</v>
      </c>
      <c r="AV28" s="519">
        <v>0</v>
      </c>
      <c r="AW28" s="519">
        <v>0</v>
      </c>
      <c r="AX28" s="519">
        <v>0</v>
      </c>
      <c r="AY28" s="519">
        <v>0</v>
      </c>
      <c r="AZ28" s="519">
        <v>0</v>
      </c>
      <c r="BA28" s="519">
        <v>0</v>
      </c>
      <c r="BB28" s="519">
        <v>0</v>
      </c>
      <c r="BC28" s="519">
        <v>5500000000</v>
      </c>
      <c r="BD28" s="519">
        <v>0</v>
      </c>
      <c r="BE28" s="519">
        <v>0</v>
      </c>
      <c r="BF28" s="519">
        <v>15000000000</v>
      </c>
      <c r="BG28" s="519">
        <v>0</v>
      </c>
      <c r="BH28" s="519">
        <v>12000000000</v>
      </c>
      <c r="BI28" s="519">
        <v>10000000000</v>
      </c>
      <c r="BJ28" s="519">
        <v>30000000000</v>
      </c>
      <c r="BK28" s="519">
        <v>25000000000</v>
      </c>
      <c r="BL28" s="519">
        <v>0</v>
      </c>
      <c r="BM28" s="519">
        <v>0</v>
      </c>
      <c r="BN28" s="519">
        <v>3000000000</v>
      </c>
      <c r="BO28" s="519">
        <v>6200000000</v>
      </c>
      <c r="BP28" s="519">
        <v>42000000000</v>
      </c>
      <c r="BQ28" s="519"/>
      <c r="BR28" s="519"/>
      <c r="BS28" s="519"/>
      <c r="BT28" s="519"/>
      <c r="BU28" s="519"/>
      <c r="BV28" s="519"/>
      <c r="BW28" s="519"/>
    </row>
    <row r="29" spans="1:75">
      <c r="A29" s="128">
        <v>26</v>
      </c>
      <c r="B29" s="129" t="s">
        <v>397</v>
      </c>
      <c r="C29" s="110">
        <v>28</v>
      </c>
      <c r="D29" s="514"/>
      <c r="E29" s="514"/>
      <c r="F29" s="514"/>
      <c r="G29" s="514"/>
      <c r="H29" s="514"/>
      <c r="I29" s="514"/>
      <c r="J29" s="514"/>
      <c r="K29" s="514"/>
      <c r="L29" s="514"/>
      <c r="M29" s="514"/>
      <c r="N29" s="514"/>
      <c r="O29" s="514"/>
      <c r="P29" s="514"/>
      <c r="Q29" s="514"/>
      <c r="R29" s="514"/>
      <c r="S29" s="514"/>
      <c r="T29" s="514"/>
      <c r="U29" s="514"/>
      <c r="V29" s="514"/>
      <c r="W29" s="514"/>
      <c r="X29" s="514"/>
      <c r="Y29" s="514"/>
      <c r="Z29" s="514"/>
      <c r="AA29" s="514"/>
      <c r="AB29" s="514"/>
      <c r="AC29" s="514"/>
      <c r="AD29" s="514"/>
      <c r="AE29" s="514"/>
      <c r="AF29" s="514"/>
      <c r="AG29" s="514"/>
      <c r="AH29" s="514"/>
      <c r="AI29" s="514"/>
      <c r="AJ29" s="514"/>
      <c r="AK29" s="514"/>
      <c r="AL29" s="514"/>
      <c r="AM29" s="514"/>
      <c r="AN29" s="514">
        <v>0</v>
      </c>
      <c r="AO29" s="514">
        <v>0</v>
      </c>
      <c r="AP29" s="514">
        <v>0</v>
      </c>
      <c r="AQ29" s="514">
        <v>0</v>
      </c>
      <c r="AR29" s="514">
        <v>0</v>
      </c>
      <c r="AS29" s="514">
        <v>0</v>
      </c>
      <c r="AT29" s="514">
        <v>0</v>
      </c>
      <c r="AU29" s="514">
        <v>0</v>
      </c>
      <c r="AV29" s="514">
        <v>-830000000</v>
      </c>
      <c r="AW29" s="514">
        <v>0</v>
      </c>
      <c r="AX29" s="514">
        <v>0</v>
      </c>
      <c r="AY29" s="514">
        <v>0</v>
      </c>
      <c r="AZ29" s="514">
        <v>0</v>
      </c>
      <c r="BA29" s="514">
        <v>0</v>
      </c>
      <c r="BB29" s="514">
        <v>0</v>
      </c>
      <c r="BC29" s="514">
        <v>0</v>
      </c>
      <c r="BD29" s="514">
        <v>0</v>
      </c>
      <c r="BE29" s="514">
        <v>0</v>
      </c>
      <c r="BF29" s="514">
        <v>0</v>
      </c>
      <c r="BG29" s="514">
        <v>0</v>
      </c>
      <c r="BH29" s="514">
        <v>0</v>
      </c>
      <c r="BI29" s="514">
        <v>0</v>
      </c>
      <c r="BJ29" s="514">
        <v>0</v>
      </c>
      <c r="BK29" s="514">
        <v>0</v>
      </c>
      <c r="BL29" s="514">
        <v>0</v>
      </c>
      <c r="BM29" s="514">
        <v>0</v>
      </c>
      <c r="BN29" s="514">
        <v>0</v>
      </c>
      <c r="BO29" s="514">
        <v>0</v>
      </c>
      <c r="BP29" s="514">
        <v>0</v>
      </c>
      <c r="BQ29" s="514"/>
      <c r="BR29" s="514"/>
      <c r="BS29" s="514"/>
      <c r="BT29" s="514"/>
      <c r="BU29" s="514"/>
      <c r="BV29" s="514"/>
      <c r="BW29" s="514"/>
    </row>
    <row r="30" spans="1:75">
      <c r="A30" s="128">
        <v>27</v>
      </c>
      <c r="B30" s="129" t="s">
        <v>398</v>
      </c>
      <c r="C30" s="124">
        <v>28</v>
      </c>
      <c r="D30" s="518"/>
      <c r="E30" s="518"/>
      <c r="F30" s="518"/>
      <c r="G30" s="518"/>
      <c r="H30" s="518"/>
      <c r="I30" s="518"/>
      <c r="J30" s="518"/>
      <c r="K30" s="518"/>
      <c r="L30" s="518"/>
      <c r="M30" s="518"/>
      <c r="N30" s="518"/>
      <c r="O30" s="518"/>
      <c r="P30" s="518"/>
      <c r="Q30" s="518"/>
      <c r="R30" s="518"/>
      <c r="S30" s="518"/>
      <c r="T30" s="518"/>
      <c r="U30" s="518"/>
      <c r="V30" s="518"/>
      <c r="W30" s="518"/>
      <c r="X30" s="518"/>
      <c r="Y30" s="518"/>
      <c r="Z30" s="518"/>
      <c r="AA30" s="518"/>
      <c r="AB30" s="518"/>
      <c r="AC30" s="518"/>
      <c r="AD30" s="518"/>
      <c r="AE30" s="518"/>
      <c r="AF30" s="518"/>
      <c r="AG30" s="518"/>
      <c r="AH30" s="518"/>
      <c r="AI30" s="518"/>
      <c r="AJ30" s="518"/>
      <c r="AK30" s="518"/>
      <c r="AL30" s="518"/>
      <c r="AM30" s="518"/>
      <c r="AN30" s="518">
        <v>0</v>
      </c>
      <c r="AO30" s="518">
        <v>0</v>
      </c>
      <c r="AP30" s="518">
        <v>0</v>
      </c>
      <c r="AQ30" s="518">
        <v>0</v>
      </c>
      <c r="AR30" s="518">
        <v>0</v>
      </c>
      <c r="AS30" s="518">
        <v>0</v>
      </c>
      <c r="AT30" s="518">
        <v>0</v>
      </c>
      <c r="AU30" s="518">
        <v>0</v>
      </c>
      <c r="AV30" s="518">
        <v>0</v>
      </c>
      <c r="AW30" s="518">
        <v>0</v>
      </c>
      <c r="AX30" s="518">
        <v>0</v>
      </c>
      <c r="AY30" s="518">
        <v>0</v>
      </c>
      <c r="AZ30" s="518">
        <v>0</v>
      </c>
      <c r="BA30" s="518">
        <v>0</v>
      </c>
      <c r="BB30" s="518">
        <v>0</v>
      </c>
      <c r="BC30" s="518">
        <v>0</v>
      </c>
      <c r="BD30" s="518">
        <v>0</v>
      </c>
      <c r="BE30" s="518">
        <v>0</v>
      </c>
      <c r="BF30" s="518">
        <v>0</v>
      </c>
      <c r="BG30" s="518">
        <v>0</v>
      </c>
      <c r="BH30" s="518">
        <v>0</v>
      </c>
      <c r="BI30" s="518">
        <v>0</v>
      </c>
      <c r="BJ30" s="518">
        <v>0</v>
      </c>
      <c r="BK30" s="518">
        <v>0</v>
      </c>
      <c r="BL30" s="518">
        <v>0</v>
      </c>
      <c r="BM30" s="518">
        <v>0</v>
      </c>
      <c r="BN30" s="518">
        <v>0</v>
      </c>
      <c r="BO30" s="518">
        <v>0</v>
      </c>
      <c r="BP30" s="518">
        <v>0</v>
      </c>
      <c r="BQ30" s="518"/>
      <c r="BR30" s="518"/>
      <c r="BS30" s="518"/>
      <c r="BT30" s="518"/>
      <c r="BU30" s="518"/>
      <c r="BV30" s="518"/>
      <c r="BW30" s="518"/>
    </row>
    <row r="31" spans="1:75">
      <c r="A31" s="128">
        <v>28</v>
      </c>
      <c r="B31" s="129" t="s">
        <v>399</v>
      </c>
      <c r="C31" s="110">
        <v>28</v>
      </c>
      <c r="D31" s="514"/>
      <c r="E31" s="514"/>
      <c r="F31" s="514"/>
      <c r="G31" s="514"/>
      <c r="H31" s="514"/>
      <c r="I31" s="514"/>
      <c r="J31" s="514"/>
      <c r="K31" s="514"/>
      <c r="L31" s="514"/>
      <c r="M31" s="514"/>
      <c r="N31" s="514"/>
      <c r="O31" s="514"/>
      <c r="P31" s="514"/>
      <c r="Q31" s="514"/>
      <c r="R31" s="514"/>
      <c r="S31" s="514"/>
      <c r="T31" s="514"/>
      <c r="U31" s="514"/>
      <c r="V31" s="514"/>
      <c r="W31" s="514"/>
      <c r="X31" s="514"/>
      <c r="Y31" s="514"/>
      <c r="Z31" s="514"/>
      <c r="AA31" s="514"/>
      <c r="AB31" s="514"/>
      <c r="AC31" s="514"/>
      <c r="AD31" s="514"/>
      <c r="AE31" s="514"/>
      <c r="AF31" s="514"/>
      <c r="AG31" s="514"/>
      <c r="AH31" s="514"/>
      <c r="AI31" s="514"/>
      <c r="AJ31" s="514"/>
      <c r="AK31" s="514"/>
      <c r="AL31" s="514"/>
      <c r="AM31" s="514"/>
      <c r="AN31" s="514">
        <v>9408148</v>
      </c>
      <c r="AO31" s="514">
        <v>10891376</v>
      </c>
      <c r="AP31" s="514">
        <v>181597914</v>
      </c>
      <c r="AQ31" s="514">
        <v>11428642</v>
      </c>
      <c r="AR31" s="514">
        <v>11345250</v>
      </c>
      <c r="AS31" s="514">
        <v>12767732</v>
      </c>
      <c r="AT31" s="514">
        <v>33371970</v>
      </c>
      <c r="AU31" s="514">
        <v>11541316</v>
      </c>
      <c r="AV31" s="514">
        <v>11865736</v>
      </c>
      <c r="AW31" s="514">
        <v>208247257</v>
      </c>
      <c r="AX31" s="514">
        <v>12331934</v>
      </c>
      <c r="AY31" s="514">
        <v>1325716773</v>
      </c>
      <c r="AZ31" s="514">
        <v>454849601</v>
      </c>
      <c r="BA31" s="514">
        <v>1295527254</v>
      </c>
      <c r="BB31" s="514">
        <v>11296757</v>
      </c>
      <c r="BC31" s="514">
        <v>62251036</v>
      </c>
      <c r="BD31" s="514">
        <v>11791098</v>
      </c>
      <c r="BE31" s="514">
        <v>11447590</v>
      </c>
      <c r="BF31" s="514">
        <v>57408816</v>
      </c>
      <c r="BG31" s="514">
        <v>8291385</v>
      </c>
      <c r="BH31" s="514">
        <v>8446685</v>
      </c>
      <c r="BI31" s="514">
        <v>770203083</v>
      </c>
      <c r="BJ31" s="514">
        <v>88716910</v>
      </c>
      <c r="BK31" s="514">
        <v>376705999</v>
      </c>
      <c r="BL31" s="514">
        <v>67565511</v>
      </c>
      <c r="BM31" s="514">
        <v>27624348</v>
      </c>
      <c r="BN31" s="514">
        <v>2057170916</v>
      </c>
      <c r="BO31" s="514">
        <v>1975289056</v>
      </c>
      <c r="BP31" s="514">
        <v>92474856</v>
      </c>
      <c r="BQ31" s="514"/>
      <c r="BR31" s="514"/>
      <c r="BS31" s="514"/>
      <c r="BT31" s="514"/>
      <c r="BU31" s="514"/>
      <c r="BV31" s="514"/>
      <c r="BW31" s="514"/>
    </row>
    <row r="32" spans="1:75">
      <c r="A32" s="101">
        <v>29</v>
      </c>
      <c r="B32" s="102" t="s">
        <v>229</v>
      </c>
      <c r="C32" s="126">
        <v>28</v>
      </c>
      <c r="D32" s="16">
        <f>SUM(D25:D31)</f>
        <v>0</v>
      </c>
      <c r="E32" s="16">
        <f t="shared" ref="E32:BK32" si="4">SUM(E25:E31)</f>
        <v>0</v>
      </c>
      <c r="F32" s="16">
        <f t="shared" si="4"/>
        <v>0</v>
      </c>
      <c r="G32" s="16">
        <f t="shared" si="4"/>
        <v>0</v>
      </c>
      <c r="H32" s="16">
        <f t="shared" si="4"/>
        <v>0</v>
      </c>
      <c r="I32" s="16">
        <f t="shared" si="4"/>
        <v>0</v>
      </c>
      <c r="J32" s="16">
        <f t="shared" si="4"/>
        <v>0</v>
      </c>
      <c r="K32" s="16">
        <f t="shared" si="4"/>
        <v>0</v>
      </c>
      <c r="L32" s="16">
        <f t="shared" si="4"/>
        <v>0</v>
      </c>
      <c r="M32" s="16">
        <f t="shared" si="4"/>
        <v>0</v>
      </c>
      <c r="N32" s="16">
        <f t="shared" si="4"/>
        <v>0</v>
      </c>
      <c r="O32" s="16">
        <f t="shared" si="4"/>
        <v>0</v>
      </c>
      <c r="P32" s="16">
        <f t="shared" si="4"/>
        <v>0</v>
      </c>
      <c r="Q32" s="16">
        <f t="shared" si="4"/>
        <v>0</v>
      </c>
      <c r="R32" s="16">
        <f t="shared" si="4"/>
        <v>0</v>
      </c>
      <c r="S32" s="16">
        <f t="shared" si="4"/>
        <v>0</v>
      </c>
      <c r="T32" s="16">
        <f t="shared" si="4"/>
        <v>0</v>
      </c>
      <c r="U32" s="16">
        <f t="shared" si="4"/>
        <v>0</v>
      </c>
      <c r="V32" s="16">
        <f t="shared" si="4"/>
        <v>0</v>
      </c>
      <c r="W32" s="16">
        <f t="shared" si="4"/>
        <v>0</v>
      </c>
      <c r="X32" s="16">
        <f t="shared" si="4"/>
        <v>0</v>
      </c>
      <c r="Y32" s="16">
        <f t="shared" si="4"/>
        <v>0</v>
      </c>
      <c r="Z32" s="16">
        <f t="shared" si="4"/>
        <v>0</v>
      </c>
      <c r="AA32" s="16">
        <f t="shared" si="4"/>
        <v>0</v>
      </c>
      <c r="AB32" s="16">
        <f t="shared" si="4"/>
        <v>0</v>
      </c>
      <c r="AC32" s="16">
        <f t="shared" si="4"/>
        <v>0</v>
      </c>
      <c r="AD32" s="16">
        <f t="shared" si="4"/>
        <v>0</v>
      </c>
      <c r="AE32" s="16">
        <f t="shared" si="4"/>
        <v>0</v>
      </c>
      <c r="AF32" s="16">
        <f t="shared" si="4"/>
        <v>0</v>
      </c>
      <c r="AG32" s="16">
        <f t="shared" si="4"/>
        <v>0</v>
      </c>
      <c r="AH32" s="16">
        <f t="shared" si="4"/>
        <v>0</v>
      </c>
      <c r="AI32" s="16">
        <f t="shared" si="4"/>
        <v>0</v>
      </c>
      <c r="AJ32" s="16">
        <f t="shared" si="4"/>
        <v>0</v>
      </c>
      <c r="AK32" s="16">
        <f t="shared" si="4"/>
        <v>0</v>
      </c>
      <c r="AL32" s="16">
        <f t="shared" si="4"/>
        <v>0</v>
      </c>
      <c r="AM32" s="16">
        <f t="shared" si="4"/>
        <v>0</v>
      </c>
      <c r="AN32" s="16">
        <f t="shared" si="4"/>
        <v>-4423845414</v>
      </c>
      <c r="AO32" s="16">
        <f t="shared" si="4"/>
        <v>-4795608259</v>
      </c>
      <c r="AP32" s="16">
        <f t="shared" si="4"/>
        <v>-997378566</v>
      </c>
      <c r="AQ32" s="16">
        <f t="shared" si="4"/>
        <v>-2044694191</v>
      </c>
      <c r="AR32" s="16">
        <f t="shared" si="4"/>
        <v>-1986523247</v>
      </c>
      <c r="AS32" s="16">
        <f t="shared" si="4"/>
        <v>-766522032</v>
      </c>
      <c r="AT32" s="16">
        <f t="shared" si="4"/>
        <v>-1698024960</v>
      </c>
      <c r="AU32" s="16">
        <f t="shared" si="4"/>
        <v>-576143181</v>
      </c>
      <c r="AV32" s="16">
        <f t="shared" si="4"/>
        <v>-1555185521</v>
      </c>
      <c r="AW32" s="16">
        <f t="shared" si="4"/>
        <v>-2224570304</v>
      </c>
      <c r="AX32" s="16">
        <f t="shared" si="4"/>
        <v>-4944370080.9965801</v>
      </c>
      <c r="AY32" s="16">
        <f t="shared" si="4"/>
        <v>-8744302137.996582</v>
      </c>
      <c r="AZ32" s="16">
        <f t="shared" si="4"/>
        <v>-11366773112</v>
      </c>
      <c r="BA32" s="16">
        <f t="shared" si="4"/>
        <v>504384952</v>
      </c>
      <c r="BB32" s="16">
        <f t="shared" si="4"/>
        <v>-42460019097</v>
      </c>
      <c r="BC32" s="16">
        <f t="shared" si="4"/>
        <v>-27697743736</v>
      </c>
      <c r="BD32" s="16">
        <f t="shared" si="4"/>
        <v>-19399494413</v>
      </c>
      <c r="BE32" s="16">
        <f t="shared" si="4"/>
        <v>-6764554222</v>
      </c>
      <c r="BF32" s="16">
        <f t="shared" si="4"/>
        <v>16167149121</v>
      </c>
      <c r="BG32" s="16">
        <f t="shared" si="4"/>
        <v>-4631401201</v>
      </c>
      <c r="BH32" s="16">
        <f t="shared" si="4"/>
        <v>-290837778</v>
      </c>
      <c r="BI32" s="16">
        <f t="shared" si="4"/>
        <v>-25242055309</v>
      </c>
      <c r="BJ32" s="16">
        <f t="shared" si="4"/>
        <v>5070722973</v>
      </c>
      <c r="BK32" s="16">
        <f t="shared" si="4"/>
        <v>8309649270</v>
      </c>
      <c r="BL32" s="16">
        <v>1911935715</v>
      </c>
      <c r="BM32" s="16">
        <v>-34524350076</v>
      </c>
      <c r="BN32" s="16">
        <v>-19962642276</v>
      </c>
      <c r="BO32" s="16">
        <v>-37290257870</v>
      </c>
      <c r="BP32" s="16">
        <v>1615285748</v>
      </c>
      <c r="BQ32" s="16">
        <f t="shared" ref="BQ32:BW32" si="5">SUM(BQ25:BQ31)</f>
        <v>0</v>
      </c>
      <c r="BR32" s="16">
        <f t="shared" si="5"/>
        <v>0</v>
      </c>
      <c r="BS32" s="16">
        <f t="shared" si="5"/>
        <v>0</v>
      </c>
      <c r="BT32" s="16">
        <f t="shared" si="5"/>
        <v>0</v>
      </c>
      <c r="BU32" s="16">
        <f t="shared" si="5"/>
        <v>0</v>
      </c>
      <c r="BV32" s="16">
        <f t="shared" si="5"/>
        <v>0</v>
      </c>
      <c r="BW32" s="16">
        <f t="shared" si="5"/>
        <v>0</v>
      </c>
    </row>
    <row r="33" spans="1:75">
      <c r="A33" s="101">
        <v>30</v>
      </c>
      <c r="B33" s="102" t="s">
        <v>230</v>
      </c>
      <c r="C33" s="127">
        <v>28</v>
      </c>
      <c r="D33" s="15"/>
      <c r="E33" s="15"/>
      <c r="F33" s="15"/>
      <c r="G33" s="15"/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  <c r="AA33" s="15"/>
      <c r="AB33" s="15"/>
      <c r="AC33" s="15"/>
      <c r="AD33" s="15"/>
      <c r="AE33" s="15"/>
      <c r="AF33" s="15"/>
      <c r="AG33" s="15"/>
      <c r="AH33" s="15"/>
      <c r="AI33" s="15"/>
      <c r="AJ33" s="15"/>
      <c r="AK33" s="15"/>
      <c r="AL33" s="15"/>
      <c r="AM33" s="15"/>
      <c r="AN33" s="15"/>
      <c r="AO33" s="15"/>
      <c r="AP33" s="15"/>
      <c r="AQ33" s="15"/>
      <c r="AR33" s="15"/>
      <c r="AS33" s="15"/>
      <c r="AT33" s="15"/>
      <c r="AU33" s="15"/>
      <c r="AV33" s="15"/>
      <c r="AW33" s="15"/>
      <c r="AX33" s="15"/>
      <c r="AY33" s="15"/>
      <c r="AZ33" s="15"/>
      <c r="BA33" s="15"/>
      <c r="BB33" s="15"/>
      <c r="BC33" s="15"/>
      <c r="BD33" s="15"/>
      <c r="BE33" s="15"/>
      <c r="BF33" s="15"/>
      <c r="BG33" s="15"/>
      <c r="BH33" s="15"/>
      <c r="BI33" s="15"/>
      <c r="BJ33" s="15"/>
      <c r="BK33" s="15"/>
      <c r="BL33" s="15"/>
      <c r="BM33" s="15"/>
      <c r="BN33" s="15"/>
      <c r="BO33" s="15"/>
      <c r="BP33" s="15"/>
      <c r="BQ33" s="15"/>
      <c r="BR33" s="15"/>
      <c r="BS33" s="15"/>
      <c r="BT33" s="15"/>
      <c r="BU33" s="15"/>
      <c r="BV33" s="15"/>
      <c r="BW33" s="15"/>
    </row>
    <row r="34" spans="1:75">
      <c r="A34" s="128">
        <v>31</v>
      </c>
      <c r="B34" s="129" t="s">
        <v>400</v>
      </c>
      <c r="C34" s="114">
        <v>28</v>
      </c>
      <c r="D34" s="12"/>
      <c r="E34" s="12"/>
      <c r="F34" s="12"/>
      <c r="G34" s="12"/>
      <c r="H34" s="12"/>
      <c r="I34" s="12"/>
      <c r="J34" s="12"/>
      <c r="K34" s="12"/>
      <c r="L34" s="12"/>
      <c r="M34" s="12"/>
      <c r="N34" s="12"/>
      <c r="O34" s="12"/>
      <c r="P34" s="12"/>
      <c r="Q34" s="12"/>
      <c r="R34" s="12"/>
      <c r="S34" s="12"/>
      <c r="T34" s="12"/>
      <c r="U34" s="12"/>
      <c r="V34" s="12"/>
      <c r="W34" s="12"/>
      <c r="X34" s="12"/>
      <c r="Y34" s="12"/>
      <c r="Z34" s="12"/>
      <c r="AA34" s="12"/>
      <c r="AB34" s="12"/>
      <c r="AC34" s="12"/>
      <c r="AD34" s="12"/>
      <c r="AE34" s="12"/>
      <c r="AF34" s="12"/>
      <c r="AG34" s="12"/>
      <c r="AH34" s="12"/>
      <c r="AI34" s="12"/>
      <c r="AJ34" s="12"/>
      <c r="AK34" s="12"/>
      <c r="AL34" s="12"/>
      <c r="AM34" s="12"/>
      <c r="AN34" s="12">
        <v>0</v>
      </c>
      <c r="AO34" s="12">
        <v>0</v>
      </c>
      <c r="AP34" s="12">
        <v>0</v>
      </c>
      <c r="AQ34" s="12">
        <v>0</v>
      </c>
      <c r="AR34" s="12">
        <v>0</v>
      </c>
      <c r="AS34" s="12">
        <v>0</v>
      </c>
      <c r="AT34" s="12">
        <v>0</v>
      </c>
      <c r="AU34" s="12">
        <v>0</v>
      </c>
      <c r="AV34" s="12">
        <v>0</v>
      </c>
      <c r="AW34" s="12">
        <v>0</v>
      </c>
      <c r="AX34" s="12">
        <v>20000000000</v>
      </c>
      <c r="AY34" s="12">
        <v>0</v>
      </c>
      <c r="AZ34" s="12">
        <v>0</v>
      </c>
      <c r="BA34" s="12">
        <v>0</v>
      </c>
      <c r="BB34" s="12">
        <v>0</v>
      </c>
      <c r="BC34" s="12">
        <v>0</v>
      </c>
      <c r="BD34" s="12">
        <v>0</v>
      </c>
      <c r="BE34" s="12">
        <v>0</v>
      </c>
      <c r="BF34" s="12">
        <v>0</v>
      </c>
      <c r="BG34" s="12">
        <v>0</v>
      </c>
      <c r="BH34" s="12">
        <v>0</v>
      </c>
      <c r="BI34" s="12">
        <v>0</v>
      </c>
      <c r="BJ34" s="12">
        <v>500000000</v>
      </c>
      <c r="BK34" s="12">
        <v>5500000000</v>
      </c>
      <c r="BL34" s="12">
        <v>94000000000</v>
      </c>
      <c r="BM34" s="12">
        <v>0</v>
      </c>
      <c r="BN34" s="12">
        <v>0</v>
      </c>
      <c r="BO34" s="12">
        <v>0</v>
      </c>
      <c r="BP34" s="12">
        <v>0</v>
      </c>
      <c r="BQ34" s="12"/>
      <c r="BR34" s="12"/>
      <c r="BS34" s="12"/>
      <c r="BT34" s="12"/>
      <c r="BU34" s="12"/>
      <c r="BV34" s="12"/>
      <c r="BW34" s="12"/>
    </row>
    <row r="35" spans="1:75">
      <c r="A35" s="130">
        <v>32</v>
      </c>
      <c r="B35" s="131" t="s">
        <v>401</v>
      </c>
      <c r="C35" s="132">
        <v>28</v>
      </c>
      <c r="D35" s="17"/>
      <c r="E35" s="17"/>
      <c r="F35" s="17"/>
      <c r="G35" s="17"/>
      <c r="H35" s="17"/>
      <c r="I35" s="17"/>
      <c r="J35" s="17"/>
      <c r="K35" s="17"/>
      <c r="L35" s="17"/>
      <c r="M35" s="17"/>
      <c r="N35" s="17"/>
      <c r="O35" s="17"/>
      <c r="P35" s="17"/>
      <c r="Q35" s="17"/>
      <c r="R35" s="17"/>
      <c r="S35" s="17"/>
      <c r="T35" s="17"/>
      <c r="U35" s="17"/>
      <c r="V35" s="17"/>
      <c r="W35" s="17"/>
      <c r="X35" s="17"/>
      <c r="Y35" s="17"/>
      <c r="Z35" s="17"/>
      <c r="AA35" s="17"/>
      <c r="AB35" s="17"/>
      <c r="AC35" s="17"/>
      <c r="AD35" s="17"/>
      <c r="AE35" s="17"/>
      <c r="AF35" s="17"/>
      <c r="AG35" s="17"/>
      <c r="AH35" s="17"/>
      <c r="AI35" s="17"/>
      <c r="AJ35" s="17"/>
      <c r="AK35" s="17"/>
      <c r="AL35" s="17"/>
      <c r="AM35" s="17"/>
      <c r="AN35" s="17">
        <v>0</v>
      </c>
      <c r="AO35" s="17">
        <v>0</v>
      </c>
      <c r="AP35" s="17">
        <v>0</v>
      </c>
      <c r="AQ35" s="17">
        <v>0</v>
      </c>
      <c r="AR35" s="17">
        <v>0</v>
      </c>
      <c r="AS35" s="17">
        <v>0</v>
      </c>
      <c r="AT35" s="17">
        <v>0</v>
      </c>
      <c r="AU35" s="17">
        <v>0</v>
      </c>
      <c r="AV35" s="17">
        <v>0</v>
      </c>
      <c r="AW35" s="17">
        <v>0</v>
      </c>
      <c r="AX35" s="17">
        <v>0</v>
      </c>
      <c r="AY35" s="17">
        <v>0</v>
      </c>
      <c r="AZ35" s="17">
        <v>0</v>
      </c>
      <c r="BA35" s="17">
        <v>0</v>
      </c>
      <c r="BB35" s="17">
        <v>0</v>
      </c>
      <c r="BC35" s="17">
        <v>0</v>
      </c>
      <c r="BD35" s="17">
        <v>0</v>
      </c>
      <c r="BE35" s="17">
        <v>0</v>
      </c>
      <c r="BF35" s="17">
        <v>0</v>
      </c>
      <c r="BG35" s="17">
        <v>0</v>
      </c>
      <c r="BH35" s="17">
        <v>0</v>
      </c>
      <c r="BI35" s="17">
        <v>0</v>
      </c>
      <c r="BJ35" s="17">
        <v>0</v>
      </c>
      <c r="BK35" s="17">
        <v>0</v>
      </c>
      <c r="BL35" s="17">
        <v>0</v>
      </c>
      <c r="BM35" s="17">
        <v>0</v>
      </c>
      <c r="BN35" s="17">
        <v>0</v>
      </c>
      <c r="BO35" s="17">
        <v>0</v>
      </c>
      <c r="BP35" s="17">
        <v>0</v>
      </c>
      <c r="BQ35" s="17"/>
      <c r="BR35" s="17"/>
      <c r="BS35" s="17"/>
      <c r="BT35" s="17"/>
      <c r="BU35" s="17"/>
      <c r="BV35" s="17"/>
      <c r="BW35" s="17"/>
    </row>
    <row r="36" spans="1:75">
      <c r="A36" s="128">
        <v>33</v>
      </c>
      <c r="B36" s="129" t="s">
        <v>402</v>
      </c>
      <c r="C36" s="110">
        <v>28</v>
      </c>
      <c r="D36" s="514"/>
      <c r="E36" s="514"/>
      <c r="F36" s="514"/>
      <c r="G36" s="514"/>
      <c r="H36" s="514"/>
      <c r="I36" s="514"/>
      <c r="J36" s="514"/>
      <c r="K36" s="514"/>
      <c r="L36" s="514"/>
      <c r="M36" s="514"/>
      <c r="N36" s="514"/>
      <c r="O36" s="514"/>
      <c r="P36" s="514"/>
      <c r="Q36" s="514"/>
      <c r="R36" s="514"/>
      <c r="S36" s="514"/>
      <c r="T36" s="514"/>
      <c r="U36" s="514"/>
      <c r="V36" s="514"/>
      <c r="W36" s="514"/>
      <c r="X36" s="514"/>
      <c r="Y36" s="514"/>
      <c r="Z36" s="514"/>
      <c r="AA36" s="514"/>
      <c r="AB36" s="514"/>
      <c r="AC36" s="514"/>
      <c r="AD36" s="514"/>
      <c r="AE36" s="514"/>
      <c r="AF36" s="514"/>
      <c r="AG36" s="514"/>
      <c r="AH36" s="514"/>
      <c r="AI36" s="514"/>
      <c r="AJ36" s="514"/>
      <c r="AK36" s="514"/>
      <c r="AL36" s="514"/>
      <c r="AM36" s="514"/>
      <c r="AN36" s="514">
        <v>57270669795</v>
      </c>
      <c r="AO36" s="514">
        <v>2700000000</v>
      </c>
      <c r="AP36" s="514">
        <v>51941747542</v>
      </c>
      <c r="AQ36" s="514">
        <v>43144705866</v>
      </c>
      <c r="AR36" s="514">
        <v>34881897765</v>
      </c>
      <c r="AS36" s="514">
        <v>19187776584</v>
      </c>
      <c r="AT36" s="514">
        <v>4706000000</v>
      </c>
      <c r="AU36" s="514">
        <v>51191060696</v>
      </c>
      <c r="AV36" s="514">
        <v>84691804308</v>
      </c>
      <c r="AW36" s="514">
        <v>102825721496</v>
      </c>
      <c r="AX36" s="514">
        <v>83853569555</v>
      </c>
      <c r="AY36" s="514">
        <v>37383794832</v>
      </c>
      <c r="AZ36" s="514">
        <v>2310562000</v>
      </c>
      <c r="BA36" s="514">
        <v>5428000000</v>
      </c>
      <c r="BB36" s="514">
        <v>58529191203</v>
      </c>
      <c r="BC36" s="514">
        <v>90358841948</v>
      </c>
      <c r="BD36" s="514">
        <v>46360978617</v>
      </c>
      <c r="BE36" s="514">
        <v>47723278583</v>
      </c>
      <c r="BF36" s="514">
        <v>49379624959</v>
      </c>
      <c r="BG36" s="514">
        <v>76433887270</v>
      </c>
      <c r="BH36" s="514">
        <v>74543374853</v>
      </c>
      <c r="BI36" s="514">
        <v>35990648109</v>
      </c>
      <c r="BJ36" s="514">
        <v>46874996976</v>
      </c>
      <c r="BK36" s="514">
        <v>40177257513</v>
      </c>
      <c r="BL36" s="514">
        <v>56609988510</v>
      </c>
      <c r="BM36" s="514">
        <v>47431035680</v>
      </c>
      <c r="BN36" s="514">
        <v>28824946157</v>
      </c>
      <c r="BO36" s="514">
        <v>0</v>
      </c>
      <c r="BP36" s="514">
        <v>104042294769</v>
      </c>
      <c r="BQ36" s="514"/>
      <c r="BR36" s="514"/>
      <c r="BS36" s="514"/>
      <c r="BT36" s="514"/>
      <c r="BU36" s="514"/>
      <c r="BV36" s="514"/>
      <c r="BW36" s="514"/>
    </row>
    <row r="37" spans="1:75">
      <c r="A37" s="128">
        <v>34</v>
      </c>
      <c r="B37" s="129" t="s">
        <v>403</v>
      </c>
      <c r="C37" s="110">
        <v>28</v>
      </c>
      <c r="D37" s="514"/>
      <c r="E37" s="514"/>
      <c r="F37" s="514"/>
      <c r="G37" s="514"/>
      <c r="H37" s="514"/>
      <c r="I37" s="514"/>
      <c r="J37" s="514"/>
      <c r="K37" s="514"/>
      <c r="L37" s="514"/>
      <c r="M37" s="514"/>
      <c r="N37" s="514"/>
      <c r="O37" s="514"/>
      <c r="P37" s="514"/>
      <c r="Q37" s="514"/>
      <c r="R37" s="514"/>
      <c r="S37" s="514"/>
      <c r="T37" s="514"/>
      <c r="U37" s="514"/>
      <c r="V37" s="514"/>
      <c r="W37" s="514"/>
      <c r="X37" s="514"/>
      <c r="Y37" s="514"/>
      <c r="Z37" s="514"/>
      <c r="AA37" s="514"/>
      <c r="AB37" s="514"/>
      <c r="AC37" s="514"/>
      <c r="AD37" s="514"/>
      <c r="AE37" s="514"/>
      <c r="AF37" s="514"/>
      <c r="AG37" s="514"/>
      <c r="AH37" s="514"/>
      <c r="AI37" s="514"/>
      <c r="AJ37" s="514"/>
      <c r="AK37" s="514"/>
      <c r="AL37" s="514"/>
      <c r="AM37" s="514"/>
      <c r="AN37" s="514">
        <v>0</v>
      </c>
      <c r="AO37" s="514">
        <v>-7768970250</v>
      </c>
      <c r="AP37" s="514">
        <v>-8016000000</v>
      </c>
      <c r="AQ37" s="514">
        <v>-295193392</v>
      </c>
      <c r="AR37" s="514">
        <v>-2906560000</v>
      </c>
      <c r="AS37" s="514">
        <v>-6016005797</v>
      </c>
      <c r="AT37" s="514">
        <v>-26451297542</v>
      </c>
      <c r="AU37" s="514">
        <v>-94694168939</v>
      </c>
      <c r="AV37" s="514">
        <v>-70491152886</v>
      </c>
      <c r="AW37" s="514">
        <v>-86950072394</v>
      </c>
      <c r="AX37" s="514">
        <v>-46997210051</v>
      </c>
      <c r="AY37" s="514">
        <v>-30836777778</v>
      </c>
      <c r="AZ37" s="514">
        <v>-33725113955</v>
      </c>
      <c r="BA37" s="514">
        <v>-100211784973</v>
      </c>
      <c r="BB37" s="514">
        <v>-4197000000</v>
      </c>
      <c r="BC37" s="514">
        <v>-15728148401</v>
      </c>
      <c r="BD37" s="514">
        <v>-22093621349</v>
      </c>
      <c r="BE37" s="514">
        <v>-30106272270</v>
      </c>
      <c r="BF37" s="514">
        <v>-37490126842</v>
      </c>
      <c r="BG37" s="514">
        <v>-32982546300</v>
      </c>
      <c r="BH37" s="514">
        <v>-59818118843</v>
      </c>
      <c r="BI37" s="514">
        <v>-86548152225</v>
      </c>
      <c r="BJ37" s="514">
        <v>-53673092111</v>
      </c>
      <c r="BK37" s="514">
        <v>-51123323764</v>
      </c>
      <c r="BL37" s="514">
        <v>-101278931518</v>
      </c>
      <c r="BM37" s="514">
        <v>-9737588663</v>
      </c>
      <c r="BN37" s="514">
        <v>-71496103739</v>
      </c>
      <c r="BO37" s="514">
        <v>-31484303775</v>
      </c>
      <c r="BP37" s="514">
        <v>-59390127409</v>
      </c>
      <c r="BQ37" s="514"/>
      <c r="BR37" s="514"/>
      <c r="BS37" s="514"/>
      <c r="BT37" s="514"/>
      <c r="BU37" s="514"/>
      <c r="BV37" s="514"/>
      <c r="BW37" s="514"/>
    </row>
    <row r="38" spans="1:75">
      <c r="A38" s="128">
        <v>35</v>
      </c>
      <c r="B38" s="129" t="s">
        <v>404</v>
      </c>
      <c r="C38" s="110">
        <v>28</v>
      </c>
      <c r="D38" s="514"/>
      <c r="E38" s="514"/>
      <c r="F38" s="514"/>
      <c r="G38" s="514"/>
      <c r="H38" s="514"/>
      <c r="I38" s="514"/>
      <c r="J38" s="514"/>
      <c r="K38" s="514"/>
      <c r="L38" s="514"/>
      <c r="M38" s="514"/>
      <c r="N38" s="514"/>
      <c r="O38" s="514"/>
      <c r="P38" s="514"/>
      <c r="Q38" s="514"/>
      <c r="R38" s="514"/>
      <c r="S38" s="514"/>
      <c r="T38" s="514"/>
      <c r="U38" s="514"/>
      <c r="V38" s="514"/>
      <c r="W38" s="514"/>
      <c r="X38" s="514"/>
      <c r="Y38" s="514"/>
      <c r="Z38" s="514"/>
      <c r="AA38" s="514"/>
      <c r="AB38" s="514"/>
      <c r="AC38" s="514"/>
      <c r="AD38" s="514"/>
      <c r="AE38" s="514"/>
      <c r="AF38" s="514"/>
      <c r="AG38" s="514"/>
      <c r="AH38" s="514"/>
      <c r="AI38" s="514"/>
      <c r="AJ38" s="514"/>
      <c r="AK38" s="514"/>
      <c r="AL38" s="514"/>
      <c r="AM38" s="514"/>
      <c r="AN38" s="514">
        <v>0</v>
      </c>
      <c r="AO38" s="514">
        <v>0</v>
      </c>
      <c r="AP38" s="514">
        <v>0</v>
      </c>
      <c r="AQ38" s="514">
        <v>0</v>
      </c>
      <c r="AR38" s="514">
        <v>0</v>
      </c>
      <c r="AS38" s="514">
        <v>0</v>
      </c>
      <c r="AT38" s="514">
        <v>0</v>
      </c>
      <c r="AU38" s="514">
        <v>0</v>
      </c>
      <c r="AV38" s="514">
        <v>0</v>
      </c>
      <c r="AW38" s="514">
        <v>0</v>
      </c>
      <c r="AX38" s="514">
        <v>0</v>
      </c>
      <c r="AY38" s="514">
        <v>0</v>
      </c>
      <c r="AZ38" s="514">
        <v>-777777778</v>
      </c>
      <c r="BA38" s="514">
        <v>-777777778</v>
      </c>
      <c r="BB38" s="514">
        <v>-777777778</v>
      </c>
      <c r="BC38" s="514">
        <v>-777777778</v>
      </c>
      <c r="BD38" s="514">
        <v>-777777778</v>
      </c>
      <c r="BE38" s="514">
        <v>-777777778</v>
      </c>
      <c r="BF38" s="514">
        <v>-777777778</v>
      </c>
      <c r="BG38" s="514">
        <v>-777777778</v>
      </c>
      <c r="BH38" s="514">
        <v>-777777778</v>
      </c>
      <c r="BI38" s="514">
        <v>-777777778</v>
      </c>
      <c r="BJ38" s="514">
        <v>-777777778</v>
      </c>
      <c r="BK38" s="514">
        <v>-777777778</v>
      </c>
      <c r="BL38" s="514">
        <v>-1647651024</v>
      </c>
      <c r="BM38" s="514">
        <v>-738238085</v>
      </c>
      <c r="BN38" s="514">
        <v>-738238085</v>
      </c>
      <c r="BO38" s="514">
        <v>-738238085</v>
      </c>
      <c r="BP38" s="514">
        <v>-738238085</v>
      </c>
      <c r="BQ38" s="514"/>
      <c r="BR38" s="514"/>
      <c r="BS38" s="514"/>
      <c r="BT38" s="514"/>
      <c r="BU38" s="514"/>
      <c r="BV38" s="514"/>
      <c r="BW38" s="514"/>
    </row>
    <row r="39" spans="1:75">
      <c r="A39" s="128">
        <v>36</v>
      </c>
      <c r="B39" s="129" t="s">
        <v>405</v>
      </c>
      <c r="C39" s="114">
        <v>28</v>
      </c>
      <c r="D39" s="12"/>
      <c r="E39" s="12"/>
      <c r="F39" s="12"/>
      <c r="G39" s="12"/>
      <c r="H39" s="12"/>
      <c r="I39" s="12"/>
      <c r="J39" s="12"/>
      <c r="K39" s="12"/>
      <c r="L39" s="12"/>
      <c r="M39" s="12"/>
      <c r="N39" s="12"/>
      <c r="O39" s="12"/>
      <c r="P39" s="12"/>
      <c r="Q39" s="12"/>
      <c r="R39" s="12"/>
      <c r="S39" s="12"/>
      <c r="T39" s="12"/>
      <c r="U39" s="12"/>
      <c r="V39" s="12"/>
      <c r="W39" s="12"/>
      <c r="X39" s="12"/>
      <c r="Y39" s="12"/>
      <c r="Z39" s="12"/>
      <c r="AA39" s="12"/>
      <c r="AB39" s="12"/>
      <c r="AC39" s="12"/>
      <c r="AD39" s="12"/>
      <c r="AE39" s="12"/>
      <c r="AF39" s="12"/>
      <c r="AG39" s="12"/>
      <c r="AH39" s="12"/>
      <c r="AI39" s="12"/>
      <c r="AJ39" s="12"/>
      <c r="AK39" s="12"/>
      <c r="AL39" s="12"/>
      <c r="AM39" s="12"/>
      <c r="AN39" s="12">
        <v>0</v>
      </c>
      <c r="AO39" s="12">
        <v>0</v>
      </c>
      <c r="AP39" s="12">
        <v>0</v>
      </c>
      <c r="AQ39" s="12">
        <v>0</v>
      </c>
      <c r="AR39" s="12">
        <v>0</v>
      </c>
      <c r="AS39" s="12">
        <v>0</v>
      </c>
      <c r="AT39" s="12">
        <v>0</v>
      </c>
      <c r="AU39" s="12">
        <v>0</v>
      </c>
      <c r="AV39" s="12">
        <v>0</v>
      </c>
      <c r="AW39" s="12">
        <v>0</v>
      </c>
      <c r="AX39" s="12">
        <v>0</v>
      </c>
      <c r="AY39" s="12">
        <v>0</v>
      </c>
      <c r="AZ39" s="12">
        <v>0</v>
      </c>
      <c r="BA39" s="12">
        <v>0</v>
      </c>
      <c r="BB39" s="12">
        <v>0</v>
      </c>
      <c r="BC39" s="12">
        <v>0</v>
      </c>
      <c r="BD39" s="12">
        <v>0</v>
      </c>
      <c r="BE39" s="12">
        <v>0</v>
      </c>
      <c r="BF39" s="12">
        <v>0</v>
      </c>
      <c r="BG39" s="12">
        <v>0</v>
      </c>
      <c r="BH39" s="12">
        <v>0</v>
      </c>
      <c r="BI39" s="12">
        <v>0</v>
      </c>
      <c r="BJ39" s="12">
        <v>0</v>
      </c>
      <c r="BK39" s="12">
        <v>0</v>
      </c>
      <c r="BL39" s="12">
        <v>0</v>
      </c>
      <c r="BM39" s="12">
        <v>0</v>
      </c>
      <c r="BN39" s="12">
        <v>0</v>
      </c>
      <c r="BO39" s="12">
        <v>0</v>
      </c>
      <c r="BP39" s="12">
        <v>0</v>
      </c>
      <c r="BQ39" s="12"/>
      <c r="BR39" s="12"/>
      <c r="BS39" s="12"/>
      <c r="BT39" s="12"/>
      <c r="BU39" s="12"/>
      <c r="BV39" s="12"/>
      <c r="BW39" s="12"/>
    </row>
    <row r="40" spans="1:75">
      <c r="A40" s="101">
        <v>37</v>
      </c>
      <c r="B40" s="102" t="s">
        <v>406</v>
      </c>
      <c r="C40" s="126">
        <v>28</v>
      </c>
      <c r="D40" s="16">
        <f>SUM(D34:D39)</f>
        <v>0</v>
      </c>
      <c r="E40" s="16">
        <f t="shared" ref="E40:BK40" si="6">SUM(E34:E39)</f>
        <v>0</v>
      </c>
      <c r="F40" s="16">
        <f t="shared" si="6"/>
        <v>0</v>
      </c>
      <c r="G40" s="16">
        <f t="shared" si="6"/>
        <v>0</v>
      </c>
      <c r="H40" s="16">
        <f t="shared" si="6"/>
        <v>0</v>
      </c>
      <c r="I40" s="16">
        <f t="shared" si="6"/>
        <v>0</v>
      </c>
      <c r="J40" s="16">
        <f t="shared" si="6"/>
        <v>0</v>
      </c>
      <c r="K40" s="16">
        <f t="shared" si="6"/>
        <v>0</v>
      </c>
      <c r="L40" s="16">
        <f t="shared" si="6"/>
        <v>0</v>
      </c>
      <c r="M40" s="16">
        <f t="shared" si="6"/>
        <v>0</v>
      </c>
      <c r="N40" s="16">
        <f t="shared" si="6"/>
        <v>0</v>
      </c>
      <c r="O40" s="16">
        <f t="shared" si="6"/>
        <v>0</v>
      </c>
      <c r="P40" s="16">
        <f t="shared" si="6"/>
        <v>0</v>
      </c>
      <c r="Q40" s="16">
        <f t="shared" si="6"/>
        <v>0</v>
      </c>
      <c r="R40" s="16">
        <f t="shared" si="6"/>
        <v>0</v>
      </c>
      <c r="S40" s="16">
        <f t="shared" si="6"/>
        <v>0</v>
      </c>
      <c r="T40" s="16">
        <f t="shared" si="6"/>
        <v>0</v>
      </c>
      <c r="U40" s="16">
        <f t="shared" si="6"/>
        <v>0</v>
      </c>
      <c r="V40" s="16">
        <f t="shared" si="6"/>
        <v>0</v>
      </c>
      <c r="W40" s="16">
        <f t="shared" si="6"/>
        <v>0</v>
      </c>
      <c r="X40" s="16">
        <f t="shared" si="6"/>
        <v>0</v>
      </c>
      <c r="Y40" s="16">
        <f t="shared" si="6"/>
        <v>0</v>
      </c>
      <c r="Z40" s="16">
        <f t="shared" si="6"/>
        <v>0</v>
      </c>
      <c r="AA40" s="16">
        <f t="shared" si="6"/>
        <v>0</v>
      </c>
      <c r="AB40" s="16">
        <f t="shared" si="6"/>
        <v>0</v>
      </c>
      <c r="AC40" s="16">
        <f t="shared" si="6"/>
        <v>0</v>
      </c>
      <c r="AD40" s="16">
        <f t="shared" si="6"/>
        <v>0</v>
      </c>
      <c r="AE40" s="16">
        <f t="shared" si="6"/>
        <v>0</v>
      </c>
      <c r="AF40" s="16">
        <f t="shared" si="6"/>
        <v>0</v>
      </c>
      <c r="AG40" s="16">
        <f t="shared" si="6"/>
        <v>0</v>
      </c>
      <c r="AH40" s="16">
        <f t="shared" si="6"/>
        <v>0</v>
      </c>
      <c r="AI40" s="16">
        <f t="shared" si="6"/>
        <v>0</v>
      </c>
      <c r="AJ40" s="16">
        <f t="shared" si="6"/>
        <v>0</v>
      </c>
      <c r="AK40" s="16">
        <f t="shared" si="6"/>
        <v>0</v>
      </c>
      <c r="AL40" s="16">
        <f t="shared" si="6"/>
        <v>0</v>
      </c>
      <c r="AM40" s="16">
        <f t="shared" si="6"/>
        <v>0</v>
      </c>
      <c r="AN40" s="16">
        <f t="shared" si="6"/>
        <v>57270669795</v>
      </c>
      <c r="AO40" s="16">
        <f t="shared" si="6"/>
        <v>-5068970250</v>
      </c>
      <c r="AP40" s="16">
        <f t="shared" si="6"/>
        <v>43925747542</v>
      </c>
      <c r="AQ40" s="16">
        <f t="shared" si="6"/>
        <v>42849512474</v>
      </c>
      <c r="AR40" s="16">
        <f t="shared" si="6"/>
        <v>31975337765</v>
      </c>
      <c r="AS40" s="16">
        <f t="shared" si="6"/>
        <v>13171770787</v>
      </c>
      <c r="AT40" s="16">
        <f t="shared" si="6"/>
        <v>-21745297542</v>
      </c>
      <c r="AU40" s="16">
        <f t="shared" si="6"/>
        <v>-43503108243</v>
      </c>
      <c r="AV40" s="16">
        <f t="shared" si="6"/>
        <v>14200651422</v>
      </c>
      <c r="AW40" s="16">
        <f t="shared" si="6"/>
        <v>15875649102</v>
      </c>
      <c r="AX40" s="16">
        <f t="shared" si="6"/>
        <v>56856359504</v>
      </c>
      <c r="AY40" s="16">
        <f t="shared" si="6"/>
        <v>6547017054</v>
      </c>
      <c r="AZ40" s="16">
        <f t="shared" si="6"/>
        <v>-32192329733</v>
      </c>
      <c r="BA40" s="16">
        <f t="shared" si="6"/>
        <v>-95561562751</v>
      </c>
      <c r="BB40" s="16">
        <f t="shared" si="6"/>
        <v>53554413425</v>
      </c>
      <c r="BC40" s="16">
        <f t="shared" si="6"/>
        <v>73852915769</v>
      </c>
      <c r="BD40" s="16">
        <f t="shared" si="6"/>
        <v>23489579490</v>
      </c>
      <c r="BE40" s="16">
        <f t="shared" si="6"/>
        <v>16839228535</v>
      </c>
      <c r="BF40" s="16">
        <f t="shared" si="6"/>
        <v>11111720339</v>
      </c>
      <c r="BG40" s="16">
        <f t="shared" si="6"/>
        <v>42673563192</v>
      </c>
      <c r="BH40" s="16">
        <f t="shared" si="6"/>
        <v>13947478232</v>
      </c>
      <c r="BI40" s="16">
        <f t="shared" si="6"/>
        <v>-51335281894</v>
      </c>
      <c r="BJ40" s="16">
        <f t="shared" si="6"/>
        <v>-7075872913</v>
      </c>
      <c r="BK40" s="16">
        <f t="shared" si="6"/>
        <v>-6223844029</v>
      </c>
      <c r="BL40" s="16">
        <v>47683405968</v>
      </c>
      <c r="BM40" s="16">
        <v>36955208932</v>
      </c>
      <c r="BN40" s="16">
        <v>-43409395667</v>
      </c>
      <c r="BO40" s="16">
        <v>-32222541860</v>
      </c>
      <c r="BP40" s="16">
        <v>43913929275</v>
      </c>
      <c r="BQ40" s="16">
        <f t="shared" ref="BQ40:BW40" si="7">SUM(BQ34:BQ39)</f>
        <v>0</v>
      </c>
      <c r="BR40" s="16">
        <f t="shared" si="7"/>
        <v>0</v>
      </c>
      <c r="BS40" s="16">
        <f t="shared" si="7"/>
        <v>0</v>
      </c>
      <c r="BT40" s="16">
        <f t="shared" si="7"/>
        <v>0</v>
      </c>
      <c r="BU40" s="16">
        <f t="shared" si="7"/>
        <v>0</v>
      </c>
      <c r="BV40" s="16">
        <f t="shared" si="7"/>
        <v>0</v>
      </c>
      <c r="BW40" s="16">
        <f t="shared" si="7"/>
        <v>0</v>
      </c>
    </row>
    <row r="41" spans="1:75">
      <c r="A41" s="133">
        <v>38</v>
      </c>
      <c r="B41" s="134" t="s">
        <v>238</v>
      </c>
      <c r="C41" s="135">
        <v>28</v>
      </c>
      <c r="D41" s="18">
        <f>SUM(D23,D32,D40)</f>
        <v>0</v>
      </c>
      <c r="E41" s="18">
        <f t="shared" ref="E41:BK41" si="8">SUM(E23,E32,E40)</f>
        <v>0</v>
      </c>
      <c r="F41" s="18">
        <f t="shared" si="8"/>
        <v>0</v>
      </c>
      <c r="G41" s="18">
        <f t="shared" si="8"/>
        <v>0</v>
      </c>
      <c r="H41" s="18">
        <f t="shared" si="8"/>
        <v>0</v>
      </c>
      <c r="I41" s="18">
        <f t="shared" si="8"/>
        <v>0</v>
      </c>
      <c r="J41" s="18">
        <f t="shared" si="8"/>
        <v>0</v>
      </c>
      <c r="K41" s="18">
        <f t="shared" si="8"/>
        <v>0</v>
      </c>
      <c r="L41" s="18">
        <f t="shared" si="8"/>
        <v>0</v>
      </c>
      <c r="M41" s="18">
        <f t="shared" si="8"/>
        <v>0</v>
      </c>
      <c r="N41" s="18">
        <f t="shared" si="8"/>
        <v>0</v>
      </c>
      <c r="O41" s="18">
        <f t="shared" si="8"/>
        <v>0</v>
      </c>
      <c r="P41" s="18">
        <f t="shared" si="8"/>
        <v>0</v>
      </c>
      <c r="Q41" s="18">
        <f t="shared" si="8"/>
        <v>0</v>
      </c>
      <c r="R41" s="18">
        <f t="shared" si="8"/>
        <v>0</v>
      </c>
      <c r="S41" s="18">
        <f t="shared" si="8"/>
        <v>0</v>
      </c>
      <c r="T41" s="18">
        <f t="shared" si="8"/>
        <v>0</v>
      </c>
      <c r="U41" s="18">
        <f t="shared" si="8"/>
        <v>0</v>
      </c>
      <c r="V41" s="18">
        <f t="shared" si="8"/>
        <v>0</v>
      </c>
      <c r="W41" s="18">
        <f t="shared" si="8"/>
        <v>0</v>
      </c>
      <c r="X41" s="18">
        <f t="shared" si="8"/>
        <v>0</v>
      </c>
      <c r="Y41" s="18">
        <f t="shared" si="8"/>
        <v>0</v>
      </c>
      <c r="Z41" s="18">
        <f t="shared" si="8"/>
        <v>0</v>
      </c>
      <c r="AA41" s="18">
        <f t="shared" si="8"/>
        <v>0</v>
      </c>
      <c r="AB41" s="18">
        <f t="shared" si="8"/>
        <v>0</v>
      </c>
      <c r="AC41" s="18">
        <f t="shared" si="8"/>
        <v>0</v>
      </c>
      <c r="AD41" s="18">
        <f t="shared" si="8"/>
        <v>0</v>
      </c>
      <c r="AE41" s="18">
        <f t="shared" si="8"/>
        <v>0</v>
      </c>
      <c r="AF41" s="18">
        <f t="shared" si="8"/>
        <v>0</v>
      </c>
      <c r="AG41" s="18">
        <f t="shared" si="8"/>
        <v>0</v>
      </c>
      <c r="AH41" s="18">
        <f t="shared" si="8"/>
        <v>0</v>
      </c>
      <c r="AI41" s="18">
        <f t="shared" si="8"/>
        <v>0</v>
      </c>
      <c r="AJ41" s="18">
        <f t="shared" si="8"/>
        <v>0</v>
      </c>
      <c r="AK41" s="18">
        <f t="shared" si="8"/>
        <v>0</v>
      </c>
      <c r="AL41" s="18">
        <f t="shared" si="8"/>
        <v>0</v>
      </c>
      <c r="AM41" s="18">
        <f t="shared" si="8"/>
        <v>0</v>
      </c>
      <c r="AN41" s="18">
        <f t="shared" si="8"/>
        <v>35071467140</v>
      </c>
      <c r="AO41" s="18">
        <f t="shared" si="8"/>
        <v>-11208524300</v>
      </c>
      <c r="AP41" s="18">
        <f t="shared" si="8"/>
        <v>-9778763924</v>
      </c>
      <c r="AQ41" s="18">
        <f t="shared" si="8"/>
        <v>7957701520</v>
      </c>
      <c r="AR41" s="18">
        <f t="shared" si="8"/>
        <v>-2212598636.0000038</v>
      </c>
      <c r="AS41" s="18">
        <f t="shared" si="8"/>
        <v>-13745725568</v>
      </c>
      <c r="AT41" s="18">
        <f t="shared" si="8"/>
        <v>36451496752</v>
      </c>
      <c r="AU41" s="18">
        <f t="shared" si="8"/>
        <v>-21105476583</v>
      </c>
      <c r="AV41" s="18">
        <f t="shared" si="8"/>
        <v>12702986447</v>
      </c>
      <c r="AW41" s="18">
        <f t="shared" si="8"/>
        <v>28156229281</v>
      </c>
      <c r="AX41" s="18">
        <f t="shared" si="8"/>
        <v>2567837825.003418</v>
      </c>
      <c r="AY41" s="18">
        <f t="shared" si="8"/>
        <v>-3900514913.996582</v>
      </c>
      <c r="AZ41" s="18">
        <f t="shared" si="8"/>
        <v>29883730890.000092</v>
      </c>
      <c r="BA41" s="18">
        <f t="shared" si="8"/>
        <v>-46985761894.000099</v>
      </c>
      <c r="BB41" s="18">
        <f t="shared" si="8"/>
        <v>-6110195853</v>
      </c>
      <c r="BC41" s="18">
        <f t="shared" si="8"/>
        <v>14576528853.999992</v>
      </c>
      <c r="BD41" s="18">
        <f t="shared" si="8"/>
        <v>-20574647430</v>
      </c>
      <c r="BE41" s="18">
        <f t="shared" si="8"/>
        <v>-7184755141</v>
      </c>
      <c r="BF41" s="18">
        <f t="shared" si="8"/>
        <v>-1124878725.9999008</v>
      </c>
      <c r="BG41" s="18">
        <f t="shared" si="8"/>
        <v>5195306444</v>
      </c>
      <c r="BH41" s="18">
        <f t="shared" si="8"/>
        <v>41145099173.999901</v>
      </c>
      <c r="BI41" s="18">
        <f t="shared" si="8"/>
        <v>-9424279302</v>
      </c>
      <c r="BJ41" s="18">
        <f t="shared" si="8"/>
        <v>-3642573735</v>
      </c>
      <c r="BK41" s="18">
        <f t="shared" si="8"/>
        <v>-19340461267</v>
      </c>
      <c r="BL41" s="18">
        <v>96055841563</v>
      </c>
      <c r="BM41" s="18">
        <v>-1665149236</v>
      </c>
      <c r="BN41" s="18">
        <v>-12112157920</v>
      </c>
      <c r="BO41" s="18">
        <v>18692494509</v>
      </c>
      <c r="BP41" s="18">
        <v>-10039796164</v>
      </c>
      <c r="BQ41" s="18">
        <f t="shared" ref="BQ41:BW41" si="9">SUM(BQ23,BQ32,BQ40)</f>
        <v>0</v>
      </c>
      <c r="BR41" s="18">
        <f t="shared" si="9"/>
        <v>0</v>
      </c>
      <c r="BS41" s="18">
        <f t="shared" si="9"/>
        <v>0</v>
      </c>
      <c r="BT41" s="18">
        <f t="shared" si="9"/>
        <v>0</v>
      </c>
      <c r="BU41" s="18">
        <f t="shared" si="9"/>
        <v>0</v>
      </c>
      <c r="BV41" s="18">
        <f t="shared" si="9"/>
        <v>0</v>
      </c>
      <c r="BW41" s="18">
        <f t="shared" si="9"/>
        <v>0</v>
      </c>
    </row>
    <row r="42" spans="1:75">
      <c r="A42" s="101">
        <v>39</v>
      </c>
      <c r="B42" s="102" t="s">
        <v>239</v>
      </c>
      <c r="C42" s="126">
        <v>28</v>
      </c>
      <c r="D42" s="16"/>
      <c r="E42" s="16">
        <f>D44</f>
        <v>0</v>
      </c>
      <c r="F42" s="16">
        <f t="shared" ref="F42:BK42" si="10">E44</f>
        <v>0</v>
      </c>
      <c r="G42" s="16">
        <f t="shared" si="10"/>
        <v>0</v>
      </c>
      <c r="H42" s="16">
        <f t="shared" si="10"/>
        <v>0</v>
      </c>
      <c r="I42" s="16">
        <f t="shared" si="10"/>
        <v>0</v>
      </c>
      <c r="J42" s="16">
        <f t="shared" si="10"/>
        <v>0</v>
      </c>
      <c r="K42" s="16">
        <f t="shared" si="10"/>
        <v>0</v>
      </c>
      <c r="L42" s="16">
        <f t="shared" si="10"/>
        <v>0</v>
      </c>
      <c r="M42" s="16">
        <f t="shared" si="10"/>
        <v>0</v>
      </c>
      <c r="N42" s="16">
        <f t="shared" si="10"/>
        <v>0</v>
      </c>
      <c r="O42" s="16">
        <f t="shared" si="10"/>
        <v>0</v>
      </c>
      <c r="P42" s="16">
        <f t="shared" si="10"/>
        <v>0</v>
      </c>
      <c r="Q42" s="16">
        <f t="shared" si="10"/>
        <v>0</v>
      </c>
      <c r="R42" s="16">
        <f t="shared" si="10"/>
        <v>0</v>
      </c>
      <c r="S42" s="16">
        <f t="shared" si="10"/>
        <v>0</v>
      </c>
      <c r="T42" s="16">
        <f t="shared" si="10"/>
        <v>0</v>
      </c>
      <c r="U42" s="16">
        <f t="shared" si="10"/>
        <v>0</v>
      </c>
      <c r="V42" s="16">
        <f t="shared" si="10"/>
        <v>0</v>
      </c>
      <c r="W42" s="16">
        <f t="shared" si="10"/>
        <v>0</v>
      </c>
      <c r="X42" s="16">
        <f t="shared" si="10"/>
        <v>0</v>
      </c>
      <c r="Y42" s="16">
        <f t="shared" si="10"/>
        <v>0</v>
      </c>
      <c r="Z42" s="16">
        <f t="shared" si="10"/>
        <v>0</v>
      </c>
      <c r="AA42" s="16">
        <f t="shared" si="10"/>
        <v>0</v>
      </c>
      <c r="AB42" s="16">
        <f t="shared" si="10"/>
        <v>0</v>
      </c>
      <c r="AC42" s="16">
        <f t="shared" si="10"/>
        <v>0</v>
      </c>
      <c r="AD42" s="16">
        <f t="shared" si="10"/>
        <v>0</v>
      </c>
      <c r="AE42" s="16">
        <f t="shared" si="10"/>
        <v>0</v>
      </c>
      <c r="AF42" s="16">
        <f t="shared" si="10"/>
        <v>0</v>
      </c>
      <c r="AG42" s="16">
        <f t="shared" si="10"/>
        <v>0</v>
      </c>
      <c r="AH42" s="16">
        <f t="shared" si="10"/>
        <v>0</v>
      </c>
      <c r="AI42" s="16">
        <f t="shared" si="10"/>
        <v>0</v>
      </c>
      <c r="AJ42" s="16">
        <f t="shared" si="10"/>
        <v>0</v>
      </c>
      <c r="AK42" s="16">
        <f t="shared" si="10"/>
        <v>0</v>
      </c>
      <c r="AL42" s="16">
        <f t="shared" si="10"/>
        <v>0</v>
      </c>
      <c r="AM42" s="16">
        <f t="shared" si="10"/>
        <v>0</v>
      </c>
      <c r="AN42" s="16">
        <v>14272680117.99658</v>
      </c>
      <c r="AO42" s="16">
        <f t="shared" si="10"/>
        <v>49288867552.996582</v>
      </c>
      <c r="AP42" s="16">
        <f t="shared" si="10"/>
        <v>38507420566.996582</v>
      </c>
      <c r="AQ42" s="16">
        <f t="shared" si="10"/>
        <v>29048673709.996582</v>
      </c>
      <c r="AR42" s="16">
        <f t="shared" si="10"/>
        <v>37248770959.996582</v>
      </c>
      <c r="AS42" s="16">
        <f t="shared" si="10"/>
        <v>35854754104.996582</v>
      </c>
      <c r="AT42" s="16">
        <f t="shared" si="10"/>
        <v>22294252334.996582</v>
      </c>
      <c r="AU42" s="16">
        <f t="shared" si="10"/>
        <v>58926623982.996582</v>
      </c>
      <c r="AV42" s="16">
        <f t="shared" si="10"/>
        <v>38085107962.996582</v>
      </c>
      <c r="AW42" s="16">
        <f t="shared" si="10"/>
        <v>51085143267.996582</v>
      </c>
      <c r="AX42" s="16">
        <f t="shared" si="10"/>
        <v>80670393726.996582</v>
      </c>
      <c r="AY42" s="16">
        <f t="shared" si="10"/>
        <v>83760809809</v>
      </c>
      <c r="AZ42" s="559">
        <v>78515947311.006836</v>
      </c>
      <c r="BA42" s="16">
        <f t="shared" si="10"/>
        <v>108757458297.00693</v>
      </c>
      <c r="BB42" s="16">
        <f t="shared" si="10"/>
        <v>63047560922.006828</v>
      </c>
      <c r="BC42" s="16">
        <f t="shared" si="10"/>
        <v>57546333332.006828</v>
      </c>
      <c r="BD42" s="16">
        <f t="shared" si="10"/>
        <v>72781093895.006821</v>
      </c>
      <c r="BE42" s="16">
        <f t="shared" si="10"/>
        <v>53850392378.006821</v>
      </c>
      <c r="BF42" s="16">
        <f t="shared" si="10"/>
        <v>47310681042.006821</v>
      </c>
      <c r="BG42" s="16">
        <f t="shared" si="10"/>
        <v>46943683940.00692</v>
      </c>
      <c r="BH42" s="16">
        <f t="shared" si="10"/>
        <v>52760383890.00692</v>
      </c>
      <c r="BI42" s="16">
        <f t="shared" si="10"/>
        <v>94749581700.006821</v>
      </c>
      <c r="BJ42" s="16">
        <f t="shared" si="10"/>
        <v>86336513720.006821</v>
      </c>
      <c r="BK42" s="16">
        <f t="shared" si="10"/>
        <v>82814145673.006821</v>
      </c>
      <c r="BL42" s="16">
        <v>63726156403.996582</v>
      </c>
      <c r="BM42" s="16">
        <v>160064376330.00684</v>
      </c>
      <c r="BN42" s="16">
        <v>158595220342.00684</v>
      </c>
      <c r="BO42" s="16">
        <v>147256262964</v>
      </c>
      <c r="BP42" s="16">
        <v>165964800039</v>
      </c>
      <c r="BQ42" s="16"/>
      <c r="BR42" s="16"/>
      <c r="BS42" s="16"/>
      <c r="BT42" s="16"/>
      <c r="BU42" s="16"/>
      <c r="BV42" s="16"/>
      <c r="BW42" s="16"/>
    </row>
    <row r="43" spans="1:75">
      <c r="A43" s="136">
        <v>40</v>
      </c>
      <c r="B43" s="137" t="s">
        <v>240</v>
      </c>
      <c r="C43" s="138">
        <v>28</v>
      </c>
      <c r="D43" s="19"/>
      <c r="E43" s="19"/>
      <c r="F43" s="19"/>
      <c r="G43" s="19"/>
      <c r="H43" s="19"/>
      <c r="I43" s="19"/>
      <c r="J43" s="19"/>
      <c r="K43" s="19"/>
      <c r="L43" s="19"/>
      <c r="M43" s="19"/>
      <c r="N43" s="19"/>
      <c r="O43" s="19"/>
      <c r="P43" s="19"/>
      <c r="Q43" s="19"/>
      <c r="R43" s="19"/>
      <c r="S43" s="19"/>
      <c r="T43" s="19"/>
      <c r="U43" s="19"/>
      <c r="V43" s="19"/>
      <c r="W43" s="19"/>
      <c r="X43" s="19"/>
      <c r="Y43" s="19"/>
      <c r="Z43" s="19"/>
      <c r="AA43" s="19"/>
      <c r="AB43" s="19"/>
      <c r="AC43" s="19"/>
      <c r="AD43" s="19"/>
      <c r="AE43" s="19"/>
      <c r="AF43" s="19"/>
      <c r="AG43" s="19"/>
      <c r="AH43" s="19"/>
      <c r="AI43" s="19"/>
      <c r="AJ43" s="19"/>
      <c r="AK43" s="19"/>
      <c r="AL43" s="19"/>
      <c r="AM43" s="19"/>
      <c r="AN43" s="19">
        <v>-55279705</v>
      </c>
      <c r="AO43" s="19">
        <v>427077314</v>
      </c>
      <c r="AP43" s="19">
        <v>320017067</v>
      </c>
      <c r="AQ43" s="19">
        <v>242395730</v>
      </c>
      <c r="AR43" s="19">
        <v>818581781</v>
      </c>
      <c r="AS43" s="19">
        <v>185223798</v>
      </c>
      <c r="AT43" s="19">
        <v>180874896</v>
      </c>
      <c r="AU43" s="19">
        <v>263960563</v>
      </c>
      <c r="AV43" s="19">
        <v>297048858</v>
      </c>
      <c r="AW43" s="19">
        <v>1429021178</v>
      </c>
      <c r="AX43" s="19">
        <v>522578257</v>
      </c>
      <c r="AY43" s="19">
        <v>1311270209</v>
      </c>
      <c r="AZ43" s="19">
        <v>357780096</v>
      </c>
      <c r="BA43" s="19">
        <v>1275864519</v>
      </c>
      <c r="BB43" s="19">
        <v>608968263</v>
      </c>
      <c r="BC43" s="19">
        <v>658231709</v>
      </c>
      <c r="BD43" s="19">
        <v>1643945913</v>
      </c>
      <c r="BE43" s="19">
        <v>645043805</v>
      </c>
      <c r="BF43" s="19">
        <v>757881624</v>
      </c>
      <c r="BG43" s="19">
        <v>621393506</v>
      </c>
      <c r="BH43" s="19">
        <v>844098636</v>
      </c>
      <c r="BI43" s="19">
        <v>1011211322</v>
      </c>
      <c r="BJ43" s="19">
        <v>120205688</v>
      </c>
      <c r="BK43" s="19">
        <v>252471998</v>
      </c>
      <c r="BL43" s="514">
        <v>282378363</v>
      </c>
      <c r="BM43" s="514">
        <v>195993248</v>
      </c>
      <c r="BN43" s="19">
        <v>773200542</v>
      </c>
      <c r="BO43" s="19">
        <v>16042566</v>
      </c>
      <c r="BP43" s="19">
        <v>618868933</v>
      </c>
      <c r="BQ43" s="19"/>
      <c r="BR43" s="19"/>
      <c r="BS43" s="19"/>
      <c r="BT43" s="19"/>
      <c r="BU43" s="19"/>
      <c r="BV43" s="19"/>
      <c r="BW43" s="19"/>
    </row>
    <row r="44" spans="1:75">
      <c r="A44" s="101">
        <v>41</v>
      </c>
      <c r="B44" s="102" t="s">
        <v>241</v>
      </c>
      <c r="C44" s="126">
        <v>28</v>
      </c>
      <c r="D44" s="16">
        <f>SUM(D41:D43)</f>
        <v>0</v>
      </c>
      <c r="E44" s="16">
        <f t="shared" ref="E44:BK44" si="11">SUM(E41:E43)</f>
        <v>0</v>
      </c>
      <c r="F44" s="16">
        <f t="shared" si="11"/>
        <v>0</v>
      </c>
      <c r="G44" s="16">
        <f t="shared" si="11"/>
        <v>0</v>
      </c>
      <c r="H44" s="16">
        <f t="shared" si="11"/>
        <v>0</v>
      </c>
      <c r="I44" s="16">
        <f t="shared" si="11"/>
        <v>0</v>
      </c>
      <c r="J44" s="16">
        <f t="shared" si="11"/>
        <v>0</v>
      </c>
      <c r="K44" s="16">
        <f t="shared" si="11"/>
        <v>0</v>
      </c>
      <c r="L44" s="16">
        <f t="shared" si="11"/>
        <v>0</v>
      </c>
      <c r="M44" s="16">
        <f t="shared" si="11"/>
        <v>0</v>
      </c>
      <c r="N44" s="16">
        <f t="shared" si="11"/>
        <v>0</v>
      </c>
      <c r="O44" s="16">
        <f t="shared" si="11"/>
        <v>0</v>
      </c>
      <c r="P44" s="16">
        <f t="shared" si="11"/>
        <v>0</v>
      </c>
      <c r="Q44" s="16">
        <f t="shared" si="11"/>
        <v>0</v>
      </c>
      <c r="R44" s="16">
        <f t="shared" si="11"/>
        <v>0</v>
      </c>
      <c r="S44" s="16">
        <f t="shared" si="11"/>
        <v>0</v>
      </c>
      <c r="T44" s="16">
        <f t="shared" si="11"/>
        <v>0</v>
      </c>
      <c r="U44" s="16">
        <f t="shared" si="11"/>
        <v>0</v>
      </c>
      <c r="V44" s="16">
        <f t="shared" si="11"/>
        <v>0</v>
      </c>
      <c r="W44" s="16">
        <f t="shared" si="11"/>
        <v>0</v>
      </c>
      <c r="X44" s="16">
        <f t="shared" si="11"/>
        <v>0</v>
      </c>
      <c r="Y44" s="16">
        <f t="shared" si="11"/>
        <v>0</v>
      </c>
      <c r="Z44" s="16">
        <f t="shared" si="11"/>
        <v>0</v>
      </c>
      <c r="AA44" s="16">
        <f t="shared" si="11"/>
        <v>0</v>
      </c>
      <c r="AB44" s="16">
        <f t="shared" si="11"/>
        <v>0</v>
      </c>
      <c r="AC44" s="16">
        <f t="shared" si="11"/>
        <v>0</v>
      </c>
      <c r="AD44" s="16">
        <f t="shared" si="11"/>
        <v>0</v>
      </c>
      <c r="AE44" s="16">
        <f t="shared" si="11"/>
        <v>0</v>
      </c>
      <c r="AF44" s="16">
        <f t="shared" si="11"/>
        <v>0</v>
      </c>
      <c r="AG44" s="16">
        <f t="shared" si="11"/>
        <v>0</v>
      </c>
      <c r="AH44" s="16">
        <f t="shared" si="11"/>
        <v>0</v>
      </c>
      <c r="AI44" s="16">
        <f t="shared" si="11"/>
        <v>0</v>
      </c>
      <c r="AJ44" s="16">
        <f t="shared" si="11"/>
        <v>0</v>
      </c>
      <c r="AK44" s="16">
        <f t="shared" si="11"/>
        <v>0</v>
      </c>
      <c r="AL44" s="16">
        <f t="shared" si="11"/>
        <v>0</v>
      </c>
      <c r="AM44" s="16">
        <f t="shared" si="11"/>
        <v>0</v>
      </c>
      <c r="AN44" s="16">
        <f t="shared" si="11"/>
        <v>49288867552.996582</v>
      </c>
      <c r="AO44" s="16">
        <f t="shared" si="11"/>
        <v>38507420566.996582</v>
      </c>
      <c r="AP44" s="16">
        <f t="shared" si="11"/>
        <v>29048673709.996582</v>
      </c>
      <c r="AQ44" s="16">
        <f t="shared" si="11"/>
        <v>37248770959.996582</v>
      </c>
      <c r="AR44" s="16">
        <f t="shared" si="11"/>
        <v>35854754104.996582</v>
      </c>
      <c r="AS44" s="16">
        <f t="shared" si="11"/>
        <v>22294252334.996582</v>
      </c>
      <c r="AT44" s="16">
        <f t="shared" si="11"/>
        <v>58926623982.996582</v>
      </c>
      <c r="AU44" s="16">
        <f t="shared" si="11"/>
        <v>38085107962.996582</v>
      </c>
      <c r="AV44" s="16">
        <f t="shared" si="11"/>
        <v>51085143267.996582</v>
      </c>
      <c r="AW44" s="16">
        <f t="shared" si="11"/>
        <v>80670393726.996582</v>
      </c>
      <c r="AX44" s="16">
        <f t="shared" si="11"/>
        <v>83760809809</v>
      </c>
      <c r="AY44" s="559">
        <f t="shared" si="11"/>
        <v>81171565104.003418</v>
      </c>
      <c r="AZ44" s="16">
        <f t="shared" si="11"/>
        <v>108757458297.00693</v>
      </c>
      <c r="BA44" s="16">
        <f t="shared" si="11"/>
        <v>63047560922.006828</v>
      </c>
      <c r="BB44" s="16">
        <f t="shared" si="11"/>
        <v>57546333332.006828</v>
      </c>
      <c r="BC44" s="16">
        <f t="shared" si="11"/>
        <v>72781093895.006821</v>
      </c>
      <c r="BD44" s="16">
        <f t="shared" si="11"/>
        <v>53850392378.006821</v>
      </c>
      <c r="BE44" s="16">
        <f t="shared" si="11"/>
        <v>47310681042.006821</v>
      </c>
      <c r="BF44" s="16">
        <f t="shared" si="11"/>
        <v>46943683940.00692</v>
      </c>
      <c r="BG44" s="16">
        <f t="shared" si="11"/>
        <v>52760383890.00692</v>
      </c>
      <c r="BH44" s="16">
        <f t="shared" si="11"/>
        <v>94749581700.006821</v>
      </c>
      <c r="BI44" s="16">
        <f t="shared" si="11"/>
        <v>86336513720.006821</v>
      </c>
      <c r="BJ44" s="16">
        <f t="shared" si="11"/>
        <v>82814145673.006821</v>
      </c>
      <c r="BK44" s="16">
        <f t="shared" si="11"/>
        <v>63726156404.006821</v>
      </c>
      <c r="BL44" s="16">
        <v>160064376329.99658</v>
      </c>
      <c r="BM44" s="16">
        <v>158595220342.00684</v>
      </c>
      <c r="BN44" s="16">
        <v>147256262964.00684</v>
      </c>
      <c r="BO44" s="16">
        <v>165964800039</v>
      </c>
      <c r="BP44" s="16">
        <v>156543872808</v>
      </c>
      <c r="BQ44" s="16">
        <f t="shared" ref="BQ44:BW44" si="12">SUM(BQ41:BQ43)</f>
        <v>0</v>
      </c>
      <c r="BR44" s="16">
        <f t="shared" si="12"/>
        <v>0</v>
      </c>
      <c r="BS44" s="16">
        <f t="shared" si="12"/>
        <v>0</v>
      </c>
      <c r="BT44" s="16">
        <f t="shared" si="12"/>
        <v>0</v>
      </c>
      <c r="BU44" s="16">
        <f t="shared" si="12"/>
        <v>0</v>
      </c>
      <c r="BV44" s="16">
        <f t="shared" si="12"/>
        <v>0</v>
      </c>
      <c r="BW44" s="16">
        <f t="shared" si="12"/>
        <v>0</v>
      </c>
    </row>
  </sheetData>
  <sheetProtection algorithmName="SHA-512" hashValue="le8TvGJ4I69woTTpDeEEsblkh18/4oXKFw7wP4UZ53JDDPyadPV62kqLYg9A1xmIliXlQMQ8uSEcGveY/y1FGA==" saltValue="oTiVphJbBvtWQe+OQEksow==" spinCount="100000" sheet="1" objects="1" scenarios="1"/>
  <protectedRanges>
    <protectedRange sqref="D4:BW44" name="CF"/>
  </protectedRanges>
  <pageMargins left="0.7" right="0.7" top="0.75" bottom="0.75" header="0.3" footer="0.3"/>
  <legacyDrawing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7DB84F-98B8-4CD1-B755-0358D9CE0820}">
  <sheetPr>
    <tabColor theme="9" tint="0.59999389629810485"/>
  </sheetPr>
  <dimension ref="A1:BW57"/>
  <sheetViews>
    <sheetView showGridLines="0" zoomScale="85" zoomScaleNormal="85" workbookViewId="0">
      <pane xSplit="3" ySplit="3" topLeftCell="BM4" activePane="bottomRight" state="frozen"/>
      <selection pane="topRight" activeCell="BL10" sqref="BL10"/>
      <selection pane="bottomLeft" activeCell="BL10" sqref="BL10"/>
      <selection pane="bottomRight" activeCell="BP49" sqref="BP49"/>
    </sheetView>
  </sheetViews>
  <sheetFormatPr defaultRowHeight="14.5"/>
  <cols>
    <col min="1" max="1" width="10.6328125" hidden="1" customWidth="1"/>
    <col min="2" max="2" width="52.36328125" customWidth="1"/>
    <col min="3" max="3" width="12" hidden="1" customWidth="1"/>
    <col min="4" max="75" width="16" customWidth="1"/>
  </cols>
  <sheetData>
    <row r="1" spans="1:75" ht="17.5">
      <c r="B1" s="40" t="str">
        <f>'Thong tin'!A1</f>
        <v>CÔNG TY CP NHỰA TÁI CHẾ DUY TÂN</v>
      </c>
    </row>
    <row r="2" spans="1:75">
      <c r="B2" s="46" t="s">
        <v>243</v>
      </c>
    </row>
    <row r="3" spans="1:75" ht="28">
      <c r="A3" s="139" t="s">
        <v>407</v>
      </c>
      <c r="B3" s="140" t="s">
        <v>408</v>
      </c>
      <c r="C3" s="141" t="s">
        <v>246</v>
      </c>
      <c r="D3" s="49" t="s">
        <v>247</v>
      </c>
      <c r="E3" s="49" t="s">
        <v>248</v>
      </c>
      <c r="F3" s="49" t="s">
        <v>249</v>
      </c>
      <c r="G3" s="49" t="s">
        <v>250</v>
      </c>
      <c r="H3" s="49" t="s">
        <v>251</v>
      </c>
      <c r="I3" s="49" t="s">
        <v>252</v>
      </c>
      <c r="J3" s="49" t="s">
        <v>253</v>
      </c>
      <c r="K3" s="49" t="s">
        <v>254</v>
      </c>
      <c r="L3" s="49" t="s">
        <v>255</v>
      </c>
      <c r="M3" s="49" t="s">
        <v>256</v>
      </c>
      <c r="N3" s="49" t="s">
        <v>257</v>
      </c>
      <c r="O3" s="49" t="s">
        <v>258</v>
      </c>
      <c r="P3" s="49" t="s">
        <v>259</v>
      </c>
      <c r="Q3" s="49" t="s">
        <v>260</v>
      </c>
      <c r="R3" s="49" t="s">
        <v>261</v>
      </c>
      <c r="S3" s="49" t="s">
        <v>262</v>
      </c>
      <c r="T3" s="49" t="s">
        <v>263</v>
      </c>
      <c r="U3" s="49" t="s">
        <v>264</v>
      </c>
      <c r="V3" s="49" t="s">
        <v>265</v>
      </c>
      <c r="W3" s="49" t="s">
        <v>266</v>
      </c>
      <c r="X3" s="49" t="s">
        <v>267</v>
      </c>
      <c r="Y3" s="49" t="s">
        <v>268</v>
      </c>
      <c r="Z3" s="49" t="s">
        <v>269</v>
      </c>
      <c r="AA3" s="49" t="s">
        <v>270</v>
      </c>
      <c r="AB3" s="49" t="s">
        <v>271</v>
      </c>
      <c r="AC3" s="49" t="s">
        <v>272</v>
      </c>
      <c r="AD3" s="49" t="s">
        <v>273</v>
      </c>
      <c r="AE3" s="49" t="s">
        <v>274</v>
      </c>
      <c r="AF3" s="49" t="s">
        <v>275</v>
      </c>
      <c r="AG3" s="49" t="s">
        <v>276</v>
      </c>
      <c r="AH3" s="49" t="s">
        <v>277</v>
      </c>
      <c r="AI3" s="49" t="s">
        <v>278</v>
      </c>
      <c r="AJ3" s="49" t="s">
        <v>279</v>
      </c>
      <c r="AK3" s="49" t="s">
        <v>280</v>
      </c>
      <c r="AL3" s="49" t="s">
        <v>281</v>
      </c>
      <c r="AM3" s="49" t="s">
        <v>282</v>
      </c>
      <c r="AN3" s="49" t="s">
        <v>283</v>
      </c>
      <c r="AO3" s="49" t="s">
        <v>284</v>
      </c>
      <c r="AP3" s="49" t="s">
        <v>285</v>
      </c>
      <c r="AQ3" s="49" t="s">
        <v>286</v>
      </c>
      <c r="AR3" s="49" t="s">
        <v>287</v>
      </c>
      <c r="AS3" s="49" t="s">
        <v>288</v>
      </c>
      <c r="AT3" s="49" t="s">
        <v>289</v>
      </c>
      <c r="AU3" s="49" t="s">
        <v>290</v>
      </c>
      <c r="AV3" s="49" t="s">
        <v>291</v>
      </c>
      <c r="AW3" s="49" t="s">
        <v>292</v>
      </c>
      <c r="AX3" s="49" t="s">
        <v>293</v>
      </c>
      <c r="AY3" s="49" t="s">
        <v>294</v>
      </c>
      <c r="AZ3" s="49" t="s">
        <v>295</v>
      </c>
      <c r="BA3" s="49" t="s">
        <v>296</v>
      </c>
      <c r="BB3" s="49" t="s">
        <v>297</v>
      </c>
      <c r="BC3" s="49" t="s">
        <v>298</v>
      </c>
      <c r="BD3" s="49" t="s">
        <v>299</v>
      </c>
      <c r="BE3" s="49" t="s">
        <v>300</v>
      </c>
      <c r="BF3" s="49" t="s">
        <v>301</v>
      </c>
      <c r="BG3" s="49" t="s">
        <v>302</v>
      </c>
      <c r="BH3" s="49" t="s">
        <v>303</v>
      </c>
      <c r="BI3" s="49" t="s">
        <v>304</v>
      </c>
      <c r="BJ3" s="49" t="s">
        <v>305</v>
      </c>
      <c r="BK3" s="49" t="s">
        <v>306</v>
      </c>
      <c r="BL3" s="49" t="s">
        <v>307</v>
      </c>
      <c r="BM3" s="49" t="s">
        <v>308</v>
      </c>
      <c r="BN3" s="49" t="s">
        <v>309</v>
      </c>
      <c r="BO3" s="49" t="s">
        <v>310</v>
      </c>
      <c r="BP3" s="49" t="s">
        <v>311</v>
      </c>
      <c r="BQ3" s="49" t="s">
        <v>312</v>
      </c>
      <c r="BR3" s="49" t="s">
        <v>313</v>
      </c>
      <c r="BS3" s="49" t="s">
        <v>314</v>
      </c>
      <c r="BT3" s="49" t="s">
        <v>315</v>
      </c>
      <c r="BU3" s="49" t="s">
        <v>316</v>
      </c>
      <c r="BV3" s="49" t="s">
        <v>317</v>
      </c>
      <c r="BW3" s="49" t="s">
        <v>318</v>
      </c>
    </row>
    <row r="4" spans="1:75">
      <c r="A4" s="142">
        <v>1</v>
      </c>
      <c r="B4" s="143" t="s">
        <v>409</v>
      </c>
      <c r="C4" s="144">
        <v>28</v>
      </c>
      <c r="D4" s="26"/>
      <c r="E4" s="26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>
        <v>478</v>
      </c>
      <c r="AO4" s="26">
        <v>465</v>
      </c>
      <c r="AP4" s="26">
        <v>505</v>
      </c>
      <c r="AQ4" s="26">
        <v>528</v>
      </c>
      <c r="AR4" s="26">
        <v>550</v>
      </c>
      <c r="AS4" s="26">
        <v>557</v>
      </c>
      <c r="AT4" s="26">
        <v>561</v>
      </c>
      <c r="AU4" s="26">
        <v>558</v>
      </c>
      <c r="AV4" s="26">
        <v>591</v>
      </c>
      <c r="AW4" s="26">
        <v>606</v>
      </c>
      <c r="AX4" s="26">
        <v>619</v>
      </c>
      <c r="AY4" s="26">
        <v>626</v>
      </c>
      <c r="AZ4" s="26">
        <v>729.7037037037037</v>
      </c>
      <c r="BA4" s="26">
        <v>739.96153846153845</v>
      </c>
      <c r="BB4" s="26">
        <v>806.22916666666663</v>
      </c>
      <c r="BC4" s="26">
        <v>805.57407407407402</v>
      </c>
      <c r="BD4" s="26">
        <v>802.74</v>
      </c>
      <c r="BE4" s="26">
        <v>841.75480769230774</v>
      </c>
      <c r="BF4" s="26">
        <v>893.15384615384619</v>
      </c>
      <c r="BG4" s="26">
        <v>913.73076923076928</v>
      </c>
      <c r="BH4" s="26">
        <v>924.2037037037037</v>
      </c>
      <c r="BI4" s="26">
        <v>875.40865384615381</v>
      </c>
      <c r="BJ4" s="26">
        <v>822.38461538461536</v>
      </c>
      <c r="BK4" s="26">
        <v>815.42788461538464</v>
      </c>
      <c r="BL4" s="26">
        <v>821.32</v>
      </c>
      <c r="BM4" s="26">
        <v>829.40909090909088</v>
      </c>
      <c r="BN4" s="26">
        <v>828.09635416666663</v>
      </c>
      <c r="BO4" s="26">
        <v>826.35185185185185</v>
      </c>
      <c r="BP4" s="26">
        <v>840.78</v>
      </c>
      <c r="BQ4" s="26"/>
      <c r="BR4" s="26"/>
      <c r="BS4" s="26"/>
      <c r="BT4" s="26"/>
      <c r="BU4" s="26"/>
      <c r="BV4" s="26"/>
      <c r="BW4" s="26"/>
    </row>
    <row r="5" spans="1:75">
      <c r="A5" s="142">
        <v>2</v>
      </c>
      <c r="B5" s="143" t="s">
        <v>410</v>
      </c>
      <c r="C5" s="144">
        <v>28</v>
      </c>
      <c r="D5" s="26"/>
      <c r="E5" s="26"/>
      <c r="F5" s="26"/>
      <c r="G5" s="26"/>
      <c r="H5" s="26"/>
      <c r="I5" s="26"/>
      <c r="J5" s="26"/>
      <c r="K5" s="26"/>
      <c r="L5" s="26"/>
      <c r="M5" s="26"/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>
        <v>442.7037037037037</v>
      </c>
      <c r="BA5" s="26">
        <v>454.96153846153845</v>
      </c>
      <c r="BB5" s="26">
        <v>509.22916666666669</v>
      </c>
      <c r="BC5" s="26">
        <v>502.57407407407408</v>
      </c>
      <c r="BD5" s="26">
        <v>493.74</v>
      </c>
      <c r="BE5" s="26">
        <v>524.75480769230762</v>
      </c>
      <c r="BF5" s="26">
        <v>574.15384615384619</v>
      </c>
      <c r="BG5" s="26">
        <v>591.73076923076928</v>
      </c>
      <c r="BH5" s="26">
        <v>602.2037037037037</v>
      </c>
      <c r="BI5" s="26">
        <v>550.40865384615381</v>
      </c>
      <c r="BJ5" s="26">
        <v>493.38461538461536</v>
      </c>
      <c r="BK5" s="26">
        <v>495.42788461538464</v>
      </c>
      <c r="BL5" s="26">
        <v>491.32</v>
      </c>
      <c r="BM5" s="26">
        <v>506.40909090909088</v>
      </c>
      <c r="BN5" s="26">
        <v>503.09635416666669</v>
      </c>
      <c r="BO5" s="26">
        <v>504.35185185185185</v>
      </c>
      <c r="BP5" s="26">
        <v>521.78</v>
      </c>
      <c r="BQ5" s="26"/>
      <c r="BR5" s="26"/>
      <c r="BS5" s="26"/>
      <c r="BT5" s="26"/>
      <c r="BU5" s="26"/>
      <c r="BV5" s="26"/>
      <c r="BW5" s="26"/>
    </row>
    <row r="6" spans="1:75">
      <c r="A6" s="142">
        <v>3</v>
      </c>
      <c r="B6" s="143" t="s">
        <v>411</v>
      </c>
      <c r="C6" s="144">
        <v>28</v>
      </c>
      <c r="D6" s="26"/>
      <c r="E6" s="26"/>
      <c r="F6" s="26"/>
      <c r="G6" s="26"/>
      <c r="H6" s="26"/>
      <c r="I6" s="26"/>
      <c r="J6" s="26"/>
      <c r="K6" s="26"/>
      <c r="L6" s="26"/>
      <c r="M6" s="26"/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>
        <v>10135.67625</v>
      </c>
      <c r="BA6" s="26">
        <v>8393.15</v>
      </c>
      <c r="BB6" s="26">
        <v>10491.245000000001</v>
      </c>
      <c r="BC6" s="26">
        <v>11142.671249999999</v>
      </c>
      <c r="BD6" s="26">
        <v>10712.43375</v>
      </c>
      <c r="BE6" s="26">
        <v>12617.004999999999</v>
      </c>
      <c r="BF6" s="26">
        <v>12562.8375</v>
      </c>
      <c r="BG6" s="26">
        <v>12228.68</v>
      </c>
      <c r="BH6" s="26">
        <v>12970.86</v>
      </c>
      <c r="BI6" s="26">
        <v>12241.221250000001</v>
      </c>
      <c r="BJ6" s="26">
        <v>11109.344999999999</v>
      </c>
      <c r="BK6" s="26">
        <v>10934.63625</v>
      </c>
      <c r="BL6" s="26">
        <v>9721.098750000001</v>
      </c>
      <c r="BM6" s="26">
        <v>7952.42</v>
      </c>
      <c r="BN6" s="26">
        <v>9804.5962499999987</v>
      </c>
      <c r="BO6" s="26">
        <v>11832.626249999999</v>
      </c>
      <c r="BP6" s="26">
        <v>8084.8362500000003</v>
      </c>
      <c r="BQ6" s="26"/>
      <c r="BR6" s="26"/>
      <c r="BS6" s="26"/>
      <c r="BT6" s="26"/>
      <c r="BU6" s="26"/>
      <c r="BV6" s="26"/>
      <c r="BW6" s="26"/>
    </row>
    <row r="7" spans="1:75">
      <c r="A7" s="142">
        <v>4</v>
      </c>
      <c r="B7" s="143" t="s">
        <v>412</v>
      </c>
      <c r="C7" s="144">
        <v>28</v>
      </c>
      <c r="D7" s="26"/>
      <c r="E7" s="26"/>
      <c r="F7" s="26"/>
      <c r="G7" s="26"/>
      <c r="H7" s="26"/>
      <c r="I7" s="26"/>
      <c r="J7" s="26"/>
      <c r="K7" s="26"/>
      <c r="L7" s="26"/>
      <c r="M7" s="26"/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>
        <v>2549.0929999999998</v>
      </c>
      <c r="BA7" s="26">
        <v>4251.2479999999996</v>
      </c>
      <c r="BB7" s="26">
        <v>6804.4576000000006</v>
      </c>
      <c r="BC7" s="26">
        <v>5953.753999999999</v>
      </c>
      <c r="BD7" s="26">
        <v>6946.0355</v>
      </c>
      <c r="BE7" s="26">
        <v>6500.8678</v>
      </c>
      <c r="BF7" s="26">
        <v>7412.5526</v>
      </c>
      <c r="BG7" s="26">
        <v>7342.6915000000008</v>
      </c>
      <c r="BH7" s="26">
        <v>7034.5499</v>
      </c>
      <c r="BI7" s="26">
        <v>5348.8582000000006</v>
      </c>
      <c r="BJ7" s="26">
        <v>3941.8167000000003</v>
      </c>
      <c r="BK7" s="26">
        <v>5467.8132999999998</v>
      </c>
      <c r="BL7" s="26">
        <v>5161.3962499999998</v>
      </c>
      <c r="BM7" s="26">
        <v>3284.6660000000002</v>
      </c>
      <c r="BN7" s="26">
        <v>7091.869999999999</v>
      </c>
      <c r="BO7" s="26">
        <v>6687.1723999999995</v>
      </c>
      <c r="BP7" s="26">
        <v>6074.1306000000004</v>
      </c>
      <c r="BQ7" s="26"/>
      <c r="BR7" s="26"/>
      <c r="BS7" s="26"/>
      <c r="BT7" s="26"/>
      <c r="BU7" s="26"/>
      <c r="BV7" s="26"/>
      <c r="BW7" s="26"/>
    </row>
    <row r="8" spans="1:75">
      <c r="A8" s="142">
        <v>5</v>
      </c>
      <c r="B8" s="143" t="s">
        <v>413</v>
      </c>
      <c r="C8" s="144">
        <v>28</v>
      </c>
      <c r="D8" s="26">
        <f>'Ket qua kinh doanh'!D4</f>
        <v>0</v>
      </c>
      <c r="E8" s="26">
        <f>'Ket qua kinh doanh'!E4</f>
        <v>0</v>
      </c>
      <c r="F8" s="26">
        <f>'Ket qua kinh doanh'!F4</f>
        <v>0</v>
      </c>
      <c r="G8" s="26">
        <f>'Ket qua kinh doanh'!G4</f>
        <v>0</v>
      </c>
      <c r="H8" s="26">
        <f>'Ket qua kinh doanh'!H4</f>
        <v>0</v>
      </c>
      <c r="I8" s="26">
        <f>'Ket qua kinh doanh'!I4</f>
        <v>0</v>
      </c>
      <c r="J8" s="26">
        <f>'Ket qua kinh doanh'!J4</f>
        <v>0</v>
      </c>
      <c r="K8" s="26">
        <f>'Ket qua kinh doanh'!K4</f>
        <v>0</v>
      </c>
      <c r="L8" s="26">
        <f>'Ket qua kinh doanh'!L4</f>
        <v>0</v>
      </c>
      <c r="M8" s="26">
        <f>'Ket qua kinh doanh'!M4</f>
        <v>0</v>
      </c>
      <c r="N8" s="26">
        <f>'Ket qua kinh doanh'!N4</f>
        <v>0</v>
      </c>
      <c r="O8" s="26">
        <f>'Ket qua kinh doanh'!O4</f>
        <v>0</v>
      </c>
      <c r="P8" s="26">
        <f>'Ket qua kinh doanh'!P4</f>
        <v>0</v>
      </c>
      <c r="Q8" s="26">
        <f>'Ket qua kinh doanh'!Q4</f>
        <v>0</v>
      </c>
      <c r="R8" s="26">
        <f>'Ket qua kinh doanh'!R4</f>
        <v>0</v>
      </c>
      <c r="S8" s="26">
        <f>'Ket qua kinh doanh'!S4</f>
        <v>0</v>
      </c>
      <c r="T8" s="26">
        <f>'Ket qua kinh doanh'!T4</f>
        <v>0</v>
      </c>
      <c r="U8" s="26">
        <f>'Ket qua kinh doanh'!U4</f>
        <v>0</v>
      </c>
      <c r="V8" s="26">
        <f>'Ket qua kinh doanh'!V4</f>
        <v>0</v>
      </c>
      <c r="W8" s="26">
        <f>'Ket qua kinh doanh'!W4</f>
        <v>0</v>
      </c>
      <c r="X8" s="26">
        <f>'Ket qua kinh doanh'!X4</f>
        <v>0</v>
      </c>
      <c r="Y8" s="26">
        <f>'Ket qua kinh doanh'!Y4</f>
        <v>0</v>
      </c>
      <c r="Z8" s="26">
        <f>'Ket qua kinh doanh'!Z4</f>
        <v>0</v>
      </c>
      <c r="AA8" s="26">
        <f>'Ket qua kinh doanh'!AA4</f>
        <v>0</v>
      </c>
      <c r="AB8" s="26">
        <f>'Ket qua kinh doanh'!AB4</f>
        <v>0</v>
      </c>
      <c r="AC8" s="26">
        <f>'Ket qua kinh doanh'!AC4</f>
        <v>0</v>
      </c>
      <c r="AD8" s="26">
        <f>'Ket qua kinh doanh'!AD4</f>
        <v>0</v>
      </c>
      <c r="AE8" s="26">
        <f>'Ket qua kinh doanh'!AE4</f>
        <v>0</v>
      </c>
      <c r="AF8" s="26">
        <f>'Ket qua kinh doanh'!AF4</f>
        <v>0</v>
      </c>
      <c r="AG8" s="26">
        <f>'Ket qua kinh doanh'!AG4</f>
        <v>0</v>
      </c>
      <c r="AH8" s="26">
        <f>'Ket qua kinh doanh'!AH4</f>
        <v>0</v>
      </c>
      <c r="AI8" s="26">
        <f>'Ket qua kinh doanh'!AI4</f>
        <v>0</v>
      </c>
      <c r="AJ8" s="26">
        <f>'Ket qua kinh doanh'!AJ4</f>
        <v>0</v>
      </c>
      <c r="AK8" s="26">
        <f>'Ket qua kinh doanh'!AK4</f>
        <v>0</v>
      </c>
      <c r="AL8" s="26">
        <f>'Ket qua kinh doanh'!AL4</f>
        <v>0</v>
      </c>
      <c r="AM8" s="26">
        <f>'Ket qua kinh doanh'!AM4</f>
        <v>0</v>
      </c>
      <c r="AN8" s="26">
        <v>5108.3249999999998</v>
      </c>
      <c r="AO8" s="26">
        <v>3038.375</v>
      </c>
      <c r="AP8" s="26">
        <v>4394.3999999999996</v>
      </c>
      <c r="AQ8" s="26">
        <v>4434.75</v>
      </c>
      <c r="AR8" s="26">
        <v>4827.2020000000002</v>
      </c>
      <c r="AS8" s="26">
        <v>3532.75</v>
      </c>
      <c r="AT8" s="26">
        <v>2953.134</v>
      </c>
      <c r="AU8" s="26">
        <v>5764.9472000000005</v>
      </c>
      <c r="AV8" s="26">
        <v>5789.67</v>
      </c>
      <c r="AW8" s="26">
        <v>4984.4519999999993</v>
      </c>
      <c r="AX8" s="26">
        <v>3194.5280000000002</v>
      </c>
      <c r="AY8" s="26">
        <v>3774.598</v>
      </c>
      <c r="AZ8" s="26">
        <v>4326.8272999999999</v>
      </c>
      <c r="BA8" s="26">
        <v>7040.1739999999991</v>
      </c>
      <c r="BB8" s="26">
        <v>6707.6939999999995</v>
      </c>
      <c r="BC8" s="26">
        <v>4085.9470000000001</v>
      </c>
      <c r="BD8" s="26">
        <v>4800.6902999999984</v>
      </c>
      <c r="BE8" s="26">
        <v>4045.3530000000005</v>
      </c>
      <c r="BF8" s="26">
        <v>4698.9850999999999</v>
      </c>
      <c r="BG8" s="26">
        <v>5678.89</v>
      </c>
      <c r="BH8" s="26">
        <v>3116.57</v>
      </c>
      <c r="BI8" s="26">
        <v>3435.7789999999995</v>
      </c>
      <c r="BJ8" s="26">
        <v>3062.1559999999999</v>
      </c>
      <c r="BK8" s="26">
        <v>3190.5889999999999</v>
      </c>
      <c r="BL8" s="26">
        <f>'Ket qua kinh doanh'!BL4</f>
        <v>4402.0519999999997</v>
      </c>
      <c r="BM8" s="26">
        <f>'Ket qua kinh doanh'!BM4</f>
        <v>3277.83</v>
      </c>
      <c r="BN8" s="26">
        <f>'Ket qua kinh doanh'!BN4</f>
        <v>6446.3829999999998</v>
      </c>
      <c r="BO8" s="26">
        <f>'Ket qua kinh doanh'!BO4</f>
        <v>5783.4650000000001</v>
      </c>
      <c r="BP8" s="26">
        <f>'Ket qua kinh doanh'!BP4</f>
        <v>5176.4000000000005</v>
      </c>
      <c r="BQ8" s="26">
        <f>'Ket qua kinh doanh'!BQ4</f>
        <v>0</v>
      </c>
      <c r="BR8" s="26">
        <f>'Ket qua kinh doanh'!BR4</f>
        <v>0</v>
      </c>
      <c r="BS8" s="26">
        <f>'Ket qua kinh doanh'!BS4</f>
        <v>0</v>
      </c>
      <c r="BT8" s="26">
        <f>'Ket qua kinh doanh'!BT4</f>
        <v>0</v>
      </c>
      <c r="BU8" s="26">
        <f>'Ket qua kinh doanh'!BU4</f>
        <v>0</v>
      </c>
      <c r="BV8" s="26">
        <f>'Ket qua kinh doanh'!BV4</f>
        <v>0</v>
      </c>
      <c r="BW8" s="26">
        <f>'Ket qua kinh doanh'!BW4</f>
        <v>0</v>
      </c>
    </row>
    <row r="9" spans="1:75">
      <c r="A9" s="145">
        <v>6</v>
      </c>
      <c r="B9" s="146" t="s">
        <v>414</v>
      </c>
      <c r="C9" s="147">
        <v>28</v>
      </c>
      <c r="D9" s="27">
        <f>'Ket qua kinh doanh'!D5</f>
        <v>0</v>
      </c>
      <c r="E9" s="27">
        <f>'Ket qua kinh doanh'!E5</f>
        <v>0</v>
      </c>
      <c r="F9" s="27">
        <f>'Ket qua kinh doanh'!F5</f>
        <v>0</v>
      </c>
      <c r="G9" s="27">
        <f>'Ket qua kinh doanh'!G5</f>
        <v>0</v>
      </c>
      <c r="H9" s="27">
        <f>'Ket qua kinh doanh'!H5</f>
        <v>0</v>
      </c>
      <c r="I9" s="27">
        <f>'Ket qua kinh doanh'!I5</f>
        <v>0</v>
      </c>
      <c r="J9" s="27">
        <f>'Ket qua kinh doanh'!J5</f>
        <v>0</v>
      </c>
      <c r="K9" s="27">
        <f>'Ket qua kinh doanh'!K5</f>
        <v>0</v>
      </c>
      <c r="L9" s="27">
        <f>'Ket qua kinh doanh'!L5</f>
        <v>0</v>
      </c>
      <c r="M9" s="27">
        <f>'Ket qua kinh doanh'!M5</f>
        <v>0</v>
      </c>
      <c r="N9" s="27">
        <f>'Ket qua kinh doanh'!N5</f>
        <v>0</v>
      </c>
      <c r="O9" s="27">
        <f>'Ket qua kinh doanh'!O5</f>
        <v>0</v>
      </c>
      <c r="P9" s="27">
        <f>'Ket qua kinh doanh'!P5</f>
        <v>0</v>
      </c>
      <c r="Q9" s="27">
        <f>'Ket qua kinh doanh'!Q5</f>
        <v>0</v>
      </c>
      <c r="R9" s="27">
        <f>'Ket qua kinh doanh'!R5</f>
        <v>0</v>
      </c>
      <c r="S9" s="27">
        <f>'Ket qua kinh doanh'!S5</f>
        <v>0</v>
      </c>
      <c r="T9" s="27">
        <f>'Ket qua kinh doanh'!T5</f>
        <v>0</v>
      </c>
      <c r="U9" s="27">
        <f>'Ket qua kinh doanh'!U5</f>
        <v>0</v>
      </c>
      <c r="V9" s="27">
        <f>'Ket qua kinh doanh'!V5</f>
        <v>0</v>
      </c>
      <c r="W9" s="27">
        <f>'Ket qua kinh doanh'!W5</f>
        <v>0</v>
      </c>
      <c r="X9" s="27">
        <f>'Ket qua kinh doanh'!X5</f>
        <v>0</v>
      </c>
      <c r="Y9" s="27">
        <f>'Ket qua kinh doanh'!Y5</f>
        <v>0</v>
      </c>
      <c r="Z9" s="27">
        <f>'Ket qua kinh doanh'!Z5</f>
        <v>0</v>
      </c>
      <c r="AA9" s="27">
        <f>'Ket qua kinh doanh'!AA5</f>
        <v>0</v>
      </c>
      <c r="AB9" s="27">
        <f>'Ket qua kinh doanh'!AB5</f>
        <v>0</v>
      </c>
      <c r="AC9" s="27">
        <f>'Ket qua kinh doanh'!AC5</f>
        <v>0</v>
      </c>
      <c r="AD9" s="27">
        <f>'Ket qua kinh doanh'!AD5</f>
        <v>0</v>
      </c>
      <c r="AE9" s="27">
        <f>'Ket qua kinh doanh'!AE5</f>
        <v>0</v>
      </c>
      <c r="AF9" s="27">
        <f>'Ket qua kinh doanh'!AF5</f>
        <v>0</v>
      </c>
      <c r="AG9" s="27">
        <f>'Ket qua kinh doanh'!AG5</f>
        <v>0</v>
      </c>
      <c r="AH9" s="27">
        <f>'Ket qua kinh doanh'!AH5</f>
        <v>0</v>
      </c>
      <c r="AI9" s="27">
        <f>'Ket qua kinh doanh'!AI5</f>
        <v>0</v>
      </c>
      <c r="AJ9" s="27">
        <f>'Ket qua kinh doanh'!AJ5</f>
        <v>0</v>
      </c>
      <c r="AK9" s="27">
        <f>'Ket qua kinh doanh'!AK5</f>
        <v>0</v>
      </c>
      <c r="AL9" s="27">
        <f>'Ket qua kinh doanh'!AL5</f>
        <v>0</v>
      </c>
      <c r="AM9" s="27">
        <f>'Ket qua kinh doanh'!AM5</f>
        <v>0</v>
      </c>
      <c r="AN9" s="27">
        <f>'Ket qua kinh doanh'!AN5</f>
        <v>130037940981</v>
      </c>
      <c r="AO9" s="27">
        <f>'Ket qua kinh doanh'!AO5</f>
        <v>84645791256</v>
      </c>
      <c r="AP9" s="27">
        <f>'Ket qua kinh doanh'!AP5</f>
        <v>115625416433</v>
      </c>
      <c r="AQ9" s="27">
        <f>'Ket qua kinh doanh'!AQ5</f>
        <v>117647266094</v>
      </c>
      <c r="AR9" s="27">
        <f>'Ket qua kinh doanh'!AR5</f>
        <v>128085507494</v>
      </c>
      <c r="AS9" s="27">
        <f>'Ket qua kinh doanh'!AS5</f>
        <v>95661572209</v>
      </c>
      <c r="AT9" s="27">
        <f>'Ket qua kinh doanh'!AT5</f>
        <v>74679662458</v>
      </c>
      <c r="AU9" s="27">
        <f>'Ket qua kinh doanh'!AU5</f>
        <v>178936926222</v>
      </c>
      <c r="AV9" s="27">
        <f>'Ket qua kinh doanh'!AV5</f>
        <v>180140886766</v>
      </c>
      <c r="AW9" s="27">
        <f>'Ket qua kinh doanh'!AW5</f>
        <v>143211413018</v>
      </c>
      <c r="AX9" s="27">
        <f>'Ket qua kinh doanh'!AX5</f>
        <v>97197472020</v>
      </c>
      <c r="AY9" s="27">
        <f>'Ket qua kinh doanh'!AY5</f>
        <v>128687104846</v>
      </c>
      <c r="AZ9" s="27">
        <f>'Ket qua kinh doanh'!AZ5</f>
        <v>114983880947</v>
      </c>
      <c r="BA9" s="27">
        <f>'Ket qua kinh doanh'!BA5</f>
        <v>188477338235</v>
      </c>
      <c r="BB9" s="27">
        <f>'Ket qua kinh doanh'!BB5</f>
        <v>150716555192</v>
      </c>
      <c r="BC9" s="27">
        <f>'Ket qua kinh doanh'!BC5</f>
        <v>125691833422</v>
      </c>
      <c r="BD9" s="27">
        <f>'Ket qua kinh doanh'!BD5</f>
        <v>153638670524</v>
      </c>
      <c r="BE9" s="27">
        <f>'Ket qua kinh doanh'!BE5</f>
        <v>120188501523</v>
      </c>
      <c r="BF9" s="27">
        <f>'Ket qua kinh doanh'!BF5</f>
        <v>138030275641</v>
      </c>
      <c r="BG9" s="27">
        <f>'Ket qua kinh doanh'!BG5</f>
        <v>169482496928</v>
      </c>
      <c r="BH9" s="27">
        <f>'Ket qua kinh doanh'!BH5</f>
        <v>91503288423</v>
      </c>
      <c r="BI9" s="27">
        <f>'Ket qua kinh doanh'!BI5</f>
        <v>109010675108</v>
      </c>
      <c r="BJ9" s="27">
        <f>'Ket qua kinh doanh'!BJ5</f>
        <v>89868450986</v>
      </c>
      <c r="BK9" s="27">
        <f>'Ket qua kinh doanh'!BK5</f>
        <v>100768484341</v>
      </c>
      <c r="BL9" s="27">
        <f>'Ket qua kinh doanh'!BL5</f>
        <v>126470480720</v>
      </c>
      <c r="BM9" s="27">
        <f>'Ket qua kinh doanh'!BM5</f>
        <v>96582496962</v>
      </c>
      <c r="BN9" s="27">
        <f>'Ket qua kinh doanh'!BN5</f>
        <v>173962786425</v>
      </c>
      <c r="BO9" s="27">
        <f>'Ket qua kinh doanh'!BO5</f>
        <v>159236581985</v>
      </c>
      <c r="BP9" s="27">
        <f>'Ket qua kinh doanh'!BP5</f>
        <v>161004715441</v>
      </c>
      <c r="BQ9" s="27">
        <f>'Ket qua kinh doanh'!BQ5</f>
        <v>0</v>
      </c>
      <c r="BR9" s="27">
        <f>'Ket qua kinh doanh'!BR5</f>
        <v>0</v>
      </c>
      <c r="BS9" s="27">
        <f>'Ket qua kinh doanh'!BS5</f>
        <v>0</v>
      </c>
      <c r="BT9" s="27">
        <f>'Ket qua kinh doanh'!BT5</f>
        <v>0</v>
      </c>
      <c r="BU9" s="27">
        <f>'Ket qua kinh doanh'!BU5</f>
        <v>0</v>
      </c>
      <c r="BV9" s="27">
        <f>'Ket qua kinh doanh'!BV5</f>
        <v>0</v>
      </c>
      <c r="BW9" s="27">
        <f>'Ket qua kinh doanh'!BW5</f>
        <v>0</v>
      </c>
    </row>
    <row r="10" spans="1:75">
      <c r="A10" s="148">
        <v>7</v>
      </c>
      <c r="B10" s="149" t="s">
        <v>415</v>
      </c>
      <c r="C10" s="150">
        <v>28</v>
      </c>
      <c r="D10" s="28">
        <f>'Ket qua kinh doanh'!D6</f>
        <v>0</v>
      </c>
      <c r="E10" s="28">
        <f>'Ket qua kinh doanh'!E6</f>
        <v>0</v>
      </c>
      <c r="F10" s="28">
        <f>'Ket qua kinh doanh'!F6</f>
        <v>0</v>
      </c>
      <c r="G10" s="28">
        <f>'Ket qua kinh doanh'!G6</f>
        <v>0</v>
      </c>
      <c r="H10" s="28">
        <f>'Ket qua kinh doanh'!H6</f>
        <v>0</v>
      </c>
      <c r="I10" s="28">
        <f>'Ket qua kinh doanh'!I6</f>
        <v>0</v>
      </c>
      <c r="J10" s="28">
        <f>'Ket qua kinh doanh'!J6</f>
        <v>0</v>
      </c>
      <c r="K10" s="28">
        <f>'Ket qua kinh doanh'!K6</f>
        <v>0</v>
      </c>
      <c r="L10" s="28">
        <f>'Ket qua kinh doanh'!L6</f>
        <v>0</v>
      </c>
      <c r="M10" s="28">
        <f>'Ket qua kinh doanh'!M6</f>
        <v>0</v>
      </c>
      <c r="N10" s="28">
        <f>'Ket qua kinh doanh'!N6</f>
        <v>0</v>
      </c>
      <c r="O10" s="28">
        <f>'Ket qua kinh doanh'!O6</f>
        <v>0</v>
      </c>
      <c r="P10" s="28">
        <f>'Ket qua kinh doanh'!P6</f>
        <v>0</v>
      </c>
      <c r="Q10" s="28">
        <f>'Ket qua kinh doanh'!Q6</f>
        <v>0</v>
      </c>
      <c r="R10" s="28">
        <f>'Ket qua kinh doanh'!R6</f>
        <v>0</v>
      </c>
      <c r="S10" s="28">
        <f>'Ket qua kinh doanh'!S6</f>
        <v>0</v>
      </c>
      <c r="T10" s="28">
        <f>'Ket qua kinh doanh'!T6</f>
        <v>0</v>
      </c>
      <c r="U10" s="28">
        <f>'Ket qua kinh doanh'!U6</f>
        <v>0</v>
      </c>
      <c r="V10" s="28">
        <f>'Ket qua kinh doanh'!V6</f>
        <v>0</v>
      </c>
      <c r="W10" s="28">
        <f>'Ket qua kinh doanh'!W6</f>
        <v>0</v>
      </c>
      <c r="X10" s="28">
        <f>'Ket qua kinh doanh'!X6</f>
        <v>0</v>
      </c>
      <c r="Y10" s="28">
        <f>'Ket qua kinh doanh'!Y6</f>
        <v>0</v>
      </c>
      <c r="Z10" s="28">
        <f>'Ket qua kinh doanh'!Z6</f>
        <v>0</v>
      </c>
      <c r="AA10" s="28">
        <f>'Ket qua kinh doanh'!AA6</f>
        <v>0</v>
      </c>
      <c r="AB10" s="28">
        <f>'Ket qua kinh doanh'!AB6</f>
        <v>0</v>
      </c>
      <c r="AC10" s="28">
        <f>'Ket qua kinh doanh'!AC6</f>
        <v>0</v>
      </c>
      <c r="AD10" s="28">
        <f>'Ket qua kinh doanh'!AD6</f>
        <v>0</v>
      </c>
      <c r="AE10" s="28">
        <f>'Ket qua kinh doanh'!AE6</f>
        <v>0</v>
      </c>
      <c r="AF10" s="28">
        <f>'Ket qua kinh doanh'!AF6</f>
        <v>0</v>
      </c>
      <c r="AG10" s="28">
        <f>'Ket qua kinh doanh'!AG6</f>
        <v>0</v>
      </c>
      <c r="AH10" s="28">
        <f>'Ket qua kinh doanh'!AH6</f>
        <v>0</v>
      </c>
      <c r="AI10" s="28">
        <f>'Ket qua kinh doanh'!AI6</f>
        <v>0</v>
      </c>
      <c r="AJ10" s="28">
        <f>'Ket qua kinh doanh'!AJ6</f>
        <v>0</v>
      </c>
      <c r="AK10" s="28">
        <f>'Ket qua kinh doanh'!AK6</f>
        <v>0</v>
      </c>
      <c r="AL10" s="28">
        <f>'Ket qua kinh doanh'!AL6</f>
        <v>0</v>
      </c>
      <c r="AM10" s="28">
        <f>'Ket qua kinh doanh'!AM6</f>
        <v>0</v>
      </c>
      <c r="AN10" s="28">
        <f>'Ket qua kinh doanh'!AN6</f>
        <v>0</v>
      </c>
      <c r="AO10" s="28">
        <f>'Ket qua kinh doanh'!AO6</f>
        <v>1166125000</v>
      </c>
      <c r="AP10" s="28">
        <f>'Ket qua kinh doanh'!AP6</f>
        <v>0</v>
      </c>
      <c r="AQ10" s="28">
        <f>'Ket qua kinh doanh'!AQ6</f>
        <v>0</v>
      </c>
      <c r="AR10" s="28">
        <f>'Ket qua kinh doanh'!AR6</f>
        <v>136455000</v>
      </c>
      <c r="AS10" s="28">
        <f>'Ket qua kinh doanh'!AS6</f>
        <v>0</v>
      </c>
      <c r="AT10" s="28">
        <f>'Ket qua kinh doanh'!AT6</f>
        <v>0</v>
      </c>
      <c r="AU10" s="28">
        <f>'Ket qua kinh doanh'!AU6</f>
        <v>6345077301</v>
      </c>
      <c r="AV10" s="28">
        <f>'Ket qua kinh doanh'!AV6</f>
        <v>4671587529</v>
      </c>
      <c r="AW10" s="28">
        <f>'Ket qua kinh doanh'!AW6</f>
        <v>2922205276</v>
      </c>
      <c r="AX10" s="28">
        <f>'Ket qua kinh doanh'!AX6</f>
        <v>49359030</v>
      </c>
      <c r="AY10" s="28">
        <f>'Ket qua kinh doanh'!AY6</f>
        <v>4680420540</v>
      </c>
      <c r="AZ10" s="28">
        <f>'Ket qua kinh doanh'!AZ6</f>
        <v>513935495</v>
      </c>
      <c r="BA10" s="28">
        <f>'Ket qua kinh doanh'!BA6</f>
        <v>477877176</v>
      </c>
      <c r="BB10" s="28">
        <f>'Ket qua kinh doanh'!BB6</f>
        <v>477350452</v>
      </c>
      <c r="BC10" s="28">
        <f>'Ket qua kinh doanh'!BC6</f>
        <v>304590498</v>
      </c>
      <c r="BD10" s="28">
        <f>'Ket qua kinh doanh'!BD6</f>
        <v>1607115262</v>
      </c>
      <c r="BE10" s="28">
        <f>'Ket qua kinh doanh'!BE6</f>
        <v>708638196</v>
      </c>
      <c r="BF10" s="28">
        <f>'Ket qua kinh doanh'!BF6</f>
        <v>26953743</v>
      </c>
      <c r="BG10" s="28">
        <f>'Ket qua kinh doanh'!BG6</f>
        <v>1000293545</v>
      </c>
      <c r="BH10" s="28">
        <f>'Ket qua kinh doanh'!BH6</f>
        <v>6773818500</v>
      </c>
      <c r="BI10" s="28">
        <f>'Ket qua kinh doanh'!BI6</f>
        <v>0</v>
      </c>
      <c r="BJ10" s="28">
        <f>'Ket qua kinh doanh'!BJ6</f>
        <v>1479093000</v>
      </c>
      <c r="BK10" s="28">
        <f>'Ket qua kinh doanh'!BK6</f>
        <v>1103092320</v>
      </c>
      <c r="BL10" s="28">
        <f>'Ket qua kinh doanh'!BL6</f>
        <v>687876997</v>
      </c>
      <c r="BM10" s="28">
        <f>'Ket qua kinh doanh'!BM6</f>
        <v>33305556</v>
      </c>
      <c r="BN10" s="28">
        <f>'Ket qua kinh doanh'!BN6</f>
        <v>956126160</v>
      </c>
      <c r="BO10" s="28">
        <f>'Ket qua kinh doanh'!BO6</f>
        <v>86574074</v>
      </c>
      <c r="BP10" s="28">
        <f>'Ket qua kinh doanh'!BP6</f>
        <v>1221964024</v>
      </c>
      <c r="BQ10" s="28">
        <f>'Ket qua kinh doanh'!BQ6</f>
        <v>0</v>
      </c>
      <c r="BR10" s="28">
        <f>'Ket qua kinh doanh'!BR6</f>
        <v>0</v>
      </c>
      <c r="BS10" s="28">
        <f>'Ket qua kinh doanh'!BS6</f>
        <v>0</v>
      </c>
      <c r="BT10" s="28">
        <f>'Ket qua kinh doanh'!BT6</f>
        <v>0</v>
      </c>
      <c r="BU10" s="28">
        <f>'Ket qua kinh doanh'!BU6</f>
        <v>0</v>
      </c>
      <c r="BV10" s="28">
        <f>'Ket qua kinh doanh'!BV6</f>
        <v>0</v>
      </c>
      <c r="BW10" s="28">
        <f>'Ket qua kinh doanh'!BW6</f>
        <v>0</v>
      </c>
    </row>
    <row r="11" spans="1:75">
      <c r="A11" s="148">
        <v>8</v>
      </c>
      <c r="B11" s="149" t="s">
        <v>416</v>
      </c>
      <c r="C11" s="151">
        <v>28</v>
      </c>
      <c r="D11" s="29" t="str">
        <f t="shared" ref="D11:BJ11" si="0">IFERROR(D10/D9,"")</f>
        <v/>
      </c>
      <c r="E11" s="29" t="str">
        <f t="shared" si="0"/>
        <v/>
      </c>
      <c r="F11" s="29" t="str">
        <f t="shared" si="0"/>
        <v/>
      </c>
      <c r="G11" s="29" t="str">
        <f t="shared" si="0"/>
        <v/>
      </c>
      <c r="H11" s="29" t="str">
        <f t="shared" si="0"/>
        <v/>
      </c>
      <c r="I11" s="29" t="str">
        <f t="shared" si="0"/>
        <v/>
      </c>
      <c r="J11" s="29" t="str">
        <f t="shared" si="0"/>
        <v/>
      </c>
      <c r="K11" s="29" t="str">
        <f t="shared" si="0"/>
        <v/>
      </c>
      <c r="L11" s="29" t="str">
        <f t="shared" si="0"/>
        <v/>
      </c>
      <c r="M11" s="29" t="str">
        <f t="shared" si="0"/>
        <v/>
      </c>
      <c r="N11" s="29" t="str">
        <f t="shared" si="0"/>
        <v/>
      </c>
      <c r="O11" s="29" t="str">
        <f t="shared" si="0"/>
        <v/>
      </c>
      <c r="P11" s="29" t="str">
        <f t="shared" si="0"/>
        <v/>
      </c>
      <c r="Q11" s="29" t="str">
        <f t="shared" si="0"/>
        <v/>
      </c>
      <c r="R11" s="29" t="str">
        <f t="shared" si="0"/>
        <v/>
      </c>
      <c r="S11" s="29" t="str">
        <f t="shared" si="0"/>
        <v/>
      </c>
      <c r="T11" s="29" t="str">
        <f t="shared" si="0"/>
        <v/>
      </c>
      <c r="U11" s="29" t="str">
        <f t="shared" si="0"/>
        <v/>
      </c>
      <c r="V11" s="29" t="str">
        <f t="shared" si="0"/>
        <v/>
      </c>
      <c r="W11" s="29" t="str">
        <f t="shared" si="0"/>
        <v/>
      </c>
      <c r="X11" s="29" t="str">
        <f t="shared" si="0"/>
        <v/>
      </c>
      <c r="Y11" s="29" t="str">
        <f t="shared" si="0"/>
        <v/>
      </c>
      <c r="Z11" s="29" t="str">
        <f t="shared" si="0"/>
        <v/>
      </c>
      <c r="AA11" s="29" t="str">
        <f t="shared" si="0"/>
        <v/>
      </c>
      <c r="AB11" s="29" t="str">
        <f t="shared" si="0"/>
        <v/>
      </c>
      <c r="AC11" s="29" t="str">
        <f t="shared" si="0"/>
        <v/>
      </c>
      <c r="AD11" s="29" t="str">
        <f t="shared" si="0"/>
        <v/>
      </c>
      <c r="AE11" s="29" t="str">
        <f t="shared" si="0"/>
        <v/>
      </c>
      <c r="AF11" s="29" t="str">
        <f t="shared" si="0"/>
        <v/>
      </c>
      <c r="AG11" s="29" t="str">
        <f t="shared" si="0"/>
        <v/>
      </c>
      <c r="AH11" s="29" t="str">
        <f t="shared" si="0"/>
        <v/>
      </c>
      <c r="AI11" s="29" t="str">
        <f t="shared" si="0"/>
        <v/>
      </c>
      <c r="AJ11" s="29" t="str">
        <f t="shared" si="0"/>
        <v/>
      </c>
      <c r="AK11" s="29" t="str">
        <f t="shared" si="0"/>
        <v/>
      </c>
      <c r="AL11" s="29" t="str">
        <f t="shared" si="0"/>
        <v/>
      </c>
      <c r="AM11" s="29" t="str">
        <f t="shared" si="0"/>
        <v/>
      </c>
      <c r="AN11" s="29">
        <f t="shared" si="0"/>
        <v>0</v>
      </c>
      <c r="AO11" s="29">
        <f t="shared" si="0"/>
        <v>1.3776526661239531E-2</v>
      </c>
      <c r="AP11" s="29">
        <f t="shared" si="0"/>
        <v>0</v>
      </c>
      <c r="AQ11" s="29">
        <f t="shared" si="0"/>
        <v>0</v>
      </c>
      <c r="AR11" s="29">
        <f t="shared" si="0"/>
        <v>1.0653430092892597E-3</v>
      </c>
      <c r="AS11" s="29">
        <f t="shared" si="0"/>
        <v>0</v>
      </c>
      <c r="AT11" s="29">
        <f t="shared" si="0"/>
        <v>0</v>
      </c>
      <c r="AU11" s="29">
        <f t="shared" si="0"/>
        <v>3.5459854122719826E-2</v>
      </c>
      <c r="AV11" s="29">
        <f t="shared" si="0"/>
        <v>2.593296620699061E-2</v>
      </c>
      <c r="AW11" s="29">
        <f t="shared" si="0"/>
        <v>2.0404835162353387E-2</v>
      </c>
      <c r="AX11" s="29">
        <f t="shared" si="0"/>
        <v>5.0782215806850978E-4</v>
      </c>
      <c r="AY11" s="29">
        <f t="shared" si="0"/>
        <v>3.6370548126022917E-2</v>
      </c>
      <c r="AZ11" s="29">
        <f t="shared" si="0"/>
        <v>4.4696307931795277E-3</v>
      </c>
      <c r="BA11" s="29">
        <f t="shared" si="0"/>
        <v>2.5354622496003543E-3</v>
      </c>
      <c r="BB11" s="29">
        <f t="shared" si="0"/>
        <v>3.167206491628583E-3</v>
      </c>
      <c r="BC11" s="29">
        <f t="shared" si="0"/>
        <v>2.4233117594630229E-3</v>
      </c>
      <c r="BD11" s="29">
        <f t="shared" si="0"/>
        <v>1.0460356474830023E-2</v>
      </c>
      <c r="BE11" s="29">
        <f t="shared" si="0"/>
        <v>5.8960565030789632E-3</v>
      </c>
      <c r="BF11" s="29">
        <f t="shared" si="0"/>
        <v>1.9527413732117304E-4</v>
      </c>
      <c r="BG11" s="29">
        <f t="shared" si="0"/>
        <v>5.9020463064392266E-3</v>
      </c>
      <c r="BH11" s="29">
        <f t="shared" si="0"/>
        <v>7.4028142777624512E-2</v>
      </c>
      <c r="BI11" s="29">
        <f t="shared" si="0"/>
        <v>0</v>
      </c>
      <c r="BJ11" s="29">
        <f t="shared" si="0"/>
        <v>1.6458423214954689E-2</v>
      </c>
      <c r="BK11" s="29">
        <f t="shared" ref="BK11:BW11" si="1">IFERROR(BK10/BK9,"")</f>
        <v>1.0946798765645235E-2</v>
      </c>
      <c r="BL11" s="29">
        <f t="shared" ref="BL11:BO11" si="2">IFERROR(BL10/BL9,"")</f>
        <v>5.439032041974514E-3</v>
      </c>
      <c r="BM11" s="29">
        <f t="shared" si="2"/>
        <v>3.448404943713967E-4</v>
      </c>
      <c r="BN11" s="29">
        <f t="shared" si="2"/>
        <v>5.4961533995215211E-3</v>
      </c>
      <c r="BO11" s="29">
        <f t="shared" si="2"/>
        <v>5.4368206677630918E-4</v>
      </c>
      <c r="BP11" s="29">
        <f t="shared" si="1"/>
        <v>7.5896163702595864E-3</v>
      </c>
      <c r="BQ11" s="29" t="str">
        <f t="shared" si="1"/>
        <v/>
      </c>
      <c r="BR11" s="29" t="str">
        <f t="shared" si="1"/>
        <v/>
      </c>
      <c r="BS11" s="29" t="str">
        <f t="shared" si="1"/>
        <v/>
      </c>
      <c r="BT11" s="29" t="str">
        <f t="shared" si="1"/>
        <v/>
      </c>
      <c r="BU11" s="29" t="str">
        <f t="shared" si="1"/>
        <v/>
      </c>
      <c r="BV11" s="29" t="str">
        <f t="shared" si="1"/>
        <v/>
      </c>
      <c r="BW11" s="29" t="str">
        <f t="shared" si="1"/>
        <v/>
      </c>
    </row>
    <row r="12" spans="1:75">
      <c r="A12" s="145">
        <v>9</v>
      </c>
      <c r="B12" s="146" t="s">
        <v>417</v>
      </c>
      <c r="C12" s="152">
        <v>28</v>
      </c>
      <c r="D12" s="30">
        <f>'Ket qua kinh doanh'!D7</f>
        <v>0</v>
      </c>
      <c r="E12" s="30">
        <f>'Ket qua kinh doanh'!E7</f>
        <v>0</v>
      </c>
      <c r="F12" s="30">
        <f>'Ket qua kinh doanh'!F7</f>
        <v>0</v>
      </c>
      <c r="G12" s="30">
        <f>'Ket qua kinh doanh'!G7</f>
        <v>0</v>
      </c>
      <c r="H12" s="30">
        <f>'Ket qua kinh doanh'!H7</f>
        <v>0</v>
      </c>
      <c r="I12" s="30">
        <f>'Ket qua kinh doanh'!I7</f>
        <v>0</v>
      </c>
      <c r="J12" s="30">
        <f>'Ket qua kinh doanh'!J7</f>
        <v>0</v>
      </c>
      <c r="K12" s="30">
        <f>'Ket qua kinh doanh'!K7</f>
        <v>0</v>
      </c>
      <c r="L12" s="30">
        <f>'Ket qua kinh doanh'!L7</f>
        <v>0</v>
      </c>
      <c r="M12" s="30">
        <f>'Ket qua kinh doanh'!M7</f>
        <v>0</v>
      </c>
      <c r="N12" s="30">
        <f>'Ket qua kinh doanh'!N7</f>
        <v>0</v>
      </c>
      <c r="O12" s="30">
        <f>'Ket qua kinh doanh'!O7</f>
        <v>0</v>
      </c>
      <c r="P12" s="30">
        <f>'Ket qua kinh doanh'!P7</f>
        <v>0</v>
      </c>
      <c r="Q12" s="30">
        <f>'Ket qua kinh doanh'!Q7</f>
        <v>0</v>
      </c>
      <c r="R12" s="30">
        <f>'Ket qua kinh doanh'!R7</f>
        <v>0</v>
      </c>
      <c r="S12" s="30">
        <f>'Ket qua kinh doanh'!S7</f>
        <v>0</v>
      </c>
      <c r="T12" s="30">
        <f>'Ket qua kinh doanh'!T7</f>
        <v>0</v>
      </c>
      <c r="U12" s="30">
        <f>'Ket qua kinh doanh'!U7</f>
        <v>0</v>
      </c>
      <c r="V12" s="30">
        <f>'Ket qua kinh doanh'!V7</f>
        <v>0</v>
      </c>
      <c r="W12" s="30">
        <f>'Ket qua kinh doanh'!W7</f>
        <v>0</v>
      </c>
      <c r="X12" s="30">
        <f>'Ket qua kinh doanh'!X7</f>
        <v>0</v>
      </c>
      <c r="Y12" s="30">
        <f>'Ket qua kinh doanh'!Y7</f>
        <v>0</v>
      </c>
      <c r="Z12" s="30">
        <f>'Ket qua kinh doanh'!Z7</f>
        <v>0</v>
      </c>
      <c r="AA12" s="30">
        <f>'Ket qua kinh doanh'!AA7</f>
        <v>0</v>
      </c>
      <c r="AB12" s="30">
        <f>'Ket qua kinh doanh'!AB7</f>
        <v>0</v>
      </c>
      <c r="AC12" s="30">
        <f>'Ket qua kinh doanh'!AC7</f>
        <v>0</v>
      </c>
      <c r="AD12" s="30">
        <f>'Ket qua kinh doanh'!AD7</f>
        <v>0</v>
      </c>
      <c r="AE12" s="30">
        <f>'Ket qua kinh doanh'!AE7</f>
        <v>0</v>
      </c>
      <c r="AF12" s="30">
        <f>'Ket qua kinh doanh'!AF7</f>
        <v>0</v>
      </c>
      <c r="AG12" s="30">
        <f>'Ket qua kinh doanh'!AG7</f>
        <v>0</v>
      </c>
      <c r="AH12" s="30">
        <f>'Ket qua kinh doanh'!AH7</f>
        <v>0</v>
      </c>
      <c r="AI12" s="30">
        <f>'Ket qua kinh doanh'!AI7</f>
        <v>0</v>
      </c>
      <c r="AJ12" s="30">
        <f>'Ket qua kinh doanh'!AJ7</f>
        <v>0</v>
      </c>
      <c r="AK12" s="30">
        <f>'Ket qua kinh doanh'!AK7</f>
        <v>0</v>
      </c>
      <c r="AL12" s="30">
        <f>'Ket qua kinh doanh'!AL7</f>
        <v>0</v>
      </c>
      <c r="AM12" s="30">
        <f>'Ket qua kinh doanh'!AM7</f>
        <v>0</v>
      </c>
      <c r="AN12" s="30">
        <f>'Ket qua kinh doanh'!AN7</f>
        <v>130037940981</v>
      </c>
      <c r="AO12" s="30">
        <f>'Ket qua kinh doanh'!AO7</f>
        <v>83479666256</v>
      </c>
      <c r="AP12" s="30">
        <f>'Ket qua kinh doanh'!AP7</f>
        <v>115625416433</v>
      </c>
      <c r="AQ12" s="30">
        <f>'Ket qua kinh doanh'!AQ7</f>
        <v>117647266094</v>
      </c>
      <c r="AR12" s="30">
        <f>'Ket qua kinh doanh'!AR7</f>
        <v>127949052494</v>
      </c>
      <c r="AS12" s="30">
        <f>'Ket qua kinh doanh'!AS7</f>
        <v>95661572209</v>
      </c>
      <c r="AT12" s="30">
        <f>'Ket qua kinh doanh'!AT7</f>
        <v>74679662458</v>
      </c>
      <c r="AU12" s="30">
        <f>'Ket qua kinh doanh'!AU7</f>
        <v>172591848921</v>
      </c>
      <c r="AV12" s="30">
        <f>'Ket qua kinh doanh'!AV7</f>
        <v>175469299237</v>
      </c>
      <c r="AW12" s="30">
        <f>'Ket qua kinh doanh'!AW7</f>
        <v>140289207742</v>
      </c>
      <c r="AX12" s="30">
        <f>'Ket qua kinh doanh'!AX7</f>
        <v>97148112990</v>
      </c>
      <c r="AY12" s="30">
        <f>'Ket qua kinh doanh'!AY7</f>
        <v>124006684306</v>
      </c>
      <c r="AZ12" s="30">
        <f>'Ket qua kinh doanh'!AZ7</f>
        <v>114469945452</v>
      </c>
      <c r="BA12" s="30">
        <f>'Ket qua kinh doanh'!BA7</f>
        <v>187999461059</v>
      </c>
      <c r="BB12" s="30">
        <f>'Ket qua kinh doanh'!BB7</f>
        <v>150239204740</v>
      </c>
      <c r="BC12" s="30">
        <f>'Ket qua kinh doanh'!BC7</f>
        <v>125387242924</v>
      </c>
      <c r="BD12" s="30">
        <f>'Ket qua kinh doanh'!BD7</f>
        <v>152031555262</v>
      </c>
      <c r="BE12" s="30">
        <f>'Ket qua kinh doanh'!BE7</f>
        <v>119479863327</v>
      </c>
      <c r="BF12" s="30">
        <f>'Ket qua kinh doanh'!BF7</f>
        <v>138003321898</v>
      </c>
      <c r="BG12" s="30">
        <f>'Ket qua kinh doanh'!BG7</f>
        <v>168482203383</v>
      </c>
      <c r="BH12" s="30">
        <f>'Ket qua kinh doanh'!BH7</f>
        <v>84729469923</v>
      </c>
      <c r="BI12" s="30">
        <f>'Ket qua kinh doanh'!BI7</f>
        <v>109010675108</v>
      </c>
      <c r="BJ12" s="30">
        <f>'Ket qua kinh doanh'!BJ7</f>
        <v>88389357986</v>
      </c>
      <c r="BK12" s="30">
        <f>'Ket qua kinh doanh'!BK7</f>
        <v>99665392021</v>
      </c>
      <c r="BL12" s="30">
        <f>'Ket qua kinh doanh'!BL7</f>
        <v>125782603723</v>
      </c>
      <c r="BM12" s="30">
        <f>'Ket qua kinh doanh'!BM7</f>
        <v>96549191406</v>
      </c>
      <c r="BN12" s="30">
        <f>'Ket qua kinh doanh'!BN7</f>
        <v>173006660265</v>
      </c>
      <c r="BO12" s="30">
        <f>'Ket qua kinh doanh'!BO7</f>
        <v>159150007911</v>
      </c>
      <c r="BP12" s="30">
        <f>'Ket qua kinh doanh'!BP7</f>
        <v>159782751417</v>
      </c>
      <c r="BQ12" s="30">
        <f>'Ket qua kinh doanh'!BQ7</f>
        <v>0</v>
      </c>
      <c r="BR12" s="30">
        <f>'Ket qua kinh doanh'!BR7</f>
        <v>0</v>
      </c>
      <c r="BS12" s="30">
        <f>'Ket qua kinh doanh'!BS7</f>
        <v>0</v>
      </c>
      <c r="BT12" s="30">
        <f>'Ket qua kinh doanh'!BT7</f>
        <v>0</v>
      </c>
      <c r="BU12" s="30">
        <f>'Ket qua kinh doanh'!BU7</f>
        <v>0</v>
      </c>
      <c r="BV12" s="30">
        <f>'Ket qua kinh doanh'!BV7</f>
        <v>0</v>
      </c>
      <c r="BW12" s="30">
        <f>'Ket qua kinh doanh'!BW7</f>
        <v>0</v>
      </c>
    </row>
    <row r="13" spans="1:75">
      <c r="A13" s="142">
        <v>10</v>
      </c>
      <c r="B13" s="143" t="s">
        <v>418</v>
      </c>
      <c r="C13" s="153">
        <v>28</v>
      </c>
      <c r="D13" s="31"/>
      <c r="E13" s="31"/>
      <c r="F13" s="31"/>
      <c r="G13" s="31"/>
      <c r="H13" s="31"/>
      <c r="I13" s="31"/>
      <c r="J13" s="31"/>
      <c r="K13" s="31"/>
      <c r="L13" s="31"/>
      <c r="M13" s="31"/>
      <c r="N13" s="31"/>
      <c r="O13" s="31"/>
      <c r="P13" s="31"/>
      <c r="Q13" s="31"/>
      <c r="R13" s="31"/>
      <c r="S13" s="31"/>
      <c r="T13" s="31"/>
      <c r="U13" s="31"/>
      <c r="V13" s="31"/>
      <c r="W13" s="31"/>
      <c r="X13" s="31"/>
      <c r="Y13" s="31"/>
      <c r="Z13" s="31"/>
      <c r="AA13" s="31"/>
      <c r="AB13" s="31"/>
      <c r="AC13" s="31"/>
      <c r="AD13" s="31"/>
      <c r="AE13" s="31"/>
      <c r="AF13" s="31"/>
      <c r="AG13" s="31"/>
      <c r="AH13" s="31"/>
      <c r="AI13" s="31"/>
      <c r="AJ13" s="31"/>
      <c r="AK13" s="31"/>
      <c r="AL13" s="31"/>
      <c r="AM13" s="31"/>
      <c r="AN13" s="31"/>
      <c r="AO13" s="31"/>
      <c r="AP13" s="31"/>
      <c r="AQ13" s="31"/>
      <c r="AR13" s="31"/>
      <c r="AS13" s="31"/>
      <c r="AT13" s="31"/>
      <c r="AU13" s="31"/>
      <c r="AV13" s="31"/>
      <c r="AW13" s="31"/>
      <c r="AX13" s="31"/>
      <c r="AY13" s="31"/>
      <c r="AZ13" s="31">
        <v>82123174705</v>
      </c>
      <c r="BA13" s="31">
        <v>127754884829</v>
      </c>
      <c r="BB13" s="31">
        <v>103667980875</v>
      </c>
      <c r="BC13" s="31">
        <v>89699052245</v>
      </c>
      <c r="BD13" s="31">
        <v>114824058990</v>
      </c>
      <c r="BE13" s="31">
        <v>70054412500</v>
      </c>
      <c r="BF13" s="31">
        <v>88123126474</v>
      </c>
      <c r="BG13" s="31">
        <v>94069028914</v>
      </c>
      <c r="BH13" s="31">
        <v>24953975916</v>
      </c>
      <c r="BI13" s="31">
        <v>27056388040</v>
      </c>
      <c r="BJ13" s="31">
        <v>21625208400</v>
      </c>
      <c r="BK13" s="31">
        <v>29216515900</v>
      </c>
      <c r="BL13" s="31">
        <v>70701288516</v>
      </c>
      <c r="BM13" s="31">
        <v>58540341826</v>
      </c>
      <c r="BN13" s="31">
        <v>80759624796</v>
      </c>
      <c r="BO13" s="31">
        <v>67176948835</v>
      </c>
      <c r="BP13" s="31">
        <v>87346708460</v>
      </c>
      <c r="BQ13" s="31"/>
      <c r="BR13" s="31"/>
      <c r="BS13" s="31"/>
      <c r="BT13" s="31"/>
      <c r="BU13" s="31"/>
      <c r="BV13" s="31"/>
      <c r="BW13" s="31"/>
    </row>
    <row r="14" spans="1:75">
      <c r="A14" s="142">
        <v>11</v>
      </c>
      <c r="B14" s="143" t="s">
        <v>419</v>
      </c>
      <c r="C14" s="153">
        <v>28</v>
      </c>
      <c r="D14" s="31"/>
      <c r="E14" s="31"/>
      <c r="F14" s="31"/>
      <c r="G14" s="31"/>
      <c r="H14" s="31"/>
      <c r="I14" s="31"/>
      <c r="J14" s="31"/>
      <c r="K14" s="31"/>
      <c r="L14" s="31"/>
      <c r="M14" s="31"/>
      <c r="N14" s="31"/>
      <c r="O14" s="31"/>
      <c r="P14" s="31"/>
      <c r="Q14" s="31"/>
      <c r="R14" s="31"/>
      <c r="S14" s="31"/>
      <c r="T14" s="31"/>
      <c r="U14" s="31"/>
      <c r="V14" s="31"/>
      <c r="W14" s="31"/>
      <c r="X14" s="31"/>
      <c r="Y14" s="31"/>
      <c r="Z14" s="31"/>
      <c r="AA14" s="31"/>
      <c r="AB14" s="31"/>
      <c r="AC14" s="31"/>
      <c r="AD14" s="31"/>
      <c r="AE14" s="31"/>
      <c r="AF14" s="31"/>
      <c r="AG14" s="31"/>
      <c r="AH14" s="31"/>
      <c r="AI14" s="31"/>
      <c r="AJ14" s="31"/>
      <c r="AK14" s="31"/>
      <c r="AL14" s="31"/>
      <c r="AM14" s="31"/>
      <c r="AN14" s="31"/>
      <c r="AO14" s="31"/>
      <c r="AP14" s="31"/>
      <c r="AQ14" s="31"/>
      <c r="AR14" s="31"/>
      <c r="AS14" s="31"/>
      <c r="AT14" s="31"/>
      <c r="AU14" s="31"/>
      <c r="AV14" s="31"/>
      <c r="AW14" s="31"/>
      <c r="AX14" s="31"/>
      <c r="AY14" s="31"/>
      <c r="AZ14" s="31">
        <v>32346770747</v>
      </c>
      <c r="BA14" s="31">
        <v>60244576230</v>
      </c>
      <c r="BB14" s="31">
        <v>46391851263</v>
      </c>
      <c r="BC14" s="31">
        <v>35688190679</v>
      </c>
      <c r="BD14" s="31">
        <v>37207496272</v>
      </c>
      <c r="BE14" s="31">
        <v>49425450827</v>
      </c>
      <c r="BF14" s="31">
        <v>49880195424</v>
      </c>
      <c r="BG14" s="31">
        <v>74230980822</v>
      </c>
      <c r="BH14" s="31">
        <v>58357137207</v>
      </c>
      <c r="BI14" s="31">
        <v>72199340668</v>
      </c>
      <c r="BJ14" s="31">
        <v>63368898385</v>
      </c>
      <c r="BK14" s="31">
        <v>62153588621</v>
      </c>
      <c r="BL14" s="31">
        <v>54914430207</v>
      </c>
      <c r="BM14" s="31">
        <v>37428902690</v>
      </c>
      <c r="BN14" s="31">
        <v>91166520469.000031</v>
      </c>
      <c r="BO14" s="31">
        <v>91973059076</v>
      </c>
      <c r="BP14" s="31">
        <v>70759017702</v>
      </c>
      <c r="BQ14" s="31"/>
      <c r="BR14" s="31"/>
      <c r="BS14" s="31"/>
      <c r="BT14" s="31"/>
      <c r="BU14" s="31"/>
      <c r="BV14" s="31"/>
      <c r="BW14" s="31"/>
    </row>
    <row r="15" spans="1:75">
      <c r="A15" s="142">
        <v>12</v>
      </c>
      <c r="B15" s="143" t="s">
        <v>420</v>
      </c>
      <c r="C15" s="153">
        <v>28</v>
      </c>
      <c r="D15" s="31"/>
      <c r="E15" s="31"/>
      <c r="F15" s="31"/>
      <c r="G15" s="31"/>
      <c r="H15" s="31"/>
      <c r="I15" s="31"/>
      <c r="J15" s="31"/>
      <c r="K15" s="31"/>
      <c r="L15" s="31"/>
      <c r="M15" s="31"/>
      <c r="N15" s="31"/>
      <c r="O15" s="31"/>
      <c r="P15" s="31"/>
      <c r="Q15" s="31"/>
      <c r="R15" s="31"/>
      <c r="S15" s="31"/>
      <c r="T15" s="31"/>
      <c r="U15" s="31"/>
      <c r="V15" s="31"/>
      <c r="W15" s="31"/>
      <c r="X15" s="31"/>
      <c r="Y15" s="31"/>
      <c r="Z15" s="31"/>
      <c r="AA15" s="31"/>
      <c r="AB15" s="31"/>
      <c r="AC15" s="31"/>
      <c r="AD15" s="31"/>
      <c r="AE15" s="31"/>
      <c r="AF15" s="31"/>
      <c r="AG15" s="31"/>
      <c r="AH15" s="31"/>
      <c r="AI15" s="31"/>
      <c r="AJ15" s="31"/>
      <c r="AK15" s="31"/>
      <c r="AL15" s="31"/>
      <c r="AM15" s="31"/>
      <c r="AN15" s="31"/>
      <c r="AO15" s="31"/>
      <c r="AP15" s="31"/>
      <c r="AQ15" s="31"/>
      <c r="AR15" s="31"/>
      <c r="AS15" s="31"/>
      <c r="AT15" s="31"/>
      <c r="AU15" s="31"/>
      <c r="AV15" s="31"/>
      <c r="AW15" s="31"/>
      <c r="AX15" s="31"/>
      <c r="AY15" s="31"/>
      <c r="AZ15" s="31">
        <v>0</v>
      </c>
      <c r="BA15" s="31">
        <v>0</v>
      </c>
      <c r="BB15" s="31">
        <v>179372602</v>
      </c>
      <c r="BC15" s="31">
        <v>0</v>
      </c>
      <c r="BD15" s="31">
        <v>0</v>
      </c>
      <c r="BE15" s="31">
        <v>0</v>
      </c>
      <c r="BF15" s="31">
        <v>0</v>
      </c>
      <c r="BG15" s="31">
        <v>182193647</v>
      </c>
      <c r="BH15" s="31">
        <v>1418356800</v>
      </c>
      <c r="BI15" s="31">
        <v>9754946400</v>
      </c>
      <c r="BJ15" s="31">
        <v>3395251201</v>
      </c>
      <c r="BK15" s="31">
        <v>8295287500</v>
      </c>
      <c r="BL15" s="31">
        <v>166885000</v>
      </c>
      <c r="BM15" s="31">
        <v>579946890</v>
      </c>
      <c r="BN15" s="31">
        <v>1080515000</v>
      </c>
      <c r="BO15" s="31">
        <v>0</v>
      </c>
      <c r="BP15" s="31">
        <v>1677025255</v>
      </c>
      <c r="BQ15" s="31"/>
      <c r="BR15" s="31"/>
      <c r="BS15" s="31"/>
      <c r="BT15" s="31"/>
      <c r="BU15" s="31"/>
      <c r="BV15" s="31"/>
      <c r="BW15" s="31"/>
    </row>
    <row r="16" spans="1:75">
      <c r="A16" s="145">
        <v>13</v>
      </c>
      <c r="B16" s="146" t="s">
        <v>421</v>
      </c>
      <c r="C16" s="147">
        <v>28</v>
      </c>
      <c r="D16" s="27">
        <f>'Ket qua kinh doanh'!D8</f>
        <v>0</v>
      </c>
      <c r="E16" s="27">
        <f>'Ket qua kinh doanh'!E8</f>
        <v>0</v>
      </c>
      <c r="F16" s="27">
        <f>'Ket qua kinh doanh'!F8</f>
        <v>0</v>
      </c>
      <c r="G16" s="27">
        <f>'Ket qua kinh doanh'!G8</f>
        <v>0</v>
      </c>
      <c r="H16" s="27">
        <f>'Ket qua kinh doanh'!H8</f>
        <v>0</v>
      </c>
      <c r="I16" s="27">
        <f>'Ket qua kinh doanh'!I8</f>
        <v>0</v>
      </c>
      <c r="J16" s="27">
        <f>'Ket qua kinh doanh'!J8</f>
        <v>0</v>
      </c>
      <c r="K16" s="27">
        <f>'Ket qua kinh doanh'!K8</f>
        <v>0</v>
      </c>
      <c r="L16" s="27">
        <f>'Ket qua kinh doanh'!L8</f>
        <v>0</v>
      </c>
      <c r="M16" s="27">
        <f>'Ket qua kinh doanh'!M8</f>
        <v>0</v>
      </c>
      <c r="N16" s="27">
        <f>'Ket qua kinh doanh'!N8</f>
        <v>0</v>
      </c>
      <c r="O16" s="27">
        <f>'Ket qua kinh doanh'!O8</f>
        <v>0</v>
      </c>
      <c r="P16" s="27">
        <f>'Ket qua kinh doanh'!P8</f>
        <v>0</v>
      </c>
      <c r="Q16" s="27">
        <f>'Ket qua kinh doanh'!Q8</f>
        <v>0</v>
      </c>
      <c r="R16" s="27">
        <f>'Ket qua kinh doanh'!R8</f>
        <v>0</v>
      </c>
      <c r="S16" s="27">
        <f>'Ket qua kinh doanh'!S8</f>
        <v>0</v>
      </c>
      <c r="T16" s="27">
        <f>'Ket qua kinh doanh'!T8</f>
        <v>0</v>
      </c>
      <c r="U16" s="27">
        <f>'Ket qua kinh doanh'!U8</f>
        <v>0</v>
      </c>
      <c r="V16" s="27">
        <f>'Ket qua kinh doanh'!V8</f>
        <v>0</v>
      </c>
      <c r="W16" s="27">
        <f>'Ket qua kinh doanh'!W8</f>
        <v>0</v>
      </c>
      <c r="X16" s="27">
        <f>'Ket qua kinh doanh'!X8</f>
        <v>0</v>
      </c>
      <c r="Y16" s="27">
        <f>'Ket qua kinh doanh'!Y8</f>
        <v>0</v>
      </c>
      <c r="Z16" s="27">
        <f>'Ket qua kinh doanh'!Z8</f>
        <v>0</v>
      </c>
      <c r="AA16" s="27">
        <f>'Ket qua kinh doanh'!AA8</f>
        <v>0</v>
      </c>
      <c r="AB16" s="27">
        <f>'Ket qua kinh doanh'!AB8</f>
        <v>0</v>
      </c>
      <c r="AC16" s="27">
        <f>'Ket qua kinh doanh'!AC8</f>
        <v>0</v>
      </c>
      <c r="AD16" s="27">
        <f>'Ket qua kinh doanh'!AD8</f>
        <v>0</v>
      </c>
      <c r="AE16" s="27">
        <f>'Ket qua kinh doanh'!AE8</f>
        <v>0</v>
      </c>
      <c r="AF16" s="27">
        <f>'Ket qua kinh doanh'!AF8</f>
        <v>0</v>
      </c>
      <c r="AG16" s="27">
        <f>'Ket qua kinh doanh'!AG8</f>
        <v>0</v>
      </c>
      <c r="AH16" s="27">
        <f>'Ket qua kinh doanh'!AH8</f>
        <v>0</v>
      </c>
      <c r="AI16" s="27">
        <f>'Ket qua kinh doanh'!AI8</f>
        <v>0</v>
      </c>
      <c r="AJ16" s="27">
        <f>'Ket qua kinh doanh'!AJ8</f>
        <v>0</v>
      </c>
      <c r="AK16" s="27">
        <f>'Ket qua kinh doanh'!AK8</f>
        <v>0</v>
      </c>
      <c r="AL16" s="27">
        <f>'Ket qua kinh doanh'!AL8</f>
        <v>0</v>
      </c>
      <c r="AM16" s="27">
        <f>'Ket qua kinh doanh'!AM8</f>
        <v>0</v>
      </c>
      <c r="AN16" s="27">
        <f>'Ket qua kinh doanh'!AN8</f>
        <v>120065457134</v>
      </c>
      <c r="AO16" s="27">
        <f>'Ket qua kinh doanh'!AO8</f>
        <v>83995360322</v>
      </c>
      <c r="AP16" s="27">
        <f>'Ket qua kinh doanh'!AP8</f>
        <v>109165390822</v>
      </c>
      <c r="AQ16" s="27">
        <f>'Ket qua kinh doanh'!AQ8</f>
        <v>105655387173</v>
      </c>
      <c r="AR16" s="27">
        <f>'Ket qua kinh doanh'!AR8</f>
        <v>125507167216</v>
      </c>
      <c r="AS16" s="27">
        <f>'Ket qua kinh doanh'!AS8</f>
        <v>98477492806</v>
      </c>
      <c r="AT16" s="27">
        <f>'Ket qua kinh doanh'!AT8</f>
        <v>80393606783</v>
      </c>
      <c r="AU16" s="27">
        <f>'Ket qua kinh doanh'!AU8</f>
        <v>167228552558</v>
      </c>
      <c r="AV16" s="27">
        <f>'Ket qua kinh doanh'!AV8</f>
        <v>152083786508</v>
      </c>
      <c r="AW16" s="27">
        <f>'Ket qua kinh doanh'!AW8</f>
        <v>135696763155</v>
      </c>
      <c r="AX16" s="27">
        <f>'Ket qua kinh doanh'!AX8</f>
        <v>92718574459</v>
      </c>
      <c r="AY16" s="27">
        <f>'Ket qua kinh doanh'!AY8</f>
        <v>-4137926966</v>
      </c>
      <c r="AZ16" s="27">
        <f>'Ket qua kinh doanh'!AZ8</f>
        <v>97986840184</v>
      </c>
      <c r="BA16" s="27">
        <f>'Ket qua kinh doanh'!BA8</f>
        <v>155693128574</v>
      </c>
      <c r="BB16" s="27">
        <f>'Ket qua kinh doanh'!BB8</f>
        <v>129053280797</v>
      </c>
      <c r="BC16" s="27">
        <f>'Ket qua kinh doanh'!BC8</f>
        <v>108257691858</v>
      </c>
      <c r="BD16" s="27">
        <f>'Ket qua kinh doanh'!BD8</f>
        <v>128243821985</v>
      </c>
      <c r="BE16" s="27">
        <f>'Ket qua kinh doanh'!BE8</f>
        <v>104299018492</v>
      </c>
      <c r="BF16" s="27">
        <f>'Ket qua kinh doanh'!BF8</f>
        <v>124260554437</v>
      </c>
      <c r="BG16" s="27">
        <f>'Ket qua kinh doanh'!BG8</f>
        <v>150760754200</v>
      </c>
      <c r="BH16" s="27">
        <f>'Ket qua kinh doanh'!BH8</f>
        <v>81919659396</v>
      </c>
      <c r="BI16" s="27">
        <f>'Ket qua kinh doanh'!BI8</f>
        <v>98239930365</v>
      </c>
      <c r="BJ16" s="27">
        <f>'Ket qua kinh doanh'!BJ8</f>
        <v>80093235439</v>
      </c>
      <c r="BK16" s="27">
        <f>'Ket qua kinh doanh'!BK8</f>
        <v>67988837293</v>
      </c>
      <c r="BL16" s="27">
        <f>'Ket qua kinh doanh'!BL8</f>
        <v>114204897263.19444</v>
      </c>
      <c r="BM16" s="27">
        <f>'Ket qua kinh doanh'!BM8</f>
        <v>89643992316.171509</v>
      </c>
      <c r="BN16" s="27">
        <f>'Ket qua kinh doanh'!BN8</f>
        <v>163965172379.59167</v>
      </c>
      <c r="BO16" s="27">
        <f>'Ket qua kinh doanh'!BO8</f>
        <v>139017443039.16925</v>
      </c>
      <c r="BP16" s="27">
        <f>'Ket qua kinh doanh'!BP8</f>
        <v>134579580692.2312</v>
      </c>
      <c r="BQ16" s="27">
        <f>'Ket qua kinh doanh'!BQ8</f>
        <v>0</v>
      </c>
      <c r="BR16" s="27">
        <f>'Ket qua kinh doanh'!BR8</f>
        <v>0</v>
      </c>
      <c r="BS16" s="27">
        <f>'Ket qua kinh doanh'!BS8</f>
        <v>0</v>
      </c>
      <c r="BT16" s="27">
        <f>'Ket qua kinh doanh'!BT8</f>
        <v>0</v>
      </c>
      <c r="BU16" s="27">
        <f>'Ket qua kinh doanh'!BU8</f>
        <v>0</v>
      </c>
      <c r="BV16" s="27">
        <f>'Ket qua kinh doanh'!BV8</f>
        <v>0</v>
      </c>
      <c r="BW16" s="27">
        <f>'Ket qua kinh doanh'!BW8</f>
        <v>0</v>
      </c>
    </row>
    <row r="17" spans="1:75">
      <c r="A17" s="142">
        <v>14</v>
      </c>
      <c r="B17" s="143" t="s">
        <v>422</v>
      </c>
      <c r="C17" s="153">
        <v>28</v>
      </c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1"/>
      <c r="Z17" s="31"/>
      <c r="AA17" s="31"/>
      <c r="AB17" s="31"/>
      <c r="AC17" s="31"/>
      <c r="AD17" s="31"/>
      <c r="AE17" s="31"/>
      <c r="AF17" s="31"/>
      <c r="AG17" s="31"/>
      <c r="AH17" s="31"/>
      <c r="AI17" s="31"/>
      <c r="AJ17" s="31"/>
      <c r="AK17" s="31"/>
      <c r="AL17" s="31"/>
      <c r="AM17" s="31"/>
      <c r="AN17" s="31"/>
      <c r="AO17" s="31"/>
      <c r="AP17" s="31"/>
      <c r="AQ17" s="31"/>
      <c r="AR17" s="31"/>
      <c r="AS17" s="31"/>
      <c r="AT17" s="31"/>
      <c r="AU17" s="31"/>
      <c r="AV17" s="31"/>
      <c r="AW17" s="31"/>
      <c r="AX17" s="31"/>
      <c r="AY17" s="31"/>
      <c r="AZ17" s="31">
        <v>66316632284.415436</v>
      </c>
      <c r="BA17" s="31">
        <v>110877846017.12552</v>
      </c>
      <c r="BB17" s="31">
        <v>91552112109.999969</v>
      </c>
      <c r="BC17" s="31">
        <v>74339899104.999985</v>
      </c>
      <c r="BD17" s="31">
        <v>91839074306.432068</v>
      </c>
      <c r="BE17" s="31">
        <v>73121877041.771698</v>
      </c>
      <c r="BF17" s="31">
        <v>86749280834.837784</v>
      </c>
      <c r="BG17" s="31">
        <v>105067791650.16876</v>
      </c>
      <c r="BH17" s="31">
        <v>54447875688.984756</v>
      </c>
      <c r="BI17" s="31">
        <v>60849828416.370422</v>
      </c>
      <c r="BJ17" s="31">
        <v>48932476897</v>
      </c>
      <c r="BK17" s="31">
        <v>51044887092.406631</v>
      </c>
      <c r="BL17" s="31">
        <v>78605609400.069443</v>
      </c>
      <c r="BM17" s="31">
        <v>55010928614.1717</v>
      </c>
      <c r="BN17" s="31">
        <v>113157024901.59149</v>
      </c>
      <c r="BO17" s="31">
        <v>94952607662.169495</v>
      </c>
      <c r="BP17" s="31">
        <v>91290519017.231125</v>
      </c>
      <c r="BQ17" s="31"/>
      <c r="BR17" s="31"/>
      <c r="BS17" s="31"/>
      <c r="BT17" s="31"/>
      <c r="BU17" s="31"/>
      <c r="BV17" s="31"/>
      <c r="BW17" s="31"/>
    </row>
    <row r="18" spans="1:75">
      <c r="A18" s="142">
        <v>15</v>
      </c>
      <c r="B18" s="143" t="s">
        <v>423</v>
      </c>
      <c r="C18" s="153">
        <v>28</v>
      </c>
      <c r="D18" s="31"/>
      <c r="E18" s="31"/>
      <c r="F18" s="31"/>
      <c r="G18" s="31"/>
      <c r="H18" s="31"/>
      <c r="I18" s="31"/>
      <c r="J18" s="31"/>
      <c r="K18" s="31"/>
      <c r="L18" s="31"/>
      <c r="M18" s="31"/>
      <c r="N18" s="31"/>
      <c r="O18" s="31"/>
      <c r="P18" s="31"/>
      <c r="Q18" s="31"/>
      <c r="R18" s="31"/>
      <c r="S18" s="31"/>
      <c r="T18" s="31"/>
      <c r="U18" s="31"/>
      <c r="V18" s="31"/>
      <c r="W18" s="31"/>
      <c r="X18" s="31"/>
      <c r="Y18" s="31"/>
      <c r="Z18" s="31"/>
      <c r="AA18" s="31"/>
      <c r="AB18" s="31"/>
      <c r="AC18" s="31"/>
      <c r="AD18" s="31"/>
      <c r="AE18" s="31"/>
      <c r="AF18" s="31"/>
      <c r="AG18" s="31"/>
      <c r="AH18" s="31"/>
      <c r="AI18" s="31"/>
      <c r="AJ18" s="31"/>
      <c r="AK18" s="31"/>
      <c r="AL18" s="31"/>
      <c r="AM18" s="31"/>
      <c r="AN18" s="31"/>
      <c r="AO18" s="31"/>
      <c r="AP18" s="31"/>
      <c r="AQ18" s="31"/>
      <c r="AR18" s="31"/>
      <c r="AS18" s="31"/>
      <c r="AT18" s="31"/>
      <c r="AU18" s="31"/>
      <c r="AV18" s="31"/>
      <c r="AW18" s="31"/>
      <c r="AX18" s="31"/>
      <c r="AY18" s="31"/>
      <c r="AZ18" s="31">
        <v>3251260170</v>
      </c>
      <c r="BA18" s="31">
        <v>4315309924</v>
      </c>
      <c r="BB18" s="31">
        <v>6623355231</v>
      </c>
      <c r="BC18" s="31">
        <v>6273807206</v>
      </c>
      <c r="BD18" s="31">
        <v>6722994944</v>
      </c>
      <c r="BE18" s="31">
        <v>6507752698</v>
      </c>
      <c r="BF18" s="31">
        <v>7271316533</v>
      </c>
      <c r="BG18" s="31">
        <v>7436976178</v>
      </c>
      <c r="BH18" s="31">
        <v>7216018373</v>
      </c>
      <c r="BI18" s="31">
        <v>6406802012</v>
      </c>
      <c r="BJ18" s="31">
        <v>4428291360</v>
      </c>
      <c r="BK18" s="31">
        <v>5049014702</v>
      </c>
      <c r="BL18" s="31">
        <v>4270809981</v>
      </c>
      <c r="BM18" s="31">
        <v>2618542807</v>
      </c>
      <c r="BN18" s="31">
        <v>5985766334</v>
      </c>
      <c r="BO18" s="31">
        <v>5974706459</v>
      </c>
      <c r="BP18" s="31">
        <v>6100052815</v>
      </c>
      <c r="BQ18" s="31"/>
      <c r="BR18" s="31"/>
      <c r="BS18" s="31"/>
      <c r="BT18" s="31"/>
      <c r="BU18" s="31"/>
      <c r="BV18" s="31"/>
      <c r="BW18" s="31"/>
    </row>
    <row r="19" spans="1:75">
      <c r="A19" s="142">
        <v>16</v>
      </c>
      <c r="B19" s="143" t="s">
        <v>424</v>
      </c>
      <c r="C19" s="153">
        <v>28</v>
      </c>
      <c r="D19" s="31"/>
      <c r="E19" s="31"/>
      <c r="F19" s="31"/>
      <c r="G19" s="31"/>
      <c r="H19" s="31"/>
      <c r="I19" s="31"/>
      <c r="J19" s="31"/>
      <c r="K19" s="31"/>
      <c r="L19" s="31"/>
      <c r="M19" s="31"/>
      <c r="N19" s="31"/>
      <c r="O19" s="31"/>
      <c r="P19" s="31"/>
      <c r="Q19" s="31"/>
      <c r="R19" s="31"/>
      <c r="S19" s="31"/>
      <c r="T19" s="31"/>
      <c r="U19" s="31"/>
      <c r="V19" s="31"/>
      <c r="W19" s="31"/>
      <c r="X19" s="31"/>
      <c r="Y19" s="31"/>
      <c r="Z19" s="31"/>
      <c r="AA19" s="31"/>
      <c r="AB19" s="31"/>
      <c r="AC19" s="31"/>
      <c r="AD19" s="31"/>
      <c r="AE19" s="31"/>
      <c r="AF19" s="31"/>
      <c r="AG19" s="31"/>
      <c r="AH19" s="31"/>
      <c r="AI19" s="31"/>
      <c r="AJ19" s="31"/>
      <c r="AK19" s="31"/>
      <c r="AL19" s="31"/>
      <c r="AM19" s="31"/>
      <c r="AN19" s="31"/>
      <c r="AO19" s="31"/>
      <c r="AP19" s="31"/>
      <c r="AQ19" s="31"/>
      <c r="AR19" s="31"/>
      <c r="AS19" s="31"/>
      <c r="AT19" s="31"/>
      <c r="AU19" s="31"/>
      <c r="AV19" s="31"/>
      <c r="AW19" s="31"/>
      <c r="AX19" s="31"/>
      <c r="AY19" s="31"/>
      <c r="AZ19" s="31">
        <v>326525959</v>
      </c>
      <c r="BA19" s="31">
        <v>301395737</v>
      </c>
      <c r="BB19" s="31">
        <v>353064382</v>
      </c>
      <c r="BC19" s="31">
        <v>367893640</v>
      </c>
      <c r="BD19" s="31">
        <v>583268535</v>
      </c>
      <c r="BE19" s="31">
        <v>409683221</v>
      </c>
      <c r="BF19" s="31">
        <v>382580514</v>
      </c>
      <c r="BG19" s="31">
        <v>409675223</v>
      </c>
      <c r="BH19" s="31">
        <v>681336938</v>
      </c>
      <c r="BI19" s="31">
        <v>434513561</v>
      </c>
      <c r="BJ19" s="31">
        <v>359300470</v>
      </c>
      <c r="BK19" s="31">
        <v>371608824</v>
      </c>
      <c r="BL19" s="31">
        <v>578015294</v>
      </c>
      <c r="BM19" s="31">
        <v>422132130</v>
      </c>
      <c r="BN19" s="31">
        <v>522055933</v>
      </c>
      <c r="BO19" s="31">
        <v>564796416</v>
      </c>
      <c r="BP19" s="31">
        <v>422670248</v>
      </c>
      <c r="BQ19" s="31"/>
      <c r="BR19" s="31"/>
      <c r="BS19" s="31"/>
      <c r="BT19" s="31"/>
      <c r="BU19" s="31"/>
      <c r="BV19" s="31"/>
      <c r="BW19" s="31"/>
    </row>
    <row r="20" spans="1:75">
      <c r="A20" s="142">
        <v>17</v>
      </c>
      <c r="B20" s="143" t="s">
        <v>425</v>
      </c>
      <c r="C20" s="153">
        <v>28</v>
      </c>
      <c r="D20" s="31"/>
      <c r="E20" s="31"/>
      <c r="F20" s="31"/>
      <c r="G20" s="31"/>
      <c r="H20" s="31"/>
      <c r="I20" s="31"/>
      <c r="J20" s="31"/>
      <c r="K20" s="31"/>
      <c r="L20" s="31"/>
      <c r="M20" s="31"/>
      <c r="N20" s="31"/>
      <c r="O20" s="31"/>
      <c r="P20" s="31"/>
      <c r="Q20" s="31"/>
      <c r="R20" s="31"/>
      <c r="S20" s="31"/>
      <c r="T20" s="31"/>
      <c r="U20" s="31"/>
      <c r="V20" s="31"/>
      <c r="W20" s="31"/>
      <c r="X20" s="31"/>
      <c r="Y20" s="31"/>
      <c r="Z20" s="31"/>
      <c r="AA20" s="31"/>
      <c r="AB20" s="31"/>
      <c r="AC20" s="31"/>
      <c r="AD20" s="31"/>
      <c r="AE20" s="31"/>
      <c r="AF20" s="31"/>
      <c r="AG20" s="31"/>
      <c r="AH20" s="31"/>
      <c r="AI20" s="31"/>
      <c r="AJ20" s="31"/>
      <c r="AK20" s="31"/>
      <c r="AL20" s="31"/>
      <c r="AM20" s="31"/>
      <c r="AN20" s="31"/>
      <c r="AO20" s="31"/>
      <c r="AP20" s="31"/>
      <c r="AQ20" s="31"/>
      <c r="AR20" s="31"/>
      <c r="AS20" s="31"/>
      <c r="AT20" s="31"/>
      <c r="AU20" s="31"/>
      <c r="AV20" s="31"/>
      <c r="AW20" s="31"/>
      <c r="AX20" s="31"/>
      <c r="AY20" s="31"/>
      <c r="AZ20" s="31">
        <v>2814046337</v>
      </c>
      <c r="BA20" s="31">
        <v>2908954676</v>
      </c>
      <c r="BB20" s="31">
        <v>3141464545</v>
      </c>
      <c r="BC20" s="31">
        <v>3345192724</v>
      </c>
      <c r="BD20" s="31">
        <v>3333284186</v>
      </c>
      <c r="BE20" s="31">
        <v>3732776859</v>
      </c>
      <c r="BF20" s="31">
        <v>4686530074</v>
      </c>
      <c r="BG20" s="31">
        <v>4234296763</v>
      </c>
      <c r="BH20" s="31">
        <v>4357573347</v>
      </c>
      <c r="BI20" s="31">
        <v>3857317270</v>
      </c>
      <c r="BJ20" s="31">
        <v>3302539124</v>
      </c>
      <c r="BK20" s="31">
        <v>3322406961</v>
      </c>
      <c r="BL20" s="31">
        <v>3370111492</v>
      </c>
      <c r="BM20" s="31">
        <v>2825995386</v>
      </c>
      <c r="BN20" s="31">
        <v>3197546285</v>
      </c>
      <c r="BO20" s="31">
        <v>3797149210</v>
      </c>
      <c r="BP20" s="31">
        <v>3568332659</v>
      </c>
      <c r="BQ20" s="31"/>
      <c r="BR20" s="31"/>
      <c r="BS20" s="31"/>
      <c r="BT20" s="31"/>
      <c r="BU20" s="31"/>
      <c r="BV20" s="31"/>
      <c r="BW20" s="31"/>
    </row>
    <row r="21" spans="1:75">
      <c r="A21" s="142">
        <v>18</v>
      </c>
      <c r="B21" s="143" t="s">
        <v>426</v>
      </c>
      <c r="C21" s="153">
        <v>28</v>
      </c>
      <c r="D21" s="31"/>
      <c r="E21" s="31"/>
      <c r="F21" s="31"/>
      <c r="G21" s="31"/>
      <c r="H21" s="31"/>
      <c r="I21" s="31"/>
      <c r="J21" s="31"/>
      <c r="K21" s="31"/>
      <c r="L21" s="31"/>
      <c r="M21" s="31"/>
      <c r="N21" s="31"/>
      <c r="O21" s="31"/>
      <c r="P21" s="31"/>
      <c r="Q21" s="31"/>
      <c r="R21" s="31"/>
      <c r="S21" s="31"/>
      <c r="T21" s="31"/>
      <c r="U21" s="31"/>
      <c r="V21" s="31"/>
      <c r="W21" s="31"/>
      <c r="X21" s="31"/>
      <c r="Y21" s="31"/>
      <c r="Z21" s="31"/>
      <c r="AA21" s="31"/>
      <c r="AB21" s="31"/>
      <c r="AC21" s="31"/>
      <c r="AD21" s="31"/>
      <c r="AE21" s="31"/>
      <c r="AF21" s="31"/>
      <c r="AG21" s="31"/>
      <c r="AH21" s="31"/>
      <c r="AI21" s="31"/>
      <c r="AJ21" s="31"/>
      <c r="AK21" s="31"/>
      <c r="AL21" s="31"/>
      <c r="AM21" s="31"/>
      <c r="AN21" s="31"/>
      <c r="AO21" s="31"/>
      <c r="AP21" s="31"/>
      <c r="AQ21" s="31"/>
      <c r="AR21" s="31"/>
      <c r="AS21" s="31"/>
      <c r="AT21" s="31"/>
      <c r="AU21" s="31"/>
      <c r="AV21" s="31"/>
      <c r="AW21" s="31"/>
      <c r="AX21" s="31"/>
      <c r="AY21" s="31"/>
      <c r="AZ21" s="31">
        <v>4169149801</v>
      </c>
      <c r="BA21" s="31">
        <v>3914771894</v>
      </c>
      <c r="BB21" s="31">
        <v>3978825338</v>
      </c>
      <c r="BC21" s="31">
        <v>4530620031</v>
      </c>
      <c r="BD21" s="31">
        <v>4457849889</v>
      </c>
      <c r="BE21" s="31">
        <v>4591171935</v>
      </c>
      <c r="BF21" s="31">
        <v>4613848854</v>
      </c>
      <c r="BG21" s="31">
        <v>4672815279</v>
      </c>
      <c r="BH21" s="31">
        <v>4916198045</v>
      </c>
      <c r="BI21" s="31">
        <v>4470614838</v>
      </c>
      <c r="BJ21" s="31">
        <v>4275403278</v>
      </c>
      <c r="BK21" s="31">
        <v>4341290007</v>
      </c>
      <c r="BL21" s="31">
        <v>4513795276</v>
      </c>
      <c r="BM21" s="31">
        <v>4342835287</v>
      </c>
      <c r="BN21" s="31">
        <v>4322762647</v>
      </c>
      <c r="BO21" s="31">
        <v>4812054993</v>
      </c>
      <c r="BP21" s="31">
        <v>4489880642</v>
      </c>
      <c r="BQ21" s="31"/>
      <c r="BR21" s="31"/>
      <c r="BS21" s="31"/>
      <c r="BT21" s="31"/>
      <c r="BU21" s="31"/>
      <c r="BV21" s="31"/>
      <c r="BW21" s="31"/>
    </row>
    <row r="22" spans="1:75">
      <c r="A22" s="142">
        <v>19</v>
      </c>
      <c r="B22" s="143" t="s">
        <v>427</v>
      </c>
      <c r="C22" s="153">
        <v>28</v>
      </c>
      <c r="D22" s="31"/>
      <c r="E22" s="31"/>
      <c r="F22" s="31"/>
      <c r="G22" s="31"/>
      <c r="H22" s="31"/>
      <c r="I22" s="31"/>
      <c r="J22" s="31"/>
      <c r="K22" s="31"/>
      <c r="L22" s="31"/>
      <c r="M22" s="31"/>
      <c r="N22" s="31"/>
      <c r="O22" s="31"/>
      <c r="P22" s="31"/>
      <c r="Q22" s="31"/>
      <c r="R22" s="31"/>
      <c r="S22" s="31"/>
      <c r="T22" s="31"/>
      <c r="U22" s="31"/>
      <c r="V22" s="31"/>
      <c r="W22" s="31"/>
      <c r="X22" s="31"/>
      <c r="Y22" s="31"/>
      <c r="Z22" s="31"/>
      <c r="AA22" s="31"/>
      <c r="AB22" s="31"/>
      <c r="AC22" s="31"/>
      <c r="AD22" s="31"/>
      <c r="AE22" s="31"/>
      <c r="AF22" s="31"/>
      <c r="AG22" s="31"/>
      <c r="AH22" s="31"/>
      <c r="AI22" s="31"/>
      <c r="AJ22" s="31"/>
      <c r="AK22" s="31"/>
      <c r="AL22" s="31"/>
      <c r="AM22" s="31"/>
      <c r="AN22" s="31"/>
      <c r="AO22" s="31"/>
      <c r="AP22" s="31"/>
      <c r="AQ22" s="31"/>
      <c r="AR22" s="31"/>
      <c r="AS22" s="31"/>
      <c r="AT22" s="31"/>
      <c r="AU22" s="31"/>
      <c r="AV22" s="31"/>
      <c r="AW22" s="31"/>
      <c r="AX22" s="31"/>
      <c r="AY22" s="31"/>
      <c r="AZ22" s="31">
        <v>1669988804</v>
      </c>
      <c r="BA22" s="31">
        <v>1645619613</v>
      </c>
      <c r="BB22" s="31">
        <v>1392113253</v>
      </c>
      <c r="BC22" s="31">
        <v>1533484406</v>
      </c>
      <c r="BD22" s="31">
        <v>1522238938</v>
      </c>
      <c r="BE22" s="31">
        <v>1499877143</v>
      </c>
      <c r="BF22" s="31">
        <v>1599126205</v>
      </c>
      <c r="BG22" s="31">
        <v>1615432940</v>
      </c>
      <c r="BH22" s="31">
        <v>1729161963</v>
      </c>
      <c r="BI22" s="31">
        <v>1680202584</v>
      </c>
      <c r="BJ22" s="31">
        <v>1558135721</v>
      </c>
      <c r="BK22" s="31">
        <v>1699138037</v>
      </c>
      <c r="BL22" s="31">
        <v>1609987098</v>
      </c>
      <c r="BM22" s="31">
        <v>1285614628</v>
      </c>
      <c r="BN22" s="31">
        <v>1455948875</v>
      </c>
      <c r="BO22" s="31">
        <v>1459196120</v>
      </c>
      <c r="BP22" s="31">
        <v>1624101687</v>
      </c>
      <c r="BQ22" s="31"/>
      <c r="BR22" s="31"/>
      <c r="BS22" s="31"/>
      <c r="BT22" s="31"/>
      <c r="BU22" s="31"/>
      <c r="BV22" s="31"/>
      <c r="BW22" s="31"/>
    </row>
    <row r="23" spans="1:75">
      <c r="A23" s="142">
        <v>20</v>
      </c>
      <c r="B23" s="143" t="s">
        <v>428</v>
      </c>
      <c r="C23" s="153">
        <v>28</v>
      </c>
      <c r="D23" s="31"/>
      <c r="E23" s="31"/>
      <c r="F23" s="31"/>
      <c r="G23" s="31"/>
      <c r="H23" s="31"/>
      <c r="I23" s="31"/>
      <c r="J23" s="31"/>
      <c r="K23" s="31"/>
      <c r="L23" s="31"/>
      <c r="M23" s="31"/>
      <c r="N23" s="31"/>
      <c r="O23" s="31"/>
      <c r="P23" s="31"/>
      <c r="Q23" s="31"/>
      <c r="R23" s="31"/>
      <c r="S23" s="31"/>
      <c r="T23" s="31"/>
      <c r="U23" s="31"/>
      <c r="V23" s="31"/>
      <c r="W23" s="31"/>
      <c r="X23" s="31"/>
      <c r="Y23" s="31"/>
      <c r="Z23" s="31"/>
      <c r="AA23" s="31"/>
      <c r="AB23" s="31"/>
      <c r="AC23" s="31"/>
      <c r="AD23" s="31"/>
      <c r="AE23" s="31"/>
      <c r="AF23" s="31"/>
      <c r="AG23" s="31"/>
      <c r="AH23" s="31"/>
      <c r="AI23" s="31"/>
      <c r="AJ23" s="31"/>
      <c r="AK23" s="31"/>
      <c r="AL23" s="31"/>
      <c r="AM23" s="31"/>
      <c r="AN23" s="31"/>
      <c r="AO23" s="31"/>
      <c r="AP23" s="31"/>
      <c r="AQ23" s="31"/>
      <c r="AR23" s="31"/>
      <c r="AS23" s="31"/>
      <c r="AT23" s="31"/>
      <c r="AU23" s="31"/>
      <c r="AV23" s="31"/>
      <c r="AW23" s="31"/>
      <c r="AX23" s="31"/>
      <c r="AY23" s="31"/>
      <c r="AZ23" s="31">
        <v>970136820</v>
      </c>
      <c r="BA23" s="31">
        <v>868888368</v>
      </c>
      <c r="BB23" s="31">
        <v>912244725</v>
      </c>
      <c r="BC23" s="31">
        <v>916877939</v>
      </c>
      <c r="BD23" s="31">
        <v>964289435</v>
      </c>
      <c r="BE23" s="31">
        <v>1177502784</v>
      </c>
      <c r="BF23" s="31">
        <v>1289281138</v>
      </c>
      <c r="BG23" s="31">
        <v>1173670726</v>
      </c>
      <c r="BH23" s="31">
        <v>988977089</v>
      </c>
      <c r="BI23" s="31">
        <v>997123822</v>
      </c>
      <c r="BJ23" s="31">
        <v>1011984037</v>
      </c>
      <c r="BK23" s="31">
        <v>1013044730</v>
      </c>
      <c r="BL23" s="31">
        <v>1038529143</v>
      </c>
      <c r="BM23" s="31">
        <v>786120367</v>
      </c>
      <c r="BN23" s="31">
        <v>972488991</v>
      </c>
      <c r="BO23" s="31">
        <v>1094077016</v>
      </c>
      <c r="BP23" s="31">
        <v>1177713846</v>
      </c>
      <c r="BQ23" s="31"/>
      <c r="BR23" s="31"/>
      <c r="BS23" s="31"/>
      <c r="BT23" s="31"/>
      <c r="BU23" s="31"/>
      <c r="BV23" s="31"/>
      <c r="BW23" s="31"/>
    </row>
    <row r="24" spans="1:75">
      <c r="A24" s="154">
        <v>21</v>
      </c>
      <c r="B24" s="155" t="s">
        <v>429</v>
      </c>
      <c r="C24" s="153">
        <v>28</v>
      </c>
      <c r="D24" s="31"/>
      <c r="E24" s="31"/>
      <c r="F24" s="31"/>
      <c r="G24" s="31"/>
      <c r="H24" s="31"/>
      <c r="I24" s="31"/>
      <c r="J24" s="31"/>
      <c r="K24" s="31"/>
      <c r="L24" s="31"/>
      <c r="M24" s="31"/>
      <c r="N24" s="31"/>
      <c r="O24" s="31"/>
      <c r="P24" s="31"/>
      <c r="Q24" s="31"/>
      <c r="R24" s="31"/>
      <c r="S24" s="31"/>
      <c r="T24" s="31"/>
      <c r="U24" s="31"/>
      <c r="V24" s="31"/>
      <c r="W24" s="31"/>
      <c r="X24" s="31"/>
      <c r="Y24" s="31"/>
      <c r="Z24" s="31"/>
      <c r="AA24" s="31"/>
      <c r="AB24" s="31"/>
      <c r="AC24" s="31"/>
      <c r="AD24" s="31"/>
      <c r="AE24" s="31"/>
      <c r="AF24" s="31"/>
      <c r="AG24" s="31"/>
      <c r="AH24" s="31"/>
      <c r="AI24" s="31"/>
      <c r="AJ24" s="31"/>
      <c r="AK24" s="31"/>
      <c r="AL24" s="31"/>
      <c r="AM24" s="31"/>
      <c r="AN24" s="31"/>
      <c r="AO24" s="31"/>
      <c r="AP24" s="31"/>
      <c r="AQ24" s="31"/>
      <c r="AR24" s="31"/>
      <c r="AS24" s="31"/>
      <c r="AT24" s="31"/>
      <c r="AU24" s="31"/>
      <c r="AV24" s="31"/>
      <c r="AW24" s="31"/>
      <c r="AX24" s="31"/>
      <c r="AY24" s="31"/>
      <c r="AZ24" s="31">
        <v>7983272193</v>
      </c>
      <c r="BA24" s="31">
        <v>8355399453</v>
      </c>
      <c r="BB24" s="31">
        <v>8552763871</v>
      </c>
      <c r="BC24" s="31">
        <v>8784608048</v>
      </c>
      <c r="BD24" s="31">
        <v>8444772301</v>
      </c>
      <c r="BE24" s="31">
        <v>8722549450</v>
      </c>
      <c r="BF24" s="31">
        <v>8505940169</v>
      </c>
      <c r="BG24" s="31">
        <v>8992006812</v>
      </c>
      <c r="BH24" s="31">
        <v>9118644541</v>
      </c>
      <c r="BI24" s="31">
        <v>9067433059</v>
      </c>
      <c r="BJ24" s="31">
        <v>8623893600</v>
      </c>
      <c r="BK24" s="31">
        <v>8483719491</v>
      </c>
      <c r="BL24" s="31">
        <v>9303370978</v>
      </c>
      <c r="BM24" s="31">
        <v>8512992248</v>
      </c>
      <c r="BN24" s="31">
        <v>9951847682</v>
      </c>
      <c r="BO24" s="31">
        <v>10291370513</v>
      </c>
      <c r="BP24" s="31">
        <v>10173581835</v>
      </c>
      <c r="BQ24" s="31"/>
      <c r="BR24" s="31"/>
      <c r="BS24" s="31"/>
      <c r="BT24" s="31"/>
      <c r="BU24" s="31"/>
      <c r="BV24" s="31"/>
      <c r="BW24" s="31"/>
    </row>
    <row r="25" spans="1:75">
      <c r="A25" s="142">
        <v>22</v>
      </c>
      <c r="B25" s="143" t="s">
        <v>430</v>
      </c>
      <c r="C25" s="153">
        <v>28</v>
      </c>
      <c r="D25" s="31"/>
      <c r="E25" s="31"/>
      <c r="F25" s="31"/>
      <c r="G25" s="31"/>
      <c r="H25" s="31"/>
      <c r="I25" s="31"/>
      <c r="J25" s="31"/>
      <c r="K25" s="31"/>
      <c r="L25" s="31"/>
      <c r="M25" s="31"/>
      <c r="N25" s="31"/>
      <c r="O25" s="31"/>
      <c r="P25" s="31"/>
      <c r="Q25" s="31"/>
      <c r="R25" s="31"/>
      <c r="S25" s="31"/>
      <c r="T25" s="31"/>
      <c r="U25" s="31"/>
      <c r="V25" s="31"/>
      <c r="W25" s="31"/>
      <c r="X25" s="31"/>
      <c r="Y25" s="31"/>
      <c r="Z25" s="31"/>
      <c r="AA25" s="31"/>
      <c r="AB25" s="31"/>
      <c r="AC25" s="31"/>
      <c r="AD25" s="31"/>
      <c r="AE25" s="31"/>
      <c r="AF25" s="31"/>
      <c r="AG25" s="31"/>
      <c r="AH25" s="31"/>
      <c r="AI25" s="31"/>
      <c r="AJ25" s="31"/>
      <c r="AK25" s="31"/>
      <c r="AL25" s="31"/>
      <c r="AM25" s="31"/>
      <c r="AN25" s="31"/>
      <c r="AO25" s="31"/>
      <c r="AP25" s="31"/>
      <c r="AQ25" s="31"/>
      <c r="AR25" s="31"/>
      <c r="AS25" s="31"/>
      <c r="AT25" s="31"/>
      <c r="AU25" s="31"/>
      <c r="AV25" s="31"/>
      <c r="AW25" s="31"/>
      <c r="AX25" s="31"/>
      <c r="AY25" s="31"/>
      <c r="AZ25" s="31">
        <v>7326216232</v>
      </c>
      <c r="BA25" s="31">
        <v>7325902902</v>
      </c>
      <c r="BB25" s="31">
        <v>7524548930</v>
      </c>
      <c r="BC25" s="31">
        <v>7445613977</v>
      </c>
      <c r="BD25" s="31">
        <v>7611262288</v>
      </c>
      <c r="BE25" s="31">
        <v>8374316946</v>
      </c>
      <c r="BF25" s="31">
        <v>9111145199</v>
      </c>
      <c r="BG25" s="31">
        <v>9148502920</v>
      </c>
      <c r="BH25" s="31">
        <v>9469971541</v>
      </c>
      <c r="BI25" s="31">
        <v>9277155664</v>
      </c>
      <c r="BJ25" s="31">
        <v>9444523440</v>
      </c>
      <c r="BK25" s="31">
        <v>9481420794</v>
      </c>
      <c r="BL25" s="31">
        <v>6271685632</v>
      </c>
      <c r="BM25" s="31">
        <v>6246304754</v>
      </c>
      <c r="BN25" s="31">
        <v>6272796146</v>
      </c>
      <c r="BO25" s="31">
        <v>6428597858</v>
      </c>
      <c r="BP25" s="31">
        <v>6487251347</v>
      </c>
      <c r="BQ25" s="31"/>
      <c r="BR25" s="31"/>
      <c r="BS25" s="31"/>
      <c r="BT25" s="31"/>
      <c r="BU25" s="31"/>
      <c r="BV25" s="31"/>
      <c r="BW25" s="31"/>
    </row>
    <row r="26" spans="1:75">
      <c r="A26" s="142">
        <v>23</v>
      </c>
      <c r="B26" s="143" t="s">
        <v>431</v>
      </c>
      <c r="C26" s="153">
        <v>28</v>
      </c>
      <c r="D26" s="31"/>
      <c r="E26" s="31"/>
      <c r="F26" s="31"/>
      <c r="G26" s="31"/>
      <c r="H26" s="31"/>
      <c r="I26" s="31"/>
      <c r="J26" s="31"/>
      <c r="K26" s="31"/>
      <c r="L26" s="31"/>
      <c r="M26" s="31"/>
      <c r="N26" s="31"/>
      <c r="O26" s="31"/>
      <c r="P26" s="31"/>
      <c r="Q26" s="31"/>
      <c r="R26" s="31"/>
      <c r="S26" s="31"/>
      <c r="T26" s="31"/>
      <c r="U26" s="31"/>
      <c r="V26" s="31"/>
      <c r="W26" s="31"/>
      <c r="X26" s="31"/>
      <c r="Y26" s="31"/>
      <c r="Z26" s="31"/>
      <c r="AA26" s="31"/>
      <c r="AB26" s="31"/>
      <c r="AC26" s="31"/>
      <c r="AD26" s="31"/>
      <c r="AE26" s="31"/>
      <c r="AF26" s="31"/>
      <c r="AG26" s="31"/>
      <c r="AH26" s="31"/>
      <c r="AI26" s="31"/>
      <c r="AJ26" s="31"/>
      <c r="AK26" s="31"/>
      <c r="AL26" s="31"/>
      <c r="AM26" s="31"/>
      <c r="AN26" s="31"/>
      <c r="AO26" s="31"/>
      <c r="AP26" s="31"/>
      <c r="AQ26" s="31"/>
      <c r="AR26" s="31"/>
      <c r="AS26" s="31"/>
      <c r="AT26" s="31"/>
      <c r="AU26" s="31"/>
      <c r="AV26" s="31"/>
      <c r="AW26" s="31"/>
      <c r="AX26" s="31"/>
      <c r="AY26" s="31"/>
      <c r="AZ26" s="31">
        <v>380467548</v>
      </c>
      <c r="BA26" s="31">
        <v>1845315600</v>
      </c>
      <c r="BB26" s="31">
        <v>1342787586</v>
      </c>
      <c r="BC26" s="31">
        <v>843454000</v>
      </c>
      <c r="BD26" s="31">
        <v>350000000</v>
      </c>
      <c r="BE26" s="31">
        <v>510000000</v>
      </c>
      <c r="BF26" s="31">
        <v>200000000</v>
      </c>
      <c r="BG26" s="31">
        <v>898330000</v>
      </c>
      <c r="BH26" s="31">
        <v>1091045000</v>
      </c>
      <c r="BI26" s="31">
        <v>1155172500</v>
      </c>
      <c r="BJ26" s="31">
        <v>975000000</v>
      </c>
      <c r="BK26" s="31">
        <v>930000000</v>
      </c>
      <c r="BL26" s="31">
        <v>0</v>
      </c>
      <c r="BM26" s="31">
        <v>0</v>
      </c>
      <c r="BN26" s="31">
        <v>44274073</v>
      </c>
      <c r="BO26" s="31">
        <v>176148628</v>
      </c>
      <c r="BP26" s="31">
        <v>167431172</v>
      </c>
      <c r="BQ26" s="31"/>
      <c r="BR26" s="31"/>
      <c r="BS26" s="31"/>
      <c r="BT26" s="31"/>
      <c r="BU26" s="31"/>
      <c r="BV26" s="31"/>
      <c r="BW26" s="31"/>
    </row>
    <row r="27" spans="1:75">
      <c r="A27" s="142">
        <v>24</v>
      </c>
      <c r="B27" s="143" t="s">
        <v>432</v>
      </c>
      <c r="C27" s="153">
        <v>28</v>
      </c>
      <c r="D27" s="31"/>
      <c r="E27" s="31"/>
      <c r="F27" s="31"/>
      <c r="G27" s="31"/>
      <c r="H27" s="31"/>
      <c r="I27" s="31"/>
      <c r="J27" s="31"/>
      <c r="K27" s="31"/>
      <c r="L27" s="31"/>
      <c r="M27" s="31"/>
      <c r="N27" s="31"/>
      <c r="O27" s="31"/>
      <c r="P27" s="31"/>
      <c r="Q27" s="31"/>
      <c r="R27" s="31"/>
      <c r="S27" s="31"/>
      <c r="T27" s="31"/>
      <c r="U27" s="31"/>
      <c r="V27" s="31"/>
      <c r="W27" s="31"/>
      <c r="X27" s="31"/>
      <c r="Y27" s="31"/>
      <c r="Z27" s="31"/>
      <c r="AA27" s="31"/>
      <c r="AB27" s="31"/>
      <c r="AC27" s="31"/>
      <c r="AD27" s="31"/>
      <c r="AE27" s="31"/>
      <c r="AF27" s="31"/>
      <c r="AG27" s="31"/>
      <c r="AH27" s="31"/>
      <c r="AI27" s="31"/>
      <c r="AJ27" s="31"/>
      <c r="AK27" s="31"/>
      <c r="AL27" s="31"/>
      <c r="AM27" s="31"/>
      <c r="AN27" s="31"/>
      <c r="AO27" s="31"/>
      <c r="AP27" s="31"/>
      <c r="AQ27" s="31"/>
      <c r="AR27" s="31"/>
      <c r="AS27" s="31"/>
      <c r="AT27" s="31"/>
      <c r="AU27" s="31"/>
      <c r="AV27" s="31"/>
      <c r="AW27" s="31"/>
      <c r="AX27" s="31"/>
      <c r="AY27" s="31"/>
      <c r="AZ27" s="31">
        <v>1199313766.2285714</v>
      </c>
      <c r="BA27" s="31">
        <v>3951106221</v>
      </c>
      <c r="BB27" s="31">
        <v>2477786130</v>
      </c>
      <c r="BC27" s="31">
        <v>2672108313</v>
      </c>
      <c r="BD27" s="31">
        <v>1930915150</v>
      </c>
      <c r="BE27" s="31">
        <v>-1171661984.999999</v>
      </c>
      <c r="BF27" s="31">
        <v>-632408976</v>
      </c>
      <c r="BG27" s="31">
        <v>2450838410.0000019</v>
      </c>
      <c r="BH27" s="31">
        <v>-441819888</v>
      </c>
      <c r="BI27" s="31">
        <v>4410577869.999999</v>
      </c>
      <c r="BJ27" s="31">
        <v>678871840.00000048</v>
      </c>
      <c r="BK27" s="31">
        <v>-14106508618.663048</v>
      </c>
      <c r="BL27" s="31">
        <v>2276643786.3635092</v>
      </c>
      <c r="BM27" s="31">
        <v>1352870098.000001</v>
      </c>
      <c r="BN27" s="31">
        <v>2564820771.9999981</v>
      </c>
      <c r="BO27" s="31">
        <v>466017573.40080321</v>
      </c>
      <c r="BP27" s="31">
        <v>3079241289.9998627</v>
      </c>
      <c r="BQ27" s="31"/>
      <c r="BR27" s="31"/>
      <c r="BS27" s="31"/>
      <c r="BT27" s="31"/>
      <c r="BU27" s="31"/>
      <c r="BV27" s="31"/>
      <c r="BW27" s="31"/>
    </row>
    <row r="28" spans="1:75">
      <c r="A28" s="142">
        <v>25</v>
      </c>
      <c r="B28" s="143" t="s">
        <v>433</v>
      </c>
      <c r="C28" s="153">
        <v>28</v>
      </c>
      <c r="D28" s="31"/>
      <c r="E28" s="31"/>
      <c r="F28" s="31"/>
      <c r="G28" s="31"/>
      <c r="H28" s="31"/>
      <c r="I28" s="31"/>
      <c r="J28" s="31"/>
      <c r="K28" s="31"/>
      <c r="L28" s="31"/>
      <c r="M28" s="31"/>
      <c r="N28" s="31"/>
      <c r="O28" s="31"/>
      <c r="P28" s="31"/>
      <c r="Q28" s="31"/>
      <c r="R28" s="31"/>
      <c r="S28" s="31"/>
      <c r="T28" s="31"/>
      <c r="U28" s="31"/>
      <c r="V28" s="31"/>
      <c r="W28" s="31"/>
      <c r="X28" s="31"/>
      <c r="Y28" s="31"/>
      <c r="Z28" s="31"/>
      <c r="AA28" s="31"/>
      <c r="AB28" s="31"/>
      <c r="AC28" s="31"/>
      <c r="AD28" s="31"/>
      <c r="AE28" s="31"/>
      <c r="AF28" s="31"/>
      <c r="AG28" s="31"/>
      <c r="AH28" s="31"/>
      <c r="AI28" s="31"/>
      <c r="AJ28" s="31"/>
      <c r="AK28" s="31"/>
      <c r="AL28" s="31"/>
      <c r="AM28" s="31"/>
      <c r="AN28" s="31"/>
      <c r="AO28" s="31"/>
      <c r="AP28" s="31"/>
      <c r="AQ28" s="31"/>
      <c r="AR28" s="31"/>
      <c r="AS28" s="31"/>
      <c r="AT28" s="31"/>
      <c r="AU28" s="31"/>
      <c r="AV28" s="31"/>
      <c r="AW28" s="31"/>
      <c r="AX28" s="31"/>
      <c r="AY28" s="31"/>
      <c r="AZ28" s="31">
        <v>1579830269.3559875</v>
      </c>
      <c r="BA28" s="31">
        <v>9382618168.8744812</v>
      </c>
      <c r="BB28" s="31">
        <v>1202214696.0000305</v>
      </c>
      <c r="BC28" s="31">
        <v>-2795867530.9999847</v>
      </c>
      <c r="BD28" s="31">
        <v>483872012.56793213</v>
      </c>
      <c r="BE28" s="31">
        <v>-3176827600.7717056</v>
      </c>
      <c r="BF28" s="31">
        <v>483913892.16221619</v>
      </c>
      <c r="BG28" s="31">
        <v>4660417298.8312378</v>
      </c>
      <c r="BH28" s="31">
        <v>-11655323241.984756</v>
      </c>
      <c r="BI28" s="31">
        <v>-4366811231.3704224</v>
      </c>
      <c r="BJ28" s="31">
        <v>-3497184328</v>
      </c>
      <c r="BK28" s="31">
        <v>-3641184726.7435913</v>
      </c>
      <c r="BL28" s="31">
        <v>2366339182.7614899</v>
      </c>
      <c r="BM28" s="31">
        <v>6239655996.9998169</v>
      </c>
      <c r="BN28" s="31">
        <v>15517839740.000183</v>
      </c>
      <c r="BO28" s="31">
        <v>9000720590.5989532</v>
      </c>
      <c r="BP28" s="31">
        <v>5998804134.0001984</v>
      </c>
      <c r="BQ28" s="31"/>
      <c r="BR28" s="31"/>
      <c r="BS28" s="31"/>
      <c r="BT28" s="31"/>
      <c r="BU28" s="31"/>
      <c r="BV28" s="31"/>
      <c r="BW28" s="31"/>
    </row>
    <row r="29" spans="1:75">
      <c r="A29" s="148">
        <v>26</v>
      </c>
      <c r="B29" s="149" t="s">
        <v>434</v>
      </c>
      <c r="C29" s="156">
        <v>28</v>
      </c>
      <c r="D29" s="32" t="str">
        <f t="shared" ref="D29:BJ29" si="3">IFERROR(D16/D12,"")</f>
        <v/>
      </c>
      <c r="E29" s="32" t="str">
        <f t="shared" si="3"/>
        <v/>
      </c>
      <c r="F29" s="32" t="str">
        <f t="shared" si="3"/>
        <v/>
      </c>
      <c r="G29" s="32" t="str">
        <f t="shared" si="3"/>
        <v/>
      </c>
      <c r="H29" s="32" t="str">
        <f t="shared" si="3"/>
        <v/>
      </c>
      <c r="I29" s="32" t="str">
        <f t="shared" si="3"/>
        <v/>
      </c>
      <c r="J29" s="32" t="str">
        <f t="shared" si="3"/>
        <v/>
      </c>
      <c r="K29" s="32" t="str">
        <f t="shared" si="3"/>
        <v/>
      </c>
      <c r="L29" s="32" t="str">
        <f t="shared" si="3"/>
        <v/>
      </c>
      <c r="M29" s="32" t="str">
        <f t="shared" si="3"/>
        <v/>
      </c>
      <c r="N29" s="32" t="str">
        <f t="shared" si="3"/>
        <v/>
      </c>
      <c r="O29" s="32" t="str">
        <f t="shared" si="3"/>
        <v/>
      </c>
      <c r="P29" s="32" t="str">
        <f t="shared" si="3"/>
        <v/>
      </c>
      <c r="Q29" s="32" t="str">
        <f t="shared" si="3"/>
        <v/>
      </c>
      <c r="R29" s="32" t="str">
        <f t="shared" si="3"/>
        <v/>
      </c>
      <c r="S29" s="32" t="str">
        <f t="shared" si="3"/>
        <v/>
      </c>
      <c r="T29" s="32" t="str">
        <f t="shared" si="3"/>
        <v/>
      </c>
      <c r="U29" s="32" t="str">
        <f t="shared" si="3"/>
        <v/>
      </c>
      <c r="V29" s="32" t="str">
        <f t="shared" si="3"/>
        <v/>
      </c>
      <c r="W29" s="32" t="str">
        <f t="shared" si="3"/>
        <v/>
      </c>
      <c r="X29" s="32" t="str">
        <f t="shared" si="3"/>
        <v/>
      </c>
      <c r="Y29" s="32" t="str">
        <f t="shared" si="3"/>
        <v/>
      </c>
      <c r="Z29" s="32" t="str">
        <f t="shared" si="3"/>
        <v/>
      </c>
      <c r="AA29" s="32" t="str">
        <f t="shared" si="3"/>
        <v/>
      </c>
      <c r="AB29" s="32" t="str">
        <f t="shared" si="3"/>
        <v/>
      </c>
      <c r="AC29" s="32" t="str">
        <f t="shared" si="3"/>
        <v/>
      </c>
      <c r="AD29" s="32" t="str">
        <f t="shared" si="3"/>
        <v/>
      </c>
      <c r="AE29" s="32" t="str">
        <f t="shared" si="3"/>
        <v/>
      </c>
      <c r="AF29" s="32" t="str">
        <f t="shared" si="3"/>
        <v/>
      </c>
      <c r="AG29" s="32" t="str">
        <f t="shared" si="3"/>
        <v/>
      </c>
      <c r="AH29" s="32" t="str">
        <f t="shared" si="3"/>
        <v/>
      </c>
      <c r="AI29" s="32" t="str">
        <f t="shared" si="3"/>
        <v/>
      </c>
      <c r="AJ29" s="32" t="str">
        <f t="shared" si="3"/>
        <v/>
      </c>
      <c r="AK29" s="32" t="str">
        <f t="shared" si="3"/>
        <v/>
      </c>
      <c r="AL29" s="32" t="str">
        <f t="shared" si="3"/>
        <v/>
      </c>
      <c r="AM29" s="32" t="str">
        <f t="shared" si="3"/>
        <v/>
      </c>
      <c r="AN29" s="32">
        <f t="shared" si="3"/>
        <v>0.92331096777011346</v>
      </c>
      <c r="AO29" s="32">
        <f t="shared" si="3"/>
        <v>1.006177481165516</v>
      </c>
      <c r="AP29" s="32">
        <f t="shared" si="3"/>
        <v>0.94412970945066121</v>
      </c>
      <c r="AQ29" s="32">
        <f t="shared" si="3"/>
        <v>0.89806920875306606</v>
      </c>
      <c r="AR29" s="32">
        <f t="shared" si="3"/>
        <v>0.98091517498252279</v>
      </c>
      <c r="AS29" s="32">
        <f t="shared" si="3"/>
        <v>1.0294362776188521</v>
      </c>
      <c r="AT29" s="32">
        <f t="shared" si="3"/>
        <v>1.0765127229680977</v>
      </c>
      <c r="AU29" s="32">
        <f t="shared" si="3"/>
        <v>0.96892497301274683</v>
      </c>
      <c r="AV29" s="32">
        <f t="shared" si="3"/>
        <v>0.86672590116511472</v>
      </c>
      <c r="AW29" s="32">
        <f t="shared" si="3"/>
        <v>0.96726444848526216</v>
      </c>
      <c r="AX29" s="32">
        <f t="shared" si="3"/>
        <v>0.95440427616482926</v>
      </c>
      <c r="AY29" s="32">
        <f t="shared" si="3"/>
        <v>-3.3368580001616806E-2</v>
      </c>
      <c r="AZ29" s="32">
        <f t="shared" si="3"/>
        <v>0.85600495219147488</v>
      </c>
      <c r="BA29" s="32">
        <f t="shared" si="3"/>
        <v>0.82815731330814146</v>
      </c>
      <c r="BB29" s="32">
        <f t="shared" si="3"/>
        <v>0.85898538281227055</v>
      </c>
      <c r="BC29" s="32">
        <f t="shared" si="3"/>
        <v>0.86338681139689299</v>
      </c>
      <c r="BD29" s="32">
        <f t="shared" si="3"/>
        <v>0.84353423711277586</v>
      </c>
      <c r="BE29" s="32">
        <f t="shared" si="3"/>
        <v>0.87294223133272164</v>
      </c>
      <c r="BF29" s="32">
        <f t="shared" si="3"/>
        <v>0.90041712567500765</v>
      </c>
      <c r="BG29" s="32">
        <f t="shared" si="3"/>
        <v>0.89481708556057438</v>
      </c>
      <c r="BH29" s="32">
        <f t="shared" si="3"/>
        <v>0.96683786019724327</v>
      </c>
      <c r="BI29" s="32">
        <f t="shared" si="3"/>
        <v>0.90119550463907216</v>
      </c>
      <c r="BJ29" s="32">
        <f t="shared" si="3"/>
        <v>0.9061411607004316</v>
      </c>
      <c r="BK29" s="32">
        <f t="shared" ref="BK29:BW29" si="4">IFERROR(BK16/BK12,"")</f>
        <v>0.68217097143082939</v>
      </c>
      <c r="BL29" s="32">
        <f t="shared" si="4"/>
        <v>0.90795462872352262</v>
      </c>
      <c r="BM29" s="32">
        <f t="shared" si="4"/>
        <v>0.92847999046629648</v>
      </c>
      <c r="BN29" s="32">
        <f t="shared" si="4"/>
        <v>0.94773907622076992</v>
      </c>
      <c r="BO29" s="32">
        <f t="shared" si="4"/>
        <v>0.87349944158916226</v>
      </c>
      <c r="BP29" s="32">
        <f t="shared" si="4"/>
        <v>0.84226601118543942</v>
      </c>
      <c r="BQ29" s="32" t="str">
        <f t="shared" si="4"/>
        <v/>
      </c>
      <c r="BR29" s="32" t="str">
        <f t="shared" si="4"/>
        <v/>
      </c>
      <c r="BS29" s="32" t="str">
        <f t="shared" si="4"/>
        <v/>
      </c>
      <c r="BT29" s="32" t="str">
        <f t="shared" si="4"/>
        <v/>
      </c>
      <c r="BU29" s="32" t="str">
        <f t="shared" si="4"/>
        <v/>
      </c>
      <c r="BV29" s="32" t="str">
        <f t="shared" si="4"/>
        <v/>
      </c>
      <c r="BW29" s="32" t="str">
        <f t="shared" si="4"/>
        <v/>
      </c>
    </row>
    <row r="30" spans="1:75">
      <c r="A30" s="145">
        <v>27</v>
      </c>
      <c r="B30" s="146" t="s">
        <v>435</v>
      </c>
      <c r="C30" s="147">
        <v>28</v>
      </c>
      <c r="D30" s="27">
        <f>'Ket qua kinh doanh'!D9</f>
        <v>0</v>
      </c>
      <c r="E30" s="27">
        <f>'Ket qua kinh doanh'!E9</f>
        <v>0</v>
      </c>
      <c r="F30" s="27">
        <f>'Ket qua kinh doanh'!F9</f>
        <v>0</v>
      </c>
      <c r="G30" s="27">
        <f>'Ket qua kinh doanh'!G9</f>
        <v>0</v>
      </c>
      <c r="H30" s="27">
        <f>'Ket qua kinh doanh'!H9</f>
        <v>0</v>
      </c>
      <c r="I30" s="27">
        <f>'Ket qua kinh doanh'!I9</f>
        <v>0</v>
      </c>
      <c r="J30" s="27">
        <f>'Ket qua kinh doanh'!J9</f>
        <v>0</v>
      </c>
      <c r="K30" s="27">
        <f>'Ket qua kinh doanh'!K9</f>
        <v>0</v>
      </c>
      <c r="L30" s="27">
        <f>'Ket qua kinh doanh'!L9</f>
        <v>0</v>
      </c>
      <c r="M30" s="27">
        <f>'Ket qua kinh doanh'!M9</f>
        <v>0</v>
      </c>
      <c r="N30" s="27">
        <f>'Ket qua kinh doanh'!N9</f>
        <v>0</v>
      </c>
      <c r="O30" s="27">
        <f>'Ket qua kinh doanh'!O9</f>
        <v>0</v>
      </c>
      <c r="P30" s="27">
        <f>'Ket qua kinh doanh'!P9</f>
        <v>0</v>
      </c>
      <c r="Q30" s="27">
        <f>'Ket qua kinh doanh'!Q9</f>
        <v>0</v>
      </c>
      <c r="R30" s="27">
        <f>'Ket qua kinh doanh'!R9</f>
        <v>0</v>
      </c>
      <c r="S30" s="27">
        <f>'Ket qua kinh doanh'!S9</f>
        <v>0</v>
      </c>
      <c r="T30" s="27">
        <f>'Ket qua kinh doanh'!T9</f>
        <v>0</v>
      </c>
      <c r="U30" s="27">
        <f>'Ket qua kinh doanh'!U9</f>
        <v>0</v>
      </c>
      <c r="V30" s="27">
        <f>'Ket qua kinh doanh'!V9</f>
        <v>0</v>
      </c>
      <c r="W30" s="27">
        <f>'Ket qua kinh doanh'!W9</f>
        <v>0</v>
      </c>
      <c r="X30" s="27">
        <f>'Ket qua kinh doanh'!X9</f>
        <v>0</v>
      </c>
      <c r="Y30" s="27">
        <f>'Ket qua kinh doanh'!Y9</f>
        <v>0</v>
      </c>
      <c r="Z30" s="27">
        <f>'Ket qua kinh doanh'!Z9</f>
        <v>0</v>
      </c>
      <c r="AA30" s="27">
        <f>'Ket qua kinh doanh'!AA9</f>
        <v>0</v>
      </c>
      <c r="AB30" s="27">
        <f>'Ket qua kinh doanh'!AB9</f>
        <v>0</v>
      </c>
      <c r="AC30" s="27">
        <f>'Ket qua kinh doanh'!AC9</f>
        <v>0</v>
      </c>
      <c r="AD30" s="27">
        <f>'Ket qua kinh doanh'!AD9</f>
        <v>0</v>
      </c>
      <c r="AE30" s="27">
        <f>'Ket qua kinh doanh'!AE9</f>
        <v>0</v>
      </c>
      <c r="AF30" s="27">
        <f>'Ket qua kinh doanh'!AF9</f>
        <v>0</v>
      </c>
      <c r="AG30" s="27">
        <f>'Ket qua kinh doanh'!AG9</f>
        <v>0</v>
      </c>
      <c r="AH30" s="27">
        <f>'Ket qua kinh doanh'!AH9</f>
        <v>0</v>
      </c>
      <c r="AI30" s="27">
        <f>'Ket qua kinh doanh'!AI9</f>
        <v>0</v>
      </c>
      <c r="AJ30" s="27">
        <f>'Ket qua kinh doanh'!AJ9</f>
        <v>0</v>
      </c>
      <c r="AK30" s="27">
        <f>'Ket qua kinh doanh'!AK9</f>
        <v>0</v>
      </c>
      <c r="AL30" s="27">
        <f>'Ket qua kinh doanh'!AL9</f>
        <v>0</v>
      </c>
      <c r="AM30" s="27">
        <f>'Ket qua kinh doanh'!AM9</f>
        <v>0</v>
      </c>
      <c r="AN30" s="27">
        <f>'Ket qua kinh doanh'!AN9</f>
        <v>9972483847</v>
      </c>
      <c r="AO30" s="27">
        <f>'Ket qua kinh doanh'!AO9</f>
        <v>-515694066</v>
      </c>
      <c r="AP30" s="27">
        <f>'Ket qua kinh doanh'!AP9</f>
        <v>6460025611</v>
      </c>
      <c r="AQ30" s="27">
        <f>'Ket qua kinh doanh'!AQ9</f>
        <v>11991878921</v>
      </c>
      <c r="AR30" s="27">
        <f>'Ket qua kinh doanh'!AR9</f>
        <v>2441885278</v>
      </c>
      <c r="AS30" s="27">
        <f>'Ket qua kinh doanh'!AS9</f>
        <v>-2815920597</v>
      </c>
      <c r="AT30" s="27">
        <f>'Ket qua kinh doanh'!AT9</f>
        <v>-5713944325</v>
      </c>
      <c r="AU30" s="27">
        <f>'Ket qua kinh doanh'!AU9</f>
        <v>5363296363</v>
      </c>
      <c r="AV30" s="27">
        <f>'Ket qua kinh doanh'!AV9</f>
        <v>23385512729</v>
      </c>
      <c r="AW30" s="27">
        <f>'Ket qua kinh doanh'!AW9</f>
        <v>4592444587</v>
      </c>
      <c r="AX30" s="27">
        <f>'Ket qua kinh doanh'!AX9</f>
        <v>4429538531</v>
      </c>
      <c r="AY30" s="27">
        <f>'Ket qua kinh doanh'!AY9</f>
        <v>128144611272</v>
      </c>
      <c r="AZ30" s="27">
        <f>'Ket qua kinh doanh'!AZ9</f>
        <v>16483105268</v>
      </c>
      <c r="BA30" s="27">
        <f>'Ket qua kinh doanh'!BA9</f>
        <v>32306332485</v>
      </c>
      <c r="BB30" s="27">
        <f>'Ket qua kinh doanh'!BB9</f>
        <v>21185923943</v>
      </c>
      <c r="BC30" s="27">
        <f>'Ket qua kinh doanh'!BC9</f>
        <v>17129551066</v>
      </c>
      <c r="BD30" s="27">
        <f>'Ket qua kinh doanh'!BD9</f>
        <v>23787733277</v>
      </c>
      <c r="BE30" s="27">
        <f>'Ket qua kinh doanh'!BE9</f>
        <v>15180844835</v>
      </c>
      <c r="BF30" s="27">
        <f>'Ket qua kinh doanh'!BF9</f>
        <v>13742767461</v>
      </c>
      <c r="BG30" s="27">
        <f>'Ket qua kinh doanh'!BG9</f>
        <v>17721449183</v>
      </c>
      <c r="BH30" s="27">
        <f>'Ket qua kinh doanh'!BH9</f>
        <v>2809810527</v>
      </c>
      <c r="BI30" s="27">
        <f>'Ket qua kinh doanh'!BI9</f>
        <v>10770744743</v>
      </c>
      <c r="BJ30" s="27">
        <f>'Ket qua kinh doanh'!BJ9</f>
        <v>8296122547</v>
      </c>
      <c r="BK30" s="27">
        <f>'Ket qua kinh doanh'!BK9</f>
        <v>31676554728</v>
      </c>
      <c r="BL30" s="27">
        <f>'Ket qua kinh doanh'!BL9</f>
        <v>11577706459.805557</v>
      </c>
      <c r="BM30" s="27">
        <f>'Ket qua kinh doanh'!BM9</f>
        <v>6905199089.8284912</v>
      </c>
      <c r="BN30" s="27">
        <f>'Ket qua kinh doanh'!BN9</f>
        <v>9041487885.4083328</v>
      </c>
      <c r="BO30" s="27">
        <f>'Ket qua kinh doanh'!BO9</f>
        <v>20132564871.830753</v>
      </c>
      <c r="BP30" s="27">
        <f>'Ket qua kinh doanh'!BP9</f>
        <v>25203170724.768799</v>
      </c>
      <c r="BQ30" s="27">
        <f>'Ket qua kinh doanh'!BQ9</f>
        <v>0</v>
      </c>
      <c r="BR30" s="27">
        <f>'Ket qua kinh doanh'!BR9</f>
        <v>0</v>
      </c>
      <c r="BS30" s="27">
        <f>'Ket qua kinh doanh'!BS9</f>
        <v>0</v>
      </c>
      <c r="BT30" s="27">
        <f>'Ket qua kinh doanh'!BT9</f>
        <v>0</v>
      </c>
      <c r="BU30" s="27">
        <f>'Ket qua kinh doanh'!BU9</f>
        <v>0</v>
      </c>
      <c r="BV30" s="27">
        <f>'Ket qua kinh doanh'!BV9</f>
        <v>0</v>
      </c>
      <c r="BW30" s="27">
        <f>'Ket qua kinh doanh'!BW9</f>
        <v>0</v>
      </c>
    </row>
    <row r="31" spans="1:75">
      <c r="A31" s="148">
        <v>28</v>
      </c>
      <c r="B31" s="149" t="s">
        <v>436</v>
      </c>
      <c r="C31" s="151">
        <v>28</v>
      </c>
      <c r="D31" s="29" t="str">
        <f t="shared" ref="D31:BJ31" si="5">IFERROR(D30/D12,"")</f>
        <v/>
      </c>
      <c r="E31" s="29" t="str">
        <f t="shared" si="5"/>
        <v/>
      </c>
      <c r="F31" s="29" t="str">
        <f t="shared" si="5"/>
        <v/>
      </c>
      <c r="G31" s="29" t="str">
        <f t="shared" si="5"/>
        <v/>
      </c>
      <c r="H31" s="29" t="str">
        <f t="shared" si="5"/>
        <v/>
      </c>
      <c r="I31" s="29" t="str">
        <f t="shared" si="5"/>
        <v/>
      </c>
      <c r="J31" s="29" t="str">
        <f t="shared" si="5"/>
        <v/>
      </c>
      <c r="K31" s="29" t="str">
        <f t="shared" si="5"/>
        <v/>
      </c>
      <c r="L31" s="29" t="str">
        <f t="shared" si="5"/>
        <v/>
      </c>
      <c r="M31" s="29" t="str">
        <f t="shared" si="5"/>
        <v/>
      </c>
      <c r="N31" s="29" t="str">
        <f t="shared" si="5"/>
        <v/>
      </c>
      <c r="O31" s="29" t="str">
        <f t="shared" si="5"/>
        <v/>
      </c>
      <c r="P31" s="29" t="str">
        <f t="shared" si="5"/>
        <v/>
      </c>
      <c r="Q31" s="29" t="str">
        <f t="shared" si="5"/>
        <v/>
      </c>
      <c r="R31" s="29" t="str">
        <f t="shared" si="5"/>
        <v/>
      </c>
      <c r="S31" s="29" t="str">
        <f t="shared" si="5"/>
        <v/>
      </c>
      <c r="T31" s="29" t="str">
        <f t="shared" si="5"/>
        <v/>
      </c>
      <c r="U31" s="29" t="str">
        <f t="shared" si="5"/>
        <v/>
      </c>
      <c r="V31" s="29" t="str">
        <f t="shared" si="5"/>
        <v/>
      </c>
      <c r="W31" s="29" t="str">
        <f t="shared" si="5"/>
        <v/>
      </c>
      <c r="X31" s="29" t="str">
        <f t="shared" si="5"/>
        <v/>
      </c>
      <c r="Y31" s="29" t="str">
        <f t="shared" si="5"/>
        <v/>
      </c>
      <c r="Z31" s="29" t="str">
        <f t="shared" si="5"/>
        <v/>
      </c>
      <c r="AA31" s="29" t="str">
        <f t="shared" si="5"/>
        <v/>
      </c>
      <c r="AB31" s="29" t="str">
        <f t="shared" si="5"/>
        <v/>
      </c>
      <c r="AC31" s="29" t="str">
        <f t="shared" si="5"/>
        <v/>
      </c>
      <c r="AD31" s="29" t="str">
        <f t="shared" si="5"/>
        <v/>
      </c>
      <c r="AE31" s="29" t="str">
        <f t="shared" si="5"/>
        <v/>
      </c>
      <c r="AF31" s="29" t="str">
        <f t="shared" si="5"/>
        <v/>
      </c>
      <c r="AG31" s="29" t="str">
        <f t="shared" si="5"/>
        <v/>
      </c>
      <c r="AH31" s="29" t="str">
        <f t="shared" si="5"/>
        <v/>
      </c>
      <c r="AI31" s="29" t="str">
        <f t="shared" si="5"/>
        <v/>
      </c>
      <c r="AJ31" s="29" t="str">
        <f t="shared" si="5"/>
        <v/>
      </c>
      <c r="AK31" s="29" t="str">
        <f t="shared" si="5"/>
        <v/>
      </c>
      <c r="AL31" s="29" t="str">
        <f t="shared" si="5"/>
        <v/>
      </c>
      <c r="AM31" s="29" t="str">
        <f t="shared" si="5"/>
        <v/>
      </c>
      <c r="AN31" s="29">
        <f t="shared" si="5"/>
        <v>7.66890322298866E-2</v>
      </c>
      <c r="AO31" s="29">
        <f t="shared" si="5"/>
        <v>-6.1774811655159814E-3</v>
      </c>
      <c r="AP31" s="29">
        <f t="shared" si="5"/>
        <v>5.5870290549338772E-2</v>
      </c>
      <c r="AQ31" s="29">
        <f t="shared" si="5"/>
        <v>0.10193079124693391</v>
      </c>
      <c r="AR31" s="29">
        <f t="shared" si="5"/>
        <v>1.9084825017477242E-2</v>
      </c>
      <c r="AS31" s="29">
        <f t="shared" si="5"/>
        <v>-2.9436277618852195E-2</v>
      </c>
      <c r="AT31" s="29">
        <f t="shared" si="5"/>
        <v>-7.6512722968097704E-2</v>
      </c>
      <c r="AU31" s="29">
        <f t="shared" si="5"/>
        <v>3.1075026987253188E-2</v>
      </c>
      <c r="AV31" s="29">
        <f t="shared" si="5"/>
        <v>0.13327409883488528</v>
      </c>
      <c r="AW31" s="29">
        <f t="shared" si="5"/>
        <v>3.2735551514737844E-2</v>
      </c>
      <c r="AX31" s="29">
        <f t="shared" si="5"/>
        <v>4.5595723835170708E-2</v>
      </c>
      <c r="AY31" s="29">
        <f t="shared" si="5"/>
        <v>1.0333685800016168</v>
      </c>
      <c r="AZ31" s="29">
        <f t="shared" si="5"/>
        <v>0.1439950478085251</v>
      </c>
      <c r="BA31" s="29">
        <f t="shared" si="5"/>
        <v>0.17184268669185856</v>
      </c>
      <c r="BB31" s="29">
        <f t="shared" si="5"/>
        <v>0.1410146171877294</v>
      </c>
      <c r="BC31" s="29">
        <f t="shared" si="5"/>
        <v>0.13661318860310695</v>
      </c>
      <c r="BD31" s="29">
        <f t="shared" si="5"/>
        <v>0.15646576288722411</v>
      </c>
      <c r="BE31" s="29">
        <f t="shared" si="5"/>
        <v>0.12705776866727836</v>
      </c>
      <c r="BF31" s="29">
        <f t="shared" si="5"/>
        <v>9.9582874324992354E-2</v>
      </c>
      <c r="BG31" s="29">
        <f t="shared" si="5"/>
        <v>0.10518291443942565</v>
      </c>
      <c r="BH31" s="29">
        <f t="shared" si="5"/>
        <v>3.3162139802756757E-2</v>
      </c>
      <c r="BI31" s="29">
        <f t="shared" si="5"/>
        <v>9.8804495360927863E-2</v>
      </c>
      <c r="BJ31" s="29">
        <f t="shared" si="5"/>
        <v>9.3858839299568439E-2</v>
      </c>
      <c r="BK31" s="29">
        <f t="shared" ref="BK31:BW31" si="6">IFERROR(BK30/BK12,"")</f>
        <v>0.31782902856917061</v>
      </c>
      <c r="BL31" s="29">
        <f t="shared" si="6"/>
        <v>9.2045371276477356E-2</v>
      </c>
      <c r="BM31" s="29">
        <f t="shared" si="6"/>
        <v>7.1520009533703577E-2</v>
      </c>
      <c r="BN31" s="29">
        <f t="shared" si="6"/>
        <v>5.2260923779230167E-2</v>
      </c>
      <c r="BO31" s="29">
        <f t="shared" si="6"/>
        <v>0.12650055841083779</v>
      </c>
      <c r="BP31" s="29">
        <f t="shared" si="6"/>
        <v>0.15773398881456063</v>
      </c>
      <c r="BQ31" s="29" t="str">
        <f t="shared" si="6"/>
        <v/>
      </c>
      <c r="BR31" s="29" t="str">
        <f t="shared" si="6"/>
        <v/>
      </c>
      <c r="BS31" s="29" t="str">
        <f t="shared" si="6"/>
        <v/>
      </c>
      <c r="BT31" s="29" t="str">
        <f t="shared" si="6"/>
        <v/>
      </c>
      <c r="BU31" s="29" t="str">
        <f t="shared" si="6"/>
        <v/>
      </c>
      <c r="BV31" s="29" t="str">
        <f t="shared" si="6"/>
        <v/>
      </c>
      <c r="BW31" s="29" t="str">
        <f t="shared" si="6"/>
        <v/>
      </c>
    </row>
    <row r="32" spans="1:75">
      <c r="A32" s="145">
        <v>29</v>
      </c>
      <c r="B32" s="146" t="s">
        <v>437</v>
      </c>
      <c r="C32" s="147">
        <v>28</v>
      </c>
      <c r="D32" s="27">
        <f>'Ket qua kinh doanh'!D20</f>
        <v>0</v>
      </c>
      <c r="E32" s="27">
        <f>'Ket qua kinh doanh'!E20</f>
        <v>0</v>
      </c>
      <c r="F32" s="27">
        <f>'Ket qua kinh doanh'!F20</f>
        <v>0</v>
      </c>
      <c r="G32" s="27">
        <f>'Ket qua kinh doanh'!G20</f>
        <v>0</v>
      </c>
      <c r="H32" s="27">
        <f>'Ket qua kinh doanh'!H20</f>
        <v>0</v>
      </c>
      <c r="I32" s="27">
        <f>'Ket qua kinh doanh'!I20</f>
        <v>0</v>
      </c>
      <c r="J32" s="27">
        <f>'Ket qua kinh doanh'!J20</f>
        <v>0</v>
      </c>
      <c r="K32" s="27">
        <f>'Ket qua kinh doanh'!K20</f>
        <v>0</v>
      </c>
      <c r="L32" s="27">
        <f>'Ket qua kinh doanh'!L20</f>
        <v>0</v>
      </c>
      <c r="M32" s="27">
        <f>'Ket qua kinh doanh'!M20</f>
        <v>0</v>
      </c>
      <c r="N32" s="27">
        <f>'Ket qua kinh doanh'!N20</f>
        <v>0</v>
      </c>
      <c r="O32" s="27">
        <f>'Ket qua kinh doanh'!O20</f>
        <v>0</v>
      </c>
      <c r="P32" s="27">
        <f>'Ket qua kinh doanh'!P20</f>
        <v>0</v>
      </c>
      <c r="Q32" s="27">
        <f>'Ket qua kinh doanh'!Q20</f>
        <v>0</v>
      </c>
      <c r="R32" s="27">
        <f>'Ket qua kinh doanh'!R20</f>
        <v>0</v>
      </c>
      <c r="S32" s="27">
        <f>'Ket qua kinh doanh'!S20</f>
        <v>0</v>
      </c>
      <c r="T32" s="27">
        <f>'Ket qua kinh doanh'!T20</f>
        <v>0</v>
      </c>
      <c r="U32" s="27">
        <f>'Ket qua kinh doanh'!U20</f>
        <v>0</v>
      </c>
      <c r="V32" s="27">
        <f>'Ket qua kinh doanh'!V20</f>
        <v>0</v>
      </c>
      <c r="W32" s="27">
        <f>'Ket qua kinh doanh'!W20</f>
        <v>0</v>
      </c>
      <c r="X32" s="27">
        <f>'Ket qua kinh doanh'!X20</f>
        <v>0</v>
      </c>
      <c r="Y32" s="27">
        <f>'Ket qua kinh doanh'!Y20</f>
        <v>0</v>
      </c>
      <c r="Z32" s="27">
        <f>'Ket qua kinh doanh'!Z20</f>
        <v>0</v>
      </c>
      <c r="AA32" s="27">
        <f>'Ket qua kinh doanh'!AA20</f>
        <v>0</v>
      </c>
      <c r="AB32" s="27">
        <f>'Ket qua kinh doanh'!AB20</f>
        <v>0</v>
      </c>
      <c r="AC32" s="27">
        <f>'Ket qua kinh doanh'!AC20</f>
        <v>0</v>
      </c>
      <c r="AD32" s="27">
        <f>'Ket qua kinh doanh'!AD20</f>
        <v>0</v>
      </c>
      <c r="AE32" s="27">
        <f>'Ket qua kinh doanh'!AE20</f>
        <v>0</v>
      </c>
      <c r="AF32" s="27">
        <f>'Ket qua kinh doanh'!AF20</f>
        <v>0</v>
      </c>
      <c r="AG32" s="27">
        <f>'Ket qua kinh doanh'!AG20</f>
        <v>0</v>
      </c>
      <c r="AH32" s="27">
        <f>'Ket qua kinh doanh'!AH20</f>
        <v>0</v>
      </c>
      <c r="AI32" s="27">
        <f>'Ket qua kinh doanh'!AI20</f>
        <v>0</v>
      </c>
      <c r="AJ32" s="27">
        <f>'Ket qua kinh doanh'!AJ20</f>
        <v>0</v>
      </c>
      <c r="AK32" s="27">
        <f>'Ket qua kinh doanh'!AK20</f>
        <v>0</v>
      </c>
      <c r="AL32" s="27">
        <f>'Ket qua kinh doanh'!AL20</f>
        <v>0</v>
      </c>
      <c r="AM32" s="27">
        <f>'Ket qua kinh doanh'!AM20</f>
        <v>0</v>
      </c>
      <c r="AN32" s="27">
        <f>'Ket qua kinh doanh'!AN20</f>
        <v>-719985770</v>
      </c>
      <c r="AO32" s="27">
        <f>'Ket qua kinh doanh'!AO20</f>
        <v>-6758932844</v>
      </c>
      <c r="AP32" s="27">
        <f>'Ket qua kinh doanh'!AP20</f>
        <v>-2743321288</v>
      </c>
      <c r="AQ32" s="27">
        <f>'Ket qua kinh doanh'!AQ20</f>
        <v>1668340417</v>
      </c>
      <c r="AR32" s="27">
        <f>'Ket qua kinh doanh'!AR20</f>
        <v>-5691808171</v>
      </c>
      <c r="AS32" s="27">
        <f>'Ket qua kinh doanh'!AS20</f>
        <v>-12142648645</v>
      </c>
      <c r="AT32" s="27">
        <f>'Ket qua kinh doanh'!AT20</f>
        <v>-15194276334</v>
      </c>
      <c r="AU32" s="27">
        <f>'Ket qua kinh doanh'!AU20</f>
        <v>-10014018528</v>
      </c>
      <c r="AV32" s="27">
        <f>'Ket qua kinh doanh'!AV20</f>
        <v>8118268598</v>
      </c>
      <c r="AW32" s="27">
        <f>'Ket qua kinh doanh'!AW20</f>
        <v>-6348711814</v>
      </c>
      <c r="AX32" s="27">
        <f>'Ket qua kinh doanh'!AX20</f>
        <v>-6052149672</v>
      </c>
      <c r="AY32" s="27">
        <f>'Ket qua kinh doanh'!AY20</f>
        <v>102908561739</v>
      </c>
      <c r="AZ32" s="27">
        <f>'Ket qua kinh doanh'!AZ20</f>
        <v>3099846411</v>
      </c>
      <c r="BA32" s="27">
        <f>'Ket qua kinh doanh'!BA20</f>
        <v>17072928466</v>
      </c>
      <c r="BB32" s="27">
        <f>'Ket qua kinh doanh'!BB20</f>
        <v>6996892070</v>
      </c>
      <c r="BC32" s="27">
        <f>'Ket qua kinh doanh'!BC20</f>
        <v>3936534372</v>
      </c>
      <c r="BD32" s="27">
        <f>'Ket qua kinh doanh'!BD20</f>
        <v>10980760888</v>
      </c>
      <c r="BE32" s="27">
        <f>'Ket qua kinh doanh'!BE20</f>
        <v>874577083</v>
      </c>
      <c r="BF32" s="27">
        <f>'Ket qua kinh doanh'!BF20</f>
        <v>412219980</v>
      </c>
      <c r="BG32" s="27">
        <f>'Ket qua kinh doanh'!BG20</f>
        <v>2753352784</v>
      </c>
      <c r="BH32" s="27">
        <f>'Ket qua kinh doanh'!BH20</f>
        <v>-12537257826</v>
      </c>
      <c r="BI32" s="27">
        <f>'Ket qua kinh doanh'!BI20</f>
        <v>-5398471511</v>
      </c>
      <c r="BJ32" s="27">
        <f>'Ket qua kinh doanh'!BJ20</f>
        <v>-8841087053</v>
      </c>
      <c r="BK32" s="27">
        <f>'Ket qua kinh doanh'!BK20</f>
        <v>5675768744</v>
      </c>
      <c r="BL32" s="27">
        <f>'Ket qua kinh doanh'!BL20</f>
        <v>-3068173394.1944427</v>
      </c>
      <c r="BM32" s="27">
        <f>'Ket qua kinh doanh'!BM20</f>
        <v>-7734670181.1715088</v>
      </c>
      <c r="BN32" s="27">
        <f>'Ket qua kinh doanh'!BN20</f>
        <v>-6932855150.5916672</v>
      </c>
      <c r="BO32" s="27">
        <f>'Ket qua kinh doanh'!BO20</f>
        <v>4902498894.8307533</v>
      </c>
      <c r="BP32" s="27">
        <f>'Ket qua kinh doanh'!BP20</f>
        <v>9534845607.7687988</v>
      </c>
      <c r="BQ32" s="27">
        <f>'Ket qua kinh doanh'!BQ20</f>
        <v>0</v>
      </c>
      <c r="BR32" s="27">
        <f>'Ket qua kinh doanh'!BR20</f>
        <v>0</v>
      </c>
      <c r="BS32" s="27">
        <f>'Ket qua kinh doanh'!BS20</f>
        <v>0</v>
      </c>
      <c r="BT32" s="27">
        <f>'Ket qua kinh doanh'!BT20</f>
        <v>0</v>
      </c>
      <c r="BU32" s="27">
        <f>'Ket qua kinh doanh'!BU20</f>
        <v>0</v>
      </c>
      <c r="BV32" s="27">
        <f>'Ket qua kinh doanh'!BV20</f>
        <v>0</v>
      </c>
      <c r="BW32" s="27">
        <f>'Ket qua kinh doanh'!BW20</f>
        <v>0</v>
      </c>
    </row>
    <row r="33" spans="1:75">
      <c r="A33" s="148">
        <v>30</v>
      </c>
      <c r="B33" s="149" t="s">
        <v>438</v>
      </c>
      <c r="C33" s="151">
        <v>28</v>
      </c>
      <c r="D33" s="29" t="str">
        <f t="shared" ref="D33:BJ33" si="7">IFERROR(D32/D12,"")</f>
        <v/>
      </c>
      <c r="E33" s="29" t="str">
        <f t="shared" si="7"/>
        <v/>
      </c>
      <c r="F33" s="29" t="str">
        <f t="shared" si="7"/>
        <v/>
      </c>
      <c r="G33" s="29" t="str">
        <f t="shared" si="7"/>
        <v/>
      </c>
      <c r="H33" s="29" t="str">
        <f t="shared" si="7"/>
        <v/>
      </c>
      <c r="I33" s="29" t="str">
        <f t="shared" si="7"/>
        <v/>
      </c>
      <c r="J33" s="29" t="str">
        <f t="shared" si="7"/>
        <v/>
      </c>
      <c r="K33" s="29" t="str">
        <f t="shared" si="7"/>
        <v/>
      </c>
      <c r="L33" s="29" t="str">
        <f t="shared" si="7"/>
        <v/>
      </c>
      <c r="M33" s="29" t="str">
        <f t="shared" si="7"/>
        <v/>
      </c>
      <c r="N33" s="29" t="str">
        <f t="shared" si="7"/>
        <v/>
      </c>
      <c r="O33" s="29" t="str">
        <f t="shared" si="7"/>
        <v/>
      </c>
      <c r="P33" s="29" t="str">
        <f t="shared" si="7"/>
        <v/>
      </c>
      <c r="Q33" s="29" t="str">
        <f t="shared" si="7"/>
        <v/>
      </c>
      <c r="R33" s="29" t="str">
        <f t="shared" si="7"/>
        <v/>
      </c>
      <c r="S33" s="29" t="str">
        <f t="shared" si="7"/>
        <v/>
      </c>
      <c r="T33" s="29" t="str">
        <f t="shared" si="7"/>
        <v/>
      </c>
      <c r="U33" s="29" t="str">
        <f t="shared" si="7"/>
        <v/>
      </c>
      <c r="V33" s="29" t="str">
        <f t="shared" si="7"/>
        <v/>
      </c>
      <c r="W33" s="29" t="str">
        <f t="shared" si="7"/>
        <v/>
      </c>
      <c r="X33" s="29" t="str">
        <f t="shared" si="7"/>
        <v/>
      </c>
      <c r="Y33" s="29" t="str">
        <f t="shared" si="7"/>
        <v/>
      </c>
      <c r="Z33" s="29" t="str">
        <f t="shared" si="7"/>
        <v/>
      </c>
      <c r="AA33" s="29" t="str">
        <f t="shared" si="7"/>
        <v/>
      </c>
      <c r="AB33" s="29" t="str">
        <f t="shared" si="7"/>
        <v/>
      </c>
      <c r="AC33" s="29" t="str">
        <f t="shared" si="7"/>
        <v/>
      </c>
      <c r="AD33" s="29" t="str">
        <f t="shared" si="7"/>
        <v/>
      </c>
      <c r="AE33" s="29" t="str">
        <f t="shared" si="7"/>
        <v/>
      </c>
      <c r="AF33" s="29" t="str">
        <f t="shared" si="7"/>
        <v/>
      </c>
      <c r="AG33" s="29" t="str">
        <f t="shared" si="7"/>
        <v/>
      </c>
      <c r="AH33" s="29" t="str">
        <f t="shared" si="7"/>
        <v/>
      </c>
      <c r="AI33" s="29" t="str">
        <f t="shared" si="7"/>
        <v/>
      </c>
      <c r="AJ33" s="29" t="str">
        <f t="shared" si="7"/>
        <v/>
      </c>
      <c r="AK33" s="29" t="str">
        <f t="shared" si="7"/>
        <v/>
      </c>
      <c r="AL33" s="29" t="str">
        <f t="shared" si="7"/>
        <v/>
      </c>
      <c r="AM33" s="29" t="str">
        <f t="shared" si="7"/>
        <v/>
      </c>
      <c r="AN33" s="29">
        <f t="shared" si="7"/>
        <v>-5.5367361599888603E-3</v>
      </c>
      <c r="AO33" s="29">
        <f t="shared" si="7"/>
        <v>-8.0965019951959982E-2</v>
      </c>
      <c r="AP33" s="29">
        <f t="shared" si="7"/>
        <v>-2.3725936499347768E-2</v>
      </c>
      <c r="AQ33" s="29">
        <f t="shared" si="7"/>
        <v>1.418086856065995E-2</v>
      </c>
      <c r="AR33" s="29">
        <f t="shared" si="7"/>
        <v>-4.4484957567520161E-2</v>
      </c>
      <c r="AS33" s="29">
        <f t="shared" si="7"/>
        <v>-0.12693340036760967</v>
      </c>
      <c r="AT33" s="29">
        <f t="shared" si="7"/>
        <v>-0.20345936007069251</v>
      </c>
      <c r="AU33" s="29">
        <f t="shared" si="7"/>
        <v>-5.8021387398101802E-2</v>
      </c>
      <c r="AV33" s="29">
        <f t="shared" si="7"/>
        <v>4.6266034191171812E-2</v>
      </c>
      <c r="AW33" s="29">
        <f t="shared" si="7"/>
        <v>-4.5254456249233722E-2</v>
      </c>
      <c r="AX33" s="29">
        <f t="shared" si="7"/>
        <v>-6.2298170141739981E-2</v>
      </c>
      <c r="AY33" s="29">
        <f t="shared" si="7"/>
        <v>0.82986302161794689</v>
      </c>
      <c r="AZ33" s="29">
        <f t="shared" si="7"/>
        <v>2.7080002517340589E-2</v>
      </c>
      <c r="BA33" s="29">
        <f t="shared" si="7"/>
        <v>9.0813709623571687E-2</v>
      </c>
      <c r="BB33" s="29">
        <f t="shared" si="7"/>
        <v>4.6571679356986993E-2</v>
      </c>
      <c r="BC33" s="29">
        <f t="shared" si="7"/>
        <v>3.1395014996749078E-2</v>
      </c>
      <c r="BD33" s="29">
        <f t="shared" si="7"/>
        <v>7.2226853623095319E-2</v>
      </c>
      <c r="BE33" s="29">
        <f t="shared" si="7"/>
        <v>7.3198701324791648E-3</v>
      </c>
      <c r="BF33" s="29">
        <f t="shared" si="7"/>
        <v>2.987029401398591E-3</v>
      </c>
      <c r="BG33" s="29">
        <f t="shared" si="7"/>
        <v>1.6342098623561899E-2</v>
      </c>
      <c r="BH33" s="29">
        <f t="shared" si="7"/>
        <v>-0.14796808993840682</v>
      </c>
      <c r="BI33" s="29">
        <f t="shared" si="7"/>
        <v>-4.9522411503750245E-2</v>
      </c>
      <c r="BJ33" s="29">
        <f t="shared" si="7"/>
        <v>-0.10002433838698478</v>
      </c>
      <c r="BK33" s="29">
        <f t="shared" ref="BK33:BW33" si="8">IFERROR(BK32/BK12,"")</f>
        <v>5.6948240797608934E-2</v>
      </c>
      <c r="BL33" s="29">
        <f t="shared" si="8"/>
        <v>-2.4392668806182547E-2</v>
      </c>
      <c r="BM33" s="29">
        <f t="shared" si="8"/>
        <v>-8.0111185485193429E-2</v>
      </c>
      <c r="BN33" s="29">
        <f t="shared" si="8"/>
        <v>-4.0072764481855115E-2</v>
      </c>
      <c r="BO33" s="29">
        <f t="shared" si="8"/>
        <v>3.0804264223300151E-2</v>
      </c>
      <c r="BP33" s="29">
        <f t="shared" si="8"/>
        <v>5.9673810365705994E-2</v>
      </c>
      <c r="BQ33" s="29" t="str">
        <f t="shared" si="8"/>
        <v/>
      </c>
      <c r="BR33" s="29" t="str">
        <f t="shared" si="8"/>
        <v/>
      </c>
      <c r="BS33" s="29" t="str">
        <f t="shared" si="8"/>
        <v/>
      </c>
      <c r="BT33" s="29" t="str">
        <f t="shared" si="8"/>
        <v/>
      </c>
      <c r="BU33" s="29" t="str">
        <f t="shared" si="8"/>
        <v/>
      </c>
      <c r="BV33" s="29" t="str">
        <f t="shared" si="8"/>
        <v/>
      </c>
      <c r="BW33" s="29" t="str">
        <f t="shared" si="8"/>
        <v/>
      </c>
    </row>
    <row r="34" spans="1:75">
      <c r="A34" s="145">
        <v>31</v>
      </c>
      <c r="B34" s="146" t="s">
        <v>439</v>
      </c>
      <c r="C34" s="147">
        <v>28</v>
      </c>
      <c r="D34" s="27">
        <f>'Ket qua kinh doanh'!D20+'Ket qua kinh doanh'!D13+'Luu chuyen tien te'!D7</f>
        <v>0</v>
      </c>
      <c r="E34" s="27">
        <f>'Ket qua kinh doanh'!E20+'Ket qua kinh doanh'!E13+'Luu chuyen tien te'!E7</f>
        <v>0</v>
      </c>
      <c r="F34" s="27">
        <f>'Ket qua kinh doanh'!F20+'Ket qua kinh doanh'!F13+'Luu chuyen tien te'!F7</f>
        <v>0</v>
      </c>
      <c r="G34" s="27">
        <f>'Ket qua kinh doanh'!G20+'Ket qua kinh doanh'!G13+'Luu chuyen tien te'!G7</f>
        <v>0</v>
      </c>
      <c r="H34" s="27">
        <f>'Ket qua kinh doanh'!H20+'Ket qua kinh doanh'!H13+'Luu chuyen tien te'!H7</f>
        <v>0</v>
      </c>
      <c r="I34" s="27">
        <f>'Ket qua kinh doanh'!I20+'Ket qua kinh doanh'!I13+'Luu chuyen tien te'!I7</f>
        <v>0</v>
      </c>
      <c r="J34" s="27">
        <f>'Ket qua kinh doanh'!J20+'Ket qua kinh doanh'!J13+'Luu chuyen tien te'!J7</f>
        <v>0</v>
      </c>
      <c r="K34" s="27">
        <f>'Ket qua kinh doanh'!K20+'Ket qua kinh doanh'!K13+'Luu chuyen tien te'!K7</f>
        <v>0</v>
      </c>
      <c r="L34" s="27">
        <f>'Ket qua kinh doanh'!L20+'Ket qua kinh doanh'!L13+'Luu chuyen tien te'!L7</f>
        <v>0</v>
      </c>
      <c r="M34" s="27">
        <f>'Ket qua kinh doanh'!M20+'Ket qua kinh doanh'!M13+'Luu chuyen tien te'!M7</f>
        <v>0</v>
      </c>
      <c r="N34" s="27">
        <f>'Ket qua kinh doanh'!N20+'Ket qua kinh doanh'!N13+'Luu chuyen tien te'!N7</f>
        <v>0</v>
      </c>
      <c r="O34" s="27">
        <f>'Ket qua kinh doanh'!O20+'Ket qua kinh doanh'!O13+'Luu chuyen tien te'!O7</f>
        <v>0</v>
      </c>
      <c r="P34" s="27">
        <f>'Ket qua kinh doanh'!P20+'Ket qua kinh doanh'!P13+'Luu chuyen tien te'!P7</f>
        <v>0</v>
      </c>
      <c r="Q34" s="27">
        <f>'Ket qua kinh doanh'!Q20+'Ket qua kinh doanh'!Q13+'Luu chuyen tien te'!Q7</f>
        <v>0</v>
      </c>
      <c r="R34" s="27">
        <f>'Ket qua kinh doanh'!R20+'Ket qua kinh doanh'!R13+'Luu chuyen tien te'!R7</f>
        <v>0</v>
      </c>
      <c r="S34" s="27">
        <f>'Ket qua kinh doanh'!S20+'Ket qua kinh doanh'!S13+'Luu chuyen tien te'!S7</f>
        <v>0</v>
      </c>
      <c r="T34" s="27">
        <f>'Ket qua kinh doanh'!T20+'Ket qua kinh doanh'!T13+'Luu chuyen tien te'!T7</f>
        <v>0</v>
      </c>
      <c r="U34" s="27">
        <f>'Ket qua kinh doanh'!U20+'Ket qua kinh doanh'!U13+'Luu chuyen tien te'!U7</f>
        <v>0</v>
      </c>
      <c r="V34" s="27">
        <f>'Ket qua kinh doanh'!V20+'Ket qua kinh doanh'!V13+'Luu chuyen tien te'!V7</f>
        <v>0</v>
      </c>
      <c r="W34" s="27">
        <f>'Ket qua kinh doanh'!W20+'Ket qua kinh doanh'!W13+'Luu chuyen tien te'!W7</f>
        <v>0</v>
      </c>
      <c r="X34" s="27">
        <f>'Ket qua kinh doanh'!X20+'Ket qua kinh doanh'!X13+'Luu chuyen tien te'!X7</f>
        <v>0</v>
      </c>
      <c r="Y34" s="27">
        <f>'Ket qua kinh doanh'!Y20+'Ket qua kinh doanh'!Y13+'Luu chuyen tien te'!Y7</f>
        <v>0</v>
      </c>
      <c r="Z34" s="27">
        <f>'Ket qua kinh doanh'!Z20+'Ket qua kinh doanh'!Z13+'Luu chuyen tien te'!Z7</f>
        <v>0</v>
      </c>
      <c r="AA34" s="27">
        <f>'Ket qua kinh doanh'!AA20+'Ket qua kinh doanh'!AA13+'Luu chuyen tien te'!AA7</f>
        <v>0</v>
      </c>
      <c r="AB34" s="27">
        <f>'Ket qua kinh doanh'!AB20+'Ket qua kinh doanh'!AB13+'Luu chuyen tien te'!AB7</f>
        <v>0</v>
      </c>
      <c r="AC34" s="27">
        <f>'Ket qua kinh doanh'!AC20+'Ket qua kinh doanh'!AC13+'Luu chuyen tien te'!AC7</f>
        <v>0</v>
      </c>
      <c r="AD34" s="27">
        <f>'Ket qua kinh doanh'!AD20+'Ket qua kinh doanh'!AD13+'Luu chuyen tien te'!AD7</f>
        <v>0</v>
      </c>
      <c r="AE34" s="27">
        <f>'Ket qua kinh doanh'!AE20+'Ket qua kinh doanh'!AE13+'Luu chuyen tien te'!AE7</f>
        <v>0</v>
      </c>
      <c r="AF34" s="27">
        <f>'Ket qua kinh doanh'!AF20+'Ket qua kinh doanh'!AF13+'Luu chuyen tien te'!AF7</f>
        <v>0</v>
      </c>
      <c r="AG34" s="27">
        <f>'Ket qua kinh doanh'!AG20+'Ket qua kinh doanh'!AG13+'Luu chuyen tien te'!AG7</f>
        <v>0</v>
      </c>
      <c r="AH34" s="27">
        <f>'Ket qua kinh doanh'!AH20+'Ket qua kinh doanh'!AH13+'Luu chuyen tien te'!AH7</f>
        <v>0</v>
      </c>
      <c r="AI34" s="27">
        <f>'Ket qua kinh doanh'!AI20+'Ket qua kinh doanh'!AI13+'Luu chuyen tien te'!AI7</f>
        <v>0</v>
      </c>
      <c r="AJ34" s="27">
        <f>'Ket qua kinh doanh'!AJ20+'Ket qua kinh doanh'!AJ13+'Luu chuyen tien te'!AJ7</f>
        <v>0</v>
      </c>
      <c r="AK34" s="27">
        <f>'Ket qua kinh doanh'!AK20+'Ket qua kinh doanh'!AK13+'Luu chuyen tien te'!AK7</f>
        <v>0</v>
      </c>
      <c r="AL34" s="27">
        <f>'Ket qua kinh doanh'!AL20+'Ket qua kinh doanh'!AL13+'Luu chuyen tien te'!AL7</f>
        <v>0</v>
      </c>
      <c r="AM34" s="27">
        <f>'Ket qua kinh doanh'!AM20+'Ket qua kinh doanh'!AM13+'Luu chuyen tien te'!AM7</f>
        <v>0</v>
      </c>
      <c r="AN34" s="27">
        <f>'Ket qua kinh doanh'!AN20+'Ket qua kinh doanh'!AN13+'Luu chuyen tien te'!AN7</f>
        <v>3675898864</v>
      </c>
      <c r="AO34" s="27">
        <f>'Ket qua kinh doanh'!AO20+'Ket qua kinh doanh'!AO13+'Luu chuyen tien te'!AO7</f>
        <v>-2249766799</v>
      </c>
      <c r="AP34" s="27">
        <f>'Ket qua kinh doanh'!AP20+'Ket qua kinh doanh'!AP13+'Luu chuyen tien te'!AP7</f>
        <v>1785704666</v>
      </c>
      <c r="AQ34" s="27">
        <f>'Ket qua kinh doanh'!AQ20+'Ket qua kinh doanh'!AQ13+'Luu chuyen tien te'!AQ7</f>
        <v>6750826694</v>
      </c>
      <c r="AR34" s="27">
        <f>'Ket qua kinh doanh'!AR20+'Ket qua kinh doanh'!AR13+'Luu chuyen tien te'!AR7</f>
        <v>-452261713</v>
      </c>
      <c r="AS34" s="27">
        <f>'Ket qua kinh doanh'!AS20+'Ket qua kinh doanh'!AS13+'Luu chuyen tien te'!AS7</f>
        <v>-6787951141</v>
      </c>
      <c r="AT34" s="27">
        <f>'Ket qua kinh doanh'!AT20+'Ket qua kinh doanh'!AT13+'Luu chuyen tien te'!AT7</f>
        <v>-9754786291</v>
      </c>
      <c r="AU34" s="27">
        <f>'Ket qua kinh doanh'!AU20+'Ket qua kinh doanh'!AU13+'Luu chuyen tien te'!AU7</f>
        <v>-4762037040</v>
      </c>
      <c r="AV34" s="27">
        <f>'Ket qua kinh doanh'!AV20+'Ket qua kinh doanh'!AV13+'Luu chuyen tien te'!AV7</f>
        <v>13425158696</v>
      </c>
      <c r="AW34" s="27">
        <f>'Ket qua kinh doanh'!AW20+'Ket qua kinh doanh'!AW13+'Luu chuyen tien te'!AW7</f>
        <v>-1041021395</v>
      </c>
      <c r="AX34" s="27">
        <f>'Ket qua kinh doanh'!AX20+'Ket qua kinh doanh'!AX13+'Luu chuyen tien te'!AX7</f>
        <v>-668129018</v>
      </c>
      <c r="AY34" s="27">
        <f>'Ket qua kinh doanh'!AY20+'Ket qua kinh doanh'!AY13+'Luu chuyen tien te'!AY7</f>
        <v>108733421490</v>
      </c>
      <c r="AZ34" s="27">
        <f>'Ket qua kinh doanh'!AZ20+'Ket qua kinh doanh'!AZ13+'Luu chuyen tien te'!AZ7</f>
        <v>9084402201</v>
      </c>
      <c r="BA34" s="27">
        <f>'Ket qua kinh doanh'!BA20+'Ket qua kinh doanh'!BA13+'Luu chuyen tien te'!BA7</f>
        <v>22872990664</v>
      </c>
      <c r="BB34" s="27">
        <f>'Ket qua kinh doanh'!BB20+'Ket qua kinh doanh'!BB13+'Luu chuyen tien te'!BB7</f>
        <v>12745104196</v>
      </c>
      <c r="BC34" s="27">
        <f>'Ket qua kinh doanh'!BC20+'Ket qua kinh doanh'!BC13+'Luu chuyen tien te'!BC7</f>
        <v>9836693447</v>
      </c>
      <c r="BD34" s="27">
        <f>'Ket qua kinh doanh'!BD20+'Ket qua kinh doanh'!BD13+'Luu chuyen tien te'!BD7</f>
        <v>17344763554</v>
      </c>
      <c r="BE34" s="27">
        <f>'Ket qua kinh doanh'!BE20+'Ket qua kinh doanh'!BE13+'Luu chuyen tien te'!BE7</f>
        <v>7491353035</v>
      </c>
      <c r="BF34" s="27">
        <f>'Ket qua kinh doanh'!BF20+'Ket qua kinh doanh'!BF13+'Luu chuyen tien te'!BF7</f>
        <v>6840781034</v>
      </c>
      <c r="BG34" s="27">
        <f>'Ket qua kinh doanh'!BG20+'Ket qua kinh doanh'!BG13+'Luu chuyen tien te'!BG7</f>
        <v>9226585015</v>
      </c>
      <c r="BH34" s="27">
        <f>'Ket qua kinh doanh'!BH20+'Ket qua kinh doanh'!BH13+'Luu chuyen tien te'!BH7</f>
        <v>-5431962765</v>
      </c>
      <c r="BI34" s="27">
        <f>'Ket qua kinh doanh'!BI20+'Ket qua kinh doanh'!BI13+'Luu chuyen tien te'!BI7</f>
        <v>1333218265</v>
      </c>
      <c r="BJ34" s="27">
        <f>'Ket qua kinh doanh'!BJ20+'Ket qua kinh doanh'!BJ13+'Luu chuyen tien te'!BJ7</f>
        <v>-2057039711</v>
      </c>
      <c r="BK34" s="27">
        <f>'Ket qua kinh doanh'!BK20+'Ket qua kinh doanh'!BK13+'Luu chuyen tien te'!BK7</f>
        <v>12529280339</v>
      </c>
      <c r="BL34" s="27">
        <f>'Ket qua kinh doanh'!BL20+'Ket qua kinh doanh'!BL13+'Luu chuyen tien te'!BL7</f>
        <v>554012905.80555725</v>
      </c>
      <c r="BM34" s="27">
        <f>'Ket qua kinh doanh'!BM20+'Ket qua kinh doanh'!BM13+'Luu chuyen tien te'!BM7</f>
        <v>-3725691363.1715088</v>
      </c>
      <c r="BN34" s="27">
        <f>'Ket qua kinh doanh'!BN20+'Ket qua kinh doanh'!BN13+'Luu chuyen tien te'!BN7</f>
        <v>-3109168604.5916672</v>
      </c>
      <c r="BO34" s="27">
        <f>'Ket qua kinh doanh'!BO20+'Ket qua kinh doanh'!BO13+'Luu chuyen tien te'!BO7</f>
        <v>8994877050.8307533</v>
      </c>
      <c r="BP34" s="27">
        <f>'Ket qua kinh doanh'!BP20+'Ket qua kinh doanh'!BP13+'Luu chuyen tien te'!BP7</f>
        <v>13396311085.768799</v>
      </c>
      <c r="BQ34" s="27">
        <f>'Ket qua kinh doanh'!BQ20+'Ket qua kinh doanh'!BQ13+'Luu chuyen tien te'!BQ7</f>
        <v>0</v>
      </c>
      <c r="BR34" s="27">
        <f>'Ket qua kinh doanh'!BR20+'Ket qua kinh doanh'!BR13+'Luu chuyen tien te'!BR7</f>
        <v>0</v>
      </c>
      <c r="BS34" s="27">
        <f>'Ket qua kinh doanh'!BS20+'Ket qua kinh doanh'!BS13+'Luu chuyen tien te'!BS7</f>
        <v>0</v>
      </c>
      <c r="BT34" s="27">
        <f>'Ket qua kinh doanh'!BT20+'Ket qua kinh doanh'!BT13+'Luu chuyen tien te'!BT7</f>
        <v>0</v>
      </c>
      <c r="BU34" s="27">
        <f>'Ket qua kinh doanh'!BU20+'Ket qua kinh doanh'!BU13+'Luu chuyen tien te'!BU7</f>
        <v>0</v>
      </c>
      <c r="BV34" s="27">
        <f>'Ket qua kinh doanh'!BV20+'Ket qua kinh doanh'!BV13+'Luu chuyen tien te'!BV7</f>
        <v>0</v>
      </c>
      <c r="BW34" s="27">
        <f>'Ket qua kinh doanh'!BW20+'Ket qua kinh doanh'!BW13+'Luu chuyen tien te'!BW7</f>
        <v>0</v>
      </c>
    </row>
    <row r="35" spans="1:75">
      <c r="A35" s="148">
        <v>32</v>
      </c>
      <c r="B35" s="149" t="s">
        <v>440</v>
      </c>
      <c r="C35" s="151">
        <v>28</v>
      </c>
      <c r="D35" s="29" t="str">
        <f t="shared" ref="D35:BJ35" si="9">IFERROR(D34/D12,"")</f>
        <v/>
      </c>
      <c r="E35" s="29" t="str">
        <f t="shared" si="9"/>
        <v/>
      </c>
      <c r="F35" s="29" t="str">
        <f t="shared" si="9"/>
        <v/>
      </c>
      <c r="G35" s="29" t="str">
        <f t="shared" si="9"/>
        <v/>
      </c>
      <c r="H35" s="29" t="str">
        <f t="shared" si="9"/>
        <v/>
      </c>
      <c r="I35" s="29" t="str">
        <f t="shared" si="9"/>
        <v/>
      </c>
      <c r="J35" s="29" t="str">
        <f t="shared" si="9"/>
        <v/>
      </c>
      <c r="K35" s="29" t="str">
        <f t="shared" si="9"/>
        <v/>
      </c>
      <c r="L35" s="29" t="str">
        <f t="shared" si="9"/>
        <v/>
      </c>
      <c r="M35" s="29" t="str">
        <f t="shared" si="9"/>
        <v/>
      </c>
      <c r="N35" s="29" t="str">
        <f t="shared" si="9"/>
        <v/>
      </c>
      <c r="O35" s="29" t="str">
        <f t="shared" si="9"/>
        <v/>
      </c>
      <c r="P35" s="29" t="str">
        <f t="shared" si="9"/>
        <v/>
      </c>
      <c r="Q35" s="29" t="str">
        <f t="shared" si="9"/>
        <v/>
      </c>
      <c r="R35" s="29" t="str">
        <f t="shared" si="9"/>
        <v/>
      </c>
      <c r="S35" s="29" t="str">
        <f t="shared" si="9"/>
        <v/>
      </c>
      <c r="T35" s="29" t="str">
        <f t="shared" si="9"/>
        <v/>
      </c>
      <c r="U35" s="29" t="str">
        <f t="shared" si="9"/>
        <v/>
      </c>
      <c r="V35" s="29" t="str">
        <f t="shared" si="9"/>
        <v/>
      </c>
      <c r="W35" s="29" t="str">
        <f t="shared" si="9"/>
        <v/>
      </c>
      <c r="X35" s="29" t="str">
        <f t="shared" si="9"/>
        <v/>
      </c>
      <c r="Y35" s="29" t="str">
        <f t="shared" si="9"/>
        <v/>
      </c>
      <c r="Z35" s="29" t="str">
        <f t="shared" si="9"/>
        <v/>
      </c>
      <c r="AA35" s="29" t="str">
        <f t="shared" si="9"/>
        <v/>
      </c>
      <c r="AB35" s="29" t="str">
        <f t="shared" si="9"/>
        <v/>
      </c>
      <c r="AC35" s="29" t="str">
        <f t="shared" si="9"/>
        <v/>
      </c>
      <c r="AD35" s="29" t="str">
        <f t="shared" si="9"/>
        <v/>
      </c>
      <c r="AE35" s="29" t="str">
        <f t="shared" si="9"/>
        <v/>
      </c>
      <c r="AF35" s="29" t="str">
        <f t="shared" si="9"/>
        <v/>
      </c>
      <c r="AG35" s="29" t="str">
        <f t="shared" si="9"/>
        <v/>
      </c>
      <c r="AH35" s="29" t="str">
        <f t="shared" si="9"/>
        <v/>
      </c>
      <c r="AI35" s="29" t="str">
        <f t="shared" si="9"/>
        <v/>
      </c>
      <c r="AJ35" s="29" t="str">
        <f t="shared" si="9"/>
        <v/>
      </c>
      <c r="AK35" s="29" t="str">
        <f t="shared" si="9"/>
        <v/>
      </c>
      <c r="AL35" s="29" t="str">
        <f t="shared" si="9"/>
        <v/>
      </c>
      <c r="AM35" s="29" t="str">
        <f t="shared" si="9"/>
        <v/>
      </c>
      <c r="AN35" s="29">
        <f t="shared" si="9"/>
        <v>2.8267895017940109E-2</v>
      </c>
      <c r="AO35" s="29">
        <f t="shared" si="9"/>
        <v>-2.6949877735505449E-2</v>
      </c>
      <c r="AP35" s="29">
        <f t="shared" si="9"/>
        <v>1.5443876624087574E-2</v>
      </c>
      <c r="AQ35" s="29">
        <f t="shared" si="9"/>
        <v>5.7381925803580501E-2</v>
      </c>
      <c r="AR35" s="29">
        <f t="shared" si="9"/>
        <v>-3.5347015408434402E-3</v>
      </c>
      <c r="AS35" s="29">
        <f t="shared" si="9"/>
        <v>-7.0957971777526135E-2</v>
      </c>
      <c r="AT35" s="29">
        <f t="shared" si="9"/>
        <v>-0.1306217244418601</v>
      </c>
      <c r="AU35" s="29">
        <f t="shared" si="9"/>
        <v>-2.7591320620127979E-2</v>
      </c>
      <c r="AV35" s="29">
        <f t="shared" si="9"/>
        <v>7.6510014882245167E-2</v>
      </c>
      <c r="AW35" s="29">
        <f t="shared" si="9"/>
        <v>-7.4205379854628507E-3</v>
      </c>
      <c r="AX35" s="29">
        <f t="shared" si="9"/>
        <v>-6.8774266162923234E-3</v>
      </c>
      <c r="AY35" s="29">
        <f t="shared" si="9"/>
        <v>0.87683516496327274</v>
      </c>
      <c r="AZ35" s="29">
        <f t="shared" si="9"/>
        <v>7.9360588188707643E-2</v>
      </c>
      <c r="BA35" s="29">
        <f t="shared" si="9"/>
        <v>0.12166519273596084</v>
      </c>
      <c r="BB35" s="29">
        <f t="shared" si="9"/>
        <v>8.4832079736153698E-2</v>
      </c>
      <c r="BC35" s="29">
        <f t="shared" si="9"/>
        <v>7.8450512329729105E-2</v>
      </c>
      <c r="BD35" s="29">
        <f t="shared" si="9"/>
        <v>0.11408660211433942</v>
      </c>
      <c r="BE35" s="29">
        <f t="shared" si="9"/>
        <v>6.2699712122177398E-2</v>
      </c>
      <c r="BF35" s="29">
        <f t="shared" si="9"/>
        <v>4.9569683830191474E-2</v>
      </c>
      <c r="BG35" s="29">
        <f t="shared" si="9"/>
        <v>5.4762965047565199E-2</v>
      </c>
      <c r="BH35" s="29">
        <f t="shared" si="9"/>
        <v>-6.4109485990369475E-2</v>
      </c>
      <c r="BI35" s="29">
        <f t="shared" si="9"/>
        <v>1.2230162446743334E-2</v>
      </c>
      <c r="BJ35" s="29">
        <f t="shared" si="9"/>
        <v>-2.3272481641124883E-2</v>
      </c>
      <c r="BK35" s="29">
        <f t="shared" ref="BK35:BW35" si="10">IFERROR(BK34/BK12,"")</f>
        <v>0.12571345062647241</v>
      </c>
      <c r="BL35" s="29">
        <f t="shared" si="10"/>
        <v>4.4045272510466653E-3</v>
      </c>
      <c r="BM35" s="29">
        <f t="shared" si="10"/>
        <v>-3.8588529939153668E-2</v>
      </c>
      <c r="BN35" s="29">
        <f t="shared" si="10"/>
        <v>-1.7971380985155435E-2</v>
      </c>
      <c r="BO35" s="29">
        <f t="shared" si="10"/>
        <v>5.6518231880081815E-2</v>
      </c>
      <c r="BP35" s="29">
        <f t="shared" si="10"/>
        <v>8.3840783607532152E-2</v>
      </c>
      <c r="BQ35" s="29" t="str">
        <f t="shared" si="10"/>
        <v/>
      </c>
      <c r="BR35" s="29" t="str">
        <f t="shared" si="10"/>
        <v/>
      </c>
      <c r="BS35" s="29" t="str">
        <f t="shared" si="10"/>
        <v/>
      </c>
      <c r="BT35" s="29" t="str">
        <f t="shared" si="10"/>
        <v/>
      </c>
      <c r="BU35" s="29" t="str">
        <f t="shared" si="10"/>
        <v/>
      </c>
      <c r="BV35" s="29" t="str">
        <f t="shared" si="10"/>
        <v/>
      </c>
      <c r="BW35" s="29" t="str">
        <f t="shared" si="10"/>
        <v/>
      </c>
    </row>
    <row r="36" spans="1:75">
      <c r="A36" s="145">
        <v>33</v>
      </c>
      <c r="B36" s="146" t="s">
        <v>441</v>
      </c>
      <c r="C36" s="147">
        <v>28</v>
      </c>
      <c r="D36" s="27">
        <f>'Ket qua kinh doanh'!D21+'Ket qua kinh doanh'!D22</f>
        <v>0</v>
      </c>
      <c r="E36" s="27">
        <f>'Ket qua kinh doanh'!E21+'Ket qua kinh doanh'!E22</f>
        <v>0</v>
      </c>
      <c r="F36" s="27">
        <f>'Ket qua kinh doanh'!F21+'Ket qua kinh doanh'!F22</f>
        <v>0</v>
      </c>
      <c r="G36" s="27">
        <f>'Ket qua kinh doanh'!G21+'Ket qua kinh doanh'!G22</f>
        <v>0</v>
      </c>
      <c r="H36" s="27">
        <f>'Ket qua kinh doanh'!H21+'Ket qua kinh doanh'!H22</f>
        <v>0</v>
      </c>
      <c r="I36" s="27">
        <f>'Ket qua kinh doanh'!I21+'Ket qua kinh doanh'!I22</f>
        <v>0</v>
      </c>
      <c r="J36" s="27">
        <f>'Ket qua kinh doanh'!J21+'Ket qua kinh doanh'!J22</f>
        <v>0</v>
      </c>
      <c r="K36" s="27">
        <f>'Ket qua kinh doanh'!K21+'Ket qua kinh doanh'!K22</f>
        <v>0</v>
      </c>
      <c r="L36" s="27">
        <f>'Ket qua kinh doanh'!L21+'Ket qua kinh doanh'!L22</f>
        <v>0</v>
      </c>
      <c r="M36" s="27">
        <f>'Ket qua kinh doanh'!M21+'Ket qua kinh doanh'!M22</f>
        <v>0</v>
      </c>
      <c r="N36" s="27">
        <f>'Ket qua kinh doanh'!N21+'Ket qua kinh doanh'!N22</f>
        <v>0</v>
      </c>
      <c r="O36" s="27">
        <f>'Ket qua kinh doanh'!O21+'Ket qua kinh doanh'!O22</f>
        <v>0</v>
      </c>
      <c r="P36" s="27">
        <f>'Ket qua kinh doanh'!P21+'Ket qua kinh doanh'!P22</f>
        <v>0</v>
      </c>
      <c r="Q36" s="27">
        <f>'Ket qua kinh doanh'!Q21+'Ket qua kinh doanh'!Q22</f>
        <v>0</v>
      </c>
      <c r="R36" s="27">
        <f>'Ket qua kinh doanh'!R21+'Ket qua kinh doanh'!R22</f>
        <v>0</v>
      </c>
      <c r="S36" s="27">
        <f>'Ket qua kinh doanh'!S21+'Ket qua kinh doanh'!S22</f>
        <v>0</v>
      </c>
      <c r="T36" s="27">
        <f>'Ket qua kinh doanh'!T21+'Ket qua kinh doanh'!T22</f>
        <v>0</v>
      </c>
      <c r="U36" s="27">
        <f>'Ket qua kinh doanh'!U21+'Ket qua kinh doanh'!U22</f>
        <v>0</v>
      </c>
      <c r="V36" s="27">
        <f>'Ket qua kinh doanh'!V21+'Ket qua kinh doanh'!V22</f>
        <v>0</v>
      </c>
      <c r="W36" s="27">
        <f>'Ket qua kinh doanh'!W21+'Ket qua kinh doanh'!W22</f>
        <v>0</v>
      </c>
      <c r="X36" s="27">
        <f>'Ket qua kinh doanh'!X21+'Ket qua kinh doanh'!X22</f>
        <v>0</v>
      </c>
      <c r="Y36" s="27">
        <f>'Ket qua kinh doanh'!Y21+'Ket qua kinh doanh'!Y22</f>
        <v>0</v>
      </c>
      <c r="Z36" s="27">
        <f>'Ket qua kinh doanh'!Z21+'Ket qua kinh doanh'!Z22</f>
        <v>0</v>
      </c>
      <c r="AA36" s="27">
        <f>'Ket qua kinh doanh'!AA21+'Ket qua kinh doanh'!AA22</f>
        <v>0</v>
      </c>
      <c r="AB36" s="27">
        <f>'Ket qua kinh doanh'!AB21+'Ket qua kinh doanh'!AB22</f>
        <v>0</v>
      </c>
      <c r="AC36" s="27">
        <f>'Ket qua kinh doanh'!AC21+'Ket qua kinh doanh'!AC22</f>
        <v>0</v>
      </c>
      <c r="AD36" s="27">
        <f>'Ket qua kinh doanh'!AD21+'Ket qua kinh doanh'!AD22</f>
        <v>0</v>
      </c>
      <c r="AE36" s="27">
        <f>'Ket qua kinh doanh'!AE21+'Ket qua kinh doanh'!AE22</f>
        <v>0</v>
      </c>
      <c r="AF36" s="27">
        <f>'Ket qua kinh doanh'!AF21+'Ket qua kinh doanh'!AF22</f>
        <v>0</v>
      </c>
      <c r="AG36" s="27">
        <f>'Ket qua kinh doanh'!AG21+'Ket qua kinh doanh'!AG22</f>
        <v>0</v>
      </c>
      <c r="AH36" s="27">
        <f>'Ket qua kinh doanh'!AH21+'Ket qua kinh doanh'!AH22</f>
        <v>0</v>
      </c>
      <c r="AI36" s="27">
        <f>'Ket qua kinh doanh'!AI21+'Ket qua kinh doanh'!AI22</f>
        <v>0</v>
      </c>
      <c r="AJ36" s="27">
        <f>'Ket qua kinh doanh'!AJ21+'Ket qua kinh doanh'!AJ22</f>
        <v>0</v>
      </c>
      <c r="AK36" s="27">
        <f>'Ket qua kinh doanh'!AK21+'Ket qua kinh doanh'!AK22</f>
        <v>0</v>
      </c>
      <c r="AL36" s="27">
        <f>'Ket qua kinh doanh'!AL21+'Ket qua kinh doanh'!AL22</f>
        <v>0</v>
      </c>
      <c r="AM36" s="27">
        <f>'Ket qua kinh doanh'!AM21+'Ket qua kinh doanh'!AM22</f>
        <v>0</v>
      </c>
      <c r="AN36" s="27">
        <f>'Ket qua kinh doanh'!AN21+'Ket qua kinh doanh'!AN22</f>
        <v>0</v>
      </c>
      <c r="AO36" s="27">
        <f>'Ket qua kinh doanh'!AO21+'Ket qua kinh doanh'!AO22</f>
        <v>0</v>
      </c>
      <c r="AP36" s="27">
        <f>'Ket qua kinh doanh'!AP21+'Ket qua kinh doanh'!AP22</f>
        <v>0</v>
      </c>
      <c r="AQ36" s="27">
        <f>'Ket qua kinh doanh'!AQ21+'Ket qua kinh doanh'!AQ22</f>
        <v>0</v>
      </c>
      <c r="AR36" s="27">
        <f>'Ket qua kinh doanh'!AR21+'Ket qua kinh doanh'!AR22</f>
        <v>0</v>
      </c>
      <c r="AS36" s="27">
        <f>'Ket qua kinh doanh'!AS21+'Ket qua kinh doanh'!AS22</f>
        <v>0</v>
      </c>
      <c r="AT36" s="27">
        <f>'Ket qua kinh doanh'!AT21+'Ket qua kinh doanh'!AT22</f>
        <v>0</v>
      </c>
      <c r="AU36" s="27">
        <f>'Ket qua kinh doanh'!AU21+'Ket qua kinh doanh'!AU22</f>
        <v>32927331</v>
      </c>
      <c r="AV36" s="27">
        <f>'Ket qua kinh doanh'!AV21+'Ket qua kinh doanh'!AV22</f>
        <v>0</v>
      </c>
      <c r="AW36" s="27">
        <f>'Ket qua kinh doanh'!AW21+'Ket qua kinh doanh'!AW22</f>
        <v>0</v>
      </c>
      <c r="AX36" s="27">
        <f>'Ket qua kinh doanh'!AX21+'Ket qua kinh doanh'!AX22</f>
        <v>0</v>
      </c>
      <c r="AY36" s="27">
        <f>'Ket qua kinh doanh'!AY21+'Ket qua kinh doanh'!AY22</f>
        <v>13334207765</v>
      </c>
      <c r="AZ36" s="27">
        <f>'Ket qua kinh doanh'!AZ21+'Ket qua kinh doanh'!AZ22</f>
        <v>864190686</v>
      </c>
      <c r="BA36" s="27">
        <f>'Ket qua kinh doanh'!BA21+'Ket qua kinh doanh'!BA22</f>
        <v>3012699780</v>
      </c>
      <c r="BB36" s="27">
        <f>'Ket qua kinh doanh'!BB21+'Ket qua kinh doanh'!BB22</f>
        <v>1252632187</v>
      </c>
      <c r="BC36" s="27">
        <f>'Ket qua kinh doanh'!BC21+'Ket qua kinh doanh'!BC22</f>
        <v>677293488</v>
      </c>
      <c r="BD36" s="27">
        <f>'Ket qua kinh doanh'!BD21+'Ket qua kinh doanh'!BD22</f>
        <v>1681800759</v>
      </c>
      <c r="BE36" s="27">
        <f>'Ket qua kinh doanh'!BE21+'Ket qua kinh doanh'!BE22</f>
        <v>189264839</v>
      </c>
      <c r="BF36" s="27">
        <f>'Ket qua kinh doanh'!BF21+'Ket qua kinh doanh'!BF22</f>
        <v>-2830986340</v>
      </c>
      <c r="BG36" s="27">
        <f>'Ket qua kinh doanh'!BG21+'Ket qua kinh doanh'!BG22</f>
        <v>204199602</v>
      </c>
      <c r="BH36" s="27">
        <f>'Ket qua kinh doanh'!BH21+'Ket qua kinh doanh'!BH22</f>
        <v>-1349170846</v>
      </c>
      <c r="BI36" s="27">
        <f>'Ket qua kinh doanh'!BI21+'Ket qua kinh doanh'!BI22</f>
        <v>-516688622</v>
      </c>
      <c r="BJ36" s="27">
        <f>'Ket qua kinh doanh'!BJ21+'Ket qua kinh doanh'!BJ22</f>
        <v>-854033077</v>
      </c>
      <c r="BK36" s="27">
        <f>'Ket qua kinh doanh'!BK21+'Ket qua kinh doanh'!BK22</f>
        <v>3330158442</v>
      </c>
      <c r="BL36" s="27">
        <f>'Ket qua kinh doanh'!BL21+'Ket qua kinh doanh'!BL22</f>
        <v>0</v>
      </c>
      <c r="BM36" s="27">
        <f>'Ket qua kinh doanh'!BM21+'Ket qua kinh doanh'!BM22</f>
        <v>0</v>
      </c>
      <c r="BN36" s="27">
        <f>'Ket qua kinh doanh'!BN21+'Ket qua kinh doanh'!BN22</f>
        <v>153752926</v>
      </c>
      <c r="BO36" s="27">
        <f>'Ket qua kinh doanh'!BO21+'Ket qua kinh doanh'!BO22</f>
        <v>105667873</v>
      </c>
      <c r="BP36" s="27">
        <f>'Ket qua kinh doanh'!BP21+'Ket qua kinh doanh'!BP22</f>
        <v>150429214</v>
      </c>
      <c r="BQ36" s="27">
        <f>'Ket qua kinh doanh'!BQ21+'Ket qua kinh doanh'!BQ22</f>
        <v>0</v>
      </c>
      <c r="BR36" s="27">
        <f>'Ket qua kinh doanh'!BR21+'Ket qua kinh doanh'!BR22</f>
        <v>0</v>
      </c>
      <c r="BS36" s="27">
        <f>'Ket qua kinh doanh'!BS21+'Ket qua kinh doanh'!BS22</f>
        <v>0</v>
      </c>
      <c r="BT36" s="27">
        <f>'Ket qua kinh doanh'!BT21+'Ket qua kinh doanh'!BT22</f>
        <v>0</v>
      </c>
      <c r="BU36" s="27">
        <f>'Ket qua kinh doanh'!BU21+'Ket qua kinh doanh'!BU22</f>
        <v>0</v>
      </c>
      <c r="BV36" s="27">
        <f>'Ket qua kinh doanh'!BV21+'Ket qua kinh doanh'!BV22</f>
        <v>0</v>
      </c>
      <c r="BW36" s="27">
        <f>'Ket qua kinh doanh'!BW21+'Ket qua kinh doanh'!BW22</f>
        <v>0</v>
      </c>
    </row>
    <row r="37" spans="1:75">
      <c r="A37" s="148">
        <v>34</v>
      </c>
      <c r="B37" s="149" t="s">
        <v>442</v>
      </c>
      <c r="C37" s="151">
        <v>28</v>
      </c>
      <c r="D37" s="29" t="str">
        <f t="shared" ref="D37:BJ37" si="11">IFERROR(D36/D12,"")</f>
        <v/>
      </c>
      <c r="E37" s="29" t="str">
        <f t="shared" si="11"/>
        <v/>
      </c>
      <c r="F37" s="29" t="str">
        <f t="shared" si="11"/>
        <v/>
      </c>
      <c r="G37" s="29" t="str">
        <f t="shared" si="11"/>
        <v/>
      </c>
      <c r="H37" s="29" t="str">
        <f t="shared" si="11"/>
        <v/>
      </c>
      <c r="I37" s="29" t="str">
        <f t="shared" si="11"/>
        <v/>
      </c>
      <c r="J37" s="29" t="str">
        <f t="shared" si="11"/>
        <v/>
      </c>
      <c r="K37" s="29" t="str">
        <f t="shared" si="11"/>
        <v/>
      </c>
      <c r="L37" s="29" t="str">
        <f t="shared" si="11"/>
        <v/>
      </c>
      <c r="M37" s="29" t="str">
        <f t="shared" si="11"/>
        <v/>
      </c>
      <c r="N37" s="29" t="str">
        <f t="shared" si="11"/>
        <v/>
      </c>
      <c r="O37" s="29" t="str">
        <f t="shared" si="11"/>
        <v/>
      </c>
      <c r="P37" s="29" t="str">
        <f t="shared" si="11"/>
        <v/>
      </c>
      <c r="Q37" s="29" t="str">
        <f t="shared" si="11"/>
        <v/>
      </c>
      <c r="R37" s="29" t="str">
        <f t="shared" si="11"/>
        <v/>
      </c>
      <c r="S37" s="29" t="str">
        <f t="shared" si="11"/>
        <v/>
      </c>
      <c r="T37" s="29" t="str">
        <f t="shared" si="11"/>
        <v/>
      </c>
      <c r="U37" s="29" t="str">
        <f t="shared" si="11"/>
        <v/>
      </c>
      <c r="V37" s="29" t="str">
        <f t="shared" si="11"/>
        <v/>
      </c>
      <c r="W37" s="29" t="str">
        <f t="shared" si="11"/>
        <v/>
      </c>
      <c r="X37" s="29" t="str">
        <f t="shared" si="11"/>
        <v/>
      </c>
      <c r="Y37" s="29" t="str">
        <f t="shared" si="11"/>
        <v/>
      </c>
      <c r="Z37" s="29" t="str">
        <f t="shared" si="11"/>
        <v/>
      </c>
      <c r="AA37" s="29" t="str">
        <f t="shared" si="11"/>
        <v/>
      </c>
      <c r="AB37" s="29" t="str">
        <f t="shared" si="11"/>
        <v/>
      </c>
      <c r="AC37" s="29" t="str">
        <f t="shared" si="11"/>
        <v/>
      </c>
      <c r="AD37" s="29" t="str">
        <f t="shared" si="11"/>
        <v/>
      </c>
      <c r="AE37" s="29" t="str">
        <f t="shared" si="11"/>
        <v/>
      </c>
      <c r="AF37" s="29" t="str">
        <f t="shared" si="11"/>
        <v/>
      </c>
      <c r="AG37" s="29" t="str">
        <f t="shared" si="11"/>
        <v/>
      </c>
      <c r="AH37" s="29" t="str">
        <f t="shared" si="11"/>
        <v/>
      </c>
      <c r="AI37" s="29" t="str">
        <f t="shared" si="11"/>
        <v/>
      </c>
      <c r="AJ37" s="29" t="str">
        <f t="shared" si="11"/>
        <v/>
      </c>
      <c r="AK37" s="29" t="str">
        <f t="shared" si="11"/>
        <v/>
      </c>
      <c r="AL37" s="29" t="str">
        <f t="shared" si="11"/>
        <v/>
      </c>
      <c r="AM37" s="29" t="str">
        <f t="shared" si="11"/>
        <v/>
      </c>
      <c r="AN37" s="29">
        <f t="shared" si="11"/>
        <v>0</v>
      </c>
      <c r="AO37" s="29">
        <f t="shared" si="11"/>
        <v>0</v>
      </c>
      <c r="AP37" s="29">
        <f t="shared" si="11"/>
        <v>0</v>
      </c>
      <c r="AQ37" s="29">
        <f t="shared" si="11"/>
        <v>0</v>
      </c>
      <c r="AR37" s="29">
        <f t="shared" si="11"/>
        <v>0</v>
      </c>
      <c r="AS37" s="29">
        <f t="shared" si="11"/>
        <v>0</v>
      </c>
      <c r="AT37" s="29">
        <f t="shared" si="11"/>
        <v>0</v>
      </c>
      <c r="AU37" s="29">
        <f t="shared" si="11"/>
        <v>1.9078149522038979E-4</v>
      </c>
      <c r="AV37" s="29">
        <f t="shared" si="11"/>
        <v>0</v>
      </c>
      <c r="AW37" s="29">
        <f t="shared" si="11"/>
        <v>0</v>
      </c>
      <c r="AX37" s="29">
        <f t="shared" si="11"/>
        <v>0</v>
      </c>
      <c r="AY37" s="29">
        <f t="shared" si="11"/>
        <v>0.10752813720989741</v>
      </c>
      <c r="AZ37" s="29">
        <f t="shared" si="11"/>
        <v>7.5494985394430536E-3</v>
      </c>
      <c r="BA37" s="29">
        <f t="shared" si="11"/>
        <v>1.6025044768902409E-2</v>
      </c>
      <c r="BB37" s="29">
        <f t="shared" si="11"/>
        <v>8.3375853138185352E-3</v>
      </c>
      <c r="BC37" s="29">
        <f t="shared" si="11"/>
        <v>5.4016140095729092E-3</v>
      </c>
      <c r="BD37" s="29">
        <f t="shared" si="11"/>
        <v>1.1062182164102105E-2</v>
      </c>
      <c r="BE37" s="29">
        <f t="shared" si="11"/>
        <v>1.5840731126550429E-3</v>
      </c>
      <c r="BF37" s="29">
        <f t="shared" si="11"/>
        <v>-2.0513899963164783E-2</v>
      </c>
      <c r="BG37" s="29">
        <f t="shared" si="11"/>
        <v>1.211995082565521E-3</v>
      </c>
      <c r="BH37" s="29">
        <f t="shared" si="11"/>
        <v>-1.5923277311024043E-2</v>
      </c>
      <c r="BI37" s="29">
        <f t="shared" si="11"/>
        <v>-4.7397983866084839E-3</v>
      </c>
      <c r="BJ37" s="29">
        <f t="shared" si="11"/>
        <v>-9.6621708366211954E-3</v>
      </c>
      <c r="BK37" s="29">
        <f t="shared" ref="BK37:BW37" si="12">IFERROR(BK36/BK12,"")</f>
        <v>3.3413388283250009E-2</v>
      </c>
      <c r="BL37" s="29">
        <f t="shared" si="12"/>
        <v>0</v>
      </c>
      <c r="BM37" s="29">
        <f t="shared" si="12"/>
        <v>0</v>
      </c>
      <c r="BN37" s="29">
        <f t="shared" si="12"/>
        <v>8.8871102282704942E-4</v>
      </c>
      <c r="BO37" s="29">
        <f t="shared" si="12"/>
        <v>6.639514153156164E-4</v>
      </c>
      <c r="BP37" s="29">
        <f t="shared" si="12"/>
        <v>9.4146090654936094E-4</v>
      </c>
      <c r="BQ37" s="29" t="str">
        <f t="shared" si="12"/>
        <v/>
      </c>
      <c r="BR37" s="29" t="str">
        <f t="shared" si="12"/>
        <v/>
      </c>
      <c r="BS37" s="29" t="str">
        <f t="shared" si="12"/>
        <v/>
      </c>
      <c r="BT37" s="29" t="str">
        <f t="shared" si="12"/>
        <v/>
      </c>
      <c r="BU37" s="29" t="str">
        <f t="shared" si="12"/>
        <v/>
      </c>
      <c r="BV37" s="29" t="str">
        <f t="shared" si="12"/>
        <v/>
      </c>
      <c r="BW37" s="29" t="str">
        <f t="shared" si="12"/>
        <v/>
      </c>
    </row>
    <row r="38" spans="1:75">
      <c r="A38" s="145">
        <v>35</v>
      </c>
      <c r="B38" s="146" t="s">
        <v>443</v>
      </c>
      <c r="C38" s="147">
        <v>28</v>
      </c>
      <c r="D38" s="27">
        <f>'Ket qua kinh doanh'!D23</f>
        <v>0</v>
      </c>
      <c r="E38" s="27">
        <f>'Ket qua kinh doanh'!E23</f>
        <v>0</v>
      </c>
      <c r="F38" s="27">
        <f>'Ket qua kinh doanh'!F23</f>
        <v>0</v>
      </c>
      <c r="G38" s="27">
        <f>'Ket qua kinh doanh'!G23</f>
        <v>0</v>
      </c>
      <c r="H38" s="27">
        <f>'Ket qua kinh doanh'!H23</f>
        <v>0</v>
      </c>
      <c r="I38" s="27">
        <f>'Ket qua kinh doanh'!I23</f>
        <v>0</v>
      </c>
      <c r="J38" s="27">
        <f>'Ket qua kinh doanh'!J23</f>
        <v>0</v>
      </c>
      <c r="K38" s="27">
        <f>'Ket qua kinh doanh'!K23</f>
        <v>0</v>
      </c>
      <c r="L38" s="27">
        <f>'Ket qua kinh doanh'!L23</f>
        <v>0</v>
      </c>
      <c r="M38" s="27">
        <f>'Ket qua kinh doanh'!M23</f>
        <v>0</v>
      </c>
      <c r="N38" s="27">
        <f>'Ket qua kinh doanh'!N23</f>
        <v>0</v>
      </c>
      <c r="O38" s="27">
        <f>'Ket qua kinh doanh'!O23</f>
        <v>0</v>
      </c>
      <c r="P38" s="27">
        <f>'Ket qua kinh doanh'!P23</f>
        <v>0</v>
      </c>
      <c r="Q38" s="27">
        <f>'Ket qua kinh doanh'!Q23</f>
        <v>0</v>
      </c>
      <c r="R38" s="27">
        <f>'Ket qua kinh doanh'!R23</f>
        <v>0</v>
      </c>
      <c r="S38" s="27">
        <f>'Ket qua kinh doanh'!S23</f>
        <v>0</v>
      </c>
      <c r="T38" s="27">
        <f>'Ket qua kinh doanh'!T23</f>
        <v>0</v>
      </c>
      <c r="U38" s="27">
        <f>'Ket qua kinh doanh'!U23</f>
        <v>0</v>
      </c>
      <c r="V38" s="27">
        <f>'Ket qua kinh doanh'!V23</f>
        <v>0</v>
      </c>
      <c r="W38" s="27">
        <f>'Ket qua kinh doanh'!W23</f>
        <v>0</v>
      </c>
      <c r="X38" s="27">
        <f>'Ket qua kinh doanh'!X23</f>
        <v>0</v>
      </c>
      <c r="Y38" s="27">
        <f>'Ket qua kinh doanh'!Y23</f>
        <v>0</v>
      </c>
      <c r="Z38" s="27">
        <f>'Ket qua kinh doanh'!Z23</f>
        <v>0</v>
      </c>
      <c r="AA38" s="27">
        <f>'Ket qua kinh doanh'!AA23</f>
        <v>0</v>
      </c>
      <c r="AB38" s="27">
        <f>'Ket qua kinh doanh'!AB23</f>
        <v>0</v>
      </c>
      <c r="AC38" s="27">
        <f>'Ket qua kinh doanh'!AC23</f>
        <v>0</v>
      </c>
      <c r="AD38" s="27">
        <f>'Ket qua kinh doanh'!AD23</f>
        <v>0</v>
      </c>
      <c r="AE38" s="27">
        <f>'Ket qua kinh doanh'!AE23</f>
        <v>0</v>
      </c>
      <c r="AF38" s="27">
        <f>'Ket qua kinh doanh'!AF23</f>
        <v>0</v>
      </c>
      <c r="AG38" s="27">
        <f>'Ket qua kinh doanh'!AG23</f>
        <v>0</v>
      </c>
      <c r="AH38" s="27">
        <f>'Ket qua kinh doanh'!AH23</f>
        <v>0</v>
      </c>
      <c r="AI38" s="27">
        <f>'Ket qua kinh doanh'!AI23</f>
        <v>0</v>
      </c>
      <c r="AJ38" s="27">
        <f>'Ket qua kinh doanh'!AJ23</f>
        <v>0</v>
      </c>
      <c r="AK38" s="27">
        <f>'Ket qua kinh doanh'!AK23</f>
        <v>0</v>
      </c>
      <c r="AL38" s="27">
        <f>'Ket qua kinh doanh'!AL23</f>
        <v>0</v>
      </c>
      <c r="AM38" s="27">
        <f>'Ket qua kinh doanh'!AM23</f>
        <v>0</v>
      </c>
      <c r="AN38" s="27">
        <f>'Ket qua kinh doanh'!AN23</f>
        <v>-719985770</v>
      </c>
      <c r="AO38" s="27">
        <f>'Ket qua kinh doanh'!AO23</f>
        <v>-6758932844</v>
      </c>
      <c r="AP38" s="27">
        <f>'Ket qua kinh doanh'!AP23</f>
        <v>-2743321288</v>
      </c>
      <c r="AQ38" s="27">
        <f>'Ket qua kinh doanh'!AQ23</f>
        <v>1668340417</v>
      </c>
      <c r="AR38" s="27">
        <f>'Ket qua kinh doanh'!AR23</f>
        <v>-5691808171</v>
      </c>
      <c r="AS38" s="27">
        <f>'Ket qua kinh doanh'!AS23</f>
        <v>-12142648645</v>
      </c>
      <c r="AT38" s="27">
        <f>'Ket qua kinh doanh'!AT23</f>
        <v>-15194276334</v>
      </c>
      <c r="AU38" s="27">
        <f>'Ket qua kinh doanh'!AU23</f>
        <v>-10046945859</v>
      </c>
      <c r="AV38" s="27">
        <f>'Ket qua kinh doanh'!AV23</f>
        <v>8118268598</v>
      </c>
      <c r="AW38" s="27">
        <f>'Ket qua kinh doanh'!AW23</f>
        <v>-6348711814</v>
      </c>
      <c r="AX38" s="27">
        <f>'Ket qua kinh doanh'!AX23</f>
        <v>-6052149672</v>
      </c>
      <c r="AY38" s="27">
        <f>'Ket qua kinh doanh'!AY23</f>
        <v>89574353974</v>
      </c>
      <c r="AZ38" s="27">
        <f>'Ket qua kinh doanh'!AZ23</f>
        <v>2235655725</v>
      </c>
      <c r="BA38" s="27">
        <f>'Ket qua kinh doanh'!BA23</f>
        <v>14060228686</v>
      </c>
      <c r="BB38" s="27">
        <f>'Ket qua kinh doanh'!BB23</f>
        <v>5744259883</v>
      </c>
      <c r="BC38" s="27">
        <f>'Ket qua kinh doanh'!BC23</f>
        <v>3259240884</v>
      </c>
      <c r="BD38" s="27">
        <f>'Ket qua kinh doanh'!BD23</f>
        <v>9298960129</v>
      </c>
      <c r="BE38" s="27">
        <f>'Ket qua kinh doanh'!BE23</f>
        <v>685312244</v>
      </c>
      <c r="BF38" s="27">
        <f>'Ket qua kinh doanh'!BF23</f>
        <v>3243206320</v>
      </c>
      <c r="BG38" s="27">
        <f>'Ket qua kinh doanh'!BG23</f>
        <v>2549153182</v>
      </c>
      <c r="BH38" s="27">
        <f>'Ket qua kinh doanh'!BH23</f>
        <v>-11188086980</v>
      </c>
      <c r="BI38" s="27">
        <f>'Ket qua kinh doanh'!BI23</f>
        <v>-4881782889</v>
      </c>
      <c r="BJ38" s="27">
        <f>'Ket qua kinh doanh'!BJ23</f>
        <v>-7987053976</v>
      </c>
      <c r="BK38" s="27">
        <f>'Ket qua kinh doanh'!BK23</f>
        <v>2345610302</v>
      </c>
      <c r="BL38" s="27">
        <f>'Ket qua kinh doanh'!BL23</f>
        <v>-3068173394.1944427</v>
      </c>
      <c r="BM38" s="27">
        <f>'Ket qua kinh doanh'!BM23</f>
        <v>-7734670181.1715088</v>
      </c>
      <c r="BN38" s="27">
        <f>'Ket qua kinh doanh'!BN23</f>
        <v>-7086608076.5916672</v>
      </c>
      <c r="BO38" s="27">
        <f>'Ket qua kinh doanh'!BO23</f>
        <v>4796831021.8307533</v>
      </c>
      <c r="BP38" s="27">
        <f>'Ket qua kinh doanh'!BP23</f>
        <v>9384416393.7687988</v>
      </c>
      <c r="BQ38" s="27">
        <f>'Ket qua kinh doanh'!BQ23</f>
        <v>0</v>
      </c>
      <c r="BR38" s="27">
        <f>'Ket qua kinh doanh'!BR23</f>
        <v>0</v>
      </c>
      <c r="BS38" s="27">
        <f>'Ket qua kinh doanh'!BS23</f>
        <v>0</v>
      </c>
      <c r="BT38" s="27">
        <f>'Ket qua kinh doanh'!BT23</f>
        <v>0</v>
      </c>
      <c r="BU38" s="27">
        <f>'Ket qua kinh doanh'!BU23</f>
        <v>0</v>
      </c>
      <c r="BV38" s="27">
        <f>'Ket qua kinh doanh'!BV23</f>
        <v>0</v>
      </c>
      <c r="BW38" s="27">
        <f>'Ket qua kinh doanh'!BW23</f>
        <v>0</v>
      </c>
    </row>
    <row r="39" spans="1:75">
      <c r="A39" s="148">
        <v>36</v>
      </c>
      <c r="B39" s="149" t="s">
        <v>444</v>
      </c>
      <c r="C39" s="151">
        <v>28</v>
      </c>
      <c r="D39" s="29" t="str">
        <f t="shared" ref="D39:BJ39" si="13">IFERROR(D38/D12,"")</f>
        <v/>
      </c>
      <c r="E39" s="29" t="str">
        <f t="shared" si="13"/>
        <v/>
      </c>
      <c r="F39" s="29" t="str">
        <f t="shared" si="13"/>
        <v/>
      </c>
      <c r="G39" s="29" t="str">
        <f t="shared" si="13"/>
        <v/>
      </c>
      <c r="H39" s="29" t="str">
        <f t="shared" si="13"/>
        <v/>
      </c>
      <c r="I39" s="29" t="str">
        <f t="shared" si="13"/>
        <v/>
      </c>
      <c r="J39" s="29" t="str">
        <f t="shared" si="13"/>
        <v/>
      </c>
      <c r="K39" s="29" t="str">
        <f t="shared" si="13"/>
        <v/>
      </c>
      <c r="L39" s="29" t="str">
        <f t="shared" si="13"/>
        <v/>
      </c>
      <c r="M39" s="29" t="str">
        <f t="shared" si="13"/>
        <v/>
      </c>
      <c r="N39" s="29" t="str">
        <f t="shared" si="13"/>
        <v/>
      </c>
      <c r="O39" s="29" t="str">
        <f t="shared" si="13"/>
        <v/>
      </c>
      <c r="P39" s="29" t="str">
        <f t="shared" si="13"/>
        <v/>
      </c>
      <c r="Q39" s="29" t="str">
        <f t="shared" si="13"/>
        <v/>
      </c>
      <c r="R39" s="29" t="str">
        <f t="shared" si="13"/>
        <v/>
      </c>
      <c r="S39" s="29" t="str">
        <f t="shared" si="13"/>
        <v/>
      </c>
      <c r="T39" s="29" t="str">
        <f t="shared" si="13"/>
        <v/>
      </c>
      <c r="U39" s="29" t="str">
        <f t="shared" si="13"/>
        <v/>
      </c>
      <c r="V39" s="29" t="str">
        <f t="shared" si="13"/>
        <v/>
      </c>
      <c r="W39" s="29" t="str">
        <f t="shared" si="13"/>
        <v/>
      </c>
      <c r="X39" s="29" t="str">
        <f t="shared" si="13"/>
        <v/>
      </c>
      <c r="Y39" s="29" t="str">
        <f t="shared" si="13"/>
        <v/>
      </c>
      <c r="Z39" s="29" t="str">
        <f t="shared" si="13"/>
        <v/>
      </c>
      <c r="AA39" s="29" t="str">
        <f t="shared" si="13"/>
        <v/>
      </c>
      <c r="AB39" s="29" t="str">
        <f t="shared" si="13"/>
        <v/>
      </c>
      <c r="AC39" s="29" t="str">
        <f t="shared" si="13"/>
        <v/>
      </c>
      <c r="AD39" s="29" t="str">
        <f t="shared" si="13"/>
        <v/>
      </c>
      <c r="AE39" s="29" t="str">
        <f t="shared" si="13"/>
        <v/>
      </c>
      <c r="AF39" s="29" t="str">
        <f t="shared" si="13"/>
        <v/>
      </c>
      <c r="AG39" s="29" t="str">
        <f t="shared" si="13"/>
        <v/>
      </c>
      <c r="AH39" s="29" t="str">
        <f t="shared" si="13"/>
        <v/>
      </c>
      <c r="AI39" s="29" t="str">
        <f t="shared" si="13"/>
        <v/>
      </c>
      <c r="AJ39" s="29" t="str">
        <f t="shared" si="13"/>
        <v/>
      </c>
      <c r="AK39" s="29" t="str">
        <f t="shared" si="13"/>
        <v/>
      </c>
      <c r="AL39" s="29" t="str">
        <f t="shared" si="13"/>
        <v/>
      </c>
      <c r="AM39" s="29" t="str">
        <f t="shared" si="13"/>
        <v/>
      </c>
      <c r="AN39" s="29">
        <f t="shared" si="13"/>
        <v>-5.5367361599888603E-3</v>
      </c>
      <c r="AO39" s="29">
        <f t="shared" si="13"/>
        <v>-8.0965019951959982E-2</v>
      </c>
      <c r="AP39" s="29">
        <f t="shared" si="13"/>
        <v>-2.3725936499347768E-2</v>
      </c>
      <c r="AQ39" s="29">
        <f t="shared" si="13"/>
        <v>1.418086856065995E-2</v>
      </c>
      <c r="AR39" s="29">
        <f t="shared" si="13"/>
        <v>-4.4484957567520161E-2</v>
      </c>
      <c r="AS39" s="29">
        <f t="shared" si="13"/>
        <v>-0.12693340036760967</v>
      </c>
      <c r="AT39" s="29">
        <f t="shared" si="13"/>
        <v>-0.20345936007069251</v>
      </c>
      <c r="AU39" s="29">
        <f t="shared" si="13"/>
        <v>-5.8212168893322196E-2</v>
      </c>
      <c r="AV39" s="29">
        <f t="shared" si="13"/>
        <v>4.6266034191171812E-2</v>
      </c>
      <c r="AW39" s="29">
        <f t="shared" si="13"/>
        <v>-4.5254456249233722E-2</v>
      </c>
      <c r="AX39" s="29">
        <f t="shared" si="13"/>
        <v>-6.2298170141739981E-2</v>
      </c>
      <c r="AY39" s="29">
        <f t="shared" si="13"/>
        <v>0.72233488440804949</v>
      </c>
      <c r="AZ39" s="29">
        <f t="shared" si="13"/>
        <v>1.9530503977897535E-2</v>
      </c>
      <c r="BA39" s="29">
        <f t="shared" si="13"/>
        <v>7.4788664854669284E-2</v>
      </c>
      <c r="BB39" s="29">
        <f t="shared" si="13"/>
        <v>3.8234094043168458E-2</v>
      </c>
      <c r="BC39" s="29">
        <f t="shared" si="13"/>
        <v>2.5993400987176171E-2</v>
      </c>
      <c r="BD39" s="29">
        <f t="shared" si="13"/>
        <v>6.1164671458993208E-2</v>
      </c>
      <c r="BE39" s="29">
        <f t="shared" si="13"/>
        <v>5.7357970198241223E-3</v>
      </c>
      <c r="BF39" s="29">
        <f t="shared" si="13"/>
        <v>2.3500929364563376E-2</v>
      </c>
      <c r="BG39" s="29">
        <f t="shared" si="13"/>
        <v>1.5130103540996377E-2</v>
      </c>
      <c r="BH39" s="29">
        <f t="shared" si="13"/>
        <v>-0.13204481262738277</v>
      </c>
      <c r="BI39" s="29">
        <f t="shared" si="13"/>
        <v>-4.4782613117141767E-2</v>
      </c>
      <c r="BJ39" s="29">
        <f t="shared" si="13"/>
        <v>-9.0362167550363595E-2</v>
      </c>
      <c r="BK39" s="29">
        <f t="shared" ref="BK39:BW39" si="14">IFERROR(BK38/BK12,"")</f>
        <v>2.3534852514358925E-2</v>
      </c>
      <c r="BL39" s="29">
        <f t="shared" si="14"/>
        <v>-2.4392668806182547E-2</v>
      </c>
      <c r="BM39" s="29">
        <f t="shared" si="14"/>
        <v>-8.0111185485193429E-2</v>
      </c>
      <c r="BN39" s="29">
        <f t="shared" si="14"/>
        <v>-4.0961475504682168E-2</v>
      </c>
      <c r="BO39" s="29">
        <f t="shared" si="14"/>
        <v>3.0140312807984536E-2</v>
      </c>
      <c r="BP39" s="29">
        <f t="shared" si="14"/>
        <v>5.8732349459156633E-2</v>
      </c>
      <c r="BQ39" s="29" t="str">
        <f t="shared" si="14"/>
        <v/>
      </c>
      <c r="BR39" s="29" t="str">
        <f t="shared" si="14"/>
        <v/>
      </c>
      <c r="BS39" s="29" t="str">
        <f t="shared" si="14"/>
        <v/>
      </c>
      <c r="BT39" s="29" t="str">
        <f t="shared" si="14"/>
        <v/>
      </c>
      <c r="BU39" s="29" t="str">
        <f t="shared" si="14"/>
        <v/>
      </c>
      <c r="BV39" s="29" t="str">
        <f t="shared" si="14"/>
        <v/>
      </c>
      <c r="BW39" s="29" t="str">
        <f t="shared" si="14"/>
        <v/>
      </c>
    </row>
    <row r="40" spans="1:75">
      <c r="A40" s="157">
        <v>37</v>
      </c>
      <c r="B40" s="158" t="s">
        <v>445</v>
      </c>
      <c r="C40" s="147">
        <v>28</v>
      </c>
      <c r="D40" s="27">
        <f>'Ket qua kinh doanh'!D14</f>
        <v>0</v>
      </c>
      <c r="E40" s="27">
        <f>'Ket qua kinh doanh'!E14</f>
        <v>0</v>
      </c>
      <c r="F40" s="27">
        <f>'Ket qua kinh doanh'!F14</f>
        <v>0</v>
      </c>
      <c r="G40" s="27">
        <f>'Ket qua kinh doanh'!G14</f>
        <v>0</v>
      </c>
      <c r="H40" s="27">
        <f>'Ket qua kinh doanh'!H14</f>
        <v>0</v>
      </c>
      <c r="I40" s="27">
        <f>'Ket qua kinh doanh'!I14</f>
        <v>0</v>
      </c>
      <c r="J40" s="27">
        <f>'Ket qua kinh doanh'!J14</f>
        <v>0</v>
      </c>
      <c r="K40" s="27">
        <f>'Ket qua kinh doanh'!K14</f>
        <v>0</v>
      </c>
      <c r="L40" s="27">
        <f>'Ket qua kinh doanh'!L14</f>
        <v>0</v>
      </c>
      <c r="M40" s="27">
        <f>'Ket qua kinh doanh'!M14</f>
        <v>0</v>
      </c>
      <c r="N40" s="27">
        <f>'Ket qua kinh doanh'!N14</f>
        <v>0</v>
      </c>
      <c r="O40" s="27">
        <f>'Ket qua kinh doanh'!O14</f>
        <v>0</v>
      </c>
      <c r="P40" s="27">
        <f>'Ket qua kinh doanh'!P14</f>
        <v>0</v>
      </c>
      <c r="Q40" s="27">
        <f>'Ket qua kinh doanh'!Q14</f>
        <v>0</v>
      </c>
      <c r="R40" s="27">
        <f>'Ket qua kinh doanh'!R14</f>
        <v>0</v>
      </c>
      <c r="S40" s="27">
        <f>'Ket qua kinh doanh'!S14</f>
        <v>0</v>
      </c>
      <c r="T40" s="27">
        <f>'Ket qua kinh doanh'!T14</f>
        <v>0</v>
      </c>
      <c r="U40" s="27">
        <f>'Ket qua kinh doanh'!U14</f>
        <v>0</v>
      </c>
      <c r="V40" s="27">
        <f>'Ket qua kinh doanh'!V14</f>
        <v>0</v>
      </c>
      <c r="W40" s="27">
        <f>'Ket qua kinh doanh'!W14</f>
        <v>0</v>
      </c>
      <c r="X40" s="27">
        <f>'Ket qua kinh doanh'!X14</f>
        <v>0</v>
      </c>
      <c r="Y40" s="27">
        <f>'Ket qua kinh doanh'!Y14</f>
        <v>0</v>
      </c>
      <c r="Z40" s="27">
        <f>'Ket qua kinh doanh'!Z14</f>
        <v>0</v>
      </c>
      <c r="AA40" s="27">
        <f>'Ket qua kinh doanh'!AA14</f>
        <v>0</v>
      </c>
      <c r="AB40" s="27">
        <f>'Ket qua kinh doanh'!AB14</f>
        <v>0</v>
      </c>
      <c r="AC40" s="27">
        <f>'Ket qua kinh doanh'!AC14</f>
        <v>0</v>
      </c>
      <c r="AD40" s="27">
        <f>'Ket qua kinh doanh'!AD14</f>
        <v>0</v>
      </c>
      <c r="AE40" s="27">
        <f>'Ket qua kinh doanh'!AE14</f>
        <v>0</v>
      </c>
      <c r="AF40" s="27">
        <f>'Ket qua kinh doanh'!AF14</f>
        <v>0</v>
      </c>
      <c r="AG40" s="27">
        <f>'Ket qua kinh doanh'!AG14</f>
        <v>0</v>
      </c>
      <c r="AH40" s="27">
        <f>'Ket qua kinh doanh'!AH14</f>
        <v>0</v>
      </c>
      <c r="AI40" s="27">
        <f>'Ket qua kinh doanh'!AI14</f>
        <v>0</v>
      </c>
      <c r="AJ40" s="27">
        <f>'Ket qua kinh doanh'!AJ14</f>
        <v>0</v>
      </c>
      <c r="AK40" s="27">
        <f>'Ket qua kinh doanh'!AK14</f>
        <v>0</v>
      </c>
      <c r="AL40" s="27">
        <f>'Ket qua kinh doanh'!AL14</f>
        <v>0</v>
      </c>
      <c r="AM40" s="27">
        <f>'Ket qua kinh doanh'!AM14</f>
        <v>0</v>
      </c>
      <c r="AN40" s="27">
        <f>'Ket qua kinh doanh'!AN14</f>
        <v>4849994610</v>
      </c>
      <c r="AO40" s="27">
        <f>'Ket qua kinh doanh'!AO14</f>
        <v>1560472559</v>
      </c>
      <c r="AP40" s="27">
        <f>'Ket qua kinh doanh'!AP14</f>
        <v>4219375143</v>
      </c>
      <c r="AQ40" s="27">
        <f>'Ket qua kinh doanh'!AQ14</f>
        <v>4926459549</v>
      </c>
      <c r="AR40" s="27">
        <f>'Ket qua kinh doanh'!AR14</f>
        <v>2125110954</v>
      </c>
      <c r="AS40" s="27">
        <f>'Ket qua kinh doanh'!AS14</f>
        <v>2824966874</v>
      </c>
      <c r="AT40" s="27">
        <f>'Ket qua kinh doanh'!AT14</f>
        <v>2596964337</v>
      </c>
      <c r="AU40" s="27">
        <f>'Ket qua kinh doanh'!AU14</f>
        <v>8480107205</v>
      </c>
      <c r="AV40" s="27">
        <f>'Ket qua kinh doanh'!AV14</f>
        <v>7368729523</v>
      </c>
      <c r="AW40" s="27">
        <f>'Ket qua kinh doanh'!AW14</f>
        <v>4936551194</v>
      </c>
      <c r="AX40" s="27">
        <f>'Ket qua kinh doanh'!AX14</f>
        <v>2249627546</v>
      </c>
      <c r="AY40" s="27">
        <f>'Ket qua kinh doanh'!AY14</f>
        <v>10540748080</v>
      </c>
      <c r="AZ40" s="27">
        <f>'Ket qua kinh doanh'!AZ14</f>
        <v>4181224849</v>
      </c>
      <c r="BA40" s="27">
        <f>'Ket qua kinh doanh'!BA14</f>
        <v>6634982258</v>
      </c>
      <c r="BB40" s="27">
        <f>'Ket qua kinh doanh'!BB14</f>
        <v>5629444776</v>
      </c>
      <c r="BC40" s="27">
        <f>'Ket qua kinh doanh'!BC14</f>
        <v>4622826734</v>
      </c>
      <c r="BD40" s="27">
        <f>'Ket qua kinh doanh'!BD14</f>
        <v>5242336575</v>
      </c>
      <c r="BE40" s="27">
        <f>'Ket qua kinh doanh'!BE14</f>
        <v>5451129528</v>
      </c>
      <c r="BF40" s="27">
        <f>'Ket qua kinh doanh'!BF14</f>
        <v>4248972349</v>
      </c>
      <c r="BG40" s="27">
        <f>'Ket qua kinh doanh'!BG14</f>
        <v>5750995751</v>
      </c>
      <c r="BH40" s="27">
        <f>'Ket qua kinh doanh'!BH14</f>
        <v>3513998286</v>
      </c>
      <c r="BI40" s="27">
        <f>'Ket qua kinh doanh'!BI14</f>
        <v>7273403934</v>
      </c>
      <c r="BJ40" s="27">
        <f>'Ket qua kinh doanh'!BJ14</f>
        <v>3829549635</v>
      </c>
      <c r="BK40" s="27">
        <f>'Ket qua kinh doanh'!BK14</f>
        <v>5362380917</v>
      </c>
      <c r="BL40" s="27">
        <f>'Ket qua kinh doanh'!BL14</f>
        <v>4308598004</v>
      </c>
      <c r="BM40" s="27">
        <f>'Ket qua kinh doanh'!BM14</f>
        <v>3594645336</v>
      </c>
      <c r="BN40" s="27">
        <f>'Ket qua kinh doanh'!BN14</f>
        <v>7012095788</v>
      </c>
      <c r="BO40" s="27">
        <f>'Ket qua kinh doanh'!BO14</f>
        <v>6469509126</v>
      </c>
      <c r="BP40" s="27">
        <f>'Ket qua kinh doanh'!BP14</f>
        <v>6626905090</v>
      </c>
      <c r="BQ40" s="27">
        <f>'Ket qua kinh doanh'!BQ14</f>
        <v>0</v>
      </c>
      <c r="BR40" s="27">
        <f>'Ket qua kinh doanh'!BR14</f>
        <v>0</v>
      </c>
      <c r="BS40" s="27">
        <f>'Ket qua kinh doanh'!BS14</f>
        <v>0</v>
      </c>
      <c r="BT40" s="27">
        <f>'Ket qua kinh doanh'!BT14</f>
        <v>0</v>
      </c>
      <c r="BU40" s="27">
        <f>'Ket qua kinh doanh'!BU14</f>
        <v>0</v>
      </c>
      <c r="BV40" s="27">
        <f>'Ket qua kinh doanh'!BV14</f>
        <v>0</v>
      </c>
      <c r="BW40" s="27">
        <f>'Ket qua kinh doanh'!BW14</f>
        <v>0</v>
      </c>
    </row>
    <row r="41" spans="1:75">
      <c r="A41" s="154">
        <v>38</v>
      </c>
      <c r="B41" s="155" t="s">
        <v>446</v>
      </c>
      <c r="C41" s="153">
        <v>28</v>
      </c>
      <c r="D41" s="31"/>
      <c r="E41" s="31"/>
      <c r="F41" s="31"/>
      <c r="G41" s="31"/>
      <c r="H41" s="31"/>
      <c r="I41" s="31"/>
      <c r="J41" s="31"/>
      <c r="K41" s="31"/>
      <c r="L41" s="31"/>
      <c r="M41" s="31"/>
      <c r="N41" s="31"/>
      <c r="O41" s="31"/>
      <c r="P41" s="31"/>
      <c r="Q41" s="31"/>
      <c r="R41" s="31"/>
      <c r="S41" s="31"/>
      <c r="T41" s="31"/>
      <c r="U41" s="31"/>
      <c r="V41" s="31"/>
      <c r="W41" s="31"/>
      <c r="X41" s="31"/>
      <c r="Y41" s="31"/>
      <c r="Z41" s="31"/>
      <c r="AA41" s="31"/>
      <c r="AB41" s="31"/>
      <c r="AC41" s="31"/>
      <c r="AD41" s="31"/>
      <c r="AE41" s="31"/>
      <c r="AF41" s="31"/>
      <c r="AG41" s="31"/>
      <c r="AH41" s="31"/>
      <c r="AI41" s="31"/>
      <c r="AJ41" s="31"/>
      <c r="AK41" s="31"/>
      <c r="AL41" s="31"/>
      <c r="AM41" s="31"/>
      <c r="AN41" s="31"/>
      <c r="AO41" s="31"/>
      <c r="AP41" s="31"/>
      <c r="AQ41" s="31"/>
      <c r="AR41" s="31"/>
      <c r="AS41" s="31"/>
      <c r="AT41" s="31"/>
      <c r="AU41" s="31"/>
      <c r="AV41" s="31"/>
      <c r="AW41" s="31"/>
      <c r="AX41" s="31"/>
      <c r="AY41" s="31"/>
      <c r="AZ41" s="31">
        <v>288795517</v>
      </c>
      <c r="BA41" s="31">
        <v>279028018</v>
      </c>
      <c r="BB41" s="31">
        <v>270260675</v>
      </c>
      <c r="BC41" s="31">
        <v>309710404</v>
      </c>
      <c r="BD41" s="31">
        <v>258112283</v>
      </c>
      <c r="BE41" s="31">
        <v>282054651</v>
      </c>
      <c r="BF41" s="31">
        <v>289537898</v>
      </c>
      <c r="BG41" s="31">
        <v>498259089</v>
      </c>
      <c r="BH41" s="31">
        <v>423087222</v>
      </c>
      <c r="BI41" s="31">
        <v>293219183</v>
      </c>
      <c r="BJ41" s="31">
        <v>422268800</v>
      </c>
      <c r="BK41" s="31">
        <v>595895367</v>
      </c>
      <c r="BL41" s="31">
        <v>341154818</v>
      </c>
      <c r="BM41" s="31">
        <v>335336818</v>
      </c>
      <c r="BN41" s="31">
        <v>750055065</v>
      </c>
      <c r="BO41" s="31">
        <v>440065248</v>
      </c>
      <c r="BP41" s="31">
        <v>437914065</v>
      </c>
      <c r="BQ41" s="31"/>
      <c r="BR41" s="31"/>
      <c r="BS41" s="31"/>
      <c r="BT41" s="31"/>
      <c r="BU41" s="31"/>
      <c r="BV41" s="31"/>
      <c r="BW41" s="31"/>
    </row>
    <row r="42" spans="1:75">
      <c r="A42" s="154">
        <v>39</v>
      </c>
      <c r="B42" s="155" t="s">
        <v>447</v>
      </c>
      <c r="C42" s="153">
        <v>28</v>
      </c>
      <c r="D42" s="31"/>
      <c r="E42" s="31"/>
      <c r="F42" s="31"/>
      <c r="G42" s="31"/>
      <c r="H42" s="31"/>
      <c r="I42" s="31"/>
      <c r="J42" s="31"/>
      <c r="K42" s="31"/>
      <c r="L42" s="31"/>
      <c r="M42" s="31"/>
      <c r="N42" s="31"/>
      <c r="O42" s="31"/>
      <c r="P42" s="31"/>
      <c r="Q42" s="31"/>
      <c r="R42" s="31"/>
      <c r="S42" s="31"/>
      <c r="T42" s="31"/>
      <c r="U42" s="31"/>
      <c r="V42" s="31"/>
      <c r="W42" s="31"/>
      <c r="X42" s="31"/>
      <c r="Y42" s="31"/>
      <c r="Z42" s="31"/>
      <c r="AA42" s="31"/>
      <c r="AB42" s="31"/>
      <c r="AC42" s="31"/>
      <c r="AD42" s="31"/>
      <c r="AE42" s="31"/>
      <c r="AF42" s="31"/>
      <c r="AG42" s="31"/>
      <c r="AH42" s="31"/>
      <c r="AI42" s="31"/>
      <c r="AJ42" s="31"/>
      <c r="AK42" s="31"/>
      <c r="AL42" s="31"/>
      <c r="AM42" s="31"/>
      <c r="AN42" s="31"/>
      <c r="AO42" s="31"/>
      <c r="AP42" s="31"/>
      <c r="AQ42" s="31"/>
      <c r="AR42" s="31"/>
      <c r="AS42" s="31"/>
      <c r="AT42" s="31"/>
      <c r="AU42" s="31"/>
      <c r="AV42" s="31"/>
      <c r="AW42" s="31"/>
      <c r="AX42" s="31"/>
      <c r="AY42" s="31"/>
      <c r="AZ42" s="31">
        <v>95110894</v>
      </c>
      <c r="BA42" s="31">
        <v>93043435</v>
      </c>
      <c r="BB42" s="31">
        <v>399176600</v>
      </c>
      <c r="BC42" s="31">
        <v>427375717</v>
      </c>
      <c r="BD42" s="31">
        <v>278010436</v>
      </c>
      <c r="BE42" s="31">
        <v>206912230</v>
      </c>
      <c r="BF42" s="31">
        <v>158533060</v>
      </c>
      <c r="BG42" s="31">
        <v>271837714</v>
      </c>
      <c r="BH42" s="31">
        <v>119384793</v>
      </c>
      <c r="BI42" s="31">
        <v>229882183</v>
      </c>
      <c r="BJ42" s="31">
        <v>221856192</v>
      </c>
      <c r="BK42" s="31">
        <v>174447947</v>
      </c>
      <c r="BL42" s="31">
        <v>203105799</v>
      </c>
      <c r="BM42" s="31">
        <v>175501259</v>
      </c>
      <c r="BN42" s="31">
        <v>323362648</v>
      </c>
      <c r="BO42" s="31">
        <v>347161700</v>
      </c>
      <c r="BP42" s="31">
        <v>288218290</v>
      </c>
      <c r="BQ42" s="31"/>
      <c r="BR42" s="31"/>
      <c r="BS42" s="31"/>
      <c r="BT42" s="31"/>
      <c r="BU42" s="31"/>
      <c r="BV42" s="31"/>
      <c r="BW42" s="31"/>
    </row>
    <row r="43" spans="1:75">
      <c r="A43" s="154">
        <v>40</v>
      </c>
      <c r="B43" s="155" t="s">
        <v>448</v>
      </c>
      <c r="C43" s="153">
        <v>28</v>
      </c>
      <c r="D43" s="31"/>
      <c r="E43" s="31"/>
      <c r="F43" s="31"/>
      <c r="G43" s="31"/>
      <c r="H43" s="31"/>
      <c r="I43" s="31"/>
      <c r="J43" s="31"/>
      <c r="K43" s="31"/>
      <c r="L43" s="31"/>
      <c r="M43" s="31"/>
      <c r="N43" s="31"/>
      <c r="O43" s="31"/>
      <c r="P43" s="31"/>
      <c r="Q43" s="31"/>
      <c r="R43" s="31"/>
      <c r="S43" s="31"/>
      <c r="T43" s="31"/>
      <c r="U43" s="31"/>
      <c r="V43" s="31"/>
      <c r="W43" s="31"/>
      <c r="X43" s="31"/>
      <c r="Y43" s="31"/>
      <c r="Z43" s="31"/>
      <c r="AA43" s="31"/>
      <c r="AB43" s="31"/>
      <c r="AC43" s="31"/>
      <c r="AD43" s="31"/>
      <c r="AE43" s="31"/>
      <c r="AF43" s="31"/>
      <c r="AG43" s="31"/>
      <c r="AH43" s="31"/>
      <c r="AI43" s="31"/>
      <c r="AJ43" s="31"/>
      <c r="AK43" s="31"/>
      <c r="AL43" s="31"/>
      <c r="AM43" s="31"/>
      <c r="AN43" s="31"/>
      <c r="AO43" s="31"/>
      <c r="AP43" s="31"/>
      <c r="AQ43" s="31"/>
      <c r="AR43" s="31"/>
      <c r="AS43" s="31"/>
      <c r="AT43" s="31"/>
      <c r="AU43" s="31"/>
      <c r="AV43" s="31"/>
      <c r="AW43" s="31"/>
      <c r="AX43" s="31"/>
      <c r="AY43" s="31"/>
      <c r="AZ43" s="31">
        <v>1156648724</v>
      </c>
      <c r="BA43" s="31">
        <v>1395989840</v>
      </c>
      <c r="BB43" s="31">
        <v>718938840</v>
      </c>
      <c r="BC43" s="31">
        <v>873725670</v>
      </c>
      <c r="BD43" s="31">
        <v>801811330</v>
      </c>
      <c r="BE43" s="31">
        <v>2343197427</v>
      </c>
      <c r="BF43" s="31">
        <v>962161347</v>
      </c>
      <c r="BG43" s="31">
        <v>1102469718</v>
      </c>
      <c r="BH43" s="31">
        <v>793146505</v>
      </c>
      <c r="BI43" s="31">
        <v>728694366</v>
      </c>
      <c r="BJ43" s="31">
        <v>819335524</v>
      </c>
      <c r="BK43" s="31">
        <v>914940436</v>
      </c>
      <c r="BL43" s="31">
        <v>1284224102</v>
      </c>
      <c r="BM43" s="31">
        <v>828225273</v>
      </c>
      <c r="BN43" s="31">
        <v>2221270799</v>
      </c>
      <c r="BO43" s="31">
        <v>2175577325</v>
      </c>
      <c r="BP43" s="31">
        <v>2044593710</v>
      </c>
      <c r="BQ43" s="31"/>
      <c r="BR43" s="31"/>
      <c r="BS43" s="31"/>
      <c r="BT43" s="31"/>
      <c r="BU43" s="31"/>
      <c r="BV43" s="31"/>
      <c r="BW43" s="31"/>
    </row>
    <row r="44" spans="1:75">
      <c r="A44" s="154">
        <v>41</v>
      </c>
      <c r="B44" s="155" t="s">
        <v>449</v>
      </c>
      <c r="C44" s="153">
        <v>28</v>
      </c>
      <c r="D44" s="31"/>
      <c r="E44" s="31"/>
      <c r="F44" s="31"/>
      <c r="G44" s="31"/>
      <c r="H44" s="31"/>
      <c r="I44" s="31"/>
      <c r="J44" s="31"/>
      <c r="K44" s="31"/>
      <c r="L44" s="31"/>
      <c r="M44" s="31"/>
      <c r="N44" s="31"/>
      <c r="O44" s="31"/>
      <c r="P44" s="31"/>
      <c r="Q44" s="31"/>
      <c r="R44" s="31"/>
      <c r="S44" s="31"/>
      <c r="T44" s="31"/>
      <c r="U44" s="31"/>
      <c r="V44" s="31"/>
      <c r="W44" s="31"/>
      <c r="X44" s="31"/>
      <c r="Y44" s="31"/>
      <c r="Z44" s="31"/>
      <c r="AA44" s="31"/>
      <c r="AB44" s="31"/>
      <c r="AC44" s="31"/>
      <c r="AD44" s="31"/>
      <c r="AE44" s="31"/>
      <c r="AF44" s="31"/>
      <c r="AG44" s="31"/>
      <c r="AH44" s="31"/>
      <c r="AI44" s="31"/>
      <c r="AJ44" s="31"/>
      <c r="AK44" s="31"/>
      <c r="AL44" s="31"/>
      <c r="AM44" s="31"/>
      <c r="AN44" s="31"/>
      <c r="AO44" s="31"/>
      <c r="AP44" s="31"/>
      <c r="AQ44" s="31"/>
      <c r="AR44" s="31"/>
      <c r="AS44" s="31"/>
      <c r="AT44" s="31"/>
      <c r="AU44" s="31"/>
      <c r="AV44" s="31"/>
      <c r="AW44" s="31"/>
      <c r="AX44" s="31"/>
      <c r="AY44" s="31"/>
      <c r="AZ44" s="31">
        <v>424528148</v>
      </c>
      <c r="BA44" s="31">
        <v>821805186</v>
      </c>
      <c r="BB44" s="31">
        <v>830298814</v>
      </c>
      <c r="BC44" s="31">
        <v>864075557</v>
      </c>
      <c r="BD44" s="31">
        <v>825497036</v>
      </c>
      <c r="BE44" s="31">
        <v>1143377036</v>
      </c>
      <c r="BF44" s="31">
        <v>1150793707</v>
      </c>
      <c r="BG44" s="31">
        <v>1817641347</v>
      </c>
      <c r="BH44" s="31">
        <v>1291571184</v>
      </c>
      <c r="BI44" s="31">
        <v>1239022223</v>
      </c>
      <c r="BJ44" s="31">
        <v>942546706</v>
      </c>
      <c r="BK44" s="31">
        <v>1088877912</v>
      </c>
      <c r="BL44" s="31">
        <v>921880148</v>
      </c>
      <c r="BM44" s="31">
        <v>632106741</v>
      </c>
      <c r="BN44" s="31">
        <v>1322520832</v>
      </c>
      <c r="BO44" s="31">
        <v>1462297700</v>
      </c>
      <c r="BP44" s="31">
        <v>1291328250</v>
      </c>
      <c r="BQ44" s="31"/>
      <c r="BR44" s="31"/>
      <c r="BS44" s="31"/>
      <c r="BT44" s="31"/>
      <c r="BU44" s="31"/>
      <c r="BV44" s="31"/>
      <c r="BW44" s="31"/>
    </row>
    <row r="45" spans="1:75">
      <c r="A45" s="154">
        <v>42</v>
      </c>
      <c r="B45" s="155" t="s">
        <v>450</v>
      </c>
      <c r="C45" s="153">
        <v>28</v>
      </c>
      <c r="D45" s="31"/>
      <c r="E45" s="31"/>
      <c r="F45" s="31"/>
      <c r="G45" s="31"/>
      <c r="H45" s="31"/>
      <c r="I45" s="31"/>
      <c r="J45" s="31"/>
      <c r="K45" s="31"/>
      <c r="L45" s="31"/>
      <c r="M45" s="31"/>
      <c r="N45" s="31"/>
      <c r="O45" s="31"/>
      <c r="P45" s="31"/>
      <c r="Q45" s="31"/>
      <c r="R45" s="31"/>
      <c r="S45" s="31"/>
      <c r="T45" s="31"/>
      <c r="U45" s="31"/>
      <c r="V45" s="31"/>
      <c r="W45" s="31"/>
      <c r="X45" s="31"/>
      <c r="Y45" s="31"/>
      <c r="Z45" s="31"/>
      <c r="AA45" s="31"/>
      <c r="AB45" s="31"/>
      <c r="AC45" s="31"/>
      <c r="AD45" s="31"/>
      <c r="AE45" s="31"/>
      <c r="AF45" s="31"/>
      <c r="AG45" s="31"/>
      <c r="AH45" s="31"/>
      <c r="AI45" s="31"/>
      <c r="AJ45" s="31"/>
      <c r="AK45" s="31"/>
      <c r="AL45" s="31"/>
      <c r="AM45" s="31"/>
      <c r="AN45" s="31"/>
      <c r="AO45" s="31"/>
      <c r="AP45" s="31"/>
      <c r="AQ45" s="31"/>
      <c r="AR45" s="31"/>
      <c r="AS45" s="31"/>
      <c r="AT45" s="31"/>
      <c r="AU45" s="31"/>
      <c r="AV45" s="31"/>
      <c r="AW45" s="31"/>
      <c r="AX45" s="31"/>
      <c r="AY45" s="31"/>
      <c r="AZ45" s="31">
        <v>1442696903</v>
      </c>
      <c r="BA45" s="31">
        <v>3574837862</v>
      </c>
      <c r="BB45" s="31">
        <v>1969857757</v>
      </c>
      <c r="BC45" s="31">
        <v>1503984454</v>
      </c>
      <c r="BD45" s="31">
        <v>2462711733</v>
      </c>
      <c r="BE45" s="31">
        <v>1186353811</v>
      </c>
      <c r="BF45" s="31">
        <v>1311037332</v>
      </c>
      <c r="BG45" s="31">
        <v>1643007682</v>
      </c>
      <c r="BH45" s="31">
        <v>437205501</v>
      </c>
      <c r="BI45" s="31">
        <v>492312502</v>
      </c>
      <c r="BJ45" s="31">
        <v>653246467</v>
      </c>
      <c r="BK45" s="31">
        <v>692122387</v>
      </c>
      <c r="BL45" s="31">
        <v>1092685189</v>
      </c>
      <c r="BM45" s="31">
        <v>1193026840</v>
      </c>
      <c r="BN45" s="31">
        <v>1805602205</v>
      </c>
      <c r="BO45" s="31">
        <v>1237377546</v>
      </c>
      <c r="BP45" s="31">
        <v>1647931878</v>
      </c>
      <c r="BQ45" s="31"/>
      <c r="BR45" s="31"/>
      <c r="BS45" s="31"/>
      <c r="BT45" s="31"/>
      <c r="BU45" s="31"/>
      <c r="BV45" s="31"/>
      <c r="BW45" s="31"/>
    </row>
    <row r="46" spans="1:75">
      <c r="A46" s="154">
        <v>43</v>
      </c>
      <c r="B46" s="155" t="s">
        <v>451</v>
      </c>
      <c r="C46" s="153">
        <v>28</v>
      </c>
      <c r="D46" s="31"/>
      <c r="E46" s="31"/>
      <c r="F46" s="31"/>
      <c r="G46" s="31"/>
      <c r="H46" s="31"/>
      <c r="I46" s="31"/>
      <c r="J46" s="31"/>
      <c r="K46" s="31"/>
      <c r="L46" s="31"/>
      <c r="M46" s="31"/>
      <c r="N46" s="31"/>
      <c r="O46" s="31"/>
      <c r="P46" s="31"/>
      <c r="Q46" s="31"/>
      <c r="R46" s="31"/>
      <c r="S46" s="31"/>
      <c r="T46" s="31"/>
      <c r="U46" s="31"/>
      <c r="V46" s="31"/>
      <c r="W46" s="31"/>
      <c r="X46" s="31"/>
      <c r="Y46" s="31"/>
      <c r="Z46" s="31"/>
      <c r="AA46" s="31"/>
      <c r="AB46" s="31"/>
      <c r="AC46" s="31"/>
      <c r="AD46" s="31"/>
      <c r="AE46" s="31"/>
      <c r="AF46" s="31"/>
      <c r="AG46" s="31"/>
      <c r="AH46" s="31"/>
      <c r="AI46" s="31"/>
      <c r="AJ46" s="31"/>
      <c r="AK46" s="31"/>
      <c r="AL46" s="31"/>
      <c r="AM46" s="31"/>
      <c r="AN46" s="31"/>
      <c r="AO46" s="31"/>
      <c r="AP46" s="31"/>
      <c r="AQ46" s="31"/>
      <c r="AR46" s="31"/>
      <c r="AS46" s="31"/>
      <c r="AT46" s="31"/>
      <c r="AU46" s="31"/>
      <c r="AV46" s="31"/>
      <c r="AW46" s="31"/>
      <c r="AX46" s="31"/>
      <c r="AY46" s="31"/>
      <c r="AZ46" s="31">
        <v>31139609</v>
      </c>
      <c r="BA46" s="31">
        <v>31139609</v>
      </c>
      <c r="BB46" s="31">
        <v>6948276</v>
      </c>
      <c r="BC46" s="31">
        <v>6948275</v>
      </c>
      <c r="BD46" s="31">
        <v>6948276</v>
      </c>
      <c r="BE46" s="31">
        <v>6948276</v>
      </c>
      <c r="BF46" s="31">
        <v>6948276</v>
      </c>
      <c r="BG46" s="31">
        <v>6948276</v>
      </c>
      <c r="BH46" s="31">
        <v>6948276</v>
      </c>
      <c r="BI46" s="31">
        <v>47333567</v>
      </c>
      <c r="BJ46" s="31">
        <v>47333566</v>
      </c>
      <c r="BK46" s="31">
        <v>47333566</v>
      </c>
      <c r="BL46" s="31">
        <v>19541270</v>
      </c>
      <c r="BM46" s="31">
        <v>19541269</v>
      </c>
      <c r="BN46" s="31">
        <v>19541270</v>
      </c>
      <c r="BO46" s="31">
        <v>19541270</v>
      </c>
      <c r="BP46" s="31">
        <v>19541270</v>
      </c>
      <c r="BQ46" s="31"/>
      <c r="BR46" s="31"/>
      <c r="BS46" s="31"/>
      <c r="BT46" s="31"/>
      <c r="BU46" s="31"/>
      <c r="BV46" s="31"/>
      <c r="BW46" s="31"/>
    </row>
    <row r="47" spans="1:75">
      <c r="A47" s="154">
        <v>44</v>
      </c>
      <c r="B47" s="155" t="s">
        <v>452</v>
      </c>
      <c r="C47" s="153">
        <v>28</v>
      </c>
      <c r="D47" s="31"/>
      <c r="E47" s="31"/>
      <c r="F47" s="31"/>
      <c r="G47" s="31"/>
      <c r="H47" s="31"/>
      <c r="I47" s="31"/>
      <c r="J47" s="31"/>
      <c r="K47" s="31"/>
      <c r="L47" s="31"/>
      <c r="M47" s="31"/>
      <c r="N47" s="31"/>
      <c r="O47" s="31"/>
      <c r="P47" s="31"/>
      <c r="Q47" s="31"/>
      <c r="R47" s="31"/>
      <c r="S47" s="31"/>
      <c r="T47" s="31"/>
      <c r="U47" s="31"/>
      <c r="V47" s="31"/>
      <c r="W47" s="31"/>
      <c r="X47" s="31"/>
      <c r="Y47" s="31"/>
      <c r="Z47" s="31"/>
      <c r="AA47" s="31"/>
      <c r="AB47" s="31"/>
      <c r="AC47" s="31"/>
      <c r="AD47" s="31"/>
      <c r="AE47" s="31"/>
      <c r="AF47" s="31"/>
      <c r="AG47" s="31"/>
      <c r="AH47" s="31"/>
      <c r="AI47" s="31"/>
      <c r="AJ47" s="31"/>
      <c r="AK47" s="31"/>
      <c r="AL47" s="31"/>
      <c r="AM47" s="31"/>
      <c r="AN47" s="31"/>
      <c r="AO47" s="31"/>
      <c r="AP47" s="31"/>
      <c r="AQ47" s="31"/>
      <c r="AR47" s="31"/>
      <c r="AS47" s="31"/>
      <c r="AT47" s="31"/>
      <c r="AU47" s="31"/>
      <c r="AV47" s="31"/>
      <c r="AW47" s="31"/>
      <c r="AX47" s="31"/>
      <c r="AY47" s="31"/>
      <c r="AZ47" s="31">
        <v>742305054</v>
      </c>
      <c r="BA47" s="31">
        <v>439138308</v>
      </c>
      <c r="BB47" s="31">
        <v>1433963814</v>
      </c>
      <c r="BC47" s="31">
        <v>637006657</v>
      </c>
      <c r="BD47" s="31">
        <v>609245481</v>
      </c>
      <c r="BE47" s="31">
        <v>282286097</v>
      </c>
      <c r="BF47" s="31">
        <v>369960729</v>
      </c>
      <c r="BG47" s="31">
        <v>410831925</v>
      </c>
      <c r="BH47" s="31">
        <v>442654805</v>
      </c>
      <c r="BI47" s="31">
        <v>4242939910</v>
      </c>
      <c r="BJ47" s="31">
        <v>722962380</v>
      </c>
      <c r="BK47" s="31">
        <v>1848763302</v>
      </c>
      <c r="BL47" s="31">
        <v>446006678</v>
      </c>
      <c r="BM47" s="31">
        <v>410907136</v>
      </c>
      <c r="BN47" s="31">
        <v>569742969</v>
      </c>
      <c r="BO47" s="31">
        <v>787488337</v>
      </c>
      <c r="BP47" s="31">
        <v>897377627</v>
      </c>
      <c r="BQ47" s="31"/>
      <c r="BR47" s="31"/>
      <c r="BS47" s="31"/>
      <c r="BT47" s="31"/>
      <c r="BU47" s="31"/>
      <c r="BV47" s="31"/>
      <c r="BW47" s="31"/>
    </row>
    <row r="48" spans="1:75">
      <c r="A48" s="159">
        <v>45</v>
      </c>
      <c r="B48" s="160" t="s">
        <v>453</v>
      </c>
      <c r="C48" s="151">
        <v>28</v>
      </c>
      <c r="D48" s="29" t="str">
        <f t="shared" ref="D48:BJ48" si="15">IFERROR(D40/D12,"")</f>
        <v/>
      </c>
      <c r="E48" s="29" t="str">
        <f t="shared" si="15"/>
        <v/>
      </c>
      <c r="F48" s="29" t="str">
        <f t="shared" si="15"/>
        <v/>
      </c>
      <c r="G48" s="29" t="str">
        <f t="shared" si="15"/>
        <v/>
      </c>
      <c r="H48" s="29" t="str">
        <f t="shared" si="15"/>
        <v/>
      </c>
      <c r="I48" s="29" t="str">
        <f t="shared" si="15"/>
        <v/>
      </c>
      <c r="J48" s="29" t="str">
        <f t="shared" si="15"/>
        <v/>
      </c>
      <c r="K48" s="29" t="str">
        <f t="shared" si="15"/>
        <v/>
      </c>
      <c r="L48" s="29" t="str">
        <f t="shared" si="15"/>
        <v/>
      </c>
      <c r="M48" s="29" t="str">
        <f t="shared" si="15"/>
        <v/>
      </c>
      <c r="N48" s="29" t="str">
        <f t="shared" si="15"/>
        <v/>
      </c>
      <c r="O48" s="29" t="str">
        <f t="shared" si="15"/>
        <v/>
      </c>
      <c r="P48" s="29" t="str">
        <f t="shared" si="15"/>
        <v/>
      </c>
      <c r="Q48" s="29" t="str">
        <f t="shared" si="15"/>
        <v/>
      </c>
      <c r="R48" s="29" t="str">
        <f t="shared" si="15"/>
        <v/>
      </c>
      <c r="S48" s="29" t="str">
        <f t="shared" si="15"/>
        <v/>
      </c>
      <c r="T48" s="29" t="str">
        <f t="shared" si="15"/>
        <v/>
      </c>
      <c r="U48" s="29" t="str">
        <f t="shared" si="15"/>
        <v/>
      </c>
      <c r="V48" s="29" t="str">
        <f t="shared" si="15"/>
        <v/>
      </c>
      <c r="W48" s="29" t="str">
        <f t="shared" si="15"/>
        <v/>
      </c>
      <c r="X48" s="29" t="str">
        <f t="shared" si="15"/>
        <v/>
      </c>
      <c r="Y48" s="29" t="str">
        <f t="shared" si="15"/>
        <v/>
      </c>
      <c r="Z48" s="29" t="str">
        <f t="shared" si="15"/>
        <v/>
      </c>
      <c r="AA48" s="29" t="str">
        <f t="shared" si="15"/>
        <v/>
      </c>
      <c r="AB48" s="29" t="str">
        <f t="shared" si="15"/>
        <v/>
      </c>
      <c r="AC48" s="29" t="str">
        <f t="shared" si="15"/>
        <v/>
      </c>
      <c r="AD48" s="29" t="str">
        <f t="shared" si="15"/>
        <v/>
      </c>
      <c r="AE48" s="29" t="str">
        <f t="shared" si="15"/>
        <v/>
      </c>
      <c r="AF48" s="29" t="str">
        <f t="shared" si="15"/>
        <v/>
      </c>
      <c r="AG48" s="29" t="str">
        <f t="shared" si="15"/>
        <v/>
      </c>
      <c r="AH48" s="29" t="str">
        <f t="shared" si="15"/>
        <v/>
      </c>
      <c r="AI48" s="29" t="str">
        <f t="shared" si="15"/>
        <v/>
      </c>
      <c r="AJ48" s="29" t="str">
        <f t="shared" si="15"/>
        <v/>
      </c>
      <c r="AK48" s="29" t="str">
        <f t="shared" si="15"/>
        <v/>
      </c>
      <c r="AL48" s="29" t="str">
        <f t="shared" si="15"/>
        <v/>
      </c>
      <c r="AM48" s="29" t="str">
        <f t="shared" si="15"/>
        <v/>
      </c>
      <c r="AN48" s="29">
        <f t="shared" si="15"/>
        <v>3.7296765647101708E-2</v>
      </c>
      <c r="AO48" s="29">
        <f t="shared" si="15"/>
        <v>1.8692846162257422E-2</v>
      </c>
      <c r="AP48" s="29">
        <f t="shared" si="15"/>
        <v>3.6491761700550913E-2</v>
      </c>
      <c r="AQ48" s="29">
        <f t="shared" si="15"/>
        <v>4.1874832391462169E-2</v>
      </c>
      <c r="AR48" s="29">
        <f t="shared" si="15"/>
        <v>1.6609040181049049E-2</v>
      </c>
      <c r="AS48" s="29">
        <f t="shared" si="15"/>
        <v>2.9530843041425808E-2</v>
      </c>
      <c r="AT48" s="29">
        <f t="shared" si="15"/>
        <v>3.4774719803541403E-2</v>
      </c>
      <c r="AU48" s="29">
        <f t="shared" si="15"/>
        <v>4.9133880064530608E-2</v>
      </c>
      <c r="AV48" s="29">
        <f t="shared" si="15"/>
        <v>4.1994409022214907E-2</v>
      </c>
      <c r="AW48" s="29">
        <f t="shared" si="15"/>
        <v>3.5188388853678643E-2</v>
      </c>
      <c r="AX48" s="29">
        <f t="shared" si="15"/>
        <v>2.3156677744544218E-2</v>
      </c>
      <c r="AY48" s="29">
        <f t="shared" si="15"/>
        <v>8.5001450841065598E-2</v>
      </c>
      <c r="AZ48" s="29">
        <f t="shared" si="15"/>
        <v>3.6526835340838774E-2</v>
      </c>
      <c r="BA48" s="29">
        <f t="shared" si="15"/>
        <v>3.5292559992593481E-2</v>
      </c>
      <c r="BB48" s="29">
        <f t="shared" si="15"/>
        <v>3.7469878689401798E-2</v>
      </c>
      <c r="BC48" s="29">
        <f t="shared" si="15"/>
        <v>3.6868397663086014E-2</v>
      </c>
      <c r="BD48" s="29">
        <f t="shared" si="15"/>
        <v>3.4481897958392536E-2</v>
      </c>
      <c r="BE48" s="29">
        <f t="shared" si="15"/>
        <v>4.5623834646353806E-2</v>
      </c>
      <c r="BF48" s="29">
        <f t="shared" si="15"/>
        <v>3.0788913560649424E-2</v>
      </c>
      <c r="BG48" s="29">
        <f t="shared" si="15"/>
        <v>3.4134143758356619E-2</v>
      </c>
      <c r="BH48" s="29">
        <f t="shared" si="15"/>
        <v>4.1473153192076298E-2</v>
      </c>
      <c r="BI48" s="29">
        <f t="shared" si="15"/>
        <v>6.6721941927192274E-2</v>
      </c>
      <c r="BJ48" s="29">
        <f t="shared" si="15"/>
        <v>4.3325913008742105E-2</v>
      </c>
      <c r="BK48" s="29">
        <f t="shared" ref="BK48:BW48" si="16">IFERROR(BK40/BK12,"")</f>
        <v>5.3803841115380543E-2</v>
      </c>
      <c r="BL48" s="29">
        <f t="shared" si="16"/>
        <v>3.425432354293164E-2</v>
      </c>
      <c r="BM48" s="29">
        <f t="shared" si="16"/>
        <v>3.7231231910416732E-2</v>
      </c>
      <c r="BN48" s="29">
        <f t="shared" si="16"/>
        <v>4.0530785215201204E-2</v>
      </c>
      <c r="BO48" s="29">
        <f t="shared" si="16"/>
        <v>4.0650385198962004E-2</v>
      </c>
      <c r="BP48" s="29">
        <f t="shared" si="16"/>
        <v>4.1474471000346874E-2</v>
      </c>
      <c r="BQ48" s="29" t="str">
        <f t="shared" si="16"/>
        <v/>
      </c>
      <c r="BR48" s="29" t="str">
        <f t="shared" si="16"/>
        <v/>
      </c>
      <c r="BS48" s="29" t="str">
        <f t="shared" si="16"/>
        <v/>
      </c>
      <c r="BT48" s="29" t="str">
        <f t="shared" si="16"/>
        <v/>
      </c>
      <c r="BU48" s="29" t="str">
        <f t="shared" si="16"/>
        <v/>
      </c>
      <c r="BV48" s="29" t="str">
        <f t="shared" si="16"/>
        <v/>
      </c>
      <c r="BW48" s="29" t="str">
        <f t="shared" si="16"/>
        <v/>
      </c>
    </row>
    <row r="49" spans="1:75">
      <c r="A49" s="157">
        <v>46</v>
      </c>
      <c r="B49" s="158" t="s">
        <v>454</v>
      </c>
      <c r="C49" s="147">
        <v>28</v>
      </c>
      <c r="D49" s="27">
        <f>'Ket qua kinh doanh'!D15</f>
        <v>0</v>
      </c>
      <c r="E49" s="27">
        <f>'Ket qua kinh doanh'!E15</f>
        <v>0</v>
      </c>
      <c r="F49" s="27">
        <f>'Ket qua kinh doanh'!F15</f>
        <v>0</v>
      </c>
      <c r="G49" s="27">
        <f>'Ket qua kinh doanh'!G15</f>
        <v>0</v>
      </c>
      <c r="H49" s="27">
        <f>'Ket qua kinh doanh'!H15</f>
        <v>0</v>
      </c>
      <c r="I49" s="27">
        <f>'Ket qua kinh doanh'!I15</f>
        <v>0</v>
      </c>
      <c r="J49" s="27">
        <f>'Ket qua kinh doanh'!J15</f>
        <v>0</v>
      </c>
      <c r="K49" s="27">
        <f>'Ket qua kinh doanh'!K15</f>
        <v>0</v>
      </c>
      <c r="L49" s="27">
        <f>'Ket qua kinh doanh'!L15</f>
        <v>0</v>
      </c>
      <c r="M49" s="27">
        <f>'Ket qua kinh doanh'!M15</f>
        <v>0</v>
      </c>
      <c r="N49" s="27">
        <f>'Ket qua kinh doanh'!N15</f>
        <v>0</v>
      </c>
      <c r="O49" s="27">
        <f>'Ket qua kinh doanh'!O15</f>
        <v>0</v>
      </c>
      <c r="P49" s="27">
        <f>'Ket qua kinh doanh'!P15</f>
        <v>0</v>
      </c>
      <c r="Q49" s="27">
        <f>'Ket qua kinh doanh'!Q15</f>
        <v>0</v>
      </c>
      <c r="R49" s="27">
        <f>'Ket qua kinh doanh'!R15</f>
        <v>0</v>
      </c>
      <c r="S49" s="27">
        <f>'Ket qua kinh doanh'!S15</f>
        <v>0</v>
      </c>
      <c r="T49" s="27">
        <f>'Ket qua kinh doanh'!T15</f>
        <v>0</v>
      </c>
      <c r="U49" s="27">
        <f>'Ket qua kinh doanh'!U15</f>
        <v>0</v>
      </c>
      <c r="V49" s="27">
        <f>'Ket qua kinh doanh'!V15</f>
        <v>0</v>
      </c>
      <c r="W49" s="27">
        <f>'Ket qua kinh doanh'!W15</f>
        <v>0</v>
      </c>
      <c r="X49" s="27">
        <f>'Ket qua kinh doanh'!X15</f>
        <v>0</v>
      </c>
      <c r="Y49" s="27">
        <f>'Ket qua kinh doanh'!Y15</f>
        <v>0</v>
      </c>
      <c r="Z49" s="27">
        <f>'Ket qua kinh doanh'!Z15</f>
        <v>0</v>
      </c>
      <c r="AA49" s="27">
        <f>'Ket qua kinh doanh'!AA15</f>
        <v>0</v>
      </c>
      <c r="AB49" s="27">
        <f>'Ket qua kinh doanh'!AB15</f>
        <v>0</v>
      </c>
      <c r="AC49" s="27">
        <f>'Ket qua kinh doanh'!AC15</f>
        <v>0</v>
      </c>
      <c r="AD49" s="27">
        <f>'Ket qua kinh doanh'!AD15</f>
        <v>0</v>
      </c>
      <c r="AE49" s="27">
        <f>'Ket qua kinh doanh'!AE15</f>
        <v>0</v>
      </c>
      <c r="AF49" s="27">
        <f>'Ket qua kinh doanh'!AF15</f>
        <v>0</v>
      </c>
      <c r="AG49" s="27">
        <f>'Ket qua kinh doanh'!AG15</f>
        <v>0</v>
      </c>
      <c r="AH49" s="27">
        <f>'Ket qua kinh doanh'!AH15</f>
        <v>0</v>
      </c>
      <c r="AI49" s="27">
        <f>'Ket qua kinh doanh'!AI15</f>
        <v>0</v>
      </c>
      <c r="AJ49" s="27">
        <f>'Ket qua kinh doanh'!AJ15</f>
        <v>0</v>
      </c>
      <c r="AK49" s="27">
        <f>'Ket qua kinh doanh'!AK15</f>
        <v>0</v>
      </c>
      <c r="AL49" s="27">
        <f>'Ket qua kinh doanh'!AL15</f>
        <v>0</v>
      </c>
      <c r="AM49" s="27">
        <f>'Ket qua kinh doanh'!AM15</f>
        <v>0</v>
      </c>
      <c r="AN49" s="27">
        <f>'Ket qua kinh doanh'!AN15</f>
        <v>5698695249</v>
      </c>
      <c r="AO49" s="27">
        <f>'Ket qua kinh doanh'!AO15</f>
        <v>5090845577</v>
      </c>
      <c r="AP49" s="27">
        <f>'Ket qua kinh doanh'!AP15</f>
        <v>5285019459</v>
      </c>
      <c r="AQ49" s="27">
        <f>'Ket qua kinh doanh'!AQ15</f>
        <v>5584474639</v>
      </c>
      <c r="AR49" s="27">
        <f>'Ket qua kinh doanh'!AR15</f>
        <v>6069340865</v>
      </c>
      <c r="AS49" s="27">
        <f>'Ket qua kinh doanh'!AS15</f>
        <v>5881960019</v>
      </c>
      <c r="AT49" s="27">
        <f>'Ket qua kinh doanh'!AT15</f>
        <v>5698093117</v>
      </c>
      <c r="AU49" s="27">
        <f>'Ket qua kinh doanh'!AU15</f>
        <v>6840474838</v>
      </c>
      <c r="AV49" s="27">
        <f>'Ket qua kinh doanh'!AV15</f>
        <v>8084946891</v>
      </c>
      <c r="AW49" s="27">
        <f>'Ket qua kinh doanh'!AW15</f>
        <v>8025871294</v>
      </c>
      <c r="AX49" s="27">
        <f>'Ket qua kinh doanh'!AX15</f>
        <v>9126335400</v>
      </c>
      <c r="AY49" s="27">
        <f>'Ket qua kinh doanh'!AY15</f>
        <v>7087963087</v>
      </c>
      <c r="AZ49" s="27">
        <f>'Ket qua kinh doanh'!AZ15</f>
        <v>8548199037</v>
      </c>
      <c r="BA49" s="27">
        <f>'Ket qua kinh doanh'!BA15</f>
        <v>8928537962</v>
      </c>
      <c r="BB49" s="27">
        <f>'Ket qua kinh doanh'!BB15</f>
        <v>8618282018</v>
      </c>
      <c r="BC49" s="27">
        <f>'Ket qua kinh doanh'!BC15</f>
        <v>8518246563</v>
      </c>
      <c r="BD49" s="27">
        <f>'Ket qua kinh doanh'!BD15</f>
        <v>9277438311</v>
      </c>
      <c r="BE49" s="27">
        <f>'Ket qua kinh doanh'!BE15</f>
        <v>9026767632</v>
      </c>
      <c r="BF49" s="27">
        <f>'Ket qua kinh doanh'!BF15</f>
        <v>8998978187</v>
      </c>
      <c r="BG49" s="27">
        <f>'Ket qua kinh doanh'!BG15</f>
        <v>9320823983</v>
      </c>
      <c r="BH49" s="27">
        <f>'Ket qua kinh doanh'!BH15</f>
        <v>10936858648</v>
      </c>
      <c r="BI49" s="27">
        <f>'Ket qua kinh doanh'!BI15</f>
        <v>5273319876</v>
      </c>
      <c r="BJ49" s="27">
        <f>'Ket qua kinh doanh'!BJ15</f>
        <v>11469860627</v>
      </c>
      <c r="BK49" s="27">
        <f>'Ket qua kinh doanh'!BK15</f>
        <v>17451279792</v>
      </c>
      <c r="BL49" s="27">
        <f>'Ket qua kinh doanh'!BL15</f>
        <v>9741945070</v>
      </c>
      <c r="BM49" s="27">
        <f>'Ket qua kinh doanh'!BM15</f>
        <v>9621802832</v>
      </c>
      <c r="BN49" s="27">
        <f>'Ket qua kinh doanh'!BN15</f>
        <v>8391794513</v>
      </c>
      <c r="BO49" s="27">
        <f>'Ket qua kinh doanh'!BO15</f>
        <v>9291402760</v>
      </c>
      <c r="BP49" s="27">
        <f>'Ket qua kinh doanh'!BP15</f>
        <v>9149183956</v>
      </c>
      <c r="BQ49" s="27">
        <f>'Ket qua kinh doanh'!BQ15</f>
        <v>0</v>
      </c>
      <c r="BR49" s="27">
        <f>'Ket qua kinh doanh'!BR15</f>
        <v>0</v>
      </c>
      <c r="BS49" s="27">
        <f>'Ket qua kinh doanh'!BS15</f>
        <v>0</v>
      </c>
      <c r="BT49" s="27">
        <f>'Ket qua kinh doanh'!BT15</f>
        <v>0</v>
      </c>
      <c r="BU49" s="27">
        <f>'Ket qua kinh doanh'!BU15</f>
        <v>0</v>
      </c>
      <c r="BV49" s="27">
        <f>'Ket qua kinh doanh'!BV15</f>
        <v>0</v>
      </c>
      <c r="BW49" s="27">
        <f>'Ket qua kinh doanh'!BW15</f>
        <v>0</v>
      </c>
    </row>
    <row r="50" spans="1:75">
      <c r="A50" s="154">
        <v>47</v>
      </c>
      <c r="B50" s="155" t="s">
        <v>455</v>
      </c>
      <c r="C50" s="153">
        <v>28</v>
      </c>
      <c r="D50" s="31"/>
      <c r="E50" s="31"/>
      <c r="F50" s="31"/>
      <c r="G50" s="31"/>
      <c r="H50" s="31"/>
      <c r="I50" s="31"/>
      <c r="J50" s="31"/>
      <c r="K50" s="31"/>
      <c r="L50" s="31"/>
      <c r="M50" s="31"/>
      <c r="N50" s="31"/>
      <c r="O50" s="31"/>
      <c r="P50" s="31"/>
      <c r="Q50" s="31"/>
      <c r="R50" s="31"/>
      <c r="S50" s="31"/>
      <c r="T50" s="31"/>
      <c r="U50" s="31"/>
      <c r="V50" s="31"/>
      <c r="W50" s="31"/>
      <c r="X50" s="31"/>
      <c r="Y50" s="31"/>
      <c r="Z50" s="31"/>
      <c r="AA50" s="31"/>
      <c r="AB50" s="31"/>
      <c r="AC50" s="31"/>
      <c r="AD50" s="31"/>
      <c r="AE50" s="31"/>
      <c r="AF50" s="31"/>
      <c r="AG50" s="31"/>
      <c r="AH50" s="31"/>
      <c r="AI50" s="31"/>
      <c r="AJ50" s="31"/>
      <c r="AK50" s="31"/>
      <c r="AL50" s="31"/>
      <c r="AM50" s="31"/>
      <c r="AN50" s="31"/>
      <c r="AO50" s="31"/>
      <c r="AP50" s="31"/>
      <c r="AQ50" s="31"/>
      <c r="AR50" s="31"/>
      <c r="AS50" s="31"/>
      <c r="AT50" s="31"/>
      <c r="AU50" s="31"/>
      <c r="AV50" s="31"/>
      <c r="AW50" s="31"/>
      <c r="AX50" s="31"/>
      <c r="AY50" s="31"/>
      <c r="AZ50" s="31">
        <v>4157383543</v>
      </c>
      <c r="BA50" s="31">
        <v>4195307799</v>
      </c>
      <c r="BB50" s="31">
        <v>4109630823</v>
      </c>
      <c r="BC50" s="31">
        <v>4567076243</v>
      </c>
      <c r="BD50" s="31">
        <v>4610491716</v>
      </c>
      <c r="BE50" s="31">
        <v>4759681375</v>
      </c>
      <c r="BF50" s="31">
        <v>4411464358</v>
      </c>
      <c r="BG50" s="31">
        <v>4756650624</v>
      </c>
      <c r="BH50" s="31">
        <v>4801556071</v>
      </c>
      <c r="BI50" s="31">
        <v>4765853003</v>
      </c>
      <c r="BJ50" s="31">
        <v>4923720101</v>
      </c>
      <c r="BK50" s="31">
        <v>7041545906</v>
      </c>
      <c r="BL50" s="31">
        <v>5263928321</v>
      </c>
      <c r="BM50" s="31">
        <v>5065248630</v>
      </c>
      <c r="BN50" s="31">
        <v>4835868536</v>
      </c>
      <c r="BO50" s="31">
        <v>5621279710</v>
      </c>
      <c r="BP50" s="31">
        <v>5125373357</v>
      </c>
      <c r="BQ50" s="31"/>
      <c r="BR50" s="31"/>
      <c r="BS50" s="31"/>
      <c r="BT50" s="31"/>
      <c r="BU50" s="31"/>
      <c r="BV50" s="31"/>
      <c r="BW50" s="31"/>
    </row>
    <row r="51" spans="1:75">
      <c r="A51" s="154">
        <v>48</v>
      </c>
      <c r="B51" s="155" t="s">
        <v>456</v>
      </c>
      <c r="C51" s="153">
        <v>28</v>
      </c>
      <c r="D51" s="31"/>
      <c r="E51" s="31"/>
      <c r="F51" s="31"/>
      <c r="G51" s="31"/>
      <c r="H51" s="31"/>
      <c r="I51" s="31"/>
      <c r="J51" s="31"/>
      <c r="K51" s="31"/>
      <c r="L51" s="31"/>
      <c r="M51" s="31"/>
      <c r="N51" s="31"/>
      <c r="O51" s="31"/>
      <c r="P51" s="31"/>
      <c r="Q51" s="31"/>
      <c r="R51" s="31"/>
      <c r="S51" s="31"/>
      <c r="T51" s="31"/>
      <c r="U51" s="31"/>
      <c r="V51" s="31"/>
      <c r="W51" s="31"/>
      <c r="X51" s="31"/>
      <c r="Y51" s="31"/>
      <c r="Z51" s="31"/>
      <c r="AA51" s="31"/>
      <c r="AB51" s="31"/>
      <c r="AC51" s="31"/>
      <c r="AD51" s="31"/>
      <c r="AE51" s="31"/>
      <c r="AF51" s="31"/>
      <c r="AG51" s="31"/>
      <c r="AH51" s="31"/>
      <c r="AI51" s="31"/>
      <c r="AJ51" s="31"/>
      <c r="AK51" s="31"/>
      <c r="AL51" s="31"/>
      <c r="AM51" s="31"/>
      <c r="AN51" s="31"/>
      <c r="AO51" s="31"/>
      <c r="AP51" s="31"/>
      <c r="AQ51" s="31"/>
      <c r="AR51" s="31"/>
      <c r="AS51" s="31"/>
      <c r="AT51" s="31"/>
      <c r="AU51" s="31"/>
      <c r="AV51" s="31"/>
      <c r="AW51" s="31"/>
      <c r="AX51" s="31"/>
      <c r="AY51" s="31"/>
      <c r="AZ51" s="31">
        <v>902924641</v>
      </c>
      <c r="BA51" s="31">
        <v>985724437</v>
      </c>
      <c r="BB51" s="31">
        <v>892462256</v>
      </c>
      <c r="BC51" s="31">
        <v>1004754007</v>
      </c>
      <c r="BD51" s="31">
        <v>976275275</v>
      </c>
      <c r="BE51" s="31">
        <v>1052301602</v>
      </c>
      <c r="BF51" s="31">
        <v>1089605244</v>
      </c>
      <c r="BG51" s="31">
        <v>1096825413</v>
      </c>
      <c r="BH51" s="31">
        <v>964833814</v>
      </c>
      <c r="BI51" s="31">
        <v>1174793734</v>
      </c>
      <c r="BJ51" s="31">
        <v>1180697139</v>
      </c>
      <c r="BK51" s="31">
        <v>4873377549</v>
      </c>
      <c r="BL51" s="31">
        <v>1357433754</v>
      </c>
      <c r="BM51" s="31">
        <v>1146091177</v>
      </c>
      <c r="BN51" s="31">
        <v>1172480754</v>
      </c>
      <c r="BO51" s="31">
        <v>1412348324</v>
      </c>
      <c r="BP51" s="31">
        <v>1407763113</v>
      </c>
      <c r="BQ51" s="31"/>
      <c r="BR51" s="31"/>
      <c r="BS51" s="31"/>
      <c r="BT51" s="31"/>
      <c r="BU51" s="31"/>
      <c r="BV51" s="31"/>
      <c r="BW51" s="31"/>
    </row>
    <row r="52" spans="1:75">
      <c r="A52" s="154">
        <v>49</v>
      </c>
      <c r="B52" s="155" t="s">
        <v>457</v>
      </c>
      <c r="C52" s="153">
        <v>28</v>
      </c>
      <c r="D52" s="31"/>
      <c r="E52" s="31"/>
      <c r="F52" s="31"/>
      <c r="G52" s="31"/>
      <c r="H52" s="31"/>
      <c r="I52" s="31"/>
      <c r="J52" s="31"/>
      <c r="K52" s="31"/>
      <c r="L52" s="31"/>
      <c r="M52" s="31"/>
      <c r="N52" s="31"/>
      <c r="O52" s="31"/>
      <c r="P52" s="31"/>
      <c r="Q52" s="31"/>
      <c r="R52" s="31"/>
      <c r="S52" s="31"/>
      <c r="T52" s="31"/>
      <c r="U52" s="31"/>
      <c r="V52" s="31"/>
      <c r="W52" s="31"/>
      <c r="X52" s="31"/>
      <c r="Y52" s="31"/>
      <c r="Z52" s="31"/>
      <c r="AA52" s="31"/>
      <c r="AB52" s="31"/>
      <c r="AC52" s="31"/>
      <c r="AD52" s="31"/>
      <c r="AE52" s="31"/>
      <c r="AF52" s="31"/>
      <c r="AG52" s="31"/>
      <c r="AH52" s="31"/>
      <c r="AI52" s="31"/>
      <c r="AJ52" s="31"/>
      <c r="AK52" s="31"/>
      <c r="AL52" s="31"/>
      <c r="AM52" s="31"/>
      <c r="AN52" s="31"/>
      <c r="AO52" s="31"/>
      <c r="AP52" s="31"/>
      <c r="AQ52" s="31"/>
      <c r="AR52" s="31"/>
      <c r="AS52" s="31"/>
      <c r="AT52" s="31"/>
      <c r="AU52" s="31"/>
      <c r="AV52" s="31"/>
      <c r="AW52" s="31"/>
      <c r="AX52" s="31"/>
      <c r="AY52" s="31"/>
      <c r="AZ52" s="31">
        <v>442609315</v>
      </c>
      <c r="BA52" s="31">
        <v>442609316</v>
      </c>
      <c r="BB52" s="31">
        <v>446514041</v>
      </c>
      <c r="BC52" s="31">
        <v>487969281</v>
      </c>
      <c r="BD52" s="31">
        <v>487969283</v>
      </c>
      <c r="BE52" s="31">
        <v>504068745</v>
      </c>
      <c r="BF52" s="31">
        <v>351628210</v>
      </c>
      <c r="BG52" s="31">
        <v>358231270</v>
      </c>
      <c r="BH52" s="31">
        <v>496415629</v>
      </c>
      <c r="BI52" s="31">
        <v>359075929</v>
      </c>
      <c r="BJ52" s="31">
        <v>359075932</v>
      </c>
      <c r="BK52" s="31">
        <v>308444264</v>
      </c>
      <c r="BL52" s="31">
        <v>93279750</v>
      </c>
      <c r="BM52" s="31">
        <v>95955461</v>
      </c>
      <c r="BN52" s="31">
        <v>90974316</v>
      </c>
      <c r="BO52" s="31">
        <v>91256637</v>
      </c>
      <c r="BP52" s="31">
        <v>90561980</v>
      </c>
      <c r="BQ52" s="31"/>
      <c r="BR52" s="31"/>
      <c r="BS52" s="31"/>
      <c r="BT52" s="31"/>
      <c r="BU52" s="31"/>
      <c r="BV52" s="31"/>
      <c r="BW52" s="31"/>
    </row>
    <row r="53" spans="1:75">
      <c r="A53" s="154">
        <v>50</v>
      </c>
      <c r="B53" s="155" t="s">
        <v>458</v>
      </c>
      <c r="C53" s="153">
        <v>28</v>
      </c>
      <c r="D53" s="31"/>
      <c r="E53" s="31"/>
      <c r="F53" s="31"/>
      <c r="G53" s="31"/>
      <c r="H53" s="31"/>
      <c r="I53" s="31"/>
      <c r="J53" s="31"/>
      <c r="K53" s="31"/>
      <c r="L53" s="31"/>
      <c r="M53" s="31"/>
      <c r="N53" s="31"/>
      <c r="O53" s="31"/>
      <c r="P53" s="31"/>
      <c r="Q53" s="31"/>
      <c r="R53" s="31"/>
      <c r="S53" s="31"/>
      <c r="T53" s="31"/>
      <c r="U53" s="31"/>
      <c r="V53" s="31"/>
      <c r="W53" s="31"/>
      <c r="X53" s="31"/>
      <c r="Y53" s="31"/>
      <c r="Z53" s="31"/>
      <c r="AA53" s="31"/>
      <c r="AB53" s="31"/>
      <c r="AC53" s="31"/>
      <c r="AD53" s="31"/>
      <c r="AE53" s="31"/>
      <c r="AF53" s="31"/>
      <c r="AG53" s="31"/>
      <c r="AH53" s="31"/>
      <c r="AI53" s="31"/>
      <c r="AJ53" s="31"/>
      <c r="AK53" s="31"/>
      <c r="AL53" s="31"/>
      <c r="AM53" s="31"/>
      <c r="AN53" s="31"/>
      <c r="AO53" s="31"/>
      <c r="AP53" s="31"/>
      <c r="AQ53" s="31"/>
      <c r="AR53" s="31"/>
      <c r="AS53" s="31"/>
      <c r="AT53" s="31"/>
      <c r="AU53" s="31"/>
      <c r="AV53" s="31"/>
      <c r="AW53" s="31"/>
      <c r="AX53" s="31"/>
      <c r="AY53" s="31"/>
      <c r="AZ53" s="31">
        <v>3045281538</v>
      </c>
      <c r="BA53" s="31">
        <v>3304896410</v>
      </c>
      <c r="BB53" s="31">
        <v>3169674898</v>
      </c>
      <c r="BC53" s="31">
        <v>2458447032</v>
      </c>
      <c r="BD53" s="31">
        <v>3202702037</v>
      </c>
      <c r="BE53" s="31">
        <v>2710715910</v>
      </c>
      <c r="BF53" s="31">
        <v>3146280375</v>
      </c>
      <c r="BG53" s="31">
        <v>3109116676</v>
      </c>
      <c r="BH53" s="31">
        <v>4674053134</v>
      </c>
      <c r="BI53" s="31">
        <v>-1026402790</v>
      </c>
      <c r="BJ53" s="31">
        <v>5006367455</v>
      </c>
      <c r="BK53" s="31">
        <v>5227912073</v>
      </c>
      <c r="BL53" s="31">
        <v>3027303245</v>
      </c>
      <c r="BM53" s="31">
        <v>3314507564</v>
      </c>
      <c r="BN53" s="31">
        <v>2292470907</v>
      </c>
      <c r="BO53" s="31">
        <v>2166518089</v>
      </c>
      <c r="BP53" s="31">
        <v>2525485506</v>
      </c>
      <c r="BQ53" s="31"/>
      <c r="BR53" s="31"/>
      <c r="BS53" s="31"/>
      <c r="BT53" s="31"/>
      <c r="BU53" s="31"/>
      <c r="BV53" s="31"/>
      <c r="BW53" s="31"/>
    </row>
    <row r="54" spans="1:75">
      <c r="A54" s="159">
        <v>51</v>
      </c>
      <c r="B54" s="160" t="s">
        <v>459</v>
      </c>
      <c r="C54" s="151">
        <v>28</v>
      </c>
      <c r="D54" s="29" t="str">
        <f t="shared" ref="D54:BJ54" si="17">IFERROR(D49/D12,"")</f>
        <v/>
      </c>
      <c r="E54" s="29" t="str">
        <f t="shared" si="17"/>
        <v/>
      </c>
      <c r="F54" s="29" t="str">
        <f t="shared" si="17"/>
        <v/>
      </c>
      <c r="G54" s="29" t="str">
        <f t="shared" si="17"/>
        <v/>
      </c>
      <c r="H54" s="29" t="str">
        <f t="shared" si="17"/>
        <v/>
      </c>
      <c r="I54" s="29" t="str">
        <f t="shared" si="17"/>
        <v/>
      </c>
      <c r="J54" s="29" t="str">
        <f t="shared" si="17"/>
        <v/>
      </c>
      <c r="K54" s="29" t="str">
        <f t="shared" si="17"/>
        <v/>
      </c>
      <c r="L54" s="29" t="str">
        <f t="shared" si="17"/>
        <v/>
      </c>
      <c r="M54" s="29" t="str">
        <f t="shared" si="17"/>
        <v/>
      </c>
      <c r="N54" s="29" t="str">
        <f t="shared" si="17"/>
        <v/>
      </c>
      <c r="O54" s="29" t="str">
        <f t="shared" si="17"/>
        <v/>
      </c>
      <c r="P54" s="29" t="str">
        <f t="shared" si="17"/>
        <v/>
      </c>
      <c r="Q54" s="29" t="str">
        <f t="shared" si="17"/>
        <v/>
      </c>
      <c r="R54" s="29" t="str">
        <f t="shared" si="17"/>
        <v/>
      </c>
      <c r="S54" s="29" t="str">
        <f t="shared" si="17"/>
        <v/>
      </c>
      <c r="T54" s="29" t="str">
        <f t="shared" si="17"/>
        <v/>
      </c>
      <c r="U54" s="29" t="str">
        <f t="shared" si="17"/>
        <v/>
      </c>
      <c r="V54" s="29" t="str">
        <f t="shared" si="17"/>
        <v/>
      </c>
      <c r="W54" s="29" t="str">
        <f t="shared" si="17"/>
        <v/>
      </c>
      <c r="X54" s="29" t="str">
        <f t="shared" si="17"/>
        <v/>
      </c>
      <c r="Y54" s="29" t="str">
        <f t="shared" si="17"/>
        <v/>
      </c>
      <c r="Z54" s="29" t="str">
        <f t="shared" si="17"/>
        <v/>
      </c>
      <c r="AA54" s="29" t="str">
        <f t="shared" si="17"/>
        <v/>
      </c>
      <c r="AB54" s="29" t="str">
        <f t="shared" si="17"/>
        <v/>
      </c>
      <c r="AC54" s="29" t="str">
        <f t="shared" si="17"/>
        <v/>
      </c>
      <c r="AD54" s="29" t="str">
        <f t="shared" si="17"/>
        <v/>
      </c>
      <c r="AE54" s="29" t="str">
        <f t="shared" si="17"/>
        <v/>
      </c>
      <c r="AF54" s="29" t="str">
        <f t="shared" si="17"/>
        <v/>
      </c>
      <c r="AG54" s="29" t="str">
        <f t="shared" si="17"/>
        <v/>
      </c>
      <c r="AH54" s="29" t="str">
        <f t="shared" si="17"/>
        <v/>
      </c>
      <c r="AI54" s="29" t="str">
        <f t="shared" si="17"/>
        <v/>
      </c>
      <c r="AJ54" s="29" t="str">
        <f t="shared" si="17"/>
        <v/>
      </c>
      <c r="AK54" s="29" t="str">
        <f t="shared" si="17"/>
        <v/>
      </c>
      <c r="AL54" s="29" t="str">
        <f t="shared" si="17"/>
        <v/>
      </c>
      <c r="AM54" s="29" t="str">
        <f t="shared" si="17"/>
        <v/>
      </c>
      <c r="AN54" s="29">
        <f t="shared" si="17"/>
        <v>4.3823327299781251E-2</v>
      </c>
      <c r="AO54" s="29">
        <f t="shared" si="17"/>
        <v>6.0983060969462148E-2</v>
      </c>
      <c r="AP54" s="29">
        <f t="shared" si="17"/>
        <v>4.57081117806174E-2</v>
      </c>
      <c r="AQ54" s="29">
        <f t="shared" si="17"/>
        <v>4.7467950802511746E-2</v>
      </c>
      <c r="AR54" s="29">
        <f t="shared" si="17"/>
        <v>4.7435606178362386E-2</v>
      </c>
      <c r="AS54" s="29">
        <f t="shared" si="17"/>
        <v>6.1487176963276123E-2</v>
      </c>
      <c r="AT54" s="29">
        <f t="shared" si="17"/>
        <v>7.630046694713731E-2</v>
      </c>
      <c r="AU54" s="29">
        <f t="shared" si="17"/>
        <v>3.9633823270130632E-2</v>
      </c>
      <c r="AV54" s="29">
        <f t="shared" si="17"/>
        <v>4.6076133694931763E-2</v>
      </c>
      <c r="AW54" s="29">
        <f t="shared" si="17"/>
        <v>5.7209470515793656E-2</v>
      </c>
      <c r="AX54" s="29">
        <f t="shared" si="17"/>
        <v>9.3942487600756838E-2</v>
      </c>
      <c r="AY54" s="29">
        <f t="shared" si="17"/>
        <v>5.7157911500235574E-2</v>
      </c>
      <c r="AZ54" s="29">
        <f t="shared" si="17"/>
        <v>7.467636158335085E-2</v>
      </c>
      <c r="BA54" s="29">
        <f t="shared" si="17"/>
        <v>4.7492359348827874E-2</v>
      </c>
      <c r="BB54" s="29">
        <f t="shared" si="17"/>
        <v>5.7363735603596755E-2</v>
      </c>
      <c r="BC54" s="29">
        <f t="shared" si="17"/>
        <v>6.7935512133105114E-2</v>
      </c>
      <c r="BD54" s="29">
        <f t="shared" si="17"/>
        <v>6.1023109939327698E-2</v>
      </c>
      <c r="BE54" s="29">
        <f t="shared" si="17"/>
        <v>7.555053530062196E-2</v>
      </c>
      <c r="BF54" s="29">
        <f t="shared" si="17"/>
        <v>6.5208417183256345E-2</v>
      </c>
      <c r="BG54" s="29">
        <f t="shared" si="17"/>
        <v>5.532230583316599E-2</v>
      </c>
      <c r="BH54" s="29">
        <f t="shared" si="17"/>
        <v>0.12907974826160415</v>
      </c>
      <c r="BI54" s="29">
        <f t="shared" si="17"/>
        <v>4.8374343804178543E-2</v>
      </c>
      <c r="BJ54" s="29">
        <f t="shared" si="17"/>
        <v>0.1297651763554693</v>
      </c>
      <c r="BK54" s="29">
        <f t="shared" ref="BK54:BW54" si="18">IFERROR(BK49/BK12,"")</f>
        <v>0.17509869211494122</v>
      </c>
      <c r="BL54" s="29">
        <f t="shared" ref="BL54:BO54" si="19">IFERROR(BL49/BL12,"")</f>
        <v>7.7450655191188697E-2</v>
      </c>
      <c r="BM54" s="29">
        <f t="shared" si="19"/>
        <v>9.965700066341579E-2</v>
      </c>
      <c r="BN54" s="29">
        <f t="shared" si="19"/>
        <v>4.8505615333802828E-2</v>
      </c>
      <c r="BO54" s="29">
        <f t="shared" si="19"/>
        <v>5.8381415633959287E-2</v>
      </c>
      <c r="BP54" s="29">
        <f t="shared" si="18"/>
        <v>5.7260147762273277E-2</v>
      </c>
      <c r="BQ54" s="29" t="str">
        <f t="shared" si="18"/>
        <v/>
      </c>
      <c r="BR54" s="29" t="str">
        <f t="shared" si="18"/>
        <v/>
      </c>
      <c r="BS54" s="29" t="str">
        <f t="shared" si="18"/>
        <v/>
      </c>
      <c r="BT54" s="29" t="str">
        <f t="shared" si="18"/>
        <v/>
      </c>
      <c r="BU54" s="29" t="str">
        <f t="shared" si="18"/>
        <v/>
      </c>
      <c r="BV54" s="29" t="str">
        <f t="shared" si="18"/>
        <v/>
      </c>
      <c r="BW54" s="29" t="str">
        <f t="shared" si="18"/>
        <v/>
      </c>
    </row>
    <row r="55" spans="1:75">
      <c r="A55" s="157">
        <v>52</v>
      </c>
      <c r="B55" s="158" t="s">
        <v>460</v>
      </c>
      <c r="C55" s="150">
        <v>28</v>
      </c>
      <c r="D55" s="28">
        <f>'Ket qua kinh doanh'!D12</f>
        <v>0</v>
      </c>
      <c r="E55" s="28">
        <f>'Ket qua kinh doanh'!E12</f>
        <v>0</v>
      </c>
      <c r="F55" s="28">
        <f>'Ket qua kinh doanh'!F12</f>
        <v>0</v>
      </c>
      <c r="G55" s="28">
        <f>'Ket qua kinh doanh'!G12</f>
        <v>0</v>
      </c>
      <c r="H55" s="28">
        <f>'Ket qua kinh doanh'!H12</f>
        <v>0</v>
      </c>
      <c r="I55" s="28">
        <f>'Ket qua kinh doanh'!I12</f>
        <v>0</v>
      </c>
      <c r="J55" s="28">
        <f>'Ket qua kinh doanh'!J12</f>
        <v>0</v>
      </c>
      <c r="K55" s="28">
        <f>'Ket qua kinh doanh'!K12</f>
        <v>0</v>
      </c>
      <c r="L55" s="28">
        <f>'Ket qua kinh doanh'!L12</f>
        <v>0</v>
      </c>
      <c r="M55" s="28">
        <f>'Ket qua kinh doanh'!M12</f>
        <v>0</v>
      </c>
      <c r="N55" s="28">
        <f>'Ket qua kinh doanh'!N12</f>
        <v>0</v>
      </c>
      <c r="O55" s="28">
        <f>'Ket qua kinh doanh'!O12</f>
        <v>0</v>
      </c>
      <c r="P55" s="28">
        <f>'Ket qua kinh doanh'!P12</f>
        <v>0</v>
      </c>
      <c r="Q55" s="28">
        <f>'Ket qua kinh doanh'!Q12</f>
        <v>0</v>
      </c>
      <c r="R55" s="28">
        <f>'Ket qua kinh doanh'!R12</f>
        <v>0</v>
      </c>
      <c r="S55" s="28">
        <f>'Ket qua kinh doanh'!S12</f>
        <v>0</v>
      </c>
      <c r="T55" s="28">
        <f>'Ket qua kinh doanh'!T12</f>
        <v>0</v>
      </c>
      <c r="U55" s="28">
        <f>'Ket qua kinh doanh'!U12</f>
        <v>0</v>
      </c>
      <c r="V55" s="28">
        <f>'Ket qua kinh doanh'!V12</f>
        <v>0</v>
      </c>
      <c r="W55" s="28">
        <f>'Ket qua kinh doanh'!W12</f>
        <v>0</v>
      </c>
      <c r="X55" s="28">
        <f>'Ket qua kinh doanh'!X12</f>
        <v>0</v>
      </c>
      <c r="Y55" s="28">
        <f>'Ket qua kinh doanh'!Y12</f>
        <v>0</v>
      </c>
      <c r="Z55" s="28">
        <f>'Ket qua kinh doanh'!Z12</f>
        <v>0</v>
      </c>
      <c r="AA55" s="28">
        <f>'Ket qua kinh doanh'!AA12</f>
        <v>0</v>
      </c>
      <c r="AB55" s="28">
        <f>'Ket qua kinh doanh'!AB12</f>
        <v>0</v>
      </c>
      <c r="AC55" s="28">
        <f>'Ket qua kinh doanh'!AC12</f>
        <v>0</v>
      </c>
      <c r="AD55" s="28">
        <f>'Ket qua kinh doanh'!AD12</f>
        <v>0</v>
      </c>
      <c r="AE55" s="28">
        <f>'Ket qua kinh doanh'!AE12</f>
        <v>0</v>
      </c>
      <c r="AF55" s="28">
        <f>'Ket qua kinh doanh'!AF12</f>
        <v>0</v>
      </c>
      <c r="AG55" s="28">
        <f>'Ket qua kinh doanh'!AG12</f>
        <v>0</v>
      </c>
      <c r="AH55" s="28">
        <f>'Ket qua kinh doanh'!AH12</f>
        <v>0</v>
      </c>
      <c r="AI55" s="28">
        <f>'Ket qua kinh doanh'!AI12</f>
        <v>0</v>
      </c>
      <c r="AJ55" s="28">
        <f>'Ket qua kinh doanh'!AJ12</f>
        <v>0</v>
      </c>
      <c r="AK55" s="28">
        <f>'Ket qua kinh doanh'!AK12</f>
        <v>0</v>
      </c>
      <c r="AL55" s="28">
        <f>'Ket qua kinh doanh'!AL12</f>
        <v>0</v>
      </c>
      <c r="AM55" s="28">
        <f>'Ket qua kinh doanh'!AM12</f>
        <v>0</v>
      </c>
      <c r="AN55" s="28">
        <f>'Ket qua kinh doanh'!AN12</f>
        <v>801399604</v>
      </c>
      <c r="AO55" s="28">
        <f>'Ket qua kinh doanh'!AO12</f>
        <v>695500231</v>
      </c>
      <c r="AP55" s="28">
        <f>'Ket qua kinh doanh'!AP12</f>
        <v>663502461</v>
      </c>
      <c r="AQ55" s="28">
        <f>'Ket qua kinh doanh'!AQ12</f>
        <v>1555671370</v>
      </c>
      <c r="AR55" s="28">
        <f>'Ket qua kinh doanh'!AR12</f>
        <v>936492932</v>
      </c>
      <c r="AS55" s="28">
        <f>'Ket qua kinh doanh'!AS12</f>
        <v>1103852896</v>
      </c>
      <c r="AT55" s="28">
        <f>'Ket qua kinh doanh'!AT12</f>
        <v>1608708972</v>
      </c>
      <c r="AU55" s="28">
        <f>'Ket qua kinh doanh'!AU12</f>
        <v>1489581015</v>
      </c>
      <c r="AV55" s="28">
        <f>'Ket qua kinh doanh'!AV12</f>
        <v>1372261307</v>
      </c>
      <c r="AW55" s="28">
        <f>'Ket qua kinh doanh'!AW12</f>
        <v>636041020</v>
      </c>
      <c r="AX55" s="28">
        <f>'Ket qua kinh doanh'!AX12</f>
        <v>1257673070</v>
      </c>
      <c r="AY55" s="28">
        <f>'Ket qua kinh doanh'!AY12</f>
        <v>993026233</v>
      </c>
      <c r="AZ55" s="28">
        <f>'Ket qua kinh doanh'!AZ12</f>
        <v>1529745602</v>
      </c>
      <c r="BA55" s="28">
        <f>'Ket qua kinh doanh'!BA12</f>
        <v>1349010483</v>
      </c>
      <c r="BB55" s="28">
        <f>'Ket qua kinh doanh'!BB12</f>
        <v>902730488</v>
      </c>
      <c r="BC55" s="28">
        <f>'Ket qua kinh doanh'!BC12</f>
        <v>1450570894</v>
      </c>
      <c r="BD55" s="28">
        <f>'Ket qua kinh doanh'!BD12</f>
        <v>858169737</v>
      </c>
      <c r="BE55" s="28">
        <f>'Ket qua kinh doanh'!BE12</f>
        <v>1483876982</v>
      </c>
      <c r="BF55" s="28">
        <f>'Ket qua kinh doanh'!BF12</f>
        <v>1318435167</v>
      </c>
      <c r="BG55" s="28">
        <f>'Ket qua kinh doanh'!BG12</f>
        <v>1366041150</v>
      </c>
      <c r="BH55" s="28">
        <f>'Ket qua kinh doanh'!BH12</f>
        <v>1603769193</v>
      </c>
      <c r="BI55" s="28">
        <f>'Ket qua kinh doanh'!BI12</f>
        <v>2900732378</v>
      </c>
      <c r="BJ55" s="28">
        <f>'Ket qua kinh doanh'!BJ12</f>
        <v>1301741764</v>
      </c>
      <c r="BK55" s="28">
        <f>'Ket qua kinh doanh'!BK12</f>
        <v>2479436989</v>
      </c>
      <c r="BL55" s="28">
        <f>'Ket qua kinh doanh'!BL12</f>
        <v>1532817392</v>
      </c>
      <c r="BM55" s="28">
        <f>'Ket qua kinh doanh'!BM12</f>
        <v>1578519037</v>
      </c>
      <c r="BN55" s="28">
        <f>'Ket qua kinh doanh'!BN12</f>
        <v>1510605035</v>
      </c>
      <c r="BO55" s="28">
        <f>'Ket qua kinh doanh'!BO12</f>
        <v>1999303711</v>
      </c>
      <c r="BP55" s="28">
        <f>'Ket qua kinh doanh'!BP12</f>
        <v>1209081371</v>
      </c>
      <c r="BQ55" s="28">
        <f>'Ket qua kinh doanh'!BQ12</f>
        <v>0</v>
      </c>
      <c r="BR55" s="28">
        <f>'Ket qua kinh doanh'!BR12</f>
        <v>0</v>
      </c>
      <c r="BS55" s="28">
        <f>'Ket qua kinh doanh'!BS12</f>
        <v>0</v>
      </c>
      <c r="BT55" s="28">
        <f>'Ket qua kinh doanh'!BT12</f>
        <v>0</v>
      </c>
      <c r="BU55" s="28">
        <f>'Ket qua kinh doanh'!BU12</f>
        <v>0</v>
      </c>
      <c r="BV55" s="28">
        <f>'Ket qua kinh doanh'!BV12</f>
        <v>0</v>
      </c>
      <c r="BW55" s="28">
        <f>'Ket qua kinh doanh'!BW12</f>
        <v>0</v>
      </c>
    </row>
    <row r="56" spans="1:75">
      <c r="A56" s="142">
        <v>53</v>
      </c>
      <c r="B56" s="143" t="s">
        <v>461</v>
      </c>
      <c r="C56" s="153">
        <v>28</v>
      </c>
      <c r="D56" s="31">
        <f>'Ket qua kinh doanh'!D13</f>
        <v>0</v>
      </c>
      <c r="E56" s="31">
        <f>'Ket qua kinh doanh'!E13</f>
        <v>0</v>
      </c>
      <c r="F56" s="31">
        <f>'Ket qua kinh doanh'!F13</f>
        <v>0</v>
      </c>
      <c r="G56" s="31">
        <f>'Ket qua kinh doanh'!G13</f>
        <v>0</v>
      </c>
      <c r="H56" s="31">
        <f>'Ket qua kinh doanh'!H13</f>
        <v>0</v>
      </c>
      <c r="I56" s="31">
        <f>'Ket qua kinh doanh'!I13</f>
        <v>0</v>
      </c>
      <c r="J56" s="31">
        <f>'Ket qua kinh doanh'!J13</f>
        <v>0</v>
      </c>
      <c r="K56" s="31">
        <f>'Ket qua kinh doanh'!K13</f>
        <v>0</v>
      </c>
      <c r="L56" s="31">
        <f>'Ket qua kinh doanh'!L13</f>
        <v>0</v>
      </c>
      <c r="M56" s="31">
        <f>'Ket qua kinh doanh'!M13</f>
        <v>0</v>
      </c>
      <c r="N56" s="31">
        <f>'Ket qua kinh doanh'!N13</f>
        <v>0</v>
      </c>
      <c r="O56" s="31">
        <f>'Ket qua kinh doanh'!O13</f>
        <v>0</v>
      </c>
      <c r="P56" s="31">
        <f>'Ket qua kinh doanh'!P13</f>
        <v>0</v>
      </c>
      <c r="Q56" s="31">
        <f>'Ket qua kinh doanh'!Q13</f>
        <v>0</v>
      </c>
      <c r="R56" s="31">
        <f>'Ket qua kinh doanh'!R13</f>
        <v>0</v>
      </c>
      <c r="S56" s="31">
        <f>'Ket qua kinh doanh'!S13</f>
        <v>0</v>
      </c>
      <c r="T56" s="31">
        <f>'Ket qua kinh doanh'!T13</f>
        <v>0</v>
      </c>
      <c r="U56" s="31">
        <f>'Ket qua kinh doanh'!U13</f>
        <v>0</v>
      </c>
      <c r="V56" s="31">
        <f>'Ket qua kinh doanh'!V13</f>
        <v>0</v>
      </c>
      <c r="W56" s="31">
        <f>'Ket qua kinh doanh'!W13</f>
        <v>0</v>
      </c>
      <c r="X56" s="31">
        <f>'Ket qua kinh doanh'!X13</f>
        <v>0</v>
      </c>
      <c r="Y56" s="31">
        <f>'Ket qua kinh doanh'!Y13</f>
        <v>0</v>
      </c>
      <c r="Z56" s="31">
        <f>'Ket qua kinh doanh'!Z13</f>
        <v>0</v>
      </c>
      <c r="AA56" s="31">
        <f>'Ket qua kinh doanh'!AA13</f>
        <v>0</v>
      </c>
      <c r="AB56" s="31">
        <f>'Ket qua kinh doanh'!AB13</f>
        <v>0</v>
      </c>
      <c r="AC56" s="31">
        <f>'Ket qua kinh doanh'!AC13</f>
        <v>0</v>
      </c>
      <c r="AD56" s="31">
        <f>'Ket qua kinh doanh'!AD13</f>
        <v>0</v>
      </c>
      <c r="AE56" s="31">
        <f>'Ket qua kinh doanh'!AE13</f>
        <v>0</v>
      </c>
      <c r="AF56" s="31">
        <f>'Ket qua kinh doanh'!AF13</f>
        <v>0</v>
      </c>
      <c r="AG56" s="31">
        <f>'Ket qua kinh doanh'!AG13</f>
        <v>0</v>
      </c>
      <c r="AH56" s="31">
        <f>'Ket qua kinh doanh'!AH13</f>
        <v>0</v>
      </c>
      <c r="AI56" s="31">
        <f>'Ket qua kinh doanh'!AI13</f>
        <v>0</v>
      </c>
      <c r="AJ56" s="31">
        <f>'Ket qua kinh doanh'!AJ13</f>
        <v>0</v>
      </c>
      <c r="AK56" s="31">
        <f>'Ket qua kinh doanh'!AK13</f>
        <v>0</v>
      </c>
      <c r="AL56" s="31">
        <f>'Ket qua kinh doanh'!AL13</f>
        <v>0</v>
      </c>
      <c r="AM56" s="31">
        <f>'Ket qua kinh doanh'!AM13</f>
        <v>0</v>
      </c>
      <c r="AN56" s="31">
        <f>'Ket qua kinh doanh'!AN13</f>
        <v>460461775</v>
      </c>
      <c r="AO56" s="31">
        <f>'Ket qua kinh doanh'!AO13</f>
        <v>563909516</v>
      </c>
      <c r="AP56" s="31">
        <f>'Ket qua kinh doanh'!AP13</f>
        <v>587315920</v>
      </c>
      <c r="AQ56" s="31">
        <f>'Ket qua kinh doanh'!AQ13</f>
        <v>905708142</v>
      </c>
      <c r="AR56" s="31">
        <f>'Ket qua kinh doanh'!AR13</f>
        <v>974310029</v>
      </c>
      <c r="AS56" s="31">
        <f>'Ket qua kinh doanh'!AS13</f>
        <v>1115056080</v>
      </c>
      <c r="AT56" s="31">
        <f>'Ket qua kinh doanh'!AT13</f>
        <v>1160823006</v>
      </c>
      <c r="AU56" s="31">
        <f>'Ket qua kinh doanh'!AU13</f>
        <v>939585045</v>
      </c>
      <c r="AV56" s="31">
        <f>'Ket qua kinh doanh'!AV13</f>
        <v>859444105</v>
      </c>
      <c r="AW56" s="31">
        <f>'Ket qua kinh doanh'!AW13</f>
        <v>840165515</v>
      </c>
      <c r="AX56" s="31">
        <f>'Ket qua kinh doanh'!AX13</f>
        <v>889159081</v>
      </c>
      <c r="AY56" s="31">
        <f>'Ket qua kinh doanh'!AY13</f>
        <v>1032562923</v>
      </c>
      <c r="AZ56" s="31">
        <f>'Ket qua kinh doanh'!AZ13</f>
        <v>1114824276</v>
      </c>
      <c r="BA56" s="31">
        <f>'Ket qua kinh doanh'!BA13</f>
        <v>928379281</v>
      </c>
      <c r="BB56" s="31">
        <f>'Ket qua kinh doanh'!BB13</f>
        <v>673966789</v>
      </c>
      <c r="BC56" s="31">
        <f>'Ket qua kinh doanh'!BC13</f>
        <v>888393452</v>
      </c>
      <c r="BD56" s="31">
        <f>'Ket qua kinh doanh'!BD13</f>
        <v>1186588729</v>
      </c>
      <c r="BE56" s="31">
        <f>'Ket qua kinh doanh'!BE13</f>
        <v>1448899822</v>
      </c>
      <c r="BF56" s="31">
        <f>'Ket qua kinh doanh'!BF13</f>
        <v>1245210526</v>
      </c>
      <c r="BG56" s="31">
        <f>'Ket qua kinh doanh'!BG13</f>
        <v>1303560910</v>
      </c>
      <c r="BH56" s="31">
        <f>'Ket qua kinh doanh'!BH13</f>
        <v>1595764355</v>
      </c>
      <c r="BI56" s="31">
        <f>'Ket qua kinh doanh'!BI13</f>
        <v>1368802426</v>
      </c>
      <c r="BJ56" s="31">
        <f>'Ket qua kinh doanh'!BJ13</f>
        <v>1256132292</v>
      </c>
      <c r="BK56" s="31">
        <f>'Ket qua kinh doanh'!BK13</f>
        <v>1256103396</v>
      </c>
      <c r="BL56" s="31">
        <f>'Ket qua kinh doanh'!BL13</f>
        <v>1240115065</v>
      </c>
      <c r="BM56" s="31">
        <f>'Ket qua kinh doanh'!BM13</f>
        <v>1156279418</v>
      </c>
      <c r="BN56" s="31">
        <f>'Ket qua kinh doanh'!BN13</f>
        <v>959718564</v>
      </c>
      <c r="BO56" s="31">
        <f>'Ket qua kinh doanh'!BO13</f>
        <v>1062084475</v>
      </c>
      <c r="BP56" s="31">
        <f>'Ket qua kinh doanh'!BP13</f>
        <v>838836791</v>
      </c>
      <c r="BQ56" s="31">
        <f>'Ket qua kinh doanh'!BQ13</f>
        <v>0</v>
      </c>
      <c r="BR56" s="31">
        <f>'Ket qua kinh doanh'!BR13</f>
        <v>0</v>
      </c>
      <c r="BS56" s="31">
        <f>'Ket qua kinh doanh'!BS13</f>
        <v>0</v>
      </c>
      <c r="BT56" s="31">
        <f>'Ket qua kinh doanh'!BT13</f>
        <v>0</v>
      </c>
      <c r="BU56" s="31">
        <f>'Ket qua kinh doanh'!BU13</f>
        <v>0</v>
      </c>
      <c r="BV56" s="31">
        <f>'Ket qua kinh doanh'!BV13</f>
        <v>0</v>
      </c>
      <c r="BW56" s="31">
        <f>'Ket qua kinh doanh'!BW13</f>
        <v>0</v>
      </c>
    </row>
    <row r="57" spans="1:75">
      <c r="A57" s="161">
        <v>54</v>
      </c>
      <c r="B57" s="162" t="s">
        <v>462</v>
      </c>
      <c r="C57" s="151">
        <v>28</v>
      </c>
      <c r="D57" s="29" t="str">
        <f t="shared" ref="D57:BJ57" si="20">IFERROR(D56/D12,"")</f>
        <v/>
      </c>
      <c r="E57" s="29" t="str">
        <f t="shared" si="20"/>
        <v/>
      </c>
      <c r="F57" s="29" t="str">
        <f t="shared" si="20"/>
        <v/>
      </c>
      <c r="G57" s="29" t="str">
        <f t="shared" si="20"/>
        <v/>
      </c>
      <c r="H57" s="29" t="str">
        <f t="shared" si="20"/>
        <v/>
      </c>
      <c r="I57" s="29" t="str">
        <f t="shared" si="20"/>
        <v/>
      </c>
      <c r="J57" s="29" t="str">
        <f t="shared" si="20"/>
        <v/>
      </c>
      <c r="K57" s="29" t="str">
        <f t="shared" si="20"/>
        <v/>
      </c>
      <c r="L57" s="29" t="str">
        <f t="shared" si="20"/>
        <v/>
      </c>
      <c r="M57" s="29" t="str">
        <f t="shared" si="20"/>
        <v/>
      </c>
      <c r="N57" s="29" t="str">
        <f t="shared" si="20"/>
        <v/>
      </c>
      <c r="O57" s="29" t="str">
        <f t="shared" si="20"/>
        <v/>
      </c>
      <c r="P57" s="29" t="str">
        <f t="shared" si="20"/>
        <v/>
      </c>
      <c r="Q57" s="29" t="str">
        <f t="shared" si="20"/>
        <v/>
      </c>
      <c r="R57" s="29" t="str">
        <f t="shared" si="20"/>
        <v/>
      </c>
      <c r="S57" s="29" t="str">
        <f t="shared" si="20"/>
        <v/>
      </c>
      <c r="T57" s="29" t="str">
        <f t="shared" si="20"/>
        <v/>
      </c>
      <c r="U57" s="29" t="str">
        <f t="shared" si="20"/>
        <v/>
      </c>
      <c r="V57" s="29" t="str">
        <f t="shared" si="20"/>
        <v/>
      </c>
      <c r="W57" s="29" t="str">
        <f t="shared" si="20"/>
        <v/>
      </c>
      <c r="X57" s="29" t="str">
        <f t="shared" si="20"/>
        <v/>
      </c>
      <c r="Y57" s="29" t="str">
        <f t="shared" si="20"/>
        <v/>
      </c>
      <c r="Z57" s="29" t="str">
        <f t="shared" si="20"/>
        <v/>
      </c>
      <c r="AA57" s="29" t="str">
        <f t="shared" si="20"/>
        <v/>
      </c>
      <c r="AB57" s="29" t="str">
        <f t="shared" si="20"/>
        <v/>
      </c>
      <c r="AC57" s="29" t="str">
        <f t="shared" si="20"/>
        <v/>
      </c>
      <c r="AD57" s="29" t="str">
        <f t="shared" si="20"/>
        <v/>
      </c>
      <c r="AE57" s="29" t="str">
        <f t="shared" si="20"/>
        <v/>
      </c>
      <c r="AF57" s="29" t="str">
        <f t="shared" si="20"/>
        <v/>
      </c>
      <c r="AG57" s="29" t="str">
        <f t="shared" si="20"/>
        <v/>
      </c>
      <c r="AH57" s="29" t="str">
        <f t="shared" si="20"/>
        <v/>
      </c>
      <c r="AI57" s="29" t="str">
        <f t="shared" si="20"/>
        <v/>
      </c>
      <c r="AJ57" s="29" t="str">
        <f t="shared" si="20"/>
        <v/>
      </c>
      <c r="AK57" s="29" t="str">
        <f t="shared" si="20"/>
        <v/>
      </c>
      <c r="AL57" s="29" t="str">
        <f t="shared" si="20"/>
        <v/>
      </c>
      <c r="AM57" s="29" t="str">
        <f t="shared" si="20"/>
        <v/>
      </c>
      <c r="AN57" s="29">
        <f t="shared" si="20"/>
        <v>3.540980205671502E-3</v>
      </c>
      <c r="AO57" s="29">
        <f t="shared" si="20"/>
        <v>6.7550523533564041E-3</v>
      </c>
      <c r="AP57" s="29">
        <f t="shared" si="20"/>
        <v>5.0794707437038684E-3</v>
      </c>
      <c r="AQ57" s="29">
        <f t="shared" si="20"/>
        <v>7.6985056437804556E-3</v>
      </c>
      <c r="AR57" s="29">
        <f t="shared" si="20"/>
        <v>7.6148280116860494E-3</v>
      </c>
      <c r="AS57" s="29">
        <f t="shared" si="20"/>
        <v>1.1656259188003327E-2</v>
      </c>
      <c r="AT57" s="29">
        <f t="shared" si="20"/>
        <v>1.5544031236788856E-2</v>
      </c>
      <c r="AU57" s="29">
        <f t="shared" si="20"/>
        <v>5.4439711427512064E-3</v>
      </c>
      <c r="AV57" s="29">
        <f t="shared" si="20"/>
        <v>4.8979742253326044E-3</v>
      </c>
      <c r="AW57" s="29">
        <f t="shared" si="20"/>
        <v>5.9888107469044461E-3</v>
      </c>
      <c r="AX57" s="29">
        <f t="shared" si="20"/>
        <v>9.1526129909648996E-3</v>
      </c>
      <c r="AY57" s="29">
        <f t="shared" si="20"/>
        <v>8.3266714917724794E-3</v>
      </c>
      <c r="AZ57" s="29">
        <f t="shared" si="20"/>
        <v>9.7390129050727355E-3</v>
      </c>
      <c r="BA57" s="29">
        <f t="shared" si="20"/>
        <v>4.9382018212735523E-3</v>
      </c>
      <c r="BB57" s="29">
        <f t="shared" si="20"/>
        <v>4.4859581769375653E-3</v>
      </c>
      <c r="BC57" s="29">
        <f t="shared" si="20"/>
        <v>7.0851980734473524E-3</v>
      </c>
      <c r="BD57" s="29">
        <f t="shared" si="20"/>
        <v>7.8048844988470997E-3</v>
      </c>
      <c r="BE57" s="29">
        <f t="shared" si="20"/>
        <v>1.2126728150287215E-2</v>
      </c>
      <c r="BF57" s="29">
        <f t="shared" si="20"/>
        <v>9.0230474808450679E-3</v>
      </c>
      <c r="BG57" s="29">
        <f t="shared" si="20"/>
        <v>7.7370837027617503E-3</v>
      </c>
      <c r="BH57" s="29">
        <f t="shared" si="20"/>
        <v>1.8833640248784634E-2</v>
      </c>
      <c r="BI57" s="29">
        <f t="shared" si="20"/>
        <v>1.2556590670077845E-2</v>
      </c>
      <c r="BJ57" s="29">
        <f t="shared" si="20"/>
        <v>1.4211352142629648E-2</v>
      </c>
      <c r="BK57" s="29">
        <f t="shared" ref="BK57:BW57" si="21">IFERROR(BK56/BK12,"")</f>
        <v>1.2603205290511803E-2</v>
      </c>
      <c r="BL57" s="29">
        <f t="shared" ref="BL57:BO57" si="22">IFERROR(BL56/BL12,"")</f>
        <v>9.8591937858990165E-3</v>
      </c>
      <c r="BM57" s="29">
        <f t="shared" si="22"/>
        <v>1.197606526954449E-2</v>
      </c>
      <c r="BN57" s="29">
        <f t="shared" si="22"/>
        <v>5.5472925870597555E-3</v>
      </c>
      <c r="BO57" s="29">
        <f t="shared" si="22"/>
        <v>6.6734805039654144E-3</v>
      </c>
      <c r="BP57" s="29">
        <f t="shared" si="21"/>
        <v>5.2498582203707907E-3</v>
      </c>
      <c r="BQ57" s="29" t="str">
        <f t="shared" si="21"/>
        <v/>
      </c>
      <c r="BR57" s="29" t="str">
        <f t="shared" si="21"/>
        <v/>
      </c>
      <c r="BS57" s="29" t="str">
        <f t="shared" si="21"/>
        <v/>
      </c>
      <c r="BT57" s="29" t="str">
        <f t="shared" si="21"/>
        <v/>
      </c>
      <c r="BU57" s="29" t="str">
        <f t="shared" si="21"/>
        <v/>
      </c>
      <c r="BV57" s="29" t="str">
        <f t="shared" si="21"/>
        <v/>
      </c>
      <c r="BW57" s="29" t="str">
        <f t="shared" si="21"/>
        <v/>
      </c>
    </row>
  </sheetData>
  <sheetProtection algorithmName="SHA-512" hashValue="HyTpRQrHtLd7pEEO37QsyJ0XfthqgQJGjJq4fJxJmvwwTzvpuDmlUqDpsNlMpWhsECOM1Sa2b49dfuLnW8967Q==" saltValue="q5mxITSzvS14E3nknKamoQ==" spinCount="100000" sheet="1" objects="1" scenarios="1"/>
  <protectedRanges>
    <protectedRange sqref="D4:BW57" name="Element"/>
  </protectedRanges>
  <pageMargins left="0.7" right="0.7" top="0.75" bottom="0.75" header="0.3" footer="0.3"/>
  <ignoredErrors>
    <ignoredError sqref="BL29:BM29 BL31:BM31 BL33:BM33 BL35:BM35 BL37:BM37 BL39:BM39" unlockedFormula="1"/>
  </ignoredErrors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EA90F1-B473-4AB0-843A-4DB2A1AF5F0A}">
  <sheetPr>
    <tabColor theme="9" tint="0.59999389629810485"/>
  </sheetPr>
  <dimension ref="A1:BW74"/>
  <sheetViews>
    <sheetView showGridLines="0" tabSelected="1" zoomScale="80" zoomScaleNormal="80" workbookViewId="0">
      <pane xSplit="3" ySplit="3" topLeftCell="BN60" activePane="bottomRight" state="frozen"/>
      <selection pane="topRight" activeCell="BL10" sqref="BL10"/>
      <selection pane="bottomLeft" activeCell="BL10" sqref="BL10"/>
      <selection pane="bottomRight" activeCell="BP67" sqref="BP67"/>
    </sheetView>
  </sheetViews>
  <sheetFormatPr defaultRowHeight="14.5"/>
  <cols>
    <col min="1" max="1" width="7" hidden="1" customWidth="1"/>
    <col min="2" max="2" width="46.453125" customWidth="1"/>
    <col min="3" max="3" width="9.08984375" hidden="1" customWidth="1"/>
    <col min="4" max="56" width="16.54296875" bestFit="1" customWidth="1"/>
    <col min="57" max="58" width="17.36328125" bestFit="1" customWidth="1"/>
    <col min="59" max="64" width="16.54296875" bestFit="1" customWidth="1"/>
    <col min="65" max="75" width="17.08984375" customWidth="1"/>
  </cols>
  <sheetData>
    <row r="1" spans="1:75" ht="17.5">
      <c r="B1" s="40" t="str">
        <f>'Thong tin'!A1</f>
        <v>CÔNG TY CP NHỰA TÁI CHẾ DUY TÂN</v>
      </c>
    </row>
    <row r="2" spans="1:75">
      <c r="B2" s="46" t="s">
        <v>243</v>
      </c>
    </row>
    <row r="3" spans="1:75" ht="28">
      <c r="A3" s="163" t="s">
        <v>463</v>
      </c>
      <c r="B3" s="164" t="s">
        <v>464</v>
      </c>
      <c r="C3" s="165" t="s">
        <v>246</v>
      </c>
      <c r="D3" s="49" t="s">
        <v>247</v>
      </c>
      <c r="E3" s="49" t="s">
        <v>248</v>
      </c>
      <c r="F3" s="49" t="s">
        <v>249</v>
      </c>
      <c r="G3" s="49" t="s">
        <v>250</v>
      </c>
      <c r="H3" s="49" t="s">
        <v>251</v>
      </c>
      <c r="I3" s="49" t="s">
        <v>252</v>
      </c>
      <c r="J3" s="49" t="s">
        <v>253</v>
      </c>
      <c r="K3" s="49" t="s">
        <v>254</v>
      </c>
      <c r="L3" s="49" t="s">
        <v>255</v>
      </c>
      <c r="M3" s="49" t="s">
        <v>256</v>
      </c>
      <c r="N3" s="49" t="s">
        <v>257</v>
      </c>
      <c r="O3" s="49" t="s">
        <v>258</v>
      </c>
      <c r="P3" s="49" t="s">
        <v>259</v>
      </c>
      <c r="Q3" s="49" t="s">
        <v>260</v>
      </c>
      <c r="R3" s="49" t="s">
        <v>261</v>
      </c>
      <c r="S3" s="49" t="s">
        <v>262</v>
      </c>
      <c r="T3" s="49" t="s">
        <v>263</v>
      </c>
      <c r="U3" s="49" t="s">
        <v>264</v>
      </c>
      <c r="V3" s="49" t="s">
        <v>265</v>
      </c>
      <c r="W3" s="49" t="s">
        <v>266</v>
      </c>
      <c r="X3" s="49" t="s">
        <v>267</v>
      </c>
      <c r="Y3" s="49" t="s">
        <v>268</v>
      </c>
      <c r="Z3" s="49" t="s">
        <v>269</v>
      </c>
      <c r="AA3" s="49" t="s">
        <v>270</v>
      </c>
      <c r="AB3" s="49" t="s">
        <v>271</v>
      </c>
      <c r="AC3" s="49" t="s">
        <v>272</v>
      </c>
      <c r="AD3" s="49" t="s">
        <v>273</v>
      </c>
      <c r="AE3" s="49" t="s">
        <v>274</v>
      </c>
      <c r="AF3" s="49" t="s">
        <v>275</v>
      </c>
      <c r="AG3" s="49" t="s">
        <v>276</v>
      </c>
      <c r="AH3" s="49" t="s">
        <v>277</v>
      </c>
      <c r="AI3" s="49" t="s">
        <v>278</v>
      </c>
      <c r="AJ3" s="49" t="s">
        <v>279</v>
      </c>
      <c r="AK3" s="49" t="s">
        <v>280</v>
      </c>
      <c r="AL3" s="49" t="s">
        <v>281</v>
      </c>
      <c r="AM3" s="49" t="s">
        <v>282</v>
      </c>
      <c r="AN3" s="49" t="s">
        <v>283</v>
      </c>
      <c r="AO3" s="49" t="s">
        <v>284</v>
      </c>
      <c r="AP3" s="49" t="s">
        <v>285</v>
      </c>
      <c r="AQ3" s="49" t="s">
        <v>286</v>
      </c>
      <c r="AR3" s="49" t="s">
        <v>287</v>
      </c>
      <c r="AS3" s="49" t="s">
        <v>288</v>
      </c>
      <c r="AT3" s="49" t="s">
        <v>289</v>
      </c>
      <c r="AU3" s="49" t="s">
        <v>290</v>
      </c>
      <c r="AV3" s="49" t="s">
        <v>291</v>
      </c>
      <c r="AW3" s="49" t="s">
        <v>292</v>
      </c>
      <c r="AX3" s="49" t="s">
        <v>293</v>
      </c>
      <c r="AY3" s="49" t="s">
        <v>294</v>
      </c>
      <c r="AZ3" s="49" t="s">
        <v>295</v>
      </c>
      <c r="BA3" s="49" t="s">
        <v>296</v>
      </c>
      <c r="BB3" s="49" t="s">
        <v>297</v>
      </c>
      <c r="BC3" s="49" t="s">
        <v>298</v>
      </c>
      <c r="BD3" s="49" t="s">
        <v>299</v>
      </c>
      <c r="BE3" s="49" t="s">
        <v>300</v>
      </c>
      <c r="BF3" s="49" t="s">
        <v>301</v>
      </c>
      <c r="BG3" s="49" t="s">
        <v>302</v>
      </c>
      <c r="BH3" s="49" t="s">
        <v>303</v>
      </c>
      <c r="BI3" s="49" t="s">
        <v>304</v>
      </c>
      <c r="BJ3" s="49" t="s">
        <v>305</v>
      </c>
      <c r="BK3" s="49" t="s">
        <v>306</v>
      </c>
      <c r="BL3" s="49" t="s">
        <v>307</v>
      </c>
      <c r="BM3" s="49" t="s">
        <v>308</v>
      </c>
      <c r="BN3" s="49" t="s">
        <v>309</v>
      </c>
      <c r="BO3" s="49" t="s">
        <v>310</v>
      </c>
      <c r="BP3" s="49" t="s">
        <v>311</v>
      </c>
      <c r="BQ3" s="49" t="s">
        <v>312</v>
      </c>
      <c r="BR3" s="49" t="s">
        <v>313</v>
      </c>
      <c r="BS3" s="49" t="s">
        <v>314</v>
      </c>
      <c r="BT3" s="49" t="s">
        <v>315</v>
      </c>
      <c r="BU3" s="49" t="s">
        <v>316</v>
      </c>
      <c r="BV3" s="49" t="s">
        <v>317</v>
      </c>
      <c r="BW3" s="49" t="s">
        <v>318</v>
      </c>
    </row>
    <row r="4" spans="1:75">
      <c r="A4" s="166">
        <v>1</v>
      </c>
      <c r="B4" s="167" t="s">
        <v>465</v>
      </c>
      <c r="C4" s="168">
        <v>28</v>
      </c>
      <c r="D4" s="33"/>
      <c r="E4" s="33"/>
      <c r="F4" s="33"/>
      <c r="G4" s="33"/>
      <c r="H4" s="33"/>
      <c r="I4" s="33"/>
      <c r="J4" s="33"/>
      <c r="K4" s="33"/>
      <c r="L4" s="33"/>
      <c r="M4" s="33"/>
      <c r="N4" s="33"/>
      <c r="O4" s="33"/>
      <c r="P4" s="33"/>
      <c r="Q4" s="33"/>
      <c r="R4" s="33"/>
      <c r="S4" s="33"/>
      <c r="T4" s="33"/>
      <c r="U4" s="33"/>
      <c r="V4" s="33"/>
      <c r="W4" s="33"/>
      <c r="X4" s="33"/>
      <c r="Y4" s="33"/>
      <c r="Z4" s="33"/>
      <c r="AA4" s="33"/>
      <c r="AB4" s="33"/>
      <c r="AC4" s="33"/>
      <c r="AD4" s="33"/>
      <c r="AE4" s="33"/>
      <c r="AF4" s="33"/>
      <c r="AG4" s="33"/>
      <c r="AH4" s="33"/>
      <c r="AI4" s="33"/>
      <c r="AJ4" s="33"/>
      <c r="AK4" s="33"/>
      <c r="AL4" s="33"/>
      <c r="AM4" s="33"/>
      <c r="AN4" s="33"/>
      <c r="AO4" s="33"/>
      <c r="AP4" s="33"/>
      <c r="AQ4" s="33"/>
      <c r="AR4" s="33"/>
      <c r="AS4" s="33"/>
      <c r="AT4" s="33"/>
      <c r="AU4" s="33"/>
      <c r="AV4" s="33"/>
      <c r="AW4" s="33"/>
      <c r="AX4" s="33"/>
      <c r="AY4" s="33"/>
      <c r="AZ4" s="33">
        <f t="shared" ref="AZ4:BK4" si="0">SUM(AZ5:AZ12)</f>
        <v>0</v>
      </c>
      <c r="BA4" s="33">
        <f t="shared" si="0"/>
        <v>0</v>
      </c>
      <c r="BB4" s="33">
        <f t="shared" si="0"/>
        <v>0</v>
      </c>
      <c r="BC4" s="33">
        <f t="shared" si="0"/>
        <v>0</v>
      </c>
      <c r="BD4" s="33">
        <f t="shared" si="0"/>
        <v>0</v>
      </c>
      <c r="BE4" s="33">
        <f t="shared" si="0"/>
        <v>0</v>
      </c>
      <c r="BF4" s="33">
        <f t="shared" si="0"/>
        <v>0</v>
      </c>
      <c r="BG4" s="33">
        <f t="shared" si="0"/>
        <v>0</v>
      </c>
      <c r="BH4" s="33">
        <f t="shared" si="0"/>
        <v>0</v>
      </c>
      <c r="BI4" s="33">
        <f t="shared" si="0"/>
        <v>0</v>
      </c>
      <c r="BJ4" s="33">
        <f t="shared" si="0"/>
        <v>0</v>
      </c>
      <c r="BK4" s="33">
        <f t="shared" si="0"/>
        <v>0</v>
      </c>
      <c r="BL4" s="33">
        <f>SUM(BL5:BL12)</f>
        <v>580900000000</v>
      </c>
      <c r="BM4" s="33">
        <f>SUM(BM5:BM12)</f>
        <v>580900000000</v>
      </c>
      <c r="BN4" s="33">
        <f>SUM(BN5:BN12)</f>
        <v>580900000000</v>
      </c>
      <c r="BO4" s="33">
        <f>SUM(BO5:BO12)</f>
        <v>580900000000</v>
      </c>
      <c r="BP4" s="33">
        <f>SUM(BP5:BP12)</f>
        <v>580900000000</v>
      </c>
      <c r="BQ4" s="33"/>
      <c r="BR4" s="33"/>
      <c r="BS4" s="33"/>
      <c r="BT4" s="33"/>
      <c r="BU4" s="33"/>
      <c r="BV4" s="33"/>
      <c r="BW4" s="33"/>
    </row>
    <row r="5" spans="1:75">
      <c r="A5" s="169">
        <v>2</v>
      </c>
      <c r="B5" s="170" t="s">
        <v>466</v>
      </c>
      <c r="C5" s="169">
        <v>28</v>
      </c>
      <c r="D5" s="34"/>
      <c r="E5" s="34"/>
      <c r="F5" s="34"/>
      <c r="G5" s="34"/>
      <c r="H5" s="34"/>
      <c r="I5" s="34"/>
      <c r="J5" s="34"/>
      <c r="K5" s="34"/>
      <c r="L5" s="34"/>
      <c r="M5" s="34"/>
      <c r="N5" s="34"/>
      <c r="O5" s="34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  <c r="AA5" s="34"/>
      <c r="AB5" s="34"/>
      <c r="AC5" s="34"/>
      <c r="AD5" s="34"/>
      <c r="AE5" s="34"/>
      <c r="AF5" s="34"/>
      <c r="AG5" s="34"/>
      <c r="AH5" s="34"/>
      <c r="AI5" s="34"/>
      <c r="AJ5" s="34"/>
      <c r="AK5" s="34"/>
      <c r="AL5" s="34"/>
      <c r="AM5" s="34"/>
      <c r="AN5" s="34"/>
      <c r="AO5" s="34"/>
      <c r="AP5" s="34"/>
      <c r="AQ5" s="34"/>
      <c r="AR5" s="34"/>
      <c r="AS5" s="34"/>
      <c r="AT5" s="34"/>
      <c r="AU5" s="34"/>
      <c r="AV5" s="34"/>
      <c r="AW5" s="34"/>
      <c r="AX5" s="34"/>
      <c r="AY5" s="34"/>
      <c r="AZ5" s="34"/>
      <c r="BA5" s="34"/>
      <c r="BB5" s="34"/>
      <c r="BC5" s="34"/>
      <c r="BD5" s="34"/>
      <c r="BE5" s="34"/>
      <c r="BF5" s="34"/>
      <c r="BG5" s="34"/>
      <c r="BH5" s="34"/>
      <c r="BI5" s="34"/>
      <c r="BJ5" s="34"/>
      <c r="BK5" s="34"/>
      <c r="BL5" s="34">
        <v>150000000000</v>
      </c>
      <c r="BM5" s="34">
        <v>150000000000</v>
      </c>
      <c r="BN5" s="34">
        <v>150000000000</v>
      </c>
      <c r="BO5" s="34">
        <v>150000000000</v>
      </c>
      <c r="BP5" s="34">
        <v>150000000000</v>
      </c>
      <c r="BQ5" s="34"/>
      <c r="BR5" s="34"/>
      <c r="BS5" s="34"/>
      <c r="BT5" s="34"/>
      <c r="BU5" s="34"/>
      <c r="BV5" s="34"/>
      <c r="BW5" s="34"/>
    </row>
    <row r="6" spans="1:75">
      <c r="A6" s="169">
        <v>3</v>
      </c>
      <c r="B6" s="170" t="s">
        <v>467</v>
      </c>
      <c r="C6" s="169">
        <v>28</v>
      </c>
      <c r="D6" s="34"/>
      <c r="E6" s="34"/>
      <c r="F6" s="34"/>
      <c r="G6" s="34"/>
      <c r="H6" s="34"/>
      <c r="I6" s="34"/>
      <c r="J6" s="34"/>
      <c r="K6" s="34"/>
      <c r="L6" s="34"/>
      <c r="M6" s="34"/>
      <c r="N6" s="34"/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  <c r="AE6" s="34"/>
      <c r="AF6" s="34"/>
      <c r="AG6" s="34"/>
      <c r="AH6" s="34"/>
      <c r="AI6" s="34"/>
      <c r="AJ6" s="34"/>
      <c r="AK6" s="34"/>
      <c r="AL6" s="34"/>
      <c r="AM6" s="34"/>
      <c r="AN6" s="34"/>
      <c r="AO6" s="34"/>
      <c r="AP6" s="34"/>
      <c r="AQ6" s="34"/>
      <c r="AR6" s="34"/>
      <c r="AS6" s="34"/>
      <c r="AT6" s="34"/>
      <c r="AU6" s="34"/>
      <c r="AV6" s="34"/>
      <c r="AW6" s="34"/>
      <c r="AX6" s="34"/>
      <c r="AY6" s="34"/>
      <c r="AZ6" s="34"/>
      <c r="BA6" s="34"/>
      <c r="BB6" s="34"/>
      <c r="BC6" s="34"/>
      <c r="BD6" s="34"/>
      <c r="BE6" s="34"/>
      <c r="BF6" s="34"/>
      <c r="BG6" s="34"/>
      <c r="BH6" s="34"/>
      <c r="BI6" s="34"/>
      <c r="BJ6" s="34"/>
      <c r="BK6" s="34"/>
      <c r="BL6" s="34">
        <v>131000000000</v>
      </c>
      <c r="BM6" s="34">
        <v>131000000000</v>
      </c>
      <c r="BN6" s="34">
        <v>131000000000</v>
      </c>
      <c r="BO6" s="34">
        <v>131000000000</v>
      </c>
      <c r="BP6" s="34">
        <v>131000000000</v>
      </c>
      <c r="BQ6" s="34"/>
      <c r="BR6" s="34"/>
      <c r="BS6" s="34"/>
      <c r="BT6" s="34"/>
      <c r="BU6" s="34"/>
      <c r="BV6" s="34"/>
      <c r="BW6" s="34"/>
    </row>
    <row r="7" spans="1:75">
      <c r="A7" s="169">
        <v>4</v>
      </c>
      <c r="B7" s="170" t="s">
        <v>468</v>
      </c>
      <c r="C7" s="169">
        <v>28</v>
      </c>
      <c r="D7" s="34"/>
      <c r="E7" s="34"/>
      <c r="F7" s="34"/>
      <c r="G7" s="34"/>
      <c r="H7" s="34"/>
      <c r="I7" s="34"/>
      <c r="J7" s="34"/>
      <c r="K7" s="34"/>
      <c r="L7" s="34"/>
      <c r="M7" s="34"/>
      <c r="N7" s="34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  <c r="AA7" s="34"/>
      <c r="AB7" s="34"/>
      <c r="AC7" s="34"/>
      <c r="AD7" s="34"/>
      <c r="AE7" s="34"/>
      <c r="AF7" s="34"/>
      <c r="AG7" s="34"/>
      <c r="AH7" s="34"/>
      <c r="AI7" s="34"/>
      <c r="AJ7" s="34"/>
      <c r="AK7" s="34"/>
      <c r="AL7" s="34"/>
      <c r="AM7" s="34"/>
      <c r="AN7" s="34"/>
      <c r="AO7" s="34"/>
      <c r="AP7" s="34"/>
      <c r="AQ7" s="34"/>
      <c r="AR7" s="34"/>
      <c r="AS7" s="34"/>
      <c r="AT7" s="34"/>
      <c r="AU7" s="34"/>
      <c r="AV7" s="34"/>
      <c r="AW7" s="34"/>
      <c r="AX7" s="34"/>
      <c r="AY7" s="34"/>
      <c r="AZ7" s="34"/>
      <c r="BA7" s="34"/>
      <c r="BB7" s="34"/>
      <c r="BC7" s="34"/>
      <c r="BD7" s="34"/>
      <c r="BE7" s="34"/>
      <c r="BF7" s="34"/>
      <c r="BG7" s="34"/>
      <c r="BH7" s="34"/>
      <c r="BI7" s="34"/>
      <c r="BJ7" s="34"/>
      <c r="BK7" s="34"/>
      <c r="BL7" s="34">
        <v>100000000000</v>
      </c>
      <c r="BM7" s="34">
        <v>100000000000</v>
      </c>
      <c r="BN7" s="34">
        <v>100000000000</v>
      </c>
      <c r="BO7" s="34">
        <v>100000000000</v>
      </c>
      <c r="BP7" s="34">
        <v>100000000000</v>
      </c>
      <c r="BQ7" s="34"/>
      <c r="BR7" s="34"/>
      <c r="BS7" s="34"/>
      <c r="BT7" s="34"/>
      <c r="BU7" s="34"/>
      <c r="BV7" s="34"/>
      <c r="BW7" s="34"/>
    </row>
    <row r="8" spans="1:75">
      <c r="A8" s="169">
        <v>5</v>
      </c>
      <c r="B8" s="170" t="s">
        <v>469</v>
      </c>
      <c r="C8" s="169">
        <v>28</v>
      </c>
      <c r="D8" s="34"/>
      <c r="E8" s="34"/>
      <c r="F8" s="34"/>
      <c r="G8" s="34"/>
      <c r="H8" s="34"/>
      <c r="I8" s="34"/>
      <c r="J8" s="34"/>
      <c r="K8" s="34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  <c r="AA8" s="34"/>
      <c r="AB8" s="34"/>
      <c r="AC8" s="34"/>
      <c r="AD8" s="34"/>
      <c r="AE8" s="34"/>
      <c r="AF8" s="34"/>
      <c r="AG8" s="34"/>
      <c r="AH8" s="34"/>
      <c r="AI8" s="34"/>
      <c r="AJ8" s="34"/>
      <c r="AK8" s="34"/>
      <c r="AL8" s="34"/>
      <c r="AM8" s="34"/>
      <c r="AN8" s="34"/>
      <c r="AO8" s="34"/>
      <c r="AP8" s="34"/>
      <c r="AQ8" s="34"/>
      <c r="AR8" s="34"/>
      <c r="AS8" s="34"/>
      <c r="AT8" s="34"/>
      <c r="AU8" s="34"/>
      <c r="AV8" s="34"/>
      <c r="AW8" s="34"/>
      <c r="AX8" s="34"/>
      <c r="AY8" s="34"/>
      <c r="AZ8" s="34"/>
      <c r="BA8" s="34"/>
      <c r="BB8" s="34"/>
      <c r="BC8" s="34"/>
      <c r="BD8" s="34"/>
      <c r="BE8" s="34"/>
      <c r="BF8" s="34"/>
      <c r="BG8" s="34"/>
      <c r="BH8" s="34"/>
      <c r="BI8" s="34"/>
      <c r="BJ8" s="34"/>
      <c r="BK8" s="34"/>
      <c r="BL8" s="34">
        <v>99900000000</v>
      </c>
      <c r="BM8" s="34">
        <v>99900000000</v>
      </c>
      <c r="BN8" s="34">
        <v>99900000000</v>
      </c>
      <c r="BO8" s="34">
        <v>99900000000</v>
      </c>
      <c r="BP8" s="34">
        <v>99900000000</v>
      </c>
      <c r="BQ8" s="34"/>
      <c r="BR8" s="34"/>
      <c r="BS8" s="34"/>
      <c r="BT8" s="34"/>
      <c r="BU8" s="34"/>
      <c r="BV8" s="34"/>
      <c r="BW8" s="34"/>
    </row>
    <row r="9" spans="1:75">
      <c r="A9" s="169">
        <v>6</v>
      </c>
      <c r="B9" s="170" t="s">
        <v>470</v>
      </c>
      <c r="C9" s="169">
        <v>28</v>
      </c>
      <c r="D9" s="34"/>
      <c r="E9" s="34"/>
      <c r="F9" s="34"/>
      <c r="G9" s="34"/>
      <c r="H9" s="34"/>
      <c r="I9" s="34"/>
      <c r="J9" s="34"/>
      <c r="K9" s="34"/>
      <c r="L9" s="34"/>
      <c r="M9" s="34"/>
      <c r="N9" s="34"/>
      <c r="O9" s="34"/>
      <c r="P9" s="34"/>
      <c r="Q9" s="34"/>
      <c r="R9" s="34"/>
      <c r="S9" s="34"/>
      <c r="T9" s="34"/>
      <c r="U9" s="34"/>
      <c r="V9" s="34"/>
      <c r="W9" s="34"/>
      <c r="X9" s="34"/>
      <c r="Y9" s="34"/>
      <c r="Z9" s="34"/>
      <c r="AA9" s="34"/>
      <c r="AB9" s="34"/>
      <c r="AC9" s="34"/>
      <c r="AD9" s="34"/>
      <c r="AE9" s="34"/>
      <c r="AF9" s="34"/>
      <c r="AG9" s="34"/>
      <c r="AH9" s="34"/>
      <c r="AI9" s="34"/>
      <c r="AJ9" s="34"/>
      <c r="AK9" s="34"/>
      <c r="AL9" s="34"/>
      <c r="AM9" s="34"/>
      <c r="AN9" s="34"/>
      <c r="AO9" s="34"/>
      <c r="AP9" s="34"/>
      <c r="AQ9" s="34"/>
      <c r="AR9" s="34"/>
      <c r="AS9" s="34"/>
      <c r="AT9" s="34"/>
      <c r="AU9" s="34"/>
      <c r="AV9" s="34"/>
      <c r="AW9" s="34"/>
      <c r="AX9" s="34"/>
      <c r="AY9" s="34"/>
      <c r="AZ9" s="34"/>
      <c r="BA9" s="34"/>
      <c r="BB9" s="34"/>
      <c r="BC9" s="34"/>
      <c r="BD9" s="34"/>
      <c r="BE9" s="34"/>
      <c r="BF9" s="34"/>
      <c r="BG9" s="34"/>
      <c r="BH9" s="34"/>
      <c r="BI9" s="34"/>
      <c r="BJ9" s="34"/>
      <c r="BK9" s="34"/>
      <c r="BL9" s="34">
        <v>100000000000</v>
      </c>
      <c r="BM9" s="34">
        <v>100000000000</v>
      </c>
      <c r="BN9" s="34">
        <v>100000000000</v>
      </c>
      <c r="BO9" s="34">
        <v>100000000000</v>
      </c>
      <c r="BP9" s="34">
        <v>100000000000</v>
      </c>
      <c r="BQ9" s="34"/>
      <c r="BR9" s="34"/>
      <c r="BS9" s="34"/>
      <c r="BT9" s="34"/>
      <c r="BU9" s="34"/>
      <c r="BV9" s="34"/>
      <c r="BW9" s="34"/>
    </row>
    <row r="10" spans="1:75">
      <c r="A10" s="169">
        <v>7</v>
      </c>
      <c r="B10" s="170" t="s">
        <v>471</v>
      </c>
      <c r="C10" s="169">
        <v>28</v>
      </c>
      <c r="D10" s="34"/>
      <c r="E10" s="34"/>
      <c r="F10" s="34"/>
      <c r="G10" s="34"/>
      <c r="H10" s="34"/>
      <c r="I10" s="34"/>
      <c r="J10" s="34"/>
      <c r="K10" s="34"/>
      <c r="L10" s="34"/>
      <c r="M10" s="34"/>
      <c r="N10" s="34"/>
      <c r="O10" s="34"/>
      <c r="P10" s="34"/>
      <c r="Q10" s="34"/>
      <c r="R10" s="34"/>
      <c r="S10" s="34"/>
      <c r="T10" s="34"/>
      <c r="U10" s="34"/>
      <c r="V10" s="34"/>
      <c r="W10" s="34"/>
      <c r="X10" s="34"/>
      <c r="Y10" s="34"/>
      <c r="Z10" s="34"/>
      <c r="AA10" s="34"/>
      <c r="AB10" s="34"/>
      <c r="AC10" s="34"/>
      <c r="AD10" s="34"/>
      <c r="AE10" s="34"/>
      <c r="AF10" s="34"/>
      <c r="AG10" s="34"/>
      <c r="AH10" s="34"/>
      <c r="AI10" s="34"/>
      <c r="AJ10" s="34"/>
      <c r="AK10" s="34"/>
      <c r="AL10" s="34"/>
      <c r="AM10" s="34"/>
      <c r="AN10" s="34"/>
      <c r="AO10" s="34"/>
      <c r="AP10" s="34"/>
      <c r="AQ10" s="34"/>
      <c r="AR10" s="34"/>
      <c r="AS10" s="34"/>
      <c r="AT10" s="34"/>
      <c r="AU10" s="34"/>
      <c r="AV10" s="34"/>
      <c r="AW10" s="34"/>
      <c r="AX10" s="34"/>
      <c r="AY10" s="34"/>
      <c r="AZ10" s="34"/>
      <c r="BA10" s="34"/>
      <c r="BB10" s="34"/>
      <c r="BC10" s="34"/>
      <c r="BD10" s="34"/>
      <c r="BE10" s="34"/>
      <c r="BF10" s="34"/>
      <c r="BG10" s="34"/>
      <c r="BH10" s="34"/>
      <c r="BI10" s="34"/>
      <c r="BJ10" s="34"/>
      <c r="BK10" s="34"/>
      <c r="BL10" s="34"/>
      <c r="BM10" s="34"/>
      <c r="BN10" s="34"/>
      <c r="BO10" s="34"/>
      <c r="BP10" s="34"/>
      <c r="BQ10" s="34"/>
      <c r="BR10" s="34"/>
      <c r="BS10" s="34"/>
      <c r="BT10" s="34"/>
      <c r="BU10" s="34"/>
      <c r="BV10" s="34"/>
      <c r="BW10" s="34"/>
    </row>
    <row r="11" spans="1:75">
      <c r="A11" s="169">
        <v>8</v>
      </c>
      <c r="B11" s="170" t="s">
        <v>472</v>
      </c>
      <c r="C11" s="169">
        <v>28</v>
      </c>
      <c r="D11" s="34"/>
      <c r="E11" s="34"/>
      <c r="F11" s="34"/>
      <c r="G11" s="34"/>
      <c r="H11" s="34"/>
      <c r="I11" s="34"/>
      <c r="J11" s="34"/>
      <c r="K11" s="34"/>
      <c r="L11" s="34"/>
      <c r="M11" s="34"/>
      <c r="N11" s="34"/>
      <c r="O11" s="34"/>
      <c r="P11" s="34"/>
      <c r="Q11" s="34"/>
      <c r="R11" s="34"/>
      <c r="S11" s="34"/>
      <c r="T11" s="34"/>
      <c r="U11" s="34"/>
      <c r="V11" s="34"/>
      <c r="W11" s="34"/>
      <c r="X11" s="34"/>
      <c r="Y11" s="34"/>
      <c r="Z11" s="34"/>
      <c r="AA11" s="34"/>
      <c r="AB11" s="34"/>
      <c r="AC11" s="34"/>
      <c r="AD11" s="34"/>
      <c r="AE11" s="34"/>
      <c r="AF11" s="34"/>
      <c r="AG11" s="34"/>
      <c r="AH11" s="34"/>
      <c r="AI11" s="34"/>
      <c r="AJ11" s="34"/>
      <c r="AK11" s="34"/>
      <c r="AL11" s="34"/>
      <c r="AM11" s="34"/>
      <c r="AN11" s="34"/>
      <c r="AO11" s="34"/>
      <c r="AP11" s="34"/>
      <c r="AQ11" s="34"/>
      <c r="AR11" s="34"/>
      <c r="AS11" s="34"/>
      <c r="AT11" s="34"/>
      <c r="AU11" s="34"/>
      <c r="AV11" s="34"/>
      <c r="AW11" s="34"/>
      <c r="AX11" s="34"/>
      <c r="AY11" s="34"/>
      <c r="AZ11" s="34"/>
      <c r="BA11" s="34"/>
      <c r="BB11" s="34"/>
      <c r="BC11" s="34"/>
      <c r="BD11" s="34"/>
      <c r="BE11" s="34"/>
      <c r="BF11" s="34"/>
      <c r="BG11" s="34"/>
      <c r="BH11" s="34"/>
      <c r="BI11" s="34"/>
      <c r="BJ11" s="34"/>
      <c r="BK11" s="34"/>
      <c r="BL11" s="34"/>
      <c r="BM11" s="34"/>
      <c r="BN11" s="34"/>
      <c r="BO11" s="34"/>
      <c r="BP11" s="34"/>
      <c r="BQ11" s="34"/>
      <c r="BR11" s="34"/>
      <c r="BS11" s="34"/>
      <c r="BT11" s="34"/>
      <c r="BU11" s="34"/>
      <c r="BV11" s="34"/>
      <c r="BW11" s="34"/>
    </row>
    <row r="12" spans="1:75">
      <c r="A12" s="169">
        <v>9</v>
      </c>
      <c r="B12" s="87"/>
      <c r="C12" s="169">
        <v>28</v>
      </c>
      <c r="D12" s="34"/>
      <c r="E12" s="34"/>
      <c r="F12" s="34"/>
      <c r="G12" s="34"/>
      <c r="H12" s="34"/>
      <c r="I12" s="34"/>
      <c r="J12" s="34"/>
      <c r="K12" s="34"/>
      <c r="L12" s="34"/>
      <c r="M12" s="34"/>
      <c r="N12" s="34"/>
      <c r="O12" s="34"/>
      <c r="P12" s="34"/>
      <c r="Q12" s="34"/>
      <c r="R12" s="34"/>
      <c r="S12" s="34"/>
      <c r="T12" s="34"/>
      <c r="U12" s="34"/>
      <c r="V12" s="34"/>
      <c r="W12" s="34"/>
      <c r="X12" s="34"/>
      <c r="Y12" s="34"/>
      <c r="Z12" s="34"/>
      <c r="AA12" s="34"/>
      <c r="AB12" s="34"/>
      <c r="AC12" s="34"/>
      <c r="AD12" s="34"/>
      <c r="AE12" s="34"/>
      <c r="AF12" s="34"/>
      <c r="AG12" s="34"/>
      <c r="AH12" s="34"/>
      <c r="AI12" s="34"/>
      <c r="AJ12" s="34"/>
      <c r="AK12" s="34"/>
      <c r="AL12" s="34"/>
      <c r="AM12" s="34"/>
      <c r="AN12" s="34"/>
      <c r="AO12" s="34"/>
      <c r="AP12" s="34"/>
      <c r="AQ12" s="34"/>
      <c r="AR12" s="34"/>
      <c r="AS12" s="34"/>
      <c r="AT12" s="34"/>
      <c r="AU12" s="34"/>
      <c r="AV12" s="34"/>
      <c r="AW12" s="34"/>
      <c r="AX12" s="34"/>
      <c r="AY12" s="34"/>
      <c r="AZ12" s="34"/>
      <c r="BA12" s="34"/>
      <c r="BB12" s="34"/>
      <c r="BC12" s="34"/>
      <c r="BD12" s="34"/>
      <c r="BE12" s="34"/>
      <c r="BF12" s="34"/>
      <c r="BG12" s="34"/>
      <c r="BH12" s="34"/>
      <c r="BI12" s="34"/>
      <c r="BJ12" s="34"/>
      <c r="BK12" s="34"/>
      <c r="BL12" s="34"/>
      <c r="BM12" s="34"/>
      <c r="BN12" s="34"/>
      <c r="BO12" s="34"/>
      <c r="BP12" s="34"/>
      <c r="BQ12" s="34"/>
      <c r="BR12" s="34"/>
      <c r="BS12" s="34"/>
      <c r="BT12" s="34"/>
      <c r="BU12" s="34"/>
      <c r="BV12" s="34"/>
      <c r="BW12" s="34"/>
    </row>
    <row r="13" spans="1:75">
      <c r="A13" s="166">
        <v>10</v>
      </c>
      <c r="B13" s="167" t="s">
        <v>473</v>
      </c>
      <c r="C13" s="168">
        <v>28</v>
      </c>
      <c r="D13" s="33"/>
      <c r="E13" s="33"/>
      <c r="F13" s="33"/>
      <c r="G13" s="33"/>
      <c r="H13" s="33"/>
      <c r="I13" s="33"/>
      <c r="J13" s="33"/>
      <c r="K13" s="33"/>
      <c r="L13" s="33"/>
      <c r="M13" s="33"/>
      <c r="N13" s="33"/>
      <c r="O13" s="33"/>
      <c r="P13" s="33"/>
      <c r="Q13" s="33"/>
      <c r="R13" s="33"/>
      <c r="S13" s="33"/>
      <c r="T13" s="33"/>
      <c r="U13" s="33"/>
      <c r="V13" s="33"/>
      <c r="W13" s="33"/>
      <c r="X13" s="33"/>
      <c r="Y13" s="33"/>
      <c r="Z13" s="33"/>
      <c r="AA13" s="33"/>
      <c r="AB13" s="33"/>
      <c r="AC13" s="33"/>
      <c r="AD13" s="33"/>
      <c r="AE13" s="33"/>
      <c r="AF13" s="33"/>
      <c r="AG13" s="33"/>
      <c r="AH13" s="33"/>
      <c r="AI13" s="33"/>
      <c r="AJ13" s="33"/>
      <c r="AK13" s="33"/>
      <c r="AL13" s="33"/>
      <c r="AM13" s="33"/>
      <c r="AN13" s="33">
        <f t="shared" ref="AN13:BK13" si="1">SUM(AN14:AN21)</f>
        <v>0</v>
      </c>
      <c r="AO13" s="33">
        <f t="shared" si="1"/>
        <v>0</v>
      </c>
      <c r="AP13" s="33">
        <f t="shared" si="1"/>
        <v>0</v>
      </c>
      <c r="AQ13" s="33">
        <f t="shared" si="1"/>
        <v>0</v>
      </c>
      <c r="AR13" s="33">
        <f t="shared" si="1"/>
        <v>0</v>
      </c>
      <c r="AS13" s="33">
        <f t="shared" si="1"/>
        <v>0</v>
      </c>
      <c r="AT13" s="33">
        <f t="shared" si="1"/>
        <v>0</v>
      </c>
      <c r="AU13" s="33">
        <f t="shared" si="1"/>
        <v>0</v>
      </c>
      <c r="AV13" s="33">
        <f t="shared" si="1"/>
        <v>0</v>
      </c>
      <c r="AW13" s="33">
        <f t="shared" si="1"/>
        <v>0</v>
      </c>
      <c r="AX13" s="33">
        <f t="shared" si="1"/>
        <v>0</v>
      </c>
      <c r="AY13" s="33">
        <f t="shared" si="1"/>
        <v>0</v>
      </c>
      <c r="AZ13" s="33">
        <f t="shared" si="1"/>
        <v>134925554251</v>
      </c>
      <c r="BA13" s="33">
        <f t="shared" si="1"/>
        <v>43611829278</v>
      </c>
      <c r="BB13" s="33">
        <f t="shared" si="1"/>
        <v>98003020481</v>
      </c>
      <c r="BC13" s="33">
        <f t="shared" si="1"/>
        <v>172928907420</v>
      </c>
      <c r="BD13" s="33">
        <f t="shared" si="1"/>
        <v>200666324688</v>
      </c>
      <c r="BE13" s="33">
        <f t="shared" si="1"/>
        <v>238388679271</v>
      </c>
      <c r="BF13" s="33">
        <f t="shared" si="1"/>
        <v>250573370780</v>
      </c>
      <c r="BG13" s="33">
        <f t="shared" si="1"/>
        <v>294832243750</v>
      </c>
      <c r="BH13" s="33">
        <f t="shared" si="1"/>
        <v>309616499760</v>
      </c>
      <c r="BI13" s="33">
        <f t="shared" si="1"/>
        <v>259354189036</v>
      </c>
      <c r="BJ13" s="33">
        <f t="shared" si="1"/>
        <v>253300426901</v>
      </c>
      <c r="BK13" s="33">
        <f t="shared" si="1"/>
        <v>253367122218</v>
      </c>
      <c r="BL13" s="33">
        <f>SUM(BL14:BL21)</f>
        <v>216818798145</v>
      </c>
      <c r="BM13" s="33">
        <f>SUM(BM14:BM21)</f>
        <v>231846507077</v>
      </c>
      <c r="BN13" s="33">
        <f>SUM(BN14:BN21)</f>
        <v>179737111410</v>
      </c>
      <c r="BO13" s="33">
        <f>SUM(BO14:BO21)</f>
        <v>147514569550</v>
      </c>
      <c r="BP13" s="33">
        <f>SUM(BP14:BP21)</f>
        <v>116595603825</v>
      </c>
      <c r="BQ13" s="33"/>
      <c r="BR13" s="33"/>
      <c r="BS13" s="33"/>
      <c r="BT13" s="33"/>
      <c r="BU13" s="33"/>
      <c r="BV13" s="33"/>
      <c r="BW13" s="33"/>
    </row>
    <row r="14" spans="1:75">
      <c r="A14" s="169">
        <v>11</v>
      </c>
      <c r="B14" s="170" t="s">
        <v>466</v>
      </c>
      <c r="C14" s="169">
        <v>28</v>
      </c>
      <c r="D14" s="34"/>
      <c r="E14" s="34"/>
      <c r="F14" s="34"/>
      <c r="G14" s="34"/>
      <c r="H14" s="34"/>
      <c r="I14" s="34"/>
      <c r="J14" s="34"/>
      <c r="K14" s="34"/>
      <c r="L14" s="34"/>
      <c r="M14" s="34"/>
      <c r="N14" s="34"/>
      <c r="O14" s="34"/>
      <c r="P14" s="34"/>
      <c r="Q14" s="34"/>
      <c r="R14" s="34"/>
      <c r="S14" s="34"/>
      <c r="T14" s="34"/>
      <c r="U14" s="34"/>
      <c r="V14" s="34"/>
      <c r="W14" s="34"/>
      <c r="X14" s="34"/>
      <c r="Y14" s="34"/>
      <c r="Z14" s="34"/>
      <c r="AA14" s="34"/>
      <c r="AB14" s="34"/>
      <c r="AC14" s="34"/>
      <c r="AD14" s="34"/>
      <c r="AE14" s="34"/>
      <c r="AF14" s="34"/>
      <c r="AG14" s="34"/>
      <c r="AH14" s="34"/>
      <c r="AI14" s="34"/>
      <c r="AJ14" s="34"/>
      <c r="AK14" s="34"/>
      <c r="AL14" s="34"/>
      <c r="AM14" s="34"/>
      <c r="AN14" s="34"/>
      <c r="AO14" s="34"/>
      <c r="AP14" s="34"/>
      <c r="AQ14" s="34"/>
      <c r="AR14" s="34"/>
      <c r="AS14" s="34"/>
      <c r="AT14" s="34"/>
      <c r="AU14" s="34"/>
      <c r="AV14" s="34"/>
      <c r="AW14" s="34"/>
      <c r="AX14" s="34"/>
      <c r="AY14" s="34"/>
      <c r="AZ14" s="34">
        <v>62031000000</v>
      </c>
      <c r="BA14" s="34">
        <v>18977000000</v>
      </c>
      <c r="BB14" s="34">
        <v>48865000000</v>
      </c>
      <c r="BC14" s="34">
        <v>90981000000</v>
      </c>
      <c r="BD14" s="34">
        <v>88582000000</v>
      </c>
      <c r="BE14" s="34">
        <v>82124851218</v>
      </c>
      <c r="BF14" s="34">
        <v>72804000000</v>
      </c>
      <c r="BG14" s="34">
        <v>92313391942</v>
      </c>
      <c r="BH14" s="34">
        <v>80862028656</v>
      </c>
      <c r="BI14" s="34">
        <v>66989028656</v>
      </c>
      <c r="BJ14" s="34">
        <v>66989028656</v>
      </c>
      <c r="BK14" s="34">
        <v>77306590224</v>
      </c>
      <c r="BL14" s="34">
        <v>70992760790</v>
      </c>
      <c r="BM14" s="34">
        <v>93830069710</v>
      </c>
      <c r="BN14" s="34">
        <v>76798128278</v>
      </c>
      <c r="BO14" s="34">
        <v>76518747400</v>
      </c>
      <c r="BP14" s="34">
        <v>59864310020</v>
      </c>
      <c r="BQ14" s="34"/>
      <c r="BR14" s="34"/>
      <c r="BS14" s="34"/>
      <c r="BT14" s="34"/>
      <c r="BU14" s="34"/>
      <c r="BV14" s="34"/>
      <c r="BW14" s="34"/>
    </row>
    <row r="15" spans="1:75">
      <c r="A15" s="169">
        <v>12</v>
      </c>
      <c r="B15" s="170" t="s">
        <v>467</v>
      </c>
      <c r="C15" s="169">
        <v>28</v>
      </c>
      <c r="D15" s="34"/>
      <c r="E15" s="34"/>
      <c r="F15" s="34"/>
      <c r="G15" s="34"/>
      <c r="H15" s="34"/>
      <c r="I15" s="34"/>
      <c r="J15" s="34"/>
      <c r="K15" s="34"/>
      <c r="L15" s="34"/>
      <c r="M15" s="34"/>
      <c r="N15" s="34"/>
      <c r="O15" s="34"/>
      <c r="P15" s="34"/>
      <c r="Q15" s="34"/>
      <c r="R15" s="34"/>
      <c r="S15" s="34"/>
      <c r="T15" s="34"/>
      <c r="U15" s="34"/>
      <c r="V15" s="34"/>
      <c r="W15" s="34"/>
      <c r="X15" s="34"/>
      <c r="Y15" s="34"/>
      <c r="Z15" s="34"/>
      <c r="AA15" s="34"/>
      <c r="AB15" s="34"/>
      <c r="AC15" s="34"/>
      <c r="AD15" s="34"/>
      <c r="AE15" s="34"/>
      <c r="AF15" s="34"/>
      <c r="AG15" s="34"/>
      <c r="AH15" s="34"/>
      <c r="AI15" s="34"/>
      <c r="AJ15" s="34"/>
      <c r="AK15" s="34"/>
      <c r="AL15" s="34"/>
      <c r="AM15" s="34"/>
      <c r="AN15" s="34"/>
      <c r="AO15" s="34"/>
      <c r="AP15" s="34"/>
      <c r="AQ15" s="34"/>
      <c r="AR15" s="34"/>
      <c r="AS15" s="34"/>
      <c r="AT15" s="34"/>
      <c r="AU15" s="34"/>
      <c r="AV15" s="34"/>
      <c r="AW15" s="34"/>
      <c r="AX15" s="34"/>
      <c r="AY15" s="34"/>
      <c r="AZ15" s="34">
        <v>59227549743</v>
      </c>
      <c r="BA15" s="34">
        <v>10967824770</v>
      </c>
      <c r="BB15" s="34">
        <v>35192821797</v>
      </c>
      <c r="BC15" s="34">
        <v>59696932940</v>
      </c>
      <c r="BD15" s="34">
        <v>74003145708</v>
      </c>
      <c r="BE15" s="34">
        <v>102247404832</v>
      </c>
      <c r="BF15" s="34">
        <v>105000758801</v>
      </c>
      <c r="BG15" s="34">
        <v>98339501677</v>
      </c>
      <c r="BH15" s="34">
        <v>80174525410</v>
      </c>
      <c r="BI15" s="34">
        <v>55270634444</v>
      </c>
      <c r="BJ15" s="34">
        <v>31305599367</v>
      </c>
      <c r="BK15" s="34">
        <v>25039164491</v>
      </c>
      <c r="BL15" s="34">
        <v>18996798180</v>
      </c>
      <c r="BM15" s="34">
        <v>18996798180</v>
      </c>
      <c r="BN15" s="34">
        <v>32128413884</v>
      </c>
      <c r="BO15" s="34">
        <v>13206538480</v>
      </c>
      <c r="BP15" s="34">
        <v>13201037710</v>
      </c>
      <c r="BQ15" s="34"/>
      <c r="BR15" s="34"/>
      <c r="BS15" s="34"/>
      <c r="BT15" s="34"/>
      <c r="BU15" s="34"/>
      <c r="BV15" s="34"/>
      <c r="BW15" s="34"/>
    </row>
    <row r="16" spans="1:75">
      <c r="A16" s="169">
        <v>13</v>
      </c>
      <c r="B16" s="170" t="s">
        <v>468</v>
      </c>
      <c r="C16" s="169">
        <v>28</v>
      </c>
      <c r="D16" s="34"/>
      <c r="E16" s="34"/>
      <c r="F16" s="34"/>
      <c r="G16" s="34"/>
      <c r="H16" s="34"/>
      <c r="I16" s="34"/>
      <c r="J16" s="34"/>
      <c r="K16" s="34"/>
      <c r="L16" s="34"/>
      <c r="M16" s="34"/>
      <c r="N16" s="34"/>
      <c r="O16" s="34"/>
      <c r="P16" s="34"/>
      <c r="Q16" s="34"/>
      <c r="R16" s="34"/>
      <c r="S16" s="34"/>
      <c r="T16" s="34"/>
      <c r="U16" s="34"/>
      <c r="V16" s="34"/>
      <c r="W16" s="34"/>
      <c r="X16" s="34"/>
      <c r="Y16" s="34"/>
      <c r="Z16" s="34"/>
      <c r="AA16" s="34"/>
      <c r="AB16" s="34"/>
      <c r="AC16" s="34"/>
      <c r="AD16" s="34"/>
      <c r="AE16" s="34"/>
      <c r="AF16" s="34"/>
      <c r="AG16" s="34"/>
      <c r="AH16" s="34"/>
      <c r="AI16" s="34"/>
      <c r="AJ16" s="34"/>
      <c r="AK16" s="34"/>
      <c r="AL16" s="34"/>
      <c r="AM16" s="34"/>
      <c r="AN16" s="34"/>
      <c r="AO16" s="34"/>
      <c r="AP16" s="34"/>
      <c r="AQ16" s="34"/>
      <c r="AR16" s="34"/>
      <c r="AS16" s="34"/>
      <c r="AT16" s="34"/>
      <c r="AU16" s="34"/>
      <c r="AV16" s="34"/>
      <c r="AW16" s="34"/>
      <c r="AX16" s="34"/>
      <c r="AY16" s="34"/>
      <c r="AZ16" s="34">
        <v>13667004508</v>
      </c>
      <c r="BA16" s="34">
        <v>13667004508</v>
      </c>
      <c r="BB16" s="34">
        <v>13667004508</v>
      </c>
      <c r="BC16" s="34">
        <v>21972780304</v>
      </c>
      <c r="BD16" s="34">
        <v>32049798323</v>
      </c>
      <c r="BE16" s="34">
        <v>39585571449</v>
      </c>
      <c r="BF16" s="34">
        <v>54125127716</v>
      </c>
      <c r="BG16" s="34">
        <v>80169222070</v>
      </c>
      <c r="BH16" s="34">
        <v>87240583973</v>
      </c>
      <c r="BI16" s="34">
        <v>64730980597</v>
      </c>
      <c r="BJ16" s="34">
        <v>55405837410</v>
      </c>
      <c r="BK16" s="34">
        <v>51149160926</v>
      </c>
      <c r="BL16" s="34">
        <v>18836413663</v>
      </c>
      <c r="BM16" s="34">
        <v>11765051760</v>
      </c>
      <c r="BN16" s="34">
        <v>8000000000</v>
      </c>
      <c r="BO16" s="34">
        <v>8000000000</v>
      </c>
      <c r="BP16" s="34"/>
      <c r="BQ16" s="34"/>
      <c r="BR16" s="34"/>
      <c r="BS16" s="34"/>
      <c r="BT16" s="34"/>
      <c r="BU16" s="34"/>
      <c r="BV16" s="34"/>
      <c r="BW16" s="34"/>
    </row>
    <row r="17" spans="1:75">
      <c r="A17" s="169">
        <v>14</v>
      </c>
      <c r="B17" s="170" t="s">
        <v>469</v>
      </c>
      <c r="C17" s="169">
        <v>28</v>
      </c>
      <c r="D17" s="34"/>
      <c r="E17" s="34"/>
      <c r="F17" s="34"/>
      <c r="G17" s="34"/>
      <c r="H17" s="34"/>
      <c r="I17" s="34"/>
      <c r="J17" s="34"/>
      <c r="K17" s="34"/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4"/>
      <c r="W17" s="34"/>
      <c r="X17" s="34"/>
      <c r="Y17" s="34"/>
      <c r="Z17" s="34"/>
      <c r="AA17" s="34"/>
      <c r="AB17" s="34"/>
      <c r="AC17" s="34"/>
      <c r="AD17" s="34"/>
      <c r="AE17" s="34"/>
      <c r="AF17" s="34"/>
      <c r="AG17" s="34"/>
      <c r="AH17" s="34"/>
      <c r="AI17" s="34"/>
      <c r="AJ17" s="34"/>
      <c r="AK17" s="34"/>
      <c r="AL17" s="34"/>
      <c r="AM17" s="34"/>
      <c r="AN17" s="34"/>
      <c r="AO17" s="34"/>
      <c r="AP17" s="34"/>
      <c r="AQ17" s="34"/>
      <c r="AR17" s="34"/>
      <c r="AS17" s="34"/>
      <c r="AT17" s="34"/>
      <c r="AU17" s="34"/>
      <c r="AV17" s="34"/>
      <c r="AW17" s="34"/>
      <c r="AX17" s="34"/>
      <c r="AY17" s="34"/>
      <c r="AZ17" s="34"/>
      <c r="BA17" s="34"/>
      <c r="BB17" s="34">
        <v>278194176</v>
      </c>
      <c r="BC17" s="34">
        <v>278194176</v>
      </c>
      <c r="BD17" s="34">
        <v>6031380657</v>
      </c>
      <c r="BE17" s="34">
        <v>14430851772</v>
      </c>
      <c r="BF17" s="34">
        <v>18498731431</v>
      </c>
      <c r="BG17" s="34">
        <v>23865375229</v>
      </c>
      <c r="BH17" s="34">
        <v>56646971705</v>
      </c>
      <c r="BI17" s="34">
        <v>67671155323</v>
      </c>
      <c r="BJ17" s="34">
        <v>95052324284</v>
      </c>
      <c r="BK17" s="34">
        <v>99872206577</v>
      </c>
      <c r="BL17" s="34">
        <v>99872206577</v>
      </c>
      <c r="BM17" s="34">
        <v>99872206577</v>
      </c>
      <c r="BN17" s="34">
        <v>56166426483</v>
      </c>
      <c r="BO17" s="34">
        <v>43883378990</v>
      </c>
      <c r="BP17" s="34">
        <v>38362589500</v>
      </c>
      <c r="BQ17" s="34"/>
      <c r="BR17" s="34"/>
      <c r="BS17" s="34"/>
      <c r="BT17" s="34"/>
      <c r="BU17" s="34"/>
      <c r="BV17" s="34"/>
      <c r="BW17" s="34"/>
    </row>
    <row r="18" spans="1:75">
      <c r="A18" s="169">
        <v>15</v>
      </c>
      <c r="B18" s="170" t="s">
        <v>470</v>
      </c>
      <c r="C18" s="169">
        <v>28</v>
      </c>
      <c r="D18" s="34"/>
      <c r="E18" s="34"/>
      <c r="F18" s="34"/>
      <c r="G18" s="34"/>
      <c r="H18" s="34"/>
      <c r="I18" s="34"/>
      <c r="J18" s="34"/>
      <c r="K18" s="34"/>
      <c r="L18" s="34"/>
      <c r="M18" s="34"/>
      <c r="N18" s="34"/>
      <c r="O18" s="34"/>
      <c r="P18" s="34"/>
      <c r="Q18" s="34"/>
      <c r="R18" s="34"/>
      <c r="S18" s="34"/>
      <c r="T18" s="34"/>
      <c r="U18" s="34"/>
      <c r="V18" s="34"/>
      <c r="W18" s="34"/>
      <c r="X18" s="34"/>
      <c r="Y18" s="34"/>
      <c r="Z18" s="34"/>
      <c r="AA18" s="34"/>
      <c r="AB18" s="34"/>
      <c r="AC18" s="34"/>
      <c r="AD18" s="34"/>
      <c r="AE18" s="34"/>
      <c r="AF18" s="34"/>
      <c r="AG18" s="34"/>
      <c r="AH18" s="34"/>
      <c r="AI18" s="34"/>
      <c r="AJ18" s="34"/>
      <c r="AK18" s="34"/>
      <c r="AL18" s="34"/>
      <c r="AM18" s="34"/>
      <c r="AN18" s="34"/>
      <c r="AO18" s="34"/>
      <c r="AP18" s="34"/>
      <c r="AQ18" s="34"/>
      <c r="AR18" s="34"/>
      <c r="AS18" s="34"/>
      <c r="AT18" s="34"/>
      <c r="AU18" s="34"/>
      <c r="AV18" s="34"/>
      <c r="AW18" s="34"/>
      <c r="AX18" s="34"/>
      <c r="AY18" s="34"/>
      <c r="AZ18" s="34"/>
      <c r="BA18" s="34"/>
      <c r="BB18" s="34"/>
      <c r="BC18" s="34"/>
      <c r="BD18" s="34"/>
      <c r="BE18" s="34"/>
      <c r="BF18" s="34">
        <v>144752832</v>
      </c>
      <c r="BG18" s="34">
        <v>144752832</v>
      </c>
      <c r="BH18" s="34">
        <v>4692390016</v>
      </c>
      <c r="BI18" s="34">
        <v>4692390016</v>
      </c>
      <c r="BJ18" s="34">
        <v>4547637184</v>
      </c>
      <c r="BK18" s="34"/>
      <c r="BL18" s="34">
        <v>0</v>
      </c>
      <c r="BM18" s="34">
        <v>0</v>
      </c>
      <c r="BN18" s="34">
        <v>0</v>
      </c>
      <c r="BO18" s="34">
        <v>0</v>
      </c>
      <c r="BP18" s="34"/>
      <c r="BQ18" s="34"/>
      <c r="BR18" s="34"/>
      <c r="BS18" s="34"/>
      <c r="BT18" s="34"/>
      <c r="BU18" s="34"/>
      <c r="BV18" s="34"/>
      <c r="BW18" s="34"/>
    </row>
    <row r="19" spans="1:75">
      <c r="A19" s="169">
        <v>16</v>
      </c>
      <c r="B19" s="170" t="s">
        <v>471</v>
      </c>
      <c r="C19" s="169">
        <v>28</v>
      </c>
      <c r="D19" s="34"/>
      <c r="E19" s="34"/>
      <c r="F19" s="34"/>
      <c r="G19" s="34"/>
      <c r="H19" s="34"/>
      <c r="I19" s="34"/>
      <c r="J19" s="34"/>
      <c r="K19" s="34"/>
      <c r="L19" s="34"/>
      <c r="M19" s="34"/>
      <c r="N19" s="34"/>
      <c r="O19" s="34"/>
      <c r="P19" s="34"/>
      <c r="Q19" s="34"/>
      <c r="R19" s="34"/>
      <c r="S19" s="34"/>
      <c r="T19" s="34"/>
      <c r="U19" s="34"/>
      <c r="V19" s="34"/>
      <c r="W19" s="34"/>
      <c r="X19" s="34"/>
      <c r="Y19" s="34"/>
      <c r="Z19" s="34"/>
      <c r="AA19" s="34"/>
      <c r="AB19" s="34"/>
      <c r="AC19" s="34"/>
      <c r="AD19" s="34"/>
      <c r="AE19" s="34"/>
      <c r="AF19" s="34"/>
      <c r="AG19" s="34"/>
      <c r="AH19" s="34"/>
      <c r="AI19" s="34"/>
      <c r="AJ19" s="34"/>
      <c r="AK19" s="34"/>
      <c r="AL19" s="34"/>
      <c r="AM19" s="34"/>
      <c r="AN19" s="34"/>
      <c r="AO19" s="34"/>
      <c r="AP19" s="34"/>
      <c r="AQ19" s="34"/>
      <c r="AR19" s="34"/>
      <c r="AS19" s="34"/>
      <c r="AT19" s="34"/>
      <c r="AU19" s="34"/>
      <c r="AV19" s="34"/>
      <c r="AW19" s="34"/>
      <c r="AX19" s="34"/>
      <c r="AY19" s="34"/>
      <c r="AZ19" s="34"/>
      <c r="BA19" s="34"/>
      <c r="BB19" s="34"/>
      <c r="BC19" s="34"/>
      <c r="BD19" s="34"/>
      <c r="BE19" s="34"/>
      <c r="BF19" s="34"/>
      <c r="BG19" s="34"/>
      <c r="BH19" s="34"/>
      <c r="BI19" s="34"/>
      <c r="BJ19" s="34"/>
      <c r="BK19" s="34"/>
      <c r="BL19" s="34">
        <v>8120618935</v>
      </c>
      <c r="BM19" s="34">
        <v>7382380850</v>
      </c>
      <c r="BN19" s="34">
        <v>6644142765</v>
      </c>
      <c r="BO19" s="34">
        <v>5905904680</v>
      </c>
      <c r="BP19" s="34">
        <v>5167666595</v>
      </c>
      <c r="BQ19" s="34"/>
      <c r="BR19" s="34"/>
      <c r="BS19" s="34"/>
      <c r="BT19" s="34"/>
      <c r="BU19" s="34"/>
      <c r="BV19" s="34"/>
      <c r="BW19" s="34"/>
    </row>
    <row r="20" spans="1:75">
      <c r="A20" s="169">
        <v>17</v>
      </c>
      <c r="B20" s="170" t="s">
        <v>472</v>
      </c>
      <c r="C20" s="169">
        <v>28</v>
      </c>
      <c r="D20" s="34"/>
      <c r="E20" s="34"/>
      <c r="F20" s="34"/>
      <c r="G20" s="34"/>
      <c r="H20" s="34"/>
      <c r="I20" s="34"/>
      <c r="J20" s="34"/>
      <c r="K20" s="34"/>
      <c r="L20" s="34"/>
      <c r="M20" s="34"/>
      <c r="N20" s="34"/>
      <c r="O20" s="34"/>
      <c r="P20" s="34"/>
      <c r="Q20" s="34"/>
      <c r="R20" s="34"/>
      <c r="S20" s="34"/>
      <c r="T20" s="34"/>
      <c r="U20" s="34"/>
      <c r="V20" s="34"/>
      <c r="W20" s="34"/>
      <c r="X20" s="34"/>
      <c r="Y20" s="34"/>
      <c r="Z20" s="34"/>
      <c r="AA20" s="34"/>
      <c r="AB20" s="34"/>
      <c r="AC20" s="34"/>
      <c r="AD20" s="34"/>
      <c r="AE20" s="34"/>
      <c r="AF20" s="34"/>
      <c r="AG20" s="34"/>
      <c r="AH20" s="34"/>
      <c r="AI20" s="34"/>
      <c r="AJ20" s="34"/>
      <c r="AK20" s="34"/>
      <c r="AL20" s="34"/>
      <c r="AM20" s="34"/>
      <c r="AN20" s="34"/>
      <c r="AO20" s="34"/>
      <c r="AP20" s="34"/>
      <c r="AQ20" s="34"/>
      <c r="AR20" s="34"/>
      <c r="AS20" s="34"/>
      <c r="AT20" s="34"/>
      <c r="AU20" s="34"/>
      <c r="AV20" s="34"/>
      <c r="AW20" s="34"/>
      <c r="AX20" s="34"/>
      <c r="AY20" s="34"/>
      <c r="AZ20" s="34"/>
      <c r="BA20" s="34"/>
      <c r="BB20" s="34"/>
      <c r="BC20" s="34"/>
      <c r="BD20" s="34"/>
      <c r="BE20" s="34"/>
      <c r="BF20" s="34"/>
      <c r="BG20" s="34"/>
      <c r="BH20" s="34"/>
      <c r="BI20" s="34"/>
      <c r="BJ20" s="34"/>
      <c r="BK20" s="34"/>
      <c r="BL20" s="34"/>
      <c r="BM20" s="34"/>
      <c r="BN20" s="34"/>
      <c r="BO20" s="34"/>
      <c r="BP20" s="34"/>
      <c r="BQ20" s="34"/>
      <c r="BR20" s="34"/>
      <c r="BS20" s="34"/>
      <c r="BT20" s="34"/>
      <c r="BU20" s="34"/>
      <c r="BV20" s="34"/>
      <c r="BW20" s="34"/>
    </row>
    <row r="21" spans="1:75">
      <c r="A21" s="169">
        <v>18</v>
      </c>
      <c r="B21" s="87"/>
      <c r="C21" s="169">
        <v>28</v>
      </c>
      <c r="D21" s="34"/>
      <c r="E21" s="34"/>
      <c r="F21" s="34"/>
      <c r="G21" s="34"/>
      <c r="H21" s="34"/>
      <c r="I21" s="34"/>
      <c r="J21" s="34"/>
      <c r="K21" s="34"/>
      <c r="L21" s="34"/>
      <c r="M21" s="34"/>
      <c r="N21" s="34"/>
      <c r="O21" s="34"/>
      <c r="P21" s="34"/>
      <c r="Q21" s="34"/>
      <c r="R21" s="34"/>
      <c r="S21" s="34"/>
      <c r="T21" s="34"/>
      <c r="U21" s="34"/>
      <c r="V21" s="34"/>
      <c r="W21" s="34"/>
      <c r="X21" s="34"/>
      <c r="Y21" s="34"/>
      <c r="Z21" s="34"/>
      <c r="AA21" s="34"/>
      <c r="AB21" s="34"/>
      <c r="AC21" s="34"/>
      <c r="AD21" s="34"/>
      <c r="AE21" s="34"/>
      <c r="AF21" s="34"/>
      <c r="AG21" s="34"/>
      <c r="AH21" s="34"/>
      <c r="AI21" s="34"/>
      <c r="AJ21" s="34"/>
      <c r="AK21" s="34"/>
      <c r="AL21" s="34"/>
      <c r="AM21" s="34"/>
      <c r="AN21" s="34"/>
      <c r="AO21" s="34"/>
      <c r="AP21" s="34"/>
      <c r="AQ21" s="34"/>
      <c r="AR21" s="34"/>
      <c r="AS21" s="34"/>
      <c r="AT21" s="34"/>
      <c r="AU21" s="34"/>
      <c r="AV21" s="34"/>
      <c r="AW21" s="34"/>
      <c r="AX21" s="34"/>
      <c r="AY21" s="34"/>
      <c r="AZ21" s="34"/>
      <c r="BA21" s="34"/>
      <c r="BB21" s="34"/>
      <c r="BC21" s="34"/>
      <c r="BD21" s="34"/>
      <c r="BE21" s="34"/>
      <c r="BF21" s="34"/>
      <c r="BG21" s="34"/>
      <c r="BH21" s="34"/>
      <c r="BI21" s="34"/>
      <c r="BJ21" s="34"/>
      <c r="BK21" s="34"/>
      <c r="BL21" s="34"/>
      <c r="BM21" s="34"/>
      <c r="BN21" s="34"/>
      <c r="BO21" s="34"/>
      <c r="BP21" s="34"/>
      <c r="BQ21" s="34"/>
      <c r="BR21" s="34"/>
      <c r="BS21" s="34"/>
      <c r="BT21" s="34"/>
      <c r="BU21" s="34"/>
      <c r="BV21" s="34"/>
      <c r="BW21" s="34"/>
    </row>
    <row r="22" spans="1:75">
      <c r="A22" s="171">
        <v>19</v>
      </c>
      <c r="B22" s="172" t="s">
        <v>474</v>
      </c>
      <c r="C22" s="169">
        <v>28</v>
      </c>
      <c r="D22" s="34"/>
      <c r="E22" s="34"/>
      <c r="F22" s="34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4"/>
      <c r="Z22" s="34"/>
      <c r="AA22" s="34"/>
      <c r="AB22" s="34"/>
      <c r="AC22" s="34"/>
      <c r="AD22" s="34"/>
      <c r="AE22" s="34"/>
      <c r="AF22" s="34"/>
      <c r="AG22" s="34"/>
      <c r="AH22" s="34"/>
      <c r="AI22" s="34"/>
      <c r="AJ22" s="34"/>
      <c r="AK22" s="34"/>
      <c r="AL22" s="34"/>
      <c r="AM22" s="34"/>
      <c r="AN22" s="34"/>
      <c r="AO22" s="34"/>
      <c r="AP22" s="34"/>
      <c r="AQ22" s="34"/>
      <c r="AR22" s="34"/>
      <c r="AS22" s="34"/>
      <c r="AT22" s="34"/>
      <c r="AU22" s="34"/>
      <c r="AV22" s="34"/>
      <c r="AW22" s="34"/>
      <c r="AX22" s="34"/>
      <c r="AY22" s="34"/>
      <c r="AZ22" s="34"/>
      <c r="BA22" s="34"/>
      <c r="BB22" s="34"/>
      <c r="BC22" s="34"/>
      <c r="BD22" s="34"/>
      <c r="BE22" s="34"/>
      <c r="BF22" s="34"/>
      <c r="BG22" s="34"/>
      <c r="BH22" s="34"/>
      <c r="BI22" s="34"/>
      <c r="BJ22" s="34"/>
      <c r="BK22" s="34"/>
      <c r="BL22" s="34"/>
      <c r="BM22" s="34"/>
      <c r="BN22" s="34"/>
      <c r="BO22" s="34"/>
      <c r="BP22" s="34"/>
      <c r="BQ22" s="34"/>
      <c r="BR22" s="34"/>
      <c r="BS22" s="34"/>
      <c r="BT22" s="34"/>
      <c r="BU22" s="34"/>
      <c r="BV22" s="34"/>
      <c r="BW22" s="34"/>
    </row>
    <row r="23" spans="1:75">
      <c r="A23" s="169">
        <v>20</v>
      </c>
      <c r="B23" s="170" t="str">
        <f t="shared" ref="B23:B29" si="2">B14</f>
        <v>ACB</v>
      </c>
      <c r="C23" s="169">
        <v>28</v>
      </c>
      <c r="D23" s="37"/>
      <c r="E23" s="37"/>
      <c r="F23" s="37"/>
      <c r="G23" s="37"/>
      <c r="H23" s="37"/>
      <c r="I23" s="37"/>
      <c r="J23" s="37"/>
      <c r="K23" s="37"/>
      <c r="L23" s="37"/>
      <c r="M23" s="37"/>
      <c r="N23" s="37"/>
      <c r="O23" s="37"/>
      <c r="P23" s="37"/>
      <c r="Q23" s="37"/>
      <c r="R23" s="37"/>
      <c r="S23" s="37"/>
      <c r="T23" s="37"/>
      <c r="U23" s="37"/>
      <c r="V23" s="37"/>
      <c r="W23" s="37"/>
      <c r="X23" s="37"/>
      <c r="Y23" s="37"/>
      <c r="Z23" s="37"/>
      <c r="AA23" s="37"/>
      <c r="AB23" s="37"/>
      <c r="AC23" s="37"/>
      <c r="AD23" s="37"/>
      <c r="AE23" s="37"/>
      <c r="AF23" s="37"/>
      <c r="AG23" s="37"/>
      <c r="AH23" s="37"/>
      <c r="AI23" s="37"/>
      <c r="AJ23" s="37"/>
      <c r="AK23" s="37"/>
      <c r="AL23" s="37"/>
      <c r="AM23" s="37"/>
      <c r="AN23" s="37"/>
      <c r="AO23" s="37"/>
      <c r="AP23" s="37"/>
      <c r="AQ23" s="37"/>
      <c r="AR23" s="37"/>
      <c r="AS23" s="37"/>
      <c r="AT23" s="37"/>
      <c r="AU23" s="37"/>
      <c r="AV23" s="37"/>
      <c r="AW23" s="37"/>
      <c r="AX23" s="37"/>
      <c r="AY23" s="37"/>
      <c r="AZ23" s="37"/>
      <c r="BA23" s="37"/>
      <c r="BB23" s="37"/>
      <c r="BC23" s="37"/>
      <c r="BD23" s="37"/>
      <c r="BE23" s="37"/>
      <c r="BF23" s="37"/>
      <c r="BG23" s="37"/>
      <c r="BH23" s="37"/>
      <c r="BI23" s="37"/>
      <c r="BJ23" s="37"/>
      <c r="BK23" s="37"/>
      <c r="BL23" s="37">
        <v>4.2999999999999997E-2</v>
      </c>
      <c r="BM23" s="37">
        <v>4.2999999999999997E-2</v>
      </c>
      <c r="BN23" s="37">
        <v>4.2999999999999997E-2</v>
      </c>
      <c r="BO23" s="37"/>
      <c r="BP23" s="37">
        <v>4.2999999999999997E-2</v>
      </c>
      <c r="BQ23" s="37"/>
      <c r="BR23" s="37"/>
      <c r="BS23" s="37"/>
      <c r="BT23" s="37"/>
      <c r="BU23" s="37"/>
      <c r="BV23" s="37"/>
      <c r="BW23" s="37"/>
    </row>
    <row r="24" spans="1:75">
      <c r="A24" s="169">
        <v>21</v>
      </c>
      <c r="B24" s="170" t="str">
        <f t="shared" si="2"/>
        <v>VietinBank</v>
      </c>
      <c r="C24" s="169">
        <v>28</v>
      </c>
      <c r="D24" s="37"/>
      <c r="E24" s="37"/>
      <c r="F24" s="37"/>
      <c r="G24" s="37"/>
      <c r="H24" s="37"/>
      <c r="I24" s="37"/>
      <c r="J24" s="37"/>
      <c r="K24" s="37"/>
      <c r="L24" s="37"/>
      <c r="M24" s="37"/>
      <c r="N24" s="37"/>
      <c r="O24" s="37"/>
      <c r="P24" s="37"/>
      <c r="Q24" s="37"/>
      <c r="R24" s="37"/>
      <c r="S24" s="37"/>
      <c r="T24" s="37"/>
      <c r="U24" s="37"/>
      <c r="V24" s="37"/>
      <c r="W24" s="37"/>
      <c r="X24" s="37"/>
      <c r="Y24" s="37"/>
      <c r="Z24" s="37"/>
      <c r="AA24" s="37"/>
      <c r="AB24" s="37"/>
      <c r="AC24" s="37"/>
      <c r="AD24" s="37"/>
      <c r="AE24" s="37"/>
      <c r="AF24" s="37"/>
      <c r="AG24" s="37"/>
      <c r="AH24" s="37"/>
      <c r="AI24" s="37"/>
      <c r="AJ24" s="37"/>
      <c r="AK24" s="37"/>
      <c r="AL24" s="37"/>
      <c r="AM24" s="37"/>
      <c r="AN24" s="37"/>
      <c r="AO24" s="37"/>
      <c r="AP24" s="37"/>
      <c r="AQ24" s="37"/>
      <c r="AR24" s="37"/>
      <c r="AS24" s="37"/>
      <c r="AT24" s="37"/>
      <c r="AU24" s="37"/>
      <c r="AV24" s="37"/>
      <c r="AW24" s="37"/>
      <c r="AX24" s="37"/>
      <c r="AY24" s="37"/>
      <c r="AZ24" s="37"/>
      <c r="BA24" s="37"/>
      <c r="BB24" s="37"/>
      <c r="BC24" s="37"/>
      <c r="BD24" s="37"/>
      <c r="BE24" s="37"/>
      <c r="BF24" s="37"/>
      <c r="BG24" s="37"/>
      <c r="BH24" s="37"/>
      <c r="BI24" s="37"/>
      <c r="BJ24" s="37"/>
      <c r="BK24" s="37"/>
      <c r="BL24" s="37">
        <v>4.2999999999999997E-2</v>
      </c>
      <c r="BM24" s="37">
        <v>4.2999999999999997E-2</v>
      </c>
      <c r="BN24" s="37">
        <v>4.2999999999999997E-2</v>
      </c>
      <c r="BO24" s="37"/>
      <c r="BP24" s="37">
        <v>4.2999999999999997E-2</v>
      </c>
      <c r="BQ24" s="37"/>
      <c r="BR24" s="37"/>
      <c r="BS24" s="37"/>
      <c r="BT24" s="37"/>
      <c r="BU24" s="37"/>
      <c r="BV24" s="37"/>
      <c r="BW24" s="37"/>
    </row>
    <row r="25" spans="1:75">
      <c r="A25" s="169">
        <v>22</v>
      </c>
      <c r="B25" s="170" t="str">
        <f t="shared" si="2"/>
        <v>Vietcombank</v>
      </c>
      <c r="C25" s="169">
        <v>28</v>
      </c>
      <c r="D25" s="37"/>
      <c r="E25" s="37"/>
      <c r="F25" s="37"/>
      <c r="G25" s="37"/>
      <c r="H25" s="37"/>
      <c r="I25" s="37"/>
      <c r="J25" s="37"/>
      <c r="K25" s="37"/>
      <c r="L25" s="37"/>
      <c r="M25" s="37"/>
      <c r="N25" s="37"/>
      <c r="O25" s="37"/>
      <c r="P25" s="37"/>
      <c r="Q25" s="37"/>
      <c r="R25" s="37"/>
      <c r="S25" s="37"/>
      <c r="T25" s="37"/>
      <c r="U25" s="37"/>
      <c r="V25" s="37"/>
      <c r="W25" s="37"/>
      <c r="X25" s="37"/>
      <c r="Y25" s="37"/>
      <c r="Z25" s="37"/>
      <c r="AA25" s="37"/>
      <c r="AB25" s="37"/>
      <c r="AC25" s="37"/>
      <c r="AD25" s="37"/>
      <c r="AE25" s="37"/>
      <c r="AF25" s="37"/>
      <c r="AG25" s="37"/>
      <c r="AH25" s="37"/>
      <c r="AI25" s="37"/>
      <c r="AJ25" s="37"/>
      <c r="AK25" s="37"/>
      <c r="AL25" s="37"/>
      <c r="AM25" s="37"/>
      <c r="AN25" s="37"/>
      <c r="AO25" s="37"/>
      <c r="AP25" s="37"/>
      <c r="AQ25" s="37"/>
      <c r="AR25" s="37"/>
      <c r="AS25" s="37"/>
      <c r="AT25" s="37"/>
      <c r="AU25" s="37"/>
      <c r="AV25" s="37"/>
      <c r="AW25" s="37"/>
      <c r="AX25" s="37"/>
      <c r="AY25" s="37"/>
      <c r="AZ25" s="37"/>
      <c r="BA25" s="37"/>
      <c r="BB25" s="37"/>
      <c r="BC25" s="37"/>
      <c r="BD25" s="37"/>
      <c r="BE25" s="37"/>
      <c r="BF25" s="37"/>
      <c r="BG25" s="37"/>
      <c r="BH25" s="37"/>
      <c r="BI25" s="37"/>
      <c r="BJ25" s="37"/>
      <c r="BK25" s="37"/>
      <c r="BL25" s="37">
        <v>5.1174134571775887E-2</v>
      </c>
      <c r="BM25" s="37">
        <v>5.7890326826747419E-2</v>
      </c>
      <c r="BN25" s="37">
        <v>5.8000000000000003E-2</v>
      </c>
      <c r="BO25" s="37"/>
      <c r="BP25" s="37"/>
      <c r="BQ25" s="37"/>
      <c r="BR25" s="37"/>
      <c r="BS25" s="37"/>
      <c r="BT25" s="37"/>
      <c r="BU25" s="37"/>
      <c r="BV25" s="37"/>
      <c r="BW25" s="37"/>
    </row>
    <row r="26" spans="1:75">
      <c r="A26" s="169">
        <v>23</v>
      </c>
      <c r="B26" s="170" t="str">
        <f t="shared" si="2"/>
        <v>BIDV</v>
      </c>
      <c r="C26" s="169">
        <v>28</v>
      </c>
      <c r="D26" s="37"/>
      <c r="E26" s="37"/>
      <c r="F26" s="37"/>
      <c r="G26" s="37"/>
      <c r="H26" s="37"/>
      <c r="I26" s="37"/>
      <c r="J26" s="37"/>
      <c r="K26" s="37"/>
      <c r="L26" s="37"/>
      <c r="M26" s="37"/>
      <c r="N26" s="37"/>
      <c r="O26" s="37"/>
      <c r="P26" s="37"/>
      <c r="Q26" s="37"/>
      <c r="R26" s="37"/>
      <c r="S26" s="37"/>
      <c r="T26" s="37"/>
      <c r="U26" s="37"/>
      <c r="V26" s="37"/>
      <c r="W26" s="37"/>
      <c r="X26" s="37"/>
      <c r="Y26" s="37"/>
      <c r="Z26" s="37"/>
      <c r="AA26" s="37"/>
      <c r="AB26" s="37"/>
      <c r="AC26" s="37"/>
      <c r="AD26" s="37"/>
      <c r="AE26" s="37"/>
      <c r="AF26" s="37"/>
      <c r="AG26" s="37"/>
      <c r="AH26" s="37"/>
      <c r="AI26" s="37"/>
      <c r="AJ26" s="37"/>
      <c r="AK26" s="37"/>
      <c r="AL26" s="37"/>
      <c r="AM26" s="37"/>
      <c r="AN26" s="37"/>
      <c r="AO26" s="37"/>
      <c r="AP26" s="37"/>
      <c r="AQ26" s="37"/>
      <c r="AR26" s="37"/>
      <c r="AS26" s="37"/>
      <c r="AT26" s="37"/>
      <c r="AU26" s="37"/>
      <c r="AV26" s="37"/>
      <c r="AW26" s="37"/>
      <c r="AX26" s="37"/>
      <c r="AY26" s="37"/>
      <c r="AZ26" s="37"/>
      <c r="BA26" s="37"/>
      <c r="BB26" s="37"/>
      <c r="BC26" s="37"/>
      <c r="BD26" s="37"/>
      <c r="BE26" s="37"/>
      <c r="BF26" s="37"/>
      <c r="BG26" s="37"/>
      <c r="BH26" s="37"/>
      <c r="BI26" s="37"/>
      <c r="BJ26" s="37"/>
      <c r="BK26" s="37"/>
      <c r="BL26" s="37">
        <v>0.04</v>
      </c>
      <c r="BM26" s="37">
        <v>0.04</v>
      </c>
      <c r="BN26" s="37">
        <v>0.04</v>
      </c>
      <c r="BO26" s="37"/>
      <c r="BP26" s="37">
        <v>0.04</v>
      </c>
      <c r="BQ26" s="37"/>
      <c r="BR26" s="37"/>
      <c r="BS26" s="37"/>
      <c r="BT26" s="37"/>
      <c r="BU26" s="37"/>
      <c r="BV26" s="37"/>
      <c r="BW26" s="37"/>
    </row>
    <row r="27" spans="1:75">
      <c r="A27" s="169">
        <v>24</v>
      </c>
      <c r="B27" s="170" t="str">
        <f t="shared" si="2"/>
        <v>Standard Chartered</v>
      </c>
      <c r="C27" s="169">
        <v>28</v>
      </c>
      <c r="D27" s="37"/>
      <c r="E27" s="37"/>
      <c r="F27" s="37"/>
      <c r="G27" s="37"/>
      <c r="H27" s="37"/>
      <c r="I27" s="37"/>
      <c r="J27" s="37"/>
      <c r="K27" s="37"/>
      <c r="L27" s="37"/>
      <c r="M27" s="37"/>
      <c r="N27" s="37"/>
      <c r="O27" s="37"/>
      <c r="P27" s="37"/>
      <c r="Q27" s="37"/>
      <c r="R27" s="37"/>
      <c r="S27" s="37"/>
      <c r="T27" s="37"/>
      <c r="U27" s="37"/>
      <c r="V27" s="37"/>
      <c r="W27" s="37"/>
      <c r="X27" s="37"/>
      <c r="Y27" s="37"/>
      <c r="Z27" s="37"/>
      <c r="AA27" s="37"/>
      <c r="AB27" s="37"/>
      <c r="AC27" s="37"/>
      <c r="AD27" s="37"/>
      <c r="AE27" s="37"/>
      <c r="AF27" s="37"/>
      <c r="AG27" s="37"/>
      <c r="AH27" s="37"/>
      <c r="AI27" s="37"/>
      <c r="AJ27" s="37"/>
      <c r="AK27" s="37"/>
      <c r="AL27" s="37"/>
      <c r="AM27" s="37"/>
      <c r="AN27" s="37"/>
      <c r="AO27" s="37"/>
      <c r="AP27" s="37"/>
      <c r="AQ27" s="37"/>
      <c r="AR27" s="37"/>
      <c r="AS27" s="37"/>
      <c r="AT27" s="37"/>
      <c r="AU27" s="37"/>
      <c r="AV27" s="37"/>
      <c r="AW27" s="37"/>
      <c r="AX27" s="37"/>
      <c r="AY27" s="37"/>
      <c r="AZ27" s="37"/>
      <c r="BA27" s="37"/>
      <c r="BB27" s="37"/>
      <c r="BC27" s="37"/>
      <c r="BD27" s="37"/>
      <c r="BE27" s="37"/>
      <c r="BF27" s="37"/>
      <c r="BG27" s="37"/>
      <c r="BH27" s="37"/>
      <c r="BI27" s="37"/>
      <c r="BJ27" s="37"/>
      <c r="BK27" s="37"/>
      <c r="BL27" s="37"/>
      <c r="BM27" s="37"/>
      <c r="BN27" s="37"/>
      <c r="BO27" s="37"/>
      <c r="BP27" s="37"/>
      <c r="BQ27" s="37"/>
      <c r="BR27" s="37"/>
      <c r="BS27" s="37"/>
      <c r="BT27" s="37"/>
      <c r="BU27" s="37"/>
      <c r="BV27" s="37"/>
      <c r="BW27" s="37"/>
    </row>
    <row r="28" spans="1:75">
      <c r="A28" s="169">
        <v>25</v>
      </c>
      <c r="B28" s="170" t="str">
        <f t="shared" si="2"/>
        <v>VILC</v>
      </c>
      <c r="C28" s="169">
        <v>28</v>
      </c>
      <c r="D28" s="34"/>
      <c r="E28" s="34"/>
      <c r="F28" s="34"/>
      <c r="G28" s="34"/>
      <c r="H28" s="34"/>
      <c r="I28" s="34"/>
      <c r="J28" s="34"/>
      <c r="K28" s="34"/>
      <c r="L28" s="34"/>
      <c r="M28" s="34"/>
      <c r="N28" s="34"/>
      <c r="O28" s="34"/>
      <c r="P28" s="34"/>
      <c r="Q28" s="34"/>
      <c r="R28" s="34"/>
      <c r="S28" s="34"/>
      <c r="T28" s="34"/>
      <c r="U28" s="34"/>
      <c r="V28" s="34"/>
      <c r="W28" s="34"/>
      <c r="X28" s="34"/>
      <c r="Y28" s="34"/>
      <c r="Z28" s="34"/>
      <c r="AA28" s="34"/>
      <c r="AB28" s="34"/>
      <c r="AC28" s="34"/>
      <c r="AD28" s="34"/>
      <c r="AE28" s="34"/>
      <c r="AF28" s="34"/>
      <c r="AG28" s="34"/>
      <c r="AH28" s="34"/>
      <c r="AI28" s="34"/>
      <c r="AJ28" s="34"/>
      <c r="AK28" s="34"/>
      <c r="AL28" s="34"/>
      <c r="AM28" s="34"/>
      <c r="AN28" s="34"/>
      <c r="AO28" s="34"/>
      <c r="AP28" s="34"/>
      <c r="AQ28" s="34"/>
      <c r="AR28" s="34"/>
      <c r="AS28" s="34"/>
      <c r="AT28" s="34"/>
      <c r="AU28" s="34"/>
      <c r="AV28" s="34"/>
      <c r="AW28" s="34"/>
      <c r="AX28" s="34"/>
      <c r="AY28" s="34"/>
      <c r="AZ28" s="34"/>
      <c r="BA28" s="34"/>
      <c r="BB28" s="34"/>
      <c r="BC28" s="34"/>
      <c r="BD28" s="34"/>
      <c r="BE28" s="34"/>
      <c r="BF28" s="34"/>
      <c r="BG28" s="34"/>
      <c r="BH28" s="34"/>
      <c r="BI28" s="34"/>
      <c r="BJ28" s="34"/>
      <c r="BK28" s="34"/>
      <c r="BL28" s="34"/>
      <c r="BM28" s="34"/>
      <c r="BN28" s="34"/>
      <c r="BO28" s="34"/>
      <c r="BP28" s="34"/>
      <c r="BQ28" s="34"/>
      <c r="BR28" s="34"/>
      <c r="BS28" s="34"/>
      <c r="BT28" s="34"/>
      <c r="BU28" s="34"/>
      <c r="BV28" s="34"/>
      <c r="BW28" s="34"/>
    </row>
    <row r="29" spans="1:75">
      <c r="A29" s="169">
        <v>26</v>
      </c>
      <c r="B29" s="170" t="str">
        <f t="shared" si="2"/>
        <v>IVB</v>
      </c>
      <c r="C29" s="169">
        <v>28</v>
      </c>
      <c r="D29" s="34"/>
      <c r="E29" s="34"/>
      <c r="F29" s="34"/>
      <c r="G29" s="34"/>
      <c r="H29" s="34"/>
      <c r="I29" s="34"/>
      <c r="J29" s="34"/>
      <c r="K29" s="34"/>
      <c r="L29" s="34"/>
      <c r="M29" s="34"/>
      <c r="N29" s="34"/>
      <c r="O29" s="34"/>
      <c r="P29" s="34"/>
      <c r="Q29" s="34"/>
      <c r="R29" s="34"/>
      <c r="S29" s="34"/>
      <c r="T29" s="34"/>
      <c r="U29" s="34"/>
      <c r="V29" s="34"/>
      <c r="W29" s="34"/>
      <c r="X29" s="34"/>
      <c r="Y29" s="34"/>
      <c r="Z29" s="34"/>
      <c r="AA29" s="34"/>
      <c r="AB29" s="34"/>
      <c r="AC29" s="34"/>
      <c r="AD29" s="34"/>
      <c r="AE29" s="34"/>
      <c r="AF29" s="34"/>
      <c r="AG29" s="34"/>
      <c r="AH29" s="34"/>
      <c r="AI29" s="34"/>
      <c r="AJ29" s="34"/>
      <c r="AK29" s="34"/>
      <c r="AL29" s="34"/>
      <c r="AM29" s="34"/>
      <c r="AN29" s="34"/>
      <c r="AO29" s="34"/>
      <c r="AP29" s="34"/>
      <c r="AQ29" s="34"/>
      <c r="AR29" s="34"/>
      <c r="AS29" s="34"/>
      <c r="AT29" s="34"/>
      <c r="AU29" s="34"/>
      <c r="AV29" s="34"/>
      <c r="AW29" s="34"/>
      <c r="AX29" s="34"/>
      <c r="AY29" s="34"/>
      <c r="AZ29" s="34"/>
      <c r="BA29" s="34"/>
      <c r="BB29" s="34"/>
      <c r="BC29" s="34"/>
      <c r="BD29" s="34"/>
      <c r="BE29" s="34"/>
      <c r="BF29" s="34"/>
      <c r="BG29" s="34"/>
      <c r="BH29" s="34"/>
      <c r="BI29" s="34"/>
      <c r="BJ29" s="34"/>
      <c r="BK29" s="34"/>
      <c r="BL29" s="34"/>
      <c r="BM29" s="34"/>
      <c r="BN29" s="34"/>
      <c r="BO29" s="34"/>
      <c r="BP29" s="34"/>
      <c r="BQ29" s="34"/>
      <c r="BR29" s="34"/>
      <c r="BS29" s="34"/>
      <c r="BT29" s="34"/>
      <c r="BU29" s="34"/>
      <c r="BV29" s="34"/>
      <c r="BW29" s="34"/>
    </row>
    <row r="30" spans="1:75">
      <c r="A30" s="169">
        <v>27</v>
      </c>
      <c r="B30" s="170"/>
      <c r="C30" s="169">
        <v>28</v>
      </c>
      <c r="D30" s="34"/>
      <c r="E30" s="34"/>
      <c r="F30" s="34"/>
      <c r="G30" s="34"/>
      <c r="H30" s="34"/>
      <c r="I30" s="34"/>
      <c r="J30" s="34"/>
      <c r="K30" s="34"/>
      <c r="L30" s="34"/>
      <c r="M30" s="34"/>
      <c r="N30" s="34"/>
      <c r="O30" s="34"/>
      <c r="P30" s="34"/>
      <c r="Q30" s="34"/>
      <c r="R30" s="34"/>
      <c r="S30" s="34"/>
      <c r="T30" s="34"/>
      <c r="U30" s="34"/>
      <c r="V30" s="34"/>
      <c r="W30" s="34"/>
      <c r="X30" s="34"/>
      <c r="Y30" s="34"/>
      <c r="Z30" s="34"/>
      <c r="AA30" s="34"/>
      <c r="AB30" s="34"/>
      <c r="AC30" s="34"/>
      <c r="AD30" s="34"/>
      <c r="AE30" s="34"/>
      <c r="AF30" s="34"/>
      <c r="AG30" s="34"/>
      <c r="AH30" s="34"/>
      <c r="AI30" s="34"/>
      <c r="AJ30" s="34"/>
      <c r="AK30" s="34"/>
      <c r="AL30" s="34"/>
      <c r="AM30" s="34"/>
      <c r="AN30" s="34"/>
      <c r="AO30" s="34"/>
      <c r="AP30" s="34"/>
      <c r="AQ30" s="34"/>
      <c r="AR30" s="34"/>
      <c r="AS30" s="34"/>
      <c r="AT30" s="34"/>
      <c r="AU30" s="34"/>
      <c r="AV30" s="34"/>
      <c r="AW30" s="34"/>
      <c r="AX30" s="34"/>
      <c r="AY30" s="34"/>
      <c r="AZ30" s="34"/>
      <c r="BA30" s="34"/>
      <c r="BB30" s="34"/>
      <c r="BC30" s="34"/>
      <c r="BD30" s="34"/>
      <c r="BE30" s="34"/>
      <c r="BF30" s="34"/>
      <c r="BG30" s="34"/>
      <c r="BH30" s="34"/>
      <c r="BI30" s="34"/>
      <c r="BJ30" s="34"/>
      <c r="BK30" s="34"/>
      <c r="BL30" s="34"/>
      <c r="BM30" s="34"/>
      <c r="BN30" s="34"/>
      <c r="BO30" s="34"/>
      <c r="BP30" s="34"/>
      <c r="BQ30" s="34"/>
      <c r="BR30" s="34"/>
      <c r="BS30" s="34"/>
      <c r="BT30" s="34"/>
      <c r="BU30" s="34"/>
      <c r="BV30" s="34"/>
      <c r="BW30" s="34"/>
    </row>
    <row r="31" spans="1:75">
      <c r="A31" s="166">
        <v>28</v>
      </c>
      <c r="B31" s="167" t="s">
        <v>475</v>
      </c>
      <c r="C31" s="166">
        <v>28</v>
      </c>
      <c r="D31" s="33"/>
      <c r="E31" s="33"/>
      <c r="F31" s="33"/>
      <c r="G31" s="33"/>
      <c r="H31" s="33"/>
      <c r="I31" s="33"/>
      <c r="J31" s="33"/>
      <c r="K31" s="33"/>
      <c r="L31" s="33"/>
      <c r="M31" s="33"/>
      <c r="N31" s="33"/>
      <c r="O31" s="33"/>
      <c r="P31" s="33"/>
      <c r="Q31" s="33"/>
      <c r="R31" s="33"/>
      <c r="S31" s="33"/>
      <c r="T31" s="33"/>
      <c r="U31" s="33"/>
      <c r="V31" s="33"/>
      <c r="W31" s="33"/>
      <c r="X31" s="33"/>
      <c r="Y31" s="33"/>
      <c r="Z31" s="33"/>
      <c r="AA31" s="33"/>
      <c r="AB31" s="33"/>
      <c r="AC31" s="33"/>
      <c r="AD31" s="33"/>
      <c r="AE31" s="33"/>
      <c r="AF31" s="33"/>
      <c r="AG31" s="33"/>
      <c r="AH31" s="33"/>
      <c r="AI31" s="33"/>
      <c r="AJ31" s="33"/>
      <c r="AK31" s="33"/>
      <c r="AL31" s="33"/>
      <c r="AM31" s="33"/>
      <c r="AN31" s="33">
        <f t="shared" ref="AN31:BO31" si="3">SUM(AN32:AN39)</f>
        <v>0</v>
      </c>
      <c r="AO31" s="33">
        <f t="shared" si="3"/>
        <v>0</v>
      </c>
      <c r="AP31" s="33">
        <f t="shared" si="3"/>
        <v>0</v>
      </c>
      <c r="AQ31" s="33">
        <f t="shared" si="3"/>
        <v>0</v>
      </c>
      <c r="AR31" s="33">
        <f t="shared" si="3"/>
        <v>0</v>
      </c>
      <c r="AS31" s="33">
        <f t="shared" si="3"/>
        <v>0</v>
      </c>
      <c r="AT31" s="33">
        <f t="shared" si="3"/>
        <v>0</v>
      </c>
      <c r="AU31" s="33">
        <f t="shared" si="3"/>
        <v>0</v>
      </c>
      <c r="AV31" s="33">
        <f t="shared" si="3"/>
        <v>0</v>
      </c>
      <c r="AW31" s="33">
        <f t="shared" si="3"/>
        <v>0</v>
      </c>
      <c r="AX31" s="33">
        <f t="shared" si="3"/>
        <v>0</v>
      </c>
      <c r="AY31" s="33">
        <f t="shared" si="3"/>
        <v>0</v>
      </c>
      <c r="AZ31" s="33">
        <f t="shared" si="3"/>
        <v>108410341946</v>
      </c>
      <c r="BA31" s="33">
        <f t="shared" si="3"/>
        <v>104162504168</v>
      </c>
      <c r="BB31" s="33">
        <f t="shared" si="3"/>
        <v>103325726390</v>
      </c>
      <c r="BC31" s="33">
        <f t="shared" si="3"/>
        <v>102252755220</v>
      </c>
      <c r="BD31" s="33">
        <f t="shared" si="3"/>
        <v>98004917442</v>
      </c>
      <c r="BE31" s="33">
        <f t="shared" si="3"/>
        <v>77121791394</v>
      </c>
      <c r="BF31" s="33">
        <f t="shared" si="3"/>
        <v>76048820224</v>
      </c>
      <c r="BG31" s="33">
        <f t="shared" si="3"/>
        <v>74463510446</v>
      </c>
      <c r="BH31" s="33">
        <f t="shared" si="3"/>
        <v>73626732668</v>
      </c>
      <c r="BI31" s="33">
        <f t="shared" si="3"/>
        <v>72553761498</v>
      </c>
      <c r="BJ31" s="33">
        <f t="shared" si="3"/>
        <v>71031650720</v>
      </c>
      <c r="BK31" s="33">
        <f t="shared" si="3"/>
        <v>59241111374</v>
      </c>
      <c r="BL31" s="33">
        <f t="shared" si="3"/>
        <v>49472841415</v>
      </c>
      <c r="BM31" s="33">
        <f t="shared" si="3"/>
        <v>71400341415</v>
      </c>
      <c r="BN31" s="33">
        <f t="shared" si="3"/>
        <v>80100341415</v>
      </c>
      <c r="BO31" s="33">
        <f t="shared" si="3"/>
        <v>80100341415</v>
      </c>
      <c r="BP31" s="33">
        <f>SUM(BP32:BP39)</f>
        <v>154933236415</v>
      </c>
      <c r="BQ31" s="33"/>
      <c r="BR31" s="33"/>
      <c r="BS31" s="33"/>
      <c r="BT31" s="33"/>
      <c r="BU31" s="33"/>
      <c r="BV31" s="33"/>
      <c r="BW31" s="33"/>
    </row>
    <row r="32" spans="1:75">
      <c r="A32" s="169">
        <v>29</v>
      </c>
      <c r="B32" s="170" t="str">
        <f>B14</f>
        <v>ACB</v>
      </c>
      <c r="C32" s="169">
        <v>28</v>
      </c>
      <c r="D32" s="34"/>
      <c r="E32" s="34"/>
      <c r="F32" s="34"/>
      <c r="G32" s="34"/>
      <c r="H32" s="34"/>
      <c r="I32" s="34"/>
      <c r="J32" s="34"/>
      <c r="K32" s="34"/>
      <c r="L32" s="34"/>
      <c r="M32" s="34"/>
      <c r="N32" s="34"/>
      <c r="O32" s="34"/>
      <c r="P32" s="34"/>
      <c r="Q32" s="34"/>
      <c r="R32" s="34"/>
      <c r="S32" s="34"/>
      <c r="T32" s="34"/>
      <c r="U32" s="34"/>
      <c r="V32" s="34"/>
      <c r="W32" s="34"/>
      <c r="X32" s="34"/>
      <c r="Y32" s="34"/>
      <c r="Z32" s="34"/>
      <c r="AA32" s="34"/>
      <c r="AB32" s="34"/>
      <c r="AC32" s="34"/>
      <c r="AD32" s="34"/>
      <c r="AE32" s="34"/>
      <c r="AF32" s="34"/>
      <c r="AG32" s="34"/>
      <c r="AH32" s="34"/>
      <c r="AI32" s="34"/>
      <c r="AJ32" s="34"/>
      <c r="AK32" s="34"/>
      <c r="AL32" s="34"/>
      <c r="AM32" s="34"/>
      <c r="AN32" s="34"/>
      <c r="AO32" s="34"/>
      <c r="AP32" s="34"/>
      <c r="AQ32" s="34"/>
      <c r="AR32" s="34"/>
      <c r="AS32" s="34"/>
      <c r="AT32" s="34"/>
      <c r="AU32" s="34"/>
      <c r="AV32" s="34"/>
      <c r="AW32" s="34"/>
      <c r="AX32" s="34"/>
      <c r="AY32" s="34"/>
      <c r="AZ32" s="34">
        <v>81965897502</v>
      </c>
      <c r="BA32" s="34">
        <v>78495837502</v>
      </c>
      <c r="BB32" s="34">
        <v>78436837502</v>
      </c>
      <c r="BC32" s="34">
        <v>78141644110</v>
      </c>
      <c r="BD32" s="34">
        <v>74671584110</v>
      </c>
      <c r="BE32" s="34">
        <v>54566235840</v>
      </c>
      <c r="BF32" s="34">
        <v>54271042448</v>
      </c>
      <c r="BG32" s="34">
        <v>51904970448</v>
      </c>
      <c r="BH32" s="34">
        <v>51845970448</v>
      </c>
      <c r="BI32" s="34">
        <v>51550777056</v>
      </c>
      <c r="BJ32" s="34">
        <v>49748205056</v>
      </c>
      <c r="BK32" s="34">
        <v>38808143488</v>
      </c>
      <c r="BL32" s="34">
        <v>38808143488</v>
      </c>
      <c r="BM32" s="34">
        <v>38808143488</v>
      </c>
      <c r="BN32" s="34">
        <v>38808143488</v>
      </c>
      <c r="BO32" s="34">
        <v>38808143488</v>
      </c>
      <c r="BP32" s="34">
        <v>38808143488</v>
      </c>
      <c r="BQ32" s="34"/>
      <c r="BR32" s="34"/>
      <c r="BS32" s="34"/>
      <c r="BT32" s="34"/>
      <c r="BU32" s="34"/>
      <c r="BV32" s="34"/>
      <c r="BW32" s="34"/>
    </row>
    <row r="33" spans="1:75">
      <c r="A33" s="169">
        <v>30</v>
      </c>
      <c r="B33" s="170" t="str">
        <f>B15</f>
        <v>VietinBank</v>
      </c>
      <c r="C33" s="169">
        <v>28</v>
      </c>
      <c r="D33" s="34"/>
      <c r="E33" s="34"/>
      <c r="F33" s="34"/>
      <c r="G33" s="34"/>
      <c r="H33" s="34"/>
      <c r="I33" s="34"/>
      <c r="J33" s="34"/>
      <c r="K33" s="34"/>
      <c r="L33" s="34"/>
      <c r="M33" s="34"/>
      <c r="N33" s="34"/>
      <c r="O33" s="34"/>
      <c r="P33" s="34"/>
      <c r="Q33" s="34"/>
      <c r="R33" s="34"/>
      <c r="S33" s="34"/>
      <c r="T33" s="34"/>
      <c r="U33" s="34"/>
      <c r="V33" s="34"/>
      <c r="W33" s="34"/>
      <c r="X33" s="34"/>
      <c r="Y33" s="34"/>
      <c r="Z33" s="34"/>
      <c r="AA33" s="34"/>
      <c r="AB33" s="34"/>
      <c r="AC33" s="34"/>
      <c r="AD33" s="34"/>
      <c r="AE33" s="34"/>
      <c r="AF33" s="34"/>
      <c r="AG33" s="34"/>
      <c r="AH33" s="34"/>
      <c r="AI33" s="34"/>
      <c r="AJ33" s="34"/>
      <c r="AK33" s="34"/>
      <c r="AL33" s="34"/>
      <c r="AM33" s="34"/>
      <c r="AN33" s="34"/>
      <c r="AO33" s="34"/>
      <c r="AP33" s="34"/>
      <c r="AQ33" s="34"/>
      <c r="AR33" s="34"/>
      <c r="AS33" s="34"/>
      <c r="AT33" s="34"/>
      <c r="AU33" s="34"/>
      <c r="AV33" s="34"/>
      <c r="AW33" s="34"/>
      <c r="AX33" s="34"/>
      <c r="AY33" s="34"/>
      <c r="AZ33" s="34"/>
      <c r="BA33" s="34"/>
      <c r="BB33" s="34"/>
      <c r="BC33" s="34"/>
      <c r="BD33" s="34"/>
      <c r="BE33" s="34"/>
      <c r="BF33" s="34"/>
      <c r="BG33" s="34">
        <v>1558540000</v>
      </c>
      <c r="BH33" s="34">
        <v>1558540000</v>
      </c>
      <c r="BI33" s="34">
        <v>1558540000</v>
      </c>
      <c r="BJ33" s="34">
        <v>2616779000</v>
      </c>
      <c r="BK33" s="34">
        <v>2544079000</v>
      </c>
      <c r="BL33" s="34">
        <v>2544079000</v>
      </c>
      <c r="BM33" s="34">
        <v>2544079000</v>
      </c>
      <c r="BN33" s="34">
        <v>11244079000</v>
      </c>
      <c r="BO33" s="34">
        <v>11244079000</v>
      </c>
      <c r="BP33" s="34">
        <v>86860099000</v>
      </c>
      <c r="BQ33" s="34"/>
      <c r="BR33" s="34"/>
      <c r="BS33" s="34"/>
      <c r="BT33" s="34"/>
      <c r="BU33" s="34"/>
      <c r="BV33" s="34"/>
      <c r="BW33" s="34"/>
    </row>
    <row r="34" spans="1:75">
      <c r="A34" s="169">
        <v>31</v>
      </c>
      <c r="B34" s="170" t="str">
        <f>B16</f>
        <v>Vietcombank</v>
      </c>
      <c r="C34" s="169">
        <v>28</v>
      </c>
      <c r="D34" s="34"/>
      <c r="E34" s="34"/>
      <c r="F34" s="34"/>
      <c r="G34" s="34"/>
      <c r="H34" s="34"/>
      <c r="I34" s="34"/>
      <c r="J34" s="34"/>
      <c r="K34" s="34"/>
      <c r="L34" s="34"/>
      <c r="M34" s="34"/>
      <c r="N34" s="34"/>
      <c r="O34" s="34"/>
      <c r="P34" s="34"/>
      <c r="Q34" s="34"/>
      <c r="R34" s="34"/>
      <c r="S34" s="34"/>
      <c r="T34" s="34"/>
      <c r="U34" s="34"/>
      <c r="V34" s="34"/>
      <c r="W34" s="34"/>
      <c r="X34" s="34"/>
      <c r="Y34" s="34"/>
      <c r="Z34" s="34"/>
      <c r="AA34" s="34"/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34"/>
      <c r="AP34" s="34"/>
      <c r="AQ34" s="34"/>
      <c r="AR34" s="34"/>
      <c r="AS34" s="34"/>
      <c r="AT34" s="34"/>
      <c r="AU34" s="34"/>
      <c r="AV34" s="34"/>
      <c r="AW34" s="34"/>
      <c r="AX34" s="34"/>
      <c r="AY34" s="34"/>
      <c r="AZ34" s="34"/>
      <c r="BA34" s="34"/>
      <c r="BB34" s="34"/>
      <c r="BC34" s="34"/>
      <c r="BD34" s="34"/>
      <c r="BE34" s="34"/>
      <c r="BF34" s="34"/>
      <c r="BG34" s="34"/>
      <c r="BH34" s="34"/>
      <c r="BI34" s="34"/>
      <c r="BJ34" s="34"/>
      <c r="BK34" s="34"/>
      <c r="BL34" s="34">
        <v>0</v>
      </c>
      <c r="BM34" s="34">
        <v>21927500000</v>
      </c>
      <c r="BN34" s="34">
        <v>21927500000</v>
      </c>
      <c r="BO34" s="34">
        <v>21927500000</v>
      </c>
      <c r="BP34" s="34">
        <v>21144375000</v>
      </c>
      <c r="BQ34" s="34"/>
      <c r="BR34" s="34"/>
      <c r="BS34" s="34"/>
      <c r="BT34" s="34"/>
      <c r="BU34" s="34"/>
      <c r="BV34" s="34"/>
      <c r="BW34" s="34"/>
    </row>
    <row r="35" spans="1:75">
      <c r="A35" s="169">
        <v>32</v>
      </c>
      <c r="B35" s="170" t="s">
        <v>469</v>
      </c>
      <c r="C35" s="169">
        <v>28</v>
      </c>
      <c r="D35" s="34"/>
      <c r="E35" s="34"/>
      <c r="F35" s="34"/>
      <c r="G35" s="34"/>
      <c r="H35" s="34"/>
      <c r="I35" s="34"/>
      <c r="J35" s="34"/>
      <c r="K35" s="34"/>
      <c r="L35" s="34"/>
      <c r="M35" s="34"/>
      <c r="N35" s="34"/>
      <c r="O35" s="34"/>
      <c r="P35" s="34"/>
      <c r="Q35" s="34"/>
      <c r="R35" s="34"/>
      <c r="S35" s="34"/>
      <c r="T35" s="34"/>
      <c r="U35" s="34"/>
      <c r="V35" s="34"/>
      <c r="W35" s="34"/>
      <c r="X35" s="34"/>
      <c r="Y35" s="34"/>
      <c r="Z35" s="34"/>
      <c r="AA35" s="34"/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34"/>
      <c r="AP35" s="34"/>
      <c r="AQ35" s="34"/>
      <c r="AR35" s="34"/>
      <c r="AS35" s="34"/>
      <c r="AT35" s="34"/>
      <c r="AU35" s="34"/>
      <c r="AV35" s="34"/>
      <c r="AW35" s="34"/>
      <c r="AX35" s="34"/>
      <c r="AY35" s="34"/>
      <c r="AZ35" s="34"/>
      <c r="BA35" s="34"/>
      <c r="BB35" s="34"/>
      <c r="BC35" s="34"/>
      <c r="BD35" s="34"/>
      <c r="BE35" s="34"/>
      <c r="BF35" s="34"/>
      <c r="BG35" s="34"/>
      <c r="BH35" s="34"/>
      <c r="BI35" s="34"/>
      <c r="BJ35" s="34"/>
      <c r="BK35" s="34"/>
      <c r="BL35" s="34">
        <v>0</v>
      </c>
      <c r="BM35" s="34">
        <v>0</v>
      </c>
      <c r="BN35" s="34">
        <v>0</v>
      </c>
      <c r="BO35" s="34">
        <v>0</v>
      </c>
      <c r="BP35" s="34"/>
      <c r="BQ35" s="34"/>
      <c r="BR35" s="34"/>
      <c r="BS35" s="34"/>
      <c r="BT35" s="34"/>
      <c r="BU35" s="34"/>
      <c r="BV35" s="34"/>
      <c r="BW35" s="34"/>
    </row>
    <row r="36" spans="1:75">
      <c r="A36" s="169">
        <v>33</v>
      </c>
      <c r="B36" s="170" t="str">
        <f>B18</f>
        <v>Standard Chartered</v>
      </c>
      <c r="C36" s="169">
        <v>28</v>
      </c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/>
      <c r="R36" s="34"/>
      <c r="S36" s="34"/>
      <c r="T36" s="34"/>
      <c r="U36" s="34"/>
      <c r="V36" s="34"/>
      <c r="W36" s="34"/>
      <c r="X36" s="34"/>
      <c r="Y36" s="34"/>
      <c r="Z36" s="34"/>
      <c r="AA36" s="34"/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34"/>
      <c r="AP36" s="34"/>
      <c r="AQ36" s="34"/>
      <c r="AR36" s="34"/>
      <c r="AS36" s="34"/>
      <c r="AT36" s="34"/>
      <c r="AU36" s="34"/>
      <c r="AV36" s="34"/>
      <c r="AW36" s="34"/>
      <c r="AX36" s="34"/>
      <c r="AY36" s="34"/>
      <c r="AZ36" s="34"/>
      <c r="BA36" s="34"/>
      <c r="BB36" s="34"/>
      <c r="BC36" s="34"/>
      <c r="BD36" s="34"/>
      <c r="BE36" s="34"/>
      <c r="BF36" s="34"/>
      <c r="BG36" s="34"/>
      <c r="BH36" s="34"/>
      <c r="BI36" s="34"/>
      <c r="BJ36" s="34"/>
      <c r="BK36" s="34"/>
      <c r="BL36" s="34">
        <v>0</v>
      </c>
      <c r="BM36" s="34">
        <v>0</v>
      </c>
      <c r="BN36" s="34">
        <v>0</v>
      </c>
      <c r="BO36" s="34">
        <v>0</v>
      </c>
      <c r="BP36" s="34"/>
      <c r="BQ36" s="34"/>
      <c r="BR36" s="34"/>
      <c r="BS36" s="34"/>
      <c r="BT36" s="34"/>
      <c r="BU36" s="34"/>
      <c r="BV36" s="34"/>
      <c r="BW36" s="34"/>
    </row>
    <row r="37" spans="1:75">
      <c r="A37" s="169">
        <v>34</v>
      </c>
      <c r="B37" s="170" t="s">
        <v>471</v>
      </c>
      <c r="C37" s="169">
        <v>28</v>
      </c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/>
      <c r="R37" s="34"/>
      <c r="S37" s="34"/>
      <c r="T37" s="34"/>
      <c r="U37" s="34"/>
      <c r="V37" s="34"/>
      <c r="W37" s="34"/>
      <c r="X37" s="34"/>
      <c r="Y37" s="34"/>
      <c r="Z37" s="34"/>
      <c r="AA37" s="34"/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34"/>
      <c r="AP37" s="34"/>
      <c r="AQ37" s="34"/>
      <c r="AR37" s="34"/>
      <c r="AS37" s="34"/>
      <c r="AT37" s="34"/>
      <c r="AU37" s="34"/>
      <c r="AV37" s="34"/>
      <c r="AW37" s="34"/>
      <c r="AX37" s="34"/>
      <c r="AY37" s="34"/>
      <c r="AZ37" s="34">
        <v>26444444444</v>
      </c>
      <c r="BA37" s="34">
        <v>25666666666</v>
      </c>
      <c r="BB37" s="34">
        <v>24888888888</v>
      </c>
      <c r="BC37" s="34">
        <v>24111111110</v>
      </c>
      <c r="BD37" s="34">
        <v>23333333332</v>
      </c>
      <c r="BE37" s="34">
        <v>22555555554</v>
      </c>
      <c r="BF37" s="34">
        <v>21777777776</v>
      </c>
      <c r="BG37" s="34">
        <v>20999999998</v>
      </c>
      <c r="BH37" s="34">
        <v>20222222220</v>
      </c>
      <c r="BI37" s="34">
        <v>19444444442</v>
      </c>
      <c r="BJ37" s="34">
        <v>18666666664</v>
      </c>
      <c r="BK37" s="34">
        <v>17888888886</v>
      </c>
      <c r="BL37" s="34">
        <v>8120618927</v>
      </c>
      <c r="BM37" s="34">
        <v>8120618927</v>
      </c>
      <c r="BN37" s="34">
        <v>8120618927</v>
      </c>
      <c r="BO37" s="34">
        <v>8120618927</v>
      </c>
      <c r="BP37" s="34">
        <v>8120618927</v>
      </c>
      <c r="BQ37" s="34"/>
      <c r="BR37" s="34"/>
      <c r="BS37" s="34"/>
      <c r="BT37" s="34"/>
      <c r="BU37" s="34"/>
      <c r="BV37" s="34"/>
      <c r="BW37" s="34"/>
    </row>
    <row r="38" spans="1:75">
      <c r="A38" s="169">
        <v>35</v>
      </c>
      <c r="B38" s="170" t="s">
        <v>472</v>
      </c>
      <c r="C38" s="169">
        <v>28</v>
      </c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/>
      <c r="R38" s="34"/>
      <c r="S38" s="34"/>
      <c r="T38" s="34"/>
      <c r="U38" s="34"/>
      <c r="V38" s="34"/>
      <c r="W38" s="34"/>
      <c r="X38" s="34"/>
      <c r="Y38" s="34"/>
      <c r="Z38" s="34"/>
      <c r="AA38" s="34"/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34"/>
      <c r="AP38" s="34"/>
      <c r="AQ38" s="34"/>
      <c r="AR38" s="34"/>
      <c r="AS38" s="34"/>
      <c r="AT38" s="34"/>
      <c r="AU38" s="34"/>
      <c r="AV38" s="34"/>
      <c r="AW38" s="34"/>
      <c r="AX38" s="34"/>
      <c r="AY38" s="34"/>
      <c r="AZ38" s="34"/>
      <c r="BA38" s="34"/>
      <c r="BB38" s="34"/>
      <c r="BC38" s="34"/>
      <c r="BD38" s="34"/>
      <c r="BE38" s="34"/>
      <c r="BF38" s="34"/>
      <c r="BG38" s="34"/>
      <c r="BH38" s="34"/>
      <c r="BI38" s="34"/>
      <c r="BJ38" s="34"/>
      <c r="BK38" s="34"/>
      <c r="BL38" s="34">
        <v>0</v>
      </c>
      <c r="BM38" s="34">
        <v>0</v>
      </c>
      <c r="BN38" s="34"/>
      <c r="BO38" s="34"/>
      <c r="BP38" s="34"/>
      <c r="BQ38" s="34"/>
      <c r="BR38" s="34"/>
      <c r="BS38" s="34"/>
      <c r="BT38" s="34"/>
      <c r="BU38" s="34"/>
      <c r="BV38" s="34"/>
      <c r="BW38" s="34"/>
    </row>
    <row r="39" spans="1:75">
      <c r="A39" s="169">
        <v>36</v>
      </c>
      <c r="B39" s="87"/>
      <c r="C39" s="169">
        <v>28</v>
      </c>
      <c r="D39" s="34"/>
      <c r="E39" s="34"/>
      <c r="F39" s="34"/>
      <c r="G39" s="34"/>
      <c r="H39" s="34"/>
      <c r="I39" s="34"/>
      <c r="J39" s="34"/>
      <c r="K39" s="34"/>
      <c r="L39" s="34"/>
      <c r="M39" s="34"/>
      <c r="N39" s="34"/>
      <c r="O39" s="34"/>
      <c r="P39" s="34"/>
      <c r="Q39" s="34"/>
      <c r="R39" s="34"/>
      <c r="S39" s="34"/>
      <c r="T39" s="34"/>
      <c r="U39" s="34"/>
      <c r="V39" s="34"/>
      <c r="W39" s="34"/>
      <c r="X39" s="34"/>
      <c r="Y39" s="34"/>
      <c r="Z39" s="34"/>
      <c r="AA39" s="34"/>
      <c r="AB39" s="34"/>
      <c r="AC39" s="34"/>
      <c r="AD39" s="34"/>
      <c r="AE39" s="34"/>
      <c r="AF39" s="34"/>
      <c r="AG39" s="34"/>
      <c r="AH39" s="34"/>
      <c r="AI39" s="34"/>
      <c r="AJ39" s="34"/>
      <c r="AK39" s="34"/>
      <c r="AL39" s="34"/>
      <c r="AM39" s="34"/>
      <c r="AN39" s="34"/>
      <c r="AO39" s="34"/>
      <c r="AP39" s="34"/>
      <c r="AQ39" s="34"/>
      <c r="AR39" s="34"/>
      <c r="AS39" s="34"/>
      <c r="AT39" s="34"/>
      <c r="AU39" s="34"/>
      <c r="AV39" s="34"/>
      <c r="AW39" s="34"/>
      <c r="AX39" s="34"/>
      <c r="AY39" s="34"/>
      <c r="AZ39" s="34"/>
      <c r="BA39" s="34"/>
      <c r="BB39" s="34"/>
      <c r="BC39" s="34"/>
      <c r="BD39" s="34"/>
      <c r="BE39" s="34"/>
      <c r="BF39" s="34"/>
      <c r="BG39" s="34"/>
      <c r="BH39" s="34"/>
      <c r="BI39" s="34"/>
      <c r="BJ39" s="34"/>
      <c r="BK39" s="34"/>
      <c r="BL39" s="34">
        <v>0</v>
      </c>
      <c r="BM39" s="34">
        <v>0</v>
      </c>
      <c r="BN39" s="34"/>
      <c r="BO39" s="34"/>
      <c r="BP39" s="34"/>
      <c r="BQ39" s="34"/>
      <c r="BR39" s="34"/>
      <c r="BS39" s="34"/>
      <c r="BT39" s="34"/>
      <c r="BU39" s="34"/>
      <c r="BV39" s="34"/>
      <c r="BW39" s="34"/>
    </row>
    <row r="40" spans="1:75">
      <c r="A40" s="171">
        <v>37</v>
      </c>
      <c r="B40" s="172" t="s">
        <v>476</v>
      </c>
      <c r="C40" s="169">
        <v>28</v>
      </c>
      <c r="D40" s="34"/>
      <c r="E40" s="34"/>
      <c r="F40" s="34"/>
      <c r="G40" s="34"/>
      <c r="H40" s="34"/>
      <c r="I40" s="34"/>
      <c r="J40" s="34"/>
      <c r="K40" s="34"/>
      <c r="L40" s="34"/>
      <c r="M40" s="34"/>
      <c r="N40" s="34"/>
      <c r="O40" s="34"/>
      <c r="P40" s="34"/>
      <c r="Q40" s="34"/>
      <c r="R40" s="34"/>
      <c r="S40" s="34"/>
      <c r="T40" s="34"/>
      <c r="U40" s="34"/>
      <c r="V40" s="34"/>
      <c r="W40" s="34"/>
      <c r="X40" s="34"/>
      <c r="Y40" s="34"/>
      <c r="Z40" s="34"/>
      <c r="AA40" s="34"/>
      <c r="AB40" s="34"/>
      <c r="AC40" s="34"/>
      <c r="AD40" s="34"/>
      <c r="AE40" s="34"/>
      <c r="AF40" s="34"/>
      <c r="AG40" s="34"/>
      <c r="AH40" s="34"/>
      <c r="AI40" s="34"/>
      <c r="AJ40" s="34"/>
      <c r="AK40" s="34"/>
      <c r="AL40" s="34"/>
      <c r="AM40" s="34"/>
      <c r="AN40" s="34"/>
      <c r="AO40" s="34"/>
      <c r="AP40" s="34"/>
      <c r="AQ40" s="34"/>
      <c r="AR40" s="34"/>
      <c r="AS40" s="34"/>
      <c r="AT40" s="34"/>
      <c r="AU40" s="34"/>
      <c r="AV40" s="34"/>
      <c r="AW40" s="34"/>
      <c r="AX40" s="34"/>
      <c r="AY40" s="34"/>
      <c r="AZ40" s="34"/>
      <c r="BA40" s="34"/>
      <c r="BB40" s="34"/>
      <c r="BC40" s="34"/>
      <c r="BD40" s="34"/>
      <c r="BE40" s="34"/>
      <c r="BF40" s="34"/>
      <c r="BG40" s="34"/>
      <c r="BH40" s="34"/>
      <c r="BI40" s="34"/>
      <c r="BJ40" s="34"/>
      <c r="BK40" s="34"/>
      <c r="BL40" s="34">
        <v>0</v>
      </c>
      <c r="BM40" s="34">
        <v>0</v>
      </c>
      <c r="BN40" s="34"/>
      <c r="BO40" s="34"/>
      <c r="BP40" s="34"/>
      <c r="BQ40" s="34"/>
      <c r="BR40" s="34"/>
      <c r="BS40" s="34"/>
      <c r="BT40" s="34"/>
      <c r="BU40" s="34"/>
      <c r="BV40" s="34"/>
      <c r="BW40" s="34"/>
    </row>
    <row r="41" spans="1:75">
      <c r="A41" s="169">
        <v>38</v>
      </c>
      <c r="B41" s="170" t="str">
        <f t="shared" ref="B41:B47" si="4">B32</f>
        <v>ACB</v>
      </c>
      <c r="C41" s="169">
        <v>28</v>
      </c>
      <c r="D41" s="533"/>
      <c r="E41" s="533"/>
      <c r="F41" s="533"/>
      <c r="G41" s="533"/>
      <c r="H41" s="533"/>
      <c r="I41" s="533"/>
      <c r="J41" s="533"/>
      <c r="K41" s="533"/>
      <c r="L41" s="533"/>
      <c r="M41" s="533"/>
      <c r="N41" s="533"/>
      <c r="O41" s="533"/>
      <c r="P41" s="533"/>
      <c r="Q41" s="533"/>
      <c r="R41" s="533"/>
      <c r="S41" s="533"/>
      <c r="T41" s="533"/>
      <c r="U41" s="533"/>
      <c r="V41" s="533"/>
      <c r="W41" s="533"/>
      <c r="X41" s="533"/>
      <c r="Y41" s="533"/>
      <c r="Z41" s="533"/>
      <c r="AA41" s="533"/>
      <c r="AB41" s="533"/>
      <c r="AC41" s="533"/>
      <c r="AD41" s="533"/>
      <c r="AE41" s="533"/>
      <c r="AF41" s="533"/>
      <c r="AG41" s="533"/>
      <c r="AH41" s="533"/>
      <c r="AI41" s="533"/>
      <c r="AJ41" s="533"/>
      <c r="AK41" s="533"/>
      <c r="AL41" s="533"/>
      <c r="AM41" s="533"/>
      <c r="AN41" s="533"/>
      <c r="AO41" s="533"/>
      <c r="AP41" s="533"/>
      <c r="AQ41" s="533"/>
      <c r="AR41" s="533"/>
      <c r="AS41" s="533"/>
      <c r="AT41" s="533"/>
      <c r="AU41" s="533"/>
      <c r="AV41" s="533"/>
      <c r="AW41" s="533"/>
      <c r="AX41" s="533"/>
      <c r="AY41" s="533"/>
      <c r="AZ41" s="533"/>
      <c r="BA41" s="533"/>
      <c r="BB41" s="533"/>
      <c r="BC41" s="533"/>
      <c r="BD41" s="533"/>
      <c r="BE41" s="533"/>
      <c r="BF41" s="533"/>
      <c r="BG41" s="533"/>
      <c r="BH41" s="533"/>
      <c r="BI41" s="533"/>
      <c r="BJ41" s="533"/>
      <c r="BK41" s="533"/>
      <c r="BL41" s="533">
        <v>7.46E-2</v>
      </c>
      <c r="BM41" s="533">
        <v>7.6100000000000001E-2</v>
      </c>
      <c r="BN41" s="533">
        <v>7.7600000000000002E-2</v>
      </c>
      <c r="BO41" s="533"/>
      <c r="BP41" s="37">
        <v>7.8E-2</v>
      </c>
      <c r="BQ41" s="533"/>
      <c r="BR41" s="533"/>
      <c r="BS41" s="533"/>
      <c r="BT41" s="533"/>
      <c r="BU41" s="533"/>
      <c r="BV41" s="533"/>
      <c r="BW41" s="533"/>
    </row>
    <row r="42" spans="1:75">
      <c r="A42" s="169">
        <v>39</v>
      </c>
      <c r="B42" s="170" t="str">
        <f t="shared" si="4"/>
        <v>VietinBank</v>
      </c>
      <c r="C42" s="169">
        <v>28</v>
      </c>
      <c r="D42" s="533"/>
      <c r="E42" s="533"/>
      <c r="F42" s="533"/>
      <c r="G42" s="533"/>
      <c r="H42" s="533"/>
      <c r="I42" s="533"/>
      <c r="J42" s="533"/>
      <c r="K42" s="533"/>
      <c r="L42" s="533"/>
      <c r="M42" s="533"/>
      <c r="N42" s="533"/>
      <c r="O42" s="533"/>
      <c r="P42" s="533"/>
      <c r="Q42" s="533"/>
      <c r="R42" s="533"/>
      <c r="S42" s="533"/>
      <c r="T42" s="533"/>
      <c r="U42" s="533"/>
      <c r="V42" s="533"/>
      <c r="W42" s="533"/>
      <c r="X42" s="533"/>
      <c r="Y42" s="533"/>
      <c r="Z42" s="533"/>
      <c r="AA42" s="533"/>
      <c r="AB42" s="533"/>
      <c r="AC42" s="533"/>
      <c r="AD42" s="533"/>
      <c r="AE42" s="533"/>
      <c r="AF42" s="533"/>
      <c r="AG42" s="533"/>
      <c r="AH42" s="533"/>
      <c r="AI42" s="533"/>
      <c r="AJ42" s="533"/>
      <c r="AK42" s="533"/>
      <c r="AL42" s="533"/>
      <c r="AM42" s="533"/>
      <c r="AN42" s="533"/>
      <c r="AO42" s="533"/>
      <c r="AP42" s="533"/>
      <c r="AQ42" s="533"/>
      <c r="AR42" s="533"/>
      <c r="AS42" s="533"/>
      <c r="AT42" s="533"/>
      <c r="AU42" s="533"/>
      <c r="AV42" s="533"/>
      <c r="AW42" s="533"/>
      <c r="AX42" s="533"/>
      <c r="AY42" s="533"/>
      <c r="AZ42" s="533"/>
      <c r="BA42" s="533"/>
      <c r="BB42" s="533"/>
      <c r="BC42" s="533"/>
      <c r="BD42" s="533"/>
      <c r="BE42" s="533"/>
      <c r="BF42" s="533"/>
      <c r="BG42" s="533"/>
      <c r="BH42" s="533"/>
      <c r="BI42" s="533"/>
      <c r="BJ42" s="533"/>
      <c r="BK42" s="533"/>
      <c r="BL42" s="533">
        <v>6.3213215863186636E-2</v>
      </c>
      <c r="BM42" s="533">
        <v>6.3213215863186636E-2</v>
      </c>
      <c r="BN42" s="533">
        <v>7.996408386167124E-2</v>
      </c>
      <c r="BO42" s="533"/>
      <c r="BP42" s="37">
        <v>8.6418915847655209E-2</v>
      </c>
      <c r="BQ42" s="533"/>
      <c r="BR42" s="533"/>
      <c r="BS42" s="533"/>
      <c r="BT42" s="533"/>
      <c r="BU42" s="533"/>
      <c r="BV42" s="533"/>
      <c r="BW42" s="533"/>
    </row>
    <row r="43" spans="1:75">
      <c r="A43" s="169">
        <v>40</v>
      </c>
      <c r="B43" s="170" t="str">
        <f t="shared" si="4"/>
        <v>Vietcombank</v>
      </c>
      <c r="C43" s="169">
        <v>28</v>
      </c>
      <c r="D43" s="534"/>
      <c r="E43" s="534"/>
      <c r="F43" s="534"/>
      <c r="G43" s="534"/>
      <c r="H43" s="534"/>
      <c r="I43" s="534"/>
      <c r="J43" s="534"/>
      <c r="K43" s="534"/>
      <c r="L43" s="534"/>
      <c r="M43" s="534"/>
      <c r="N43" s="534"/>
      <c r="O43" s="534"/>
      <c r="P43" s="534"/>
      <c r="Q43" s="534"/>
      <c r="R43" s="534"/>
      <c r="S43" s="534"/>
      <c r="T43" s="534"/>
      <c r="U43" s="534"/>
      <c r="V43" s="534"/>
      <c r="W43" s="534"/>
      <c r="X43" s="534"/>
      <c r="Y43" s="534"/>
      <c r="Z43" s="534"/>
      <c r="AA43" s="534"/>
      <c r="AB43" s="534"/>
      <c r="AC43" s="534"/>
      <c r="AD43" s="534"/>
      <c r="AE43" s="534"/>
      <c r="AF43" s="534"/>
      <c r="AG43" s="534"/>
      <c r="AH43" s="534"/>
      <c r="AI43" s="534"/>
      <c r="AJ43" s="534"/>
      <c r="AK43" s="534"/>
      <c r="AL43" s="534"/>
      <c r="AM43" s="534"/>
      <c r="AN43" s="534"/>
      <c r="AO43" s="534"/>
      <c r="AP43" s="534"/>
      <c r="AQ43" s="534"/>
      <c r="AR43" s="534"/>
      <c r="AS43" s="534"/>
      <c r="AT43" s="534"/>
      <c r="AU43" s="534"/>
      <c r="AV43" s="534"/>
      <c r="AW43" s="534"/>
      <c r="AX43" s="534"/>
      <c r="AY43" s="534"/>
      <c r="AZ43" s="534"/>
      <c r="BA43" s="534"/>
      <c r="BB43" s="534"/>
      <c r="BC43" s="534"/>
      <c r="BD43" s="534"/>
      <c r="BE43" s="534"/>
      <c r="BF43" s="534"/>
      <c r="BG43" s="534"/>
      <c r="BH43" s="534"/>
      <c r="BI43" s="534"/>
      <c r="BJ43" s="534"/>
      <c r="BK43" s="534"/>
      <c r="BL43" s="534">
        <v>0</v>
      </c>
      <c r="BM43" s="534">
        <v>8.5000000000000006E-2</v>
      </c>
      <c r="BN43" s="534">
        <v>8.5000000000000006E-2</v>
      </c>
      <c r="BO43" s="534"/>
      <c r="BP43" s="34">
        <v>8.5000000000000006E-2</v>
      </c>
      <c r="BQ43" s="534"/>
      <c r="BR43" s="534"/>
      <c r="BS43" s="534"/>
      <c r="BT43" s="534"/>
      <c r="BU43" s="534"/>
      <c r="BV43" s="534"/>
      <c r="BW43" s="534"/>
    </row>
    <row r="44" spans="1:75">
      <c r="A44" s="169">
        <v>41</v>
      </c>
      <c r="B44" s="170" t="str">
        <f t="shared" si="4"/>
        <v>BIDV</v>
      </c>
      <c r="C44" s="169">
        <v>28</v>
      </c>
      <c r="D44" s="534"/>
      <c r="E44" s="534"/>
      <c r="F44" s="534"/>
      <c r="G44" s="534"/>
      <c r="H44" s="534"/>
      <c r="I44" s="534"/>
      <c r="J44" s="534"/>
      <c r="K44" s="534"/>
      <c r="L44" s="534"/>
      <c r="M44" s="534"/>
      <c r="N44" s="534"/>
      <c r="O44" s="534"/>
      <c r="P44" s="534"/>
      <c r="Q44" s="534"/>
      <c r="R44" s="534"/>
      <c r="S44" s="534"/>
      <c r="T44" s="534"/>
      <c r="U44" s="534"/>
      <c r="V44" s="534"/>
      <c r="W44" s="534"/>
      <c r="X44" s="534"/>
      <c r="Y44" s="534"/>
      <c r="Z44" s="534"/>
      <c r="AA44" s="534"/>
      <c r="AB44" s="534"/>
      <c r="AC44" s="534"/>
      <c r="AD44" s="534"/>
      <c r="AE44" s="534"/>
      <c r="AF44" s="534"/>
      <c r="AG44" s="534"/>
      <c r="AH44" s="534"/>
      <c r="AI44" s="534"/>
      <c r="AJ44" s="534"/>
      <c r="AK44" s="534"/>
      <c r="AL44" s="534"/>
      <c r="AM44" s="534"/>
      <c r="AN44" s="534"/>
      <c r="AO44" s="534"/>
      <c r="AP44" s="534"/>
      <c r="AQ44" s="534"/>
      <c r="AR44" s="534"/>
      <c r="AS44" s="534"/>
      <c r="AT44" s="534"/>
      <c r="AU44" s="534"/>
      <c r="AV44" s="534"/>
      <c r="AW44" s="534"/>
      <c r="AX44" s="534"/>
      <c r="AY44" s="534"/>
      <c r="AZ44" s="534"/>
      <c r="BA44" s="534"/>
      <c r="BB44" s="534"/>
      <c r="BC44" s="534"/>
      <c r="BD44" s="534"/>
      <c r="BE44" s="534"/>
      <c r="BF44" s="534"/>
      <c r="BG44" s="534"/>
      <c r="BH44" s="534"/>
      <c r="BI44" s="534"/>
      <c r="BJ44" s="534"/>
      <c r="BK44" s="534"/>
      <c r="BL44" s="534">
        <v>0</v>
      </c>
      <c r="BM44" s="534">
        <v>0</v>
      </c>
      <c r="BN44" s="534">
        <v>0</v>
      </c>
      <c r="BO44" s="534"/>
      <c r="BP44" s="34"/>
      <c r="BQ44" s="534"/>
      <c r="BR44" s="534"/>
      <c r="BS44" s="534"/>
      <c r="BT44" s="534"/>
      <c r="BU44" s="534"/>
      <c r="BV44" s="534"/>
      <c r="BW44" s="534"/>
    </row>
    <row r="45" spans="1:75">
      <c r="A45" s="169">
        <v>42</v>
      </c>
      <c r="B45" s="170" t="str">
        <f t="shared" si="4"/>
        <v>Standard Chartered</v>
      </c>
      <c r="C45" s="169">
        <v>28</v>
      </c>
      <c r="D45" s="534"/>
      <c r="E45" s="534"/>
      <c r="F45" s="534"/>
      <c r="G45" s="534"/>
      <c r="H45" s="534"/>
      <c r="I45" s="534"/>
      <c r="J45" s="534"/>
      <c r="K45" s="534"/>
      <c r="L45" s="534"/>
      <c r="M45" s="534"/>
      <c r="N45" s="534"/>
      <c r="O45" s="534"/>
      <c r="P45" s="534"/>
      <c r="Q45" s="534"/>
      <c r="R45" s="534"/>
      <c r="S45" s="534"/>
      <c r="T45" s="534"/>
      <c r="U45" s="534"/>
      <c r="V45" s="534"/>
      <c r="W45" s="534"/>
      <c r="X45" s="534"/>
      <c r="Y45" s="534"/>
      <c r="Z45" s="534"/>
      <c r="AA45" s="534"/>
      <c r="AB45" s="534"/>
      <c r="AC45" s="534"/>
      <c r="AD45" s="534"/>
      <c r="AE45" s="534"/>
      <c r="AF45" s="534"/>
      <c r="AG45" s="534"/>
      <c r="AH45" s="534"/>
      <c r="AI45" s="534"/>
      <c r="AJ45" s="534"/>
      <c r="AK45" s="534"/>
      <c r="AL45" s="534"/>
      <c r="AM45" s="534"/>
      <c r="AN45" s="534"/>
      <c r="AO45" s="534"/>
      <c r="AP45" s="534"/>
      <c r="AQ45" s="534"/>
      <c r="AR45" s="534"/>
      <c r="AS45" s="534"/>
      <c r="AT45" s="534"/>
      <c r="AU45" s="534"/>
      <c r="AV45" s="534"/>
      <c r="AW45" s="534"/>
      <c r="AX45" s="534"/>
      <c r="AY45" s="534"/>
      <c r="AZ45" s="534"/>
      <c r="BA45" s="534"/>
      <c r="BB45" s="534"/>
      <c r="BC45" s="534"/>
      <c r="BD45" s="534"/>
      <c r="BE45" s="534"/>
      <c r="BF45" s="534"/>
      <c r="BG45" s="534"/>
      <c r="BH45" s="534"/>
      <c r="BI45" s="534"/>
      <c r="BJ45" s="534"/>
      <c r="BK45" s="534"/>
      <c r="BL45" s="534">
        <v>0</v>
      </c>
      <c r="BM45" s="534">
        <v>0</v>
      </c>
      <c r="BN45" s="534">
        <v>0</v>
      </c>
      <c r="BO45" s="534"/>
      <c r="BP45" s="34"/>
      <c r="BQ45" s="534"/>
      <c r="BR45" s="534"/>
      <c r="BS45" s="534"/>
      <c r="BT45" s="534"/>
      <c r="BU45" s="534"/>
      <c r="BV45" s="534"/>
      <c r="BW45" s="534"/>
    </row>
    <row r="46" spans="1:75">
      <c r="A46" s="169">
        <v>43</v>
      </c>
      <c r="B46" s="170" t="str">
        <f t="shared" si="4"/>
        <v>VILC</v>
      </c>
      <c r="C46" s="169">
        <v>28</v>
      </c>
      <c r="D46" s="534"/>
      <c r="E46" s="534"/>
      <c r="F46" s="534"/>
      <c r="G46" s="534"/>
      <c r="H46" s="534"/>
      <c r="I46" s="534"/>
      <c r="J46" s="534"/>
      <c r="K46" s="534"/>
      <c r="L46" s="534"/>
      <c r="M46" s="534"/>
      <c r="N46" s="534"/>
      <c r="O46" s="534"/>
      <c r="P46" s="534"/>
      <c r="Q46" s="534"/>
      <c r="R46" s="534"/>
      <c r="S46" s="534"/>
      <c r="T46" s="534"/>
      <c r="U46" s="534"/>
      <c r="V46" s="534"/>
      <c r="W46" s="534"/>
      <c r="X46" s="534"/>
      <c r="Y46" s="534"/>
      <c r="Z46" s="534"/>
      <c r="AA46" s="534"/>
      <c r="AB46" s="534"/>
      <c r="AC46" s="534"/>
      <c r="AD46" s="534"/>
      <c r="AE46" s="534"/>
      <c r="AF46" s="534"/>
      <c r="AG46" s="534"/>
      <c r="AH46" s="534"/>
      <c r="AI46" s="534"/>
      <c r="AJ46" s="534"/>
      <c r="AK46" s="534"/>
      <c r="AL46" s="534"/>
      <c r="AM46" s="534"/>
      <c r="AN46" s="534"/>
      <c r="AO46" s="534"/>
      <c r="AP46" s="534"/>
      <c r="AQ46" s="534"/>
      <c r="AR46" s="534"/>
      <c r="AS46" s="534"/>
      <c r="AT46" s="534"/>
      <c r="AU46" s="534"/>
      <c r="AV46" s="534"/>
      <c r="AW46" s="534"/>
      <c r="AX46" s="534"/>
      <c r="AY46" s="534"/>
      <c r="AZ46" s="534"/>
      <c r="BA46" s="534"/>
      <c r="BB46" s="534"/>
      <c r="BC46" s="534"/>
      <c r="BD46" s="534"/>
      <c r="BE46" s="534"/>
      <c r="BF46" s="534"/>
      <c r="BG46" s="534"/>
      <c r="BH46" s="534"/>
      <c r="BI46" s="534"/>
      <c r="BJ46" s="534"/>
      <c r="BK46" s="534"/>
      <c r="BL46" s="534">
        <v>6.3E-2</v>
      </c>
      <c r="BM46" s="534">
        <v>6.3700000000000007E-2</v>
      </c>
      <c r="BN46" s="534">
        <v>6.4000000000000001E-2</v>
      </c>
      <c r="BO46" s="534"/>
      <c r="BP46" s="34">
        <v>7.0000000000000007E-2</v>
      </c>
      <c r="BQ46" s="534"/>
      <c r="BR46" s="534"/>
      <c r="BS46" s="534"/>
      <c r="BT46" s="534"/>
      <c r="BU46" s="534"/>
      <c r="BV46" s="534"/>
      <c r="BW46" s="534"/>
    </row>
    <row r="47" spans="1:75">
      <c r="A47" s="169">
        <v>44</v>
      </c>
      <c r="B47" s="170" t="str">
        <f t="shared" si="4"/>
        <v>IVB</v>
      </c>
      <c r="C47" s="169">
        <v>28</v>
      </c>
      <c r="D47" s="534"/>
      <c r="E47" s="534"/>
      <c r="F47" s="534"/>
      <c r="G47" s="534"/>
      <c r="H47" s="534"/>
      <c r="I47" s="534"/>
      <c r="J47" s="534"/>
      <c r="K47" s="534"/>
      <c r="L47" s="534"/>
      <c r="M47" s="534"/>
      <c r="N47" s="534"/>
      <c r="O47" s="534"/>
      <c r="P47" s="534"/>
      <c r="Q47" s="534"/>
      <c r="R47" s="534"/>
      <c r="S47" s="534"/>
      <c r="T47" s="534"/>
      <c r="U47" s="534"/>
      <c r="V47" s="534"/>
      <c r="W47" s="534"/>
      <c r="X47" s="534"/>
      <c r="Y47" s="534"/>
      <c r="Z47" s="534"/>
      <c r="AA47" s="534"/>
      <c r="AB47" s="534"/>
      <c r="AC47" s="534"/>
      <c r="AD47" s="534"/>
      <c r="AE47" s="534"/>
      <c r="AF47" s="534"/>
      <c r="AG47" s="534"/>
      <c r="AH47" s="534"/>
      <c r="AI47" s="534"/>
      <c r="AJ47" s="534"/>
      <c r="AK47" s="534"/>
      <c r="AL47" s="534"/>
      <c r="AM47" s="534"/>
      <c r="AN47" s="534"/>
      <c r="AO47" s="534"/>
      <c r="AP47" s="534"/>
      <c r="AQ47" s="534"/>
      <c r="AR47" s="534"/>
      <c r="AS47" s="534"/>
      <c r="AT47" s="534"/>
      <c r="AU47" s="534"/>
      <c r="AV47" s="534"/>
      <c r="AW47" s="534"/>
      <c r="AX47" s="534"/>
      <c r="AY47" s="534"/>
      <c r="AZ47" s="534"/>
      <c r="BA47" s="534"/>
      <c r="BB47" s="534"/>
      <c r="BC47" s="534"/>
      <c r="BD47" s="534"/>
      <c r="BE47" s="534"/>
      <c r="BF47" s="534"/>
      <c r="BG47" s="534"/>
      <c r="BH47" s="534"/>
      <c r="BI47" s="534"/>
      <c r="BJ47" s="534"/>
      <c r="BK47" s="534"/>
      <c r="BL47" s="534"/>
      <c r="BM47" s="534"/>
      <c r="BN47" s="534"/>
      <c r="BO47" s="534"/>
      <c r="BP47" s="34"/>
      <c r="BQ47" s="534"/>
      <c r="BR47" s="534"/>
      <c r="BS47" s="534"/>
      <c r="BT47" s="534"/>
      <c r="BU47" s="534"/>
      <c r="BV47" s="534"/>
      <c r="BW47" s="534"/>
    </row>
    <row r="48" spans="1:75">
      <c r="A48" s="169">
        <v>45</v>
      </c>
      <c r="B48" s="170"/>
      <c r="C48" s="169">
        <v>28</v>
      </c>
      <c r="D48" s="34"/>
      <c r="E48" s="34"/>
      <c r="F48" s="34"/>
      <c r="G48" s="34"/>
      <c r="H48" s="34"/>
      <c r="I48" s="34"/>
      <c r="J48" s="34"/>
      <c r="K48" s="34"/>
      <c r="L48" s="34"/>
      <c r="M48" s="34"/>
      <c r="N48" s="34"/>
      <c r="O48" s="34"/>
      <c r="P48" s="34"/>
      <c r="Q48" s="34"/>
      <c r="R48" s="34"/>
      <c r="S48" s="34"/>
      <c r="T48" s="34"/>
      <c r="U48" s="34"/>
      <c r="V48" s="34"/>
      <c r="W48" s="34"/>
      <c r="X48" s="34"/>
      <c r="Y48" s="34"/>
      <c r="Z48" s="34"/>
      <c r="AA48" s="34"/>
      <c r="AB48" s="34"/>
      <c r="AC48" s="34"/>
      <c r="AD48" s="34"/>
      <c r="AE48" s="34"/>
      <c r="AF48" s="34"/>
      <c r="AG48" s="34"/>
      <c r="AH48" s="34"/>
      <c r="AI48" s="34"/>
      <c r="AJ48" s="34"/>
      <c r="AK48" s="34"/>
      <c r="AL48" s="34"/>
      <c r="AM48" s="34"/>
      <c r="AN48" s="34"/>
      <c r="AO48" s="34"/>
      <c r="AP48" s="34"/>
      <c r="AQ48" s="34"/>
      <c r="AR48" s="34"/>
      <c r="AS48" s="34"/>
      <c r="AT48" s="34"/>
      <c r="AU48" s="34"/>
      <c r="AV48" s="34"/>
      <c r="AW48" s="34"/>
      <c r="AX48" s="34"/>
      <c r="AY48" s="34"/>
      <c r="AZ48" s="34"/>
      <c r="BA48" s="34"/>
      <c r="BB48" s="34"/>
      <c r="BC48" s="34"/>
      <c r="BD48" s="34"/>
      <c r="BE48" s="34"/>
      <c r="BF48" s="34"/>
      <c r="BG48" s="34"/>
      <c r="BH48" s="34"/>
      <c r="BI48" s="34"/>
      <c r="BJ48" s="34"/>
      <c r="BK48" s="34"/>
      <c r="BL48" s="34"/>
      <c r="BM48" s="34"/>
      <c r="BN48" s="34"/>
      <c r="BO48" s="34"/>
      <c r="BP48" s="34"/>
      <c r="BQ48" s="34"/>
      <c r="BR48" s="34"/>
      <c r="BS48" s="34"/>
      <c r="BT48" s="34"/>
      <c r="BU48" s="34"/>
      <c r="BV48" s="34"/>
      <c r="BW48" s="34"/>
    </row>
    <row r="49" spans="1:75" ht="15" thickBot="1">
      <c r="A49" s="173">
        <v>46</v>
      </c>
      <c r="B49" s="174" t="s">
        <v>477</v>
      </c>
      <c r="C49" s="173">
        <v>28</v>
      </c>
      <c r="D49" s="35"/>
      <c r="E49" s="35"/>
      <c r="F49" s="35"/>
      <c r="G49" s="35"/>
      <c r="H49" s="35"/>
      <c r="I49" s="35"/>
      <c r="J49" s="35"/>
      <c r="K49" s="35"/>
      <c r="L49" s="35"/>
      <c r="M49" s="35"/>
      <c r="N49" s="35"/>
      <c r="O49" s="35"/>
      <c r="P49" s="35"/>
      <c r="Q49" s="35"/>
      <c r="R49" s="35"/>
      <c r="S49" s="35"/>
      <c r="T49" s="35"/>
      <c r="U49" s="35"/>
      <c r="V49" s="35"/>
      <c r="W49" s="35"/>
      <c r="X49" s="35"/>
      <c r="Y49" s="35"/>
      <c r="Z49" s="35"/>
      <c r="AA49" s="35"/>
      <c r="AB49" s="35"/>
      <c r="AC49" s="35"/>
      <c r="AD49" s="35"/>
      <c r="AE49" s="35"/>
      <c r="AF49" s="35"/>
      <c r="AG49" s="35"/>
      <c r="AH49" s="35"/>
      <c r="AI49" s="35"/>
      <c r="AJ49" s="35"/>
      <c r="AK49" s="35"/>
      <c r="AL49" s="35"/>
      <c r="AM49" s="35"/>
      <c r="AN49" s="35">
        <v>140439156315</v>
      </c>
      <c r="AO49" s="35">
        <v>135370186065</v>
      </c>
      <c r="AP49" s="35">
        <v>179295933607</v>
      </c>
      <c r="AQ49" s="35">
        <v>222145446081</v>
      </c>
      <c r="AR49" s="35">
        <v>254120783846</v>
      </c>
      <c r="AS49" s="35">
        <v>267292554633</v>
      </c>
      <c r="AT49" s="35">
        <v>245551657091</v>
      </c>
      <c r="AU49" s="35">
        <v>202048548848</v>
      </c>
      <c r="AV49" s="35">
        <v>216249200270</v>
      </c>
      <c r="AW49" s="35">
        <v>232124849372</v>
      </c>
      <c r="AX49" s="35">
        <v>268981208876</v>
      </c>
      <c r="AY49" s="35">
        <v>275528225930</v>
      </c>
      <c r="AZ49" s="35">
        <v>243335896197</v>
      </c>
      <c r="BA49" s="35">
        <v>147774333446</v>
      </c>
      <c r="BB49" s="35">
        <v>201328746871</v>
      </c>
      <c r="BC49" s="35">
        <v>275181662640</v>
      </c>
      <c r="BD49" s="35">
        <v>298671242130</v>
      </c>
      <c r="BE49" s="35">
        <v>315510470665</v>
      </c>
      <c r="BF49" s="35">
        <v>326622191004</v>
      </c>
      <c r="BG49" s="35">
        <v>369295754196</v>
      </c>
      <c r="BH49" s="35">
        <v>383243232428</v>
      </c>
      <c r="BI49" s="35">
        <v>331907950534</v>
      </c>
      <c r="BJ49" s="35">
        <v>324332077621</v>
      </c>
      <c r="BK49" s="35">
        <v>312608233592</v>
      </c>
      <c r="BL49" s="35">
        <f t="shared" ref="BL49:BM49" si="5">BL31+BL13</f>
        <v>266291639560</v>
      </c>
      <c r="BM49" s="35">
        <f t="shared" si="5"/>
        <v>303246848492</v>
      </c>
      <c r="BN49" s="35">
        <f t="shared" ref="BN49:BO49" si="6">BN31+BN13</f>
        <v>259837452825</v>
      </c>
      <c r="BO49" s="35">
        <f t="shared" si="6"/>
        <v>227614910965</v>
      </c>
      <c r="BP49" s="35">
        <f>BP31+BP13</f>
        <v>271528840240</v>
      </c>
      <c r="BQ49" s="35"/>
      <c r="BR49" s="35"/>
      <c r="BS49" s="35"/>
      <c r="BT49" s="35"/>
      <c r="BU49" s="35"/>
      <c r="BV49" s="35"/>
      <c r="BW49" s="35"/>
    </row>
    <row r="50" spans="1:75" ht="15" thickTop="1">
      <c r="A50" s="169">
        <v>47</v>
      </c>
      <c r="B50" s="170" t="str">
        <f t="shared" ref="B50:B55" si="7">B32</f>
        <v>ACB</v>
      </c>
      <c r="C50" s="169">
        <v>28</v>
      </c>
      <c r="D50" s="36"/>
      <c r="E50" s="36"/>
      <c r="F50" s="36"/>
      <c r="G50" s="36"/>
      <c r="H50" s="36"/>
      <c r="I50" s="36"/>
      <c r="J50" s="36"/>
      <c r="K50" s="36"/>
      <c r="L50" s="36"/>
      <c r="M50" s="36"/>
      <c r="N50" s="36"/>
      <c r="O50" s="36"/>
      <c r="P50" s="36"/>
      <c r="Q50" s="36"/>
      <c r="R50" s="36"/>
      <c r="S50" s="36"/>
      <c r="T50" s="36"/>
      <c r="U50" s="36"/>
      <c r="V50" s="36"/>
      <c r="W50" s="36"/>
      <c r="X50" s="36"/>
      <c r="Y50" s="36"/>
      <c r="Z50" s="36"/>
      <c r="AA50" s="36"/>
      <c r="AB50" s="36"/>
      <c r="AC50" s="36"/>
      <c r="AD50" s="36"/>
      <c r="AE50" s="36"/>
      <c r="AF50" s="36"/>
      <c r="AG50" s="36"/>
      <c r="AH50" s="36"/>
      <c r="AI50" s="36"/>
      <c r="AJ50" s="36"/>
      <c r="AK50" s="36"/>
      <c r="AL50" s="36"/>
      <c r="AM50" s="36"/>
      <c r="AN50" s="36"/>
      <c r="AO50" s="36"/>
      <c r="AP50" s="36"/>
      <c r="AQ50" s="36"/>
      <c r="AR50" s="36"/>
      <c r="AS50" s="36"/>
      <c r="AT50" s="36"/>
      <c r="AU50" s="36"/>
      <c r="AV50" s="36"/>
      <c r="AW50" s="36"/>
      <c r="AX50" s="36"/>
      <c r="AY50" s="36">
        <f t="shared" ref="AY50:BK50" si="8">AY14+AY32</f>
        <v>0</v>
      </c>
      <c r="AZ50" s="36">
        <f t="shared" si="8"/>
        <v>143996897502</v>
      </c>
      <c r="BA50" s="36">
        <f t="shared" si="8"/>
        <v>97472837502</v>
      </c>
      <c r="BB50" s="36">
        <f t="shared" si="8"/>
        <v>127301837502</v>
      </c>
      <c r="BC50" s="36">
        <f t="shared" si="8"/>
        <v>169122644110</v>
      </c>
      <c r="BD50" s="36">
        <f t="shared" si="8"/>
        <v>163253584110</v>
      </c>
      <c r="BE50" s="36">
        <f t="shared" si="8"/>
        <v>136691087058</v>
      </c>
      <c r="BF50" s="36">
        <f t="shared" si="8"/>
        <v>127075042448</v>
      </c>
      <c r="BG50" s="36">
        <f t="shared" si="8"/>
        <v>144218362390</v>
      </c>
      <c r="BH50" s="36">
        <f t="shared" si="8"/>
        <v>132707999104</v>
      </c>
      <c r="BI50" s="36">
        <f t="shared" si="8"/>
        <v>118539805712</v>
      </c>
      <c r="BJ50" s="36">
        <f t="shared" si="8"/>
        <v>116737233712</v>
      </c>
      <c r="BK50" s="36">
        <f t="shared" si="8"/>
        <v>116114733712</v>
      </c>
      <c r="BL50" s="36">
        <f t="shared" ref="BL50:BM50" si="9">BL14+BL32</f>
        <v>109800904278</v>
      </c>
      <c r="BM50" s="36">
        <f t="shared" si="9"/>
        <v>132638213198</v>
      </c>
      <c r="BN50" s="36">
        <f t="shared" ref="BN50" si="10">BN14+BN32</f>
        <v>115606271766</v>
      </c>
      <c r="BO50" s="36">
        <v>115326890888</v>
      </c>
      <c r="BP50" s="36">
        <f>BP14+BP32</f>
        <v>98672453508</v>
      </c>
      <c r="BQ50" s="36"/>
      <c r="BR50" s="36"/>
      <c r="BS50" s="36"/>
      <c r="BT50" s="36"/>
      <c r="BU50" s="36"/>
      <c r="BV50" s="36"/>
      <c r="BW50" s="36"/>
    </row>
    <row r="51" spans="1:75">
      <c r="A51" s="169">
        <v>48</v>
      </c>
      <c r="B51" s="170" t="str">
        <f t="shared" si="7"/>
        <v>VietinBank</v>
      </c>
      <c r="C51" s="169">
        <v>28</v>
      </c>
      <c r="D51" s="38"/>
      <c r="E51" s="38"/>
      <c r="F51" s="38"/>
      <c r="G51" s="38"/>
      <c r="H51" s="38"/>
      <c r="I51" s="38"/>
      <c r="J51" s="38"/>
      <c r="K51" s="38"/>
      <c r="L51" s="38"/>
      <c r="M51" s="38"/>
      <c r="N51" s="38"/>
      <c r="O51" s="38"/>
      <c r="P51" s="38"/>
      <c r="Q51" s="38"/>
      <c r="R51" s="38"/>
      <c r="S51" s="38"/>
      <c r="T51" s="38"/>
      <c r="U51" s="38"/>
      <c r="V51" s="38"/>
      <c r="W51" s="38"/>
      <c r="X51" s="38"/>
      <c r="Y51" s="38"/>
      <c r="Z51" s="38"/>
      <c r="AA51" s="38"/>
      <c r="AB51" s="38"/>
      <c r="AC51" s="38"/>
      <c r="AD51" s="38"/>
      <c r="AE51" s="38"/>
      <c r="AF51" s="38"/>
      <c r="AG51" s="38"/>
      <c r="AH51" s="38"/>
      <c r="AI51" s="38"/>
      <c r="AJ51" s="38"/>
      <c r="AK51" s="38"/>
      <c r="AL51" s="38"/>
      <c r="AM51" s="38"/>
      <c r="AN51" s="38"/>
      <c r="AO51" s="38"/>
      <c r="AP51" s="38"/>
      <c r="AQ51" s="38"/>
      <c r="AR51" s="38"/>
      <c r="AS51" s="38"/>
      <c r="AT51" s="38"/>
      <c r="AU51" s="38"/>
      <c r="AV51" s="38"/>
      <c r="AW51" s="38"/>
      <c r="AX51" s="38"/>
      <c r="AY51" s="38">
        <f t="shared" ref="AY51:BK51" si="11">AY15+AY33</f>
        <v>0</v>
      </c>
      <c r="AZ51" s="38">
        <f t="shared" si="11"/>
        <v>59227549743</v>
      </c>
      <c r="BA51" s="38">
        <f t="shared" si="11"/>
        <v>10967824770</v>
      </c>
      <c r="BB51" s="38">
        <f t="shared" si="11"/>
        <v>35192821797</v>
      </c>
      <c r="BC51" s="38">
        <f t="shared" si="11"/>
        <v>59696932940</v>
      </c>
      <c r="BD51" s="38">
        <f t="shared" si="11"/>
        <v>74003145708</v>
      </c>
      <c r="BE51" s="38">
        <f t="shared" si="11"/>
        <v>102247404832</v>
      </c>
      <c r="BF51" s="38">
        <f t="shared" si="11"/>
        <v>105000758801</v>
      </c>
      <c r="BG51" s="38">
        <f t="shared" si="11"/>
        <v>99898041677</v>
      </c>
      <c r="BH51" s="38">
        <f t="shared" si="11"/>
        <v>81733065410</v>
      </c>
      <c r="BI51" s="38">
        <f t="shared" si="11"/>
        <v>56829174444</v>
      </c>
      <c r="BJ51" s="38">
        <f t="shared" si="11"/>
        <v>33922378367</v>
      </c>
      <c r="BK51" s="38">
        <f t="shared" si="11"/>
        <v>27583243491</v>
      </c>
      <c r="BL51" s="38">
        <f t="shared" ref="BL51:BM51" si="12">BL15+BL33</f>
        <v>21540877180</v>
      </c>
      <c r="BM51" s="38">
        <f t="shared" si="12"/>
        <v>21540877180</v>
      </c>
      <c r="BN51" s="38">
        <f t="shared" ref="BN51" si="13">BN15+BN33</f>
        <v>43372492884</v>
      </c>
      <c r="BO51" s="38">
        <v>24450617480</v>
      </c>
      <c r="BP51" s="38">
        <f t="shared" ref="BP51:BP55" si="14">BP15+BP33</f>
        <v>100061136710</v>
      </c>
      <c r="BQ51" s="38"/>
      <c r="BR51" s="38"/>
      <c r="BS51" s="38"/>
      <c r="BT51" s="38"/>
      <c r="BU51" s="38"/>
      <c r="BV51" s="38"/>
      <c r="BW51" s="38"/>
    </row>
    <row r="52" spans="1:75">
      <c r="A52" s="169">
        <v>49</v>
      </c>
      <c r="B52" s="170" t="str">
        <f t="shared" si="7"/>
        <v>Vietcombank</v>
      </c>
      <c r="C52" s="169">
        <v>28</v>
      </c>
      <c r="D52" s="38"/>
      <c r="E52" s="38"/>
      <c r="F52" s="38"/>
      <c r="G52" s="38"/>
      <c r="H52" s="38"/>
      <c r="I52" s="38"/>
      <c r="J52" s="38"/>
      <c r="K52" s="38"/>
      <c r="L52" s="38"/>
      <c r="M52" s="38"/>
      <c r="N52" s="38"/>
      <c r="O52" s="38"/>
      <c r="P52" s="38"/>
      <c r="Q52" s="38"/>
      <c r="R52" s="38"/>
      <c r="S52" s="38"/>
      <c r="T52" s="38"/>
      <c r="U52" s="38"/>
      <c r="V52" s="38"/>
      <c r="W52" s="38"/>
      <c r="X52" s="38"/>
      <c r="Y52" s="38"/>
      <c r="Z52" s="38"/>
      <c r="AA52" s="38"/>
      <c r="AB52" s="38"/>
      <c r="AC52" s="38"/>
      <c r="AD52" s="38"/>
      <c r="AE52" s="38"/>
      <c r="AF52" s="38"/>
      <c r="AG52" s="38"/>
      <c r="AH52" s="38"/>
      <c r="AI52" s="38"/>
      <c r="AJ52" s="38"/>
      <c r="AK52" s="38"/>
      <c r="AL52" s="38"/>
      <c r="AM52" s="38"/>
      <c r="AN52" s="38"/>
      <c r="AO52" s="38"/>
      <c r="AP52" s="38"/>
      <c r="AQ52" s="38"/>
      <c r="AR52" s="38"/>
      <c r="AS52" s="38"/>
      <c r="AT52" s="38"/>
      <c r="AU52" s="38"/>
      <c r="AV52" s="38"/>
      <c r="AW52" s="38"/>
      <c r="AX52" s="38"/>
      <c r="AY52" s="38">
        <f t="shared" ref="AY52:BK52" si="15">AY16+AY34</f>
        <v>0</v>
      </c>
      <c r="AZ52" s="38">
        <f t="shared" si="15"/>
        <v>13667004508</v>
      </c>
      <c r="BA52" s="38">
        <f t="shared" si="15"/>
        <v>13667004508</v>
      </c>
      <c r="BB52" s="38">
        <f t="shared" si="15"/>
        <v>13667004508</v>
      </c>
      <c r="BC52" s="38">
        <f t="shared" si="15"/>
        <v>21972780304</v>
      </c>
      <c r="BD52" s="38">
        <f t="shared" si="15"/>
        <v>32049798323</v>
      </c>
      <c r="BE52" s="38">
        <f t="shared" si="15"/>
        <v>39585571449</v>
      </c>
      <c r="BF52" s="38">
        <f t="shared" si="15"/>
        <v>54125127716</v>
      </c>
      <c r="BG52" s="38">
        <f t="shared" si="15"/>
        <v>80169222070</v>
      </c>
      <c r="BH52" s="38">
        <f t="shared" si="15"/>
        <v>87240583973</v>
      </c>
      <c r="BI52" s="38">
        <f t="shared" si="15"/>
        <v>64730980597</v>
      </c>
      <c r="BJ52" s="38">
        <f t="shared" si="15"/>
        <v>55405837410</v>
      </c>
      <c r="BK52" s="38">
        <f t="shared" si="15"/>
        <v>51149160926</v>
      </c>
      <c r="BL52" s="38">
        <f t="shared" ref="BL52:BM52" si="16">BL16+BL34</f>
        <v>18836413663</v>
      </c>
      <c r="BM52" s="38">
        <f t="shared" si="16"/>
        <v>33692551760</v>
      </c>
      <c r="BN52" s="38">
        <f t="shared" ref="BN52" si="17">BN16+BN34</f>
        <v>29927500000</v>
      </c>
      <c r="BO52" s="38">
        <v>29927500000</v>
      </c>
      <c r="BP52" s="38">
        <f t="shared" si="14"/>
        <v>21144375000</v>
      </c>
      <c r="BQ52" s="38"/>
      <c r="BR52" s="38"/>
      <c r="BS52" s="38"/>
      <c r="BT52" s="38"/>
      <c r="BU52" s="38"/>
      <c r="BV52" s="38"/>
      <c r="BW52" s="38"/>
    </row>
    <row r="53" spans="1:75">
      <c r="A53" s="169">
        <v>50</v>
      </c>
      <c r="B53" s="170" t="str">
        <f t="shared" si="7"/>
        <v>BIDV</v>
      </c>
      <c r="C53" s="169">
        <v>28</v>
      </c>
      <c r="D53" s="38"/>
      <c r="E53" s="38"/>
      <c r="F53" s="38"/>
      <c r="G53" s="38"/>
      <c r="H53" s="38"/>
      <c r="I53" s="38"/>
      <c r="J53" s="38"/>
      <c r="K53" s="38"/>
      <c r="L53" s="38"/>
      <c r="M53" s="38"/>
      <c r="N53" s="38"/>
      <c r="O53" s="38"/>
      <c r="P53" s="38"/>
      <c r="Q53" s="38"/>
      <c r="R53" s="38"/>
      <c r="S53" s="38"/>
      <c r="T53" s="38"/>
      <c r="U53" s="38"/>
      <c r="V53" s="38"/>
      <c r="W53" s="38"/>
      <c r="X53" s="38"/>
      <c r="Y53" s="38"/>
      <c r="Z53" s="38"/>
      <c r="AA53" s="38"/>
      <c r="AB53" s="38"/>
      <c r="AC53" s="38"/>
      <c r="AD53" s="38"/>
      <c r="AE53" s="38"/>
      <c r="AF53" s="38"/>
      <c r="AG53" s="38"/>
      <c r="AH53" s="38"/>
      <c r="AI53" s="38"/>
      <c r="AJ53" s="38"/>
      <c r="AK53" s="38"/>
      <c r="AL53" s="38"/>
      <c r="AM53" s="38"/>
      <c r="AN53" s="38"/>
      <c r="AO53" s="38"/>
      <c r="AP53" s="38"/>
      <c r="AQ53" s="38"/>
      <c r="AR53" s="38"/>
      <c r="AS53" s="38"/>
      <c r="AT53" s="38"/>
      <c r="AU53" s="38"/>
      <c r="AV53" s="38"/>
      <c r="AW53" s="38"/>
      <c r="AX53" s="38"/>
      <c r="AY53" s="38">
        <f t="shared" ref="AY53:BK53" si="18">AY17+AY35</f>
        <v>0</v>
      </c>
      <c r="AZ53" s="38">
        <f t="shared" si="18"/>
        <v>0</v>
      </c>
      <c r="BA53" s="38">
        <f t="shared" si="18"/>
        <v>0</v>
      </c>
      <c r="BB53" s="38">
        <f t="shared" si="18"/>
        <v>278194176</v>
      </c>
      <c r="BC53" s="38">
        <f t="shared" si="18"/>
        <v>278194176</v>
      </c>
      <c r="BD53" s="38">
        <f t="shared" si="18"/>
        <v>6031380657</v>
      </c>
      <c r="BE53" s="38">
        <f t="shared" si="18"/>
        <v>14430851772</v>
      </c>
      <c r="BF53" s="38">
        <f t="shared" si="18"/>
        <v>18498731431</v>
      </c>
      <c r="BG53" s="38">
        <f t="shared" si="18"/>
        <v>23865375229</v>
      </c>
      <c r="BH53" s="38">
        <f t="shared" si="18"/>
        <v>56646971705</v>
      </c>
      <c r="BI53" s="38">
        <f t="shared" si="18"/>
        <v>67671155323</v>
      </c>
      <c r="BJ53" s="38">
        <f t="shared" si="18"/>
        <v>95052324284</v>
      </c>
      <c r="BK53" s="38">
        <f t="shared" si="18"/>
        <v>99872206577</v>
      </c>
      <c r="BL53" s="38">
        <f t="shared" ref="BL53:BM53" si="19">BL17+BL35</f>
        <v>99872206577</v>
      </c>
      <c r="BM53" s="38">
        <f t="shared" si="19"/>
        <v>99872206577</v>
      </c>
      <c r="BN53" s="38">
        <f t="shared" ref="BN53" si="20">BN17+BN35</f>
        <v>56166426483</v>
      </c>
      <c r="BO53" s="38">
        <v>43883378990</v>
      </c>
      <c r="BP53" s="38">
        <f t="shared" si="14"/>
        <v>38362589500</v>
      </c>
      <c r="BQ53" s="38"/>
      <c r="BR53" s="38"/>
      <c r="BS53" s="38"/>
      <c r="BT53" s="38"/>
      <c r="BU53" s="38"/>
      <c r="BV53" s="38"/>
      <c r="BW53" s="38"/>
    </row>
    <row r="54" spans="1:75">
      <c r="A54" s="169">
        <v>51</v>
      </c>
      <c r="B54" s="170" t="str">
        <f t="shared" si="7"/>
        <v>Standard Chartered</v>
      </c>
      <c r="C54" s="169">
        <v>28</v>
      </c>
      <c r="D54" s="38"/>
      <c r="E54" s="38"/>
      <c r="F54" s="38"/>
      <c r="G54" s="38"/>
      <c r="H54" s="38"/>
      <c r="I54" s="38"/>
      <c r="J54" s="38"/>
      <c r="K54" s="38"/>
      <c r="L54" s="38"/>
      <c r="M54" s="38"/>
      <c r="N54" s="38"/>
      <c r="O54" s="38"/>
      <c r="P54" s="38"/>
      <c r="Q54" s="38"/>
      <c r="R54" s="38"/>
      <c r="S54" s="38"/>
      <c r="T54" s="38"/>
      <c r="U54" s="38"/>
      <c r="V54" s="38"/>
      <c r="W54" s="38"/>
      <c r="X54" s="38"/>
      <c r="Y54" s="38"/>
      <c r="Z54" s="38"/>
      <c r="AA54" s="38"/>
      <c r="AB54" s="38"/>
      <c r="AC54" s="38"/>
      <c r="AD54" s="38"/>
      <c r="AE54" s="38"/>
      <c r="AF54" s="38"/>
      <c r="AG54" s="38"/>
      <c r="AH54" s="38"/>
      <c r="AI54" s="38"/>
      <c r="AJ54" s="38"/>
      <c r="AK54" s="38"/>
      <c r="AL54" s="38"/>
      <c r="AM54" s="38"/>
      <c r="AN54" s="38"/>
      <c r="AO54" s="38"/>
      <c r="AP54" s="38"/>
      <c r="AQ54" s="38"/>
      <c r="AR54" s="38"/>
      <c r="AS54" s="38"/>
      <c r="AT54" s="38"/>
      <c r="AU54" s="38"/>
      <c r="AV54" s="38"/>
      <c r="AW54" s="38"/>
      <c r="AX54" s="38"/>
      <c r="AY54" s="38">
        <f t="shared" ref="AY54:BK54" si="21">AY18+AY36</f>
        <v>0</v>
      </c>
      <c r="AZ54" s="38">
        <f t="shared" si="21"/>
        <v>0</v>
      </c>
      <c r="BA54" s="38">
        <f t="shared" si="21"/>
        <v>0</v>
      </c>
      <c r="BB54" s="38">
        <f t="shared" si="21"/>
        <v>0</v>
      </c>
      <c r="BC54" s="38">
        <f t="shared" si="21"/>
        <v>0</v>
      </c>
      <c r="BD54" s="38">
        <f t="shared" si="21"/>
        <v>0</v>
      </c>
      <c r="BE54" s="38">
        <f t="shared" si="21"/>
        <v>0</v>
      </c>
      <c r="BF54" s="38">
        <f t="shared" si="21"/>
        <v>144752832</v>
      </c>
      <c r="BG54" s="38">
        <f t="shared" si="21"/>
        <v>144752832</v>
      </c>
      <c r="BH54" s="38">
        <f t="shared" si="21"/>
        <v>4692390016</v>
      </c>
      <c r="BI54" s="38">
        <f t="shared" si="21"/>
        <v>4692390016</v>
      </c>
      <c r="BJ54" s="38">
        <f t="shared" si="21"/>
        <v>4547637184</v>
      </c>
      <c r="BK54" s="38">
        <f t="shared" si="21"/>
        <v>0</v>
      </c>
      <c r="BL54" s="38">
        <f t="shared" ref="BL54:BM54" si="22">BL18+BL36</f>
        <v>0</v>
      </c>
      <c r="BM54" s="38">
        <f t="shared" si="22"/>
        <v>0</v>
      </c>
      <c r="BN54" s="38">
        <f t="shared" ref="BN54" si="23">BN18+BN36</f>
        <v>0</v>
      </c>
      <c r="BO54" s="38">
        <v>0</v>
      </c>
      <c r="BP54" s="38">
        <f t="shared" si="14"/>
        <v>0</v>
      </c>
      <c r="BQ54" s="38"/>
      <c r="BR54" s="38"/>
      <c r="BS54" s="38"/>
      <c r="BT54" s="38"/>
      <c r="BU54" s="38"/>
      <c r="BV54" s="38"/>
      <c r="BW54" s="38"/>
    </row>
    <row r="55" spans="1:75">
      <c r="A55" s="169">
        <v>52</v>
      </c>
      <c r="B55" s="170" t="str">
        <f t="shared" si="7"/>
        <v>VILC</v>
      </c>
      <c r="C55" s="169">
        <v>28</v>
      </c>
      <c r="D55" s="38"/>
      <c r="E55" s="38"/>
      <c r="F55" s="38"/>
      <c r="G55" s="38"/>
      <c r="H55" s="38"/>
      <c r="I55" s="38"/>
      <c r="J55" s="38"/>
      <c r="K55" s="38"/>
      <c r="L55" s="38"/>
      <c r="M55" s="38"/>
      <c r="N55" s="38"/>
      <c r="O55" s="38"/>
      <c r="P55" s="38"/>
      <c r="Q55" s="38"/>
      <c r="R55" s="38"/>
      <c r="S55" s="38"/>
      <c r="T55" s="38"/>
      <c r="U55" s="38"/>
      <c r="V55" s="38"/>
      <c r="W55" s="38"/>
      <c r="X55" s="38"/>
      <c r="Y55" s="38"/>
      <c r="Z55" s="38"/>
      <c r="AA55" s="38"/>
      <c r="AB55" s="38"/>
      <c r="AC55" s="38"/>
      <c r="AD55" s="38"/>
      <c r="AE55" s="38"/>
      <c r="AF55" s="38"/>
      <c r="AG55" s="38"/>
      <c r="AH55" s="38"/>
      <c r="AI55" s="38"/>
      <c r="AJ55" s="38"/>
      <c r="AK55" s="38"/>
      <c r="AL55" s="38"/>
      <c r="AM55" s="38"/>
      <c r="AN55" s="38"/>
      <c r="AO55" s="38"/>
      <c r="AP55" s="38"/>
      <c r="AQ55" s="38"/>
      <c r="AR55" s="38"/>
      <c r="AS55" s="38"/>
      <c r="AT55" s="38"/>
      <c r="AU55" s="38"/>
      <c r="AV55" s="38"/>
      <c r="AW55" s="38"/>
      <c r="AX55" s="38"/>
      <c r="AY55" s="38">
        <f t="shared" ref="AY55:BK55" si="24">AY19+AY37</f>
        <v>0</v>
      </c>
      <c r="AZ55" s="38">
        <f t="shared" si="24"/>
        <v>26444444444</v>
      </c>
      <c r="BA55" s="38">
        <f t="shared" si="24"/>
        <v>25666666666</v>
      </c>
      <c r="BB55" s="38">
        <f t="shared" si="24"/>
        <v>24888888888</v>
      </c>
      <c r="BC55" s="38">
        <f t="shared" si="24"/>
        <v>24111111110</v>
      </c>
      <c r="BD55" s="38">
        <f t="shared" si="24"/>
        <v>23333333332</v>
      </c>
      <c r="BE55" s="38">
        <f t="shared" si="24"/>
        <v>22555555554</v>
      </c>
      <c r="BF55" s="38">
        <f t="shared" si="24"/>
        <v>21777777776</v>
      </c>
      <c r="BG55" s="38">
        <f t="shared" si="24"/>
        <v>20999999998</v>
      </c>
      <c r="BH55" s="38">
        <f t="shared" si="24"/>
        <v>20222222220</v>
      </c>
      <c r="BI55" s="38">
        <f t="shared" si="24"/>
        <v>19444444442</v>
      </c>
      <c r="BJ55" s="38">
        <f t="shared" si="24"/>
        <v>18666666664</v>
      </c>
      <c r="BK55" s="38">
        <f t="shared" si="24"/>
        <v>17888888886</v>
      </c>
      <c r="BL55" s="38">
        <f t="shared" ref="BL55:BM55" si="25">BL19+BL37</f>
        <v>16241237862</v>
      </c>
      <c r="BM55" s="38">
        <f t="shared" si="25"/>
        <v>15502999777</v>
      </c>
      <c r="BN55" s="38">
        <f t="shared" ref="BN55" si="26">BN19+BN37</f>
        <v>14764761692</v>
      </c>
      <c r="BO55" s="38">
        <v>14026523607</v>
      </c>
      <c r="BP55" s="38">
        <f t="shared" si="14"/>
        <v>13288285522</v>
      </c>
      <c r="BQ55" s="38"/>
      <c r="BR55" s="38"/>
      <c r="BS55" s="38"/>
      <c r="BT55" s="38"/>
      <c r="BU55" s="38"/>
      <c r="BV55" s="38"/>
      <c r="BW55" s="38"/>
    </row>
    <row r="56" spans="1:75">
      <c r="A56" s="169">
        <v>53</v>
      </c>
      <c r="B56" s="170" t="s">
        <v>472</v>
      </c>
      <c r="C56" s="169">
        <v>28</v>
      </c>
      <c r="D56" s="38"/>
      <c r="E56" s="38"/>
      <c r="F56" s="38"/>
      <c r="G56" s="38"/>
      <c r="H56" s="38"/>
      <c r="I56" s="38"/>
      <c r="J56" s="38"/>
      <c r="K56" s="38"/>
      <c r="L56" s="38"/>
      <c r="M56" s="38"/>
      <c r="N56" s="38"/>
      <c r="O56" s="38"/>
      <c r="P56" s="38"/>
      <c r="Q56" s="38"/>
      <c r="R56" s="38"/>
      <c r="S56" s="38"/>
      <c r="T56" s="38"/>
      <c r="U56" s="38"/>
      <c r="V56" s="38"/>
      <c r="W56" s="38"/>
      <c r="X56" s="38"/>
      <c r="Y56" s="38"/>
      <c r="Z56" s="38"/>
      <c r="AA56" s="38"/>
      <c r="AB56" s="38"/>
      <c r="AC56" s="38"/>
      <c r="AD56" s="38"/>
      <c r="AE56" s="38"/>
      <c r="AF56" s="38"/>
      <c r="AG56" s="38"/>
      <c r="AH56" s="38"/>
      <c r="AI56" s="38"/>
      <c r="AJ56" s="38"/>
      <c r="AK56" s="38"/>
      <c r="AL56" s="38"/>
      <c r="AM56" s="38"/>
      <c r="AN56" s="38"/>
      <c r="AO56" s="38"/>
      <c r="AP56" s="38"/>
      <c r="AQ56" s="38"/>
      <c r="AR56" s="38"/>
      <c r="AS56" s="38"/>
      <c r="AT56" s="38"/>
      <c r="AU56" s="38"/>
      <c r="AV56" s="38"/>
      <c r="AW56" s="38"/>
      <c r="AX56" s="38"/>
      <c r="AY56" s="38"/>
      <c r="AZ56" s="38"/>
      <c r="BA56" s="38"/>
      <c r="BB56" s="38"/>
      <c r="BC56" s="38"/>
      <c r="BD56" s="38"/>
      <c r="BE56" s="38"/>
      <c r="BF56" s="38"/>
      <c r="BG56" s="38"/>
      <c r="BH56" s="38"/>
      <c r="BI56" s="38"/>
      <c r="BJ56" s="38"/>
      <c r="BK56" s="38"/>
      <c r="BL56" s="38"/>
      <c r="BM56" s="38"/>
      <c r="BN56" s="38"/>
      <c r="BO56" s="38"/>
      <c r="BP56" s="38"/>
      <c r="BQ56" s="38"/>
      <c r="BR56" s="38"/>
      <c r="BS56" s="38"/>
      <c r="BT56" s="38"/>
      <c r="BU56" s="38"/>
      <c r="BV56" s="38"/>
      <c r="BW56" s="38"/>
    </row>
    <row r="57" spans="1:75">
      <c r="A57" s="169">
        <v>54</v>
      </c>
      <c r="B57" s="87"/>
      <c r="C57" s="169">
        <v>28</v>
      </c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  <c r="Y57" s="25"/>
      <c r="Z57" s="25"/>
      <c r="AA57" s="25"/>
      <c r="AB57" s="25"/>
      <c r="AC57" s="25"/>
      <c r="AD57" s="25"/>
      <c r="AE57" s="25"/>
      <c r="AF57" s="25"/>
      <c r="AG57" s="25"/>
      <c r="AH57" s="25"/>
      <c r="AI57" s="25"/>
      <c r="AJ57" s="25"/>
      <c r="AK57" s="25"/>
      <c r="AL57" s="25"/>
      <c r="AM57" s="25"/>
      <c r="AN57" s="25"/>
      <c r="AO57" s="25"/>
      <c r="AP57" s="25"/>
      <c r="AQ57" s="25"/>
      <c r="AR57" s="25"/>
      <c r="AS57" s="25"/>
      <c r="AT57" s="25"/>
      <c r="AU57" s="25"/>
      <c r="AV57" s="25"/>
      <c r="AW57" s="25"/>
      <c r="AX57" s="25"/>
      <c r="AY57" s="25"/>
      <c r="AZ57" s="25"/>
      <c r="BA57" s="25"/>
      <c r="BB57" s="25"/>
      <c r="BC57" s="25"/>
      <c r="BD57" s="25"/>
      <c r="BE57" s="25"/>
      <c r="BF57" s="25"/>
      <c r="BG57" s="25"/>
      <c r="BH57" s="25"/>
      <c r="BI57" s="25"/>
      <c r="BJ57" s="25"/>
      <c r="BK57" s="25"/>
      <c r="BL57" s="25"/>
      <c r="BM57" s="25"/>
      <c r="BN57" s="25"/>
      <c r="BO57" s="25"/>
      <c r="BP57" s="25"/>
      <c r="BQ57" s="25"/>
      <c r="BR57" s="25"/>
      <c r="BS57" s="25"/>
      <c r="BT57" s="25"/>
      <c r="BU57" s="25"/>
      <c r="BV57" s="25"/>
      <c r="BW57" s="25"/>
    </row>
    <row r="58" spans="1:75" ht="15" thickBot="1">
      <c r="A58" s="173">
        <v>55</v>
      </c>
      <c r="B58" s="174" t="s">
        <v>478</v>
      </c>
      <c r="C58" s="169">
        <v>28</v>
      </c>
      <c r="D58" s="35"/>
      <c r="E58" s="35"/>
      <c r="F58" s="35"/>
      <c r="G58" s="35"/>
      <c r="H58" s="35"/>
      <c r="I58" s="35"/>
      <c r="J58" s="35"/>
      <c r="K58" s="35"/>
      <c r="L58" s="35"/>
      <c r="M58" s="35"/>
      <c r="N58" s="35"/>
      <c r="O58" s="35"/>
      <c r="P58" s="35"/>
      <c r="Q58" s="35"/>
      <c r="R58" s="35"/>
      <c r="S58" s="35"/>
      <c r="T58" s="35"/>
      <c r="U58" s="35"/>
      <c r="V58" s="35"/>
      <c r="W58" s="35"/>
      <c r="X58" s="35"/>
      <c r="Y58" s="35"/>
      <c r="Z58" s="35"/>
      <c r="AA58" s="35"/>
      <c r="AB58" s="35"/>
      <c r="AC58" s="35"/>
      <c r="AD58" s="35"/>
      <c r="AE58" s="35"/>
      <c r="AF58" s="35"/>
      <c r="AG58" s="35"/>
      <c r="AH58" s="35"/>
      <c r="AI58" s="35"/>
      <c r="AJ58" s="35"/>
      <c r="AK58" s="35"/>
      <c r="AL58" s="35"/>
      <c r="AM58" s="35"/>
      <c r="AN58" s="35"/>
      <c r="AO58" s="35"/>
      <c r="AP58" s="35"/>
      <c r="AQ58" s="35"/>
      <c r="AR58" s="35"/>
      <c r="AS58" s="35"/>
      <c r="AT58" s="35"/>
      <c r="AU58" s="35"/>
      <c r="AV58" s="35"/>
      <c r="AW58" s="35"/>
      <c r="AX58" s="35"/>
      <c r="AY58" s="35"/>
      <c r="AZ58" s="35">
        <f>SUM(AZ59:AZ65)</f>
        <v>0</v>
      </c>
      <c r="BA58" s="35">
        <f t="shared" ref="BA58:BM58" si="27">SUM(BA59:BA65)</f>
        <v>0</v>
      </c>
      <c r="BB58" s="35">
        <f t="shared" si="27"/>
        <v>0</v>
      </c>
      <c r="BC58" s="35">
        <f t="shared" si="27"/>
        <v>0</v>
      </c>
      <c r="BD58" s="35">
        <f t="shared" si="27"/>
        <v>0</v>
      </c>
      <c r="BE58" s="35">
        <f t="shared" si="27"/>
        <v>0</v>
      </c>
      <c r="BF58" s="35">
        <f t="shared" si="27"/>
        <v>0</v>
      </c>
      <c r="BG58" s="35">
        <f t="shared" si="27"/>
        <v>0</v>
      </c>
      <c r="BH58" s="35">
        <f t="shared" si="27"/>
        <v>0</v>
      </c>
      <c r="BI58" s="35">
        <f t="shared" si="27"/>
        <v>0</v>
      </c>
      <c r="BJ58" s="35">
        <f t="shared" si="27"/>
        <v>0</v>
      </c>
      <c r="BK58" s="35">
        <f t="shared" si="27"/>
        <v>0</v>
      </c>
      <c r="BL58" s="35">
        <f t="shared" si="27"/>
        <v>0</v>
      </c>
      <c r="BM58" s="35">
        <f t="shared" si="27"/>
        <v>0</v>
      </c>
      <c r="BN58" s="35">
        <f t="shared" ref="BN58" si="28">SUM(BN59:BN65)</f>
        <v>0</v>
      </c>
      <c r="BO58" s="35"/>
      <c r="BP58" s="35">
        <f t="shared" ref="BP58" si="29">SUM(BP59:BP65)</f>
        <v>30566056956</v>
      </c>
      <c r="BQ58" s="35"/>
      <c r="BR58" s="35"/>
      <c r="BS58" s="35"/>
      <c r="BT58" s="35"/>
      <c r="BU58" s="35"/>
      <c r="BV58" s="35"/>
      <c r="BW58" s="35"/>
    </row>
    <row r="59" spans="1:75" ht="15" thickTop="1">
      <c r="A59" s="169">
        <v>56</v>
      </c>
      <c r="B59" s="170" t="str">
        <f t="shared" ref="B59:B64" si="30">B50</f>
        <v>ACB</v>
      </c>
      <c r="C59" s="169">
        <v>28</v>
      </c>
      <c r="D59" s="34"/>
      <c r="E59" s="34"/>
      <c r="F59" s="34"/>
      <c r="G59" s="34"/>
      <c r="H59" s="34"/>
      <c r="I59" s="34"/>
      <c r="J59" s="34"/>
      <c r="K59" s="34"/>
      <c r="L59" s="34"/>
      <c r="M59" s="34"/>
      <c r="N59" s="34"/>
      <c r="O59" s="34"/>
      <c r="P59" s="34"/>
      <c r="Q59" s="34"/>
      <c r="R59" s="34"/>
      <c r="S59" s="34"/>
      <c r="T59" s="34"/>
      <c r="U59" s="34"/>
      <c r="V59" s="34"/>
      <c r="W59" s="34"/>
      <c r="X59" s="34"/>
      <c r="Y59" s="34"/>
      <c r="Z59" s="34"/>
      <c r="AA59" s="34"/>
      <c r="AB59" s="34"/>
      <c r="AC59" s="34"/>
      <c r="AD59" s="34"/>
      <c r="AE59" s="34"/>
      <c r="AF59" s="34"/>
      <c r="AG59" s="34"/>
      <c r="AH59" s="34"/>
      <c r="AI59" s="34"/>
      <c r="AJ59" s="34"/>
      <c r="AK59" s="34"/>
      <c r="AL59" s="34"/>
      <c r="AM59" s="34"/>
      <c r="AN59" s="34"/>
      <c r="AO59" s="34"/>
      <c r="AP59" s="34"/>
      <c r="AQ59" s="34"/>
      <c r="AR59" s="34"/>
      <c r="AS59" s="34"/>
      <c r="AT59" s="34"/>
      <c r="AU59" s="34"/>
      <c r="AV59" s="34"/>
      <c r="AW59" s="34"/>
      <c r="AX59" s="34"/>
      <c r="AY59" s="34"/>
      <c r="AZ59" s="34"/>
      <c r="BA59" s="34"/>
      <c r="BB59" s="34"/>
      <c r="BC59" s="34"/>
      <c r="BD59" s="34"/>
      <c r="BE59" s="34"/>
      <c r="BF59" s="34"/>
      <c r="BG59" s="34"/>
      <c r="BH59" s="34"/>
      <c r="BI59" s="34"/>
      <c r="BJ59" s="34"/>
      <c r="BK59" s="34"/>
      <c r="BL59" s="34"/>
      <c r="BM59" s="34"/>
      <c r="BN59" s="34"/>
      <c r="BO59" s="34"/>
      <c r="BP59" s="34">
        <v>9671006782</v>
      </c>
      <c r="BQ59" s="34"/>
      <c r="BR59" s="34"/>
      <c r="BS59" s="34"/>
      <c r="BT59" s="34"/>
      <c r="BU59" s="34"/>
      <c r="BV59" s="34"/>
      <c r="BW59" s="34"/>
    </row>
    <row r="60" spans="1:75">
      <c r="A60" s="169">
        <v>57</v>
      </c>
      <c r="B60" s="170" t="str">
        <f t="shared" si="30"/>
        <v>VietinBank</v>
      </c>
      <c r="C60" s="169">
        <v>28</v>
      </c>
      <c r="D60" s="34"/>
      <c r="E60" s="34"/>
      <c r="F60" s="34"/>
      <c r="G60" s="34"/>
      <c r="H60" s="34"/>
      <c r="I60" s="34"/>
      <c r="J60" s="34"/>
      <c r="K60" s="34"/>
      <c r="L60" s="34"/>
      <c r="M60" s="34"/>
      <c r="N60" s="34"/>
      <c r="O60" s="34"/>
      <c r="P60" s="34"/>
      <c r="Q60" s="34"/>
      <c r="R60" s="34"/>
      <c r="S60" s="34"/>
      <c r="T60" s="34"/>
      <c r="U60" s="34"/>
      <c r="V60" s="34"/>
      <c r="W60" s="34"/>
      <c r="X60" s="34"/>
      <c r="Y60" s="34"/>
      <c r="Z60" s="34"/>
      <c r="AA60" s="34"/>
      <c r="AB60" s="34"/>
      <c r="AC60" s="34"/>
      <c r="AD60" s="34"/>
      <c r="AE60" s="34"/>
      <c r="AF60" s="34"/>
      <c r="AG60" s="34"/>
      <c r="AH60" s="34"/>
      <c r="AI60" s="34"/>
      <c r="AJ60" s="34"/>
      <c r="AK60" s="34"/>
      <c r="AL60" s="34"/>
      <c r="AM60" s="34"/>
      <c r="AN60" s="34"/>
      <c r="AO60" s="34"/>
      <c r="AP60" s="34"/>
      <c r="AQ60" s="34"/>
      <c r="AR60" s="34"/>
      <c r="AS60" s="34"/>
      <c r="AT60" s="34"/>
      <c r="AU60" s="34"/>
      <c r="AV60" s="34"/>
      <c r="AW60" s="34"/>
      <c r="AX60" s="34"/>
      <c r="AY60" s="34"/>
      <c r="AZ60" s="34"/>
      <c r="BA60" s="34"/>
      <c r="BB60" s="34"/>
      <c r="BC60" s="34"/>
      <c r="BD60" s="34"/>
      <c r="BE60" s="34"/>
      <c r="BF60" s="34"/>
      <c r="BG60" s="34"/>
      <c r="BH60" s="34"/>
      <c r="BI60" s="34"/>
      <c r="BJ60" s="34"/>
      <c r="BK60" s="34"/>
      <c r="BL60" s="34"/>
      <c r="BM60" s="34"/>
      <c r="BN60" s="34"/>
      <c r="BO60" s="34"/>
      <c r="BP60" s="34">
        <v>19780013288</v>
      </c>
      <c r="BQ60" s="34"/>
      <c r="BR60" s="34"/>
      <c r="BS60" s="34"/>
      <c r="BT60" s="34"/>
      <c r="BU60" s="34"/>
      <c r="BV60" s="34"/>
      <c r="BW60" s="34"/>
    </row>
    <row r="61" spans="1:75">
      <c r="A61" s="169">
        <v>58</v>
      </c>
      <c r="B61" s="170" t="str">
        <f t="shared" si="30"/>
        <v>Vietcombank</v>
      </c>
      <c r="C61" s="169">
        <v>28</v>
      </c>
      <c r="D61" s="34"/>
      <c r="E61" s="34"/>
      <c r="F61" s="34"/>
      <c r="G61" s="34"/>
      <c r="H61" s="34"/>
      <c r="I61" s="34"/>
      <c r="J61" s="34"/>
      <c r="K61" s="34"/>
      <c r="L61" s="34"/>
      <c r="M61" s="34"/>
      <c r="N61" s="34"/>
      <c r="O61" s="34"/>
      <c r="P61" s="34"/>
      <c r="Q61" s="34"/>
      <c r="R61" s="34"/>
      <c r="S61" s="34"/>
      <c r="T61" s="34"/>
      <c r="U61" s="34"/>
      <c r="V61" s="34"/>
      <c r="W61" s="34"/>
      <c r="X61" s="34"/>
      <c r="Y61" s="34"/>
      <c r="Z61" s="34"/>
      <c r="AA61" s="34"/>
      <c r="AB61" s="34"/>
      <c r="AC61" s="34"/>
      <c r="AD61" s="34"/>
      <c r="AE61" s="34"/>
      <c r="AF61" s="34"/>
      <c r="AG61" s="34"/>
      <c r="AH61" s="34"/>
      <c r="AI61" s="34"/>
      <c r="AJ61" s="34"/>
      <c r="AK61" s="34"/>
      <c r="AL61" s="34"/>
      <c r="AM61" s="34"/>
      <c r="AN61" s="34"/>
      <c r="AO61" s="34"/>
      <c r="AP61" s="34"/>
      <c r="AQ61" s="34"/>
      <c r="AR61" s="34"/>
      <c r="AS61" s="34"/>
      <c r="AT61" s="34"/>
      <c r="AU61" s="34"/>
      <c r="AV61" s="34"/>
      <c r="AW61" s="34"/>
      <c r="AX61" s="34"/>
      <c r="AY61" s="34"/>
      <c r="AZ61" s="34"/>
      <c r="BA61" s="34"/>
      <c r="BB61" s="34"/>
      <c r="BC61" s="34"/>
      <c r="BD61" s="34"/>
      <c r="BE61" s="34"/>
      <c r="BF61" s="34"/>
      <c r="BG61" s="34"/>
      <c r="BH61" s="34"/>
      <c r="BI61" s="34"/>
      <c r="BJ61" s="34"/>
      <c r="BK61" s="34"/>
      <c r="BL61" s="34"/>
      <c r="BM61" s="34"/>
      <c r="BN61" s="34"/>
      <c r="BO61" s="34"/>
      <c r="BP61" s="34">
        <v>371174482</v>
      </c>
      <c r="BQ61" s="34"/>
      <c r="BR61" s="34"/>
      <c r="BS61" s="34"/>
      <c r="BT61" s="34"/>
      <c r="BU61" s="34"/>
      <c r="BV61" s="34"/>
      <c r="BW61" s="34"/>
    </row>
    <row r="62" spans="1:75">
      <c r="A62" s="169">
        <v>59</v>
      </c>
      <c r="B62" s="170" t="str">
        <f t="shared" si="30"/>
        <v>BIDV</v>
      </c>
      <c r="C62" s="169">
        <v>28</v>
      </c>
      <c r="D62" s="34"/>
      <c r="E62" s="34"/>
      <c r="F62" s="34"/>
      <c r="G62" s="34"/>
      <c r="H62" s="34"/>
      <c r="I62" s="34"/>
      <c r="J62" s="34"/>
      <c r="K62" s="34"/>
      <c r="L62" s="34"/>
      <c r="M62" s="34"/>
      <c r="N62" s="34"/>
      <c r="O62" s="34"/>
      <c r="P62" s="34"/>
      <c r="Q62" s="34"/>
      <c r="R62" s="34"/>
      <c r="S62" s="34"/>
      <c r="T62" s="34"/>
      <c r="U62" s="34"/>
      <c r="V62" s="34"/>
      <c r="W62" s="34"/>
      <c r="X62" s="34"/>
      <c r="Y62" s="34"/>
      <c r="Z62" s="34"/>
      <c r="AA62" s="34"/>
      <c r="AB62" s="34"/>
      <c r="AC62" s="34"/>
      <c r="AD62" s="34"/>
      <c r="AE62" s="34"/>
      <c r="AF62" s="34"/>
      <c r="AG62" s="34"/>
      <c r="AH62" s="34"/>
      <c r="AI62" s="34"/>
      <c r="AJ62" s="34"/>
      <c r="AK62" s="34"/>
      <c r="AL62" s="34"/>
      <c r="AM62" s="34"/>
      <c r="AN62" s="34"/>
      <c r="AO62" s="34"/>
      <c r="AP62" s="34"/>
      <c r="AQ62" s="34"/>
      <c r="AR62" s="34"/>
      <c r="AS62" s="34"/>
      <c r="AT62" s="34"/>
      <c r="AU62" s="34"/>
      <c r="AV62" s="34"/>
      <c r="AW62" s="34"/>
      <c r="AX62" s="34"/>
      <c r="AY62" s="34"/>
      <c r="AZ62" s="34"/>
      <c r="BA62" s="34"/>
      <c r="BB62" s="34"/>
      <c r="BC62" s="34"/>
      <c r="BD62" s="34"/>
      <c r="BE62" s="34"/>
      <c r="BF62" s="34"/>
      <c r="BG62" s="34"/>
      <c r="BH62" s="34"/>
      <c r="BI62" s="34"/>
      <c r="BJ62" s="34"/>
      <c r="BK62" s="34"/>
      <c r="BL62" s="34"/>
      <c r="BM62" s="34"/>
      <c r="BN62" s="34"/>
      <c r="BO62" s="34"/>
      <c r="BP62" s="34">
        <v>673899720</v>
      </c>
      <c r="BQ62" s="34"/>
      <c r="BR62" s="34"/>
      <c r="BS62" s="34"/>
      <c r="BT62" s="34"/>
      <c r="BU62" s="34"/>
      <c r="BV62" s="34"/>
      <c r="BW62" s="34"/>
    </row>
    <row r="63" spans="1:75">
      <c r="A63" s="169">
        <v>60</v>
      </c>
      <c r="B63" s="170" t="str">
        <f t="shared" si="30"/>
        <v>Standard Chartered</v>
      </c>
      <c r="C63" s="169">
        <v>28</v>
      </c>
      <c r="D63" s="34"/>
      <c r="E63" s="34"/>
      <c r="F63" s="34"/>
      <c r="G63" s="34"/>
      <c r="H63" s="34"/>
      <c r="I63" s="34"/>
      <c r="J63" s="34"/>
      <c r="K63" s="34"/>
      <c r="L63" s="34"/>
      <c r="M63" s="34"/>
      <c r="N63" s="34"/>
      <c r="O63" s="34"/>
      <c r="P63" s="34"/>
      <c r="Q63" s="34"/>
      <c r="R63" s="34"/>
      <c r="S63" s="34"/>
      <c r="T63" s="34"/>
      <c r="U63" s="34"/>
      <c r="V63" s="34"/>
      <c r="W63" s="34"/>
      <c r="X63" s="34"/>
      <c r="Y63" s="34"/>
      <c r="Z63" s="34"/>
      <c r="AA63" s="34"/>
      <c r="AB63" s="34"/>
      <c r="AC63" s="34"/>
      <c r="AD63" s="34"/>
      <c r="AE63" s="34"/>
      <c r="AF63" s="34"/>
      <c r="AG63" s="34"/>
      <c r="AH63" s="34"/>
      <c r="AI63" s="34"/>
      <c r="AJ63" s="34"/>
      <c r="AK63" s="34"/>
      <c r="AL63" s="34"/>
      <c r="AM63" s="34"/>
      <c r="AN63" s="34"/>
      <c r="AO63" s="34"/>
      <c r="AP63" s="34"/>
      <c r="AQ63" s="34"/>
      <c r="AR63" s="34"/>
      <c r="AS63" s="34"/>
      <c r="AT63" s="34"/>
      <c r="AU63" s="34"/>
      <c r="AV63" s="34"/>
      <c r="AW63" s="34"/>
      <c r="AX63" s="34"/>
      <c r="AY63" s="34"/>
      <c r="AZ63" s="34"/>
      <c r="BA63" s="34"/>
      <c r="BB63" s="34"/>
      <c r="BC63" s="34"/>
      <c r="BD63" s="34"/>
      <c r="BE63" s="34"/>
      <c r="BF63" s="34"/>
      <c r="BG63" s="34"/>
      <c r="BH63" s="34"/>
      <c r="BI63" s="34"/>
      <c r="BJ63" s="34"/>
      <c r="BK63" s="34"/>
      <c r="BL63" s="34"/>
      <c r="BM63" s="34"/>
      <c r="BN63" s="34"/>
      <c r="BO63" s="34"/>
      <c r="BP63" s="34">
        <v>69962684</v>
      </c>
      <c r="BQ63" s="34"/>
      <c r="BR63" s="34"/>
      <c r="BS63" s="34"/>
      <c r="BT63" s="34"/>
      <c r="BU63" s="34"/>
      <c r="BV63" s="34"/>
      <c r="BW63" s="34"/>
    </row>
    <row r="64" spans="1:75">
      <c r="A64" s="169">
        <v>61</v>
      </c>
      <c r="B64" s="170" t="str">
        <f t="shared" si="30"/>
        <v>VILC</v>
      </c>
      <c r="C64" s="169">
        <v>28</v>
      </c>
      <c r="D64" s="34"/>
      <c r="E64" s="34"/>
      <c r="F64" s="34"/>
      <c r="G64" s="34"/>
      <c r="H64" s="34"/>
      <c r="I64" s="34"/>
      <c r="J64" s="34"/>
      <c r="K64" s="34"/>
      <c r="L64" s="34"/>
      <c r="M64" s="34"/>
      <c r="N64" s="34"/>
      <c r="O64" s="34"/>
      <c r="P64" s="34"/>
      <c r="Q64" s="34"/>
      <c r="R64" s="34"/>
      <c r="S64" s="34"/>
      <c r="T64" s="34"/>
      <c r="U64" s="34"/>
      <c r="V64" s="34"/>
      <c r="W64" s="34"/>
      <c r="X64" s="34"/>
      <c r="Y64" s="34"/>
      <c r="Z64" s="34"/>
      <c r="AA64" s="34"/>
      <c r="AB64" s="34"/>
      <c r="AC64" s="34"/>
      <c r="AD64" s="34"/>
      <c r="AE64" s="34"/>
      <c r="AF64" s="34"/>
      <c r="AG64" s="34"/>
      <c r="AH64" s="34"/>
      <c r="AI64" s="34"/>
      <c r="AJ64" s="34"/>
      <c r="AK64" s="34"/>
      <c r="AL64" s="34"/>
      <c r="AM64" s="34"/>
      <c r="AN64" s="34"/>
      <c r="AO64" s="34"/>
      <c r="AP64" s="34"/>
      <c r="AQ64" s="34"/>
      <c r="AR64" s="34"/>
      <c r="AS64" s="34"/>
      <c r="AT64" s="34"/>
      <c r="AU64" s="34"/>
      <c r="AV64" s="34"/>
      <c r="AW64" s="34"/>
      <c r="AX64" s="34"/>
      <c r="AY64" s="34"/>
      <c r="AZ64" s="34"/>
      <c r="BA64" s="34"/>
      <c r="BB64" s="34"/>
      <c r="BC64" s="34"/>
      <c r="BD64" s="34"/>
      <c r="BE64" s="34"/>
      <c r="BF64" s="34"/>
      <c r="BG64" s="34"/>
      <c r="BH64" s="34"/>
      <c r="BI64" s="34"/>
      <c r="BJ64" s="34"/>
      <c r="BK64" s="34"/>
      <c r="BL64" s="34"/>
      <c r="BM64" s="34"/>
      <c r="BN64" s="34"/>
      <c r="BO64" s="34"/>
      <c r="BP64" s="34"/>
      <c r="BQ64" s="34"/>
      <c r="BR64" s="34"/>
      <c r="BS64" s="34"/>
      <c r="BT64" s="34"/>
      <c r="BU64" s="34"/>
      <c r="BV64" s="34"/>
      <c r="BW64" s="34"/>
    </row>
    <row r="65" spans="1:75">
      <c r="A65" s="169">
        <v>62</v>
      </c>
      <c r="B65" s="170" t="s">
        <v>472</v>
      </c>
      <c r="C65" s="169">
        <v>28</v>
      </c>
      <c r="D65" s="34"/>
      <c r="E65" s="34"/>
      <c r="F65" s="34"/>
      <c r="G65" s="34"/>
      <c r="H65" s="34"/>
      <c r="I65" s="34"/>
      <c r="J65" s="34"/>
      <c r="K65" s="34"/>
      <c r="L65" s="34"/>
      <c r="M65" s="34"/>
      <c r="N65" s="34"/>
      <c r="O65" s="34"/>
      <c r="P65" s="34"/>
      <c r="Q65" s="34"/>
      <c r="R65" s="34"/>
      <c r="S65" s="34"/>
      <c r="T65" s="34"/>
      <c r="U65" s="34"/>
      <c r="V65" s="34"/>
      <c r="W65" s="34"/>
      <c r="X65" s="34"/>
      <c r="Y65" s="34"/>
      <c r="Z65" s="34"/>
      <c r="AA65" s="34"/>
      <c r="AB65" s="34"/>
      <c r="AC65" s="34"/>
      <c r="AD65" s="34"/>
      <c r="AE65" s="34"/>
      <c r="AF65" s="34"/>
      <c r="AG65" s="34"/>
      <c r="AH65" s="34"/>
      <c r="AI65" s="34"/>
      <c r="AJ65" s="34"/>
      <c r="AK65" s="34"/>
      <c r="AL65" s="34"/>
      <c r="AM65" s="34"/>
      <c r="AN65" s="34"/>
      <c r="AO65" s="34"/>
      <c r="AP65" s="34"/>
      <c r="AQ65" s="34"/>
      <c r="AR65" s="34"/>
      <c r="AS65" s="34"/>
      <c r="AT65" s="34"/>
      <c r="AU65" s="34"/>
      <c r="AV65" s="34"/>
      <c r="AW65" s="34"/>
      <c r="AX65" s="34"/>
      <c r="AY65" s="34"/>
      <c r="AZ65" s="34"/>
      <c r="BA65" s="34"/>
      <c r="BB65" s="34"/>
      <c r="BC65" s="34"/>
      <c r="BD65" s="34"/>
      <c r="BE65" s="34"/>
      <c r="BF65" s="34"/>
      <c r="BG65" s="34"/>
      <c r="BH65" s="34"/>
      <c r="BI65" s="34"/>
      <c r="BJ65" s="34"/>
      <c r="BK65" s="34"/>
      <c r="BL65" s="34"/>
      <c r="BM65" s="34"/>
      <c r="BN65" s="34"/>
      <c r="BO65" s="34"/>
      <c r="BP65" s="34"/>
      <c r="BQ65" s="34"/>
      <c r="BR65" s="34"/>
      <c r="BS65" s="34"/>
      <c r="BT65" s="34"/>
      <c r="BU65" s="34"/>
      <c r="BV65" s="34"/>
      <c r="BW65" s="34"/>
    </row>
    <row r="66" spans="1:75">
      <c r="A66" s="169">
        <v>63</v>
      </c>
      <c r="B66" s="170"/>
      <c r="C66" s="169">
        <v>28</v>
      </c>
      <c r="D66" s="34"/>
      <c r="E66" s="34"/>
      <c r="F66" s="34"/>
      <c r="G66" s="34"/>
      <c r="H66" s="34"/>
      <c r="I66" s="34"/>
      <c r="J66" s="34"/>
      <c r="K66" s="34"/>
      <c r="L66" s="34"/>
      <c r="M66" s="34"/>
      <c r="N66" s="34"/>
      <c r="O66" s="34"/>
      <c r="P66" s="34"/>
      <c r="Q66" s="34"/>
      <c r="R66" s="34"/>
      <c r="S66" s="34"/>
      <c r="T66" s="34"/>
      <c r="U66" s="34"/>
      <c r="V66" s="34"/>
      <c r="W66" s="34"/>
      <c r="X66" s="34"/>
      <c r="Y66" s="34"/>
      <c r="Z66" s="34"/>
      <c r="AA66" s="34"/>
      <c r="AB66" s="34"/>
      <c r="AC66" s="34"/>
      <c r="AD66" s="34"/>
      <c r="AE66" s="34"/>
      <c r="AF66" s="34"/>
      <c r="AG66" s="34"/>
      <c r="AH66" s="34"/>
      <c r="AI66" s="34"/>
      <c r="AJ66" s="34"/>
      <c r="AK66" s="34"/>
      <c r="AL66" s="34"/>
      <c r="AM66" s="34"/>
      <c r="AN66" s="34"/>
      <c r="AO66" s="34"/>
      <c r="AP66" s="34"/>
      <c r="AQ66" s="34"/>
      <c r="AR66" s="34"/>
      <c r="AS66" s="34"/>
      <c r="AT66" s="34"/>
      <c r="AU66" s="34"/>
      <c r="AV66" s="34"/>
      <c r="AW66" s="34"/>
      <c r="AX66" s="34"/>
      <c r="AY66" s="34"/>
      <c r="AZ66" s="34"/>
      <c r="BA66" s="34"/>
      <c r="BB66" s="34"/>
      <c r="BC66" s="34"/>
      <c r="BD66" s="34"/>
      <c r="BE66" s="34"/>
      <c r="BF66" s="34"/>
      <c r="BG66" s="34"/>
      <c r="BH66" s="34"/>
      <c r="BI66" s="34"/>
      <c r="BJ66" s="34"/>
      <c r="BK66" s="34"/>
      <c r="BL66" s="34"/>
      <c r="BM66" s="34"/>
      <c r="BN66" s="34"/>
      <c r="BO66" s="34"/>
      <c r="BP66" s="34"/>
      <c r="BQ66" s="34"/>
      <c r="BR66" s="34"/>
      <c r="BS66" s="34"/>
      <c r="BT66" s="34"/>
      <c r="BU66" s="34"/>
      <c r="BV66" s="34"/>
      <c r="BW66" s="34"/>
    </row>
    <row r="67" spans="1:75" ht="15" thickBot="1">
      <c r="A67" s="173">
        <v>64</v>
      </c>
      <c r="B67" s="174" t="s">
        <v>479</v>
      </c>
      <c r="C67" s="169">
        <v>28</v>
      </c>
      <c r="D67" s="505"/>
      <c r="E67" s="505"/>
      <c r="F67" s="505"/>
      <c r="G67" s="505"/>
      <c r="H67" s="505"/>
      <c r="I67" s="505"/>
      <c r="J67" s="505"/>
      <c r="K67" s="505"/>
      <c r="L67" s="505"/>
      <c r="M67" s="505"/>
      <c r="N67" s="505"/>
      <c r="O67" s="505"/>
      <c r="P67" s="505"/>
      <c r="Q67" s="505"/>
      <c r="R67" s="505"/>
      <c r="S67" s="505"/>
      <c r="T67" s="505"/>
      <c r="U67" s="505"/>
      <c r="V67" s="505"/>
      <c r="W67" s="505"/>
      <c r="X67" s="505"/>
      <c r="Y67" s="505"/>
      <c r="Z67" s="505"/>
      <c r="AA67" s="505"/>
      <c r="AB67" s="505"/>
      <c r="AC67" s="505"/>
      <c r="AD67" s="505"/>
      <c r="AE67" s="505"/>
      <c r="AF67" s="505"/>
      <c r="AG67" s="505"/>
      <c r="AH67" s="505"/>
      <c r="AI67" s="505"/>
      <c r="AJ67" s="505"/>
      <c r="AK67" s="505"/>
      <c r="AL67" s="505"/>
      <c r="AM67" s="505"/>
      <c r="AN67" s="505"/>
      <c r="AO67" s="505"/>
      <c r="AP67" s="505"/>
      <c r="AQ67" s="505"/>
      <c r="AR67" s="505"/>
      <c r="AS67" s="505"/>
      <c r="AT67" s="505"/>
      <c r="AU67" s="505"/>
      <c r="AV67" s="505"/>
      <c r="AW67" s="505"/>
      <c r="AX67" s="505"/>
      <c r="AY67" s="505"/>
      <c r="AZ67" s="35">
        <f>SUM(AZ68:AZ74)</f>
        <v>12042000000</v>
      </c>
      <c r="BA67" s="35">
        <f t="shared" ref="BA67:BM67" si="31">SUM(BA68:BA74)</f>
        <v>10042000000</v>
      </c>
      <c r="BB67" s="35">
        <f t="shared" si="31"/>
        <v>30842000000</v>
      </c>
      <c r="BC67" s="35">
        <f t="shared" si="31"/>
        <v>30842000000</v>
      </c>
      <c r="BD67" s="35">
        <f t="shared" si="31"/>
        <v>30042000000</v>
      </c>
      <c r="BE67" s="35">
        <f t="shared" si="31"/>
        <v>30042000000</v>
      </c>
      <c r="BF67" s="35">
        <f t="shared" si="31"/>
        <v>29042000000</v>
      </c>
      <c r="BG67" s="35">
        <f t="shared" si="31"/>
        <v>29742000000</v>
      </c>
      <c r="BH67" s="35">
        <f t="shared" si="31"/>
        <v>29742000000</v>
      </c>
      <c r="BI67" s="35">
        <f t="shared" si="31"/>
        <v>62742000000</v>
      </c>
      <c r="BJ67" s="35">
        <f t="shared" si="31"/>
        <v>62742000000</v>
      </c>
      <c r="BK67" s="35">
        <f t="shared" si="31"/>
        <v>54242000000</v>
      </c>
      <c r="BL67" s="35">
        <f t="shared" si="31"/>
        <v>148242000000</v>
      </c>
      <c r="BM67" s="35">
        <f t="shared" si="31"/>
        <v>145242000000</v>
      </c>
      <c r="BN67" s="35">
        <f t="shared" ref="BN67:BP67" si="32">SUM(BN68:BN74)</f>
        <v>149442000000</v>
      </c>
      <c r="BO67" s="35">
        <f t="shared" si="32"/>
        <v>164042000000</v>
      </c>
      <c r="BP67" s="505">
        <f t="shared" si="32"/>
        <v>44640000000</v>
      </c>
      <c r="BQ67" s="35"/>
      <c r="BR67" s="35"/>
      <c r="BS67" s="35"/>
      <c r="BT67" s="35"/>
      <c r="BU67" s="35"/>
      <c r="BV67" s="35"/>
      <c r="BW67" s="35"/>
    </row>
    <row r="68" spans="1:75" ht="15" thickTop="1">
      <c r="A68" s="169">
        <v>65</v>
      </c>
      <c r="B68" s="170" t="str">
        <f t="shared" ref="B68:B73" si="33">B50</f>
        <v>ACB</v>
      </c>
      <c r="C68" s="169">
        <v>28</v>
      </c>
      <c r="D68" s="34"/>
      <c r="E68" s="34"/>
      <c r="F68" s="34"/>
      <c r="G68" s="34"/>
      <c r="H68" s="34"/>
      <c r="I68" s="34"/>
      <c r="J68" s="34"/>
      <c r="K68" s="34"/>
      <c r="L68" s="34"/>
      <c r="M68" s="34"/>
      <c r="N68" s="34"/>
      <c r="O68" s="34"/>
      <c r="P68" s="34"/>
      <c r="Q68" s="34"/>
      <c r="R68" s="34"/>
      <c r="S68" s="34"/>
      <c r="T68" s="34"/>
      <c r="U68" s="34"/>
      <c r="V68" s="34"/>
      <c r="W68" s="34"/>
      <c r="X68" s="34"/>
      <c r="Y68" s="34"/>
      <c r="Z68" s="34"/>
      <c r="AA68" s="34"/>
      <c r="AB68" s="34"/>
      <c r="AC68" s="34"/>
      <c r="AD68" s="34"/>
      <c r="AE68" s="34"/>
      <c r="AF68" s="34"/>
      <c r="AG68" s="34"/>
      <c r="AH68" s="34"/>
      <c r="AI68" s="34"/>
      <c r="AJ68" s="34"/>
      <c r="AK68" s="34"/>
      <c r="AL68" s="34"/>
      <c r="AM68" s="34"/>
      <c r="AN68" s="34"/>
      <c r="AO68" s="34"/>
      <c r="AP68" s="34"/>
      <c r="AQ68" s="34"/>
      <c r="AR68" s="34"/>
      <c r="AS68" s="34"/>
      <c r="AT68" s="34"/>
      <c r="AU68" s="34"/>
      <c r="AV68" s="34"/>
      <c r="AW68" s="34"/>
      <c r="AX68" s="34"/>
      <c r="AY68" s="34"/>
      <c r="AZ68" s="34">
        <v>12042000000</v>
      </c>
      <c r="BA68" s="34">
        <v>10042000000</v>
      </c>
      <c r="BB68" s="34">
        <v>10842000000</v>
      </c>
      <c r="BC68" s="34">
        <v>10842000000</v>
      </c>
      <c r="BD68" s="34">
        <v>10042000000</v>
      </c>
      <c r="BE68" s="34">
        <v>10042000000</v>
      </c>
      <c r="BF68" s="34">
        <v>9042000000</v>
      </c>
      <c r="BG68" s="34">
        <v>9742000000</v>
      </c>
      <c r="BH68" s="34">
        <v>9742000000</v>
      </c>
      <c r="BI68" s="34">
        <v>12742000000</v>
      </c>
      <c r="BJ68" s="34">
        <v>12742000000</v>
      </c>
      <c r="BK68" s="34">
        <v>24242000000</v>
      </c>
      <c r="BL68" s="34">
        <v>118242000000</v>
      </c>
      <c r="BM68" s="34">
        <v>115242000000</v>
      </c>
      <c r="BN68" s="34">
        <v>113242000000</v>
      </c>
      <c r="BO68" s="34">
        <v>116042000000</v>
      </c>
      <c r="BP68" s="34">
        <v>14640000000</v>
      </c>
      <c r="BQ68" s="34"/>
      <c r="BR68" s="34"/>
      <c r="BS68" s="34"/>
      <c r="BT68" s="34"/>
      <c r="BU68" s="34"/>
      <c r="BV68" s="34"/>
      <c r="BW68" s="34"/>
    </row>
    <row r="69" spans="1:75">
      <c r="A69" s="169">
        <v>66</v>
      </c>
      <c r="B69" s="170" t="str">
        <f t="shared" si="33"/>
        <v>VietinBank</v>
      </c>
      <c r="C69" s="169">
        <v>28</v>
      </c>
      <c r="D69" s="34"/>
      <c r="E69" s="34"/>
      <c r="F69" s="34"/>
      <c r="G69" s="34"/>
      <c r="H69" s="34"/>
      <c r="I69" s="34"/>
      <c r="J69" s="34"/>
      <c r="K69" s="34"/>
      <c r="L69" s="34"/>
      <c r="M69" s="34"/>
      <c r="N69" s="34"/>
      <c r="O69" s="34"/>
      <c r="P69" s="34"/>
      <c r="Q69" s="34"/>
      <c r="R69" s="34"/>
      <c r="S69" s="34"/>
      <c r="T69" s="34"/>
      <c r="U69" s="34"/>
      <c r="V69" s="34"/>
      <c r="W69" s="34"/>
      <c r="X69" s="34"/>
      <c r="Y69" s="34"/>
      <c r="Z69" s="34"/>
      <c r="AA69" s="34"/>
      <c r="AB69" s="34"/>
      <c r="AC69" s="34"/>
      <c r="AD69" s="34"/>
      <c r="AE69" s="34"/>
      <c r="AF69" s="34"/>
      <c r="AG69" s="34"/>
      <c r="AH69" s="34"/>
      <c r="AI69" s="34"/>
      <c r="AJ69" s="34"/>
      <c r="AK69" s="34"/>
      <c r="AL69" s="34"/>
      <c r="AM69" s="34"/>
      <c r="AN69" s="34"/>
      <c r="AO69" s="34"/>
      <c r="AP69" s="34"/>
      <c r="AQ69" s="34"/>
      <c r="AR69" s="34"/>
      <c r="AS69" s="34"/>
      <c r="AT69" s="34"/>
      <c r="AU69" s="34"/>
      <c r="AV69" s="34"/>
      <c r="AW69" s="34"/>
      <c r="AX69" s="34"/>
      <c r="AY69" s="34"/>
      <c r="AZ69" s="34"/>
      <c r="BA69" s="34"/>
      <c r="BB69" s="34"/>
      <c r="BC69" s="34"/>
      <c r="BD69" s="34"/>
      <c r="BE69" s="34"/>
      <c r="BF69" s="34"/>
      <c r="BG69" s="34"/>
      <c r="BH69" s="34"/>
      <c r="BI69" s="34"/>
      <c r="BJ69" s="34"/>
      <c r="BK69" s="34"/>
      <c r="BL69" s="34"/>
      <c r="BM69" s="34"/>
      <c r="BN69" s="34"/>
      <c r="BO69" s="34"/>
      <c r="BP69" s="34"/>
      <c r="BQ69" s="34"/>
      <c r="BR69" s="34"/>
      <c r="BS69" s="34"/>
      <c r="BT69" s="34"/>
      <c r="BU69" s="34"/>
      <c r="BV69" s="34"/>
      <c r="BW69" s="34"/>
    </row>
    <row r="70" spans="1:75">
      <c r="A70" s="169">
        <v>67</v>
      </c>
      <c r="B70" s="170" t="str">
        <f t="shared" si="33"/>
        <v>Vietcombank</v>
      </c>
      <c r="C70" s="169">
        <v>28</v>
      </c>
      <c r="D70" s="34"/>
      <c r="E70" s="34"/>
      <c r="F70" s="34"/>
      <c r="G70" s="34"/>
      <c r="H70" s="34"/>
      <c r="I70" s="34"/>
      <c r="J70" s="34"/>
      <c r="K70" s="34"/>
      <c r="L70" s="34"/>
      <c r="M70" s="34"/>
      <c r="N70" s="34"/>
      <c r="O70" s="34"/>
      <c r="P70" s="34"/>
      <c r="Q70" s="34"/>
      <c r="R70" s="34"/>
      <c r="S70" s="34"/>
      <c r="T70" s="34"/>
      <c r="U70" s="34"/>
      <c r="V70" s="34"/>
      <c r="W70" s="34"/>
      <c r="X70" s="34"/>
      <c r="Y70" s="34"/>
      <c r="Z70" s="34"/>
      <c r="AA70" s="34"/>
      <c r="AB70" s="34"/>
      <c r="AC70" s="34"/>
      <c r="AD70" s="34"/>
      <c r="AE70" s="34"/>
      <c r="AF70" s="34"/>
      <c r="AG70" s="34"/>
      <c r="AH70" s="34"/>
      <c r="AI70" s="34"/>
      <c r="AJ70" s="34"/>
      <c r="AK70" s="34"/>
      <c r="AL70" s="34"/>
      <c r="AM70" s="34"/>
      <c r="AN70" s="34"/>
      <c r="AO70" s="34"/>
      <c r="AP70" s="34"/>
      <c r="AQ70" s="34"/>
      <c r="AR70" s="34"/>
      <c r="AS70" s="34"/>
      <c r="AT70" s="34"/>
      <c r="AU70" s="34"/>
      <c r="AV70" s="34"/>
      <c r="AW70" s="34"/>
      <c r="AX70" s="34"/>
      <c r="AY70" s="34"/>
      <c r="AZ70" s="34"/>
      <c r="BA70" s="34"/>
      <c r="BB70" s="34"/>
      <c r="BC70" s="34"/>
      <c r="BD70" s="34"/>
      <c r="BE70" s="34"/>
      <c r="BF70" s="34"/>
      <c r="BG70" s="34"/>
      <c r="BH70" s="34"/>
      <c r="BI70" s="34"/>
      <c r="BJ70" s="34"/>
      <c r="BK70" s="34"/>
      <c r="BL70" s="34"/>
      <c r="BM70" s="34"/>
      <c r="BN70" s="34"/>
      <c r="BO70" s="34"/>
      <c r="BP70" s="34"/>
      <c r="BQ70" s="34"/>
      <c r="BR70" s="34"/>
      <c r="BS70" s="34"/>
      <c r="BT70" s="34"/>
      <c r="BU70" s="34"/>
      <c r="BV70" s="34"/>
      <c r="BW70" s="34"/>
    </row>
    <row r="71" spans="1:75">
      <c r="A71" s="169">
        <v>68</v>
      </c>
      <c r="B71" s="170" t="str">
        <f t="shared" si="33"/>
        <v>BIDV</v>
      </c>
      <c r="C71" s="169">
        <v>28</v>
      </c>
      <c r="D71" s="34"/>
      <c r="E71" s="34"/>
      <c r="F71" s="34"/>
      <c r="G71" s="34"/>
      <c r="H71" s="34"/>
      <c r="I71" s="34"/>
      <c r="J71" s="34"/>
      <c r="K71" s="34"/>
      <c r="L71" s="34"/>
      <c r="M71" s="34"/>
      <c r="N71" s="34"/>
      <c r="O71" s="34"/>
      <c r="P71" s="34"/>
      <c r="Q71" s="34"/>
      <c r="R71" s="34"/>
      <c r="S71" s="34"/>
      <c r="T71" s="34"/>
      <c r="U71" s="34"/>
      <c r="V71" s="34"/>
      <c r="W71" s="34"/>
      <c r="X71" s="34"/>
      <c r="Y71" s="34"/>
      <c r="Z71" s="34"/>
      <c r="AA71" s="34"/>
      <c r="AB71" s="34"/>
      <c r="AC71" s="34"/>
      <c r="AD71" s="34"/>
      <c r="AE71" s="34"/>
      <c r="AF71" s="34"/>
      <c r="AG71" s="34"/>
      <c r="AH71" s="34"/>
      <c r="AI71" s="34"/>
      <c r="AJ71" s="34"/>
      <c r="AK71" s="34"/>
      <c r="AL71" s="34"/>
      <c r="AM71" s="34"/>
      <c r="AN71" s="34"/>
      <c r="AO71" s="34"/>
      <c r="AP71" s="34"/>
      <c r="AQ71" s="34"/>
      <c r="AR71" s="34"/>
      <c r="AS71" s="34"/>
      <c r="AT71" s="34"/>
      <c r="AU71" s="34"/>
      <c r="AV71" s="34"/>
      <c r="AW71" s="34"/>
      <c r="AX71" s="34"/>
      <c r="AY71" s="34"/>
      <c r="AZ71" s="34"/>
      <c r="BA71" s="34"/>
      <c r="BB71" s="34">
        <v>20000000000</v>
      </c>
      <c r="BC71" s="34">
        <v>20000000000</v>
      </c>
      <c r="BD71" s="34">
        <v>20000000000</v>
      </c>
      <c r="BE71" s="34">
        <v>20000000000</v>
      </c>
      <c r="BF71" s="34">
        <v>20000000000</v>
      </c>
      <c r="BG71" s="34">
        <v>20000000000</v>
      </c>
      <c r="BH71" s="34">
        <v>20000000000</v>
      </c>
      <c r="BI71" s="34">
        <v>50000000000</v>
      </c>
      <c r="BJ71" s="34">
        <v>50000000000</v>
      </c>
      <c r="BK71" s="34">
        <v>30000000000</v>
      </c>
      <c r="BL71" s="34">
        <v>30000000000</v>
      </c>
      <c r="BM71" s="34">
        <v>30000000000</v>
      </c>
      <c r="BN71" s="34">
        <v>36200000000</v>
      </c>
      <c r="BO71" s="34">
        <v>48000000000</v>
      </c>
      <c r="BP71" s="34">
        <v>30000000000</v>
      </c>
      <c r="BQ71" s="34"/>
      <c r="BR71" s="34"/>
      <c r="BS71" s="34"/>
      <c r="BT71" s="34"/>
      <c r="BU71" s="34"/>
      <c r="BV71" s="34"/>
      <c r="BW71" s="34"/>
    </row>
    <row r="72" spans="1:75">
      <c r="A72" s="169">
        <v>69</v>
      </c>
      <c r="B72" s="170" t="str">
        <f t="shared" si="33"/>
        <v>Standard Chartered</v>
      </c>
      <c r="C72" s="169">
        <v>28</v>
      </c>
      <c r="D72" s="34"/>
      <c r="E72" s="34"/>
      <c r="F72" s="34"/>
      <c r="G72" s="34"/>
      <c r="H72" s="34"/>
      <c r="I72" s="34"/>
      <c r="J72" s="34"/>
      <c r="K72" s="34"/>
      <c r="L72" s="34"/>
      <c r="M72" s="34"/>
      <c r="N72" s="34"/>
      <c r="O72" s="34"/>
      <c r="P72" s="34"/>
      <c r="Q72" s="34"/>
      <c r="R72" s="34"/>
      <c r="S72" s="34"/>
      <c r="T72" s="34"/>
      <c r="U72" s="34"/>
      <c r="V72" s="34"/>
      <c r="W72" s="34"/>
      <c r="X72" s="34"/>
      <c r="Y72" s="34"/>
      <c r="Z72" s="34"/>
      <c r="AA72" s="34"/>
      <c r="AB72" s="34"/>
      <c r="AC72" s="34"/>
      <c r="AD72" s="34"/>
      <c r="AE72" s="34"/>
      <c r="AF72" s="34"/>
      <c r="AG72" s="34"/>
      <c r="AH72" s="34"/>
      <c r="AI72" s="34"/>
      <c r="AJ72" s="34"/>
      <c r="AK72" s="34"/>
      <c r="AL72" s="34"/>
      <c r="AM72" s="34"/>
      <c r="AN72" s="34"/>
      <c r="AO72" s="34"/>
      <c r="AP72" s="34"/>
      <c r="AQ72" s="34"/>
      <c r="AR72" s="34"/>
      <c r="AS72" s="34"/>
      <c r="AT72" s="34"/>
      <c r="AU72" s="34"/>
      <c r="AV72" s="34"/>
      <c r="AW72" s="34"/>
      <c r="AX72" s="34"/>
      <c r="AY72" s="34"/>
      <c r="AZ72" s="34"/>
      <c r="BA72" s="34"/>
      <c r="BB72" s="34"/>
      <c r="BC72" s="34"/>
      <c r="BD72" s="34"/>
      <c r="BE72" s="34"/>
      <c r="BF72" s="34"/>
      <c r="BG72" s="34"/>
      <c r="BH72" s="34"/>
      <c r="BI72" s="34"/>
      <c r="BJ72" s="34"/>
      <c r="BK72" s="34"/>
      <c r="BL72" s="34"/>
      <c r="BM72" s="34"/>
      <c r="BN72" s="34"/>
      <c r="BO72" s="34"/>
      <c r="BP72" s="34"/>
      <c r="BQ72" s="34"/>
      <c r="BR72" s="34"/>
      <c r="BS72" s="34"/>
      <c r="BT72" s="34"/>
      <c r="BU72" s="34"/>
      <c r="BV72" s="34"/>
      <c r="BW72" s="34"/>
    </row>
    <row r="73" spans="1:75">
      <c r="A73" s="169">
        <v>70</v>
      </c>
      <c r="B73" s="170" t="str">
        <f t="shared" si="33"/>
        <v>VILC</v>
      </c>
      <c r="C73" s="169">
        <v>28</v>
      </c>
      <c r="D73" s="34"/>
      <c r="E73" s="34"/>
      <c r="F73" s="34"/>
      <c r="G73" s="34"/>
      <c r="H73" s="34"/>
      <c r="I73" s="34"/>
      <c r="J73" s="34"/>
      <c r="K73" s="34"/>
      <c r="L73" s="34"/>
      <c r="M73" s="34"/>
      <c r="N73" s="34"/>
      <c r="O73" s="34"/>
      <c r="P73" s="34"/>
      <c r="Q73" s="34"/>
      <c r="R73" s="34"/>
      <c r="S73" s="34"/>
      <c r="T73" s="34"/>
      <c r="U73" s="34"/>
      <c r="V73" s="34"/>
      <c r="W73" s="34"/>
      <c r="X73" s="34"/>
      <c r="Y73" s="34"/>
      <c r="Z73" s="34"/>
      <c r="AA73" s="34"/>
      <c r="AB73" s="34"/>
      <c r="AC73" s="34"/>
      <c r="AD73" s="34"/>
      <c r="AE73" s="34"/>
      <c r="AF73" s="34"/>
      <c r="AG73" s="34"/>
      <c r="AH73" s="34"/>
      <c r="AI73" s="34"/>
      <c r="AJ73" s="34"/>
      <c r="AK73" s="34"/>
      <c r="AL73" s="34"/>
      <c r="AM73" s="34"/>
      <c r="AN73" s="34"/>
      <c r="AO73" s="34"/>
      <c r="AP73" s="34"/>
      <c r="AQ73" s="34"/>
      <c r="AR73" s="34"/>
      <c r="AS73" s="34"/>
      <c r="AT73" s="34"/>
      <c r="AU73" s="34"/>
      <c r="AV73" s="34"/>
      <c r="AW73" s="34"/>
      <c r="AX73" s="34"/>
      <c r="AY73" s="34"/>
      <c r="AZ73" s="34"/>
      <c r="BA73" s="34"/>
      <c r="BB73" s="34"/>
      <c r="BC73" s="34"/>
      <c r="BD73" s="34"/>
      <c r="BE73" s="34"/>
      <c r="BF73" s="34"/>
      <c r="BG73" s="34"/>
      <c r="BH73" s="34"/>
      <c r="BI73" s="34"/>
      <c r="BJ73" s="34"/>
      <c r="BK73" s="34"/>
      <c r="BL73" s="34"/>
      <c r="BM73" s="34"/>
      <c r="BN73" s="34"/>
      <c r="BO73" s="34"/>
      <c r="BP73" s="34"/>
      <c r="BQ73" s="34"/>
      <c r="BR73" s="34"/>
      <c r="BS73" s="34"/>
      <c r="BT73" s="34"/>
      <c r="BU73" s="34"/>
      <c r="BV73" s="34"/>
      <c r="BW73" s="34"/>
    </row>
    <row r="74" spans="1:75">
      <c r="A74" s="169">
        <v>71</v>
      </c>
      <c r="B74" s="170" t="s">
        <v>472</v>
      </c>
      <c r="C74" s="169">
        <v>28</v>
      </c>
      <c r="D74" s="34"/>
      <c r="E74" s="34"/>
      <c r="F74" s="34"/>
      <c r="G74" s="34"/>
      <c r="H74" s="34"/>
      <c r="I74" s="34"/>
      <c r="J74" s="34"/>
      <c r="K74" s="34"/>
      <c r="L74" s="34"/>
      <c r="M74" s="34"/>
      <c r="N74" s="34"/>
      <c r="O74" s="34"/>
      <c r="P74" s="34"/>
      <c r="Q74" s="34"/>
      <c r="R74" s="34"/>
      <c r="S74" s="34"/>
      <c r="T74" s="34"/>
      <c r="U74" s="34"/>
      <c r="V74" s="34"/>
      <c r="W74" s="34"/>
      <c r="X74" s="34"/>
      <c r="Y74" s="34"/>
      <c r="Z74" s="34"/>
      <c r="AA74" s="34"/>
      <c r="AB74" s="34"/>
      <c r="AC74" s="34"/>
      <c r="AD74" s="34"/>
      <c r="AE74" s="34"/>
      <c r="AF74" s="34"/>
      <c r="AG74" s="34"/>
      <c r="AH74" s="34"/>
      <c r="AI74" s="34"/>
      <c r="AJ74" s="34"/>
      <c r="AK74" s="34"/>
      <c r="AL74" s="34"/>
      <c r="AM74" s="34"/>
      <c r="AN74" s="34"/>
      <c r="AO74" s="34"/>
      <c r="AP74" s="34"/>
      <c r="AQ74" s="34"/>
      <c r="AR74" s="34"/>
      <c r="AS74" s="34"/>
      <c r="AT74" s="34"/>
      <c r="AU74" s="34"/>
      <c r="AV74" s="34"/>
      <c r="AW74" s="34"/>
      <c r="AX74" s="34"/>
      <c r="AY74" s="34"/>
      <c r="AZ74" s="34"/>
      <c r="BA74" s="34"/>
      <c r="BB74" s="34"/>
      <c r="BC74" s="34"/>
      <c r="BD74" s="34"/>
      <c r="BE74" s="34"/>
      <c r="BF74" s="34"/>
      <c r="BG74" s="34"/>
      <c r="BH74" s="34"/>
      <c r="BI74" s="34"/>
      <c r="BJ74" s="34"/>
      <c r="BK74" s="34"/>
      <c r="BL74" s="34"/>
      <c r="BM74" s="34"/>
      <c r="BN74" s="34"/>
      <c r="BO74" s="34"/>
      <c r="BP74" s="34"/>
      <c r="BQ74" s="34"/>
      <c r="BR74" s="34"/>
      <c r="BS74" s="34"/>
      <c r="BT74" s="34"/>
      <c r="BU74" s="34"/>
      <c r="BV74" s="34"/>
      <c r="BW74" s="34"/>
    </row>
  </sheetData>
  <protectedRanges>
    <protectedRange sqref="D4:BO4 D12:BO74 D5:BO11 BQ5:BW11 BQ4:BW4 BQ12:BW74" name="Loan"/>
    <protectedRange sqref="BP4:BP74" name="Loan_2"/>
  </protectedRanges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4E7293-9F43-4F19-BE52-95EEB643BCBE}">
  <sheetPr>
    <tabColor theme="9" tint="0.59999389629810485"/>
  </sheetPr>
  <dimension ref="A1:T483"/>
  <sheetViews>
    <sheetView showGridLines="0" zoomScale="85" zoomScaleNormal="85" workbookViewId="0">
      <pane xSplit="5" ySplit="6" topLeftCell="F7" activePane="bottomRight" state="frozen"/>
      <selection pane="topRight" activeCell="D8" sqref="D8:E8"/>
      <selection pane="bottomLeft" activeCell="D8" sqref="D8:E8"/>
      <selection pane="bottomRight" activeCell="G491" sqref="G491"/>
    </sheetView>
  </sheetViews>
  <sheetFormatPr defaultColWidth="8.6328125" defaultRowHeight="13"/>
  <cols>
    <col min="1" max="1" width="3.453125" style="361" customWidth="1"/>
    <col min="2" max="2" width="49.90625" style="359" customWidth="1"/>
    <col min="3" max="3" width="12.08984375" style="359" bestFit="1" customWidth="1"/>
    <col min="4" max="4" width="25" style="359" bestFit="1" customWidth="1"/>
    <col min="5" max="5" width="7.90625" style="359" customWidth="1"/>
    <col min="6" max="6" width="17.54296875" style="360" bestFit="1" customWidth="1"/>
    <col min="7" max="17" width="11.453125" style="359" customWidth="1"/>
    <col min="18" max="18" width="17.54296875" style="360" bestFit="1" customWidth="1"/>
    <col min="19" max="19" width="16.36328125" style="359" customWidth="1"/>
    <col min="20" max="20" width="11.36328125" style="359" bestFit="1" customWidth="1"/>
    <col min="21" max="16384" width="8.6328125" style="359"/>
  </cols>
  <sheetData>
    <row r="1" spans="1:18">
      <c r="A1" s="358" t="str">
        <f>'Thong tin'!$A$1</f>
        <v>CÔNG TY CP NHỰA TÁI CHẾ DUY TÂN</v>
      </c>
    </row>
    <row r="2" spans="1:18" ht="13.4" customHeight="1">
      <c r="B2" s="362" t="s">
        <v>480</v>
      </c>
      <c r="C2" s="362"/>
      <c r="D2" s="362"/>
      <c r="E2" s="362"/>
    </row>
    <row r="4" spans="1:18">
      <c r="A4" s="363" t="s">
        <v>481</v>
      </c>
      <c r="B4" s="364" t="s">
        <v>482</v>
      </c>
      <c r="C4" s="364"/>
      <c r="D4" s="365"/>
      <c r="E4" s="365"/>
    </row>
    <row r="5" spans="1:18">
      <c r="F5" s="366" t="s">
        <v>483</v>
      </c>
      <c r="G5" s="367"/>
      <c r="H5" s="367"/>
      <c r="I5" s="367"/>
      <c r="J5" s="367"/>
      <c r="K5" s="367"/>
      <c r="L5" s="367"/>
      <c r="M5" s="367"/>
      <c r="N5" s="367"/>
      <c r="O5" s="367"/>
      <c r="P5" s="367"/>
      <c r="Q5" s="367"/>
      <c r="R5" s="368"/>
    </row>
    <row r="6" spans="1:18" s="374" customFormat="1" ht="26.25" customHeight="1">
      <c r="A6" s="369"/>
      <c r="B6" s="370" t="s">
        <v>484</v>
      </c>
      <c r="C6" s="370" t="s">
        <v>485</v>
      </c>
      <c r="D6" s="370" t="s">
        <v>486</v>
      </c>
      <c r="E6" s="371" t="s">
        <v>487</v>
      </c>
      <c r="F6" s="372" t="s">
        <v>488</v>
      </c>
      <c r="G6" s="372" t="s">
        <v>489</v>
      </c>
      <c r="H6" s="372" t="s">
        <v>490</v>
      </c>
      <c r="I6" s="372" t="s">
        <v>491</v>
      </c>
      <c r="J6" s="372" t="s">
        <v>492</v>
      </c>
      <c r="K6" s="372" t="s">
        <v>493</v>
      </c>
      <c r="L6" s="372" t="s">
        <v>494</v>
      </c>
      <c r="M6" s="372" t="s">
        <v>495</v>
      </c>
      <c r="N6" s="372" t="s">
        <v>496</v>
      </c>
      <c r="O6" s="372" t="s">
        <v>497</v>
      </c>
      <c r="P6" s="372" t="s">
        <v>498</v>
      </c>
      <c r="Q6" s="372" t="s">
        <v>499</v>
      </c>
      <c r="R6" s="373" t="s">
        <v>500</v>
      </c>
    </row>
    <row r="7" spans="1:18" s="374" customFormat="1">
      <c r="A7" s="375" t="s">
        <v>501</v>
      </c>
      <c r="B7" s="376" t="s">
        <v>502</v>
      </c>
      <c r="C7" s="376"/>
      <c r="D7" s="370"/>
      <c r="E7" s="377"/>
      <c r="F7" s="378"/>
      <c r="G7" s="378"/>
      <c r="H7" s="378"/>
      <c r="I7" s="378"/>
      <c r="J7" s="378"/>
      <c r="K7" s="378"/>
      <c r="L7" s="378"/>
      <c r="M7" s="378"/>
      <c r="N7" s="378"/>
      <c r="O7" s="378"/>
      <c r="P7" s="378"/>
      <c r="Q7" s="378"/>
      <c r="R7" s="379"/>
    </row>
    <row r="8" spans="1:18" ht="12.5">
      <c r="A8" s="380">
        <v>1</v>
      </c>
      <c r="B8" s="381" t="s">
        <v>503</v>
      </c>
      <c r="C8" s="381" t="s">
        <v>504</v>
      </c>
      <c r="D8" s="382" t="s">
        <v>505</v>
      </c>
      <c r="E8" s="383">
        <v>511</v>
      </c>
      <c r="F8" s="384"/>
      <c r="G8" s="384"/>
      <c r="H8" s="384"/>
      <c r="I8" s="384"/>
      <c r="J8" s="385"/>
      <c r="K8" s="384"/>
      <c r="L8" s="384"/>
      <c r="M8" s="384"/>
      <c r="N8" s="384"/>
      <c r="O8" s="384"/>
      <c r="P8" s="384"/>
      <c r="Q8" s="384"/>
      <c r="R8" s="386">
        <f>SUM(F8:Q8)</f>
        <v>0</v>
      </c>
    </row>
    <row r="9" spans="1:18" ht="12.5">
      <c r="A9" s="387"/>
      <c r="B9" s="388"/>
      <c r="C9" s="388"/>
      <c r="D9" s="389" t="s">
        <v>506</v>
      </c>
      <c r="E9" s="390">
        <v>511</v>
      </c>
      <c r="F9" s="384"/>
      <c r="G9" s="384"/>
      <c r="H9" s="384"/>
      <c r="I9" s="384"/>
      <c r="J9" s="384"/>
      <c r="K9" s="384"/>
      <c r="L9" s="384"/>
      <c r="M9" s="384"/>
      <c r="N9" s="384"/>
      <c r="O9" s="384"/>
      <c r="P9" s="384"/>
      <c r="Q9" s="384"/>
      <c r="R9" s="386">
        <f t="shared" ref="R9:R80" si="0">SUM(F9:Q9)</f>
        <v>0</v>
      </c>
    </row>
    <row r="10" spans="1:18" ht="12.5">
      <c r="A10" s="387"/>
      <c r="B10" s="388"/>
      <c r="C10" s="391"/>
      <c r="D10" s="391" t="s">
        <v>507</v>
      </c>
      <c r="E10" s="392">
        <v>711</v>
      </c>
      <c r="F10" s="384"/>
      <c r="G10" s="384"/>
      <c r="H10" s="384"/>
      <c r="I10" s="384"/>
      <c r="J10" s="384"/>
      <c r="K10" s="384"/>
      <c r="L10" s="384"/>
      <c r="M10" s="384"/>
      <c r="N10" s="384"/>
      <c r="O10" s="384"/>
      <c r="P10" s="384"/>
      <c r="Q10" s="384"/>
      <c r="R10" s="386">
        <f t="shared" si="0"/>
        <v>0</v>
      </c>
    </row>
    <row r="11" spans="1:18" ht="12.5">
      <c r="A11" s="393"/>
      <c r="B11" s="388"/>
      <c r="C11" s="388"/>
      <c r="D11" s="388" t="s">
        <v>508</v>
      </c>
      <c r="E11" s="392">
        <v>515</v>
      </c>
      <c r="F11" s="384"/>
      <c r="G11" s="384"/>
      <c r="H11" s="384"/>
      <c r="I11" s="384"/>
      <c r="J11" s="384"/>
      <c r="K11" s="384"/>
      <c r="L11" s="384"/>
      <c r="M11" s="384"/>
      <c r="N11" s="384"/>
      <c r="O11" s="384"/>
      <c r="P11" s="384"/>
      <c r="Q11" s="384"/>
      <c r="R11" s="386">
        <f t="shared" si="0"/>
        <v>0</v>
      </c>
    </row>
    <row r="12" spans="1:18" ht="12.5">
      <c r="A12" s="393"/>
      <c r="B12" s="388"/>
      <c r="C12" s="388"/>
      <c r="D12" s="388" t="s">
        <v>509</v>
      </c>
      <c r="E12" s="392">
        <v>112</v>
      </c>
      <c r="F12" s="384"/>
      <c r="G12" s="384"/>
      <c r="H12" s="384"/>
      <c r="I12" s="384"/>
      <c r="J12" s="384"/>
      <c r="K12" s="384"/>
      <c r="L12" s="384"/>
      <c r="M12" s="384"/>
      <c r="N12" s="384"/>
      <c r="O12" s="384"/>
      <c r="P12" s="384"/>
      <c r="Q12" s="384"/>
      <c r="R12" s="386">
        <f t="shared" si="0"/>
        <v>0</v>
      </c>
    </row>
    <row r="13" spans="1:18" ht="12.5">
      <c r="A13" s="393"/>
      <c r="B13" s="388"/>
      <c r="C13" s="388"/>
      <c r="D13" s="394" t="s">
        <v>510</v>
      </c>
      <c r="E13" s="395">
        <v>511</v>
      </c>
      <c r="F13" s="384"/>
      <c r="G13" s="384"/>
      <c r="H13" s="384"/>
      <c r="I13" s="384"/>
      <c r="J13" s="384"/>
      <c r="K13" s="384"/>
      <c r="L13" s="384"/>
      <c r="M13" s="384"/>
      <c r="N13" s="384"/>
      <c r="O13" s="384"/>
      <c r="P13" s="384"/>
      <c r="Q13" s="384"/>
      <c r="R13" s="386">
        <f t="shared" si="0"/>
        <v>0</v>
      </c>
    </row>
    <row r="14" spans="1:18" ht="12.5">
      <c r="A14" s="396"/>
      <c r="B14" s="397"/>
      <c r="C14" s="436"/>
      <c r="D14" s="398" t="s">
        <v>511</v>
      </c>
      <c r="E14" s="399" t="s">
        <v>512</v>
      </c>
      <c r="F14" s="400"/>
      <c r="G14" s="400"/>
      <c r="H14" s="400"/>
      <c r="I14" s="400"/>
      <c r="J14" s="400"/>
      <c r="K14" s="400"/>
      <c r="L14" s="400"/>
      <c r="M14" s="400"/>
      <c r="N14" s="400"/>
      <c r="O14" s="400"/>
      <c r="P14" s="400"/>
      <c r="Q14" s="400"/>
      <c r="R14" s="401">
        <f t="shared" si="0"/>
        <v>0</v>
      </c>
    </row>
    <row r="15" spans="1:18" ht="12.5">
      <c r="A15" s="535">
        <v>2</v>
      </c>
      <c r="B15" s="536" t="s">
        <v>513</v>
      </c>
      <c r="C15" s="536" t="s">
        <v>514</v>
      </c>
      <c r="D15" s="537" t="s">
        <v>505</v>
      </c>
      <c r="E15" s="538">
        <v>511</v>
      </c>
      <c r="F15" s="384"/>
      <c r="G15" s="384"/>
      <c r="H15" s="384"/>
      <c r="I15" s="384"/>
      <c r="J15" s="385"/>
      <c r="K15" s="384"/>
      <c r="L15" s="384"/>
      <c r="M15" s="384"/>
      <c r="N15" s="384"/>
      <c r="O15" s="384"/>
      <c r="P15" s="384"/>
      <c r="Q15" s="384"/>
      <c r="R15" s="386">
        <f t="shared" si="0"/>
        <v>0</v>
      </c>
    </row>
    <row r="16" spans="1:18" ht="12.5">
      <c r="A16" s="380"/>
      <c r="B16" s="402"/>
      <c r="C16" s="402"/>
      <c r="D16" s="394" t="s">
        <v>515</v>
      </c>
      <c r="E16" s="390">
        <v>511</v>
      </c>
      <c r="F16" s="403"/>
      <c r="G16" s="404"/>
      <c r="H16" s="404"/>
      <c r="I16" s="404"/>
      <c r="J16" s="404"/>
      <c r="K16" s="404"/>
      <c r="L16" s="404"/>
      <c r="M16" s="404"/>
      <c r="N16" s="404"/>
      <c r="O16" s="404"/>
      <c r="P16" s="404"/>
      <c r="Q16" s="404"/>
      <c r="R16" s="386">
        <f t="shared" si="0"/>
        <v>0</v>
      </c>
    </row>
    <row r="17" spans="1:18" ht="12.5">
      <c r="A17" s="380"/>
      <c r="B17" s="402"/>
      <c r="C17" s="402"/>
      <c r="D17" s="394" t="s">
        <v>506</v>
      </c>
      <c r="E17" s="390">
        <v>511</v>
      </c>
      <c r="F17" s="404"/>
      <c r="G17" s="404"/>
      <c r="H17" s="404"/>
      <c r="I17" s="404"/>
      <c r="J17" s="404"/>
      <c r="K17" s="404"/>
      <c r="L17" s="404"/>
      <c r="M17" s="404"/>
      <c r="N17" s="404"/>
      <c r="O17" s="404"/>
      <c r="P17" s="404"/>
      <c r="Q17" s="404"/>
      <c r="R17" s="386">
        <f t="shared" si="0"/>
        <v>0</v>
      </c>
    </row>
    <row r="18" spans="1:18" ht="12.5">
      <c r="A18" s="405"/>
      <c r="B18" s="402"/>
      <c r="C18" s="402"/>
      <c r="D18" s="394" t="s">
        <v>516</v>
      </c>
      <c r="E18" s="395">
        <v>511</v>
      </c>
      <c r="F18" s="404"/>
      <c r="G18" s="404"/>
      <c r="H18" s="404"/>
      <c r="I18" s="404"/>
      <c r="J18" s="404"/>
      <c r="K18" s="404"/>
      <c r="L18" s="404"/>
      <c r="M18" s="404"/>
      <c r="N18" s="404"/>
      <c r="O18" s="404"/>
      <c r="P18" s="404"/>
      <c r="Q18" s="404"/>
      <c r="R18" s="386">
        <f t="shared" si="0"/>
        <v>0</v>
      </c>
    </row>
    <row r="19" spans="1:18" ht="12.5">
      <c r="A19" s="405"/>
      <c r="B19" s="402"/>
      <c r="C19" s="402"/>
      <c r="D19" s="394" t="s">
        <v>517</v>
      </c>
      <c r="E19" s="395">
        <v>511</v>
      </c>
      <c r="F19" s="404"/>
      <c r="G19" s="404"/>
      <c r="H19" s="404"/>
      <c r="I19" s="404"/>
      <c r="J19" s="404"/>
      <c r="K19" s="404"/>
      <c r="L19" s="404"/>
      <c r="M19" s="404"/>
      <c r="N19" s="404"/>
      <c r="O19" s="404"/>
      <c r="P19" s="404"/>
      <c r="Q19" s="404"/>
      <c r="R19" s="386">
        <f t="shared" si="0"/>
        <v>0</v>
      </c>
    </row>
    <row r="20" spans="1:18" ht="12.5">
      <c r="A20" s="405"/>
      <c r="B20" s="402"/>
      <c r="C20" s="402"/>
      <c r="D20" s="394" t="s">
        <v>507</v>
      </c>
      <c r="E20" s="395">
        <v>711</v>
      </c>
      <c r="F20" s="404"/>
      <c r="G20" s="404"/>
      <c r="H20" s="404"/>
      <c r="I20" s="404"/>
      <c r="J20" s="404"/>
      <c r="K20" s="404"/>
      <c r="L20" s="404"/>
      <c r="M20" s="404"/>
      <c r="N20" s="404"/>
      <c r="O20" s="404"/>
      <c r="P20" s="404"/>
      <c r="Q20" s="404"/>
      <c r="R20" s="386">
        <f t="shared" si="0"/>
        <v>0</v>
      </c>
    </row>
    <row r="21" spans="1:18" ht="12.5">
      <c r="A21" s="405"/>
      <c r="B21" s="402"/>
      <c r="C21" s="493"/>
      <c r="D21" s="406" t="s">
        <v>518</v>
      </c>
      <c r="E21" s="390">
        <v>511</v>
      </c>
      <c r="F21" s="404"/>
      <c r="G21" s="404"/>
      <c r="H21" s="404"/>
      <c r="I21" s="404"/>
      <c r="J21" s="404"/>
      <c r="K21" s="404"/>
      <c r="L21" s="404"/>
      <c r="M21" s="404"/>
      <c r="N21" s="404"/>
      <c r="O21" s="404"/>
      <c r="P21" s="404"/>
      <c r="Q21" s="404"/>
      <c r="R21" s="386">
        <f t="shared" si="0"/>
        <v>0</v>
      </c>
    </row>
    <row r="22" spans="1:18" ht="12.5">
      <c r="A22" s="407"/>
      <c r="B22" s="408"/>
      <c r="C22" s="494"/>
      <c r="D22" s="409" t="s">
        <v>511</v>
      </c>
      <c r="E22" s="399" t="s">
        <v>512</v>
      </c>
      <c r="F22" s="410"/>
      <c r="G22" s="410"/>
      <c r="H22" s="410"/>
      <c r="I22" s="410"/>
      <c r="J22" s="410"/>
      <c r="K22" s="410"/>
      <c r="L22" s="410"/>
      <c r="M22" s="410"/>
      <c r="N22" s="410"/>
      <c r="O22" s="410"/>
      <c r="P22" s="410"/>
      <c r="Q22" s="410"/>
      <c r="R22" s="411">
        <f t="shared" si="0"/>
        <v>0</v>
      </c>
    </row>
    <row r="23" spans="1:18" ht="12.5">
      <c r="A23" s="535">
        <v>3</v>
      </c>
      <c r="B23" s="536" t="s">
        <v>519</v>
      </c>
      <c r="C23" s="536" t="s">
        <v>520</v>
      </c>
      <c r="D23" s="537" t="s">
        <v>505</v>
      </c>
      <c r="E23" s="538">
        <v>511</v>
      </c>
      <c r="F23" s="539"/>
      <c r="G23" s="539"/>
      <c r="H23" s="539"/>
      <c r="I23" s="539"/>
      <c r="J23" s="539"/>
      <c r="K23" s="539"/>
      <c r="L23" s="539"/>
      <c r="M23" s="539"/>
      <c r="N23" s="539"/>
      <c r="O23" s="539"/>
      <c r="P23" s="539"/>
      <c r="Q23" s="539"/>
      <c r="R23" s="540">
        <f t="shared" si="0"/>
        <v>0</v>
      </c>
    </row>
    <row r="24" spans="1:18" ht="12.5">
      <c r="A24" s="405"/>
      <c r="B24" s="402"/>
      <c r="C24" s="402"/>
      <c r="D24" s="394" t="s">
        <v>515</v>
      </c>
      <c r="E24" s="390">
        <v>511</v>
      </c>
      <c r="F24" s="403"/>
      <c r="G24" s="404"/>
      <c r="H24" s="404"/>
      <c r="I24" s="404"/>
      <c r="J24" s="404"/>
      <c r="K24" s="404"/>
      <c r="L24" s="404"/>
      <c r="M24" s="404"/>
      <c r="N24" s="404"/>
      <c r="O24" s="404"/>
      <c r="P24" s="404"/>
      <c r="Q24" s="404"/>
      <c r="R24" s="386">
        <f t="shared" si="0"/>
        <v>0</v>
      </c>
    </row>
    <row r="25" spans="1:18" ht="12.5">
      <c r="A25" s="405"/>
      <c r="B25" s="402"/>
      <c r="C25" s="402"/>
      <c r="D25" s="394" t="s">
        <v>506</v>
      </c>
      <c r="E25" s="390">
        <v>511</v>
      </c>
      <c r="F25" s="404"/>
      <c r="G25" s="404"/>
      <c r="H25" s="404"/>
      <c r="I25" s="404"/>
      <c r="J25" s="404"/>
      <c r="K25" s="404"/>
      <c r="L25" s="404"/>
      <c r="M25" s="404"/>
      <c r="N25" s="404"/>
      <c r="O25" s="404"/>
      <c r="P25" s="404"/>
      <c r="Q25" s="404"/>
      <c r="R25" s="386">
        <f t="shared" si="0"/>
        <v>0</v>
      </c>
    </row>
    <row r="26" spans="1:18" ht="12.5">
      <c r="A26" s="405"/>
      <c r="B26" s="402"/>
      <c r="C26" s="402"/>
      <c r="D26" s="394" t="s">
        <v>521</v>
      </c>
      <c r="E26" s="395">
        <v>511</v>
      </c>
      <c r="F26" s="404"/>
      <c r="G26" s="404"/>
      <c r="H26" s="404"/>
      <c r="I26" s="404"/>
      <c r="J26" s="404"/>
      <c r="K26" s="404"/>
      <c r="L26" s="404"/>
      <c r="M26" s="404"/>
      <c r="N26" s="404"/>
      <c r="O26" s="404"/>
      <c r="P26" s="404"/>
      <c r="Q26" s="404"/>
      <c r="R26" s="386">
        <f t="shared" si="0"/>
        <v>0</v>
      </c>
    </row>
    <row r="27" spans="1:18" ht="12.5">
      <c r="A27" s="405"/>
      <c r="B27" s="402"/>
      <c r="C27" s="402"/>
      <c r="D27" s="394" t="s">
        <v>517</v>
      </c>
      <c r="E27" s="395">
        <v>511</v>
      </c>
      <c r="F27" s="404"/>
      <c r="G27" s="404"/>
      <c r="H27" s="404"/>
      <c r="I27" s="404"/>
      <c r="J27" s="404"/>
      <c r="K27" s="404"/>
      <c r="L27" s="404"/>
      <c r="M27" s="404"/>
      <c r="N27" s="404"/>
      <c r="O27" s="404"/>
      <c r="P27" s="404"/>
      <c r="Q27" s="404"/>
      <c r="R27" s="386">
        <f t="shared" si="0"/>
        <v>0</v>
      </c>
    </row>
    <row r="28" spans="1:18" ht="12.5">
      <c r="A28" s="405"/>
      <c r="B28" s="402"/>
      <c r="C28" s="402"/>
      <c r="D28" s="394" t="s">
        <v>511</v>
      </c>
      <c r="E28" s="395">
        <v>711</v>
      </c>
      <c r="F28" s="404"/>
      <c r="G28" s="404"/>
      <c r="H28" s="404"/>
      <c r="I28" s="404"/>
      <c r="J28" s="404"/>
      <c r="K28" s="404"/>
      <c r="L28" s="404"/>
      <c r="M28" s="404"/>
      <c r="N28" s="404"/>
      <c r="O28" s="404"/>
      <c r="P28" s="404"/>
      <c r="Q28" s="404"/>
      <c r="R28" s="386">
        <f t="shared" si="0"/>
        <v>0</v>
      </c>
    </row>
    <row r="29" spans="1:18" ht="12.5">
      <c r="A29" s="535">
        <v>4</v>
      </c>
      <c r="B29" s="536" t="s">
        <v>522</v>
      </c>
      <c r="C29" s="536" t="s">
        <v>523</v>
      </c>
      <c r="D29" s="537" t="s">
        <v>505</v>
      </c>
      <c r="E29" s="538">
        <v>511</v>
      </c>
      <c r="F29" s="539"/>
      <c r="G29" s="539"/>
      <c r="H29" s="539"/>
      <c r="I29" s="539"/>
      <c r="J29" s="539"/>
      <c r="K29" s="539"/>
      <c r="L29" s="539"/>
      <c r="M29" s="539"/>
      <c r="N29" s="539"/>
      <c r="O29" s="539"/>
      <c r="P29" s="539"/>
      <c r="Q29" s="539"/>
      <c r="R29" s="540">
        <f t="shared" si="0"/>
        <v>0</v>
      </c>
    </row>
    <row r="30" spans="1:18" ht="12.5">
      <c r="A30" s="405"/>
      <c r="B30" s="402"/>
      <c r="C30" s="402"/>
      <c r="D30" s="394" t="s">
        <v>515</v>
      </c>
      <c r="E30" s="395">
        <v>511</v>
      </c>
      <c r="F30" s="404"/>
      <c r="G30" s="404"/>
      <c r="H30" s="404"/>
      <c r="I30" s="404"/>
      <c r="J30" s="404"/>
      <c r="K30" s="404"/>
      <c r="L30" s="404"/>
      <c r="M30" s="404"/>
      <c r="N30" s="404"/>
      <c r="O30" s="404"/>
      <c r="P30" s="404"/>
      <c r="Q30" s="404"/>
      <c r="R30" s="386">
        <f t="shared" si="0"/>
        <v>0</v>
      </c>
    </row>
    <row r="31" spans="1:18" ht="12.5">
      <c r="A31" s="405"/>
      <c r="B31" s="402"/>
      <c r="C31" s="402"/>
      <c r="D31" s="394" t="s">
        <v>506</v>
      </c>
      <c r="E31" s="395">
        <v>511</v>
      </c>
      <c r="F31" s="404"/>
      <c r="G31" s="404"/>
      <c r="H31" s="404"/>
      <c r="I31" s="404"/>
      <c r="J31" s="404"/>
      <c r="K31" s="404"/>
      <c r="L31" s="404"/>
      <c r="M31" s="404"/>
      <c r="N31" s="404"/>
      <c r="O31" s="404"/>
      <c r="P31" s="404"/>
      <c r="Q31" s="404"/>
      <c r="R31" s="386">
        <f t="shared" si="0"/>
        <v>0</v>
      </c>
    </row>
    <row r="32" spans="1:18" ht="12.5">
      <c r="A32" s="405"/>
      <c r="B32" s="402"/>
      <c r="C32" s="402"/>
      <c r="D32" s="394" t="s">
        <v>516</v>
      </c>
      <c r="E32" s="395">
        <v>511</v>
      </c>
      <c r="F32" s="404"/>
      <c r="G32" s="404"/>
      <c r="H32" s="404"/>
      <c r="I32" s="404"/>
      <c r="J32" s="404"/>
      <c r="K32" s="404"/>
      <c r="L32" s="404"/>
      <c r="M32" s="404"/>
      <c r="N32" s="404"/>
      <c r="O32" s="404"/>
      <c r="P32" s="404"/>
      <c r="Q32" s="404"/>
      <c r="R32" s="386">
        <f t="shared" si="0"/>
        <v>0</v>
      </c>
    </row>
    <row r="33" spans="1:19" ht="12.5">
      <c r="A33" s="405"/>
      <c r="B33" s="402"/>
      <c r="C33" s="402"/>
      <c r="D33" s="394" t="s">
        <v>518</v>
      </c>
      <c r="E33" s="395">
        <v>511</v>
      </c>
      <c r="F33" s="404"/>
      <c r="G33" s="404"/>
      <c r="H33" s="404"/>
      <c r="I33" s="404"/>
      <c r="J33" s="404"/>
      <c r="K33" s="404"/>
      <c r="L33" s="404"/>
      <c r="M33" s="404"/>
      <c r="N33" s="404"/>
      <c r="O33" s="404"/>
      <c r="P33" s="404"/>
      <c r="Q33" s="404"/>
      <c r="R33" s="386">
        <f t="shared" si="0"/>
        <v>0</v>
      </c>
    </row>
    <row r="34" spans="1:19" ht="12.5">
      <c r="A34" s="405"/>
      <c r="B34" s="402"/>
      <c r="C34" s="402"/>
      <c r="D34" s="394" t="s">
        <v>507</v>
      </c>
      <c r="E34" s="395">
        <v>711</v>
      </c>
      <c r="F34" s="403"/>
      <c r="G34" s="404"/>
      <c r="H34" s="404"/>
      <c r="I34" s="404"/>
      <c r="J34" s="404"/>
      <c r="K34" s="404"/>
      <c r="L34" s="404"/>
      <c r="M34" s="404"/>
      <c r="N34" s="404"/>
      <c r="O34" s="404"/>
      <c r="P34" s="404"/>
      <c r="Q34" s="404"/>
      <c r="R34" s="386">
        <f t="shared" si="0"/>
        <v>0</v>
      </c>
    </row>
    <row r="35" spans="1:19" ht="12.5">
      <c r="A35" s="407"/>
      <c r="B35" s="402"/>
      <c r="C35" s="402"/>
      <c r="D35" s="394" t="s">
        <v>511</v>
      </c>
      <c r="E35" s="412">
        <v>7118</v>
      </c>
      <c r="F35" s="404"/>
      <c r="G35" s="404"/>
      <c r="H35" s="404"/>
      <c r="I35" s="404"/>
      <c r="J35" s="404"/>
      <c r="K35" s="404"/>
      <c r="L35" s="404"/>
      <c r="M35" s="404"/>
      <c r="N35" s="404"/>
      <c r="O35" s="404"/>
      <c r="P35" s="404"/>
      <c r="Q35" s="404"/>
      <c r="R35" s="386">
        <f t="shared" si="0"/>
        <v>0</v>
      </c>
    </row>
    <row r="36" spans="1:19" ht="12.5">
      <c r="A36" s="535">
        <v>5</v>
      </c>
      <c r="B36" s="536" t="s">
        <v>524</v>
      </c>
      <c r="C36" s="536" t="s">
        <v>525</v>
      </c>
      <c r="D36" s="537" t="s">
        <v>505</v>
      </c>
      <c r="E36" s="538">
        <v>511</v>
      </c>
      <c r="F36" s="541"/>
      <c r="G36" s="539"/>
      <c r="H36" s="539"/>
      <c r="I36" s="539"/>
      <c r="J36" s="539"/>
      <c r="K36" s="539"/>
      <c r="L36" s="539"/>
      <c r="M36" s="539"/>
      <c r="N36" s="539"/>
      <c r="O36" s="539"/>
      <c r="P36" s="539"/>
      <c r="Q36" s="539"/>
      <c r="R36" s="540">
        <f t="shared" si="0"/>
        <v>0</v>
      </c>
    </row>
    <row r="37" spans="1:19" ht="12.5">
      <c r="A37" s="407"/>
      <c r="B37" s="402"/>
      <c r="C37" s="402"/>
      <c r="D37" s="394" t="s">
        <v>515</v>
      </c>
      <c r="E37" s="395">
        <v>511</v>
      </c>
      <c r="F37" s="403"/>
      <c r="G37" s="404"/>
      <c r="H37" s="404"/>
      <c r="I37" s="404"/>
      <c r="J37" s="404"/>
      <c r="K37" s="404"/>
      <c r="L37" s="404"/>
      <c r="M37" s="404"/>
      <c r="N37" s="404"/>
      <c r="O37" s="404"/>
      <c r="P37" s="404"/>
      <c r="Q37" s="404"/>
      <c r="R37" s="386">
        <f t="shared" si="0"/>
        <v>0</v>
      </c>
    </row>
    <row r="38" spans="1:19" ht="12.5">
      <c r="A38" s="407"/>
      <c r="B38" s="402"/>
      <c r="C38" s="402"/>
      <c r="D38" s="394" t="s">
        <v>507</v>
      </c>
      <c r="E38" s="395">
        <v>711</v>
      </c>
      <c r="F38" s="404"/>
      <c r="G38" s="404"/>
      <c r="H38" s="404"/>
      <c r="I38" s="404"/>
      <c r="J38" s="404"/>
      <c r="K38" s="404"/>
      <c r="L38" s="404"/>
      <c r="M38" s="404"/>
      <c r="N38" s="404"/>
      <c r="O38" s="404"/>
      <c r="P38" s="404"/>
      <c r="Q38" s="404"/>
      <c r="R38" s="386">
        <f t="shared" si="0"/>
        <v>0</v>
      </c>
    </row>
    <row r="39" spans="1:19" ht="12.5">
      <c r="A39" s="407"/>
      <c r="B39" s="402"/>
      <c r="C39" s="402"/>
      <c r="D39" s="394" t="s">
        <v>506</v>
      </c>
      <c r="E39" s="395">
        <v>511</v>
      </c>
      <c r="F39" s="404"/>
      <c r="G39" s="404"/>
      <c r="H39" s="404"/>
      <c r="I39" s="404"/>
      <c r="J39" s="404"/>
      <c r="K39" s="404"/>
      <c r="L39" s="404"/>
      <c r="M39" s="404"/>
      <c r="N39" s="404"/>
      <c r="O39" s="404"/>
      <c r="P39" s="404"/>
      <c r="Q39" s="404"/>
      <c r="R39" s="386">
        <f t="shared" si="0"/>
        <v>0</v>
      </c>
    </row>
    <row r="40" spans="1:19" ht="12.5">
      <c r="A40" s="407"/>
      <c r="B40" s="402"/>
      <c r="C40" s="402"/>
      <c r="D40" s="394" t="s">
        <v>518</v>
      </c>
      <c r="E40" s="395">
        <v>511</v>
      </c>
      <c r="F40" s="404"/>
      <c r="G40" s="404"/>
      <c r="H40" s="404"/>
      <c r="I40" s="404"/>
      <c r="J40" s="404"/>
      <c r="K40" s="404"/>
      <c r="L40" s="404"/>
      <c r="M40" s="404"/>
      <c r="N40" s="404"/>
      <c r="O40" s="404"/>
      <c r="P40" s="404"/>
      <c r="Q40" s="404"/>
      <c r="R40" s="386">
        <f t="shared" si="0"/>
        <v>0</v>
      </c>
    </row>
    <row r="41" spans="1:19" ht="12.5">
      <c r="A41" s="407"/>
      <c r="B41" s="402"/>
      <c r="C41" s="402"/>
      <c r="D41" s="394" t="s">
        <v>516</v>
      </c>
      <c r="E41" s="395">
        <v>511</v>
      </c>
      <c r="F41" s="404"/>
      <c r="G41" s="404"/>
      <c r="H41" s="404"/>
      <c r="I41" s="404"/>
      <c r="J41" s="404"/>
      <c r="K41" s="404"/>
      <c r="L41" s="404"/>
      <c r="M41" s="404"/>
      <c r="N41" s="404"/>
      <c r="O41" s="404"/>
      <c r="P41" s="404"/>
      <c r="Q41" s="404"/>
      <c r="R41" s="386">
        <f t="shared" si="0"/>
        <v>0</v>
      </c>
    </row>
    <row r="42" spans="1:19" ht="12.5">
      <c r="A42" s="407"/>
      <c r="B42" s="402"/>
      <c r="C42" s="402"/>
      <c r="D42" s="394" t="s">
        <v>526</v>
      </c>
      <c r="E42" s="395">
        <v>711</v>
      </c>
      <c r="F42" s="404"/>
      <c r="G42" s="404"/>
      <c r="H42" s="404"/>
      <c r="I42" s="404"/>
      <c r="J42" s="404"/>
      <c r="K42" s="404"/>
      <c r="L42" s="404"/>
      <c r="M42" s="404"/>
      <c r="N42" s="404"/>
      <c r="O42" s="404"/>
      <c r="P42" s="404"/>
      <c r="Q42" s="404"/>
      <c r="R42" s="386">
        <f t="shared" si="0"/>
        <v>0</v>
      </c>
    </row>
    <row r="43" spans="1:19" ht="12.5">
      <c r="A43" s="407"/>
      <c r="B43" s="402"/>
      <c r="C43" s="402"/>
      <c r="D43" s="394" t="s">
        <v>511</v>
      </c>
      <c r="E43" s="395" t="s">
        <v>512</v>
      </c>
      <c r="F43" s="404"/>
      <c r="G43" s="404"/>
      <c r="H43" s="404"/>
      <c r="I43" s="404"/>
      <c r="J43" s="404"/>
      <c r="K43" s="404"/>
      <c r="L43" s="404"/>
      <c r="M43" s="404"/>
      <c r="N43" s="404"/>
      <c r="O43" s="404"/>
      <c r="P43" s="404"/>
      <c r="Q43" s="404"/>
      <c r="R43" s="386">
        <f t="shared" si="0"/>
        <v>0</v>
      </c>
    </row>
    <row r="44" spans="1:19" ht="12.5">
      <c r="A44" s="535">
        <v>6</v>
      </c>
      <c r="B44" s="536" t="s">
        <v>527</v>
      </c>
      <c r="C44" s="536" t="s">
        <v>528</v>
      </c>
      <c r="D44" s="537" t="s">
        <v>505</v>
      </c>
      <c r="E44" s="538">
        <v>511</v>
      </c>
      <c r="F44" s="539"/>
      <c r="G44" s="539"/>
      <c r="H44" s="539"/>
      <c r="I44" s="539"/>
      <c r="J44" s="539"/>
      <c r="K44" s="539"/>
      <c r="L44" s="539"/>
      <c r="M44" s="539"/>
      <c r="N44" s="539"/>
      <c r="O44" s="539"/>
      <c r="P44" s="539"/>
      <c r="Q44" s="539"/>
      <c r="R44" s="540">
        <f t="shared" si="0"/>
        <v>0</v>
      </c>
      <c r="S44" s="413"/>
    </row>
    <row r="45" spans="1:19" ht="12.5">
      <c r="A45" s="380"/>
      <c r="B45" s="414"/>
      <c r="C45" s="414"/>
      <c r="D45" s="394" t="s">
        <v>515</v>
      </c>
      <c r="E45" s="390">
        <v>511</v>
      </c>
      <c r="F45" s="404"/>
      <c r="G45" s="404"/>
      <c r="H45" s="404"/>
      <c r="I45" s="404"/>
      <c r="J45" s="404"/>
      <c r="K45" s="404"/>
      <c r="L45" s="404"/>
      <c r="M45" s="404"/>
      <c r="N45" s="404"/>
      <c r="O45" s="404"/>
      <c r="P45" s="404"/>
      <c r="Q45" s="404"/>
      <c r="R45" s="386">
        <f t="shared" si="0"/>
        <v>0</v>
      </c>
    </row>
    <row r="46" spans="1:19" ht="12.5">
      <c r="A46" s="380"/>
      <c r="B46" s="414"/>
      <c r="C46" s="414"/>
      <c r="D46" s="394" t="s">
        <v>506</v>
      </c>
      <c r="E46" s="390">
        <v>511</v>
      </c>
      <c r="F46" s="403"/>
      <c r="G46" s="404"/>
      <c r="H46" s="404"/>
      <c r="I46" s="404"/>
      <c r="J46" s="404"/>
      <c r="K46" s="404"/>
      <c r="L46" s="404"/>
      <c r="M46" s="404"/>
      <c r="N46" s="404"/>
      <c r="O46" s="404"/>
      <c r="P46" s="404"/>
      <c r="Q46" s="404"/>
      <c r="R46" s="386">
        <f t="shared" si="0"/>
        <v>0</v>
      </c>
    </row>
    <row r="47" spans="1:19" ht="12.5">
      <c r="A47" s="380"/>
      <c r="B47" s="414"/>
      <c r="C47" s="414"/>
      <c r="D47" s="394" t="s">
        <v>529</v>
      </c>
      <c r="E47" s="390">
        <v>511</v>
      </c>
      <c r="F47" s="404"/>
      <c r="G47" s="404"/>
      <c r="H47" s="404"/>
      <c r="I47" s="404"/>
      <c r="J47" s="404"/>
      <c r="K47" s="404"/>
      <c r="L47" s="404"/>
      <c r="M47" s="404"/>
      <c r="N47" s="404"/>
      <c r="O47" s="404"/>
      <c r="P47" s="404"/>
      <c r="Q47" s="404"/>
      <c r="R47" s="386">
        <f t="shared" si="0"/>
        <v>0</v>
      </c>
    </row>
    <row r="48" spans="1:19" ht="12.5">
      <c r="A48" s="380"/>
      <c r="B48" s="414"/>
      <c r="C48" s="414"/>
      <c r="D48" s="394" t="s">
        <v>516</v>
      </c>
      <c r="E48" s="395">
        <v>511</v>
      </c>
      <c r="F48" s="404"/>
      <c r="G48" s="404"/>
      <c r="H48" s="404"/>
      <c r="I48" s="404"/>
      <c r="J48" s="404"/>
      <c r="K48" s="404"/>
      <c r="L48" s="404"/>
      <c r="M48" s="404"/>
      <c r="N48" s="404"/>
      <c r="O48" s="404"/>
      <c r="P48" s="404"/>
      <c r="Q48" s="404"/>
      <c r="R48" s="386">
        <f t="shared" si="0"/>
        <v>0</v>
      </c>
    </row>
    <row r="49" spans="1:19" ht="12.5">
      <c r="A49" s="380"/>
      <c r="B49" s="414"/>
      <c r="C49" s="414"/>
      <c r="D49" s="394" t="s">
        <v>530</v>
      </c>
      <c r="E49" s="395">
        <v>511</v>
      </c>
      <c r="F49" s="404"/>
      <c r="G49" s="404"/>
      <c r="H49" s="404"/>
      <c r="I49" s="404"/>
      <c r="J49" s="404"/>
      <c r="K49" s="404"/>
      <c r="L49" s="404"/>
      <c r="M49" s="404"/>
      <c r="N49" s="404"/>
      <c r="O49" s="404"/>
      <c r="P49" s="404"/>
      <c r="Q49" s="404"/>
      <c r="R49" s="386">
        <f t="shared" si="0"/>
        <v>0</v>
      </c>
    </row>
    <row r="50" spans="1:19" ht="12.5">
      <c r="A50" s="380"/>
      <c r="B50" s="414"/>
      <c r="C50" s="414"/>
      <c r="D50" s="394" t="s">
        <v>507</v>
      </c>
      <c r="E50" s="395">
        <v>711</v>
      </c>
      <c r="F50" s="404"/>
      <c r="G50" s="404"/>
      <c r="H50" s="404"/>
      <c r="I50" s="404"/>
      <c r="J50" s="404"/>
      <c r="K50" s="404"/>
      <c r="L50" s="404"/>
      <c r="M50" s="404"/>
      <c r="N50" s="404"/>
      <c r="O50" s="404"/>
      <c r="P50" s="404"/>
      <c r="Q50" s="404"/>
      <c r="R50" s="386">
        <f t="shared" si="0"/>
        <v>0</v>
      </c>
    </row>
    <row r="51" spans="1:19" ht="12.5">
      <c r="A51" s="415"/>
      <c r="B51" s="416"/>
      <c r="C51" s="416"/>
      <c r="D51" s="417" t="s">
        <v>511</v>
      </c>
      <c r="E51" s="399" t="s">
        <v>512</v>
      </c>
      <c r="F51" s="410"/>
      <c r="G51" s="410"/>
      <c r="H51" s="410"/>
      <c r="I51" s="410"/>
      <c r="J51" s="410"/>
      <c r="K51" s="410"/>
      <c r="L51" s="410"/>
      <c r="M51" s="410"/>
      <c r="N51" s="410"/>
      <c r="O51" s="410"/>
      <c r="P51" s="410"/>
      <c r="Q51" s="410"/>
      <c r="R51" s="411">
        <f t="shared" si="0"/>
        <v>0</v>
      </c>
    </row>
    <row r="52" spans="1:19" ht="12.5">
      <c r="A52" s="535">
        <v>7</v>
      </c>
      <c r="B52" s="536" t="s">
        <v>531</v>
      </c>
      <c r="C52" s="536" t="s">
        <v>532</v>
      </c>
      <c r="D52" s="537" t="s">
        <v>505</v>
      </c>
      <c r="E52" s="542">
        <v>511</v>
      </c>
      <c r="F52" s="539"/>
      <c r="G52" s="539"/>
      <c r="H52" s="539"/>
      <c r="I52" s="539"/>
      <c r="J52" s="539"/>
      <c r="K52" s="539"/>
      <c r="L52" s="539"/>
      <c r="M52" s="539"/>
      <c r="N52" s="539"/>
      <c r="O52" s="539"/>
      <c r="P52" s="539"/>
      <c r="Q52" s="539"/>
      <c r="R52" s="540">
        <f t="shared" si="0"/>
        <v>0</v>
      </c>
    </row>
    <row r="53" spans="1:19" ht="12.5">
      <c r="A53" s="380"/>
      <c r="B53" s="418"/>
      <c r="C53" s="418"/>
      <c r="D53" s="406" t="s">
        <v>515</v>
      </c>
      <c r="E53" s="419">
        <v>511</v>
      </c>
      <c r="F53" s="384"/>
      <c r="G53" s="384"/>
      <c r="H53" s="384"/>
      <c r="I53" s="384"/>
      <c r="J53" s="384"/>
      <c r="K53" s="384"/>
      <c r="L53" s="384"/>
      <c r="M53" s="384"/>
      <c r="N53" s="384"/>
      <c r="O53" s="384"/>
      <c r="P53" s="384"/>
      <c r="Q53" s="384"/>
      <c r="R53" s="386">
        <f t="shared" si="0"/>
        <v>0</v>
      </c>
    </row>
    <row r="54" spans="1:19" ht="12.5">
      <c r="A54" s="380"/>
      <c r="B54" s="418"/>
      <c r="C54" s="418"/>
      <c r="D54" s="406" t="s">
        <v>506</v>
      </c>
      <c r="E54" s="419">
        <v>511</v>
      </c>
      <c r="F54" s="384"/>
      <c r="G54" s="384"/>
      <c r="H54" s="384"/>
      <c r="I54" s="384"/>
      <c r="J54" s="384"/>
      <c r="K54" s="384"/>
      <c r="L54" s="384"/>
      <c r="M54" s="384"/>
      <c r="N54" s="384"/>
      <c r="O54" s="384"/>
      <c r="P54" s="384"/>
      <c r="Q54" s="384"/>
      <c r="R54" s="386">
        <f t="shared" si="0"/>
        <v>0</v>
      </c>
    </row>
    <row r="55" spans="1:19" ht="12.5">
      <c r="A55" s="380"/>
      <c r="B55" s="418"/>
      <c r="C55" s="418"/>
      <c r="D55" s="406" t="s">
        <v>529</v>
      </c>
      <c r="E55" s="419">
        <v>511</v>
      </c>
      <c r="F55" s="384"/>
      <c r="G55" s="384"/>
      <c r="H55" s="384"/>
      <c r="I55" s="384"/>
      <c r="J55" s="384"/>
      <c r="K55" s="384"/>
      <c r="L55" s="384"/>
      <c r="M55" s="384"/>
      <c r="N55" s="384"/>
      <c r="O55" s="384"/>
      <c r="P55" s="384"/>
      <c r="Q55" s="384"/>
      <c r="R55" s="386">
        <f t="shared" si="0"/>
        <v>0</v>
      </c>
    </row>
    <row r="56" spans="1:19" ht="12.5">
      <c r="A56" s="380"/>
      <c r="B56" s="418"/>
      <c r="C56" s="418"/>
      <c r="D56" s="406" t="s">
        <v>516</v>
      </c>
      <c r="E56" s="419">
        <v>511</v>
      </c>
      <c r="F56" s="384"/>
      <c r="G56" s="384"/>
      <c r="H56" s="384"/>
      <c r="I56" s="384"/>
      <c r="J56" s="384"/>
      <c r="K56" s="384"/>
      <c r="L56" s="384"/>
      <c r="M56" s="384"/>
      <c r="N56" s="384"/>
      <c r="O56" s="384"/>
      <c r="P56" s="384"/>
      <c r="Q56" s="384"/>
      <c r="R56" s="386">
        <f t="shared" si="0"/>
        <v>0</v>
      </c>
    </row>
    <row r="57" spans="1:19" ht="12.5">
      <c r="A57" s="380"/>
      <c r="B57" s="418"/>
      <c r="C57" s="418"/>
      <c r="D57" s="406" t="s">
        <v>530</v>
      </c>
      <c r="E57" s="419">
        <v>511</v>
      </c>
      <c r="F57" s="384"/>
      <c r="G57" s="384"/>
      <c r="H57" s="384"/>
      <c r="I57" s="384"/>
      <c r="J57" s="384"/>
      <c r="K57" s="384"/>
      <c r="L57" s="384"/>
      <c r="M57" s="384"/>
      <c r="N57" s="384"/>
      <c r="O57" s="384"/>
      <c r="P57" s="384"/>
      <c r="Q57" s="384"/>
      <c r="R57" s="386">
        <f t="shared" si="0"/>
        <v>0</v>
      </c>
    </row>
    <row r="58" spans="1:19" ht="12.5">
      <c r="A58" s="380"/>
      <c r="B58" s="418"/>
      <c r="C58" s="418"/>
      <c r="D58" s="406" t="s">
        <v>507</v>
      </c>
      <c r="E58" s="419">
        <v>711</v>
      </c>
      <c r="F58" s="384"/>
      <c r="G58" s="384"/>
      <c r="H58" s="384"/>
      <c r="I58" s="384"/>
      <c r="J58" s="384"/>
      <c r="K58" s="384"/>
      <c r="L58" s="384"/>
      <c r="M58" s="384"/>
      <c r="N58" s="384"/>
      <c r="O58" s="384"/>
      <c r="P58" s="384"/>
      <c r="Q58" s="384"/>
      <c r="R58" s="386">
        <f t="shared" si="0"/>
        <v>0</v>
      </c>
    </row>
    <row r="59" spans="1:19" ht="12.5">
      <c r="A59" s="380"/>
      <c r="B59" s="418"/>
      <c r="C59" s="418"/>
      <c r="D59" s="406" t="s">
        <v>511</v>
      </c>
      <c r="E59" s="419" t="s">
        <v>512</v>
      </c>
      <c r="F59" s="384"/>
      <c r="G59" s="384"/>
      <c r="H59" s="384"/>
      <c r="I59" s="384"/>
      <c r="J59" s="384"/>
      <c r="K59" s="384"/>
      <c r="L59" s="384"/>
      <c r="M59" s="384"/>
      <c r="N59" s="384"/>
      <c r="O59" s="384"/>
      <c r="P59" s="384"/>
      <c r="Q59" s="384"/>
      <c r="R59" s="386">
        <f t="shared" si="0"/>
        <v>0</v>
      </c>
    </row>
    <row r="60" spans="1:19" ht="12.5">
      <c r="A60" s="535">
        <v>8</v>
      </c>
      <c r="B60" s="536" t="s">
        <v>533</v>
      </c>
      <c r="C60" s="536" t="s">
        <v>534</v>
      </c>
      <c r="D60" s="537" t="s">
        <v>505</v>
      </c>
      <c r="E60" s="538">
        <v>511</v>
      </c>
      <c r="F60" s="539"/>
      <c r="G60" s="539"/>
      <c r="H60" s="539"/>
      <c r="I60" s="539"/>
      <c r="J60" s="539"/>
      <c r="K60" s="539"/>
      <c r="L60" s="539"/>
      <c r="M60" s="539"/>
      <c r="N60" s="539"/>
      <c r="O60" s="539"/>
      <c r="P60" s="539"/>
      <c r="Q60" s="539"/>
      <c r="R60" s="540">
        <f t="shared" si="0"/>
        <v>0</v>
      </c>
      <c r="S60" s="413"/>
    </row>
    <row r="61" spans="1:19" ht="12.5">
      <c r="A61" s="380"/>
      <c r="B61" s="418"/>
      <c r="C61" s="418"/>
      <c r="D61" s="406" t="s">
        <v>535</v>
      </c>
      <c r="E61" s="390">
        <v>511</v>
      </c>
      <c r="F61" s="404"/>
      <c r="G61" s="404"/>
      <c r="H61" s="404"/>
      <c r="I61" s="404"/>
      <c r="J61" s="404"/>
      <c r="K61" s="404"/>
      <c r="L61" s="404"/>
      <c r="M61" s="404"/>
      <c r="N61" s="404"/>
      <c r="O61" s="404"/>
      <c r="P61" s="404"/>
      <c r="Q61" s="404"/>
      <c r="R61" s="386">
        <f t="shared" si="0"/>
        <v>0</v>
      </c>
    </row>
    <row r="62" spans="1:19" ht="12.5">
      <c r="A62" s="380"/>
      <c r="B62" s="418"/>
      <c r="C62" s="418"/>
      <c r="D62" s="394" t="s">
        <v>515</v>
      </c>
      <c r="E62" s="390">
        <v>511</v>
      </c>
      <c r="F62" s="403"/>
      <c r="G62" s="404"/>
      <c r="H62" s="404"/>
      <c r="I62" s="404"/>
      <c r="J62" s="404"/>
      <c r="K62" s="404"/>
      <c r="L62" s="404"/>
      <c r="M62" s="404"/>
      <c r="N62" s="404"/>
      <c r="O62" s="404"/>
      <c r="P62" s="404"/>
      <c r="Q62" s="404"/>
      <c r="R62" s="386">
        <f t="shared" si="0"/>
        <v>0</v>
      </c>
    </row>
    <row r="63" spans="1:19" ht="12.5">
      <c r="A63" s="380"/>
      <c r="B63" s="418"/>
      <c r="C63" s="418"/>
      <c r="D63" s="394" t="s">
        <v>506</v>
      </c>
      <c r="E63" s="390">
        <v>511</v>
      </c>
      <c r="F63" s="404"/>
      <c r="G63" s="404"/>
      <c r="H63" s="404"/>
      <c r="I63" s="404"/>
      <c r="J63" s="404"/>
      <c r="K63" s="404"/>
      <c r="L63" s="404"/>
      <c r="M63" s="404"/>
      <c r="N63" s="404"/>
      <c r="O63" s="404"/>
      <c r="P63" s="404"/>
      <c r="Q63" s="404"/>
      <c r="R63" s="386">
        <f t="shared" si="0"/>
        <v>0</v>
      </c>
    </row>
    <row r="64" spans="1:19" ht="12.5">
      <c r="A64" s="380"/>
      <c r="B64" s="418"/>
      <c r="C64" s="418"/>
      <c r="D64" s="394" t="s">
        <v>530</v>
      </c>
      <c r="E64" s="395">
        <v>511</v>
      </c>
      <c r="F64" s="404"/>
      <c r="G64" s="404"/>
      <c r="H64" s="404"/>
      <c r="I64" s="404"/>
      <c r="J64" s="404"/>
      <c r="K64" s="404"/>
      <c r="L64" s="404"/>
      <c r="M64" s="404"/>
      <c r="N64" s="404"/>
      <c r="O64" s="404"/>
      <c r="P64" s="404"/>
      <c r="Q64" s="404"/>
      <c r="R64" s="386">
        <f t="shared" si="0"/>
        <v>0</v>
      </c>
    </row>
    <row r="65" spans="1:18" ht="12.5">
      <c r="A65" s="380"/>
      <c r="B65" s="414"/>
      <c r="C65" s="414"/>
      <c r="D65" s="394" t="s">
        <v>507</v>
      </c>
      <c r="E65" s="395">
        <v>711</v>
      </c>
      <c r="F65" s="404"/>
      <c r="G65" s="404"/>
      <c r="H65" s="404"/>
      <c r="I65" s="404"/>
      <c r="J65" s="404"/>
      <c r="K65" s="404"/>
      <c r="L65" s="404"/>
      <c r="M65" s="404"/>
      <c r="N65" s="404"/>
      <c r="O65" s="404"/>
      <c r="P65" s="404"/>
      <c r="Q65" s="404"/>
      <c r="R65" s="386">
        <f t="shared" si="0"/>
        <v>0</v>
      </c>
    </row>
    <row r="66" spans="1:18" ht="12.5">
      <c r="A66" s="380"/>
      <c r="B66" s="414"/>
      <c r="C66" s="414"/>
      <c r="D66" s="394" t="s">
        <v>521</v>
      </c>
      <c r="E66" s="395">
        <v>511</v>
      </c>
      <c r="F66" s="404"/>
      <c r="G66" s="404"/>
      <c r="H66" s="404"/>
      <c r="I66" s="404"/>
      <c r="J66" s="404"/>
      <c r="K66" s="404"/>
      <c r="L66" s="404"/>
      <c r="M66" s="404"/>
      <c r="N66" s="404"/>
      <c r="O66" s="404"/>
      <c r="P66" s="404"/>
      <c r="Q66" s="404"/>
      <c r="R66" s="386">
        <f t="shared" si="0"/>
        <v>0</v>
      </c>
    </row>
    <row r="67" spans="1:18" ht="12.5">
      <c r="A67" s="380"/>
      <c r="B67" s="414"/>
      <c r="C67" s="418"/>
      <c r="D67" s="406" t="s">
        <v>511</v>
      </c>
      <c r="E67" s="395">
        <v>711</v>
      </c>
      <c r="F67" s="404"/>
      <c r="G67" s="404"/>
      <c r="H67" s="404"/>
      <c r="I67" s="404"/>
      <c r="J67" s="404"/>
      <c r="K67" s="404"/>
      <c r="L67" s="404"/>
      <c r="M67" s="404"/>
      <c r="N67" s="404"/>
      <c r="O67" s="404"/>
      <c r="P67" s="404"/>
      <c r="Q67" s="404"/>
      <c r="R67" s="386">
        <f t="shared" si="0"/>
        <v>0</v>
      </c>
    </row>
    <row r="68" spans="1:18" ht="12.5">
      <c r="A68" s="535">
        <v>9</v>
      </c>
      <c r="B68" s="536" t="s">
        <v>536</v>
      </c>
      <c r="C68" s="536" t="s">
        <v>537</v>
      </c>
      <c r="D68" s="537" t="s">
        <v>505</v>
      </c>
      <c r="E68" s="538">
        <v>511</v>
      </c>
      <c r="F68" s="539"/>
      <c r="G68" s="539"/>
      <c r="H68" s="539"/>
      <c r="I68" s="539"/>
      <c r="J68" s="539"/>
      <c r="K68" s="539"/>
      <c r="L68" s="539"/>
      <c r="M68" s="539"/>
      <c r="N68" s="539"/>
      <c r="O68" s="539"/>
      <c r="P68" s="539"/>
      <c r="Q68" s="539"/>
      <c r="R68" s="540">
        <f t="shared" si="0"/>
        <v>0</v>
      </c>
    </row>
    <row r="69" spans="1:18" ht="12.5">
      <c r="A69" s="380"/>
      <c r="B69" s="414"/>
      <c r="C69" s="414"/>
      <c r="D69" s="394" t="s">
        <v>515</v>
      </c>
      <c r="E69" s="390">
        <v>511</v>
      </c>
      <c r="F69" s="404"/>
      <c r="G69" s="404"/>
      <c r="H69" s="404"/>
      <c r="I69" s="404"/>
      <c r="J69" s="404"/>
      <c r="K69" s="404"/>
      <c r="L69" s="404"/>
      <c r="M69" s="404"/>
      <c r="N69" s="404"/>
      <c r="O69" s="404"/>
      <c r="P69" s="404"/>
      <c r="Q69" s="404"/>
      <c r="R69" s="386">
        <f t="shared" si="0"/>
        <v>0</v>
      </c>
    </row>
    <row r="70" spans="1:18" ht="12.5">
      <c r="A70" s="380"/>
      <c r="B70" s="414"/>
      <c r="C70" s="414"/>
      <c r="D70" s="394" t="s">
        <v>506</v>
      </c>
      <c r="E70" s="390">
        <v>511</v>
      </c>
      <c r="F70" s="404"/>
      <c r="G70" s="404"/>
      <c r="H70" s="404"/>
      <c r="I70" s="404"/>
      <c r="J70" s="404"/>
      <c r="K70" s="404"/>
      <c r="L70" s="404"/>
      <c r="M70" s="404"/>
      <c r="N70" s="404"/>
      <c r="O70" s="404"/>
      <c r="P70" s="404"/>
      <c r="Q70" s="404"/>
      <c r="R70" s="386">
        <f t="shared" si="0"/>
        <v>0</v>
      </c>
    </row>
    <row r="71" spans="1:18" ht="12.5">
      <c r="A71" s="380"/>
      <c r="B71" s="414"/>
      <c r="C71" s="414"/>
      <c r="D71" s="394" t="s">
        <v>530</v>
      </c>
      <c r="E71" s="395">
        <v>511</v>
      </c>
      <c r="F71" s="404"/>
      <c r="G71" s="404"/>
      <c r="H71" s="404"/>
      <c r="I71" s="404"/>
      <c r="J71" s="404"/>
      <c r="K71" s="404"/>
      <c r="L71" s="404"/>
      <c r="M71" s="404"/>
      <c r="N71" s="404"/>
      <c r="O71" s="404"/>
      <c r="P71" s="404"/>
      <c r="Q71" s="404"/>
      <c r="R71" s="386">
        <f t="shared" si="0"/>
        <v>0</v>
      </c>
    </row>
    <row r="72" spans="1:18" ht="12.5">
      <c r="A72" s="380"/>
      <c r="B72" s="414"/>
      <c r="C72" s="414"/>
      <c r="D72" s="394" t="s">
        <v>511</v>
      </c>
      <c r="E72" s="395">
        <v>711</v>
      </c>
      <c r="F72" s="404"/>
      <c r="G72" s="404"/>
      <c r="H72" s="404"/>
      <c r="I72" s="404"/>
      <c r="J72" s="404"/>
      <c r="K72" s="404"/>
      <c r="L72" s="404"/>
      <c r="M72" s="404"/>
      <c r="N72" s="404"/>
      <c r="O72" s="404"/>
      <c r="P72" s="404"/>
      <c r="Q72" s="404"/>
      <c r="R72" s="386">
        <f t="shared" si="0"/>
        <v>0</v>
      </c>
    </row>
    <row r="73" spans="1:18" ht="12.5">
      <c r="A73" s="535">
        <v>10</v>
      </c>
      <c r="B73" s="420" t="s">
        <v>538</v>
      </c>
      <c r="C73" s="536" t="s">
        <v>539</v>
      </c>
      <c r="D73" s="537" t="s">
        <v>505</v>
      </c>
      <c r="E73" s="538">
        <v>511</v>
      </c>
      <c r="F73" s="541"/>
      <c r="G73" s="539"/>
      <c r="H73" s="539"/>
      <c r="I73" s="539"/>
      <c r="J73" s="539"/>
      <c r="K73" s="539"/>
      <c r="L73" s="539"/>
      <c r="M73" s="539"/>
      <c r="N73" s="539"/>
      <c r="O73" s="539"/>
      <c r="P73" s="539"/>
      <c r="Q73" s="539"/>
      <c r="R73" s="540">
        <f t="shared" si="0"/>
        <v>0</v>
      </c>
    </row>
    <row r="74" spans="1:18" ht="12.5">
      <c r="A74" s="380"/>
      <c r="B74" s="414"/>
      <c r="C74" s="418"/>
      <c r="D74" s="406" t="s">
        <v>515</v>
      </c>
      <c r="E74" s="395">
        <v>511</v>
      </c>
      <c r="F74" s="404"/>
      <c r="G74" s="404"/>
      <c r="H74" s="404"/>
      <c r="I74" s="404"/>
      <c r="J74" s="404"/>
      <c r="K74" s="404"/>
      <c r="L74" s="404"/>
      <c r="M74" s="404"/>
      <c r="N74" s="404"/>
      <c r="O74" s="404"/>
      <c r="P74" s="404"/>
      <c r="Q74" s="404"/>
      <c r="R74" s="421">
        <f t="shared" si="0"/>
        <v>0</v>
      </c>
    </row>
    <row r="75" spans="1:18" ht="12.5">
      <c r="A75" s="405"/>
      <c r="B75" s="416"/>
      <c r="C75" s="416"/>
      <c r="D75" s="394" t="s">
        <v>506</v>
      </c>
      <c r="E75" s="395">
        <v>511</v>
      </c>
      <c r="F75" s="410"/>
      <c r="G75" s="410"/>
      <c r="H75" s="410"/>
      <c r="I75" s="410"/>
      <c r="J75" s="410"/>
      <c r="K75" s="410"/>
      <c r="L75" s="410"/>
      <c r="M75" s="410"/>
      <c r="N75" s="410"/>
      <c r="O75" s="410"/>
      <c r="P75" s="410"/>
      <c r="Q75" s="410"/>
      <c r="R75" s="421">
        <f t="shared" si="0"/>
        <v>0</v>
      </c>
    </row>
    <row r="76" spans="1:18" ht="12.5">
      <c r="A76" s="405"/>
      <c r="B76" s="416"/>
      <c r="C76" s="416"/>
      <c r="D76" s="394" t="s">
        <v>530</v>
      </c>
      <c r="E76" s="395">
        <v>511</v>
      </c>
      <c r="F76" s="410"/>
      <c r="G76" s="410"/>
      <c r="H76" s="410"/>
      <c r="I76" s="410"/>
      <c r="J76" s="410"/>
      <c r="K76" s="410"/>
      <c r="L76" s="410"/>
      <c r="M76" s="410"/>
      <c r="N76" s="410"/>
      <c r="O76" s="410"/>
      <c r="P76" s="410"/>
      <c r="Q76" s="410"/>
      <c r="R76" s="421">
        <f t="shared" si="0"/>
        <v>0</v>
      </c>
    </row>
    <row r="77" spans="1:18" ht="12.5">
      <c r="A77" s="396"/>
      <c r="B77" s="416"/>
      <c r="C77" s="416"/>
      <c r="D77" s="417" t="s">
        <v>511</v>
      </c>
      <c r="E77" s="422">
        <v>711</v>
      </c>
      <c r="F77" s="410"/>
      <c r="G77" s="410"/>
      <c r="H77" s="410"/>
      <c r="I77" s="410"/>
      <c r="J77" s="410"/>
      <c r="K77" s="410"/>
      <c r="L77" s="410"/>
      <c r="M77" s="410"/>
      <c r="N77" s="410"/>
      <c r="O77" s="410"/>
      <c r="P77" s="410"/>
      <c r="Q77" s="410"/>
      <c r="R77" s="401">
        <f t="shared" si="0"/>
        <v>0</v>
      </c>
    </row>
    <row r="78" spans="1:18" ht="12.5">
      <c r="A78" s="535">
        <v>11</v>
      </c>
      <c r="B78" s="536" t="s">
        <v>540</v>
      </c>
      <c r="C78" s="420" t="s">
        <v>541</v>
      </c>
      <c r="D78" s="423" t="s">
        <v>506</v>
      </c>
      <c r="E78" s="424">
        <v>511</v>
      </c>
      <c r="F78" s="539"/>
      <c r="G78" s="539"/>
      <c r="H78" s="539"/>
      <c r="I78" s="539"/>
      <c r="J78" s="539"/>
      <c r="K78" s="539"/>
      <c r="L78" s="539"/>
      <c r="M78" s="539"/>
      <c r="N78" s="539"/>
      <c r="O78" s="539"/>
      <c r="P78" s="539"/>
      <c r="Q78" s="539"/>
      <c r="R78" s="540">
        <f t="shared" si="0"/>
        <v>0</v>
      </c>
    </row>
    <row r="79" spans="1:18" ht="12.5">
      <c r="A79" s="405"/>
      <c r="B79" s="416"/>
      <c r="C79" s="416"/>
      <c r="D79" s="417" t="s">
        <v>505</v>
      </c>
      <c r="E79" s="422">
        <v>511</v>
      </c>
      <c r="F79" s="404"/>
      <c r="G79" s="404"/>
      <c r="H79" s="404"/>
      <c r="I79" s="404"/>
      <c r="J79" s="404"/>
      <c r="K79" s="404"/>
      <c r="L79" s="404"/>
      <c r="M79" s="404"/>
      <c r="N79" s="404"/>
      <c r="O79" s="404"/>
      <c r="P79" s="404"/>
      <c r="Q79" s="404"/>
      <c r="R79" s="386">
        <f t="shared" si="0"/>
        <v>0</v>
      </c>
    </row>
    <row r="80" spans="1:18" ht="12.5">
      <c r="A80" s="405"/>
      <c r="B80" s="416"/>
      <c r="C80" s="416"/>
      <c r="D80" s="417" t="s">
        <v>515</v>
      </c>
      <c r="E80" s="422">
        <v>511</v>
      </c>
      <c r="F80" s="404"/>
      <c r="G80" s="404"/>
      <c r="H80" s="404"/>
      <c r="I80" s="404"/>
      <c r="J80" s="404"/>
      <c r="K80" s="404"/>
      <c r="L80" s="404"/>
      <c r="M80" s="404"/>
      <c r="N80" s="404"/>
      <c r="O80" s="404"/>
      <c r="P80" s="404"/>
      <c r="Q80" s="404"/>
      <c r="R80" s="386">
        <f t="shared" si="0"/>
        <v>0</v>
      </c>
    </row>
    <row r="81" spans="1:19" ht="12.5">
      <c r="A81" s="405"/>
      <c r="B81" s="416"/>
      <c r="C81" s="416"/>
      <c r="D81" s="417" t="s">
        <v>507</v>
      </c>
      <c r="E81" s="422">
        <v>711</v>
      </c>
      <c r="F81" s="404"/>
      <c r="G81" s="404"/>
      <c r="H81" s="404"/>
      <c r="I81" s="404"/>
      <c r="J81" s="404"/>
      <c r="K81" s="404"/>
      <c r="L81" s="404"/>
      <c r="M81" s="404"/>
      <c r="N81" s="404"/>
      <c r="O81" s="404"/>
      <c r="P81" s="404"/>
      <c r="Q81" s="404"/>
      <c r="R81" s="386">
        <f t="shared" ref="R81:R126" si="1">SUM(F81:Q81)</f>
        <v>0</v>
      </c>
    </row>
    <row r="82" spans="1:19" ht="12.5">
      <c r="A82" s="405"/>
      <c r="B82" s="416"/>
      <c r="C82" s="414"/>
      <c r="D82" s="394" t="s">
        <v>508</v>
      </c>
      <c r="E82" s="395">
        <v>515</v>
      </c>
      <c r="F82" s="404"/>
      <c r="G82" s="404"/>
      <c r="H82" s="404"/>
      <c r="I82" s="404"/>
      <c r="J82" s="404"/>
      <c r="K82" s="404"/>
      <c r="L82" s="404"/>
      <c r="M82" s="404"/>
      <c r="N82" s="404"/>
      <c r="O82" s="404"/>
      <c r="P82" s="404"/>
      <c r="Q82" s="404"/>
      <c r="R82" s="386">
        <f t="shared" si="1"/>
        <v>0</v>
      </c>
    </row>
    <row r="83" spans="1:19" ht="12.5">
      <c r="A83" s="396"/>
      <c r="B83" s="416"/>
      <c r="C83" s="495"/>
      <c r="D83" s="409" t="s">
        <v>511</v>
      </c>
      <c r="E83" s="425">
        <v>7118</v>
      </c>
      <c r="F83" s="410"/>
      <c r="G83" s="410"/>
      <c r="H83" s="410"/>
      <c r="I83" s="410"/>
      <c r="J83" s="410"/>
      <c r="K83" s="410"/>
      <c r="L83" s="410"/>
      <c r="M83" s="410"/>
      <c r="N83" s="410"/>
      <c r="O83" s="410"/>
      <c r="P83" s="410"/>
      <c r="Q83" s="410"/>
      <c r="R83" s="411">
        <f t="shared" si="1"/>
        <v>0</v>
      </c>
    </row>
    <row r="84" spans="1:19" ht="12.5">
      <c r="A84" s="535">
        <v>12</v>
      </c>
      <c r="B84" s="536" t="s">
        <v>542</v>
      </c>
      <c r="C84" s="536" t="s">
        <v>543</v>
      </c>
      <c r="D84" s="537" t="s">
        <v>505</v>
      </c>
      <c r="E84" s="538">
        <v>511521</v>
      </c>
      <c r="F84" s="539"/>
      <c r="G84" s="539"/>
      <c r="H84" s="539"/>
      <c r="I84" s="539"/>
      <c r="J84" s="539"/>
      <c r="K84" s="539"/>
      <c r="L84" s="539"/>
      <c r="M84" s="539"/>
      <c r="N84" s="539"/>
      <c r="O84" s="539"/>
      <c r="P84" s="539"/>
      <c r="Q84" s="539"/>
      <c r="R84" s="540">
        <f t="shared" si="1"/>
        <v>0</v>
      </c>
    </row>
    <row r="85" spans="1:19" ht="12.5">
      <c r="A85" s="405"/>
      <c r="B85" s="414"/>
      <c r="C85" s="414"/>
      <c r="D85" s="394" t="s">
        <v>515</v>
      </c>
      <c r="E85" s="390">
        <v>511</v>
      </c>
      <c r="F85" s="404"/>
      <c r="G85" s="404"/>
      <c r="H85" s="404"/>
      <c r="I85" s="404"/>
      <c r="J85" s="404"/>
      <c r="K85" s="404"/>
      <c r="L85" s="404"/>
      <c r="M85" s="404"/>
      <c r="N85" s="404"/>
      <c r="O85" s="404"/>
      <c r="P85" s="404"/>
      <c r="Q85" s="404"/>
      <c r="R85" s="386">
        <f t="shared" si="1"/>
        <v>0</v>
      </c>
    </row>
    <row r="86" spans="1:19" ht="12.5">
      <c r="A86" s="405"/>
      <c r="B86" s="414"/>
      <c r="C86" s="414"/>
      <c r="D86" s="394" t="s">
        <v>506</v>
      </c>
      <c r="E86" s="390">
        <v>511</v>
      </c>
      <c r="F86" s="404"/>
      <c r="G86" s="404"/>
      <c r="H86" s="404"/>
      <c r="I86" s="404"/>
      <c r="J86" s="404"/>
      <c r="K86" s="404"/>
      <c r="L86" s="404"/>
      <c r="M86" s="404"/>
      <c r="N86" s="404"/>
      <c r="O86" s="404"/>
      <c r="P86" s="404"/>
      <c r="Q86" s="404"/>
      <c r="R86" s="386">
        <f t="shared" si="1"/>
        <v>0</v>
      </c>
    </row>
    <row r="87" spans="1:19" ht="12.5">
      <c r="A87" s="405"/>
      <c r="B87" s="414"/>
      <c r="C87" s="414"/>
      <c r="D87" s="394" t="s">
        <v>530</v>
      </c>
      <c r="E87" s="395">
        <v>511</v>
      </c>
      <c r="F87" s="404"/>
      <c r="G87" s="404"/>
      <c r="H87" s="404"/>
      <c r="I87" s="404"/>
      <c r="J87" s="404"/>
      <c r="K87" s="404"/>
      <c r="L87" s="404"/>
      <c r="M87" s="404"/>
      <c r="N87" s="404"/>
      <c r="O87" s="404"/>
      <c r="P87" s="404"/>
      <c r="Q87" s="404"/>
      <c r="R87" s="386">
        <f t="shared" si="1"/>
        <v>0</v>
      </c>
    </row>
    <row r="88" spans="1:19" ht="12.5">
      <c r="A88" s="405"/>
      <c r="B88" s="414"/>
      <c r="C88" s="414"/>
      <c r="D88" s="394" t="s">
        <v>507</v>
      </c>
      <c r="E88" s="395">
        <v>711</v>
      </c>
      <c r="F88" s="404"/>
      <c r="G88" s="404"/>
      <c r="H88" s="404"/>
      <c r="I88" s="404"/>
      <c r="J88" s="404"/>
      <c r="K88" s="404"/>
      <c r="L88" s="404"/>
      <c r="M88" s="404"/>
      <c r="N88" s="404"/>
      <c r="O88" s="404"/>
      <c r="P88" s="404"/>
      <c r="Q88" s="404"/>
      <c r="R88" s="386">
        <f t="shared" si="1"/>
        <v>0</v>
      </c>
    </row>
    <row r="89" spans="1:19" ht="12.5">
      <c r="A89" s="405"/>
      <c r="B89" s="414"/>
      <c r="C89" s="414"/>
      <c r="D89" s="394" t="s">
        <v>508</v>
      </c>
      <c r="E89" s="395">
        <v>515</v>
      </c>
      <c r="F89" s="404"/>
      <c r="G89" s="404"/>
      <c r="H89" s="404"/>
      <c r="I89" s="404"/>
      <c r="J89" s="404"/>
      <c r="K89" s="404"/>
      <c r="L89" s="404"/>
      <c r="M89" s="404"/>
      <c r="N89" s="404"/>
      <c r="O89" s="404"/>
      <c r="P89" s="404"/>
      <c r="Q89" s="404"/>
      <c r="R89" s="386">
        <f t="shared" si="1"/>
        <v>0</v>
      </c>
    </row>
    <row r="90" spans="1:19" ht="12.5">
      <c r="A90" s="407"/>
      <c r="B90" s="416"/>
      <c r="C90" s="416"/>
      <c r="D90" s="417" t="s">
        <v>511</v>
      </c>
      <c r="E90" s="425">
        <v>7118</v>
      </c>
      <c r="F90" s="410"/>
      <c r="G90" s="410"/>
      <c r="H90" s="410"/>
      <c r="I90" s="410"/>
      <c r="J90" s="410"/>
      <c r="K90" s="410"/>
      <c r="L90" s="410"/>
      <c r="M90" s="410"/>
      <c r="N90" s="410"/>
      <c r="O90" s="410"/>
      <c r="P90" s="410"/>
      <c r="Q90" s="410"/>
      <c r="R90" s="411">
        <f t="shared" si="1"/>
        <v>0</v>
      </c>
    </row>
    <row r="91" spans="1:19" ht="12.5">
      <c r="A91" s="426">
        <v>13</v>
      </c>
      <c r="B91" s="536" t="s">
        <v>544</v>
      </c>
      <c r="C91" s="536" t="s">
        <v>545</v>
      </c>
      <c r="D91" s="537" t="s">
        <v>506</v>
      </c>
      <c r="E91" s="424">
        <v>511</v>
      </c>
      <c r="F91" s="539"/>
      <c r="G91" s="539"/>
      <c r="H91" s="539"/>
      <c r="I91" s="539"/>
      <c r="J91" s="539"/>
      <c r="K91" s="539"/>
      <c r="L91" s="539"/>
      <c r="M91" s="539"/>
      <c r="N91" s="539"/>
      <c r="O91" s="539"/>
      <c r="P91" s="539"/>
      <c r="Q91" s="539"/>
      <c r="R91" s="540">
        <f t="shared" si="1"/>
        <v>0</v>
      </c>
      <c r="S91" s="413"/>
    </row>
    <row r="92" spans="1:19" ht="12.5">
      <c r="A92" s="407"/>
      <c r="B92" s="416"/>
      <c r="C92" s="416"/>
      <c r="D92" s="394" t="s">
        <v>505</v>
      </c>
      <c r="E92" s="422">
        <v>511</v>
      </c>
      <c r="F92" s="404"/>
      <c r="G92" s="404"/>
      <c r="H92" s="404"/>
      <c r="I92" s="404"/>
      <c r="J92" s="404"/>
      <c r="K92" s="404"/>
      <c r="L92" s="404"/>
      <c r="M92" s="404"/>
      <c r="N92" s="404"/>
      <c r="O92" s="404"/>
      <c r="P92" s="404"/>
      <c r="Q92" s="404"/>
      <c r="R92" s="386">
        <f t="shared" si="1"/>
        <v>0</v>
      </c>
    </row>
    <row r="93" spans="1:19" ht="12.5">
      <c r="A93" s="407"/>
      <c r="B93" s="416"/>
      <c r="C93" s="416"/>
      <c r="D93" s="417" t="s">
        <v>515</v>
      </c>
      <c r="E93" s="422">
        <v>511</v>
      </c>
      <c r="F93" s="404"/>
      <c r="G93" s="404"/>
      <c r="H93" s="404"/>
      <c r="I93" s="404"/>
      <c r="J93" s="404"/>
      <c r="K93" s="404"/>
      <c r="L93" s="404"/>
      <c r="M93" s="404"/>
      <c r="N93" s="404"/>
      <c r="O93" s="404"/>
      <c r="P93" s="404"/>
      <c r="Q93" s="404"/>
      <c r="R93" s="386">
        <f t="shared" si="1"/>
        <v>0</v>
      </c>
    </row>
    <row r="94" spans="1:19" ht="12.5">
      <c r="A94" s="407"/>
      <c r="B94" s="416"/>
      <c r="C94" s="416"/>
      <c r="D94" s="417" t="s">
        <v>507</v>
      </c>
      <c r="E94" s="422">
        <v>711</v>
      </c>
      <c r="F94" s="404"/>
      <c r="G94" s="404"/>
      <c r="H94" s="404"/>
      <c r="I94" s="404"/>
      <c r="J94" s="404"/>
      <c r="K94" s="404"/>
      <c r="L94" s="404"/>
      <c r="M94" s="404"/>
      <c r="N94" s="404"/>
      <c r="O94" s="404"/>
      <c r="P94" s="404"/>
      <c r="Q94" s="404"/>
      <c r="R94" s="386">
        <f t="shared" si="1"/>
        <v>0</v>
      </c>
    </row>
    <row r="95" spans="1:19" ht="12.5">
      <c r="A95" s="407"/>
      <c r="B95" s="414"/>
      <c r="C95" s="414"/>
      <c r="D95" s="394" t="s">
        <v>508</v>
      </c>
      <c r="E95" s="395">
        <v>515</v>
      </c>
      <c r="F95" s="404"/>
      <c r="G95" s="404"/>
      <c r="H95" s="404"/>
      <c r="I95" s="404"/>
      <c r="J95" s="404"/>
      <c r="K95" s="404"/>
      <c r="L95" s="404"/>
      <c r="M95" s="404"/>
      <c r="N95" s="404"/>
      <c r="O95" s="404"/>
      <c r="P95" s="404"/>
      <c r="Q95" s="404"/>
      <c r="R95" s="386">
        <f t="shared" si="1"/>
        <v>0</v>
      </c>
    </row>
    <row r="96" spans="1:19" ht="12.5">
      <c r="A96" s="407"/>
      <c r="B96" s="427"/>
      <c r="C96" s="429"/>
      <c r="D96" s="409" t="s">
        <v>511</v>
      </c>
      <c r="E96" s="425">
        <v>7118</v>
      </c>
      <c r="F96" s="410"/>
      <c r="G96" s="410"/>
      <c r="H96" s="410"/>
      <c r="I96" s="410"/>
      <c r="J96" s="410"/>
      <c r="K96" s="410"/>
      <c r="L96" s="410"/>
      <c r="M96" s="410"/>
      <c r="N96" s="410"/>
      <c r="O96" s="410"/>
      <c r="P96" s="410"/>
      <c r="Q96" s="410"/>
      <c r="R96" s="411">
        <f t="shared" si="1"/>
        <v>0</v>
      </c>
    </row>
    <row r="97" spans="1:20" ht="12.5">
      <c r="A97" s="535">
        <v>14</v>
      </c>
      <c r="B97" s="536" t="s">
        <v>546</v>
      </c>
      <c r="C97" s="536" t="s">
        <v>547</v>
      </c>
      <c r="D97" s="537" t="s">
        <v>505</v>
      </c>
      <c r="E97" s="538">
        <v>511</v>
      </c>
      <c r="F97" s="539"/>
      <c r="G97" s="539"/>
      <c r="H97" s="539"/>
      <c r="I97" s="539"/>
      <c r="J97" s="539"/>
      <c r="K97" s="539"/>
      <c r="L97" s="539"/>
      <c r="M97" s="539"/>
      <c r="N97" s="539"/>
      <c r="O97" s="539"/>
      <c r="P97" s="539"/>
      <c r="Q97" s="539"/>
      <c r="R97" s="540">
        <f t="shared" si="1"/>
        <v>0</v>
      </c>
      <c r="S97" s="428"/>
      <c r="T97" s="428"/>
    </row>
    <row r="98" spans="1:20" ht="12.5">
      <c r="A98" s="407"/>
      <c r="B98" s="416"/>
      <c r="C98" s="416"/>
      <c r="D98" s="417" t="s">
        <v>515</v>
      </c>
      <c r="E98" s="422">
        <v>511</v>
      </c>
      <c r="F98" s="404"/>
      <c r="G98" s="404"/>
      <c r="H98" s="404"/>
      <c r="I98" s="404"/>
      <c r="J98" s="404"/>
      <c r="K98" s="404"/>
      <c r="L98" s="404"/>
      <c r="M98" s="404"/>
      <c r="N98" s="404"/>
      <c r="O98" s="404"/>
      <c r="P98" s="404"/>
      <c r="Q98" s="404"/>
      <c r="R98" s="386">
        <f t="shared" si="1"/>
        <v>0</v>
      </c>
    </row>
    <row r="99" spans="1:20" ht="12.5">
      <c r="A99" s="407"/>
      <c r="B99" s="416"/>
      <c r="C99" s="416"/>
      <c r="D99" s="394" t="s">
        <v>506</v>
      </c>
      <c r="E99" s="422">
        <v>511</v>
      </c>
      <c r="F99" s="404"/>
      <c r="G99" s="404"/>
      <c r="H99" s="404"/>
      <c r="I99" s="404"/>
      <c r="J99" s="404"/>
      <c r="K99" s="404"/>
      <c r="L99" s="404"/>
      <c r="M99" s="404"/>
      <c r="N99" s="404"/>
      <c r="O99" s="404"/>
      <c r="P99" s="404"/>
      <c r="Q99" s="404"/>
      <c r="R99" s="386">
        <f t="shared" si="1"/>
        <v>0</v>
      </c>
    </row>
    <row r="100" spans="1:20" ht="12.5">
      <c r="A100" s="407"/>
      <c r="B100" s="416"/>
      <c r="C100" s="416"/>
      <c r="D100" s="417" t="s">
        <v>511</v>
      </c>
      <c r="E100" s="425">
        <v>7118</v>
      </c>
      <c r="F100" s="410"/>
      <c r="G100" s="410"/>
      <c r="H100" s="410"/>
      <c r="I100" s="410"/>
      <c r="J100" s="410"/>
      <c r="K100" s="410"/>
      <c r="L100" s="410"/>
      <c r="M100" s="410"/>
      <c r="N100" s="410"/>
      <c r="O100" s="410"/>
      <c r="P100" s="410"/>
      <c r="Q100" s="410"/>
      <c r="R100" s="411">
        <f t="shared" si="1"/>
        <v>0</v>
      </c>
    </row>
    <row r="101" spans="1:20" ht="12.5">
      <c r="A101" s="535">
        <v>15</v>
      </c>
      <c r="B101" s="536" t="s">
        <v>548</v>
      </c>
      <c r="C101" s="536" t="s">
        <v>549</v>
      </c>
      <c r="D101" s="537" t="s">
        <v>505</v>
      </c>
      <c r="E101" s="538">
        <v>511</v>
      </c>
      <c r="F101" s="539"/>
      <c r="G101" s="539"/>
      <c r="H101" s="539"/>
      <c r="I101" s="539"/>
      <c r="J101" s="539"/>
      <c r="K101" s="539"/>
      <c r="L101" s="539"/>
      <c r="M101" s="539"/>
      <c r="N101" s="539"/>
      <c r="O101" s="539"/>
      <c r="P101" s="539"/>
      <c r="Q101" s="539"/>
      <c r="R101" s="540">
        <f t="shared" si="1"/>
        <v>0</v>
      </c>
    </row>
    <row r="102" spans="1:20" ht="12.5">
      <c r="A102" s="407"/>
      <c r="B102" s="416"/>
      <c r="C102" s="416"/>
      <c r="D102" s="417" t="s">
        <v>515</v>
      </c>
      <c r="E102" s="422">
        <v>511</v>
      </c>
      <c r="F102" s="404"/>
      <c r="G102" s="404"/>
      <c r="H102" s="404"/>
      <c r="I102" s="404"/>
      <c r="J102" s="404"/>
      <c r="K102" s="404"/>
      <c r="L102" s="404"/>
      <c r="M102" s="404"/>
      <c r="N102" s="404"/>
      <c r="O102" s="404"/>
      <c r="P102" s="404"/>
      <c r="Q102" s="404"/>
      <c r="R102" s="386">
        <f t="shared" si="1"/>
        <v>0</v>
      </c>
    </row>
    <row r="103" spans="1:20" ht="12.5">
      <c r="A103" s="407"/>
      <c r="B103" s="416"/>
      <c r="C103" s="416"/>
      <c r="D103" s="417" t="s">
        <v>511</v>
      </c>
      <c r="E103" s="422">
        <v>511</v>
      </c>
      <c r="F103" s="410"/>
      <c r="G103" s="410"/>
      <c r="H103" s="410"/>
      <c r="I103" s="410"/>
      <c r="J103" s="410"/>
      <c r="K103" s="410"/>
      <c r="L103" s="410"/>
      <c r="M103" s="410"/>
      <c r="N103" s="410"/>
      <c r="O103" s="410"/>
      <c r="P103" s="410"/>
      <c r="Q103" s="410"/>
      <c r="R103" s="411">
        <f t="shared" si="1"/>
        <v>0</v>
      </c>
    </row>
    <row r="104" spans="1:20" ht="12.5">
      <c r="A104" s="426">
        <v>16</v>
      </c>
      <c r="B104" s="536" t="s">
        <v>550</v>
      </c>
      <c r="C104" s="536" t="s">
        <v>551</v>
      </c>
      <c r="D104" s="537" t="s">
        <v>505</v>
      </c>
      <c r="E104" s="424">
        <v>511</v>
      </c>
      <c r="F104" s="539"/>
      <c r="G104" s="539"/>
      <c r="H104" s="539"/>
      <c r="I104" s="539"/>
      <c r="J104" s="539"/>
      <c r="K104" s="539"/>
      <c r="L104" s="539"/>
      <c r="M104" s="539"/>
      <c r="N104" s="539"/>
      <c r="O104" s="539"/>
      <c r="P104" s="539"/>
      <c r="Q104" s="539"/>
      <c r="R104" s="540">
        <f t="shared" si="1"/>
        <v>0</v>
      </c>
    </row>
    <row r="105" spans="1:20" ht="12.5">
      <c r="A105" s="407"/>
      <c r="B105" s="414"/>
      <c r="C105" s="418"/>
      <c r="D105" s="406" t="s">
        <v>515</v>
      </c>
      <c r="E105" s="422">
        <v>511</v>
      </c>
      <c r="F105" s="404"/>
      <c r="G105" s="404"/>
      <c r="H105" s="404"/>
      <c r="I105" s="404"/>
      <c r="J105" s="404"/>
      <c r="K105" s="404"/>
      <c r="L105" s="404"/>
      <c r="M105" s="404"/>
      <c r="N105" s="404"/>
      <c r="O105" s="404"/>
      <c r="P105" s="404"/>
      <c r="Q105" s="404"/>
      <c r="R105" s="386">
        <f t="shared" si="1"/>
        <v>0</v>
      </c>
    </row>
    <row r="106" spans="1:20" ht="12.5">
      <c r="A106" s="407"/>
      <c r="B106" s="429"/>
      <c r="C106" s="495"/>
      <c r="D106" s="409" t="s">
        <v>511</v>
      </c>
      <c r="E106" s="430">
        <v>7118</v>
      </c>
      <c r="F106" s="410"/>
      <c r="G106" s="410"/>
      <c r="H106" s="410"/>
      <c r="I106" s="410"/>
      <c r="J106" s="410"/>
      <c r="K106" s="410"/>
      <c r="L106" s="410"/>
      <c r="M106" s="410"/>
      <c r="N106" s="410"/>
      <c r="O106" s="410"/>
      <c r="P106" s="410"/>
      <c r="Q106" s="410"/>
      <c r="R106" s="411">
        <f t="shared" si="1"/>
        <v>0</v>
      </c>
    </row>
    <row r="107" spans="1:20" ht="12.5">
      <c r="A107" s="535">
        <v>17</v>
      </c>
      <c r="B107" s="536" t="s">
        <v>552</v>
      </c>
      <c r="C107" s="536" t="s">
        <v>553</v>
      </c>
      <c r="D107" s="537" t="s">
        <v>505</v>
      </c>
      <c r="E107" s="538">
        <v>511</v>
      </c>
      <c r="F107" s="539"/>
      <c r="G107" s="539"/>
      <c r="H107" s="539"/>
      <c r="I107" s="539"/>
      <c r="J107" s="539"/>
      <c r="K107" s="539"/>
      <c r="L107" s="539"/>
      <c r="M107" s="539"/>
      <c r="N107" s="539"/>
      <c r="O107" s="539"/>
      <c r="P107" s="539"/>
      <c r="Q107" s="539"/>
      <c r="R107" s="540">
        <f t="shared" si="1"/>
        <v>0</v>
      </c>
    </row>
    <row r="108" spans="1:20" ht="12.5">
      <c r="A108" s="407"/>
      <c r="B108" s="416"/>
      <c r="C108" s="416"/>
      <c r="D108" s="417" t="s">
        <v>515</v>
      </c>
      <c r="E108" s="422">
        <v>511</v>
      </c>
      <c r="F108" s="404"/>
      <c r="G108" s="404"/>
      <c r="H108" s="404"/>
      <c r="I108" s="404"/>
      <c r="J108" s="404"/>
      <c r="K108" s="404"/>
      <c r="L108" s="404"/>
      <c r="M108" s="404"/>
      <c r="N108" s="404"/>
      <c r="O108" s="404"/>
      <c r="P108" s="404"/>
      <c r="Q108" s="404"/>
      <c r="R108" s="386">
        <f t="shared" si="1"/>
        <v>0</v>
      </c>
    </row>
    <row r="109" spans="1:20" ht="12.5">
      <c r="A109" s="407"/>
      <c r="B109" s="416"/>
      <c r="C109" s="416"/>
      <c r="D109" s="394" t="s">
        <v>506</v>
      </c>
      <c r="E109" s="422">
        <v>511</v>
      </c>
      <c r="F109" s="404"/>
      <c r="G109" s="404"/>
      <c r="H109" s="404"/>
      <c r="I109" s="404"/>
      <c r="J109" s="404"/>
      <c r="K109" s="404"/>
      <c r="L109" s="404"/>
      <c r="M109" s="404"/>
      <c r="N109" s="404"/>
      <c r="O109" s="404"/>
      <c r="P109" s="404"/>
      <c r="Q109" s="404"/>
      <c r="R109" s="386">
        <f t="shared" si="1"/>
        <v>0</v>
      </c>
    </row>
    <row r="110" spans="1:20" ht="12.5">
      <c r="A110" s="407"/>
      <c r="B110" s="416"/>
      <c r="C110" s="416"/>
      <c r="D110" s="417" t="s">
        <v>511</v>
      </c>
      <c r="E110" s="430">
        <v>7118</v>
      </c>
      <c r="F110" s="410"/>
      <c r="G110" s="410"/>
      <c r="H110" s="410"/>
      <c r="I110" s="410"/>
      <c r="J110" s="410"/>
      <c r="K110" s="410"/>
      <c r="L110" s="410"/>
      <c r="M110" s="410"/>
      <c r="N110" s="410"/>
      <c r="O110" s="410"/>
      <c r="P110" s="410"/>
      <c r="Q110" s="410"/>
      <c r="R110" s="411">
        <f t="shared" si="1"/>
        <v>0</v>
      </c>
    </row>
    <row r="111" spans="1:20" ht="12.5">
      <c r="A111" s="535">
        <v>18</v>
      </c>
      <c r="B111" s="536" t="s">
        <v>554</v>
      </c>
      <c r="C111" s="536" t="s">
        <v>555</v>
      </c>
      <c r="D111" s="537" t="s">
        <v>505</v>
      </c>
      <c r="E111" s="538">
        <v>511</v>
      </c>
      <c r="F111" s="539"/>
      <c r="G111" s="539"/>
      <c r="H111" s="539"/>
      <c r="I111" s="539"/>
      <c r="J111" s="539"/>
      <c r="K111" s="539"/>
      <c r="L111" s="539"/>
      <c r="M111" s="539"/>
      <c r="N111" s="539"/>
      <c r="O111" s="539"/>
      <c r="P111" s="539"/>
      <c r="Q111" s="539"/>
      <c r="R111" s="540">
        <f t="shared" si="1"/>
        <v>0</v>
      </c>
    </row>
    <row r="112" spans="1:20" ht="12.5">
      <c r="A112" s="407"/>
      <c r="B112" s="416"/>
      <c r="C112" s="416"/>
      <c r="D112" s="417" t="s">
        <v>515</v>
      </c>
      <c r="E112" s="422">
        <v>511</v>
      </c>
      <c r="F112" s="404"/>
      <c r="G112" s="404"/>
      <c r="H112" s="404"/>
      <c r="I112" s="404"/>
      <c r="J112" s="404"/>
      <c r="K112" s="404"/>
      <c r="L112" s="404"/>
      <c r="M112" s="404"/>
      <c r="N112" s="404"/>
      <c r="O112" s="404"/>
      <c r="P112" s="404"/>
      <c r="Q112" s="404"/>
      <c r="R112" s="386">
        <f t="shared" si="1"/>
        <v>0</v>
      </c>
    </row>
    <row r="113" spans="1:19" ht="12.5">
      <c r="A113" s="407"/>
      <c r="B113" s="416"/>
      <c r="C113" s="416"/>
      <c r="D113" s="394" t="s">
        <v>506</v>
      </c>
      <c r="E113" s="422">
        <v>511</v>
      </c>
      <c r="F113" s="404"/>
      <c r="G113" s="404"/>
      <c r="H113" s="404"/>
      <c r="I113" s="404"/>
      <c r="J113" s="404"/>
      <c r="K113" s="404"/>
      <c r="L113" s="404"/>
      <c r="M113" s="404"/>
      <c r="N113" s="404"/>
      <c r="O113" s="404"/>
      <c r="P113" s="404"/>
      <c r="Q113" s="404"/>
      <c r="R113" s="386">
        <f t="shared" si="1"/>
        <v>0</v>
      </c>
    </row>
    <row r="114" spans="1:19" ht="12.5">
      <c r="A114" s="407"/>
      <c r="B114" s="416"/>
      <c r="C114" s="416"/>
      <c r="D114" s="417" t="s">
        <v>511</v>
      </c>
      <c r="E114" s="431">
        <v>7118</v>
      </c>
      <c r="F114" s="410"/>
      <c r="G114" s="410"/>
      <c r="H114" s="410"/>
      <c r="I114" s="410"/>
      <c r="J114" s="410"/>
      <c r="K114" s="410"/>
      <c r="L114" s="410"/>
      <c r="M114" s="410"/>
      <c r="N114" s="410"/>
      <c r="O114" s="410"/>
      <c r="P114" s="410"/>
      <c r="Q114" s="410"/>
      <c r="R114" s="411">
        <f t="shared" si="1"/>
        <v>0</v>
      </c>
    </row>
    <row r="115" spans="1:19" ht="12.5">
      <c r="A115" s="535">
        <v>19</v>
      </c>
      <c r="B115" s="536" t="s">
        <v>556</v>
      </c>
      <c r="C115" s="536" t="s">
        <v>557</v>
      </c>
      <c r="D115" s="537" t="s">
        <v>505</v>
      </c>
      <c r="E115" s="538">
        <v>511</v>
      </c>
      <c r="F115" s="539"/>
      <c r="G115" s="539"/>
      <c r="H115" s="539"/>
      <c r="I115" s="539"/>
      <c r="J115" s="539"/>
      <c r="K115" s="539"/>
      <c r="L115" s="539"/>
      <c r="M115" s="539"/>
      <c r="N115" s="539"/>
      <c r="O115" s="539"/>
      <c r="P115" s="539"/>
      <c r="Q115" s="539"/>
      <c r="R115" s="540">
        <f t="shared" si="1"/>
        <v>0</v>
      </c>
      <c r="S115" s="413"/>
    </row>
    <row r="116" spans="1:19" ht="12.5">
      <c r="A116" s="407"/>
      <c r="B116" s="414"/>
      <c r="C116" s="414"/>
      <c r="D116" s="394" t="s">
        <v>515</v>
      </c>
      <c r="E116" s="422">
        <v>511</v>
      </c>
      <c r="F116" s="404"/>
      <c r="G116" s="404"/>
      <c r="H116" s="404"/>
      <c r="I116" s="404"/>
      <c r="J116" s="404"/>
      <c r="K116" s="404"/>
      <c r="L116" s="404"/>
      <c r="M116" s="404"/>
      <c r="N116" s="404"/>
      <c r="O116" s="404"/>
      <c r="P116" s="404"/>
      <c r="Q116" s="404"/>
      <c r="R116" s="386">
        <f t="shared" si="1"/>
        <v>0</v>
      </c>
    </row>
    <row r="117" spans="1:19" ht="12.5">
      <c r="A117" s="407"/>
      <c r="B117" s="429"/>
      <c r="C117" s="429"/>
      <c r="D117" s="432" t="s">
        <v>511</v>
      </c>
      <c r="E117" s="422">
        <v>511</v>
      </c>
      <c r="F117" s="433"/>
      <c r="G117" s="410"/>
      <c r="H117" s="410"/>
      <c r="I117" s="410"/>
      <c r="J117" s="410"/>
      <c r="K117" s="410"/>
      <c r="L117" s="410"/>
      <c r="M117" s="410"/>
      <c r="N117" s="410"/>
      <c r="O117" s="410"/>
      <c r="P117" s="410"/>
      <c r="Q117" s="410"/>
      <c r="R117" s="411">
        <f t="shared" si="1"/>
        <v>0</v>
      </c>
    </row>
    <row r="118" spans="1:19" ht="12.5">
      <c r="A118" s="426">
        <v>20</v>
      </c>
      <c r="B118" s="536" t="s">
        <v>558</v>
      </c>
      <c r="C118" s="536" t="s">
        <v>559</v>
      </c>
      <c r="D118" s="537" t="s">
        <v>505</v>
      </c>
      <c r="E118" s="434">
        <v>511</v>
      </c>
      <c r="F118" s="541"/>
      <c r="G118" s="539"/>
      <c r="H118" s="539"/>
      <c r="I118" s="539"/>
      <c r="J118" s="539"/>
      <c r="K118" s="539"/>
      <c r="L118" s="539"/>
      <c r="M118" s="539"/>
      <c r="N118" s="539"/>
      <c r="O118" s="539"/>
      <c r="P118" s="539"/>
      <c r="Q118" s="539"/>
      <c r="R118" s="540">
        <f t="shared" si="1"/>
        <v>0</v>
      </c>
    </row>
    <row r="119" spans="1:19" ht="12.5">
      <c r="A119" s="407"/>
      <c r="B119" s="414"/>
      <c r="C119" s="414"/>
      <c r="D119" s="394" t="s">
        <v>515</v>
      </c>
      <c r="E119" s="431">
        <v>511</v>
      </c>
      <c r="F119" s="403"/>
      <c r="G119" s="404"/>
      <c r="H119" s="404"/>
      <c r="I119" s="404"/>
      <c r="J119" s="404"/>
      <c r="K119" s="404"/>
      <c r="L119" s="404"/>
      <c r="M119" s="404"/>
      <c r="N119" s="404"/>
      <c r="O119" s="404"/>
      <c r="P119" s="404"/>
      <c r="Q119" s="404"/>
      <c r="R119" s="386">
        <f t="shared" si="1"/>
        <v>0</v>
      </c>
    </row>
    <row r="120" spans="1:19" ht="12.5">
      <c r="A120" s="407"/>
      <c r="B120" s="429"/>
      <c r="C120" s="429"/>
      <c r="D120" s="432" t="s">
        <v>511</v>
      </c>
      <c r="E120" s="431">
        <v>7118</v>
      </c>
      <c r="F120" s="433"/>
      <c r="G120" s="410"/>
      <c r="H120" s="410"/>
      <c r="I120" s="410"/>
      <c r="J120" s="410"/>
      <c r="K120" s="410"/>
      <c r="L120" s="410"/>
      <c r="M120" s="410"/>
      <c r="N120" s="410"/>
      <c r="O120" s="410"/>
      <c r="P120" s="410"/>
      <c r="Q120" s="410"/>
      <c r="R120" s="411">
        <f t="shared" si="1"/>
        <v>0</v>
      </c>
    </row>
    <row r="121" spans="1:19" ht="12.5">
      <c r="A121" s="426">
        <v>21</v>
      </c>
      <c r="B121" s="536" t="s">
        <v>560</v>
      </c>
      <c r="C121" s="536" t="s">
        <v>561</v>
      </c>
      <c r="D121" s="537" t="s">
        <v>505</v>
      </c>
      <c r="E121" s="424">
        <v>511</v>
      </c>
      <c r="F121" s="539"/>
      <c r="G121" s="539"/>
      <c r="H121" s="539"/>
      <c r="I121" s="539"/>
      <c r="J121" s="539"/>
      <c r="K121" s="539"/>
      <c r="L121" s="539"/>
      <c r="M121" s="539"/>
      <c r="N121" s="539"/>
      <c r="O121" s="539"/>
      <c r="P121" s="539"/>
      <c r="Q121" s="539"/>
      <c r="R121" s="540">
        <f t="shared" si="1"/>
        <v>0</v>
      </c>
    </row>
    <row r="122" spans="1:19" ht="12.5">
      <c r="A122" s="405"/>
      <c r="B122" s="414"/>
      <c r="C122" s="414"/>
      <c r="D122" s="394" t="s">
        <v>515</v>
      </c>
      <c r="E122" s="395">
        <v>511</v>
      </c>
      <c r="F122" s="404"/>
      <c r="G122" s="404"/>
      <c r="H122" s="404"/>
      <c r="I122" s="404"/>
      <c r="J122" s="404"/>
      <c r="K122" s="404"/>
      <c r="L122" s="404"/>
      <c r="M122" s="404"/>
      <c r="N122" s="404"/>
      <c r="O122" s="404"/>
      <c r="P122" s="404"/>
      <c r="Q122" s="404"/>
      <c r="R122" s="421">
        <f t="shared" si="1"/>
        <v>0</v>
      </c>
    </row>
    <row r="123" spans="1:19" ht="12.5">
      <c r="A123" s="396"/>
      <c r="B123" s="429"/>
      <c r="C123" s="429"/>
      <c r="D123" s="432" t="s">
        <v>511</v>
      </c>
      <c r="E123" s="430">
        <v>7118</v>
      </c>
      <c r="F123" s="400"/>
      <c r="G123" s="400"/>
      <c r="H123" s="400"/>
      <c r="I123" s="400"/>
      <c r="J123" s="400"/>
      <c r="K123" s="400"/>
      <c r="L123" s="400"/>
      <c r="M123" s="400"/>
      <c r="N123" s="400"/>
      <c r="O123" s="400"/>
      <c r="P123" s="400"/>
      <c r="Q123" s="400"/>
      <c r="R123" s="401">
        <f t="shared" si="1"/>
        <v>0</v>
      </c>
    </row>
    <row r="124" spans="1:19" ht="12.5">
      <c r="A124" s="535">
        <v>22</v>
      </c>
      <c r="B124" s="536" t="s">
        <v>562</v>
      </c>
      <c r="C124" s="536" t="s">
        <v>563</v>
      </c>
      <c r="D124" s="537" t="s">
        <v>505</v>
      </c>
      <c r="E124" s="538">
        <v>511</v>
      </c>
      <c r="F124" s="539"/>
      <c r="G124" s="539"/>
      <c r="H124" s="539"/>
      <c r="I124" s="539"/>
      <c r="J124" s="539"/>
      <c r="K124" s="539"/>
      <c r="L124" s="539"/>
      <c r="M124" s="539"/>
      <c r="N124" s="539"/>
      <c r="O124" s="539"/>
      <c r="P124" s="539"/>
      <c r="Q124" s="539"/>
      <c r="R124" s="540">
        <f t="shared" si="1"/>
        <v>0</v>
      </c>
    </row>
    <row r="125" spans="1:19" ht="12.5">
      <c r="A125" s="405"/>
      <c r="B125" s="414"/>
      <c r="C125" s="414"/>
      <c r="D125" s="394" t="s">
        <v>515</v>
      </c>
      <c r="E125" s="422">
        <v>511</v>
      </c>
      <c r="F125" s="410"/>
      <c r="G125" s="410"/>
      <c r="H125" s="410"/>
      <c r="I125" s="410"/>
      <c r="J125" s="410"/>
      <c r="K125" s="410"/>
      <c r="L125" s="410"/>
      <c r="M125" s="410"/>
      <c r="N125" s="410"/>
      <c r="O125" s="410"/>
      <c r="P125" s="410"/>
      <c r="Q125" s="410"/>
      <c r="R125" s="421">
        <f t="shared" si="1"/>
        <v>0</v>
      </c>
    </row>
    <row r="126" spans="1:19" ht="12.5">
      <c r="A126" s="435"/>
      <c r="B126" s="436"/>
      <c r="C126" s="436"/>
      <c r="D126" s="436" t="s">
        <v>511</v>
      </c>
      <c r="E126" s="431">
        <v>7118</v>
      </c>
      <c r="F126" s="404"/>
      <c r="G126" s="404"/>
      <c r="H126" s="404"/>
      <c r="I126" s="404"/>
      <c r="J126" s="404"/>
      <c r="K126" s="404"/>
      <c r="L126" s="404"/>
      <c r="M126" s="404"/>
      <c r="N126" s="404"/>
      <c r="O126" s="404"/>
      <c r="P126" s="404"/>
      <c r="Q126" s="404"/>
      <c r="R126" s="401">
        <f t="shared" si="1"/>
        <v>0</v>
      </c>
    </row>
    <row r="127" spans="1:19">
      <c r="A127" s="437" t="s">
        <v>564</v>
      </c>
      <c r="B127" s="376" t="s">
        <v>565</v>
      </c>
      <c r="C127" s="376"/>
      <c r="D127" s="376"/>
      <c r="E127" s="376"/>
      <c r="F127" s="522"/>
      <c r="G127" s="523"/>
      <c r="H127" s="523"/>
      <c r="I127" s="523"/>
      <c r="J127" s="523"/>
      <c r="K127" s="523"/>
      <c r="L127" s="523"/>
      <c r="M127" s="523"/>
      <c r="N127" s="523"/>
      <c r="O127" s="523"/>
      <c r="P127" s="523"/>
      <c r="Q127" s="523"/>
      <c r="R127" s="438"/>
    </row>
    <row r="128" spans="1:19" ht="12.5">
      <c r="A128" s="380">
        <v>1</v>
      </c>
      <c r="B128" s="381" t="s">
        <v>503</v>
      </c>
      <c r="C128" s="381" t="s">
        <v>504</v>
      </c>
      <c r="D128" s="388" t="s">
        <v>566</v>
      </c>
      <c r="E128" s="383">
        <v>641</v>
      </c>
      <c r="F128" s="404"/>
      <c r="G128" s="404"/>
      <c r="H128" s="404"/>
      <c r="I128" s="404"/>
      <c r="J128" s="404"/>
      <c r="K128" s="404"/>
      <c r="L128" s="404"/>
      <c r="M128" s="404"/>
      <c r="N128" s="404"/>
      <c r="O128" s="404"/>
      <c r="P128" s="404"/>
      <c r="Q128" s="404"/>
      <c r="R128" s="386">
        <f t="shared" ref="R128:R199" si="2">SUM(F128:Q128)</f>
        <v>0</v>
      </c>
      <c r="S128" s="413"/>
    </row>
    <row r="129" spans="1:18" ht="12.5">
      <c r="A129" s="405"/>
      <c r="B129" s="479"/>
      <c r="C129" s="498"/>
      <c r="D129" s="391" t="s">
        <v>567</v>
      </c>
      <c r="E129" s="383">
        <v>642</v>
      </c>
      <c r="F129" s="404"/>
      <c r="G129" s="404"/>
      <c r="H129" s="404"/>
      <c r="I129" s="404"/>
      <c r="J129" s="404"/>
      <c r="K129" s="404"/>
      <c r="L129" s="404"/>
      <c r="M129" s="404"/>
      <c r="N129" s="404"/>
      <c r="O129" s="404"/>
      <c r="P129" s="404"/>
      <c r="Q129" s="404"/>
      <c r="R129" s="386">
        <f t="shared" si="2"/>
        <v>0</v>
      </c>
    </row>
    <row r="130" spans="1:18" ht="12.5">
      <c r="A130" s="405"/>
      <c r="B130" s="479"/>
      <c r="C130" s="498"/>
      <c r="D130" s="388" t="s">
        <v>568</v>
      </c>
      <c r="E130" s="383">
        <v>627</v>
      </c>
      <c r="F130" s="404"/>
      <c r="G130" s="404"/>
      <c r="H130" s="404"/>
      <c r="I130" s="404"/>
      <c r="J130" s="404"/>
      <c r="K130" s="404"/>
      <c r="L130" s="404"/>
      <c r="M130" s="404"/>
      <c r="N130" s="404"/>
      <c r="O130" s="404"/>
      <c r="P130" s="404"/>
      <c r="Q130" s="404"/>
      <c r="R130" s="386">
        <f t="shared" si="2"/>
        <v>0</v>
      </c>
    </row>
    <row r="131" spans="1:18" ht="12.5">
      <c r="A131" s="405"/>
      <c r="B131" s="479"/>
      <c r="C131" s="498"/>
      <c r="D131" s="391" t="s">
        <v>569</v>
      </c>
      <c r="E131" s="383">
        <v>211</v>
      </c>
      <c r="F131" s="404"/>
      <c r="G131" s="404"/>
      <c r="H131" s="404"/>
      <c r="I131" s="404"/>
      <c r="J131" s="404"/>
      <c r="K131" s="404"/>
      <c r="L131" s="404"/>
      <c r="M131" s="404"/>
      <c r="N131" s="404"/>
      <c r="O131" s="404"/>
      <c r="P131" s="404"/>
      <c r="Q131" s="404"/>
      <c r="R131" s="386">
        <f t="shared" si="2"/>
        <v>0</v>
      </c>
    </row>
    <row r="132" spans="1:18" ht="12.5">
      <c r="A132" s="405"/>
      <c r="B132" s="479"/>
      <c r="C132" s="498"/>
      <c r="D132" s="391" t="s">
        <v>570</v>
      </c>
      <c r="E132" s="383">
        <v>153</v>
      </c>
      <c r="F132" s="404"/>
      <c r="G132" s="404"/>
      <c r="H132" s="404"/>
      <c r="I132" s="404"/>
      <c r="J132" s="404"/>
      <c r="K132" s="404"/>
      <c r="L132" s="404"/>
      <c r="M132" s="404"/>
      <c r="N132" s="404"/>
      <c r="O132" s="404"/>
      <c r="P132" s="404"/>
      <c r="Q132" s="404"/>
      <c r="R132" s="386">
        <f t="shared" si="2"/>
        <v>0</v>
      </c>
    </row>
    <row r="133" spans="1:18" ht="12.5">
      <c r="A133" s="405"/>
      <c r="B133" s="479"/>
      <c r="C133" s="498"/>
      <c r="D133" s="391" t="s">
        <v>571</v>
      </c>
      <c r="E133" s="383">
        <v>642</v>
      </c>
      <c r="F133" s="404"/>
      <c r="G133" s="404"/>
      <c r="H133" s="404"/>
      <c r="I133" s="404"/>
      <c r="J133" s="404"/>
      <c r="K133" s="404"/>
      <c r="L133" s="404"/>
      <c r="M133" s="404"/>
      <c r="N133" s="404"/>
      <c r="O133" s="404"/>
      <c r="P133" s="404"/>
      <c r="Q133" s="404"/>
      <c r="R133" s="439">
        <f t="shared" si="2"/>
        <v>0</v>
      </c>
    </row>
    <row r="134" spans="1:18" ht="12.5">
      <c r="A134" s="396"/>
      <c r="B134" s="475"/>
      <c r="C134" s="475"/>
      <c r="D134" s="397" t="s">
        <v>572</v>
      </c>
      <c r="E134" s="440"/>
      <c r="F134" s="524"/>
      <c r="G134" s="445"/>
      <c r="H134" s="445"/>
      <c r="I134" s="445"/>
      <c r="J134" s="445"/>
      <c r="K134" s="445"/>
      <c r="L134" s="445"/>
      <c r="M134" s="445"/>
      <c r="N134" s="445"/>
      <c r="O134" s="445"/>
      <c r="P134" s="445"/>
      <c r="Q134" s="445"/>
      <c r="R134" s="441">
        <f t="shared" si="2"/>
        <v>0</v>
      </c>
    </row>
    <row r="135" spans="1:18" ht="12.5">
      <c r="A135" s="535">
        <v>2</v>
      </c>
      <c r="B135" s="536" t="s">
        <v>513</v>
      </c>
      <c r="C135" s="536" t="s">
        <v>514</v>
      </c>
      <c r="D135" s="537" t="s">
        <v>573</v>
      </c>
      <c r="E135" s="442">
        <v>1548</v>
      </c>
      <c r="F135" s="385"/>
      <c r="G135" s="385"/>
      <c r="H135" s="385"/>
      <c r="I135" s="385"/>
      <c r="J135" s="385"/>
      <c r="K135" s="385"/>
      <c r="L135" s="385"/>
      <c r="M135" s="385"/>
      <c r="N135" s="385"/>
      <c r="O135" s="385"/>
      <c r="P135" s="385"/>
      <c r="Q135" s="385"/>
      <c r="R135" s="386">
        <f t="shared" si="2"/>
        <v>0</v>
      </c>
    </row>
    <row r="136" spans="1:18" ht="12.5">
      <c r="A136" s="380"/>
      <c r="B136" s="414"/>
      <c r="C136" s="414"/>
      <c r="D136" s="394" t="s">
        <v>574</v>
      </c>
      <c r="E136" s="442">
        <v>152</v>
      </c>
      <c r="F136" s="385"/>
      <c r="G136" s="385"/>
      <c r="H136" s="385"/>
      <c r="I136" s="385"/>
      <c r="J136" s="385"/>
      <c r="K136" s="385"/>
      <c r="L136" s="385"/>
      <c r="M136" s="385"/>
      <c r="N136" s="385"/>
      <c r="O136" s="385"/>
      <c r="P136" s="385"/>
      <c r="Q136" s="385"/>
      <c r="R136" s="386">
        <f t="shared" si="2"/>
        <v>0</v>
      </c>
    </row>
    <row r="137" spans="1:18" ht="12.5">
      <c r="A137" s="380"/>
      <c r="B137" s="414"/>
      <c r="C137" s="414"/>
      <c r="D137" s="394" t="s">
        <v>575</v>
      </c>
      <c r="E137" s="442" t="s">
        <v>576</v>
      </c>
      <c r="F137" s="385"/>
      <c r="G137" s="385"/>
      <c r="H137" s="385"/>
      <c r="I137" s="385"/>
      <c r="J137" s="385"/>
      <c r="K137" s="385"/>
      <c r="L137" s="385"/>
      <c r="M137" s="385"/>
      <c r="N137" s="385"/>
      <c r="O137" s="385"/>
      <c r="P137" s="385"/>
      <c r="Q137" s="385"/>
      <c r="R137" s="386">
        <f t="shared" si="2"/>
        <v>0</v>
      </c>
    </row>
    <row r="138" spans="1:18" ht="12.5">
      <c r="A138" s="405"/>
      <c r="B138" s="414"/>
      <c r="C138" s="414"/>
      <c r="D138" s="394" t="s">
        <v>577</v>
      </c>
      <c r="E138" s="443">
        <v>641</v>
      </c>
      <c r="F138" s="385"/>
      <c r="G138" s="385"/>
      <c r="H138" s="385"/>
      <c r="I138" s="385"/>
      <c r="J138" s="385"/>
      <c r="K138" s="385"/>
      <c r="L138" s="385"/>
      <c r="M138" s="385"/>
      <c r="N138" s="385"/>
      <c r="O138" s="385"/>
      <c r="P138" s="385"/>
      <c r="Q138" s="385"/>
      <c r="R138" s="386">
        <f t="shared" si="2"/>
        <v>0</v>
      </c>
    </row>
    <row r="139" spans="1:18" ht="12.5">
      <c r="A139" s="405"/>
      <c r="B139" s="414"/>
      <c r="C139" s="414"/>
      <c r="D139" s="394" t="s">
        <v>569</v>
      </c>
      <c r="E139" s="443">
        <v>211</v>
      </c>
      <c r="F139" s="385"/>
      <c r="G139" s="385"/>
      <c r="H139" s="385"/>
      <c r="I139" s="385"/>
      <c r="J139" s="385"/>
      <c r="K139" s="385"/>
      <c r="L139" s="385"/>
      <c r="M139" s="385"/>
      <c r="N139" s="385"/>
      <c r="O139" s="385"/>
      <c r="P139" s="385"/>
      <c r="Q139" s="385"/>
      <c r="R139" s="386">
        <f t="shared" si="2"/>
        <v>0</v>
      </c>
    </row>
    <row r="140" spans="1:18" ht="12.5">
      <c r="A140" s="407"/>
      <c r="B140" s="416"/>
      <c r="C140" s="416"/>
      <c r="D140" s="417" t="s">
        <v>572</v>
      </c>
      <c r="E140" s="431"/>
      <c r="F140" s="444"/>
      <c r="G140" s="444"/>
      <c r="H140" s="444"/>
      <c r="I140" s="444"/>
      <c r="J140" s="444"/>
      <c r="K140" s="444"/>
      <c r="L140" s="444"/>
      <c r="M140" s="444"/>
      <c r="N140" s="444"/>
      <c r="O140" s="444"/>
      <c r="P140" s="444"/>
      <c r="Q140" s="444"/>
      <c r="R140" s="411">
        <f t="shared" si="2"/>
        <v>0</v>
      </c>
    </row>
    <row r="141" spans="1:18" ht="12.5">
      <c r="A141" s="535">
        <v>3</v>
      </c>
      <c r="B141" s="536" t="s">
        <v>519</v>
      </c>
      <c r="C141" s="536" t="s">
        <v>520</v>
      </c>
      <c r="D141" s="537" t="s">
        <v>578</v>
      </c>
      <c r="E141" s="543" t="s">
        <v>576</v>
      </c>
      <c r="F141" s="541"/>
      <c r="G141" s="541"/>
      <c r="H141" s="541"/>
      <c r="I141" s="541"/>
      <c r="J141" s="541"/>
      <c r="K141" s="541"/>
      <c r="L141" s="541"/>
      <c r="M141" s="541"/>
      <c r="N141" s="541"/>
      <c r="O141" s="541"/>
      <c r="P141" s="541"/>
      <c r="Q141" s="541"/>
      <c r="R141" s="540">
        <f t="shared" si="2"/>
        <v>0</v>
      </c>
    </row>
    <row r="142" spans="1:18" ht="12.5">
      <c r="A142" s="405"/>
      <c r="B142" s="414"/>
      <c r="C142" s="414"/>
      <c r="D142" s="394" t="s">
        <v>574</v>
      </c>
      <c r="E142" s="442">
        <v>152</v>
      </c>
      <c r="F142" s="385"/>
      <c r="G142" s="385"/>
      <c r="H142" s="385"/>
      <c r="I142" s="385"/>
      <c r="J142" s="385"/>
      <c r="K142" s="385"/>
      <c r="L142" s="385"/>
      <c r="M142" s="385"/>
      <c r="N142" s="385"/>
      <c r="O142" s="385"/>
      <c r="P142" s="385"/>
      <c r="Q142" s="385"/>
      <c r="R142" s="386">
        <f t="shared" si="2"/>
        <v>0</v>
      </c>
    </row>
    <row r="143" spans="1:18" ht="12.5">
      <c r="A143" s="405"/>
      <c r="B143" s="414"/>
      <c r="C143" s="414"/>
      <c r="D143" s="394" t="s">
        <v>575</v>
      </c>
      <c r="E143" s="442" t="s">
        <v>576</v>
      </c>
      <c r="F143" s="385"/>
      <c r="G143" s="385"/>
      <c r="H143" s="385"/>
      <c r="I143" s="385"/>
      <c r="J143" s="385"/>
      <c r="K143" s="385"/>
      <c r="L143" s="385"/>
      <c r="M143" s="385"/>
      <c r="N143" s="385"/>
      <c r="O143" s="385"/>
      <c r="P143" s="385"/>
      <c r="Q143" s="385"/>
      <c r="R143" s="386">
        <f t="shared" si="2"/>
        <v>0</v>
      </c>
    </row>
    <row r="144" spans="1:18" ht="12.5">
      <c r="A144" s="405"/>
      <c r="B144" s="414"/>
      <c r="C144" s="414"/>
      <c r="D144" s="394" t="s">
        <v>569</v>
      </c>
      <c r="E144" s="443">
        <v>211</v>
      </c>
      <c r="F144" s="385"/>
      <c r="G144" s="385"/>
      <c r="H144" s="385"/>
      <c r="I144" s="385"/>
      <c r="J144" s="385"/>
      <c r="K144" s="385"/>
      <c r="L144" s="385"/>
      <c r="M144" s="385"/>
      <c r="N144" s="385"/>
      <c r="O144" s="385"/>
      <c r="P144" s="385"/>
      <c r="Q144" s="385"/>
      <c r="R144" s="386">
        <f t="shared" si="2"/>
        <v>0</v>
      </c>
    </row>
    <row r="145" spans="1:18" ht="12.5">
      <c r="A145" s="407"/>
      <c r="B145" s="416"/>
      <c r="C145" s="416"/>
      <c r="D145" s="417" t="s">
        <v>572</v>
      </c>
      <c r="E145" s="431"/>
      <c r="F145" s="444"/>
      <c r="G145" s="444"/>
      <c r="H145" s="444"/>
      <c r="I145" s="444"/>
      <c r="J145" s="444"/>
      <c r="K145" s="444"/>
      <c r="L145" s="444"/>
      <c r="M145" s="444"/>
      <c r="N145" s="444"/>
      <c r="O145" s="444"/>
      <c r="P145" s="444"/>
      <c r="Q145" s="444"/>
      <c r="R145" s="411">
        <f t="shared" si="2"/>
        <v>0</v>
      </c>
    </row>
    <row r="146" spans="1:18" ht="12.5">
      <c r="A146" s="535">
        <v>4</v>
      </c>
      <c r="B146" s="536" t="s">
        <v>522</v>
      </c>
      <c r="C146" s="536" t="s">
        <v>523</v>
      </c>
      <c r="D146" s="537" t="s">
        <v>578</v>
      </c>
      <c r="E146" s="543" t="s">
        <v>576</v>
      </c>
      <c r="F146" s="541"/>
      <c r="G146" s="541"/>
      <c r="H146" s="541"/>
      <c r="I146" s="541"/>
      <c r="J146" s="541"/>
      <c r="K146" s="541"/>
      <c r="L146" s="541"/>
      <c r="M146" s="541"/>
      <c r="N146" s="541"/>
      <c r="O146" s="541"/>
      <c r="P146" s="541"/>
      <c r="Q146" s="541"/>
      <c r="R146" s="540">
        <f t="shared" si="2"/>
        <v>0</v>
      </c>
    </row>
    <row r="147" spans="1:18" ht="12.5">
      <c r="A147" s="405"/>
      <c r="B147" s="414"/>
      <c r="C147" s="414"/>
      <c r="D147" s="394" t="s">
        <v>574</v>
      </c>
      <c r="E147" s="442">
        <v>152</v>
      </c>
      <c r="F147" s="385"/>
      <c r="G147" s="385"/>
      <c r="H147" s="385"/>
      <c r="I147" s="385"/>
      <c r="J147" s="385"/>
      <c r="K147" s="385"/>
      <c r="L147" s="385"/>
      <c r="M147" s="385"/>
      <c r="N147" s="385"/>
      <c r="O147" s="385"/>
      <c r="P147" s="385"/>
      <c r="Q147" s="385"/>
      <c r="R147" s="386">
        <f t="shared" si="2"/>
        <v>0</v>
      </c>
    </row>
    <row r="148" spans="1:18" ht="12.5">
      <c r="A148" s="405"/>
      <c r="B148" s="414"/>
      <c r="C148" s="414"/>
      <c r="D148" s="394" t="s">
        <v>575</v>
      </c>
      <c r="E148" s="442" t="s">
        <v>576</v>
      </c>
      <c r="F148" s="385"/>
      <c r="G148" s="385"/>
      <c r="H148" s="385"/>
      <c r="I148" s="385"/>
      <c r="J148" s="385"/>
      <c r="K148" s="385"/>
      <c r="L148" s="385"/>
      <c r="M148" s="385"/>
      <c r="N148" s="385"/>
      <c r="O148" s="385"/>
      <c r="P148" s="385"/>
      <c r="Q148" s="385"/>
      <c r="R148" s="386">
        <f t="shared" si="2"/>
        <v>0</v>
      </c>
    </row>
    <row r="149" spans="1:18" ht="12.5">
      <c r="A149" s="405"/>
      <c r="B149" s="414"/>
      <c r="C149" s="414"/>
      <c r="D149" s="394" t="s">
        <v>569</v>
      </c>
      <c r="E149" s="443">
        <v>211</v>
      </c>
      <c r="F149" s="385"/>
      <c r="G149" s="385"/>
      <c r="H149" s="385"/>
      <c r="I149" s="385"/>
      <c r="J149" s="385"/>
      <c r="K149" s="385"/>
      <c r="L149" s="385"/>
      <c r="M149" s="385"/>
      <c r="N149" s="385"/>
      <c r="O149" s="385"/>
      <c r="P149" s="385"/>
      <c r="Q149" s="385"/>
      <c r="R149" s="386">
        <f t="shared" si="2"/>
        <v>0</v>
      </c>
    </row>
    <row r="150" spans="1:18" ht="12.5">
      <c r="A150" s="405"/>
      <c r="B150" s="414"/>
      <c r="C150" s="414"/>
      <c r="D150" s="394" t="s">
        <v>572</v>
      </c>
      <c r="E150" s="443"/>
      <c r="F150" s="385"/>
      <c r="G150" s="385"/>
      <c r="H150" s="385"/>
      <c r="I150" s="385"/>
      <c r="J150" s="385"/>
      <c r="K150" s="385"/>
      <c r="L150" s="385"/>
      <c r="M150" s="385"/>
      <c r="N150" s="385"/>
      <c r="O150" s="385"/>
      <c r="P150" s="385"/>
      <c r="Q150" s="385"/>
      <c r="R150" s="386">
        <f t="shared" si="2"/>
        <v>0</v>
      </c>
    </row>
    <row r="151" spans="1:18" ht="12.5">
      <c r="A151" s="535">
        <v>5</v>
      </c>
      <c r="B151" s="536" t="s">
        <v>524</v>
      </c>
      <c r="C151" s="536" t="s">
        <v>525</v>
      </c>
      <c r="D151" s="537" t="s">
        <v>573</v>
      </c>
      <c r="E151" s="543">
        <v>1548</v>
      </c>
      <c r="F151" s="541"/>
      <c r="G151" s="541"/>
      <c r="H151" s="541"/>
      <c r="I151" s="541"/>
      <c r="J151" s="541"/>
      <c r="K151" s="541"/>
      <c r="L151" s="541"/>
      <c r="M151" s="541"/>
      <c r="N151" s="541"/>
      <c r="O151" s="541"/>
      <c r="P151" s="541"/>
      <c r="Q151" s="541"/>
      <c r="R151" s="540">
        <f t="shared" si="2"/>
        <v>0</v>
      </c>
    </row>
    <row r="152" spans="1:18" ht="12.5">
      <c r="A152" s="407"/>
      <c r="B152" s="416"/>
      <c r="C152" s="416"/>
      <c r="D152" s="417" t="s">
        <v>574</v>
      </c>
      <c r="E152" s="442">
        <v>152</v>
      </c>
      <c r="F152" s="385"/>
      <c r="G152" s="385"/>
      <c r="H152" s="385"/>
      <c r="I152" s="385"/>
      <c r="J152" s="385"/>
      <c r="K152" s="385"/>
      <c r="L152" s="385"/>
      <c r="M152" s="385"/>
      <c r="N152" s="385"/>
      <c r="O152" s="385"/>
      <c r="P152" s="385"/>
      <c r="Q152" s="385"/>
      <c r="R152" s="386">
        <f t="shared" si="2"/>
        <v>0</v>
      </c>
    </row>
    <row r="153" spans="1:18" ht="12.5">
      <c r="A153" s="407"/>
      <c r="B153" s="416"/>
      <c r="C153" s="416"/>
      <c r="D153" s="394" t="s">
        <v>579</v>
      </c>
      <c r="E153" s="443">
        <v>641</v>
      </c>
      <c r="F153" s="385"/>
      <c r="G153" s="385"/>
      <c r="H153" s="385"/>
      <c r="I153" s="385"/>
      <c r="J153" s="385"/>
      <c r="K153" s="385"/>
      <c r="L153" s="385"/>
      <c r="M153" s="385"/>
      <c r="N153" s="385"/>
      <c r="O153" s="385"/>
      <c r="P153" s="385"/>
      <c r="Q153" s="385"/>
      <c r="R153" s="386">
        <f t="shared" si="2"/>
        <v>0</v>
      </c>
    </row>
    <row r="154" spans="1:18" ht="12.5">
      <c r="A154" s="407"/>
      <c r="B154" s="416"/>
      <c r="C154" s="416"/>
      <c r="D154" s="417" t="s">
        <v>568</v>
      </c>
      <c r="E154" s="443">
        <v>627</v>
      </c>
      <c r="F154" s="385"/>
      <c r="G154" s="385"/>
      <c r="H154" s="385"/>
      <c r="I154" s="385"/>
      <c r="J154" s="385"/>
      <c r="K154" s="385"/>
      <c r="L154" s="385"/>
      <c r="M154" s="385"/>
      <c r="N154" s="385"/>
      <c r="O154" s="385"/>
      <c r="P154" s="385"/>
      <c r="Q154" s="385"/>
      <c r="R154" s="386">
        <f t="shared" si="2"/>
        <v>0</v>
      </c>
    </row>
    <row r="155" spans="1:18" ht="12.5">
      <c r="A155" s="407"/>
      <c r="B155" s="416"/>
      <c r="C155" s="416"/>
      <c r="D155" s="417" t="s">
        <v>572</v>
      </c>
      <c r="E155" s="431"/>
      <c r="F155" s="444"/>
      <c r="G155" s="444"/>
      <c r="H155" s="444"/>
      <c r="I155" s="444"/>
      <c r="J155" s="444"/>
      <c r="K155" s="444"/>
      <c r="L155" s="444"/>
      <c r="M155" s="444"/>
      <c r="N155" s="444"/>
      <c r="O155" s="444"/>
      <c r="P155" s="444"/>
      <c r="Q155" s="444"/>
      <c r="R155" s="411">
        <f t="shared" si="2"/>
        <v>0</v>
      </c>
    </row>
    <row r="156" spans="1:18" ht="12.5">
      <c r="A156" s="535">
        <v>6</v>
      </c>
      <c r="B156" s="536" t="s">
        <v>527</v>
      </c>
      <c r="C156" s="536" t="s">
        <v>528</v>
      </c>
      <c r="D156" s="537" t="s">
        <v>573</v>
      </c>
      <c r="E156" s="543">
        <v>1548</v>
      </c>
      <c r="F156" s="541"/>
      <c r="G156" s="541"/>
      <c r="H156" s="541"/>
      <c r="I156" s="541"/>
      <c r="J156" s="541"/>
      <c r="K156" s="541"/>
      <c r="L156" s="541"/>
      <c r="M156" s="541"/>
      <c r="N156" s="541"/>
      <c r="O156" s="541"/>
      <c r="P156" s="541"/>
      <c r="Q156" s="541"/>
      <c r="R156" s="540">
        <f t="shared" si="2"/>
        <v>0</v>
      </c>
    </row>
    <row r="157" spans="1:18" ht="12.5">
      <c r="A157" s="380"/>
      <c r="B157" s="414"/>
      <c r="C157" s="414"/>
      <c r="D157" s="394" t="s">
        <v>574</v>
      </c>
      <c r="E157" s="443">
        <v>152</v>
      </c>
      <c r="F157" s="385"/>
      <c r="G157" s="385"/>
      <c r="H157" s="385"/>
      <c r="I157" s="385"/>
      <c r="J157" s="385"/>
      <c r="K157" s="385"/>
      <c r="L157" s="385"/>
      <c r="M157" s="385"/>
      <c r="N157" s="385"/>
      <c r="O157" s="385"/>
      <c r="P157" s="385"/>
      <c r="Q157" s="385"/>
      <c r="R157" s="386">
        <f t="shared" si="2"/>
        <v>0</v>
      </c>
    </row>
    <row r="158" spans="1:18" ht="12.5">
      <c r="A158" s="380"/>
      <c r="B158" s="414"/>
      <c r="C158" s="414"/>
      <c r="D158" s="394" t="s">
        <v>575</v>
      </c>
      <c r="E158" s="442" t="s">
        <v>576</v>
      </c>
      <c r="F158" s="385"/>
      <c r="G158" s="385"/>
      <c r="H158" s="385"/>
      <c r="I158" s="385"/>
      <c r="J158" s="385"/>
      <c r="K158" s="385"/>
      <c r="L158" s="385"/>
      <c r="M158" s="385"/>
      <c r="N158" s="385"/>
      <c r="O158" s="385"/>
      <c r="P158" s="385"/>
      <c r="Q158" s="385"/>
      <c r="R158" s="386">
        <f t="shared" si="2"/>
        <v>0</v>
      </c>
    </row>
    <row r="159" spans="1:18" ht="12.5">
      <c r="A159" s="380"/>
      <c r="B159" s="414"/>
      <c r="C159" s="414"/>
      <c r="D159" s="394" t="s">
        <v>568</v>
      </c>
      <c r="E159" s="443">
        <v>627</v>
      </c>
      <c r="F159" s="385"/>
      <c r="G159" s="385"/>
      <c r="H159" s="385"/>
      <c r="I159" s="385"/>
      <c r="J159" s="385"/>
      <c r="K159" s="385"/>
      <c r="L159" s="385"/>
      <c r="M159" s="385"/>
      <c r="N159" s="385"/>
      <c r="O159" s="385"/>
      <c r="P159" s="385"/>
      <c r="Q159" s="385"/>
      <c r="R159" s="386">
        <f t="shared" si="2"/>
        <v>0</v>
      </c>
    </row>
    <row r="160" spans="1:18" ht="12.5">
      <c r="A160" s="380"/>
      <c r="B160" s="414"/>
      <c r="C160" s="414"/>
      <c r="D160" s="394" t="s">
        <v>570</v>
      </c>
      <c r="E160" s="443">
        <v>153</v>
      </c>
      <c r="F160" s="385"/>
      <c r="G160" s="385"/>
      <c r="H160" s="385"/>
      <c r="I160" s="385"/>
      <c r="J160" s="385"/>
      <c r="K160" s="385"/>
      <c r="L160" s="385"/>
      <c r="M160" s="385"/>
      <c r="N160" s="385"/>
      <c r="O160" s="385"/>
      <c r="P160" s="385"/>
      <c r="Q160" s="385"/>
      <c r="R160" s="386">
        <f t="shared" si="2"/>
        <v>0</v>
      </c>
    </row>
    <row r="161" spans="1:18" ht="12.5">
      <c r="A161" s="380"/>
      <c r="B161" s="414"/>
      <c r="C161" s="414"/>
      <c r="D161" s="394" t="s">
        <v>569</v>
      </c>
      <c r="E161" s="443">
        <v>211</v>
      </c>
      <c r="F161" s="385"/>
      <c r="G161" s="385"/>
      <c r="H161" s="385"/>
      <c r="I161" s="385"/>
      <c r="J161" s="385"/>
      <c r="K161" s="385"/>
      <c r="L161" s="385"/>
      <c r="M161" s="385"/>
      <c r="N161" s="385"/>
      <c r="O161" s="385"/>
      <c r="P161" s="385"/>
      <c r="Q161" s="385"/>
      <c r="R161" s="386">
        <f t="shared" si="2"/>
        <v>0</v>
      </c>
    </row>
    <row r="162" spans="1:18" ht="12.5">
      <c r="A162" s="380"/>
      <c r="B162" s="414"/>
      <c r="C162" s="418"/>
      <c r="D162" s="406" t="s">
        <v>508</v>
      </c>
      <c r="E162" s="442">
        <v>635</v>
      </c>
      <c r="F162" s="385"/>
      <c r="G162" s="385"/>
      <c r="H162" s="385"/>
      <c r="I162" s="385"/>
      <c r="J162" s="385"/>
      <c r="K162" s="385"/>
      <c r="L162" s="385"/>
      <c r="M162" s="385"/>
      <c r="N162" s="385"/>
      <c r="O162" s="385"/>
      <c r="P162" s="385"/>
      <c r="Q162" s="385"/>
      <c r="R162" s="386">
        <f t="shared" si="2"/>
        <v>0</v>
      </c>
    </row>
    <row r="163" spans="1:18" ht="12.5">
      <c r="A163" s="407"/>
      <c r="B163" s="498"/>
      <c r="C163" s="498"/>
      <c r="D163" s="391" t="s">
        <v>572</v>
      </c>
      <c r="E163" s="391"/>
      <c r="F163" s="444"/>
      <c r="G163" s="444"/>
      <c r="H163" s="444"/>
      <c r="I163" s="444"/>
      <c r="J163" s="444"/>
      <c r="K163" s="444"/>
      <c r="L163" s="444"/>
      <c r="M163" s="444"/>
      <c r="N163" s="444"/>
      <c r="O163" s="444"/>
      <c r="P163" s="444"/>
      <c r="Q163" s="444"/>
      <c r="R163" s="411">
        <f t="shared" si="2"/>
        <v>0</v>
      </c>
    </row>
    <row r="164" spans="1:18" ht="12.5">
      <c r="A164" s="535">
        <v>7</v>
      </c>
      <c r="B164" s="536" t="s">
        <v>531</v>
      </c>
      <c r="C164" s="536" t="s">
        <v>532</v>
      </c>
      <c r="D164" s="544" t="s">
        <v>573</v>
      </c>
      <c r="E164" s="545">
        <v>1548</v>
      </c>
      <c r="F164" s="541"/>
      <c r="G164" s="541"/>
      <c r="H164" s="541"/>
      <c r="I164" s="541"/>
      <c r="J164" s="541"/>
      <c r="K164" s="541"/>
      <c r="L164" s="541"/>
      <c r="M164" s="541"/>
      <c r="N164" s="541"/>
      <c r="O164" s="541"/>
      <c r="P164" s="541"/>
      <c r="Q164" s="541"/>
      <c r="R164" s="540">
        <f t="shared" si="2"/>
        <v>0</v>
      </c>
    </row>
    <row r="165" spans="1:18" ht="12.5">
      <c r="A165" s="405"/>
      <c r="B165" s="479"/>
      <c r="C165" s="479"/>
      <c r="D165" s="388" t="s">
        <v>574</v>
      </c>
      <c r="E165" s="392">
        <v>152</v>
      </c>
      <c r="F165" s="403"/>
      <c r="G165" s="403"/>
      <c r="H165" s="403"/>
      <c r="I165" s="403"/>
      <c r="J165" s="403"/>
      <c r="K165" s="403"/>
      <c r="L165" s="403"/>
      <c r="M165" s="403"/>
      <c r="N165" s="403"/>
      <c r="O165" s="403"/>
      <c r="P165" s="403"/>
      <c r="Q165" s="403"/>
      <c r="R165" s="421">
        <f t="shared" si="2"/>
        <v>0</v>
      </c>
    </row>
    <row r="166" spans="1:18" ht="12.5">
      <c r="A166" s="405"/>
      <c r="B166" s="479"/>
      <c r="C166" s="479"/>
      <c r="D166" s="388" t="s">
        <v>575</v>
      </c>
      <c r="E166" s="392" t="s">
        <v>576</v>
      </c>
      <c r="F166" s="403"/>
      <c r="G166" s="403"/>
      <c r="H166" s="403"/>
      <c r="I166" s="403"/>
      <c r="J166" s="403"/>
      <c r="K166" s="403"/>
      <c r="L166" s="403"/>
      <c r="M166" s="403"/>
      <c r="N166" s="403"/>
      <c r="O166" s="403"/>
      <c r="P166" s="403"/>
      <c r="Q166" s="403"/>
      <c r="R166" s="421">
        <f t="shared" si="2"/>
        <v>0</v>
      </c>
    </row>
    <row r="167" spans="1:18" ht="12.5">
      <c r="A167" s="405"/>
      <c r="B167" s="479"/>
      <c r="C167" s="479"/>
      <c r="D167" s="388" t="s">
        <v>568</v>
      </c>
      <c r="E167" s="392">
        <v>627</v>
      </c>
      <c r="F167" s="403"/>
      <c r="G167" s="403"/>
      <c r="H167" s="403"/>
      <c r="I167" s="403"/>
      <c r="J167" s="403"/>
      <c r="K167" s="403"/>
      <c r="L167" s="403"/>
      <c r="M167" s="403"/>
      <c r="N167" s="403"/>
      <c r="O167" s="403"/>
      <c r="P167" s="403"/>
      <c r="Q167" s="403"/>
      <c r="R167" s="421">
        <f t="shared" si="2"/>
        <v>0</v>
      </c>
    </row>
    <row r="168" spans="1:18" ht="12.5">
      <c r="A168" s="405"/>
      <c r="B168" s="479"/>
      <c r="C168" s="479"/>
      <c r="D168" s="388" t="s">
        <v>570</v>
      </c>
      <c r="E168" s="392">
        <v>153</v>
      </c>
      <c r="F168" s="403"/>
      <c r="G168" s="403"/>
      <c r="H168" s="403"/>
      <c r="I168" s="403"/>
      <c r="J168" s="403"/>
      <c r="K168" s="403"/>
      <c r="L168" s="403"/>
      <c r="M168" s="403"/>
      <c r="N168" s="403"/>
      <c r="O168" s="403"/>
      <c r="P168" s="403"/>
      <c r="Q168" s="403"/>
      <c r="R168" s="421">
        <f t="shared" si="2"/>
        <v>0</v>
      </c>
    </row>
    <row r="169" spans="1:18" ht="12.5">
      <c r="A169" s="405"/>
      <c r="B169" s="479"/>
      <c r="C169" s="479"/>
      <c r="D169" s="388" t="s">
        <v>569</v>
      </c>
      <c r="E169" s="392">
        <v>211</v>
      </c>
      <c r="F169" s="403"/>
      <c r="G169" s="403"/>
      <c r="H169" s="403"/>
      <c r="I169" s="403"/>
      <c r="J169" s="403"/>
      <c r="K169" s="403"/>
      <c r="L169" s="403"/>
      <c r="M169" s="403"/>
      <c r="N169" s="403"/>
      <c r="O169" s="403"/>
      <c r="P169" s="403"/>
      <c r="Q169" s="403"/>
      <c r="R169" s="421">
        <f t="shared" si="2"/>
        <v>0</v>
      </c>
    </row>
    <row r="170" spans="1:18" ht="12.5">
      <c r="A170" s="405"/>
      <c r="B170" s="479"/>
      <c r="C170" s="479"/>
      <c r="D170" s="388" t="s">
        <v>508</v>
      </c>
      <c r="E170" s="392">
        <v>635</v>
      </c>
      <c r="F170" s="403"/>
      <c r="G170" s="403"/>
      <c r="H170" s="403"/>
      <c r="I170" s="403"/>
      <c r="J170" s="403"/>
      <c r="K170" s="403"/>
      <c r="L170" s="403"/>
      <c r="M170" s="403"/>
      <c r="N170" s="403"/>
      <c r="O170" s="403"/>
      <c r="P170" s="403"/>
      <c r="Q170" s="403"/>
      <c r="R170" s="421">
        <f t="shared" si="2"/>
        <v>0</v>
      </c>
    </row>
    <row r="171" spans="1:18" ht="12.5">
      <c r="A171" s="396"/>
      <c r="B171" s="475"/>
      <c r="C171" s="475"/>
      <c r="D171" s="397" t="s">
        <v>572</v>
      </c>
      <c r="E171" s="440"/>
      <c r="F171" s="445"/>
      <c r="G171" s="445"/>
      <c r="H171" s="445"/>
      <c r="I171" s="445"/>
      <c r="J171" s="445"/>
      <c r="K171" s="445"/>
      <c r="L171" s="445"/>
      <c r="M171" s="445"/>
      <c r="N171" s="445"/>
      <c r="O171" s="445"/>
      <c r="P171" s="445"/>
      <c r="Q171" s="445"/>
      <c r="R171" s="401">
        <f t="shared" si="2"/>
        <v>0</v>
      </c>
    </row>
    <row r="172" spans="1:18" ht="12.5">
      <c r="A172" s="535">
        <v>8</v>
      </c>
      <c r="B172" s="536" t="s">
        <v>533</v>
      </c>
      <c r="C172" s="536" t="s">
        <v>534</v>
      </c>
      <c r="D172" s="537" t="s">
        <v>573</v>
      </c>
      <c r="E172" s="543">
        <v>1548</v>
      </c>
      <c r="F172" s="541"/>
      <c r="G172" s="541"/>
      <c r="H172" s="541"/>
      <c r="I172" s="541"/>
      <c r="J172" s="541"/>
      <c r="K172" s="541"/>
      <c r="L172" s="541"/>
      <c r="M172" s="541"/>
      <c r="N172" s="541"/>
      <c r="O172" s="541"/>
      <c r="P172" s="541"/>
      <c r="Q172" s="541"/>
      <c r="R172" s="540">
        <f t="shared" si="2"/>
        <v>0</v>
      </c>
    </row>
    <row r="173" spans="1:18" ht="12.5">
      <c r="A173" s="380"/>
      <c r="B173" s="418"/>
      <c r="C173" s="418"/>
      <c r="D173" s="394" t="s">
        <v>574</v>
      </c>
      <c r="E173" s="442">
        <v>152</v>
      </c>
      <c r="F173" s="385"/>
      <c r="G173" s="385"/>
      <c r="H173" s="385"/>
      <c r="I173" s="385"/>
      <c r="J173" s="385"/>
      <c r="K173" s="385"/>
      <c r="L173" s="385"/>
      <c r="M173" s="385"/>
      <c r="N173" s="385"/>
      <c r="O173" s="385"/>
      <c r="P173" s="385"/>
      <c r="Q173" s="385"/>
      <c r="R173" s="386">
        <f t="shared" si="2"/>
        <v>0</v>
      </c>
    </row>
    <row r="174" spans="1:18" ht="12.5">
      <c r="A174" s="380"/>
      <c r="B174" s="418"/>
      <c r="C174" s="418"/>
      <c r="D174" s="394" t="s">
        <v>575</v>
      </c>
      <c r="E174" s="442" t="s">
        <v>576</v>
      </c>
      <c r="F174" s="385"/>
      <c r="G174" s="385"/>
      <c r="H174" s="385"/>
      <c r="I174" s="385"/>
      <c r="J174" s="385"/>
      <c r="K174" s="385"/>
      <c r="L174" s="385"/>
      <c r="M174" s="385"/>
      <c r="N174" s="385"/>
      <c r="O174" s="385"/>
      <c r="P174" s="385"/>
      <c r="Q174" s="385"/>
      <c r="R174" s="386">
        <f t="shared" si="2"/>
        <v>0</v>
      </c>
    </row>
    <row r="175" spans="1:18" ht="12.5">
      <c r="A175" s="380"/>
      <c r="B175" s="418"/>
      <c r="C175" s="418"/>
      <c r="D175" s="394" t="s">
        <v>577</v>
      </c>
      <c r="E175" s="442">
        <v>627</v>
      </c>
      <c r="F175" s="385"/>
      <c r="G175" s="385"/>
      <c r="H175" s="385"/>
      <c r="I175" s="385"/>
      <c r="J175" s="385"/>
      <c r="K175" s="385"/>
      <c r="L175" s="385"/>
      <c r="M175" s="385"/>
      <c r="N175" s="385"/>
      <c r="O175" s="385"/>
      <c r="P175" s="385"/>
      <c r="Q175" s="385"/>
      <c r="R175" s="386">
        <f t="shared" si="2"/>
        <v>0</v>
      </c>
    </row>
    <row r="176" spans="1:18" ht="12.5">
      <c r="A176" s="380"/>
      <c r="B176" s="418"/>
      <c r="C176" s="418"/>
      <c r="D176" s="394" t="s">
        <v>568</v>
      </c>
      <c r="E176" s="443">
        <v>627</v>
      </c>
      <c r="F176" s="385"/>
      <c r="G176" s="385"/>
      <c r="H176" s="385"/>
      <c r="I176" s="385"/>
      <c r="J176" s="385"/>
      <c r="K176" s="385"/>
      <c r="L176" s="385"/>
      <c r="M176" s="385"/>
      <c r="N176" s="385"/>
      <c r="O176" s="385"/>
      <c r="P176" s="385"/>
      <c r="Q176" s="385"/>
      <c r="R176" s="386">
        <f t="shared" si="2"/>
        <v>0</v>
      </c>
    </row>
    <row r="177" spans="1:18" ht="12.5">
      <c r="A177" s="380"/>
      <c r="B177" s="418"/>
      <c r="C177" s="418"/>
      <c r="D177" s="394" t="s">
        <v>570</v>
      </c>
      <c r="E177" s="443">
        <v>153</v>
      </c>
      <c r="F177" s="385"/>
      <c r="G177" s="385"/>
      <c r="H177" s="385"/>
      <c r="I177" s="385"/>
      <c r="J177" s="385"/>
      <c r="K177" s="385"/>
      <c r="L177" s="385"/>
      <c r="M177" s="385"/>
      <c r="N177" s="385"/>
      <c r="O177" s="385"/>
      <c r="P177" s="385"/>
      <c r="Q177" s="385"/>
      <c r="R177" s="386">
        <f t="shared" si="2"/>
        <v>0</v>
      </c>
    </row>
    <row r="178" spans="1:18" ht="12.5">
      <c r="A178" s="380"/>
      <c r="B178" s="414"/>
      <c r="C178" s="414"/>
      <c r="D178" s="394" t="s">
        <v>569</v>
      </c>
      <c r="E178" s="443">
        <v>211</v>
      </c>
      <c r="F178" s="385"/>
      <c r="G178" s="385"/>
      <c r="H178" s="385"/>
      <c r="I178" s="385"/>
      <c r="J178" s="385"/>
      <c r="K178" s="385"/>
      <c r="L178" s="385"/>
      <c r="M178" s="385"/>
      <c r="N178" s="385"/>
      <c r="O178" s="385"/>
      <c r="P178" s="385"/>
      <c r="Q178" s="385"/>
      <c r="R178" s="386">
        <f t="shared" si="2"/>
        <v>0</v>
      </c>
    </row>
    <row r="179" spans="1:18" ht="12.5">
      <c r="A179" s="380"/>
      <c r="B179" s="414"/>
      <c r="C179" s="414"/>
      <c r="D179" s="394" t="s">
        <v>580</v>
      </c>
      <c r="E179" s="442">
        <v>627</v>
      </c>
      <c r="F179" s="385"/>
      <c r="G179" s="385"/>
      <c r="H179" s="385"/>
      <c r="I179" s="385"/>
      <c r="J179" s="385"/>
      <c r="K179" s="385"/>
      <c r="L179" s="385"/>
      <c r="M179" s="385"/>
      <c r="N179" s="385"/>
      <c r="O179" s="385"/>
      <c r="P179" s="385"/>
      <c r="Q179" s="385"/>
      <c r="R179" s="386">
        <f t="shared" si="2"/>
        <v>0</v>
      </c>
    </row>
    <row r="180" spans="1:18" ht="12.5">
      <c r="A180" s="380"/>
      <c r="B180" s="414"/>
      <c r="C180" s="414"/>
      <c r="D180" s="394" t="s">
        <v>508</v>
      </c>
      <c r="E180" s="442">
        <v>635</v>
      </c>
      <c r="F180" s="385"/>
      <c r="G180" s="385"/>
      <c r="H180" s="385"/>
      <c r="I180" s="385"/>
      <c r="J180" s="385"/>
      <c r="K180" s="385"/>
      <c r="L180" s="385"/>
      <c r="M180" s="385"/>
      <c r="N180" s="385"/>
      <c r="O180" s="385"/>
      <c r="P180" s="385"/>
      <c r="Q180" s="385"/>
      <c r="R180" s="386">
        <f t="shared" si="2"/>
        <v>0</v>
      </c>
    </row>
    <row r="181" spans="1:18" ht="12.5">
      <c r="A181" s="415"/>
      <c r="B181" s="416"/>
      <c r="C181" s="495"/>
      <c r="D181" s="409" t="s">
        <v>572</v>
      </c>
      <c r="E181" s="425">
        <v>156</v>
      </c>
      <c r="F181" s="444"/>
      <c r="G181" s="444"/>
      <c r="H181" s="444"/>
      <c r="I181" s="444"/>
      <c r="J181" s="444"/>
      <c r="K181" s="444"/>
      <c r="L181" s="444"/>
      <c r="M181" s="444"/>
      <c r="N181" s="444"/>
      <c r="O181" s="444"/>
      <c r="P181" s="444"/>
      <c r="Q181" s="444"/>
      <c r="R181" s="411">
        <f t="shared" si="2"/>
        <v>0</v>
      </c>
    </row>
    <row r="182" spans="1:18" ht="12.5">
      <c r="A182" s="535">
        <v>9</v>
      </c>
      <c r="B182" s="536" t="s">
        <v>536</v>
      </c>
      <c r="C182" s="536" t="s">
        <v>537</v>
      </c>
      <c r="D182" s="537" t="s">
        <v>578</v>
      </c>
      <c r="E182" s="543" t="s">
        <v>576</v>
      </c>
      <c r="F182" s="541"/>
      <c r="G182" s="541"/>
      <c r="H182" s="541"/>
      <c r="I182" s="541"/>
      <c r="J182" s="541"/>
      <c r="K182" s="541"/>
      <c r="L182" s="541"/>
      <c r="M182" s="541"/>
      <c r="N182" s="541"/>
      <c r="O182" s="541"/>
      <c r="P182" s="541"/>
      <c r="Q182" s="541"/>
      <c r="R182" s="540">
        <f t="shared" si="2"/>
        <v>0</v>
      </c>
    </row>
    <row r="183" spans="1:18" ht="12.5">
      <c r="A183" s="380"/>
      <c r="B183" s="414"/>
      <c r="C183" s="414"/>
      <c r="D183" s="394" t="s">
        <v>574</v>
      </c>
      <c r="E183" s="442">
        <v>152</v>
      </c>
      <c r="F183" s="385"/>
      <c r="G183" s="385"/>
      <c r="H183" s="385"/>
      <c r="I183" s="385"/>
      <c r="J183" s="385"/>
      <c r="K183" s="385"/>
      <c r="L183" s="385"/>
      <c r="M183" s="385"/>
      <c r="N183" s="385"/>
      <c r="O183" s="385"/>
      <c r="P183" s="385"/>
      <c r="Q183" s="385"/>
      <c r="R183" s="386">
        <f t="shared" si="2"/>
        <v>0</v>
      </c>
    </row>
    <row r="184" spans="1:18" ht="12.5">
      <c r="A184" s="380"/>
      <c r="B184" s="414"/>
      <c r="C184" s="414"/>
      <c r="D184" s="394" t="s">
        <v>575</v>
      </c>
      <c r="E184" s="442" t="s">
        <v>576</v>
      </c>
      <c r="F184" s="385"/>
      <c r="G184" s="385"/>
      <c r="H184" s="385"/>
      <c r="I184" s="385"/>
      <c r="J184" s="385"/>
      <c r="K184" s="385"/>
      <c r="L184" s="385"/>
      <c r="M184" s="385"/>
      <c r="N184" s="385"/>
      <c r="O184" s="385"/>
      <c r="P184" s="385"/>
      <c r="Q184" s="385"/>
      <c r="R184" s="386">
        <f t="shared" si="2"/>
        <v>0</v>
      </c>
    </row>
    <row r="185" spans="1:18" ht="12.5">
      <c r="A185" s="380"/>
      <c r="B185" s="414"/>
      <c r="C185" s="414"/>
      <c r="D185" s="394" t="s">
        <v>569</v>
      </c>
      <c r="E185" s="443">
        <v>211</v>
      </c>
      <c r="F185" s="385"/>
      <c r="G185" s="385"/>
      <c r="H185" s="385"/>
      <c r="I185" s="385"/>
      <c r="J185" s="385"/>
      <c r="K185" s="385"/>
      <c r="L185" s="385"/>
      <c r="M185" s="385"/>
      <c r="N185" s="385"/>
      <c r="O185" s="385"/>
      <c r="P185" s="385"/>
      <c r="Q185" s="385"/>
      <c r="R185" s="386">
        <f t="shared" si="2"/>
        <v>0</v>
      </c>
    </row>
    <row r="186" spans="1:18" ht="12.5">
      <c r="A186" s="415"/>
      <c r="B186" s="416"/>
      <c r="C186" s="416"/>
      <c r="D186" s="417" t="s">
        <v>572</v>
      </c>
      <c r="E186" s="431"/>
      <c r="F186" s="444"/>
      <c r="G186" s="444"/>
      <c r="H186" s="444"/>
      <c r="I186" s="444"/>
      <c r="J186" s="444"/>
      <c r="K186" s="444"/>
      <c r="L186" s="444"/>
      <c r="M186" s="444"/>
      <c r="N186" s="444"/>
      <c r="O186" s="444"/>
      <c r="P186" s="444"/>
      <c r="Q186" s="444"/>
      <c r="R186" s="411">
        <f t="shared" si="2"/>
        <v>0</v>
      </c>
    </row>
    <row r="187" spans="1:18" ht="12.5">
      <c r="A187" s="535">
        <v>10</v>
      </c>
      <c r="B187" s="546" t="s">
        <v>538</v>
      </c>
      <c r="C187" s="546" t="s">
        <v>539</v>
      </c>
      <c r="D187" s="537" t="s">
        <v>580</v>
      </c>
      <c r="E187" s="543">
        <v>627</v>
      </c>
      <c r="F187" s="541"/>
      <c r="G187" s="541"/>
      <c r="H187" s="541"/>
      <c r="I187" s="541"/>
      <c r="J187" s="541"/>
      <c r="K187" s="541"/>
      <c r="L187" s="541"/>
      <c r="M187" s="541"/>
      <c r="N187" s="541"/>
      <c r="O187" s="541"/>
      <c r="P187" s="541"/>
      <c r="Q187" s="541"/>
      <c r="R187" s="540">
        <f t="shared" si="2"/>
        <v>0</v>
      </c>
    </row>
    <row r="188" spans="1:18" ht="12.5">
      <c r="A188" s="407"/>
      <c r="B188" s="498"/>
      <c r="C188" s="498"/>
      <c r="D188" s="417" t="s">
        <v>569</v>
      </c>
      <c r="E188" s="431">
        <v>211</v>
      </c>
      <c r="F188" s="385"/>
      <c r="G188" s="385"/>
      <c r="H188" s="385"/>
      <c r="I188" s="385"/>
      <c r="J188" s="385"/>
      <c r="K188" s="385"/>
      <c r="L188" s="385"/>
      <c r="M188" s="385"/>
      <c r="N188" s="385"/>
      <c r="O188" s="385"/>
      <c r="P188" s="385"/>
      <c r="Q188" s="385"/>
      <c r="R188" s="386">
        <f t="shared" si="2"/>
        <v>0</v>
      </c>
    </row>
    <row r="189" spans="1:18" ht="12.5">
      <c r="A189" s="407"/>
      <c r="B189" s="498"/>
      <c r="C189" s="498"/>
      <c r="D189" s="417" t="s">
        <v>572</v>
      </c>
      <c r="E189" s="431">
        <v>156</v>
      </c>
      <c r="F189" s="444"/>
      <c r="G189" s="444"/>
      <c r="H189" s="444"/>
      <c r="I189" s="444"/>
      <c r="J189" s="444"/>
      <c r="K189" s="444"/>
      <c r="L189" s="444"/>
      <c r="M189" s="444"/>
      <c r="N189" s="444"/>
      <c r="O189" s="444"/>
      <c r="P189" s="444"/>
      <c r="Q189" s="444"/>
      <c r="R189" s="411">
        <f t="shared" si="2"/>
        <v>0</v>
      </c>
    </row>
    <row r="190" spans="1:18" ht="12.5">
      <c r="A190" s="535">
        <v>11</v>
      </c>
      <c r="B190" s="536" t="s">
        <v>540</v>
      </c>
      <c r="C190" s="536" t="s">
        <v>541</v>
      </c>
      <c r="D190" s="537" t="s">
        <v>573</v>
      </c>
      <c r="E190" s="543">
        <v>1548</v>
      </c>
      <c r="F190" s="541"/>
      <c r="G190" s="541"/>
      <c r="H190" s="541"/>
      <c r="I190" s="541"/>
      <c r="J190" s="541"/>
      <c r="K190" s="541"/>
      <c r="L190" s="541"/>
      <c r="M190" s="541"/>
      <c r="N190" s="541"/>
      <c r="O190" s="541"/>
      <c r="P190" s="541"/>
      <c r="Q190" s="541"/>
      <c r="R190" s="540">
        <f t="shared" si="2"/>
        <v>0</v>
      </c>
    </row>
    <row r="191" spans="1:18" ht="12.5">
      <c r="A191" s="405"/>
      <c r="B191" s="414"/>
      <c r="C191" s="418"/>
      <c r="D191" s="406" t="s">
        <v>578</v>
      </c>
      <c r="E191" s="442" t="s">
        <v>576</v>
      </c>
      <c r="F191" s="385"/>
      <c r="G191" s="385"/>
      <c r="H191" s="385"/>
      <c r="I191" s="385"/>
      <c r="J191" s="385"/>
      <c r="K191" s="385"/>
      <c r="L191" s="385"/>
      <c r="M191" s="385"/>
      <c r="N191" s="385"/>
      <c r="O191" s="385"/>
      <c r="P191" s="385"/>
      <c r="Q191" s="385"/>
      <c r="R191" s="386">
        <f t="shared" si="2"/>
        <v>0</v>
      </c>
    </row>
    <row r="192" spans="1:18" ht="12.5">
      <c r="A192" s="405"/>
      <c r="B192" s="414"/>
      <c r="C192" s="414"/>
      <c r="D192" s="394" t="s">
        <v>574</v>
      </c>
      <c r="E192" s="442">
        <v>152</v>
      </c>
      <c r="F192" s="385"/>
      <c r="G192" s="385"/>
      <c r="H192" s="385"/>
      <c r="I192" s="385"/>
      <c r="J192" s="385"/>
      <c r="K192" s="385"/>
      <c r="L192" s="385"/>
      <c r="M192" s="385"/>
      <c r="N192" s="385"/>
      <c r="O192" s="385"/>
      <c r="P192" s="385"/>
      <c r="Q192" s="385"/>
      <c r="R192" s="386">
        <f t="shared" si="2"/>
        <v>0</v>
      </c>
    </row>
    <row r="193" spans="1:18" ht="12.5">
      <c r="A193" s="405"/>
      <c r="B193" s="414"/>
      <c r="C193" s="414"/>
      <c r="D193" s="394" t="s">
        <v>575</v>
      </c>
      <c r="E193" s="442" t="s">
        <v>576</v>
      </c>
      <c r="F193" s="385"/>
      <c r="G193" s="385"/>
      <c r="H193" s="385"/>
      <c r="I193" s="385"/>
      <c r="J193" s="385"/>
      <c r="K193" s="385"/>
      <c r="L193" s="385"/>
      <c r="M193" s="385"/>
      <c r="N193" s="385"/>
      <c r="O193" s="385"/>
      <c r="P193" s="385"/>
      <c r="Q193" s="385"/>
      <c r="R193" s="386">
        <f t="shared" si="2"/>
        <v>0</v>
      </c>
    </row>
    <row r="194" spans="1:18" ht="12.5">
      <c r="A194" s="405"/>
      <c r="B194" s="414"/>
      <c r="C194" s="414"/>
      <c r="D194" s="394" t="s">
        <v>569</v>
      </c>
      <c r="E194" s="443">
        <v>211</v>
      </c>
      <c r="F194" s="385"/>
      <c r="G194" s="385"/>
      <c r="H194" s="385"/>
      <c r="I194" s="385"/>
      <c r="J194" s="385"/>
      <c r="K194" s="385"/>
      <c r="L194" s="385"/>
      <c r="M194" s="385"/>
      <c r="N194" s="385"/>
      <c r="O194" s="385"/>
      <c r="P194" s="385"/>
      <c r="Q194" s="385"/>
      <c r="R194" s="386">
        <f t="shared" si="2"/>
        <v>0</v>
      </c>
    </row>
    <row r="195" spans="1:18" ht="12.5">
      <c r="A195" s="407"/>
      <c r="B195" s="416"/>
      <c r="C195" s="416"/>
      <c r="D195" s="417" t="s">
        <v>572</v>
      </c>
      <c r="E195" s="431">
        <v>211</v>
      </c>
      <c r="F195" s="444"/>
      <c r="G195" s="444"/>
      <c r="H195" s="444"/>
      <c r="I195" s="444"/>
      <c r="J195" s="444"/>
      <c r="K195" s="444"/>
      <c r="L195" s="444"/>
      <c r="M195" s="444"/>
      <c r="N195" s="444"/>
      <c r="O195" s="444"/>
      <c r="P195" s="444"/>
      <c r="Q195" s="444"/>
      <c r="R195" s="411">
        <f t="shared" si="2"/>
        <v>0</v>
      </c>
    </row>
    <row r="196" spans="1:18" ht="12.5">
      <c r="A196" s="535">
        <v>12</v>
      </c>
      <c r="B196" s="536" t="s">
        <v>542</v>
      </c>
      <c r="C196" s="536" t="s">
        <v>543</v>
      </c>
      <c r="D196" s="537" t="s">
        <v>578</v>
      </c>
      <c r="E196" s="543" t="s">
        <v>576</v>
      </c>
      <c r="F196" s="541"/>
      <c r="G196" s="541"/>
      <c r="H196" s="541"/>
      <c r="I196" s="541"/>
      <c r="J196" s="541"/>
      <c r="K196" s="541"/>
      <c r="L196" s="541"/>
      <c r="M196" s="541"/>
      <c r="N196" s="541"/>
      <c r="O196" s="541"/>
      <c r="P196" s="541"/>
      <c r="Q196" s="541"/>
      <c r="R196" s="540">
        <f t="shared" si="2"/>
        <v>0</v>
      </c>
    </row>
    <row r="197" spans="1:18" ht="12.5">
      <c r="A197" s="407"/>
      <c r="B197" s="416"/>
      <c r="C197" s="416"/>
      <c r="D197" s="417" t="s">
        <v>569</v>
      </c>
      <c r="E197" s="431">
        <v>211</v>
      </c>
      <c r="F197" s="385"/>
      <c r="G197" s="385"/>
      <c r="H197" s="385"/>
      <c r="I197" s="385"/>
      <c r="J197" s="385"/>
      <c r="K197" s="385"/>
      <c r="L197" s="385"/>
      <c r="M197" s="385"/>
      <c r="N197" s="385"/>
      <c r="O197" s="385"/>
      <c r="P197" s="385"/>
      <c r="Q197" s="385"/>
      <c r="R197" s="386">
        <f t="shared" si="2"/>
        <v>0</v>
      </c>
    </row>
    <row r="198" spans="1:18" ht="12.5">
      <c r="A198" s="407"/>
      <c r="B198" s="416"/>
      <c r="C198" s="416"/>
      <c r="D198" s="417" t="s">
        <v>572</v>
      </c>
      <c r="E198" s="431">
        <v>152</v>
      </c>
      <c r="F198" s="444"/>
      <c r="G198" s="444"/>
      <c r="H198" s="444"/>
      <c r="I198" s="444"/>
      <c r="J198" s="444"/>
      <c r="K198" s="444"/>
      <c r="L198" s="444"/>
      <c r="M198" s="444"/>
      <c r="N198" s="444"/>
      <c r="O198" s="444"/>
      <c r="P198" s="444"/>
      <c r="Q198" s="444"/>
      <c r="R198" s="411">
        <f t="shared" si="2"/>
        <v>0</v>
      </c>
    </row>
    <row r="199" spans="1:18" ht="12.5">
      <c r="A199" s="535">
        <v>13</v>
      </c>
      <c r="B199" s="536" t="s">
        <v>544</v>
      </c>
      <c r="C199" s="536" t="s">
        <v>545</v>
      </c>
      <c r="D199" s="537" t="s">
        <v>581</v>
      </c>
      <c r="E199" s="543">
        <v>152</v>
      </c>
      <c r="F199" s="541"/>
      <c r="G199" s="541"/>
      <c r="H199" s="541"/>
      <c r="I199" s="541"/>
      <c r="J199" s="541"/>
      <c r="K199" s="541"/>
      <c r="L199" s="541"/>
      <c r="M199" s="541"/>
      <c r="N199" s="541"/>
      <c r="O199" s="541"/>
      <c r="P199" s="541"/>
      <c r="Q199" s="541"/>
      <c r="R199" s="540">
        <f t="shared" si="2"/>
        <v>0</v>
      </c>
    </row>
    <row r="200" spans="1:18" ht="12.5">
      <c r="A200" s="407"/>
      <c r="B200" s="414"/>
      <c r="C200" s="416"/>
      <c r="D200" s="417" t="s">
        <v>574</v>
      </c>
      <c r="E200" s="431" t="s">
        <v>582</v>
      </c>
      <c r="F200" s="385"/>
      <c r="G200" s="385"/>
      <c r="H200" s="385"/>
      <c r="I200" s="385"/>
      <c r="J200" s="385"/>
      <c r="K200" s="385"/>
      <c r="L200" s="385"/>
      <c r="M200" s="385"/>
      <c r="N200" s="385"/>
      <c r="O200" s="385"/>
      <c r="P200" s="385"/>
      <c r="Q200" s="385"/>
      <c r="R200" s="386">
        <f t="shared" ref="R200:R232" si="3">SUM(F200:Q200)</f>
        <v>0</v>
      </c>
    </row>
    <row r="201" spans="1:18" ht="12.5">
      <c r="A201" s="407"/>
      <c r="B201" s="414"/>
      <c r="C201" s="416"/>
      <c r="D201" s="417" t="s">
        <v>574</v>
      </c>
      <c r="E201" s="431" t="s">
        <v>582</v>
      </c>
      <c r="F201" s="385"/>
      <c r="G201" s="385"/>
      <c r="H201" s="385"/>
      <c r="I201" s="385"/>
      <c r="J201" s="385"/>
      <c r="K201" s="385"/>
      <c r="L201" s="385"/>
      <c r="M201" s="385"/>
      <c r="N201" s="385"/>
      <c r="O201" s="385"/>
      <c r="P201" s="385"/>
      <c r="Q201" s="385"/>
      <c r="R201" s="386">
        <f t="shared" si="3"/>
        <v>0</v>
      </c>
    </row>
    <row r="202" spans="1:18" ht="12.5">
      <c r="A202" s="407"/>
      <c r="B202" s="416"/>
      <c r="C202" s="416"/>
      <c r="D202" s="417" t="s">
        <v>572</v>
      </c>
      <c r="E202" s="431"/>
      <c r="F202" s="444"/>
      <c r="G202" s="444"/>
      <c r="H202" s="444"/>
      <c r="I202" s="444"/>
      <c r="J202" s="444"/>
      <c r="K202" s="444"/>
      <c r="L202" s="444"/>
      <c r="M202" s="444"/>
      <c r="N202" s="444"/>
      <c r="O202" s="444"/>
      <c r="P202" s="444"/>
      <c r="Q202" s="444"/>
      <c r="R202" s="411">
        <f t="shared" si="3"/>
        <v>0</v>
      </c>
    </row>
    <row r="203" spans="1:18" ht="12.5">
      <c r="A203" s="535">
        <v>14</v>
      </c>
      <c r="B203" s="536" t="s">
        <v>546</v>
      </c>
      <c r="C203" s="536" t="s">
        <v>547</v>
      </c>
      <c r="D203" s="537" t="s">
        <v>578</v>
      </c>
      <c r="E203" s="543" t="s">
        <v>576</v>
      </c>
      <c r="F203" s="541"/>
      <c r="G203" s="541"/>
      <c r="H203" s="541"/>
      <c r="I203" s="541"/>
      <c r="J203" s="541"/>
      <c r="K203" s="541"/>
      <c r="L203" s="541"/>
      <c r="M203" s="541"/>
      <c r="N203" s="541"/>
      <c r="O203" s="541"/>
      <c r="P203" s="541"/>
      <c r="Q203" s="541"/>
      <c r="R203" s="540">
        <f t="shared" si="3"/>
        <v>0</v>
      </c>
    </row>
    <row r="204" spans="1:18" ht="12.5">
      <c r="A204" s="407"/>
      <c r="B204" s="414"/>
      <c r="C204" s="416"/>
      <c r="D204" s="417" t="s">
        <v>569</v>
      </c>
      <c r="E204" s="431">
        <v>211</v>
      </c>
      <c r="F204" s="385"/>
      <c r="G204" s="385"/>
      <c r="H204" s="385"/>
      <c r="I204" s="385"/>
      <c r="J204" s="385"/>
      <c r="K204" s="385"/>
      <c r="L204" s="385"/>
      <c r="M204" s="385"/>
      <c r="N204" s="385"/>
      <c r="O204" s="385"/>
      <c r="P204" s="385"/>
      <c r="Q204" s="385"/>
      <c r="R204" s="386">
        <f t="shared" si="3"/>
        <v>0</v>
      </c>
    </row>
    <row r="205" spans="1:18" ht="12.5">
      <c r="A205" s="407"/>
      <c r="B205" s="416"/>
      <c r="C205" s="416"/>
      <c r="D205" s="417" t="s">
        <v>572</v>
      </c>
      <c r="E205" s="431">
        <v>152</v>
      </c>
      <c r="F205" s="444"/>
      <c r="G205" s="444"/>
      <c r="H205" s="444"/>
      <c r="I205" s="444"/>
      <c r="J205" s="444"/>
      <c r="K205" s="444"/>
      <c r="L205" s="444"/>
      <c r="M205" s="444"/>
      <c r="N205" s="444"/>
      <c r="O205" s="444"/>
      <c r="P205" s="444"/>
      <c r="Q205" s="444"/>
      <c r="R205" s="411">
        <f t="shared" si="3"/>
        <v>0</v>
      </c>
    </row>
    <row r="206" spans="1:18" ht="12.5">
      <c r="A206" s="535">
        <v>15</v>
      </c>
      <c r="B206" s="546" t="s">
        <v>548</v>
      </c>
      <c r="C206" s="546" t="s">
        <v>549</v>
      </c>
      <c r="D206" s="537" t="s">
        <v>578</v>
      </c>
      <c r="E206" s="543" t="s">
        <v>576</v>
      </c>
      <c r="F206" s="541"/>
      <c r="G206" s="541"/>
      <c r="H206" s="541"/>
      <c r="I206" s="541"/>
      <c r="J206" s="541"/>
      <c r="K206" s="541"/>
      <c r="L206" s="541"/>
      <c r="M206" s="541"/>
      <c r="N206" s="541"/>
      <c r="O206" s="541"/>
      <c r="P206" s="541"/>
      <c r="Q206" s="541"/>
      <c r="R206" s="540">
        <f t="shared" si="3"/>
        <v>0</v>
      </c>
    </row>
    <row r="207" spans="1:18" ht="12.5">
      <c r="A207" s="415"/>
      <c r="B207" s="381"/>
      <c r="C207" s="462"/>
      <c r="D207" s="406" t="s">
        <v>583</v>
      </c>
      <c r="E207" s="425" t="s">
        <v>584</v>
      </c>
      <c r="F207" s="385"/>
      <c r="G207" s="385"/>
      <c r="H207" s="385"/>
      <c r="I207" s="385"/>
      <c r="J207" s="385"/>
      <c r="K207" s="385"/>
      <c r="L207" s="385"/>
      <c r="M207" s="385"/>
      <c r="N207" s="385"/>
      <c r="O207" s="385"/>
      <c r="P207" s="385"/>
      <c r="Q207" s="385"/>
      <c r="R207" s="386"/>
    </row>
    <row r="208" spans="1:18" ht="12.5">
      <c r="A208" s="407"/>
      <c r="B208" s="479"/>
      <c r="C208" s="498"/>
      <c r="D208" s="417" t="s">
        <v>569</v>
      </c>
      <c r="E208" s="431">
        <v>211</v>
      </c>
      <c r="F208" s="385"/>
      <c r="G208" s="385"/>
      <c r="H208" s="385"/>
      <c r="I208" s="385"/>
      <c r="J208" s="385"/>
      <c r="K208" s="385"/>
      <c r="L208" s="385"/>
      <c r="M208" s="385"/>
      <c r="N208" s="385"/>
      <c r="O208" s="385"/>
      <c r="P208" s="385"/>
      <c r="Q208" s="385"/>
      <c r="R208" s="386">
        <f t="shared" si="3"/>
        <v>0</v>
      </c>
    </row>
    <row r="209" spans="1:18" ht="12.5">
      <c r="A209" s="407"/>
      <c r="B209" s="498"/>
      <c r="C209" s="498"/>
      <c r="D209" s="417" t="s">
        <v>572</v>
      </c>
      <c r="E209" s="431">
        <v>152</v>
      </c>
      <c r="F209" s="444"/>
      <c r="G209" s="444"/>
      <c r="H209" s="444"/>
      <c r="I209" s="444"/>
      <c r="J209" s="444"/>
      <c r="K209" s="444"/>
      <c r="L209" s="444"/>
      <c r="M209" s="444"/>
      <c r="N209" s="444"/>
      <c r="O209" s="444"/>
      <c r="P209" s="444"/>
      <c r="Q209" s="444"/>
      <c r="R209" s="411">
        <f t="shared" si="3"/>
        <v>0</v>
      </c>
    </row>
    <row r="210" spans="1:18" ht="12.5">
      <c r="A210" s="535">
        <v>16</v>
      </c>
      <c r="B210" s="546" t="s">
        <v>550</v>
      </c>
      <c r="C210" s="546" t="s">
        <v>551</v>
      </c>
      <c r="D210" s="537" t="s">
        <v>578</v>
      </c>
      <c r="E210" s="543" t="s">
        <v>576</v>
      </c>
      <c r="F210" s="541"/>
      <c r="G210" s="541"/>
      <c r="H210" s="541"/>
      <c r="I210" s="541"/>
      <c r="J210" s="541"/>
      <c r="K210" s="541"/>
      <c r="L210" s="541"/>
      <c r="M210" s="541"/>
      <c r="N210" s="541"/>
      <c r="O210" s="541"/>
      <c r="P210" s="541"/>
      <c r="Q210" s="541"/>
      <c r="R210" s="540">
        <f t="shared" si="3"/>
        <v>0</v>
      </c>
    </row>
    <row r="211" spans="1:18" ht="12.5">
      <c r="A211" s="415"/>
      <c r="B211" s="381"/>
      <c r="C211" s="462"/>
      <c r="D211" s="406" t="s">
        <v>583</v>
      </c>
      <c r="E211" s="425">
        <v>627</v>
      </c>
      <c r="F211" s="385"/>
      <c r="G211" s="385"/>
      <c r="H211" s="385"/>
      <c r="I211" s="385"/>
      <c r="J211" s="385"/>
      <c r="K211" s="385"/>
      <c r="L211" s="385"/>
      <c r="M211" s="385"/>
      <c r="N211" s="385"/>
      <c r="O211" s="385"/>
      <c r="P211" s="385"/>
      <c r="Q211" s="385"/>
      <c r="R211" s="386"/>
    </row>
    <row r="212" spans="1:18" ht="12.5">
      <c r="A212" s="407"/>
      <c r="B212" s="479"/>
      <c r="C212" s="498"/>
      <c r="D212" s="417" t="s">
        <v>569</v>
      </c>
      <c r="E212" s="431">
        <v>211</v>
      </c>
      <c r="F212" s="385"/>
      <c r="G212" s="385"/>
      <c r="H212" s="385"/>
      <c r="I212" s="385"/>
      <c r="J212" s="385"/>
      <c r="K212" s="385"/>
      <c r="L212" s="385"/>
      <c r="M212" s="385"/>
      <c r="N212" s="385"/>
      <c r="O212" s="385"/>
      <c r="P212" s="385"/>
      <c r="Q212" s="385"/>
      <c r="R212" s="386">
        <f t="shared" si="3"/>
        <v>0</v>
      </c>
    </row>
    <row r="213" spans="1:18" ht="12.5">
      <c r="A213" s="407"/>
      <c r="B213" s="498"/>
      <c r="C213" s="498"/>
      <c r="D213" s="417" t="s">
        <v>572</v>
      </c>
      <c r="E213" s="431">
        <v>152</v>
      </c>
      <c r="F213" s="444"/>
      <c r="G213" s="444"/>
      <c r="H213" s="444"/>
      <c r="I213" s="444"/>
      <c r="J213" s="444"/>
      <c r="K213" s="444"/>
      <c r="L213" s="444"/>
      <c r="M213" s="444"/>
      <c r="N213" s="444"/>
      <c r="O213" s="444"/>
      <c r="P213" s="444"/>
      <c r="Q213" s="444"/>
      <c r="R213" s="411">
        <f t="shared" si="3"/>
        <v>0</v>
      </c>
    </row>
    <row r="214" spans="1:18" ht="12.5">
      <c r="A214" s="535">
        <v>17</v>
      </c>
      <c r="B214" s="546" t="s">
        <v>552</v>
      </c>
      <c r="C214" s="546" t="s">
        <v>553</v>
      </c>
      <c r="D214" s="537" t="s">
        <v>578</v>
      </c>
      <c r="E214" s="543" t="s">
        <v>576</v>
      </c>
      <c r="F214" s="541"/>
      <c r="G214" s="541"/>
      <c r="H214" s="541"/>
      <c r="I214" s="541"/>
      <c r="J214" s="541"/>
      <c r="K214" s="541"/>
      <c r="L214" s="541"/>
      <c r="M214" s="541"/>
      <c r="N214" s="541"/>
      <c r="O214" s="541"/>
      <c r="P214" s="541"/>
      <c r="Q214" s="541"/>
      <c r="R214" s="540">
        <f t="shared" si="3"/>
        <v>0</v>
      </c>
    </row>
    <row r="215" spans="1:18" ht="12.5">
      <c r="A215" s="407"/>
      <c r="B215" s="479"/>
      <c r="C215" s="498"/>
      <c r="D215" s="417" t="s">
        <v>569</v>
      </c>
      <c r="E215" s="431">
        <v>211</v>
      </c>
      <c r="F215" s="385"/>
      <c r="G215" s="385"/>
      <c r="H215" s="385"/>
      <c r="I215" s="385"/>
      <c r="J215" s="385"/>
      <c r="K215" s="385"/>
      <c r="L215" s="385"/>
      <c r="M215" s="385"/>
      <c r="N215" s="385"/>
      <c r="O215" s="385"/>
      <c r="P215" s="385"/>
      <c r="Q215" s="385"/>
      <c r="R215" s="386">
        <f t="shared" si="3"/>
        <v>0</v>
      </c>
    </row>
    <row r="216" spans="1:18" ht="12.5">
      <c r="A216" s="407"/>
      <c r="B216" s="498"/>
      <c r="C216" s="498"/>
      <c r="D216" s="417" t="s">
        <v>572</v>
      </c>
      <c r="E216" s="431">
        <v>152</v>
      </c>
      <c r="F216" s="444"/>
      <c r="G216" s="444"/>
      <c r="H216" s="444"/>
      <c r="I216" s="444"/>
      <c r="J216" s="444"/>
      <c r="K216" s="444"/>
      <c r="L216" s="444"/>
      <c r="M216" s="444"/>
      <c r="N216" s="444"/>
      <c r="O216" s="444"/>
      <c r="P216" s="444"/>
      <c r="Q216" s="444"/>
      <c r="R216" s="411">
        <f t="shared" si="3"/>
        <v>0</v>
      </c>
    </row>
    <row r="217" spans="1:18" ht="12.5">
      <c r="A217" s="535">
        <v>18</v>
      </c>
      <c r="B217" s="536" t="s">
        <v>554</v>
      </c>
      <c r="C217" s="536" t="s">
        <v>555</v>
      </c>
      <c r="D217" s="537" t="s">
        <v>578</v>
      </c>
      <c r="E217" s="543" t="s">
        <v>576</v>
      </c>
      <c r="F217" s="541"/>
      <c r="G217" s="541"/>
      <c r="H217" s="541"/>
      <c r="I217" s="541"/>
      <c r="J217" s="541"/>
      <c r="K217" s="541"/>
      <c r="L217" s="541"/>
      <c r="M217" s="541"/>
      <c r="N217" s="541"/>
      <c r="O217" s="541"/>
      <c r="P217" s="541"/>
      <c r="Q217" s="541"/>
      <c r="R217" s="540">
        <f t="shared" si="3"/>
        <v>0</v>
      </c>
    </row>
    <row r="218" spans="1:18" ht="12.5">
      <c r="A218" s="407"/>
      <c r="B218" s="414"/>
      <c r="C218" s="414"/>
      <c r="D218" s="394" t="s">
        <v>569</v>
      </c>
      <c r="E218" s="443">
        <v>211</v>
      </c>
      <c r="F218" s="403"/>
      <c r="G218" s="403"/>
      <c r="H218" s="403"/>
      <c r="I218" s="403"/>
      <c r="J218" s="403"/>
      <c r="K218" s="403"/>
      <c r="L218" s="403"/>
      <c r="M218" s="403"/>
      <c r="N218" s="403"/>
      <c r="O218" s="403"/>
      <c r="P218" s="403"/>
      <c r="Q218" s="403"/>
      <c r="R218" s="421">
        <f t="shared" si="3"/>
        <v>0</v>
      </c>
    </row>
    <row r="219" spans="1:18" ht="12.5">
      <c r="A219" s="407"/>
      <c r="B219" s="498"/>
      <c r="C219" s="498"/>
      <c r="D219" s="417" t="s">
        <v>572</v>
      </c>
      <c r="E219" s="431">
        <v>152</v>
      </c>
      <c r="F219" s="433"/>
      <c r="G219" s="433"/>
      <c r="H219" s="433"/>
      <c r="I219" s="433"/>
      <c r="J219" s="433"/>
      <c r="K219" s="433"/>
      <c r="L219" s="433"/>
      <c r="M219" s="433"/>
      <c r="N219" s="433"/>
      <c r="O219" s="433"/>
      <c r="P219" s="433"/>
      <c r="Q219" s="433"/>
      <c r="R219" s="446">
        <f t="shared" si="3"/>
        <v>0</v>
      </c>
    </row>
    <row r="220" spans="1:18" ht="12.5">
      <c r="A220" s="535">
        <v>19</v>
      </c>
      <c r="B220" s="536" t="s">
        <v>556</v>
      </c>
      <c r="C220" s="536" t="s">
        <v>557</v>
      </c>
      <c r="D220" s="537" t="s">
        <v>578</v>
      </c>
      <c r="E220" s="543" t="s">
        <v>576</v>
      </c>
      <c r="F220" s="541"/>
      <c r="G220" s="541"/>
      <c r="H220" s="541"/>
      <c r="I220" s="541"/>
      <c r="J220" s="541"/>
      <c r="K220" s="541"/>
      <c r="L220" s="541"/>
      <c r="M220" s="541"/>
      <c r="N220" s="541"/>
      <c r="O220" s="541"/>
      <c r="P220" s="541"/>
      <c r="Q220" s="541"/>
      <c r="R220" s="540">
        <f t="shared" si="3"/>
        <v>0</v>
      </c>
    </row>
    <row r="221" spans="1:18" ht="12.5">
      <c r="A221" s="407"/>
      <c r="B221" s="479"/>
      <c r="C221" s="498"/>
      <c r="D221" s="417" t="s">
        <v>569</v>
      </c>
      <c r="E221" s="431">
        <v>211</v>
      </c>
      <c r="F221" s="385"/>
      <c r="G221" s="385"/>
      <c r="H221" s="385"/>
      <c r="I221" s="385"/>
      <c r="J221" s="385"/>
      <c r="K221" s="385"/>
      <c r="L221" s="385"/>
      <c r="M221" s="385"/>
      <c r="N221" s="385"/>
      <c r="O221" s="385"/>
      <c r="P221" s="385"/>
      <c r="Q221" s="385"/>
      <c r="R221" s="386">
        <f t="shared" si="3"/>
        <v>0</v>
      </c>
    </row>
    <row r="222" spans="1:18" ht="12.5">
      <c r="A222" s="407"/>
      <c r="B222" s="498"/>
      <c r="C222" s="498"/>
      <c r="D222" s="417" t="s">
        <v>572</v>
      </c>
      <c r="E222" s="431">
        <v>152</v>
      </c>
      <c r="F222" s="444"/>
      <c r="G222" s="444"/>
      <c r="H222" s="444"/>
      <c r="I222" s="444"/>
      <c r="J222" s="444"/>
      <c r="K222" s="444"/>
      <c r="L222" s="444"/>
      <c r="M222" s="444"/>
      <c r="N222" s="444"/>
      <c r="O222" s="444"/>
      <c r="P222" s="444"/>
      <c r="Q222" s="444"/>
      <c r="R222" s="411">
        <f t="shared" si="3"/>
        <v>0</v>
      </c>
    </row>
    <row r="223" spans="1:18" ht="12.5">
      <c r="A223" s="535">
        <v>20</v>
      </c>
      <c r="B223" s="546" t="s">
        <v>558</v>
      </c>
      <c r="C223" s="547" t="s">
        <v>559</v>
      </c>
      <c r="D223" s="548" t="s">
        <v>578</v>
      </c>
      <c r="E223" s="543" t="s">
        <v>576</v>
      </c>
      <c r="F223" s="541"/>
      <c r="G223" s="541"/>
      <c r="H223" s="541"/>
      <c r="I223" s="541"/>
      <c r="J223" s="541"/>
      <c r="K223" s="541"/>
      <c r="L223" s="541"/>
      <c r="M223" s="541"/>
      <c r="N223" s="541"/>
      <c r="O223" s="541"/>
      <c r="P223" s="541"/>
      <c r="Q223" s="541"/>
      <c r="R223" s="540">
        <f t="shared" si="3"/>
        <v>0</v>
      </c>
    </row>
    <row r="224" spans="1:18" ht="12.5">
      <c r="A224" s="407"/>
      <c r="B224" s="479"/>
      <c r="C224" s="498"/>
      <c r="D224" s="417" t="s">
        <v>569</v>
      </c>
      <c r="E224" s="431">
        <v>211</v>
      </c>
      <c r="F224" s="385"/>
      <c r="G224" s="385"/>
      <c r="H224" s="385"/>
      <c r="I224" s="385"/>
      <c r="J224" s="385"/>
      <c r="K224" s="385"/>
      <c r="L224" s="385"/>
      <c r="M224" s="385"/>
      <c r="N224" s="385"/>
      <c r="O224" s="385"/>
      <c r="P224" s="385"/>
      <c r="Q224" s="385"/>
      <c r="R224" s="386">
        <f t="shared" si="3"/>
        <v>0</v>
      </c>
    </row>
    <row r="225" spans="1:18" ht="12.5">
      <c r="A225" s="407"/>
      <c r="B225" s="498"/>
      <c r="C225" s="498"/>
      <c r="D225" s="417" t="s">
        <v>572</v>
      </c>
      <c r="E225" s="431">
        <v>152</v>
      </c>
      <c r="F225" s="444"/>
      <c r="G225" s="444"/>
      <c r="H225" s="444"/>
      <c r="I225" s="444"/>
      <c r="J225" s="444"/>
      <c r="K225" s="444"/>
      <c r="L225" s="444"/>
      <c r="M225" s="444"/>
      <c r="N225" s="444"/>
      <c r="O225" s="444"/>
      <c r="P225" s="444"/>
      <c r="Q225" s="444"/>
      <c r="R225" s="411">
        <f t="shared" si="3"/>
        <v>0</v>
      </c>
    </row>
    <row r="226" spans="1:18" ht="12.5">
      <c r="A226" s="535">
        <v>21</v>
      </c>
      <c r="B226" s="546" t="s">
        <v>560</v>
      </c>
      <c r="C226" s="546" t="s">
        <v>561</v>
      </c>
      <c r="D226" s="537" t="s">
        <v>578</v>
      </c>
      <c r="E226" s="543" t="s">
        <v>576</v>
      </c>
      <c r="F226" s="541"/>
      <c r="G226" s="541"/>
      <c r="H226" s="541"/>
      <c r="I226" s="541"/>
      <c r="J226" s="541"/>
      <c r="K226" s="541"/>
      <c r="L226" s="541"/>
      <c r="M226" s="541"/>
      <c r="N226" s="541"/>
      <c r="O226" s="541"/>
      <c r="P226" s="541"/>
      <c r="Q226" s="541"/>
      <c r="R226" s="540">
        <f t="shared" si="3"/>
        <v>0</v>
      </c>
    </row>
    <row r="227" spans="1:18" ht="12.5">
      <c r="A227" s="407"/>
      <c r="B227" s="479"/>
      <c r="C227" s="498"/>
      <c r="D227" s="417" t="s">
        <v>569</v>
      </c>
      <c r="E227" s="431">
        <v>211</v>
      </c>
      <c r="F227" s="385"/>
      <c r="G227" s="385"/>
      <c r="H227" s="385"/>
      <c r="I227" s="385"/>
      <c r="J227" s="385"/>
      <c r="K227" s="385"/>
      <c r="L227" s="385"/>
      <c r="M227" s="385"/>
      <c r="N227" s="385"/>
      <c r="O227" s="385"/>
      <c r="P227" s="385"/>
      <c r="Q227" s="385"/>
      <c r="R227" s="386">
        <f t="shared" si="3"/>
        <v>0</v>
      </c>
    </row>
    <row r="228" spans="1:18" ht="12.5">
      <c r="A228" s="407"/>
      <c r="B228" s="498"/>
      <c r="C228" s="498"/>
      <c r="D228" s="417" t="s">
        <v>572</v>
      </c>
      <c r="E228" s="431">
        <v>152</v>
      </c>
      <c r="F228" s="444"/>
      <c r="G228" s="444"/>
      <c r="H228" s="444"/>
      <c r="I228" s="444"/>
      <c r="J228" s="444"/>
      <c r="K228" s="444"/>
      <c r="L228" s="444"/>
      <c r="M228" s="444"/>
      <c r="N228" s="444"/>
      <c r="O228" s="444"/>
      <c r="P228" s="444"/>
      <c r="Q228" s="444"/>
      <c r="R228" s="411">
        <f t="shared" si="3"/>
        <v>0</v>
      </c>
    </row>
    <row r="229" spans="1:18" ht="12.5">
      <c r="A229" s="535">
        <v>22</v>
      </c>
      <c r="B229" s="546" t="s">
        <v>562</v>
      </c>
      <c r="C229" s="546" t="s">
        <v>563</v>
      </c>
      <c r="D229" s="537" t="s">
        <v>578</v>
      </c>
      <c r="E229" s="543" t="s">
        <v>576</v>
      </c>
      <c r="F229" s="541"/>
      <c r="G229" s="541"/>
      <c r="H229" s="541"/>
      <c r="I229" s="541"/>
      <c r="J229" s="541"/>
      <c r="K229" s="541"/>
      <c r="L229" s="541"/>
      <c r="M229" s="541"/>
      <c r="N229" s="541"/>
      <c r="O229" s="541"/>
      <c r="P229" s="541"/>
      <c r="Q229" s="541"/>
      <c r="R229" s="540">
        <f t="shared" si="3"/>
        <v>0</v>
      </c>
    </row>
    <row r="230" spans="1:18" ht="12.5">
      <c r="A230" s="407"/>
      <c r="B230" s="479"/>
      <c r="C230" s="498"/>
      <c r="D230" s="417" t="s">
        <v>569</v>
      </c>
      <c r="E230" s="431">
        <v>211</v>
      </c>
      <c r="F230" s="385"/>
      <c r="G230" s="385"/>
      <c r="H230" s="385"/>
      <c r="I230" s="385"/>
      <c r="J230" s="385"/>
      <c r="K230" s="385"/>
      <c r="L230" s="385"/>
      <c r="M230" s="385"/>
      <c r="N230" s="385"/>
      <c r="O230" s="385"/>
      <c r="P230" s="385"/>
      <c r="Q230" s="385"/>
      <c r="R230" s="386">
        <f t="shared" si="3"/>
        <v>0</v>
      </c>
    </row>
    <row r="231" spans="1:18" ht="12.5">
      <c r="A231" s="407"/>
      <c r="B231" s="479"/>
      <c r="C231" s="498"/>
      <c r="D231" s="417" t="s">
        <v>572</v>
      </c>
      <c r="E231" s="431">
        <v>152</v>
      </c>
      <c r="F231" s="385"/>
      <c r="G231" s="385"/>
      <c r="H231" s="385"/>
      <c r="I231" s="385"/>
      <c r="J231" s="385"/>
      <c r="K231" s="385"/>
      <c r="L231" s="385"/>
      <c r="M231" s="385"/>
      <c r="N231" s="385"/>
      <c r="O231" s="385"/>
      <c r="P231" s="385"/>
      <c r="Q231" s="385"/>
      <c r="R231" s="386">
        <f t="shared" si="3"/>
        <v>0</v>
      </c>
    </row>
    <row r="232" spans="1:18" ht="12.5">
      <c r="A232" s="407"/>
      <c r="B232" s="498"/>
      <c r="C232" s="498"/>
      <c r="D232" s="391"/>
      <c r="E232" s="391"/>
      <c r="F232" s="385"/>
      <c r="G232" s="385"/>
      <c r="H232" s="385"/>
      <c r="I232" s="385"/>
      <c r="J232" s="385"/>
      <c r="K232" s="385"/>
      <c r="L232" s="385"/>
      <c r="M232" s="385"/>
      <c r="N232" s="385"/>
      <c r="O232" s="385"/>
      <c r="P232" s="385"/>
      <c r="Q232" s="385"/>
      <c r="R232" s="386">
        <f t="shared" si="3"/>
        <v>0</v>
      </c>
    </row>
    <row r="233" spans="1:18">
      <c r="A233" s="437" t="s">
        <v>585</v>
      </c>
      <c r="B233" s="376" t="s">
        <v>586</v>
      </c>
      <c r="C233" s="376"/>
      <c r="D233" s="447" t="s">
        <v>587</v>
      </c>
      <c r="E233" s="448" t="s">
        <v>588</v>
      </c>
      <c r="F233" s="522"/>
      <c r="G233" s="523"/>
      <c r="H233" s="523"/>
      <c r="I233" s="523"/>
      <c r="J233" s="523"/>
      <c r="K233" s="523"/>
      <c r="L233" s="523"/>
      <c r="M233" s="523"/>
      <c r="N233" s="523"/>
      <c r="O233" s="523"/>
      <c r="P233" s="523"/>
      <c r="Q233" s="523"/>
      <c r="R233" s="438"/>
    </row>
    <row r="234" spans="1:18">
      <c r="A234" s="449"/>
      <c r="B234" s="479" t="s">
        <v>503</v>
      </c>
      <c r="C234" s="381" t="s">
        <v>504</v>
      </c>
      <c r="D234" s="544" t="s">
        <v>589</v>
      </c>
      <c r="E234" s="450">
        <v>128</v>
      </c>
      <c r="F234" s="549"/>
      <c r="G234" s="541"/>
      <c r="H234" s="541"/>
      <c r="I234" s="541"/>
      <c r="J234" s="541"/>
      <c r="K234" s="541"/>
      <c r="L234" s="541"/>
      <c r="M234" s="541"/>
      <c r="N234" s="541"/>
      <c r="O234" s="541"/>
      <c r="P234" s="541"/>
      <c r="Q234" s="541"/>
      <c r="R234" s="386">
        <f t="shared" ref="R234:R241" si="4">SUM(F234:Q234)</f>
        <v>0</v>
      </c>
    </row>
    <row r="235" spans="1:18">
      <c r="A235" s="449"/>
      <c r="B235" s="499"/>
      <c r="C235" s="443"/>
      <c r="D235" s="388"/>
      <c r="E235" s="450">
        <v>138</v>
      </c>
      <c r="F235" s="525"/>
      <c r="G235" s="403"/>
      <c r="H235" s="403"/>
      <c r="I235" s="403"/>
      <c r="J235" s="403"/>
      <c r="K235" s="403"/>
      <c r="L235" s="403"/>
      <c r="M235" s="403"/>
      <c r="N235" s="403"/>
      <c r="O235" s="403"/>
      <c r="P235" s="403"/>
      <c r="Q235" s="403"/>
      <c r="R235" s="386">
        <f t="shared" si="4"/>
        <v>0</v>
      </c>
    </row>
    <row r="236" spans="1:18">
      <c r="A236" s="449"/>
      <c r="B236" s="414" t="s">
        <v>550</v>
      </c>
      <c r="C236" s="414" t="s">
        <v>551</v>
      </c>
      <c r="D236" s="388" t="s">
        <v>484</v>
      </c>
      <c r="E236" s="450">
        <v>128</v>
      </c>
      <c r="F236" s="525"/>
      <c r="G236" s="403"/>
      <c r="H236" s="403"/>
      <c r="I236" s="403"/>
      <c r="J236" s="403"/>
      <c r="K236" s="403"/>
      <c r="L236" s="403"/>
      <c r="M236" s="403"/>
      <c r="N236" s="403"/>
      <c r="O236" s="403"/>
      <c r="P236" s="403"/>
      <c r="Q236" s="403"/>
      <c r="R236" s="386">
        <f t="shared" si="4"/>
        <v>0</v>
      </c>
    </row>
    <row r="237" spans="1:18">
      <c r="A237" s="449"/>
      <c r="B237" s="414"/>
      <c r="C237" s="418"/>
      <c r="D237" s="382"/>
      <c r="E237" s="452">
        <v>138</v>
      </c>
      <c r="F237" s="525"/>
      <c r="G237" s="403"/>
      <c r="H237" s="403"/>
      <c r="I237" s="403"/>
      <c r="J237" s="403"/>
      <c r="K237" s="403"/>
      <c r="L237" s="403"/>
      <c r="M237" s="403"/>
      <c r="N237" s="403"/>
      <c r="O237" s="403"/>
      <c r="P237" s="403"/>
      <c r="Q237" s="403"/>
      <c r="R237" s="386">
        <f t="shared" si="4"/>
        <v>0</v>
      </c>
    </row>
    <row r="238" spans="1:18">
      <c r="A238" s="449"/>
      <c r="B238" s="414" t="s">
        <v>538</v>
      </c>
      <c r="C238" s="414" t="s">
        <v>539</v>
      </c>
      <c r="D238" s="388" t="s">
        <v>484</v>
      </c>
      <c r="E238" s="452">
        <v>128</v>
      </c>
      <c r="F238" s="525"/>
      <c r="G238" s="403"/>
      <c r="H238" s="403"/>
      <c r="I238" s="403"/>
      <c r="J238" s="403"/>
      <c r="K238" s="403"/>
      <c r="L238" s="403"/>
      <c r="M238" s="403"/>
      <c r="N238" s="403"/>
      <c r="O238" s="403"/>
      <c r="P238" s="403"/>
      <c r="Q238" s="403"/>
      <c r="R238" s="386">
        <f t="shared" si="4"/>
        <v>0</v>
      </c>
    </row>
    <row r="239" spans="1:18">
      <c r="A239" s="449"/>
      <c r="B239" s="479" t="s">
        <v>590</v>
      </c>
      <c r="C239" s="381"/>
      <c r="D239" s="453" t="s">
        <v>591</v>
      </c>
      <c r="E239" s="452">
        <v>128</v>
      </c>
      <c r="F239" s="525"/>
      <c r="G239" s="403"/>
      <c r="H239" s="403"/>
      <c r="I239" s="403"/>
      <c r="J239" s="403"/>
      <c r="K239" s="403"/>
      <c r="L239" s="403"/>
      <c r="M239" s="403"/>
      <c r="N239" s="403"/>
      <c r="O239" s="403"/>
      <c r="P239" s="403"/>
      <c r="Q239" s="403"/>
      <c r="R239" s="386">
        <f t="shared" si="4"/>
        <v>0</v>
      </c>
    </row>
    <row r="240" spans="1:18">
      <c r="A240" s="449"/>
      <c r="B240" s="479" t="s">
        <v>592</v>
      </c>
      <c r="C240" s="479"/>
      <c r="D240" s="454"/>
      <c r="E240" s="450">
        <v>138</v>
      </c>
      <c r="F240" s="525"/>
      <c r="G240" s="403"/>
      <c r="H240" s="403"/>
      <c r="I240" s="403"/>
      <c r="J240" s="403"/>
      <c r="K240" s="403"/>
      <c r="L240" s="403"/>
      <c r="M240" s="403"/>
      <c r="N240" s="403"/>
      <c r="O240" s="403"/>
      <c r="P240" s="403"/>
      <c r="Q240" s="403"/>
      <c r="R240" s="386">
        <f t="shared" si="4"/>
        <v>0</v>
      </c>
    </row>
    <row r="241" spans="1:18">
      <c r="A241" s="455"/>
      <c r="B241" s="475" t="s">
        <v>593</v>
      </c>
      <c r="C241" s="475"/>
      <c r="D241" s="456"/>
      <c r="E241" s="457">
        <v>138</v>
      </c>
      <c r="F241" s="524"/>
      <c r="G241" s="445"/>
      <c r="H241" s="445"/>
      <c r="I241" s="445"/>
      <c r="J241" s="445"/>
      <c r="K241" s="445"/>
      <c r="L241" s="445"/>
      <c r="M241" s="445"/>
      <c r="N241" s="445"/>
      <c r="O241" s="445"/>
      <c r="P241" s="445"/>
      <c r="Q241" s="445"/>
      <c r="R241" s="386">
        <f t="shared" si="4"/>
        <v>0</v>
      </c>
    </row>
    <row r="242" spans="1:18">
      <c r="A242" s="437" t="s">
        <v>594</v>
      </c>
      <c r="B242" s="376" t="s">
        <v>595</v>
      </c>
      <c r="C242" s="376"/>
      <c r="D242" s="447" t="s">
        <v>587</v>
      </c>
      <c r="E242" s="448" t="s">
        <v>588</v>
      </c>
      <c r="F242" s="522"/>
      <c r="G242" s="523"/>
      <c r="H242" s="523"/>
      <c r="I242" s="523"/>
      <c r="J242" s="523"/>
      <c r="K242" s="523"/>
      <c r="L242" s="523"/>
      <c r="M242" s="523"/>
      <c r="N242" s="523"/>
      <c r="O242" s="523"/>
      <c r="P242" s="523"/>
      <c r="Q242" s="523"/>
      <c r="R242" s="438"/>
    </row>
    <row r="243" spans="1:18">
      <c r="A243" s="458"/>
      <c r="B243" s="388" t="s">
        <v>503</v>
      </c>
      <c r="C243" s="382" t="s">
        <v>504</v>
      </c>
      <c r="D243" s="544" t="s">
        <v>589</v>
      </c>
      <c r="E243" s="450">
        <v>128</v>
      </c>
      <c r="F243" s="549"/>
      <c r="G243" s="541"/>
      <c r="H243" s="541"/>
      <c r="I243" s="541"/>
      <c r="J243" s="541"/>
      <c r="K243" s="541"/>
      <c r="L243" s="541"/>
      <c r="M243" s="541"/>
      <c r="N243" s="541"/>
      <c r="O243" s="541"/>
      <c r="P243" s="541"/>
      <c r="Q243" s="541"/>
      <c r="R243" s="386">
        <f t="shared" ref="R243:R248" si="5">SUM(F243:Q243)</f>
        <v>0</v>
      </c>
    </row>
    <row r="244" spans="1:18">
      <c r="A244" s="458"/>
      <c r="B244" s="451"/>
      <c r="C244" s="392"/>
      <c r="D244" s="388"/>
      <c r="E244" s="450">
        <v>138</v>
      </c>
      <c r="F244" s="525"/>
      <c r="G244" s="403"/>
      <c r="H244" s="403"/>
      <c r="I244" s="403"/>
      <c r="J244" s="403"/>
      <c r="K244" s="403"/>
      <c r="L244" s="403"/>
      <c r="M244" s="403"/>
      <c r="N244" s="403"/>
      <c r="O244" s="403"/>
      <c r="P244" s="403"/>
      <c r="Q244" s="403"/>
      <c r="R244" s="386">
        <f t="shared" si="5"/>
        <v>0</v>
      </c>
    </row>
    <row r="245" spans="1:18">
      <c r="A245" s="458"/>
      <c r="B245" s="414" t="s">
        <v>550</v>
      </c>
      <c r="C245" s="414" t="s">
        <v>551</v>
      </c>
      <c r="D245" s="388" t="s">
        <v>484</v>
      </c>
      <c r="E245" s="450">
        <v>128</v>
      </c>
      <c r="F245" s="525"/>
      <c r="G245" s="403"/>
      <c r="H245" s="403"/>
      <c r="I245" s="403"/>
      <c r="J245" s="403"/>
      <c r="K245" s="403"/>
      <c r="L245" s="403"/>
      <c r="M245" s="403"/>
      <c r="N245" s="403"/>
      <c r="O245" s="403"/>
      <c r="P245" s="403"/>
      <c r="Q245" s="403"/>
      <c r="R245" s="386">
        <f t="shared" si="5"/>
        <v>0</v>
      </c>
    </row>
    <row r="246" spans="1:18">
      <c r="A246" s="458"/>
      <c r="B246" s="414"/>
      <c r="C246" s="418"/>
      <c r="D246" s="382"/>
      <c r="E246" s="452">
        <v>138</v>
      </c>
      <c r="F246" s="525"/>
      <c r="G246" s="403"/>
      <c r="H246" s="403"/>
      <c r="I246" s="403"/>
      <c r="J246" s="403"/>
      <c r="K246" s="403"/>
      <c r="L246" s="403"/>
      <c r="M246" s="403"/>
      <c r="N246" s="403"/>
      <c r="O246" s="403"/>
      <c r="P246" s="403"/>
      <c r="Q246" s="403"/>
      <c r="R246" s="386">
        <f t="shared" si="5"/>
        <v>0</v>
      </c>
    </row>
    <row r="247" spans="1:18">
      <c r="A247" s="458"/>
      <c r="B247" s="414" t="s">
        <v>538</v>
      </c>
      <c r="C247" s="414" t="s">
        <v>539</v>
      </c>
      <c r="D247" s="388" t="s">
        <v>484</v>
      </c>
      <c r="E247" s="452">
        <v>128</v>
      </c>
      <c r="F247" s="525"/>
      <c r="G247" s="403"/>
      <c r="H247" s="403"/>
      <c r="I247" s="403"/>
      <c r="J247" s="403"/>
      <c r="K247" s="403"/>
      <c r="L247" s="403"/>
      <c r="M247" s="403"/>
      <c r="N247" s="403"/>
      <c r="O247" s="403"/>
      <c r="P247" s="403"/>
      <c r="Q247" s="403"/>
      <c r="R247" s="386">
        <f t="shared" si="5"/>
        <v>0</v>
      </c>
    </row>
    <row r="248" spans="1:18">
      <c r="A248" s="458"/>
      <c r="B248" s="388" t="s">
        <v>590</v>
      </c>
      <c r="C248" s="382"/>
      <c r="D248" s="453" t="s">
        <v>591</v>
      </c>
      <c r="E248" s="452">
        <v>128</v>
      </c>
      <c r="F248" s="524"/>
      <c r="G248" s="445"/>
      <c r="H248" s="445"/>
      <c r="I248" s="445"/>
      <c r="J248" s="445"/>
      <c r="K248" s="445"/>
      <c r="L248" s="445"/>
      <c r="M248" s="445"/>
      <c r="N248" s="445"/>
      <c r="O248" s="445"/>
      <c r="P248" s="445"/>
      <c r="Q248" s="445"/>
      <c r="R248" s="386">
        <f t="shared" si="5"/>
        <v>0</v>
      </c>
    </row>
    <row r="249" spans="1:18">
      <c r="A249" s="437" t="s">
        <v>596</v>
      </c>
      <c r="B249" s="376" t="s">
        <v>597</v>
      </c>
      <c r="C249" s="376"/>
      <c r="D249" s="447" t="s">
        <v>587</v>
      </c>
      <c r="E249" s="448" t="s">
        <v>588</v>
      </c>
      <c r="F249" s="522"/>
      <c r="G249" s="523"/>
      <c r="H249" s="523"/>
      <c r="I249" s="523"/>
      <c r="J249" s="523"/>
      <c r="K249" s="523"/>
      <c r="L249" s="523"/>
      <c r="M249" s="523"/>
      <c r="N249" s="523"/>
      <c r="O249" s="523"/>
      <c r="P249" s="523"/>
      <c r="Q249" s="523"/>
      <c r="R249" s="438"/>
    </row>
    <row r="250" spans="1:18">
      <c r="A250" s="449"/>
      <c r="B250" s="536" t="s">
        <v>533</v>
      </c>
      <c r="C250" s="536" t="s">
        <v>534</v>
      </c>
      <c r="D250" s="546" t="s">
        <v>484</v>
      </c>
      <c r="E250" s="450">
        <v>341</v>
      </c>
      <c r="F250" s="549"/>
      <c r="G250" s="541"/>
      <c r="H250" s="541"/>
      <c r="I250" s="541"/>
      <c r="J250" s="541"/>
      <c r="K250" s="541"/>
      <c r="L250" s="541"/>
      <c r="M250" s="541"/>
      <c r="N250" s="541"/>
      <c r="O250" s="541"/>
      <c r="P250" s="541"/>
      <c r="Q250" s="541"/>
      <c r="R250" s="386">
        <f t="shared" ref="R250:R252" si="6">SUM(F250:Q250)</f>
        <v>0</v>
      </c>
    </row>
    <row r="251" spans="1:18">
      <c r="A251" s="449"/>
      <c r="B251" s="414" t="s">
        <v>513</v>
      </c>
      <c r="C251" s="418" t="s">
        <v>514</v>
      </c>
      <c r="D251" s="381" t="s">
        <v>484</v>
      </c>
      <c r="E251" s="450">
        <v>338</v>
      </c>
      <c r="F251" s="525"/>
      <c r="G251" s="403"/>
      <c r="H251" s="403"/>
      <c r="I251" s="403"/>
      <c r="J251" s="403"/>
      <c r="K251" s="403"/>
      <c r="L251" s="403"/>
      <c r="M251" s="403"/>
      <c r="N251" s="403"/>
      <c r="O251" s="403"/>
      <c r="P251" s="403"/>
      <c r="Q251" s="403"/>
      <c r="R251" s="386">
        <f t="shared" si="6"/>
        <v>0</v>
      </c>
    </row>
    <row r="252" spans="1:18">
      <c r="A252" s="458"/>
      <c r="B252" s="388" t="s">
        <v>590</v>
      </c>
      <c r="C252" s="459"/>
      <c r="D252" s="459"/>
      <c r="E252" s="450">
        <v>341</v>
      </c>
      <c r="F252" s="526"/>
      <c r="G252" s="445"/>
      <c r="H252" s="445"/>
      <c r="I252" s="445"/>
      <c r="J252" s="445"/>
      <c r="K252" s="445"/>
      <c r="L252" s="445"/>
      <c r="M252" s="445"/>
      <c r="N252" s="445"/>
      <c r="O252" s="445"/>
      <c r="P252" s="445"/>
      <c r="Q252" s="445"/>
      <c r="R252" s="460">
        <f t="shared" si="6"/>
        <v>0</v>
      </c>
    </row>
    <row r="253" spans="1:18">
      <c r="A253" s="437" t="s">
        <v>598</v>
      </c>
      <c r="B253" s="376" t="s">
        <v>599</v>
      </c>
      <c r="C253" s="376"/>
      <c r="D253" s="447" t="s">
        <v>587</v>
      </c>
      <c r="E253" s="448" t="s">
        <v>588</v>
      </c>
      <c r="F253" s="522"/>
      <c r="G253" s="523"/>
      <c r="H253" s="523"/>
      <c r="I253" s="523"/>
      <c r="J253" s="523"/>
      <c r="K253" s="523"/>
      <c r="L253" s="523"/>
      <c r="M253" s="523"/>
      <c r="N253" s="523"/>
      <c r="O253" s="523"/>
      <c r="P253" s="523"/>
      <c r="Q253" s="523"/>
      <c r="R253" s="438"/>
    </row>
    <row r="254" spans="1:18">
      <c r="A254" s="461"/>
      <c r="B254" s="536" t="s">
        <v>533</v>
      </c>
      <c r="C254" s="536" t="s">
        <v>534</v>
      </c>
      <c r="D254" s="546" t="s">
        <v>484</v>
      </c>
      <c r="E254" s="450">
        <v>341</v>
      </c>
      <c r="F254" s="549"/>
      <c r="G254" s="541"/>
      <c r="H254" s="541"/>
      <c r="I254" s="541"/>
      <c r="J254" s="541"/>
      <c r="K254" s="541"/>
      <c r="L254" s="541"/>
      <c r="M254" s="541"/>
      <c r="N254" s="541"/>
      <c r="O254" s="541"/>
      <c r="P254" s="541"/>
      <c r="Q254" s="541"/>
      <c r="R254" s="386">
        <f t="shared" ref="R254:R256" si="7">SUM(F254:Q254)</f>
        <v>0</v>
      </c>
    </row>
    <row r="255" spans="1:18">
      <c r="A255" s="461"/>
      <c r="B255" s="479" t="s">
        <v>590</v>
      </c>
      <c r="C255" s="462"/>
      <c r="D255" s="462"/>
      <c r="E255" s="463"/>
      <c r="F255" s="527"/>
      <c r="G255" s="403"/>
      <c r="H255" s="403"/>
      <c r="I255" s="403"/>
      <c r="J255" s="403"/>
      <c r="K255" s="403"/>
      <c r="L255" s="403"/>
      <c r="M255" s="403"/>
      <c r="N255" s="403"/>
      <c r="O255" s="403"/>
      <c r="P255" s="403"/>
      <c r="Q255" s="403"/>
      <c r="R255" s="460">
        <f t="shared" si="7"/>
        <v>0</v>
      </c>
    </row>
    <row r="256" spans="1:18">
      <c r="A256" s="455"/>
      <c r="B256" s="414"/>
      <c r="C256" s="416"/>
      <c r="D256" s="397"/>
      <c r="E256" s="397"/>
      <c r="F256" s="524"/>
      <c r="G256" s="445"/>
      <c r="H256" s="445"/>
      <c r="I256" s="445"/>
      <c r="J256" s="445"/>
      <c r="K256" s="445"/>
      <c r="L256" s="445"/>
      <c r="M256" s="445"/>
      <c r="N256" s="445"/>
      <c r="O256" s="445"/>
      <c r="P256" s="445"/>
      <c r="Q256" s="445"/>
      <c r="R256" s="386">
        <f t="shared" si="7"/>
        <v>0</v>
      </c>
    </row>
    <row r="257" spans="1:18">
      <c r="A257" s="437" t="s">
        <v>600</v>
      </c>
      <c r="B257" s="376" t="s">
        <v>601</v>
      </c>
      <c r="C257" s="376"/>
      <c r="D257" s="447" t="s">
        <v>587</v>
      </c>
      <c r="E257" s="448" t="s">
        <v>588</v>
      </c>
      <c r="F257" s="522"/>
      <c r="G257" s="523"/>
      <c r="H257" s="523"/>
      <c r="I257" s="523"/>
      <c r="J257" s="523"/>
      <c r="K257" s="523"/>
      <c r="L257" s="523"/>
      <c r="M257" s="523"/>
      <c r="N257" s="523"/>
      <c r="O257" s="523"/>
      <c r="P257" s="523"/>
      <c r="Q257" s="523"/>
      <c r="R257" s="438"/>
    </row>
    <row r="258" spans="1:18">
      <c r="A258" s="550"/>
      <c r="B258" s="536"/>
      <c r="C258" s="536"/>
      <c r="D258" s="544" t="s">
        <v>602</v>
      </c>
      <c r="E258" s="551">
        <v>515</v>
      </c>
      <c r="F258" s="549"/>
      <c r="G258" s="541"/>
      <c r="H258" s="541"/>
      <c r="I258" s="541"/>
      <c r="J258" s="541"/>
      <c r="K258" s="541"/>
      <c r="L258" s="541"/>
      <c r="M258" s="541"/>
      <c r="N258" s="541"/>
      <c r="O258" s="541"/>
      <c r="P258" s="541"/>
      <c r="Q258" s="541"/>
      <c r="R258" s="386">
        <f t="shared" ref="R258:R266" si="8">SUM(F258:Q258)</f>
        <v>0</v>
      </c>
    </row>
    <row r="259" spans="1:18">
      <c r="A259" s="449"/>
      <c r="B259" s="479"/>
      <c r="C259" s="479"/>
      <c r="D259" s="388"/>
      <c r="E259" s="392">
        <v>138</v>
      </c>
      <c r="F259" s="525"/>
      <c r="G259" s="403"/>
      <c r="H259" s="403"/>
      <c r="I259" s="403"/>
      <c r="J259" s="403"/>
      <c r="K259" s="403"/>
      <c r="L259" s="403"/>
      <c r="M259" s="403"/>
      <c r="N259" s="403"/>
      <c r="O259" s="403"/>
      <c r="P259" s="403"/>
      <c r="Q259" s="403"/>
      <c r="R259" s="386">
        <f t="shared" si="8"/>
        <v>0</v>
      </c>
    </row>
    <row r="260" spans="1:18">
      <c r="A260" s="449"/>
      <c r="B260" s="479"/>
      <c r="C260" s="479"/>
      <c r="D260" s="388" t="s">
        <v>602</v>
      </c>
      <c r="E260" s="450">
        <v>515</v>
      </c>
      <c r="F260" s="525"/>
      <c r="G260" s="403"/>
      <c r="H260" s="403"/>
      <c r="I260" s="403"/>
      <c r="J260" s="403"/>
      <c r="K260" s="403"/>
      <c r="L260" s="403"/>
      <c r="M260" s="403"/>
      <c r="N260" s="403"/>
      <c r="O260" s="403"/>
      <c r="P260" s="403"/>
      <c r="Q260" s="403"/>
      <c r="R260" s="386">
        <f t="shared" si="8"/>
        <v>0</v>
      </c>
    </row>
    <row r="261" spans="1:18">
      <c r="A261" s="449"/>
      <c r="B261" s="479"/>
      <c r="C261" s="479"/>
      <c r="D261" s="388"/>
      <c r="E261" s="392">
        <v>138</v>
      </c>
      <c r="F261" s="525"/>
      <c r="G261" s="403"/>
      <c r="H261" s="403"/>
      <c r="I261" s="403"/>
      <c r="J261" s="403"/>
      <c r="K261" s="403"/>
      <c r="L261" s="403"/>
      <c r="M261" s="403"/>
      <c r="N261" s="403"/>
      <c r="O261" s="403"/>
      <c r="P261" s="403"/>
      <c r="Q261" s="403"/>
      <c r="R261" s="386">
        <f t="shared" si="8"/>
        <v>0</v>
      </c>
    </row>
    <row r="262" spans="1:18">
      <c r="A262" s="449"/>
      <c r="B262" s="500"/>
      <c r="C262" s="443"/>
      <c r="D262" s="388" t="s">
        <v>602</v>
      </c>
      <c r="E262" s="450">
        <v>515</v>
      </c>
      <c r="F262" s="525"/>
      <c r="G262" s="403"/>
      <c r="H262" s="403"/>
      <c r="I262" s="403"/>
      <c r="J262" s="403"/>
      <c r="K262" s="403"/>
      <c r="L262" s="403"/>
      <c r="M262" s="403"/>
      <c r="N262" s="403"/>
      <c r="O262" s="403"/>
      <c r="P262" s="403"/>
      <c r="Q262" s="403"/>
      <c r="R262" s="386">
        <f t="shared" si="8"/>
        <v>0</v>
      </c>
    </row>
    <row r="263" spans="1:18">
      <c r="A263" s="449"/>
      <c r="B263" s="501"/>
      <c r="C263" s="479"/>
      <c r="D263" s="388"/>
      <c r="E263" s="392">
        <v>138</v>
      </c>
      <c r="F263" s="525"/>
      <c r="G263" s="403"/>
      <c r="H263" s="403"/>
      <c r="I263" s="403"/>
      <c r="J263" s="403"/>
      <c r="K263" s="403"/>
      <c r="L263" s="403"/>
      <c r="M263" s="403"/>
      <c r="N263" s="403"/>
      <c r="O263" s="403"/>
      <c r="P263" s="403"/>
      <c r="Q263" s="403"/>
      <c r="R263" s="386">
        <f t="shared" si="8"/>
        <v>0</v>
      </c>
    </row>
    <row r="264" spans="1:18">
      <c r="A264" s="449"/>
      <c r="B264" s="500"/>
      <c r="C264" s="443"/>
      <c r="D264" s="388" t="s">
        <v>602</v>
      </c>
      <c r="E264" s="450">
        <v>515</v>
      </c>
      <c r="F264" s="525"/>
      <c r="G264" s="403"/>
      <c r="H264" s="403"/>
      <c r="I264" s="403"/>
      <c r="J264" s="403"/>
      <c r="K264" s="403"/>
      <c r="L264" s="403"/>
      <c r="M264" s="403"/>
      <c r="N264" s="403"/>
      <c r="O264" s="403"/>
      <c r="P264" s="403"/>
      <c r="Q264" s="403"/>
      <c r="R264" s="386">
        <f t="shared" si="8"/>
        <v>0</v>
      </c>
    </row>
    <row r="265" spans="1:18">
      <c r="A265" s="449"/>
      <c r="B265" s="501"/>
      <c r="C265" s="479"/>
      <c r="D265" s="388"/>
      <c r="E265" s="392">
        <v>138</v>
      </c>
      <c r="F265" s="525"/>
      <c r="G265" s="403"/>
      <c r="H265" s="403"/>
      <c r="I265" s="403"/>
      <c r="J265" s="403"/>
      <c r="K265" s="403"/>
      <c r="L265" s="403"/>
      <c r="M265" s="403"/>
      <c r="N265" s="403"/>
      <c r="O265" s="403"/>
      <c r="P265" s="403"/>
      <c r="Q265" s="403"/>
      <c r="R265" s="386">
        <f t="shared" si="8"/>
        <v>0</v>
      </c>
    </row>
    <row r="266" spans="1:18">
      <c r="A266" s="455"/>
      <c r="B266" s="475"/>
      <c r="C266" s="475"/>
      <c r="D266" s="397"/>
      <c r="E266" s="396"/>
      <c r="F266" s="524"/>
      <c r="G266" s="445"/>
      <c r="H266" s="445"/>
      <c r="I266" s="445"/>
      <c r="J266" s="445"/>
      <c r="K266" s="445"/>
      <c r="L266" s="445"/>
      <c r="M266" s="445"/>
      <c r="N266" s="445"/>
      <c r="O266" s="445"/>
      <c r="P266" s="445"/>
      <c r="Q266" s="445"/>
      <c r="R266" s="386">
        <f t="shared" si="8"/>
        <v>0</v>
      </c>
    </row>
    <row r="267" spans="1:18">
      <c r="A267" s="437" t="s">
        <v>603</v>
      </c>
      <c r="B267" s="376" t="s">
        <v>604</v>
      </c>
      <c r="C267" s="376"/>
      <c r="D267" s="447" t="s">
        <v>587</v>
      </c>
      <c r="E267" s="448" t="s">
        <v>588</v>
      </c>
      <c r="F267" s="522"/>
      <c r="G267" s="523"/>
      <c r="H267" s="523"/>
      <c r="I267" s="523"/>
      <c r="J267" s="523"/>
      <c r="K267" s="523"/>
      <c r="L267" s="523"/>
      <c r="M267" s="523"/>
      <c r="N267" s="523"/>
      <c r="O267" s="523"/>
      <c r="P267" s="523"/>
      <c r="Q267" s="523"/>
      <c r="R267" s="438"/>
    </row>
    <row r="268" spans="1:18">
      <c r="A268" s="458"/>
      <c r="B268" s="479" t="s">
        <v>503</v>
      </c>
      <c r="C268" s="381" t="s">
        <v>504</v>
      </c>
      <c r="D268" s="544"/>
      <c r="E268" s="450" t="s">
        <v>605</v>
      </c>
      <c r="F268" s="549"/>
      <c r="G268" s="541"/>
      <c r="H268" s="541"/>
      <c r="I268" s="541"/>
      <c r="J268" s="541"/>
      <c r="K268" s="541"/>
      <c r="L268" s="541"/>
      <c r="M268" s="541"/>
      <c r="N268" s="541"/>
      <c r="O268" s="541"/>
      <c r="P268" s="541"/>
      <c r="Q268" s="541"/>
      <c r="R268" s="386">
        <f t="shared" ref="R268:R272" si="9">SUM(F268:Q268)</f>
        <v>0</v>
      </c>
    </row>
    <row r="269" spans="1:18">
      <c r="A269" s="458"/>
      <c r="B269" s="479"/>
      <c r="C269" s="381"/>
      <c r="D269" s="382"/>
      <c r="E269" s="450" t="s">
        <v>606</v>
      </c>
      <c r="F269" s="525"/>
      <c r="G269" s="403"/>
      <c r="H269" s="403"/>
      <c r="I269" s="403"/>
      <c r="J269" s="403"/>
      <c r="K269" s="403"/>
      <c r="L269" s="403"/>
      <c r="M269" s="403"/>
      <c r="N269" s="403"/>
      <c r="O269" s="403"/>
      <c r="P269" s="403"/>
      <c r="Q269" s="403"/>
      <c r="R269" s="386">
        <f t="shared" si="9"/>
        <v>0</v>
      </c>
    </row>
    <row r="270" spans="1:18">
      <c r="A270" s="458"/>
      <c r="B270" s="479" t="s">
        <v>590</v>
      </c>
      <c r="C270" s="381"/>
      <c r="D270" s="453"/>
      <c r="E270" s="450" t="s">
        <v>606</v>
      </c>
      <c r="F270" s="525"/>
      <c r="G270" s="403"/>
      <c r="H270" s="403"/>
      <c r="I270" s="403"/>
      <c r="J270" s="403"/>
      <c r="K270" s="403"/>
      <c r="L270" s="403"/>
      <c r="M270" s="403"/>
      <c r="N270" s="403"/>
      <c r="O270" s="403"/>
      <c r="P270" s="403"/>
      <c r="Q270" s="403"/>
      <c r="R270" s="386">
        <f t="shared" si="9"/>
        <v>0</v>
      </c>
    </row>
    <row r="271" spans="1:18">
      <c r="A271" s="458"/>
      <c r="B271" s="414" t="s">
        <v>607</v>
      </c>
      <c r="C271" s="418"/>
      <c r="D271" s="453"/>
      <c r="E271" s="450" t="s">
        <v>606</v>
      </c>
      <c r="F271" s="525"/>
      <c r="G271" s="403"/>
      <c r="H271" s="403"/>
      <c r="I271" s="403"/>
      <c r="J271" s="403"/>
      <c r="K271" s="403"/>
      <c r="L271" s="403"/>
      <c r="M271" s="403"/>
      <c r="N271" s="403"/>
      <c r="O271" s="403"/>
      <c r="P271" s="403"/>
      <c r="Q271" s="403"/>
      <c r="R271" s="386">
        <f t="shared" si="9"/>
        <v>0</v>
      </c>
    </row>
    <row r="272" spans="1:18">
      <c r="A272" s="458"/>
      <c r="B272" s="414" t="s">
        <v>608</v>
      </c>
      <c r="C272" s="418"/>
      <c r="D272" s="453"/>
      <c r="E272" s="450" t="s">
        <v>606</v>
      </c>
      <c r="F272" s="524"/>
      <c r="G272" s="445"/>
      <c r="H272" s="445"/>
      <c r="I272" s="445"/>
      <c r="J272" s="445"/>
      <c r="K272" s="445"/>
      <c r="L272" s="445"/>
      <c r="M272" s="445"/>
      <c r="N272" s="445"/>
      <c r="O272" s="445"/>
      <c r="P272" s="445"/>
      <c r="Q272" s="445"/>
      <c r="R272" s="386">
        <f t="shared" si="9"/>
        <v>0</v>
      </c>
    </row>
    <row r="273" spans="1:18">
      <c r="A273" s="437" t="s">
        <v>609</v>
      </c>
      <c r="B273" s="376" t="s">
        <v>610</v>
      </c>
      <c r="C273" s="376"/>
      <c r="D273" s="447" t="s">
        <v>587</v>
      </c>
      <c r="E273" s="448" t="s">
        <v>588</v>
      </c>
      <c r="F273" s="522"/>
      <c r="G273" s="523"/>
      <c r="H273" s="523"/>
      <c r="I273" s="523"/>
      <c r="J273" s="523"/>
      <c r="K273" s="523"/>
      <c r="L273" s="523"/>
      <c r="M273" s="523"/>
      <c r="N273" s="523"/>
      <c r="O273" s="523"/>
      <c r="P273" s="523"/>
      <c r="Q273" s="523"/>
      <c r="R273" s="438"/>
    </row>
    <row r="274" spans="1:18">
      <c r="A274" s="458"/>
      <c r="B274" s="479" t="s">
        <v>503</v>
      </c>
      <c r="C274" s="381" t="s">
        <v>504</v>
      </c>
      <c r="D274" s="544"/>
      <c r="E274" s="450" t="s">
        <v>611</v>
      </c>
      <c r="F274" s="549"/>
      <c r="G274" s="541"/>
      <c r="H274" s="541"/>
      <c r="I274" s="541"/>
      <c r="J274" s="541"/>
      <c r="K274" s="541"/>
      <c r="L274" s="541"/>
      <c r="M274" s="541"/>
      <c r="N274" s="541"/>
      <c r="O274" s="541"/>
      <c r="P274" s="541"/>
      <c r="Q274" s="541"/>
      <c r="R274" s="386">
        <f t="shared" ref="R274:R281" si="10">SUM(F274:Q274)</f>
        <v>0</v>
      </c>
    </row>
    <row r="275" spans="1:18">
      <c r="A275" s="458"/>
      <c r="B275" s="479"/>
      <c r="C275" s="381"/>
      <c r="D275" s="382"/>
      <c r="E275" s="450"/>
      <c r="F275" s="525"/>
      <c r="G275" s="403"/>
      <c r="H275" s="403"/>
      <c r="I275" s="403"/>
      <c r="J275" s="403"/>
      <c r="K275" s="403"/>
      <c r="L275" s="403"/>
      <c r="M275" s="403"/>
      <c r="N275" s="403"/>
      <c r="O275" s="403"/>
      <c r="P275" s="403"/>
      <c r="Q275" s="403"/>
      <c r="R275" s="386">
        <f t="shared" si="10"/>
        <v>0</v>
      </c>
    </row>
    <row r="276" spans="1:18">
      <c r="A276" s="458"/>
      <c r="B276" s="479" t="s">
        <v>590</v>
      </c>
      <c r="C276" s="381"/>
      <c r="D276" s="453"/>
      <c r="E276" s="450" t="s">
        <v>611</v>
      </c>
      <c r="F276" s="525"/>
      <c r="G276" s="403"/>
      <c r="H276" s="403"/>
      <c r="I276" s="403"/>
      <c r="J276" s="403"/>
      <c r="K276" s="403"/>
      <c r="L276" s="403"/>
      <c r="M276" s="403"/>
      <c r="N276" s="403"/>
      <c r="O276" s="403"/>
      <c r="P276" s="403"/>
      <c r="Q276" s="403"/>
      <c r="R276" s="386">
        <f t="shared" si="10"/>
        <v>0</v>
      </c>
    </row>
    <row r="277" spans="1:18">
      <c r="A277" s="458"/>
      <c r="B277" s="479"/>
      <c r="C277" s="381"/>
      <c r="D277" s="453"/>
      <c r="E277" s="450" t="s">
        <v>612</v>
      </c>
      <c r="F277" s="525"/>
      <c r="G277" s="403"/>
      <c r="H277" s="403"/>
      <c r="I277" s="403"/>
      <c r="J277" s="403"/>
      <c r="K277" s="403"/>
      <c r="L277" s="403"/>
      <c r="M277" s="403"/>
      <c r="N277" s="403"/>
      <c r="O277" s="403"/>
      <c r="P277" s="403"/>
      <c r="Q277" s="403"/>
      <c r="R277" s="386">
        <f t="shared" si="10"/>
        <v>0</v>
      </c>
    </row>
    <row r="278" spans="1:18">
      <c r="A278" s="458"/>
      <c r="B278" s="414" t="s">
        <v>607</v>
      </c>
      <c r="C278" s="418"/>
      <c r="D278" s="453"/>
      <c r="E278" s="450" t="s">
        <v>611</v>
      </c>
      <c r="F278" s="525"/>
      <c r="G278" s="403"/>
      <c r="H278" s="403"/>
      <c r="I278" s="403"/>
      <c r="J278" s="403"/>
      <c r="K278" s="403"/>
      <c r="L278" s="403"/>
      <c r="M278" s="403"/>
      <c r="N278" s="403"/>
      <c r="O278" s="403"/>
      <c r="P278" s="403"/>
      <c r="Q278" s="403"/>
      <c r="R278" s="386">
        <f t="shared" si="10"/>
        <v>0</v>
      </c>
    </row>
    <row r="279" spans="1:18">
      <c r="B279" s="414"/>
      <c r="C279" s="418"/>
      <c r="D279" s="453"/>
      <c r="E279" s="450" t="s">
        <v>612</v>
      </c>
      <c r="F279" s="525"/>
      <c r="G279" s="403"/>
      <c r="H279" s="403"/>
      <c r="I279" s="403"/>
      <c r="J279" s="403"/>
      <c r="K279" s="403"/>
      <c r="L279" s="403"/>
      <c r="M279" s="403"/>
      <c r="N279" s="403"/>
      <c r="O279" s="403"/>
      <c r="P279" s="403"/>
      <c r="Q279" s="403"/>
      <c r="R279" s="386">
        <f t="shared" si="10"/>
        <v>0</v>
      </c>
    </row>
    <row r="280" spans="1:18">
      <c r="A280" s="458"/>
      <c r="B280" s="414" t="s">
        <v>608</v>
      </c>
      <c r="C280" s="418"/>
      <c r="D280" s="453" t="s">
        <v>613</v>
      </c>
      <c r="E280" s="450" t="s">
        <v>611</v>
      </c>
      <c r="F280" s="525"/>
      <c r="G280" s="403"/>
      <c r="H280" s="403"/>
      <c r="I280" s="403"/>
      <c r="J280" s="403"/>
      <c r="K280" s="403"/>
      <c r="L280" s="403"/>
      <c r="M280" s="403"/>
      <c r="N280" s="403"/>
      <c r="O280" s="403"/>
      <c r="P280" s="403"/>
      <c r="Q280" s="403"/>
      <c r="R280" s="386">
        <f t="shared" si="10"/>
        <v>0</v>
      </c>
    </row>
    <row r="281" spans="1:18">
      <c r="A281" s="464"/>
      <c r="B281" s="429"/>
      <c r="C281" s="496"/>
      <c r="D281" s="465"/>
      <c r="E281" s="457" t="s">
        <v>612</v>
      </c>
      <c r="F281" s="524"/>
      <c r="G281" s="445"/>
      <c r="H281" s="445"/>
      <c r="I281" s="445"/>
      <c r="J281" s="445"/>
      <c r="K281" s="445"/>
      <c r="L281" s="445"/>
      <c r="M281" s="445"/>
      <c r="N281" s="445"/>
      <c r="O281" s="445"/>
      <c r="P281" s="445"/>
      <c r="Q281" s="445"/>
      <c r="R281" s="401">
        <f t="shared" si="10"/>
        <v>0</v>
      </c>
    </row>
    <row r="282" spans="1:18">
      <c r="B282" s="427"/>
      <c r="C282" s="427"/>
      <c r="D282" s="466"/>
      <c r="E282" s="467"/>
    </row>
    <row r="284" spans="1:18">
      <c r="A284" s="363" t="s">
        <v>614</v>
      </c>
      <c r="B284" s="364" t="s">
        <v>615</v>
      </c>
      <c r="C284" s="364"/>
      <c r="D284" s="365"/>
    </row>
    <row r="285" spans="1:18">
      <c r="F285" s="366" t="s">
        <v>616</v>
      </c>
      <c r="G285" s="367"/>
      <c r="H285" s="367"/>
      <c r="I285" s="367"/>
      <c r="J285" s="367"/>
      <c r="K285" s="367"/>
      <c r="L285" s="367"/>
      <c r="M285" s="367"/>
      <c r="N285" s="367"/>
      <c r="O285" s="367"/>
      <c r="P285" s="367"/>
      <c r="Q285" s="367"/>
    </row>
    <row r="286" spans="1:18">
      <c r="A286" s="552" t="s">
        <v>501</v>
      </c>
      <c r="B286" s="553" t="s">
        <v>617</v>
      </c>
      <c r="C286" s="553"/>
      <c r="D286" s="554" t="s">
        <v>588</v>
      </c>
      <c r="E286" s="544"/>
      <c r="F286" s="468" t="s">
        <v>488</v>
      </c>
      <c r="G286" s="468" t="s">
        <v>489</v>
      </c>
      <c r="H286" s="468" t="s">
        <v>490</v>
      </c>
      <c r="I286" s="468" t="s">
        <v>491</v>
      </c>
      <c r="J286" s="468" t="s">
        <v>492</v>
      </c>
      <c r="K286" s="468" t="s">
        <v>493</v>
      </c>
      <c r="L286" s="468" t="s">
        <v>494</v>
      </c>
      <c r="M286" s="468" t="s">
        <v>495</v>
      </c>
      <c r="N286" s="468" t="s">
        <v>496</v>
      </c>
      <c r="O286" s="468" t="s">
        <v>497</v>
      </c>
      <c r="P286" s="468" t="s">
        <v>498</v>
      </c>
      <c r="Q286" s="468" t="s">
        <v>499</v>
      </c>
    </row>
    <row r="287" spans="1:18" ht="12.5">
      <c r="A287" s="555">
        <v>1</v>
      </c>
      <c r="B287" s="546" t="s">
        <v>503</v>
      </c>
      <c r="C287" s="546" t="s">
        <v>504</v>
      </c>
      <c r="D287" s="545">
        <v>131</v>
      </c>
      <c r="E287" s="544"/>
      <c r="F287" s="556"/>
      <c r="G287" s="556"/>
      <c r="H287" s="556"/>
      <c r="I287" s="556"/>
      <c r="J287" s="556"/>
      <c r="K287" s="556"/>
      <c r="L287" s="556"/>
      <c r="M287" s="556"/>
      <c r="N287" s="556"/>
      <c r="O287" s="556"/>
      <c r="P287" s="556"/>
      <c r="Q287" s="541"/>
    </row>
    <row r="288" spans="1:18" ht="12.5">
      <c r="A288" s="469"/>
      <c r="B288" s="470"/>
      <c r="C288" s="470"/>
      <c r="D288" s="471">
        <v>138</v>
      </c>
      <c r="E288" s="436"/>
      <c r="F288" s="472"/>
      <c r="G288" s="472"/>
      <c r="H288" s="472"/>
      <c r="I288" s="472"/>
      <c r="J288" s="472"/>
      <c r="K288" s="472"/>
      <c r="L288" s="472"/>
      <c r="M288" s="472"/>
      <c r="N288" s="472"/>
      <c r="O288" s="472"/>
      <c r="P288" s="472"/>
      <c r="Q288" s="473"/>
    </row>
    <row r="289" spans="1:17" ht="12.5">
      <c r="A289" s="555">
        <v>2</v>
      </c>
      <c r="B289" s="546" t="s">
        <v>513</v>
      </c>
      <c r="C289" s="546" t="s">
        <v>514</v>
      </c>
      <c r="D289" s="545">
        <v>131</v>
      </c>
      <c r="E289" s="544"/>
      <c r="F289" s="556"/>
      <c r="G289" s="556"/>
      <c r="H289" s="556"/>
      <c r="I289" s="556"/>
      <c r="J289" s="556"/>
      <c r="K289" s="556"/>
      <c r="L289" s="556"/>
      <c r="M289" s="556"/>
      <c r="N289" s="556"/>
      <c r="O289" s="556"/>
      <c r="P289" s="556"/>
      <c r="Q289" s="541"/>
    </row>
    <row r="290" spans="1:17" ht="12.5">
      <c r="A290" s="469"/>
      <c r="B290" s="470"/>
      <c r="C290" s="470"/>
      <c r="D290" s="471">
        <v>138</v>
      </c>
      <c r="E290" s="436"/>
      <c r="F290" s="472"/>
      <c r="G290" s="472"/>
      <c r="H290" s="472"/>
      <c r="I290" s="472"/>
      <c r="J290" s="472"/>
      <c r="K290" s="472"/>
      <c r="L290" s="472"/>
      <c r="M290" s="472"/>
      <c r="N290" s="472"/>
      <c r="O290" s="472"/>
      <c r="P290" s="472"/>
      <c r="Q290" s="473"/>
    </row>
    <row r="291" spans="1:17" s="360" customFormat="1" ht="12.5">
      <c r="A291" s="555">
        <v>3</v>
      </c>
      <c r="B291" s="546" t="s">
        <v>519</v>
      </c>
      <c r="C291" s="546" t="s">
        <v>520</v>
      </c>
      <c r="D291" s="545">
        <v>131</v>
      </c>
      <c r="E291" s="544"/>
      <c r="F291" s="556"/>
      <c r="G291" s="556"/>
      <c r="H291" s="556"/>
      <c r="I291" s="556"/>
      <c r="J291" s="556"/>
      <c r="K291" s="556"/>
      <c r="L291" s="556"/>
      <c r="M291" s="556"/>
      <c r="N291" s="556"/>
      <c r="O291" s="556"/>
      <c r="P291" s="556"/>
      <c r="Q291" s="541"/>
    </row>
    <row r="292" spans="1:17" s="360" customFormat="1" ht="12.5">
      <c r="A292" s="469"/>
      <c r="B292" s="470"/>
      <c r="C292" s="470"/>
      <c r="D292" s="471">
        <v>138</v>
      </c>
      <c r="E292" s="436"/>
      <c r="F292" s="472"/>
      <c r="G292" s="472"/>
      <c r="H292" s="472"/>
      <c r="I292" s="472"/>
      <c r="J292" s="472"/>
      <c r="K292" s="472"/>
      <c r="L292" s="472"/>
      <c r="M292" s="472"/>
      <c r="N292" s="472"/>
      <c r="O292" s="472"/>
      <c r="P292" s="472"/>
      <c r="Q292" s="473"/>
    </row>
    <row r="293" spans="1:17" s="360" customFormat="1" ht="12.5">
      <c r="A293" s="555">
        <v>4</v>
      </c>
      <c r="B293" s="546" t="s">
        <v>522</v>
      </c>
      <c r="C293" s="546" t="s">
        <v>523</v>
      </c>
      <c r="D293" s="545">
        <v>131</v>
      </c>
      <c r="E293" s="544"/>
      <c r="F293" s="556"/>
      <c r="G293" s="556"/>
      <c r="H293" s="556"/>
      <c r="I293" s="556"/>
      <c r="J293" s="556"/>
      <c r="K293" s="556"/>
      <c r="L293" s="556"/>
      <c r="M293" s="556"/>
      <c r="N293" s="556"/>
      <c r="O293" s="556"/>
      <c r="P293" s="556"/>
      <c r="Q293" s="541"/>
    </row>
    <row r="294" spans="1:17" s="360" customFormat="1" ht="12.5">
      <c r="A294" s="469"/>
      <c r="B294" s="470"/>
      <c r="C294" s="470"/>
      <c r="D294" s="471">
        <v>138</v>
      </c>
      <c r="E294" s="436"/>
      <c r="F294" s="472"/>
      <c r="G294" s="472"/>
      <c r="H294" s="472"/>
      <c r="I294" s="472"/>
      <c r="J294" s="472"/>
      <c r="K294" s="472"/>
      <c r="L294" s="472"/>
      <c r="M294" s="472"/>
      <c r="N294" s="472"/>
      <c r="O294" s="472"/>
      <c r="P294" s="472"/>
      <c r="Q294" s="473"/>
    </row>
    <row r="295" spans="1:17" s="360" customFormat="1" ht="12.5">
      <c r="A295" s="555">
        <v>5</v>
      </c>
      <c r="B295" s="546" t="s">
        <v>524</v>
      </c>
      <c r="C295" s="546" t="s">
        <v>525</v>
      </c>
      <c r="D295" s="545">
        <v>131</v>
      </c>
      <c r="E295" s="544"/>
      <c r="F295" s="556"/>
      <c r="G295" s="556"/>
      <c r="H295" s="556"/>
      <c r="I295" s="556"/>
      <c r="J295" s="556"/>
      <c r="K295" s="556"/>
      <c r="L295" s="556"/>
      <c r="M295" s="556"/>
      <c r="N295" s="556"/>
      <c r="O295" s="556"/>
      <c r="P295" s="556"/>
      <c r="Q295" s="541"/>
    </row>
    <row r="296" spans="1:17" s="360" customFormat="1" ht="12.5">
      <c r="A296" s="469"/>
      <c r="B296" s="470"/>
      <c r="C296" s="470"/>
      <c r="D296" s="471">
        <v>138</v>
      </c>
      <c r="E296" s="436"/>
      <c r="F296" s="472"/>
      <c r="G296" s="472"/>
      <c r="H296" s="472"/>
      <c r="I296" s="472"/>
      <c r="J296" s="472"/>
      <c r="K296" s="472"/>
      <c r="L296" s="472"/>
      <c r="M296" s="472"/>
      <c r="N296" s="472"/>
      <c r="O296" s="472"/>
      <c r="P296" s="472"/>
      <c r="Q296" s="473"/>
    </row>
    <row r="297" spans="1:17" s="360" customFormat="1" ht="12.5">
      <c r="A297" s="555">
        <v>6</v>
      </c>
      <c r="B297" s="546" t="s">
        <v>527</v>
      </c>
      <c r="C297" s="546" t="s">
        <v>528</v>
      </c>
      <c r="D297" s="545">
        <v>131</v>
      </c>
      <c r="E297" s="544"/>
      <c r="F297" s="556"/>
      <c r="G297" s="556"/>
      <c r="H297" s="556"/>
      <c r="I297" s="556"/>
      <c r="J297" s="556"/>
      <c r="K297" s="556"/>
      <c r="L297" s="556"/>
      <c r="M297" s="556"/>
      <c r="N297" s="556"/>
      <c r="O297" s="556"/>
      <c r="P297" s="556"/>
      <c r="Q297" s="541"/>
    </row>
    <row r="298" spans="1:17" s="360" customFormat="1" ht="12.5">
      <c r="A298" s="469"/>
      <c r="B298" s="470"/>
      <c r="C298" s="470"/>
      <c r="D298" s="471">
        <v>138</v>
      </c>
      <c r="E298" s="436"/>
      <c r="F298" s="472"/>
      <c r="G298" s="472"/>
      <c r="H298" s="472"/>
      <c r="I298" s="472"/>
      <c r="J298" s="472"/>
      <c r="K298" s="472"/>
      <c r="L298" s="472"/>
      <c r="M298" s="472"/>
      <c r="N298" s="472"/>
      <c r="O298" s="472"/>
      <c r="P298" s="472"/>
      <c r="Q298" s="473"/>
    </row>
    <row r="299" spans="1:17" s="360" customFormat="1" ht="12.5">
      <c r="A299" s="555">
        <v>7</v>
      </c>
      <c r="B299" s="536" t="s">
        <v>531</v>
      </c>
      <c r="C299" s="536" t="s">
        <v>532</v>
      </c>
      <c r="D299" s="545">
        <v>131</v>
      </c>
      <c r="E299" s="544"/>
      <c r="F299" s="556"/>
      <c r="G299" s="556"/>
      <c r="H299" s="556"/>
      <c r="I299" s="556"/>
      <c r="J299" s="556"/>
      <c r="K299" s="556"/>
      <c r="L299" s="556"/>
      <c r="M299" s="556"/>
      <c r="N299" s="556"/>
      <c r="O299" s="556"/>
      <c r="P299" s="556"/>
      <c r="Q299" s="541"/>
    </row>
    <row r="300" spans="1:17" s="360" customFormat="1" ht="12.5">
      <c r="A300" s="474"/>
      <c r="B300" s="475"/>
      <c r="C300" s="475"/>
      <c r="D300" s="440">
        <v>138</v>
      </c>
      <c r="E300" s="397"/>
      <c r="F300" s="476"/>
      <c r="G300" s="476"/>
      <c r="H300" s="476"/>
      <c r="I300" s="476"/>
      <c r="J300" s="476"/>
      <c r="K300" s="476"/>
      <c r="L300" s="476"/>
      <c r="M300" s="476"/>
      <c r="N300" s="476"/>
      <c r="O300" s="476"/>
      <c r="P300" s="476"/>
      <c r="Q300" s="445"/>
    </row>
    <row r="301" spans="1:17" s="360" customFormat="1" ht="12.5">
      <c r="A301" s="555">
        <v>8</v>
      </c>
      <c r="B301" s="546" t="s">
        <v>533</v>
      </c>
      <c r="C301" s="546" t="s">
        <v>534</v>
      </c>
      <c r="D301" s="545">
        <v>131</v>
      </c>
      <c r="E301" s="544"/>
      <c r="F301" s="556"/>
      <c r="G301" s="556"/>
      <c r="H301" s="556"/>
      <c r="I301" s="556"/>
      <c r="J301" s="556"/>
      <c r="K301" s="556"/>
      <c r="L301" s="556"/>
      <c r="M301" s="556"/>
      <c r="N301" s="556"/>
      <c r="O301" s="556"/>
      <c r="P301" s="556"/>
      <c r="Q301" s="541"/>
    </row>
    <row r="302" spans="1:17" s="360" customFormat="1" ht="12.5">
      <c r="A302" s="469"/>
      <c r="B302" s="470"/>
      <c r="C302" s="470"/>
      <c r="D302" s="471">
        <v>138</v>
      </c>
      <c r="E302" s="436"/>
      <c r="F302" s="472"/>
      <c r="G302" s="472"/>
      <c r="H302" s="472"/>
      <c r="I302" s="472"/>
      <c r="J302" s="472"/>
      <c r="K302" s="472"/>
      <c r="L302" s="472"/>
      <c r="M302" s="472"/>
      <c r="N302" s="472"/>
      <c r="O302" s="472"/>
      <c r="P302" s="472"/>
      <c r="Q302" s="473"/>
    </row>
    <row r="303" spans="1:17" s="360" customFormat="1" ht="12.5">
      <c r="A303" s="555">
        <v>9</v>
      </c>
      <c r="B303" s="546" t="s">
        <v>536</v>
      </c>
      <c r="C303" s="546" t="s">
        <v>537</v>
      </c>
      <c r="D303" s="545">
        <v>131</v>
      </c>
      <c r="E303" s="544"/>
      <c r="F303" s="556"/>
      <c r="G303" s="556"/>
      <c r="H303" s="556"/>
      <c r="I303" s="556"/>
      <c r="J303" s="556"/>
      <c r="K303" s="556"/>
      <c r="L303" s="556"/>
      <c r="M303" s="556"/>
      <c r="N303" s="556"/>
      <c r="O303" s="556"/>
      <c r="P303" s="556"/>
      <c r="Q303" s="541"/>
    </row>
    <row r="304" spans="1:17" s="360" customFormat="1" ht="12.5">
      <c r="A304" s="469"/>
      <c r="B304" s="470"/>
      <c r="C304" s="470"/>
      <c r="D304" s="471">
        <v>138</v>
      </c>
      <c r="E304" s="436"/>
      <c r="F304" s="472"/>
      <c r="G304" s="472"/>
      <c r="H304" s="472"/>
      <c r="I304" s="472"/>
      <c r="J304" s="472"/>
      <c r="K304" s="472"/>
      <c r="L304" s="472"/>
      <c r="M304" s="472"/>
      <c r="N304" s="472"/>
      <c r="O304" s="472"/>
      <c r="P304" s="472"/>
      <c r="Q304" s="473"/>
    </row>
    <row r="305" spans="1:17" s="360" customFormat="1" ht="12.5">
      <c r="A305" s="555">
        <v>10</v>
      </c>
      <c r="B305" s="546" t="s">
        <v>538</v>
      </c>
      <c r="C305" s="546" t="s">
        <v>539</v>
      </c>
      <c r="D305" s="545">
        <v>131</v>
      </c>
      <c r="E305" s="544"/>
      <c r="F305" s="556"/>
      <c r="G305" s="556"/>
      <c r="H305" s="556"/>
      <c r="I305" s="556"/>
      <c r="J305" s="556"/>
      <c r="K305" s="556"/>
      <c r="L305" s="556"/>
      <c r="M305" s="556"/>
      <c r="N305" s="556"/>
      <c r="O305" s="556"/>
      <c r="P305" s="556"/>
      <c r="Q305" s="541"/>
    </row>
    <row r="306" spans="1:17" s="360" customFormat="1" ht="12.5">
      <c r="A306" s="469"/>
      <c r="B306" s="470"/>
      <c r="C306" s="470"/>
      <c r="D306" s="471">
        <v>138</v>
      </c>
      <c r="E306" s="436"/>
      <c r="F306" s="472"/>
      <c r="G306" s="472"/>
      <c r="H306" s="472"/>
      <c r="I306" s="472"/>
      <c r="J306" s="472"/>
      <c r="K306" s="472"/>
      <c r="L306" s="472"/>
      <c r="M306" s="472"/>
      <c r="N306" s="472"/>
      <c r="O306" s="472"/>
      <c r="P306" s="472"/>
      <c r="Q306" s="473"/>
    </row>
    <row r="307" spans="1:17" s="360" customFormat="1" ht="12.5">
      <c r="A307" s="555">
        <v>11</v>
      </c>
      <c r="B307" s="546" t="s">
        <v>540</v>
      </c>
      <c r="C307" s="546" t="s">
        <v>541</v>
      </c>
      <c r="D307" s="545">
        <v>131</v>
      </c>
      <c r="E307" s="544"/>
      <c r="F307" s="556"/>
      <c r="G307" s="556"/>
      <c r="H307" s="556"/>
      <c r="I307" s="556"/>
      <c r="J307" s="556"/>
      <c r="K307" s="556"/>
      <c r="L307" s="556"/>
      <c r="M307" s="556"/>
      <c r="N307" s="556"/>
      <c r="O307" s="556"/>
      <c r="P307" s="556"/>
      <c r="Q307" s="541"/>
    </row>
    <row r="308" spans="1:17" s="360" customFormat="1" ht="12.5">
      <c r="A308" s="469"/>
      <c r="B308" s="470"/>
      <c r="C308" s="470"/>
      <c r="D308" s="471">
        <v>138</v>
      </c>
      <c r="E308" s="436"/>
      <c r="F308" s="472"/>
      <c r="G308" s="472"/>
      <c r="H308" s="472"/>
      <c r="I308" s="472"/>
      <c r="J308" s="472"/>
      <c r="K308" s="472"/>
      <c r="L308" s="472"/>
      <c r="M308" s="472"/>
      <c r="N308" s="472"/>
      <c r="O308" s="472"/>
      <c r="P308" s="472"/>
      <c r="Q308" s="473"/>
    </row>
    <row r="309" spans="1:17" s="360" customFormat="1" ht="12.5">
      <c r="A309" s="555">
        <v>12</v>
      </c>
      <c r="B309" s="546" t="s">
        <v>542</v>
      </c>
      <c r="C309" s="546" t="s">
        <v>543</v>
      </c>
      <c r="D309" s="545">
        <v>131</v>
      </c>
      <c r="E309" s="544"/>
      <c r="F309" s="556"/>
      <c r="G309" s="556"/>
      <c r="H309" s="556"/>
      <c r="I309" s="556"/>
      <c r="J309" s="556"/>
      <c r="K309" s="556"/>
      <c r="L309" s="556"/>
      <c r="M309" s="556"/>
      <c r="N309" s="556"/>
      <c r="O309" s="556"/>
      <c r="P309" s="556"/>
      <c r="Q309" s="541"/>
    </row>
    <row r="310" spans="1:17" s="360" customFormat="1" ht="12.5">
      <c r="A310" s="469"/>
      <c r="B310" s="470"/>
      <c r="C310" s="470"/>
      <c r="D310" s="471">
        <v>138</v>
      </c>
      <c r="E310" s="436"/>
      <c r="F310" s="472"/>
      <c r="G310" s="472"/>
      <c r="H310" s="472"/>
      <c r="I310" s="472"/>
      <c r="J310" s="472"/>
      <c r="K310" s="472"/>
      <c r="L310" s="472"/>
      <c r="M310" s="472"/>
      <c r="N310" s="472"/>
      <c r="O310" s="472"/>
      <c r="P310" s="472"/>
      <c r="Q310" s="473"/>
    </row>
    <row r="311" spans="1:17" s="360" customFormat="1" ht="12.5">
      <c r="A311" s="555">
        <v>13</v>
      </c>
      <c r="B311" s="546" t="s">
        <v>544</v>
      </c>
      <c r="C311" s="546" t="s">
        <v>545</v>
      </c>
      <c r="D311" s="545">
        <v>131</v>
      </c>
      <c r="E311" s="544"/>
      <c r="F311" s="556"/>
      <c r="G311" s="556"/>
      <c r="H311" s="556"/>
      <c r="I311" s="556"/>
      <c r="J311" s="556"/>
      <c r="K311" s="556"/>
      <c r="L311" s="556"/>
      <c r="M311" s="556"/>
      <c r="N311" s="556"/>
      <c r="O311" s="556"/>
      <c r="P311" s="556"/>
      <c r="Q311" s="541"/>
    </row>
    <row r="312" spans="1:17" s="360" customFormat="1" ht="12.5">
      <c r="A312" s="469"/>
      <c r="B312" s="470"/>
      <c r="C312" s="470"/>
      <c r="D312" s="471">
        <v>138</v>
      </c>
      <c r="E312" s="436"/>
      <c r="F312" s="472"/>
      <c r="G312" s="472"/>
      <c r="H312" s="472"/>
      <c r="I312" s="472"/>
      <c r="J312" s="472"/>
      <c r="K312" s="472"/>
      <c r="L312" s="472"/>
      <c r="M312" s="472"/>
      <c r="N312" s="472"/>
      <c r="O312" s="472"/>
      <c r="P312" s="472"/>
      <c r="Q312" s="473"/>
    </row>
    <row r="313" spans="1:17" s="360" customFormat="1" ht="12.5">
      <c r="A313" s="555">
        <v>14</v>
      </c>
      <c r="B313" s="546" t="s">
        <v>546</v>
      </c>
      <c r="C313" s="546" t="s">
        <v>547</v>
      </c>
      <c r="D313" s="545">
        <v>131</v>
      </c>
      <c r="E313" s="544"/>
      <c r="F313" s="556"/>
      <c r="G313" s="556"/>
      <c r="H313" s="556"/>
      <c r="I313" s="556"/>
      <c r="J313" s="556"/>
      <c r="K313" s="556"/>
      <c r="L313" s="556"/>
      <c r="M313" s="556"/>
      <c r="N313" s="556"/>
      <c r="O313" s="556"/>
      <c r="P313" s="556"/>
      <c r="Q313" s="541"/>
    </row>
    <row r="314" spans="1:17" s="360" customFormat="1" ht="12.5">
      <c r="A314" s="469"/>
      <c r="B314" s="470"/>
      <c r="C314" s="470"/>
      <c r="D314" s="471">
        <v>138</v>
      </c>
      <c r="E314" s="436"/>
      <c r="F314" s="472"/>
      <c r="G314" s="472"/>
      <c r="H314" s="472"/>
      <c r="I314" s="472"/>
      <c r="J314" s="472"/>
      <c r="K314" s="472"/>
      <c r="L314" s="472"/>
      <c r="M314" s="472"/>
      <c r="N314" s="472"/>
      <c r="O314" s="472"/>
      <c r="P314" s="472"/>
      <c r="Q314" s="473"/>
    </row>
    <row r="315" spans="1:17" s="360" customFormat="1" ht="12.5">
      <c r="A315" s="555">
        <v>15</v>
      </c>
      <c r="B315" s="546" t="s">
        <v>548</v>
      </c>
      <c r="C315" s="546" t="s">
        <v>549</v>
      </c>
      <c r="D315" s="545">
        <v>131</v>
      </c>
      <c r="E315" s="544"/>
      <c r="F315" s="556"/>
      <c r="G315" s="556"/>
      <c r="H315" s="556"/>
      <c r="I315" s="556"/>
      <c r="J315" s="556"/>
      <c r="K315" s="556"/>
      <c r="L315" s="556"/>
      <c r="M315" s="556"/>
      <c r="N315" s="556"/>
      <c r="O315" s="556"/>
      <c r="P315" s="556"/>
      <c r="Q315" s="541"/>
    </row>
    <row r="316" spans="1:17" s="360" customFormat="1" ht="12.5">
      <c r="A316" s="469"/>
      <c r="B316" s="470"/>
      <c r="C316" s="470"/>
      <c r="D316" s="471">
        <v>138</v>
      </c>
      <c r="E316" s="436"/>
      <c r="F316" s="472"/>
      <c r="G316" s="472"/>
      <c r="H316" s="472"/>
      <c r="I316" s="472"/>
      <c r="J316" s="472"/>
      <c r="K316" s="472"/>
      <c r="L316" s="472"/>
      <c r="M316" s="472"/>
      <c r="N316" s="472"/>
      <c r="O316" s="472"/>
      <c r="P316" s="472"/>
      <c r="Q316" s="473"/>
    </row>
    <row r="317" spans="1:17" s="360" customFormat="1" ht="12.5">
      <c r="A317" s="555">
        <v>16</v>
      </c>
      <c r="B317" s="546" t="s">
        <v>550</v>
      </c>
      <c r="C317" s="546" t="s">
        <v>551</v>
      </c>
      <c r="D317" s="545">
        <v>131</v>
      </c>
      <c r="E317" s="544"/>
      <c r="F317" s="556"/>
      <c r="G317" s="556"/>
      <c r="H317" s="556"/>
      <c r="I317" s="556"/>
      <c r="J317" s="556"/>
      <c r="K317" s="556"/>
      <c r="L317" s="556"/>
      <c r="M317" s="556"/>
      <c r="N317" s="556"/>
      <c r="O317" s="556"/>
      <c r="P317" s="556"/>
      <c r="Q317" s="541"/>
    </row>
    <row r="318" spans="1:17" s="360" customFormat="1" ht="12.5">
      <c r="A318" s="469"/>
      <c r="B318" s="470"/>
      <c r="C318" s="470"/>
      <c r="D318" s="471">
        <v>138</v>
      </c>
      <c r="E318" s="436"/>
      <c r="F318" s="472"/>
      <c r="G318" s="472"/>
      <c r="H318" s="472"/>
      <c r="I318" s="472"/>
      <c r="J318" s="472"/>
      <c r="K318" s="472"/>
      <c r="L318" s="472"/>
      <c r="M318" s="472"/>
      <c r="N318" s="472"/>
      <c r="O318" s="472"/>
      <c r="P318" s="472"/>
      <c r="Q318" s="473"/>
    </row>
    <row r="319" spans="1:17" s="360" customFormat="1" ht="12.5">
      <c r="A319" s="555">
        <v>17</v>
      </c>
      <c r="B319" s="546" t="s">
        <v>552</v>
      </c>
      <c r="C319" s="546" t="s">
        <v>553</v>
      </c>
      <c r="D319" s="545">
        <v>131</v>
      </c>
      <c r="E319" s="544"/>
      <c r="F319" s="556"/>
      <c r="G319" s="556"/>
      <c r="H319" s="556"/>
      <c r="I319" s="556"/>
      <c r="J319" s="556"/>
      <c r="K319" s="556"/>
      <c r="L319" s="556"/>
      <c r="M319" s="556"/>
      <c r="N319" s="556"/>
      <c r="O319" s="556"/>
      <c r="P319" s="556"/>
      <c r="Q319" s="541"/>
    </row>
    <row r="320" spans="1:17" s="360" customFormat="1" ht="12.5">
      <c r="A320" s="469"/>
      <c r="B320" s="470"/>
      <c r="C320" s="470"/>
      <c r="D320" s="471">
        <v>138</v>
      </c>
      <c r="E320" s="436"/>
      <c r="F320" s="472"/>
      <c r="G320" s="472"/>
      <c r="H320" s="472"/>
      <c r="I320" s="472"/>
      <c r="J320" s="472"/>
      <c r="K320" s="472"/>
      <c r="L320" s="472"/>
      <c r="M320" s="472"/>
      <c r="N320" s="472"/>
      <c r="O320" s="472"/>
      <c r="P320" s="472"/>
      <c r="Q320" s="473"/>
    </row>
    <row r="321" spans="1:17" s="360" customFormat="1" ht="12.5">
      <c r="A321" s="555">
        <v>18</v>
      </c>
      <c r="B321" s="546" t="s">
        <v>554</v>
      </c>
      <c r="C321" s="546" t="s">
        <v>555</v>
      </c>
      <c r="D321" s="545">
        <v>131</v>
      </c>
      <c r="E321" s="544"/>
      <c r="F321" s="556"/>
      <c r="G321" s="556"/>
      <c r="H321" s="556"/>
      <c r="I321" s="556"/>
      <c r="J321" s="556"/>
      <c r="K321" s="556"/>
      <c r="L321" s="556"/>
      <c r="M321" s="556"/>
      <c r="N321" s="556"/>
      <c r="O321" s="556"/>
      <c r="P321" s="556"/>
      <c r="Q321" s="541"/>
    </row>
    <row r="322" spans="1:17" s="360" customFormat="1" ht="12.5">
      <c r="A322" s="469"/>
      <c r="B322" s="470"/>
      <c r="C322" s="470"/>
      <c r="D322" s="471">
        <v>138</v>
      </c>
      <c r="E322" s="436"/>
      <c r="F322" s="472"/>
      <c r="G322" s="472"/>
      <c r="H322" s="472"/>
      <c r="I322" s="472"/>
      <c r="J322" s="472"/>
      <c r="K322" s="472"/>
      <c r="L322" s="472"/>
      <c r="M322" s="472"/>
      <c r="N322" s="472"/>
      <c r="O322" s="472"/>
      <c r="P322" s="472"/>
      <c r="Q322" s="473"/>
    </row>
    <row r="323" spans="1:17" s="360" customFormat="1" ht="12.5">
      <c r="A323" s="555">
        <v>19</v>
      </c>
      <c r="B323" s="536" t="s">
        <v>556</v>
      </c>
      <c r="C323" s="536" t="s">
        <v>557</v>
      </c>
      <c r="D323" s="545">
        <v>131</v>
      </c>
      <c r="E323" s="544"/>
      <c r="F323" s="556"/>
      <c r="G323" s="556"/>
      <c r="H323" s="556"/>
      <c r="I323" s="556"/>
      <c r="J323" s="556"/>
      <c r="K323" s="556"/>
      <c r="L323" s="556"/>
      <c r="M323" s="556"/>
      <c r="N323" s="556"/>
      <c r="O323" s="556"/>
      <c r="P323" s="556"/>
      <c r="Q323" s="541"/>
    </row>
    <row r="324" spans="1:17" s="360" customFormat="1" ht="12.5">
      <c r="A324" s="469"/>
      <c r="B324" s="470"/>
      <c r="C324" s="470"/>
      <c r="D324" s="471">
        <v>138</v>
      </c>
      <c r="E324" s="436"/>
      <c r="F324" s="472"/>
      <c r="G324" s="472"/>
      <c r="H324" s="472"/>
      <c r="I324" s="472"/>
      <c r="J324" s="472"/>
      <c r="K324" s="472"/>
      <c r="L324" s="472"/>
      <c r="M324" s="472"/>
      <c r="N324" s="472"/>
      <c r="O324" s="472"/>
      <c r="P324" s="472"/>
      <c r="Q324" s="473"/>
    </row>
    <row r="325" spans="1:17" s="360" customFormat="1" ht="12.5">
      <c r="A325" s="555">
        <v>20</v>
      </c>
      <c r="B325" s="546" t="s">
        <v>558</v>
      </c>
      <c r="C325" s="546" t="s">
        <v>559</v>
      </c>
      <c r="D325" s="545">
        <v>131</v>
      </c>
      <c r="E325" s="544"/>
      <c r="F325" s="556"/>
      <c r="G325" s="556"/>
      <c r="H325" s="556"/>
      <c r="I325" s="556"/>
      <c r="J325" s="556"/>
      <c r="K325" s="556"/>
      <c r="L325" s="556"/>
      <c r="M325" s="556"/>
      <c r="N325" s="556"/>
      <c r="O325" s="556"/>
      <c r="P325" s="556"/>
      <c r="Q325" s="541"/>
    </row>
    <row r="326" spans="1:17" s="360" customFormat="1" ht="12.5">
      <c r="A326" s="469"/>
      <c r="B326" s="470"/>
      <c r="C326" s="470"/>
      <c r="D326" s="471">
        <v>138</v>
      </c>
      <c r="E326" s="436"/>
      <c r="F326" s="472"/>
      <c r="G326" s="472"/>
      <c r="H326" s="472"/>
      <c r="I326" s="472"/>
      <c r="J326" s="472"/>
      <c r="K326" s="472"/>
      <c r="L326" s="472"/>
      <c r="M326" s="472"/>
      <c r="N326" s="472"/>
      <c r="O326" s="472"/>
      <c r="P326" s="472"/>
      <c r="Q326" s="473"/>
    </row>
    <row r="327" spans="1:17" s="360" customFormat="1" ht="12.5">
      <c r="A327" s="555">
        <v>21</v>
      </c>
      <c r="B327" s="546" t="s">
        <v>560</v>
      </c>
      <c r="C327" s="546" t="s">
        <v>561</v>
      </c>
      <c r="D327" s="545">
        <v>131</v>
      </c>
      <c r="E327" s="544"/>
      <c r="F327" s="556"/>
      <c r="G327" s="556"/>
      <c r="H327" s="556"/>
      <c r="I327" s="556"/>
      <c r="J327" s="556"/>
      <c r="K327" s="556"/>
      <c r="L327" s="556"/>
      <c r="M327" s="556"/>
      <c r="N327" s="556"/>
      <c r="O327" s="556"/>
      <c r="P327" s="556"/>
      <c r="Q327" s="541"/>
    </row>
    <row r="328" spans="1:17" s="360" customFormat="1" ht="12.5">
      <c r="A328" s="469"/>
      <c r="B328" s="470"/>
      <c r="C328" s="470"/>
      <c r="D328" s="471">
        <v>138</v>
      </c>
      <c r="E328" s="436"/>
      <c r="F328" s="472"/>
      <c r="G328" s="472"/>
      <c r="H328" s="472"/>
      <c r="I328" s="472"/>
      <c r="J328" s="472"/>
      <c r="K328" s="472"/>
      <c r="L328" s="472"/>
      <c r="M328" s="472"/>
      <c r="N328" s="472"/>
      <c r="O328" s="472"/>
      <c r="P328" s="472"/>
      <c r="Q328" s="473"/>
    </row>
    <row r="329" spans="1:17" s="360" customFormat="1" ht="12.5">
      <c r="A329" s="555">
        <v>22</v>
      </c>
      <c r="B329" s="546" t="s">
        <v>562</v>
      </c>
      <c r="C329" s="546" t="s">
        <v>563</v>
      </c>
      <c r="D329" s="545">
        <v>131</v>
      </c>
      <c r="E329" s="544"/>
      <c r="F329" s="556"/>
      <c r="G329" s="556"/>
      <c r="H329" s="556"/>
      <c r="I329" s="556"/>
      <c r="J329" s="556"/>
      <c r="K329" s="556"/>
      <c r="L329" s="556"/>
      <c r="M329" s="556"/>
      <c r="N329" s="556"/>
      <c r="O329" s="556"/>
      <c r="P329" s="556"/>
      <c r="Q329" s="541"/>
    </row>
    <row r="330" spans="1:17" s="360" customFormat="1">
      <c r="A330" s="461"/>
      <c r="B330" s="479"/>
      <c r="C330" s="498"/>
      <c r="D330" s="477">
        <v>138</v>
      </c>
      <c r="E330" s="459"/>
      <c r="F330" s="445"/>
      <c r="G330" s="445"/>
      <c r="H330" s="445"/>
      <c r="I330" s="445"/>
      <c r="J330" s="445"/>
      <c r="K330" s="445"/>
      <c r="L330" s="445"/>
      <c r="M330" s="445"/>
      <c r="N330" s="445"/>
      <c r="O330" s="445"/>
      <c r="P330" s="445"/>
      <c r="Q330" s="445"/>
    </row>
    <row r="331" spans="1:17" s="360" customFormat="1">
      <c r="A331" s="437" t="s">
        <v>564</v>
      </c>
      <c r="B331" s="376" t="s">
        <v>618</v>
      </c>
      <c r="C331" s="376"/>
      <c r="D331" s="438"/>
      <c r="E331" s="438"/>
      <c r="F331" s="468" t="s">
        <v>488</v>
      </c>
      <c r="G331" s="468" t="s">
        <v>489</v>
      </c>
      <c r="H331" s="468" t="s">
        <v>490</v>
      </c>
      <c r="I331" s="468" t="s">
        <v>491</v>
      </c>
      <c r="J331" s="468" t="s">
        <v>492</v>
      </c>
      <c r="K331" s="468" t="s">
        <v>493</v>
      </c>
      <c r="L331" s="468" t="s">
        <v>494</v>
      </c>
      <c r="M331" s="468" t="s">
        <v>495</v>
      </c>
      <c r="N331" s="468" t="s">
        <v>496</v>
      </c>
      <c r="O331" s="468" t="s">
        <v>497</v>
      </c>
      <c r="P331" s="468" t="s">
        <v>498</v>
      </c>
      <c r="Q331" s="468" t="s">
        <v>499</v>
      </c>
    </row>
    <row r="332" spans="1:17" s="360" customFormat="1" ht="12.5">
      <c r="A332" s="555">
        <v>1</v>
      </c>
      <c r="B332" s="546" t="s">
        <v>503</v>
      </c>
      <c r="C332" s="546" t="s">
        <v>504</v>
      </c>
      <c r="D332" s="545">
        <v>131</v>
      </c>
      <c r="E332" s="544"/>
      <c r="F332" s="549"/>
      <c r="G332" s="541"/>
      <c r="H332" s="541"/>
      <c r="I332" s="541"/>
      <c r="J332" s="541"/>
      <c r="K332" s="541"/>
      <c r="L332" s="541"/>
      <c r="M332" s="541"/>
      <c r="N332" s="541"/>
      <c r="O332" s="541"/>
      <c r="P332" s="541"/>
      <c r="Q332" s="541"/>
    </row>
    <row r="333" spans="1:17" s="360" customFormat="1" ht="12.5">
      <c r="A333" s="478">
        <v>2</v>
      </c>
      <c r="B333" s="479" t="s">
        <v>513</v>
      </c>
      <c r="C333" s="479" t="s">
        <v>514</v>
      </c>
      <c r="D333" s="392">
        <v>131</v>
      </c>
      <c r="E333" s="388"/>
      <c r="F333" s="525"/>
      <c r="G333" s="403"/>
      <c r="H333" s="403"/>
      <c r="I333" s="403"/>
      <c r="J333" s="403"/>
      <c r="K333" s="403"/>
      <c r="L333" s="403"/>
      <c r="M333" s="403"/>
      <c r="N333" s="403"/>
      <c r="O333" s="403"/>
      <c r="P333" s="403"/>
      <c r="Q333" s="403"/>
    </row>
    <row r="334" spans="1:17" s="360" customFormat="1" ht="12.5">
      <c r="A334" s="478">
        <v>3</v>
      </c>
      <c r="B334" s="414" t="s">
        <v>519</v>
      </c>
      <c r="C334" s="414" t="s">
        <v>520</v>
      </c>
      <c r="D334" s="392">
        <v>131</v>
      </c>
      <c r="E334" s="388"/>
      <c r="F334" s="525"/>
      <c r="G334" s="403"/>
      <c r="H334" s="403"/>
      <c r="I334" s="403"/>
      <c r="J334" s="403"/>
      <c r="K334" s="403"/>
      <c r="L334" s="403"/>
      <c r="M334" s="403"/>
      <c r="N334" s="403"/>
      <c r="O334" s="403"/>
      <c r="P334" s="403"/>
      <c r="Q334" s="403"/>
    </row>
    <row r="335" spans="1:17" s="360" customFormat="1" ht="12.5">
      <c r="A335" s="478">
        <v>4</v>
      </c>
      <c r="B335" s="414" t="s">
        <v>522</v>
      </c>
      <c r="C335" s="414" t="s">
        <v>523</v>
      </c>
      <c r="D335" s="392">
        <v>131</v>
      </c>
      <c r="E335" s="388"/>
      <c r="F335" s="525"/>
      <c r="G335" s="403"/>
      <c r="H335" s="403"/>
      <c r="I335" s="403"/>
      <c r="J335" s="403"/>
      <c r="K335" s="403"/>
      <c r="L335" s="403"/>
      <c r="M335" s="403"/>
      <c r="N335" s="403"/>
      <c r="O335" s="403"/>
      <c r="P335" s="403"/>
      <c r="Q335" s="403"/>
    </row>
    <row r="336" spans="1:17" s="360" customFormat="1" ht="12.5">
      <c r="A336" s="478">
        <v>5</v>
      </c>
      <c r="B336" s="414" t="s">
        <v>524</v>
      </c>
      <c r="C336" s="414" t="s">
        <v>525</v>
      </c>
      <c r="D336" s="392">
        <v>131</v>
      </c>
      <c r="E336" s="388"/>
      <c r="F336" s="525"/>
      <c r="G336" s="403"/>
      <c r="H336" s="403"/>
      <c r="I336" s="403"/>
      <c r="J336" s="403"/>
      <c r="K336" s="403"/>
      <c r="L336" s="403"/>
      <c r="M336" s="403"/>
      <c r="N336" s="403"/>
      <c r="O336" s="403"/>
      <c r="P336" s="403"/>
      <c r="Q336" s="403"/>
    </row>
    <row r="337" spans="1:17" s="360" customFormat="1" ht="12.5">
      <c r="A337" s="478">
        <v>6</v>
      </c>
      <c r="B337" s="414" t="s">
        <v>527</v>
      </c>
      <c r="C337" s="414" t="s">
        <v>528</v>
      </c>
      <c r="D337" s="392">
        <v>131</v>
      </c>
      <c r="E337" s="388"/>
      <c r="F337" s="525"/>
      <c r="G337" s="403"/>
      <c r="H337" s="403"/>
      <c r="I337" s="403"/>
      <c r="J337" s="403"/>
      <c r="K337" s="403"/>
      <c r="L337" s="403"/>
      <c r="M337" s="403"/>
      <c r="N337" s="403"/>
      <c r="O337" s="403"/>
      <c r="P337" s="403"/>
      <c r="Q337" s="403"/>
    </row>
    <row r="338" spans="1:17" s="360" customFormat="1" ht="12.5">
      <c r="A338" s="478">
        <v>7</v>
      </c>
      <c r="B338" s="418" t="s">
        <v>531</v>
      </c>
      <c r="C338" s="418" t="s">
        <v>532</v>
      </c>
      <c r="D338" s="392">
        <v>131</v>
      </c>
      <c r="E338" s="388"/>
      <c r="F338" s="525"/>
      <c r="G338" s="403"/>
      <c r="H338" s="403"/>
      <c r="I338" s="403"/>
      <c r="J338" s="403"/>
      <c r="K338" s="403"/>
      <c r="L338" s="403"/>
      <c r="M338" s="403"/>
      <c r="N338" s="403"/>
      <c r="O338" s="403"/>
      <c r="P338" s="403"/>
      <c r="Q338" s="403"/>
    </row>
    <row r="339" spans="1:17" s="360" customFormat="1" ht="12.5">
      <c r="A339" s="478">
        <v>8</v>
      </c>
      <c r="B339" s="414" t="s">
        <v>533</v>
      </c>
      <c r="C339" s="414" t="s">
        <v>534</v>
      </c>
      <c r="D339" s="392">
        <v>131</v>
      </c>
      <c r="E339" s="388"/>
      <c r="F339" s="525"/>
      <c r="G339" s="403"/>
      <c r="H339" s="403"/>
      <c r="I339" s="403"/>
      <c r="J339" s="403"/>
      <c r="K339" s="403"/>
      <c r="L339" s="403"/>
      <c r="M339" s="403"/>
      <c r="N339" s="403"/>
      <c r="O339" s="403"/>
      <c r="P339" s="403"/>
      <c r="Q339" s="403"/>
    </row>
    <row r="340" spans="1:17" s="360" customFormat="1" ht="12.5">
      <c r="A340" s="478">
        <v>9</v>
      </c>
      <c r="B340" s="414" t="s">
        <v>536</v>
      </c>
      <c r="C340" s="414" t="s">
        <v>537</v>
      </c>
      <c r="D340" s="392">
        <v>131</v>
      </c>
      <c r="E340" s="388"/>
      <c r="F340" s="525"/>
      <c r="G340" s="403"/>
      <c r="H340" s="403"/>
      <c r="I340" s="403"/>
      <c r="J340" s="403"/>
      <c r="K340" s="403"/>
      <c r="L340" s="403"/>
      <c r="M340" s="403"/>
      <c r="N340" s="403"/>
      <c r="O340" s="403"/>
      <c r="P340" s="403"/>
      <c r="Q340" s="403"/>
    </row>
    <row r="341" spans="1:17" s="360" customFormat="1" ht="12.5">
      <c r="A341" s="478">
        <v>10</v>
      </c>
      <c r="B341" s="414" t="s">
        <v>538</v>
      </c>
      <c r="C341" s="414" t="s">
        <v>539</v>
      </c>
      <c r="D341" s="392">
        <v>131</v>
      </c>
      <c r="E341" s="388"/>
      <c r="F341" s="525"/>
      <c r="G341" s="403"/>
      <c r="H341" s="403"/>
      <c r="I341" s="403"/>
      <c r="J341" s="403"/>
      <c r="K341" s="403"/>
      <c r="L341" s="403"/>
      <c r="M341" s="403"/>
      <c r="N341" s="403"/>
      <c r="O341" s="403"/>
      <c r="P341" s="403"/>
      <c r="Q341" s="403"/>
    </row>
    <row r="342" spans="1:17" s="360" customFormat="1" ht="12.5">
      <c r="A342" s="478">
        <v>11</v>
      </c>
      <c r="B342" s="414" t="s">
        <v>540</v>
      </c>
      <c r="C342" s="414" t="s">
        <v>541</v>
      </c>
      <c r="D342" s="392">
        <v>131</v>
      </c>
      <c r="E342" s="388"/>
      <c r="F342" s="525"/>
      <c r="G342" s="403"/>
      <c r="H342" s="403"/>
      <c r="I342" s="403"/>
      <c r="J342" s="403"/>
      <c r="K342" s="403"/>
      <c r="L342" s="403"/>
      <c r="M342" s="403"/>
      <c r="N342" s="403"/>
      <c r="O342" s="403"/>
      <c r="P342" s="403"/>
      <c r="Q342" s="403"/>
    </row>
    <row r="343" spans="1:17" s="360" customFormat="1" ht="12.5">
      <c r="A343" s="478">
        <v>12</v>
      </c>
      <c r="B343" s="414" t="s">
        <v>542</v>
      </c>
      <c r="C343" s="414" t="s">
        <v>543</v>
      </c>
      <c r="D343" s="392">
        <v>131</v>
      </c>
      <c r="E343" s="388"/>
      <c r="F343" s="525"/>
      <c r="G343" s="403"/>
      <c r="H343" s="403"/>
      <c r="I343" s="403"/>
      <c r="J343" s="403"/>
      <c r="K343" s="403"/>
      <c r="L343" s="403"/>
      <c r="M343" s="403"/>
      <c r="N343" s="403"/>
      <c r="O343" s="403"/>
      <c r="P343" s="403"/>
      <c r="Q343" s="403"/>
    </row>
    <row r="344" spans="1:17" s="360" customFormat="1" ht="12.5">
      <c r="A344" s="478">
        <v>13</v>
      </c>
      <c r="B344" s="414" t="s">
        <v>544</v>
      </c>
      <c r="C344" s="414" t="s">
        <v>545</v>
      </c>
      <c r="D344" s="392">
        <v>131</v>
      </c>
      <c r="E344" s="388"/>
      <c r="F344" s="525"/>
      <c r="G344" s="403"/>
      <c r="H344" s="403"/>
      <c r="I344" s="403"/>
      <c r="J344" s="403"/>
      <c r="K344" s="403"/>
      <c r="L344" s="403"/>
      <c r="M344" s="403"/>
      <c r="N344" s="403"/>
      <c r="O344" s="403"/>
      <c r="P344" s="403"/>
      <c r="Q344" s="403"/>
    </row>
    <row r="345" spans="1:17" s="360" customFormat="1" ht="12.5">
      <c r="A345" s="478">
        <v>14</v>
      </c>
      <c r="B345" s="416" t="s">
        <v>546</v>
      </c>
      <c r="C345" s="416" t="s">
        <v>547</v>
      </c>
      <c r="D345" s="392">
        <v>131</v>
      </c>
      <c r="E345" s="391"/>
      <c r="F345" s="528"/>
      <c r="G345" s="433"/>
      <c r="H345" s="433"/>
      <c r="I345" s="433"/>
      <c r="J345" s="433"/>
      <c r="K345" s="433"/>
      <c r="L345" s="433"/>
      <c r="M345" s="433"/>
      <c r="N345" s="433"/>
      <c r="O345" s="433"/>
      <c r="P345" s="433"/>
      <c r="Q345" s="433"/>
    </row>
    <row r="346" spans="1:17" s="360" customFormat="1" ht="12.5">
      <c r="A346" s="478">
        <v>15</v>
      </c>
      <c r="B346" s="416" t="s">
        <v>548</v>
      </c>
      <c r="C346" s="416" t="s">
        <v>549</v>
      </c>
      <c r="D346" s="392">
        <v>131</v>
      </c>
      <c r="E346" s="391"/>
      <c r="F346" s="528"/>
      <c r="G346" s="433"/>
      <c r="H346" s="433"/>
      <c r="I346" s="433"/>
      <c r="J346" s="433"/>
      <c r="K346" s="433"/>
      <c r="L346" s="433"/>
      <c r="M346" s="433"/>
      <c r="N346" s="433"/>
      <c r="O346" s="433"/>
      <c r="P346" s="433"/>
      <c r="Q346" s="433"/>
    </row>
    <row r="347" spans="1:17" s="360" customFormat="1" ht="12.5">
      <c r="A347" s="478">
        <v>16</v>
      </c>
      <c r="B347" s="416" t="s">
        <v>550</v>
      </c>
      <c r="C347" s="416" t="s">
        <v>551</v>
      </c>
      <c r="D347" s="392">
        <v>131</v>
      </c>
      <c r="E347" s="391"/>
      <c r="F347" s="528"/>
      <c r="G347" s="433"/>
      <c r="H347" s="433"/>
      <c r="I347" s="433"/>
      <c r="J347" s="433"/>
      <c r="K347" s="433"/>
      <c r="L347" s="433"/>
      <c r="M347" s="433"/>
      <c r="N347" s="433"/>
      <c r="O347" s="433"/>
      <c r="P347" s="433"/>
      <c r="Q347" s="433"/>
    </row>
    <row r="348" spans="1:17" s="360" customFormat="1" ht="12.5">
      <c r="A348" s="478">
        <v>17</v>
      </c>
      <c r="B348" s="416" t="s">
        <v>552</v>
      </c>
      <c r="C348" s="416" t="s">
        <v>553</v>
      </c>
      <c r="D348" s="392">
        <v>131</v>
      </c>
      <c r="E348" s="391"/>
      <c r="F348" s="528"/>
      <c r="G348" s="433"/>
      <c r="H348" s="433"/>
      <c r="I348" s="433"/>
      <c r="J348" s="433"/>
      <c r="K348" s="433"/>
      <c r="L348" s="433"/>
      <c r="M348" s="433"/>
      <c r="N348" s="433"/>
      <c r="O348" s="433"/>
      <c r="P348" s="433"/>
      <c r="Q348" s="433"/>
    </row>
    <row r="349" spans="1:17" s="360" customFormat="1" ht="12.5">
      <c r="A349" s="478">
        <v>18</v>
      </c>
      <c r="B349" s="414" t="s">
        <v>554</v>
      </c>
      <c r="C349" s="414" t="s">
        <v>555</v>
      </c>
      <c r="D349" s="392">
        <v>131</v>
      </c>
      <c r="E349" s="391"/>
      <c r="F349" s="528"/>
      <c r="G349" s="433"/>
      <c r="H349" s="433"/>
      <c r="I349" s="433"/>
      <c r="J349" s="433"/>
      <c r="K349" s="433"/>
      <c r="L349" s="433"/>
      <c r="M349" s="433"/>
      <c r="N349" s="433"/>
      <c r="O349" s="433"/>
      <c r="P349" s="433"/>
      <c r="Q349" s="433"/>
    </row>
    <row r="350" spans="1:17" s="360" customFormat="1" ht="12.5">
      <c r="A350" s="478">
        <v>19</v>
      </c>
      <c r="B350" s="418" t="s">
        <v>556</v>
      </c>
      <c r="C350" s="418" t="s">
        <v>557</v>
      </c>
      <c r="D350" s="392">
        <v>131</v>
      </c>
      <c r="E350" s="391"/>
      <c r="F350" s="528"/>
      <c r="G350" s="433"/>
      <c r="H350" s="433"/>
      <c r="I350" s="433"/>
      <c r="J350" s="433"/>
      <c r="K350" s="433"/>
      <c r="L350" s="433"/>
      <c r="M350" s="433"/>
      <c r="N350" s="433"/>
      <c r="O350" s="433"/>
      <c r="P350" s="433"/>
      <c r="Q350" s="433"/>
    </row>
    <row r="351" spans="1:17" s="360" customFormat="1" ht="12.5">
      <c r="A351" s="478">
        <v>20</v>
      </c>
      <c r="B351" s="416" t="s">
        <v>558</v>
      </c>
      <c r="C351" s="416" t="s">
        <v>559</v>
      </c>
      <c r="D351" s="392">
        <v>131</v>
      </c>
      <c r="E351" s="391"/>
      <c r="F351" s="528"/>
      <c r="G351" s="433"/>
      <c r="H351" s="433"/>
      <c r="I351" s="433"/>
      <c r="J351" s="433"/>
      <c r="K351" s="433"/>
      <c r="L351" s="433"/>
      <c r="M351" s="433"/>
      <c r="N351" s="433"/>
      <c r="O351" s="433"/>
      <c r="P351" s="433"/>
      <c r="Q351" s="433"/>
    </row>
    <row r="352" spans="1:17" s="360" customFormat="1" ht="12.5">
      <c r="A352" s="478">
        <v>21</v>
      </c>
      <c r="B352" s="416" t="s">
        <v>560</v>
      </c>
      <c r="C352" s="416" t="s">
        <v>561</v>
      </c>
      <c r="D352" s="392">
        <v>131</v>
      </c>
      <c r="E352" s="391"/>
      <c r="F352" s="528"/>
      <c r="G352" s="433"/>
      <c r="H352" s="433"/>
      <c r="I352" s="433"/>
      <c r="J352" s="433"/>
      <c r="K352" s="433"/>
      <c r="L352" s="433"/>
      <c r="M352" s="433"/>
      <c r="N352" s="433"/>
      <c r="O352" s="433"/>
      <c r="P352" s="433"/>
      <c r="Q352" s="433"/>
    </row>
    <row r="353" spans="1:17" s="360" customFormat="1" ht="12.5">
      <c r="A353" s="478">
        <v>22</v>
      </c>
      <c r="B353" s="416" t="s">
        <v>562</v>
      </c>
      <c r="C353" s="416" t="s">
        <v>563</v>
      </c>
      <c r="D353" s="392">
        <v>131</v>
      </c>
      <c r="E353" s="391"/>
      <c r="F353" s="528"/>
      <c r="G353" s="433"/>
      <c r="H353" s="433"/>
      <c r="I353" s="433"/>
      <c r="J353" s="433"/>
      <c r="K353" s="433"/>
      <c r="L353" s="433"/>
      <c r="M353" s="433"/>
      <c r="N353" s="433"/>
      <c r="O353" s="433"/>
      <c r="P353" s="433"/>
      <c r="Q353" s="433"/>
    </row>
    <row r="354" spans="1:17" s="360" customFormat="1" ht="12.5">
      <c r="A354" s="474"/>
      <c r="B354" s="475"/>
      <c r="C354" s="475"/>
      <c r="D354" s="397"/>
      <c r="E354" s="397"/>
      <c r="F354" s="524"/>
      <c r="G354" s="445"/>
      <c r="H354" s="445"/>
      <c r="I354" s="445"/>
      <c r="J354" s="445"/>
      <c r="K354" s="445"/>
      <c r="L354" s="445"/>
      <c r="M354" s="445"/>
      <c r="N354" s="445"/>
      <c r="O354" s="445"/>
      <c r="P354" s="445"/>
      <c r="Q354" s="445"/>
    </row>
    <row r="355" spans="1:17" s="360" customFormat="1">
      <c r="A355" s="437" t="s">
        <v>585</v>
      </c>
      <c r="B355" s="376" t="s">
        <v>619</v>
      </c>
      <c r="C355" s="497"/>
      <c r="D355" s="382"/>
      <c r="E355" s="382"/>
      <c r="F355" s="468" t="s">
        <v>488</v>
      </c>
      <c r="G355" s="468" t="s">
        <v>489</v>
      </c>
      <c r="H355" s="468" t="s">
        <v>490</v>
      </c>
      <c r="I355" s="468" t="s">
        <v>491</v>
      </c>
      <c r="J355" s="468" t="s">
        <v>492</v>
      </c>
      <c r="K355" s="468" t="s">
        <v>493</v>
      </c>
      <c r="L355" s="468" t="s">
        <v>494</v>
      </c>
      <c r="M355" s="468" t="s">
        <v>495</v>
      </c>
      <c r="N355" s="468" t="s">
        <v>496</v>
      </c>
      <c r="O355" s="468" t="s">
        <v>497</v>
      </c>
      <c r="P355" s="468" t="s">
        <v>498</v>
      </c>
      <c r="Q355" s="468" t="s">
        <v>499</v>
      </c>
    </row>
    <row r="356" spans="1:17" s="360" customFormat="1" ht="12.5">
      <c r="A356" s="535">
        <v>1</v>
      </c>
      <c r="B356" s="546" t="s">
        <v>503</v>
      </c>
      <c r="C356" s="546" t="s">
        <v>504</v>
      </c>
      <c r="D356" s="545">
        <v>331</v>
      </c>
      <c r="E356" s="544"/>
      <c r="F356" s="549"/>
      <c r="G356" s="541"/>
      <c r="H356" s="541"/>
      <c r="I356" s="541"/>
      <c r="J356" s="541"/>
      <c r="K356" s="541"/>
      <c r="L356" s="541"/>
      <c r="M356" s="541"/>
      <c r="N356" s="541"/>
      <c r="O356" s="541"/>
      <c r="P356" s="541"/>
      <c r="Q356" s="541"/>
    </row>
    <row r="357" spans="1:17" s="360" customFormat="1" ht="12.5">
      <c r="A357" s="396"/>
      <c r="B357" s="475"/>
      <c r="C357" s="475"/>
      <c r="D357" s="440">
        <v>338</v>
      </c>
      <c r="E357" s="480"/>
      <c r="F357" s="524"/>
      <c r="G357" s="445"/>
      <c r="H357" s="445"/>
      <c r="I357" s="445"/>
      <c r="J357" s="445"/>
      <c r="K357" s="445"/>
      <c r="L357" s="445"/>
      <c r="M357" s="445"/>
      <c r="N357" s="445"/>
      <c r="O357" s="445"/>
      <c r="P357" s="445"/>
      <c r="Q357" s="445"/>
    </row>
    <row r="358" spans="1:17" s="360" customFormat="1" ht="12.5">
      <c r="A358" s="535">
        <v>2</v>
      </c>
      <c r="B358" s="546" t="s">
        <v>513</v>
      </c>
      <c r="C358" s="546" t="s">
        <v>514</v>
      </c>
      <c r="D358" s="545">
        <v>331</v>
      </c>
      <c r="E358" s="544"/>
      <c r="F358" s="549"/>
      <c r="G358" s="541"/>
      <c r="H358" s="541"/>
      <c r="I358" s="541"/>
      <c r="J358" s="541"/>
      <c r="K358" s="541"/>
      <c r="L358" s="541"/>
      <c r="M358" s="541"/>
      <c r="N358" s="541"/>
      <c r="O358" s="541"/>
      <c r="P358" s="541"/>
      <c r="Q358" s="541"/>
    </row>
    <row r="359" spans="1:17" s="360" customFormat="1" ht="12.5">
      <c r="A359" s="396"/>
      <c r="B359" s="475"/>
      <c r="C359" s="475"/>
      <c r="D359" s="440">
        <v>338</v>
      </c>
      <c r="E359" s="480"/>
      <c r="F359" s="524"/>
      <c r="G359" s="445"/>
      <c r="H359" s="445"/>
      <c r="I359" s="445"/>
      <c r="J359" s="445"/>
      <c r="K359" s="445"/>
      <c r="L359" s="445"/>
      <c r="M359" s="445"/>
      <c r="N359" s="445"/>
      <c r="O359" s="445"/>
      <c r="P359" s="445"/>
      <c r="Q359" s="445"/>
    </row>
    <row r="360" spans="1:17" s="360" customFormat="1" ht="12.5">
      <c r="A360" s="535">
        <v>3</v>
      </c>
      <c r="B360" s="546" t="s">
        <v>519</v>
      </c>
      <c r="C360" s="546" t="s">
        <v>520</v>
      </c>
      <c r="D360" s="545">
        <v>331</v>
      </c>
      <c r="E360" s="544"/>
      <c r="F360" s="549"/>
      <c r="G360" s="541"/>
      <c r="H360" s="541"/>
      <c r="I360" s="541"/>
      <c r="J360" s="541"/>
      <c r="K360" s="541"/>
      <c r="L360" s="541"/>
      <c r="M360" s="541"/>
      <c r="N360" s="541"/>
      <c r="O360" s="541"/>
      <c r="P360" s="541"/>
      <c r="Q360" s="541"/>
    </row>
    <row r="361" spans="1:17" s="360" customFormat="1" ht="12.5">
      <c r="A361" s="396"/>
      <c r="B361" s="475"/>
      <c r="C361" s="475"/>
      <c r="D361" s="440">
        <v>338</v>
      </c>
      <c r="E361" s="480"/>
      <c r="F361" s="524"/>
      <c r="G361" s="445"/>
      <c r="H361" s="445"/>
      <c r="I361" s="445"/>
      <c r="J361" s="445"/>
      <c r="K361" s="445"/>
      <c r="L361" s="445"/>
      <c r="M361" s="445"/>
      <c r="N361" s="445"/>
      <c r="O361" s="445"/>
      <c r="P361" s="445"/>
      <c r="Q361" s="445"/>
    </row>
    <row r="362" spans="1:17" s="360" customFormat="1" ht="12.5">
      <c r="A362" s="535">
        <v>4</v>
      </c>
      <c r="B362" s="546" t="s">
        <v>522</v>
      </c>
      <c r="C362" s="546" t="s">
        <v>523</v>
      </c>
      <c r="D362" s="545">
        <v>331</v>
      </c>
      <c r="E362" s="544"/>
      <c r="F362" s="549"/>
      <c r="G362" s="541"/>
      <c r="H362" s="541"/>
      <c r="I362" s="541"/>
      <c r="J362" s="541"/>
      <c r="K362" s="541"/>
      <c r="L362" s="541"/>
      <c r="M362" s="541"/>
      <c r="N362" s="541"/>
      <c r="O362" s="541"/>
      <c r="P362" s="541"/>
      <c r="Q362" s="541"/>
    </row>
    <row r="363" spans="1:17" s="360" customFormat="1" ht="12.5">
      <c r="A363" s="396"/>
      <c r="B363" s="475"/>
      <c r="C363" s="475"/>
      <c r="D363" s="440">
        <v>338</v>
      </c>
      <c r="E363" s="480"/>
      <c r="F363" s="524"/>
      <c r="G363" s="445"/>
      <c r="H363" s="445"/>
      <c r="I363" s="445"/>
      <c r="J363" s="445"/>
      <c r="K363" s="445"/>
      <c r="L363" s="445"/>
      <c r="M363" s="445"/>
      <c r="N363" s="445"/>
      <c r="O363" s="445"/>
      <c r="P363" s="445"/>
      <c r="Q363" s="445"/>
    </row>
    <row r="364" spans="1:17" s="360" customFormat="1" ht="12.5">
      <c r="A364" s="535">
        <v>5</v>
      </c>
      <c r="B364" s="546" t="s">
        <v>524</v>
      </c>
      <c r="C364" s="546" t="s">
        <v>525</v>
      </c>
      <c r="D364" s="545">
        <v>331</v>
      </c>
      <c r="E364" s="544"/>
      <c r="F364" s="549"/>
      <c r="G364" s="541"/>
      <c r="H364" s="541"/>
      <c r="I364" s="541"/>
      <c r="J364" s="541"/>
      <c r="K364" s="541"/>
      <c r="L364" s="541"/>
      <c r="M364" s="541"/>
      <c r="N364" s="541"/>
      <c r="O364" s="541"/>
      <c r="P364" s="541"/>
      <c r="Q364" s="541"/>
    </row>
    <row r="365" spans="1:17" s="360" customFormat="1" ht="12.5">
      <c r="A365" s="396"/>
      <c r="B365" s="475"/>
      <c r="C365" s="475"/>
      <c r="D365" s="440">
        <v>338</v>
      </c>
      <c r="E365" s="480"/>
      <c r="F365" s="524"/>
      <c r="G365" s="445"/>
      <c r="H365" s="445"/>
      <c r="I365" s="445"/>
      <c r="J365" s="445"/>
      <c r="K365" s="445"/>
      <c r="L365" s="445"/>
      <c r="M365" s="445"/>
      <c r="N365" s="445"/>
      <c r="O365" s="445"/>
      <c r="P365" s="445"/>
      <c r="Q365" s="445"/>
    </row>
    <row r="366" spans="1:17" s="360" customFormat="1" ht="12.5">
      <c r="A366" s="535">
        <v>6</v>
      </c>
      <c r="B366" s="546" t="s">
        <v>527</v>
      </c>
      <c r="C366" s="546" t="s">
        <v>528</v>
      </c>
      <c r="D366" s="545">
        <v>331</v>
      </c>
      <c r="E366" s="544"/>
      <c r="F366" s="549"/>
      <c r="G366" s="541"/>
      <c r="H366" s="541"/>
      <c r="I366" s="541"/>
      <c r="J366" s="541"/>
      <c r="K366" s="541"/>
      <c r="L366" s="541"/>
      <c r="M366" s="541"/>
      <c r="N366" s="541"/>
      <c r="O366" s="541"/>
      <c r="P366" s="541"/>
      <c r="Q366" s="541"/>
    </row>
    <row r="367" spans="1:17" s="360" customFormat="1" ht="12.5">
      <c r="A367" s="396"/>
      <c r="B367" s="475"/>
      <c r="C367" s="475"/>
      <c r="D367" s="440">
        <v>338</v>
      </c>
      <c r="E367" s="397"/>
      <c r="F367" s="524"/>
      <c r="G367" s="445"/>
      <c r="H367" s="445"/>
      <c r="I367" s="445"/>
      <c r="J367" s="445"/>
      <c r="K367" s="445"/>
      <c r="L367" s="445"/>
      <c r="M367" s="445"/>
      <c r="N367" s="445"/>
      <c r="O367" s="445"/>
      <c r="P367" s="445"/>
      <c r="Q367" s="445"/>
    </row>
    <row r="368" spans="1:17" s="360" customFormat="1" ht="12.5">
      <c r="A368" s="535">
        <v>7</v>
      </c>
      <c r="B368" s="536" t="s">
        <v>531</v>
      </c>
      <c r="C368" s="536" t="s">
        <v>532</v>
      </c>
      <c r="D368" s="545">
        <v>331</v>
      </c>
      <c r="E368" s="557"/>
      <c r="F368" s="549"/>
      <c r="G368" s="541"/>
      <c r="H368" s="541"/>
      <c r="I368" s="541"/>
      <c r="J368" s="541"/>
      <c r="K368" s="541"/>
      <c r="L368" s="541"/>
      <c r="M368" s="541"/>
      <c r="N368" s="541"/>
      <c r="O368" s="541"/>
      <c r="P368" s="541"/>
      <c r="Q368" s="541"/>
    </row>
    <row r="369" spans="1:17" s="360" customFormat="1" ht="12.5">
      <c r="A369" s="396"/>
      <c r="B369" s="475"/>
      <c r="C369" s="475"/>
      <c r="D369" s="440">
        <v>338</v>
      </c>
      <c r="E369" s="481"/>
      <c r="F369" s="524"/>
      <c r="G369" s="445"/>
      <c r="H369" s="445"/>
      <c r="I369" s="445"/>
      <c r="J369" s="445"/>
      <c r="K369" s="445"/>
      <c r="L369" s="445"/>
      <c r="M369" s="445"/>
      <c r="N369" s="445"/>
      <c r="O369" s="445"/>
      <c r="P369" s="445"/>
      <c r="Q369" s="445"/>
    </row>
    <row r="370" spans="1:17" s="360" customFormat="1" ht="12.5">
      <c r="A370" s="535">
        <v>8</v>
      </c>
      <c r="B370" s="546" t="s">
        <v>533</v>
      </c>
      <c r="C370" s="546" t="s">
        <v>534</v>
      </c>
      <c r="D370" s="545">
        <v>331</v>
      </c>
      <c r="E370" s="544"/>
      <c r="F370" s="549"/>
      <c r="G370" s="541"/>
      <c r="H370" s="541"/>
      <c r="I370" s="541"/>
      <c r="J370" s="541"/>
      <c r="K370" s="541"/>
      <c r="L370" s="541"/>
      <c r="M370" s="541"/>
      <c r="N370" s="541"/>
      <c r="O370" s="541"/>
      <c r="P370" s="541"/>
      <c r="Q370" s="541"/>
    </row>
    <row r="371" spans="1:17" s="360" customFormat="1" ht="12.5">
      <c r="A371" s="396"/>
      <c r="B371" s="475"/>
      <c r="C371" s="475"/>
      <c r="D371" s="440">
        <v>338</v>
      </c>
      <c r="E371" s="480"/>
      <c r="F371" s="524"/>
      <c r="G371" s="445"/>
      <c r="H371" s="445"/>
      <c r="I371" s="445"/>
      <c r="J371" s="445"/>
      <c r="K371" s="445"/>
      <c r="L371" s="445"/>
      <c r="M371" s="445"/>
      <c r="N371" s="445"/>
      <c r="O371" s="445"/>
      <c r="P371" s="445"/>
      <c r="Q371" s="445"/>
    </row>
    <row r="372" spans="1:17" s="360" customFormat="1" ht="12.5">
      <c r="A372" s="535">
        <v>9</v>
      </c>
      <c r="B372" s="546" t="s">
        <v>536</v>
      </c>
      <c r="C372" s="546" t="s">
        <v>537</v>
      </c>
      <c r="D372" s="545">
        <v>331</v>
      </c>
      <c r="E372" s="544"/>
      <c r="F372" s="549"/>
      <c r="G372" s="541"/>
      <c r="H372" s="541"/>
      <c r="I372" s="541"/>
      <c r="J372" s="541"/>
      <c r="K372" s="541"/>
      <c r="L372" s="541"/>
      <c r="M372" s="541"/>
      <c r="N372" s="541"/>
      <c r="O372" s="541"/>
      <c r="P372" s="541"/>
      <c r="Q372" s="541"/>
    </row>
    <row r="373" spans="1:17" s="360" customFormat="1" ht="12.5">
      <c r="A373" s="396"/>
      <c r="B373" s="475"/>
      <c r="C373" s="475"/>
      <c r="D373" s="440">
        <v>338</v>
      </c>
      <c r="E373" s="480"/>
      <c r="F373" s="524"/>
      <c r="G373" s="445"/>
      <c r="H373" s="445"/>
      <c r="I373" s="445"/>
      <c r="J373" s="445"/>
      <c r="K373" s="445"/>
      <c r="L373" s="445"/>
      <c r="M373" s="445"/>
      <c r="N373" s="445"/>
      <c r="O373" s="445"/>
      <c r="P373" s="445"/>
      <c r="Q373" s="445"/>
    </row>
    <row r="374" spans="1:17" s="360" customFormat="1" ht="12.5">
      <c r="A374" s="535">
        <v>10</v>
      </c>
      <c r="B374" s="546" t="s">
        <v>538</v>
      </c>
      <c r="C374" s="546" t="s">
        <v>539</v>
      </c>
      <c r="D374" s="545">
        <v>331</v>
      </c>
      <c r="E374" s="544"/>
      <c r="F374" s="549"/>
      <c r="G374" s="541"/>
      <c r="H374" s="541"/>
      <c r="I374" s="541"/>
      <c r="J374" s="541"/>
      <c r="K374" s="541"/>
      <c r="L374" s="541"/>
      <c r="M374" s="541"/>
      <c r="N374" s="541"/>
      <c r="O374" s="541"/>
      <c r="P374" s="541"/>
      <c r="Q374" s="541"/>
    </row>
    <row r="375" spans="1:17" s="360" customFormat="1" ht="12.5">
      <c r="A375" s="396"/>
      <c r="B375" s="475"/>
      <c r="C375" s="475"/>
      <c r="D375" s="440">
        <v>338</v>
      </c>
      <c r="E375" s="480"/>
      <c r="F375" s="524"/>
      <c r="G375" s="445"/>
      <c r="H375" s="445"/>
      <c r="I375" s="445"/>
      <c r="J375" s="445"/>
      <c r="K375" s="445"/>
      <c r="L375" s="445"/>
      <c r="M375" s="445"/>
      <c r="N375" s="445"/>
      <c r="O375" s="445"/>
      <c r="P375" s="445"/>
      <c r="Q375" s="445"/>
    </row>
    <row r="376" spans="1:17" s="360" customFormat="1" ht="12.5">
      <c r="A376" s="535">
        <v>11</v>
      </c>
      <c r="B376" s="546" t="s">
        <v>540</v>
      </c>
      <c r="C376" s="546" t="s">
        <v>541</v>
      </c>
      <c r="D376" s="545">
        <v>331</v>
      </c>
      <c r="E376" s="544"/>
      <c r="F376" s="549"/>
      <c r="G376" s="541"/>
      <c r="H376" s="541"/>
      <c r="I376" s="541"/>
      <c r="J376" s="541"/>
      <c r="K376" s="541"/>
      <c r="L376" s="541"/>
      <c r="M376" s="541"/>
      <c r="N376" s="541"/>
      <c r="O376" s="541"/>
      <c r="P376" s="541"/>
      <c r="Q376" s="541"/>
    </row>
    <row r="377" spans="1:17" s="360" customFormat="1" ht="12.5">
      <c r="A377" s="396"/>
      <c r="B377" s="475"/>
      <c r="C377" s="475"/>
      <c r="D377" s="440">
        <v>338</v>
      </c>
      <c r="E377" s="480"/>
      <c r="F377" s="524"/>
      <c r="G377" s="445"/>
      <c r="H377" s="445"/>
      <c r="I377" s="445"/>
      <c r="J377" s="445"/>
      <c r="K377" s="445"/>
      <c r="L377" s="445"/>
      <c r="M377" s="445"/>
      <c r="N377" s="445"/>
      <c r="O377" s="445"/>
      <c r="P377" s="445"/>
      <c r="Q377" s="445"/>
    </row>
    <row r="378" spans="1:17" s="360" customFormat="1" ht="12.5">
      <c r="A378" s="535">
        <v>12</v>
      </c>
      <c r="B378" s="546" t="s">
        <v>542</v>
      </c>
      <c r="C378" s="546" t="s">
        <v>543</v>
      </c>
      <c r="D378" s="545">
        <v>331</v>
      </c>
      <c r="E378" s="544"/>
      <c r="F378" s="549"/>
      <c r="G378" s="541"/>
      <c r="H378" s="541"/>
      <c r="I378" s="541"/>
      <c r="J378" s="541"/>
      <c r="K378" s="541"/>
      <c r="L378" s="541"/>
      <c r="M378" s="541"/>
      <c r="N378" s="541"/>
      <c r="O378" s="541"/>
      <c r="P378" s="541"/>
      <c r="Q378" s="541"/>
    </row>
    <row r="379" spans="1:17" s="360" customFormat="1" ht="12.5">
      <c r="A379" s="396"/>
      <c r="B379" s="475"/>
      <c r="C379" s="475"/>
      <c r="D379" s="440">
        <v>338</v>
      </c>
      <c r="E379" s="480"/>
      <c r="F379" s="524"/>
      <c r="G379" s="445"/>
      <c r="H379" s="445"/>
      <c r="I379" s="445"/>
      <c r="J379" s="445"/>
      <c r="K379" s="445"/>
      <c r="L379" s="445"/>
      <c r="M379" s="445"/>
      <c r="N379" s="445"/>
      <c r="O379" s="445"/>
      <c r="P379" s="445"/>
      <c r="Q379" s="445"/>
    </row>
    <row r="380" spans="1:17" s="360" customFormat="1" ht="12.5">
      <c r="A380" s="535">
        <v>13</v>
      </c>
      <c r="B380" s="546" t="s">
        <v>544</v>
      </c>
      <c r="C380" s="546" t="s">
        <v>545</v>
      </c>
      <c r="D380" s="545">
        <v>331</v>
      </c>
      <c r="E380" s="544"/>
      <c r="F380" s="549"/>
      <c r="G380" s="541"/>
      <c r="H380" s="541"/>
      <c r="I380" s="541"/>
      <c r="J380" s="541"/>
      <c r="K380" s="541"/>
      <c r="L380" s="541"/>
      <c r="M380" s="541"/>
      <c r="N380" s="541"/>
      <c r="O380" s="541"/>
      <c r="P380" s="541"/>
      <c r="Q380" s="541"/>
    </row>
    <row r="381" spans="1:17" s="360" customFormat="1" ht="12.5">
      <c r="A381" s="396"/>
      <c r="B381" s="475"/>
      <c r="C381" s="475"/>
      <c r="D381" s="440">
        <v>338</v>
      </c>
      <c r="E381" s="480"/>
      <c r="F381" s="524"/>
      <c r="G381" s="445"/>
      <c r="H381" s="445"/>
      <c r="I381" s="445"/>
      <c r="J381" s="445"/>
      <c r="K381" s="445"/>
      <c r="L381" s="445"/>
      <c r="M381" s="445"/>
      <c r="N381" s="445"/>
      <c r="O381" s="445"/>
      <c r="P381" s="445"/>
      <c r="Q381" s="445"/>
    </row>
    <row r="382" spans="1:17" s="360" customFormat="1" ht="12.5">
      <c r="A382" s="535">
        <v>14</v>
      </c>
      <c r="B382" s="546" t="s">
        <v>546</v>
      </c>
      <c r="C382" s="546" t="s">
        <v>547</v>
      </c>
      <c r="D382" s="545">
        <v>331</v>
      </c>
      <c r="E382" s="544"/>
      <c r="F382" s="549"/>
      <c r="G382" s="541"/>
      <c r="H382" s="541"/>
      <c r="I382" s="541"/>
      <c r="J382" s="541"/>
      <c r="K382" s="541"/>
      <c r="L382" s="541"/>
      <c r="M382" s="541"/>
      <c r="N382" s="541"/>
      <c r="O382" s="541"/>
      <c r="P382" s="541"/>
      <c r="Q382" s="541"/>
    </row>
    <row r="383" spans="1:17" s="360" customFormat="1" ht="12.5">
      <c r="A383" s="396"/>
      <c r="B383" s="475"/>
      <c r="C383" s="475"/>
      <c r="D383" s="440">
        <v>338</v>
      </c>
      <c r="E383" s="480"/>
      <c r="F383" s="524"/>
      <c r="G383" s="445"/>
      <c r="H383" s="445"/>
      <c r="I383" s="445"/>
      <c r="J383" s="445"/>
      <c r="K383" s="445"/>
      <c r="L383" s="445"/>
      <c r="M383" s="445"/>
      <c r="N383" s="445"/>
      <c r="O383" s="445"/>
      <c r="P383" s="445"/>
      <c r="Q383" s="445"/>
    </row>
    <row r="384" spans="1:17" s="360" customFormat="1" ht="12.5">
      <c r="A384" s="535">
        <v>15</v>
      </c>
      <c r="B384" s="546" t="s">
        <v>548</v>
      </c>
      <c r="C384" s="546" t="s">
        <v>549</v>
      </c>
      <c r="D384" s="545">
        <v>331</v>
      </c>
      <c r="E384" s="544"/>
      <c r="F384" s="549"/>
      <c r="G384" s="541"/>
      <c r="H384" s="541"/>
      <c r="I384" s="541"/>
      <c r="J384" s="541"/>
      <c r="K384" s="541"/>
      <c r="L384" s="541"/>
      <c r="M384" s="541"/>
      <c r="N384" s="541"/>
      <c r="O384" s="541"/>
      <c r="P384" s="541"/>
      <c r="Q384" s="541"/>
    </row>
    <row r="385" spans="1:17" s="360" customFormat="1" ht="12.5">
      <c r="A385" s="396"/>
      <c r="B385" s="475"/>
      <c r="C385" s="475"/>
      <c r="D385" s="440">
        <v>338</v>
      </c>
      <c r="E385" s="480"/>
      <c r="F385" s="524"/>
      <c r="G385" s="445"/>
      <c r="H385" s="445"/>
      <c r="I385" s="445"/>
      <c r="J385" s="445"/>
      <c r="K385" s="445"/>
      <c r="L385" s="445"/>
      <c r="M385" s="445"/>
      <c r="N385" s="445"/>
      <c r="O385" s="445"/>
      <c r="P385" s="445"/>
      <c r="Q385" s="445"/>
    </row>
    <row r="386" spans="1:17" s="360" customFormat="1" ht="12.5">
      <c r="A386" s="535">
        <v>16</v>
      </c>
      <c r="B386" s="546" t="s">
        <v>550</v>
      </c>
      <c r="C386" s="546" t="s">
        <v>551</v>
      </c>
      <c r="D386" s="545">
        <v>331</v>
      </c>
      <c r="E386" s="544"/>
      <c r="F386" s="549"/>
      <c r="G386" s="541"/>
      <c r="H386" s="541"/>
      <c r="I386" s="541"/>
      <c r="J386" s="541"/>
      <c r="K386" s="541"/>
      <c r="L386" s="541"/>
      <c r="M386" s="541"/>
      <c r="N386" s="541"/>
      <c r="O386" s="541"/>
      <c r="P386" s="541"/>
      <c r="Q386" s="541"/>
    </row>
    <row r="387" spans="1:17" s="360" customFormat="1" ht="12.5">
      <c r="A387" s="396"/>
      <c r="B387" s="475"/>
      <c r="C387" s="475"/>
      <c r="D387" s="440">
        <v>338</v>
      </c>
      <c r="E387" s="480"/>
      <c r="F387" s="524"/>
      <c r="G387" s="445"/>
      <c r="H387" s="445"/>
      <c r="I387" s="445"/>
      <c r="J387" s="445"/>
      <c r="K387" s="445"/>
      <c r="L387" s="445"/>
      <c r="M387" s="445"/>
      <c r="N387" s="445"/>
      <c r="O387" s="445"/>
      <c r="P387" s="445"/>
      <c r="Q387" s="445"/>
    </row>
    <row r="388" spans="1:17" s="360" customFormat="1" ht="12.5">
      <c r="A388" s="535">
        <v>17</v>
      </c>
      <c r="B388" s="546" t="s">
        <v>552</v>
      </c>
      <c r="C388" s="546" t="s">
        <v>553</v>
      </c>
      <c r="D388" s="545">
        <v>331</v>
      </c>
      <c r="E388" s="544"/>
      <c r="F388" s="549"/>
      <c r="G388" s="541"/>
      <c r="H388" s="541"/>
      <c r="I388" s="541"/>
      <c r="J388" s="541"/>
      <c r="K388" s="541"/>
      <c r="L388" s="541"/>
      <c r="M388" s="541"/>
      <c r="N388" s="541"/>
      <c r="O388" s="541"/>
      <c r="P388" s="541"/>
      <c r="Q388" s="541"/>
    </row>
    <row r="389" spans="1:17" s="360" customFormat="1" ht="12.5">
      <c r="A389" s="396"/>
      <c r="B389" s="475"/>
      <c r="C389" s="475"/>
      <c r="D389" s="440">
        <v>338</v>
      </c>
      <c r="E389" s="480"/>
      <c r="F389" s="524"/>
      <c r="G389" s="445"/>
      <c r="H389" s="445"/>
      <c r="I389" s="445"/>
      <c r="J389" s="445"/>
      <c r="K389" s="445"/>
      <c r="L389" s="445"/>
      <c r="M389" s="445"/>
      <c r="N389" s="445"/>
      <c r="O389" s="445"/>
      <c r="P389" s="445"/>
      <c r="Q389" s="445"/>
    </row>
    <row r="390" spans="1:17" s="360" customFormat="1" ht="12.5">
      <c r="A390" s="535">
        <v>18</v>
      </c>
      <c r="B390" s="546" t="s">
        <v>554</v>
      </c>
      <c r="C390" s="546" t="s">
        <v>555</v>
      </c>
      <c r="D390" s="545">
        <v>331</v>
      </c>
      <c r="E390" s="544"/>
      <c r="F390" s="549"/>
      <c r="G390" s="541"/>
      <c r="H390" s="541"/>
      <c r="I390" s="541"/>
      <c r="J390" s="541"/>
      <c r="K390" s="541"/>
      <c r="L390" s="541"/>
      <c r="M390" s="541"/>
      <c r="N390" s="541"/>
      <c r="O390" s="541"/>
      <c r="P390" s="541"/>
      <c r="Q390" s="541"/>
    </row>
    <row r="391" spans="1:17" s="360" customFormat="1" ht="12.5">
      <c r="A391" s="396"/>
      <c r="B391" s="475"/>
      <c r="C391" s="475"/>
      <c r="D391" s="440">
        <v>338</v>
      </c>
      <c r="E391" s="480"/>
      <c r="F391" s="524"/>
      <c r="G391" s="445"/>
      <c r="H391" s="445"/>
      <c r="I391" s="445"/>
      <c r="J391" s="445"/>
      <c r="K391" s="445"/>
      <c r="L391" s="445"/>
      <c r="M391" s="445"/>
      <c r="N391" s="445"/>
      <c r="O391" s="445"/>
      <c r="P391" s="445"/>
      <c r="Q391" s="445"/>
    </row>
    <row r="392" spans="1:17" s="360" customFormat="1" ht="12.5">
      <c r="A392" s="535">
        <v>19</v>
      </c>
      <c r="B392" s="536" t="s">
        <v>556</v>
      </c>
      <c r="C392" s="536" t="s">
        <v>557</v>
      </c>
      <c r="D392" s="545">
        <v>331</v>
      </c>
      <c r="E392" s="544"/>
      <c r="F392" s="549"/>
      <c r="G392" s="541"/>
      <c r="H392" s="541"/>
      <c r="I392" s="541"/>
      <c r="J392" s="541"/>
      <c r="K392" s="541"/>
      <c r="L392" s="541"/>
      <c r="M392" s="541"/>
      <c r="N392" s="541"/>
      <c r="O392" s="541"/>
      <c r="P392" s="541"/>
      <c r="Q392" s="541"/>
    </row>
    <row r="393" spans="1:17" s="360" customFormat="1" ht="12.5">
      <c r="A393" s="396"/>
      <c r="B393" s="475"/>
      <c r="C393" s="475"/>
      <c r="D393" s="440">
        <v>338</v>
      </c>
      <c r="E393" s="480"/>
      <c r="F393" s="524"/>
      <c r="G393" s="445"/>
      <c r="H393" s="445"/>
      <c r="I393" s="445"/>
      <c r="J393" s="445"/>
      <c r="K393" s="445"/>
      <c r="L393" s="445"/>
      <c r="M393" s="445"/>
      <c r="N393" s="445"/>
      <c r="O393" s="445"/>
      <c r="P393" s="445"/>
      <c r="Q393" s="445"/>
    </row>
    <row r="394" spans="1:17" s="360" customFormat="1" ht="12.5">
      <c r="A394" s="535">
        <v>20</v>
      </c>
      <c r="B394" s="546" t="s">
        <v>558</v>
      </c>
      <c r="C394" s="546" t="s">
        <v>559</v>
      </c>
      <c r="D394" s="545">
        <v>331</v>
      </c>
      <c r="E394" s="544"/>
      <c r="F394" s="549"/>
      <c r="G394" s="541"/>
      <c r="H394" s="541"/>
      <c r="I394" s="541"/>
      <c r="J394" s="541"/>
      <c r="K394" s="541"/>
      <c r="L394" s="541"/>
      <c r="M394" s="541"/>
      <c r="N394" s="541"/>
      <c r="O394" s="541"/>
      <c r="P394" s="541"/>
      <c r="Q394" s="541"/>
    </row>
    <row r="395" spans="1:17" s="360" customFormat="1" ht="12.5">
      <c r="A395" s="396"/>
      <c r="B395" s="475"/>
      <c r="C395" s="475"/>
      <c r="D395" s="440">
        <v>338</v>
      </c>
      <c r="E395" s="397"/>
      <c r="F395" s="524"/>
      <c r="G395" s="445"/>
      <c r="H395" s="445"/>
      <c r="I395" s="445"/>
      <c r="J395" s="445"/>
      <c r="K395" s="445"/>
      <c r="L395" s="445"/>
      <c r="M395" s="445"/>
      <c r="N395" s="445"/>
      <c r="O395" s="445"/>
      <c r="P395" s="445"/>
      <c r="Q395" s="445"/>
    </row>
    <row r="396" spans="1:17" s="360" customFormat="1" ht="12.5">
      <c r="A396" s="535">
        <v>21</v>
      </c>
      <c r="B396" s="546" t="s">
        <v>560</v>
      </c>
      <c r="C396" s="546" t="s">
        <v>561</v>
      </c>
      <c r="D396" s="545">
        <v>331</v>
      </c>
      <c r="E396" s="544"/>
      <c r="F396" s="549"/>
      <c r="G396" s="541"/>
      <c r="H396" s="541"/>
      <c r="I396" s="541"/>
      <c r="J396" s="541"/>
      <c r="K396" s="541"/>
      <c r="L396" s="541"/>
      <c r="M396" s="541"/>
      <c r="N396" s="541"/>
      <c r="O396" s="541"/>
      <c r="P396" s="541"/>
      <c r="Q396" s="541"/>
    </row>
    <row r="397" spans="1:17" s="360" customFormat="1" ht="12.5">
      <c r="A397" s="396"/>
      <c r="B397" s="475"/>
      <c r="C397" s="475"/>
      <c r="D397" s="440">
        <v>338</v>
      </c>
      <c r="E397" s="397"/>
      <c r="F397" s="524"/>
      <c r="G397" s="445"/>
      <c r="H397" s="445"/>
      <c r="I397" s="445"/>
      <c r="J397" s="445"/>
      <c r="K397" s="445"/>
      <c r="L397" s="445"/>
      <c r="M397" s="445"/>
      <c r="N397" s="445"/>
      <c r="O397" s="445"/>
      <c r="P397" s="445"/>
      <c r="Q397" s="445"/>
    </row>
    <row r="398" spans="1:17" s="360" customFormat="1" ht="12.5">
      <c r="A398" s="380">
        <v>22</v>
      </c>
      <c r="B398" s="381" t="s">
        <v>562</v>
      </c>
      <c r="C398" s="381" t="s">
        <v>563</v>
      </c>
      <c r="D398" s="383">
        <v>331</v>
      </c>
      <c r="E398" s="382"/>
      <c r="F398" s="529"/>
      <c r="G398" s="385"/>
      <c r="H398" s="385"/>
      <c r="I398" s="385"/>
      <c r="J398" s="385"/>
      <c r="K398" s="385"/>
      <c r="L398" s="385"/>
      <c r="M398" s="385"/>
      <c r="N398" s="385"/>
      <c r="O398" s="385"/>
      <c r="P398" s="385"/>
      <c r="Q398" s="385"/>
    </row>
    <row r="399" spans="1:17" s="360" customFormat="1">
      <c r="A399" s="455"/>
      <c r="B399" s="475"/>
      <c r="C399" s="475"/>
      <c r="D399" s="440">
        <v>338</v>
      </c>
      <c r="E399" s="397"/>
      <c r="F399" s="524"/>
      <c r="G399" s="445"/>
      <c r="H399" s="445"/>
      <c r="I399" s="445"/>
      <c r="J399" s="445"/>
      <c r="K399" s="445"/>
      <c r="L399" s="445"/>
      <c r="M399" s="445"/>
      <c r="N399" s="445"/>
      <c r="O399" s="445"/>
      <c r="P399" s="445"/>
      <c r="Q399" s="445"/>
    </row>
    <row r="400" spans="1:17" s="360" customFormat="1">
      <c r="A400" s="437" t="s">
        <v>594</v>
      </c>
      <c r="B400" s="376" t="s">
        <v>620</v>
      </c>
      <c r="C400" s="376"/>
      <c r="D400" s="438"/>
      <c r="E400" s="382"/>
      <c r="F400" s="468" t="s">
        <v>488</v>
      </c>
      <c r="G400" s="468" t="s">
        <v>489</v>
      </c>
      <c r="H400" s="468" t="s">
        <v>490</v>
      </c>
      <c r="I400" s="468" t="s">
        <v>491</v>
      </c>
      <c r="J400" s="468" t="s">
        <v>492</v>
      </c>
      <c r="K400" s="468" t="s">
        <v>493</v>
      </c>
      <c r="L400" s="468" t="s">
        <v>494</v>
      </c>
      <c r="M400" s="468" t="s">
        <v>495</v>
      </c>
      <c r="N400" s="468" t="s">
        <v>496</v>
      </c>
      <c r="O400" s="468" t="s">
        <v>497</v>
      </c>
      <c r="P400" s="468" t="s">
        <v>498</v>
      </c>
      <c r="Q400" s="468" t="s">
        <v>499</v>
      </c>
    </row>
    <row r="401" spans="1:17" s="360" customFormat="1" ht="12.5">
      <c r="A401" s="535">
        <v>1</v>
      </c>
      <c r="B401" s="544" t="s">
        <v>503</v>
      </c>
      <c r="C401" s="544" t="s">
        <v>504</v>
      </c>
      <c r="D401" s="545">
        <v>331</v>
      </c>
      <c r="E401" s="544"/>
      <c r="F401" s="549"/>
      <c r="G401" s="541"/>
      <c r="H401" s="541"/>
      <c r="I401" s="541"/>
      <c r="J401" s="541"/>
      <c r="K401" s="541"/>
      <c r="L401" s="541"/>
      <c r="M401" s="541"/>
      <c r="N401" s="541"/>
      <c r="O401" s="541"/>
      <c r="P401" s="541"/>
      <c r="Q401" s="541"/>
    </row>
    <row r="402" spans="1:17" s="360" customFormat="1" ht="12.5">
      <c r="A402" s="405">
        <v>2</v>
      </c>
      <c r="B402" s="388" t="s">
        <v>513</v>
      </c>
      <c r="C402" s="388" t="s">
        <v>514</v>
      </c>
      <c r="D402" s="392">
        <v>331</v>
      </c>
      <c r="E402" s="388"/>
      <c r="F402" s="525"/>
      <c r="G402" s="403"/>
      <c r="H402" s="403"/>
      <c r="I402" s="403"/>
      <c r="J402" s="403"/>
      <c r="K402" s="403"/>
      <c r="L402" s="403"/>
      <c r="M402" s="403"/>
      <c r="N402" s="403"/>
      <c r="O402" s="403"/>
      <c r="P402" s="403"/>
      <c r="Q402" s="403"/>
    </row>
    <row r="403" spans="1:17" s="360" customFormat="1" ht="12.5">
      <c r="A403" s="405">
        <v>3</v>
      </c>
      <c r="B403" s="414" t="s">
        <v>519</v>
      </c>
      <c r="C403" s="414" t="s">
        <v>520</v>
      </c>
      <c r="D403" s="392">
        <v>331</v>
      </c>
      <c r="E403" s="388"/>
      <c r="F403" s="525"/>
      <c r="G403" s="403"/>
      <c r="H403" s="403"/>
      <c r="I403" s="403"/>
      <c r="J403" s="403"/>
      <c r="K403" s="403"/>
      <c r="L403" s="403"/>
      <c r="M403" s="403"/>
      <c r="N403" s="403"/>
      <c r="O403" s="403"/>
      <c r="P403" s="403"/>
      <c r="Q403" s="403"/>
    </row>
    <row r="404" spans="1:17" s="360" customFormat="1" ht="12.5">
      <c r="A404" s="405">
        <v>4</v>
      </c>
      <c r="B404" s="414" t="s">
        <v>522</v>
      </c>
      <c r="C404" s="414" t="s">
        <v>523</v>
      </c>
      <c r="D404" s="392">
        <v>331</v>
      </c>
      <c r="E404" s="388"/>
      <c r="F404" s="525"/>
      <c r="G404" s="403"/>
      <c r="H404" s="403"/>
      <c r="I404" s="403"/>
      <c r="J404" s="403"/>
      <c r="K404" s="403"/>
      <c r="L404" s="525"/>
      <c r="M404" s="403"/>
      <c r="N404" s="403"/>
      <c r="O404" s="403"/>
      <c r="P404" s="403"/>
      <c r="Q404" s="403"/>
    </row>
    <row r="405" spans="1:17" s="360" customFormat="1" ht="12.5">
      <c r="A405" s="387">
        <v>5</v>
      </c>
      <c r="B405" s="414" t="s">
        <v>524</v>
      </c>
      <c r="C405" s="414" t="s">
        <v>525</v>
      </c>
      <c r="D405" s="392">
        <v>331</v>
      </c>
      <c r="E405" s="388"/>
      <c r="F405" s="525"/>
      <c r="G405" s="403"/>
      <c r="H405" s="403"/>
      <c r="I405" s="403"/>
      <c r="J405" s="403"/>
      <c r="K405" s="403"/>
      <c r="L405" s="403"/>
      <c r="M405" s="403"/>
      <c r="N405" s="403"/>
      <c r="O405" s="403"/>
      <c r="P405" s="403"/>
      <c r="Q405" s="403"/>
    </row>
    <row r="406" spans="1:17" s="360" customFormat="1" ht="12.5">
      <c r="A406" s="405">
        <v>6</v>
      </c>
      <c r="B406" s="414" t="s">
        <v>527</v>
      </c>
      <c r="C406" s="414" t="s">
        <v>528</v>
      </c>
      <c r="D406" s="392">
        <v>331</v>
      </c>
      <c r="E406" s="388"/>
      <c r="F406" s="525"/>
      <c r="G406" s="403"/>
      <c r="H406" s="403"/>
      <c r="I406" s="403"/>
      <c r="J406" s="403"/>
      <c r="K406" s="403"/>
      <c r="L406" s="403"/>
      <c r="M406" s="403"/>
      <c r="N406" s="403"/>
      <c r="O406" s="403"/>
      <c r="P406" s="403"/>
      <c r="Q406" s="403"/>
    </row>
    <row r="407" spans="1:17" s="360" customFormat="1" ht="12.5">
      <c r="A407" s="405">
        <v>7</v>
      </c>
      <c r="B407" s="418" t="s">
        <v>531</v>
      </c>
      <c r="C407" s="418" t="s">
        <v>532</v>
      </c>
      <c r="D407" s="392">
        <v>331</v>
      </c>
      <c r="E407" s="388"/>
      <c r="F407" s="525"/>
      <c r="G407" s="403"/>
      <c r="H407" s="403"/>
      <c r="I407" s="403"/>
      <c r="J407" s="403"/>
      <c r="K407" s="403"/>
      <c r="L407" s="403"/>
      <c r="M407" s="403"/>
      <c r="N407" s="403"/>
      <c r="O407" s="403"/>
      <c r="P407" s="403"/>
      <c r="Q407" s="403"/>
    </row>
    <row r="408" spans="1:17" s="360" customFormat="1" ht="12.5">
      <c r="A408" s="405">
        <v>8</v>
      </c>
      <c r="B408" s="414" t="s">
        <v>533</v>
      </c>
      <c r="C408" s="414" t="s">
        <v>534</v>
      </c>
      <c r="D408" s="392">
        <v>331</v>
      </c>
      <c r="E408" s="388"/>
      <c r="F408" s="525"/>
      <c r="G408" s="403"/>
      <c r="H408" s="403"/>
      <c r="I408" s="403"/>
      <c r="J408" s="403"/>
      <c r="K408" s="403"/>
      <c r="L408" s="403"/>
      <c r="M408" s="403"/>
      <c r="N408" s="403"/>
      <c r="O408" s="403"/>
      <c r="P408" s="403"/>
      <c r="Q408" s="403"/>
    </row>
    <row r="409" spans="1:17" s="360" customFormat="1" ht="12.5">
      <c r="A409" s="405">
        <v>9</v>
      </c>
      <c r="B409" s="414" t="s">
        <v>536</v>
      </c>
      <c r="C409" s="414" t="s">
        <v>537</v>
      </c>
      <c r="D409" s="392">
        <v>331</v>
      </c>
      <c r="E409" s="388"/>
      <c r="F409" s="525"/>
      <c r="G409" s="403"/>
      <c r="H409" s="403"/>
      <c r="I409" s="403"/>
      <c r="J409" s="403"/>
      <c r="K409" s="403"/>
      <c r="L409" s="403"/>
      <c r="M409" s="403"/>
      <c r="N409" s="403"/>
      <c r="O409" s="403"/>
      <c r="P409" s="403"/>
      <c r="Q409" s="403"/>
    </row>
    <row r="410" spans="1:17" s="360" customFormat="1" ht="12.5">
      <c r="A410" s="405">
        <v>10</v>
      </c>
      <c r="B410" s="388" t="s">
        <v>538</v>
      </c>
      <c r="C410" s="388" t="s">
        <v>539</v>
      </c>
      <c r="D410" s="392">
        <v>331</v>
      </c>
      <c r="E410" s="388"/>
      <c r="F410" s="525"/>
      <c r="G410" s="403"/>
      <c r="H410" s="403"/>
      <c r="I410" s="403"/>
      <c r="J410" s="403"/>
      <c r="K410" s="403"/>
      <c r="L410" s="403"/>
      <c r="M410" s="403"/>
      <c r="N410" s="403"/>
      <c r="O410" s="403"/>
      <c r="P410" s="403"/>
      <c r="Q410" s="403"/>
    </row>
    <row r="411" spans="1:17" s="360" customFormat="1" ht="12.5">
      <c r="A411" s="405">
        <v>11</v>
      </c>
      <c r="B411" s="414" t="s">
        <v>540</v>
      </c>
      <c r="C411" s="414" t="s">
        <v>541</v>
      </c>
      <c r="D411" s="392">
        <v>331</v>
      </c>
      <c r="E411" s="388"/>
      <c r="F411" s="525"/>
      <c r="G411" s="403"/>
      <c r="H411" s="403"/>
      <c r="I411" s="403"/>
      <c r="J411" s="403"/>
      <c r="K411" s="403"/>
      <c r="L411" s="403"/>
      <c r="M411" s="403"/>
      <c r="N411" s="403"/>
      <c r="O411" s="403"/>
      <c r="P411" s="403"/>
      <c r="Q411" s="403"/>
    </row>
    <row r="412" spans="1:17" s="360" customFormat="1" ht="12.5">
      <c r="A412" s="405">
        <v>12</v>
      </c>
      <c r="B412" s="414" t="s">
        <v>542</v>
      </c>
      <c r="C412" s="414" t="s">
        <v>543</v>
      </c>
      <c r="D412" s="392">
        <v>331</v>
      </c>
      <c r="E412" s="388"/>
      <c r="F412" s="525"/>
      <c r="G412" s="403"/>
      <c r="H412" s="403"/>
      <c r="I412" s="403"/>
      <c r="J412" s="403"/>
      <c r="K412" s="403"/>
      <c r="L412" s="403"/>
      <c r="M412" s="403"/>
      <c r="N412" s="403"/>
      <c r="O412" s="403"/>
      <c r="P412" s="403"/>
      <c r="Q412" s="403"/>
    </row>
    <row r="413" spans="1:17" s="360" customFormat="1" ht="12.5">
      <c r="A413" s="405">
        <v>13</v>
      </c>
      <c r="B413" s="388" t="s">
        <v>544</v>
      </c>
      <c r="C413" s="388" t="s">
        <v>545</v>
      </c>
      <c r="D413" s="392">
        <v>331</v>
      </c>
      <c r="E413" s="388"/>
      <c r="F413" s="527"/>
      <c r="G413" s="403"/>
      <c r="H413" s="403"/>
      <c r="I413" s="403"/>
      <c r="J413" s="403"/>
      <c r="K413" s="403"/>
      <c r="L413" s="403"/>
      <c r="M413" s="403"/>
      <c r="N413" s="403"/>
      <c r="O413" s="403"/>
      <c r="P413" s="403"/>
      <c r="Q413" s="403"/>
    </row>
    <row r="414" spans="1:17" s="360" customFormat="1" ht="12.5">
      <c r="A414" s="405">
        <v>14</v>
      </c>
      <c r="B414" s="388" t="s">
        <v>546</v>
      </c>
      <c r="C414" s="388" t="s">
        <v>547</v>
      </c>
      <c r="D414" s="392">
        <v>331</v>
      </c>
      <c r="E414" s="388"/>
      <c r="F414" s="527"/>
      <c r="G414" s="403"/>
      <c r="H414" s="403"/>
      <c r="I414" s="403"/>
      <c r="J414" s="403"/>
      <c r="K414" s="403"/>
      <c r="L414" s="403"/>
      <c r="M414" s="403"/>
      <c r="N414" s="403"/>
      <c r="O414" s="403"/>
      <c r="P414" s="403"/>
      <c r="Q414" s="403"/>
    </row>
    <row r="415" spans="1:17" s="360" customFormat="1" ht="12.5">
      <c r="A415" s="405">
        <v>15</v>
      </c>
      <c r="B415" s="388" t="s">
        <v>548</v>
      </c>
      <c r="C415" s="388" t="s">
        <v>549</v>
      </c>
      <c r="D415" s="392">
        <v>331</v>
      </c>
      <c r="E415" s="388"/>
      <c r="F415" s="527"/>
      <c r="G415" s="403"/>
      <c r="H415" s="403"/>
      <c r="I415" s="403"/>
      <c r="J415" s="403"/>
      <c r="K415" s="403"/>
      <c r="L415" s="403"/>
      <c r="M415" s="403"/>
      <c r="N415" s="403"/>
      <c r="O415" s="403"/>
      <c r="P415" s="403"/>
      <c r="Q415" s="403"/>
    </row>
    <row r="416" spans="1:17" s="360" customFormat="1" ht="12.5">
      <c r="A416" s="405">
        <v>16</v>
      </c>
      <c r="B416" s="388" t="s">
        <v>550</v>
      </c>
      <c r="C416" s="388" t="s">
        <v>551</v>
      </c>
      <c r="D416" s="392">
        <v>331</v>
      </c>
      <c r="E416" s="388"/>
      <c r="F416" s="527"/>
      <c r="G416" s="403"/>
      <c r="H416" s="403"/>
      <c r="I416" s="403"/>
      <c r="J416" s="403"/>
      <c r="K416" s="403"/>
      <c r="L416" s="403"/>
      <c r="M416" s="403"/>
      <c r="N416" s="403"/>
      <c r="O416" s="403"/>
      <c r="P416" s="403"/>
      <c r="Q416" s="403"/>
    </row>
    <row r="417" spans="1:17" s="360" customFormat="1" ht="12.5">
      <c r="A417" s="405">
        <v>17</v>
      </c>
      <c r="B417" s="388" t="s">
        <v>552</v>
      </c>
      <c r="C417" s="388" t="s">
        <v>553</v>
      </c>
      <c r="D417" s="392">
        <v>331</v>
      </c>
      <c r="E417" s="388"/>
      <c r="F417" s="527"/>
      <c r="G417" s="403"/>
      <c r="H417" s="403"/>
      <c r="I417" s="403"/>
      <c r="J417" s="403"/>
      <c r="K417" s="403"/>
      <c r="L417" s="403"/>
      <c r="M417" s="403"/>
      <c r="N417" s="403"/>
      <c r="O417" s="403"/>
      <c r="P417" s="403"/>
      <c r="Q417" s="403"/>
    </row>
    <row r="418" spans="1:17" s="360" customFormat="1" ht="12.5">
      <c r="A418" s="405">
        <v>18</v>
      </c>
      <c r="B418" s="388" t="s">
        <v>554</v>
      </c>
      <c r="C418" s="388" t="s">
        <v>555</v>
      </c>
      <c r="D418" s="392">
        <v>331</v>
      </c>
      <c r="E418" s="388"/>
      <c r="F418" s="527"/>
      <c r="G418" s="403"/>
      <c r="H418" s="403"/>
      <c r="I418" s="403"/>
      <c r="J418" s="403"/>
      <c r="K418" s="403"/>
      <c r="L418" s="403"/>
      <c r="M418" s="403"/>
      <c r="N418" s="403"/>
      <c r="O418" s="403"/>
      <c r="P418" s="403"/>
      <c r="Q418" s="403"/>
    </row>
    <row r="419" spans="1:17" s="360" customFormat="1" ht="12.5">
      <c r="A419" s="405">
        <v>19</v>
      </c>
      <c r="B419" s="418" t="s">
        <v>556</v>
      </c>
      <c r="C419" s="418" t="s">
        <v>557</v>
      </c>
      <c r="D419" s="392">
        <v>331</v>
      </c>
      <c r="E419" s="388"/>
      <c r="F419" s="527"/>
      <c r="G419" s="403"/>
      <c r="H419" s="403"/>
      <c r="I419" s="403"/>
      <c r="J419" s="403"/>
      <c r="K419" s="403"/>
      <c r="L419" s="403"/>
      <c r="M419" s="403"/>
      <c r="N419" s="403"/>
      <c r="O419" s="403"/>
      <c r="P419" s="403"/>
      <c r="Q419" s="403"/>
    </row>
    <row r="420" spans="1:17" s="360" customFormat="1" ht="12.5">
      <c r="A420" s="405">
        <v>20</v>
      </c>
      <c r="B420" s="388" t="s">
        <v>558</v>
      </c>
      <c r="C420" s="388" t="s">
        <v>559</v>
      </c>
      <c r="D420" s="392">
        <v>331</v>
      </c>
      <c r="E420" s="388"/>
      <c r="F420" s="527"/>
      <c r="G420" s="403"/>
      <c r="H420" s="403"/>
      <c r="I420" s="403"/>
      <c r="J420" s="403"/>
      <c r="K420" s="403"/>
      <c r="L420" s="403"/>
      <c r="M420" s="403"/>
      <c r="N420" s="403"/>
      <c r="O420" s="403"/>
      <c r="P420" s="403"/>
      <c r="Q420" s="403"/>
    </row>
    <row r="421" spans="1:17" s="360" customFormat="1" ht="12.5">
      <c r="A421" s="405">
        <v>21</v>
      </c>
      <c r="B421" s="388" t="s">
        <v>560</v>
      </c>
      <c r="C421" s="388" t="s">
        <v>561</v>
      </c>
      <c r="D421" s="392">
        <v>331</v>
      </c>
      <c r="E421" s="388"/>
      <c r="F421" s="527"/>
      <c r="G421" s="403"/>
      <c r="H421" s="403"/>
      <c r="I421" s="403"/>
      <c r="J421" s="403"/>
      <c r="K421" s="403"/>
      <c r="L421" s="403"/>
      <c r="M421" s="403"/>
      <c r="N421" s="403"/>
      <c r="O421" s="403"/>
      <c r="P421" s="403"/>
      <c r="Q421" s="403"/>
    </row>
    <row r="422" spans="1:17" s="360" customFormat="1" ht="12.5">
      <c r="A422" s="405">
        <v>22</v>
      </c>
      <c r="B422" s="388" t="s">
        <v>562</v>
      </c>
      <c r="C422" s="388" t="s">
        <v>563</v>
      </c>
      <c r="D422" s="392">
        <v>331</v>
      </c>
      <c r="E422" s="388"/>
      <c r="F422" s="527"/>
      <c r="G422" s="403"/>
      <c r="H422" s="403"/>
      <c r="I422" s="403"/>
      <c r="J422" s="403"/>
      <c r="K422" s="403"/>
      <c r="L422" s="403"/>
      <c r="M422" s="403"/>
      <c r="N422" s="403"/>
      <c r="O422" s="403"/>
      <c r="P422" s="403"/>
      <c r="Q422" s="403"/>
    </row>
    <row r="423" spans="1:17" s="360" customFormat="1">
      <c r="A423" s="455"/>
      <c r="B423" s="397"/>
      <c r="C423" s="397"/>
      <c r="D423" s="397"/>
      <c r="E423" s="397"/>
      <c r="F423" s="524"/>
      <c r="G423" s="445"/>
      <c r="H423" s="445"/>
      <c r="I423" s="445"/>
      <c r="J423" s="445"/>
      <c r="K423" s="445"/>
      <c r="L423" s="445"/>
      <c r="M423" s="445"/>
      <c r="N423" s="445"/>
      <c r="O423" s="445"/>
      <c r="P423" s="445"/>
      <c r="Q423" s="445"/>
    </row>
    <row r="424" spans="1:17" s="360" customFormat="1">
      <c r="A424" s="437" t="s">
        <v>621</v>
      </c>
      <c r="B424" s="376" t="s">
        <v>622</v>
      </c>
      <c r="C424" s="376"/>
      <c r="D424" s="438"/>
      <c r="E424" s="438"/>
      <c r="F424" s="468" t="s">
        <v>488</v>
      </c>
      <c r="G424" s="468" t="s">
        <v>489</v>
      </c>
      <c r="H424" s="468" t="s">
        <v>490</v>
      </c>
      <c r="I424" s="468" t="s">
        <v>491</v>
      </c>
      <c r="J424" s="468" t="s">
        <v>492</v>
      </c>
      <c r="K424" s="468" t="s">
        <v>493</v>
      </c>
      <c r="L424" s="468" t="s">
        <v>494</v>
      </c>
      <c r="M424" s="468" t="s">
        <v>495</v>
      </c>
      <c r="N424" s="468" t="s">
        <v>496</v>
      </c>
      <c r="O424" s="468" t="s">
        <v>497</v>
      </c>
      <c r="P424" s="468" t="s">
        <v>498</v>
      </c>
      <c r="Q424" s="468" t="s">
        <v>499</v>
      </c>
    </row>
    <row r="425" spans="1:17" s="360" customFormat="1">
      <c r="A425" s="449"/>
      <c r="B425" s="482" t="s">
        <v>623</v>
      </c>
      <c r="C425" s="482"/>
      <c r="D425" s="483"/>
      <c r="E425" s="388"/>
      <c r="F425" s="539"/>
      <c r="G425" s="541"/>
      <c r="H425" s="541"/>
      <c r="I425" s="541"/>
      <c r="J425" s="541"/>
      <c r="K425" s="541"/>
      <c r="L425" s="541"/>
      <c r="M425" s="541"/>
      <c r="N425" s="541"/>
      <c r="O425" s="541"/>
      <c r="P425" s="541"/>
      <c r="Q425" s="541"/>
    </row>
    <row r="426" spans="1:17" s="360" customFormat="1" ht="12.5">
      <c r="A426" s="405">
        <v>1</v>
      </c>
      <c r="B426" s="479" t="s">
        <v>503</v>
      </c>
      <c r="C426" s="479" t="s">
        <v>504</v>
      </c>
      <c r="D426" s="392">
        <v>128</v>
      </c>
      <c r="E426" s="388"/>
      <c r="F426" s="525"/>
      <c r="G426" s="403"/>
      <c r="H426" s="403"/>
      <c r="I426" s="403"/>
      <c r="J426" s="403"/>
      <c r="K426" s="403"/>
      <c r="L426" s="403"/>
      <c r="M426" s="403"/>
      <c r="N426" s="403"/>
      <c r="O426" s="403"/>
      <c r="P426" s="403"/>
      <c r="Q426" s="403"/>
    </row>
    <row r="427" spans="1:17" s="360" customFormat="1" ht="12.5">
      <c r="A427" s="405">
        <v>2</v>
      </c>
      <c r="B427" s="414" t="s">
        <v>513</v>
      </c>
      <c r="C427" s="414" t="s">
        <v>514</v>
      </c>
      <c r="D427" s="392">
        <v>128</v>
      </c>
      <c r="E427" s="388"/>
      <c r="F427" s="525"/>
      <c r="G427" s="403"/>
      <c r="H427" s="403"/>
      <c r="I427" s="403"/>
      <c r="J427" s="403"/>
      <c r="K427" s="403"/>
      <c r="L427" s="403"/>
      <c r="M427" s="403"/>
      <c r="N427" s="403"/>
      <c r="O427" s="403"/>
      <c r="P427" s="403"/>
      <c r="Q427" s="403"/>
    </row>
    <row r="428" spans="1:17" s="360" customFormat="1" ht="12.5">
      <c r="A428" s="405">
        <v>3</v>
      </c>
      <c r="B428" s="479" t="s">
        <v>519</v>
      </c>
      <c r="C428" s="479" t="s">
        <v>520</v>
      </c>
      <c r="D428" s="392">
        <v>128</v>
      </c>
      <c r="E428" s="388"/>
      <c r="F428" s="525"/>
      <c r="G428" s="403"/>
      <c r="H428" s="403"/>
      <c r="I428" s="403"/>
      <c r="J428" s="403"/>
      <c r="K428" s="403"/>
      <c r="L428" s="403"/>
      <c r="M428" s="403"/>
      <c r="N428" s="403"/>
      <c r="O428" s="403"/>
      <c r="P428" s="403"/>
      <c r="Q428" s="403"/>
    </row>
    <row r="429" spans="1:17" s="360" customFormat="1" ht="12.5">
      <c r="A429" s="405">
        <v>4</v>
      </c>
      <c r="B429" s="479" t="s">
        <v>522</v>
      </c>
      <c r="C429" s="479" t="s">
        <v>523</v>
      </c>
      <c r="D429" s="392">
        <v>128</v>
      </c>
      <c r="E429" s="388"/>
      <c r="F429" s="525"/>
      <c r="G429" s="403"/>
      <c r="H429" s="403"/>
      <c r="I429" s="403"/>
      <c r="J429" s="403"/>
      <c r="K429" s="403"/>
      <c r="L429" s="403"/>
      <c r="M429" s="403"/>
      <c r="N429" s="403"/>
      <c r="O429" s="403"/>
      <c r="P429" s="403"/>
      <c r="Q429" s="403"/>
    </row>
    <row r="430" spans="1:17" s="360" customFormat="1" ht="12.5">
      <c r="A430" s="405">
        <v>5</v>
      </c>
      <c r="B430" s="479" t="s">
        <v>524</v>
      </c>
      <c r="C430" s="479" t="s">
        <v>525</v>
      </c>
      <c r="D430" s="392">
        <v>128</v>
      </c>
      <c r="E430" s="388"/>
      <c r="F430" s="525"/>
      <c r="G430" s="403"/>
      <c r="H430" s="403"/>
      <c r="I430" s="403"/>
      <c r="J430" s="403"/>
      <c r="K430" s="403"/>
      <c r="L430" s="403"/>
      <c r="M430" s="403"/>
      <c r="N430" s="403"/>
      <c r="O430" s="403"/>
      <c r="P430" s="403"/>
      <c r="Q430" s="403"/>
    </row>
    <row r="431" spans="1:17" s="360" customFormat="1" ht="12.5">
      <c r="A431" s="405">
        <v>6</v>
      </c>
      <c r="B431" s="479" t="s">
        <v>527</v>
      </c>
      <c r="C431" s="479" t="s">
        <v>528</v>
      </c>
      <c r="D431" s="392">
        <v>128</v>
      </c>
      <c r="E431" s="388"/>
      <c r="F431" s="525"/>
      <c r="G431" s="403"/>
      <c r="H431" s="403"/>
      <c r="I431" s="403"/>
      <c r="J431" s="403"/>
      <c r="K431" s="403"/>
      <c r="L431" s="403"/>
      <c r="M431" s="403"/>
      <c r="N431" s="403"/>
      <c r="O431" s="403"/>
      <c r="P431" s="403"/>
      <c r="Q431" s="403"/>
    </row>
    <row r="432" spans="1:17" s="360" customFormat="1" ht="12.5">
      <c r="A432" s="405">
        <v>7</v>
      </c>
      <c r="B432" s="418" t="s">
        <v>531</v>
      </c>
      <c r="C432" s="418" t="s">
        <v>532</v>
      </c>
      <c r="D432" s="392">
        <v>128</v>
      </c>
      <c r="E432" s="388"/>
      <c r="F432" s="525"/>
      <c r="G432" s="403"/>
      <c r="H432" s="403"/>
      <c r="I432" s="403"/>
      <c r="J432" s="403"/>
      <c r="K432" s="403"/>
      <c r="L432" s="403"/>
      <c r="M432" s="403"/>
      <c r="N432" s="403"/>
      <c r="O432" s="403"/>
      <c r="P432" s="403"/>
      <c r="Q432" s="403"/>
    </row>
    <row r="433" spans="1:17" s="360" customFormat="1" ht="12.5">
      <c r="A433" s="405">
        <v>8</v>
      </c>
      <c r="B433" s="479" t="s">
        <v>533</v>
      </c>
      <c r="C433" s="479" t="s">
        <v>534</v>
      </c>
      <c r="D433" s="392">
        <v>128</v>
      </c>
      <c r="E433" s="388"/>
      <c r="F433" s="525"/>
      <c r="G433" s="403"/>
      <c r="H433" s="403"/>
      <c r="I433" s="403"/>
      <c r="J433" s="403"/>
      <c r="K433" s="403"/>
      <c r="L433" s="403"/>
      <c r="M433" s="403"/>
      <c r="N433" s="403"/>
      <c r="O433" s="403"/>
      <c r="P433" s="403"/>
      <c r="Q433" s="403"/>
    </row>
    <row r="434" spans="1:17" s="360" customFormat="1" ht="12.5">
      <c r="A434" s="405">
        <v>9</v>
      </c>
      <c r="B434" s="479" t="s">
        <v>536</v>
      </c>
      <c r="C434" s="479" t="s">
        <v>537</v>
      </c>
      <c r="D434" s="392">
        <v>128</v>
      </c>
      <c r="E434" s="388"/>
      <c r="F434" s="525"/>
      <c r="G434" s="403"/>
      <c r="H434" s="403"/>
      <c r="I434" s="403"/>
      <c r="J434" s="403"/>
      <c r="K434" s="403"/>
      <c r="L434" s="403"/>
      <c r="M434" s="403"/>
      <c r="N434" s="403"/>
      <c r="O434" s="403"/>
      <c r="P434" s="403"/>
      <c r="Q434" s="403"/>
    </row>
    <row r="435" spans="1:17" s="360" customFormat="1" ht="12.5">
      <c r="A435" s="405">
        <v>10</v>
      </c>
      <c r="B435" s="479" t="s">
        <v>538</v>
      </c>
      <c r="C435" s="479" t="s">
        <v>539</v>
      </c>
      <c r="D435" s="392">
        <v>128</v>
      </c>
      <c r="E435" s="388"/>
      <c r="F435" s="525"/>
      <c r="G435" s="403"/>
      <c r="H435" s="403"/>
      <c r="I435" s="403"/>
      <c r="J435" s="403"/>
      <c r="K435" s="403"/>
      <c r="L435" s="403"/>
      <c r="M435" s="403"/>
      <c r="N435" s="403"/>
      <c r="O435" s="403"/>
      <c r="P435" s="403"/>
      <c r="Q435" s="403"/>
    </row>
    <row r="436" spans="1:17" s="360" customFormat="1" ht="12.5">
      <c r="A436" s="405">
        <v>11</v>
      </c>
      <c r="B436" s="479" t="s">
        <v>540</v>
      </c>
      <c r="C436" s="479" t="s">
        <v>541</v>
      </c>
      <c r="D436" s="392">
        <v>128</v>
      </c>
      <c r="E436" s="388"/>
      <c r="F436" s="525"/>
      <c r="G436" s="403"/>
      <c r="H436" s="403"/>
      <c r="I436" s="403"/>
      <c r="J436" s="403"/>
      <c r="K436" s="403"/>
      <c r="L436" s="403"/>
      <c r="M436" s="403"/>
      <c r="N436" s="403"/>
      <c r="O436" s="403"/>
      <c r="P436" s="403"/>
      <c r="Q436" s="403"/>
    </row>
    <row r="437" spans="1:17" s="360" customFormat="1" ht="12.5">
      <c r="A437" s="405">
        <v>12</v>
      </c>
      <c r="B437" s="479" t="s">
        <v>542</v>
      </c>
      <c r="C437" s="479" t="s">
        <v>543</v>
      </c>
      <c r="D437" s="392">
        <v>128</v>
      </c>
      <c r="E437" s="388"/>
      <c r="F437" s="525"/>
      <c r="G437" s="403"/>
      <c r="H437" s="403"/>
      <c r="I437" s="403"/>
      <c r="J437" s="403"/>
      <c r="K437" s="403"/>
      <c r="L437" s="403"/>
      <c r="M437" s="403"/>
      <c r="N437" s="403"/>
      <c r="O437" s="403"/>
      <c r="P437" s="403"/>
      <c r="Q437" s="403"/>
    </row>
    <row r="438" spans="1:17" s="360" customFormat="1" ht="12.5">
      <c r="A438" s="405">
        <v>13</v>
      </c>
      <c r="B438" s="479" t="s">
        <v>544</v>
      </c>
      <c r="C438" s="479" t="s">
        <v>545</v>
      </c>
      <c r="D438" s="392">
        <v>128</v>
      </c>
      <c r="E438" s="388"/>
      <c r="F438" s="525"/>
      <c r="G438" s="403"/>
      <c r="H438" s="403"/>
      <c r="I438" s="403"/>
      <c r="J438" s="403"/>
      <c r="K438" s="403"/>
      <c r="L438" s="403"/>
      <c r="M438" s="403"/>
      <c r="N438" s="403"/>
      <c r="O438" s="403"/>
      <c r="P438" s="403"/>
      <c r="Q438" s="403"/>
    </row>
    <row r="439" spans="1:17" s="360" customFormat="1" ht="12.5">
      <c r="A439" s="405">
        <v>14</v>
      </c>
      <c r="B439" s="479" t="s">
        <v>546</v>
      </c>
      <c r="C439" s="479" t="s">
        <v>547</v>
      </c>
      <c r="D439" s="392">
        <v>128</v>
      </c>
      <c r="E439" s="388"/>
      <c r="F439" s="525"/>
      <c r="G439" s="403"/>
      <c r="H439" s="403"/>
      <c r="I439" s="403"/>
      <c r="J439" s="403"/>
      <c r="K439" s="403"/>
      <c r="L439" s="403"/>
      <c r="M439" s="403"/>
      <c r="N439" s="403"/>
      <c r="O439" s="403"/>
      <c r="P439" s="403"/>
      <c r="Q439" s="403"/>
    </row>
    <row r="440" spans="1:17" s="360" customFormat="1" ht="12.5">
      <c r="A440" s="405">
        <v>15</v>
      </c>
      <c r="B440" s="479" t="s">
        <v>548</v>
      </c>
      <c r="C440" s="479" t="s">
        <v>549</v>
      </c>
      <c r="D440" s="392">
        <v>128</v>
      </c>
      <c r="E440" s="388"/>
      <c r="F440" s="525"/>
      <c r="G440" s="403"/>
      <c r="H440" s="403"/>
      <c r="I440" s="403"/>
      <c r="J440" s="403"/>
      <c r="K440" s="403"/>
      <c r="L440" s="403"/>
      <c r="M440" s="403"/>
      <c r="N440" s="403"/>
      <c r="O440" s="403"/>
      <c r="P440" s="403"/>
      <c r="Q440" s="403"/>
    </row>
    <row r="441" spans="1:17" s="360" customFormat="1" ht="12.5">
      <c r="A441" s="405">
        <v>16</v>
      </c>
      <c r="B441" s="479" t="s">
        <v>550</v>
      </c>
      <c r="C441" s="479" t="s">
        <v>551</v>
      </c>
      <c r="D441" s="392">
        <v>128</v>
      </c>
      <c r="E441" s="388"/>
      <c r="F441" s="525"/>
      <c r="G441" s="403"/>
      <c r="H441" s="403"/>
      <c r="I441" s="403"/>
      <c r="J441" s="403"/>
      <c r="K441" s="403"/>
      <c r="L441" s="403"/>
      <c r="M441" s="403"/>
      <c r="N441" s="403"/>
      <c r="O441" s="403"/>
      <c r="P441" s="403"/>
      <c r="Q441" s="403"/>
    </row>
    <row r="442" spans="1:17" s="360" customFormat="1" ht="12.5">
      <c r="A442" s="405">
        <v>17</v>
      </c>
      <c r="B442" s="479" t="s">
        <v>552</v>
      </c>
      <c r="C442" s="479" t="s">
        <v>553</v>
      </c>
      <c r="D442" s="392">
        <v>128</v>
      </c>
      <c r="E442" s="388"/>
      <c r="F442" s="525"/>
      <c r="G442" s="403"/>
      <c r="H442" s="403"/>
      <c r="I442" s="403"/>
      <c r="J442" s="403"/>
      <c r="K442" s="403"/>
      <c r="L442" s="403"/>
      <c r="M442" s="403"/>
      <c r="N442" s="403"/>
      <c r="O442" s="403"/>
      <c r="P442" s="403"/>
      <c r="Q442" s="403"/>
    </row>
    <row r="443" spans="1:17" s="360" customFormat="1" ht="12.5">
      <c r="A443" s="405">
        <v>18</v>
      </c>
      <c r="B443" s="479" t="s">
        <v>554</v>
      </c>
      <c r="C443" s="479" t="s">
        <v>555</v>
      </c>
      <c r="D443" s="392">
        <v>128</v>
      </c>
      <c r="E443" s="388"/>
      <c r="F443" s="525"/>
      <c r="G443" s="403"/>
      <c r="H443" s="403"/>
      <c r="I443" s="403"/>
      <c r="J443" s="403"/>
      <c r="K443" s="403"/>
      <c r="L443" s="403"/>
      <c r="M443" s="403"/>
      <c r="N443" s="403"/>
      <c r="O443" s="403"/>
      <c r="P443" s="403"/>
      <c r="Q443" s="403"/>
    </row>
    <row r="444" spans="1:17" s="360" customFormat="1" ht="12.5">
      <c r="A444" s="405">
        <v>19</v>
      </c>
      <c r="B444" s="418" t="s">
        <v>556</v>
      </c>
      <c r="C444" s="418" t="s">
        <v>557</v>
      </c>
      <c r="D444" s="392">
        <v>128</v>
      </c>
      <c r="E444" s="388"/>
      <c r="F444" s="525"/>
      <c r="G444" s="403"/>
      <c r="H444" s="403"/>
      <c r="I444" s="403"/>
      <c r="J444" s="403"/>
      <c r="K444" s="403"/>
      <c r="L444" s="403"/>
      <c r="M444" s="403"/>
      <c r="N444" s="403"/>
      <c r="O444" s="403"/>
      <c r="P444" s="403"/>
      <c r="Q444" s="403"/>
    </row>
    <row r="445" spans="1:17" s="360" customFormat="1" ht="12.5">
      <c r="A445" s="405">
        <v>20</v>
      </c>
      <c r="B445" s="479" t="s">
        <v>558</v>
      </c>
      <c r="C445" s="479" t="s">
        <v>559</v>
      </c>
      <c r="D445" s="392">
        <v>128</v>
      </c>
      <c r="E445" s="388"/>
      <c r="F445" s="525"/>
      <c r="G445" s="403"/>
      <c r="H445" s="403"/>
      <c r="I445" s="403"/>
      <c r="J445" s="403"/>
      <c r="K445" s="403"/>
      <c r="L445" s="403"/>
      <c r="M445" s="403"/>
      <c r="N445" s="403"/>
      <c r="O445" s="403"/>
      <c r="P445" s="403"/>
      <c r="Q445" s="403"/>
    </row>
    <row r="446" spans="1:17" s="360" customFormat="1" ht="12.5">
      <c r="A446" s="405">
        <v>21</v>
      </c>
      <c r="B446" s="479" t="s">
        <v>560</v>
      </c>
      <c r="C446" s="479" t="s">
        <v>561</v>
      </c>
      <c r="D446" s="392">
        <v>128</v>
      </c>
      <c r="E446" s="388"/>
      <c r="F446" s="525"/>
      <c r="G446" s="403"/>
      <c r="H446" s="403"/>
      <c r="I446" s="403"/>
      <c r="J446" s="403"/>
      <c r="K446" s="403"/>
      <c r="L446" s="403"/>
      <c r="M446" s="403"/>
      <c r="N446" s="403"/>
      <c r="O446" s="403"/>
      <c r="P446" s="403"/>
      <c r="Q446" s="403"/>
    </row>
    <row r="447" spans="1:17" s="360" customFormat="1" ht="12.5">
      <c r="A447" s="405">
        <v>22</v>
      </c>
      <c r="B447" s="479" t="s">
        <v>562</v>
      </c>
      <c r="C447" s="479" t="s">
        <v>563</v>
      </c>
      <c r="D447" s="392">
        <v>128</v>
      </c>
      <c r="E447" s="388"/>
      <c r="F447" s="525"/>
      <c r="G447" s="403"/>
      <c r="H447" s="403"/>
      <c r="I447" s="403"/>
      <c r="J447" s="403"/>
      <c r="K447" s="403"/>
      <c r="L447" s="403"/>
      <c r="M447" s="403"/>
      <c r="N447" s="403"/>
      <c r="O447" s="403"/>
      <c r="P447" s="403"/>
      <c r="Q447" s="403"/>
    </row>
    <row r="448" spans="1:17" s="360" customFormat="1" ht="12.5">
      <c r="A448" s="405"/>
      <c r="B448" s="479"/>
      <c r="C448" s="479"/>
      <c r="D448" s="392"/>
      <c r="E448" s="388"/>
      <c r="F448" s="525"/>
      <c r="G448" s="403"/>
      <c r="H448" s="403"/>
      <c r="I448" s="403"/>
      <c r="J448" s="403"/>
      <c r="K448" s="403"/>
      <c r="L448" s="403"/>
      <c r="M448" s="403"/>
      <c r="N448" s="403"/>
      <c r="O448" s="403"/>
      <c r="P448" s="403"/>
      <c r="Q448" s="403"/>
    </row>
    <row r="449" spans="1:17" s="360" customFormat="1">
      <c r="A449" s="449"/>
      <c r="B449" s="482" t="s">
        <v>624</v>
      </c>
      <c r="C449" s="482"/>
      <c r="D449" s="483"/>
      <c r="E449" s="388"/>
      <c r="F449" s="404"/>
      <c r="G449" s="403"/>
      <c r="H449" s="403"/>
      <c r="I449" s="403"/>
      <c r="J449" s="403"/>
      <c r="K449" s="403"/>
      <c r="L449" s="403"/>
      <c r="M449" s="403"/>
      <c r="N449" s="403"/>
      <c r="O449" s="403"/>
      <c r="P449" s="403"/>
      <c r="Q449" s="403"/>
    </row>
    <row r="450" spans="1:17" s="360" customFormat="1" ht="12.5">
      <c r="A450" s="407"/>
      <c r="B450" s="388" t="s">
        <v>590</v>
      </c>
      <c r="C450" s="388"/>
      <c r="D450" s="392">
        <v>128</v>
      </c>
      <c r="E450" s="391"/>
      <c r="F450" s="525"/>
      <c r="G450" s="403"/>
      <c r="H450" s="403"/>
      <c r="I450" s="403"/>
      <c r="J450" s="403"/>
      <c r="K450" s="403"/>
      <c r="L450" s="403"/>
      <c r="M450" s="403"/>
      <c r="N450" s="403"/>
      <c r="O450" s="403"/>
      <c r="P450" s="403"/>
      <c r="Q450" s="403"/>
    </row>
    <row r="451" spans="1:17" s="360" customFormat="1" ht="12.5">
      <c r="A451" s="407"/>
      <c r="B451" s="498"/>
      <c r="C451" s="498"/>
      <c r="D451" s="477"/>
      <c r="E451" s="391"/>
      <c r="F451" s="524"/>
      <c r="G451" s="445"/>
      <c r="H451" s="445"/>
      <c r="I451" s="445"/>
      <c r="J451" s="445"/>
      <c r="K451" s="445"/>
      <c r="L451" s="445"/>
      <c r="M451" s="445"/>
      <c r="N451" s="445"/>
      <c r="O451" s="445"/>
      <c r="P451" s="445"/>
      <c r="Q451" s="445"/>
    </row>
    <row r="452" spans="1:17" s="360" customFormat="1">
      <c r="A452" s="437" t="s">
        <v>625</v>
      </c>
      <c r="B452" s="376" t="s">
        <v>626</v>
      </c>
      <c r="C452" s="376"/>
      <c r="D452" s="438"/>
      <c r="E452" s="438"/>
      <c r="F452" s="468" t="s">
        <v>488</v>
      </c>
      <c r="G452" s="468" t="s">
        <v>489</v>
      </c>
      <c r="H452" s="468" t="s">
        <v>490</v>
      </c>
      <c r="I452" s="468" t="s">
        <v>491</v>
      </c>
      <c r="J452" s="468" t="s">
        <v>492</v>
      </c>
      <c r="K452" s="468" t="s">
        <v>493</v>
      </c>
      <c r="L452" s="468" t="s">
        <v>494</v>
      </c>
      <c r="M452" s="468" t="s">
        <v>495</v>
      </c>
      <c r="N452" s="468" t="s">
        <v>496</v>
      </c>
      <c r="O452" s="468" t="s">
        <v>497</v>
      </c>
      <c r="P452" s="468" t="s">
        <v>498</v>
      </c>
      <c r="Q452" s="468" t="s">
        <v>499</v>
      </c>
    </row>
    <row r="453" spans="1:17" s="360" customFormat="1">
      <c r="A453" s="449"/>
      <c r="B453" s="484" t="s">
        <v>623</v>
      </c>
      <c r="C453" s="484"/>
      <c r="D453" s="482"/>
      <c r="E453" s="388"/>
      <c r="F453" s="539"/>
      <c r="G453" s="541"/>
      <c r="H453" s="541"/>
      <c r="I453" s="541"/>
      <c r="J453" s="541"/>
      <c r="K453" s="541"/>
      <c r="L453" s="541"/>
      <c r="M453" s="541"/>
      <c r="N453" s="541"/>
      <c r="O453" s="541"/>
      <c r="P453" s="541"/>
      <c r="Q453" s="541"/>
    </row>
    <row r="454" spans="1:17" s="360" customFormat="1" ht="12.5">
      <c r="A454" s="405">
        <v>1</v>
      </c>
      <c r="B454" s="418" t="s">
        <v>503</v>
      </c>
      <c r="C454" s="418" t="s">
        <v>504</v>
      </c>
      <c r="D454" s="392">
        <v>341</v>
      </c>
      <c r="E454" s="388"/>
      <c r="F454" s="525"/>
      <c r="G454" s="403"/>
      <c r="H454" s="403"/>
      <c r="I454" s="403"/>
      <c r="J454" s="403"/>
      <c r="K454" s="403"/>
      <c r="L454" s="403"/>
      <c r="M454" s="403"/>
      <c r="N454" s="403"/>
      <c r="O454" s="403"/>
      <c r="P454" s="403"/>
      <c r="Q454" s="403"/>
    </row>
    <row r="455" spans="1:17" s="360" customFormat="1" ht="12.5">
      <c r="A455" s="405">
        <v>2</v>
      </c>
      <c r="B455" s="414" t="s">
        <v>513</v>
      </c>
      <c r="C455" s="414" t="s">
        <v>514</v>
      </c>
      <c r="D455" s="392">
        <v>341</v>
      </c>
      <c r="E455" s="388"/>
      <c r="F455" s="525"/>
      <c r="G455" s="403"/>
      <c r="H455" s="403"/>
      <c r="I455" s="403"/>
      <c r="J455" s="403"/>
      <c r="K455" s="403"/>
      <c r="L455" s="403"/>
      <c r="M455" s="403"/>
      <c r="N455" s="403"/>
      <c r="O455" s="403"/>
      <c r="P455" s="403"/>
      <c r="Q455" s="403"/>
    </row>
    <row r="456" spans="1:17" s="360" customFormat="1" ht="12.5">
      <c r="A456" s="405">
        <v>3</v>
      </c>
      <c r="B456" s="479" t="s">
        <v>519</v>
      </c>
      <c r="C456" s="479" t="s">
        <v>520</v>
      </c>
      <c r="D456" s="392">
        <v>341</v>
      </c>
      <c r="E456" s="388"/>
      <c r="F456" s="525"/>
      <c r="G456" s="403"/>
      <c r="H456" s="403"/>
      <c r="I456" s="403"/>
      <c r="J456" s="403"/>
      <c r="K456" s="403"/>
      <c r="L456" s="403"/>
      <c r="M456" s="403"/>
      <c r="N456" s="403"/>
      <c r="O456" s="403"/>
      <c r="P456" s="403"/>
      <c r="Q456" s="403"/>
    </row>
    <row r="457" spans="1:17" s="360" customFormat="1" ht="12.5">
      <c r="A457" s="405">
        <v>4</v>
      </c>
      <c r="B457" s="479" t="s">
        <v>522</v>
      </c>
      <c r="C457" s="479" t="s">
        <v>523</v>
      </c>
      <c r="D457" s="392">
        <v>341</v>
      </c>
      <c r="E457" s="388"/>
      <c r="F457" s="525"/>
      <c r="G457" s="403"/>
      <c r="H457" s="403"/>
      <c r="I457" s="403"/>
      <c r="J457" s="403"/>
      <c r="K457" s="403"/>
      <c r="L457" s="403"/>
      <c r="M457" s="403"/>
      <c r="N457" s="403"/>
      <c r="O457" s="403"/>
      <c r="P457" s="403"/>
      <c r="Q457" s="403"/>
    </row>
    <row r="458" spans="1:17" s="360" customFormat="1" ht="12.5">
      <c r="A458" s="405">
        <v>5</v>
      </c>
      <c r="B458" s="479" t="s">
        <v>524</v>
      </c>
      <c r="C458" s="479" t="s">
        <v>525</v>
      </c>
      <c r="D458" s="392">
        <v>341</v>
      </c>
      <c r="E458" s="388"/>
      <c r="F458" s="525"/>
      <c r="G458" s="403"/>
      <c r="H458" s="403"/>
      <c r="I458" s="403"/>
      <c r="J458" s="403"/>
      <c r="K458" s="403"/>
      <c r="L458" s="403"/>
      <c r="M458" s="403"/>
      <c r="N458" s="403"/>
      <c r="O458" s="403"/>
      <c r="P458" s="403"/>
      <c r="Q458" s="403"/>
    </row>
    <row r="459" spans="1:17" s="360" customFormat="1" ht="12.5">
      <c r="A459" s="405">
        <v>6</v>
      </c>
      <c r="B459" s="479" t="s">
        <v>527</v>
      </c>
      <c r="C459" s="479" t="s">
        <v>528</v>
      </c>
      <c r="D459" s="392">
        <v>341</v>
      </c>
      <c r="E459" s="388"/>
      <c r="F459" s="525"/>
      <c r="G459" s="403"/>
      <c r="H459" s="403"/>
      <c r="I459" s="403"/>
      <c r="J459" s="403"/>
      <c r="K459" s="403"/>
      <c r="L459" s="403"/>
      <c r="M459" s="403"/>
      <c r="N459" s="403"/>
      <c r="O459" s="403"/>
      <c r="P459" s="403"/>
      <c r="Q459" s="403"/>
    </row>
    <row r="460" spans="1:17" s="360" customFormat="1" ht="12.5">
      <c r="A460" s="405">
        <v>7</v>
      </c>
      <c r="B460" s="418" t="s">
        <v>531</v>
      </c>
      <c r="C460" s="418" t="s">
        <v>532</v>
      </c>
      <c r="D460" s="392">
        <v>341</v>
      </c>
      <c r="E460" s="388"/>
      <c r="F460" s="525"/>
      <c r="G460" s="403"/>
      <c r="H460" s="403"/>
      <c r="I460" s="403"/>
      <c r="J460" s="403"/>
      <c r="K460" s="403"/>
      <c r="L460" s="403"/>
      <c r="M460" s="403"/>
      <c r="N460" s="403"/>
      <c r="O460" s="403"/>
      <c r="P460" s="403"/>
      <c r="Q460" s="403"/>
    </row>
    <row r="461" spans="1:17" s="360" customFormat="1" ht="12.5">
      <c r="A461" s="405">
        <v>8</v>
      </c>
      <c r="B461" s="479" t="s">
        <v>533</v>
      </c>
      <c r="C461" s="479" t="s">
        <v>534</v>
      </c>
      <c r="D461" s="392">
        <v>341</v>
      </c>
      <c r="E461" s="388"/>
      <c r="F461" s="525"/>
      <c r="G461" s="403"/>
      <c r="H461" s="403"/>
      <c r="I461" s="403"/>
      <c r="J461" s="403"/>
      <c r="K461" s="403"/>
      <c r="L461" s="403"/>
      <c r="M461" s="403"/>
      <c r="N461" s="403"/>
      <c r="O461" s="403"/>
      <c r="P461" s="403"/>
      <c r="Q461" s="403"/>
    </row>
    <row r="462" spans="1:17" s="360" customFormat="1" ht="12.5">
      <c r="A462" s="405">
        <v>9</v>
      </c>
      <c r="B462" s="479" t="s">
        <v>536</v>
      </c>
      <c r="C462" s="479" t="s">
        <v>537</v>
      </c>
      <c r="D462" s="392">
        <v>341</v>
      </c>
      <c r="E462" s="388"/>
      <c r="F462" s="525"/>
      <c r="G462" s="403"/>
      <c r="H462" s="403"/>
      <c r="I462" s="403"/>
      <c r="J462" s="403"/>
      <c r="K462" s="403"/>
      <c r="L462" s="403"/>
      <c r="M462" s="403"/>
      <c r="N462" s="403"/>
      <c r="O462" s="403"/>
      <c r="P462" s="403"/>
      <c r="Q462" s="403"/>
    </row>
    <row r="463" spans="1:17" s="360" customFormat="1" ht="12.5">
      <c r="A463" s="405">
        <v>10</v>
      </c>
      <c r="B463" s="479" t="s">
        <v>538</v>
      </c>
      <c r="C463" s="479" t="s">
        <v>539</v>
      </c>
      <c r="D463" s="392">
        <v>341</v>
      </c>
      <c r="E463" s="388"/>
      <c r="F463" s="525"/>
      <c r="G463" s="403"/>
      <c r="H463" s="403"/>
      <c r="I463" s="403"/>
      <c r="J463" s="403"/>
      <c r="K463" s="403"/>
      <c r="L463" s="403"/>
      <c r="M463" s="403"/>
      <c r="N463" s="403"/>
      <c r="O463" s="403"/>
      <c r="P463" s="403"/>
      <c r="Q463" s="403"/>
    </row>
    <row r="464" spans="1:17" s="360" customFormat="1" ht="12.5">
      <c r="A464" s="405">
        <v>11</v>
      </c>
      <c r="B464" s="479" t="s">
        <v>540</v>
      </c>
      <c r="C464" s="479" t="s">
        <v>541</v>
      </c>
      <c r="D464" s="392">
        <v>341</v>
      </c>
      <c r="E464" s="388"/>
      <c r="F464" s="525"/>
      <c r="G464" s="403"/>
      <c r="H464" s="403"/>
      <c r="I464" s="403"/>
      <c r="J464" s="403"/>
      <c r="K464" s="403"/>
      <c r="L464" s="403"/>
      <c r="M464" s="403"/>
      <c r="N464" s="403"/>
      <c r="O464" s="403"/>
      <c r="P464" s="403"/>
      <c r="Q464" s="403"/>
    </row>
    <row r="465" spans="1:17" s="360" customFormat="1" ht="12.5">
      <c r="A465" s="405">
        <v>12</v>
      </c>
      <c r="B465" s="479" t="s">
        <v>542</v>
      </c>
      <c r="C465" s="479" t="s">
        <v>543</v>
      </c>
      <c r="D465" s="392">
        <v>341</v>
      </c>
      <c r="E465" s="388"/>
      <c r="F465" s="525"/>
      <c r="G465" s="403"/>
      <c r="H465" s="403"/>
      <c r="I465" s="403"/>
      <c r="J465" s="403"/>
      <c r="K465" s="403"/>
      <c r="L465" s="403"/>
      <c r="M465" s="403"/>
      <c r="N465" s="403"/>
      <c r="O465" s="403"/>
      <c r="P465" s="403"/>
      <c r="Q465" s="403"/>
    </row>
    <row r="466" spans="1:17" s="360" customFormat="1" ht="12.5">
      <c r="A466" s="405">
        <v>13</v>
      </c>
      <c r="B466" s="479" t="s">
        <v>544</v>
      </c>
      <c r="C466" s="479" t="s">
        <v>545</v>
      </c>
      <c r="D466" s="392">
        <v>341</v>
      </c>
      <c r="E466" s="388"/>
      <c r="F466" s="525"/>
      <c r="G466" s="403"/>
      <c r="H466" s="403"/>
      <c r="I466" s="403"/>
      <c r="J466" s="403"/>
      <c r="K466" s="403"/>
      <c r="L466" s="403"/>
      <c r="M466" s="403"/>
      <c r="N466" s="403"/>
      <c r="O466" s="403"/>
      <c r="P466" s="403"/>
      <c r="Q466" s="403"/>
    </row>
    <row r="467" spans="1:17" s="360" customFormat="1" ht="12.5">
      <c r="A467" s="405">
        <v>14</v>
      </c>
      <c r="B467" s="479" t="s">
        <v>546</v>
      </c>
      <c r="C467" s="479" t="s">
        <v>547</v>
      </c>
      <c r="D467" s="392">
        <v>341</v>
      </c>
      <c r="E467" s="388"/>
      <c r="F467" s="525"/>
      <c r="G467" s="403"/>
      <c r="H467" s="403"/>
      <c r="I467" s="403"/>
      <c r="J467" s="403"/>
      <c r="K467" s="403"/>
      <c r="L467" s="403"/>
      <c r="M467" s="403"/>
      <c r="N467" s="403"/>
      <c r="O467" s="403"/>
      <c r="P467" s="403"/>
      <c r="Q467" s="403"/>
    </row>
    <row r="468" spans="1:17" s="360" customFormat="1" ht="12.5">
      <c r="A468" s="405">
        <v>15</v>
      </c>
      <c r="B468" s="479" t="s">
        <v>548</v>
      </c>
      <c r="C468" s="479" t="s">
        <v>549</v>
      </c>
      <c r="D468" s="392">
        <v>341</v>
      </c>
      <c r="E468" s="388"/>
      <c r="F468" s="525"/>
      <c r="G468" s="403"/>
      <c r="H468" s="403"/>
      <c r="I468" s="403"/>
      <c r="J468" s="403"/>
      <c r="K468" s="403"/>
      <c r="L468" s="403"/>
      <c r="M468" s="403"/>
      <c r="N468" s="403"/>
      <c r="O468" s="403"/>
      <c r="P468" s="403"/>
      <c r="Q468" s="403"/>
    </row>
    <row r="469" spans="1:17" s="360" customFormat="1" ht="12.5">
      <c r="A469" s="405">
        <v>16</v>
      </c>
      <c r="B469" s="479" t="s">
        <v>550</v>
      </c>
      <c r="C469" s="479" t="s">
        <v>551</v>
      </c>
      <c r="D469" s="392">
        <v>341</v>
      </c>
      <c r="E469" s="388"/>
      <c r="F469" s="525"/>
      <c r="G469" s="403"/>
      <c r="H469" s="403"/>
      <c r="I469" s="403"/>
      <c r="J469" s="403"/>
      <c r="K469" s="403"/>
      <c r="L469" s="403"/>
      <c r="M469" s="403"/>
      <c r="N469" s="403"/>
      <c r="O469" s="403"/>
      <c r="P469" s="403"/>
      <c r="Q469" s="403"/>
    </row>
    <row r="470" spans="1:17" s="360" customFormat="1" ht="12.5">
      <c r="A470" s="405">
        <v>17</v>
      </c>
      <c r="B470" s="479" t="s">
        <v>552</v>
      </c>
      <c r="C470" s="479" t="s">
        <v>553</v>
      </c>
      <c r="D470" s="392">
        <v>341</v>
      </c>
      <c r="E470" s="388"/>
      <c r="F470" s="525"/>
      <c r="G470" s="403"/>
      <c r="H470" s="403"/>
      <c r="I470" s="403"/>
      <c r="J470" s="403"/>
      <c r="K470" s="403"/>
      <c r="L470" s="403"/>
      <c r="M470" s="403"/>
      <c r="N470" s="403"/>
      <c r="O470" s="403"/>
      <c r="P470" s="403"/>
      <c r="Q470" s="403"/>
    </row>
    <row r="471" spans="1:17" s="360" customFormat="1" ht="12.5">
      <c r="A471" s="405">
        <v>18</v>
      </c>
      <c r="B471" s="479" t="s">
        <v>554</v>
      </c>
      <c r="C471" s="479" t="s">
        <v>555</v>
      </c>
      <c r="D471" s="392">
        <v>341</v>
      </c>
      <c r="E471" s="388"/>
      <c r="F471" s="525"/>
      <c r="G471" s="403"/>
      <c r="H471" s="403"/>
      <c r="I471" s="403"/>
      <c r="J471" s="403"/>
      <c r="K471" s="403"/>
      <c r="L471" s="403"/>
      <c r="M471" s="403"/>
      <c r="N471" s="403"/>
      <c r="O471" s="403"/>
      <c r="P471" s="403"/>
      <c r="Q471" s="403"/>
    </row>
    <row r="472" spans="1:17" s="360" customFormat="1" ht="12.5">
      <c r="A472" s="405">
        <v>19</v>
      </c>
      <c r="B472" s="418" t="s">
        <v>556</v>
      </c>
      <c r="C472" s="418" t="s">
        <v>557</v>
      </c>
      <c r="D472" s="392">
        <v>341</v>
      </c>
      <c r="E472" s="388"/>
      <c r="F472" s="525"/>
      <c r="G472" s="403"/>
      <c r="H472" s="403"/>
      <c r="I472" s="403"/>
      <c r="J472" s="403"/>
      <c r="K472" s="403"/>
      <c r="L472" s="403"/>
      <c r="M472" s="403"/>
      <c r="N472" s="403"/>
      <c r="O472" s="403"/>
      <c r="P472" s="403"/>
      <c r="Q472" s="403"/>
    </row>
    <row r="473" spans="1:17" s="360" customFormat="1" ht="12.5">
      <c r="A473" s="405">
        <v>20</v>
      </c>
      <c r="B473" s="479" t="s">
        <v>558</v>
      </c>
      <c r="C473" s="479" t="s">
        <v>559</v>
      </c>
      <c r="D473" s="392">
        <v>341</v>
      </c>
      <c r="E473" s="388"/>
      <c r="F473" s="525"/>
      <c r="G473" s="403"/>
      <c r="H473" s="403"/>
      <c r="I473" s="403"/>
      <c r="J473" s="403"/>
      <c r="K473" s="403"/>
      <c r="L473" s="403"/>
      <c r="M473" s="403"/>
      <c r="N473" s="403"/>
      <c r="O473" s="403"/>
      <c r="P473" s="403"/>
      <c r="Q473" s="403"/>
    </row>
    <row r="474" spans="1:17" s="360" customFormat="1" ht="12.5">
      <c r="A474" s="405">
        <v>21</v>
      </c>
      <c r="B474" s="479" t="s">
        <v>560</v>
      </c>
      <c r="C474" s="479" t="s">
        <v>561</v>
      </c>
      <c r="D474" s="392">
        <v>341</v>
      </c>
      <c r="E474" s="388"/>
      <c r="F474" s="525"/>
      <c r="G474" s="403"/>
      <c r="H474" s="403"/>
      <c r="I474" s="403"/>
      <c r="J474" s="403"/>
      <c r="K474" s="403"/>
      <c r="L474" s="403"/>
      <c r="M474" s="403"/>
      <c r="N474" s="403"/>
      <c r="O474" s="403"/>
      <c r="P474" s="403"/>
      <c r="Q474" s="403"/>
    </row>
    <row r="475" spans="1:17" s="360" customFormat="1" ht="12.5">
      <c r="A475" s="405">
        <v>22</v>
      </c>
      <c r="B475" s="479" t="s">
        <v>562</v>
      </c>
      <c r="C475" s="479" t="s">
        <v>563</v>
      </c>
      <c r="D475" s="392">
        <v>341</v>
      </c>
      <c r="E475" s="388"/>
      <c r="F475" s="525"/>
      <c r="G475" s="403"/>
      <c r="H475" s="403"/>
      <c r="I475" s="403"/>
      <c r="J475" s="403"/>
      <c r="K475" s="403"/>
      <c r="L475" s="403"/>
      <c r="M475" s="403"/>
      <c r="N475" s="403"/>
      <c r="O475" s="403"/>
      <c r="P475" s="403"/>
      <c r="Q475" s="403"/>
    </row>
    <row r="476" spans="1:17" s="360" customFormat="1">
      <c r="A476" s="449"/>
      <c r="B476" s="479"/>
      <c r="C476" s="479"/>
      <c r="D476" s="392"/>
      <c r="E476" s="388"/>
      <c r="F476" s="525"/>
      <c r="G476" s="403"/>
      <c r="H476" s="403"/>
      <c r="I476" s="403"/>
      <c r="J476" s="403"/>
      <c r="K476" s="403"/>
      <c r="L476" s="403"/>
      <c r="M476" s="403"/>
      <c r="N476" s="403"/>
      <c r="O476" s="403"/>
      <c r="P476" s="403"/>
      <c r="Q476" s="403"/>
    </row>
    <row r="477" spans="1:17" s="360" customFormat="1">
      <c r="A477" s="449"/>
      <c r="B477" s="484" t="s">
        <v>624</v>
      </c>
      <c r="C477" s="484"/>
      <c r="D477" s="483"/>
      <c r="E477" s="388"/>
      <c r="F477" s="525"/>
      <c r="G477" s="403"/>
      <c r="H477" s="403"/>
      <c r="I477" s="403"/>
      <c r="J477" s="403"/>
      <c r="K477" s="403"/>
      <c r="L477" s="403"/>
      <c r="M477" s="403"/>
      <c r="N477" s="403"/>
      <c r="O477" s="403"/>
      <c r="P477" s="403"/>
      <c r="Q477" s="403"/>
    </row>
    <row r="478" spans="1:17" s="360" customFormat="1">
      <c r="A478" s="449"/>
      <c r="B478" s="479" t="s">
        <v>590</v>
      </c>
      <c r="C478" s="479"/>
      <c r="D478" s="392">
        <v>341</v>
      </c>
      <c r="E478" s="388"/>
      <c r="F478" s="525"/>
      <c r="G478" s="403"/>
      <c r="H478" s="403"/>
      <c r="I478" s="403"/>
      <c r="J478" s="403"/>
      <c r="K478" s="403"/>
      <c r="L478" s="403"/>
      <c r="M478" s="403"/>
      <c r="N478" s="403"/>
      <c r="O478" s="403"/>
      <c r="P478" s="403"/>
      <c r="Q478" s="403"/>
    </row>
    <row r="479" spans="1:17" s="360" customFormat="1">
      <c r="A479" s="449"/>
      <c r="B479" s="479" t="s">
        <v>627</v>
      </c>
      <c r="C479" s="479"/>
      <c r="D479" s="392">
        <v>341</v>
      </c>
      <c r="E479" s="388"/>
      <c r="F479" s="525"/>
      <c r="G479" s="403"/>
      <c r="H479" s="403"/>
      <c r="I479" s="403"/>
      <c r="J479" s="403"/>
      <c r="K479" s="403"/>
      <c r="L479" s="403"/>
      <c r="M479" s="403"/>
      <c r="N479" s="403"/>
      <c r="O479" s="403"/>
      <c r="P479" s="403"/>
      <c r="Q479" s="403"/>
    </row>
    <row r="480" spans="1:17" s="360" customFormat="1">
      <c r="A480" s="485"/>
      <c r="B480" s="475"/>
      <c r="C480" s="475"/>
      <c r="D480" s="397"/>
      <c r="E480" s="397"/>
      <c r="F480" s="524"/>
      <c r="G480" s="445"/>
      <c r="H480" s="445"/>
      <c r="I480" s="445"/>
      <c r="J480" s="445"/>
      <c r="K480" s="445"/>
      <c r="L480" s="445"/>
      <c r="M480" s="445"/>
      <c r="N480" s="445"/>
      <c r="O480" s="445"/>
      <c r="P480" s="445"/>
      <c r="Q480" s="445"/>
    </row>
    <row r="481" spans="1:17" s="360" customFormat="1">
      <c r="A481" s="437" t="s">
        <v>628</v>
      </c>
      <c r="B481" s="376" t="s">
        <v>629</v>
      </c>
      <c r="C481" s="376"/>
      <c r="D481" s="438"/>
      <c r="E481" s="438"/>
      <c r="F481" s="372" t="s">
        <v>488</v>
      </c>
      <c r="G481" s="372" t="s">
        <v>489</v>
      </c>
      <c r="H481" s="372" t="s">
        <v>490</v>
      </c>
      <c r="I481" s="372" t="s">
        <v>491</v>
      </c>
      <c r="J481" s="372" t="s">
        <v>492</v>
      </c>
      <c r="K481" s="372" t="s">
        <v>493</v>
      </c>
      <c r="L481" s="372" t="s">
        <v>494</v>
      </c>
      <c r="M481" s="372" t="s">
        <v>495</v>
      </c>
      <c r="N481" s="372" t="s">
        <v>496</v>
      </c>
      <c r="O481" s="372" t="s">
        <v>497</v>
      </c>
      <c r="P481" s="372" t="s">
        <v>498</v>
      </c>
      <c r="Q481" s="372" t="s">
        <v>499</v>
      </c>
    </row>
    <row r="482" spans="1:17" s="360" customFormat="1">
      <c r="A482" s="558"/>
      <c r="B482" s="544" t="s">
        <v>590</v>
      </c>
      <c r="C482" s="544"/>
      <c r="D482" s="544" t="s">
        <v>630</v>
      </c>
      <c r="E482" s="544"/>
      <c r="F482" s="549"/>
      <c r="G482" s="541"/>
      <c r="H482" s="541"/>
      <c r="I482" s="541"/>
      <c r="J482" s="541"/>
      <c r="K482" s="541"/>
      <c r="L482" s="541"/>
      <c r="M482" s="541"/>
      <c r="N482" s="541"/>
      <c r="O482" s="541"/>
      <c r="P482" s="541"/>
      <c r="Q482" s="541"/>
    </row>
    <row r="483" spans="1:17" s="360" customFormat="1">
      <c r="A483" s="485"/>
      <c r="B483" s="429"/>
      <c r="C483" s="429"/>
      <c r="D483" s="397"/>
      <c r="E483" s="397"/>
      <c r="F483" s="524"/>
      <c r="G483" s="445"/>
      <c r="H483" s="445"/>
      <c r="I483" s="445"/>
      <c r="J483" s="445"/>
      <c r="K483" s="445"/>
      <c r="L483" s="445"/>
      <c r="M483" s="445"/>
      <c r="N483" s="445"/>
      <c r="O483" s="445"/>
      <c r="P483" s="445"/>
      <c r="Q483" s="445"/>
    </row>
  </sheetData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5F33AB55D4C32428B0185C3015CD415" ma:contentTypeVersion="3" ma:contentTypeDescription="Create a new document." ma:contentTypeScope="" ma:versionID="ecd092494d94b9c5afa01149f09c00bb">
  <xsd:schema xmlns:xsd="http://www.w3.org/2001/XMLSchema" xmlns:xs="http://www.w3.org/2001/XMLSchema" xmlns:p="http://schemas.microsoft.com/office/2006/metadata/properties" xmlns:ns2="543c1bda-7ab4-496b-90de-e61f6375a792" targetNamespace="http://schemas.microsoft.com/office/2006/metadata/properties" ma:root="true" ma:fieldsID="c3289f7d8f8ce0911a9bc9aa4db0a163" ns2:_="">
    <xsd:import namespace="543c1bda-7ab4-496b-90de-e61f6375a7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43c1bda-7ab4-496b-90de-e61f6375a79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38AB8DC-37FE-4FC9-A449-8FEEE1FA64D2}">
  <ds:schemaRefs>
    <ds:schemaRef ds:uri="http://schemas.microsoft.com/office/2006/metadata/properties"/>
    <ds:schemaRef ds:uri="http://purl.org/dc/dcmitype/"/>
    <ds:schemaRef ds:uri="543c1bda-7ab4-496b-90de-e61f6375a792"/>
    <ds:schemaRef ds:uri="http://purl.org/dc/elements/1.1/"/>
    <ds:schemaRef ds:uri="http://purl.org/dc/terms/"/>
    <ds:schemaRef ds:uri="http://www.w3.org/XML/1998/namespac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</ds:schemaRefs>
</ds:datastoreItem>
</file>

<file path=customXml/itemProps2.xml><?xml version="1.0" encoding="utf-8"?>
<ds:datastoreItem xmlns:ds="http://schemas.openxmlformats.org/officeDocument/2006/customXml" ds:itemID="{9FE03073-E41F-463D-B9BD-57EB165E48F2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A6AFD88B-F6EF-4B04-AADB-8C1B378E225E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43c1bda-7ab4-496b-90de-e61f6375a79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2</vt:i4>
      </vt:variant>
    </vt:vector>
  </HeadingPairs>
  <TitlesOfParts>
    <vt:vector size="14" baseType="lpstr">
      <vt:lpstr>Thong tin</vt:lpstr>
      <vt:lpstr>BIA</vt:lpstr>
      <vt:lpstr>Index</vt:lpstr>
      <vt:lpstr>THTC in</vt:lpstr>
      <vt:lpstr>KQKD in</vt:lpstr>
      <vt:lpstr>LCTT_GT in</vt:lpstr>
      <vt:lpstr>Tinh hinh tai chinh</vt:lpstr>
      <vt:lpstr>Ket qua kinh doanh</vt:lpstr>
      <vt:lpstr>Luu chuyen tien te</vt:lpstr>
      <vt:lpstr>KQKD theo yeu to</vt:lpstr>
      <vt:lpstr>No vay</vt:lpstr>
      <vt:lpstr>Giao dich voi BLQ</vt:lpstr>
      <vt:lpstr>'LCTT_GT in'!Print_Titles</vt:lpstr>
      <vt:lpstr>'THTC in'!Print_Titles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Thọ, Trần Hữu</dc:creator>
  <cp:keywords/>
  <dc:description/>
  <cp:lastModifiedBy>Cư, Lê Hoành</cp:lastModifiedBy>
  <cp:revision/>
  <dcterms:created xsi:type="dcterms:W3CDTF">2025-10-27T03:57:45Z</dcterms:created>
  <dcterms:modified xsi:type="dcterms:W3CDTF">2026-06-08T14:46:38Z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0x01010095F33AB55D4C32428B0185C3015CD415</vt:lpwstr>
  </property>
</Properties>
</file>