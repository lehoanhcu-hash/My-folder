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KQHĐKD\07. Báo cáo KQKD Quốc Gửi Team\"/>
    </mc:Choice>
  </mc:AlternateContent>
  <xr:revisionPtr revIDLastSave="0" documentId="13_ncr:1_{B3A99176-1E02-4D6E-94F5-2A9B02020B31}" xr6:coauthVersionLast="47" xr6:coauthVersionMax="47" xr10:uidLastSave="{00000000-0000-0000-0000-000000000000}"/>
  <bookViews>
    <workbookView xWindow="-110" yWindow="-110" windowWidth="19420" windowHeight="10300" xr2:uid="{75AE733B-985C-4F17-9AD3-4A26973FE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1" l="1"/>
  <c r="I32" i="1"/>
  <c r="D8" i="1"/>
</calcChain>
</file>

<file path=xl/sharedStrings.xml><?xml version="1.0" encoding="utf-8"?>
<sst xmlns="http://schemas.openxmlformats.org/spreadsheetml/2006/main" count="34" uniqueCount="32">
  <si>
    <t>Xử lý HTK</t>
  </si>
  <si>
    <t>KT KPMG</t>
  </si>
  <si>
    <t xml:space="preserve">HTK </t>
  </si>
  <si>
    <t>tỷ</t>
  </si>
  <si>
    <t>TGĐ</t>
  </si>
  <si>
    <t>GĐĐH TC</t>
  </si>
  <si>
    <t>Trích lập dự phòng</t>
  </si>
  <si>
    <t>Còn phải xử lý</t>
  </si>
  <si>
    <t xml:space="preserve">Đã trích </t>
  </si>
  <si>
    <t>Vốn lưu động</t>
  </si>
  <si>
    <t>1. Kiểm soát thu AR</t>
  </si>
  <si>
    <t>2. Kiểm soát và tăng thời hạn phải trả</t>
  </si>
  <si>
    <t>3. Vốn ứng từ khách hàng</t>
  </si>
  <si>
    <t>4. Hoàn thuế</t>
  </si>
  <si>
    <t>Vay mua TSCĐ từ TNHH</t>
  </si>
  <si>
    <t>Lãi vay : 4.3% NH rất tốt trên thị trường</t>
  </si>
  <si>
    <t>Lợi nhuận thấp</t>
  </si>
  <si>
    <t>Giá thành</t>
  </si>
  <si>
    <t>%</t>
  </si>
  <si>
    <t>Giá chai</t>
  </si>
  <si>
    <t xml:space="preserve">Phó sản </t>
  </si>
  <si>
    <t>By product: hàng nhảy cấp giá tri</t>
  </si>
  <si>
    <t>Giá mua</t>
  </si>
  <si>
    <t>*</t>
  </si>
  <si>
    <t>***</t>
  </si>
  <si>
    <t>****</t>
  </si>
  <si>
    <t>Báo cáo tháng 1 có rolling FC</t>
  </si>
  <si>
    <t xml:space="preserve">Giá thành </t>
  </si>
  <si>
    <t>Chi phí</t>
  </si>
  <si>
    <t>Thiết lập mức tồn kho các loại</t>
  </si>
  <si>
    <t>5. Trả tiền máy : Vay  Vietin</t>
  </si>
  <si>
    <t>Vảy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</si>
</sst>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28F7-8948-4F37-BAA6-142719B818BF}">
  <dimension ref="A1:J46"/>
  <sheetViews>
    <sheetView tabSelected="1" topLeftCell="A34" workbookViewId="0">
      <selection activeCell="C43" sqref="C43"/>
    </sheetView>
  </sheetViews>
  <sheetFormatPr defaultRowHeight="14.5" x14ac:dyDescent="0.35"/>
  <cols>
    <col min="3" max="3" width="32.36328125" customWidth="1"/>
    <col min="6" max="6" width="18" customWidth="1"/>
  </cols>
  <sheetData>
    <row r="1" spans="1:6" x14ac:dyDescent="0.35">
      <c r="B1" t="s">
        <v>4</v>
      </c>
      <c r="C1" t="s">
        <v>5</v>
      </c>
    </row>
    <row r="3" spans="1:6" x14ac:dyDescent="0.35">
      <c r="B3">
        <v>1</v>
      </c>
      <c r="C3" t="s">
        <v>0</v>
      </c>
      <c r="D3">
        <v>14</v>
      </c>
    </row>
    <row r="6" spans="1:6" x14ac:dyDescent="0.35">
      <c r="A6" t="s">
        <v>1</v>
      </c>
      <c r="B6">
        <v>2</v>
      </c>
      <c r="C6" t="s">
        <v>2</v>
      </c>
      <c r="D6">
        <v>20</v>
      </c>
      <c r="E6" t="s">
        <v>3</v>
      </c>
      <c r="F6" t="s">
        <v>6</v>
      </c>
    </row>
    <row r="7" spans="1:6" x14ac:dyDescent="0.35">
      <c r="B7">
        <v>3</v>
      </c>
      <c r="C7" t="s">
        <v>8</v>
      </c>
      <c r="D7">
        <v>13.5</v>
      </c>
    </row>
    <row r="8" spans="1:6" x14ac:dyDescent="0.35">
      <c r="B8">
        <v>4</v>
      </c>
      <c r="C8" t="s">
        <v>7</v>
      </c>
      <c r="D8">
        <f>D6-D7</f>
        <v>6.5</v>
      </c>
    </row>
    <row r="11" spans="1:6" x14ac:dyDescent="0.35">
      <c r="C11" s="1" t="s">
        <v>9</v>
      </c>
    </row>
    <row r="12" spans="1:6" x14ac:dyDescent="0.35">
      <c r="C12" t="s">
        <v>10</v>
      </c>
    </row>
    <row r="14" spans="1:6" x14ac:dyDescent="0.35">
      <c r="C14" t="s">
        <v>11</v>
      </c>
    </row>
    <row r="16" spans="1:6" x14ac:dyDescent="0.35">
      <c r="C16" t="s">
        <v>12</v>
      </c>
    </row>
    <row r="18" spans="2:10" x14ac:dyDescent="0.35">
      <c r="C18" t="s">
        <v>13</v>
      </c>
    </row>
    <row r="20" spans="2:10" x14ac:dyDescent="0.35">
      <c r="C20" t="s">
        <v>30</v>
      </c>
    </row>
    <row r="23" spans="2:10" x14ac:dyDescent="0.35">
      <c r="B23">
        <v>5</v>
      </c>
      <c r="C23" t="s">
        <v>14</v>
      </c>
    </row>
    <row r="25" spans="2:10" x14ac:dyDescent="0.35">
      <c r="B25">
        <v>6</v>
      </c>
      <c r="C25" t="s">
        <v>15</v>
      </c>
    </row>
    <row r="28" spans="2:10" x14ac:dyDescent="0.35">
      <c r="B28" t="s">
        <v>4</v>
      </c>
      <c r="C28" t="s">
        <v>16</v>
      </c>
    </row>
    <row r="29" spans="2:10" x14ac:dyDescent="0.35">
      <c r="E29" t="s">
        <v>18</v>
      </c>
      <c r="F29" t="s">
        <v>18</v>
      </c>
    </row>
    <row r="30" spans="2:10" x14ac:dyDescent="0.35">
      <c r="C30" t="s">
        <v>17</v>
      </c>
      <c r="E30">
        <v>100</v>
      </c>
      <c r="F30">
        <v>100</v>
      </c>
    </row>
    <row r="32" spans="2:10" x14ac:dyDescent="0.35">
      <c r="C32" t="s">
        <v>31</v>
      </c>
      <c r="E32" s="2">
        <v>0.62</v>
      </c>
      <c r="G32">
        <v>16300</v>
      </c>
      <c r="I32">
        <f>E32*G32</f>
        <v>10106</v>
      </c>
      <c r="J32">
        <f>I32/26100</f>
        <v>0.38720306513409963</v>
      </c>
    </row>
    <row r="34" spans="2:7" x14ac:dyDescent="0.35">
      <c r="C34" t="s">
        <v>19</v>
      </c>
      <c r="F34" s="2">
        <v>0.46</v>
      </c>
      <c r="G34">
        <v>10000</v>
      </c>
    </row>
    <row r="37" spans="2:7" x14ac:dyDescent="0.35">
      <c r="B37" t="s">
        <v>23</v>
      </c>
      <c r="C37" t="s">
        <v>20</v>
      </c>
    </row>
    <row r="38" spans="2:7" x14ac:dyDescent="0.35">
      <c r="B38" t="s">
        <v>24</v>
      </c>
      <c r="C38" t="s">
        <v>21</v>
      </c>
    </row>
    <row r="40" spans="2:7" x14ac:dyDescent="0.35">
      <c r="B40" t="s">
        <v>25</v>
      </c>
      <c r="C40" t="s">
        <v>22</v>
      </c>
    </row>
    <row r="43" spans="2:7" x14ac:dyDescent="0.35">
      <c r="C43" t="s">
        <v>26</v>
      </c>
    </row>
    <row r="44" spans="2:7" x14ac:dyDescent="0.35">
      <c r="C44" t="s">
        <v>27</v>
      </c>
    </row>
    <row r="45" spans="2:7" x14ac:dyDescent="0.35">
      <c r="C45" t="s">
        <v>28</v>
      </c>
    </row>
    <row r="46" spans="2:7" x14ac:dyDescent="0.35">
      <c r="C4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Cư, Lê Hoành</dc:creator>
  <cp:lastModifiedBy>Cư, Lê Hoành</cp:lastModifiedBy>
  <dcterms:created xsi:type="dcterms:W3CDTF">2026-01-12T08:26:35Z</dcterms:created>
  <dcterms:modified xsi:type="dcterms:W3CDTF">2026-01-27T12:11:12Z</dcterms:modified>
</cp:coreProperties>
</file>