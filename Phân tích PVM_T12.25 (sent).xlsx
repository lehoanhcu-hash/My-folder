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ml.chartshapes+xml"/>
  <Override PartName="/xl/charts/chart16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ml.chartshapes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danhhd_duytanrecycling_com/Documents/Work/Accounting/2025/Tháng 12/"/>
    </mc:Choice>
  </mc:AlternateContent>
  <xr:revisionPtr revIDLastSave="3183" documentId="8_{B24DDD30-13BB-4849-BE5B-2F56256A5683}" xr6:coauthVersionLast="47" xr6:coauthVersionMax="47" xr10:uidLastSave="{0C6CA52D-9FCC-4AF8-B24D-ED1F5B6631B0}"/>
  <bookViews>
    <workbookView xWindow="-120" yWindow="-120" windowWidth="29040" windowHeight="15720" tabRatio="890" firstSheet="1" activeTab="1" xr2:uid="{04F2CB0D-BF99-408C-AF7F-C7B3D4D73C10}"/>
  </bookViews>
  <sheets>
    <sheet name="Mth" sheetId="10" state="hidden" r:id="rId1"/>
    <sheet name="S6" sheetId="2" r:id="rId2"/>
    <sheet name="S7" sheetId="1" r:id="rId3"/>
    <sheet name="S8" sheetId="3" r:id="rId4"/>
    <sheet name="BĐ-LG EXW-v2" sheetId="4" state="hidden" r:id="rId5"/>
    <sheet name="S10" sheetId="11" r:id="rId6"/>
    <sheet name="Giải trình" sheetId="8" r:id="rId7"/>
  </sheets>
  <definedNames>
    <definedName name="mth">Mth!$B$2</definedName>
    <definedName name="year">Mth!$B$1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3" i="3" l="1"/>
  <c r="Q92" i="3"/>
  <c r="Q91" i="3"/>
  <c r="Q90" i="3"/>
  <c r="Q89" i="3"/>
  <c r="P93" i="3"/>
  <c r="P92" i="3"/>
  <c r="P91" i="3"/>
  <c r="P90" i="3"/>
  <c r="C11" i="8" l="1"/>
  <c r="D11" i="8" s="1"/>
  <c r="D10" i="8"/>
  <c r="D9" i="8"/>
  <c r="J23" i="11" l="1"/>
  <c r="I23" i="11"/>
  <c r="J22" i="11"/>
  <c r="I22" i="11"/>
  <c r="J21" i="11"/>
  <c r="I21" i="11"/>
  <c r="J20" i="11"/>
  <c r="I20" i="11"/>
  <c r="J19" i="11"/>
  <c r="I19" i="11"/>
  <c r="J18" i="11"/>
  <c r="I18" i="11"/>
  <c r="J17" i="11"/>
  <c r="I17" i="11"/>
  <c r="E23" i="11"/>
  <c r="D23" i="11"/>
  <c r="E22" i="11"/>
  <c r="D22" i="11"/>
  <c r="E21" i="11"/>
  <c r="D21" i="11"/>
  <c r="E20" i="11"/>
  <c r="D20" i="11"/>
  <c r="E19" i="11"/>
  <c r="D19" i="11"/>
  <c r="E18" i="11"/>
  <c r="D18" i="11"/>
  <c r="E17" i="11"/>
  <c r="D17" i="11"/>
  <c r="A24" i="11" l="1"/>
  <c r="A15" i="11"/>
  <c r="D10" i="11"/>
  <c r="E10" i="11" s="1"/>
  <c r="D9" i="11"/>
  <c r="E9" i="11" s="1"/>
  <c r="D8" i="11"/>
  <c r="G21" i="11" s="1"/>
  <c r="D7" i="11"/>
  <c r="E7" i="11" s="1"/>
  <c r="D6" i="11"/>
  <c r="G19" i="11" s="1"/>
  <c r="D5" i="11"/>
  <c r="E5" i="11" s="1"/>
  <c r="D4" i="11"/>
  <c r="E4" i="11" s="1"/>
  <c r="G18" i="11" l="1"/>
  <c r="G22" i="11"/>
  <c r="G23" i="11"/>
  <c r="G17" i="11"/>
  <c r="G20" i="11"/>
  <c r="E6" i="11"/>
  <c r="E8" i="11"/>
  <c r="A13" i="8" l="1"/>
  <c r="G85" i="3" l="1"/>
  <c r="G31" i="3" l="1"/>
  <c r="C31" i="3" l="1"/>
  <c r="A7" i="8" l="1"/>
  <c r="I17" i="1" l="1"/>
  <c r="G20" i="1"/>
  <c r="Q38" i="1" l="1"/>
  <c r="G27" i="3"/>
  <c r="C28" i="2"/>
  <c r="Q26" i="1"/>
  <c r="A98" i="4"/>
  <c r="B139" i="4" s="1"/>
  <c r="A79" i="4"/>
  <c r="B133" i="4" s="1"/>
  <c r="A22" i="3"/>
  <c r="A83" i="3" s="1"/>
  <c r="A3" i="3"/>
  <c r="A69" i="3" s="1"/>
  <c r="A68" i="2"/>
  <c r="A49" i="2"/>
  <c r="C18" i="2"/>
  <c r="B18" i="2"/>
  <c r="C17" i="2"/>
  <c r="B17" i="2"/>
  <c r="C16" i="2"/>
  <c r="B16" i="2"/>
  <c r="C15" i="2"/>
  <c r="B15" i="2"/>
  <c r="C14" i="2"/>
  <c r="B14" i="2"/>
  <c r="D39" i="2"/>
  <c r="E39" i="2" s="1"/>
  <c r="C28" i="4" l="1"/>
  <c r="B109" i="2"/>
  <c r="B103" i="2"/>
  <c r="H83" i="3" l="1"/>
  <c r="C58" i="4"/>
  <c r="P85" i="3"/>
  <c r="P47" i="1"/>
  <c r="B12" i="2" s="1"/>
  <c r="Q44" i="1"/>
  <c r="P43" i="1"/>
  <c r="B8" i="2" s="1"/>
  <c r="Q43" i="1"/>
  <c r="Q47" i="1"/>
  <c r="P83" i="3"/>
  <c r="Q84" i="3"/>
  <c r="Q45" i="1"/>
  <c r="Q86" i="3"/>
  <c r="P87" i="3"/>
  <c r="P86" i="3"/>
  <c r="Q83" i="3"/>
  <c r="P46" i="1"/>
  <c r="B11" i="2" s="1"/>
  <c r="P84" i="3"/>
  <c r="P45" i="1"/>
  <c r="B10" i="2" s="1"/>
  <c r="Q87" i="3"/>
  <c r="Q85" i="3"/>
  <c r="Q46" i="1"/>
  <c r="P44" i="1"/>
  <c r="B9" i="2" s="1"/>
  <c r="A6" i="8"/>
  <c r="A5" i="8"/>
  <c r="A4" i="8"/>
  <c r="C10" i="2" l="1"/>
  <c r="T45" i="1"/>
  <c r="C12" i="2"/>
  <c r="T47" i="1"/>
  <c r="C8" i="2"/>
  <c r="T43" i="1"/>
  <c r="C9" i="2"/>
  <c r="T44" i="1"/>
  <c r="C11" i="2"/>
  <c r="T46" i="1"/>
  <c r="R85" i="3"/>
  <c r="S85" i="3" s="1"/>
  <c r="R43" i="1"/>
  <c r="S43" i="1" s="1"/>
  <c r="R47" i="1"/>
  <c r="S47" i="1" s="1"/>
  <c r="P48" i="1"/>
  <c r="R84" i="3"/>
  <c r="S84" i="3" s="1"/>
  <c r="R45" i="1"/>
  <c r="S45" i="1" s="1"/>
  <c r="R46" i="1"/>
  <c r="S46" i="1" s="1"/>
  <c r="R87" i="3"/>
  <c r="S87" i="3" s="1"/>
  <c r="R83" i="3"/>
  <c r="S83" i="3" s="1"/>
  <c r="R86" i="3"/>
  <c r="S86" i="3" s="1"/>
  <c r="Q48" i="1"/>
  <c r="R44" i="1"/>
  <c r="S44" i="1" s="1"/>
  <c r="T48" i="1" l="1"/>
  <c r="R48" i="1"/>
  <c r="S48" i="1" s="1"/>
  <c r="AI24" i="3"/>
  <c r="C69" i="4" l="1"/>
  <c r="B69" i="4"/>
  <c r="C74" i="4"/>
  <c r="B74" i="4"/>
  <c r="C73" i="4"/>
  <c r="B73" i="4"/>
  <c r="C72" i="4"/>
  <c r="B72" i="4"/>
  <c r="C71" i="4"/>
  <c r="B71" i="4"/>
  <c r="C70" i="4"/>
  <c r="B70" i="4"/>
  <c r="C67" i="4"/>
  <c r="B67" i="4"/>
  <c r="F54" i="4" s="1"/>
  <c r="C66" i="4"/>
  <c r="B66" i="4"/>
  <c r="F53" i="4" s="1"/>
  <c r="C65" i="4"/>
  <c r="B65" i="4"/>
  <c r="C64" i="4"/>
  <c r="B64" i="4"/>
  <c r="C63" i="4"/>
  <c r="B63" i="4"/>
  <c r="B8" i="4"/>
  <c r="C8" i="4"/>
  <c r="B9" i="4"/>
  <c r="B40" i="4" s="1"/>
  <c r="C9" i="4"/>
  <c r="B10" i="4"/>
  <c r="B41" i="4" s="1"/>
  <c r="C10" i="4"/>
  <c r="B11" i="4"/>
  <c r="B42" i="4" s="1"/>
  <c r="C11" i="4"/>
  <c r="C42" i="4" s="1"/>
  <c r="B12" i="4"/>
  <c r="B43" i="4" s="1"/>
  <c r="C12" i="4"/>
  <c r="C43" i="4" s="1"/>
  <c r="D13" i="4"/>
  <c r="B14" i="4"/>
  <c r="C14" i="4"/>
  <c r="B15" i="4"/>
  <c r="C15" i="4"/>
  <c r="B16" i="4"/>
  <c r="C16" i="4"/>
  <c r="B17" i="4"/>
  <c r="C17" i="4"/>
  <c r="B18" i="4"/>
  <c r="C18" i="4"/>
  <c r="B25" i="4"/>
  <c r="B55" i="4" s="1"/>
  <c r="C25" i="4"/>
  <c r="C55" i="4" s="1"/>
  <c r="B26" i="4"/>
  <c r="B56" i="4" s="1"/>
  <c r="C26" i="4"/>
  <c r="C56" i="4" s="1"/>
  <c r="B27" i="4"/>
  <c r="B57" i="4" s="1"/>
  <c r="C27" i="4"/>
  <c r="D32" i="4"/>
  <c r="D33" i="4"/>
  <c r="D34" i="4"/>
  <c r="D35" i="4"/>
  <c r="D36" i="4"/>
  <c r="H53" i="3"/>
  <c r="B7" i="2"/>
  <c r="F8" i="2" s="1"/>
  <c r="C7" i="2"/>
  <c r="G8" i="2" s="1"/>
  <c r="V8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B20" i="2"/>
  <c r="C20" i="2"/>
  <c r="N8" i="2" s="1"/>
  <c r="B21" i="2"/>
  <c r="C21" i="2"/>
  <c r="N9" i="2" s="1"/>
  <c r="B22" i="2"/>
  <c r="C22" i="2"/>
  <c r="N10" i="2" s="1"/>
  <c r="B23" i="2"/>
  <c r="C23" i="2"/>
  <c r="N11" i="2" s="1"/>
  <c r="B24" i="2"/>
  <c r="C24" i="2"/>
  <c r="N12" i="2" s="1"/>
  <c r="D25" i="2"/>
  <c r="O25" i="2" s="1"/>
  <c r="Q25" i="2" s="1"/>
  <c r="D26" i="2"/>
  <c r="O26" i="2" s="1"/>
  <c r="Q26" i="2" s="1"/>
  <c r="D27" i="2"/>
  <c r="O27" i="2" s="1"/>
  <c r="Q27" i="2" s="1"/>
  <c r="D33" i="2"/>
  <c r="D34" i="2"/>
  <c r="D35" i="2"/>
  <c r="D36" i="2"/>
  <c r="D37" i="2"/>
  <c r="G52" i="4" l="1"/>
  <c r="N53" i="4"/>
  <c r="E23" i="2"/>
  <c r="F23" i="2" s="1"/>
  <c r="E20" i="2"/>
  <c r="F20" i="2" s="1"/>
  <c r="E24" i="2"/>
  <c r="F24" i="2" s="1"/>
  <c r="E21" i="2"/>
  <c r="F21" i="2" s="1"/>
  <c r="E22" i="2"/>
  <c r="F22" i="2" s="1"/>
  <c r="D67" i="4"/>
  <c r="M24" i="4" s="1"/>
  <c r="O29" i="2"/>
  <c r="H66" i="2" s="1"/>
  <c r="D56" i="4"/>
  <c r="F52" i="4"/>
  <c r="D27" i="4"/>
  <c r="O27" i="4" s="1"/>
  <c r="Q27" i="4" s="1"/>
  <c r="G50" i="4"/>
  <c r="F50" i="4"/>
  <c r="F51" i="4"/>
  <c r="D65" i="4"/>
  <c r="M22" i="4" s="1"/>
  <c r="D64" i="4"/>
  <c r="M21" i="4" s="1"/>
  <c r="M9" i="2"/>
  <c r="E34" i="2"/>
  <c r="D66" i="4"/>
  <c r="M53" i="4" s="1"/>
  <c r="D63" i="4"/>
  <c r="M20" i="4" s="1"/>
  <c r="M12" i="2"/>
  <c r="E37" i="2"/>
  <c r="M8" i="2"/>
  <c r="E33" i="2"/>
  <c r="M11" i="2"/>
  <c r="E36" i="2"/>
  <c r="M10" i="2"/>
  <c r="E35" i="2"/>
  <c r="D10" i="4"/>
  <c r="N52" i="4"/>
  <c r="D11" i="4"/>
  <c r="C41" i="4"/>
  <c r="C22" i="4"/>
  <c r="B23" i="4"/>
  <c r="B53" i="4" s="1"/>
  <c r="B22" i="4"/>
  <c r="B52" i="4" s="1"/>
  <c r="B19" i="2"/>
  <c r="G51" i="4"/>
  <c r="G54" i="4"/>
  <c r="G53" i="4"/>
  <c r="F12" i="2"/>
  <c r="U12" i="2" s="1"/>
  <c r="G12" i="2"/>
  <c r="V12" i="2" s="1"/>
  <c r="N51" i="4"/>
  <c r="G11" i="2"/>
  <c r="V11" i="2" s="1"/>
  <c r="G10" i="2"/>
  <c r="V10" i="2" s="1"/>
  <c r="B21" i="4"/>
  <c r="B51" i="4" s="1"/>
  <c r="C24" i="4"/>
  <c r="N54" i="4"/>
  <c r="C23" i="4"/>
  <c r="D26" i="4"/>
  <c r="O26" i="4" s="1"/>
  <c r="Q26" i="4" s="1"/>
  <c r="C57" i="4"/>
  <c r="D57" i="4" s="1"/>
  <c r="W75" i="3"/>
  <c r="X75" i="3" s="1"/>
  <c r="W13" i="1"/>
  <c r="X13" i="1" s="1"/>
  <c r="R8" i="3"/>
  <c r="Q73" i="3"/>
  <c r="Q23" i="1"/>
  <c r="AF10" i="1"/>
  <c r="Q34" i="1"/>
  <c r="AH10" i="1"/>
  <c r="R10" i="1"/>
  <c r="W79" i="3"/>
  <c r="X79" i="3" s="1"/>
  <c r="P73" i="3"/>
  <c r="AE10" i="1"/>
  <c r="AO13" i="3" s="1"/>
  <c r="P23" i="1"/>
  <c r="P34" i="1"/>
  <c r="Q35" i="1"/>
  <c r="AF12" i="1"/>
  <c r="AH12" i="1"/>
  <c r="R12" i="1"/>
  <c r="Q24" i="1"/>
  <c r="R76" i="3"/>
  <c r="W17" i="1"/>
  <c r="X17" i="1" s="1"/>
  <c r="AH13" i="3"/>
  <c r="R7" i="1"/>
  <c r="W5" i="1"/>
  <c r="W77" i="3"/>
  <c r="X77" i="3" s="1"/>
  <c r="W11" i="3"/>
  <c r="X11" i="3" s="1"/>
  <c r="W5" i="3"/>
  <c r="Q79" i="3"/>
  <c r="R17" i="3"/>
  <c r="P77" i="3"/>
  <c r="R11" i="1"/>
  <c r="W9" i="1"/>
  <c r="X9" i="1" s="1"/>
  <c r="Q21" i="1"/>
  <c r="Q32" i="1"/>
  <c r="AF6" i="1"/>
  <c r="R6" i="1"/>
  <c r="AH6" i="1"/>
  <c r="P32" i="1"/>
  <c r="P21" i="1"/>
  <c r="AE6" i="1"/>
  <c r="AO7" i="3" s="1"/>
  <c r="R78" i="3"/>
  <c r="W14" i="3"/>
  <c r="X14" i="3" s="1"/>
  <c r="R12" i="3"/>
  <c r="J17" i="1"/>
  <c r="W22" i="3"/>
  <c r="X22" i="3" s="1"/>
  <c r="R16" i="3"/>
  <c r="AI16" i="3"/>
  <c r="AM16" i="3"/>
  <c r="AM7" i="3"/>
  <c r="R7" i="3"/>
  <c r="AI7" i="3"/>
  <c r="R70" i="3"/>
  <c r="P71" i="3"/>
  <c r="P89" i="3" s="1"/>
  <c r="P35" i="1"/>
  <c r="P24" i="1"/>
  <c r="AE12" i="1"/>
  <c r="AO16" i="3" s="1"/>
  <c r="W7" i="1"/>
  <c r="X7" i="1" s="1"/>
  <c r="R5" i="1"/>
  <c r="W71" i="3"/>
  <c r="X71" i="3" s="1"/>
  <c r="AH16" i="3"/>
  <c r="P20" i="1"/>
  <c r="AE4" i="1"/>
  <c r="AO4" i="3" s="1"/>
  <c r="P31" i="1"/>
  <c r="R74" i="3"/>
  <c r="R18" i="3"/>
  <c r="R14" i="3"/>
  <c r="AB13" i="3" s="1"/>
  <c r="Q77" i="3"/>
  <c r="R11" i="3"/>
  <c r="Q75" i="3"/>
  <c r="R6" i="3"/>
  <c r="R9" i="1"/>
  <c r="W83" i="3"/>
  <c r="X83" i="3" s="1"/>
  <c r="R72" i="3"/>
  <c r="W17" i="3"/>
  <c r="X17" i="3" s="1"/>
  <c r="R15" i="3"/>
  <c r="W8" i="3"/>
  <c r="X8" i="3" s="1"/>
  <c r="W11" i="1"/>
  <c r="X11" i="1" s="1"/>
  <c r="R8" i="1"/>
  <c r="AF8" i="1"/>
  <c r="AH8" i="1"/>
  <c r="Q22" i="1"/>
  <c r="Q33" i="1"/>
  <c r="C3" i="1"/>
  <c r="P75" i="3"/>
  <c r="P33" i="1"/>
  <c r="AE8" i="1"/>
  <c r="AO10" i="3" s="1"/>
  <c r="P22" i="1"/>
  <c r="Q71" i="3"/>
  <c r="R5" i="3"/>
  <c r="P79" i="3"/>
  <c r="R9" i="3"/>
  <c r="R13" i="1"/>
  <c r="AM10" i="3"/>
  <c r="R10" i="3"/>
  <c r="AI10" i="3"/>
  <c r="AH7" i="3"/>
  <c r="AI4" i="3"/>
  <c r="AM4" i="3"/>
  <c r="R4" i="3"/>
  <c r="Q31" i="1"/>
  <c r="R4" i="1"/>
  <c r="Q20" i="1"/>
  <c r="AF4" i="1"/>
  <c r="AH4" i="1"/>
  <c r="W73" i="3"/>
  <c r="X73" i="3" s="1"/>
  <c r="R13" i="3"/>
  <c r="AM13" i="3"/>
  <c r="AI13" i="3"/>
  <c r="AH10" i="3"/>
  <c r="AH4" i="3"/>
  <c r="H8" i="2"/>
  <c r="U8" i="2"/>
  <c r="F9" i="2"/>
  <c r="F10" i="2"/>
  <c r="F11" i="2"/>
  <c r="D8" i="4"/>
  <c r="C20" i="4"/>
  <c r="N50" i="4"/>
  <c r="C7" i="4"/>
  <c r="C39" i="4"/>
  <c r="B20" i="4"/>
  <c r="B39" i="4"/>
  <c r="B38" i="4" s="1"/>
  <c r="B47" i="4" s="1"/>
  <c r="B7" i="4"/>
  <c r="F8" i="4" s="1"/>
  <c r="D12" i="4"/>
  <c r="B24" i="4"/>
  <c r="B54" i="4" s="1"/>
  <c r="D7" i="2"/>
  <c r="E7" i="2" s="1"/>
  <c r="G9" i="2"/>
  <c r="V9" i="2" s="1"/>
  <c r="D25" i="4"/>
  <c r="C4" i="2"/>
  <c r="C19" i="2"/>
  <c r="C29" i="2" s="1"/>
  <c r="G33" i="3" s="1"/>
  <c r="C40" i="4"/>
  <c r="D9" i="4"/>
  <c r="C21" i="4"/>
  <c r="D55" i="4"/>
  <c r="P55" i="4" s="1"/>
  <c r="D24" i="4" l="1"/>
  <c r="N21" i="4"/>
  <c r="O51" i="4" s="1"/>
  <c r="V51" i="4" s="1"/>
  <c r="D21" i="4"/>
  <c r="N20" i="4"/>
  <c r="D20" i="4"/>
  <c r="D22" i="4"/>
  <c r="D23" i="4"/>
  <c r="B27" i="11"/>
  <c r="C20" i="1"/>
  <c r="U53" i="4"/>
  <c r="N22" i="4"/>
  <c r="O52" i="4" s="1"/>
  <c r="V52" i="4" s="1"/>
  <c r="N23" i="4"/>
  <c r="O53" i="4" s="1"/>
  <c r="V53" i="4" s="1"/>
  <c r="C54" i="4"/>
  <c r="D54" i="4" s="1"/>
  <c r="N24" i="4"/>
  <c r="O54" i="4" s="1"/>
  <c r="V54" i="4" s="1"/>
  <c r="X5" i="3"/>
  <c r="AD4" i="3"/>
  <c r="N29" i="2"/>
  <c r="H65" i="2" s="1"/>
  <c r="E65" i="2" s="1"/>
  <c r="N59" i="4"/>
  <c r="W55" i="4"/>
  <c r="P57" i="4"/>
  <c r="W57" i="4" s="1"/>
  <c r="M54" i="4"/>
  <c r="U54" i="4" s="1"/>
  <c r="P56" i="4"/>
  <c r="W56" i="4" s="1"/>
  <c r="M51" i="4"/>
  <c r="U51" i="4" s="1"/>
  <c r="M29" i="2"/>
  <c r="M52" i="4"/>
  <c r="U52" i="4" s="1"/>
  <c r="M23" i="4"/>
  <c r="M29" i="4" s="1"/>
  <c r="M50" i="4"/>
  <c r="B19" i="4"/>
  <c r="AC12" i="1"/>
  <c r="AI12" i="1" s="1"/>
  <c r="H12" i="2"/>
  <c r="I18" i="2" s="1"/>
  <c r="L12" i="2" s="1"/>
  <c r="B50" i="4"/>
  <c r="B49" i="4" s="1"/>
  <c r="C52" i="4"/>
  <c r="D52" i="4" s="1"/>
  <c r="F9" i="4"/>
  <c r="H9" i="4" s="1"/>
  <c r="O25" i="4"/>
  <c r="C53" i="4"/>
  <c r="D53" i="4" s="1"/>
  <c r="H8" i="4"/>
  <c r="H50" i="4" s="1"/>
  <c r="X5" i="1"/>
  <c r="AC4" i="1"/>
  <c r="R71" i="3"/>
  <c r="S71" i="3" s="1"/>
  <c r="AR4" i="3"/>
  <c r="AD16" i="3"/>
  <c r="AC78" i="3" s="1"/>
  <c r="R35" i="1"/>
  <c r="S35" i="1" s="1"/>
  <c r="R33" i="1"/>
  <c r="S33" i="1" s="1"/>
  <c r="R22" i="1"/>
  <c r="S22" i="1" s="1"/>
  <c r="R77" i="3"/>
  <c r="S77" i="3" s="1"/>
  <c r="AD13" i="3"/>
  <c r="AC76" i="3" s="1"/>
  <c r="AD7" i="3"/>
  <c r="AC72" i="3" s="1"/>
  <c r="R24" i="1"/>
  <c r="S24" i="1" s="1"/>
  <c r="AB12" i="1"/>
  <c r="M13" i="1" s="1"/>
  <c r="H13" i="1" s="1"/>
  <c r="S13" i="1"/>
  <c r="AB10" i="3"/>
  <c r="S11" i="3"/>
  <c r="I14" i="2"/>
  <c r="R31" i="1"/>
  <c r="S31" i="1" s="1"/>
  <c r="S9" i="3"/>
  <c r="AC7" i="3"/>
  <c r="S7" i="3"/>
  <c r="AA7" i="3"/>
  <c r="D19" i="2"/>
  <c r="C38" i="4"/>
  <c r="C47" i="4" s="1"/>
  <c r="AB6" i="1"/>
  <c r="M7" i="1" s="1"/>
  <c r="H7" i="1" s="1"/>
  <c r="S7" i="1"/>
  <c r="C4" i="4"/>
  <c r="G12" i="4"/>
  <c r="D7" i="4"/>
  <c r="E7" i="4" s="1"/>
  <c r="G11" i="4"/>
  <c r="G10" i="4"/>
  <c r="S4" i="3"/>
  <c r="AA4" i="3"/>
  <c r="AJ16" i="3"/>
  <c r="AK16" i="3" s="1"/>
  <c r="AA6" i="1"/>
  <c r="S6" i="1"/>
  <c r="AR13" i="3"/>
  <c r="AA10" i="1"/>
  <c r="S10" i="1"/>
  <c r="S18" i="3"/>
  <c r="AC16" i="3"/>
  <c r="AP7" i="3"/>
  <c r="AS7" i="3" s="1"/>
  <c r="AK6" i="1"/>
  <c r="AL6" i="1" s="1"/>
  <c r="AR10" i="3"/>
  <c r="AJ4" i="3"/>
  <c r="AK4" i="3" s="1"/>
  <c r="AB4" i="3"/>
  <c r="S5" i="3"/>
  <c r="AR16" i="3"/>
  <c r="S16" i="3"/>
  <c r="AA16" i="3"/>
  <c r="AC6" i="1"/>
  <c r="AI6" i="1" s="1"/>
  <c r="AC10" i="1"/>
  <c r="AI10" i="1" s="1"/>
  <c r="AK4" i="1"/>
  <c r="AL4" i="1" s="1"/>
  <c r="AP4" i="3"/>
  <c r="AS4" i="3" s="1"/>
  <c r="R20" i="1"/>
  <c r="S20" i="1" s="1"/>
  <c r="AA78" i="3"/>
  <c r="S78" i="3"/>
  <c r="S4" i="1"/>
  <c r="AA4" i="1"/>
  <c r="S14" i="3"/>
  <c r="S15" i="3"/>
  <c r="AC13" i="3"/>
  <c r="G8" i="4"/>
  <c r="AJ13" i="3"/>
  <c r="AK13" i="3" s="1"/>
  <c r="AR7" i="3"/>
  <c r="S72" i="3"/>
  <c r="AA72" i="3"/>
  <c r="R32" i="1"/>
  <c r="S32" i="1" s="1"/>
  <c r="R34" i="1"/>
  <c r="S34" i="1" s="1"/>
  <c r="S70" i="3"/>
  <c r="AA70" i="3"/>
  <c r="AJ7" i="3"/>
  <c r="AK7" i="3" s="1"/>
  <c r="AJ10" i="3"/>
  <c r="AK10" i="3" s="1"/>
  <c r="S5" i="1"/>
  <c r="AB4" i="1"/>
  <c r="M5" i="1" s="1"/>
  <c r="H5" i="1" s="1"/>
  <c r="R21" i="1"/>
  <c r="S21" i="1" s="1"/>
  <c r="S76" i="3"/>
  <c r="AA76" i="3"/>
  <c r="AP13" i="3"/>
  <c r="AS13" i="3" s="1"/>
  <c r="AK10" i="1"/>
  <c r="AL10" i="1" s="1"/>
  <c r="C51" i="4"/>
  <c r="D51" i="4" s="1"/>
  <c r="AK8" i="1"/>
  <c r="AL8" i="1" s="1"/>
  <c r="AP10" i="3"/>
  <c r="AS10" i="3" s="1"/>
  <c r="S8" i="1"/>
  <c r="AA8" i="1"/>
  <c r="S74" i="3"/>
  <c r="AA74" i="3"/>
  <c r="F66" i="2"/>
  <c r="E66" i="2"/>
  <c r="C19" i="4"/>
  <c r="C29" i="4" s="1"/>
  <c r="C50" i="4"/>
  <c r="U11" i="2"/>
  <c r="H11" i="2"/>
  <c r="I17" i="2" s="1"/>
  <c r="S10" i="3"/>
  <c r="AA10" i="3"/>
  <c r="S9" i="1"/>
  <c r="AB8" i="1"/>
  <c r="M9" i="1" s="1"/>
  <c r="H9" i="1" s="1"/>
  <c r="R23" i="1"/>
  <c r="S23" i="1" s="1"/>
  <c r="U10" i="2"/>
  <c r="H10" i="2"/>
  <c r="I16" i="2" s="1"/>
  <c r="AA13" i="3"/>
  <c r="M13" i="3" s="1" a="1"/>
  <c r="M13" i="3" s="1"/>
  <c r="S13" i="3"/>
  <c r="S11" i="1"/>
  <c r="AB10" i="1"/>
  <c r="M11" i="1" s="1"/>
  <c r="H11" i="1" s="1"/>
  <c r="R73" i="3"/>
  <c r="S73" i="3" s="1"/>
  <c r="H9" i="2"/>
  <c r="I15" i="2" s="1"/>
  <c r="U9" i="2"/>
  <c r="AD10" i="3"/>
  <c r="AC74" i="3" s="1"/>
  <c r="AC4" i="3"/>
  <c r="S6" i="3"/>
  <c r="AA12" i="1"/>
  <c r="S12" i="1"/>
  <c r="AB7" i="3"/>
  <c r="S8" i="3"/>
  <c r="AE17" i="1"/>
  <c r="AE15" i="1" s="1"/>
  <c r="AO20" i="3" s="1"/>
  <c r="AO22" i="3" s="1"/>
  <c r="AO23" i="3" s="1"/>
  <c r="AC10" i="3"/>
  <c r="S12" i="3"/>
  <c r="S17" i="3"/>
  <c r="AB16" i="3"/>
  <c r="G9" i="4"/>
  <c r="F11" i="4"/>
  <c r="H11" i="4" s="1"/>
  <c r="F10" i="4"/>
  <c r="H10" i="4" s="1"/>
  <c r="F12" i="4"/>
  <c r="H12" i="4" s="1"/>
  <c r="AC8" i="1"/>
  <c r="AI8" i="1" s="1"/>
  <c r="R75" i="3"/>
  <c r="S75" i="3" s="1"/>
  <c r="R79" i="3"/>
  <c r="S79" i="3" s="1"/>
  <c r="AP16" i="3"/>
  <c r="AS16" i="3" s="1"/>
  <c r="AK12" i="1"/>
  <c r="AL12" i="1" s="1"/>
  <c r="M19" i="3" l="1"/>
  <c r="H19" i="3" s="1"/>
  <c r="F65" i="2"/>
  <c r="M59" i="4"/>
  <c r="H107" i="2"/>
  <c r="E107" i="2" s="1"/>
  <c r="P38" i="1"/>
  <c r="R38" i="1" s="1"/>
  <c r="S38" i="1" s="1"/>
  <c r="C27" i="3"/>
  <c r="B28" i="2"/>
  <c r="P26" i="1"/>
  <c r="P59" i="4"/>
  <c r="W59" i="4"/>
  <c r="H96" i="4" s="1"/>
  <c r="F96" i="4" s="1"/>
  <c r="N29" i="4"/>
  <c r="U50" i="4"/>
  <c r="U59" i="4" s="1"/>
  <c r="Q25" i="4"/>
  <c r="O29" i="4"/>
  <c r="K12" i="2"/>
  <c r="AI4" i="1"/>
  <c r="Q36" i="1"/>
  <c r="I14" i="4"/>
  <c r="K20" i="4" s="1"/>
  <c r="H7" i="2"/>
  <c r="M14" i="1"/>
  <c r="H14" i="1" s="1"/>
  <c r="AN7" i="3"/>
  <c r="AN16" i="3"/>
  <c r="AN4" i="3"/>
  <c r="AB70" i="3"/>
  <c r="M70" i="3" s="1" a="1"/>
  <c r="AB72" i="3"/>
  <c r="M72" i="3" s="1" a="1"/>
  <c r="AN10" i="3"/>
  <c r="AB76" i="3"/>
  <c r="Z76" i="3" s="1"/>
  <c r="AE76" i="3" s="1"/>
  <c r="AN13" i="3"/>
  <c r="H51" i="4"/>
  <c r="I15" i="4"/>
  <c r="M10" i="1"/>
  <c r="Z10" i="1"/>
  <c r="E11" i="1"/>
  <c r="F11" i="1"/>
  <c r="I18" i="4"/>
  <c r="H54" i="4"/>
  <c r="I16" i="4"/>
  <c r="H52" i="4"/>
  <c r="M8" i="1"/>
  <c r="Z8" i="1"/>
  <c r="E9" i="1"/>
  <c r="F9" i="1"/>
  <c r="L9" i="2"/>
  <c r="K9" i="2"/>
  <c r="M16" i="3" a="1"/>
  <c r="Z16" i="3"/>
  <c r="AF16" i="3" s="1"/>
  <c r="Z10" i="3"/>
  <c r="AF10" i="3" s="1"/>
  <c r="M10" i="3" a="1"/>
  <c r="L11" i="2"/>
  <c r="K11" i="2"/>
  <c r="M4" i="1"/>
  <c r="Z4" i="1"/>
  <c r="M6" i="1"/>
  <c r="Z6" i="1"/>
  <c r="E7" i="1"/>
  <c r="F7" i="1"/>
  <c r="D50" i="4"/>
  <c r="C49" i="4"/>
  <c r="C59" i="4" s="1"/>
  <c r="K50" i="4"/>
  <c r="L50" i="4"/>
  <c r="O50" i="4"/>
  <c r="O59" i="4" s="1"/>
  <c r="AC70" i="3"/>
  <c r="M80" i="3" s="1"/>
  <c r="H7" i="4"/>
  <c r="D19" i="4"/>
  <c r="Z4" i="3"/>
  <c r="AF4" i="3" s="1"/>
  <c r="M4" i="3" a="1"/>
  <c r="H5" i="3" s="1"/>
  <c r="F5" i="1"/>
  <c r="E5" i="1"/>
  <c r="H28" i="1"/>
  <c r="I13" i="2"/>
  <c r="K8" i="2"/>
  <c r="L8" i="2"/>
  <c r="I17" i="4"/>
  <c r="H53" i="4"/>
  <c r="M12" i="1"/>
  <c r="Z12" i="1"/>
  <c r="Z13" i="3"/>
  <c r="AF13" i="3" s="1"/>
  <c r="AB74" i="3"/>
  <c r="Z74" i="3" s="1"/>
  <c r="AE74" i="3" s="1"/>
  <c r="L10" i="2"/>
  <c r="K10" i="2"/>
  <c r="M7" i="3" a="1"/>
  <c r="Z7" i="3"/>
  <c r="AF7" i="3" s="1"/>
  <c r="AB78" i="3"/>
  <c r="M78" i="3" s="1" a="1"/>
  <c r="E13" i="1"/>
  <c r="F13" i="1"/>
  <c r="F107" i="2" l="1"/>
  <c r="Q9" i="2"/>
  <c r="H50" i="2" a="1"/>
  <c r="H50" i="2" s="1"/>
  <c r="E96" i="4"/>
  <c r="P37" i="1"/>
  <c r="P39" i="1" s="1"/>
  <c r="Q10" i="2"/>
  <c r="Q11" i="2"/>
  <c r="R26" i="1"/>
  <c r="S26" i="1" s="1"/>
  <c r="P25" i="1"/>
  <c r="P27" i="1" s="1"/>
  <c r="D28" i="2"/>
  <c r="P28" i="2" s="1"/>
  <c r="P29" i="2" s="1"/>
  <c r="H67" i="2" s="1"/>
  <c r="B29" i="2"/>
  <c r="H62" i="2" a="1"/>
  <c r="F64" i="2" s="1"/>
  <c r="Q12" i="2"/>
  <c r="Q8" i="2"/>
  <c r="B28" i="4"/>
  <c r="H21" i="3"/>
  <c r="H82" i="3" s="1"/>
  <c r="K29" i="2"/>
  <c r="L29" i="2"/>
  <c r="R12" i="2"/>
  <c r="H80" i="3"/>
  <c r="L20" i="4"/>
  <c r="I13" i="4"/>
  <c r="M74" i="3" a="1"/>
  <c r="H75" i="3" s="1"/>
  <c r="Z72" i="3"/>
  <c r="AE72" i="3" s="1"/>
  <c r="M76" i="3" a="1"/>
  <c r="H77" i="3" s="1"/>
  <c r="H49" i="4"/>
  <c r="Z78" i="3"/>
  <c r="AE78" i="3" s="1"/>
  <c r="H6" i="1"/>
  <c r="L7" i="1"/>
  <c r="H14" i="3"/>
  <c r="H15" i="3"/>
  <c r="H13" i="3"/>
  <c r="T50" i="4"/>
  <c r="R11" i="2"/>
  <c r="H59" i="2" a="1"/>
  <c r="K54" i="4"/>
  <c r="S54" i="4" s="1"/>
  <c r="L54" i="4"/>
  <c r="T54" i="4" s="1"/>
  <c r="K24" i="4"/>
  <c r="L24" i="4"/>
  <c r="K53" i="4"/>
  <c r="S53" i="4" s="1"/>
  <c r="L53" i="4"/>
  <c r="T53" i="4" s="1"/>
  <c r="E19" i="3"/>
  <c r="F19" i="3"/>
  <c r="M16" i="3"/>
  <c r="H16" i="3" s="1"/>
  <c r="H18" i="3"/>
  <c r="H17" i="3"/>
  <c r="M70" i="3"/>
  <c r="H70" i="3" s="1"/>
  <c r="H71" i="3"/>
  <c r="R36" i="1"/>
  <c r="S36" i="1" s="1"/>
  <c r="D49" i="4"/>
  <c r="H12" i="1"/>
  <c r="L13" i="1"/>
  <c r="K23" i="4"/>
  <c r="L23" i="4"/>
  <c r="R9" i="2"/>
  <c r="H53" i="2" a="1"/>
  <c r="H11" i="3"/>
  <c r="H12" i="3"/>
  <c r="M10" i="3"/>
  <c r="H10" i="3" s="1"/>
  <c r="M78" i="3"/>
  <c r="H78" i="3" s="1"/>
  <c r="H79" i="3"/>
  <c r="K52" i="4"/>
  <c r="S52" i="4" s="1"/>
  <c r="L52" i="4"/>
  <c r="T52" i="4" s="1"/>
  <c r="F14" i="1"/>
  <c r="E14" i="1"/>
  <c r="S50" i="4"/>
  <c r="K22" i="4"/>
  <c r="L22" i="4"/>
  <c r="M7" i="3"/>
  <c r="H7" i="3" s="1"/>
  <c r="H8" i="3"/>
  <c r="H9" i="3"/>
  <c r="R8" i="2"/>
  <c r="Z70" i="3"/>
  <c r="AE70" i="3" s="1"/>
  <c r="H10" i="1"/>
  <c r="L11" i="1"/>
  <c r="K21" i="4"/>
  <c r="L21" i="4"/>
  <c r="R10" i="2"/>
  <c r="H56" i="2" a="1"/>
  <c r="K51" i="4"/>
  <c r="S51" i="4" s="1"/>
  <c r="L51" i="4"/>
  <c r="T51" i="4" s="1"/>
  <c r="H6" i="3"/>
  <c r="C6" i="8" s="1"/>
  <c r="D6" i="8" s="1"/>
  <c r="M4" i="3"/>
  <c r="H4" i="3" s="1"/>
  <c r="H4" i="1"/>
  <c r="L5" i="1"/>
  <c r="H8" i="1"/>
  <c r="L9" i="1"/>
  <c r="V50" i="4"/>
  <c r="M72" i="3"/>
  <c r="H72" i="3" s="1"/>
  <c r="H73" i="3"/>
  <c r="H20" i="3" l="1"/>
  <c r="I22" i="3"/>
  <c r="J22" i="3"/>
  <c r="K82" i="3"/>
  <c r="F82" i="3"/>
  <c r="J82" i="3"/>
  <c r="E82" i="3"/>
  <c r="J78" i="3"/>
  <c r="F78" i="3"/>
  <c r="E78" i="3"/>
  <c r="K78" i="3"/>
  <c r="F73" i="3"/>
  <c r="E73" i="3"/>
  <c r="K73" i="3"/>
  <c r="J73" i="3"/>
  <c r="J71" i="3"/>
  <c r="F71" i="3"/>
  <c r="E71" i="3"/>
  <c r="K71" i="3"/>
  <c r="K70" i="3"/>
  <c r="E70" i="3"/>
  <c r="F70" i="3"/>
  <c r="J70" i="3"/>
  <c r="J72" i="3"/>
  <c r="F72" i="3"/>
  <c r="E72" i="3"/>
  <c r="K72" i="3"/>
  <c r="E77" i="3"/>
  <c r="K77" i="3"/>
  <c r="J77" i="3"/>
  <c r="F77" i="3"/>
  <c r="F75" i="3"/>
  <c r="E75" i="3"/>
  <c r="K75" i="3"/>
  <c r="J75" i="3"/>
  <c r="E79" i="3"/>
  <c r="K79" i="3"/>
  <c r="F79" i="3"/>
  <c r="J79" i="3"/>
  <c r="F80" i="3"/>
  <c r="E80" i="3"/>
  <c r="K80" i="3"/>
  <c r="J80" i="3"/>
  <c r="E63" i="2"/>
  <c r="H62" i="2"/>
  <c r="E62" i="2" s="1"/>
  <c r="E64" i="2"/>
  <c r="F63" i="2"/>
  <c r="H69" i="3"/>
  <c r="C3" i="3"/>
  <c r="B58" i="4"/>
  <c r="D28" i="4"/>
  <c r="P28" i="4" s="1"/>
  <c r="B29" i="4"/>
  <c r="D29" i="4" s="1"/>
  <c r="Q29" i="2"/>
  <c r="C103" i="2"/>
  <c r="C33" i="3"/>
  <c r="C49" i="2"/>
  <c r="D29" i="2"/>
  <c r="D30" i="2" s="1"/>
  <c r="B30" i="2"/>
  <c r="E67" i="2"/>
  <c r="H108" i="2"/>
  <c r="F67" i="2"/>
  <c r="F21" i="3"/>
  <c r="E21" i="3"/>
  <c r="T59" i="4"/>
  <c r="S59" i="4"/>
  <c r="V59" i="4"/>
  <c r="H95" i="4" s="1"/>
  <c r="L59" i="4"/>
  <c r="K59" i="4"/>
  <c r="K29" i="4"/>
  <c r="L29" i="4"/>
  <c r="C7" i="8"/>
  <c r="D7" i="8" s="1"/>
  <c r="H43" i="3"/>
  <c r="H44" i="3" s="1"/>
  <c r="M74" i="3"/>
  <c r="H74" i="3" s="1"/>
  <c r="M76" i="3"/>
  <c r="H76" i="3" s="1"/>
  <c r="C4" i="8"/>
  <c r="H39" i="3"/>
  <c r="C5" i="8"/>
  <c r="D5" i="8" s="1"/>
  <c r="H89" i="4" a="1"/>
  <c r="E90" i="4" s="1"/>
  <c r="E52" i="2"/>
  <c r="F52" i="2"/>
  <c r="H106" i="2"/>
  <c r="E51" i="2"/>
  <c r="F51" i="2"/>
  <c r="H105" i="2"/>
  <c r="E6" i="1"/>
  <c r="F6" i="1"/>
  <c r="E9" i="3"/>
  <c r="F9" i="3"/>
  <c r="F60" i="2"/>
  <c r="E60" i="2"/>
  <c r="E61" i="2"/>
  <c r="H59" i="2"/>
  <c r="F61" i="2"/>
  <c r="E18" i="3"/>
  <c r="F18" i="3"/>
  <c r="H27" i="1"/>
  <c r="E4" i="1"/>
  <c r="F4" i="1"/>
  <c r="D4" i="1" s="1"/>
  <c r="E4" i="3"/>
  <c r="H40" i="3"/>
  <c r="H41" i="3" s="1"/>
  <c r="F4" i="3"/>
  <c r="E6" i="3"/>
  <c r="F6" i="3"/>
  <c r="I6" i="3"/>
  <c r="H83" i="4" a="1"/>
  <c r="E57" i="2"/>
  <c r="F57" i="2"/>
  <c r="H56" i="2"/>
  <c r="E58" i="2"/>
  <c r="F58" i="2"/>
  <c r="E10" i="3"/>
  <c r="F10" i="3"/>
  <c r="H49" i="3"/>
  <c r="H50" i="3" s="1"/>
  <c r="E17" i="3"/>
  <c r="F17" i="3"/>
  <c r="E16" i="3"/>
  <c r="F16" i="3"/>
  <c r="F5" i="3"/>
  <c r="I5" i="3"/>
  <c r="H46" i="3"/>
  <c r="H47" i="3" s="1"/>
  <c r="E5" i="3"/>
  <c r="F11" i="3"/>
  <c r="E11" i="3"/>
  <c r="F12" i="1"/>
  <c r="E12" i="1"/>
  <c r="E8" i="3"/>
  <c r="F8" i="3"/>
  <c r="H92" i="4" a="1"/>
  <c r="F7" i="3"/>
  <c r="E7" i="3"/>
  <c r="E12" i="3"/>
  <c r="F12" i="3"/>
  <c r="H80" i="4" a="1"/>
  <c r="E54" i="2"/>
  <c r="F54" i="2"/>
  <c r="E55" i="2"/>
  <c r="F55" i="2"/>
  <c r="H53" i="2"/>
  <c r="F13" i="3"/>
  <c r="E13" i="3"/>
  <c r="E15" i="3"/>
  <c r="F15" i="3"/>
  <c r="E8" i="1"/>
  <c r="F8" i="1"/>
  <c r="E10" i="1"/>
  <c r="F10" i="1"/>
  <c r="E14" i="3"/>
  <c r="F14" i="3"/>
  <c r="H86" i="4" a="1"/>
  <c r="B3" i="11" l="1"/>
  <c r="B11" i="11" s="1"/>
  <c r="C29" i="3"/>
  <c r="B28" i="11"/>
  <c r="B15" i="11"/>
  <c r="C13" i="8"/>
  <c r="H81" i="3"/>
  <c r="F62" i="2"/>
  <c r="B48" i="4"/>
  <c r="I73" i="3"/>
  <c r="K76" i="3"/>
  <c r="J76" i="3"/>
  <c r="F76" i="3"/>
  <c r="E76" i="3"/>
  <c r="F74" i="3"/>
  <c r="E74" i="3"/>
  <c r="K74" i="3"/>
  <c r="J74" i="3"/>
  <c r="I71" i="3"/>
  <c r="I70" i="3"/>
  <c r="I72" i="3"/>
  <c r="C69" i="3"/>
  <c r="D70" i="3" s="1"/>
  <c r="D71" i="3" s="1"/>
  <c r="D72" i="3" s="1"/>
  <c r="D73" i="3" s="1"/>
  <c r="H84" i="3"/>
  <c r="Q30" i="2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F108" i="2"/>
  <c r="E108" i="2"/>
  <c r="P29" i="4"/>
  <c r="Q29" i="4" s="1"/>
  <c r="Q30" i="4" s="1"/>
  <c r="Q28" i="4"/>
  <c r="D58" i="4"/>
  <c r="Q58" i="4" s="1"/>
  <c r="B59" i="4"/>
  <c r="C32" i="3"/>
  <c r="C34" i="3" s="1"/>
  <c r="AH22" i="3"/>
  <c r="AH20" i="3" s="1"/>
  <c r="F95" i="4"/>
  <c r="E95" i="4"/>
  <c r="H137" i="4"/>
  <c r="F137" i="4" s="1"/>
  <c r="Q34" i="2"/>
  <c r="I77" i="3"/>
  <c r="I74" i="3"/>
  <c r="I75" i="3"/>
  <c r="I76" i="3"/>
  <c r="I78" i="3"/>
  <c r="I79" i="3"/>
  <c r="I80" i="3"/>
  <c r="D4" i="8"/>
  <c r="D13" i="8" s="1"/>
  <c r="H89" i="4"/>
  <c r="F89" i="4" s="1"/>
  <c r="E91" i="4"/>
  <c r="F90" i="4"/>
  <c r="F91" i="4"/>
  <c r="F81" i="4"/>
  <c r="H135" i="4"/>
  <c r="H80" i="4"/>
  <c r="H136" i="4"/>
  <c r="E81" i="4"/>
  <c r="E82" i="4"/>
  <c r="F82" i="4"/>
  <c r="F56" i="2"/>
  <c r="E56" i="2"/>
  <c r="D5" i="1"/>
  <c r="D6" i="1" s="1"/>
  <c r="E106" i="2"/>
  <c r="F106" i="2"/>
  <c r="E50" i="2"/>
  <c r="F50" i="2"/>
  <c r="D50" i="2" s="1"/>
  <c r="H104" i="2"/>
  <c r="E59" i="2"/>
  <c r="F59" i="2"/>
  <c r="F53" i="2"/>
  <c r="E53" i="2"/>
  <c r="F84" i="4"/>
  <c r="E84" i="4"/>
  <c r="E85" i="4"/>
  <c r="F85" i="4"/>
  <c r="H83" i="4"/>
  <c r="F105" i="2"/>
  <c r="E105" i="2"/>
  <c r="F88" i="4"/>
  <c r="H86" i="4"/>
  <c r="E87" i="4"/>
  <c r="F87" i="4"/>
  <c r="E88" i="4"/>
  <c r="E20" i="3"/>
  <c r="F20" i="3"/>
  <c r="H92" i="4"/>
  <c r="F93" i="4"/>
  <c r="E93" i="4"/>
  <c r="E94" i="4"/>
  <c r="F94" i="4"/>
  <c r="F81" i="3" l="1"/>
  <c r="K81" i="3"/>
  <c r="J81" i="3"/>
  <c r="E81" i="3"/>
  <c r="I82" i="3"/>
  <c r="D74" i="3"/>
  <c r="D75" i="3" s="1"/>
  <c r="D76" i="3" s="1"/>
  <c r="D77" i="3" s="1"/>
  <c r="D78" i="3" s="1"/>
  <c r="D79" i="3" s="1"/>
  <c r="D80" i="3" s="1"/>
  <c r="I81" i="3"/>
  <c r="E137" i="4"/>
  <c r="C79" i="4"/>
  <c r="C133" i="4"/>
  <c r="B60" i="4"/>
  <c r="D59" i="4"/>
  <c r="Q59" i="4"/>
  <c r="X58" i="4"/>
  <c r="X59" i="4" s="1"/>
  <c r="D7" i="1"/>
  <c r="D8" i="1" s="1"/>
  <c r="D9" i="1" s="1"/>
  <c r="D10" i="1" s="1"/>
  <c r="D11" i="1" s="1"/>
  <c r="D12" i="1" s="1"/>
  <c r="D13" i="1" s="1"/>
  <c r="D14" i="1" s="1"/>
  <c r="D51" i="2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E89" i="4"/>
  <c r="D20" i="3"/>
  <c r="F104" i="2"/>
  <c r="D104" i="2" s="1"/>
  <c r="E104" i="2"/>
  <c r="E86" i="4"/>
  <c r="F86" i="4"/>
  <c r="E92" i="4"/>
  <c r="F92" i="4"/>
  <c r="E83" i="4"/>
  <c r="F83" i="4"/>
  <c r="E136" i="4"/>
  <c r="F136" i="4"/>
  <c r="F80" i="4"/>
  <c r="E80" i="4"/>
  <c r="H134" i="4"/>
  <c r="E135" i="4"/>
  <c r="F135" i="4"/>
  <c r="D65" i="2" l="1"/>
  <c r="D66" i="2" s="1"/>
  <c r="D67" i="2" s="1"/>
  <c r="G68" i="2" s="1"/>
  <c r="G69" i="2" s="1"/>
  <c r="D81" i="3"/>
  <c r="D82" i="3" s="1"/>
  <c r="G83" i="3" s="1"/>
  <c r="G84" i="3" s="1"/>
  <c r="D80" i="4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H97" i="4"/>
  <c r="Y59" i="4"/>
  <c r="Y60" i="4" s="1"/>
  <c r="D21" i="3"/>
  <c r="G22" i="3" s="1"/>
  <c r="D105" i="2"/>
  <c r="D106" i="2" s="1"/>
  <c r="D107" i="2" s="1"/>
  <c r="D108" i="2" s="1"/>
  <c r="G109" i="2" s="1"/>
  <c r="G110" i="2" s="1"/>
  <c r="E134" i="4"/>
  <c r="F134" i="4"/>
  <c r="D134" i="4" s="1"/>
  <c r="C3" i="11" l="1"/>
  <c r="G29" i="3"/>
  <c r="AI22" i="3"/>
  <c r="AI20" i="3" s="1"/>
  <c r="AJ20" i="3" s="1"/>
  <c r="AK20" i="3" s="1"/>
  <c r="C60" i="4"/>
  <c r="F84" i="3"/>
  <c r="F85" i="3" s="1"/>
  <c r="G23" i="3"/>
  <c r="F23" i="3"/>
  <c r="F24" i="3" s="1"/>
  <c r="F97" i="4"/>
  <c r="D97" i="4" s="1"/>
  <c r="E97" i="4"/>
  <c r="H138" i="4"/>
  <c r="D135" i="4"/>
  <c r="D136" i="4" s="1"/>
  <c r="D137" i="4" s="1"/>
  <c r="C11" i="11" l="1"/>
  <c r="D3" i="11"/>
  <c r="AJ22" i="3"/>
  <c r="AK22" i="3" s="1"/>
  <c r="G32" i="3"/>
  <c r="H32" i="3" s="1"/>
  <c r="H29" i="3"/>
  <c r="G98" i="4"/>
  <c r="G99" i="4" s="1"/>
  <c r="E138" i="4"/>
  <c r="F138" i="4"/>
  <c r="D138" i="4" s="1"/>
  <c r="E3" i="11" l="1"/>
  <c r="G16" i="11"/>
  <c r="D11" i="11"/>
  <c r="E11" i="11" s="1"/>
  <c r="G34" i="3"/>
  <c r="G139" i="4"/>
  <c r="G140" i="4" s="1"/>
  <c r="E16" i="11" l="1"/>
  <c r="C16" i="11" s="1"/>
  <c r="D16" i="11"/>
  <c r="J16" i="11"/>
  <c r="I16" i="11"/>
  <c r="K23" i="11"/>
  <c r="K20" i="11"/>
  <c r="K19" i="11"/>
  <c r="K18" i="11"/>
  <c r="K22" i="11"/>
  <c r="K17" i="11"/>
  <c r="K21" i="11"/>
  <c r="K16" i="11"/>
  <c r="H16" i="11"/>
  <c r="H16" i="1"/>
  <c r="C17" i="11" l="1"/>
  <c r="C18" i="11" s="1"/>
  <c r="C19" i="11" s="1"/>
  <c r="C20" i="11" s="1"/>
  <c r="C21" i="11" s="1"/>
  <c r="C22" i="11" s="1"/>
  <c r="C23" i="11" s="1"/>
  <c r="F24" i="11" s="1"/>
  <c r="F25" i="11" s="1"/>
  <c r="H17" i="11"/>
  <c r="H18" i="11" s="1"/>
  <c r="H19" i="11" s="1"/>
  <c r="H20" i="11" s="1"/>
  <c r="H21" i="11" s="1"/>
  <c r="H22" i="11" s="1"/>
  <c r="H23" i="11" s="1"/>
  <c r="F16" i="1"/>
  <c r="H15" i="1"/>
  <c r="E16" i="1"/>
  <c r="E15" i="1" l="1"/>
  <c r="F15" i="1"/>
  <c r="D15" i="1" s="1"/>
  <c r="D16" i="1" l="1"/>
  <c r="G17" i="1" s="1"/>
  <c r="G18" i="1" s="1"/>
  <c r="Q37" i="1" l="1"/>
  <c r="Q39" i="1" s="1"/>
  <c r="R39" i="1" s="1"/>
  <c r="S39" i="1" s="1"/>
  <c r="Q25" i="1"/>
  <c r="R25" i="1" s="1"/>
  <c r="S25" i="1" s="1"/>
  <c r="AF17" i="1"/>
  <c r="AF15" i="1" s="1"/>
  <c r="AP20" i="3" s="1"/>
  <c r="AP22" i="3" s="1"/>
  <c r="AP23" i="3" s="1"/>
  <c r="C27" i="11"/>
  <c r="C28" i="11" s="1"/>
  <c r="C48" i="4"/>
  <c r="C30" i="2"/>
  <c r="R37" i="1"/>
  <c r="S37" i="1" s="1"/>
  <c r="Q27" i="1" l="1"/>
  <c r="R27" i="1" s="1"/>
  <c r="S27" i="1" s="1"/>
  <c r="AH17" i="1"/>
  <c r="U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K14" authorId="0" shapeId="0" xr:uid="{3F29B5F0-A78F-4DB2-9DF3-7A4F7C3BED96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Do thấy tác động tỷ giá ở tất cả các nhóm sản phẩm đều cùng dấu =&gt; gom lại
</t>
        </r>
      </text>
    </comment>
    <comment ref="M14" authorId="0" shapeId="0" xr:uid="{28AD5B50-1B25-4BBB-AEF6-81AEF87E5DA7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Đang lấy mỗi 5 nhóm sản phẩm chính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C3" authorId="0" shapeId="0" xr:uid="{B73D36A9-9FAA-476E-8406-2C3FBA11E663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lãi gộp kế hoạch của kỳ này (trình bày theo BCTC)</t>
        </r>
      </text>
    </comment>
    <comment ref="M19" authorId="0" shapeId="0" xr:uid="{3A0284C7-2B50-4EBF-8BBF-D324EFD0F178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Đang lấy mỗi 5 nhóm sản phẩm chính</t>
        </r>
      </text>
    </comment>
    <comment ref="G22" authorId="0" shapeId="0" xr:uid="{D0A60616-3C28-49E7-AC5E-DB86F0DF22DC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lãi gộp thực tế của kỳ này (trình bày theo BCTC)</t>
        </r>
      </text>
    </comment>
    <comment ref="M80" authorId="0" shapeId="0" xr:uid="{1D89978C-1395-441A-8A01-F6CCC0B70A8B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Đang lấy mỗi 5 nhóm sản phẩm chính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<sst xmlns="http://schemas.openxmlformats.org/spreadsheetml/2006/main" count="531" uniqueCount="127">
  <si>
    <t>Tổng</t>
  </si>
  <si>
    <t>Khác</t>
  </si>
  <si>
    <t>Chênh lệch tỷ giá</t>
  </si>
  <si>
    <t>Xơ sợi</t>
  </si>
  <si>
    <t>rPP</t>
  </si>
  <si>
    <t>rHDPE ép</t>
  </si>
  <si>
    <t>rHDPE thổi</t>
  </si>
  <si>
    <t>rPET</t>
  </si>
  <si>
    <t>TT</t>
  </si>
  <si>
    <t>KH</t>
  </si>
  <si>
    <r>
      <t xml:space="preserve">Dthu </t>
    </r>
    <r>
      <rPr>
        <i/>
        <u/>
        <sz val="11"/>
        <color theme="1"/>
        <rFont val="Aptos Narrow"/>
        <family val="2"/>
        <scheme val="minor"/>
      </rPr>
      <t>(tỷ VND)</t>
    </r>
  </si>
  <si>
    <t>Check</t>
  </si>
  <si>
    <t>Tỷ giá</t>
  </si>
  <si>
    <t>$/tấn</t>
  </si>
  <si>
    <t>Giá bán</t>
  </si>
  <si>
    <t>tấn</t>
  </si>
  <si>
    <t>Sản lượng</t>
  </si>
  <si>
    <t>EXR</t>
  </si>
  <si>
    <t>GB</t>
  </si>
  <si>
    <t>SL</t>
  </si>
  <si>
    <t>Tổng tác động</t>
  </si>
  <si>
    <t>T/Đ nếu như nhóm ngành</t>
  </si>
  <si>
    <t>T/Đ làm từng SKU</t>
  </si>
  <si>
    <t>Chênh lệch</t>
  </si>
  <si>
    <t>End</t>
  </si>
  <si>
    <t>Decrease</t>
  </si>
  <si>
    <t>Increase</t>
  </si>
  <si>
    <t>Hidden</t>
  </si>
  <si>
    <t>Start</t>
  </si>
  <si>
    <t>Dthu (theo tỷ giá KH)</t>
  </si>
  <si>
    <t>ĐVT: VND nhưng show là tỷ đồng</t>
  </si>
  <si>
    <t>Cơ cấu</t>
  </si>
  <si>
    <t>Vẽ (VND nhưng thể hiện là tỷ)</t>
  </si>
  <si>
    <t>Exchange rate</t>
  </si>
  <si>
    <t>GB EXW (USD/ton)</t>
  </si>
  <si>
    <t>Dây đai, phó sản</t>
  </si>
  <si>
    <t>Tài trợ</t>
  </si>
  <si>
    <t>Doanh thu SPC</t>
  </si>
  <si>
    <t>GB EXW (VND/kg)</t>
  </si>
  <si>
    <t>Sản lượng SPC</t>
  </si>
  <si>
    <t>Label chart-SL-TT</t>
  </si>
  <si>
    <t>Label chart-SL-KH</t>
  </si>
  <si>
    <t>Cơ cấu ngành</t>
  </si>
  <si>
    <t>DT-TT-Cơ cấu KH</t>
  </si>
  <si>
    <t>SL-TT-Cơ cấu KH</t>
  </si>
  <si>
    <t>%Cơ cấu SL-TT</t>
  </si>
  <si>
    <t>%Cơ cấu SL-KH</t>
  </si>
  <si>
    <t>+/</t>
  </si>
  <si>
    <t>TÁC ĐỘNG</t>
  </si>
  <si>
    <t>ĐVT: VND; kg; VND/kg; USD/ton</t>
  </si>
  <si>
    <t>LG đơn vị</t>
  </si>
  <si>
    <t>Model</t>
  </si>
  <si>
    <t>LG/kg</t>
  </si>
  <si>
    <t>LG/kg ở đây là gom lại ở tác động GB và tác động GV</t>
  </si>
  <si>
    <t>$/tấn LG đang quy về cùng tỷ giá KH</t>
  </si>
  <si>
    <t>PET-LNST</t>
  </si>
  <si>
    <t>PET</t>
  </si>
  <si>
    <t>SL-LNST</t>
  </si>
  <si>
    <t>Tổng t/đ SL</t>
  </si>
  <si>
    <t>VND/kg</t>
  </si>
  <si>
    <t>Giá vốn</t>
  </si>
  <si>
    <t>%+/-</t>
  </si>
  <si>
    <t>+/-</t>
  </si>
  <si>
    <t>GV</t>
  </si>
  <si>
    <t>%Biên</t>
  </si>
  <si>
    <t>DTHU EXW (THEO TỶ GIÁ KH)</t>
  </si>
  <si>
    <t>LG EXW (THEO TỶ GIÁ KH)</t>
  </si>
  <si>
    <t>Tổng LG EXW</t>
  </si>
  <si>
    <t>LG EXW-SPC</t>
  </si>
  <si>
    <t>LG EXW-TT-Cơ cấu KH</t>
  </si>
  <si>
    <t>LG EXW ĐV-TT</t>
  </si>
  <si>
    <t>LG EXW ĐV-KH</t>
  </si>
  <si>
    <t>TÁC ĐỘNG-GOM</t>
  </si>
  <si>
    <t>GVHB-SPC</t>
  </si>
  <si>
    <t>GVĐV (đ/kg)</t>
  </si>
  <si>
    <t>Dthu</t>
  </si>
  <si>
    <t>Thuế TNDN</t>
  </si>
  <si>
    <t>Thu nhập khác</t>
  </si>
  <si>
    <t>Lãi tiền gửi</t>
  </si>
  <si>
    <t>Dthu/Cp tài chính-Tỷ giá</t>
  </si>
  <si>
    <t>Cp lãi vay</t>
  </si>
  <si>
    <t>CPQLDN</t>
  </si>
  <si>
    <t>CPBH</t>
  </si>
  <si>
    <t>LG EXW</t>
  </si>
  <si>
    <t>LNST</t>
  </si>
  <si>
    <t>Thu nhập/Chi phí khác</t>
  </si>
  <si>
    <t>CHỈ TIÊU</t>
  </si>
  <si>
    <t>Tổng GVHB</t>
  </si>
  <si>
    <t>check</t>
  </si>
  <si>
    <t>Tác động sản lượng</t>
  </si>
  <si>
    <t>LNTT</t>
  </si>
  <si>
    <t>Ghi chú</t>
  </si>
  <si>
    <t>Thuế suất</t>
  </si>
  <si>
    <t>STT</t>
  </si>
  <si>
    <t>Giá bán trung bình ngành rPET thấp sv KH</t>
  </si>
  <si>
    <t>Giá vốn trung bình rPET tăng</t>
  </si>
  <si>
    <t>Tác động</t>
  </si>
  <si>
    <t>ng. tấn</t>
  </si>
  <si>
    <t>Sản lượng (ng.tấn)</t>
  </si>
  <si>
    <t xml:space="preserve"> - Loại trừ chênh lệch tỷ giá</t>
  </si>
  <si>
    <t>+-/-</t>
  </si>
  <si>
    <t>%+-/-</t>
  </si>
  <si>
    <t>%Thực hiện</t>
  </si>
  <si>
    <t>Tổng t/đ LG đơn vị</t>
  </si>
  <si>
    <t>LGĐV-LNST</t>
  </si>
  <si>
    <t>GVHB</t>
  </si>
  <si>
    <t>Cộng dồn</t>
  </si>
  <si>
    <t>(format âm để chỉnh)</t>
  </si>
  <si>
    <t>Label-Increase</t>
  </si>
  <si>
    <t>Label-Decrease</t>
  </si>
  <si>
    <t>Đẩy bán HD ép</t>
  </si>
  <si>
    <t>Cp vận chuyển, hoa hồng, chiết khấu</t>
  </si>
  <si>
    <t>Doanh thu EXW</t>
  </si>
  <si>
    <t>Tổng dthu thuần</t>
  </si>
  <si>
    <t>gom lại cp vận chuyển vào đây</t>
  </si>
  <si>
    <t>gom lại cp vận chuyển, hoa hồng, chiết khấu</t>
  </si>
  <si>
    <t>LG EXW không gồm tài trợ</t>
  </si>
  <si>
    <t>Dthu EXW không gồm tài trợ</t>
  </si>
  <si>
    <t>Cp vận chuyển</t>
  </si>
  <si>
    <t>hoa hồng, chiết khấu</t>
  </si>
  <si>
    <t>Trong đó: Pallet</t>
  </si>
  <si>
    <t>KH T12</t>
  </si>
  <si>
    <t>TT T12</t>
  </si>
  <si>
    <t>Cumulative</t>
  </si>
  <si>
    <t>Điều chỉnh thuê xưởng, thuê máy theo yêu cầu kiểm toán</t>
  </si>
  <si>
    <t>Điều chỉnh lương vào IO</t>
  </si>
  <si>
    <t>EPR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</si>
</sst>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$&quot;#,##0_);\(&quot;$&quot;#,##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_(* #,##0,,,_);_(* \(#,##0,,,\);;_(@_)"/>
    <numFmt numFmtId="168" formatCode="[Color3]\▼_(* #,##0.0,,,_);_(* \(#,##0.0,,,\);;_(@_)"/>
    <numFmt numFmtId="169" formatCode="[Color10]\▲_(* #,##0.0,,,_);_(* \(#,##0.0,,,\);;_(@_)"/>
    <numFmt numFmtId="170" formatCode="[Color3]\▼_(* #,##0_);_(* \(#,##0\);;_(@_)"/>
    <numFmt numFmtId="171" formatCode="[Color10]\▲_(* #,##0_);_(* \(#,##0\);;_(@_)"/>
    <numFmt numFmtId="172" formatCode="_(* #,##0.0,,,_);_(* \(#,##0.0,,,\);;_(@_)"/>
    <numFmt numFmtId="173" formatCode="_(* #,##0,,_);_(* \(#,##0,,\);_(* &quot;-&quot;??_);_(@_)"/>
    <numFmt numFmtId="174" formatCode="_(* #,##0.0,,,_);_(* \(#,##0.0,,,\);_(* &quot;-&quot;??_);_(@_)"/>
    <numFmt numFmtId="175" formatCode="_(* #,##0,,,_);_(* \(#,##0,,,\);_(* &quot;-&quot;??_);_(@_)"/>
    <numFmt numFmtId="176" formatCode="_(* #,##0.00,,,_);_(* \(#,##0.00,,,\);_(* &quot;-&quot;??_);_(@_)"/>
    <numFmt numFmtId="177" formatCode="_(* #,##0.00,,,_);_(* \(#,##0.00,,,\);;_(@_)"/>
    <numFmt numFmtId="178" formatCode="_(* #,##0.000,,,_);_(* \(#,##0.000,,,\);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i/>
      <sz val="11"/>
      <color rgb="FF00B0F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B0F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6" tint="0.59999389629810485"/>
      <name val="Aptos Narrow"/>
      <family val="2"/>
      <scheme val="minor"/>
    </font>
    <font>
      <b/>
      <sz val="11"/>
      <color theme="6" tint="0.59999389629810485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00B0F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theme="0"/>
      </top>
      <bottom/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4">
    <xf numFmtId="0" fontId="0" fillId="0" borderId="0" xfId="0"/>
    <xf numFmtId="164" fontId="0" fillId="0" borderId="0" xfId="1" applyNumberFormat="1" applyFont="1"/>
    <xf numFmtId="165" fontId="2" fillId="0" borderId="0" xfId="0" applyNumberFormat="1" applyFont="1"/>
    <xf numFmtId="43" fontId="2" fillId="0" borderId="0" xfId="1" applyFont="1"/>
    <xf numFmtId="166" fontId="2" fillId="2" borderId="1" xfId="0" applyNumberFormat="1" applyFont="1" applyFill="1" applyBorder="1"/>
    <xf numFmtId="0" fontId="2" fillId="2" borderId="1" xfId="0" applyFont="1" applyFill="1" applyBorder="1"/>
    <xf numFmtId="165" fontId="0" fillId="0" borderId="0" xfId="0" applyNumberFormat="1"/>
    <xf numFmtId="43" fontId="0" fillId="0" borderId="0" xfId="1" applyFont="1"/>
    <xf numFmtId="166" fontId="0" fillId="2" borderId="0" xfId="1" applyNumberFormat="1" applyFont="1" applyFill="1"/>
    <xf numFmtId="0" fontId="0" fillId="2" borderId="0" xfId="0" applyFill="1"/>
    <xf numFmtId="166" fontId="0" fillId="2" borderId="0" xfId="0" applyNumberFormat="1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165" fontId="2" fillId="0" borderId="0" xfId="1" applyNumberFormat="1" applyFont="1"/>
    <xf numFmtId="43" fontId="2" fillId="0" borderId="1" xfId="0" applyNumberFormat="1" applyFont="1" applyBorder="1"/>
    <xf numFmtId="0" fontId="2" fillId="0" borderId="1" xfId="0" applyFont="1" applyBorder="1"/>
    <xf numFmtId="165" fontId="0" fillId="0" borderId="0" xfId="1" applyNumberFormat="1" applyFont="1"/>
    <xf numFmtId="166" fontId="0" fillId="0" borderId="0" xfId="1" applyNumberFormat="1" applyFont="1"/>
    <xf numFmtId="164" fontId="0" fillId="0" borderId="0" xfId="0" applyNumberFormat="1"/>
    <xf numFmtId="0" fontId="2" fillId="0" borderId="0" xfId="0" applyFont="1" applyAlignment="1">
      <alignment horizontal="right"/>
    </xf>
    <xf numFmtId="0" fontId="3" fillId="0" borderId="0" xfId="0" applyFont="1"/>
    <xf numFmtId="0" fontId="5" fillId="0" borderId="0" xfId="0" applyFont="1"/>
    <xf numFmtId="166" fontId="5" fillId="0" borderId="0" xfId="1" applyNumberFormat="1" applyFont="1" applyFill="1"/>
    <xf numFmtId="164" fontId="2" fillId="3" borderId="0" xfId="1" applyNumberFormat="1" applyFont="1" applyFill="1"/>
    <xf numFmtId="164" fontId="2" fillId="3" borderId="0" xfId="0" applyNumberFormat="1" applyFont="1" applyFill="1"/>
    <xf numFmtId="0" fontId="0" fillId="4" borderId="0" xfId="0" applyFill="1"/>
    <xf numFmtId="165" fontId="0" fillId="5" borderId="0" xfId="0" applyNumberFormat="1" applyFill="1"/>
    <xf numFmtId="164" fontId="0" fillId="5" borderId="0" xfId="0" applyNumberFormat="1" applyFill="1"/>
    <xf numFmtId="164" fontId="2" fillId="5" borderId="0" xfId="1" applyNumberFormat="1" applyFont="1" applyFill="1"/>
    <xf numFmtId="167" fontId="2" fillId="6" borderId="0" xfId="1" applyNumberFormat="1" applyFont="1" applyFill="1"/>
    <xf numFmtId="168" fontId="2" fillId="6" borderId="0" xfId="1" applyNumberFormat="1" applyFont="1" applyFill="1" applyAlignment="1">
      <alignment horizontal="right"/>
    </xf>
    <xf numFmtId="169" fontId="2" fillId="6" borderId="0" xfId="1" applyNumberFormat="1" applyFont="1" applyFill="1" applyAlignment="1">
      <alignment horizontal="right"/>
    </xf>
    <xf numFmtId="167" fontId="0" fillId="6" borderId="0" xfId="1" applyNumberFormat="1" applyFont="1" applyFill="1"/>
    <xf numFmtId="0" fontId="0" fillId="6" borderId="0" xfId="0" applyFill="1"/>
    <xf numFmtId="164" fontId="0" fillId="3" borderId="0" xfId="1" applyNumberFormat="1" applyFont="1" applyFill="1"/>
    <xf numFmtId="0" fontId="0" fillId="5" borderId="0" xfId="0" applyFill="1"/>
    <xf numFmtId="0" fontId="0" fillId="3" borderId="0" xfId="0" applyFill="1"/>
    <xf numFmtId="164" fontId="6" fillId="7" borderId="0" xfId="0" applyNumberFormat="1" applyFont="1" applyFill="1"/>
    <xf numFmtId="164" fontId="6" fillId="8" borderId="0" xfId="1" applyNumberFormat="1" applyFont="1" applyFill="1"/>
    <xf numFmtId="164" fontId="0" fillId="9" borderId="0" xfId="1" applyNumberFormat="1" applyFont="1" applyFill="1"/>
    <xf numFmtId="164" fontId="0" fillId="5" borderId="0" xfId="1" applyNumberFormat="1" applyFont="1" applyFill="1"/>
    <xf numFmtId="165" fontId="0" fillId="6" borderId="0" xfId="0" applyNumberFormat="1" applyFill="1"/>
    <xf numFmtId="5" fontId="0" fillId="6" borderId="0" xfId="1" applyNumberFormat="1" applyFont="1" applyFill="1"/>
    <xf numFmtId="164" fontId="0" fillId="7" borderId="0" xfId="0" applyNumberFormat="1" applyFill="1"/>
    <xf numFmtId="164" fontId="0" fillId="8" borderId="0" xfId="1" applyNumberFormat="1" applyFont="1" applyFill="1"/>
    <xf numFmtId="164" fontId="0" fillId="4" borderId="0" xfId="1" applyNumberFormat="1" applyFont="1" applyFill="1"/>
    <xf numFmtId="164" fontId="2" fillId="4" borderId="0" xfId="0" applyNumberFormat="1" applyFont="1" applyFill="1"/>
    <xf numFmtId="165" fontId="2" fillId="6" borderId="0" xfId="0" applyNumberFormat="1" applyFont="1" applyFill="1"/>
    <xf numFmtId="164" fontId="2" fillId="6" borderId="0" xfId="1" applyNumberFormat="1" applyFont="1" applyFill="1"/>
    <xf numFmtId="0" fontId="2" fillId="6" borderId="0" xfId="0" applyFont="1" applyFill="1"/>
    <xf numFmtId="0" fontId="2" fillId="0" borderId="0" xfId="0" applyFont="1"/>
    <xf numFmtId="167" fontId="2" fillId="6" borderId="0" xfId="1" applyNumberFormat="1" applyFont="1" applyFill="1" applyAlignment="1">
      <alignment horizontal="right"/>
    </xf>
    <xf numFmtId="170" fontId="2" fillId="6" borderId="0" xfId="1" applyNumberFormat="1" applyFont="1" applyFill="1" applyAlignment="1">
      <alignment horizontal="right"/>
    </xf>
    <xf numFmtId="171" fontId="2" fillId="6" borderId="0" xfId="1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right"/>
    </xf>
    <xf numFmtId="0" fontId="2" fillId="8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164" fontId="5" fillId="0" borderId="0" xfId="1" applyNumberFormat="1" applyFont="1" applyFill="1"/>
    <xf numFmtId="164" fontId="0" fillId="10" borderId="0" xfId="1" applyNumberFormat="1" applyFont="1" applyFill="1"/>
    <xf numFmtId="164" fontId="0" fillId="10" borderId="0" xfId="0" applyNumberFormat="1" applyFill="1"/>
    <xf numFmtId="0" fontId="0" fillId="8" borderId="0" xfId="0" applyFill="1"/>
    <xf numFmtId="164" fontId="9" fillId="0" borderId="0" xfId="0" applyNumberFormat="1" applyFont="1"/>
    <xf numFmtId="164" fontId="2" fillId="8" borderId="0" xfId="1" applyNumberFormat="1" applyFont="1" applyFill="1"/>
    <xf numFmtId="0" fontId="2" fillId="8" borderId="0" xfId="0" applyFont="1" applyFill="1"/>
    <xf numFmtId="164" fontId="0" fillId="7" borderId="0" xfId="1" applyNumberFormat="1" applyFont="1" applyFill="1"/>
    <xf numFmtId="0" fontId="0" fillId="7" borderId="0" xfId="0" applyFill="1"/>
    <xf numFmtId="164" fontId="2" fillId="7" borderId="0" xfId="1" applyNumberFormat="1" applyFont="1" applyFill="1"/>
    <xf numFmtId="164" fontId="2" fillId="7" borderId="0" xfId="1" applyNumberFormat="1" applyFont="1" applyFill="1" applyAlignment="1">
      <alignment horizontal="right"/>
    </xf>
    <xf numFmtId="0" fontId="2" fillId="7" borderId="0" xfId="0" applyFont="1" applyFill="1"/>
    <xf numFmtId="164" fontId="5" fillId="0" borderId="0" xfId="0" applyNumberFormat="1" applyFont="1"/>
    <xf numFmtId="164" fontId="2" fillId="0" borderId="0" xfId="0" applyNumberFormat="1" applyFont="1"/>
    <xf numFmtId="164" fontId="2" fillId="0" borderId="0" xfId="1" applyNumberFormat="1" applyFont="1"/>
    <xf numFmtId="164" fontId="2" fillId="0" borderId="2" xfId="0" applyNumberFormat="1" applyFont="1" applyBorder="1"/>
    <xf numFmtId="0" fontId="2" fillId="0" borderId="2" xfId="0" applyFont="1" applyBorder="1"/>
    <xf numFmtId="0" fontId="10" fillId="0" borderId="0" xfId="0" applyFont="1"/>
    <xf numFmtId="0" fontId="11" fillId="0" borderId="0" xfId="0" applyFont="1"/>
    <xf numFmtId="164" fontId="11" fillId="0" borderId="0" xfId="0" applyNumberFormat="1" applyFont="1"/>
    <xf numFmtId="164" fontId="11" fillId="0" borderId="0" xfId="1" applyNumberFormat="1" applyFont="1"/>
    <xf numFmtId="0" fontId="12" fillId="0" borderId="0" xfId="0" applyFont="1"/>
    <xf numFmtId="164" fontId="12" fillId="0" borderId="0" xfId="1" applyNumberFormat="1" applyFont="1"/>
    <xf numFmtId="165" fontId="11" fillId="0" borderId="0" xfId="0" applyNumberFormat="1" applyFont="1"/>
    <xf numFmtId="11" fontId="12" fillId="0" borderId="0" xfId="0" applyNumberFormat="1" applyFont="1"/>
    <xf numFmtId="165" fontId="12" fillId="0" borderId="0" xfId="0" applyNumberFormat="1" applyFont="1"/>
    <xf numFmtId="164" fontId="12" fillId="0" borderId="0" xfId="0" applyNumberFormat="1" applyFont="1"/>
    <xf numFmtId="0" fontId="13" fillId="11" borderId="0" xfId="0" applyFont="1" applyFill="1" applyAlignment="1">
      <alignment horizontal="right"/>
    </xf>
    <xf numFmtId="0" fontId="14" fillId="11" borderId="0" xfId="0" applyFont="1" applyFill="1"/>
    <xf numFmtId="0" fontId="0" fillId="11" borderId="3" xfId="0" applyFill="1" applyBorder="1" applyAlignment="1">
      <alignment horizontal="centerContinuous"/>
    </xf>
    <xf numFmtId="0" fontId="13" fillId="11" borderId="3" xfId="0" applyFont="1" applyFill="1" applyBorder="1" applyAlignment="1">
      <alignment horizontal="centerContinuous"/>
    </xf>
    <xf numFmtId="43" fontId="0" fillId="0" borderId="0" xfId="0" applyNumberFormat="1"/>
    <xf numFmtId="0" fontId="0" fillId="12" borderId="0" xfId="0" applyFill="1"/>
    <xf numFmtId="10" fontId="0" fillId="0" borderId="0" xfId="0" applyNumberFormat="1"/>
    <xf numFmtId="166" fontId="5" fillId="12" borderId="0" xfId="1" applyNumberFormat="1" applyFont="1" applyFill="1"/>
    <xf numFmtId="172" fontId="2" fillId="6" borderId="0" xfId="1" applyNumberFormat="1" applyFont="1" applyFill="1"/>
    <xf numFmtId="164" fontId="15" fillId="0" borderId="0" xfId="0" applyNumberFormat="1" applyFont="1"/>
    <xf numFmtId="165" fontId="0" fillId="3" borderId="0" xfId="0" applyNumberFormat="1" applyFill="1"/>
    <xf numFmtId="5" fontId="0" fillId="3" borderId="0" xfId="1" applyNumberFormat="1" applyFont="1" applyFill="1"/>
    <xf numFmtId="165" fontId="2" fillId="3" borderId="0" xfId="0" applyNumberFormat="1" applyFont="1" applyFill="1"/>
    <xf numFmtId="0" fontId="2" fillId="3" borderId="0" xfId="0" applyFont="1" applyFill="1"/>
    <xf numFmtId="172" fontId="2" fillId="6" borderId="0" xfId="1" applyNumberFormat="1" applyFont="1" applyFill="1" applyAlignment="1">
      <alignment horizontal="right"/>
    </xf>
    <xf numFmtId="0" fontId="2" fillId="3" borderId="0" xfId="0" applyFont="1" applyFill="1" applyAlignment="1">
      <alignment horizontal="center"/>
    </xf>
    <xf numFmtId="5" fontId="0" fillId="0" borderId="0" xfId="0" applyNumberFormat="1"/>
    <xf numFmtId="167" fontId="0" fillId="0" borderId="0" xfId="0" applyNumberFormat="1"/>
    <xf numFmtId="165" fontId="1" fillId="8" borderId="0" xfId="0" applyNumberFormat="1" applyFont="1" applyFill="1"/>
    <xf numFmtId="0" fontId="6" fillId="0" borderId="0" xfId="0" applyFont="1"/>
    <xf numFmtId="164" fontId="5" fillId="12" borderId="0" xfId="1" applyNumberFormat="1" applyFont="1" applyFill="1"/>
    <xf numFmtId="164" fontId="16" fillId="8" borderId="0" xfId="1" applyNumberFormat="1" applyFont="1" applyFill="1"/>
    <xf numFmtId="165" fontId="2" fillId="3" borderId="0" xfId="1" applyNumberFormat="1" applyFont="1" applyFill="1"/>
    <xf numFmtId="165" fontId="0" fillId="3" borderId="0" xfId="1" applyNumberFormat="1" applyFont="1" applyFill="1"/>
    <xf numFmtId="0" fontId="15" fillId="0" borderId="0" xfId="0" applyFont="1"/>
    <xf numFmtId="164" fontId="0" fillId="6" borderId="0" xfId="1" applyNumberFormat="1" applyFont="1" applyFill="1"/>
    <xf numFmtId="164" fontId="0" fillId="9" borderId="4" xfId="1" applyNumberFormat="1" applyFont="1" applyFill="1" applyBorder="1"/>
    <xf numFmtId="167" fontId="0" fillId="6" borderId="4" xfId="1" applyNumberFormat="1" applyFont="1" applyFill="1" applyBorder="1"/>
    <xf numFmtId="168" fontId="2" fillId="6" borderId="4" xfId="1" applyNumberFormat="1" applyFont="1" applyFill="1" applyBorder="1" applyAlignment="1">
      <alignment horizontal="right"/>
    </xf>
    <xf numFmtId="169" fontId="2" fillId="6" borderId="4" xfId="1" applyNumberFormat="1" applyFont="1" applyFill="1" applyBorder="1" applyAlignment="1">
      <alignment horizontal="right"/>
    </xf>
    <xf numFmtId="0" fontId="0" fillId="6" borderId="4" xfId="0" applyFill="1" applyBorder="1"/>
    <xf numFmtId="164" fontId="0" fillId="9" borderId="0" xfId="1" applyNumberFormat="1" applyFont="1" applyFill="1" applyBorder="1"/>
    <xf numFmtId="167" fontId="0" fillId="6" borderId="0" xfId="1" applyNumberFormat="1" applyFont="1" applyFill="1" applyBorder="1"/>
    <xf numFmtId="168" fontId="2" fillId="6" borderId="0" xfId="1" applyNumberFormat="1" applyFont="1" applyFill="1" applyBorder="1" applyAlignment="1">
      <alignment horizontal="right"/>
    </xf>
    <xf numFmtId="169" fontId="2" fillId="6" borderId="0" xfId="1" applyNumberFormat="1" applyFont="1" applyFill="1" applyBorder="1" applyAlignment="1">
      <alignment horizontal="right"/>
    </xf>
    <xf numFmtId="164" fontId="0" fillId="9" borderId="5" xfId="1" applyNumberFormat="1" applyFont="1" applyFill="1" applyBorder="1"/>
    <xf numFmtId="167" fontId="0" fillId="6" borderId="5" xfId="1" applyNumberFormat="1" applyFont="1" applyFill="1" applyBorder="1"/>
    <xf numFmtId="168" fontId="2" fillId="6" borderId="5" xfId="1" applyNumberFormat="1" applyFont="1" applyFill="1" applyBorder="1" applyAlignment="1">
      <alignment horizontal="right"/>
    </xf>
    <xf numFmtId="169" fontId="2" fillId="6" borderId="5" xfId="1" applyNumberFormat="1" applyFont="1" applyFill="1" applyBorder="1" applyAlignment="1">
      <alignment horizontal="right"/>
    </xf>
    <xf numFmtId="0" fontId="0" fillId="6" borderId="5" xfId="0" applyFill="1" applyBorder="1"/>
    <xf numFmtId="0" fontId="2" fillId="3" borderId="0" xfId="0" quotePrefix="1" applyFont="1" applyFill="1" applyAlignment="1">
      <alignment horizontal="right"/>
    </xf>
    <xf numFmtId="0" fontId="17" fillId="0" borderId="0" xfId="0" applyFont="1"/>
    <xf numFmtId="164" fontId="2" fillId="6" borderId="2" xfId="0" applyNumberFormat="1" applyFont="1" applyFill="1" applyBorder="1"/>
    <xf numFmtId="0" fontId="2" fillId="6" borderId="2" xfId="0" applyFont="1" applyFill="1" applyBorder="1"/>
    <xf numFmtId="164" fontId="0" fillId="2" borderId="0" xfId="1" applyNumberFormat="1" applyFont="1" applyFill="1"/>
    <xf numFmtId="164" fontId="10" fillId="6" borderId="0" xfId="1" applyNumberFormat="1" applyFont="1" applyFill="1"/>
    <xf numFmtId="0" fontId="10" fillId="6" borderId="0" xfId="0" applyFont="1" applyFill="1"/>
    <xf numFmtId="164" fontId="2" fillId="2" borderId="0" xfId="0" applyNumberFormat="1" applyFont="1" applyFill="1"/>
    <xf numFmtId="0" fontId="2" fillId="5" borderId="0" xfId="0" applyFont="1" applyFill="1" applyAlignment="1">
      <alignment horizontal="right"/>
    </xf>
    <xf numFmtId="0" fontId="2" fillId="2" borderId="0" xfId="0" applyFont="1" applyFill="1"/>
    <xf numFmtId="164" fontId="11" fillId="6" borderId="0" xfId="1" applyNumberFormat="1" applyFont="1" applyFill="1"/>
    <xf numFmtId="0" fontId="11" fillId="6" borderId="0" xfId="0" applyFont="1" applyFill="1"/>
    <xf numFmtId="164" fontId="12" fillId="6" borderId="0" xfId="1" applyNumberFormat="1" applyFont="1" applyFill="1"/>
    <xf numFmtId="0" fontId="12" fillId="6" borderId="0" xfId="0" applyFont="1" applyFill="1"/>
    <xf numFmtId="164" fontId="11" fillId="6" borderId="0" xfId="0" applyNumberFormat="1" applyFont="1" applyFill="1"/>
    <xf numFmtId="164" fontId="12" fillId="6" borderId="0" xfId="0" applyNumberFormat="1" applyFont="1" applyFill="1"/>
    <xf numFmtId="173" fontId="0" fillId="0" borderId="0" xfId="0" applyNumberFormat="1"/>
    <xf numFmtId="174" fontId="0" fillId="3" borderId="0" xfId="0" applyNumberFormat="1" applyFill="1"/>
    <xf numFmtId="175" fontId="0" fillId="3" borderId="0" xfId="0" applyNumberFormat="1" applyFill="1"/>
    <xf numFmtId="173" fontId="2" fillId="6" borderId="1" xfId="1" applyNumberFormat="1" applyFont="1" applyFill="1" applyBorder="1"/>
    <xf numFmtId="0" fontId="2" fillId="6" borderId="1" xfId="0" applyFont="1" applyFill="1" applyBorder="1"/>
    <xf numFmtId="173" fontId="0" fillId="6" borderId="0" xfId="1" applyNumberFormat="1" applyFont="1" applyFill="1"/>
    <xf numFmtId="173" fontId="1" fillId="6" borderId="0" xfId="1" applyNumberFormat="1" applyFont="1" applyFill="1"/>
    <xf numFmtId="173" fontId="15" fillId="6" borderId="0" xfId="1" applyNumberFormat="1" applyFont="1" applyFill="1"/>
    <xf numFmtId="0" fontId="15" fillId="6" borderId="0" xfId="0" applyFont="1" applyFill="1"/>
    <xf numFmtId="0" fontId="13" fillId="13" borderId="0" xfId="0" applyFont="1" applyFill="1" applyAlignment="1">
      <alignment horizontal="right"/>
    </xf>
    <xf numFmtId="0" fontId="13" fillId="13" borderId="0" xfId="0" applyFont="1" applyFill="1"/>
    <xf numFmtId="3" fontId="0" fillId="0" borderId="0" xfId="0" applyNumberFormat="1"/>
    <xf numFmtId="164" fontId="0" fillId="8" borderId="0" xfId="0" applyNumberFormat="1" applyFill="1"/>
    <xf numFmtId="165" fontId="0" fillId="8" borderId="0" xfId="0" applyNumberFormat="1" applyFill="1"/>
    <xf numFmtId="0" fontId="2" fillId="12" borderId="0" xfId="0" applyFont="1" applyFill="1"/>
    <xf numFmtId="10" fontId="2" fillId="12" borderId="0" xfId="0" applyNumberFormat="1" applyFont="1" applyFill="1"/>
    <xf numFmtId="0" fontId="13" fillId="14" borderId="0" xfId="0" applyFont="1" applyFill="1"/>
    <xf numFmtId="0" fontId="13" fillId="14" borderId="0" xfId="0" applyFont="1" applyFill="1" applyAlignment="1">
      <alignment horizontal="right"/>
    </xf>
    <xf numFmtId="0" fontId="13" fillId="1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164" fontId="0" fillId="0" borderId="7" xfId="1" applyNumberFormat="1" applyFont="1" applyBorder="1" applyAlignment="1">
      <alignment vertical="center"/>
    </xf>
    <xf numFmtId="0" fontId="2" fillId="15" borderId="0" xfId="0" applyFont="1" applyFill="1"/>
    <xf numFmtId="0" fontId="0" fillId="15" borderId="0" xfId="0" applyFill="1"/>
    <xf numFmtId="43" fontId="0" fillId="15" borderId="0" xfId="0" applyNumberFormat="1" applyFill="1"/>
    <xf numFmtId="165" fontId="0" fillId="15" borderId="0" xfId="0" applyNumberFormat="1" applyFill="1"/>
    <xf numFmtId="43" fontId="1" fillId="15" borderId="0" xfId="1" applyFont="1" applyFill="1"/>
    <xf numFmtId="0" fontId="2" fillId="16" borderId="0" xfId="0" applyFont="1" applyFill="1"/>
    <xf numFmtId="0" fontId="2" fillId="16" borderId="0" xfId="0" applyFont="1" applyFill="1" applyAlignment="1">
      <alignment horizontal="right"/>
    </xf>
    <xf numFmtId="0" fontId="0" fillId="16" borderId="0" xfId="0" applyFill="1"/>
    <xf numFmtId="43" fontId="0" fillId="16" borderId="0" xfId="1" applyFont="1" applyFill="1"/>
    <xf numFmtId="165" fontId="0" fillId="16" borderId="0" xfId="0" applyNumberFormat="1" applyFill="1"/>
    <xf numFmtId="0" fontId="2" fillId="16" borderId="1" xfId="0" applyFont="1" applyFill="1" applyBorder="1"/>
    <xf numFmtId="43" fontId="2" fillId="16" borderId="0" xfId="1" applyFont="1" applyFill="1"/>
    <xf numFmtId="165" fontId="2" fillId="16" borderId="0" xfId="0" applyNumberFormat="1" applyFont="1" applyFill="1"/>
    <xf numFmtId="43" fontId="0" fillId="16" borderId="0" xfId="0" applyNumberFormat="1" applyFill="1"/>
    <xf numFmtId="43" fontId="2" fillId="16" borderId="1" xfId="0" applyNumberFormat="1" applyFont="1" applyFill="1" applyBorder="1"/>
    <xf numFmtId="0" fontId="18" fillId="0" borderId="0" xfId="0" applyFont="1"/>
    <xf numFmtId="43" fontId="0" fillId="8" borderId="0" xfId="1" applyFont="1" applyFill="1"/>
    <xf numFmtId="164" fontId="11" fillId="0" borderId="0" xfId="1" applyNumberFormat="1" applyFont="1" applyFill="1"/>
    <xf numFmtId="164" fontId="2" fillId="0" borderId="0" xfId="1" applyNumberFormat="1" applyFont="1" applyFill="1"/>
    <xf numFmtId="164" fontId="10" fillId="0" borderId="0" xfId="1" applyNumberFormat="1" applyFont="1" applyFill="1"/>
    <xf numFmtId="0" fontId="2" fillId="16" borderId="0" xfId="0" quotePrefix="1" applyFont="1" applyFill="1" applyAlignment="1">
      <alignment horizontal="right"/>
    </xf>
    <xf numFmtId="43" fontId="0" fillId="2" borderId="0" xfId="0" applyNumberFormat="1" applyFill="1"/>
    <xf numFmtId="164" fontId="0" fillId="6" borderId="0" xfId="0" applyNumberFormat="1" applyFill="1"/>
    <xf numFmtId="164" fontId="15" fillId="0" borderId="0" xfId="1" applyNumberFormat="1" applyFont="1" applyFill="1"/>
    <xf numFmtId="164" fontId="0" fillId="6" borderId="6" xfId="1" applyNumberFormat="1" applyFont="1" applyFill="1" applyBorder="1" applyAlignment="1">
      <alignment vertical="center"/>
    </xf>
    <xf numFmtId="164" fontId="0" fillId="6" borderId="7" xfId="1" applyNumberFormat="1" applyFont="1" applyFill="1" applyBorder="1" applyAlignment="1">
      <alignment vertical="center"/>
    </xf>
    <xf numFmtId="0" fontId="0" fillId="0" borderId="8" xfId="0" applyBorder="1"/>
    <xf numFmtId="0" fontId="2" fillId="0" borderId="9" xfId="0" applyFont="1" applyBorder="1" applyAlignment="1">
      <alignment horizontal="right"/>
    </xf>
    <xf numFmtId="164" fontId="0" fillId="0" borderId="9" xfId="0" applyNumberFormat="1" applyBorder="1"/>
    <xf numFmtId="164" fontId="0" fillId="0" borderId="10" xfId="0" applyNumberFormat="1" applyBorder="1"/>
    <xf numFmtId="0" fontId="2" fillId="17" borderId="0" xfId="0" applyFont="1" applyFill="1" applyAlignment="1">
      <alignment horizontal="right"/>
    </xf>
    <xf numFmtId="0" fontId="0" fillId="17" borderId="0" xfId="0" applyFill="1"/>
    <xf numFmtId="169" fontId="2" fillId="17" borderId="0" xfId="1" applyNumberFormat="1" applyFont="1" applyFill="1" applyAlignment="1">
      <alignment horizontal="right"/>
    </xf>
    <xf numFmtId="168" fontId="2" fillId="17" borderId="0" xfId="1" applyNumberFormat="1" applyFont="1" applyFill="1" applyAlignment="1">
      <alignment horizontal="right"/>
    </xf>
    <xf numFmtId="165" fontId="0" fillId="17" borderId="0" xfId="0" applyNumberFormat="1" applyFill="1"/>
    <xf numFmtId="164" fontId="6" fillId="6" borderId="0" xfId="1" applyNumberFormat="1" applyFont="1" applyFill="1"/>
    <xf numFmtId="167" fontId="2" fillId="8" borderId="0" xfId="1" applyNumberFormat="1" applyFont="1" applyFill="1" applyAlignment="1">
      <alignment horizontal="right"/>
    </xf>
    <xf numFmtId="167" fontId="6" fillId="8" borderId="0" xfId="1" applyNumberFormat="1" applyFont="1" applyFill="1" applyAlignment="1">
      <alignment horizontal="right"/>
    </xf>
    <xf numFmtId="0" fontId="0" fillId="11" borderId="0" xfId="0" applyFill="1" applyAlignment="1">
      <alignment horizontal="centerContinuous"/>
    </xf>
    <xf numFmtId="0" fontId="13" fillId="11" borderId="11" xfId="0" applyFont="1" applyFill="1" applyBorder="1" applyAlignment="1">
      <alignment horizontal="right"/>
    </xf>
    <xf numFmtId="177" fontId="6" fillId="8" borderId="0" xfId="1" applyNumberFormat="1" applyFont="1" applyFill="1" applyAlignment="1">
      <alignment horizontal="right"/>
    </xf>
    <xf numFmtId="177" fontId="2" fillId="7" borderId="0" xfId="1" applyNumberFormat="1" applyFont="1" applyFill="1" applyAlignment="1">
      <alignment horizontal="right"/>
    </xf>
    <xf numFmtId="177" fontId="1" fillId="7" borderId="0" xfId="1" applyNumberFormat="1" applyFont="1" applyFill="1" applyAlignment="1">
      <alignment horizontal="right"/>
    </xf>
    <xf numFmtId="0" fontId="16" fillId="0" borderId="0" xfId="0" applyFont="1"/>
    <xf numFmtId="165" fontId="16" fillId="0" borderId="0" xfId="0" applyNumberFormat="1" applyFont="1"/>
    <xf numFmtId="164" fontId="10" fillId="0" borderId="0" xfId="1" applyNumberFormat="1" applyFont="1"/>
    <xf numFmtId="165" fontId="10" fillId="0" borderId="0" xfId="1" applyNumberFormat="1" applyFont="1"/>
    <xf numFmtId="0" fontId="0" fillId="6" borderId="0" xfId="1" applyNumberFormat="1" applyFont="1" applyFill="1"/>
    <xf numFmtId="0" fontId="0" fillId="0" borderId="7" xfId="0" quotePrefix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164" fontId="0" fillId="0" borderId="12" xfId="1" applyNumberFormat="1" applyFont="1" applyBorder="1" applyAlignment="1">
      <alignment vertical="center"/>
    </xf>
    <xf numFmtId="164" fontId="0" fillId="6" borderId="12" xfId="1" applyNumberFormat="1" applyFont="1" applyFill="1" applyBorder="1" applyAlignment="1">
      <alignment vertical="center"/>
    </xf>
    <xf numFmtId="177" fontId="2" fillId="8" borderId="0" xfId="1" applyNumberFormat="1" applyFont="1" applyFill="1" applyAlignment="1">
      <alignment horizontal="right"/>
    </xf>
    <xf numFmtId="178" fontId="2" fillId="8" borderId="0" xfId="1" applyNumberFormat="1" applyFont="1" applyFill="1" applyAlignment="1">
      <alignment horizontal="right"/>
    </xf>
    <xf numFmtId="0" fontId="16" fillId="8" borderId="0" xfId="0" applyFont="1" applyFill="1"/>
    <xf numFmtId="167" fontId="19" fillId="8" borderId="0" xfId="1" applyNumberFormat="1" applyFont="1" applyFill="1" applyAlignment="1">
      <alignment horizontal="right"/>
    </xf>
    <xf numFmtId="167" fontId="16" fillId="0" borderId="0" xfId="0" applyNumberFormat="1" applyFont="1"/>
    <xf numFmtId="0" fontId="16" fillId="12" borderId="0" xfId="0" applyFont="1" applyFill="1"/>
    <xf numFmtId="176" fontId="2" fillId="3" borderId="0" xfId="0" applyNumberFormat="1" applyFont="1" applyFill="1"/>
    <xf numFmtId="175" fontId="2" fillId="3" borderId="0" xfId="0" applyNumberFormat="1" applyFont="1" applyFill="1"/>
    <xf numFmtId="174" fontId="2" fillId="3" borderId="0" xfId="0" applyNumberFormat="1" applyFont="1" applyFill="1"/>
    <xf numFmtId="164" fontId="2" fillId="12" borderId="0" xfId="1" applyNumberFormat="1" applyFont="1" applyFill="1"/>
    <xf numFmtId="164" fontId="2" fillId="12" borderId="0" xfId="0" applyNumberFormat="1" applyFont="1" applyFill="1"/>
    <xf numFmtId="177" fontId="19" fillId="8" borderId="0" xfId="1" applyNumberFormat="1" applyFont="1" applyFill="1" applyAlignment="1">
      <alignment horizontal="right"/>
    </xf>
    <xf numFmtId="0" fontId="0" fillId="0" borderId="0" xfId="0" applyAlignment="1">
      <alignment horizontal="right"/>
    </xf>
    <xf numFmtId="176" fontId="0" fillId="0" borderId="0" xfId="0" applyNumberFormat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164" fontId="0" fillId="0" borderId="13" xfId="1" applyNumberFormat="1" applyFont="1" applyBorder="1" applyAlignment="1">
      <alignment vertical="center"/>
    </xf>
    <xf numFmtId="164" fontId="0" fillId="6" borderId="13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1">
    <dxf>
      <font>
        <color rgb="FFFF000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337815353247745E-3"/>
          <c:y val="7.1954189288836817E-2"/>
          <c:w val="0.99486621846467527"/>
          <c:h val="0.800415089179948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'S6'!$C$48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'S6'!$A$49:$B$68</c:f>
            </c:multiLvlStrRef>
          </c:cat>
          <c:val>
            <c:numRef>
              <c:f>'S6'!$C$49:$C$68</c:f>
            </c:numRef>
          </c:val>
          <c:extLst>
            <c:ext xmlns:c16="http://schemas.microsoft.com/office/drawing/2014/chart" uri="{C3380CC4-5D6E-409C-BE32-E72D297353CC}">
              <c16:uniqueId val="{00000001-D782-4A1B-A988-2153EE4DE0A0}"/>
            </c:ext>
          </c:extLst>
        </c:ser>
        <c:ser>
          <c:idx val="1"/>
          <c:order val="1"/>
          <c:tx>
            <c:strRef>
              <c:f>'S6'!$D$48</c:f>
              <c:strCache>
                <c:ptCount val="1"/>
                <c:pt idx="0">
                  <c:v>Hidden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'S6'!$A$49:$B$68</c:f>
            </c:multiLvlStrRef>
          </c:cat>
          <c:val>
            <c:numRef>
              <c:f>'S6'!$D$49:$D$68</c:f>
            </c:numRef>
          </c:val>
          <c:extLst>
            <c:ext xmlns:c16="http://schemas.microsoft.com/office/drawing/2014/chart" uri="{C3380CC4-5D6E-409C-BE32-E72D297353CC}">
              <c16:uniqueId val="{00000002-D782-4A1B-A988-2153EE4DE0A0}"/>
            </c:ext>
          </c:extLst>
        </c:ser>
        <c:ser>
          <c:idx val="2"/>
          <c:order val="2"/>
          <c:tx>
            <c:strRef>
              <c:f>'S6'!$E$48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'S6'!$A$49:$B$68</c:f>
            </c:multiLvlStrRef>
          </c:cat>
          <c:val>
            <c:numRef>
              <c:f>'S6'!$E$49:$E$68</c:f>
            </c:numRef>
          </c:val>
          <c:extLst>
            <c:ext xmlns:c16="http://schemas.microsoft.com/office/drawing/2014/chart" uri="{C3380CC4-5D6E-409C-BE32-E72D297353CC}">
              <c16:uniqueId val="{00000006-D782-4A1B-A988-2153EE4DE0A0}"/>
            </c:ext>
          </c:extLst>
        </c:ser>
        <c:ser>
          <c:idx val="3"/>
          <c:order val="3"/>
          <c:tx>
            <c:strRef>
              <c:f>'S6'!$F$48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'S6'!$A$49:$B$68</c:f>
            </c:multiLvlStrRef>
          </c:cat>
          <c:val>
            <c:numRef>
              <c:f>'S6'!$F$49:$F$68</c:f>
            </c:numRef>
          </c:val>
          <c:extLst>
            <c:ext xmlns:c16="http://schemas.microsoft.com/office/drawing/2014/chart" uri="{C3380CC4-5D6E-409C-BE32-E72D297353CC}">
              <c16:uniqueId val="{0000000D-D782-4A1B-A988-2153EE4DE0A0}"/>
            </c:ext>
          </c:extLst>
        </c:ser>
        <c:ser>
          <c:idx val="4"/>
          <c:order val="4"/>
          <c:tx>
            <c:strRef>
              <c:f>'S6'!$G$48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'S6'!$A$49:$B$68</c:f>
            </c:multiLvlStrRef>
          </c:cat>
          <c:val>
            <c:numRef>
              <c:f>'S6'!$G$49:$G$68</c:f>
            </c:numRef>
          </c:val>
          <c:extLst>
            <c:ext xmlns:c16="http://schemas.microsoft.com/office/drawing/2014/chart" uri="{C3380CC4-5D6E-409C-BE32-E72D297353CC}">
              <c16:uniqueId val="{00000010-D782-4A1B-A988-2153EE4DE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02094719"/>
        <c:axId val="702093759"/>
      </c:barChart>
      <c:catAx>
        <c:axId val="70209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3759"/>
        <c:crosses val="autoZero"/>
        <c:auto val="1"/>
        <c:lblAlgn val="ctr"/>
        <c:lblOffset val="100"/>
        <c:noMultiLvlLbl val="0"/>
      </c:catAx>
      <c:valAx>
        <c:axId val="702093759"/>
        <c:scaling>
          <c:orientation val="minMax"/>
        </c:scaling>
        <c:delete val="0"/>
        <c:axPos val="l"/>
        <c:numFmt formatCode="_(* #,##0,,,_);_(* \(#,##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3017138434919806"/>
          <c:w val="1"/>
          <c:h val="0.5633612274929702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'S6'!$C$102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048190976199894E-3"/>
                  <c:y val="-0.331984233989389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'S6'!$B$103:$B$109</c:f>
              <c:strCache>
                <c:ptCount val="7"/>
                <c:pt idx="0">
                  <c:v>KH T12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T12</c:v>
                </c:pt>
              </c:strCache>
            </c:strRef>
          </c:cat>
          <c:val>
            <c:numRef>
              <c:f>'S6'!$C$103:$C$109</c:f>
              <c:numCache>
                <c:formatCode>_(* #,##0,,,_);_(* \(#,##0,,,\);;_(@_)</c:formatCode>
                <c:ptCount val="7"/>
                <c:pt idx="0">
                  <c:v>207862203900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C-46E0-8009-000AD0B62F8B}"/>
            </c:ext>
          </c:extLst>
        </c:ser>
        <c:ser>
          <c:idx val="1"/>
          <c:order val="1"/>
          <c:tx>
            <c:strRef>
              <c:f>'S6'!$D$102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'S6'!$B$103:$B$109</c:f>
              <c:strCache>
                <c:ptCount val="7"/>
                <c:pt idx="0">
                  <c:v>KH T12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T12</c:v>
                </c:pt>
              </c:strCache>
            </c:strRef>
          </c:cat>
          <c:val>
            <c:numRef>
              <c:f>'S6'!$D$103:$D$109</c:f>
              <c:numCache>
                <c:formatCode>_(* #,##0,,,_);_(* \(#,##0,,,\);;_(@_)</c:formatCode>
                <c:ptCount val="7"/>
                <c:pt idx="1">
                  <c:v>107007180878.74585</c:v>
                </c:pt>
                <c:pt idx="2">
                  <c:v>106240984660.18051</c:v>
                </c:pt>
                <c:pt idx="3">
                  <c:v>101241476423.31848</c:v>
                </c:pt>
                <c:pt idx="4">
                  <c:v>101241476423.31848</c:v>
                </c:pt>
                <c:pt idx="5">
                  <c:v>101435082581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C-46E0-8009-000AD0B62F8B}"/>
            </c:ext>
          </c:extLst>
        </c:ser>
        <c:ser>
          <c:idx val="2"/>
          <c:order val="2"/>
          <c:tx>
            <c:strRef>
              <c:f>'S6'!$E$102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-1.3048190976199894E-3"/>
                  <c:y val="-5.6606359135326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7C-46E0-8009-000AD0B62F8B}"/>
                </c:ext>
              </c:extLst>
            </c:dLbl>
            <c:dLbl>
              <c:idx val="5"/>
              <c:layout>
                <c:manualLayout>
                  <c:x val="0"/>
                  <c:y val="-6.87669965066698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'S6'!$B$103:$B$109</c:f>
              <c:strCache>
                <c:ptCount val="7"/>
                <c:pt idx="0">
                  <c:v>KH T12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T12</c:v>
                </c:pt>
              </c:strCache>
            </c:strRef>
          </c:cat>
          <c:val>
            <c:numRef>
              <c:f>'S6'!$E$103:$E$109</c:f>
              <c:numCache>
                <c:formatCode>[Color10]\▲_(* #,##0.0,,,_);_(* \(#,##0.0,,,\);;_(@_)</c:formatCode>
                <c:ptCount val="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3784228651.135006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7C-46E0-8009-000AD0B62F8B}"/>
            </c:ext>
          </c:extLst>
        </c:ser>
        <c:ser>
          <c:idx val="3"/>
          <c:order val="3"/>
          <c:tx>
            <c:strRef>
              <c:f>'S6'!$F$102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6096381952399788E-3"/>
                  <c:y val="-0.172397735645670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7C-46E0-8009-000AD0B62F8B}"/>
                </c:ext>
              </c:extLst>
            </c:dLbl>
            <c:dLbl>
              <c:idx val="3"/>
              <c:layout>
                <c:manualLayout>
                  <c:x val="-2.6096381952399788E-3"/>
                  <c:y val="0.1134187740451983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7C-46E0-8009-000AD0B62F8B}"/>
                </c:ext>
              </c:extLst>
            </c:dLbl>
            <c:dLbl>
              <c:idx val="5"/>
              <c:layout>
                <c:manualLayout>
                  <c:x val="-9.5685628456920788E-17"/>
                  <c:y val="6.25009111314649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'S6'!$B$103:$B$109</c:f>
              <c:strCache>
                <c:ptCount val="7"/>
                <c:pt idx="0">
                  <c:v>KH T12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T12</c:v>
                </c:pt>
              </c:strCache>
            </c:strRef>
          </c:cat>
          <c:val>
            <c:numRef>
              <c:f>'S6'!$F$103:$F$109</c:f>
              <c:numCache>
                <c:formatCode>[Color3]\▼_(* #,##0.0,,,_);_(* \(#,##0.0,,,\);;_(@_)</c:formatCode>
                <c:ptCount val="7"/>
                <c:pt idx="1">
                  <c:v>100855023021.25415</c:v>
                </c:pt>
                <c:pt idx="2">
                  <c:v>766196218.5653317</c:v>
                </c:pt>
                <c:pt idx="3">
                  <c:v>4999508236.8620253</c:v>
                </c:pt>
                <c:pt idx="4">
                  <c:v>0</c:v>
                </c:pt>
                <c:pt idx="5">
                  <c:v>3590622493.4534883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37C-46E0-8009-000AD0B62F8B}"/>
            </c:ext>
          </c:extLst>
        </c:ser>
        <c:ser>
          <c:idx val="4"/>
          <c:order val="4"/>
          <c:tx>
            <c:strRef>
              <c:f>'S6'!$G$102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37C-46E0-8009-000AD0B62F8B}"/>
              </c:ext>
            </c:extLst>
          </c:dPt>
          <c:dLbls>
            <c:dLbl>
              <c:idx val="6"/>
              <c:layout>
                <c:manualLayout>
                  <c:x val="1.3110863389550146E-3"/>
                  <c:y val="-0.1804394340197121"/>
                </c:manualLayout>
              </c:layout>
              <c:tx>
                <c:rich>
                  <a:bodyPr/>
                  <a:lstStyle/>
                  <a:p>
                    <a:fld id="{A18D93A5-2DF4-4CF0-83C7-E7C789FFF98A}" type="VALUE">
                      <a:rPr lang="en-US" sz="250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'S6'!$B$103:$B$109</c:f>
              <c:strCache>
                <c:ptCount val="7"/>
                <c:pt idx="0">
                  <c:v>KH T12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T12</c:v>
                </c:pt>
              </c:strCache>
            </c:strRef>
          </c:cat>
          <c:val>
            <c:numRef>
              <c:f>'S6'!$G$103:$G$109</c:f>
              <c:numCache>
                <c:formatCode>_(* #,##0,,,_);_(* \(#,##0,,,\);;_(@_)</c:formatCode>
                <c:ptCount val="7"/>
                <c:pt idx="6">
                  <c:v>101435082581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7C-46E0-8009-000AD0B62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10667535"/>
        <c:axId val="710674255"/>
      </c:barChart>
      <c:catAx>
        <c:axId val="71066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74255"/>
        <c:crosses val="autoZero"/>
        <c:auto val="1"/>
        <c:lblAlgn val="ctr"/>
        <c:lblOffset val="100"/>
        <c:noMultiLvlLbl val="0"/>
      </c:catAx>
      <c:valAx>
        <c:axId val="710674255"/>
        <c:scaling>
          <c:orientation val="minMax"/>
        </c:scaling>
        <c:delete val="0"/>
        <c:axPos val="l"/>
        <c:numFmt formatCode="_(* #,##0,,,_);_(* \(#,##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6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500" b="1">
                <a:solidFill>
                  <a:srgbClr val="00B050"/>
                </a:solidFill>
              </a:rPr>
              <a:t>SẢN</a:t>
            </a:r>
            <a:r>
              <a:rPr lang="en-US" sz="2500" b="1" baseline="0">
                <a:solidFill>
                  <a:srgbClr val="00B050"/>
                </a:solidFill>
              </a:rPr>
              <a:t> LƯỢNG SẢN PHẨM CHÍNH</a:t>
            </a:r>
            <a:endParaRPr lang="en-US" sz="25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2403593685981883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58218263233537"/>
          <c:y val="0.13760306846824016"/>
          <c:w val="0.80541460522243546"/>
          <c:h val="0.84363540264844983"/>
        </c:manualLayout>
      </c:layout>
      <c:barChart>
        <c:barDir val="bar"/>
        <c:grouping val="clustered"/>
        <c:varyColors val="0"/>
        <c:ser>
          <c:idx val="0"/>
          <c:order val="0"/>
          <c:tx>
            <c:v>Kế hoạch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3C93F69-9A27-48C0-83DB-9A8840FEF7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ABF-427B-ABEF-088631495A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8FE726F-F3F9-457B-A174-3A2D03962C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ABF-427B-ABEF-088631495AD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37E5E68-7934-4039-8991-F647E3451A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ABF-427B-ABEF-088631495A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0F9A4C1-83DD-4FAD-AEBD-185DCA37E3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ABF-427B-ABEF-088631495AD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BBB2E38-FE2B-42D7-B90F-F1EDCD3418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ABF-427B-ABEF-088631495AD8}"/>
                </c:ext>
              </c:extLst>
            </c:dLbl>
            <c:numFmt formatCode="_(* #,##0,_);_(* \(#,##0,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'S6'!$A$8:$A$12</c:f>
              <c:strCache>
                <c:ptCount val="5"/>
                <c:pt idx="0">
                  <c:v>rPET</c:v>
                </c:pt>
                <c:pt idx="1">
                  <c:v>rHDPE thổi</c:v>
                </c:pt>
                <c:pt idx="2">
                  <c:v>rHDPE ép</c:v>
                </c:pt>
                <c:pt idx="3">
                  <c:v>rPP</c:v>
                </c:pt>
                <c:pt idx="4">
                  <c:v>Xơ sợi</c:v>
                </c:pt>
              </c:strCache>
            </c:strRef>
          </c:cat>
          <c:val>
            <c:numRef>
              <c:f>'S6'!$B$8:$B$12</c:f>
              <c:numCache>
                <c:formatCode>_(* #,##0_);_(* \(#,##0\);_(* "-"??_);_(@_)</c:formatCode>
                <c:ptCount val="5"/>
                <c:pt idx="0">
                  <c:v>4674770.0000000009</c:v>
                </c:pt>
                <c:pt idx="1">
                  <c:v>916000</c:v>
                </c:pt>
                <c:pt idx="2">
                  <c:v>162750</c:v>
                </c:pt>
                <c:pt idx="3">
                  <c:v>87440</c:v>
                </c:pt>
                <c:pt idx="4">
                  <c:v>100000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'S6'!$U$8:$U$12</c15:f>
                <c15:dlblRangeCache>
                  <c:ptCount val="5"/>
                  <c:pt idx="0">
                    <c:v>4,675 | 78.7%</c:v>
                  </c:pt>
                  <c:pt idx="1">
                    <c:v>916 | 15.4%</c:v>
                  </c:pt>
                  <c:pt idx="2">
                    <c:v>163 | 2.7%</c:v>
                  </c:pt>
                  <c:pt idx="3">
                    <c:v>87 | 1.5%</c:v>
                  </c:pt>
                  <c:pt idx="4">
                    <c:v>100 | 1.7%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ABF-427B-ABEF-088631495AD8}"/>
            </c:ext>
          </c:extLst>
        </c:ser>
        <c:ser>
          <c:idx val="1"/>
          <c:order val="1"/>
          <c:tx>
            <c:v>Thực tế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1928A5E-D134-45D1-8974-F4494DDDC5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ABF-427B-ABEF-088631495A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9BE50C7-BBE0-41FC-879D-2D66A954FB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ABF-427B-ABEF-088631495AD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017B7A9-7CE4-4A7B-8496-B51964B2BB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ABF-427B-ABEF-088631495A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EB3EF45-4715-4E2C-99A0-849E1D6022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ABF-427B-ABEF-088631495AD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A70937F-0533-43CF-B89D-2A32024F1E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ABF-427B-ABEF-088631495AD8}"/>
                </c:ext>
              </c:extLst>
            </c:dLbl>
            <c:numFmt formatCode="_(* #,##0,_);_(* \(#,##0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'S6'!$A$8:$A$12</c:f>
              <c:strCache>
                <c:ptCount val="5"/>
                <c:pt idx="0">
                  <c:v>rPET</c:v>
                </c:pt>
                <c:pt idx="1">
                  <c:v>rHDPE thổi</c:v>
                </c:pt>
                <c:pt idx="2">
                  <c:v>rHDPE ép</c:v>
                </c:pt>
                <c:pt idx="3">
                  <c:v>rPP</c:v>
                </c:pt>
                <c:pt idx="4">
                  <c:v>Xơ sợi</c:v>
                </c:pt>
              </c:strCache>
            </c:strRef>
          </c:cat>
          <c:val>
            <c:numRef>
              <c:f>'S6'!$C$8:$C$12</c:f>
              <c:numCache>
                <c:formatCode>_(* #,##0_);_(* \(#,##0\);_(* "-"??_);_(@_)</c:formatCode>
                <c:ptCount val="5"/>
                <c:pt idx="0">
                  <c:v>2255200</c:v>
                </c:pt>
                <c:pt idx="1">
                  <c:v>272500</c:v>
                </c:pt>
                <c:pt idx="2">
                  <c:v>115150</c:v>
                </c:pt>
                <c:pt idx="3">
                  <c:v>23750</c:v>
                </c:pt>
                <c:pt idx="4">
                  <c:v>110050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'S6'!$V$8:$V$12</c15:f>
                <c15:dlblRangeCache>
                  <c:ptCount val="5"/>
                  <c:pt idx="0">
                    <c:v>2,255 | 81.2%</c:v>
                  </c:pt>
                  <c:pt idx="1">
                    <c:v>273 | 9.8%</c:v>
                  </c:pt>
                  <c:pt idx="2">
                    <c:v>115 | 4.1%</c:v>
                  </c:pt>
                  <c:pt idx="3">
                    <c:v>24 | 0.9%</c:v>
                  </c:pt>
                  <c:pt idx="4">
                    <c:v>110 | 4.0%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DABF-427B-ABEF-088631495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0"/>
        <c:axId val="945590704"/>
        <c:axId val="945589264"/>
      </c:barChart>
      <c:catAx>
        <c:axId val="94559070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89264"/>
        <c:crosses val="autoZero"/>
        <c:auto val="1"/>
        <c:lblAlgn val="ctr"/>
        <c:lblOffset val="100"/>
        <c:noMultiLvlLbl val="0"/>
      </c:catAx>
      <c:valAx>
        <c:axId val="945589264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9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8770109972001482"/>
          <c:y val="8.1495249647470139E-2"/>
          <c:w val="0.22054532359607915"/>
          <c:h val="6.93327177890292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AD-4061-B5B0-88E69B48DBE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12722412765884"/>
                      <c:h val="0.186524085479414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8AD-4061-B5B0-88E69B48DBE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1577701560312"/>
                      <c:h val="0.15352078514938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8AD-4061-B5B0-88E69B48D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'S7'!$P$20:$Q$20</c:f>
              <c:numCache>
                <c:formatCode>_(* #,##0.0_);_(* \(#,##0.0\);_(* "-"??_);_(@_)</c:formatCode>
                <c:ptCount val="2"/>
                <c:pt idx="0">
                  <c:v>150.67309750000001</c:v>
                </c:pt>
                <c:pt idx="1">
                  <c:v>73.015651602089662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AD-4061-B5B0-88E69B48D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7C-4E65-9F9B-8C5F5B21A57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17958874772556"/>
                      <c:h val="0.395544987569623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A7C-4E65-9F9B-8C5F5B21A57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A7C-4E65-9F9B-8C5F5B21A5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'S7'!$P$21:$Q$21</c:f>
              <c:numCache>
                <c:formatCode>_(* #,##0.0_);_(* \(#,##0.0\);_(* "-"??_);_(@_)</c:formatCode>
                <c:ptCount val="2"/>
                <c:pt idx="0">
                  <c:v>30.613</c:v>
                </c:pt>
                <c:pt idx="1">
                  <c:v>8.9262646560000025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7C-4E65-9F9B-8C5F5B21A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35-443C-80D8-2C2363B624A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35-443C-80D8-2C2363B624A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35-443C-80D8-2C2363B624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'S7'!$P$22:$Q$22</c:f>
              <c:numCache>
                <c:formatCode>_(* #,##0.0_);_(* \(#,##0.0\);_(* "-"??_);_(@_)</c:formatCode>
                <c:ptCount val="2"/>
                <c:pt idx="0">
                  <c:v>3.3665625000000001</c:v>
                </c:pt>
                <c:pt idx="1">
                  <c:v>2.0754435493157728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35-443C-80D8-2C2363B62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D0-4A26-A79A-91DAD7A5242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AD0-4A26-A79A-91DAD7A5242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D0-4A26-A79A-91DAD7A524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'S7'!$P$23:$Q$23</c:f>
              <c:numCache>
                <c:formatCode>_(* #,##0.0_);_(* \(#,##0.0\);_(* "-"??_);_(@_)</c:formatCode>
                <c:ptCount val="2"/>
                <c:pt idx="0">
                  <c:v>1.9516249999999999</c:v>
                </c:pt>
                <c:pt idx="1">
                  <c:v>0.47297835502386337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D0-4A26-A79A-91DAD7A52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D3-4F25-A731-94455C4AF5E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D3-4F25-A731-94455C4AF5E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D3-4F25-A731-94455C4AF5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'S7'!$P$24:$Q$24</c:f>
              <c:numCache>
                <c:formatCode>_(* #,##0.0_);_(* \(#,##0.0\);_(* "-"??_);_(@_)</c:formatCode>
                <c:ptCount val="2"/>
                <c:pt idx="0">
                  <c:v>2.75</c:v>
                </c:pt>
                <c:pt idx="1">
                  <c:v>2.0274480120241893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D3-4F25-A731-94455C4AF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762-42CB-A2D2-2AE154B0F2A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762-42CB-A2D2-2AE154B0F2A0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762-42CB-A2D2-2AE154B0F2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'S7'!$P$5:$Q$5</c:f>
              <c:numCache>
                <c:formatCode>"$"#,##0_);\("$"#,##0\)</c:formatCode>
                <c:ptCount val="2"/>
                <c:pt idx="0">
                  <c:v>1289.2450109844976</c:v>
                </c:pt>
                <c:pt idx="1">
                  <c:v>1238.3635099956011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62-42CB-A2D2-2AE154B0F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0E9-44C4-9CA3-9BB9B7CA5ED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0E9-44C4-9CA3-9BB9B7CA5ED4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E9-44C4-9CA3-9BB9B7CA5E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'S7'!$P$7:$Q$7</c:f>
              <c:numCache>
                <c:formatCode>"$"#,##0_);\("$"#,##0\)</c:formatCode>
                <c:ptCount val="2"/>
                <c:pt idx="0">
                  <c:v>1336.8122270742358</c:v>
                </c:pt>
                <c:pt idx="1">
                  <c:v>1253.263925299246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E9-44C4-9CA3-9BB9B7CA5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136-49E8-9229-D946A2F8955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136-49E8-9229-D946A2F8955C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136-49E8-9229-D946A2F895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'S7'!$P$9:$Q$9</c:f>
              <c:numCache>
                <c:formatCode>"$"#,##0_);\("$"#,##0\)</c:formatCode>
                <c:ptCount val="2"/>
                <c:pt idx="0">
                  <c:v>827.41935483870964</c:v>
                </c:pt>
                <c:pt idx="1">
                  <c:v>689.58256002005498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6-49E8-9229-D946A2F89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61B-4877-8445-B72413FE763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61B-4877-8445-B72413FE7631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61B-4877-8445-B72413FE7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'S7'!$P$11:$Q$11</c:f>
              <c:numCache>
                <c:formatCode>"$"#,##0_);\("$"#,##0\)</c:formatCode>
                <c:ptCount val="2"/>
                <c:pt idx="0">
                  <c:v>892.7836230558097</c:v>
                </c:pt>
                <c:pt idx="1">
                  <c:v>761.93327229799092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1B-4877-8445-B72413FE7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91F-4CB4-B1D4-584DEDCE38C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91F-4CB4-B1D4-584DEDCE38CE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91F-4CB4-B1D4-584DEDCE38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'S7'!$P$19:$Q$19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'S7'!$P$13:$Q$13</c:f>
              <c:numCache>
                <c:formatCode>"$"#,##0_);\("$"#,##0\)</c:formatCode>
                <c:ptCount val="2"/>
                <c:pt idx="0">
                  <c:v>1100</c:v>
                </c:pt>
                <c:pt idx="1">
                  <c:v>704.85367145142538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1F-4CB4-B1D4-584DEDCE3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205337539311291E-2"/>
          <c:y val="3.4205985453949275E-2"/>
          <c:w val="0.96958925797680617"/>
          <c:h val="0.8006518614351096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'S7'!$C$2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862772106425238E-3"/>
                  <c:y val="-0.376365773697773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'S7'!$A$3:$B$17</c:f>
              <c:multiLvlStrCache>
                <c:ptCount val="15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Sản lượng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Sản lượng</c:v>
                  </c:pt>
                  <c:pt idx="10">
                    <c:v>Giá bán</c:v>
                  </c:pt>
                  <c:pt idx="13">
                    <c:v>Cp vận chuyển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T12</c:v>
                  </c:pt>
                </c:lvl>
              </c:multiLvlStrCache>
            </c:multiLvlStrRef>
          </c:cat>
          <c:val>
            <c:numRef>
              <c:f>'S7'!$C$3:$C$17</c:f>
              <c:numCache>
                <c:formatCode>_(* #,##0,,,_);_(* \(#,##0,,,\);;_(@_)</c:formatCode>
                <c:ptCount val="15"/>
                <c:pt idx="0">
                  <c:v>207862203900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09-431A-A2BB-B1B903F80F71}"/>
            </c:ext>
          </c:extLst>
        </c:ser>
        <c:ser>
          <c:idx val="1"/>
          <c:order val="1"/>
          <c:tx>
            <c:strRef>
              <c:f>'S7'!$D$2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'S7'!$A$3:$B$17</c:f>
              <c:multiLvlStrCache>
                <c:ptCount val="15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Sản lượng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Sản lượng</c:v>
                  </c:pt>
                  <c:pt idx="10">
                    <c:v>Giá bán</c:v>
                  </c:pt>
                  <c:pt idx="13">
                    <c:v>Cp vận chuyển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T12</c:v>
                  </c:pt>
                </c:lvl>
              </c:multiLvlStrCache>
            </c:multiLvlStrRef>
          </c:cat>
          <c:val>
            <c:numRef>
              <c:f>'S7'!$D$3:$D$17</c:f>
              <c:numCache>
                <c:formatCode>_(* #,##0,,,_);_(* \(#,##0,,,\);;_(@_)</c:formatCode>
                <c:ptCount val="15"/>
                <c:pt idx="1">
                  <c:v>129876740119.30595</c:v>
                </c:pt>
                <c:pt idx="2">
                  <c:v>127008041093.55197</c:v>
                </c:pt>
                <c:pt idx="3">
                  <c:v>105502074390.49521</c:v>
                </c:pt>
                <c:pt idx="4">
                  <c:v>104932901584.65309</c:v>
                </c:pt>
                <c:pt idx="5">
                  <c:v>103948272552.39502</c:v>
                </c:pt>
                <c:pt idx="6">
                  <c:v>103551474879.31082</c:v>
                </c:pt>
                <c:pt idx="7">
                  <c:v>102129940155.50021</c:v>
                </c:pt>
                <c:pt idx="8">
                  <c:v>102052247759.73776</c:v>
                </c:pt>
                <c:pt idx="9">
                  <c:v>102052247759.73776</c:v>
                </c:pt>
                <c:pt idx="10">
                  <c:v>101241476423.3185</c:v>
                </c:pt>
                <c:pt idx="11">
                  <c:v>101241476423.3185</c:v>
                </c:pt>
                <c:pt idx="12">
                  <c:v>105025705074.45349</c:v>
                </c:pt>
                <c:pt idx="13">
                  <c:v>101435082581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09-431A-A2BB-B1B903F80F71}"/>
            </c:ext>
          </c:extLst>
        </c:ser>
        <c:ser>
          <c:idx val="2"/>
          <c:order val="2"/>
          <c:tx>
            <c:strRef>
              <c:f>'S7'!$E$2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-1.0138879298500602E-16"/>
                  <c:y val="-2.960207924149724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09-431A-A2BB-B1B903F80F71}"/>
                </c:ext>
              </c:extLst>
            </c:dLbl>
            <c:dLbl>
              <c:idx val="11"/>
              <c:layout>
                <c:manualLayout>
                  <c:x val="0"/>
                  <c:y val="-3.634875160729677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09-431A-A2BB-B1B903F80F71}"/>
                </c:ext>
              </c:extLst>
            </c:dLbl>
            <c:dLbl>
              <c:idx val="12"/>
              <c:layout>
                <c:manualLayout>
                  <c:x val="0"/>
                  <c:y val="-3.26947285378386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'S7'!$A$3:$B$17</c:f>
              <c:multiLvlStrCache>
                <c:ptCount val="15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Sản lượng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Sản lượng</c:v>
                  </c:pt>
                  <c:pt idx="10">
                    <c:v>Giá bán</c:v>
                  </c:pt>
                  <c:pt idx="13">
                    <c:v>Cp vận chuyển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T12</c:v>
                  </c:pt>
                </c:lvl>
              </c:multiLvlStrCache>
            </c:multiLvlStrRef>
          </c:cat>
          <c:val>
            <c:numRef>
              <c:f>'S7'!$E$3:$E$17</c:f>
              <c:numCache>
                <c:formatCode>[Color10]\▲_(* #,##0.0,,,_);_(* \(#,##0.0,,,\);;_(@_)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276374999.99999988</c:v>
                </c:pt>
                <c:pt idx="10">
                  <c:v>0</c:v>
                </c:pt>
                <c:pt idx="11">
                  <c:v>3784228651.1349926</c:v>
                </c:pt>
                <c:pt idx="12">
                  <c:v>6612771965.6236877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09-431A-A2BB-B1B903F80F71}"/>
            </c:ext>
          </c:extLst>
        </c:ser>
        <c:ser>
          <c:idx val="3"/>
          <c:order val="3"/>
          <c:tx>
            <c:strRef>
              <c:f>'S7'!$F$2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0.19668517726426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09-431A-A2BB-B1B903F80F71}"/>
                </c:ext>
              </c:extLst>
            </c:dLbl>
            <c:dLbl>
              <c:idx val="2"/>
              <c:layout>
                <c:manualLayout>
                  <c:x val="-1.3799810388432064E-3"/>
                  <c:y val="-4.194250235482977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09-431A-A2BB-B1B903F80F71}"/>
                </c:ext>
              </c:extLst>
            </c:dLbl>
            <c:dLbl>
              <c:idx val="3"/>
              <c:layout>
                <c:manualLayout>
                  <c:x val="-1.3825904214135858E-3"/>
                  <c:y val="5.69018383236071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09-431A-A2BB-B1B903F80F71}"/>
                </c:ext>
              </c:extLst>
            </c:dLbl>
            <c:dLbl>
              <c:idx val="13"/>
              <c:layout>
                <c:manualLayout>
                  <c:x val="0"/>
                  <c:y val="5.315554015260286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'S7'!$A$3:$B$17</c:f>
              <c:multiLvlStrCache>
                <c:ptCount val="15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Sản lượng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Sản lượng</c:v>
                  </c:pt>
                  <c:pt idx="10">
                    <c:v>Giá bán</c:v>
                  </c:pt>
                  <c:pt idx="13">
                    <c:v>Cp vận chuyển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T12</c:v>
                  </c:pt>
                </c:lvl>
              </c:multiLvlStrCache>
            </c:multiLvlStrRef>
          </c:cat>
          <c:val>
            <c:numRef>
              <c:f>'S7'!$F$3:$F$17</c:f>
              <c:numCache>
                <c:formatCode>[Color3]\▼_(* #,##0.0,,,_);_(* \(#,##0.0,,,\);;_(@_)</c:formatCode>
                <c:ptCount val="15"/>
                <c:pt idx="1">
                  <c:v>77985463780.694046</c:v>
                </c:pt>
                <c:pt idx="2">
                  <c:v>2868699025.7539849</c:v>
                </c:pt>
                <c:pt idx="3">
                  <c:v>21505966703.056767</c:v>
                </c:pt>
                <c:pt idx="4">
                  <c:v>569172805.84211791</c:v>
                </c:pt>
                <c:pt idx="5">
                  <c:v>984629032.25806439</c:v>
                </c:pt>
                <c:pt idx="6">
                  <c:v>396797673.08420211</c:v>
                </c:pt>
                <c:pt idx="7">
                  <c:v>1421534723.8106129</c:v>
                </c:pt>
                <c:pt idx="8">
                  <c:v>77692395.762454897</c:v>
                </c:pt>
                <c:pt idx="9">
                  <c:v>0</c:v>
                </c:pt>
                <c:pt idx="10">
                  <c:v>1087146336.419266</c:v>
                </c:pt>
                <c:pt idx="11">
                  <c:v>0</c:v>
                </c:pt>
                <c:pt idx="12">
                  <c:v>0</c:v>
                </c:pt>
                <c:pt idx="13">
                  <c:v>10203394459.077179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509-431A-A2BB-B1B903F80F71}"/>
            </c:ext>
          </c:extLst>
        </c:ser>
        <c:ser>
          <c:idx val="4"/>
          <c:order val="4"/>
          <c:tx>
            <c:strRef>
              <c:f>'S7'!$G$2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4"/>
              <c:layout>
                <c:manualLayout>
                  <c:x val="-1.4732343064655503E-3"/>
                  <c:y val="-0.1804839224626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'S7'!$A$3:$B$17</c:f>
              <c:multiLvlStrCache>
                <c:ptCount val="15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Sản lượng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Sản lượng</c:v>
                  </c:pt>
                  <c:pt idx="10">
                    <c:v>Giá bán</c:v>
                  </c:pt>
                  <c:pt idx="13">
                    <c:v>Cp vận chuyển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T12</c:v>
                  </c:pt>
                </c:lvl>
              </c:multiLvlStrCache>
            </c:multiLvlStrRef>
          </c:cat>
          <c:val>
            <c:numRef>
              <c:f>'S7'!$G$3:$G$17</c:f>
              <c:numCache>
                <c:formatCode>_(* #,##0,,,_);_(* \(#,##0,,,\);;_(@_)</c:formatCode>
                <c:ptCount val="15"/>
                <c:pt idx="14" formatCode="_(* #,##0.0,,,_);_(* \(#,##0.0,,,\);;_(@_)">
                  <c:v>101435082581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509-431A-A2BB-B1B903F80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37930992"/>
        <c:axId val="2037940592"/>
      </c:barChart>
      <c:catAx>
        <c:axId val="20379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ysDot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40592"/>
        <c:crosses val="autoZero"/>
        <c:auto val="1"/>
        <c:lblAlgn val="ctr"/>
        <c:lblOffset val="100"/>
        <c:noMultiLvlLbl val="0"/>
      </c:catAx>
      <c:valAx>
        <c:axId val="2037940592"/>
        <c:scaling>
          <c:orientation val="minMax"/>
        </c:scaling>
        <c:delete val="0"/>
        <c:axPos val="l"/>
        <c:numFmt formatCode="_(* #,##0,,,_);_(* \(#,##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3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201768933112217E-2"/>
          <c:y val="0.1511521788729181"/>
          <c:w val="0.96959646213377559"/>
          <c:h val="0.710829107090566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'S8'!$C$2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820486969646215E-3"/>
                  <c:y val="-0.35347424882989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0F-433C-86B7-783978EF91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'S8'!$A$3:$B$22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T12</c:v>
                  </c:pt>
                </c:lvl>
              </c:multiLvlStrCache>
            </c:multiLvlStrRef>
          </c:cat>
          <c:val>
            <c:numRef>
              <c:f>'S8'!$C$3:$C$22</c:f>
              <c:numCache>
                <c:formatCode>_(* #,##0,,,_);_(* \(#,##0,,,\);;_(@_)</c:formatCode>
                <c:ptCount val="20"/>
                <c:pt idx="0" formatCode="_(* #,##0.0,,,_);_(* \(#,##0.0,,,\);;_(@_)">
                  <c:v>48578488545.356415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F-433C-86B7-783978EF9102}"/>
            </c:ext>
          </c:extLst>
        </c:ser>
        <c:ser>
          <c:idx val="1"/>
          <c:order val="1"/>
          <c:tx>
            <c:strRef>
              <c:f>'S8'!$D$2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'S8'!$A$3:$B$22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T12</c:v>
                  </c:pt>
                </c:lvl>
              </c:multiLvlStrCache>
            </c:multiLvlStrRef>
          </c:cat>
          <c:val>
            <c:numRef>
              <c:f>'S8'!$D$3:$D$22</c:f>
              <c:numCache>
                <c:formatCode>_(* #,##0,,,_);_(* \(#,##0,,,\);;_(@_)</c:formatCode>
                <c:ptCount val="20"/>
                <c:pt idx="1">
                  <c:v>33657980409.359306</c:v>
                </c:pt>
                <c:pt idx="2">
                  <c:v>30789281383.60532</c:v>
                </c:pt>
                <c:pt idx="3">
                  <c:v>28560532147.695328</c:v>
                </c:pt>
                <c:pt idx="4">
                  <c:v>24788292582.854317</c:v>
                </c:pt>
                <c:pt idx="5">
                  <c:v>24219119777.012199</c:v>
                </c:pt>
                <c:pt idx="6">
                  <c:v>24014309022.21701</c:v>
                </c:pt>
                <c:pt idx="7">
                  <c:v>23761224146.822922</c:v>
                </c:pt>
                <c:pt idx="8">
                  <c:v>23364426473.73872</c:v>
                </c:pt>
                <c:pt idx="9">
                  <c:v>22151936493.211128</c:v>
                </c:pt>
                <c:pt idx="10">
                  <c:v>22151936493.211128</c:v>
                </c:pt>
                <c:pt idx="11">
                  <c:v>22350949341.172543</c:v>
                </c:pt>
                <c:pt idx="12">
                  <c:v>22279183668.401997</c:v>
                </c:pt>
                <c:pt idx="13">
                  <c:v>22278923941.862881</c:v>
                </c:pt>
                <c:pt idx="14">
                  <c:v>21191777605.443615</c:v>
                </c:pt>
                <c:pt idx="15">
                  <c:v>21191777605.443615</c:v>
                </c:pt>
                <c:pt idx="16">
                  <c:v>21340412031.655521</c:v>
                </c:pt>
                <c:pt idx="17">
                  <c:v>25124640682.790512</c:v>
                </c:pt>
                <c:pt idx="18">
                  <c:v>35166574502.999733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0F-433C-86B7-783978EF9102}"/>
            </c:ext>
          </c:extLst>
        </c:ser>
        <c:ser>
          <c:idx val="2"/>
          <c:order val="2"/>
          <c:tx>
            <c:strRef>
              <c:f>'S8'!$E$2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6"/>
              <c:layout>
                <c:manualLayout>
                  <c:x val="1.4190329413413124E-3"/>
                  <c:y val="8.86757914092672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0F-433C-86B7-783978EF91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'S8'!$A$3:$B$22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T12</c:v>
                  </c:pt>
                </c:lvl>
              </c:multiLvlStrCache>
            </c:multiLvlStrRef>
          </c:cat>
          <c:val>
            <c:numRef>
              <c:f>'S8'!$E$3:$E$22</c:f>
              <c:numCache>
                <c:formatCode>[Color10]\▲_(* #,##0.0,,,_);_(* \(#,##0.0,,,\);;_(@_)</c:formatCode>
                <c:ptCount val="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276705243.72387075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148634426.21190727</c:v>
                </c:pt>
                <c:pt idx="16">
                  <c:v>3784228651.1349926</c:v>
                </c:pt>
                <c:pt idx="17">
                  <c:v>20245328279.2864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0F-433C-86B7-783978EF9102}"/>
            </c:ext>
          </c:extLst>
        </c:ser>
        <c:ser>
          <c:idx val="3"/>
          <c:order val="3"/>
          <c:tx>
            <c:strRef>
              <c:f>'S8'!$F$2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9.30569433799605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0F-433C-86B7-783978EF9102}"/>
                </c:ext>
              </c:extLst>
            </c:dLbl>
            <c:dLbl>
              <c:idx val="3"/>
              <c:layout>
                <c:manualLayout>
                  <c:x val="0"/>
                  <c:y val="-0.101632824811676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37-4887-8A05-B62B0294AADF}"/>
                </c:ext>
              </c:extLst>
            </c:dLbl>
            <c:dLbl>
              <c:idx val="4"/>
              <c:layout>
                <c:manualLayout>
                  <c:x val="0"/>
                  <c:y val="-5.505863946800902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D0F-433C-86B7-783978EF9102}"/>
                </c:ext>
              </c:extLst>
            </c:dLbl>
            <c:dLbl>
              <c:idx val="9"/>
              <c:layout>
                <c:manualLayout>
                  <c:x val="-1.0406121357434381E-16"/>
                  <c:y val="-5.108355853811749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0F-433C-86B7-783978EF9102}"/>
                </c:ext>
              </c:extLst>
            </c:dLbl>
            <c:dLbl>
              <c:idx val="14"/>
              <c:layout>
                <c:manualLayout>
                  <c:x val="-1.0406121357434381E-16"/>
                  <c:y val="-6.270285433823688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37-4887-8A05-B62B0294AADF}"/>
                </c:ext>
              </c:extLst>
            </c:dLbl>
            <c:dLbl>
              <c:idx val="17"/>
              <c:layout>
                <c:manualLayout>
                  <c:x val="-2.8380658826825207E-3"/>
                  <c:y val="-8.23099978882521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0F-433C-86B7-783978EF91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'S8'!$A$3:$B$22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T12</c:v>
                  </c:pt>
                </c:lvl>
              </c:multiLvlStrCache>
            </c:multiLvlStrRef>
          </c:cat>
          <c:val>
            <c:numRef>
              <c:f>'S8'!$F$3:$F$22</c:f>
              <c:numCache>
                <c:formatCode>[Color3]\▼_(* #,##0.0,,,_);_(* \(#,##0.0,,,\);;_(@_)</c:formatCode>
                <c:ptCount val="20"/>
                <c:pt idx="1">
                  <c:v>14920508135.997108</c:v>
                </c:pt>
                <c:pt idx="2">
                  <c:v>2868699025.7539849</c:v>
                </c:pt>
                <c:pt idx="3">
                  <c:v>2228749235.9099941</c:v>
                </c:pt>
                <c:pt idx="4">
                  <c:v>3772239564.8410091</c:v>
                </c:pt>
                <c:pt idx="5">
                  <c:v>569172805.84211791</c:v>
                </c:pt>
                <c:pt idx="6">
                  <c:v>204810754.7951895</c:v>
                </c:pt>
                <c:pt idx="7">
                  <c:v>253084875.39408988</c:v>
                </c:pt>
                <c:pt idx="8">
                  <c:v>396797673.08420211</c:v>
                </c:pt>
                <c:pt idx="9">
                  <c:v>1212489980.5275903</c:v>
                </c:pt>
                <c:pt idx="10">
                  <c:v>0</c:v>
                </c:pt>
                <c:pt idx="11">
                  <c:v>77692395.762454897</c:v>
                </c:pt>
                <c:pt idx="12">
                  <c:v>71765672.770544976</c:v>
                </c:pt>
                <c:pt idx="13">
                  <c:v>259726.53911558271</c:v>
                </c:pt>
                <c:pt idx="14">
                  <c:v>1087146336.419266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10203394459.077179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D0F-433C-86B7-783978EF9102}"/>
            </c:ext>
          </c:extLst>
        </c:ser>
        <c:ser>
          <c:idx val="4"/>
          <c:order val="4"/>
          <c:tx>
            <c:strRef>
              <c:f>'S8'!$G$2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62-4A48-87A1-4F440A9E983D}"/>
              </c:ext>
            </c:extLst>
          </c:dPt>
          <c:dLbls>
            <c:dLbl>
              <c:idx val="19"/>
              <c:layout>
                <c:manualLayout>
                  <c:x val="-1.3449527177106597E-3"/>
                  <c:y val="-0.1319652834904359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62-4A48-87A1-4F440A9E98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'S8'!$A$3:$B$22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T12</c:v>
                  </c:pt>
                </c:lvl>
              </c:multiLvlStrCache>
            </c:multiLvlStrRef>
          </c:cat>
          <c:val>
            <c:numRef>
              <c:f>'S8'!$G$3:$G$22</c:f>
              <c:numCache>
                <c:formatCode>_(* #,##0,,,_);_(* \(#,##0,,,\);;_(@_)</c:formatCode>
                <c:ptCount val="20"/>
                <c:pt idx="19" formatCode="_(* #,##0.0,,,_);_(* \(#,##0.0,,,\);;_(@_)">
                  <c:v>35166574502.999733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0F-433C-86B7-783978EF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56959488"/>
        <c:axId val="356954688"/>
      </c:barChart>
      <c:catAx>
        <c:axId val="35695948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6954688"/>
        <c:crosses val="autoZero"/>
        <c:auto val="1"/>
        <c:lblAlgn val="ctr"/>
        <c:lblOffset val="100"/>
        <c:noMultiLvlLbl val="0"/>
      </c:catAx>
      <c:valAx>
        <c:axId val="356954688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695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205371011596898E-2"/>
          <c:y val="0"/>
          <c:w val="0.96958925797680617"/>
          <c:h val="0.858636803404170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'S8'!$C$68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6689371618155611E-3"/>
                  <c:y val="-0.40917625473776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D6-41B7-8767-A0A2ABCBBE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'S8'!$A$69:$B$83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T12</c:v>
                  </c:pt>
                </c:lvl>
              </c:multiLvlStrCache>
            </c:multiLvlStrRef>
          </c:cat>
          <c:val>
            <c:numRef>
              <c:f>'S8'!$C$69:$C$83</c:f>
              <c:numCache>
                <c:formatCode>_(* #,##0,,,_);_(* \(#,##0,,,\);;_(@_)</c:formatCode>
                <c:ptCount val="15"/>
                <c:pt idx="0" formatCode="_(* #,##0.0,,,_);_(* \(#,##0.0,,,\);;_(@_)">
                  <c:v>48578488545.356415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D6-41B7-8767-A0A2ABCBBE5B}"/>
            </c:ext>
          </c:extLst>
        </c:ser>
        <c:ser>
          <c:idx val="1"/>
          <c:order val="1"/>
          <c:tx>
            <c:strRef>
              <c:f>'S8'!$D$68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'S8'!$A$69:$B$83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T12</c:v>
                  </c:pt>
                </c:lvl>
              </c:multiLvlStrCache>
            </c:multiLvlStrRef>
          </c:cat>
          <c:val>
            <c:numRef>
              <c:f>'S8'!$D$69:$D$83</c:f>
              <c:numCache>
                <c:formatCode>_(* #,##0,,,_);_(* \(#,##0,,,\);;_(@_)</c:formatCode>
                <c:ptCount val="15"/>
                <c:pt idx="1">
                  <c:v>33657980409.359314</c:v>
                </c:pt>
                <c:pt idx="2">
                  <c:v>28560532147.695335</c:v>
                </c:pt>
                <c:pt idx="3">
                  <c:v>24788292582.854328</c:v>
                </c:pt>
                <c:pt idx="4">
                  <c:v>24014309022.217022</c:v>
                </c:pt>
                <c:pt idx="5">
                  <c:v>23761224146.822933</c:v>
                </c:pt>
                <c:pt idx="6">
                  <c:v>22151936493.21114</c:v>
                </c:pt>
                <c:pt idx="7">
                  <c:v>22151936493.21114</c:v>
                </c:pt>
                <c:pt idx="8">
                  <c:v>22279183668.402008</c:v>
                </c:pt>
                <c:pt idx="9">
                  <c:v>22278923941.862892</c:v>
                </c:pt>
                <c:pt idx="10">
                  <c:v>21340412031.655533</c:v>
                </c:pt>
                <c:pt idx="11">
                  <c:v>21340412031.655533</c:v>
                </c:pt>
                <c:pt idx="12">
                  <c:v>25124640682.790527</c:v>
                </c:pt>
                <c:pt idx="13">
                  <c:v>35166574502.999733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D6-41B7-8767-A0A2ABCBBE5B}"/>
            </c:ext>
          </c:extLst>
        </c:ser>
        <c:ser>
          <c:idx val="2"/>
          <c:order val="2"/>
          <c:tx>
            <c:strRef>
              <c:f>'S8'!$E$68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7D6-41B7-8767-A0A2ABCBBE5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7D6-41B7-8767-A0A2ABCBBE5B}"/>
                </c:ext>
              </c:extLst>
            </c:dLbl>
            <c:dLbl>
              <c:idx val="1"/>
              <c:layout>
                <c:manualLayout>
                  <c:x val="1.3463207703583843E-3"/>
                  <c:y val="-6.4739469757833151E-2"/>
                </c:manualLayout>
              </c:layout>
              <c:tx>
                <c:rich>
                  <a:bodyPr/>
                  <a:lstStyle/>
                  <a:p>
                    <a:fld id="{D0CB3D54-9D29-4189-A818-8A8855866A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7D6-41B7-8767-A0A2ABCBBE5B}"/>
                </c:ext>
              </c:extLst>
            </c:dLbl>
            <c:dLbl>
              <c:idx val="2"/>
              <c:layout>
                <c:manualLayout>
                  <c:x val="0"/>
                  <c:y val="-2.8030617379865657E-2"/>
                </c:manualLayout>
              </c:layout>
              <c:tx>
                <c:rich>
                  <a:bodyPr/>
                  <a:lstStyle/>
                  <a:p>
                    <a:fld id="{A9BD0906-2188-4270-8A30-18B3D986DB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7D6-41B7-8767-A0A2ABCBBE5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6EE9770-4C45-42CD-AFDA-96E4260408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7D6-41B7-8767-A0A2ABCBBE5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1BA69C4-DE0A-42DC-A24F-71141D83D3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7D6-41B7-8767-A0A2ABCBBE5B}"/>
                </c:ext>
              </c:extLst>
            </c:dLbl>
            <c:dLbl>
              <c:idx val="5"/>
              <c:layout>
                <c:manualLayout>
                  <c:x val="-4.7712351170349945E-17"/>
                  <c:y val="-3.5852933608302884E-2"/>
                </c:manualLayout>
              </c:layout>
              <c:tx>
                <c:rich>
                  <a:bodyPr/>
                  <a:lstStyle/>
                  <a:p>
                    <a:fld id="{8EAE3923-66A8-409C-846E-B6F5EA581E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7D6-41B7-8767-A0A2ABCBBE5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F5E404D-9F20-4C79-8416-B38DA77008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7D6-41B7-8767-A0A2ABCBBE5B}"/>
                </c:ext>
              </c:extLst>
            </c:dLbl>
            <c:dLbl>
              <c:idx val="7"/>
              <c:layout>
                <c:manualLayout>
                  <c:x val="0"/>
                  <c:y val="-2.5965299183626486E-2"/>
                </c:manualLayout>
              </c:layout>
              <c:tx>
                <c:rich>
                  <a:bodyPr/>
                  <a:lstStyle/>
                  <a:p>
                    <a:fld id="{B2ADB9BA-F1E3-436F-9D09-186279DC19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7D6-41B7-8767-A0A2ABCBBE5B}"/>
                </c:ext>
              </c:extLst>
            </c:dLbl>
            <c:dLbl>
              <c:idx val="8"/>
              <c:layout>
                <c:manualLayout>
                  <c:x val="-1.0337134415734956E-16"/>
                  <c:y val="-3.1208329786932221E-2"/>
                </c:manualLayout>
              </c:layout>
              <c:tx>
                <c:rich>
                  <a:bodyPr/>
                  <a:lstStyle/>
                  <a:p>
                    <a:fld id="{C2D60B9C-0A15-4A99-8570-9AEFBCB470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7D6-41B7-8767-A0A2ABCBBE5B}"/>
                </c:ext>
              </c:extLst>
            </c:dLbl>
            <c:dLbl>
              <c:idx val="9"/>
              <c:layout>
                <c:manualLayout>
                  <c:x val="-1.0119810024437543E-16"/>
                  <c:y val="-3.1735365668876782E-2"/>
                </c:manualLayout>
              </c:layout>
              <c:tx>
                <c:rich>
                  <a:bodyPr/>
                  <a:lstStyle/>
                  <a:p>
                    <a:fld id="{B1666B53-F48A-43CD-BC17-4277BA4DAF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7D6-41B7-8767-A0A2ABCBBE5B}"/>
                </c:ext>
              </c:extLst>
            </c:dLbl>
            <c:dLbl>
              <c:idx val="10"/>
              <c:layout>
                <c:manualLayout>
                  <c:x val="0"/>
                  <c:y val="-2.6816356522873439E-2"/>
                </c:manualLayout>
              </c:layout>
              <c:tx>
                <c:rich>
                  <a:bodyPr/>
                  <a:lstStyle/>
                  <a:p>
                    <a:fld id="{0E4C918B-389C-4B40-B0CF-81B06DBC29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7D6-41B7-8767-A0A2ABCBBE5B}"/>
                </c:ext>
              </c:extLst>
            </c:dLbl>
            <c:dLbl>
              <c:idx val="11"/>
              <c:layout>
                <c:manualLayout>
                  <c:x val="-1.7363278955485231E-3"/>
                  <c:y val="-5.9332397328760479E-2"/>
                </c:manualLayout>
              </c:layout>
              <c:tx>
                <c:rich>
                  <a:bodyPr/>
                  <a:lstStyle/>
                  <a:p>
                    <a:fld id="{42028C9C-D75B-4C56-AFE5-80FBFD44D4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97D6-41B7-8767-A0A2ABCBBE5B}"/>
                </c:ext>
              </c:extLst>
            </c:dLbl>
            <c:dLbl>
              <c:idx val="12"/>
              <c:layout>
                <c:manualLayout>
                  <c:x val="7.9729341912483659E-5"/>
                  <c:y val="-0.19939431987955167"/>
                </c:manualLayout>
              </c:layout>
              <c:tx>
                <c:rich>
                  <a:bodyPr/>
                  <a:lstStyle/>
                  <a:p>
                    <a:fld id="{5ECDF0C7-7DA6-49B1-A545-708FEDCB56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7D6-41B7-8767-A0A2ABCBBE5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69DF0A3-35C3-442E-8769-12CAB89161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7D6-41B7-8767-A0A2ABCBBE5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7D6-41B7-8767-A0A2ABCBBE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'S8'!$A$69:$B$83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T12</c:v>
                  </c:pt>
                </c:lvl>
              </c:multiLvlStrCache>
            </c:multiLvlStrRef>
          </c:cat>
          <c:val>
            <c:numRef>
              <c:f>'S8'!$E$69:$E$83</c:f>
              <c:numCache>
                <c:formatCode>[Color10]\▲_(* #,##0.0,,,_);_(* \(#,##0.0,,,\);;_(@_)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276705243.72387075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3784228651.1349926</c:v>
                </c:pt>
                <c:pt idx="12">
                  <c:v>20245328279.286385</c:v>
                </c:pt>
                <c:pt idx="1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'S8'!$J$69:$J$83</c15:f>
                <c15:dlblRangeCache>
                  <c:ptCount val="15"/>
                  <c:pt idx="7">
                    <c:v>▲ 0.3 </c:v>
                  </c:pt>
                  <c:pt idx="11">
                    <c:v>▲ 3.8 </c:v>
                  </c:pt>
                  <c:pt idx="12">
                    <c:v>▲ 20.2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97D6-41B7-8767-A0A2ABCBBE5B}"/>
            </c:ext>
          </c:extLst>
        </c:ser>
        <c:ser>
          <c:idx val="3"/>
          <c:order val="3"/>
          <c:tx>
            <c:strRef>
              <c:f>'S8'!$F$68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7D6-41B7-8767-A0A2ABCBBE5B}"/>
                </c:ext>
              </c:extLst>
            </c:dLbl>
            <c:dLbl>
              <c:idx val="1"/>
              <c:layout>
                <c:manualLayout>
                  <c:x val="-2.4363083127134548E-3"/>
                  <c:y val="-0.1464525170105235"/>
                </c:manualLayout>
              </c:layout>
              <c:tx>
                <c:rich>
                  <a:bodyPr/>
                  <a:lstStyle/>
                  <a:p>
                    <a:fld id="{86DAD3AB-0F6F-4CDA-B055-E30946AC9B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97D6-41B7-8767-A0A2ABCBBE5B}"/>
                </c:ext>
              </c:extLst>
            </c:dLbl>
            <c:dLbl>
              <c:idx val="2"/>
              <c:layout>
                <c:manualLayout>
                  <c:x val="-1.334692831791546E-3"/>
                  <c:y val="-8.8955890938729021E-2"/>
                </c:manualLayout>
              </c:layout>
              <c:tx>
                <c:rich>
                  <a:bodyPr/>
                  <a:lstStyle/>
                  <a:p>
                    <a:fld id="{071930A6-CEE2-4AE1-883F-E86D351DBE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97D6-41B7-8767-A0A2ABCBBE5B}"/>
                </c:ext>
              </c:extLst>
            </c:dLbl>
            <c:dLbl>
              <c:idx val="3"/>
              <c:layout>
                <c:manualLayout>
                  <c:x val="-1.5108347671393477E-3"/>
                  <c:y val="5.5209442192567605E-2"/>
                </c:manualLayout>
              </c:layout>
              <c:tx>
                <c:rich>
                  <a:bodyPr/>
                  <a:lstStyle/>
                  <a:p>
                    <a:fld id="{B4522712-0A82-4675-AC67-CB815FCF62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97D6-41B7-8767-A0A2ABCBBE5B}"/>
                </c:ext>
              </c:extLst>
            </c:dLbl>
            <c:dLbl>
              <c:idx val="4"/>
              <c:layout>
                <c:manualLayout>
                  <c:x val="0"/>
                  <c:y val="3.1227872419740989E-2"/>
                </c:manualLayout>
              </c:layout>
              <c:tx>
                <c:rich>
                  <a:bodyPr/>
                  <a:lstStyle/>
                  <a:p>
                    <a:fld id="{CBBB14CF-C82F-4DDE-A16E-CC3EC419B2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97D6-41B7-8767-A0A2ABCBBE5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45F360D-95A6-4B34-BA0D-133FDAF7C5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7D6-41B7-8767-A0A2ABCBBE5B}"/>
                </c:ext>
              </c:extLst>
            </c:dLbl>
            <c:dLbl>
              <c:idx val="6"/>
              <c:layout>
                <c:manualLayout>
                  <c:x val="-1.339913273115372E-3"/>
                  <c:y val="6.0599769864326025E-2"/>
                </c:manualLayout>
              </c:layout>
              <c:tx>
                <c:rich>
                  <a:bodyPr/>
                  <a:lstStyle/>
                  <a:p>
                    <a:fld id="{F32943F5-BAE3-4697-B92E-EB68E9594A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97D6-41B7-8767-A0A2ABCBBE5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6C6FF43-1AA9-4995-B30D-5788AACF57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7D6-41B7-8767-A0A2ABCBBE5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4A4E468-A37E-4ED4-99D0-8452E9E17D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7D6-41B7-8767-A0A2ABCBBE5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6442C16-9712-4400-97D6-D1E53B875A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7D6-41B7-8767-A0A2ABCBBE5B}"/>
                </c:ext>
              </c:extLst>
            </c:dLbl>
            <c:dLbl>
              <c:idx val="10"/>
              <c:layout>
                <c:manualLayout>
                  <c:x val="0"/>
                  <c:y val="3.9461389706214448E-2"/>
                </c:manualLayout>
              </c:layout>
              <c:tx>
                <c:rich>
                  <a:bodyPr/>
                  <a:lstStyle/>
                  <a:p>
                    <a:fld id="{1CEDA645-CD6E-40F9-8681-59CE06C5C7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97D6-41B7-8767-A0A2ABCBBE5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51DACA2-8EB3-46EA-B7F7-4BFD779E9E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7D6-41B7-8767-A0A2ABCBBE5B}"/>
                </c:ext>
              </c:extLst>
            </c:dLbl>
            <c:dLbl>
              <c:idx val="12"/>
              <c:layout>
                <c:manualLayout>
                  <c:x val="3.5207822359341678E-5"/>
                  <c:y val="3.1854648370191793E-2"/>
                </c:manualLayout>
              </c:layout>
              <c:tx>
                <c:rich>
                  <a:bodyPr/>
                  <a:lstStyle/>
                  <a:p>
                    <a:fld id="{9BABE37E-78C3-4A89-A23C-6878BC516D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97D6-41B7-8767-A0A2ABCBBE5B}"/>
                </c:ext>
              </c:extLst>
            </c:dLbl>
            <c:dLbl>
              <c:idx val="13"/>
              <c:layout>
                <c:manualLayout>
                  <c:x val="-9.5331663810485956E-17"/>
                  <c:y val="0.11854618397014285"/>
                </c:manualLayout>
              </c:layout>
              <c:tx>
                <c:rich>
                  <a:bodyPr/>
                  <a:lstStyle/>
                  <a:p>
                    <a:fld id="{DD7A4B07-88BF-4C8B-84E6-C5905E9F5C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97D6-41B7-8767-A0A2ABCBBE5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7D6-41B7-8767-A0A2ABCBBE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'S8'!$A$69:$B$83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T12</c:v>
                  </c:pt>
                </c:lvl>
              </c:multiLvlStrCache>
            </c:multiLvlStrRef>
          </c:cat>
          <c:val>
            <c:numRef>
              <c:f>'S8'!$F$69:$F$83</c:f>
              <c:numCache>
                <c:formatCode>[Color3]\▼_(* #,##0.0,,,_);_(* \(#,##0.0,,,\);;_(@_)</c:formatCode>
                <c:ptCount val="15"/>
                <c:pt idx="1">
                  <c:v>14920508135.997099</c:v>
                </c:pt>
                <c:pt idx="2">
                  <c:v>5097448261.6639786</c:v>
                </c:pt>
                <c:pt idx="3">
                  <c:v>3772239564.8410087</c:v>
                </c:pt>
                <c:pt idx="4">
                  <c:v>773983560.63730741</c:v>
                </c:pt>
                <c:pt idx="5">
                  <c:v>253084875.39408988</c:v>
                </c:pt>
                <c:pt idx="6">
                  <c:v>1609287653.6117923</c:v>
                </c:pt>
                <c:pt idx="7">
                  <c:v>0</c:v>
                </c:pt>
                <c:pt idx="8">
                  <c:v>149458068.53299987</c:v>
                </c:pt>
                <c:pt idx="9">
                  <c:v>259726.53911561755</c:v>
                </c:pt>
                <c:pt idx="10">
                  <c:v>938511910.20735872</c:v>
                </c:pt>
                <c:pt idx="11">
                  <c:v>0</c:v>
                </c:pt>
                <c:pt idx="12">
                  <c:v>0</c:v>
                </c:pt>
                <c:pt idx="13">
                  <c:v>10203394459.077179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'S8'!$K$69:$K$83</c15:f>
                <c15:dlblRangeCache>
                  <c:ptCount val="15"/>
                  <c:pt idx="1">
                    <c:v>▼ 14.9 </c:v>
                  </c:pt>
                  <c:pt idx="2">
                    <c:v>▼ 5.1 </c:v>
                  </c:pt>
                  <c:pt idx="3">
                    <c:v>▼ 3.8 </c:v>
                  </c:pt>
                  <c:pt idx="4">
                    <c:v>▼ 0.8 </c:v>
                  </c:pt>
                  <c:pt idx="5">
                    <c:v>▼ 0.3 </c:v>
                  </c:pt>
                  <c:pt idx="6">
                    <c:v>▼ 1.6 </c:v>
                  </c:pt>
                  <c:pt idx="8">
                    <c:v>▼ 0.1 </c:v>
                  </c:pt>
                  <c:pt idx="9">
                    <c:v>▼ 0.0 </c:v>
                  </c:pt>
                  <c:pt idx="10">
                    <c:v>▼ 0.9 </c:v>
                  </c:pt>
                  <c:pt idx="13">
                    <c:v>▼ 10.2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97D6-41B7-8767-A0A2ABCBBE5B}"/>
            </c:ext>
          </c:extLst>
        </c:ser>
        <c:ser>
          <c:idx val="4"/>
          <c:order val="4"/>
          <c:tx>
            <c:strRef>
              <c:f>'S8'!$G$68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4"/>
              <c:layout>
                <c:manualLayout>
                  <c:x val="-2.8417011273464748E-3"/>
                  <c:y val="-0.30469529476315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7D6-41B7-8767-A0A2ABCBBE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'S8'!$A$69:$B$83</c:f>
              <c:multiLvlStrCache>
                <c:ptCount val="15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Sản lượng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LG đơn vị</c:v>
                  </c:pt>
                  <c:pt idx="9">
                    <c:v>Sản lượng</c:v>
                  </c:pt>
                  <c:pt idx="10">
                    <c:v>LG đơn vị</c:v>
                  </c:pt>
                  <c:pt idx="13">
                    <c:v>Cp vận chuyển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7">
                    <c:v>rPP</c:v>
                  </c:pt>
                  <c:pt idx="9">
                    <c:v>Xơ sợi</c:v>
                  </c:pt>
                  <c:pt idx="11">
                    <c:v>Tỷ giá</c:v>
                  </c:pt>
                  <c:pt idx="12">
                    <c:v>Khác</c:v>
                  </c:pt>
                  <c:pt idx="13">
                    <c:v>hoa hồng, chiết khấu</c:v>
                  </c:pt>
                  <c:pt idx="14">
                    <c:v>TT T12</c:v>
                  </c:pt>
                </c:lvl>
              </c:multiLvlStrCache>
            </c:multiLvlStrRef>
          </c:cat>
          <c:val>
            <c:numRef>
              <c:f>'S8'!$G$69:$G$83</c:f>
              <c:numCache>
                <c:formatCode>_(* #,##0,,,_);_(* \(#,##0,,,\);;_(@_)</c:formatCode>
                <c:ptCount val="15"/>
                <c:pt idx="14" formatCode="_(* #,##0.0,,,_);_(* \(#,##0.0,,,\);;_(@_)">
                  <c:v>35166574502.999733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7D6-41B7-8767-A0A2ABCBB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37930992"/>
        <c:axId val="2037940592"/>
      </c:barChart>
      <c:catAx>
        <c:axId val="20379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ysDot"/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40592"/>
        <c:crosses val="autoZero"/>
        <c:auto val="1"/>
        <c:lblAlgn val="ctr"/>
        <c:lblOffset val="100"/>
        <c:noMultiLvlLbl val="0"/>
      </c:catAx>
      <c:valAx>
        <c:axId val="2037940592"/>
        <c:scaling>
          <c:orientation val="minMax"/>
          <c:max val="55000000000"/>
          <c:min val="0"/>
        </c:scaling>
        <c:delete val="0"/>
        <c:axPos val="l"/>
        <c:numFmt formatCode="_(* #,##0.0,,,_);_(* \(#,##0.0,,,\);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30992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337815353247745E-3"/>
          <c:y val="5.0920010680872499E-2"/>
          <c:w val="0.99486621846467527"/>
          <c:h val="0.821449267787912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'BĐ-LG EXW-v2'!$C$78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4101326220603447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accent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86-4F5E-928F-3F65F6ED3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T12</c:v>
                  </c:pt>
                </c:lvl>
              </c:multiLvlStrCache>
            </c:multiLvlStrRef>
          </c:cat>
          <c:val>
            <c:numRef>
              <c:f>'BĐ-LG EXW-v2'!$C$79:$C$98</c:f>
              <c:numCache>
                <c:formatCode>_(* #,##0,,,_);_(* \(#,##0,,,\);;_(@_)</c:formatCode>
                <c:ptCount val="20"/>
                <c:pt idx="0" formatCode="_(* #,##0.0,,,_);_(* \(#,##0.0,,,\);;_(@_)">
                  <c:v>48578488545.356438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86-4F5E-928F-3F65F6ED3E18}"/>
            </c:ext>
          </c:extLst>
        </c:ser>
        <c:ser>
          <c:idx val="1"/>
          <c:order val="1"/>
          <c:tx>
            <c:strRef>
              <c:f>'BĐ-LG EXW-v2'!$D$78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T12</c:v>
                  </c:pt>
                </c:lvl>
              </c:multiLvlStrCache>
            </c:multiLvlStrRef>
          </c:cat>
          <c:val>
            <c:numRef>
              <c:f>'BĐ-LG EXW-v2'!$D$79:$D$98</c:f>
              <c:numCache>
                <c:formatCode>_(* #,##0,,,_);_(* \(#,##0,,,\);;_(@_)</c:formatCode>
                <c:ptCount val="20"/>
                <c:pt idx="1">
                  <c:v>33224257676.670376</c:v>
                </c:pt>
                <c:pt idx="2">
                  <c:v>33224257676.670376</c:v>
                </c:pt>
                <c:pt idx="3">
                  <c:v>28560532147.695374</c:v>
                </c:pt>
                <c:pt idx="4">
                  <c:v>25700515351.465122</c:v>
                </c:pt>
                <c:pt idx="5">
                  <c:v>24788292582.85437</c:v>
                </c:pt>
                <c:pt idx="6">
                  <c:v>24014309022.217064</c:v>
                </c:pt>
                <c:pt idx="7">
                  <c:v>23553413348.05154</c:v>
                </c:pt>
                <c:pt idx="8">
                  <c:v>23553413348.05154</c:v>
                </c:pt>
                <c:pt idx="9">
                  <c:v>22151936493.211182</c:v>
                </c:pt>
                <c:pt idx="10">
                  <c:v>22151936493.211182</c:v>
                </c:pt>
                <c:pt idx="11">
                  <c:v>22354275067.149868</c:v>
                </c:pt>
                <c:pt idx="12">
                  <c:v>22279183668.40205</c:v>
                </c:pt>
                <c:pt idx="13">
                  <c:v>22279183668.40205</c:v>
                </c:pt>
                <c:pt idx="14">
                  <c:v>22278923941.862934</c:v>
                </c:pt>
                <c:pt idx="15">
                  <c:v>21340412031.655575</c:v>
                </c:pt>
                <c:pt idx="16">
                  <c:v>21340412031.655575</c:v>
                </c:pt>
                <c:pt idx="17">
                  <c:v>25124640682.790581</c:v>
                </c:pt>
                <c:pt idx="18">
                  <c:v>35166574502.999741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86-4F5E-928F-3F65F6ED3E18}"/>
            </c:ext>
          </c:extLst>
        </c:ser>
        <c:ser>
          <c:idx val="2"/>
          <c:order val="2"/>
          <c:tx>
            <c:strRef>
              <c:f>'BĐ-LG EXW-v2'!$E$78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1431357130718559E-3"/>
                  <c:y val="-4.638137597388890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9E-486F-AE98-2323528FDDE6}"/>
                </c:ext>
              </c:extLst>
            </c:dLbl>
            <c:dLbl>
              <c:idx val="14"/>
              <c:layout>
                <c:manualLayout>
                  <c:x val="-1.5320359993251221E-6"/>
                  <c:y val="-3.390054458831814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86-4F5E-928F-3F65F6ED3E18}"/>
                </c:ext>
              </c:extLst>
            </c:dLbl>
            <c:dLbl>
              <c:idx val="16"/>
              <c:layout>
                <c:manualLayout>
                  <c:x val="0"/>
                  <c:y val="-8.512364618928966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86-4F5E-928F-3F65F6ED3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T12</c:v>
                  </c:pt>
                </c:lvl>
              </c:multiLvlStrCache>
            </c:multiLvlStrRef>
          </c:cat>
          <c:val>
            <c:numRef>
              <c:f>'BĐ-LG EXW-v2'!$E$79:$E$98</c:f>
              <c:numCache>
                <c:formatCode>[Color10]\▲_(* #,##0.0,,,_);_(* \(#,##0.0,,,\);;_(@_)</c:formatCode>
                <c:ptCount val="20"/>
                <c:pt idx="1">
                  <c:v>0</c:v>
                </c:pt>
                <c:pt idx="2">
                  <c:v>433722732.68897438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207810798.77143496</c:v>
                </c:pt>
                <c:pt idx="9">
                  <c:v>0</c:v>
                </c:pt>
                <c:pt idx="10">
                  <c:v>202338573.93868679</c:v>
                </c:pt>
                <c:pt idx="11">
                  <c:v>74366669.785184279</c:v>
                </c:pt>
                <c:pt idx="12">
                  <c:v>0</c:v>
                </c:pt>
                <c:pt idx="13">
                  <c:v>1376488.7370482844</c:v>
                </c:pt>
                <c:pt idx="14">
                  <c:v>0</c:v>
                </c:pt>
                <c:pt idx="15">
                  <c:v>0</c:v>
                </c:pt>
                <c:pt idx="16">
                  <c:v>3784228651.135006</c:v>
                </c:pt>
                <c:pt idx="17">
                  <c:v>20245328279.286343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86-4F5E-928F-3F65F6ED3E18}"/>
            </c:ext>
          </c:extLst>
        </c:ser>
        <c:ser>
          <c:idx val="3"/>
          <c:order val="3"/>
          <c:tx>
            <c:strRef>
              <c:f>'BĐ-LG EXW-v2'!$F$78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1430203800533764E-3"/>
                  <c:y val="7.864585699389467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86-4F5E-928F-3F65F6ED3E18}"/>
                </c:ext>
              </c:extLst>
            </c:dLbl>
            <c:dLbl>
              <c:idx val="3"/>
              <c:layout>
                <c:manualLayout>
                  <c:x val="2.0982642812013291E-17"/>
                  <c:y val="-0.177468290929741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86-4F5E-928F-3F65F6ED3E18}"/>
                </c:ext>
              </c:extLst>
            </c:dLbl>
            <c:dLbl>
              <c:idx val="4"/>
              <c:layout>
                <c:manualLayout>
                  <c:x val="0"/>
                  <c:y val="3.15529241464824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86-4F5E-928F-3F65F6ED3E18}"/>
                </c:ext>
              </c:extLst>
            </c:dLbl>
            <c:dLbl>
              <c:idx val="5"/>
              <c:layout>
                <c:manualLayout>
                  <c:x val="-3.4290611401601289E-3"/>
                  <c:y val="5.76237119786058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86-4F5E-928F-3F65F6ED3E18}"/>
                </c:ext>
              </c:extLst>
            </c:dLbl>
            <c:dLbl>
              <c:idx val="9"/>
              <c:layout>
                <c:manualLayout>
                  <c:x val="0"/>
                  <c:y val="2.872867621038071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86-4F5E-928F-3F65F6ED3E18}"/>
                </c:ext>
              </c:extLst>
            </c:dLbl>
            <c:dLbl>
              <c:idx val="15"/>
              <c:layout>
                <c:manualLayout>
                  <c:x val="-1.1445210111978314E-3"/>
                  <c:y val="-9.611920324813365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86-4F5E-928F-3F65F6ED3E18}"/>
                </c:ext>
              </c:extLst>
            </c:dLbl>
            <c:dLbl>
              <c:idx val="17"/>
              <c:layout>
                <c:manualLayout>
                  <c:x val="-1.6786114249610633E-16"/>
                  <c:y val="7.55942247469779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F86-4F5E-928F-3F65F6ED3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T12</c:v>
                  </c:pt>
                </c:lvl>
              </c:multiLvlStrCache>
            </c:multiLvlStrRef>
          </c:cat>
          <c:val>
            <c:numRef>
              <c:f>'BĐ-LG EXW-v2'!$F$79:$F$98</c:f>
              <c:numCache>
                <c:formatCode>[Color3]\▼_(* #,##0.0,,,_);_(* \(#,##0.0,,,\);;_(@_)</c:formatCode>
                <c:ptCount val="20"/>
                <c:pt idx="1">
                  <c:v>15354230868.686062</c:v>
                </c:pt>
                <c:pt idx="2">
                  <c:v>0</c:v>
                </c:pt>
                <c:pt idx="3">
                  <c:v>5097448261.6639786</c:v>
                </c:pt>
                <c:pt idx="4">
                  <c:v>2860016796.2302518</c:v>
                </c:pt>
                <c:pt idx="5">
                  <c:v>912222768.6107533</c:v>
                </c:pt>
                <c:pt idx="6">
                  <c:v>773983560.63730741</c:v>
                </c:pt>
                <c:pt idx="7">
                  <c:v>460895674.16552478</c:v>
                </c:pt>
                <c:pt idx="8">
                  <c:v>0</c:v>
                </c:pt>
                <c:pt idx="9">
                  <c:v>1609287653.6117923</c:v>
                </c:pt>
                <c:pt idx="10">
                  <c:v>0</c:v>
                </c:pt>
                <c:pt idx="11">
                  <c:v>0</c:v>
                </c:pt>
                <c:pt idx="12">
                  <c:v>149458068.53299987</c:v>
                </c:pt>
                <c:pt idx="13">
                  <c:v>0</c:v>
                </c:pt>
                <c:pt idx="14">
                  <c:v>1636215.2761637077</c:v>
                </c:pt>
                <c:pt idx="15">
                  <c:v>938511910.20735848</c:v>
                </c:pt>
                <c:pt idx="16">
                  <c:v>0</c:v>
                </c:pt>
                <c:pt idx="17">
                  <c:v>0</c:v>
                </c:pt>
                <c:pt idx="18">
                  <c:v>10203394459.077179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F86-4F5E-928F-3F65F6ED3E18}"/>
            </c:ext>
          </c:extLst>
        </c:ser>
        <c:ser>
          <c:idx val="4"/>
          <c:order val="4"/>
          <c:tx>
            <c:strRef>
              <c:f>'BĐ-LG EXW-v2'!$G$78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13-4F48-87E6-253471798F57}"/>
              </c:ext>
            </c:extLst>
          </c:dPt>
          <c:dLbls>
            <c:dLbl>
              <c:idx val="19"/>
              <c:layout>
                <c:manualLayout>
                  <c:x val="-2.2890420223958307E-3"/>
                  <c:y val="-0.11563056621322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13-4F48-87E6-253471798F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T12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T12</c:v>
                  </c:pt>
                </c:lvl>
              </c:multiLvlStrCache>
            </c:multiLvlStrRef>
          </c:cat>
          <c:val>
            <c:numRef>
              <c:f>'BĐ-LG EXW-v2'!$G$79:$G$98</c:f>
              <c:numCache>
                <c:formatCode>_(* #,##0,,,_);_(* \(#,##0,,,\);;_(@_)</c:formatCode>
                <c:ptCount val="20"/>
                <c:pt idx="19" formatCode="_(* #,##0.0,,,_);_(* \(#,##0.0,,,\);;_(@_)">
                  <c:v>35166574502.999741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F86-4F5E-928F-3F65F6ED3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02094719"/>
        <c:axId val="702093759"/>
      </c:barChart>
      <c:catAx>
        <c:axId val="70209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3759"/>
        <c:crosses val="autoZero"/>
        <c:auto val="1"/>
        <c:lblAlgn val="ctr"/>
        <c:lblOffset val="100"/>
        <c:noMultiLvlLbl val="0"/>
      </c:catAx>
      <c:valAx>
        <c:axId val="702093759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4488730576202072"/>
          <c:w val="1"/>
          <c:h val="0.72288622618944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'BĐ-LG EXW-v2'!$C$132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9144452674859317E-3"/>
                  <c:y val="-0.373636584529978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T12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T12</c:v>
                </c:pt>
              </c:strCache>
            </c:strRef>
          </c:cat>
          <c:val>
            <c:numRef>
              <c:f>'BĐ-LG EXW-v2'!$C$133:$C$139</c:f>
              <c:numCache>
                <c:formatCode>_(* #,##0,,,_);_(* \(#,##0,,,\);;_(@_)</c:formatCode>
                <c:ptCount val="7"/>
                <c:pt idx="0" formatCode="_(* #,##0.0,,,_);_(* \(#,##0.0,,,\);;_(@_)">
                  <c:v>48578488545.356438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8-43E6-B5EC-5C52D766083B}"/>
            </c:ext>
          </c:extLst>
        </c:ser>
        <c:ser>
          <c:idx val="1"/>
          <c:order val="1"/>
          <c:tx>
            <c:strRef>
              <c:f>'BĐ-LG EXW-v2'!$D$132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'BĐ-LG EXW-v2'!$B$133:$B$139</c:f>
              <c:strCache>
                <c:ptCount val="7"/>
                <c:pt idx="0">
                  <c:v>KH T12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T12</c:v>
                </c:pt>
              </c:strCache>
            </c:strRef>
          </c:cat>
          <c:val>
            <c:numRef>
              <c:f>'BĐ-LG EXW-v2'!$D$133:$D$139</c:f>
              <c:numCache>
                <c:formatCode>_(* #,##0,,,_);_(* \(#,##0,,,\);;_(@_)</c:formatCode>
                <c:ptCount val="7"/>
                <c:pt idx="1">
                  <c:v>30107060268.950336</c:v>
                </c:pt>
                <c:pt idx="2">
                  <c:v>29909101486.309013</c:v>
                </c:pt>
                <c:pt idx="3">
                  <c:v>21340412031.655579</c:v>
                </c:pt>
                <c:pt idx="4">
                  <c:v>21340412031.655579</c:v>
                </c:pt>
                <c:pt idx="5">
                  <c:v>25124640682.790585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8-43E6-B5EC-5C52D766083B}"/>
            </c:ext>
          </c:extLst>
        </c:ser>
        <c:ser>
          <c:idx val="2"/>
          <c:order val="2"/>
          <c:tx>
            <c:strRef>
              <c:f>'BĐ-LG EXW-v2'!$E$132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6.2654562559890292E-4"/>
                  <c:y val="-9.3742159445903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00B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T12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T12</c:v>
                </c:pt>
              </c:strCache>
            </c:strRef>
          </c:cat>
          <c:val>
            <c:numRef>
              <c:f>'BĐ-LG EXW-v2'!$E$133:$E$139</c:f>
              <c:numCache>
                <c:formatCode>[Color10]\▲_(* #,##0.0,,,_);_(* \(#,##0.0,,,\);;_(@_)</c:formatCode>
                <c:ptCount val="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3784228651.135006</c:v>
                </c:pt>
                <c:pt idx="5">
                  <c:v>10041933820.209164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78-43E6-B5EC-5C52D766083B}"/>
            </c:ext>
          </c:extLst>
        </c:ser>
        <c:ser>
          <c:idx val="3"/>
          <c:order val="3"/>
          <c:tx>
            <c:strRef>
              <c:f>'BĐ-LG EXW-v2'!$F$132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6096381952400026E-3"/>
                  <c:y val="0.1238291825682435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78-43E6-B5EC-5C52D766083B}"/>
                </c:ext>
              </c:extLst>
            </c:dLbl>
            <c:dLbl>
              <c:idx val="2"/>
              <c:layout>
                <c:manualLayout>
                  <c:x val="-1.3048190976199894E-3"/>
                  <c:y val="9.894601791375309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78-43E6-B5EC-5C52D766083B}"/>
                </c:ext>
              </c:extLst>
            </c:dLbl>
            <c:dLbl>
              <c:idx val="3"/>
              <c:layout>
                <c:manualLayout>
                  <c:x val="-2.6096381952399788E-3"/>
                  <c:y val="0.276684010205577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78-43E6-B5EC-5C52D766083B}"/>
                </c:ext>
              </c:extLst>
            </c:dLbl>
            <c:dLbl>
              <c:idx val="5"/>
              <c:layout>
                <c:manualLayout>
                  <c:x val="-1.304819097620085E-3"/>
                  <c:y val="0.1054286333799846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C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T12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T12</c:v>
                </c:pt>
              </c:strCache>
            </c:strRef>
          </c:cat>
          <c:val>
            <c:numRef>
              <c:f>'BĐ-LG EXW-v2'!$F$133:$F$139</c:f>
              <c:numCache>
                <c:formatCode>[Color3]\▼_(* #,##0.0,,,_);_(* \(#,##0.0,,,\);;_(@_)</c:formatCode>
                <c:ptCount val="7"/>
                <c:pt idx="1">
                  <c:v>18471428276.406101</c:v>
                </c:pt>
                <c:pt idx="2">
                  <c:v>197958782.64132339</c:v>
                </c:pt>
                <c:pt idx="3">
                  <c:v>8568689454.6534367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78-43E6-B5EC-5C52D766083B}"/>
            </c:ext>
          </c:extLst>
        </c:ser>
        <c:ser>
          <c:idx val="4"/>
          <c:order val="4"/>
          <c:tx>
            <c:strRef>
              <c:f>'BĐ-LG EXW-v2'!$G$132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E78-43E6-B5EC-5C52D766083B}"/>
              </c:ext>
            </c:extLst>
          </c:dPt>
          <c:dLbls>
            <c:dLbl>
              <c:idx val="6"/>
              <c:layout>
                <c:manualLayout>
                  <c:x val="-1.2985518562851556E-3"/>
                  <c:y val="-0.18130968715638249"/>
                </c:manualLayout>
              </c:layout>
              <c:tx>
                <c:rich>
                  <a:bodyPr/>
                  <a:lstStyle/>
                  <a:p>
                    <a:fld id="{A18D93A5-2DF4-4CF0-83C7-E7C789FFF98A}" type="VALUE">
                      <a:rPr lang="en-US" sz="250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T12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T12</c:v>
                </c:pt>
              </c:strCache>
            </c:strRef>
          </c:cat>
          <c:val>
            <c:numRef>
              <c:f>'BĐ-LG EXW-v2'!$G$133:$G$139</c:f>
              <c:numCache>
                <c:formatCode>_(* #,##0,,,_);_(* \(#,##0,,,\);;_(@_)</c:formatCode>
                <c:ptCount val="7"/>
                <c:pt idx="6" formatCode="_(* #,##0.0,,,_);_(* \(#,##0.0,,,\);;_(@_)">
                  <c:v>35166574502.999748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78-43E6-B5EC-5C52D7660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10667535"/>
        <c:axId val="710674255"/>
      </c:barChart>
      <c:catAx>
        <c:axId val="71066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74255"/>
        <c:crosses val="autoZero"/>
        <c:auto val="1"/>
        <c:lblAlgn val="ctr"/>
        <c:lblOffset val="100"/>
        <c:noMultiLvlLbl val="0"/>
      </c:catAx>
      <c:valAx>
        <c:axId val="710674255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6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038128169987209E-5"/>
          <c:y val="0.11638967699887716"/>
          <c:w val="0.99413175910555107"/>
          <c:h val="0.778050959723152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'S10'!$B$14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4884771690694072E-3"/>
                  <c:y val="-0.412617419533084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'S10'!$A$15:$A$24</c:f>
              <c:strCache>
                <c:ptCount val="10"/>
                <c:pt idx="0">
                  <c:v>KH T12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T12</c:v>
                </c:pt>
              </c:strCache>
            </c:strRef>
          </c:cat>
          <c:val>
            <c:numRef>
              <c:f>'S10'!$B$15:$B$24</c:f>
              <c:numCache>
                <c:formatCode>_(* #,##0,,,_);_(* \(#,##0,,,\);_(* "-"??_);_(@_)</c:formatCode>
                <c:ptCount val="10"/>
                <c:pt idx="0" formatCode="_(* #,##0.00,,,_);_(* \(#,##0.00,,,\);_(* &quot;-&quot;??_);_(@_)">
                  <c:v>16908963165.763248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5-4D1A-809A-6073F450F095}"/>
            </c:ext>
          </c:extLst>
        </c:ser>
        <c:ser>
          <c:idx val="1"/>
          <c:order val="1"/>
          <c:tx>
            <c:strRef>
              <c:f>'S10'!$C$14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'S10'!$A$15:$A$24</c:f>
              <c:strCache>
                <c:ptCount val="10"/>
                <c:pt idx="0">
                  <c:v>KH T12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T12</c:v>
                </c:pt>
              </c:strCache>
            </c:strRef>
          </c:cat>
          <c:val>
            <c:numRef>
              <c:f>'S10'!$C$15:$C$24</c:f>
              <c:numCache>
                <c:formatCode>_(* #,##0.0,,,_);_(* \(#,##0.0,,,\);_(* "-"??_);_(@_)</c:formatCode>
                <c:ptCount val="10"/>
                <c:pt idx="1">
                  <c:v>13942728288.406822</c:v>
                </c:pt>
                <c:pt idx="2">
                  <c:v>12414670575.406822</c:v>
                </c:pt>
                <c:pt idx="3">
                  <c:v>12414670575.406822</c:v>
                </c:pt>
                <c:pt idx="4">
                  <c:v>12774169287.964752</c:v>
                </c:pt>
                <c:pt idx="5">
                  <c:v>15425853868.249714</c:v>
                </c:pt>
                <c:pt idx="6">
                  <c:v>15412757786.249714</c:v>
                </c:pt>
                <c:pt idx="7">
                  <c:v>13852210405.249714</c:v>
                </c:pt>
                <c:pt idx="8">
                  <c:v>13852210405.249714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75-4D1A-809A-6073F450F095}"/>
            </c:ext>
          </c:extLst>
        </c:ser>
        <c:ser>
          <c:idx val="2"/>
          <c:order val="2"/>
          <c:tx>
            <c:strRef>
              <c:f>'S10'!$D$14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E75-4D1A-809A-6073F450F09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E75-4D1A-809A-6073F450F09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F30C6FE-A5ED-4CEC-9EE0-A35CA54DB9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E75-4D1A-809A-6073F450F09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F3E31C5-964F-4C5C-9E3B-833C564E90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E75-4D1A-809A-6073F450F095}"/>
                </c:ext>
              </c:extLst>
            </c:dLbl>
            <c:dLbl>
              <c:idx val="3"/>
              <c:layout>
                <c:manualLayout>
                  <c:x val="-5.5105496961992062E-17"/>
                  <c:y val="6.0951277534294822E-2"/>
                </c:manualLayout>
              </c:layout>
              <c:tx>
                <c:rich>
                  <a:bodyPr/>
                  <a:lstStyle/>
                  <a:p>
                    <a:fld id="{FAC01351-7D50-4585-ABBD-C55C08096B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E75-4D1A-809A-6073F450F095}"/>
                </c:ext>
              </c:extLst>
            </c:dLbl>
            <c:dLbl>
              <c:idx val="4"/>
              <c:layout>
                <c:manualLayout>
                  <c:x val="0"/>
                  <c:y val="0.111870220422852"/>
                </c:manualLayout>
              </c:layout>
              <c:tx>
                <c:rich>
                  <a:bodyPr/>
                  <a:lstStyle/>
                  <a:p>
                    <a:fld id="{8752FAFB-F8EC-4AA9-BE9C-6767FF2776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E75-4D1A-809A-6073F450F095}"/>
                </c:ext>
              </c:extLst>
            </c:dLbl>
            <c:dLbl>
              <c:idx val="5"/>
              <c:layout>
                <c:manualLayout>
                  <c:x val="0"/>
                  <c:y val="3.8232763575749736E-2"/>
                </c:manualLayout>
              </c:layout>
              <c:tx>
                <c:rich>
                  <a:bodyPr/>
                  <a:lstStyle/>
                  <a:p>
                    <a:fld id="{099232D4-13D7-42A3-B384-CE31358071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E75-4D1A-809A-6073F450F09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1E9E5FF-F1EB-42A5-A3A2-8FB8536AFA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E75-4D1A-809A-6073F450F09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1B44AB4-4D22-45FE-B084-9660814A11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E75-4D1A-809A-6073F450F095}"/>
                </c:ext>
              </c:extLst>
            </c:dLbl>
            <c:dLbl>
              <c:idx val="8"/>
              <c:layout>
                <c:manualLayout>
                  <c:x val="1.0062091905149591E-16"/>
                  <c:y val="-3.2447550837521828E-2"/>
                </c:manualLayout>
              </c:layout>
              <c:tx>
                <c:rich>
                  <a:bodyPr/>
                  <a:lstStyle/>
                  <a:p>
                    <a:fld id="{AFC08BBA-2184-4ED7-B47B-438ED64CA3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E75-4D1A-809A-6073F450F09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'S10'!$A$15:$A$24</c:f>
              <c:strCache>
                <c:ptCount val="10"/>
                <c:pt idx="0">
                  <c:v>KH T12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T12</c:v>
                </c:pt>
              </c:strCache>
            </c:strRef>
          </c:cat>
          <c:val>
            <c:numRef>
              <c:f>'S10'!$D$15:$D$24</c:f>
              <c:numCache>
                <c:formatCode>_(* #,##0.0,,,_);_(* \(#,##0.0,,,\);_(* "-"??_);_(@_)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359498712.55792999</c:v>
                </c:pt>
                <c:pt idx="4">
                  <c:v>3482182791.2849617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364183965.75027466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'S10'!$I$15:$I$24</c15:f>
                <c15:dlblRangeCache>
                  <c:ptCount val="10"/>
                  <c:pt idx="3">
                    <c:v>▲ 0.4 </c:v>
                  </c:pt>
                  <c:pt idx="4">
                    <c:v>▲ 3.5 </c:v>
                  </c:pt>
                  <c:pt idx="8">
                    <c:v>▲ 0.4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AE75-4D1A-809A-6073F450F095}"/>
            </c:ext>
          </c:extLst>
        </c:ser>
        <c:ser>
          <c:idx val="3"/>
          <c:order val="3"/>
          <c:tx>
            <c:strRef>
              <c:f>'S10'!$E$14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E75-4D1A-809A-6073F450F09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E75-4D1A-809A-6073F450F095}"/>
                </c:ext>
              </c:extLst>
            </c:dLbl>
            <c:dLbl>
              <c:idx val="1"/>
              <c:layout>
                <c:manualLayout>
                  <c:x val="1.2413898163899108E-3"/>
                  <c:y val="-0.10152273475936971"/>
                </c:manualLayout>
              </c:layout>
              <c:tx>
                <c:rich>
                  <a:bodyPr/>
                  <a:lstStyle/>
                  <a:p>
                    <a:fld id="{FD2C95E4-6F66-4C1D-A2C4-8FA806770A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AE75-4D1A-809A-6073F450F095}"/>
                </c:ext>
              </c:extLst>
            </c:dLbl>
            <c:dLbl>
              <c:idx val="2"/>
              <c:layout>
                <c:manualLayout>
                  <c:x val="-1.3721192922673516E-3"/>
                  <c:y val="-6.5104305028673037E-2"/>
                </c:manualLayout>
              </c:layout>
              <c:tx>
                <c:rich>
                  <a:bodyPr/>
                  <a:lstStyle/>
                  <a:p>
                    <a:fld id="{D9F887B2-1351-4F44-B09E-7E6B353476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AE75-4D1A-809A-6073F450F095}"/>
                </c:ext>
              </c:extLst>
            </c:dLbl>
            <c:dLbl>
              <c:idx val="3"/>
              <c:layout>
                <c:manualLayout>
                  <c:x val="-2.7442385845347032E-3"/>
                  <c:y val="-4.8275057470042966E-2"/>
                </c:manualLayout>
              </c:layout>
              <c:tx>
                <c:rich>
                  <a:bodyPr/>
                  <a:lstStyle/>
                  <a:p>
                    <a:fld id="{7ED89468-0957-42C7-A7D6-2BBE233FA1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AE75-4D1A-809A-6073F450F09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104DAFB-2708-407B-86DE-C58EBE8348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E75-4D1A-809A-6073F450F095}"/>
                </c:ext>
              </c:extLst>
            </c:dLbl>
            <c:dLbl>
              <c:idx val="5"/>
              <c:layout>
                <c:manualLayout>
                  <c:x val="-1.3721192922673516E-3"/>
                  <c:y val="-4.7795771479982006E-2"/>
                </c:manualLayout>
              </c:layout>
              <c:tx>
                <c:rich>
                  <a:bodyPr/>
                  <a:lstStyle/>
                  <a:p>
                    <a:fld id="{39C5D451-64CB-41A7-BB19-D73BFB9BC2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AE75-4D1A-809A-6073F450F095}"/>
                </c:ext>
              </c:extLst>
            </c:dLbl>
            <c:dLbl>
              <c:idx val="6"/>
              <c:layout>
                <c:manualLayout>
                  <c:x val="-6.8605964613367579E-3"/>
                  <c:y val="-3.6549707602339207E-2"/>
                </c:manualLayout>
              </c:layout>
              <c:tx>
                <c:rich>
                  <a:bodyPr/>
                  <a:lstStyle/>
                  <a:p>
                    <a:fld id="{AED62B6A-4C1F-40B6-8FC0-68AA7C1A03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AE75-4D1A-809A-6073F450F095}"/>
                </c:ext>
              </c:extLst>
            </c:dLbl>
            <c:dLbl>
              <c:idx val="7"/>
              <c:layout>
                <c:manualLayout>
                  <c:x val="1.372119292267251E-3"/>
                  <c:y val="-5.9612772340704376E-2"/>
                </c:manualLayout>
              </c:layout>
              <c:tx>
                <c:rich>
                  <a:bodyPr/>
                  <a:lstStyle/>
                  <a:p>
                    <a:fld id="{037ED557-2423-4050-ABF6-9EAC8D6AEA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AE75-4D1A-809A-6073F450F09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5F6052B-F0E6-4958-9F79-03580B51CE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E75-4D1A-809A-6073F450F09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'S10'!$A$15:$A$24</c:f>
              <c:strCache>
                <c:ptCount val="10"/>
                <c:pt idx="0">
                  <c:v>KH T12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T12</c:v>
                </c:pt>
              </c:strCache>
            </c:strRef>
          </c:cat>
          <c:val>
            <c:numRef>
              <c:f>'S10'!$E$15:$E$24</c:f>
              <c:numCache>
                <c:formatCode>_(* #,##0.0,,,_);_(* \(#,##0.0,,,\);_(* "-"??_);_(@_)</c:formatCode>
                <c:ptCount val="10"/>
                <c:pt idx="1">
                  <c:v>2966234877.3564262</c:v>
                </c:pt>
                <c:pt idx="2">
                  <c:v>1528057713</c:v>
                </c:pt>
                <c:pt idx="3">
                  <c:v>0</c:v>
                </c:pt>
                <c:pt idx="4">
                  <c:v>0</c:v>
                </c:pt>
                <c:pt idx="5">
                  <c:v>830498211</c:v>
                </c:pt>
                <c:pt idx="6">
                  <c:v>13096082</c:v>
                </c:pt>
                <c:pt idx="7">
                  <c:v>1560547381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'S10'!$J$15:$J$24</c15:f>
                <c15:dlblRangeCache>
                  <c:ptCount val="10"/>
                  <c:pt idx="1">
                    <c:v>▼ 3.0 </c:v>
                  </c:pt>
                  <c:pt idx="2">
                    <c:v>▼ 1.5 </c:v>
                  </c:pt>
                  <c:pt idx="5">
                    <c:v>▼ 0.8 </c:v>
                  </c:pt>
                  <c:pt idx="6">
                    <c:v>▼ 0.0 </c:v>
                  </c:pt>
                  <c:pt idx="7">
                    <c:v>▼ 1.6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AE75-4D1A-809A-6073F450F095}"/>
            </c:ext>
          </c:extLst>
        </c:ser>
        <c:ser>
          <c:idx val="4"/>
          <c:order val="4"/>
          <c:tx>
            <c:strRef>
              <c:f>'S10'!$F$14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E75-4D1A-809A-6073F450F095}"/>
              </c:ext>
            </c:extLst>
          </c:dPt>
          <c:dLbls>
            <c:dLbl>
              <c:idx val="9"/>
              <c:layout>
                <c:manualLayout>
                  <c:x val="-4.1163578768021554E-3"/>
                  <c:y val="-0.3562197374619670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'S10'!$A$15:$A$24</c:f>
              <c:strCache>
                <c:ptCount val="10"/>
                <c:pt idx="0">
                  <c:v>KH T12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T12</c:v>
                </c:pt>
              </c:strCache>
            </c:strRef>
          </c:cat>
          <c:val>
            <c:numRef>
              <c:f>'S10'!$F$15:$F$24</c:f>
              <c:numCache>
                <c:formatCode>_(* #,##0,,,_);_(* \(#,##0,,,\);_(* "-"??_);_(@_)</c:formatCode>
                <c:ptCount val="10"/>
                <c:pt idx="9" formatCode="_(* #,##0.00,,,_);_(* \(#,##0.00,,,\);_(* &quot;-&quot;??_);_(@_)">
                  <c:v>14216394370.999989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E75-4D1A-809A-6073F450F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09665871"/>
        <c:axId val="1609655791"/>
      </c:barChart>
      <c:catAx>
        <c:axId val="160966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55791"/>
        <c:crosses val="autoZero"/>
        <c:auto val="1"/>
        <c:lblAlgn val="ctr"/>
        <c:lblOffset val="100"/>
        <c:noMultiLvlLbl val="0"/>
      </c:catAx>
      <c:valAx>
        <c:axId val="1609655791"/>
        <c:scaling>
          <c:orientation val="minMax"/>
        </c:scaling>
        <c:delete val="1"/>
        <c:axPos val="l"/>
        <c:numFmt formatCode="_(* #,##0.00,,,_);_(* \(#,##0.00,,,\);_(* &quot;-&quot;??_);_(@_)" sourceLinked="1"/>
        <c:majorTickMark val="none"/>
        <c:minorTickMark val="none"/>
        <c:tickLblPos val="nextTo"/>
        <c:crossAx val="160966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359021</xdr:colOff>
      <xdr:row>2</xdr:row>
      <xdr:rowOff>123264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3CBCFF-552F-4958-9C0E-5B35B2CBB5B5}"/>
            </a:ext>
          </a:extLst>
        </xdr:cNvPr>
        <xdr:cNvSpPr/>
      </xdr:nvSpPr>
      <xdr:spPr>
        <a:xfrm>
          <a:off x="1" y="0"/>
          <a:ext cx="2187820" cy="504264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rgbClr val="FFFF00"/>
              </a:solidFill>
            </a:rPr>
            <a:t>Vẽ</a:t>
          </a:r>
          <a:r>
            <a:rPr lang="en-US" sz="1100" b="1" baseline="0">
              <a:solidFill>
                <a:srgbClr val="FFFF00"/>
              </a:solidFill>
            </a:rPr>
            <a:t> tổng sản lượng sản phẩm chính -&gt; tác động MIX -&gt; để thấy rõ là cty đang bán </a:t>
          </a:r>
          <a:r>
            <a:rPr lang="en-US" sz="1100" b="1" u="sng" baseline="0">
              <a:solidFill>
                <a:srgbClr val="FFFF00"/>
              </a:solidFill>
            </a:rPr>
            <a:t>mặt hàng xơ sợi </a:t>
          </a:r>
          <a:r>
            <a:rPr lang="en-US" sz="1100" b="1" baseline="0">
              <a:solidFill>
                <a:srgbClr val="FFFF00"/>
              </a:solidFill>
            </a:rPr>
            <a:t>nhiều hơn trong tháng 8</a:t>
          </a:r>
        </a:p>
      </xdr:txBody>
    </xdr:sp>
    <xdr:clientData/>
  </xdr:twoCellAnchor>
  <xdr:twoCellAnchor>
    <xdr:from>
      <xdr:col>0</xdr:col>
      <xdr:colOff>0</xdr:colOff>
      <xdr:row>69</xdr:row>
      <xdr:rowOff>175091</xdr:rowOff>
    </xdr:from>
    <xdr:to>
      <xdr:col>9</xdr:col>
      <xdr:colOff>831757</xdr:colOff>
      <xdr:row>98</xdr:row>
      <xdr:rowOff>84604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821D06E-B301-9601-B02A-91F731FFD87E}"/>
            </a:ext>
          </a:extLst>
        </xdr:cNvPr>
        <xdr:cNvGrpSpPr/>
      </xdr:nvGrpSpPr>
      <xdr:grpSpPr>
        <a:xfrm>
          <a:off x="0" y="8763000"/>
          <a:ext cx="11109232" cy="0"/>
          <a:chOff x="790854" y="17443355"/>
          <a:chExt cx="11096345" cy="543401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31DD0BE-6D21-4101-892F-E240E7A3E770}"/>
              </a:ext>
            </a:extLst>
          </xdr:cNvPr>
          <xdr:cNvGraphicFramePr>
            <a:graphicFrameLocks/>
          </xdr:cNvGraphicFramePr>
        </xdr:nvGraphicFramePr>
        <xdr:xfrm>
          <a:off x="790854" y="17443355"/>
          <a:ext cx="11096345" cy="54340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7ADF889-E2F1-4BD9-8203-38F4F10D1358}"/>
              </a:ext>
            </a:extLst>
          </xdr:cNvPr>
          <xdr:cNvSpPr/>
        </xdr:nvSpPr>
        <xdr:spPr>
          <a:xfrm>
            <a:off x="2140324" y="18411265"/>
            <a:ext cx="8359589" cy="3384177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oneCellAnchor>
    <xdr:from>
      <xdr:col>0</xdr:col>
      <xdr:colOff>124238</xdr:colOff>
      <xdr:row>111</xdr:row>
      <xdr:rowOff>136127</xdr:rowOff>
    </xdr:from>
    <xdr:ext cx="9733150" cy="2400861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619EE2-1CAA-4909-B62F-1E1F12017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0</xdr:col>
      <xdr:colOff>190500</xdr:colOff>
      <xdr:row>124</xdr:row>
      <xdr:rowOff>152400</xdr:rowOff>
    </xdr:from>
    <xdr:to>
      <xdr:col>7</xdr:col>
      <xdr:colOff>925436</xdr:colOff>
      <xdr:row>146</xdr:row>
      <xdr:rowOff>128868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8964E00-7A1B-466D-908E-A3B47CE75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0.94073</cdr:x>
      <cdr:y>0</cdr:y>
    </cdr:from>
    <cdr:to>
      <cdr:x>1</cdr:x>
      <cdr:y>0.06289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15445BA-76EC-5EA0-3E25-8705FAF55A27}"/>
            </a:ext>
          </a:extLst>
        </cdr:cNvPr>
        <cdr:cNvSpPr txBox="1"/>
      </cdr:nvSpPr>
      <cdr:spPr>
        <a:xfrm xmlns:a="http://schemas.openxmlformats.org/drawingml/2006/main">
          <a:off x="10452380" y="0"/>
          <a:ext cx="658533" cy="238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0.91971</cdr:x>
      <cdr:y>0.03136</cdr:y>
    </cdr:from>
    <cdr:to>
      <cdr:x>1</cdr:x>
      <cdr:y>0.14637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6449105-008B-D871-8336-9F8F65112CCF}"/>
            </a:ext>
          </a:extLst>
        </cdr:cNvPr>
        <cdr:cNvSpPr txBox="1"/>
      </cdr:nvSpPr>
      <cdr:spPr>
        <a:xfrm xmlns:a="http://schemas.openxmlformats.org/drawingml/2006/main">
          <a:off x="10205419" y="170389"/>
          <a:ext cx="890926" cy="624966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-14.55 </a:t>
          </a:r>
          <a:r>
            <a:rPr lang="en-US" sz="16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5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5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-18.1%)</a:t>
          </a:r>
          <a:endParaRPr lang="en-US" sz="15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0.06301</cdr:x>
      <cdr:y>0.70348</cdr:y>
    </cdr:from>
    <cdr:to>
      <cdr:x>0.846</cdr:x>
      <cdr:y>0.86503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534FF385-08F4-4012-9AB7-530F0D61435C}"/>
            </a:ext>
          </a:extLst>
        </cdr:cNvPr>
        <cdr:cNvGrpSpPr/>
      </cdr:nvGrpSpPr>
      <cdr:grpSpPr>
        <a:xfrm xmlns:a="http://schemas.openxmlformats.org/drawingml/2006/main">
          <a:off x="699181" y="3822719"/>
          <a:ext cx="8688327" cy="877865"/>
          <a:chOff x="681039" y="4089400"/>
          <a:chExt cx="8699688" cy="649225"/>
        </a:xfrm>
      </cdr:grpSpPr>
      <cdr:sp macro="" textlink="">
        <cdr:nvSpPr>
          <cdr:cNvPr id="4" name="Rectangle: Rounded Corners 3">
            <a:extLst xmlns:a="http://schemas.openxmlformats.org/drawingml/2006/main">
              <a:ext uri="{FF2B5EF4-FFF2-40B4-BE49-F238E27FC236}">
                <a16:creationId xmlns:a16="http://schemas.microsoft.com/office/drawing/2014/main" id="{499B57B5-A96B-7D7A-3E2B-60864EB3F5F2}"/>
              </a:ext>
            </a:extLst>
          </cdr:cNvPr>
          <cdr:cNvSpPr/>
        </cdr:nvSpPr>
        <cdr:spPr>
          <a:xfrm xmlns:a="http://schemas.openxmlformats.org/drawingml/2006/main">
            <a:off x="681039" y="4089400"/>
            <a:ext cx="1704975" cy="649225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  <a:latin typeface="Aptos Narrow (Body)"/>
              </a:rPr>
              <a:t>Dthu EXW</a:t>
            </a:r>
            <a:r>
              <a:rPr lang="en-US" sz="1500" b="1" baseline="0">
                <a:solidFill>
                  <a:srgbClr val="C00000"/>
                </a:solidFill>
                <a:latin typeface="Aptos Narrow (Body)"/>
              </a:rPr>
              <a:t> rPET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đạt </a:t>
            </a:r>
            <a:r>
              <a:rPr lang="en-US" sz="1800" b="1" baseline="0">
                <a:solidFill>
                  <a:srgbClr val="C00000"/>
                </a:solidFill>
                <a:latin typeface="Aptos Narrow (Body)"/>
              </a:rPr>
              <a:t>115</a:t>
            </a:r>
            <a:r>
              <a:rPr lang="en-US" sz="1500" b="1" baseline="0">
                <a:solidFill>
                  <a:srgbClr val="C00000"/>
                </a:solidFill>
                <a:latin typeface="Aptos Narrow (Body)"/>
              </a:rPr>
              <a:t> </a:t>
            </a:r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/ 140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  <a:latin typeface="Aptos Narrow (Body)"/>
              </a:rPr>
              <a:t>(-25.3 tỷ ~ -18.0%)</a:t>
            </a:r>
            <a:endParaRPr lang="en-US" sz="1300" i="1">
              <a:solidFill>
                <a:srgbClr val="C00000"/>
              </a:solidFill>
              <a:latin typeface="Aptos Narrow (Body)"/>
            </a:endParaRPr>
          </a:p>
        </cdr:txBody>
      </cdr:sp>
      <cdr:sp macro="" textlink="">
        <cdr:nvSpPr>
          <cdr:cNvPr id="5" name="Rectangle: Rounded Corners 4">
            <a:extLst xmlns:a="http://schemas.openxmlformats.org/drawingml/2006/main">
              <a:ext uri="{FF2B5EF4-FFF2-40B4-BE49-F238E27FC236}">
                <a16:creationId xmlns:a16="http://schemas.microsoft.com/office/drawing/2014/main" id="{8F392477-5DB1-7F94-0639-7B2DEF85714B}"/>
              </a:ext>
            </a:extLst>
          </cdr:cNvPr>
          <cdr:cNvSpPr/>
        </cdr:nvSpPr>
        <cdr:spPr>
          <a:xfrm xmlns:a="http://schemas.openxmlformats.org/drawingml/2006/main">
            <a:off x="2424764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450" b="1">
                <a:solidFill>
                  <a:srgbClr val="C00000"/>
                </a:solidFill>
              </a:rPr>
              <a:t>Dthu EXW</a:t>
            </a:r>
            <a:r>
              <a:rPr lang="en-US" sz="1450" b="1" baseline="0">
                <a:solidFill>
                  <a:srgbClr val="C00000"/>
                </a:solidFill>
              </a:rPr>
              <a:t> rHD thổi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</a:t>
            </a:r>
            <a:r>
              <a:rPr lang="en-US" sz="1800" baseline="0">
                <a:solidFill>
                  <a:srgbClr val="C00000"/>
                </a:solidFill>
              </a:rPr>
              <a:t> </a:t>
            </a:r>
            <a:r>
              <a:rPr lang="en-US" sz="1800" b="1" baseline="0">
                <a:solidFill>
                  <a:srgbClr val="C00000"/>
                </a:solidFill>
              </a:rPr>
              <a:t>6.9 </a:t>
            </a:r>
            <a:r>
              <a:rPr lang="en-US" sz="1500" baseline="0">
                <a:solidFill>
                  <a:srgbClr val="C00000"/>
                </a:solidFill>
              </a:rPr>
              <a:t>/ 23.4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(-16.5 tỷ ~ -70.4%)</a:t>
            </a:r>
            <a:endParaRPr lang="en-US" sz="1300" i="1">
              <a:solidFill>
                <a:srgbClr val="C00000"/>
              </a:solidFill>
            </a:endParaRPr>
          </a:p>
        </cdr:txBody>
      </cdr:sp>
      <cdr:sp macro="" textlink="">
        <cdr:nvSpPr>
          <cdr:cNvPr id="6" name="Rectangle: Rounded Corners 5">
            <a:extLst xmlns:a="http://schemas.openxmlformats.org/drawingml/2006/main">
              <a:ext uri="{FF2B5EF4-FFF2-40B4-BE49-F238E27FC236}">
                <a16:creationId xmlns:a16="http://schemas.microsoft.com/office/drawing/2014/main" id="{BBE95CDA-532F-E83C-A5AA-23D4CB962A65}"/>
              </a:ext>
            </a:extLst>
          </cdr:cNvPr>
          <cdr:cNvSpPr/>
        </cdr:nvSpPr>
        <cdr:spPr>
          <a:xfrm xmlns:a="http://schemas.openxmlformats.org/drawingml/2006/main">
            <a:off x="4173442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Dthu EXW</a:t>
            </a:r>
            <a:r>
              <a:rPr lang="en-US" sz="1500" b="1" baseline="0">
                <a:solidFill>
                  <a:srgbClr val="C00000"/>
                </a:solidFill>
              </a:rPr>
              <a:t> rHD ép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1.1</a:t>
            </a:r>
            <a:r>
              <a:rPr lang="en-US" sz="1500" baseline="0">
                <a:solidFill>
                  <a:srgbClr val="C00000"/>
                </a:solidFill>
              </a:rPr>
              <a:t> / 2.9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(-1.8 tỷ ~ -62.4%)</a:t>
            </a:r>
          </a:p>
        </cdr:txBody>
      </cdr:sp>
      <cdr:sp macro="" textlink="">
        <cdr:nvSpPr>
          <cdr:cNvPr id="7" name="Rectangle: Rounded Corners 6">
            <a:extLst xmlns:a="http://schemas.openxmlformats.org/drawingml/2006/main">
              <a:ext uri="{FF2B5EF4-FFF2-40B4-BE49-F238E27FC236}">
                <a16:creationId xmlns:a16="http://schemas.microsoft.com/office/drawing/2014/main" id="{F12DEA15-D07F-666E-F3C1-1675054387C0}"/>
              </a:ext>
            </a:extLst>
          </cdr:cNvPr>
          <cdr:cNvSpPr/>
        </cdr:nvSpPr>
        <cdr:spPr>
          <a:xfrm xmlns:a="http://schemas.openxmlformats.org/drawingml/2006/main">
            <a:off x="5922120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Dthu EXW</a:t>
            </a:r>
            <a:r>
              <a:rPr lang="en-US" sz="1500" b="1" baseline="0">
                <a:solidFill>
                  <a:srgbClr val="C00000"/>
                </a:solidFill>
              </a:rPr>
              <a:t> rPP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1.1</a:t>
            </a:r>
            <a:r>
              <a:rPr lang="en-US" sz="1500" b="1" baseline="0">
                <a:solidFill>
                  <a:srgbClr val="C00000"/>
                </a:solidFill>
              </a:rPr>
              <a:t> </a:t>
            </a:r>
            <a:r>
              <a:rPr lang="en-US" sz="1500" baseline="0">
                <a:solidFill>
                  <a:srgbClr val="C00000"/>
                </a:solidFill>
              </a:rPr>
              <a:t>/ 2.2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(-1.1  tỷ ~ -49.5%)</a:t>
            </a:r>
            <a:endParaRPr lang="en-US" sz="1300" i="1">
              <a:solidFill>
                <a:srgbClr val="C00000"/>
              </a:solidFill>
            </a:endParaRPr>
          </a:p>
        </cdr:txBody>
      </cdr:sp>
      <cdr:sp macro="" textlink="">
        <cdr:nvSpPr>
          <cdr:cNvPr id="8" name="Rectangle: Rounded Corners 7">
            <a:extLst xmlns:a="http://schemas.openxmlformats.org/drawingml/2006/main">
              <a:ext uri="{FF2B5EF4-FFF2-40B4-BE49-F238E27FC236}">
                <a16:creationId xmlns:a16="http://schemas.microsoft.com/office/drawing/2014/main" id="{7C6FF398-5090-0608-1F39-4CCD8B19ED74}"/>
              </a:ext>
            </a:extLst>
          </cdr:cNvPr>
          <cdr:cNvSpPr/>
        </cdr:nvSpPr>
        <cdr:spPr>
          <a:xfrm xmlns:a="http://schemas.openxmlformats.org/drawingml/2006/main">
            <a:off x="7670799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00B050"/>
                </a:solidFill>
              </a:rPr>
              <a:t>Dthu EXW</a:t>
            </a:r>
            <a:r>
              <a:rPr lang="en-US" sz="1500" b="1" baseline="0">
                <a:solidFill>
                  <a:srgbClr val="00B050"/>
                </a:solidFill>
              </a:rPr>
              <a:t> Xơ Sợi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00B050"/>
                </a:solidFill>
              </a:rPr>
              <a:t>đạt </a:t>
            </a:r>
            <a:r>
              <a:rPr lang="en-US" sz="1800" b="1" baseline="0">
                <a:solidFill>
                  <a:srgbClr val="00B050"/>
                </a:solidFill>
              </a:rPr>
              <a:t>9.8</a:t>
            </a:r>
            <a:r>
              <a:rPr lang="en-US" sz="1500" baseline="0">
                <a:solidFill>
                  <a:srgbClr val="00B050"/>
                </a:solidFill>
              </a:rPr>
              <a:t> / 2.8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00B050"/>
                </a:solidFill>
              </a:rPr>
              <a:t>(+7  tỷ ~ +256%)</a:t>
            </a:r>
          </a:p>
        </cdr:txBody>
      </cdr:sp>
    </cdr:grpSp>
  </cdr:relSizeAnchor>
  <cdr:relSizeAnchor xmlns:cdr="http://schemas.openxmlformats.org/drawingml/2006/chartDrawing">
    <cdr:from>
      <cdr:x>0.84126</cdr:x>
      <cdr:y>0.45107</cdr:y>
    </cdr:from>
    <cdr:to>
      <cdr:x>0.89768</cdr:x>
      <cdr:y>0.66245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0EF6BA54-5EC2-A906-0256-B4A0E866DB36}"/>
            </a:ext>
          </a:extLst>
        </cdr:cNvPr>
        <cdr:cNvSpPr/>
      </cdr:nvSpPr>
      <cdr:spPr>
        <a:xfrm xmlns:a="http://schemas.openxmlformats.org/drawingml/2006/main">
          <a:off x="9347200" y="2451100"/>
          <a:ext cx="626863" cy="1148655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Tăng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25,000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25,988</a:t>
          </a:r>
        </a:p>
        <a:p xmlns:a="http://schemas.openxmlformats.org/drawingml/2006/main">
          <a:pPr algn="ctr"/>
          <a:endParaRPr lang="en-US" sz="1000" b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800" i="1" baseline="0">
              <a:solidFill>
                <a:sysClr val="windowText" lastClr="000000"/>
              </a:solidFill>
              <a:latin typeface="Aptos Narrow (Body)"/>
            </a:rPr>
            <a:t>(+988 ~ +4.0%)</a:t>
          </a:r>
        </a:p>
      </cdr:txBody>
    </cdr:sp>
  </cdr:relSizeAnchor>
  <cdr:relSizeAnchor xmlns:cdr="http://schemas.openxmlformats.org/drawingml/2006/chartDrawing">
    <cdr:from>
      <cdr:x>0.06215</cdr:x>
      <cdr:y>0.45457</cdr:y>
    </cdr:from>
    <cdr:to>
      <cdr:x>0.83759</cdr:x>
      <cdr:y>0.65819</cdr:y>
    </cdr:to>
    <cdr:grpSp>
      <cdr:nvGrpSpPr>
        <cdr:cNvPr id="17" name="Group 16">
          <a:extLst xmlns:a="http://schemas.openxmlformats.org/drawingml/2006/main">
            <a:ext uri="{FF2B5EF4-FFF2-40B4-BE49-F238E27FC236}">
              <a16:creationId xmlns:a16="http://schemas.microsoft.com/office/drawing/2014/main" id="{E6719B94-223D-09BA-09B1-E260C8DE50E7}"/>
            </a:ext>
          </a:extLst>
        </cdr:cNvPr>
        <cdr:cNvGrpSpPr/>
      </cdr:nvGrpSpPr>
      <cdr:grpSpPr>
        <a:xfrm xmlns:a="http://schemas.openxmlformats.org/drawingml/2006/main">
          <a:off x="689638" y="2470139"/>
          <a:ext cx="8604550" cy="1106474"/>
          <a:chOff x="690563" y="2470150"/>
          <a:chExt cx="8615870" cy="1106489"/>
        </a:xfrm>
      </cdr:grpSpPr>
      <cdr:sp macro="" textlink="">
        <cdr:nvSpPr>
          <cdr:cNvPr id="10" name="Rectangle: Rounded Corners 9">
            <a:extLst xmlns:a="http://schemas.openxmlformats.org/drawingml/2006/main">
              <a:ext uri="{FF2B5EF4-FFF2-40B4-BE49-F238E27FC236}">
                <a16:creationId xmlns:a16="http://schemas.microsoft.com/office/drawing/2014/main" id="{F874A4F7-499F-BDBE-4F54-1E0173492C2C}"/>
              </a:ext>
            </a:extLst>
          </cdr:cNvPr>
          <cdr:cNvSpPr/>
        </cdr:nvSpPr>
        <cdr:spPr>
          <a:xfrm xmlns:a="http://schemas.openxmlformats.org/drawingml/2006/main">
            <a:off x="690563" y="2470150"/>
            <a:ext cx="1666875" cy="1106489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+mn-lt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+mn-lt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3.67</a:t>
            </a:r>
            <a:r>
              <a:rPr lang="en-US" sz="110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/ </a:t>
            </a:r>
            <a:r>
              <a:rPr lang="en-US" sz="1000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4.4 ngàn tấn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( -0.77  ~  -17.3%).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+mn-lt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Giá bán trung bình 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$1,206/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tấn (KH là $1.266 ~ -4.7%)</a:t>
            </a:r>
          </a:p>
        </cdr:txBody>
      </cdr:sp>
      <cdr:sp macro="" textlink="">
        <cdr:nvSpPr>
          <cdr:cNvPr id="13" name="Rectangle: Rounded Corners 12">
            <a:extLst xmlns:a="http://schemas.openxmlformats.org/drawingml/2006/main">
              <a:ext uri="{FF2B5EF4-FFF2-40B4-BE49-F238E27FC236}">
                <a16:creationId xmlns:a16="http://schemas.microsoft.com/office/drawing/2014/main" id="{B3D2C088-5FE7-3E17-7CFA-5F76C72988EC}"/>
              </a:ext>
            </a:extLst>
          </cdr:cNvPr>
          <cdr:cNvSpPr/>
        </cdr:nvSpPr>
        <cdr:spPr>
          <a:xfrm xmlns:a="http://schemas.openxmlformats.org/drawingml/2006/main">
            <a:off x="2430479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Aptos Narrow (Body)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Aptos Narrow (Body)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: đạt </a:t>
            </a:r>
          </a:p>
          <a:p xmlns:a="http://schemas.openxmlformats.org/drawingml/2006/main">
            <a:pPr algn="l"/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0.21</a:t>
            </a:r>
            <a:r>
              <a:rPr lang="en-US" sz="1100" baseline="0">
                <a:solidFill>
                  <a:sysClr val="windowText" lastClr="000000"/>
                </a:solidFill>
                <a:latin typeface="Aptos Narrow (Body)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/ 0.7 ngàn tấn 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 (Body)"/>
              </a:rPr>
              <a:t>(-0.5 ~ -69.5%)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Aptos Narrow (Body)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Giá bán trung bình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 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$1,257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/tấn (KH là $1,3</a:t>
            </a:r>
            <a:r>
              <a:rPr lang="vi-VN" sz="1000" b="0" i="0" baseline="0">
                <a:solidFill>
                  <a:sysClr val="windowText" lastClr="000000"/>
                </a:solidFill>
                <a:latin typeface="Aptos Narrow (Body)"/>
              </a:rPr>
              <a:t>4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7 ~ -6.7%)</a:t>
            </a:r>
            <a:endParaRPr lang="en-US" sz="1000" b="1" i="0" baseline="0">
              <a:solidFill>
                <a:sysClr val="windowText" lastClr="000000"/>
              </a:solidFill>
              <a:latin typeface="Aptos Narrow (Body)"/>
            </a:endParaRPr>
          </a:p>
        </cdr:txBody>
      </cdr:sp>
      <cdr:sp macro="" textlink="">
        <cdr:nvSpPr>
          <cdr:cNvPr id="14" name="Rectangle: Rounded Corners 13">
            <a:extLst xmlns:a="http://schemas.openxmlformats.org/drawingml/2006/main">
              <a:ext uri="{FF2B5EF4-FFF2-40B4-BE49-F238E27FC236}">
                <a16:creationId xmlns:a16="http://schemas.microsoft.com/office/drawing/2014/main" id="{1E3B5E11-268E-6ACF-D4FC-124288B69255}"/>
              </a:ext>
            </a:extLst>
          </cdr:cNvPr>
          <cdr:cNvSpPr/>
        </cdr:nvSpPr>
        <cdr:spPr>
          <a:xfrm xmlns:a="http://schemas.openxmlformats.org/drawingml/2006/main">
            <a:off x="4167728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0.06</a:t>
            </a:r>
            <a:r>
              <a:rPr lang="en-US" sz="1000" baseline="0">
                <a:solidFill>
                  <a:sysClr val="windowText" lastClr="000000"/>
                </a:solidFill>
              </a:rPr>
              <a:t>/0.14 ng.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(-0.08 ~ -56.7%)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Giá bán trung bình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$697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/tấn (KH là $835 ~ -16.6%)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  <cdr:sp macro="" textlink="">
        <cdr:nvSpPr>
          <cdr:cNvPr id="15" name="Rectangle: Rounded Corners 14">
            <a:extLst xmlns:a="http://schemas.openxmlformats.org/drawingml/2006/main">
              <a:ext uri="{FF2B5EF4-FFF2-40B4-BE49-F238E27FC236}">
                <a16:creationId xmlns:a16="http://schemas.microsoft.com/office/drawing/2014/main" id="{56CFF307-E683-3E82-647F-C8B95F0A1187}"/>
              </a:ext>
            </a:extLst>
          </cdr:cNvPr>
          <cdr:cNvSpPr/>
        </cdr:nvSpPr>
        <cdr:spPr>
          <a:xfrm xmlns:a="http://schemas.openxmlformats.org/drawingml/2006/main">
            <a:off x="5904977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0.05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(-0.05 ~ -50%)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Giá bán trung bình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$859/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tấn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(KH là $887 ~ -3.1%)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  <cdr:sp macro="" textlink="">
        <cdr:nvSpPr>
          <cdr:cNvPr id="16" name="Rectangle: Rounded Corners 15">
            <a:extLst xmlns:a="http://schemas.openxmlformats.org/drawingml/2006/main">
              <a:ext uri="{FF2B5EF4-FFF2-40B4-BE49-F238E27FC236}">
                <a16:creationId xmlns:a16="http://schemas.microsoft.com/office/drawing/2014/main" id="{CA348383-5F92-FFDE-42C1-20D9B18568CA}"/>
              </a:ext>
            </a:extLst>
          </cdr:cNvPr>
          <cdr:cNvSpPr/>
        </cdr:nvSpPr>
        <cdr:spPr>
          <a:xfrm xmlns:a="http://schemas.openxmlformats.org/drawingml/2006/main">
            <a:off x="7642225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0.57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(+0.47 ~ +468%)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Giá bán trung bình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$664/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tấn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 </a:t>
            </a:r>
          </a:p>
          <a:p xmlns:a="http://schemas.openxmlformats.org/drawingml/2006/main">
            <a:pPr algn="l"/>
            <a:r>
              <a:rPr lang="en-US" sz="1000" b="0" i="0" baseline="0">
                <a:solidFill>
                  <a:sysClr val="windowText" lastClr="000000"/>
                </a:solidFill>
              </a:rPr>
              <a:t>(KH là $1,100 ~ +39.7%)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</cdr:grpSp>
  </cdr:relSizeAnchor>
  <cdr:relSizeAnchor xmlns:cdr="http://schemas.openxmlformats.org/drawingml/2006/chartDrawing">
    <cdr:from>
      <cdr:x>0.37748</cdr:x>
      <cdr:y>0.31774</cdr:y>
    </cdr:from>
    <cdr:to>
      <cdr:x>0.5285</cdr:x>
      <cdr:y>0.42982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DA833A1-1C5D-84A0-056A-F7079FB1CE8D}"/>
            </a:ext>
          </a:extLst>
        </cdr:cNvPr>
        <cdr:cNvSpPr txBox="1"/>
      </cdr:nvSpPr>
      <cdr:spPr>
        <a:xfrm xmlns:a="http://schemas.openxmlformats.org/drawingml/2006/main">
          <a:off x="4188648" y="1726630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0.53366</cdr:x>
      <cdr:y>0.31537</cdr:y>
    </cdr:from>
    <cdr:to>
      <cdr:x>0.68468</cdr:x>
      <cdr:y>0.42745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2A9ED325-474A-DE94-C6A9-AE44D241D87B}"/>
            </a:ext>
          </a:extLst>
        </cdr:cNvPr>
        <cdr:cNvSpPr txBox="1"/>
      </cdr:nvSpPr>
      <cdr:spPr>
        <a:xfrm xmlns:a="http://schemas.openxmlformats.org/drawingml/2006/main">
          <a:off x="5921674" y="1713727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0.64989</cdr:x>
      <cdr:y>0.02268</cdr:y>
    </cdr:from>
    <cdr:to>
      <cdr:x>0.91338</cdr:x>
      <cdr:y>0.13295</cdr:y>
    </cdr:to>
    <cdr:sp macro="" textlink="">
      <cdr:nvSpPr>
        <cdr:cNvPr id="19" name="Speech Bubble: Rectangle with Corners Rounded 18">
          <a:extLst xmlns:a="http://schemas.openxmlformats.org/drawingml/2006/main">
            <a:ext uri="{FF2B5EF4-FFF2-40B4-BE49-F238E27FC236}">
              <a16:creationId xmlns:a16="http://schemas.microsoft.com/office/drawing/2014/main" id="{703B310C-8E2F-EE05-2EC0-FE0012EC7082}"/>
            </a:ext>
          </a:extLst>
        </cdr:cNvPr>
        <cdr:cNvSpPr/>
      </cdr:nvSpPr>
      <cdr:spPr>
        <a:xfrm xmlns:a="http://schemas.openxmlformats.org/drawingml/2006/main">
          <a:off x="7211358" y="123265"/>
          <a:ext cx="2923813" cy="599187"/>
        </a:xfrm>
        <a:prstGeom xmlns:a="http://schemas.openxmlformats.org/drawingml/2006/main" prst="wedgeRoundRectCallout">
          <a:avLst>
            <a:gd name="adj1" fmla="val 45545"/>
            <a:gd name="adj2" fmla="val 82442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ysClr val="windowText" lastClr="000000"/>
              </a:solidFill>
            </a:rPr>
            <a:t>- D</a:t>
          </a:r>
          <a:r>
            <a:rPr lang="en-US" sz="1100" baseline="0">
              <a:solidFill>
                <a:sysClr val="windowText" lastClr="000000"/>
              </a:solidFill>
            </a:rPr>
            <a:t>thu EPR: 0.18/3.3 ~ </a:t>
          </a:r>
          <a:r>
            <a:rPr lang="en-US" sz="1100" b="1" baseline="0">
              <a:solidFill>
                <a:sysClr val="windowText" lastClr="000000"/>
              </a:solidFill>
            </a:rPr>
            <a:t>giảm 3.1</a:t>
          </a:r>
          <a:endParaRPr lang="en-US" sz="1100" baseline="0">
            <a:solidFill>
              <a:sysClr val="windowText" lastClr="000000"/>
            </a:solidFill>
          </a:endParaRPr>
        </a:p>
        <a:p xmlns:a="http://schemas.openxmlformats.org/drawingml/2006/main">
          <a:pPr algn="l"/>
          <a:r>
            <a:rPr lang="en-US" sz="1100" baseline="0">
              <a:solidFill>
                <a:sysClr val="windowText" lastClr="000000"/>
              </a:solidFill>
            </a:rPr>
            <a:t>- Dây đai đạt : 1.3/2.6 tỷ ~ </a:t>
          </a:r>
          <a:r>
            <a:rPr lang="en-US" sz="1100" b="1" baseline="0">
              <a:solidFill>
                <a:sysClr val="windowText" lastClr="000000"/>
              </a:solidFill>
            </a:rPr>
            <a:t>giảm 1.3 tỷ</a:t>
          </a:r>
        </a:p>
        <a:p xmlns:a="http://schemas.openxmlformats.org/drawingml/2006/main">
          <a:pPr algn="l"/>
          <a:r>
            <a:rPr lang="en-US" sz="1100" b="0" baseline="0">
              <a:solidFill>
                <a:sysClr val="windowText" lastClr="000000"/>
              </a:solidFill>
            </a:rPr>
            <a:t>- Thực tế có bán phó sản: + </a:t>
          </a:r>
          <a:r>
            <a:rPr lang="en-US" sz="1100" b="1" baseline="0">
              <a:solidFill>
                <a:sysClr val="windowText" lastClr="000000"/>
              </a:solidFill>
            </a:rPr>
            <a:t>3.4 tỷ</a:t>
          </a:r>
          <a:r>
            <a:rPr lang="en-US" sz="1100" b="0" baseline="0">
              <a:solidFill>
                <a:sysClr val="windowText" lastClr="000000"/>
              </a:solidFill>
            </a:rPr>
            <a:t> (KH không có)</a:t>
          </a:r>
          <a:endParaRPr lang="en-US" sz="1100" b="1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0.88465</cdr:x>
      <cdr:y>0.26184</cdr:y>
    </cdr:from>
    <cdr:to>
      <cdr:x>0.97619</cdr:x>
      <cdr:y>0.53186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A57CD6-1E41-C3C1-B6F2-2A6B09E060A6}"/>
            </a:ext>
          </a:extLst>
        </cdr:cNvPr>
        <cdr:cNvSpPr txBox="1"/>
      </cdr:nvSpPr>
      <cdr:spPr>
        <a:xfrm xmlns:a="http://schemas.openxmlformats.org/drawingml/2006/main">
          <a:off x="8610418" y="628651"/>
          <a:ext cx="890972" cy="648260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-106 </a:t>
          </a:r>
          <a:r>
            <a:rPr lang="en-US" sz="1500" b="1" kern="120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100" b="0" i="1" kern="120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(~</a:t>
          </a:r>
          <a:r>
            <a:rPr lang="en-US" sz="1100" b="0" i="1" kern="1200" baseline="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 -51.2%)</a:t>
          </a:r>
          <a:endParaRPr lang="en-US" sz="1100" b="0" i="1" kern="1200">
            <a:solidFill>
              <a:srgbClr val="C00000"/>
            </a:solidFill>
            <a:latin typeface="+mn-lt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0.13113</cdr:x>
      <cdr:y>0.02954</cdr:y>
    </cdr:from>
    <cdr:to>
      <cdr:x>0.4345</cdr:x>
      <cdr:y>0.27943</cdr:y>
    </cdr:to>
    <cdr:sp macro="" textlink="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E765567D-CF32-2BB8-AE9D-D3069B8B8080}"/>
            </a:ext>
          </a:extLst>
        </cdr:cNvPr>
        <cdr:cNvSpPr/>
      </cdr:nvSpPr>
      <cdr:spPr>
        <a:xfrm xmlns:a="http://schemas.openxmlformats.org/drawingml/2006/main">
          <a:off x="1276350" y="70926"/>
          <a:ext cx="2952750" cy="599951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500" b="1">
              <a:solidFill>
                <a:sysClr val="windowText" lastClr="000000"/>
              </a:solidFill>
              <a:latin typeface="+mn-lt"/>
            </a:rPr>
            <a:t>Sản</a:t>
          </a:r>
          <a:r>
            <a:rPr lang="en-US" sz="1500" b="1" baseline="0">
              <a:solidFill>
                <a:sysClr val="windowText" lastClr="000000"/>
              </a:solidFill>
              <a:latin typeface="+mn-lt"/>
            </a:rPr>
            <a:t> lượng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: đạt </a:t>
          </a:r>
          <a:r>
            <a:rPr lang="en-US" sz="1800" b="1" baseline="0">
              <a:solidFill>
                <a:sysClr val="windowText" lastClr="000000"/>
              </a:solidFill>
              <a:latin typeface="+mn-lt"/>
            </a:rPr>
            <a:t>2.78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 / 5.94 ngàn tấn </a:t>
          </a:r>
        </a:p>
        <a:p xmlns:a="http://schemas.openxmlformats.org/drawingml/2006/main">
          <a:pPr algn="l"/>
          <a:r>
            <a:rPr lang="en-US" sz="1500" i="1" baseline="0">
              <a:solidFill>
                <a:sysClr val="windowText" lastClr="000000"/>
              </a:solidFill>
              <a:latin typeface="+mn-lt"/>
            </a:rPr>
            <a:t>( -3.2  ~  -53.3%).</a:t>
          </a:r>
        </a:p>
      </cdr:txBody>
    </cdr:sp>
  </cdr:relSizeAnchor>
  <cdr:relSizeAnchor xmlns:cdr="http://schemas.openxmlformats.org/drawingml/2006/chartDrawing">
    <cdr:from>
      <cdr:x>0.57465</cdr:x>
      <cdr:y>0.06013</cdr:y>
    </cdr:from>
    <cdr:to>
      <cdr:x>0.7105</cdr:x>
      <cdr:y>0.50191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43ED2DC5-E12B-C7C5-5725-C378978E6DB3}"/>
            </a:ext>
          </a:extLst>
        </cdr:cNvPr>
        <cdr:cNvSpPr/>
      </cdr:nvSpPr>
      <cdr:spPr>
        <a:xfrm xmlns:a="http://schemas.openxmlformats.org/drawingml/2006/main">
          <a:off x="5593155" y="144359"/>
          <a:ext cx="1322248" cy="106065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solidFill>
                <a:sysClr val="windowText" lastClr="000000"/>
              </a:solidFill>
              <a:latin typeface="+mn-lt"/>
            </a:rPr>
            <a:t>Tăng</a:t>
          </a:r>
          <a:r>
            <a:rPr lang="en-US" sz="1200" baseline="0">
              <a:solidFill>
                <a:sysClr val="windowText" lastClr="000000"/>
              </a:solidFill>
              <a:latin typeface="+mn-lt"/>
            </a:rPr>
            <a:t> từ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+mn-lt"/>
            </a:rPr>
            <a:t>25,000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+mn-lt"/>
              <a:sym typeface="Wingdings 3" panose="05040102010807070707" pitchFamily="18" charset="2"/>
            </a:rPr>
            <a:t></a:t>
          </a:r>
          <a:r>
            <a:rPr lang="en-US" sz="13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1300" b="1" baseline="0">
              <a:solidFill>
                <a:sysClr val="windowText" lastClr="000000"/>
              </a:solidFill>
              <a:latin typeface="+mn-lt"/>
            </a:rPr>
            <a:t>26,143</a:t>
          </a:r>
        </a:p>
        <a:p xmlns:a="http://schemas.openxmlformats.org/drawingml/2006/main">
          <a:pPr algn="ctr"/>
          <a:r>
            <a:rPr lang="en-US" sz="1200" i="1" baseline="0">
              <a:solidFill>
                <a:sysClr val="windowText" lastClr="000000"/>
              </a:solidFill>
              <a:latin typeface="+mn-lt"/>
            </a:rPr>
            <a:t>(+1,143 ~ </a:t>
          </a:r>
        </a:p>
        <a:p xmlns:a="http://schemas.openxmlformats.org/drawingml/2006/main">
          <a:pPr algn="ctr"/>
          <a:r>
            <a:rPr lang="en-US" sz="1200" i="1" baseline="0">
              <a:solidFill>
                <a:sysClr val="windowText" lastClr="000000"/>
              </a:solidFill>
              <a:latin typeface="+mn-lt"/>
            </a:rPr>
            <a:t>+ 4.6%)</a:t>
          </a:r>
        </a:p>
      </cdr:txBody>
    </cdr:sp>
  </cdr:relSizeAnchor>
  <cdr:relSizeAnchor xmlns:cdr="http://schemas.openxmlformats.org/drawingml/2006/chartDrawing">
    <cdr:from>
      <cdr:x>0.71737</cdr:x>
      <cdr:y>0.15029</cdr:y>
    </cdr:from>
    <cdr:to>
      <cdr:x>0.89267</cdr:x>
      <cdr:y>0.54003</cdr:y>
    </cdr:to>
    <cdr:sp macro="" textlink="">
      <cdr:nvSpPr>
        <cdr:cNvPr id="5" name="Speech Bubble: Rectangle with Corners Rounded 4">
          <a:extLst xmlns:a="http://schemas.openxmlformats.org/drawingml/2006/main">
            <a:ext uri="{FF2B5EF4-FFF2-40B4-BE49-F238E27FC236}">
              <a16:creationId xmlns:a16="http://schemas.microsoft.com/office/drawing/2014/main" id="{9807E970-0E37-F977-1B87-AB72D9FF011E}"/>
            </a:ext>
          </a:extLst>
        </cdr:cNvPr>
        <cdr:cNvSpPr/>
      </cdr:nvSpPr>
      <cdr:spPr>
        <a:xfrm xmlns:a="http://schemas.openxmlformats.org/drawingml/2006/main">
          <a:off x="6982239" y="360829"/>
          <a:ext cx="1706218" cy="935708"/>
        </a:xfrm>
        <a:prstGeom xmlns:a="http://schemas.openxmlformats.org/drawingml/2006/main" prst="wedgeRoundRectCallout">
          <a:avLst>
            <a:gd name="adj1" fmla="val -242"/>
            <a:gd name="adj2" fmla="val 5891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</a:rPr>
            <a:t>-</a:t>
          </a:r>
          <a:r>
            <a:rPr lang="en-US" sz="1000" b="1" baseline="0">
              <a:solidFill>
                <a:sysClr val="windowText" lastClr="000000"/>
              </a:solidFill>
            </a:rPr>
            <a:t> KH có lập bán cho các khách hàng giá CIF, DDP,</a:t>
          </a:r>
          <a:r>
            <a:rPr lang="en-US" sz="1000" b="0" baseline="0">
              <a:solidFill>
                <a:sysClr val="windowText" lastClr="000000"/>
              </a:solidFill>
            </a:rPr>
            <a:t> thực tế không có: </a:t>
          </a:r>
          <a:r>
            <a:rPr lang="en-US" sz="1000" b="1" baseline="0">
              <a:solidFill>
                <a:sysClr val="windowText" lastClr="000000"/>
              </a:solidFill>
            </a:rPr>
            <a:t>-10 tỷ</a:t>
          </a:r>
        </a:p>
        <a:p xmlns:a="http://schemas.openxmlformats.org/drawingml/2006/main">
          <a:pPr algn="l"/>
          <a:endParaRPr lang="en-US" sz="1000" b="1" baseline="0">
            <a:solidFill>
              <a:sysClr val="windowText" lastClr="000000"/>
            </a:solidFill>
          </a:endParaRPr>
        </a:p>
        <a:p xmlns:a="http://schemas.openxmlformats.org/drawingml/2006/main">
          <a:pPr algn="l"/>
          <a:r>
            <a:rPr lang="en-US" sz="1000" b="1" baseline="0">
              <a:solidFill>
                <a:sysClr val="windowText" lastClr="000000"/>
              </a:solidFill>
            </a:rPr>
            <a:t>- Tài trợ đạt 8.3</a:t>
          </a:r>
          <a:r>
            <a:rPr lang="en-US" sz="1000" b="0" baseline="0">
              <a:solidFill>
                <a:sysClr val="windowText" lastClr="000000"/>
              </a:solidFill>
            </a:rPr>
            <a:t>/3.3 tỷ: </a:t>
          </a:r>
          <a:r>
            <a:rPr lang="en-US" sz="1000" b="1" baseline="0">
              <a:solidFill>
                <a:sysClr val="windowText" lastClr="000000"/>
              </a:solidFill>
            </a:rPr>
            <a:t>+5</a:t>
          </a:r>
          <a:r>
            <a:rPr lang="en-US" sz="1000" b="0" baseline="0">
              <a:solidFill>
                <a:sysClr val="windowText" lastClr="000000"/>
              </a:solidFill>
            </a:rPr>
            <a:t> tỷ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0.02226</cdr:y>
    </cdr:from>
    <cdr:to>
      <cdr:x>0.14469</cdr:x>
      <cdr:y>0.08707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C8F0976-AE8D-BE88-5F3A-47FD74867BAD}"/>
            </a:ext>
          </a:extLst>
        </cdr:cNvPr>
        <cdr:cNvSpPr txBox="1"/>
      </cdr:nvSpPr>
      <cdr:spPr>
        <a:xfrm xmlns:a="http://schemas.openxmlformats.org/drawingml/2006/main">
          <a:off x="0" y="88527"/>
          <a:ext cx="1154768" cy="257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i="1" kern="1200"/>
            <a:t>Đvt:</a:t>
          </a:r>
          <a:r>
            <a:rPr lang="en-US" sz="1100" i="1" kern="1200" baseline="0"/>
            <a:t> tấn | %cơ cấu</a:t>
          </a:r>
          <a:endParaRPr lang="en-US" sz="1100" i="1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</xdr:colOff>
      <xdr:row>43</xdr:row>
      <xdr:rowOff>163830</xdr:rowOff>
    </xdr:from>
    <xdr:ext cx="1207770" cy="120777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51E8C3-50B0-4D18-B8B3-385DC6872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1264920</xdr:colOff>
      <xdr:row>43</xdr:row>
      <xdr:rowOff>167640</xdr:rowOff>
    </xdr:from>
    <xdr:ext cx="1211580" cy="122301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45F001-79EB-440C-B88C-FB27803D1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43</xdr:row>
      <xdr:rowOff>137160</xdr:rowOff>
    </xdr:from>
    <xdr:ext cx="1211580" cy="121539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E13835-5E24-4175-BC0F-6EC0D8321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548640</xdr:colOff>
      <xdr:row>43</xdr:row>
      <xdr:rowOff>121920</xdr:rowOff>
    </xdr:from>
    <xdr:ext cx="1184910" cy="119443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23F0AA-D6E7-432D-99FD-AC0AE4D50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76200</xdr:colOff>
      <xdr:row>43</xdr:row>
      <xdr:rowOff>129540</xdr:rowOff>
    </xdr:from>
    <xdr:ext cx="1234440" cy="122301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A455D0-C6B9-460E-9D51-32E5AF3B2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609600</xdr:colOff>
      <xdr:row>50</xdr:row>
      <xdr:rowOff>0</xdr:rowOff>
    </xdr:from>
    <xdr:ext cx="1457325" cy="120015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A756D3-C656-45B1-BC6A-D4AF0DA02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2</xdr:col>
      <xdr:colOff>137160</xdr:colOff>
      <xdr:row>49</xdr:row>
      <xdr:rowOff>175260</xdr:rowOff>
    </xdr:from>
    <xdr:ext cx="1282065" cy="121539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3CE97B-EEEC-4DAF-A1B2-F8C61FDE4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3</xdr:col>
      <xdr:colOff>213360</xdr:colOff>
      <xdr:row>49</xdr:row>
      <xdr:rowOff>175260</xdr:rowOff>
    </xdr:from>
    <xdr:ext cx="1221105" cy="121539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74ED05-8D39-4CEE-A568-E83DDB049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815340</xdr:colOff>
      <xdr:row>50</xdr:row>
      <xdr:rowOff>30480</xdr:rowOff>
    </xdr:from>
    <xdr:ext cx="1184910" cy="120777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C1E34E8-DE4A-4882-94CA-AB86A8913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6</xdr:col>
      <xdr:colOff>403860</xdr:colOff>
      <xdr:row>50</xdr:row>
      <xdr:rowOff>38100</xdr:rowOff>
    </xdr:from>
    <xdr:ext cx="1253490" cy="120015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58D0145-A27D-4BDE-BDCD-532A47259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20</xdr:row>
      <xdr:rowOff>128307</xdr:rowOff>
    </xdr:from>
    <xdr:ext cx="10239376" cy="50521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F5D91-2252-4A2C-B802-F69BB4FE4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0.90047</cdr:x>
      <cdr:y>0.07038</cdr:y>
    </cdr:from>
    <cdr:to>
      <cdr:x>1</cdr:x>
      <cdr:y>0.27566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03E03F-E9E1-CD16-E4DF-19E4B636AB28}"/>
            </a:ext>
          </a:extLst>
        </cdr:cNvPr>
        <cdr:cNvSpPr txBox="1"/>
      </cdr:nvSpPr>
      <cdr:spPr>
        <a:xfrm xmlns:a="http://schemas.openxmlformats.org/drawingml/2006/main">
          <a:off x="8399417" y="31350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0.91327</cdr:x>
      <cdr:y>0.37622</cdr:y>
    </cdr:from>
    <cdr:to>
      <cdr:x>1</cdr:x>
      <cdr:y>0.50025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54933BE-626A-F767-957B-65BF4B4A0764}"/>
            </a:ext>
          </a:extLst>
        </cdr:cNvPr>
        <cdr:cNvSpPr txBox="1"/>
      </cdr:nvSpPr>
      <cdr:spPr>
        <a:xfrm xmlns:a="http://schemas.openxmlformats.org/drawingml/2006/main">
          <a:off x="9351315" y="1900707"/>
          <a:ext cx="888061" cy="626621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3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-106 Tỷ</a:t>
          </a:r>
        </a:p>
        <a:p xmlns:a="http://schemas.openxmlformats.org/drawingml/2006/main">
          <a:pPr algn="ctr"/>
          <a:r>
            <a:rPr lang="en-US" sz="10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0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-51.2%)</a:t>
          </a:r>
          <a:endParaRPr lang="en-US" sz="10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0.72651</cdr:x>
      <cdr:y>0.55273</cdr:y>
    </cdr:from>
    <cdr:to>
      <cdr:x>0.79044</cdr:x>
      <cdr:y>0.80671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9E6D3E60-96E5-BD89-B042-3769C3CBD854}"/>
            </a:ext>
          </a:extLst>
        </cdr:cNvPr>
        <cdr:cNvSpPr/>
      </cdr:nvSpPr>
      <cdr:spPr>
        <a:xfrm xmlns:a="http://schemas.openxmlformats.org/drawingml/2006/main">
          <a:off x="7439009" y="2792492"/>
          <a:ext cx="654603" cy="128315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Tăng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25,000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26,143</a:t>
          </a:r>
        </a:p>
        <a:p xmlns:a="http://schemas.openxmlformats.org/drawingml/2006/main">
          <a:pPr algn="ctr"/>
          <a:endParaRPr lang="en-US" sz="1000" b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800" i="1" baseline="0">
              <a:solidFill>
                <a:sysClr val="windowText" lastClr="000000"/>
              </a:solidFill>
              <a:latin typeface="Aptos Narrow (Body)"/>
            </a:rPr>
            <a:t>(+1,143 ~ +4.6%)</a:t>
          </a:r>
        </a:p>
      </cdr:txBody>
    </cdr:sp>
  </cdr:relSizeAnchor>
  <cdr:relSizeAnchor xmlns:cdr="http://schemas.openxmlformats.org/drawingml/2006/chartDrawing">
    <cdr:from>
      <cdr:x>0.75838</cdr:x>
      <cdr:y>0.32949</cdr:y>
    </cdr:from>
    <cdr:to>
      <cdr:x>0.91683</cdr:x>
      <cdr:y>0.41512</cdr:y>
    </cdr:to>
    <cdr:sp macro="" textlink="">
      <cdr:nvSpPr>
        <cdr:cNvPr id="5" name="Speech Bubble: Rectangle with Corners Rounded 4">
          <a:extLst xmlns:a="http://schemas.openxmlformats.org/drawingml/2006/main">
            <a:ext uri="{FF2B5EF4-FFF2-40B4-BE49-F238E27FC236}">
              <a16:creationId xmlns:a16="http://schemas.microsoft.com/office/drawing/2014/main" id="{3CC39BE1-D29F-D86B-90B1-8F07DE64FA39}"/>
            </a:ext>
          </a:extLst>
        </cdr:cNvPr>
        <cdr:cNvSpPr/>
      </cdr:nvSpPr>
      <cdr:spPr>
        <a:xfrm xmlns:a="http://schemas.openxmlformats.org/drawingml/2006/main">
          <a:off x="7765294" y="1664634"/>
          <a:ext cx="1622435" cy="432611"/>
        </a:xfrm>
        <a:prstGeom xmlns:a="http://schemas.openxmlformats.org/drawingml/2006/main" prst="wedgeRoundRectCallout">
          <a:avLst>
            <a:gd name="adj1" fmla="val -16361"/>
            <a:gd name="adj2" fmla="val 6721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</a:rPr>
            <a:t>Tài trợ </a:t>
          </a:r>
          <a:r>
            <a:rPr lang="en-US" sz="1100" baseline="0">
              <a:solidFill>
                <a:sysClr val="windowText" lastClr="000000"/>
              </a:solidFill>
            </a:rPr>
            <a:t>đạt </a:t>
          </a:r>
          <a:r>
            <a:rPr lang="en-US" sz="1300" b="1" baseline="0">
              <a:solidFill>
                <a:sysClr val="windowText" lastClr="000000"/>
              </a:solidFill>
            </a:rPr>
            <a:t>8.3</a:t>
          </a:r>
          <a:r>
            <a:rPr lang="en-US" sz="1100" baseline="0">
              <a:solidFill>
                <a:sysClr val="windowText" lastClr="000000"/>
              </a:solidFill>
            </a:rPr>
            <a:t>/3.3 tỷ</a:t>
          </a:r>
        </a:p>
      </cdr:txBody>
    </cdr:sp>
  </cdr:relSizeAnchor>
  <cdr:relSizeAnchor xmlns:cdr="http://schemas.openxmlformats.org/drawingml/2006/chartDrawing">
    <cdr:from>
      <cdr:x>0.08067</cdr:x>
      <cdr:y>0.71447</cdr:y>
    </cdr:from>
    <cdr:to>
      <cdr:x>0.2069</cdr:x>
      <cdr:y>0.85523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E3532E6D-2F4C-0984-2AF0-7C9E7C9DB10C}"/>
            </a:ext>
          </a:extLst>
        </cdr:cNvPr>
        <cdr:cNvSpPr/>
      </cdr:nvSpPr>
      <cdr:spPr>
        <a:xfrm xmlns:a="http://schemas.openxmlformats.org/drawingml/2006/main">
          <a:off x="826015" y="3609629"/>
          <a:ext cx="1292517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Dthu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rPET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69.8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151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(-80.8 tỷ ~ -53.7%)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0.20678</cdr:x>
      <cdr:y>0.7107</cdr:y>
    </cdr:from>
    <cdr:to>
      <cdr:x>0.3401</cdr:x>
      <cdr:y>0.85146</cdr:y>
    </cdr:to>
    <cdr:sp macro="" textlink="">
      <cdr:nvSpPr>
        <cdr:cNvPr id="8" name="Rectangle: Rounded Corners 7">
          <a:extLst xmlns:a="http://schemas.openxmlformats.org/drawingml/2006/main">
            <a:ext uri="{FF2B5EF4-FFF2-40B4-BE49-F238E27FC236}">
              <a16:creationId xmlns:a16="http://schemas.microsoft.com/office/drawing/2014/main" id="{57C60D9D-DFC3-7F89-9E19-A794255C242C}"/>
            </a:ext>
          </a:extLst>
        </cdr:cNvPr>
        <cdr:cNvSpPr/>
      </cdr:nvSpPr>
      <cdr:spPr>
        <a:xfrm xmlns:a="http://schemas.openxmlformats.org/drawingml/2006/main">
          <a:off x="2117300" y="3590579"/>
          <a:ext cx="1365113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 b="1">
              <a:solidFill>
                <a:srgbClr val="C00000"/>
              </a:solidFill>
            </a:rPr>
            <a:t>Dthu EXW</a:t>
          </a:r>
          <a:r>
            <a:rPr lang="en-US" sz="900" b="1" baseline="0">
              <a:solidFill>
                <a:srgbClr val="C00000"/>
              </a:solidFill>
            </a:rPr>
            <a:t> rHD thổi </a:t>
          </a: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</a:rPr>
            <a:t>đạt </a:t>
          </a:r>
          <a:r>
            <a:rPr lang="en-US" sz="1300" b="1" baseline="0">
              <a:solidFill>
                <a:srgbClr val="C00000"/>
              </a:solidFill>
            </a:rPr>
            <a:t>8.5 </a:t>
          </a:r>
          <a:r>
            <a:rPr lang="en-US" sz="1100" baseline="0">
              <a:solidFill>
                <a:srgbClr val="C00000"/>
              </a:solidFill>
            </a:rPr>
            <a:t>/ 30.6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</a:rPr>
            <a:t>(-22.08  tỷ ~ -72.1%)</a:t>
          </a:r>
          <a:endParaRPr lang="en-US" sz="900" i="1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0.33998</cdr:x>
      <cdr:y>0.7107</cdr:y>
    </cdr:from>
    <cdr:to>
      <cdr:x>0.46951</cdr:x>
      <cdr:y>0.85146</cdr:y>
    </cdr:to>
    <cdr:sp macro="" textlink="">
      <cdr:nvSpPr>
        <cdr:cNvPr id="9" name="Rectangle: Rounded Corners 8">
          <a:extLst xmlns:a="http://schemas.openxmlformats.org/drawingml/2006/main">
            <a:ext uri="{FF2B5EF4-FFF2-40B4-BE49-F238E27FC236}">
              <a16:creationId xmlns:a16="http://schemas.microsoft.com/office/drawing/2014/main" id="{727C2A85-2A8E-42BF-D768-A7DB8468BE71}"/>
            </a:ext>
          </a:extLst>
        </cdr:cNvPr>
        <cdr:cNvSpPr/>
      </cdr:nvSpPr>
      <cdr:spPr>
        <a:xfrm xmlns:a="http://schemas.openxmlformats.org/drawingml/2006/main">
          <a:off x="3481181" y="3590579"/>
          <a:ext cx="1326306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b="1">
              <a:solidFill>
                <a:sysClr val="windowText" lastClr="000000"/>
              </a:solidFill>
            </a:rPr>
            <a:t>Dthu EXW</a:t>
          </a:r>
          <a:r>
            <a:rPr lang="en-US" sz="1000" b="1" baseline="0">
              <a:solidFill>
                <a:sysClr val="windowText" lastClr="000000"/>
              </a:solidFill>
            </a:rPr>
            <a:t> rHD ép </a:t>
          </a:r>
        </a:p>
        <a:p xmlns:a="http://schemas.openxmlformats.org/drawingml/2006/main">
          <a:pPr algn="ctr"/>
          <a:r>
            <a:rPr lang="en-US" sz="1100" baseline="0">
              <a:solidFill>
                <a:sysClr val="windowText" lastClr="000000"/>
              </a:solidFill>
            </a:rPr>
            <a:t>đạt </a:t>
          </a:r>
          <a:r>
            <a:rPr lang="en-US" sz="1300" b="1" baseline="0">
              <a:solidFill>
                <a:sysClr val="windowText" lastClr="000000"/>
              </a:solidFill>
            </a:rPr>
            <a:t>2.0</a:t>
          </a:r>
          <a:r>
            <a:rPr lang="en-US" sz="1100" baseline="0">
              <a:solidFill>
                <a:sysClr val="windowText" lastClr="000000"/>
              </a:solidFill>
            </a:rPr>
            <a:t>/ 3.4 tỷ </a:t>
          </a:r>
        </a:p>
        <a:p xmlns:a="http://schemas.openxmlformats.org/drawingml/2006/main">
          <a:pPr algn="ctr"/>
          <a:r>
            <a:rPr lang="en-US" sz="900" i="1" baseline="0">
              <a:solidFill>
                <a:sysClr val="windowText" lastClr="000000"/>
              </a:solidFill>
            </a:rPr>
            <a:t>(-1.38  tỷ ~ -41.0%)</a:t>
          </a:r>
        </a:p>
      </cdr:txBody>
    </cdr:sp>
  </cdr:relSizeAnchor>
  <cdr:relSizeAnchor xmlns:cdr="http://schemas.openxmlformats.org/drawingml/2006/chartDrawing">
    <cdr:from>
      <cdr:x>0.46939</cdr:x>
      <cdr:y>0.7107</cdr:y>
    </cdr:from>
    <cdr:to>
      <cdr:x>0.59805</cdr:x>
      <cdr:y>0.85146</cdr:y>
    </cdr:to>
    <cdr:sp macro="" textlink="">
      <cdr:nvSpPr>
        <cdr:cNvPr id="10" name="Rectangle: Rounded Corners 9">
          <a:extLst xmlns:a="http://schemas.openxmlformats.org/drawingml/2006/main">
            <a:ext uri="{FF2B5EF4-FFF2-40B4-BE49-F238E27FC236}">
              <a16:creationId xmlns:a16="http://schemas.microsoft.com/office/drawing/2014/main" id="{25A1D0E2-4294-2F89-3102-33F860F74B18}"/>
            </a:ext>
          </a:extLst>
        </cdr:cNvPr>
        <cdr:cNvSpPr/>
      </cdr:nvSpPr>
      <cdr:spPr>
        <a:xfrm xmlns:a="http://schemas.openxmlformats.org/drawingml/2006/main">
          <a:off x="4806255" y="3590579"/>
          <a:ext cx="1317398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</a:rPr>
            <a:t>Dthu EXW</a:t>
          </a:r>
          <a:r>
            <a:rPr lang="en-US" sz="1100" b="1" baseline="0">
              <a:solidFill>
                <a:sysClr val="windowText" lastClr="000000"/>
              </a:solidFill>
            </a:rPr>
            <a:t> rPP</a:t>
          </a:r>
        </a:p>
        <a:p xmlns:a="http://schemas.openxmlformats.org/drawingml/2006/main">
          <a:pPr algn="ctr"/>
          <a:r>
            <a:rPr lang="en-US" sz="1100" baseline="0">
              <a:solidFill>
                <a:sysClr val="windowText" lastClr="000000"/>
              </a:solidFill>
            </a:rPr>
            <a:t>đạt </a:t>
          </a:r>
          <a:r>
            <a:rPr lang="en-US" sz="1300" b="1" baseline="0">
              <a:solidFill>
                <a:sysClr val="windowText" lastClr="000000"/>
              </a:solidFill>
            </a:rPr>
            <a:t>0.5 </a:t>
          </a:r>
          <a:r>
            <a:rPr lang="en-US" sz="1100" baseline="0">
              <a:solidFill>
                <a:sysClr val="windowText" lastClr="000000"/>
              </a:solidFill>
            </a:rPr>
            <a:t>/ 2.0 tỷ </a:t>
          </a:r>
        </a:p>
        <a:p xmlns:a="http://schemas.openxmlformats.org/drawingml/2006/main">
          <a:pPr algn="ctr"/>
          <a:r>
            <a:rPr lang="en-US" sz="900" i="1" baseline="0">
              <a:solidFill>
                <a:sysClr val="windowText" lastClr="000000"/>
              </a:solidFill>
            </a:rPr>
            <a:t>(-1.5 tỷ ~ - 76.8%)</a:t>
          </a:r>
          <a:endParaRPr lang="en-US" sz="900" i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0.59793</cdr:x>
      <cdr:y>0.71259</cdr:y>
    </cdr:from>
    <cdr:to>
      <cdr:x>0.72682</cdr:x>
      <cdr:y>0.85335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5C2CC392-DEEB-B763-5676-05B8A9FE9D2C}"/>
            </a:ext>
          </a:extLst>
        </cdr:cNvPr>
        <cdr:cNvSpPr/>
      </cdr:nvSpPr>
      <cdr:spPr>
        <a:xfrm xmlns:a="http://schemas.openxmlformats.org/drawingml/2006/main">
          <a:off x="6122421" y="3600104"/>
          <a:ext cx="1319753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b="1">
              <a:solidFill>
                <a:sysClr val="windowText" lastClr="000000"/>
              </a:solidFill>
            </a:rPr>
            <a:t>Dthu EXW</a:t>
          </a:r>
          <a:r>
            <a:rPr lang="en-US" sz="1000" b="1" baseline="0">
              <a:solidFill>
                <a:sysClr val="windowText" lastClr="000000"/>
              </a:solidFill>
            </a:rPr>
            <a:t> Xơ Sợi</a:t>
          </a:r>
        </a:p>
        <a:p xmlns:a="http://schemas.openxmlformats.org/drawingml/2006/main">
          <a:pPr algn="ctr"/>
          <a:r>
            <a:rPr lang="en-US" sz="1100" baseline="0">
              <a:solidFill>
                <a:sysClr val="windowText" lastClr="000000"/>
              </a:solidFill>
            </a:rPr>
            <a:t>đạt </a:t>
          </a:r>
          <a:r>
            <a:rPr lang="en-US" sz="1300" b="1" baseline="0">
              <a:solidFill>
                <a:sysClr val="windowText" lastClr="000000"/>
              </a:solidFill>
            </a:rPr>
            <a:t>1.9</a:t>
          </a:r>
          <a:r>
            <a:rPr lang="en-US" sz="1100" baseline="0">
              <a:solidFill>
                <a:sysClr val="windowText" lastClr="000000"/>
              </a:solidFill>
            </a:rPr>
            <a:t> / 2.8 tỷ </a:t>
          </a:r>
        </a:p>
        <a:p xmlns:a="http://schemas.openxmlformats.org/drawingml/2006/main">
          <a:pPr algn="ctr"/>
          <a:r>
            <a:rPr lang="en-US" sz="900" i="1" baseline="0">
              <a:solidFill>
                <a:sysClr val="windowText" lastClr="000000"/>
              </a:solidFill>
            </a:rPr>
            <a:t>(-0.81 tỷ ~ -29.5%)</a:t>
          </a:r>
        </a:p>
      </cdr:txBody>
    </cdr:sp>
  </cdr:relSizeAnchor>
  <cdr:relSizeAnchor xmlns:cdr="http://schemas.openxmlformats.org/drawingml/2006/chartDrawing">
    <cdr:from>
      <cdr:x>0.07358</cdr:x>
      <cdr:y>0.44855</cdr:y>
    </cdr:from>
    <cdr:to>
      <cdr:x>0.20692</cdr:x>
      <cdr:y>0.71621</cdr:y>
    </cdr:to>
    <cdr:sp macro="" textlink="">
      <cdr:nvSpPr>
        <cdr:cNvPr id="12" name="Rectangle: Rounded Corners 11">
          <a:extLst xmlns:a="http://schemas.openxmlformats.org/drawingml/2006/main">
            <a:ext uri="{FF2B5EF4-FFF2-40B4-BE49-F238E27FC236}">
              <a16:creationId xmlns:a16="http://schemas.microsoft.com/office/drawing/2014/main" id="{989622FD-2883-ED47-E68D-12B698FEEB2B}"/>
            </a:ext>
          </a:extLst>
        </cdr:cNvPr>
        <cdr:cNvSpPr/>
      </cdr:nvSpPr>
      <cdr:spPr>
        <a:xfrm xmlns:a="http://schemas.openxmlformats.org/drawingml/2006/main">
          <a:off x="677160" y="2210587"/>
          <a:ext cx="1227132" cy="1319122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+mn-lt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+mn-lt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+mn-lt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2.26</a:t>
          </a:r>
          <a:r>
            <a:rPr lang="en-US" sz="11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+mn-lt"/>
            </a:rPr>
            <a:t>/ </a:t>
          </a:r>
          <a:r>
            <a:rPr lang="en-US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4.67 ng.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(-2.42 ~ -</a:t>
          </a:r>
          <a:r>
            <a:rPr lang="vi-VN" sz="10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5</a:t>
          </a:r>
          <a:r>
            <a:rPr lang="en-US" sz="10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1.8%)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+mn-lt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 </a:t>
          </a:r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$1,238/</a:t>
          </a:r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tấn</a:t>
          </a:r>
        </a:p>
        <a:p xmlns:a="http://schemas.openxmlformats.org/drawingml/2006/main">
          <a:pPr algn="l"/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(KH là $1.289 ~ </a:t>
          </a:r>
        </a:p>
        <a:p xmlns:a="http://schemas.openxmlformats.org/drawingml/2006/main">
          <a:pPr algn="l"/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-3.9%)</a:t>
          </a:r>
        </a:p>
      </cdr:txBody>
    </cdr:sp>
  </cdr:relSizeAnchor>
  <cdr:relSizeAnchor xmlns:cdr="http://schemas.openxmlformats.org/drawingml/2006/chartDrawing">
    <cdr:from>
      <cdr:x>0.21114</cdr:x>
      <cdr:y>0.07924</cdr:y>
    </cdr:from>
    <cdr:to>
      <cdr:x>0.33637</cdr:x>
      <cdr:y>0.40903</cdr:y>
    </cdr:to>
    <cdr:sp macro="" textlink="">
      <cdr:nvSpPr>
        <cdr:cNvPr id="13" name="Rectangle: Rounded Corners 12">
          <a:extLst xmlns:a="http://schemas.openxmlformats.org/drawingml/2006/main">
            <a:ext uri="{FF2B5EF4-FFF2-40B4-BE49-F238E27FC236}">
              <a16:creationId xmlns:a16="http://schemas.microsoft.com/office/drawing/2014/main" id="{C69EC2F0-A1F6-1194-59FD-1FE89CF88F42}"/>
            </a:ext>
          </a:extLst>
        </cdr:cNvPr>
        <cdr:cNvSpPr/>
      </cdr:nvSpPr>
      <cdr:spPr>
        <a:xfrm xmlns:a="http://schemas.openxmlformats.org/drawingml/2006/main">
          <a:off x="1943100" y="390525"/>
          <a:ext cx="1152526" cy="1625317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</a:p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0.27</a:t>
          </a:r>
          <a:r>
            <a:rPr lang="en-US" sz="11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0.92 </a:t>
          </a:r>
          <a:endParaRPr lang="vi-VN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ngàn tấn</a:t>
          </a:r>
          <a:endParaRPr lang="en-US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(-0.64 ~ -70.3%)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 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$1,253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/tấn </a:t>
          </a:r>
          <a:endParaRPr lang="vi-VN" sz="1000" b="0" i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$1,3</a:t>
          </a:r>
          <a:r>
            <a:rPr lang="vi-VN" sz="1000" b="0" i="0" baseline="0">
              <a:solidFill>
                <a:sysClr val="windowText" lastClr="000000"/>
              </a:solidFill>
              <a:latin typeface="Aptos Narrow (Body)"/>
            </a:rPr>
            <a:t>3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7 ~ </a:t>
          </a:r>
          <a:endParaRPr lang="vi-VN" sz="1000" b="0" i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-6.2%)</a:t>
          </a:r>
          <a:endParaRPr lang="en-US" sz="1000" b="1" i="0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0.34025</cdr:x>
      <cdr:y>0.07924</cdr:y>
    </cdr:from>
    <cdr:to>
      <cdr:x>0.46545</cdr:x>
      <cdr:y>0.4095</cdr:y>
    </cdr:to>
    <cdr:sp macro="" textlink="">
      <cdr:nvSpPr>
        <cdr:cNvPr id="14" name="Rectangle: Rounded Corners 13">
          <a:extLst xmlns:a="http://schemas.openxmlformats.org/drawingml/2006/main">
            <a:ext uri="{FF2B5EF4-FFF2-40B4-BE49-F238E27FC236}">
              <a16:creationId xmlns:a16="http://schemas.microsoft.com/office/drawing/2014/main" id="{71350912-DCC6-AECB-C2C3-C331A1FE9FD8}"/>
            </a:ext>
          </a:extLst>
        </cdr:cNvPr>
        <cdr:cNvSpPr/>
      </cdr:nvSpPr>
      <cdr:spPr>
        <a:xfrm xmlns:a="http://schemas.openxmlformats.org/drawingml/2006/main">
          <a:off x="3131369" y="390525"/>
          <a:ext cx="1152144" cy="1627632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0.12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/0.16 </a:t>
          </a:r>
        </a:p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ngàn tấn</a:t>
          </a:r>
        </a:p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(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-</a:t>
          </a:r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0.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05</a:t>
          </a:r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 ~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-29.2</a:t>
          </a:r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%)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 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 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$690</a:t>
          </a:r>
          <a:r>
            <a:rPr lang="vi-VN" sz="1000" b="1" i="0" baseline="0">
              <a:solidFill>
                <a:sysClr val="windowText" lastClr="000000"/>
              </a:solidFill>
              <a:latin typeface="Aptos Narrow (Body)"/>
            </a:rPr>
            <a:t>/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tấn</a:t>
          </a:r>
          <a:endParaRPr lang="vi-VN" sz="1000" b="0" i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$827 ~</a:t>
          </a:r>
          <a:endParaRPr lang="vi-VN" sz="1000" b="0" i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-16.7%)</a:t>
          </a:r>
          <a:endParaRPr lang="en-US" sz="1000" b="1" i="0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0.59841</cdr:x>
      <cdr:y>0.07924</cdr:y>
    </cdr:from>
    <cdr:to>
      <cdr:x>0.7236</cdr:x>
      <cdr:y>0.4095</cdr:y>
    </cdr:to>
    <cdr:sp macro="" textlink="">
      <cdr:nvSpPr>
        <cdr:cNvPr id="18" name="Rectangle: Rounded Corners 17">
          <a:extLst xmlns:a="http://schemas.openxmlformats.org/drawingml/2006/main">
            <a:ext uri="{FF2B5EF4-FFF2-40B4-BE49-F238E27FC236}">
              <a16:creationId xmlns:a16="http://schemas.microsoft.com/office/drawing/2014/main" id="{B2B9285F-EA58-1F5B-517A-516301C3CBEA}"/>
            </a:ext>
          </a:extLst>
        </cdr:cNvPr>
        <cdr:cNvSpPr/>
      </cdr:nvSpPr>
      <cdr:spPr>
        <a:xfrm xmlns:a="http://schemas.openxmlformats.org/drawingml/2006/main">
          <a:off x="5507142" y="390525"/>
          <a:ext cx="1152144" cy="1627632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0.11</a:t>
          </a:r>
          <a:r>
            <a:rPr lang="vi-VN" sz="1100" b="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</a:t>
          </a:r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1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 </a:t>
          </a:r>
          <a:endParaRPr lang="vi-VN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ngàn tấn</a:t>
          </a:r>
          <a:endParaRPr lang="en-US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(+0.01 ~ +10.1</a:t>
          </a:r>
          <a:r>
            <a:rPr lang="vi-VN" sz="1000" i="1" baseline="0">
              <a:solidFill>
                <a:sysClr val="windowText" lastClr="000000"/>
              </a:solidFill>
              <a:latin typeface="Aptos Narrow (Body)"/>
            </a:rPr>
            <a:t>%</a:t>
          </a:r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 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$705/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tấn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 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</a:t>
          </a:r>
          <a:r>
            <a:rPr lang="vi-VN" sz="1000" b="0" i="0" baseline="0">
              <a:solidFill>
                <a:sysClr val="windowText" lastClr="000000"/>
              </a:solidFill>
              <a:latin typeface="Aptos Narrow (Body)"/>
            </a:rPr>
            <a:t>1,100</a:t>
          </a:r>
          <a:endParaRPr lang="en-US" sz="1000" b="0" i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 ~ -35.9%)</a:t>
          </a:r>
          <a:endParaRPr lang="en-US" sz="1000" b="1" i="0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0.92847</cdr:x>
      <cdr:y>0</cdr:y>
    </cdr:from>
    <cdr:to>
      <cdr:x>1</cdr:x>
      <cdr:y>0.05265</cdr:y>
    </cdr:to>
    <cdr:sp macro="" textlink="">
      <cdr:nvSpPr>
        <cdr:cNvPr id="17" name="TextBox 16">
          <a:extLst xmlns:a="http://schemas.openxmlformats.org/drawingml/2006/main">
            <a:ext uri="{FF2B5EF4-FFF2-40B4-BE49-F238E27FC236}">
              <a16:creationId xmlns:a16="http://schemas.microsoft.com/office/drawing/2014/main" id="{7FB920C5-CE79-C2B7-42F5-C901889439C9}"/>
            </a:ext>
          </a:extLst>
        </cdr:cNvPr>
        <cdr:cNvSpPr txBox="1"/>
      </cdr:nvSpPr>
      <cdr:spPr>
        <a:xfrm xmlns:a="http://schemas.openxmlformats.org/drawingml/2006/main">
          <a:off x="8547849" y="0"/>
          <a:ext cx="658538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0.79566</cdr:x>
      <cdr:y>0.63698</cdr:y>
    </cdr:from>
    <cdr:to>
      <cdr:x>0.924</cdr:x>
      <cdr:y>0.78153</cdr:y>
    </cdr:to>
    <cdr:sp macro="" textlink="">
      <cdr:nvSpPr>
        <cdr:cNvPr id="19" name="Speech Bubble: Rectangle with Corners Rounded 18">
          <a:extLst xmlns:a="http://schemas.openxmlformats.org/drawingml/2006/main">
            <a:ext uri="{FF2B5EF4-FFF2-40B4-BE49-F238E27FC236}">
              <a16:creationId xmlns:a16="http://schemas.microsoft.com/office/drawing/2014/main" id="{38A0E2C8-88CE-2F07-0CD6-0E016A0F9948}"/>
            </a:ext>
          </a:extLst>
        </cdr:cNvPr>
        <cdr:cNvSpPr/>
      </cdr:nvSpPr>
      <cdr:spPr>
        <a:xfrm xmlns:a="http://schemas.openxmlformats.org/drawingml/2006/main">
          <a:off x="8147062" y="3218118"/>
          <a:ext cx="1314121" cy="730292"/>
        </a:xfrm>
        <a:prstGeom xmlns:a="http://schemas.openxmlformats.org/drawingml/2006/main" prst="wedgeRoundRectCallout">
          <a:avLst>
            <a:gd name="adj1" fmla="val 25678"/>
            <a:gd name="adj2" fmla="val -67433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9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KH có lập bán cho các khách hàng giá CIF, DDP,</a:t>
          </a:r>
          <a:r>
            <a:rPr lang="en-US" sz="9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thực tế không có: </a:t>
          </a:r>
          <a:r>
            <a:rPr lang="en-US" sz="9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-10 tỷ</a:t>
          </a:r>
          <a:endParaRPr lang="en-US" sz="900">
            <a:solidFill>
              <a:schemeClr val="tx1"/>
            </a:solidFill>
            <a:effectLst/>
          </a:endParaRPr>
        </a:p>
      </cdr:txBody>
    </cdr:sp>
  </cdr:relSizeAnchor>
  <cdr:relSizeAnchor xmlns:cdr="http://schemas.openxmlformats.org/drawingml/2006/chartDrawing">
    <cdr:from>
      <cdr:x>0.46898</cdr:x>
      <cdr:y>0.07881</cdr:y>
    </cdr:from>
    <cdr:to>
      <cdr:x>0.59417</cdr:x>
      <cdr:y>0.40907</cdr:y>
    </cdr:to>
    <cdr:sp macro="" textlink="">
      <cdr:nvSpPr>
        <cdr:cNvPr id="15" name="Rectangle: Rounded Corners 14">
          <a:extLst xmlns:a="http://schemas.openxmlformats.org/drawingml/2006/main">
            <a:ext uri="{FF2B5EF4-FFF2-40B4-BE49-F238E27FC236}">
              <a16:creationId xmlns:a16="http://schemas.microsoft.com/office/drawing/2014/main" id="{EFB01A36-3155-3726-322C-F57EF7778D6C}"/>
            </a:ext>
          </a:extLst>
        </cdr:cNvPr>
        <cdr:cNvSpPr/>
      </cdr:nvSpPr>
      <cdr:spPr>
        <a:xfrm xmlns:a="http://schemas.openxmlformats.org/drawingml/2006/main">
          <a:off x="4802095" y="398182"/>
          <a:ext cx="1281867" cy="1668531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0.02</a:t>
          </a:r>
          <a:r>
            <a:rPr lang="vi-VN" sz="1100" b="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0.09 </a:t>
          </a:r>
          <a:endParaRPr lang="vi-VN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ngàn tấn</a:t>
          </a:r>
          <a:endParaRPr lang="en-US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(-0.06 ~ -72.8</a:t>
          </a:r>
          <a:r>
            <a:rPr lang="vi-VN" sz="1000" i="1" baseline="0">
              <a:solidFill>
                <a:sysClr val="windowText" lastClr="000000"/>
              </a:solidFill>
              <a:latin typeface="Aptos Narrow (Body)"/>
            </a:rPr>
            <a:t>%</a:t>
          </a:r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 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$762/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tấn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 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$893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 ~ -14.7%)</a:t>
          </a:r>
          <a:endParaRPr lang="en-US" sz="1000" b="1" i="0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102</xdr:row>
      <xdr:rowOff>27230</xdr:rowOff>
    </xdr:from>
    <xdr:ext cx="8949757" cy="44844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B62885-022F-43A5-90D7-F0031CE8B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0</xdr:col>
      <xdr:colOff>0</xdr:colOff>
      <xdr:row>34</xdr:row>
      <xdr:rowOff>76200</xdr:rowOff>
    </xdr:from>
    <xdr:to>
      <xdr:col>9</xdr:col>
      <xdr:colOff>21998</xdr:colOff>
      <xdr:row>59</xdr:row>
      <xdr:rowOff>141661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96D64-1204-4BDF-B6FF-6DFB1412D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0.90819</cdr:x>
      <cdr:y>0.38728</cdr:y>
    </cdr:from>
    <cdr:to>
      <cdr:x>1</cdr:x>
      <cdr:y>0.52422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78CD73D-67CD-8CDB-D617-6657A87D5BD0}"/>
            </a:ext>
          </a:extLst>
        </cdr:cNvPr>
        <cdr:cNvSpPr txBox="1"/>
      </cdr:nvSpPr>
      <cdr:spPr>
        <a:xfrm xmlns:a="http://schemas.openxmlformats.org/drawingml/2006/main">
          <a:off x="8128075" y="1736725"/>
          <a:ext cx="821682" cy="614090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3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- 24.4Tỷ</a:t>
          </a:r>
        </a:p>
        <a:p xmlns:a="http://schemas.openxmlformats.org/drawingml/2006/main">
          <a:pPr algn="ctr"/>
          <a:r>
            <a:rPr lang="en-US" sz="10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0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-69%)</a:t>
          </a:r>
          <a:endParaRPr lang="en-US" sz="10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0.27187</cdr:y>
    </cdr:from>
    <cdr:to>
      <cdr:x>0.65985</cdr:x>
      <cdr:y>0.97068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7FD08CFA-F8DE-228F-AC90-1FFB5EAB3170}"/>
            </a:ext>
          </a:extLst>
        </cdr:cNvPr>
        <cdr:cNvSpPr/>
      </cdr:nvSpPr>
      <cdr:spPr>
        <a:xfrm xmlns:a="http://schemas.openxmlformats.org/drawingml/2006/main">
          <a:off x="0" y="1219178"/>
          <a:ext cx="5905497" cy="3133769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0.90047</cdr:x>
      <cdr:y>0.07038</cdr:y>
    </cdr:from>
    <cdr:to>
      <cdr:x>1</cdr:x>
      <cdr:y>0.27566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03E03F-E9E1-CD16-E4DF-19E4B636AB28}"/>
            </a:ext>
          </a:extLst>
        </cdr:cNvPr>
        <cdr:cNvSpPr txBox="1"/>
      </cdr:nvSpPr>
      <cdr:spPr>
        <a:xfrm xmlns:a="http://schemas.openxmlformats.org/drawingml/2006/main">
          <a:off x="8399417" y="31350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0.90794</cdr:x>
      <cdr:y>0.15056</cdr:y>
    </cdr:from>
    <cdr:to>
      <cdr:x>0.99467</cdr:x>
      <cdr:y>0.27782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54933BE-626A-F767-957B-65BF4B4A0764}"/>
            </a:ext>
          </a:extLst>
        </cdr:cNvPr>
        <cdr:cNvSpPr txBox="1"/>
      </cdr:nvSpPr>
      <cdr:spPr>
        <a:xfrm xmlns:a="http://schemas.openxmlformats.org/drawingml/2006/main">
          <a:off x="8868008" y="726903"/>
          <a:ext cx="847108" cy="614407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5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- 13.4</a:t>
          </a:r>
          <a:r>
            <a:rPr lang="en-US" sz="1500" b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5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0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0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-27.6%)</a:t>
          </a:r>
          <a:endParaRPr lang="en-US" sz="10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0.72228</cdr:x>
      <cdr:y>0.57785</cdr:y>
    </cdr:from>
    <cdr:to>
      <cdr:x>0.79047</cdr:x>
      <cdr:y>0.80185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9E6D3E60-96E5-BD89-B042-3769C3CBD854}"/>
            </a:ext>
          </a:extLst>
        </cdr:cNvPr>
        <cdr:cNvSpPr/>
      </cdr:nvSpPr>
      <cdr:spPr>
        <a:xfrm xmlns:a="http://schemas.openxmlformats.org/drawingml/2006/main">
          <a:off x="7057030" y="2789861"/>
          <a:ext cx="666254" cy="108146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Tăng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25,000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26,</a:t>
          </a:r>
          <a:r>
            <a:rPr lang="vi-VN" sz="1000" b="1" baseline="0">
              <a:solidFill>
                <a:sysClr val="windowText" lastClr="000000"/>
              </a:solidFill>
              <a:latin typeface="Aptos Narrow (Body)"/>
            </a:rPr>
            <a:t>1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43</a:t>
          </a:r>
          <a:endParaRPr lang="en-US" sz="7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700" i="1" baseline="0">
              <a:solidFill>
                <a:sysClr val="windowText" lastClr="000000"/>
              </a:solidFill>
              <a:latin typeface="Aptos Narrow (Body)"/>
            </a:rPr>
            <a:t>(+1,</a:t>
          </a:r>
          <a:r>
            <a:rPr lang="vi-VN" sz="700" i="1" baseline="0">
              <a:solidFill>
                <a:sysClr val="windowText" lastClr="000000"/>
              </a:solidFill>
              <a:latin typeface="Aptos Narrow (Body)"/>
            </a:rPr>
            <a:t>1</a:t>
          </a:r>
          <a:r>
            <a:rPr lang="en-US" sz="700" i="1" baseline="0">
              <a:solidFill>
                <a:sysClr val="windowText" lastClr="000000"/>
              </a:solidFill>
              <a:latin typeface="Aptos Narrow (Body)"/>
            </a:rPr>
            <a:t>43 ~ +4.6%)</a:t>
          </a:r>
        </a:p>
      </cdr:txBody>
    </cdr:sp>
  </cdr:relSizeAnchor>
  <cdr:relSizeAnchor xmlns:cdr="http://schemas.openxmlformats.org/drawingml/2006/chartDrawing">
    <cdr:from>
      <cdr:x>0.07854</cdr:x>
      <cdr:y>0.71809</cdr:y>
    </cdr:from>
    <cdr:to>
      <cdr:x>0.20601</cdr:x>
      <cdr:y>0.85885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E3532E6D-2F4C-0984-2AF0-7C9E7C9DB10C}"/>
            </a:ext>
          </a:extLst>
        </cdr:cNvPr>
        <cdr:cNvSpPr/>
      </cdr:nvSpPr>
      <cdr:spPr>
        <a:xfrm xmlns:a="http://schemas.openxmlformats.org/drawingml/2006/main">
          <a:off x="767379" y="3466911"/>
          <a:ext cx="1245453" cy="67958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rPET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8.8</a:t>
          </a:r>
          <a:r>
            <a:rPr lang="vi-VN" sz="1300" b="1" baseline="0">
              <a:solidFill>
                <a:srgbClr val="C00000"/>
              </a:solidFill>
              <a:latin typeface="Aptos Narrow (Body)"/>
            </a:rPr>
            <a:t>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28.8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(-20 tỷ ~ -69.4%)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0.20816</cdr:x>
      <cdr:y>0.71809</cdr:y>
    </cdr:from>
    <cdr:to>
      <cdr:x>0.33546</cdr:x>
      <cdr:y>0.85885</cdr:y>
    </cdr:to>
    <cdr:sp macro="" textlink="">
      <cdr:nvSpPr>
        <cdr:cNvPr id="8" name="Rectangle: Rounded Corners 7">
          <a:extLst xmlns:a="http://schemas.openxmlformats.org/drawingml/2006/main">
            <a:ext uri="{FF2B5EF4-FFF2-40B4-BE49-F238E27FC236}">
              <a16:creationId xmlns:a16="http://schemas.microsoft.com/office/drawing/2014/main" id="{57C60D9D-DFC3-7F89-9E19-A794255C242C}"/>
            </a:ext>
          </a:extLst>
        </cdr:cNvPr>
        <cdr:cNvSpPr/>
      </cdr:nvSpPr>
      <cdr:spPr>
        <a:xfrm xmlns:a="http://schemas.openxmlformats.org/drawingml/2006/main">
          <a:off x="2033839" y="3466911"/>
          <a:ext cx="1243792" cy="67958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rHD thổi </a:t>
          </a: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0.8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5.4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(-4.5 tỷ ~ -84.7%)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0.33761</cdr:x>
      <cdr:y>0.71809</cdr:y>
    </cdr:from>
    <cdr:to>
      <cdr:x>0.46491</cdr:x>
      <cdr:y>0.85885</cdr:y>
    </cdr:to>
    <cdr:sp macro="" textlink="">
      <cdr:nvSpPr>
        <cdr:cNvPr id="9" name="Rectangle: Rounded Corners 8">
          <a:extLst xmlns:a="http://schemas.openxmlformats.org/drawingml/2006/main">
            <a:ext uri="{FF2B5EF4-FFF2-40B4-BE49-F238E27FC236}">
              <a16:creationId xmlns:a16="http://schemas.microsoft.com/office/drawing/2014/main" id="{727C2A85-2A8E-42BF-D768-A7DB8468BE71}"/>
            </a:ext>
          </a:extLst>
        </cdr:cNvPr>
        <cdr:cNvSpPr/>
      </cdr:nvSpPr>
      <cdr:spPr>
        <a:xfrm xmlns:a="http://schemas.openxmlformats.org/drawingml/2006/main">
          <a:off x="3298637" y="3466911"/>
          <a:ext cx="1243792" cy="67958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rHD ép </a:t>
          </a: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-1.0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 / 0.8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(-1.8 tỷ ~ -215% 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0.46706</cdr:x>
      <cdr:y>0.71809</cdr:y>
    </cdr:from>
    <cdr:to>
      <cdr:x>0.59622</cdr:x>
      <cdr:y>0.85885</cdr:y>
    </cdr:to>
    <cdr:sp macro="" textlink="">
      <cdr:nvSpPr>
        <cdr:cNvPr id="10" name="Rectangle: Rounded Corners 9">
          <a:extLst xmlns:a="http://schemas.openxmlformats.org/drawingml/2006/main">
            <a:ext uri="{FF2B5EF4-FFF2-40B4-BE49-F238E27FC236}">
              <a16:creationId xmlns:a16="http://schemas.microsoft.com/office/drawing/2014/main" id="{25A1D0E2-4294-2F89-3102-33F860F74B18}"/>
            </a:ext>
          </a:extLst>
        </cdr:cNvPr>
        <cdr:cNvSpPr/>
      </cdr:nvSpPr>
      <cdr:spPr>
        <a:xfrm xmlns:a="http://schemas.openxmlformats.org/drawingml/2006/main">
          <a:off x="4561865" y="3466911"/>
          <a:ext cx="1261491" cy="67958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chemeClr val="tx1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chemeClr val="tx1"/>
              </a:solidFill>
              <a:latin typeface="Aptos Narrow (Body)"/>
            </a:rPr>
            <a:t> rPP</a:t>
          </a:r>
        </a:p>
        <a:p xmlns:a="http://schemas.openxmlformats.org/drawingml/2006/main">
          <a:pPr algn="ctr"/>
          <a:r>
            <a:rPr lang="en-US" sz="1100" baseline="0">
              <a:solidFill>
                <a:schemeClr val="tx1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chemeClr val="tx1"/>
              </a:solidFill>
              <a:latin typeface="Aptos Narrow (Body)"/>
            </a:rPr>
            <a:t>-0.25 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/ -</a:t>
          </a:r>
          <a:r>
            <a:rPr lang="vi-VN" sz="1100" baseline="0">
              <a:solidFill>
                <a:schemeClr val="tx1"/>
              </a:solidFill>
              <a:latin typeface="Aptos Narrow (Body)"/>
            </a:rPr>
            <a:t>0.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4 tỷ</a:t>
          </a:r>
        </a:p>
        <a:p xmlns:a="http://schemas.openxmlformats.org/drawingml/2006/main">
          <a:pPr algn="ctr"/>
          <a:r>
            <a:rPr lang="en-US" sz="900" i="1" baseline="0">
              <a:solidFill>
                <a:schemeClr val="tx1"/>
              </a:solidFill>
              <a:latin typeface="Aptos Narrow (Body)"/>
            </a:rPr>
            <a:t>(+0.13 tỷ)</a:t>
          </a:r>
        </a:p>
      </cdr:txBody>
    </cdr:sp>
  </cdr:relSizeAnchor>
  <cdr:relSizeAnchor xmlns:cdr="http://schemas.openxmlformats.org/drawingml/2006/chartDrawing">
    <cdr:from>
      <cdr:x>0.34762</cdr:x>
      <cdr:y>0.14269</cdr:y>
    </cdr:from>
    <cdr:to>
      <cdr:x>0.46824</cdr:x>
      <cdr:y>0.40602</cdr:y>
    </cdr:to>
    <cdr:sp macro="" textlink="">
      <cdr:nvSpPr>
        <cdr:cNvPr id="12" name="Rectangle: Rounded Corners 11">
          <a:extLst xmlns:a="http://schemas.openxmlformats.org/drawingml/2006/main">
            <a:ext uri="{FF2B5EF4-FFF2-40B4-BE49-F238E27FC236}">
              <a16:creationId xmlns:a16="http://schemas.microsoft.com/office/drawing/2014/main" id="{179349C4-9AD3-2396-3083-D6F4F3A5C830}"/>
            </a:ext>
          </a:extLst>
        </cdr:cNvPr>
        <cdr:cNvSpPr/>
      </cdr:nvSpPr>
      <cdr:spPr>
        <a:xfrm xmlns:a="http://schemas.openxmlformats.org/drawingml/2006/main">
          <a:off x="3396483" y="688881"/>
          <a:ext cx="1178525" cy="1271347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chemeClr val="tx1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chemeClr val="tx1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chemeClr val="tx1"/>
              </a:solidFill>
              <a:latin typeface="Aptos Narrow (Body)"/>
            </a:rPr>
            <a:t>0.12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 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/ 0.16 </a:t>
          </a:r>
        </a:p>
        <a:p xmlns:a="http://schemas.openxmlformats.org/drawingml/2006/main">
          <a:pPr algn="l"/>
          <a:r>
            <a:rPr lang="en-US" sz="1000" baseline="0">
              <a:solidFill>
                <a:schemeClr val="tx1"/>
              </a:solidFill>
              <a:latin typeface="Aptos Narrow (Body)"/>
            </a:rPr>
            <a:t>ngàn tấn </a:t>
          </a:r>
        </a:p>
        <a:p xmlns:a="http://schemas.openxmlformats.org/drawingml/2006/main">
          <a:pPr algn="l"/>
          <a:r>
            <a:rPr lang="en-US" sz="1000" baseline="0">
              <a:solidFill>
                <a:schemeClr val="tx1"/>
              </a:solidFill>
              <a:latin typeface="Aptos Narrow (Body)"/>
            </a:rPr>
            <a:t>(-0.05 ~ -29.2%)</a:t>
          </a:r>
        </a:p>
        <a:p xmlns:a="http://schemas.openxmlformats.org/drawingml/2006/main">
          <a:pPr algn="l"/>
          <a:endParaRPr lang="en-US" sz="1000" i="1" baseline="0">
            <a:solidFill>
              <a:schemeClr val="tx1"/>
            </a:solidFill>
            <a:latin typeface="Aptos Narrow (Body)"/>
          </a:endParaRPr>
        </a:p>
        <a:p xmlns:a="http://schemas.openxmlformats.org/drawingml/2006/main">
          <a:r>
            <a:rPr lang="en-US" sz="1000" b="1" i="0" baseline="0">
              <a:solidFill>
                <a:schemeClr val="tx1"/>
              </a:solidFill>
              <a:effectLst/>
              <a:latin typeface="Aptos Narrow (Body)"/>
              <a:ea typeface="+mn-ea"/>
              <a:cs typeface="+mn-cs"/>
            </a:rPr>
            <a:t>LG đơn vị </a:t>
          </a:r>
          <a:r>
            <a:rPr lang="en-US" sz="1000" b="0" i="0" baseline="0">
              <a:solidFill>
                <a:schemeClr val="tx1"/>
              </a:solidFill>
              <a:effectLst/>
              <a:latin typeface="Aptos Narrow (Body)"/>
              <a:ea typeface="+mn-ea"/>
              <a:cs typeface="+mn-cs"/>
            </a:rPr>
            <a:t>đạt    </a:t>
          </a:r>
        </a:p>
        <a:p xmlns:a="http://schemas.openxmlformats.org/drawingml/2006/main">
          <a:r>
            <a:rPr lang="en-US" sz="1000" b="1" i="0" baseline="0">
              <a:solidFill>
                <a:srgbClr val="FF0000"/>
              </a:solidFill>
              <a:effectLst/>
              <a:latin typeface="Aptos Narrow (Body)"/>
              <a:ea typeface="+mn-ea"/>
              <a:cs typeface="+mn-cs"/>
            </a:rPr>
            <a:t>- </a:t>
          </a:r>
          <a:r>
            <a:rPr lang="en-US" sz="1100" b="1" i="0" baseline="0">
              <a:solidFill>
                <a:srgbClr val="FF0000"/>
              </a:solidFill>
              <a:effectLst/>
              <a:latin typeface="Aptos Narrow (Body)"/>
              <a:ea typeface="+mn-ea"/>
              <a:cs typeface="+mn-cs"/>
            </a:rPr>
            <a:t>$346/tấn </a:t>
          </a:r>
          <a:r>
            <a:rPr lang="en-US" sz="1000" b="0" i="0" baseline="0">
              <a:solidFill>
                <a:schemeClr val="tx1"/>
              </a:solidFill>
              <a:effectLst/>
              <a:latin typeface="Aptos Narrow (Body)"/>
              <a:ea typeface="+mn-ea"/>
              <a:cs typeface="+mn-cs"/>
            </a:rPr>
            <a:t>(KH là $213/tấn)</a:t>
          </a:r>
          <a:endParaRPr lang="en-US" sz="1000">
            <a:solidFill>
              <a:schemeClr val="tx1"/>
            </a:solidFill>
            <a:effectLst/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0.59651</cdr:x>
      <cdr:y>0.71866</cdr:y>
    </cdr:from>
    <cdr:to>
      <cdr:x>0.7238</cdr:x>
      <cdr:y>0.85885</cdr:y>
    </cdr:to>
    <cdr:sp macro="" textlink="">
      <cdr:nvSpPr>
        <cdr:cNvPr id="16" name="Rectangle: Rounded Corners 15">
          <a:extLst xmlns:a="http://schemas.openxmlformats.org/drawingml/2006/main">
            <a:ext uri="{FF2B5EF4-FFF2-40B4-BE49-F238E27FC236}">
              <a16:creationId xmlns:a16="http://schemas.microsoft.com/office/drawing/2014/main" id="{752729F3-CCAE-F822-42F0-AEF1409700A7}"/>
            </a:ext>
          </a:extLst>
        </cdr:cNvPr>
        <cdr:cNvSpPr/>
      </cdr:nvSpPr>
      <cdr:spPr>
        <a:xfrm xmlns:a="http://schemas.openxmlformats.org/drawingml/2006/main">
          <a:off x="5828234" y="3469662"/>
          <a:ext cx="1243694" cy="67683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</a:t>
          </a:r>
          <a:r>
            <a:rPr lang="vi-VN" sz="1100" b="1" baseline="0">
              <a:solidFill>
                <a:srgbClr val="C00000"/>
              </a:solidFill>
              <a:latin typeface="Aptos Narrow (Body)"/>
            </a:rPr>
            <a:t>Xơ sợi</a:t>
          </a:r>
          <a:endParaRPr lang="en-US" sz="1100" b="1" baseline="0">
            <a:solidFill>
              <a:srgbClr val="C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-0.94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-0.0 tỷ (-</a:t>
          </a:r>
          <a:r>
            <a:rPr lang="en-US" sz="900" i="1" baseline="0">
              <a:solidFill>
                <a:srgbClr val="C00000"/>
              </a:solidFill>
              <a:latin typeface="Aptos Narrow (Body)"/>
            </a:rPr>
            <a:t>0.9 tỷ)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0.22156</cdr:x>
      <cdr:y>0.14502</cdr:y>
    </cdr:from>
    <cdr:to>
      <cdr:x>0.34187</cdr:x>
      <cdr:y>0.40772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E2858B31-9008-AB8C-0093-A0E652627B3B}"/>
            </a:ext>
          </a:extLst>
        </cdr:cNvPr>
        <cdr:cNvSpPr/>
      </cdr:nvSpPr>
      <cdr:spPr>
        <a:xfrm xmlns:a="http://schemas.openxmlformats.org/drawingml/2006/main">
          <a:off x="2164017" y="700144"/>
          <a:ext cx="1175091" cy="1268306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0.27</a:t>
          </a:r>
          <a:r>
            <a:rPr lang="en-US" sz="11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0.92</a:t>
          </a:r>
        </a:p>
        <a:p xmlns:a="http://schemas.openxmlformats.org/drawingml/2006/main">
          <a:pPr algn="l"/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 ngàn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(-0.64 ~ -70.3%).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LG đơn vị 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đạt</a:t>
          </a:r>
        </a:p>
        <a:p xmlns:a="http://schemas.openxmlformats.org/drawingml/2006/main">
          <a:pPr algn="l"/>
          <a:r>
            <a:rPr lang="en-US" sz="1100" b="1" i="0" baseline="0">
              <a:solidFill>
                <a:sysClr val="windowText" lastClr="000000"/>
              </a:solidFill>
              <a:latin typeface="Aptos Narrow (Body)"/>
            </a:rPr>
            <a:t>$121/tấn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$234/tấn)</a:t>
          </a:r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0.14036</cdr:x>
      <cdr:y>0.02607</cdr:y>
    </cdr:from>
    <cdr:to>
      <cdr:x>0.32979</cdr:x>
      <cdr:y>0.14225</cdr:y>
    </cdr:to>
    <cdr:sp macro="" textlink="">
      <cdr:nvSpPr>
        <cdr:cNvPr id="21" name="Speech Bubble: Rectangle with Corners Rounded 20">
          <a:extLst xmlns:a="http://schemas.openxmlformats.org/drawingml/2006/main">
            <a:ext uri="{FF2B5EF4-FFF2-40B4-BE49-F238E27FC236}">
              <a16:creationId xmlns:a16="http://schemas.microsoft.com/office/drawing/2014/main" id="{653A09C5-2448-3BA5-1A91-6C66478BA92E}"/>
            </a:ext>
          </a:extLst>
        </cdr:cNvPr>
        <cdr:cNvSpPr/>
      </cdr:nvSpPr>
      <cdr:spPr>
        <a:xfrm xmlns:a="http://schemas.openxmlformats.org/drawingml/2006/main">
          <a:off x="1370963" y="125863"/>
          <a:ext cx="1850199" cy="560912"/>
        </a:xfrm>
        <a:prstGeom xmlns:a="http://schemas.openxmlformats.org/drawingml/2006/main" prst="wedgeRoundRectCallout">
          <a:avLst>
            <a:gd name="adj1" fmla="val -31744"/>
            <a:gd name="adj2" fmla="val 117980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iá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bán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 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2.9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</a:p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vốn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2.2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 </a:t>
          </a:r>
          <a:endParaRPr lang="en-US" sz="1000" baseline="0">
            <a:solidFill>
              <a:sysClr val="windowText" lastClr="000000"/>
            </a:solidFill>
            <a:latin typeface="Aptos Narrow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0.079</cdr:x>
      <cdr:y>0.48021</cdr:y>
    </cdr:from>
    <cdr:to>
      <cdr:x>0.20991</cdr:x>
      <cdr:y>0.71487</cdr:y>
    </cdr:to>
    <cdr:sp macro="" textlink="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6B76A25C-21E0-46F4-ED15-CFD157785426}"/>
            </a:ext>
          </a:extLst>
        </cdr:cNvPr>
        <cdr:cNvSpPr/>
      </cdr:nvSpPr>
      <cdr:spPr>
        <a:xfrm xmlns:a="http://schemas.openxmlformats.org/drawingml/2006/main">
          <a:off x="771871" y="2318448"/>
          <a:ext cx="1279064" cy="1132930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chemeClr val="tx1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chemeClr val="tx1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chemeClr val="tx1"/>
              </a:solidFill>
              <a:latin typeface="Aptos Narrow (Body)"/>
            </a:rPr>
            <a:t>2.26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 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/ 4.68 ng. tấn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(-2.4 ~ -51.8%)</a:t>
          </a:r>
          <a:endParaRPr lang="en-US" sz="1000">
            <a:solidFill>
              <a:schemeClr val="tx1"/>
            </a:solidFill>
            <a:effectLst/>
          </a:endParaRPr>
        </a:p>
        <a:p xmlns:a="http://schemas.openxmlformats.org/drawingml/2006/main">
          <a:pPr algn="l"/>
          <a:endParaRPr lang="en-US" sz="1000" i="1" baseline="0">
            <a:solidFill>
              <a:schemeClr val="tx1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chemeClr val="tx1"/>
              </a:solidFill>
              <a:latin typeface="Aptos Narrow (Body)"/>
            </a:rPr>
            <a:t>LG đơn vị </a:t>
          </a:r>
          <a:r>
            <a:rPr lang="en-US" sz="1000" b="0" i="0" baseline="0">
              <a:solidFill>
                <a:schemeClr val="tx1"/>
              </a:solidFill>
              <a:latin typeface="Aptos Narrow (Body)"/>
            </a:rPr>
            <a:t>đạt $</a:t>
          </a:r>
          <a:r>
            <a:rPr lang="en-US" sz="1100" b="1" i="0" baseline="0">
              <a:solidFill>
                <a:schemeClr val="tx1"/>
              </a:solidFill>
              <a:latin typeface="Aptos Narrow (Body)"/>
            </a:rPr>
            <a:t>156/tấn </a:t>
          </a:r>
          <a:r>
            <a:rPr lang="en-US" sz="1000" b="0" i="0" baseline="0">
              <a:solidFill>
                <a:schemeClr val="tx1"/>
              </a:solidFill>
              <a:latin typeface="Aptos Narrow (Body)"/>
            </a:rPr>
            <a:t>(KH là $247/tấn ~ -36.7%)</a:t>
          </a:r>
          <a:endParaRPr lang="en-US" sz="1000" i="1" baseline="0">
            <a:solidFill>
              <a:schemeClr val="tx1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0.5315</cdr:x>
      <cdr:y>0.05604</cdr:y>
    </cdr:from>
    <cdr:to>
      <cdr:x>0.77871</cdr:x>
      <cdr:y>0.34131</cdr:y>
    </cdr:to>
    <cdr:sp macro="" textlink="">
      <cdr:nvSpPr>
        <cdr:cNvPr id="5" name="Speech Bubble: Rectangle with Corners Rounded 4">
          <a:extLst xmlns:a="http://schemas.openxmlformats.org/drawingml/2006/main">
            <a:ext uri="{FF2B5EF4-FFF2-40B4-BE49-F238E27FC236}">
              <a16:creationId xmlns:a16="http://schemas.microsoft.com/office/drawing/2014/main" id="{AEB20BFC-A160-26BF-4A08-AE61263E6869}"/>
            </a:ext>
          </a:extLst>
        </cdr:cNvPr>
        <cdr:cNvSpPr/>
      </cdr:nvSpPr>
      <cdr:spPr>
        <a:xfrm xmlns:a="http://schemas.openxmlformats.org/drawingml/2006/main">
          <a:off x="5200793" y="270559"/>
          <a:ext cx="2418980" cy="1377266"/>
        </a:xfrm>
        <a:prstGeom xmlns:a="http://schemas.openxmlformats.org/drawingml/2006/main" prst="wedgeRoundRectCallout">
          <a:avLst>
            <a:gd name="adj1" fmla="val 56935"/>
            <a:gd name="adj2" fmla="val 12694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- Tài trợ đạt 8.3/</a:t>
          </a:r>
          <a:r>
            <a:rPr lang="en-US" sz="1100" b="0" baseline="0">
              <a:solidFill>
                <a:sysClr val="windowText" lastClr="000000"/>
              </a:solidFill>
              <a:latin typeface="Aptos Narrow (Body)"/>
            </a:rPr>
            <a:t>3.3 tỷ: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+5 tỷ</a:t>
          </a:r>
        </a:p>
        <a:p xmlns:a="http://schemas.openxmlformats.org/drawingml/2006/main">
          <a:pPr algn="l"/>
          <a:endParaRPr lang="en-US" sz="1100" b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vi-VN" sz="1100" b="1" baseline="0">
              <a:solidFill>
                <a:sysClr val="windowText" lastClr="000000"/>
              </a:solidFill>
              <a:latin typeface="Aptos Narrow (Body)"/>
            </a:rPr>
            <a:t>-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Điều chỉnh tiền thuê xưởng, thuê máy </a:t>
          </a:r>
          <a:r>
            <a:rPr lang="en-US" sz="1100" b="0" baseline="0">
              <a:solidFill>
                <a:sysClr val="windowText" lastClr="000000"/>
              </a:solidFill>
              <a:latin typeface="Aptos Narrow (Body)"/>
            </a:rPr>
            <a:t>theo kiểm toán: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+11.4 tỷ</a:t>
          </a:r>
        </a:p>
        <a:p xmlns:a="http://schemas.openxmlformats.org/drawingml/2006/main">
          <a:pPr algn="l"/>
          <a:endParaRPr lang="en-US" sz="1100" b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100" b="0" baseline="0">
              <a:solidFill>
                <a:sysClr val="windowText" lastClr="000000"/>
              </a:solidFill>
              <a:latin typeface="Aptos Narrow (Body)"/>
            </a:rPr>
            <a:t>-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Điều chỉnh lương </a:t>
          </a:r>
          <a:r>
            <a:rPr lang="en-US" sz="1100" b="0" baseline="0">
              <a:solidFill>
                <a:sysClr val="windowText" lastClr="000000"/>
              </a:solidFill>
              <a:latin typeface="Aptos Narrow (Body)"/>
            </a:rPr>
            <a:t>vác phong ban liên quan dự án vào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 IO</a:t>
          </a:r>
          <a:r>
            <a:rPr lang="en-US" sz="1100" b="0" baseline="0">
              <a:solidFill>
                <a:sysClr val="windowText" lastClr="000000"/>
              </a:solidFill>
              <a:latin typeface="Aptos Narrow (Body)"/>
            </a:rPr>
            <a:t>: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+4.4 tỷ</a:t>
          </a:r>
        </a:p>
      </cdr:txBody>
    </cdr:sp>
  </cdr:relSizeAnchor>
  <cdr:relSizeAnchor xmlns:cdr="http://schemas.openxmlformats.org/drawingml/2006/chartDrawing">
    <cdr:from>
      <cdr:x>0.59418</cdr:x>
      <cdr:y>0.58019</cdr:y>
    </cdr:from>
    <cdr:to>
      <cdr:x>0.71888</cdr:x>
      <cdr:y>0.69863</cdr:y>
    </cdr:to>
    <cdr:sp macro="" textlink="">
      <cdr:nvSpPr>
        <cdr:cNvPr id="17" name="Rectangle: Rounded Corners 16">
          <a:extLst xmlns:a="http://schemas.openxmlformats.org/drawingml/2006/main">
            <a:ext uri="{FF2B5EF4-FFF2-40B4-BE49-F238E27FC236}">
              <a16:creationId xmlns:a16="http://schemas.microsoft.com/office/drawing/2014/main" id="{427209E9-E46C-3D8A-3CC6-3E4008503131}"/>
            </a:ext>
          </a:extLst>
        </cdr:cNvPr>
        <cdr:cNvSpPr/>
      </cdr:nvSpPr>
      <cdr:spPr>
        <a:xfrm xmlns:a="http://schemas.openxmlformats.org/drawingml/2006/main">
          <a:off x="5814112" y="2801121"/>
          <a:ext cx="1220205" cy="571823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</a:rPr>
            <a:t>Sản</a:t>
          </a:r>
          <a:r>
            <a:rPr lang="en-US" sz="1000" b="1" baseline="0">
              <a:solidFill>
                <a:sysClr val="windowText" lastClr="000000"/>
              </a:solidFill>
            </a:rPr>
            <a:t> lượng</a:t>
          </a:r>
          <a:r>
            <a:rPr lang="en-US" sz="1000" baseline="0">
              <a:solidFill>
                <a:sysClr val="windowText" lastClr="000000"/>
              </a:solidFill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</a:rPr>
            <a:t>0.02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000" baseline="0">
              <a:solidFill>
                <a:sysClr val="windowText" lastClr="000000"/>
              </a:solidFill>
            </a:rPr>
            <a:t>/ 0.09 ng.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</a:rPr>
            <a:t>(-0.06 ~ -73%)</a:t>
          </a:r>
        </a:p>
      </cdr:txBody>
    </cdr:sp>
  </cdr:relSizeAnchor>
  <cdr:relSizeAnchor xmlns:cdr="http://schemas.openxmlformats.org/drawingml/2006/chartDrawing">
    <cdr:from>
      <cdr:x>0.92535</cdr:x>
      <cdr:y>0.05231</cdr:y>
    </cdr:from>
    <cdr:to>
      <cdr:x>0.9948</cdr:x>
      <cdr:y>0.10164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FD2D692-1B9B-087C-88DE-97B54BB255D8}"/>
            </a:ext>
          </a:extLst>
        </cdr:cNvPr>
        <cdr:cNvSpPr txBox="1"/>
      </cdr:nvSpPr>
      <cdr:spPr>
        <a:xfrm xmlns:a="http://schemas.openxmlformats.org/drawingml/2006/main">
          <a:off x="9041142" y="252549"/>
          <a:ext cx="678565" cy="2381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0.0052</cdr:x>
      <cdr:y>0</cdr:y>
    </cdr:from>
    <cdr:to>
      <cdr:x>0.16106</cdr:x>
      <cdr:y>0.05999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BD5D5125-E3F5-E81C-00A5-1E5E945BD905}"/>
            </a:ext>
          </a:extLst>
        </cdr:cNvPr>
        <cdr:cNvSpPr txBox="1"/>
      </cdr:nvSpPr>
      <cdr:spPr>
        <a:xfrm xmlns:a="http://schemas.openxmlformats.org/drawingml/2006/main">
          <a:off x="50800" y="0"/>
          <a:ext cx="1522849" cy="2896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</a:t>
          </a:r>
          <a:r>
            <a:rPr lang="en-US" sz="1100" i="1" kern="1200" baseline="0">
              <a:solidFill>
                <a:srgbClr val="FF33CC"/>
              </a:solidFill>
            </a:rPr>
            <a:t> Dthu</a:t>
          </a:r>
          <a:r>
            <a:rPr lang="en-US" sz="1100" i="1" kern="1200">
              <a:solidFill>
                <a:srgbClr val="FF33CC"/>
              </a:solidFill>
            </a:rPr>
            <a:t>:</a:t>
          </a:r>
          <a:r>
            <a:rPr lang="en-US" sz="1100" i="1" kern="1200" baseline="0">
              <a:solidFill>
                <a:srgbClr val="FF33CC"/>
              </a:solidFill>
            </a:rPr>
            <a:t> 23.4%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0.84414</cdr:x>
      <cdr:y>0</cdr:y>
    </cdr:from>
    <cdr:to>
      <cdr:x>1</cdr:x>
      <cdr:y>0.05999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692448F1-20B2-1AC3-4D2D-60A63D1EC35E}"/>
            </a:ext>
          </a:extLst>
        </cdr:cNvPr>
        <cdr:cNvSpPr txBox="1"/>
      </cdr:nvSpPr>
      <cdr:spPr>
        <a:xfrm xmlns:a="http://schemas.openxmlformats.org/drawingml/2006/main">
          <a:off x="8247707" y="0"/>
          <a:ext cx="1522849" cy="2896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i="1" kern="1200">
              <a:solidFill>
                <a:srgbClr val="FF33CC"/>
              </a:solidFill>
            </a:rPr>
            <a:t>%Biên</a:t>
          </a:r>
          <a:r>
            <a:rPr lang="en-US" sz="1100" i="1" kern="1200" baseline="0">
              <a:solidFill>
                <a:srgbClr val="FF33CC"/>
              </a:solidFill>
            </a:rPr>
            <a:t> Dthu</a:t>
          </a:r>
          <a:r>
            <a:rPr lang="en-US" sz="1100" i="1" kern="1200">
              <a:solidFill>
                <a:srgbClr val="FF33CC"/>
              </a:solidFill>
            </a:rPr>
            <a:t>:</a:t>
          </a:r>
          <a:r>
            <a:rPr lang="en-US" sz="1100" i="1" kern="1200" baseline="0">
              <a:solidFill>
                <a:srgbClr val="FF33CC"/>
              </a:solidFill>
            </a:rPr>
            <a:t> 34.7%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0.79225</cdr:x>
      <cdr:y>0.47937</cdr:y>
    </cdr:from>
    <cdr:to>
      <cdr:x>0.92679</cdr:x>
      <cdr:y>0.63063</cdr:y>
    </cdr:to>
    <cdr:sp macro="" textlink="">
      <cdr:nvSpPr>
        <cdr:cNvPr id="13" name="Speech Bubble: Rectangle with Corners Rounded 12">
          <a:extLst xmlns:a="http://schemas.openxmlformats.org/drawingml/2006/main">
            <a:ext uri="{FF2B5EF4-FFF2-40B4-BE49-F238E27FC236}">
              <a16:creationId xmlns:a16="http://schemas.microsoft.com/office/drawing/2014/main" id="{C664D3E4-F8F3-9798-C9EA-A3C40A50A0BE}"/>
            </a:ext>
          </a:extLst>
        </cdr:cNvPr>
        <cdr:cNvSpPr/>
      </cdr:nvSpPr>
      <cdr:spPr>
        <a:xfrm xmlns:a="http://schemas.openxmlformats.org/drawingml/2006/main">
          <a:off x="7738035" y="2314389"/>
          <a:ext cx="1314121" cy="730292"/>
        </a:xfrm>
        <a:prstGeom xmlns:a="http://schemas.openxmlformats.org/drawingml/2006/main" prst="wedgeRoundRectCallout">
          <a:avLst>
            <a:gd name="adj1" fmla="val 26531"/>
            <a:gd name="adj2" fmla="val -111932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9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KH có lập bán cho các khách hàng giá CIF, DDP,</a:t>
          </a:r>
          <a:r>
            <a:rPr lang="en-US" sz="9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thực tế không có: </a:t>
          </a:r>
          <a:r>
            <a:rPr lang="en-US" sz="9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-10 tỷ</a:t>
          </a:r>
          <a:endParaRPr lang="en-US" sz="900">
            <a:solidFill>
              <a:schemeClr val="tx1"/>
            </a:solidFill>
            <a:effectLst/>
          </a:endParaRPr>
        </a:p>
      </cdr:txBody>
    </cdr:sp>
  </cdr:relSizeAnchor>
  <cdr:relSizeAnchor xmlns:cdr="http://schemas.openxmlformats.org/drawingml/2006/chartDrawing">
    <cdr:from>
      <cdr:x>0.4627</cdr:x>
      <cdr:y>0.57674</cdr:y>
    </cdr:from>
    <cdr:to>
      <cdr:x>0.5874</cdr:x>
      <cdr:y>0.69518</cdr:y>
    </cdr:to>
    <cdr:sp macro="" textlink="">
      <cdr:nvSpPr>
        <cdr:cNvPr id="19" name="Rectangle: Rounded Corners 18">
          <a:extLst xmlns:a="http://schemas.openxmlformats.org/drawingml/2006/main">
            <a:ext uri="{FF2B5EF4-FFF2-40B4-BE49-F238E27FC236}">
              <a16:creationId xmlns:a16="http://schemas.microsoft.com/office/drawing/2014/main" id="{9147FCD9-9174-2853-A7DF-C454641467F9}"/>
            </a:ext>
          </a:extLst>
        </cdr:cNvPr>
        <cdr:cNvSpPr/>
      </cdr:nvSpPr>
      <cdr:spPr>
        <a:xfrm xmlns:a="http://schemas.openxmlformats.org/drawingml/2006/main">
          <a:off x="4527550" y="2784475"/>
          <a:ext cx="1220205" cy="571823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</a:rPr>
            <a:t>Sản</a:t>
          </a:r>
          <a:r>
            <a:rPr lang="en-US" sz="1000" b="1" baseline="0">
              <a:solidFill>
                <a:sysClr val="windowText" lastClr="000000"/>
              </a:solidFill>
            </a:rPr>
            <a:t> lượng</a:t>
          </a:r>
          <a:r>
            <a:rPr lang="en-US" sz="1000" baseline="0">
              <a:solidFill>
                <a:sysClr val="windowText" lastClr="000000"/>
              </a:solidFill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</a:rPr>
            <a:t>0.02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000" baseline="0">
              <a:solidFill>
                <a:sysClr val="windowText" lastClr="000000"/>
              </a:solidFill>
            </a:rPr>
            <a:t>/ 0.09 ng.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</a:rPr>
            <a:t>(-0.06 ~ -73%)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359021</xdr:colOff>
      <xdr:row>2</xdr:row>
      <xdr:rowOff>29308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D1C1AA-F9FC-44E4-B886-28F359BBCE02}"/>
            </a:ext>
          </a:extLst>
        </xdr:cNvPr>
        <xdr:cNvSpPr/>
      </xdr:nvSpPr>
      <xdr:spPr>
        <a:xfrm>
          <a:off x="1" y="0"/>
          <a:ext cx="2187820" cy="410308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rgbClr val="FFFF00"/>
              </a:solidFill>
            </a:rPr>
            <a:t>Vẽ</a:t>
          </a:r>
          <a:r>
            <a:rPr lang="en-US" sz="1100" b="1" baseline="0">
              <a:solidFill>
                <a:srgbClr val="FFFF00"/>
              </a:solidFill>
            </a:rPr>
            <a:t> tổng sản lượng sản phẩm chính -&gt; tác động MIX -&gt; để thấy rõ là cty đang bán </a:t>
          </a:r>
          <a:r>
            <a:rPr lang="en-US" sz="1100" b="1" u="sng" baseline="0">
              <a:solidFill>
                <a:srgbClr val="FFFF00"/>
              </a:solidFill>
            </a:rPr>
            <a:t>mặt hàng xơ sợi </a:t>
          </a:r>
          <a:r>
            <a:rPr lang="en-US" sz="1100" b="1" baseline="0">
              <a:solidFill>
                <a:srgbClr val="FFFF00"/>
              </a:solidFill>
            </a:rPr>
            <a:t>nhiều hơn trong tháng 7</a:t>
          </a:r>
        </a:p>
      </xdr:txBody>
    </xdr:sp>
    <xdr:clientData/>
  </xdr:twoCellAnchor>
  <xdr:oneCellAnchor>
    <xdr:from>
      <xdr:col>2</xdr:col>
      <xdr:colOff>152118</xdr:colOff>
      <xdr:row>100</xdr:row>
      <xdr:rowOff>29414</xdr:rowOff>
    </xdr:from>
    <xdr:ext cx="11109792" cy="543401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14BCFE-00FD-4813-BA40-96A100EA8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</xdr:col>
      <xdr:colOff>154933</xdr:colOff>
      <xdr:row>102</xdr:row>
      <xdr:rowOff>7797</xdr:rowOff>
    </xdr:from>
    <xdr:to>
      <xdr:col>10</xdr:col>
      <xdr:colOff>315616</xdr:colOff>
      <xdr:row>119</xdr:row>
      <xdr:rowOff>153474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18BB37D-48FE-4C0A-BF38-1247BE402FBB}"/>
            </a:ext>
          </a:extLst>
        </xdr:cNvPr>
        <xdr:cNvSpPr/>
      </xdr:nvSpPr>
      <xdr:spPr>
        <a:xfrm>
          <a:off x="3639962" y="19438797"/>
          <a:ext cx="8385801" cy="338417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0</xdr:colOff>
      <xdr:row>135</xdr:row>
      <xdr:rowOff>0</xdr:rowOff>
    </xdr:from>
    <xdr:ext cx="12815609" cy="5053852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EC566B-D833-4C27-952E-4EAEE0714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11</xdr:col>
      <xdr:colOff>1018346</xdr:colOff>
      <xdr:row>136</xdr:row>
      <xdr:rowOff>136665</xdr:rowOff>
    </xdr:from>
    <xdr:to>
      <xdr:col>18</xdr:col>
      <xdr:colOff>950429</xdr:colOff>
      <xdr:row>154</xdr:row>
      <xdr:rowOff>91842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923B029-F5BC-F587-774E-52123DED8742}"/>
            </a:ext>
          </a:extLst>
        </xdr:cNvPr>
        <xdr:cNvSpPr/>
      </xdr:nvSpPr>
      <xdr:spPr>
        <a:xfrm>
          <a:off x="13819946" y="26044665"/>
          <a:ext cx="8333133" cy="338417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0.94073</cdr:x>
      <cdr:y>0</cdr:y>
    </cdr:from>
    <cdr:to>
      <cdr:x>1</cdr:x>
      <cdr:y>0.06289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15445BA-76EC-5EA0-3E25-8705FAF55A27}"/>
            </a:ext>
          </a:extLst>
        </cdr:cNvPr>
        <cdr:cNvSpPr txBox="1"/>
      </cdr:nvSpPr>
      <cdr:spPr>
        <a:xfrm xmlns:a="http://schemas.openxmlformats.org/drawingml/2006/main">
          <a:off x="10452380" y="0"/>
          <a:ext cx="658533" cy="238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0.91599</cdr:x>
      <cdr:y>0.42936</cdr:y>
    </cdr:from>
    <cdr:to>
      <cdr:x>0.99628</cdr:x>
      <cdr:y>0.54437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6449105-008B-D871-8336-9F8F65112CCF}"/>
            </a:ext>
          </a:extLst>
        </cdr:cNvPr>
        <cdr:cNvSpPr txBox="1"/>
      </cdr:nvSpPr>
      <cdr:spPr>
        <a:xfrm xmlns:a="http://schemas.openxmlformats.org/drawingml/2006/main">
          <a:off x="10164141" y="2333124"/>
          <a:ext cx="890926" cy="624966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-25 </a:t>
          </a:r>
          <a:r>
            <a:rPr lang="en-US" sz="16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5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5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-79%)</a:t>
          </a:r>
          <a:endParaRPr lang="en-US" sz="15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0.062</cdr:x>
      <cdr:y>0.72204</cdr:y>
    </cdr:from>
    <cdr:to>
      <cdr:x>0.84499</cdr:x>
      <cdr:y>0.88359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534FF385-08F4-4012-9AB7-530F0D61435C}"/>
            </a:ext>
          </a:extLst>
        </cdr:cNvPr>
        <cdr:cNvGrpSpPr/>
      </cdr:nvGrpSpPr>
      <cdr:grpSpPr>
        <a:xfrm xmlns:a="http://schemas.openxmlformats.org/drawingml/2006/main">
          <a:off x="688807" y="3923575"/>
          <a:ext cx="8698856" cy="877865"/>
          <a:chOff x="681039" y="4089400"/>
          <a:chExt cx="8699688" cy="649225"/>
        </a:xfrm>
      </cdr:grpSpPr>
      <cdr:sp macro="" textlink="">
        <cdr:nvSpPr>
          <cdr:cNvPr id="4" name="Rectangle: Rounded Corners 3">
            <a:extLst xmlns:a="http://schemas.openxmlformats.org/drawingml/2006/main">
              <a:ext uri="{FF2B5EF4-FFF2-40B4-BE49-F238E27FC236}">
                <a16:creationId xmlns:a16="http://schemas.microsoft.com/office/drawing/2014/main" id="{499B57B5-A96B-7D7A-3E2B-60864EB3F5F2}"/>
              </a:ext>
            </a:extLst>
          </cdr:cNvPr>
          <cdr:cNvSpPr/>
        </cdr:nvSpPr>
        <cdr:spPr>
          <a:xfrm xmlns:a="http://schemas.openxmlformats.org/drawingml/2006/main">
            <a:off x="681039" y="4089400"/>
            <a:ext cx="1704975" cy="649225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  <a:latin typeface="Aptos Narrow (Body)"/>
              </a:rPr>
              <a:t>LG EXW</a:t>
            </a:r>
            <a:r>
              <a:rPr lang="en-US" sz="1500" b="1" baseline="0">
                <a:solidFill>
                  <a:srgbClr val="C00000"/>
                </a:solidFill>
                <a:latin typeface="Aptos Narrow (Body)"/>
              </a:rPr>
              <a:t> rPET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đạt </a:t>
            </a:r>
            <a:r>
              <a:rPr lang="en-US" sz="1800" b="1" baseline="0">
                <a:solidFill>
                  <a:srgbClr val="C00000"/>
                </a:solidFill>
                <a:latin typeface="Aptos Narrow (Body)"/>
              </a:rPr>
              <a:t>9.2</a:t>
            </a:r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/ 25.4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  <a:latin typeface="Aptos Narrow (Body)"/>
              </a:rPr>
              <a:t>(-16.1 tỷ ~ -64.0%)</a:t>
            </a:r>
            <a:endParaRPr lang="en-US" sz="1300" i="1">
              <a:solidFill>
                <a:srgbClr val="C00000"/>
              </a:solidFill>
              <a:latin typeface="Aptos Narrow (Body)"/>
            </a:endParaRPr>
          </a:p>
        </cdr:txBody>
      </cdr:sp>
      <cdr:sp macro="" textlink="">
        <cdr:nvSpPr>
          <cdr:cNvPr id="5" name="Rectangle: Rounded Corners 4">
            <a:extLst xmlns:a="http://schemas.openxmlformats.org/drawingml/2006/main">
              <a:ext uri="{FF2B5EF4-FFF2-40B4-BE49-F238E27FC236}">
                <a16:creationId xmlns:a16="http://schemas.microsoft.com/office/drawing/2014/main" id="{8F392477-5DB1-7F94-0639-7B2DEF85714B}"/>
              </a:ext>
            </a:extLst>
          </cdr:cNvPr>
          <cdr:cNvSpPr/>
        </cdr:nvSpPr>
        <cdr:spPr>
          <a:xfrm xmlns:a="http://schemas.openxmlformats.org/drawingml/2006/main">
            <a:off x="2424764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450" b="1">
                <a:solidFill>
                  <a:srgbClr val="C00000"/>
                </a:solidFill>
              </a:rPr>
              <a:t>LG EXW</a:t>
            </a:r>
            <a:r>
              <a:rPr lang="en-US" sz="1450" b="1" baseline="0">
                <a:solidFill>
                  <a:srgbClr val="C00000"/>
                </a:solidFill>
              </a:rPr>
              <a:t> rHD thổi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</a:t>
            </a:r>
            <a:r>
              <a:rPr lang="en-US" sz="1800" baseline="0">
                <a:solidFill>
                  <a:srgbClr val="C00000"/>
                </a:solidFill>
              </a:rPr>
              <a:t> </a:t>
            </a:r>
            <a:r>
              <a:rPr lang="en-US" sz="1800" b="1" baseline="0">
                <a:solidFill>
                  <a:srgbClr val="C00000"/>
                </a:solidFill>
              </a:rPr>
              <a:t>0.84 </a:t>
            </a:r>
            <a:r>
              <a:rPr lang="en-US" sz="1500" baseline="0">
                <a:solidFill>
                  <a:srgbClr val="C00000"/>
                </a:solidFill>
              </a:rPr>
              <a:t>/ 4.2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(-3.4 tỷ ~ -80.2%)</a:t>
            </a:r>
            <a:endParaRPr lang="en-US" sz="1300" i="1">
              <a:solidFill>
                <a:srgbClr val="C00000"/>
              </a:solidFill>
            </a:endParaRPr>
          </a:p>
        </cdr:txBody>
      </cdr:sp>
      <cdr:sp macro="" textlink="">
        <cdr:nvSpPr>
          <cdr:cNvPr id="6" name="Rectangle: Rounded Corners 5">
            <a:extLst xmlns:a="http://schemas.openxmlformats.org/drawingml/2006/main">
              <a:ext uri="{FF2B5EF4-FFF2-40B4-BE49-F238E27FC236}">
                <a16:creationId xmlns:a16="http://schemas.microsoft.com/office/drawing/2014/main" id="{BBE95CDA-532F-E83C-A5AA-23D4CB962A65}"/>
              </a:ext>
            </a:extLst>
          </cdr:cNvPr>
          <cdr:cNvSpPr/>
        </cdr:nvSpPr>
        <cdr:spPr>
          <a:xfrm xmlns:a="http://schemas.openxmlformats.org/drawingml/2006/main">
            <a:off x="4173442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LG EXW</a:t>
            </a:r>
            <a:r>
              <a:rPr lang="en-US" sz="1500" b="1" baseline="0">
                <a:solidFill>
                  <a:srgbClr val="C00000"/>
                </a:solidFill>
              </a:rPr>
              <a:t> rHD ép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-0.47</a:t>
            </a:r>
            <a:r>
              <a:rPr lang="en-US" sz="1500" baseline="0">
                <a:solidFill>
                  <a:srgbClr val="C00000"/>
                </a:solidFill>
              </a:rPr>
              <a:t> / 0.8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(-1.2 tỷ)</a:t>
            </a:r>
          </a:p>
        </cdr:txBody>
      </cdr:sp>
      <cdr:sp macro="" textlink="">
        <cdr:nvSpPr>
          <cdr:cNvPr id="7" name="Rectangle: Rounded Corners 6">
            <a:extLst xmlns:a="http://schemas.openxmlformats.org/drawingml/2006/main">
              <a:ext uri="{FF2B5EF4-FFF2-40B4-BE49-F238E27FC236}">
                <a16:creationId xmlns:a16="http://schemas.microsoft.com/office/drawing/2014/main" id="{F12DEA15-D07F-666E-F3C1-1675054387C0}"/>
              </a:ext>
            </a:extLst>
          </cdr:cNvPr>
          <cdr:cNvSpPr/>
        </cdr:nvSpPr>
        <cdr:spPr>
          <a:xfrm xmlns:a="http://schemas.openxmlformats.org/drawingml/2006/main">
            <a:off x="5922120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chemeClr val="tx1"/>
                </a:solidFill>
              </a:rPr>
              <a:t>LG EXW</a:t>
            </a:r>
            <a:r>
              <a:rPr lang="en-US" sz="1500" b="1" baseline="0">
                <a:solidFill>
                  <a:schemeClr val="tx1"/>
                </a:solidFill>
              </a:rPr>
              <a:t> rPP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chemeClr val="tx1"/>
                </a:solidFill>
              </a:rPr>
              <a:t>đạt </a:t>
            </a:r>
            <a:r>
              <a:rPr lang="en-US" sz="1800" b="1" baseline="0">
                <a:solidFill>
                  <a:schemeClr val="tx1"/>
                </a:solidFill>
              </a:rPr>
              <a:t>-0.2</a:t>
            </a:r>
            <a:r>
              <a:rPr lang="en-US" sz="1500" b="1" baseline="0">
                <a:solidFill>
                  <a:schemeClr val="tx1"/>
                </a:solidFill>
              </a:rPr>
              <a:t> </a:t>
            </a:r>
            <a:r>
              <a:rPr lang="en-US" sz="1500" baseline="0">
                <a:solidFill>
                  <a:schemeClr val="tx1"/>
                </a:solidFill>
              </a:rPr>
              <a:t>/ -0.35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chemeClr val="tx1"/>
                </a:solidFill>
              </a:rPr>
              <a:t>(+0.17 tỷ)</a:t>
            </a:r>
            <a:endParaRPr lang="en-US" sz="1300" i="1">
              <a:solidFill>
                <a:schemeClr val="tx1"/>
              </a:solidFill>
            </a:endParaRPr>
          </a:p>
        </cdr:txBody>
      </cdr:sp>
      <cdr:sp macro="" textlink="">
        <cdr:nvSpPr>
          <cdr:cNvPr id="8" name="Rectangle: Rounded Corners 7">
            <a:extLst xmlns:a="http://schemas.openxmlformats.org/drawingml/2006/main">
              <a:ext uri="{FF2B5EF4-FFF2-40B4-BE49-F238E27FC236}">
                <a16:creationId xmlns:a16="http://schemas.microsoft.com/office/drawing/2014/main" id="{7C6FF398-5090-0608-1F39-4CCD8B19ED74}"/>
              </a:ext>
            </a:extLst>
          </cdr:cNvPr>
          <cdr:cNvSpPr/>
        </cdr:nvSpPr>
        <cdr:spPr>
          <a:xfrm xmlns:a="http://schemas.openxmlformats.org/drawingml/2006/main">
            <a:off x="7670799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LG EXW</a:t>
            </a:r>
            <a:r>
              <a:rPr lang="en-US" sz="1500" b="1" baseline="0">
                <a:solidFill>
                  <a:srgbClr val="C00000"/>
                </a:solidFill>
              </a:rPr>
              <a:t> Xơ Sợi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-5.3 </a:t>
            </a:r>
            <a:r>
              <a:rPr lang="en-US" sz="1500" baseline="0">
                <a:solidFill>
                  <a:srgbClr val="C00000"/>
                </a:solidFill>
              </a:rPr>
              <a:t>/ 0.08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(+7  tỷ ~ +256%)</a:t>
            </a:r>
          </a:p>
        </cdr:txBody>
      </cdr:sp>
    </cdr:grpSp>
  </cdr:relSizeAnchor>
  <cdr:relSizeAnchor xmlns:cdr="http://schemas.openxmlformats.org/drawingml/2006/chartDrawing">
    <cdr:from>
      <cdr:x>0.83823</cdr:x>
      <cdr:y>0.27785</cdr:y>
    </cdr:from>
    <cdr:to>
      <cdr:x>0.89465</cdr:x>
      <cdr:y>0.48923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0EF6BA54-5EC2-A906-0256-B4A0E866DB36}"/>
            </a:ext>
          </a:extLst>
        </cdr:cNvPr>
        <cdr:cNvSpPr/>
      </cdr:nvSpPr>
      <cdr:spPr>
        <a:xfrm xmlns:a="http://schemas.openxmlformats.org/drawingml/2006/main">
          <a:off x="9301293" y="1509826"/>
          <a:ext cx="626056" cy="114864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Tăng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25,000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25,988</a:t>
          </a:r>
        </a:p>
        <a:p xmlns:a="http://schemas.openxmlformats.org/drawingml/2006/main">
          <a:pPr algn="ctr"/>
          <a:endParaRPr lang="en-US" sz="1000" b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800" i="1" baseline="0">
              <a:solidFill>
                <a:sysClr val="windowText" lastClr="000000"/>
              </a:solidFill>
              <a:latin typeface="Aptos Narrow (Body)"/>
            </a:rPr>
            <a:t>(+988 ~ +4.0%)</a:t>
          </a:r>
        </a:p>
      </cdr:txBody>
    </cdr:sp>
  </cdr:relSizeAnchor>
  <cdr:relSizeAnchor xmlns:cdr="http://schemas.openxmlformats.org/drawingml/2006/chartDrawing">
    <cdr:from>
      <cdr:x>0.71145</cdr:x>
      <cdr:y>0.01461</cdr:y>
    </cdr:from>
    <cdr:to>
      <cdr:x>0.8963</cdr:x>
      <cdr:y>0.10956</cdr:y>
    </cdr:to>
    <cdr:sp macro="" textlink="">
      <cdr:nvSpPr>
        <cdr:cNvPr id="12" name="Speech Bubble: Rectangle with Corners Rounded 11">
          <a:extLst xmlns:a="http://schemas.openxmlformats.org/drawingml/2006/main">
            <a:ext uri="{FF2B5EF4-FFF2-40B4-BE49-F238E27FC236}">
              <a16:creationId xmlns:a16="http://schemas.microsoft.com/office/drawing/2014/main" id="{123D37DD-35ED-CC91-EA7D-518D155EC94D}"/>
            </a:ext>
          </a:extLst>
        </cdr:cNvPr>
        <cdr:cNvSpPr/>
      </cdr:nvSpPr>
      <cdr:spPr>
        <a:xfrm xmlns:a="http://schemas.openxmlformats.org/drawingml/2006/main">
          <a:off x="7894506" y="79370"/>
          <a:ext cx="2051159" cy="515959"/>
        </a:xfrm>
        <a:prstGeom xmlns:a="http://schemas.openxmlformats.org/drawingml/2006/main" prst="wedgeRoundRectCallout">
          <a:avLst>
            <a:gd name="adj1" fmla="val 53180"/>
            <a:gd name="adj2" fmla="val 10785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ysClr val="windowText" lastClr="000000"/>
              </a:solidFill>
            </a:rPr>
            <a:t>KH</a:t>
          </a:r>
          <a:r>
            <a:rPr lang="en-US" sz="1100" baseline="0">
              <a:solidFill>
                <a:sysClr val="windowText" lastClr="000000"/>
              </a:solidFill>
            </a:rPr>
            <a:t> có doanh thu EPR:</a:t>
          </a:r>
          <a:r>
            <a:rPr lang="en-US" sz="1100" b="1" baseline="0">
              <a:solidFill>
                <a:sysClr val="windowText" lastClr="000000"/>
              </a:solidFill>
            </a:rPr>
            <a:t> 3.5 tỷ </a:t>
          </a:r>
          <a:r>
            <a:rPr lang="en-US" sz="1100" baseline="0">
              <a:solidFill>
                <a:sysClr val="windowText" lastClr="000000"/>
              </a:solidFill>
            </a:rPr>
            <a:t>(thực tế chưa phát sinh) </a:t>
          </a:r>
          <a:endParaRPr lang="en-US" sz="11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0.06215</cdr:x>
      <cdr:y>0.27722</cdr:y>
    </cdr:from>
    <cdr:to>
      <cdr:x>0.83658</cdr:x>
      <cdr:y>0.72624</cdr:y>
    </cdr:to>
    <cdr:grpSp>
      <cdr:nvGrpSpPr>
        <cdr:cNvPr id="17" name="Group 16">
          <a:extLst xmlns:a="http://schemas.openxmlformats.org/drawingml/2006/main">
            <a:ext uri="{FF2B5EF4-FFF2-40B4-BE49-F238E27FC236}">
              <a16:creationId xmlns:a16="http://schemas.microsoft.com/office/drawing/2014/main" id="{E6719B94-223D-09BA-09B1-E260C8DE50E7}"/>
            </a:ext>
          </a:extLst>
        </cdr:cNvPr>
        <cdr:cNvGrpSpPr/>
      </cdr:nvGrpSpPr>
      <cdr:grpSpPr>
        <a:xfrm xmlns:a="http://schemas.openxmlformats.org/drawingml/2006/main">
          <a:off x="690474" y="1506417"/>
          <a:ext cx="8603756" cy="2439981"/>
          <a:chOff x="690563" y="1226280"/>
          <a:chExt cx="8604650" cy="2440007"/>
        </a:xfrm>
      </cdr:grpSpPr>
      <cdr:sp macro="" textlink="">
        <cdr:nvSpPr>
          <cdr:cNvPr id="10" name="Rectangle: Rounded Corners 9">
            <a:extLst xmlns:a="http://schemas.openxmlformats.org/drawingml/2006/main">
              <a:ext uri="{FF2B5EF4-FFF2-40B4-BE49-F238E27FC236}">
                <a16:creationId xmlns:a16="http://schemas.microsoft.com/office/drawing/2014/main" id="{F874A4F7-499F-BDBE-4F54-1E0173492C2C}"/>
              </a:ext>
            </a:extLst>
          </cdr:cNvPr>
          <cdr:cNvSpPr/>
        </cdr:nvSpPr>
        <cdr:spPr>
          <a:xfrm xmlns:a="http://schemas.openxmlformats.org/drawingml/2006/main">
            <a:off x="690563" y="2559798"/>
            <a:ext cx="1666875" cy="1106489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+mn-lt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+mn-lt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3.67</a:t>
            </a:r>
            <a:r>
              <a:rPr lang="en-US" sz="110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/ </a:t>
            </a:r>
            <a:r>
              <a:rPr lang="en-US" sz="1000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4.4 ngàn tấn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( -0.77  ~  -17.3%).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+mn-lt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LG đơn vị 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$101/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tấn (KH là $229 ~ -17.3%)</a:t>
            </a:r>
          </a:p>
        </cdr:txBody>
      </cdr:sp>
      <cdr:sp macro="" textlink="">
        <cdr:nvSpPr>
          <cdr:cNvPr id="13" name="Rectangle: Rounded Corners 12">
            <a:extLst xmlns:a="http://schemas.openxmlformats.org/drawingml/2006/main">
              <a:ext uri="{FF2B5EF4-FFF2-40B4-BE49-F238E27FC236}">
                <a16:creationId xmlns:a16="http://schemas.microsoft.com/office/drawing/2014/main" id="{B3D2C088-5FE7-3E17-7CFA-5F76C72988EC}"/>
              </a:ext>
            </a:extLst>
          </cdr:cNvPr>
          <cdr:cNvSpPr/>
        </cdr:nvSpPr>
        <cdr:spPr>
          <a:xfrm xmlns:a="http://schemas.openxmlformats.org/drawingml/2006/main">
            <a:off x="2419259" y="122628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Aptos Narrow (Body)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Aptos Narrow (Body)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: đạt </a:t>
            </a:r>
          </a:p>
          <a:p xmlns:a="http://schemas.openxmlformats.org/drawingml/2006/main">
            <a:pPr algn="l"/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0.21</a:t>
            </a:r>
            <a:r>
              <a:rPr lang="en-US" sz="1100" baseline="0">
                <a:solidFill>
                  <a:sysClr val="windowText" lastClr="000000"/>
                </a:solidFill>
                <a:latin typeface="Aptos Narrow (Body)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/ 0.7 ngàn tấn 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 (Body)"/>
              </a:rPr>
              <a:t>(-0.5 ~ -69.5%)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Aptos Narrow (Body)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LG đơn vị 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$159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/tấn (KH là $245 ~ -35%)</a:t>
            </a:r>
            <a:endParaRPr lang="en-US" sz="1000" b="1" i="0" baseline="0">
              <a:solidFill>
                <a:sysClr val="windowText" lastClr="000000"/>
              </a:solidFill>
              <a:latin typeface="Aptos Narrow (Body)"/>
            </a:endParaRPr>
          </a:p>
        </cdr:txBody>
      </cdr:sp>
      <cdr:sp macro="" textlink="">
        <cdr:nvSpPr>
          <cdr:cNvPr id="14" name="Rectangle: Rounded Corners 13">
            <a:extLst xmlns:a="http://schemas.openxmlformats.org/drawingml/2006/main">
              <a:ext uri="{FF2B5EF4-FFF2-40B4-BE49-F238E27FC236}">
                <a16:creationId xmlns:a16="http://schemas.microsoft.com/office/drawing/2014/main" id="{1E3B5E11-268E-6ACF-D4FC-124288B69255}"/>
              </a:ext>
            </a:extLst>
          </cdr:cNvPr>
          <cdr:cNvSpPr/>
        </cdr:nvSpPr>
        <cdr:spPr>
          <a:xfrm xmlns:a="http://schemas.openxmlformats.org/drawingml/2006/main">
            <a:off x="4156508" y="1248691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0.06</a:t>
            </a:r>
            <a:r>
              <a:rPr lang="en-US" sz="1000" baseline="0">
                <a:solidFill>
                  <a:sysClr val="windowText" lastClr="000000"/>
                </a:solidFill>
              </a:rPr>
              <a:t>/0.14 ng.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(-0.08 ~ -56.7%)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LG đơn vị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rgbClr val="FF0000"/>
                </a:solidFill>
              </a:rPr>
              <a:t>-$315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/tấn (KH là $226)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  <cdr:sp macro="" textlink="">
        <cdr:nvSpPr>
          <cdr:cNvPr id="15" name="Rectangle: Rounded Corners 14">
            <a:extLst xmlns:a="http://schemas.openxmlformats.org/drawingml/2006/main">
              <a:ext uri="{FF2B5EF4-FFF2-40B4-BE49-F238E27FC236}">
                <a16:creationId xmlns:a16="http://schemas.microsoft.com/office/drawing/2014/main" id="{56CFF307-E683-3E82-647F-C8B95F0A1187}"/>
              </a:ext>
            </a:extLst>
          </cdr:cNvPr>
          <cdr:cNvSpPr/>
        </cdr:nvSpPr>
        <cdr:spPr>
          <a:xfrm xmlns:a="http://schemas.openxmlformats.org/drawingml/2006/main">
            <a:off x="5916198" y="1528202"/>
            <a:ext cx="1664208" cy="546763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0.05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(-0.05 ~ -50%)</a:t>
            </a:r>
          </a:p>
        </cdr:txBody>
      </cdr:sp>
      <cdr:sp macro="" textlink="">
        <cdr:nvSpPr>
          <cdr:cNvPr id="16" name="Rectangle: Rounded Corners 15">
            <a:extLst xmlns:a="http://schemas.openxmlformats.org/drawingml/2006/main">
              <a:ext uri="{FF2B5EF4-FFF2-40B4-BE49-F238E27FC236}">
                <a16:creationId xmlns:a16="http://schemas.microsoft.com/office/drawing/2014/main" id="{CA348383-5F92-FFDE-42C1-20D9B18568CA}"/>
              </a:ext>
            </a:extLst>
          </cdr:cNvPr>
          <cdr:cNvSpPr/>
        </cdr:nvSpPr>
        <cdr:spPr>
          <a:xfrm xmlns:a="http://schemas.openxmlformats.org/drawingml/2006/main">
            <a:off x="7631005" y="1516997"/>
            <a:ext cx="1664208" cy="571508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0.57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(+0.47 ~ +468%)</a:t>
            </a:r>
          </a:p>
        </cdr:txBody>
      </cdr:sp>
    </cdr:grpSp>
  </cdr:relSizeAnchor>
  <cdr:relSizeAnchor xmlns:cdr="http://schemas.openxmlformats.org/drawingml/2006/chartDrawing">
    <cdr:from>
      <cdr:x>0.37243</cdr:x>
      <cdr:y>0.16514</cdr:y>
    </cdr:from>
    <cdr:to>
      <cdr:x>0.52345</cdr:x>
      <cdr:y>0.27722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DA833A1-1C5D-84A0-056A-F7079FB1CE8D}"/>
            </a:ext>
          </a:extLst>
        </cdr:cNvPr>
        <cdr:cNvSpPr txBox="1"/>
      </cdr:nvSpPr>
      <cdr:spPr>
        <a:xfrm xmlns:a="http://schemas.openxmlformats.org/drawingml/2006/main">
          <a:off x="4132620" y="897394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0.52558</cdr:x>
      <cdr:y>0.16896</cdr:y>
    </cdr:from>
    <cdr:to>
      <cdr:x>0.6766</cdr:x>
      <cdr:y>0.28104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2A9ED325-474A-DE94-C6A9-AE44D241D87B}"/>
            </a:ext>
          </a:extLst>
        </cdr:cNvPr>
        <cdr:cNvSpPr txBox="1"/>
      </cdr:nvSpPr>
      <cdr:spPr>
        <a:xfrm xmlns:a="http://schemas.openxmlformats.org/drawingml/2006/main">
          <a:off x="5832026" y="918109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0.91292</cdr:x>
      <cdr:y>0.02378</cdr:y>
    </cdr:from>
    <cdr:to>
      <cdr:x>1</cdr:x>
      <cdr:y>0.08751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037BFA9-081A-28CF-C7ED-AA109E15A0D2}"/>
            </a:ext>
          </a:extLst>
        </cdr:cNvPr>
        <cdr:cNvSpPr txBox="1"/>
      </cdr:nvSpPr>
      <cdr:spPr>
        <a:xfrm xmlns:a="http://schemas.openxmlformats.org/drawingml/2006/main">
          <a:off x="10130062" y="129241"/>
          <a:ext cx="966283" cy="3462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5.0%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0.00054</cdr:x>
      <cdr:y>0</cdr:y>
    </cdr:from>
    <cdr:to>
      <cdr:x>0.08728</cdr:x>
      <cdr:y>0.03679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93F7FDA8-2BB2-5E9D-D4B3-7E5C17FFFEB6}"/>
            </a:ext>
          </a:extLst>
        </cdr:cNvPr>
        <cdr:cNvSpPr txBox="1"/>
      </cdr:nvSpPr>
      <cdr:spPr>
        <a:xfrm xmlns:a="http://schemas.openxmlformats.org/drawingml/2006/main">
          <a:off x="5977" y="0"/>
          <a:ext cx="962494" cy="199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17.8%</a:t>
          </a:r>
        </a:p>
        <a:p xmlns:a="http://schemas.openxmlformats.org/drawingml/2006/main">
          <a:r>
            <a:rPr lang="en-US" sz="1100" i="1" kern="1200" baseline="0">
              <a:solidFill>
                <a:srgbClr val="FF33CC"/>
              </a:solidFill>
            </a:rPr>
            <a:t>(Nếu loại phần tài trợ: 16.2%) 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0.22436</cdr:x>
      <cdr:y>0</cdr:y>
    </cdr:from>
    <cdr:to>
      <cdr:x>0.43287</cdr:x>
      <cdr:y>0.14542</cdr:y>
    </cdr:to>
    <cdr:sp macro="" textlink="">
      <cdr:nvSpPr>
        <cdr:cNvPr id="22" name="Speech Bubble: Rectangle with Corners Rounded 21">
          <a:extLst xmlns:a="http://schemas.openxmlformats.org/drawingml/2006/main">
            <a:ext uri="{FF2B5EF4-FFF2-40B4-BE49-F238E27FC236}">
              <a16:creationId xmlns:a16="http://schemas.microsoft.com/office/drawing/2014/main" id="{7BADB968-B02B-44E2-6B68-E92B002AA910}"/>
            </a:ext>
          </a:extLst>
        </cdr:cNvPr>
        <cdr:cNvSpPr/>
      </cdr:nvSpPr>
      <cdr:spPr>
        <a:xfrm xmlns:a="http://schemas.openxmlformats.org/drawingml/2006/main">
          <a:off x="2492579" y="0"/>
          <a:ext cx="2316502" cy="790214"/>
        </a:xfrm>
        <a:prstGeom xmlns:a="http://schemas.openxmlformats.org/drawingml/2006/main" prst="wedgeRoundRectCallout">
          <a:avLst>
            <a:gd name="adj1" fmla="val -53407"/>
            <a:gd name="adj2" fmla="val 31500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iá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bán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11.6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</a:p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vốn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6.3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 </a:t>
          </a:r>
          <a:endParaRPr lang="en-US" sz="850" baseline="0">
            <a:solidFill>
              <a:sysClr val="windowText" lastClr="000000"/>
            </a:solidFill>
            <a:latin typeface="Aptos Narrow" panose="020B0004020202020204" pitchFamily="34" charset="0"/>
          </a:endParaRPr>
        </a:p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Nguyên nhân là do </a:t>
          </a:r>
          <a:r>
            <a:rPr lang="vi-VN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</a:t>
          </a:r>
          <a:r>
            <a:rPr lang="en-US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mua </a:t>
          </a:r>
          <a:r>
            <a:rPr lang="vi-VN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chai/vảy tăng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</a:t>
          </a:r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</a:p>
        <a:p xmlns:a="http://schemas.openxmlformats.org/drawingml/2006/main">
          <a:pPr algn="l"/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+ Chai: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18,789</a:t>
          </a:r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/ 16,566đ/kg; +2,223 ~ + 13.4%. </a:t>
          </a:r>
        </a:p>
        <a:p xmlns:a="http://schemas.openxmlformats.org/drawingml/2006/main">
          <a:pPr algn="l"/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+ Vảy: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20,104 </a:t>
          </a:r>
          <a:r>
            <a:rPr lang="en-US" sz="850" b="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/ 18,780 đ/kg; +1,324 ~ +7%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0.88441</cdr:x>
      <cdr:y>0.41463</cdr:y>
    </cdr:from>
    <cdr:to>
      <cdr:x>0.97595</cdr:x>
      <cdr:y>0.51264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A57CD6-1E41-C3C1-B6F2-2A6B09E060A6}"/>
            </a:ext>
          </a:extLst>
        </cdr:cNvPr>
        <cdr:cNvSpPr txBox="1"/>
      </cdr:nvSpPr>
      <cdr:spPr>
        <a:xfrm xmlns:a="http://schemas.openxmlformats.org/drawingml/2006/main">
          <a:off x="11334294" y="2095500"/>
          <a:ext cx="1173141" cy="495300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-24.4 </a:t>
          </a:r>
          <a:r>
            <a:rPr lang="en-US" sz="11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1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1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-69%)</a:t>
          </a:r>
          <a:endParaRPr lang="en-US" sz="11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0.18457</cdr:x>
      <cdr:y>0.50573</cdr:y>
    </cdr:from>
    <cdr:to>
      <cdr:x>0.38794</cdr:x>
      <cdr:y>0.62444</cdr:y>
    </cdr:to>
    <cdr:sp macro="" textlink="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101D8DAD-BB9B-8CF2-F9F6-16C2D8406980}"/>
            </a:ext>
          </a:extLst>
        </cdr:cNvPr>
        <cdr:cNvSpPr/>
      </cdr:nvSpPr>
      <cdr:spPr>
        <a:xfrm xmlns:a="http://schemas.openxmlformats.org/drawingml/2006/main">
          <a:off x="2365375" y="2555875"/>
          <a:ext cx="2606343" cy="599952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500" b="1">
              <a:solidFill>
                <a:sysClr val="windowText" lastClr="000000"/>
              </a:solidFill>
              <a:latin typeface="+mn-lt"/>
            </a:rPr>
            <a:t>Sản</a:t>
          </a:r>
          <a:r>
            <a:rPr lang="en-US" sz="1500" b="1" baseline="0">
              <a:solidFill>
                <a:sysClr val="windowText" lastClr="000000"/>
              </a:solidFill>
              <a:latin typeface="+mn-lt"/>
            </a:rPr>
            <a:t> lượng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: đạt </a:t>
          </a:r>
          <a:r>
            <a:rPr lang="en-US" sz="1800" b="1" baseline="0">
              <a:solidFill>
                <a:sysClr val="windowText" lastClr="000000"/>
              </a:solidFill>
              <a:latin typeface="+mn-lt"/>
            </a:rPr>
            <a:t>5.19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 / 5.44</a:t>
          </a:r>
        </a:p>
        <a:p xmlns:a="http://schemas.openxmlformats.org/drawingml/2006/main">
          <a:pPr algn="l"/>
          <a:r>
            <a:rPr lang="en-US" sz="1500" baseline="0">
              <a:solidFill>
                <a:sysClr val="windowText" lastClr="000000"/>
              </a:solidFill>
              <a:latin typeface="+mn-lt"/>
            </a:rPr>
            <a:t>ngàn tấn </a:t>
          </a:r>
          <a:r>
            <a:rPr lang="en-US" sz="1500" i="1" baseline="0">
              <a:solidFill>
                <a:sysClr val="windowText" lastClr="000000"/>
              </a:solidFill>
              <a:latin typeface="+mn-lt"/>
            </a:rPr>
            <a:t>( -0.25  ~  -4.6%).</a:t>
          </a:r>
        </a:p>
      </cdr:txBody>
    </cdr:sp>
  </cdr:relSizeAnchor>
  <cdr:relSizeAnchor xmlns:cdr="http://schemas.openxmlformats.org/drawingml/2006/chartDrawing">
    <cdr:from>
      <cdr:x>0.59484</cdr:x>
      <cdr:y>0.24752</cdr:y>
    </cdr:from>
    <cdr:to>
      <cdr:x>0.69801</cdr:x>
      <cdr:y>0.45739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468E62E3-D146-E067-64FD-1C47D1151CE2}"/>
            </a:ext>
          </a:extLst>
        </cdr:cNvPr>
        <cdr:cNvSpPr/>
      </cdr:nvSpPr>
      <cdr:spPr>
        <a:xfrm xmlns:a="http://schemas.openxmlformats.org/drawingml/2006/main">
          <a:off x="7623175" y="1250950"/>
          <a:ext cx="1322248" cy="106065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solidFill>
                <a:sysClr val="windowText" lastClr="000000"/>
              </a:solidFill>
              <a:latin typeface="+mn-lt"/>
            </a:rPr>
            <a:t>Tăng</a:t>
          </a:r>
          <a:r>
            <a:rPr lang="en-US" sz="1200" baseline="0">
              <a:solidFill>
                <a:sysClr val="windowText" lastClr="000000"/>
              </a:solidFill>
              <a:latin typeface="+mn-lt"/>
            </a:rPr>
            <a:t> từ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+mn-lt"/>
            </a:rPr>
            <a:t>25,000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+mn-lt"/>
              <a:sym typeface="Wingdings 3" panose="05040102010807070707" pitchFamily="18" charset="2"/>
            </a:rPr>
            <a:t></a:t>
          </a:r>
          <a:r>
            <a:rPr lang="en-US" sz="13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1300" b="1" baseline="0">
              <a:solidFill>
                <a:sysClr val="windowText" lastClr="000000"/>
              </a:solidFill>
              <a:latin typeface="+mn-lt"/>
            </a:rPr>
            <a:t>26,133</a:t>
          </a:r>
        </a:p>
        <a:p xmlns:a="http://schemas.openxmlformats.org/drawingml/2006/main">
          <a:pPr algn="ctr"/>
          <a:r>
            <a:rPr lang="en-US" sz="1200" i="1" baseline="0">
              <a:solidFill>
                <a:sysClr val="windowText" lastClr="000000"/>
              </a:solidFill>
              <a:latin typeface="+mn-lt"/>
            </a:rPr>
            <a:t>(+1,133 ~ + 4.5%)</a:t>
          </a:r>
        </a:p>
      </cdr:txBody>
    </cdr:sp>
  </cdr:relSizeAnchor>
  <cdr:relSizeAnchor xmlns:cdr="http://schemas.openxmlformats.org/drawingml/2006/chartDrawing">
    <cdr:from>
      <cdr:x>0.00396</cdr:x>
      <cdr:y>0.01005</cdr:y>
    </cdr:from>
    <cdr:to>
      <cdr:x>0.07747</cdr:x>
      <cdr:y>0.07861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939D2E8-3433-5A28-E2E8-3315376258B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942002" cy="3464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19.8%</a:t>
          </a:r>
        </a:p>
        <a:p xmlns:a="http://schemas.openxmlformats.org/drawingml/2006/main">
          <a:r>
            <a:rPr lang="en-US" sz="1100" i="1" kern="1200" baseline="0">
              <a:solidFill>
                <a:srgbClr val="FF33CC"/>
              </a:solidFill>
            </a:rPr>
            <a:t>(Nếu loại phần tài trợ: 18.4%) 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0.91145</cdr:x>
      <cdr:y>0.00817</cdr:y>
    </cdr:from>
    <cdr:to>
      <cdr:x>0.98697</cdr:x>
      <cdr:y>0.07673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B3FC853-511D-4F9B-214B-A2621CC9C45B}"/>
            </a:ext>
          </a:extLst>
        </cdr:cNvPr>
        <cdr:cNvSpPr txBox="1"/>
      </cdr:nvSpPr>
      <cdr:spPr>
        <a:xfrm xmlns:a="http://schemas.openxmlformats.org/drawingml/2006/main">
          <a:off x="11680825" y="41275"/>
          <a:ext cx="967770" cy="3465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6.8%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24848</xdr:colOff>
      <xdr:row>28</xdr:row>
      <xdr:rowOff>130484</xdr:rowOff>
    </xdr:from>
    <xdr:ext cx="9255755" cy="451713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C092D-684B-4264-8344-208B33E4A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0.89702</cdr:x>
      <cdr:y>0.05623</cdr:y>
    </cdr:from>
    <cdr:to>
      <cdr:x>0.98677</cdr:x>
      <cdr:y>0.19171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EEF96EE-A418-B5B0-B266-E3E4F2AF370F}"/>
            </a:ext>
          </a:extLst>
        </cdr:cNvPr>
        <cdr:cNvSpPr txBox="1"/>
      </cdr:nvSpPr>
      <cdr:spPr>
        <a:xfrm xmlns:a="http://schemas.openxmlformats.org/drawingml/2006/main">
          <a:off x="8302567" y="253990"/>
          <a:ext cx="830704" cy="611981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- 2.7 Tỷ</a:t>
          </a:r>
        </a:p>
        <a:p xmlns:a="http://schemas.openxmlformats.org/drawingml/2006/main">
          <a:pPr algn="ctr"/>
          <a:r>
            <a:rPr lang="en-US" sz="1200" b="0" i="1" kern="120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(~</a:t>
          </a:r>
          <a:r>
            <a:rPr lang="en-US" sz="1200" b="0" i="1" kern="1200" baseline="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 -15.9%)</a:t>
          </a:r>
          <a:endParaRPr lang="en-US" sz="1200" b="0" i="1" kern="1200">
            <a:solidFill>
              <a:srgbClr val="C00000"/>
            </a:solidFill>
            <a:latin typeface="+mn-lt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0.08859</cdr:x>
      <cdr:y>0.44968</cdr:y>
    </cdr:from>
    <cdr:to>
      <cdr:x>0.42595</cdr:x>
      <cdr:y>0.67888</cdr:y>
    </cdr:to>
    <cdr:sp macro="" textlink="">
      <cdr:nvSpPr>
        <cdr:cNvPr id="6" name="Speech Bubble: Rectangle with Corners Rounded 5">
          <a:extLst xmlns:a="http://schemas.openxmlformats.org/drawingml/2006/main">
            <a:ext uri="{FF2B5EF4-FFF2-40B4-BE49-F238E27FC236}">
              <a16:creationId xmlns:a16="http://schemas.microsoft.com/office/drawing/2014/main" id="{0B845C69-639D-91E9-B759-DA25AA6507BF}"/>
            </a:ext>
          </a:extLst>
        </cdr:cNvPr>
        <cdr:cNvSpPr/>
      </cdr:nvSpPr>
      <cdr:spPr>
        <a:xfrm xmlns:a="http://schemas.openxmlformats.org/drawingml/2006/main">
          <a:off x="819977" y="2031277"/>
          <a:ext cx="3122544" cy="1035325"/>
        </a:xfrm>
        <a:prstGeom xmlns:a="http://schemas.openxmlformats.org/drawingml/2006/main" prst="wedgeRoundRectCallout">
          <a:avLst>
            <a:gd name="adj1" fmla="val -30566"/>
            <a:gd name="adj2" fmla="val -112214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chemeClr val="tx1"/>
              </a:solidFill>
            </a:rPr>
            <a:t>- Sản</a:t>
          </a:r>
          <a:r>
            <a:rPr lang="en-US" sz="1000" b="1" baseline="0">
              <a:solidFill>
                <a:schemeClr val="tx1"/>
              </a:solidFill>
            </a:rPr>
            <a:t> phẩm chính không đạt </a:t>
          </a:r>
          <a:r>
            <a:rPr lang="en-US" sz="1000" b="0" baseline="0">
              <a:solidFill>
                <a:schemeClr val="tx1"/>
              </a:solidFill>
            </a:rPr>
            <a:t>(2.78/5.94 ngàn tấn): </a:t>
          </a:r>
          <a:r>
            <a:rPr lang="en-US" sz="1000" b="1" baseline="0">
              <a:solidFill>
                <a:schemeClr val="tx1"/>
              </a:solidFill>
            </a:rPr>
            <a:t>-18.7 tỷ</a:t>
          </a:r>
        </a:p>
        <a:p xmlns:a="http://schemas.openxmlformats.org/drawingml/2006/main">
          <a:pPr algn="l"/>
          <a:r>
            <a:rPr lang="en-US" sz="1000" b="1" baseline="0">
              <a:solidFill>
                <a:schemeClr val="tx1"/>
              </a:solidFill>
            </a:rPr>
            <a:t>- Lãi gộp đơn vị </a:t>
          </a:r>
          <a:r>
            <a:rPr lang="en-US" sz="1000" b="0" baseline="0">
              <a:solidFill>
                <a:schemeClr val="tx1"/>
              </a:solidFill>
            </a:rPr>
            <a:t>giảm: -</a:t>
          </a:r>
          <a:r>
            <a:rPr lang="en-US" sz="1000" b="1" baseline="0">
              <a:solidFill>
                <a:schemeClr val="tx1"/>
              </a:solidFill>
            </a:rPr>
            <a:t>8.6 tỷ</a:t>
          </a:r>
        </a:p>
        <a:p xmlns:a="http://schemas.openxmlformats.org/drawingml/2006/main">
          <a:pPr algn="l"/>
          <a:r>
            <a:rPr lang="en-US" sz="1000" b="1" baseline="0">
              <a:solidFill>
                <a:schemeClr val="tx1"/>
              </a:solidFill>
            </a:rPr>
            <a:t>- Các bút toán điều chỉnh </a:t>
          </a:r>
          <a:r>
            <a:rPr lang="en-US" sz="1000" b="0" baseline="0">
              <a:solidFill>
                <a:schemeClr val="tx1"/>
              </a:solidFill>
            </a:rPr>
            <a:t>(thuê xưởng, thuê máy, lương vào IO): +</a:t>
          </a:r>
          <a:r>
            <a:rPr lang="en-US" sz="1000" b="1" baseline="0">
              <a:solidFill>
                <a:schemeClr val="tx1"/>
              </a:solidFill>
            </a:rPr>
            <a:t>20.8 tỷ</a:t>
          </a:r>
        </a:p>
        <a:p xmlns:a="http://schemas.openxmlformats.org/drawingml/2006/main">
          <a:pPr algn="l"/>
          <a:r>
            <a:rPr lang="en-US" sz="1000" b="1" baseline="0">
              <a:solidFill>
                <a:schemeClr val="tx1"/>
              </a:solidFill>
            </a:rPr>
            <a:t>- Tỷ giá tăng: +3.8 tỷ</a:t>
          </a:r>
        </a:p>
      </cdr:txBody>
    </cdr:sp>
  </cdr:relSizeAnchor>
  <cdr:relSizeAnchor xmlns:cdr="http://schemas.openxmlformats.org/drawingml/2006/chartDrawing">
    <cdr:from>
      <cdr:x>0.43477</cdr:x>
      <cdr:y>0.4233</cdr:y>
    </cdr:from>
    <cdr:to>
      <cdr:x>0.56594</cdr:x>
      <cdr:y>0.48371</cdr:y>
    </cdr:to>
    <cdr:sp macro="" textlink="">
      <cdr:nvSpPr>
        <cdr:cNvPr id="9" name="Speech Bubble: Rectangle with Corners Rounded 8">
          <a:extLst xmlns:a="http://schemas.openxmlformats.org/drawingml/2006/main">
            <a:ext uri="{FF2B5EF4-FFF2-40B4-BE49-F238E27FC236}">
              <a16:creationId xmlns:a16="http://schemas.microsoft.com/office/drawing/2014/main" id="{646A1B80-5B50-C88B-5C0A-CC7D89EA95F2}"/>
            </a:ext>
          </a:extLst>
        </cdr:cNvPr>
        <cdr:cNvSpPr/>
      </cdr:nvSpPr>
      <cdr:spPr>
        <a:xfrm xmlns:a="http://schemas.openxmlformats.org/drawingml/2006/main">
          <a:off x="4024094" y="1912116"/>
          <a:ext cx="1214077" cy="272880"/>
        </a:xfrm>
        <a:prstGeom xmlns:a="http://schemas.openxmlformats.org/drawingml/2006/main" prst="wedgeRoundRectCallout">
          <a:avLst>
            <a:gd name="adj1" fmla="val -27414"/>
            <a:gd name="adj2" fmla="val -81456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Thực tế vay ít hơn</a:t>
          </a:r>
          <a:endParaRPr lang="en-US" sz="1100" b="0" i="1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0.58446</cdr:x>
      <cdr:y>0.34029</cdr:y>
    </cdr:from>
    <cdr:to>
      <cdr:x>0.85569</cdr:x>
      <cdr:y>0.51425</cdr:y>
    </cdr:to>
    <cdr:sp macro="" textlink="">
      <cdr:nvSpPr>
        <cdr:cNvPr id="7" name="Speech Bubble: Rectangle with Corners Rounded 6">
          <a:extLst xmlns:a="http://schemas.openxmlformats.org/drawingml/2006/main">
            <a:ext uri="{FF2B5EF4-FFF2-40B4-BE49-F238E27FC236}">
              <a16:creationId xmlns:a16="http://schemas.microsoft.com/office/drawing/2014/main" id="{3BA0867C-E256-7642-B5C7-320BA63C67C0}"/>
            </a:ext>
          </a:extLst>
        </cdr:cNvPr>
        <cdr:cNvSpPr/>
      </cdr:nvSpPr>
      <cdr:spPr>
        <a:xfrm xmlns:a="http://schemas.openxmlformats.org/drawingml/2006/main">
          <a:off x="5409619" y="1537136"/>
          <a:ext cx="2510438" cy="785801"/>
        </a:xfrm>
        <a:prstGeom xmlns:a="http://schemas.openxmlformats.org/drawingml/2006/main" prst="wedgeRoundRectCallout">
          <a:avLst>
            <a:gd name="adj1" fmla="val 5793"/>
            <a:gd name="adj2" fmla="val -64914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</a:rPr>
            <a:t>- Truy thu/giảm trừ </a:t>
          </a:r>
          <a:r>
            <a:rPr lang="en-US" sz="1100" b="0" baseline="0">
              <a:solidFill>
                <a:sysClr val="windowText" lastClr="000000"/>
              </a:solidFill>
            </a:rPr>
            <a:t>thuế GTGT sau quyết toán 2019-2024: </a:t>
          </a:r>
          <a:r>
            <a:rPr lang="en-US" sz="1100" b="1" baseline="0">
              <a:solidFill>
                <a:sysClr val="windowText" lastClr="000000"/>
              </a:solidFill>
            </a:rPr>
            <a:t>0.54 tỷ</a:t>
          </a:r>
        </a:p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</a:rPr>
            <a:t>- </a:t>
          </a:r>
          <a:r>
            <a:rPr lang="en-US" sz="1100" b="0" baseline="0">
              <a:solidFill>
                <a:sysClr val="windowText" lastClr="000000"/>
              </a:solidFill>
            </a:rPr>
            <a:t>Chi phí ủng hộ tài trợ: </a:t>
          </a:r>
          <a:r>
            <a:rPr lang="en-US" sz="1100" b="1" baseline="0">
              <a:solidFill>
                <a:sysClr val="windowText" lastClr="000000"/>
              </a:solidFill>
            </a:rPr>
            <a:t>0.96 tỷ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0.16453</cdr:x>
      <cdr:y>0.07645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99E6BC0A-FE4B-7BB6-451A-FC19987949A4}"/>
            </a:ext>
          </a:extLst>
        </cdr:cNvPr>
        <cdr:cNvSpPr txBox="1"/>
      </cdr:nvSpPr>
      <cdr:spPr>
        <a:xfrm xmlns:a="http://schemas.openxmlformats.org/drawingml/2006/main">
          <a:off x="0" y="0"/>
          <a:ext cx="1522849" cy="340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</a:t>
          </a:r>
          <a:r>
            <a:rPr lang="en-US" sz="1100" i="1" kern="1200" baseline="0">
              <a:solidFill>
                <a:srgbClr val="FF33CC"/>
              </a:solidFill>
            </a:rPr>
            <a:t> Dthu</a:t>
          </a:r>
          <a:r>
            <a:rPr lang="en-US" sz="1100" i="1" kern="1200">
              <a:solidFill>
                <a:srgbClr val="FF33CC"/>
              </a:solidFill>
            </a:rPr>
            <a:t>:</a:t>
          </a:r>
          <a:r>
            <a:rPr lang="en-US" sz="1100" i="1" kern="1200" baseline="0">
              <a:solidFill>
                <a:srgbClr val="FF33CC"/>
              </a:solidFill>
            </a:rPr>
            <a:t> 8.1%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0.86416</cdr:x>
      <cdr:y>0.00551</cdr:y>
    </cdr:from>
    <cdr:to>
      <cdr:x>1</cdr:x>
      <cdr:y>0.08196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7E7C0045-AFCD-B27B-13EF-968224E99C4B}"/>
            </a:ext>
          </a:extLst>
        </cdr:cNvPr>
        <cdr:cNvSpPr txBox="1"/>
      </cdr:nvSpPr>
      <cdr:spPr>
        <a:xfrm xmlns:a="http://schemas.openxmlformats.org/drawingml/2006/main">
          <a:off x="7998420" y="24889"/>
          <a:ext cx="1257335" cy="3453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 Dthu :</a:t>
          </a:r>
          <a:r>
            <a:rPr lang="en-US" sz="1100" i="1" kern="1200" baseline="0">
              <a:solidFill>
                <a:srgbClr val="FF33CC"/>
              </a:solidFill>
            </a:rPr>
            <a:t> 14.0%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0.20683</cdr:x>
      <cdr:y>0.01879</cdr:y>
    </cdr:from>
    <cdr:to>
      <cdr:x>0.41253</cdr:x>
      <cdr:y>0.18931</cdr:y>
    </cdr:to>
    <cdr:sp macro="" textlink="">
      <cdr:nvSpPr>
        <cdr:cNvPr id="8" name="Speech Bubble: Rectangle with Corners Rounded 7">
          <a:extLst xmlns:a="http://schemas.openxmlformats.org/drawingml/2006/main">
            <a:ext uri="{FF2B5EF4-FFF2-40B4-BE49-F238E27FC236}">
              <a16:creationId xmlns:a16="http://schemas.microsoft.com/office/drawing/2014/main" id="{A5CA18FB-7F4A-2DB1-51E1-AC6C83B5BE18}"/>
            </a:ext>
          </a:extLst>
        </cdr:cNvPr>
        <cdr:cNvSpPr/>
      </cdr:nvSpPr>
      <cdr:spPr>
        <a:xfrm xmlns:a="http://schemas.openxmlformats.org/drawingml/2006/main">
          <a:off x="1914387" y="84864"/>
          <a:ext cx="1903896" cy="770283"/>
        </a:xfrm>
        <a:prstGeom xmlns:a="http://schemas.openxmlformats.org/drawingml/2006/main" prst="wedgeRoundRectCallout">
          <a:avLst>
            <a:gd name="adj1" fmla="val -34048"/>
            <a:gd name="adj2" fmla="val 76234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Ngân sách lập chi phí Tài trợ thương hiệu Duy Tân ở CPQLDN (thực tế điều chỉnh theo kiểm toán thì ở CPBH</a:t>
          </a:r>
          <a:endParaRPr lang="en-US" sz="1100" b="0" i="1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DTR-OWN">
      <a:dk1>
        <a:sysClr val="windowText" lastClr="000000"/>
      </a:dk1>
      <a:lt1>
        <a:sysClr val="window" lastClr="FFFFFF"/>
      </a:lt1>
      <a:dk2>
        <a:srgbClr val="0F4C81"/>
      </a:dk2>
      <a:lt2>
        <a:srgbClr val="727376"/>
      </a:lt2>
      <a:accent1>
        <a:srgbClr val="F87C56"/>
      </a:accent1>
      <a:accent2>
        <a:srgbClr val="119303"/>
      </a:accent2>
      <a:accent3>
        <a:srgbClr val="034194"/>
      </a:accent3>
      <a:accent4>
        <a:srgbClr val="BE3455"/>
      </a:accent4>
      <a:accent5>
        <a:srgbClr val="CCCC00"/>
      </a:accent5>
      <a:accent6>
        <a:srgbClr val="92A8D1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DC92-2B98-47A5-A54E-7D3801748FD8}">
  <sheetPr>
    <tabColor rgb="FF92D050"/>
  </sheetPr>
  <dimension ref="B1:B2"/>
  <sheetViews>
    <sheetView showGridLines="0" zoomScale="190" zoomScaleNormal="190" workbookViewId="0">
      <selection activeCell="D3" sqref="D3"/>
    </sheetView>
  </sheetViews>
  <sheetFormatPr defaultRowHeight="15" x14ac:dyDescent="0.25"/>
  <sheetData>
    <row r="1" spans="2:2" x14ac:dyDescent="0.25">
      <c r="B1" s="94">
        <v>2025</v>
      </c>
    </row>
    <row r="2" spans="2:2" x14ac:dyDescent="0.25">
      <c r="B2" s="9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BBE2-02CD-4EC5-9D7B-FF834FAFA4F6}">
  <sheetPr codeName="Sheet2">
    <tabColor theme="3" tint="0.39997558519241921"/>
  </sheetPr>
  <dimension ref="A4:V110"/>
  <sheetViews>
    <sheetView showGridLines="0" tabSelected="1" zoomScaleNormal="100" workbookViewId="0">
      <pane ySplit="6" topLeftCell="A17" activePane="bottomLeft" state="frozen"/>
      <selection activeCell="I28" sqref="I28"/>
      <selection pane="bottomLeft" activeCell="C103" sqref="C103"/>
    </sheetView>
  </sheetViews>
  <sheetFormatPr defaultRowHeight="15" outlineLevelRow="1" x14ac:dyDescent="0.25"/>
  <cols>
    <col min="1" max="1" width="14" customWidth="1"/>
    <col min="2" max="3" width="19.140625" bestFit="1" customWidth="1"/>
    <col min="4" max="5" width="18.7109375" bestFit="1" customWidth="1"/>
    <col min="6" max="6" width="14.140625" bestFit="1" customWidth="1"/>
    <col min="7" max="7" width="15.28515625" bestFit="1" customWidth="1"/>
    <col min="8" max="8" width="18.7109375" bestFit="1" customWidth="1"/>
    <col min="9" max="9" width="16.28515625" bestFit="1" customWidth="1"/>
    <col min="10" max="10" width="16.85546875" bestFit="1" customWidth="1"/>
    <col min="11" max="11" width="18" bestFit="1" customWidth="1"/>
    <col min="12" max="12" width="17.5703125" customWidth="1"/>
    <col min="13" max="13" width="16.85546875" bestFit="1" customWidth="1"/>
    <col min="14" max="14" width="17.7109375" bestFit="1" customWidth="1"/>
    <col min="15" max="15" width="18.7109375" bestFit="1" customWidth="1"/>
    <col min="16" max="16" width="32.85546875" customWidth="1"/>
    <col min="17" max="17" width="18.42578125" bestFit="1" customWidth="1"/>
    <col min="18" max="18" width="18.7109375" bestFit="1" customWidth="1"/>
    <col min="19" max="19" width="16" bestFit="1" customWidth="1"/>
    <col min="21" max="22" width="16.140625" bestFit="1" customWidth="1"/>
  </cols>
  <sheetData>
    <row r="4" spans="1:22" x14ac:dyDescent="0.25">
      <c r="C4">
        <f>C12/C7</f>
        <v>3.9634091441125098E-2</v>
      </c>
    </row>
    <row r="5" spans="1:22" x14ac:dyDescent="0.25">
      <c r="A5" s="20" t="s">
        <v>49</v>
      </c>
      <c r="K5" s="92" t="s">
        <v>48</v>
      </c>
      <c r="L5" s="91"/>
      <c r="M5" s="91"/>
      <c r="N5" s="91"/>
      <c r="O5" s="91"/>
      <c r="P5" s="91"/>
    </row>
    <row r="6" spans="1:22" x14ac:dyDescent="0.25">
      <c r="A6" s="90"/>
      <c r="B6" s="89" t="s">
        <v>9</v>
      </c>
      <c r="C6" s="89" t="s">
        <v>8</v>
      </c>
      <c r="D6" s="89" t="s">
        <v>47</v>
      </c>
      <c r="F6" t="s">
        <v>46</v>
      </c>
      <c r="G6" t="s">
        <v>45</v>
      </c>
      <c r="H6" t="s">
        <v>44</v>
      </c>
      <c r="I6" t="s">
        <v>43</v>
      </c>
      <c r="K6" s="89" t="s">
        <v>16</v>
      </c>
      <c r="L6" s="89" t="s">
        <v>42</v>
      </c>
      <c r="M6" s="89" t="s">
        <v>14</v>
      </c>
      <c r="N6" s="89" t="s">
        <v>12</v>
      </c>
      <c r="O6" s="89" t="s">
        <v>1</v>
      </c>
      <c r="P6" s="89" t="s">
        <v>111</v>
      </c>
      <c r="U6" t="s">
        <v>41</v>
      </c>
      <c r="V6" t="s">
        <v>40</v>
      </c>
    </row>
    <row r="7" spans="1:22" s="83" customFormat="1" x14ac:dyDescent="0.25">
      <c r="A7" s="83" t="s">
        <v>39</v>
      </c>
      <c r="B7" s="84">
        <f>SUM(B8:B12)</f>
        <v>5940960.0000000009</v>
      </c>
      <c r="C7" s="84">
        <f>SUM(C8:C12)</f>
        <v>2776650</v>
      </c>
      <c r="D7" s="88">
        <f t="shared" ref="D7:D13" si="0">C7-B7</f>
        <v>-3164310.0000000009</v>
      </c>
      <c r="E7" s="87">
        <f>D7/B7</f>
        <v>-0.53262604023592153</v>
      </c>
      <c r="F7" s="86"/>
      <c r="H7" s="84">
        <f>SUM(H8:H12)</f>
        <v>2776650.0000000005</v>
      </c>
      <c r="I7" s="84"/>
    </row>
    <row r="8" spans="1:22" s="80" customFormat="1" outlineLevel="1" x14ac:dyDescent="0.25">
      <c r="A8" s="80" t="s">
        <v>7</v>
      </c>
      <c r="B8" s="82">
        <f>'S7'!P43*10^6</f>
        <v>4674770.0000000009</v>
      </c>
      <c r="C8" s="82">
        <f>'S7'!Q43*10^6</f>
        <v>2255200</v>
      </c>
      <c r="D8" s="81">
        <f t="shared" si="0"/>
        <v>-2419570.0000000009</v>
      </c>
      <c r="E8" s="85">
        <f t="shared" ref="E8:E12" si="1">D8/B8</f>
        <v>-0.5175805440695479</v>
      </c>
      <c r="F8" s="85">
        <f t="shared" ref="F8:G12" si="2">B8/B$7</f>
        <v>0.78687114540410985</v>
      </c>
      <c r="G8" s="85">
        <f t="shared" si="2"/>
        <v>0.81220175391208826</v>
      </c>
      <c r="H8" s="82">
        <f>F8*C$7</f>
        <v>2184865.7658863217</v>
      </c>
      <c r="I8" s="82"/>
      <c r="K8" s="81">
        <f>I14-B20</f>
        <v>-80252415291.50592</v>
      </c>
      <c r="L8" s="81">
        <f>C8*B14-I14</f>
        <v>2266951510.8118896</v>
      </c>
      <c r="M8" s="82">
        <f>D33*C8/10^3*$B$39</f>
        <v>-2868699025.7539845</v>
      </c>
      <c r="N8" s="82">
        <f>IFERROR(C20-C20/C40*B40,0)</f>
        <v>3196716908.5376892</v>
      </c>
      <c r="Q8" s="82">
        <f t="shared" ref="Q8:Q12" si="3">SUM(K8:P8)</f>
        <v>-77657445897.910324</v>
      </c>
      <c r="R8" s="81">
        <f>SUM(K8:L8)</f>
        <v>-77985463780.694031</v>
      </c>
      <c r="S8" s="81">
        <v>-24223451262.483887</v>
      </c>
      <c r="U8" s="33" t="str">
        <f t="shared" ref="U8:V12" si="4">_xlfn.TEXTJOIN(" | ",FALSE,TEXT(B8/10^3,"#,###"),TEXT(F8,"0.0%"))</f>
        <v>4,675 | 78.7%</v>
      </c>
      <c r="V8" s="33" t="str">
        <f t="shared" si="4"/>
        <v>2,255 | 81.2%</v>
      </c>
    </row>
    <row r="9" spans="1:22" s="80" customFormat="1" outlineLevel="1" x14ac:dyDescent="0.25">
      <c r="A9" s="80" t="s">
        <v>6</v>
      </c>
      <c r="B9" s="82">
        <f>'S7'!P44*10^6</f>
        <v>916000</v>
      </c>
      <c r="C9" s="82">
        <f>'S7'!Q44*10^6</f>
        <v>272500</v>
      </c>
      <c r="D9" s="81">
        <f t="shared" si="0"/>
        <v>-643500</v>
      </c>
      <c r="E9" s="85">
        <f t="shared" si="1"/>
        <v>-0.70251091703056767</v>
      </c>
      <c r="F9" s="85">
        <f t="shared" si="2"/>
        <v>0.15418383560905979</v>
      </c>
      <c r="G9" s="85">
        <f t="shared" si="2"/>
        <v>9.8139844776979457E-2</v>
      </c>
      <c r="H9" s="82">
        <f>F9*C$7</f>
        <v>428114.54714389588</v>
      </c>
      <c r="I9" s="82"/>
      <c r="K9" s="81">
        <f>I15-B21</f>
        <v>-16305280969.742264</v>
      </c>
      <c r="L9" s="81">
        <f>C9*B15-I15</f>
        <v>-5200685733.3145027</v>
      </c>
      <c r="M9" s="82">
        <f>D34*C9/10^3*$B$39</f>
        <v>-569172805.84211791</v>
      </c>
      <c r="N9" s="82">
        <f t="shared" ref="N9:N12" si="5">IFERROR(C21-C21/C41*B41,0)</f>
        <v>388404164.89888954</v>
      </c>
      <c r="Q9" s="82">
        <f t="shared" si="3"/>
        <v>-21686735343.999992</v>
      </c>
      <c r="R9" s="81">
        <f>SUM(K9:L9)</f>
        <v>-21505966703.056767</v>
      </c>
      <c r="S9" s="81">
        <v>-16262314794.816412</v>
      </c>
      <c r="U9" s="33" t="str">
        <f t="shared" si="4"/>
        <v>916 | 15.4%</v>
      </c>
      <c r="V9" s="33" t="str">
        <f t="shared" si="4"/>
        <v>273 | 9.8%</v>
      </c>
    </row>
    <row r="10" spans="1:22" s="80" customFormat="1" outlineLevel="1" x14ac:dyDescent="0.25">
      <c r="A10" s="80" t="s">
        <v>5</v>
      </c>
      <c r="B10" s="82">
        <f>'S7'!P45*10^6</f>
        <v>162750</v>
      </c>
      <c r="C10" s="82">
        <f>'S7'!Q45*10^6</f>
        <v>115150</v>
      </c>
      <c r="D10" s="81">
        <f t="shared" si="0"/>
        <v>-47600</v>
      </c>
      <c r="E10" s="85">
        <f t="shared" si="1"/>
        <v>-0.2924731182795699</v>
      </c>
      <c r="F10" s="85">
        <f t="shared" si="2"/>
        <v>2.7394562494950307E-2</v>
      </c>
      <c r="G10" s="85">
        <f t="shared" si="2"/>
        <v>4.1470837159886913E-2</v>
      </c>
      <c r="H10" s="82">
        <f>F10*C$7</f>
        <v>76065.111951603772</v>
      </c>
      <c r="I10" s="82"/>
      <c r="K10" s="81">
        <f>I16-B22</f>
        <v>-1793118853.5817442</v>
      </c>
      <c r="L10" s="81">
        <f>C10*B16-I16</f>
        <v>808489821.32367992</v>
      </c>
      <c r="M10" s="82">
        <f>D35*C10/10^3*$B$39</f>
        <v>-396797673.08420205</v>
      </c>
      <c r="N10" s="82">
        <f t="shared" si="5"/>
        <v>90307754.658040285</v>
      </c>
      <c r="Q10" s="82">
        <f t="shared" si="3"/>
        <v>-1291118950.684226</v>
      </c>
      <c r="R10" s="81">
        <f>SUM(K10:L10)</f>
        <v>-984629032.25806427</v>
      </c>
      <c r="S10" s="81">
        <v>-1630400124.7731397</v>
      </c>
      <c r="U10" s="33" t="str">
        <f t="shared" si="4"/>
        <v>163 | 2.7%</v>
      </c>
      <c r="V10" s="33" t="str">
        <f t="shared" si="4"/>
        <v>115 | 4.1%</v>
      </c>
    </row>
    <row r="11" spans="1:22" s="80" customFormat="1" outlineLevel="1" x14ac:dyDescent="0.25">
      <c r="A11" s="80" t="s">
        <v>4</v>
      </c>
      <c r="B11" s="82">
        <f>'S7'!P46*10^6</f>
        <v>87440</v>
      </c>
      <c r="C11" s="82">
        <f>'S7'!Q46*10^6</f>
        <v>23750</v>
      </c>
      <c r="D11" s="81">
        <f t="shared" si="0"/>
        <v>-63690</v>
      </c>
      <c r="E11" s="85">
        <f t="shared" si="1"/>
        <v>-0.72838517840805128</v>
      </c>
      <c r="F11" s="85">
        <f t="shared" si="2"/>
        <v>1.4718160028008938E-2</v>
      </c>
      <c r="G11" s="85">
        <f t="shared" si="2"/>
        <v>8.553472709920228E-3</v>
      </c>
      <c r="H11" s="82">
        <f>F11*C$7</f>
        <v>40867.179041771022</v>
      </c>
      <c r="I11" s="82"/>
      <c r="K11" s="81">
        <f>I17-B23</f>
        <v>-1039486295.7754302</v>
      </c>
      <c r="L11" s="81">
        <f>C11*B17-I17</f>
        <v>-382048428.0351826</v>
      </c>
      <c r="M11" s="82">
        <f>D36*C11/10^3*$B$39</f>
        <v>-77692395.762454882</v>
      </c>
      <c r="N11" s="82">
        <f t="shared" si="5"/>
        <v>20580474.596931338</v>
      </c>
      <c r="Q11" s="82">
        <f t="shared" si="3"/>
        <v>-1478646644.9761362</v>
      </c>
      <c r="R11" s="81">
        <f>SUM(K11:L11)</f>
        <v>-1421534723.8106127</v>
      </c>
      <c r="S11" s="81">
        <v>-1121680143.4345424</v>
      </c>
      <c r="U11" s="33" t="str">
        <f t="shared" si="4"/>
        <v>87 | 1.5%</v>
      </c>
      <c r="V11" s="33" t="str">
        <f t="shared" si="4"/>
        <v>24 | 0.9%</v>
      </c>
    </row>
    <row r="12" spans="1:22" s="80" customFormat="1" outlineLevel="1" x14ac:dyDescent="0.25">
      <c r="A12" s="80" t="s">
        <v>3</v>
      </c>
      <c r="B12" s="82">
        <f>'S7'!P47*10^6</f>
        <v>100000</v>
      </c>
      <c r="C12" s="82">
        <f>'S7'!Q47*10^6</f>
        <v>110050</v>
      </c>
      <c r="D12" s="81">
        <f t="shared" si="0"/>
        <v>10050</v>
      </c>
      <c r="E12" s="85">
        <f t="shared" si="1"/>
        <v>0.10050000000000001</v>
      </c>
      <c r="F12" s="85">
        <f t="shared" si="2"/>
        <v>1.6832296463871157E-2</v>
      </c>
      <c r="G12" s="85">
        <f t="shared" si="2"/>
        <v>3.9634091441125098E-2</v>
      </c>
      <c r="H12" s="82">
        <f>F12*C$7</f>
        <v>46737.395976407846</v>
      </c>
      <c r="I12" s="82"/>
      <c r="K12" s="81">
        <f>I18-B24</f>
        <v>-1464721610.6487839</v>
      </c>
      <c r="L12" s="81">
        <f>C12*B18-I18</f>
        <v>1741096610.6487839</v>
      </c>
      <c r="M12" s="82">
        <f>D37*C12/10^3*$B$39</f>
        <v>-1087146336.4192657</v>
      </c>
      <c r="N12" s="82">
        <f t="shared" si="5"/>
        <v>88219348.443455696</v>
      </c>
      <c r="Q12" s="82">
        <f t="shared" si="3"/>
        <v>-722551987.97581005</v>
      </c>
      <c r="R12" s="81">
        <f>SUM(K12:L12)</f>
        <v>276375000</v>
      </c>
      <c r="S12" s="81">
        <v>12864499999.999998</v>
      </c>
      <c r="U12" s="33" t="str">
        <f t="shared" si="4"/>
        <v>100 | 1.7%</v>
      </c>
      <c r="V12" s="33" t="str">
        <f t="shared" si="4"/>
        <v>110 | 4.0%</v>
      </c>
    </row>
    <row r="13" spans="1:22" s="83" customFormat="1" x14ac:dyDescent="0.25">
      <c r="A13" s="83" t="s">
        <v>38</v>
      </c>
      <c r="B13" s="84">
        <v>30553.284880668703</v>
      </c>
      <c r="C13" s="84">
        <v>28801.443116591079</v>
      </c>
      <c r="D13" s="84">
        <f t="shared" si="0"/>
        <v>-1751.8417640776242</v>
      </c>
      <c r="I13" s="84">
        <f>SUM(I14:I18)</f>
        <v>88499261978.74585</v>
      </c>
    </row>
    <row r="14" spans="1:22" s="80" customFormat="1" outlineLevel="1" x14ac:dyDescent="0.25">
      <c r="A14" s="80" t="s">
        <v>7</v>
      </c>
      <c r="B14" s="190">
        <f>B33*B40/10^3</f>
        <v>32231.125274612437</v>
      </c>
      <c r="C14" s="190">
        <f t="shared" ref="C14:C18" si="6">C33*C40/10^3</f>
        <v>32376.574850163917</v>
      </c>
      <c r="D14" s="81"/>
      <c r="I14" s="82">
        <f>H8*B14</f>
        <v>70420682208.49408</v>
      </c>
      <c r="K14" s="81"/>
    </row>
    <row r="15" spans="1:22" s="80" customFormat="1" outlineLevel="1" x14ac:dyDescent="0.25">
      <c r="A15" s="80" t="s">
        <v>6</v>
      </c>
      <c r="B15" s="190">
        <f t="shared" ref="B15" si="7">B34*B41/10^3</f>
        <v>33420.305676855889</v>
      </c>
      <c r="C15" s="190">
        <f t="shared" si="6"/>
        <v>32756.9345174312</v>
      </c>
      <c r="D15" s="81"/>
      <c r="I15" s="82">
        <f>H9*B15</f>
        <v>14307719030.257732</v>
      </c>
      <c r="K15" s="81"/>
    </row>
    <row r="16" spans="1:22" s="80" customFormat="1" outlineLevel="1" x14ac:dyDescent="0.25">
      <c r="A16" s="80" t="s">
        <v>5</v>
      </c>
      <c r="B16" s="190">
        <f t="shared" ref="B16" si="8">B35*B42/10^3</f>
        <v>20685.483870967739</v>
      </c>
      <c r="C16" s="190">
        <f t="shared" si="6"/>
        <v>18023.825873345839</v>
      </c>
      <c r="D16" s="81"/>
      <c r="I16" s="82">
        <f>H10*B16</f>
        <v>1573443646.4182553</v>
      </c>
      <c r="K16" s="81"/>
    </row>
    <row r="17" spans="1:17" s="80" customFormat="1" outlineLevel="1" x14ac:dyDescent="0.25">
      <c r="A17" s="80" t="s">
        <v>4</v>
      </c>
      <c r="B17" s="190">
        <f t="shared" ref="B17" si="9">B36*B43/10^3</f>
        <v>22319.59057639524</v>
      </c>
      <c r="C17" s="190">
        <f t="shared" si="6"/>
        <v>19914.878106267934</v>
      </c>
      <c r="D17" s="81"/>
      <c r="I17" s="82">
        <f>H11*B17</f>
        <v>912138704.22456956</v>
      </c>
      <c r="K17" s="81"/>
    </row>
    <row r="18" spans="1:17" s="80" customFormat="1" outlineLevel="1" x14ac:dyDescent="0.25">
      <c r="A18" s="80" t="s">
        <v>3</v>
      </c>
      <c r="B18" s="190">
        <f t="shared" ref="B18" si="10">B37*B44/10^3</f>
        <v>27499.999999999996</v>
      </c>
      <c r="C18" s="190">
        <f t="shared" si="6"/>
        <v>18422.971485908129</v>
      </c>
      <c r="D18" s="81"/>
      <c r="I18" s="82">
        <f>H12*B18</f>
        <v>1285278389.3512156</v>
      </c>
      <c r="K18" s="81"/>
    </row>
    <row r="19" spans="1:17" x14ac:dyDescent="0.25">
      <c r="A19" s="50" t="s">
        <v>37</v>
      </c>
      <c r="B19" s="191">
        <f>SUM(B20:B24)</f>
        <v>189354285000</v>
      </c>
      <c r="C19" s="191">
        <f>SUM(C20:C24)</f>
        <v>86517786174.453491</v>
      </c>
      <c r="D19" s="1">
        <f>C19-B19</f>
        <v>-102836498825.54651</v>
      </c>
    </row>
    <row r="20" spans="1:17" s="79" customFormat="1" x14ac:dyDescent="0.25">
      <c r="A20" s="79" t="s">
        <v>7</v>
      </c>
      <c r="B20" s="192">
        <f t="shared" ref="B20:C24" si="11">B8*B14</f>
        <v>150673097500</v>
      </c>
      <c r="C20" s="192">
        <f t="shared" si="11"/>
        <v>73015651602.089661</v>
      </c>
      <c r="E20" s="218">
        <f>C20-B20</f>
        <v>-77657445897.910339</v>
      </c>
      <c r="F20" s="219">
        <f>E20/B20</f>
        <v>-0.51540352714863602</v>
      </c>
    </row>
    <row r="21" spans="1:17" s="79" customFormat="1" x14ac:dyDescent="0.25">
      <c r="A21" s="79" t="s">
        <v>6</v>
      </c>
      <c r="B21" s="192">
        <f t="shared" si="11"/>
        <v>30612999999.999996</v>
      </c>
      <c r="C21" s="192">
        <f t="shared" si="11"/>
        <v>8926264656.0000019</v>
      </c>
      <c r="E21" s="218">
        <f t="shared" ref="E21:E24" si="12">C21-B21</f>
        <v>-21686735343.999992</v>
      </c>
      <c r="F21" s="219">
        <f t="shared" ref="F21:F24" si="13">E21/B21</f>
        <v>-0.70841588031228542</v>
      </c>
    </row>
    <row r="22" spans="1:17" s="79" customFormat="1" x14ac:dyDescent="0.25">
      <c r="A22" s="79" t="s">
        <v>5</v>
      </c>
      <c r="B22" s="192">
        <f t="shared" si="11"/>
        <v>3366562499.9999995</v>
      </c>
      <c r="C22" s="192">
        <f t="shared" si="11"/>
        <v>2075443549.3157732</v>
      </c>
      <c r="E22" s="218">
        <f t="shared" si="12"/>
        <v>-1291118950.6842263</v>
      </c>
      <c r="F22" s="219">
        <f t="shared" si="13"/>
        <v>-0.38351254452701428</v>
      </c>
    </row>
    <row r="23" spans="1:17" s="79" customFormat="1" x14ac:dyDescent="0.25">
      <c r="A23" s="79" t="s">
        <v>4</v>
      </c>
      <c r="B23" s="192">
        <f t="shared" si="11"/>
        <v>1951624999.9999998</v>
      </c>
      <c r="C23" s="192">
        <f t="shared" si="11"/>
        <v>472978355.02386343</v>
      </c>
      <c r="E23" s="218">
        <f t="shared" si="12"/>
        <v>-1478646644.9761362</v>
      </c>
      <c r="F23" s="219">
        <f t="shared" si="13"/>
        <v>-0.75764895662647092</v>
      </c>
    </row>
    <row r="24" spans="1:17" s="79" customFormat="1" x14ac:dyDescent="0.25">
      <c r="A24" s="79" t="s">
        <v>3</v>
      </c>
      <c r="B24" s="192">
        <f t="shared" si="11"/>
        <v>2749999999.9999995</v>
      </c>
      <c r="C24" s="192">
        <f t="shared" si="11"/>
        <v>2027448012.0241895</v>
      </c>
      <c r="E24" s="218">
        <f t="shared" si="12"/>
        <v>-722551987.97581005</v>
      </c>
      <c r="F24" s="219">
        <f t="shared" si="13"/>
        <v>-0.26274617744574913</v>
      </c>
    </row>
    <row r="25" spans="1:17" s="50" customFormat="1" x14ac:dyDescent="0.25">
      <c r="A25" s="50" t="s">
        <v>36</v>
      </c>
      <c r="B25" s="235">
        <v>3271999000</v>
      </c>
      <c r="C25" s="235">
        <v>8295287500</v>
      </c>
      <c r="D25" s="76">
        <f>C25-B25</f>
        <v>5023288500</v>
      </c>
      <c r="O25" s="75">
        <f>D25</f>
        <v>5023288500</v>
      </c>
      <c r="P25" s="75"/>
      <c r="Q25" s="76">
        <f t="shared" ref="Q25:Q27" si="14">SUM(K25:P25)</f>
        <v>5023288500</v>
      </c>
    </row>
    <row r="26" spans="1:17" s="50" customFormat="1" x14ac:dyDescent="0.25">
      <c r="A26" s="50" t="s">
        <v>35</v>
      </c>
      <c r="B26" s="236">
        <v>2640000000</v>
      </c>
      <c r="C26" s="235">
        <v>3597738429.5950651</v>
      </c>
      <c r="D26" s="76">
        <f>C26-B26</f>
        <v>957738429.59506512</v>
      </c>
      <c r="O26" s="75">
        <f>D26</f>
        <v>957738429.59506512</v>
      </c>
      <c r="P26" s="75"/>
      <c r="Q26" s="76">
        <f t="shared" si="14"/>
        <v>957738429.59506512</v>
      </c>
    </row>
    <row r="27" spans="1:17" s="50" customFormat="1" x14ac:dyDescent="0.25">
      <c r="A27" s="50" t="s">
        <v>1</v>
      </c>
      <c r="B27" s="159"/>
      <c r="C27" s="235">
        <v>631745036.02862549</v>
      </c>
      <c r="D27" s="76">
        <f>C27-B27</f>
        <v>631745036.02862549</v>
      </c>
      <c r="O27" s="75">
        <f>D27</f>
        <v>631745036.02862549</v>
      </c>
      <c r="P27" s="75"/>
      <c r="Q27" s="76">
        <f t="shared" si="14"/>
        <v>631745036.02862549</v>
      </c>
    </row>
    <row r="28" spans="1:17" s="50" customFormat="1" x14ac:dyDescent="0.25">
      <c r="A28" s="50" t="s">
        <v>111</v>
      </c>
      <c r="B28" s="76">
        <f>'S7'!C20</f>
        <v>12595919900</v>
      </c>
      <c r="C28" s="191">
        <f>'S7'!G20</f>
        <v>2392525440.922821</v>
      </c>
      <c r="D28" s="76">
        <f>C28-B28</f>
        <v>-10203394459.077179</v>
      </c>
      <c r="O28" s="75"/>
      <c r="P28" s="75">
        <f>D28</f>
        <v>-10203394459.077179</v>
      </c>
      <c r="Q28" s="76"/>
    </row>
    <row r="29" spans="1:17" x14ac:dyDescent="0.25">
      <c r="A29" s="78" t="s">
        <v>113</v>
      </c>
      <c r="B29" s="77">
        <f>B19+B25+B26+B27+B28</f>
        <v>207862203900</v>
      </c>
      <c r="C29" s="77">
        <f>C19+C25+C26+C27+C28</f>
        <v>101435082581</v>
      </c>
      <c r="D29" s="76">
        <f>C29-B29</f>
        <v>-106427121319</v>
      </c>
      <c r="E29" s="1"/>
      <c r="K29" s="23">
        <f>SUM(K7:K28)</f>
        <v>-100855023021.25415</v>
      </c>
      <c r="L29" s="23">
        <f t="shared" ref="L29:P29" si="15">SUM(L7:L28)</f>
        <v>-766196218.5653317</v>
      </c>
      <c r="M29" s="23">
        <f t="shared" si="15"/>
        <v>-4999508236.8620253</v>
      </c>
      <c r="N29" s="23">
        <f t="shared" si="15"/>
        <v>3784228651.135006</v>
      </c>
      <c r="O29" s="23">
        <f t="shared" si="15"/>
        <v>6612771965.6236906</v>
      </c>
      <c r="P29" s="23">
        <f t="shared" si="15"/>
        <v>-10203394459.077179</v>
      </c>
      <c r="Q29" s="75">
        <f>SUM(K29:P29)</f>
        <v>-106427121319</v>
      </c>
    </row>
    <row r="30" spans="1:17" x14ac:dyDescent="0.25">
      <c r="A30" s="130" t="s">
        <v>88</v>
      </c>
      <c r="B30" s="74">
        <f>B29-'S7'!C3</f>
        <v>0</v>
      </c>
      <c r="C30" s="74">
        <f>C29-'S7'!G17</f>
        <v>0</v>
      </c>
      <c r="D30" s="13">
        <f>D29/B29</f>
        <v>-0.51200804822699175</v>
      </c>
      <c r="P30" s="21" t="s">
        <v>11</v>
      </c>
      <c r="Q30" s="74">
        <f>Q29-D29</f>
        <v>0</v>
      </c>
    </row>
    <row r="32" spans="1:17" x14ac:dyDescent="0.25">
      <c r="A32" s="73" t="s">
        <v>34</v>
      </c>
      <c r="B32" s="72" t="s">
        <v>9</v>
      </c>
      <c r="C32" s="72" t="s">
        <v>8</v>
      </c>
      <c r="D32" s="71"/>
    </row>
    <row r="33" spans="1:17" x14ac:dyDescent="0.25">
      <c r="A33" s="70" t="s">
        <v>7</v>
      </c>
      <c r="B33" s="69">
        <v>1289.2450109844976</v>
      </c>
      <c r="C33" s="69">
        <v>1238.3635099956011</v>
      </c>
      <c r="D33" s="69">
        <f>C33-B33</f>
        <v>-50.881500988896505</v>
      </c>
      <c r="E33" s="95">
        <f>IFERROR(D33/B33,0)</f>
        <v>-3.9466122075618663E-2</v>
      </c>
      <c r="L33" s="18"/>
      <c r="Q33" s="1">
        <v>-52808442002</v>
      </c>
    </row>
    <row r="34" spans="1:17" x14ac:dyDescent="0.25">
      <c r="A34" s="70" t="s">
        <v>6</v>
      </c>
      <c r="B34" s="69">
        <v>1336.8122270742358</v>
      </c>
      <c r="C34" s="69">
        <v>1253.263925299246</v>
      </c>
      <c r="D34" s="69">
        <f>C34-B34</f>
        <v>-83.548301774989795</v>
      </c>
      <c r="E34" s="95">
        <f t="shared" ref="E34:E39" si="16">IFERROR(D34/B34,0)</f>
        <v>-6.2498157993246865E-2</v>
      </c>
      <c r="Q34" s="18">
        <f>Q33-Q29</f>
        <v>53618679317</v>
      </c>
    </row>
    <row r="35" spans="1:17" x14ac:dyDescent="0.25">
      <c r="A35" s="70" t="s">
        <v>5</v>
      </c>
      <c r="B35" s="69">
        <v>827.41935483870964</v>
      </c>
      <c r="C35" s="69">
        <v>689.58256002005498</v>
      </c>
      <c r="D35" s="69">
        <f>C35-B35</f>
        <v>-137.83679481865465</v>
      </c>
      <c r="E35" s="95">
        <f t="shared" si="16"/>
        <v>-0.16658637970285747</v>
      </c>
      <c r="O35" s="18"/>
      <c r="P35" s="18"/>
    </row>
    <row r="36" spans="1:17" x14ac:dyDescent="0.25">
      <c r="A36" s="70" t="s">
        <v>4</v>
      </c>
      <c r="B36" s="69">
        <v>892.7836230558097</v>
      </c>
      <c r="C36" s="69">
        <v>761.93327229799092</v>
      </c>
      <c r="D36" s="69">
        <f>C36-B36</f>
        <v>-130.85035075781877</v>
      </c>
      <c r="E36" s="95">
        <f t="shared" si="16"/>
        <v>-0.14656446128564241</v>
      </c>
      <c r="O36" s="1"/>
      <c r="P36" s="1"/>
    </row>
    <row r="37" spans="1:17" x14ac:dyDescent="0.25">
      <c r="A37" s="70" t="s">
        <v>3</v>
      </c>
      <c r="B37" s="69">
        <v>1100</v>
      </c>
      <c r="C37" s="69">
        <v>704.85367145142538</v>
      </c>
      <c r="D37" s="69">
        <f>C37-B37</f>
        <v>-395.14632854857462</v>
      </c>
      <c r="E37" s="95">
        <f t="shared" si="16"/>
        <v>-0.35922393504415873</v>
      </c>
    </row>
    <row r="39" spans="1:17" x14ac:dyDescent="0.25">
      <c r="A39" s="68" t="s">
        <v>33</v>
      </c>
      <c r="B39" s="67">
        <v>24999.999999999996</v>
      </c>
      <c r="C39" s="67">
        <v>26142.714599566774</v>
      </c>
      <c r="D39" s="189">
        <f>C39-B39</f>
        <v>1142.7145995667779</v>
      </c>
      <c r="E39" s="6">
        <f t="shared" si="16"/>
        <v>4.5708583982671122E-2</v>
      </c>
      <c r="N39" s="18"/>
      <c r="O39" s="18"/>
      <c r="P39" s="18"/>
      <c r="Q39" s="66"/>
    </row>
    <row r="40" spans="1:17" x14ac:dyDescent="0.25">
      <c r="A40" s="65" t="s">
        <v>7</v>
      </c>
      <c r="B40" s="44">
        <v>24999.999999999996</v>
      </c>
      <c r="C40" s="44">
        <v>26144.645404061466</v>
      </c>
      <c r="D40" s="65"/>
    </row>
    <row r="41" spans="1:17" x14ac:dyDescent="0.25">
      <c r="A41" s="65" t="s">
        <v>6</v>
      </c>
      <c r="B41" s="44">
        <v>24999.999999999996</v>
      </c>
      <c r="C41" s="44">
        <v>26137.299459576894</v>
      </c>
      <c r="D41" s="65"/>
    </row>
    <row r="42" spans="1:17" x14ac:dyDescent="0.25">
      <c r="A42" s="65" t="s">
        <v>5</v>
      </c>
      <c r="B42" s="44">
        <v>24999.999999999996</v>
      </c>
      <c r="C42" s="44">
        <v>26137.299459576898</v>
      </c>
      <c r="D42" s="65"/>
    </row>
    <row r="43" spans="1:17" x14ac:dyDescent="0.25">
      <c r="A43" s="65" t="s">
        <v>4</v>
      </c>
      <c r="B43" s="44">
        <v>24999.999999999996</v>
      </c>
      <c r="C43" s="44">
        <v>26137.299459576894</v>
      </c>
      <c r="D43" s="65"/>
    </row>
    <row r="44" spans="1:17" x14ac:dyDescent="0.25">
      <c r="A44" s="65" t="s">
        <v>3</v>
      </c>
      <c r="B44" s="44">
        <v>24999.999999999996</v>
      </c>
      <c r="C44" s="44">
        <v>26137.299459576891</v>
      </c>
      <c r="D44" s="65"/>
    </row>
    <row r="45" spans="1:17" x14ac:dyDescent="0.25">
      <c r="C45" s="18"/>
    </row>
    <row r="47" spans="1:17" hidden="1" outlineLevel="1" x14ac:dyDescent="0.25">
      <c r="A47" s="49" t="s">
        <v>32</v>
      </c>
      <c r="B47" s="33"/>
      <c r="C47" s="33"/>
      <c r="D47" s="33"/>
      <c r="E47" s="33"/>
      <c r="F47" s="33"/>
      <c r="G47" s="33"/>
    </row>
    <row r="48" spans="1:17" hidden="1" outlineLevel="1" x14ac:dyDescent="0.25">
      <c r="A48" s="49"/>
      <c r="B48" s="49"/>
      <c r="C48" s="49" t="s">
        <v>28</v>
      </c>
      <c r="D48" s="49" t="s">
        <v>27</v>
      </c>
      <c r="E48" s="49" t="s">
        <v>26</v>
      </c>
      <c r="F48" s="49" t="s">
        <v>25</v>
      </c>
      <c r="G48" s="49" t="s">
        <v>24</v>
      </c>
    </row>
    <row r="49" spans="1:8" hidden="1" outlineLevel="1" x14ac:dyDescent="0.25">
      <c r="A49" s="49" t="str">
        <f>'S7'!$A$3</f>
        <v>KH T12</v>
      </c>
      <c r="B49" s="49"/>
      <c r="C49" s="51">
        <f>B29</f>
        <v>207862203900</v>
      </c>
      <c r="D49" s="51"/>
      <c r="E49" s="53"/>
      <c r="F49" s="52"/>
      <c r="G49" s="51"/>
    </row>
    <row r="50" spans="1:8" hidden="1" outlineLevel="1" x14ac:dyDescent="0.25">
      <c r="A50" s="33" t="s">
        <v>7</v>
      </c>
      <c r="B50" s="33" t="s">
        <v>16</v>
      </c>
      <c r="C50" s="32"/>
      <c r="D50" s="32">
        <f>C49-F50</f>
        <v>127609788608.49408</v>
      </c>
      <c r="E50" s="31">
        <f t="shared" ref="E50:E66" si="17">IF(H50&gt;0,H50,0)</f>
        <v>0</v>
      </c>
      <c r="F50" s="30">
        <f t="shared" ref="F50:F66" si="18">IF(H50&lt;0,-H50,0)</f>
        <v>80252415291.50592</v>
      </c>
      <c r="G50" s="32"/>
      <c r="H50" s="63" cm="1">
        <f t="array" ref="H50:H52">TRANSPOSE(K8:M8)</f>
        <v>-80252415291.50592</v>
      </c>
    </row>
    <row r="51" spans="1:8" hidden="1" outlineLevel="1" x14ac:dyDescent="0.25">
      <c r="A51" s="33"/>
      <c r="B51" s="33" t="s">
        <v>31</v>
      </c>
      <c r="C51" s="32"/>
      <c r="D51" s="32">
        <f t="shared" ref="D51:D67" si="19">D50+E50-F51</f>
        <v>127609788608.49408</v>
      </c>
      <c r="E51" s="31">
        <f t="shared" si="17"/>
        <v>2266951510.8118896</v>
      </c>
      <c r="F51" s="30">
        <f t="shared" si="18"/>
        <v>0</v>
      </c>
      <c r="G51" s="32"/>
      <c r="H51" s="63">
        <v>2266951510.8118896</v>
      </c>
    </row>
    <row r="52" spans="1:8" hidden="1" outlineLevel="1" x14ac:dyDescent="0.25">
      <c r="A52" s="33"/>
      <c r="B52" s="33" t="s">
        <v>14</v>
      </c>
      <c r="C52" s="32"/>
      <c r="D52" s="32">
        <f t="shared" si="19"/>
        <v>127008041093.55199</v>
      </c>
      <c r="E52" s="31">
        <f t="shared" si="17"/>
        <v>0</v>
      </c>
      <c r="F52" s="30">
        <f t="shared" si="18"/>
        <v>2868699025.7539845</v>
      </c>
      <c r="G52" s="32"/>
      <c r="H52" s="63">
        <v>-2868699025.7539845</v>
      </c>
    </row>
    <row r="53" spans="1:8" hidden="1" outlineLevel="1" x14ac:dyDescent="0.25">
      <c r="A53" s="33" t="s">
        <v>6</v>
      </c>
      <c r="B53" s="33" t="s">
        <v>16</v>
      </c>
      <c r="C53" s="32"/>
      <c r="D53" s="32">
        <f t="shared" si="19"/>
        <v>110702760123.80972</v>
      </c>
      <c r="E53" s="31">
        <f t="shared" si="17"/>
        <v>0</v>
      </c>
      <c r="F53" s="30">
        <f t="shared" si="18"/>
        <v>16305280969.742264</v>
      </c>
      <c r="G53" s="32"/>
      <c r="H53" s="63" cm="1">
        <f t="array" ref="H53:H55">TRANSPOSE(K9:M9)</f>
        <v>-16305280969.742264</v>
      </c>
    </row>
    <row r="54" spans="1:8" hidden="1" outlineLevel="1" x14ac:dyDescent="0.25">
      <c r="A54" s="33"/>
      <c r="B54" s="33" t="s">
        <v>31</v>
      </c>
      <c r="C54" s="32"/>
      <c r="D54" s="32">
        <f t="shared" si="19"/>
        <v>105502074390.49522</v>
      </c>
      <c r="E54" s="31">
        <f t="shared" si="17"/>
        <v>0</v>
      </c>
      <c r="F54" s="30">
        <f t="shared" si="18"/>
        <v>5200685733.3145027</v>
      </c>
      <c r="G54" s="32"/>
      <c r="H54" s="63">
        <v>-5200685733.3145027</v>
      </c>
    </row>
    <row r="55" spans="1:8" hidden="1" outlineLevel="1" x14ac:dyDescent="0.25">
      <c r="A55" s="33"/>
      <c r="B55" s="33" t="s">
        <v>14</v>
      </c>
      <c r="C55" s="32"/>
      <c r="D55" s="32">
        <f t="shared" si="19"/>
        <v>104932901584.65311</v>
      </c>
      <c r="E55" s="31">
        <f t="shared" si="17"/>
        <v>0</v>
      </c>
      <c r="F55" s="30">
        <f t="shared" si="18"/>
        <v>569172805.84211791</v>
      </c>
      <c r="G55" s="32"/>
      <c r="H55" s="63">
        <v>-569172805.84211791</v>
      </c>
    </row>
    <row r="56" spans="1:8" hidden="1" outlineLevel="1" x14ac:dyDescent="0.25">
      <c r="A56" s="33" t="s">
        <v>5</v>
      </c>
      <c r="B56" s="33" t="s">
        <v>16</v>
      </c>
      <c r="C56" s="32"/>
      <c r="D56" s="32">
        <f t="shared" si="19"/>
        <v>103139782731.07137</v>
      </c>
      <c r="E56" s="31">
        <f t="shared" si="17"/>
        <v>0</v>
      </c>
      <c r="F56" s="30">
        <f t="shared" si="18"/>
        <v>1793118853.5817442</v>
      </c>
      <c r="G56" s="32"/>
      <c r="H56" s="63" cm="1">
        <f t="array" ref="H56:H58">TRANSPOSE(K10:M10)</f>
        <v>-1793118853.5817442</v>
      </c>
    </row>
    <row r="57" spans="1:8" hidden="1" outlineLevel="1" x14ac:dyDescent="0.25">
      <c r="A57" s="33"/>
      <c r="B57" s="33" t="s">
        <v>31</v>
      </c>
      <c r="C57" s="32"/>
      <c r="D57" s="32">
        <f t="shared" si="19"/>
        <v>103139782731.07137</v>
      </c>
      <c r="E57" s="31">
        <f t="shared" si="17"/>
        <v>808489821.32367992</v>
      </c>
      <c r="F57" s="30">
        <f t="shared" si="18"/>
        <v>0</v>
      </c>
      <c r="G57" s="32"/>
      <c r="H57" s="63">
        <v>808489821.32367992</v>
      </c>
    </row>
    <row r="58" spans="1:8" hidden="1" outlineLevel="1" x14ac:dyDescent="0.25">
      <c r="A58" s="33"/>
      <c r="B58" s="33" t="s">
        <v>14</v>
      </c>
      <c r="C58" s="32"/>
      <c r="D58" s="32">
        <f t="shared" si="19"/>
        <v>103551474879.31085</v>
      </c>
      <c r="E58" s="31">
        <f t="shared" si="17"/>
        <v>0</v>
      </c>
      <c r="F58" s="30">
        <f t="shared" si="18"/>
        <v>396797673.08420205</v>
      </c>
      <c r="G58" s="32"/>
      <c r="H58" s="63">
        <v>-396797673.08420205</v>
      </c>
    </row>
    <row r="59" spans="1:8" hidden="1" outlineLevel="1" x14ac:dyDescent="0.25">
      <c r="A59" s="33" t="s">
        <v>4</v>
      </c>
      <c r="B59" s="33" t="s">
        <v>16</v>
      </c>
      <c r="C59" s="32"/>
      <c r="D59" s="32">
        <f t="shared" si="19"/>
        <v>102511988583.53542</v>
      </c>
      <c r="E59" s="31">
        <f t="shared" si="17"/>
        <v>0</v>
      </c>
      <c r="F59" s="30">
        <f t="shared" si="18"/>
        <v>1039486295.7754302</v>
      </c>
      <c r="G59" s="32"/>
      <c r="H59" s="63" cm="1">
        <f t="array" ref="H59:H61">TRANSPOSE(K11:M11)</f>
        <v>-1039486295.7754302</v>
      </c>
    </row>
    <row r="60" spans="1:8" hidden="1" outlineLevel="1" x14ac:dyDescent="0.25">
      <c r="A60" s="33"/>
      <c r="B60" s="33" t="s">
        <v>31</v>
      </c>
      <c r="C60" s="32"/>
      <c r="D60" s="32">
        <f t="shared" si="19"/>
        <v>102129940155.50023</v>
      </c>
      <c r="E60" s="31">
        <f t="shared" si="17"/>
        <v>0</v>
      </c>
      <c r="F60" s="30">
        <f t="shared" si="18"/>
        <v>382048428.0351826</v>
      </c>
      <c r="G60" s="32"/>
      <c r="H60" s="63">
        <v>-382048428.0351826</v>
      </c>
    </row>
    <row r="61" spans="1:8" hidden="1" outlineLevel="1" x14ac:dyDescent="0.25">
      <c r="A61" s="33"/>
      <c r="B61" s="33" t="s">
        <v>14</v>
      </c>
      <c r="C61" s="32"/>
      <c r="D61" s="32">
        <f t="shared" si="19"/>
        <v>102052247759.73778</v>
      </c>
      <c r="E61" s="31">
        <f t="shared" si="17"/>
        <v>0</v>
      </c>
      <c r="F61" s="30">
        <f t="shared" si="18"/>
        <v>77692395.762454882</v>
      </c>
      <c r="G61" s="32"/>
      <c r="H61" s="63">
        <v>-77692395.762454882</v>
      </c>
    </row>
    <row r="62" spans="1:8" hidden="1" outlineLevel="1" x14ac:dyDescent="0.25">
      <c r="A62" s="33" t="s">
        <v>3</v>
      </c>
      <c r="B62" s="33" t="s">
        <v>16</v>
      </c>
      <c r="C62" s="32"/>
      <c r="D62" s="32">
        <f t="shared" si="19"/>
        <v>100587526149.08899</v>
      </c>
      <c r="E62" s="31">
        <f t="shared" si="17"/>
        <v>0</v>
      </c>
      <c r="F62" s="30">
        <f t="shared" si="18"/>
        <v>1464721610.6487839</v>
      </c>
      <c r="G62" s="32"/>
      <c r="H62" s="63" cm="1">
        <f t="array" ref="H62:H64">TRANSPOSE(K12:M12)</f>
        <v>-1464721610.6487839</v>
      </c>
    </row>
    <row r="63" spans="1:8" hidden="1" outlineLevel="1" x14ac:dyDescent="0.25">
      <c r="A63" s="33"/>
      <c r="B63" s="33" t="s">
        <v>31</v>
      </c>
      <c r="C63" s="32"/>
      <c r="D63" s="32">
        <f t="shared" si="19"/>
        <v>100587526149.08899</v>
      </c>
      <c r="E63" s="31">
        <f t="shared" si="17"/>
        <v>1741096610.6487839</v>
      </c>
      <c r="F63" s="30">
        <f t="shared" si="18"/>
        <v>0</v>
      </c>
      <c r="G63" s="32"/>
      <c r="H63" s="63">
        <v>1741096610.6487839</v>
      </c>
    </row>
    <row r="64" spans="1:8" hidden="1" outlineLevel="1" x14ac:dyDescent="0.25">
      <c r="A64" s="33"/>
      <c r="B64" s="33" t="s">
        <v>14</v>
      </c>
      <c r="C64" s="32"/>
      <c r="D64" s="32">
        <f t="shared" si="19"/>
        <v>101241476423.31851</v>
      </c>
      <c r="E64" s="31">
        <f t="shared" si="17"/>
        <v>0</v>
      </c>
      <c r="F64" s="30">
        <f t="shared" si="18"/>
        <v>1087146336.4192657</v>
      </c>
      <c r="G64" s="32"/>
      <c r="H64" s="63">
        <v>-1087146336.4192657</v>
      </c>
    </row>
    <row r="65" spans="1:8" hidden="1" outlineLevel="1" x14ac:dyDescent="0.25">
      <c r="A65" s="33" t="s">
        <v>12</v>
      </c>
      <c r="B65" s="33"/>
      <c r="C65" s="32"/>
      <c r="D65" s="220">
        <f>D64+E64-F65</f>
        <v>101241476423.31851</v>
      </c>
      <c r="E65" s="31">
        <f t="shared" si="17"/>
        <v>3784228651.135006</v>
      </c>
      <c r="F65" s="30">
        <f t="shared" si="18"/>
        <v>0</v>
      </c>
      <c r="G65" s="32"/>
      <c r="H65" s="64">
        <f>N29</f>
        <v>3784228651.135006</v>
      </c>
    </row>
    <row r="66" spans="1:8" hidden="1" outlineLevel="1" x14ac:dyDescent="0.25">
      <c r="A66" s="33" t="s">
        <v>1</v>
      </c>
      <c r="B66" s="33"/>
      <c r="C66" s="32"/>
      <c r="D66" s="32">
        <f t="shared" si="19"/>
        <v>105025705074.45352</v>
      </c>
      <c r="E66" s="31">
        <f t="shared" si="17"/>
        <v>6612771965.6236906</v>
      </c>
      <c r="F66" s="30">
        <f t="shared" si="18"/>
        <v>0</v>
      </c>
      <c r="G66" s="32"/>
      <c r="H66" s="64">
        <f>O29</f>
        <v>6612771965.6236906</v>
      </c>
    </row>
    <row r="67" spans="1:8" hidden="1" outlineLevel="1" x14ac:dyDescent="0.25">
      <c r="A67" s="33" t="s">
        <v>111</v>
      </c>
      <c r="B67" s="33"/>
      <c r="C67" s="32"/>
      <c r="D67" s="32">
        <f t="shared" si="19"/>
        <v>101435082581.00003</v>
      </c>
      <c r="E67" s="31">
        <f t="shared" ref="E67" si="20">IF(H67&gt;0,H67,0)</f>
        <v>0</v>
      </c>
      <c r="F67" s="30">
        <f t="shared" ref="F67" si="21">IF(H67&lt;0,-H67,0)</f>
        <v>10203394459.077179</v>
      </c>
      <c r="G67" s="32"/>
      <c r="H67" s="64">
        <f>P29</f>
        <v>-10203394459.077179</v>
      </c>
    </row>
    <row r="68" spans="1:8" hidden="1" outlineLevel="1" x14ac:dyDescent="0.25">
      <c r="A68" s="49" t="str">
        <f>'S7'!$A$17</f>
        <v>TT T12</v>
      </c>
      <c r="B68" s="49"/>
      <c r="C68" s="29"/>
      <c r="D68" s="29"/>
      <c r="E68" s="31"/>
      <c r="F68" s="30"/>
      <c r="G68" s="29">
        <f>D67+E67</f>
        <v>101435082581.00003</v>
      </c>
    </row>
    <row r="69" spans="1:8" s="21" customFormat="1" hidden="1" outlineLevel="1" x14ac:dyDescent="0.25">
      <c r="A69" s="21" t="s">
        <v>11</v>
      </c>
      <c r="G69" s="62">
        <f>G68-C29</f>
        <v>0</v>
      </c>
    </row>
    <row r="70" spans="1:8" hidden="1" outlineLevel="1" x14ac:dyDescent="0.25"/>
    <row r="71" spans="1:8" hidden="1" outlineLevel="1" x14ac:dyDescent="0.25"/>
    <row r="72" spans="1:8" hidden="1" outlineLevel="1" x14ac:dyDescent="0.25"/>
    <row r="73" spans="1:8" hidden="1" outlineLevel="1" x14ac:dyDescent="0.25"/>
    <row r="74" spans="1:8" hidden="1" outlineLevel="1" x14ac:dyDescent="0.25"/>
    <row r="75" spans="1:8" hidden="1" outlineLevel="1" x14ac:dyDescent="0.25"/>
    <row r="76" spans="1:8" hidden="1" outlineLevel="1" x14ac:dyDescent="0.25"/>
    <row r="77" spans="1:8" hidden="1" outlineLevel="1" x14ac:dyDescent="0.25"/>
    <row r="78" spans="1:8" hidden="1" outlineLevel="1" x14ac:dyDescent="0.25"/>
    <row r="79" spans="1:8" hidden="1" outlineLevel="1" x14ac:dyDescent="0.25"/>
    <row r="80" spans="1:8" hidden="1" outlineLevel="1" x14ac:dyDescent="0.25"/>
    <row r="81" hidden="1" outlineLevel="1" x14ac:dyDescent="0.25"/>
    <row r="82" hidden="1" outlineLevel="1" x14ac:dyDescent="0.25"/>
    <row r="83" hidden="1" outlineLevel="1" x14ac:dyDescent="0.25"/>
    <row r="84" hidden="1" outlineLevel="1" x14ac:dyDescent="0.25"/>
    <row r="85" hidden="1" outlineLevel="1" x14ac:dyDescent="0.25"/>
    <row r="86" hidden="1" outlineLevel="1" x14ac:dyDescent="0.25"/>
    <row r="87" hidden="1" outlineLevel="1" x14ac:dyDescent="0.25"/>
    <row r="88" hidden="1" outlineLevel="1" x14ac:dyDescent="0.25"/>
    <row r="89" hidden="1" outlineLevel="1" x14ac:dyDescent="0.25"/>
    <row r="90" hidden="1" outlineLevel="1" x14ac:dyDescent="0.25"/>
    <row r="91" hidden="1" outlineLevel="1" x14ac:dyDescent="0.25"/>
    <row r="92" hidden="1" outlineLevel="1" x14ac:dyDescent="0.25"/>
    <row r="93" hidden="1" outlineLevel="1" x14ac:dyDescent="0.25"/>
    <row r="94" hidden="1" outlineLevel="1" x14ac:dyDescent="0.25"/>
    <row r="95" hidden="1" outlineLevel="1" x14ac:dyDescent="0.25"/>
    <row r="96" hidden="1" outlineLevel="1" x14ac:dyDescent="0.25"/>
    <row r="97" spans="1:9" hidden="1" outlineLevel="1" x14ac:dyDescent="0.25"/>
    <row r="98" spans="1:9" hidden="1" outlineLevel="1" x14ac:dyDescent="0.25"/>
    <row r="99" spans="1:9" hidden="1" outlineLevel="1" x14ac:dyDescent="0.25"/>
    <row r="100" spans="1:9" hidden="1" outlineLevel="1" x14ac:dyDescent="0.25"/>
    <row r="101" spans="1:9" collapsed="1" x14ac:dyDescent="0.25">
      <c r="A101" s="49" t="s">
        <v>32</v>
      </c>
      <c r="B101" s="33"/>
      <c r="C101" s="33"/>
      <c r="D101" s="33"/>
      <c r="E101" s="33"/>
      <c r="F101" s="33"/>
      <c r="G101" s="33"/>
    </row>
    <row r="102" spans="1:9" x14ac:dyDescent="0.25">
      <c r="A102" s="49"/>
      <c r="B102" s="49"/>
      <c r="C102" s="49" t="s">
        <v>28</v>
      </c>
      <c r="D102" s="49" t="s">
        <v>27</v>
      </c>
      <c r="E102" s="49" t="s">
        <v>26</v>
      </c>
      <c r="F102" s="49" t="s">
        <v>25</v>
      </c>
      <c r="G102" s="49" t="s">
        <v>24</v>
      </c>
    </row>
    <row r="103" spans="1:9" x14ac:dyDescent="0.25">
      <c r="A103" s="49"/>
      <c r="B103" s="49" t="str">
        <f>A49</f>
        <v>KH T12</v>
      </c>
      <c r="C103" s="51">
        <f>B29</f>
        <v>207862203900</v>
      </c>
      <c r="D103" s="51"/>
      <c r="E103" s="53"/>
      <c r="F103" s="52"/>
      <c r="G103" s="51"/>
    </row>
    <row r="104" spans="1:9" x14ac:dyDescent="0.25">
      <c r="A104" s="33"/>
      <c r="B104" s="33" t="s">
        <v>16</v>
      </c>
      <c r="C104" s="32"/>
      <c r="D104" s="32">
        <f>C103-F104</f>
        <v>107007180878.74585</v>
      </c>
      <c r="E104" s="31">
        <f>IF(H104&gt;0,H104,0)</f>
        <v>0</v>
      </c>
      <c r="F104" s="30">
        <f>IF(H104&lt;0,-H104,0)</f>
        <v>100855023021.25415</v>
      </c>
      <c r="G104" s="32"/>
      <c r="H104" s="63">
        <f>SUMIFS($H$50:$H$66,$B$50:$B$66,$B104)</f>
        <v>-100855023021.25415</v>
      </c>
    </row>
    <row r="105" spans="1:9" x14ac:dyDescent="0.25">
      <c r="A105" s="33"/>
      <c r="B105" s="33" t="s">
        <v>31</v>
      </c>
      <c r="C105" s="32"/>
      <c r="D105" s="32">
        <f>D104+E104-F105</f>
        <v>106240984660.18051</v>
      </c>
      <c r="E105" s="31">
        <f>IF(H105&gt;0,H105,0)</f>
        <v>0</v>
      </c>
      <c r="F105" s="30">
        <f>IF(H105&lt;0,-H105,0)</f>
        <v>766196218.5653317</v>
      </c>
      <c r="G105" s="32"/>
      <c r="H105" s="63">
        <f>SUMIFS($H$50:$H$66,$B$50:$B$66,$B105)</f>
        <v>-766196218.5653317</v>
      </c>
    </row>
    <row r="106" spans="1:9" x14ac:dyDescent="0.25">
      <c r="A106" s="33"/>
      <c r="B106" s="33" t="s">
        <v>14</v>
      </c>
      <c r="C106" s="32"/>
      <c r="D106" s="32">
        <f>D105+E105-F106</f>
        <v>101241476423.31848</v>
      </c>
      <c r="E106" s="31">
        <f>IF(H106&gt;0,H106,0)</f>
        <v>0</v>
      </c>
      <c r="F106" s="30">
        <f>IF(H106&lt;0,-H106,0)</f>
        <v>4999508236.8620253</v>
      </c>
      <c r="G106" s="32"/>
      <c r="H106" s="63">
        <f>SUMIFS($H$50:$H$66,$B$50:$B$66,$B106)</f>
        <v>-4999508236.8620253</v>
      </c>
    </row>
    <row r="107" spans="1:9" x14ac:dyDescent="0.25">
      <c r="A107" s="33"/>
      <c r="B107" s="33" t="s">
        <v>12</v>
      </c>
      <c r="C107" s="32"/>
      <c r="D107" s="32">
        <f>D106+E106-F107</f>
        <v>101241476423.31848</v>
      </c>
      <c r="E107" s="31">
        <f>IF(H107&gt;0,H107,0)</f>
        <v>3784228651.135006</v>
      </c>
      <c r="F107" s="30">
        <f>IF(H107&lt;0,-H107,0)</f>
        <v>0</v>
      </c>
      <c r="G107" s="32"/>
      <c r="H107" s="64">
        <f>H65</f>
        <v>3784228651.135006</v>
      </c>
    </row>
    <row r="108" spans="1:9" x14ac:dyDescent="0.25">
      <c r="A108" s="33"/>
      <c r="B108" s="33" t="s">
        <v>1</v>
      </c>
      <c r="C108" s="32"/>
      <c r="D108" s="32">
        <f>D107+E107-F108</f>
        <v>101435082581</v>
      </c>
      <c r="E108" s="31">
        <f>IF(H108&gt;0,H108,0)</f>
        <v>0</v>
      </c>
      <c r="F108" s="30">
        <f>IF(H108&lt;0,-H108,0)</f>
        <v>3590622493.4534883</v>
      </c>
      <c r="G108" s="32"/>
      <c r="H108" s="63">
        <f>H66+H67</f>
        <v>-3590622493.4534883</v>
      </c>
      <c r="I108" s="113" t="s">
        <v>114</v>
      </c>
    </row>
    <row r="109" spans="1:9" x14ac:dyDescent="0.25">
      <c r="A109" s="49"/>
      <c r="B109" s="49" t="str">
        <f>A68</f>
        <v>TT T12</v>
      </c>
      <c r="C109" s="29"/>
      <c r="D109" s="29"/>
      <c r="E109" s="31"/>
      <c r="F109" s="30"/>
      <c r="G109" s="29">
        <f>D108+E108</f>
        <v>101435082581</v>
      </c>
    </row>
    <row r="110" spans="1:9" x14ac:dyDescent="0.25">
      <c r="A110" s="21" t="s">
        <v>11</v>
      </c>
      <c r="B110" s="21"/>
      <c r="C110" s="21"/>
      <c r="D110" s="21"/>
      <c r="E110" s="21"/>
      <c r="F110" s="21"/>
      <c r="G110" s="62">
        <f>G109-C29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61E1-63FC-4D49-8F85-2A7F7FAA9785}">
  <sheetPr codeName="Sheet1">
    <tabColor theme="3" tint="0.39997558519241921"/>
  </sheetPr>
  <dimension ref="A1:AL69"/>
  <sheetViews>
    <sheetView showGridLines="0" zoomScale="85" zoomScaleNormal="85" workbookViewId="0">
      <pane xSplit="8" ySplit="1" topLeftCell="I2" activePane="bottomRight" state="frozen"/>
      <selection activeCell="I28" sqref="I28"/>
      <selection pane="topRight" activeCell="I28" sqref="I28"/>
      <selection pane="bottomLeft" activeCell="I28" sqref="I28"/>
      <selection pane="bottomRight" activeCell="G70" sqref="G70"/>
    </sheetView>
  </sheetViews>
  <sheetFormatPr defaultRowHeight="15" x14ac:dyDescent="0.25"/>
  <cols>
    <col min="1" max="1" width="20.28515625" bestFit="1" customWidth="1"/>
    <col min="2" max="2" width="19.7109375" bestFit="1" customWidth="1"/>
    <col min="3" max="3" width="20.5703125" bestFit="1" customWidth="1"/>
    <col min="4" max="4" width="10.42578125" customWidth="1"/>
    <col min="5" max="5" width="13.5703125" customWidth="1"/>
    <col min="6" max="6" width="11.5703125" customWidth="1"/>
    <col min="8" max="8" width="18.5703125" bestFit="1" customWidth="1"/>
    <col min="9" max="9" width="18" bestFit="1" customWidth="1"/>
    <col min="10" max="10" width="15.42578125" bestFit="1" customWidth="1"/>
    <col min="11" max="11" width="18" bestFit="1" customWidth="1"/>
    <col min="12" max="12" width="14.42578125" bestFit="1" customWidth="1"/>
    <col min="13" max="13" width="22.5703125" bestFit="1" customWidth="1"/>
    <col min="14" max="14" width="10.5703125" bestFit="1" customWidth="1"/>
    <col min="15" max="15" width="17.85546875" customWidth="1"/>
    <col min="16" max="17" width="16.85546875" bestFit="1" customWidth="1"/>
    <col min="18" max="18" width="10.85546875" customWidth="1"/>
    <col min="19" max="19" width="10.42578125" bestFit="1" customWidth="1"/>
    <col min="20" max="20" width="12.7109375" customWidth="1"/>
    <col min="21" max="21" width="11.42578125" customWidth="1"/>
    <col min="23" max="23" width="16.140625" bestFit="1" customWidth="1"/>
    <col min="24" max="24" width="15.85546875" bestFit="1" customWidth="1"/>
    <col min="25" max="25" width="15.42578125" bestFit="1" customWidth="1"/>
    <col min="26" max="26" width="16.5703125" bestFit="1" customWidth="1"/>
    <col min="27" max="27" width="17" bestFit="1" customWidth="1"/>
    <col min="28" max="28" width="15.42578125" bestFit="1" customWidth="1"/>
    <col min="29" max="29" width="14.5703125" bestFit="1" customWidth="1"/>
    <col min="31" max="31" width="17.5703125" bestFit="1" customWidth="1"/>
    <col min="32" max="32" width="18.5703125" bestFit="1" customWidth="1"/>
    <col min="33" max="33" width="13.85546875" bestFit="1" customWidth="1"/>
    <col min="34" max="34" width="18.5703125" bestFit="1" customWidth="1"/>
    <col min="37" max="37" width="15.5703125" bestFit="1" customWidth="1"/>
  </cols>
  <sheetData>
    <row r="1" spans="1:38" x14ac:dyDescent="0.25">
      <c r="A1" s="20" t="s">
        <v>30</v>
      </c>
      <c r="AE1" t="s">
        <v>29</v>
      </c>
    </row>
    <row r="2" spans="1:38" x14ac:dyDescent="0.25">
      <c r="A2" s="33"/>
      <c r="B2" s="33"/>
      <c r="C2" s="61" t="s">
        <v>28</v>
      </c>
      <c r="D2" s="61" t="s">
        <v>27</v>
      </c>
      <c r="E2" s="61" t="s">
        <v>26</v>
      </c>
      <c r="F2" s="61" t="s">
        <v>25</v>
      </c>
      <c r="G2" s="61" t="s">
        <v>24</v>
      </c>
      <c r="H2" s="19" t="s">
        <v>23</v>
      </c>
      <c r="K2" s="60" t="s">
        <v>22</v>
      </c>
      <c r="M2" s="59" t="s">
        <v>21</v>
      </c>
      <c r="O2" s="33"/>
      <c r="P2" s="58" t="s">
        <v>9</v>
      </c>
      <c r="Q2" s="58" t="s">
        <v>8</v>
      </c>
      <c r="R2" s="33"/>
      <c r="S2" s="33"/>
      <c r="U2" s="57" t="s">
        <v>9</v>
      </c>
      <c r="V2" s="57" t="s">
        <v>8</v>
      </c>
      <c r="W2" s="35"/>
      <c r="X2" s="35"/>
      <c r="Z2" s="56" t="s">
        <v>20</v>
      </c>
      <c r="AA2" s="55" t="s">
        <v>19</v>
      </c>
      <c r="AB2" s="55" t="s">
        <v>18</v>
      </c>
      <c r="AC2" s="55" t="s">
        <v>17</v>
      </c>
      <c r="AE2" s="54" t="s">
        <v>9</v>
      </c>
      <c r="AF2" s="54" t="s">
        <v>8</v>
      </c>
    </row>
    <row r="3" spans="1:38" x14ac:dyDescent="0.25">
      <c r="A3" s="33" t="s">
        <v>121</v>
      </c>
      <c r="B3" s="33"/>
      <c r="C3" s="51">
        <f>H3</f>
        <v>207862203900</v>
      </c>
      <c r="D3" s="51"/>
      <c r="E3" s="53"/>
      <c r="F3" s="52"/>
      <c r="G3" s="51"/>
      <c r="H3" s="1">
        <v>207862203900</v>
      </c>
      <c r="K3" s="44"/>
      <c r="M3" s="43"/>
      <c r="O3" s="33"/>
      <c r="P3" s="33"/>
      <c r="Q3" s="33"/>
      <c r="R3" s="33"/>
      <c r="S3" s="33"/>
      <c r="U3" s="35"/>
      <c r="V3" s="35"/>
      <c r="W3" s="35"/>
      <c r="X3" s="35"/>
      <c r="Z3" s="25"/>
      <c r="AA3" s="25"/>
      <c r="AB3" s="25"/>
      <c r="AC3" s="25"/>
      <c r="AE3" s="36"/>
      <c r="AF3" s="36"/>
    </row>
    <row r="4" spans="1:38" x14ac:dyDescent="0.25">
      <c r="A4" s="33" t="s">
        <v>7</v>
      </c>
      <c r="B4" s="33" t="s">
        <v>16</v>
      </c>
      <c r="C4" s="32"/>
      <c r="D4" s="32">
        <f>C3+E3-F4</f>
        <v>129876740119.30595</v>
      </c>
      <c r="E4" s="31">
        <f t="shared" ref="E4:E16" si="0">IF(H4&gt;0,H4,0)</f>
        <v>0</v>
      </c>
      <c r="F4" s="30">
        <f t="shared" ref="F4:F16" si="1">IF(H4&lt;0,-H4,0)</f>
        <v>77985463780.694046</v>
      </c>
      <c r="G4" s="32"/>
      <c r="H4" s="39">
        <f t="shared" ref="H4:H14" si="2">M4</f>
        <v>-77985463780.694046</v>
      </c>
      <c r="K4" s="44">
        <v>-75861724917.075974</v>
      </c>
      <c r="M4" s="43">
        <f>AA4</f>
        <v>-77985463780.694046</v>
      </c>
      <c r="O4" s="49" t="s">
        <v>15</v>
      </c>
      <c r="P4" s="48">
        <v>4674.7700000000004</v>
      </c>
      <c r="Q4" s="48">
        <v>2255.1999999999998</v>
      </c>
      <c r="R4" s="48">
        <f t="shared" ref="R4:R13" si="3">Q4-P4</f>
        <v>-2419.5700000000006</v>
      </c>
      <c r="S4" s="47">
        <f t="shared" ref="S4:S13" si="4">R4/P4</f>
        <v>-0.5175805440695479</v>
      </c>
      <c r="T4" s="6"/>
      <c r="U4" s="35"/>
      <c r="V4" s="35"/>
      <c r="W4" s="35"/>
      <c r="X4" s="35"/>
      <c r="Z4" s="46">
        <f>SUM(AA4:AC4)</f>
        <v>-77657445897.910355</v>
      </c>
      <c r="AA4" s="45">
        <f>R4*P5*U5</f>
        <v>-77985463780.694046</v>
      </c>
      <c r="AB4" s="45">
        <f>R5*Q4*U5</f>
        <v>-2868699025.7539849</v>
      </c>
      <c r="AC4" s="45">
        <f>Q4*Q5*W5</f>
        <v>3196716908.5376773</v>
      </c>
      <c r="AE4" s="34">
        <f>P4*P5*U5</f>
        <v>150673097500</v>
      </c>
      <c r="AF4" s="34">
        <f>Q4*Q5*U5</f>
        <v>69818934693.551987</v>
      </c>
      <c r="AH4" s="1">
        <f>Q4*Q5*V5</f>
        <v>73015651602.089661</v>
      </c>
      <c r="AI4" s="18">
        <f>AH4-AF4-AC4</f>
        <v>0</v>
      </c>
      <c r="AK4" s="18">
        <f>AF4-AE4</f>
        <v>-80854162806.448013</v>
      </c>
      <c r="AL4" s="6">
        <f>AK4/AE4</f>
        <v>-0.5366197692089526</v>
      </c>
    </row>
    <row r="5" spans="1:38" x14ac:dyDescent="0.25">
      <c r="A5" s="33"/>
      <c r="B5" s="33" t="s">
        <v>14</v>
      </c>
      <c r="C5" s="32"/>
      <c r="D5" s="32">
        <f t="shared" ref="D5:D15" si="5">D4+E4-F5</f>
        <v>127008041093.55197</v>
      </c>
      <c r="E5" s="31">
        <f t="shared" si="0"/>
        <v>0</v>
      </c>
      <c r="F5" s="30">
        <f t="shared" si="1"/>
        <v>2868699025.7539849</v>
      </c>
      <c r="G5" s="32"/>
      <c r="H5" s="39">
        <f t="shared" si="2"/>
        <v>-2868699025.7539849</v>
      </c>
      <c r="K5" s="44">
        <v>-4959892102.1162338</v>
      </c>
      <c r="L5" s="18">
        <f>SUM(K4:K5)-SUM(M4:M5)</f>
        <v>32545787.255828857</v>
      </c>
      <c r="M5" s="43">
        <f>AB4</f>
        <v>-2868699025.7539849</v>
      </c>
      <c r="O5" s="33" t="s">
        <v>13</v>
      </c>
      <c r="P5" s="42">
        <v>1289.2450109844976</v>
      </c>
      <c r="Q5" s="42">
        <v>1238.3635099956011</v>
      </c>
      <c r="R5" s="42">
        <f t="shared" si="3"/>
        <v>-50.881500988896505</v>
      </c>
      <c r="S5" s="41">
        <f t="shared" si="4"/>
        <v>-3.9466122075618663E-2</v>
      </c>
      <c r="U5" s="40">
        <v>25000</v>
      </c>
      <c r="V5" s="40">
        <v>26144.645404061466</v>
      </c>
      <c r="W5" s="27">
        <f>V5-U5</f>
        <v>1144.6454040614663</v>
      </c>
      <c r="X5" s="26">
        <f>W5/U5</f>
        <v>4.5785816162458651E-2</v>
      </c>
      <c r="Z5" s="25"/>
      <c r="AA5" s="25"/>
      <c r="AB5" s="25"/>
      <c r="AC5" s="25"/>
      <c r="AE5" s="36"/>
      <c r="AF5" s="36"/>
    </row>
    <row r="6" spans="1:38" x14ac:dyDescent="0.25">
      <c r="A6" s="33" t="s">
        <v>6</v>
      </c>
      <c r="B6" s="33" t="s">
        <v>16</v>
      </c>
      <c r="C6" s="32"/>
      <c r="D6" s="32">
        <f t="shared" si="5"/>
        <v>105502074390.49521</v>
      </c>
      <c r="E6" s="31">
        <f t="shared" si="0"/>
        <v>0</v>
      </c>
      <c r="F6" s="30">
        <f t="shared" si="1"/>
        <v>21505966703.056767</v>
      </c>
      <c r="G6" s="32"/>
      <c r="H6" s="39">
        <f t="shared" si="2"/>
        <v>-21505966703.056767</v>
      </c>
      <c r="K6" s="44">
        <v>-21660312413.793102</v>
      </c>
      <c r="M6" s="43">
        <f>AA6</f>
        <v>-21505966703.056767</v>
      </c>
      <c r="O6" s="49" t="s">
        <v>15</v>
      </c>
      <c r="P6" s="48">
        <v>916</v>
      </c>
      <c r="Q6" s="48">
        <v>272.5</v>
      </c>
      <c r="R6" s="48">
        <f t="shared" si="3"/>
        <v>-643.5</v>
      </c>
      <c r="S6" s="47">
        <f t="shared" si="4"/>
        <v>-0.70251091703056767</v>
      </c>
      <c r="U6" s="35"/>
      <c r="V6" s="35"/>
      <c r="W6" s="35"/>
      <c r="X6" s="35"/>
      <c r="Z6" s="46">
        <f>SUM(AA6:AC6)</f>
        <v>-21686735343.999996</v>
      </c>
      <c r="AA6" s="45">
        <f>R6*P7*U7</f>
        <v>-21505966703.056767</v>
      </c>
      <c r="AB6" s="45">
        <f>R7*Q6*U7</f>
        <v>-569172805.84211791</v>
      </c>
      <c r="AC6" s="45">
        <f>Q6*Q7*W7</f>
        <v>388404164.89888847</v>
      </c>
      <c r="AE6" s="34">
        <f>P6*P7*U7</f>
        <v>30613000000</v>
      </c>
      <c r="AF6" s="34">
        <f>Q6*Q7*U7</f>
        <v>8537860491.1011133</v>
      </c>
      <c r="AH6" s="1">
        <f>Q6*Q7*V7</f>
        <v>8926264656.0000019</v>
      </c>
      <c r="AI6" s="18">
        <f>AH6-AF6-AC6</f>
        <v>0</v>
      </c>
      <c r="AK6" s="18">
        <f>AF6-AE6</f>
        <v>-22075139508.898888</v>
      </c>
      <c r="AL6" s="6">
        <f>AK6/AE6</f>
        <v>-0.72110343673925748</v>
      </c>
    </row>
    <row r="7" spans="1:38" x14ac:dyDescent="0.25">
      <c r="A7" s="33"/>
      <c r="B7" s="33" t="s">
        <v>14</v>
      </c>
      <c r="C7" s="32"/>
      <c r="D7" s="32">
        <f>D6+E6-F7</f>
        <v>104932901584.65309</v>
      </c>
      <c r="E7" s="31">
        <f t="shared" si="0"/>
        <v>0</v>
      </c>
      <c r="F7" s="30">
        <f t="shared" si="1"/>
        <v>569172805.84211791</v>
      </c>
      <c r="G7" s="32"/>
      <c r="H7" s="39">
        <f t="shared" si="2"/>
        <v>-569172805.84211791</v>
      </c>
      <c r="K7" s="44">
        <v>-322566000.82741714</v>
      </c>
      <c r="L7" s="18">
        <f>SUM(K6:K7)-SUM(M6:M7)</f>
        <v>92261094.278366089</v>
      </c>
      <c r="M7" s="43">
        <f>AB6</f>
        <v>-569172805.84211791</v>
      </c>
      <c r="O7" s="33" t="s">
        <v>13</v>
      </c>
      <c r="P7" s="42">
        <v>1336.8122270742358</v>
      </c>
      <c r="Q7" s="42">
        <v>1253.263925299246</v>
      </c>
      <c r="R7" s="42">
        <f t="shared" si="3"/>
        <v>-83.548301774989795</v>
      </c>
      <c r="S7" s="41">
        <f t="shared" si="4"/>
        <v>-6.2498157993246865E-2</v>
      </c>
      <c r="U7" s="40">
        <v>25000</v>
      </c>
      <c r="V7" s="40">
        <v>26137.299459576894</v>
      </c>
      <c r="W7" s="27">
        <f>V7-U7</f>
        <v>1137.2994595768942</v>
      </c>
      <c r="X7" s="26">
        <f>W7/U7</f>
        <v>4.5491978383075768E-2</v>
      </c>
      <c r="Z7" s="25"/>
      <c r="AA7" s="25"/>
      <c r="AB7" s="25"/>
      <c r="AC7" s="25"/>
      <c r="AE7" s="36"/>
      <c r="AF7" s="36"/>
    </row>
    <row r="8" spans="1:38" x14ac:dyDescent="0.25">
      <c r="A8" s="33" t="s">
        <v>5</v>
      </c>
      <c r="B8" s="33" t="s">
        <v>16</v>
      </c>
      <c r="C8" s="32"/>
      <c r="D8" s="32">
        <f t="shared" si="5"/>
        <v>103948272552.39502</v>
      </c>
      <c r="E8" s="31">
        <f t="shared" si="0"/>
        <v>0</v>
      </c>
      <c r="F8" s="30">
        <f t="shared" si="1"/>
        <v>984629032.25806439</v>
      </c>
      <c r="G8" s="32"/>
      <c r="H8" s="39">
        <f t="shared" si="2"/>
        <v>-984629032.25806439</v>
      </c>
      <c r="K8" s="44">
        <v>-1247352546.1816704</v>
      </c>
      <c r="M8" s="43">
        <f>AA8</f>
        <v>-984629032.25806439</v>
      </c>
      <c r="O8" s="49" t="s">
        <v>15</v>
      </c>
      <c r="P8" s="48">
        <v>162.75</v>
      </c>
      <c r="Q8" s="48">
        <v>115.15</v>
      </c>
      <c r="R8" s="48">
        <f t="shared" si="3"/>
        <v>-47.599999999999994</v>
      </c>
      <c r="S8" s="47">
        <f t="shared" si="4"/>
        <v>-0.29247311827956984</v>
      </c>
      <c r="U8" s="35"/>
      <c r="V8" s="35"/>
      <c r="W8" s="35"/>
      <c r="X8" s="35"/>
      <c r="Z8" s="46">
        <f>SUM(AA8:AC8)</f>
        <v>-1291118950.6842268</v>
      </c>
      <c r="AA8" s="45">
        <f>R8*P9*U9</f>
        <v>-984629032.25806439</v>
      </c>
      <c r="AB8" s="45">
        <f>R9*Q8*U9</f>
        <v>-396797673.08420211</v>
      </c>
      <c r="AC8" s="45">
        <f>Q8*Q9*W9</f>
        <v>90307754.658039823</v>
      </c>
      <c r="AE8" s="34">
        <f>P8*P9*U9</f>
        <v>3366562500</v>
      </c>
      <c r="AF8" s="34">
        <f>Q8*Q9*U9</f>
        <v>1985135794.6577332</v>
      </c>
      <c r="AH8" s="1">
        <f>Q8*Q9*V9</f>
        <v>2075443549.315773</v>
      </c>
      <c r="AI8" s="18">
        <f>AH8-AF8-AC8</f>
        <v>0</v>
      </c>
      <c r="AK8" s="18">
        <f>AF8-AE8</f>
        <v>-1381426705.3422668</v>
      </c>
      <c r="AL8" s="6">
        <f>AK8/AE8</f>
        <v>-0.41033746004782823</v>
      </c>
    </row>
    <row r="9" spans="1:38" x14ac:dyDescent="0.25">
      <c r="A9" s="33"/>
      <c r="B9" s="33" t="s">
        <v>14</v>
      </c>
      <c r="C9" s="32"/>
      <c r="D9" s="32">
        <f t="shared" si="5"/>
        <v>103551474879.31082</v>
      </c>
      <c r="E9" s="31">
        <f t="shared" si="0"/>
        <v>0</v>
      </c>
      <c r="F9" s="30">
        <f t="shared" si="1"/>
        <v>396797673.08420211</v>
      </c>
      <c r="G9" s="32"/>
      <c r="H9" s="39">
        <f t="shared" si="2"/>
        <v>-396797673.08420211</v>
      </c>
      <c r="K9" s="44">
        <v>-51797671.741109379</v>
      </c>
      <c r="L9" s="18">
        <f>SUM(K8:K9)-SUM(M8:M9)</f>
        <v>82276487.419486761</v>
      </c>
      <c r="M9" s="43">
        <f>AB8</f>
        <v>-396797673.08420211</v>
      </c>
      <c r="O9" s="33" t="s">
        <v>13</v>
      </c>
      <c r="P9" s="42">
        <v>827.41935483870964</v>
      </c>
      <c r="Q9" s="42">
        <v>689.58256002005498</v>
      </c>
      <c r="R9" s="42">
        <f t="shared" si="3"/>
        <v>-137.83679481865465</v>
      </c>
      <c r="S9" s="41">
        <f t="shared" si="4"/>
        <v>-0.16658637970285747</v>
      </c>
      <c r="U9" s="40">
        <v>25000</v>
      </c>
      <c r="V9" s="40">
        <v>26137.299459576898</v>
      </c>
      <c r="W9" s="27">
        <f>V9-U9</f>
        <v>1137.2994595768978</v>
      </c>
      <c r="X9" s="26">
        <f>W9/U9</f>
        <v>4.5491978383075914E-2</v>
      </c>
      <c r="Z9" s="25"/>
      <c r="AA9" s="25"/>
      <c r="AB9" s="25"/>
      <c r="AC9" s="25"/>
      <c r="AE9" s="36"/>
      <c r="AF9" s="36"/>
    </row>
    <row r="10" spans="1:38" x14ac:dyDescent="0.25">
      <c r="A10" s="33" t="s">
        <v>4</v>
      </c>
      <c r="B10" s="33" t="s">
        <v>16</v>
      </c>
      <c r="C10" s="32"/>
      <c r="D10" s="32">
        <f t="shared" si="5"/>
        <v>102129940155.50021</v>
      </c>
      <c r="E10" s="31">
        <f t="shared" si="0"/>
        <v>0</v>
      </c>
      <c r="F10" s="30">
        <f t="shared" si="1"/>
        <v>1421534723.8106129</v>
      </c>
      <c r="G10" s="32"/>
      <c r="H10" s="39">
        <f t="shared" si="2"/>
        <v>-1421534723.8106129</v>
      </c>
      <c r="K10" s="44">
        <v>-1465287144.9761367</v>
      </c>
      <c r="M10" s="43">
        <f>AA10</f>
        <v>-1421534723.8106129</v>
      </c>
      <c r="O10" s="49" t="s">
        <v>15</v>
      </c>
      <c r="P10" s="48">
        <v>87.44</v>
      </c>
      <c r="Q10" s="48">
        <v>23.75</v>
      </c>
      <c r="R10" s="48">
        <f t="shared" si="3"/>
        <v>-63.69</v>
      </c>
      <c r="S10" s="47">
        <f t="shared" si="4"/>
        <v>-0.72838517840805128</v>
      </c>
      <c r="T10" s="50"/>
      <c r="U10" s="35"/>
      <c r="V10" s="35"/>
      <c r="W10" s="35"/>
      <c r="X10" s="35"/>
      <c r="Z10" s="46">
        <f>SUM(AA10:AC10)</f>
        <v>-1478646644.9761367</v>
      </c>
      <c r="AA10" s="45">
        <f>R10*P11*U11</f>
        <v>-1421534723.8106129</v>
      </c>
      <c r="AB10" s="45">
        <f>R11*Q10*U11</f>
        <v>-77692395.762454897</v>
      </c>
      <c r="AC10" s="45">
        <f>Q10*Q11*W11</f>
        <v>20580474.59693129</v>
      </c>
      <c r="AE10" s="34">
        <f>P10*P11*U11</f>
        <v>1951625000</v>
      </c>
      <c r="AF10" s="34">
        <f>Q10*Q11*U11</f>
        <v>452397880.4269321</v>
      </c>
      <c r="AH10" s="1">
        <f>Q10*Q11*V11</f>
        <v>472978355.02386338</v>
      </c>
      <c r="AI10" s="18">
        <f>AH10-AF10-AC10</f>
        <v>0</v>
      </c>
      <c r="AK10" s="18">
        <f>AF10-AE10</f>
        <v>-1499227119.5730679</v>
      </c>
      <c r="AL10" s="6">
        <f>AK10/AE10</f>
        <v>-0.76819425841187106</v>
      </c>
    </row>
    <row r="11" spans="1:38" x14ac:dyDescent="0.25">
      <c r="A11" s="33"/>
      <c r="B11" s="33" t="s">
        <v>14</v>
      </c>
      <c r="C11" s="32"/>
      <c r="D11" s="32">
        <f t="shared" si="5"/>
        <v>102052247759.73776</v>
      </c>
      <c r="E11" s="31">
        <f t="shared" si="0"/>
        <v>0</v>
      </c>
      <c r="F11" s="30">
        <f t="shared" si="1"/>
        <v>77692395.762454897</v>
      </c>
      <c r="G11" s="32"/>
      <c r="H11" s="39">
        <f t="shared" si="2"/>
        <v>-77692395.762454897</v>
      </c>
      <c r="K11" s="44">
        <v>-15769679.590784462</v>
      </c>
      <c r="L11" s="18">
        <f>SUM(K10:K11)-SUM(M10:M11)</f>
        <v>18170295.006146669</v>
      </c>
      <c r="M11" s="43">
        <f>AB10</f>
        <v>-77692395.762454897</v>
      </c>
      <c r="O11" s="33" t="s">
        <v>13</v>
      </c>
      <c r="P11" s="42">
        <v>892.7836230558097</v>
      </c>
      <c r="Q11" s="42">
        <v>761.93327229799092</v>
      </c>
      <c r="R11" s="42">
        <f t="shared" si="3"/>
        <v>-130.85035075781877</v>
      </c>
      <c r="S11" s="41">
        <f t="shared" si="4"/>
        <v>-0.14656446128564241</v>
      </c>
      <c r="U11" s="40">
        <v>25000</v>
      </c>
      <c r="V11" s="40">
        <v>26137.299459576894</v>
      </c>
      <c r="W11" s="27">
        <f>V11-U11</f>
        <v>1137.2994595768942</v>
      </c>
      <c r="X11" s="26">
        <f>W11/U11</f>
        <v>4.5491978383075768E-2</v>
      </c>
      <c r="Z11" s="25"/>
      <c r="AA11" s="25"/>
      <c r="AB11" s="25"/>
      <c r="AC11" s="25"/>
      <c r="AE11" s="36"/>
      <c r="AF11" s="36"/>
      <c r="AH11" s="1"/>
      <c r="AI11" s="18"/>
    </row>
    <row r="12" spans="1:38" x14ac:dyDescent="0.25">
      <c r="A12" s="33" t="s">
        <v>3</v>
      </c>
      <c r="B12" s="33" t="s">
        <v>16</v>
      </c>
      <c r="C12" s="32"/>
      <c r="D12" s="32">
        <f t="shared" si="5"/>
        <v>102052247759.73776</v>
      </c>
      <c r="E12" s="31">
        <f t="shared" si="0"/>
        <v>276374999.99999988</v>
      </c>
      <c r="F12" s="30">
        <f t="shared" si="1"/>
        <v>0</v>
      </c>
      <c r="G12" s="32"/>
      <c r="H12" s="39">
        <f t="shared" si="2"/>
        <v>276374999.99999988</v>
      </c>
      <c r="K12" s="44">
        <v>-722551987.97581053</v>
      </c>
      <c r="M12" s="43">
        <f>AA12</f>
        <v>276374999.99999988</v>
      </c>
      <c r="O12" s="49" t="s">
        <v>15</v>
      </c>
      <c r="P12" s="48">
        <v>100</v>
      </c>
      <c r="Q12" s="48">
        <v>110.05</v>
      </c>
      <c r="R12" s="48">
        <f t="shared" si="3"/>
        <v>10.049999999999997</v>
      </c>
      <c r="S12" s="47">
        <f t="shared" si="4"/>
        <v>0.10049999999999998</v>
      </c>
      <c r="U12" s="35"/>
      <c r="V12" s="35"/>
      <c r="W12" s="35"/>
      <c r="X12" s="35"/>
      <c r="Z12" s="46">
        <f>SUM(AA12:AC12)</f>
        <v>-722551987.97581077</v>
      </c>
      <c r="AA12" s="45">
        <f>R12*P13*U13</f>
        <v>276374999.99999988</v>
      </c>
      <c r="AB12" s="45">
        <f>R13*Q12*U13</f>
        <v>-1087146336.419266</v>
      </c>
      <c r="AC12" s="45">
        <f>Q12*Q13*W13</f>
        <v>88219348.443455383</v>
      </c>
      <c r="AE12" s="34">
        <f>P12*P13*U13</f>
        <v>2750000000</v>
      </c>
      <c r="AF12" s="34">
        <f>Q12*Q13*U13</f>
        <v>1939228663.580734</v>
      </c>
      <c r="AH12" s="1">
        <f>Q12*Q13*V13</f>
        <v>2027448012.0241895</v>
      </c>
      <c r="AI12" s="18">
        <f>AH12-AF12-AC12</f>
        <v>0</v>
      </c>
      <c r="AK12" s="18">
        <f>AF12-AE12</f>
        <v>-810771336.41926599</v>
      </c>
      <c r="AL12" s="6">
        <f>AK12/AE12</f>
        <v>-0.29482594051609673</v>
      </c>
    </row>
    <row r="13" spans="1:38" x14ac:dyDescent="0.25">
      <c r="A13" s="33"/>
      <c r="B13" s="33" t="s">
        <v>14</v>
      </c>
      <c r="C13" s="32"/>
      <c r="D13" s="32">
        <f t="shared" si="5"/>
        <v>101241476423.3185</v>
      </c>
      <c r="E13" s="31">
        <f t="shared" si="0"/>
        <v>0</v>
      </c>
      <c r="F13" s="30">
        <f t="shared" si="1"/>
        <v>1087146336.419266</v>
      </c>
      <c r="G13" s="32"/>
      <c r="H13" s="39">
        <f t="shared" si="2"/>
        <v>-1087146336.419266</v>
      </c>
      <c r="K13" s="44">
        <v>0</v>
      </c>
      <c r="L13" s="18">
        <f>SUM(K12:K13)-SUM(M12:M13)</f>
        <v>88219348.443455577</v>
      </c>
      <c r="M13" s="43">
        <f>AB12</f>
        <v>-1087146336.419266</v>
      </c>
      <c r="O13" s="33" t="s">
        <v>13</v>
      </c>
      <c r="P13" s="42">
        <v>1100</v>
      </c>
      <c r="Q13" s="42">
        <v>704.85367145142538</v>
      </c>
      <c r="R13" s="42">
        <f t="shared" si="3"/>
        <v>-395.14632854857462</v>
      </c>
      <c r="S13" s="41">
        <f t="shared" si="4"/>
        <v>-0.35922393504415873</v>
      </c>
      <c r="U13" s="40">
        <v>25000</v>
      </c>
      <c r="V13" s="40">
        <v>26137.299459576891</v>
      </c>
      <c r="W13" s="27">
        <f>V13-U13</f>
        <v>1137.2994595768905</v>
      </c>
      <c r="X13" s="26">
        <f>W13/U13</f>
        <v>4.5491978383075622E-2</v>
      </c>
      <c r="Z13" s="25"/>
      <c r="AA13" s="25"/>
      <c r="AB13" s="25"/>
      <c r="AC13" s="25"/>
      <c r="AE13" s="36"/>
      <c r="AF13" s="36"/>
    </row>
    <row r="14" spans="1:38" x14ac:dyDescent="0.25">
      <c r="A14" s="33" t="s">
        <v>12</v>
      </c>
      <c r="B14" s="33"/>
      <c r="C14" s="32"/>
      <c r="D14" s="32">
        <f t="shared" si="5"/>
        <v>101241476423.3185</v>
      </c>
      <c r="E14" s="31">
        <f t="shared" si="0"/>
        <v>3784228651.1349926</v>
      </c>
      <c r="F14" s="30">
        <f t="shared" si="1"/>
        <v>0</v>
      </c>
      <c r="G14" s="32"/>
      <c r="H14" s="39">
        <f t="shared" si="2"/>
        <v>3784228651.1349926</v>
      </c>
      <c r="K14" s="38">
        <v>3542834108.7243605</v>
      </c>
      <c r="M14" s="37">
        <f>AC4+AC6+AC8+AC10+AC12</f>
        <v>3784228651.1349926</v>
      </c>
      <c r="U14" s="35"/>
      <c r="V14" s="35"/>
      <c r="W14" s="35"/>
      <c r="X14" s="35"/>
      <c r="Z14" s="25"/>
      <c r="AA14" s="25"/>
      <c r="AB14" s="25"/>
      <c r="AC14" s="25"/>
      <c r="AE14" s="36"/>
      <c r="AF14" s="36"/>
    </row>
    <row r="15" spans="1:38" x14ac:dyDescent="0.25">
      <c r="A15" s="33" t="s">
        <v>1</v>
      </c>
      <c r="B15" s="33"/>
      <c r="C15" s="32"/>
      <c r="D15" s="32">
        <f t="shared" si="5"/>
        <v>105025705074.45349</v>
      </c>
      <c r="E15" s="31">
        <f t="shared" si="0"/>
        <v>6612771965.6236877</v>
      </c>
      <c r="F15" s="30">
        <f t="shared" si="1"/>
        <v>0</v>
      </c>
      <c r="G15" s="32"/>
      <c r="H15" s="18">
        <f>H17-SUM(H3:H14,H16)</f>
        <v>6612771965.6236877</v>
      </c>
      <c r="U15" s="35"/>
      <c r="V15" s="35"/>
      <c r="W15" s="35"/>
      <c r="X15" s="35"/>
      <c r="Z15" s="25"/>
      <c r="AA15" s="25"/>
      <c r="AB15" s="25"/>
      <c r="AC15" s="25"/>
      <c r="AE15" s="34">
        <f>AE17-SUM(AE3:AE14)</f>
        <v>18507918900</v>
      </c>
      <c r="AF15" s="34">
        <f>AF17-SUM(AF3:AF14)</f>
        <v>14917296406.546509</v>
      </c>
    </row>
    <row r="16" spans="1:38" x14ac:dyDescent="0.25">
      <c r="A16" s="33" t="s">
        <v>119</v>
      </c>
      <c r="B16" s="33" t="s">
        <v>118</v>
      </c>
      <c r="C16" s="32"/>
      <c r="D16" s="32">
        <f>D15+E15-F16</f>
        <v>101435082581</v>
      </c>
      <c r="E16" s="31">
        <f t="shared" si="0"/>
        <v>0</v>
      </c>
      <c r="F16" s="30">
        <f t="shared" si="1"/>
        <v>10203394459.077179</v>
      </c>
      <c r="G16" s="32"/>
      <c r="H16" s="18">
        <f>G20-C20</f>
        <v>-10203394459.077179</v>
      </c>
      <c r="U16" s="35"/>
      <c r="V16" s="35"/>
      <c r="W16" s="35"/>
      <c r="X16" s="35"/>
      <c r="Z16" s="25"/>
      <c r="AA16" s="25"/>
      <c r="AB16" s="25"/>
      <c r="AC16" s="25"/>
      <c r="AE16" s="34"/>
      <c r="AF16" s="34"/>
    </row>
    <row r="17" spans="1:34" x14ac:dyDescent="0.25">
      <c r="A17" s="33" t="s">
        <v>122</v>
      </c>
      <c r="B17" s="33"/>
      <c r="C17" s="32"/>
      <c r="D17" s="32"/>
      <c r="E17" s="31"/>
      <c r="F17" s="30"/>
      <c r="G17" s="97">
        <f>D16+E16</f>
        <v>101435082581</v>
      </c>
      <c r="H17" s="1">
        <v>101435082581</v>
      </c>
      <c r="I17" s="18">
        <f>H17-H3</f>
        <v>-106427121319</v>
      </c>
      <c r="J17" s="6">
        <f>H17/H3-1</f>
        <v>-0.51200804822699175</v>
      </c>
      <c r="K17" s="6"/>
      <c r="U17" s="28">
        <v>25000.000000000004</v>
      </c>
      <c r="V17" s="28">
        <v>26142.714599566774</v>
      </c>
      <c r="W17" s="27">
        <f>V17-U17</f>
        <v>1142.7145995667706</v>
      </c>
      <c r="X17" s="26">
        <f>W17/U17</f>
        <v>4.5708583982670817E-2</v>
      </c>
      <c r="Z17" s="25"/>
      <c r="AA17" s="25"/>
      <c r="AB17" s="25"/>
      <c r="AC17" s="25"/>
      <c r="AE17" s="24">
        <f>C3</f>
        <v>207862203900</v>
      </c>
      <c r="AF17" s="23">
        <f>G17-H14</f>
        <v>97650853929.865005</v>
      </c>
      <c r="AG17" s="18"/>
      <c r="AH17" s="1">
        <f>G17-AF17</f>
        <v>3784228651.1349945</v>
      </c>
    </row>
    <row r="18" spans="1:34" s="21" customFormat="1" x14ac:dyDescent="0.25">
      <c r="A18" s="21" t="s">
        <v>11</v>
      </c>
      <c r="G18" s="22">
        <f>G17-H17</f>
        <v>0</v>
      </c>
    </row>
    <row r="19" spans="1:34" x14ac:dyDescent="0.25">
      <c r="O19" s="20" t="s">
        <v>10</v>
      </c>
      <c r="P19" s="19" t="s">
        <v>9</v>
      </c>
      <c r="Q19" s="19" t="s">
        <v>8</v>
      </c>
    </row>
    <row r="20" spans="1:34" x14ac:dyDescent="0.25">
      <c r="A20" s="65" t="s">
        <v>111</v>
      </c>
      <c r="B20" s="65"/>
      <c r="C20" s="209">
        <f>C3-C21</f>
        <v>12595919900</v>
      </c>
      <c r="D20" s="209"/>
      <c r="E20" s="209"/>
      <c r="F20" s="209"/>
      <c r="G20" s="227">
        <f>H17-G21</f>
        <v>2392525440.922821</v>
      </c>
      <c r="O20" t="s">
        <v>7</v>
      </c>
      <c r="P20" s="17">
        <f>P4*P5*U5/10^9</f>
        <v>150.67309750000001</v>
      </c>
      <c r="Q20" s="17">
        <f>Q4*Q5*V5/10^9</f>
        <v>73.015651602089662</v>
      </c>
      <c r="R20" s="7">
        <f t="shared" ref="R20:R27" si="6">Q20-P20</f>
        <v>-77.65744589791035</v>
      </c>
      <c r="S20" s="16">
        <f t="shared" ref="S20:S27" si="7">IFERROR(R20/P20,0)</f>
        <v>-0.51540352714863613</v>
      </c>
      <c r="U20">
        <f>Q20/Q27</f>
        <v>0.71982641256079938</v>
      </c>
    </row>
    <row r="21" spans="1:34" x14ac:dyDescent="0.25">
      <c r="A21" s="65" t="s">
        <v>112</v>
      </c>
      <c r="B21" s="65"/>
      <c r="C21" s="210">
        <v>195266284000</v>
      </c>
      <c r="D21" s="209"/>
      <c r="E21" s="209"/>
      <c r="F21" s="209"/>
      <c r="G21" s="210">
        <v>99042557140.077179</v>
      </c>
      <c r="O21" t="s">
        <v>6</v>
      </c>
      <c r="P21" s="17">
        <f>P6*P7*U7/10^9</f>
        <v>30.613</v>
      </c>
      <c r="Q21" s="17">
        <f>Q6*Q7*V7/10^9</f>
        <v>8.9262646560000025</v>
      </c>
      <c r="R21" s="7">
        <f t="shared" si="6"/>
        <v>-21.686735343999999</v>
      </c>
      <c r="S21" s="16">
        <f t="shared" si="7"/>
        <v>-0.70841588031228564</v>
      </c>
    </row>
    <row r="22" spans="1:34" x14ac:dyDescent="0.25">
      <c r="O22" t="s">
        <v>5</v>
      </c>
      <c r="P22" s="17">
        <f>P8*P9*U9/10^9</f>
        <v>3.3665625000000001</v>
      </c>
      <c r="Q22" s="17">
        <f>Q8*Q9*V9/10^9</f>
        <v>2.0754435493157728</v>
      </c>
      <c r="R22" s="7">
        <f t="shared" si="6"/>
        <v>-1.2911189506842273</v>
      </c>
      <c r="S22" s="16">
        <f t="shared" si="7"/>
        <v>-0.3835125445270145</v>
      </c>
    </row>
    <row r="23" spans="1:34" x14ac:dyDescent="0.25">
      <c r="A23" s="1"/>
      <c r="C23" s="1"/>
      <c r="O23" t="s">
        <v>4</v>
      </c>
      <c r="P23" s="17">
        <f>P10*P11*U11/10^9</f>
        <v>1.9516249999999999</v>
      </c>
      <c r="Q23" s="17">
        <f>Q10*Q11*V11/10^9</f>
        <v>0.47297835502386337</v>
      </c>
      <c r="R23" s="7">
        <f t="shared" si="6"/>
        <v>-1.4786466449761366</v>
      </c>
      <c r="S23" s="16">
        <f t="shared" si="7"/>
        <v>-0.75764895662647114</v>
      </c>
    </row>
    <row r="24" spans="1:34" x14ac:dyDescent="0.25">
      <c r="A24" s="1"/>
      <c r="C24" s="1"/>
      <c r="O24" t="s">
        <v>3</v>
      </c>
      <c r="P24" s="17">
        <f>P12*P13*U13/10^9</f>
        <v>2.75</v>
      </c>
      <c r="Q24" s="17">
        <f>Q12*Q13*V13/10^9</f>
        <v>2.0274480120241893</v>
      </c>
      <c r="R24" s="7">
        <f t="shared" si="6"/>
        <v>-0.72255198797581066</v>
      </c>
      <c r="S24" s="16">
        <f t="shared" si="7"/>
        <v>-0.26274617744574935</v>
      </c>
    </row>
    <row r="25" spans="1:34" x14ac:dyDescent="0.25">
      <c r="C25" s="1"/>
      <c r="O25" t="s">
        <v>1</v>
      </c>
      <c r="P25" s="17">
        <f>C3/10^9-SUM(P20:P24,P26)</f>
        <v>5.9119989999999802</v>
      </c>
      <c r="Q25" s="17">
        <f>G17/10^9-SUM(Q20:Q24,Q26)</f>
        <v>12.524770965623674</v>
      </c>
      <c r="R25" s="7">
        <f t="shared" si="6"/>
        <v>6.6127719656236934</v>
      </c>
      <c r="S25" s="16">
        <f t="shared" si="7"/>
        <v>1.118534012881889</v>
      </c>
    </row>
    <row r="26" spans="1:34" ht="15.75" thickBot="1" x14ac:dyDescent="0.3">
      <c r="C26" s="1"/>
      <c r="O26" t="s">
        <v>111</v>
      </c>
      <c r="P26" s="17">
        <f>C20/10^9</f>
        <v>12.5959199</v>
      </c>
      <c r="Q26" s="17">
        <f>G20/10^9</f>
        <v>2.3925254409228209</v>
      </c>
      <c r="R26" s="7">
        <f t="shared" ref="R26" si="8">Q26-P26</f>
        <v>-10.203394459077179</v>
      </c>
      <c r="S26" s="16">
        <f t="shared" ref="S26" si="9">IFERROR(R26/P26,0)</f>
        <v>-0.81005552115944934</v>
      </c>
    </row>
    <row r="27" spans="1:34" ht="15.75" thickBot="1" x14ac:dyDescent="0.3">
      <c r="G27" t="s">
        <v>19</v>
      </c>
      <c r="H27" s="18">
        <f>H4+H6+H8+H10+H12</f>
        <v>-101621219239.81949</v>
      </c>
      <c r="O27" s="15" t="s">
        <v>0</v>
      </c>
      <c r="P27" s="14">
        <f>SUM(P20:P26)</f>
        <v>207.8622039</v>
      </c>
      <c r="Q27" s="14">
        <f>SUM(Q20:Q26)</f>
        <v>101.435082581</v>
      </c>
      <c r="R27" s="3">
        <f t="shared" si="6"/>
        <v>-106.42712131899999</v>
      </c>
      <c r="S27" s="13">
        <f t="shared" si="7"/>
        <v>-0.51200804822699175</v>
      </c>
    </row>
    <row r="28" spans="1:34" x14ac:dyDescent="0.25">
      <c r="G28" t="s">
        <v>18</v>
      </c>
      <c r="H28" s="18">
        <f>H5+H7+H9+H11+H13</f>
        <v>-4999508236.8620262</v>
      </c>
    </row>
    <row r="30" spans="1:34" x14ac:dyDescent="0.25">
      <c r="O30" s="12" t="s">
        <v>10</v>
      </c>
      <c r="P30" s="11" t="s">
        <v>9</v>
      </c>
      <c r="Q30" s="11" t="s">
        <v>8</v>
      </c>
      <c r="R30" s="188" t="s">
        <v>99</v>
      </c>
    </row>
    <row r="31" spans="1:34" x14ac:dyDescent="0.25">
      <c r="O31" s="9" t="s">
        <v>7</v>
      </c>
      <c r="P31" s="8">
        <f>P4*P5*U5/10^9</f>
        <v>150.67309750000001</v>
      </c>
      <c r="Q31" s="8">
        <f>Q4*Q5*U5/10^9</f>
        <v>69.818934693551981</v>
      </c>
      <c r="R31" s="7">
        <f t="shared" ref="R31:R39" si="10">Q31-P31</f>
        <v>-80.854162806448031</v>
      </c>
      <c r="S31" s="6">
        <f t="shared" ref="S31:S39" si="11">IFERROR(R31/P31,0)</f>
        <v>-0.53661976920895271</v>
      </c>
    </row>
    <row r="32" spans="1:34" x14ac:dyDescent="0.25">
      <c r="O32" s="9" t="s">
        <v>6</v>
      </c>
      <c r="P32" s="8">
        <f>P6*P7*U7/10^9</f>
        <v>30.613</v>
      </c>
      <c r="Q32" s="8">
        <f>Q6*Q7*U7/10^9</f>
        <v>8.5378604911011138</v>
      </c>
      <c r="R32" s="7">
        <f t="shared" si="10"/>
        <v>-22.075139508898886</v>
      </c>
      <c r="S32" s="6">
        <f t="shared" si="11"/>
        <v>-0.72110343673925736</v>
      </c>
    </row>
    <row r="33" spans="15:20" x14ac:dyDescent="0.25">
      <c r="O33" s="9" t="s">
        <v>5</v>
      </c>
      <c r="P33" s="8">
        <f>P8*P9*U9/10^9</f>
        <v>3.3665625000000001</v>
      </c>
      <c r="Q33" s="8">
        <f>Q8*Q9*U9/10^9</f>
        <v>1.9851357946577333</v>
      </c>
      <c r="R33" s="7">
        <f t="shared" si="10"/>
        <v>-1.3814267053422669</v>
      </c>
      <c r="S33" s="6">
        <f t="shared" si="11"/>
        <v>-0.41033746004782823</v>
      </c>
    </row>
    <row r="34" spans="15:20" x14ac:dyDescent="0.25">
      <c r="O34" s="9" t="s">
        <v>4</v>
      </c>
      <c r="P34" s="8">
        <f>P10*P11*U11/10^9</f>
        <v>1.9516249999999999</v>
      </c>
      <c r="Q34" s="8">
        <f>Q10*Q11*U11/10^9</f>
        <v>0.45239788042693208</v>
      </c>
      <c r="R34" s="7">
        <f t="shared" si="10"/>
        <v>-1.4992271195730678</v>
      </c>
      <c r="S34" s="6">
        <f t="shared" si="11"/>
        <v>-0.76819425841187106</v>
      </c>
    </row>
    <row r="35" spans="15:20" x14ac:dyDescent="0.25">
      <c r="O35" s="9" t="s">
        <v>3</v>
      </c>
      <c r="P35" s="8">
        <f>P12*P13*U13/10^9</f>
        <v>2.75</v>
      </c>
      <c r="Q35" s="8">
        <f>Q12*Q13*U13/10^9</f>
        <v>1.9392286635807341</v>
      </c>
      <c r="R35" s="7">
        <f t="shared" si="10"/>
        <v>-0.81077133641926591</v>
      </c>
      <c r="S35" s="6">
        <f t="shared" si="11"/>
        <v>-0.29482594051609667</v>
      </c>
    </row>
    <row r="36" spans="15:20" x14ac:dyDescent="0.25">
      <c r="O36" s="9" t="s">
        <v>2</v>
      </c>
      <c r="P36" s="10"/>
      <c r="Q36" s="194">
        <f>(AC4+AC6+AC8+AC10+AC12)/10^9</f>
        <v>3.7842286511349927</v>
      </c>
      <c r="R36" s="7">
        <f t="shared" si="10"/>
        <v>3.7842286511349927</v>
      </c>
      <c r="S36" s="6">
        <f t="shared" si="11"/>
        <v>0</v>
      </c>
    </row>
    <row r="37" spans="15:20" x14ac:dyDescent="0.25">
      <c r="O37" s="9" t="s">
        <v>1</v>
      </c>
      <c r="P37" s="8">
        <f>C3/10^9-SUM(P31:P36,P38)</f>
        <v>5.9119989999999802</v>
      </c>
      <c r="Q37" s="8">
        <f>G17/10^9-SUM(Q31:Q36,Q38)</f>
        <v>12.524770965623688</v>
      </c>
      <c r="R37" s="7">
        <f t="shared" si="10"/>
        <v>6.6127719656237076</v>
      </c>
      <c r="S37" s="6">
        <f t="shared" si="11"/>
        <v>1.1185340128818915</v>
      </c>
    </row>
    <row r="38" spans="15:20" ht="15.75" thickBot="1" x14ac:dyDescent="0.3">
      <c r="O38" s="9" t="s">
        <v>111</v>
      </c>
      <c r="P38" s="8">
        <f>C20/10^9</f>
        <v>12.5959199</v>
      </c>
      <c r="Q38" s="8">
        <f>G20/10^9</f>
        <v>2.3925254409228209</v>
      </c>
      <c r="R38" s="7">
        <f t="shared" ref="R38" si="12">Q38-P38</f>
        <v>-10.203394459077179</v>
      </c>
      <c r="S38" s="6">
        <f t="shared" ref="S38" si="13">IFERROR(R38/P38,0)</f>
        <v>-0.81005552115944934</v>
      </c>
    </row>
    <row r="39" spans="15:20" ht="15.75" thickBot="1" x14ac:dyDescent="0.3">
      <c r="O39" s="5" t="s">
        <v>0</v>
      </c>
      <c r="P39" s="4">
        <f>SUM(P31:P38)</f>
        <v>207.8622039</v>
      </c>
      <c r="Q39" s="4">
        <f>SUM(Q31:Q38)</f>
        <v>101.435082581</v>
      </c>
      <c r="R39" s="3">
        <f t="shared" si="10"/>
        <v>-106.42712131899999</v>
      </c>
      <c r="S39" s="2">
        <f t="shared" si="11"/>
        <v>-0.51200804822699175</v>
      </c>
    </row>
    <row r="42" spans="15:20" x14ac:dyDescent="0.25">
      <c r="O42" s="178" t="s">
        <v>98</v>
      </c>
      <c r="P42" s="179" t="s">
        <v>9</v>
      </c>
      <c r="Q42" s="179" t="s">
        <v>8</v>
      </c>
      <c r="R42" s="193" t="s">
        <v>100</v>
      </c>
      <c r="S42" s="193" t="s">
        <v>101</v>
      </c>
      <c r="T42" s="193" t="s">
        <v>102</v>
      </c>
    </row>
    <row r="43" spans="15:20" x14ac:dyDescent="0.25">
      <c r="O43" s="180" t="s">
        <v>7</v>
      </c>
      <c r="P43" s="186">
        <f>P4/10^3</f>
        <v>4.6747700000000005</v>
      </c>
      <c r="Q43" s="186">
        <f>Q4/10^3</f>
        <v>2.2551999999999999</v>
      </c>
      <c r="R43" s="181">
        <f t="shared" ref="R43:R48" si="14">Q43-P43</f>
        <v>-2.4195700000000007</v>
      </c>
      <c r="S43" s="182">
        <f t="shared" ref="S43:S48" si="15">IFERROR(R43/P43,0)</f>
        <v>-0.5175805440695479</v>
      </c>
      <c r="T43" s="182">
        <f>Q43/P43</f>
        <v>0.4824194559304521</v>
      </c>
    </row>
    <row r="44" spans="15:20" x14ac:dyDescent="0.25">
      <c r="O44" s="180" t="s">
        <v>6</v>
      </c>
      <c r="P44" s="186">
        <f>P6/10^3</f>
        <v>0.91600000000000004</v>
      </c>
      <c r="Q44" s="186">
        <f>Q6/10^3</f>
        <v>0.27250000000000002</v>
      </c>
      <c r="R44" s="181">
        <f t="shared" si="14"/>
        <v>-0.64349999999999996</v>
      </c>
      <c r="S44" s="182">
        <f t="shared" si="15"/>
        <v>-0.70251091703056756</v>
      </c>
      <c r="T44" s="182">
        <f t="shared" ref="T44:T48" si="16">Q44/P44</f>
        <v>0.29748908296943233</v>
      </c>
    </row>
    <row r="45" spans="15:20" x14ac:dyDescent="0.25">
      <c r="O45" s="180" t="s">
        <v>5</v>
      </c>
      <c r="P45" s="186">
        <f>P8/10^3</f>
        <v>0.16275000000000001</v>
      </c>
      <c r="Q45" s="186">
        <f>Q8/10^3</f>
        <v>0.11515</v>
      </c>
      <c r="R45" s="181">
        <f t="shared" si="14"/>
        <v>-4.7600000000000003E-2</v>
      </c>
      <c r="S45" s="182">
        <f t="shared" si="15"/>
        <v>-0.2924731182795699</v>
      </c>
      <c r="T45" s="182">
        <f t="shared" si="16"/>
        <v>0.7075268817204301</v>
      </c>
    </row>
    <row r="46" spans="15:20" x14ac:dyDescent="0.25">
      <c r="O46" s="180" t="s">
        <v>4</v>
      </c>
      <c r="P46" s="186">
        <f>P10/10^3</f>
        <v>8.7440000000000004E-2</v>
      </c>
      <c r="Q46" s="186">
        <f>Q10/10^3</f>
        <v>2.375E-2</v>
      </c>
      <c r="R46" s="181">
        <f t="shared" si="14"/>
        <v>-6.3689999999999997E-2</v>
      </c>
      <c r="S46" s="182">
        <f t="shared" si="15"/>
        <v>-0.72838517840805117</v>
      </c>
      <c r="T46" s="182">
        <f t="shared" si="16"/>
        <v>0.27161482159194877</v>
      </c>
    </row>
    <row r="47" spans="15:20" ht="15.75" thickBot="1" x14ac:dyDescent="0.3">
      <c r="O47" s="180" t="s">
        <v>3</v>
      </c>
      <c r="P47" s="181">
        <f>P12/10^3</f>
        <v>0.1</v>
      </c>
      <c r="Q47" s="181">
        <f>Q12/10^3</f>
        <v>0.11005</v>
      </c>
      <c r="R47" s="181">
        <f t="shared" si="14"/>
        <v>1.0049999999999989E-2</v>
      </c>
      <c r="S47" s="182">
        <f t="shared" si="15"/>
        <v>0.10049999999999989</v>
      </c>
      <c r="T47" s="182">
        <f t="shared" si="16"/>
        <v>1.1004999999999998</v>
      </c>
    </row>
    <row r="48" spans="15:20" ht="15.75" thickBot="1" x14ac:dyDescent="0.3">
      <c r="O48" s="183" t="s">
        <v>0</v>
      </c>
      <c r="P48" s="187">
        <f>SUM(P43:P47)</f>
        <v>5.9409600000000005</v>
      </c>
      <c r="Q48" s="187">
        <f>SUM(Q43:Q47)</f>
        <v>2.7766500000000001</v>
      </c>
      <c r="R48" s="184">
        <f t="shared" si="14"/>
        <v>-3.1643100000000004</v>
      </c>
      <c r="S48" s="185">
        <f t="shared" si="15"/>
        <v>-0.53262604023592153</v>
      </c>
      <c r="T48" s="185">
        <f t="shared" si="16"/>
        <v>0.46737395976407853</v>
      </c>
    </row>
    <row r="67" spans="16:17" x14ac:dyDescent="0.25">
      <c r="P67" s="1"/>
      <c r="Q67" s="1"/>
    </row>
    <row r="68" spans="16:17" x14ac:dyDescent="0.25">
      <c r="P68" s="1"/>
      <c r="Q68" s="1"/>
    </row>
    <row r="69" spans="16:17" x14ac:dyDescent="0.25">
      <c r="P69" s="1"/>
      <c r="Q69" s="1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DD7D-A76D-48ED-BCAE-0F6C212B246D}">
  <sheetPr codeName="Sheet4">
    <tabColor rgb="FFC00000"/>
  </sheetPr>
  <dimension ref="A1:AS98"/>
  <sheetViews>
    <sheetView showGridLines="0" topLeftCell="A11" zoomScaleNormal="100" workbookViewId="0">
      <pane xSplit="2" topLeftCell="C1" activePane="topRight" state="frozen"/>
      <selection activeCell="A49" sqref="A49"/>
      <selection pane="topRight" activeCell="M30" sqref="M30"/>
    </sheetView>
  </sheetViews>
  <sheetFormatPr defaultRowHeight="15" x14ac:dyDescent="0.25"/>
  <cols>
    <col min="1" max="1" width="11.5703125" bestFit="1" customWidth="1"/>
    <col min="2" max="2" width="18.5703125" bestFit="1" customWidth="1"/>
    <col min="3" max="3" width="18.140625" customWidth="1"/>
    <col min="4" max="4" width="10.42578125" customWidth="1"/>
    <col min="5" max="5" width="14.28515625" bestFit="1" customWidth="1"/>
    <col min="6" max="6" width="18.42578125" bestFit="1" customWidth="1"/>
    <col min="7" max="7" width="17.85546875" customWidth="1"/>
    <col min="8" max="9" width="18.5703125" bestFit="1" customWidth="1"/>
    <col min="10" max="10" width="19.140625" bestFit="1" customWidth="1"/>
    <col min="11" max="11" width="16.42578125" bestFit="1" customWidth="1"/>
    <col min="12" max="12" width="14.42578125" bestFit="1" customWidth="1"/>
    <col min="13" max="13" width="22.5703125" bestFit="1" customWidth="1"/>
    <col min="14" max="14" width="10.5703125" bestFit="1" customWidth="1"/>
    <col min="15" max="15" width="17.5703125" customWidth="1"/>
    <col min="16" max="16" width="13.85546875" customWidth="1"/>
    <col min="17" max="17" width="12.5703125" bestFit="1" customWidth="1"/>
    <col min="18" max="18" width="10.140625" customWidth="1"/>
    <col min="19" max="19" width="10.42578125" bestFit="1" customWidth="1"/>
    <col min="21" max="21" width="11.42578125" customWidth="1"/>
    <col min="23" max="23" width="16.140625" bestFit="1" customWidth="1"/>
    <col min="24" max="24" width="15.85546875" bestFit="1" customWidth="1"/>
    <col min="25" max="25" width="15.42578125" bestFit="1" customWidth="1"/>
    <col min="26" max="26" width="16.5703125" bestFit="1" customWidth="1"/>
    <col min="27" max="27" width="16.42578125" bestFit="1" customWidth="1"/>
    <col min="28" max="28" width="16" bestFit="1" customWidth="1"/>
    <col min="29" max="29" width="15.42578125" customWidth="1"/>
    <col min="30" max="30" width="16" bestFit="1" customWidth="1"/>
    <col min="31" max="31" width="17" bestFit="1" customWidth="1"/>
    <col min="34" max="35" width="18.140625" bestFit="1" customWidth="1"/>
    <col min="36" max="37" width="18.140625" customWidth="1"/>
    <col min="38" max="38" width="16.140625" bestFit="1" customWidth="1"/>
    <col min="39" max="39" width="15.42578125" bestFit="1" customWidth="1"/>
    <col min="40" max="40" width="14.42578125" bestFit="1" customWidth="1"/>
    <col min="41" max="41" width="25.42578125" bestFit="1" customWidth="1"/>
    <col min="42" max="42" width="17.5703125" bestFit="1" customWidth="1"/>
  </cols>
  <sheetData>
    <row r="1" spans="1:45" x14ac:dyDescent="0.25">
      <c r="A1" s="20" t="s">
        <v>30</v>
      </c>
      <c r="AH1" s="102" t="s">
        <v>66</v>
      </c>
      <c r="AI1" s="102"/>
      <c r="AJ1" s="102"/>
      <c r="AK1" s="102"/>
      <c r="AO1" s="50" t="s">
        <v>65</v>
      </c>
      <c r="AR1" t="s">
        <v>64</v>
      </c>
    </row>
    <row r="2" spans="1:45" x14ac:dyDescent="0.25">
      <c r="A2" s="33"/>
      <c r="B2" s="33"/>
      <c r="C2" s="61" t="s">
        <v>28</v>
      </c>
      <c r="D2" s="61" t="s">
        <v>27</v>
      </c>
      <c r="E2" s="61" t="s">
        <v>26</v>
      </c>
      <c r="F2" s="61" t="s">
        <v>25</v>
      </c>
      <c r="G2" s="61" t="s">
        <v>24</v>
      </c>
      <c r="H2" s="19" t="s">
        <v>23</v>
      </c>
      <c r="K2" s="60"/>
      <c r="M2" s="59" t="s">
        <v>21</v>
      </c>
      <c r="O2" s="33"/>
      <c r="P2" s="58" t="s">
        <v>9</v>
      </c>
      <c r="Q2" s="58" t="s">
        <v>8</v>
      </c>
      <c r="R2" s="33"/>
      <c r="S2" s="33"/>
      <c r="U2" s="57" t="s">
        <v>9</v>
      </c>
      <c r="V2" s="57" t="s">
        <v>8</v>
      </c>
      <c r="W2" s="35"/>
      <c r="X2" s="35"/>
      <c r="Z2" s="56" t="s">
        <v>20</v>
      </c>
      <c r="AA2" s="55" t="s">
        <v>19</v>
      </c>
      <c r="AB2" s="55" t="s">
        <v>18</v>
      </c>
      <c r="AC2" s="55" t="s">
        <v>63</v>
      </c>
      <c r="AD2" s="55" t="s">
        <v>17</v>
      </c>
      <c r="AE2" s="19" t="s">
        <v>51</v>
      </c>
      <c r="AH2" s="54" t="s">
        <v>9</v>
      </c>
      <c r="AI2" s="54" t="s">
        <v>8</v>
      </c>
      <c r="AJ2" s="129" t="s">
        <v>62</v>
      </c>
      <c r="AK2" s="54" t="s">
        <v>61</v>
      </c>
      <c r="AO2" s="50" t="s">
        <v>9</v>
      </c>
      <c r="AP2" s="50" t="s">
        <v>8</v>
      </c>
    </row>
    <row r="3" spans="1:45" x14ac:dyDescent="0.25">
      <c r="A3" s="33" t="str">
        <f>'S7'!A3</f>
        <v>KH T12</v>
      </c>
      <c r="B3" s="33"/>
      <c r="C3" s="103">
        <f>H3</f>
        <v>48578488545.356415</v>
      </c>
      <c r="D3" s="51"/>
      <c r="E3" s="53"/>
      <c r="F3" s="52"/>
      <c r="G3" s="51"/>
      <c r="H3" s="76">
        <v>48578488545.356415</v>
      </c>
      <c r="K3" s="44"/>
      <c r="M3" s="43"/>
      <c r="O3" s="33"/>
      <c r="P3" s="33"/>
      <c r="Q3" s="33"/>
      <c r="R3" s="33"/>
      <c r="S3" s="33"/>
      <c r="U3" s="35"/>
      <c r="V3" s="35"/>
      <c r="W3" s="35"/>
      <c r="X3" s="35"/>
      <c r="Z3" s="25"/>
      <c r="AA3" s="25"/>
      <c r="AB3" s="25"/>
      <c r="AC3" s="25"/>
      <c r="AD3" s="25"/>
      <c r="AH3" s="36"/>
      <c r="AI3" s="36"/>
      <c r="AJ3" s="36"/>
      <c r="AK3" s="36"/>
    </row>
    <row r="4" spans="1:45" x14ac:dyDescent="0.25">
      <c r="A4" s="33" t="s">
        <v>7</v>
      </c>
      <c r="B4" s="33" t="s">
        <v>16</v>
      </c>
      <c r="C4" s="32"/>
      <c r="D4" s="32">
        <f>C3+E3-F4</f>
        <v>33657980409.359306</v>
      </c>
      <c r="E4" s="31">
        <f t="shared" ref="E4:E21" si="0">IF(H4&gt;0,H4,0)</f>
        <v>0</v>
      </c>
      <c r="F4" s="30">
        <f t="shared" ref="F4:F21" si="1">IF(H4&lt;0,-H4,0)</f>
        <v>14920508135.997108</v>
      </c>
      <c r="G4" s="32"/>
      <c r="H4" s="39">
        <f t="shared" ref="H4:H18" si="2">M4</f>
        <v>-14920508135.997108</v>
      </c>
      <c r="K4" s="44"/>
      <c r="M4" s="43" cm="1">
        <f t="array" ref="M4:M6">TRANSPOSE(AA4:AC4)</f>
        <v>-14920508135.997108</v>
      </c>
      <c r="O4" s="49" t="s">
        <v>15</v>
      </c>
      <c r="P4" s="48">
        <v>4674.7700000000004</v>
      </c>
      <c r="Q4" s="48">
        <v>2255.1999999999998</v>
      </c>
      <c r="R4" s="48">
        <f t="shared" ref="R4:R18" si="3">Q4-P4</f>
        <v>-2419.5700000000006</v>
      </c>
      <c r="S4" s="47">
        <f t="shared" ref="S4:S18" si="4">R4/P4</f>
        <v>-0.5175805440695479</v>
      </c>
      <c r="T4" s="6"/>
      <c r="U4" s="35"/>
      <c r="V4" s="35"/>
      <c r="W4" s="35"/>
      <c r="X4" s="35"/>
      <c r="Z4" s="46">
        <f>SUM(AA4:AD4)</f>
        <v>-16821239489.123409</v>
      </c>
      <c r="AA4" s="45">
        <f>R4*(P5*U5-P6*10^3)</f>
        <v>-14920508135.997108</v>
      </c>
      <c r="AB4" s="45">
        <f>R5*Q4*U5</f>
        <v>-2868699025.7539849</v>
      </c>
      <c r="AC4" s="45">
        <f>-R6*Q4*10^3</f>
        <v>-2228749235.9099941</v>
      </c>
      <c r="AD4" s="45">
        <f>Q4*Q5*W5</f>
        <v>3196716908.5376773</v>
      </c>
      <c r="AE4" s="1">
        <v>-16821239489.123674</v>
      </c>
      <c r="AF4" s="18">
        <f>Z4-AE4</f>
        <v>2.651214599609375E-4</v>
      </c>
      <c r="AH4" s="34">
        <f>P4*(P5*U5-P6*10^3)</f>
        <v>28827413060.550095</v>
      </c>
      <c r="AI4" s="34">
        <f>Q4*(Q5*U5-Q6*10^3)</f>
        <v>8809456662.8890095</v>
      </c>
      <c r="AJ4" s="34">
        <f>AI4-AH4</f>
        <v>-20017956397.661087</v>
      </c>
      <c r="AK4" s="112">
        <f>AJ4/AH4</f>
        <v>-0.69440696449642147</v>
      </c>
      <c r="AL4" s="18"/>
      <c r="AM4" s="1">
        <f>Q4*(Q5*V5-Q6*10^3)</f>
        <v>12006173571.426683</v>
      </c>
      <c r="AN4" s="18">
        <f>AM4-AI4-AD4</f>
        <v>0</v>
      </c>
      <c r="AO4" s="1">
        <f>'S7'!AE4</f>
        <v>150673097500</v>
      </c>
      <c r="AP4" s="1">
        <f>'S7'!AF4</f>
        <v>69818934693.551987</v>
      </c>
      <c r="AR4" s="6">
        <f>AH4/AO4</f>
        <v>0.19132422136971131</v>
      </c>
      <c r="AS4" s="6">
        <f>AI4/AP4</f>
        <v>0.12617575306119061</v>
      </c>
    </row>
    <row r="5" spans="1:45" x14ac:dyDescent="0.25">
      <c r="A5" s="33"/>
      <c r="B5" s="33" t="s">
        <v>14</v>
      </c>
      <c r="C5" s="32"/>
      <c r="D5" s="32">
        <f t="shared" ref="D5:D21" si="5">D4+E4-F5</f>
        <v>30789281383.60532</v>
      </c>
      <c r="E5" s="31">
        <f t="shared" si="0"/>
        <v>0</v>
      </c>
      <c r="F5" s="30">
        <f t="shared" si="1"/>
        <v>2868699025.7539849</v>
      </c>
      <c r="G5" s="32"/>
      <c r="H5" s="39">
        <f>M5</f>
        <v>-2868699025.7539849</v>
      </c>
      <c r="I5" s="93">
        <f>H5*(1-13.11%)</f>
        <v>-2492612583.4776373</v>
      </c>
      <c r="K5" s="44"/>
      <c r="L5" s="18"/>
      <c r="M5" s="43">
        <v>-2868699025.7539849</v>
      </c>
      <c r="O5" s="33" t="s">
        <v>13</v>
      </c>
      <c r="P5" s="42">
        <v>1289.2450109844976</v>
      </c>
      <c r="Q5" s="42">
        <v>1238.3635099956011</v>
      </c>
      <c r="R5" s="42">
        <f t="shared" si="3"/>
        <v>-50.881500988896505</v>
      </c>
      <c r="S5" s="41">
        <f t="shared" si="4"/>
        <v>-3.9466122075618663E-2</v>
      </c>
      <c r="U5" s="40">
        <v>25000</v>
      </c>
      <c r="V5" s="40">
        <v>26144.645404061466</v>
      </c>
      <c r="W5" s="27">
        <f>V5-U5</f>
        <v>1144.6454040614663</v>
      </c>
      <c r="X5" s="26">
        <f>W5/U5</f>
        <v>4.5785816162458651E-2</v>
      </c>
      <c r="Z5" s="25"/>
      <c r="AA5" s="25"/>
      <c r="AB5" s="25"/>
      <c r="AC5" s="25"/>
      <c r="AD5" s="25"/>
      <c r="AH5" s="36"/>
      <c r="AI5" s="36"/>
      <c r="AJ5" s="36"/>
      <c r="AK5" s="36"/>
    </row>
    <row r="6" spans="1:45" x14ac:dyDescent="0.25">
      <c r="A6" s="33"/>
      <c r="B6" s="33" t="s">
        <v>60</v>
      </c>
      <c r="C6" s="32"/>
      <c r="D6" s="32">
        <f t="shared" si="5"/>
        <v>28560532147.695328</v>
      </c>
      <c r="E6" s="31">
        <f t="shared" si="0"/>
        <v>0</v>
      </c>
      <c r="F6" s="30">
        <f t="shared" si="1"/>
        <v>2228749235.9099941</v>
      </c>
      <c r="G6" s="32"/>
      <c r="H6" s="39">
        <f t="shared" si="2"/>
        <v>-2228749235.9099941</v>
      </c>
      <c r="I6" s="93">
        <f>H6*(1-13.11%)</f>
        <v>-1936560211.0821939</v>
      </c>
      <c r="K6" s="44"/>
      <c r="L6" s="18"/>
      <c r="M6" s="43">
        <v>-2228749235.9099941</v>
      </c>
      <c r="O6" s="33" t="s">
        <v>59</v>
      </c>
      <c r="P6" s="114">
        <v>26064.530327577595</v>
      </c>
      <c r="Q6" s="114">
        <v>27052.801538960175</v>
      </c>
      <c r="R6" s="114">
        <f t="shared" si="3"/>
        <v>988.27121138258008</v>
      </c>
      <c r="S6" s="41">
        <f t="shared" si="4"/>
        <v>3.791632532648935E-2</v>
      </c>
      <c r="U6" s="40"/>
      <c r="V6" s="40"/>
      <c r="W6" s="27"/>
      <c r="X6" s="26"/>
      <c r="Z6" s="25"/>
      <c r="AA6" s="25"/>
      <c r="AB6" s="25"/>
      <c r="AC6" s="25"/>
      <c r="AD6" s="25"/>
      <c r="AH6" s="36"/>
      <c r="AI6" s="36"/>
      <c r="AJ6" s="36"/>
      <c r="AK6" s="36"/>
    </row>
    <row r="7" spans="1:45" x14ac:dyDescent="0.25">
      <c r="A7" s="128" t="s">
        <v>6</v>
      </c>
      <c r="B7" s="128" t="s">
        <v>16</v>
      </c>
      <c r="C7" s="125"/>
      <c r="D7" s="125">
        <f t="shared" si="5"/>
        <v>24788292582.854317</v>
      </c>
      <c r="E7" s="127">
        <f t="shared" si="0"/>
        <v>0</v>
      </c>
      <c r="F7" s="126">
        <f t="shared" si="1"/>
        <v>3772239564.8410091</v>
      </c>
      <c r="G7" s="125"/>
      <c r="H7" s="124">
        <f t="shared" si="2"/>
        <v>-3772239564.8410091</v>
      </c>
      <c r="K7" s="44"/>
      <c r="M7" s="43" cm="1">
        <f t="array" ref="M7:M9">TRANSPOSE(AA7:AC7)</f>
        <v>-3772239564.8410091</v>
      </c>
      <c r="O7" s="49" t="s">
        <v>15</v>
      </c>
      <c r="P7" s="48">
        <v>916</v>
      </c>
      <c r="Q7" s="48">
        <v>272.5</v>
      </c>
      <c r="R7" s="48">
        <f t="shared" si="3"/>
        <v>-643.5</v>
      </c>
      <c r="S7" s="47">
        <f t="shared" si="4"/>
        <v>-0.70251091703056767</v>
      </c>
      <c r="U7" s="35"/>
      <c r="V7" s="35"/>
      <c r="W7" s="35"/>
      <c r="X7" s="35"/>
      <c r="Z7" s="46">
        <f>SUM(AA7:AD7)</f>
        <v>-4157818960.5794287</v>
      </c>
      <c r="AA7" s="45">
        <f>R7*(P8*U8-P9*10^3)</f>
        <v>-3772239564.8410091</v>
      </c>
      <c r="AB7" s="45">
        <f>R8*Q7*U8</f>
        <v>-569172805.84211791</v>
      </c>
      <c r="AC7" s="45">
        <f>-R9*Q7*10^3</f>
        <v>-204810754.7951895</v>
      </c>
      <c r="AD7" s="45">
        <f>Q7*Q8*W8</f>
        <v>388404164.89888847</v>
      </c>
      <c r="AE7" s="1">
        <v>-4157818960.5794315</v>
      </c>
      <c r="AF7" s="18">
        <f>Z7-AE7</f>
        <v>0</v>
      </c>
      <c r="AH7" s="34">
        <f>P7*(P8*U8-P9*10^3)</f>
        <v>5369652589.5794315</v>
      </c>
      <c r="AI7" s="34">
        <f>Q7*(Q8*U8-Q9*10^3)</f>
        <v>823429464.10111511</v>
      </c>
      <c r="AJ7" s="34">
        <f>AI7-AH7</f>
        <v>-4546223125.4783163</v>
      </c>
      <c r="AK7" s="112">
        <f>AJ7/AH7</f>
        <v>-0.84665125902202754</v>
      </c>
      <c r="AL7" s="18"/>
      <c r="AM7" s="1">
        <f>Q7*(Q8*V8-Q9*10^3)</f>
        <v>1211833629.0000036</v>
      </c>
      <c r="AN7" s="18">
        <f>AM7-AI7-AD7</f>
        <v>0</v>
      </c>
      <c r="AO7" s="1">
        <f>'S7'!AE6</f>
        <v>30613000000</v>
      </c>
      <c r="AP7" s="1">
        <f>'S7'!AF6</f>
        <v>8537860491.1011133</v>
      </c>
      <c r="AR7" s="6">
        <f>AH7/AO7</f>
        <v>0.17540432461958749</v>
      </c>
      <c r="AS7" s="6">
        <f>AI7/AP7</f>
        <v>9.6444473994317839E-2</v>
      </c>
    </row>
    <row r="8" spans="1:45" x14ac:dyDescent="0.25">
      <c r="A8" s="33"/>
      <c r="B8" s="33" t="s">
        <v>14</v>
      </c>
      <c r="C8" s="121"/>
      <c r="D8" s="121">
        <f t="shared" si="5"/>
        <v>24219119777.012199</v>
      </c>
      <c r="E8" s="123">
        <f t="shared" si="0"/>
        <v>0</v>
      </c>
      <c r="F8" s="122">
        <f t="shared" si="1"/>
        <v>569172805.84211791</v>
      </c>
      <c r="G8" s="121"/>
      <c r="H8" s="120">
        <f t="shared" si="2"/>
        <v>-569172805.84211791</v>
      </c>
      <c r="K8" s="44"/>
      <c r="L8" s="18"/>
      <c r="M8" s="43">
        <v>-569172805.84211791</v>
      </c>
      <c r="O8" s="33" t="s">
        <v>13</v>
      </c>
      <c r="P8" s="42">
        <v>1336.8122270742358</v>
      </c>
      <c r="Q8" s="42">
        <v>1253.263925299246</v>
      </c>
      <c r="R8" s="42">
        <f t="shared" si="3"/>
        <v>-83.548301774989795</v>
      </c>
      <c r="S8" s="41">
        <f t="shared" si="4"/>
        <v>-6.2498157993246865E-2</v>
      </c>
      <c r="U8" s="40">
        <v>25000</v>
      </c>
      <c r="V8" s="40">
        <v>26137.299459576894</v>
      </c>
      <c r="W8" s="27">
        <f>V8-U8</f>
        <v>1137.2994595768942</v>
      </c>
      <c r="X8" s="26">
        <f>W8/U8</f>
        <v>4.5491978383075768E-2</v>
      </c>
      <c r="Z8" s="25"/>
      <c r="AA8" s="25"/>
      <c r="AB8" s="25"/>
      <c r="AC8" s="25"/>
      <c r="AD8" s="25"/>
      <c r="AH8" s="36"/>
      <c r="AI8" s="36"/>
      <c r="AJ8" s="36"/>
      <c r="AK8" s="36"/>
    </row>
    <row r="9" spans="1:45" x14ac:dyDescent="0.25">
      <c r="A9" s="119"/>
      <c r="B9" s="119" t="s">
        <v>60</v>
      </c>
      <c r="C9" s="116"/>
      <c r="D9" s="116">
        <f t="shared" si="5"/>
        <v>24014309022.21701</v>
      </c>
      <c r="E9" s="118">
        <f t="shared" si="0"/>
        <v>0</v>
      </c>
      <c r="F9" s="117">
        <f t="shared" si="1"/>
        <v>204810754.7951895</v>
      </c>
      <c r="G9" s="116"/>
      <c r="H9" s="115">
        <f t="shared" si="2"/>
        <v>-204810754.7951895</v>
      </c>
      <c r="K9" s="44"/>
      <c r="L9" s="18"/>
      <c r="M9" s="43">
        <v>-204810754.7951895</v>
      </c>
      <c r="O9" s="33" t="s">
        <v>59</v>
      </c>
      <c r="P9" s="114">
        <v>27558.239531026822</v>
      </c>
      <c r="Q9" s="114">
        <v>28309.838631192655</v>
      </c>
      <c r="R9" s="114">
        <f t="shared" si="3"/>
        <v>751.59910016583308</v>
      </c>
      <c r="S9" s="41">
        <f t="shared" si="4"/>
        <v>2.7273117331012196E-2</v>
      </c>
      <c r="U9" s="40"/>
      <c r="V9" s="40"/>
      <c r="W9" s="27"/>
      <c r="X9" s="26"/>
      <c r="Z9" s="25"/>
      <c r="AA9" s="25"/>
      <c r="AB9" s="25"/>
      <c r="AC9" s="25"/>
      <c r="AD9" s="25"/>
      <c r="AH9" s="36"/>
      <c r="AI9" s="36"/>
      <c r="AJ9" s="36"/>
      <c r="AK9" s="36"/>
    </row>
    <row r="10" spans="1:45" x14ac:dyDescent="0.25">
      <c r="A10" s="33" t="s">
        <v>5</v>
      </c>
      <c r="B10" s="33" t="s">
        <v>16</v>
      </c>
      <c r="C10" s="32"/>
      <c r="D10" s="32">
        <f t="shared" si="5"/>
        <v>23761224146.822922</v>
      </c>
      <c r="E10" s="31">
        <f t="shared" si="0"/>
        <v>0</v>
      </c>
      <c r="F10" s="30">
        <f t="shared" si="1"/>
        <v>253084875.39408988</v>
      </c>
      <c r="G10" s="32"/>
      <c r="H10" s="39">
        <f t="shared" si="2"/>
        <v>-253084875.39408988</v>
      </c>
      <c r="K10" s="44"/>
      <c r="M10" s="43" cm="1">
        <f t="array" ref="M10:M12">TRANSPOSE(AA10:AC10)</f>
        <v>-253084875.39408988</v>
      </c>
      <c r="O10" s="49" t="s">
        <v>15</v>
      </c>
      <c r="P10" s="48">
        <v>162.75</v>
      </c>
      <c r="Q10" s="48">
        <v>115.15</v>
      </c>
      <c r="R10" s="48">
        <f t="shared" si="3"/>
        <v>-47.599999999999994</v>
      </c>
      <c r="S10" s="47">
        <f t="shared" si="4"/>
        <v>-0.29247311827956984</v>
      </c>
      <c r="U10" s="35"/>
      <c r="V10" s="35"/>
      <c r="W10" s="35"/>
      <c r="X10" s="35"/>
      <c r="Z10" s="46">
        <f>SUM(AA10:AD10)</f>
        <v>-1772064774.3478425</v>
      </c>
      <c r="AA10" s="45">
        <f>R10*(P11*U11-P12*10^3)</f>
        <v>-253084875.39408988</v>
      </c>
      <c r="AB10" s="45">
        <f>R11*Q10*U11</f>
        <v>-396797673.08420211</v>
      </c>
      <c r="AC10" s="45">
        <f>-R12*Q10*10^3</f>
        <v>-1212489980.5275903</v>
      </c>
      <c r="AD10" s="45">
        <f>Q10*Q11*W11</f>
        <v>90307754.658039823</v>
      </c>
      <c r="AE10" s="1">
        <v>-1772064774.3478427</v>
      </c>
      <c r="AF10" s="18">
        <f>Z10-AE10</f>
        <v>0</v>
      </c>
      <c r="AH10" s="34">
        <f>P10*(P11*U11-P12*10^3)</f>
        <v>865326963.6636163</v>
      </c>
      <c r="AI10" s="34">
        <f>Q10*(Q11*U11-Q12*10^3)</f>
        <v>-997045565.34226608</v>
      </c>
      <c r="AJ10" s="34">
        <f>AI10-AH10</f>
        <v>-1862372529.0058823</v>
      </c>
      <c r="AK10" s="112">
        <f>AJ10/AH10</f>
        <v>-2.1522183026875532</v>
      </c>
      <c r="AL10" s="18"/>
      <c r="AM10" s="1">
        <f>Q10*(Q11*V11-Q12*10^3)</f>
        <v>-906737810.68422627</v>
      </c>
      <c r="AN10" s="18">
        <f>AM10-AI10-AD10</f>
        <v>0</v>
      </c>
      <c r="AO10" s="1">
        <f>'S7'!AE8</f>
        <v>3366562500</v>
      </c>
      <c r="AP10" s="1">
        <f>'S7'!AF8</f>
        <v>1985135794.6577332</v>
      </c>
      <c r="AR10" s="6">
        <f>AH10/AO10</f>
        <v>0.25703576382842031</v>
      </c>
      <c r="AS10" s="6">
        <f>AI10/AP10</f>
        <v>-0.50225559784144214</v>
      </c>
    </row>
    <row r="11" spans="1:45" x14ac:dyDescent="0.25">
      <c r="A11" s="33"/>
      <c r="B11" s="33" t="s">
        <v>14</v>
      </c>
      <c r="C11" s="32"/>
      <c r="D11" s="32">
        <f t="shared" si="5"/>
        <v>23364426473.73872</v>
      </c>
      <c r="E11" s="31">
        <f t="shared" si="0"/>
        <v>0</v>
      </c>
      <c r="F11" s="30">
        <f t="shared" si="1"/>
        <v>396797673.08420211</v>
      </c>
      <c r="G11" s="32"/>
      <c r="H11" s="39">
        <f t="shared" si="2"/>
        <v>-396797673.08420211</v>
      </c>
      <c r="K11" s="44"/>
      <c r="L11" s="18"/>
      <c r="M11" s="43">
        <v>-396797673.08420211</v>
      </c>
      <c r="O11" s="33" t="s">
        <v>13</v>
      </c>
      <c r="P11" s="42">
        <v>827.41935483870964</v>
      </c>
      <c r="Q11" s="42">
        <v>689.58256002005498</v>
      </c>
      <c r="R11" s="42">
        <f t="shared" si="3"/>
        <v>-137.83679481865465</v>
      </c>
      <c r="S11" s="41">
        <f t="shared" si="4"/>
        <v>-0.16658637970285747</v>
      </c>
      <c r="U11" s="40">
        <v>25000</v>
      </c>
      <c r="V11" s="40">
        <v>26137.299459576898</v>
      </c>
      <c r="W11" s="27">
        <f>V11-U11</f>
        <v>1137.2994595768978</v>
      </c>
      <c r="X11" s="26">
        <f>W11/U11</f>
        <v>4.5491978383075914E-2</v>
      </c>
      <c r="Z11" s="25"/>
      <c r="AA11" s="25"/>
      <c r="AB11" s="25"/>
      <c r="AC11" s="25"/>
      <c r="AD11" s="25"/>
      <c r="AH11" s="36"/>
      <c r="AI11" s="36"/>
      <c r="AJ11" s="36"/>
      <c r="AK11" s="36"/>
    </row>
    <row r="12" spans="1:45" x14ac:dyDescent="0.25">
      <c r="A12" s="33"/>
      <c r="B12" s="33" t="s">
        <v>60</v>
      </c>
      <c r="C12" s="32"/>
      <c r="D12" s="32">
        <f t="shared" si="5"/>
        <v>22151936493.211128</v>
      </c>
      <c r="E12" s="31">
        <f t="shared" si="0"/>
        <v>0</v>
      </c>
      <c r="F12" s="30">
        <f t="shared" si="1"/>
        <v>1212489980.5275903</v>
      </c>
      <c r="G12" s="32"/>
      <c r="H12" s="39">
        <f t="shared" si="2"/>
        <v>-1212489980.5275903</v>
      </c>
      <c r="K12" s="44"/>
      <c r="L12" s="18"/>
      <c r="M12" s="43">
        <v>-1212489980.5275903</v>
      </c>
      <c r="O12" s="33" t="s">
        <v>59</v>
      </c>
      <c r="P12" s="114">
        <v>15368.57472403308</v>
      </c>
      <c r="Q12" s="114">
        <v>25898.231524098996</v>
      </c>
      <c r="R12" s="114">
        <f t="shared" si="3"/>
        <v>10529.656800065915</v>
      </c>
      <c r="S12" s="41">
        <f t="shared" si="4"/>
        <v>0.68514205052468802</v>
      </c>
      <c r="U12" s="40"/>
      <c r="V12" s="40"/>
      <c r="W12" s="27"/>
      <c r="X12" s="26"/>
      <c r="Z12" s="25"/>
      <c r="AA12" s="25"/>
      <c r="AB12" s="25"/>
      <c r="AC12" s="25"/>
      <c r="AD12" s="25"/>
      <c r="AH12" s="36"/>
      <c r="AI12" s="36"/>
      <c r="AJ12" s="36"/>
      <c r="AK12" s="36"/>
    </row>
    <row r="13" spans="1:45" x14ac:dyDescent="0.25">
      <c r="A13" s="128" t="s">
        <v>4</v>
      </c>
      <c r="B13" s="128" t="s">
        <v>16</v>
      </c>
      <c r="C13" s="125"/>
      <c r="D13" s="125">
        <f t="shared" si="5"/>
        <v>22151936493.211128</v>
      </c>
      <c r="E13" s="127">
        <f t="shared" si="0"/>
        <v>276705243.72387075</v>
      </c>
      <c r="F13" s="126">
        <f t="shared" si="1"/>
        <v>0</v>
      </c>
      <c r="G13" s="125"/>
      <c r="H13" s="124">
        <f t="shared" si="2"/>
        <v>276705243.72387075</v>
      </c>
      <c r="K13" s="44"/>
      <c r="M13" s="43" cm="1">
        <f t="array" ref="M13:M15">TRANSPOSE(AA13:AC13)</f>
        <v>276705243.72387075</v>
      </c>
      <c r="O13" s="49" t="s">
        <v>15</v>
      </c>
      <c r="P13" s="48">
        <v>87.44</v>
      </c>
      <c r="Q13" s="48">
        <v>23.75</v>
      </c>
      <c r="R13" s="48">
        <f t="shared" si="3"/>
        <v>-63.69</v>
      </c>
      <c r="S13" s="47">
        <f t="shared" si="4"/>
        <v>-0.72838517840805128</v>
      </c>
      <c r="T13" s="50"/>
      <c r="U13" s="35"/>
      <c r="V13" s="35"/>
      <c r="W13" s="35"/>
      <c r="X13" s="35"/>
      <c r="Z13" s="46">
        <f>SUM(AA13:AD13)</f>
        <v>147827649.78780216</v>
      </c>
      <c r="AA13" s="45">
        <f>R13*(P14*U14-P15*10^3)</f>
        <v>276705243.72387075</v>
      </c>
      <c r="AB13" s="45">
        <f>R14*Q13*U14</f>
        <v>-77692395.762454897</v>
      </c>
      <c r="AC13" s="45">
        <f>-R15*Q13*10^3</f>
        <v>-71765672.770544976</v>
      </c>
      <c r="AD13" s="45">
        <f>Q13*Q14*W14</f>
        <v>20580474.59693129</v>
      </c>
      <c r="AE13" s="1">
        <v>147827649.78780273</v>
      </c>
      <c r="AF13" s="18">
        <f>Z13-AE13</f>
        <v>-5.6624412536621094E-7</v>
      </c>
      <c r="AH13" s="34">
        <f>P13*(P14*U14-P15*10^3)</f>
        <v>-379888624.76393872</v>
      </c>
      <c r="AI13" s="34">
        <f>Q13*(Q14*U14-Q15*10^3)</f>
        <v>-252641449.5730679</v>
      </c>
      <c r="AJ13" s="34">
        <f>AI13-AH13</f>
        <v>127247175.19087082</v>
      </c>
      <c r="AK13" s="112">
        <f>AJ13/AH13</f>
        <v>-0.33495916143828131</v>
      </c>
      <c r="AL13" s="18"/>
      <c r="AM13" s="1">
        <f>Q13*(Q14*V14-Q15*10^3)</f>
        <v>-232060974.9761366</v>
      </c>
      <c r="AN13" s="18">
        <f>AM13-AI13-AD13</f>
        <v>0</v>
      </c>
      <c r="AO13" s="1">
        <f>'S7'!AE10</f>
        <v>1951625000</v>
      </c>
      <c r="AP13" s="1">
        <f>'S7'!AF10</f>
        <v>452397880.4269321</v>
      </c>
      <c r="AR13" s="6">
        <f>AH13/AO13</f>
        <v>-0.19465246897530966</v>
      </c>
      <c r="AS13" s="6">
        <f>AI13/AP13</f>
        <v>-0.55844967561441228</v>
      </c>
    </row>
    <row r="14" spans="1:45" x14ac:dyDescent="0.25">
      <c r="A14" s="33"/>
      <c r="B14" s="33" t="s">
        <v>14</v>
      </c>
      <c r="C14" s="121"/>
      <c r="D14" s="121">
        <f t="shared" si="5"/>
        <v>22350949341.172543</v>
      </c>
      <c r="E14" s="123">
        <f t="shared" si="0"/>
        <v>0</v>
      </c>
      <c r="F14" s="122">
        <f t="shared" si="1"/>
        <v>77692395.762454897</v>
      </c>
      <c r="G14" s="121"/>
      <c r="H14" s="120">
        <f t="shared" si="2"/>
        <v>-77692395.762454897</v>
      </c>
      <c r="K14" s="44"/>
      <c r="L14" s="18"/>
      <c r="M14" s="43">
        <v>-77692395.762454897</v>
      </c>
      <c r="O14" s="33" t="s">
        <v>13</v>
      </c>
      <c r="P14" s="42">
        <v>892.7836230558097</v>
      </c>
      <c r="Q14" s="42">
        <v>761.93327229799092</v>
      </c>
      <c r="R14" s="42">
        <f t="shared" si="3"/>
        <v>-130.85035075781877</v>
      </c>
      <c r="S14" s="41">
        <f t="shared" si="4"/>
        <v>-0.14656446128564241</v>
      </c>
      <c r="U14" s="40">
        <v>25000</v>
      </c>
      <c r="V14" s="40">
        <v>26137.299459576894</v>
      </c>
      <c r="W14" s="27">
        <f>V14-U14</f>
        <v>1137.2994595768942</v>
      </c>
      <c r="X14" s="26">
        <f>W14/U14</f>
        <v>4.5491978383075768E-2</v>
      </c>
      <c r="Z14" s="25"/>
      <c r="AA14" s="25"/>
      <c r="AB14" s="25"/>
      <c r="AC14" s="25"/>
      <c r="AD14" s="25"/>
      <c r="AH14" s="36"/>
      <c r="AI14" s="36"/>
      <c r="AJ14" s="36"/>
      <c r="AK14" s="36"/>
    </row>
    <row r="15" spans="1:45" x14ac:dyDescent="0.25">
      <c r="A15" s="119"/>
      <c r="B15" s="119" t="s">
        <v>60</v>
      </c>
      <c r="C15" s="116"/>
      <c r="D15" s="116">
        <f t="shared" si="5"/>
        <v>22279183668.401997</v>
      </c>
      <c r="E15" s="118">
        <f t="shared" si="0"/>
        <v>0</v>
      </c>
      <c r="F15" s="117">
        <f t="shared" si="1"/>
        <v>71765672.770544976</v>
      </c>
      <c r="G15" s="116"/>
      <c r="H15" s="115">
        <f t="shared" si="2"/>
        <v>-71765672.770544976</v>
      </c>
      <c r="K15" s="44"/>
      <c r="L15" s="18"/>
      <c r="M15" s="43">
        <v>-71765672.770544976</v>
      </c>
      <c r="O15" s="33" t="s">
        <v>59</v>
      </c>
      <c r="P15" s="114">
        <v>26664.153988608632</v>
      </c>
      <c r="Q15" s="114">
        <v>29685.866526315789</v>
      </c>
      <c r="R15" s="114">
        <f t="shared" si="3"/>
        <v>3021.712537707157</v>
      </c>
      <c r="S15" s="41">
        <f t="shared" si="4"/>
        <v>0.1133248982509658</v>
      </c>
      <c r="U15" s="40"/>
      <c r="V15" s="40"/>
      <c r="W15" s="27"/>
      <c r="X15" s="26"/>
      <c r="Z15" s="25"/>
      <c r="AA15" s="25"/>
      <c r="AB15" s="25"/>
      <c r="AC15" s="25"/>
      <c r="AD15" s="25"/>
      <c r="AH15" s="36"/>
      <c r="AI15" s="36"/>
      <c r="AJ15" s="36"/>
      <c r="AK15" s="36"/>
    </row>
    <row r="16" spans="1:45" x14ac:dyDescent="0.25">
      <c r="A16" s="128" t="s">
        <v>3</v>
      </c>
      <c r="B16" s="128" t="s">
        <v>16</v>
      </c>
      <c r="C16" s="125"/>
      <c r="D16" s="125">
        <f t="shared" si="5"/>
        <v>22278923941.862881</v>
      </c>
      <c r="E16" s="127">
        <f t="shared" si="0"/>
        <v>0</v>
      </c>
      <c r="F16" s="126">
        <f t="shared" si="1"/>
        <v>259726.53911558271</v>
      </c>
      <c r="G16" s="125"/>
      <c r="H16" s="124">
        <f t="shared" si="2"/>
        <v>-259726.53911558271</v>
      </c>
      <c r="K16" s="44"/>
      <c r="M16" s="43" cm="1">
        <f t="array" ref="M16:M18">TRANSPOSE(AA16:AC16)</f>
        <v>-259726.53911558271</v>
      </c>
      <c r="O16" s="49" t="s">
        <v>15</v>
      </c>
      <c r="P16" s="48">
        <v>100</v>
      </c>
      <c r="Q16" s="48">
        <v>110.05</v>
      </c>
      <c r="R16" s="48">
        <f t="shared" si="3"/>
        <v>10.049999999999997</v>
      </c>
      <c r="S16" s="47">
        <f t="shared" si="4"/>
        <v>0.10049999999999998</v>
      </c>
      <c r="U16" s="35"/>
      <c r="V16" s="35"/>
      <c r="W16" s="35"/>
      <c r="X16" s="35"/>
      <c r="Z16" s="46">
        <f>SUM(AA16:AD16)</f>
        <v>-850552288.30301905</v>
      </c>
      <c r="AA16" s="45">
        <f>R16*(P17*U17-P18*10^3)</f>
        <v>-259726.53911558271</v>
      </c>
      <c r="AB16" s="45">
        <f>R17*Q16*U17</f>
        <v>-1087146336.419266</v>
      </c>
      <c r="AC16" s="45">
        <f>-R18*Q16*10^3</f>
        <v>148634426.21190727</v>
      </c>
      <c r="AD16" s="45">
        <f>Q16*Q17*W17</f>
        <v>88219348.443455383</v>
      </c>
      <c r="AE16" s="1">
        <v>-850552288.30301845</v>
      </c>
      <c r="AF16" s="18">
        <f>Z16-AE16</f>
        <v>0</v>
      </c>
      <c r="AH16" s="34">
        <f>P16*(P17*U17-P18*10^3)</f>
        <v>-2584343.6727918684</v>
      </c>
      <c r="AI16" s="34">
        <f>Q16*(Q17*U17-Q18*10^3)</f>
        <v>-941355980.4192661</v>
      </c>
      <c r="AJ16" s="34">
        <f>AI16-AH16</f>
        <v>-938771636.74647427</v>
      </c>
      <c r="AK16" s="112">
        <f>AJ16/AH16</f>
        <v>363.25340419307258</v>
      </c>
      <c r="AL16" s="18"/>
      <c r="AM16" s="1">
        <f>Q16*(Q17*V17-Q18*10^3)</f>
        <v>-853136631.97581065</v>
      </c>
      <c r="AN16" s="18">
        <f>AM16-AI16-AD16</f>
        <v>0</v>
      </c>
      <c r="AO16" s="1">
        <f>'S7'!AE12</f>
        <v>2750000000</v>
      </c>
      <c r="AP16" s="1">
        <f>'S7'!AF12</f>
        <v>1939228663.580734</v>
      </c>
      <c r="AR16" s="6">
        <f>AH16/AO16</f>
        <v>-9.397613355606794E-4</v>
      </c>
      <c r="AS16" s="6">
        <f>AI16/AP16</f>
        <v>-0.48542804574736298</v>
      </c>
    </row>
    <row r="17" spans="1:45" x14ac:dyDescent="0.25">
      <c r="A17" s="33"/>
      <c r="B17" s="33" t="s">
        <v>14</v>
      </c>
      <c r="C17" s="121"/>
      <c r="D17" s="121">
        <f t="shared" si="5"/>
        <v>21191777605.443615</v>
      </c>
      <c r="E17" s="123">
        <f t="shared" si="0"/>
        <v>0</v>
      </c>
      <c r="F17" s="122">
        <f t="shared" si="1"/>
        <v>1087146336.419266</v>
      </c>
      <c r="G17" s="121"/>
      <c r="H17" s="120">
        <f t="shared" si="2"/>
        <v>-1087146336.419266</v>
      </c>
      <c r="K17" s="44"/>
      <c r="L17" s="18"/>
      <c r="M17" s="43">
        <v>-1087146336.419266</v>
      </c>
      <c r="O17" s="33" t="s">
        <v>13</v>
      </c>
      <c r="P17" s="42">
        <v>1100</v>
      </c>
      <c r="Q17" s="42">
        <v>704.85367145142538</v>
      </c>
      <c r="R17" s="42">
        <f t="shared" si="3"/>
        <v>-395.14632854857462</v>
      </c>
      <c r="S17" s="41">
        <f t="shared" si="4"/>
        <v>-0.35922393504415873</v>
      </c>
      <c r="U17" s="40">
        <v>25000</v>
      </c>
      <c r="V17" s="40">
        <v>26137.299459576891</v>
      </c>
      <c r="W17" s="27">
        <f>V17-U17</f>
        <v>1137.2994595768905</v>
      </c>
      <c r="X17" s="26">
        <f>W17/U17</f>
        <v>4.5491978383075622E-2</v>
      </c>
      <c r="Z17" s="25"/>
      <c r="AA17" s="25"/>
      <c r="AB17" s="25"/>
      <c r="AC17" s="25"/>
      <c r="AD17" s="25"/>
      <c r="AH17" s="36"/>
      <c r="AI17" s="36"/>
      <c r="AJ17" s="36"/>
      <c r="AK17" s="36"/>
    </row>
    <row r="18" spans="1:45" x14ac:dyDescent="0.25">
      <c r="A18" s="119"/>
      <c r="B18" s="119" t="s">
        <v>60</v>
      </c>
      <c r="C18" s="116"/>
      <c r="D18" s="116">
        <f t="shared" si="5"/>
        <v>21191777605.443615</v>
      </c>
      <c r="E18" s="118">
        <f t="shared" si="0"/>
        <v>148634426.21190727</v>
      </c>
      <c r="F18" s="117">
        <f t="shared" si="1"/>
        <v>0</v>
      </c>
      <c r="G18" s="116"/>
      <c r="H18" s="115">
        <f t="shared" si="2"/>
        <v>148634426.21190727</v>
      </c>
      <c r="K18" s="44"/>
      <c r="L18" s="18"/>
      <c r="M18" s="43">
        <v>148634426.21190727</v>
      </c>
      <c r="O18" s="33" t="s">
        <v>59</v>
      </c>
      <c r="P18" s="114">
        <v>27525.843436727919</v>
      </c>
      <c r="Q18" s="114">
        <v>26175.235293048616</v>
      </c>
      <c r="R18" s="114">
        <f t="shared" si="3"/>
        <v>-1350.6081436793029</v>
      </c>
      <c r="S18" s="41">
        <f t="shared" si="4"/>
        <v>-4.9066912219560811E-2</v>
      </c>
      <c r="U18" s="40"/>
      <c r="V18" s="40"/>
      <c r="W18" s="27"/>
      <c r="X18" s="26"/>
      <c r="Z18" s="25"/>
      <c r="AA18" s="25"/>
      <c r="AB18" s="25"/>
      <c r="AC18" s="25"/>
      <c r="AD18" s="25"/>
      <c r="AH18" s="36"/>
      <c r="AI18" s="36"/>
      <c r="AJ18" s="36"/>
      <c r="AK18" s="36"/>
    </row>
    <row r="19" spans="1:45" x14ac:dyDescent="0.25">
      <c r="A19" s="33" t="s">
        <v>12</v>
      </c>
      <c r="B19" s="33"/>
      <c r="C19" s="32"/>
      <c r="D19" s="32">
        <f t="shared" si="5"/>
        <v>21340412031.655521</v>
      </c>
      <c r="E19" s="31">
        <f t="shared" si="0"/>
        <v>3784228651.1349926</v>
      </c>
      <c r="F19" s="30">
        <f t="shared" si="1"/>
        <v>0</v>
      </c>
      <c r="G19" s="32"/>
      <c r="H19" s="39">
        <f>M19</f>
        <v>3784228651.1349926</v>
      </c>
      <c r="K19" s="38"/>
      <c r="M19" s="37">
        <f>AD4+AD7+AD10+AD13+AD16</f>
        <v>3784228651.1349926</v>
      </c>
      <c r="U19" s="35"/>
      <c r="V19" s="35"/>
      <c r="W19" s="35"/>
      <c r="X19" s="35"/>
      <c r="Z19" s="25"/>
      <c r="AA19" s="25"/>
      <c r="AB19" s="25"/>
      <c r="AC19" s="25"/>
      <c r="AD19" s="25"/>
      <c r="AH19" s="36"/>
      <c r="AI19" s="36"/>
      <c r="AJ19" s="36"/>
      <c r="AK19" s="36"/>
    </row>
    <row r="20" spans="1:45" x14ac:dyDescent="0.25">
      <c r="A20" s="33" t="s">
        <v>1</v>
      </c>
      <c r="B20" s="33"/>
      <c r="C20" s="32"/>
      <c r="D20" s="32">
        <f t="shared" si="5"/>
        <v>25124640682.790512</v>
      </c>
      <c r="E20" s="31">
        <f t="shared" si="0"/>
        <v>20245328279.2864</v>
      </c>
      <c r="F20" s="30">
        <f t="shared" si="1"/>
        <v>0</v>
      </c>
      <c r="G20" s="32"/>
      <c r="H20" s="98">
        <f>H22-SUM(H3:H19,H21)</f>
        <v>20245328279.2864</v>
      </c>
      <c r="I20" s="113"/>
      <c r="U20" s="35"/>
      <c r="V20" s="35"/>
      <c r="W20" s="35"/>
      <c r="X20" s="35"/>
      <c r="Z20" s="25"/>
      <c r="AA20" s="25"/>
      <c r="AB20" s="25"/>
      <c r="AC20" s="25"/>
      <c r="AD20" s="25"/>
      <c r="AH20" s="34">
        <f>AH22-SUM(AH3:AH19)</f>
        <v>13898568900</v>
      </c>
      <c r="AI20" s="34">
        <f>AI22-SUM(AI3:AI19)</f>
        <v>23940502720.209213</v>
      </c>
      <c r="AJ20" s="34">
        <f>AI20-AH20</f>
        <v>10041933820.209213</v>
      </c>
      <c r="AK20" s="112">
        <f>AJ20/AH20</f>
        <v>0.72251566995571848</v>
      </c>
      <c r="AO20" s="1">
        <f>'S7'!AE15</f>
        <v>18507918900</v>
      </c>
      <c r="AP20" s="1">
        <f>'S7'!AF15</f>
        <v>14917296406.546509</v>
      </c>
    </row>
    <row r="21" spans="1:45" x14ac:dyDescent="0.25">
      <c r="A21" s="33" t="s">
        <v>111</v>
      </c>
      <c r="B21" s="33"/>
      <c r="C21" s="32"/>
      <c r="D21" s="32">
        <f t="shared" si="5"/>
        <v>35166574502.999733</v>
      </c>
      <c r="E21" s="31">
        <f t="shared" si="0"/>
        <v>0</v>
      </c>
      <c r="F21" s="30">
        <f t="shared" si="1"/>
        <v>10203394459.077179</v>
      </c>
      <c r="G21" s="32"/>
      <c r="H21" s="98">
        <f>G27-C27</f>
        <v>-10203394459.077179</v>
      </c>
      <c r="I21" s="113"/>
      <c r="U21" s="35"/>
      <c r="V21" s="35"/>
      <c r="W21" s="35"/>
      <c r="X21" s="35"/>
      <c r="Z21" s="25"/>
      <c r="AA21" s="25"/>
      <c r="AB21" s="25"/>
      <c r="AC21" s="25"/>
      <c r="AD21" s="25"/>
      <c r="AH21" s="34"/>
      <c r="AI21" s="34"/>
      <c r="AJ21" s="34"/>
      <c r="AK21" s="112"/>
      <c r="AO21" s="1"/>
      <c r="AP21" s="1"/>
    </row>
    <row r="22" spans="1:45" x14ac:dyDescent="0.25">
      <c r="A22" s="33" t="str">
        <f>'S7'!A17</f>
        <v>TT T12</v>
      </c>
      <c r="B22" s="33"/>
      <c r="C22" s="32"/>
      <c r="D22" s="32"/>
      <c r="E22" s="31"/>
      <c r="F22" s="30"/>
      <c r="G22" s="97">
        <f>D21+E21</f>
        <v>35166574502.999733</v>
      </c>
      <c r="H22" s="76">
        <v>35166574502.999733</v>
      </c>
      <c r="I22" s="1">
        <f>H22-H3</f>
        <v>-13411914042.356682</v>
      </c>
      <c r="J22" s="6">
        <f>H22/H3-1</f>
        <v>-0.27608751206481741</v>
      </c>
      <c r="K22" s="6"/>
      <c r="U22" s="28">
        <v>25000.000000000004</v>
      </c>
      <c r="V22" s="28">
        <v>26142.714599566774</v>
      </c>
      <c r="W22" s="27">
        <f>V22-U22</f>
        <v>1142.7145995667706</v>
      </c>
      <c r="X22" s="26">
        <f>W22/U22</f>
        <v>4.5708583982670817E-2</v>
      </c>
      <c r="Z22" s="25"/>
      <c r="AA22" s="25"/>
      <c r="AB22" s="25"/>
      <c r="AC22" s="25"/>
      <c r="AD22" s="25"/>
      <c r="AH22" s="23">
        <f>C3</f>
        <v>48578488545.356415</v>
      </c>
      <c r="AI22" s="23">
        <f>G22-H19</f>
        <v>31382345851.864738</v>
      </c>
      <c r="AJ22" s="23">
        <f>AI22-AH22</f>
        <v>-17196142693.491676</v>
      </c>
      <c r="AK22" s="111">
        <f>AJ22/AH22</f>
        <v>-0.35398677909536247</v>
      </c>
      <c r="AO22" s="76">
        <f>SUM(AO3:AO20)</f>
        <v>207862203900</v>
      </c>
      <c r="AP22" s="76">
        <f>SUM(AP3:AP20)</f>
        <v>97650853929.865005</v>
      </c>
      <c r="AR22" s="6"/>
      <c r="AS22" s="6"/>
    </row>
    <row r="23" spans="1:45" s="21" customFormat="1" x14ac:dyDescent="0.25">
      <c r="A23" s="21" t="s">
        <v>11</v>
      </c>
      <c r="F23" s="110">
        <f>G22-C3</f>
        <v>-13411914042.356682</v>
      </c>
      <c r="G23" s="109">
        <f>G22-H22</f>
        <v>0</v>
      </c>
      <c r="O23"/>
      <c r="P23"/>
      <c r="Q23"/>
      <c r="R23"/>
      <c r="S23"/>
      <c r="AI23" s="108"/>
      <c r="AJ23"/>
      <c r="AK23"/>
      <c r="AO23" s="74">
        <f>AO22-'S7'!AE17</f>
        <v>0</v>
      </c>
      <c r="AP23" s="74">
        <f>AP22-'S7'!AF17</f>
        <v>0</v>
      </c>
    </row>
    <row r="24" spans="1:45" x14ac:dyDescent="0.25">
      <c r="F24" s="107">
        <f>F23/C3</f>
        <v>-0.27608751206481735</v>
      </c>
      <c r="G24" s="94"/>
      <c r="K24" s="106"/>
      <c r="AI24" s="94">
        <f>G24</f>
        <v>0</v>
      </c>
    </row>
    <row r="25" spans="1:45" x14ac:dyDescent="0.25">
      <c r="K25" s="106"/>
      <c r="AI25" s="94"/>
    </row>
    <row r="26" spans="1:45" x14ac:dyDescent="0.25">
      <c r="C26" t="s">
        <v>9</v>
      </c>
      <c r="G26" t="s">
        <v>8</v>
      </c>
      <c r="K26" s="106"/>
      <c r="AI26" s="94"/>
    </row>
    <row r="27" spans="1:45" x14ac:dyDescent="0.25">
      <c r="A27" s="65" t="s">
        <v>111</v>
      </c>
      <c r="B27" s="65"/>
      <c r="C27" s="226">
        <f>'S7'!C20</f>
        <v>12595919900</v>
      </c>
      <c r="D27" s="209"/>
      <c r="E27" s="209"/>
      <c r="F27" s="209"/>
      <c r="G27" s="226">
        <f>'S7'!G20</f>
        <v>2392525440.922821</v>
      </c>
      <c r="K27" s="106"/>
      <c r="AI27" s="94"/>
    </row>
    <row r="28" spans="1:45" s="216" customFormat="1" x14ac:dyDescent="0.25">
      <c r="A28" s="228" t="s">
        <v>120</v>
      </c>
      <c r="B28" s="228"/>
      <c r="C28" s="237">
        <v>0</v>
      </c>
      <c r="D28" s="229"/>
      <c r="E28" s="229"/>
      <c r="F28" s="229"/>
      <c r="G28" s="237">
        <v>242284705.9230769</v>
      </c>
      <c r="K28" s="230"/>
      <c r="AI28" s="231"/>
    </row>
    <row r="29" spans="1:45" x14ac:dyDescent="0.25">
      <c r="A29" s="65" t="s">
        <v>83</v>
      </c>
      <c r="B29" s="65"/>
      <c r="C29" s="213">
        <f>C3-C27+C28</f>
        <v>35982568645.356415</v>
      </c>
      <c r="D29" s="209"/>
      <c r="E29" s="209"/>
      <c r="F29" s="209"/>
      <c r="G29" s="213">
        <f>G22-G27+G28</f>
        <v>33016333767.999989</v>
      </c>
      <c r="H29" s="1">
        <f>G29-C29</f>
        <v>-2966234877.3564262</v>
      </c>
      <c r="K29" s="106"/>
      <c r="AI29" s="94"/>
    </row>
    <row r="30" spans="1:45" x14ac:dyDescent="0.25">
      <c r="K30" s="106"/>
      <c r="AI30" s="94"/>
    </row>
    <row r="31" spans="1:45" x14ac:dyDescent="0.25">
      <c r="A31" s="70" t="s">
        <v>36</v>
      </c>
      <c r="B31" s="70"/>
      <c r="C31" s="214">
        <f>'S6'!B25</f>
        <v>3271999000</v>
      </c>
      <c r="D31" s="214"/>
      <c r="E31" s="214"/>
      <c r="F31" s="214"/>
      <c r="G31" s="214">
        <f>'S6'!C25</f>
        <v>8295287500</v>
      </c>
      <c r="K31" s="106"/>
      <c r="AI31" s="94"/>
    </row>
    <row r="32" spans="1:45" x14ac:dyDescent="0.25">
      <c r="A32" s="70" t="s">
        <v>116</v>
      </c>
      <c r="B32" s="70"/>
      <c r="C32" s="215">
        <f>C29-C31</f>
        <v>32710569645.356415</v>
      </c>
      <c r="D32" s="215"/>
      <c r="E32" s="215"/>
      <c r="F32" s="215"/>
      <c r="G32" s="215">
        <f>G29-G31</f>
        <v>24721046267.999989</v>
      </c>
      <c r="H32" s="93">
        <f>G32-G23</f>
        <v>24721046267.999989</v>
      </c>
      <c r="K32" s="106"/>
      <c r="AI32" s="94"/>
    </row>
    <row r="33" spans="1:35" x14ac:dyDescent="0.25">
      <c r="A33" s="70" t="s">
        <v>117</v>
      </c>
      <c r="B33" s="70"/>
      <c r="C33" s="215">
        <f>'S6'!B29-'S6'!B28-C31</f>
        <v>191994285000</v>
      </c>
      <c r="D33" s="215"/>
      <c r="E33" s="215"/>
      <c r="F33" s="215"/>
      <c r="G33" s="215">
        <f>'S6'!C29-'S6'!C28-'S6'!C25</f>
        <v>90747269640.077179</v>
      </c>
      <c r="K33" s="106"/>
      <c r="AI33" s="94"/>
    </row>
    <row r="34" spans="1:35" x14ac:dyDescent="0.25">
      <c r="A34" s="216" t="s">
        <v>64</v>
      </c>
      <c r="B34" s="216"/>
      <c r="C34" s="217">
        <f>IFERROR(C32/C33,0)</f>
        <v>0.17037262148379267</v>
      </c>
      <c r="D34" s="216"/>
      <c r="E34" s="216"/>
      <c r="F34" s="216"/>
      <c r="G34" s="217">
        <f>IFERROR(G32/G33,0)</f>
        <v>0.27241641942560779</v>
      </c>
      <c r="K34" s="106"/>
      <c r="AI34" s="94"/>
    </row>
    <row r="35" spans="1:35" x14ac:dyDescent="0.25">
      <c r="K35" s="106"/>
      <c r="AI35" s="94"/>
    </row>
    <row r="36" spans="1:35" x14ac:dyDescent="0.25">
      <c r="K36" s="106"/>
      <c r="AI36" s="94"/>
    </row>
    <row r="37" spans="1:35" x14ac:dyDescent="0.25">
      <c r="E37" s="1"/>
      <c r="F37" s="18"/>
      <c r="AI37" s="94"/>
    </row>
    <row r="38" spans="1:35" x14ac:dyDescent="0.25">
      <c r="AI38" s="94"/>
    </row>
    <row r="39" spans="1:35" x14ac:dyDescent="0.25">
      <c r="H39" s="18">
        <f>SUM(H5:H6,H8:H9,H11:H12,H14:H15,H17:H18)</f>
        <v>-8568689454.6534376</v>
      </c>
      <c r="P39" s="1"/>
      <c r="Q39" s="18"/>
    </row>
    <row r="40" spans="1:35" x14ac:dyDescent="0.25">
      <c r="B40" s="1"/>
      <c r="G40" s="33" t="s">
        <v>58</v>
      </c>
      <c r="H40" s="195">
        <f>H4+H7+H10+H13+H16</f>
        <v>-18669387059.047455</v>
      </c>
      <c r="P40" s="1"/>
      <c r="Q40" s="1"/>
      <c r="R40" s="1"/>
    </row>
    <row r="41" spans="1:35" x14ac:dyDescent="0.25">
      <c r="B41" s="1"/>
      <c r="G41" s="33" t="s">
        <v>57</v>
      </c>
      <c r="H41" s="114">
        <f>H40*(1-13.11%)</f>
        <v>-16221830415.606333</v>
      </c>
      <c r="J41" s="1"/>
      <c r="P41" s="105"/>
      <c r="Q41" s="105"/>
      <c r="R41" s="105"/>
    </row>
    <row r="42" spans="1:35" x14ac:dyDescent="0.25">
      <c r="B42" s="18"/>
      <c r="J42" s="1"/>
      <c r="S42" s="17"/>
    </row>
    <row r="43" spans="1:35" x14ac:dyDescent="0.25">
      <c r="G43" s="33" t="s">
        <v>103</v>
      </c>
      <c r="H43" s="195">
        <f>H5+H6+H8+H9+H11+H12+H14+H15+H17+H18</f>
        <v>-8568689454.6534376</v>
      </c>
      <c r="S43" s="17"/>
    </row>
    <row r="44" spans="1:35" x14ac:dyDescent="0.25">
      <c r="G44" s="33" t="s">
        <v>104</v>
      </c>
      <c r="H44" s="114">
        <f>H43*(1-13.11%)</f>
        <v>-7445334267.1483717</v>
      </c>
      <c r="R44" s="1"/>
      <c r="S44" s="17"/>
    </row>
    <row r="45" spans="1:35" x14ac:dyDescent="0.25">
      <c r="R45" s="1"/>
      <c r="S45" s="17"/>
    </row>
    <row r="46" spans="1:35" x14ac:dyDescent="0.25">
      <c r="G46" t="s">
        <v>56</v>
      </c>
      <c r="H46" s="18">
        <f>SUM(H5:H6)</f>
        <v>-5097448261.6639786</v>
      </c>
      <c r="R46" s="1"/>
      <c r="S46" s="17"/>
    </row>
    <row r="47" spans="1:35" x14ac:dyDescent="0.25">
      <c r="G47" t="s">
        <v>55</v>
      </c>
      <c r="H47" s="1">
        <f>H46*(1-13.11%)</f>
        <v>-4429172794.5598307</v>
      </c>
      <c r="R47" s="1"/>
    </row>
    <row r="48" spans="1:35" x14ac:dyDescent="0.25">
      <c r="R48" s="1"/>
    </row>
    <row r="49" spans="7:28" x14ac:dyDescent="0.25">
      <c r="G49" t="s">
        <v>3</v>
      </c>
      <c r="H49" s="18">
        <f>SUM(H17:H18)</f>
        <v>-938511910.20735872</v>
      </c>
    </row>
    <row r="50" spans="7:28" x14ac:dyDescent="0.25">
      <c r="H50" s="1">
        <f>H49*(1-13.11%)</f>
        <v>-815472998.77917397</v>
      </c>
    </row>
    <row r="52" spans="7:28" x14ac:dyDescent="0.25">
      <c r="G52" t="s">
        <v>36</v>
      </c>
      <c r="H52" s="1">
        <v>-3459806000</v>
      </c>
    </row>
    <row r="53" spans="7:28" x14ac:dyDescent="0.25">
      <c r="H53" s="1">
        <f>H52*(1-13.11%)</f>
        <v>-3006225433.4000001</v>
      </c>
    </row>
    <row r="55" spans="7:28" x14ac:dyDescent="0.25">
      <c r="R55" s="1"/>
    </row>
    <row r="59" spans="7:28" x14ac:dyDescent="0.25">
      <c r="P59" s="1"/>
      <c r="Q59" s="1"/>
    </row>
    <row r="60" spans="7:28" x14ac:dyDescent="0.25">
      <c r="P60" s="1"/>
      <c r="Q60" s="1"/>
    </row>
    <row r="61" spans="7:28" x14ac:dyDescent="0.25">
      <c r="P61" s="18"/>
      <c r="Q61" s="18"/>
      <c r="R61" s="18"/>
    </row>
    <row r="62" spans="7:28" x14ac:dyDescent="0.25">
      <c r="P62" s="6"/>
      <c r="Q62" s="6"/>
    </row>
    <row r="63" spans="7:28" x14ac:dyDescent="0.25">
      <c r="P63" s="1"/>
      <c r="Q63" s="1"/>
    </row>
    <row r="64" spans="7:28" x14ac:dyDescent="0.25">
      <c r="AB64" s="1"/>
    </row>
    <row r="65" spans="1:31" x14ac:dyDescent="0.25">
      <c r="AB65" s="1"/>
      <c r="AC65" s="1"/>
    </row>
    <row r="66" spans="1:31" ht="15.75" thickBot="1" x14ac:dyDescent="0.3">
      <c r="Q66" s="105"/>
      <c r="AC66" s="1"/>
    </row>
    <row r="67" spans="1:31" x14ac:dyDescent="0.25">
      <c r="A67" s="20" t="s">
        <v>30</v>
      </c>
      <c r="I67" s="199" t="s">
        <v>107</v>
      </c>
      <c r="O67" s="50" t="s">
        <v>54</v>
      </c>
      <c r="P67" s="1"/>
      <c r="Q67" s="1"/>
      <c r="R67" s="18"/>
      <c r="AB67" t="s">
        <v>53</v>
      </c>
    </row>
    <row r="68" spans="1:31" x14ac:dyDescent="0.25">
      <c r="A68" s="33"/>
      <c r="B68" s="33"/>
      <c r="C68" s="61" t="s">
        <v>28</v>
      </c>
      <c r="D68" s="61" t="s">
        <v>27</v>
      </c>
      <c r="E68" s="61" t="s">
        <v>26</v>
      </c>
      <c r="F68" s="61" t="s">
        <v>25</v>
      </c>
      <c r="G68" s="61" t="s">
        <v>24</v>
      </c>
      <c r="H68" s="19" t="s">
        <v>23</v>
      </c>
      <c r="I68" s="200" t="s">
        <v>106</v>
      </c>
      <c r="J68" s="203" t="s">
        <v>108</v>
      </c>
      <c r="K68" s="203" t="s">
        <v>109</v>
      </c>
      <c r="M68" s="59" t="s">
        <v>21</v>
      </c>
      <c r="O68" s="36"/>
      <c r="P68" s="104" t="s">
        <v>9</v>
      </c>
      <c r="Q68" s="104" t="s">
        <v>8</v>
      </c>
      <c r="R68" s="36"/>
      <c r="S68" s="36"/>
      <c r="U68" s="57" t="s">
        <v>9</v>
      </c>
      <c r="V68" s="57" t="s">
        <v>8</v>
      </c>
      <c r="W68" s="35"/>
      <c r="X68" s="35"/>
      <c r="Z68" s="56" t="s">
        <v>20</v>
      </c>
      <c r="AA68" s="55" t="s">
        <v>19</v>
      </c>
      <c r="AB68" s="55" t="s">
        <v>52</v>
      </c>
      <c r="AC68" s="55" t="s">
        <v>17</v>
      </c>
      <c r="AD68" s="19" t="s">
        <v>51</v>
      </c>
    </row>
    <row r="69" spans="1:31" x14ac:dyDescent="0.25">
      <c r="A69" s="33" t="str">
        <f>A3</f>
        <v>KH T12</v>
      </c>
      <c r="B69" s="33"/>
      <c r="C69" s="103">
        <f>H69</f>
        <v>48578488545.356415</v>
      </c>
      <c r="D69" s="51"/>
      <c r="E69" s="53"/>
      <c r="F69" s="52"/>
      <c r="G69" s="51"/>
      <c r="H69" s="1">
        <f>H3</f>
        <v>48578488545.356415</v>
      </c>
      <c r="I69" s="201"/>
      <c r="J69" s="204"/>
      <c r="K69" s="204"/>
      <c r="M69" s="43"/>
      <c r="O69" s="36"/>
      <c r="P69" s="36"/>
      <c r="Q69" s="36"/>
      <c r="R69" s="36"/>
      <c r="S69" s="36"/>
      <c r="U69" s="35"/>
      <c r="V69" s="35"/>
      <c r="W69" s="35"/>
      <c r="X69" s="35"/>
      <c r="Z69" s="25"/>
      <c r="AA69" s="25"/>
      <c r="AB69" s="25"/>
      <c r="AC69" s="25"/>
    </row>
    <row r="70" spans="1:31" x14ac:dyDescent="0.25">
      <c r="A70" s="33" t="s">
        <v>7</v>
      </c>
      <c r="B70" s="33" t="s">
        <v>16</v>
      </c>
      <c r="C70" s="32"/>
      <c r="D70" s="32">
        <f>C69-F70</f>
        <v>33657980409.359314</v>
      </c>
      <c r="E70" s="31">
        <f>IF(H70&gt;0,H70,0)</f>
        <v>0</v>
      </c>
      <c r="F70" s="30">
        <f>IF(H70&lt;0,-H70,0)</f>
        <v>14920508135.997099</v>
      </c>
      <c r="G70" s="32"/>
      <c r="H70" s="39">
        <f t="shared" ref="H70:H80" si="6">M70</f>
        <v>-14920508135.997099</v>
      </c>
      <c r="I70" s="201">
        <f>SUM(H$69:H70)</f>
        <v>33657980409.359314</v>
      </c>
      <c r="J70" s="205">
        <f>IF(H70&gt;0,H70,0)</f>
        <v>0</v>
      </c>
      <c r="K70" s="206">
        <f>IF(H70&lt;0,-H70,0)</f>
        <v>14920508135.997099</v>
      </c>
      <c r="M70" s="43" cm="1">
        <f t="array" ref="M70:M71">TRANSPOSE(AA70:AB70)</f>
        <v>-14920508135.997099</v>
      </c>
      <c r="O70" s="102" t="s">
        <v>15</v>
      </c>
      <c r="P70" s="23">
        <v>4674.7700000000004</v>
      </c>
      <c r="Q70" s="23">
        <v>2255.1999999999998</v>
      </c>
      <c r="R70" s="23">
        <f t="shared" ref="R70:R79" si="7">Q70-P70</f>
        <v>-2419.5700000000006</v>
      </c>
      <c r="S70" s="101">
        <f t="shared" ref="S70:S79" si="8">R70/P70</f>
        <v>-0.5175805440695479</v>
      </c>
      <c r="T70" s="6"/>
      <c r="U70" s="35"/>
      <c r="V70" s="35"/>
      <c r="W70" s="35"/>
      <c r="X70" s="35"/>
      <c r="Z70" s="46">
        <f>SUM(AA70:AC70)</f>
        <v>-16821239489.123402</v>
      </c>
      <c r="AA70" s="45">
        <f>R70*P71*U71</f>
        <v>-14920508135.997099</v>
      </c>
      <c r="AB70" s="45">
        <f>AB4+AC4</f>
        <v>-5097448261.6639786</v>
      </c>
      <c r="AC70" s="45">
        <f>AD4</f>
        <v>3196716908.5376773</v>
      </c>
      <c r="AD70" s="1">
        <v>-16821239489.123674</v>
      </c>
      <c r="AE70" s="18">
        <f>Z70-AD70</f>
        <v>2.727508544921875E-4</v>
      </c>
    </row>
    <row r="71" spans="1:31" x14ac:dyDescent="0.25">
      <c r="A71" s="33"/>
      <c r="B71" s="33" t="s">
        <v>50</v>
      </c>
      <c r="C71" s="32"/>
      <c r="D71" s="32">
        <f>D70-F71+E70</f>
        <v>28560532147.695335</v>
      </c>
      <c r="E71" s="31">
        <f t="shared" ref="E71:E82" si="9">IF(H71&gt;0,H71,0)</f>
        <v>0</v>
      </c>
      <c r="F71" s="30">
        <f t="shared" ref="F71:F82" si="10">IF(H71&lt;0,-H71,0)</f>
        <v>5097448261.6639786</v>
      </c>
      <c r="G71" s="32"/>
      <c r="H71" s="39">
        <f t="shared" si="6"/>
        <v>-5097448261.6639786</v>
      </c>
      <c r="I71" s="201">
        <f>SUM(H$69:H71)</f>
        <v>28560532147.695335</v>
      </c>
      <c r="J71" s="205">
        <f t="shared" ref="J71:J82" si="11">IF(H71&gt;0,H71,0)</f>
        <v>0</v>
      </c>
      <c r="K71" s="206">
        <f t="shared" ref="K71:K82" si="12">IF(H71&lt;0,-H71,0)</f>
        <v>5097448261.6639786</v>
      </c>
      <c r="L71" s="18"/>
      <c r="M71" s="43">
        <v>-5097448261.6639786</v>
      </c>
      <c r="O71" s="36" t="s">
        <v>13</v>
      </c>
      <c r="P71" s="100">
        <f>(P5-P6/U5*10^3)</f>
        <v>246.66379788139375</v>
      </c>
      <c r="Q71" s="100">
        <f>(Q5-Q6/U5*10^3)</f>
        <v>156.25144843719409</v>
      </c>
      <c r="R71" s="100">
        <f t="shared" si="7"/>
        <v>-90.412349444199663</v>
      </c>
      <c r="S71" s="99">
        <f t="shared" si="8"/>
        <v>-0.36654081474766598</v>
      </c>
      <c r="U71" s="40">
        <v>25000</v>
      </c>
      <c r="V71" s="40">
        <v>26144.645404061466</v>
      </c>
      <c r="W71" s="27">
        <f>V71-U71</f>
        <v>1144.6454040614663</v>
      </c>
      <c r="X71" s="26">
        <f>W71/U71</f>
        <v>4.5785816162458651E-2</v>
      </c>
      <c r="Z71" s="25"/>
      <c r="AA71" s="25"/>
      <c r="AB71" s="25"/>
      <c r="AC71" s="25"/>
    </row>
    <row r="72" spans="1:31" x14ac:dyDescent="0.25">
      <c r="A72" s="33" t="s">
        <v>6</v>
      </c>
      <c r="B72" s="33" t="s">
        <v>16</v>
      </c>
      <c r="C72" s="32"/>
      <c r="D72" s="32">
        <f t="shared" ref="D72:D82" si="13">D71-F72+E71</f>
        <v>24788292582.854328</v>
      </c>
      <c r="E72" s="31">
        <f t="shared" si="9"/>
        <v>0</v>
      </c>
      <c r="F72" s="30">
        <f t="shared" si="10"/>
        <v>3772239564.8410087</v>
      </c>
      <c r="G72" s="32"/>
      <c r="H72" s="39">
        <f t="shared" si="6"/>
        <v>-3772239564.8410087</v>
      </c>
      <c r="I72" s="201">
        <f>SUM(H$69:H72)</f>
        <v>24788292582.854328</v>
      </c>
      <c r="J72" s="205">
        <f t="shared" si="11"/>
        <v>0</v>
      </c>
      <c r="K72" s="206">
        <f t="shared" si="12"/>
        <v>3772239564.8410087</v>
      </c>
      <c r="M72" s="43" cm="1">
        <f t="array" ref="M72:M73">TRANSPOSE(AA72:AB72)</f>
        <v>-3772239564.8410087</v>
      </c>
      <c r="O72" s="102" t="s">
        <v>15</v>
      </c>
      <c r="P72" s="23">
        <v>916</v>
      </c>
      <c r="Q72" s="23">
        <v>272.5</v>
      </c>
      <c r="R72" s="23">
        <f t="shared" si="7"/>
        <v>-643.5</v>
      </c>
      <c r="S72" s="101">
        <f t="shared" si="8"/>
        <v>-0.70251091703056767</v>
      </c>
      <c r="U72" s="35"/>
      <c r="V72" s="35"/>
      <c r="W72" s="35"/>
      <c r="X72" s="35"/>
      <c r="Z72" s="46">
        <f>SUM(AA72:AC72)</f>
        <v>-4157818960.5794277</v>
      </c>
      <c r="AA72" s="45">
        <f>R72*P73*U73</f>
        <v>-3772239564.8410087</v>
      </c>
      <c r="AB72" s="45">
        <f>AB7+AC7</f>
        <v>-773983560.63730741</v>
      </c>
      <c r="AC72" s="45">
        <f>AD7</f>
        <v>388404164.89888847</v>
      </c>
      <c r="AD72" s="1">
        <v>-4157818960.5794315</v>
      </c>
      <c r="AE72" s="18">
        <f>Z72-AD72</f>
        <v>3.814697265625E-6</v>
      </c>
    </row>
    <row r="73" spans="1:31" x14ac:dyDescent="0.25">
      <c r="A73" s="33"/>
      <c r="B73" s="33" t="s">
        <v>50</v>
      </c>
      <c r="C73" s="32"/>
      <c r="D73" s="32">
        <f t="shared" si="13"/>
        <v>24014309022.217022</v>
      </c>
      <c r="E73" s="31">
        <f t="shared" si="9"/>
        <v>0</v>
      </c>
      <c r="F73" s="30">
        <f t="shared" si="10"/>
        <v>773983560.63730741</v>
      </c>
      <c r="G73" s="32"/>
      <c r="H73" s="39">
        <f t="shared" si="6"/>
        <v>-773983560.63730741</v>
      </c>
      <c r="I73" s="201">
        <f>SUM(H$69:H73)</f>
        <v>24014309022.217022</v>
      </c>
      <c r="J73" s="205">
        <f t="shared" si="11"/>
        <v>0</v>
      </c>
      <c r="K73" s="206">
        <f t="shared" si="12"/>
        <v>773983560.63730741</v>
      </c>
      <c r="L73" s="18"/>
      <c r="M73" s="43">
        <v>-773983560.63730741</v>
      </c>
      <c r="O73" s="36" t="s">
        <v>13</v>
      </c>
      <c r="P73" s="100">
        <f>(P8-P9/U8*10^3)</f>
        <v>234.48264583316291</v>
      </c>
      <c r="Q73" s="100">
        <f>(Q8-Q9/U8*10^3)</f>
        <v>120.87038005153977</v>
      </c>
      <c r="R73" s="100">
        <f t="shared" si="7"/>
        <v>-113.61226578162314</v>
      </c>
      <c r="S73" s="99">
        <f t="shared" si="8"/>
        <v>-0.48452313124468738</v>
      </c>
      <c r="U73" s="40">
        <v>25000</v>
      </c>
      <c r="V73" s="40">
        <v>26137.299459576894</v>
      </c>
      <c r="W73" s="27">
        <f>V73-U73</f>
        <v>1137.2994595768942</v>
      </c>
      <c r="X73" s="26">
        <f>W73/U73</f>
        <v>4.5491978383075768E-2</v>
      </c>
      <c r="Z73" s="25"/>
      <c r="AA73" s="25"/>
      <c r="AB73" s="25"/>
      <c r="AC73" s="25"/>
    </row>
    <row r="74" spans="1:31" x14ac:dyDescent="0.25">
      <c r="A74" s="33" t="s">
        <v>5</v>
      </c>
      <c r="B74" s="33" t="s">
        <v>16</v>
      </c>
      <c r="C74" s="32"/>
      <c r="D74" s="32">
        <f t="shared" si="13"/>
        <v>23761224146.822933</v>
      </c>
      <c r="E74" s="31">
        <f t="shared" si="9"/>
        <v>0</v>
      </c>
      <c r="F74" s="30">
        <f t="shared" si="10"/>
        <v>253084875.39408988</v>
      </c>
      <c r="G74" s="32"/>
      <c r="H74" s="39">
        <f t="shared" si="6"/>
        <v>-253084875.39408988</v>
      </c>
      <c r="I74" s="201">
        <f>SUM(H$69:H74)</f>
        <v>23761224146.822933</v>
      </c>
      <c r="J74" s="205">
        <f t="shared" si="11"/>
        <v>0</v>
      </c>
      <c r="K74" s="206">
        <f t="shared" si="12"/>
        <v>253084875.39408988</v>
      </c>
      <c r="M74" s="43" cm="1">
        <f t="array" ref="M74:M75">TRANSPOSE(AA74:AB74)</f>
        <v>-253084875.39408988</v>
      </c>
      <c r="O74" s="102" t="s">
        <v>15</v>
      </c>
      <c r="P74" s="23">
        <v>162.75</v>
      </c>
      <c r="Q74" s="23">
        <v>115.15</v>
      </c>
      <c r="R74" s="23">
        <f t="shared" si="7"/>
        <v>-47.599999999999994</v>
      </c>
      <c r="S74" s="101">
        <f t="shared" si="8"/>
        <v>-0.29247311827956984</v>
      </c>
      <c r="U74" s="35"/>
      <c r="V74" s="35"/>
      <c r="W74" s="35"/>
      <c r="X74" s="35"/>
      <c r="Z74" s="46">
        <f>SUM(AA74:AC74)</f>
        <v>-1772064774.3478425</v>
      </c>
      <c r="AA74" s="45">
        <f>R74*P75*U75</f>
        <v>-253084875.39408988</v>
      </c>
      <c r="AB74" s="45">
        <f>AB10+AC10</f>
        <v>-1609287653.6117923</v>
      </c>
      <c r="AC74" s="45">
        <f>AD10</f>
        <v>90307754.658039823</v>
      </c>
      <c r="AD74" s="1">
        <v>-1772064774.3478427</v>
      </c>
      <c r="AE74" s="18">
        <f>Z74-AD74</f>
        <v>0</v>
      </c>
    </row>
    <row r="75" spans="1:31" x14ac:dyDescent="0.25">
      <c r="A75" s="33"/>
      <c r="B75" s="33" t="s">
        <v>50</v>
      </c>
      <c r="C75" s="32"/>
      <c r="D75" s="32">
        <f t="shared" si="13"/>
        <v>22151936493.21114</v>
      </c>
      <c r="E75" s="31">
        <f t="shared" si="9"/>
        <v>0</v>
      </c>
      <c r="F75" s="30">
        <f t="shared" si="10"/>
        <v>1609287653.6117923</v>
      </c>
      <c r="G75" s="32"/>
      <c r="H75" s="39">
        <f t="shared" si="6"/>
        <v>-1609287653.6117923</v>
      </c>
      <c r="I75" s="201">
        <f>SUM(H$69:H75)</f>
        <v>22151936493.21114</v>
      </c>
      <c r="J75" s="205">
        <f t="shared" si="11"/>
        <v>0</v>
      </c>
      <c r="K75" s="206">
        <f t="shared" si="12"/>
        <v>1609287653.6117923</v>
      </c>
      <c r="L75" s="18"/>
      <c r="M75" s="43">
        <v>-1609287653.6117923</v>
      </c>
      <c r="O75" s="36" t="s">
        <v>13</v>
      </c>
      <c r="P75" s="100">
        <f>(P11-P12/U11*10^3)</f>
        <v>212.6763658773865</v>
      </c>
      <c r="Q75" s="100">
        <f>(Q11-Q12/U11*10^3)</f>
        <v>-346.34670094390492</v>
      </c>
      <c r="R75" s="100">
        <f t="shared" si="7"/>
        <v>-559.02306682129142</v>
      </c>
      <c r="S75" s="99">
        <f t="shared" si="8"/>
        <v>-2.6285152302422867</v>
      </c>
      <c r="U75" s="40">
        <v>25000</v>
      </c>
      <c r="V75" s="40">
        <v>26137.299459576898</v>
      </c>
      <c r="W75" s="27">
        <f>V75-U75</f>
        <v>1137.2994595768978</v>
      </c>
      <c r="X75" s="26">
        <f>W75/U75</f>
        <v>4.5491978383075914E-2</v>
      </c>
      <c r="Z75" s="25"/>
      <c r="AA75" s="25"/>
      <c r="AB75" s="25"/>
      <c r="AC75" s="25"/>
    </row>
    <row r="76" spans="1:31" x14ac:dyDescent="0.25">
      <c r="A76" s="33" t="s">
        <v>4</v>
      </c>
      <c r="B76" s="33" t="s">
        <v>16</v>
      </c>
      <c r="C76" s="32"/>
      <c r="D76" s="32">
        <f t="shared" si="13"/>
        <v>22151936493.21114</v>
      </c>
      <c r="E76" s="31">
        <f t="shared" si="9"/>
        <v>276705243.72387075</v>
      </c>
      <c r="F76" s="30">
        <f t="shared" si="10"/>
        <v>0</v>
      </c>
      <c r="G76" s="32"/>
      <c r="H76" s="39">
        <f t="shared" si="6"/>
        <v>276705243.72387075</v>
      </c>
      <c r="I76" s="201">
        <f>SUM(H$69:H76)</f>
        <v>22428641736.935009</v>
      </c>
      <c r="J76" s="205">
        <f t="shared" si="11"/>
        <v>276705243.72387075</v>
      </c>
      <c r="K76" s="206">
        <f t="shared" si="12"/>
        <v>0</v>
      </c>
      <c r="M76" s="43" cm="1">
        <f t="array" ref="M76:M77">TRANSPOSE(AA76:AB76)</f>
        <v>276705243.72387075</v>
      </c>
      <c r="O76" s="102" t="s">
        <v>15</v>
      </c>
      <c r="P76" s="23">
        <v>87.44</v>
      </c>
      <c r="Q76" s="23">
        <v>23.75</v>
      </c>
      <c r="R76" s="23">
        <f t="shared" si="7"/>
        <v>-63.69</v>
      </c>
      <c r="S76" s="101">
        <f t="shared" si="8"/>
        <v>-0.72838517840805128</v>
      </c>
      <c r="T76" s="50"/>
      <c r="U76" s="35"/>
      <c r="V76" s="35"/>
      <c r="W76" s="35"/>
      <c r="X76" s="35"/>
      <c r="Z76" s="46">
        <f>SUM(AA76:AC76)</f>
        <v>147827649.78780216</v>
      </c>
      <c r="AA76" s="45">
        <f>R76*P77*U77</f>
        <v>276705243.72387075</v>
      </c>
      <c r="AB76" s="45">
        <f>AB13+AC13</f>
        <v>-149458068.53299987</v>
      </c>
      <c r="AC76" s="45">
        <f>AD13</f>
        <v>20580474.59693129</v>
      </c>
      <c r="AD76" s="1">
        <v>147827649.78780273</v>
      </c>
      <c r="AE76" s="18">
        <f>Z76-AD76</f>
        <v>-5.6624412536621094E-7</v>
      </c>
    </row>
    <row r="77" spans="1:31" x14ac:dyDescent="0.25">
      <c r="A77" s="33"/>
      <c r="B77" s="33" t="s">
        <v>50</v>
      </c>
      <c r="C77" s="32"/>
      <c r="D77" s="32">
        <f t="shared" si="13"/>
        <v>22279183668.402008</v>
      </c>
      <c r="E77" s="31">
        <f t="shared" si="9"/>
        <v>0</v>
      </c>
      <c r="F77" s="30">
        <f t="shared" si="10"/>
        <v>149458068.53299987</v>
      </c>
      <c r="G77" s="32"/>
      <c r="H77" s="39">
        <f t="shared" si="6"/>
        <v>-149458068.53299987</v>
      </c>
      <c r="I77" s="201">
        <f>SUM(H$69:H77)</f>
        <v>22279183668.402008</v>
      </c>
      <c r="J77" s="205">
        <f t="shared" si="11"/>
        <v>0</v>
      </c>
      <c r="K77" s="206">
        <f t="shared" si="12"/>
        <v>149458068.53299987</v>
      </c>
      <c r="L77" s="18"/>
      <c r="M77" s="43">
        <v>-149458068.53299987</v>
      </c>
      <c r="O77" s="36" t="s">
        <v>13</v>
      </c>
      <c r="P77" s="100">
        <f>(P14-P15/U14*10^3)</f>
        <v>-173.78253648853558</v>
      </c>
      <c r="Q77" s="100">
        <f>(Q14-Q15/U14*10^3)</f>
        <v>-425.50138875464063</v>
      </c>
      <c r="R77" s="100">
        <f t="shared" si="7"/>
        <v>-251.71885226610505</v>
      </c>
      <c r="S77" s="99">
        <f t="shared" si="8"/>
        <v>1.4484703546878597</v>
      </c>
      <c r="U77" s="40">
        <v>25000</v>
      </c>
      <c r="V77" s="40">
        <v>26137.299459576894</v>
      </c>
      <c r="W77" s="27">
        <f>V77-U77</f>
        <v>1137.2994595768942</v>
      </c>
      <c r="X77" s="26">
        <f>W77/U77</f>
        <v>4.5491978383075768E-2</v>
      </c>
      <c r="Z77" s="25"/>
      <c r="AA77" s="25"/>
      <c r="AB77" s="25"/>
      <c r="AC77" s="25"/>
    </row>
    <row r="78" spans="1:31" x14ac:dyDescent="0.25">
      <c r="A78" s="33" t="s">
        <v>3</v>
      </c>
      <c r="B78" s="33" t="s">
        <v>16</v>
      </c>
      <c r="C78" s="32"/>
      <c r="D78" s="32">
        <f t="shared" si="13"/>
        <v>22278923941.862892</v>
      </c>
      <c r="E78" s="31">
        <f t="shared" si="9"/>
        <v>0</v>
      </c>
      <c r="F78" s="30">
        <f t="shared" si="10"/>
        <v>259726.53911561755</v>
      </c>
      <c r="G78" s="32"/>
      <c r="H78" s="39">
        <f t="shared" si="6"/>
        <v>-259726.53911561755</v>
      </c>
      <c r="I78" s="201">
        <f>SUM(H$69:H78)</f>
        <v>22278923941.862892</v>
      </c>
      <c r="J78" s="205">
        <f t="shared" si="11"/>
        <v>0</v>
      </c>
      <c r="K78" s="206">
        <f t="shared" si="12"/>
        <v>259726.53911561755</v>
      </c>
      <c r="M78" s="43" cm="1">
        <f t="array" ref="M78:M79">TRANSPOSE(AA78:AB78)</f>
        <v>-259726.53911561755</v>
      </c>
      <c r="O78" s="102" t="s">
        <v>15</v>
      </c>
      <c r="P78" s="23">
        <v>100</v>
      </c>
      <c r="Q78" s="23">
        <v>110.05</v>
      </c>
      <c r="R78" s="23">
        <f t="shared" si="7"/>
        <v>10.049999999999997</v>
      </c>
      <c r="S78" s="101">
        <f t="shared" si="8"/>
        <v>0.10049999999999998</v>
      </c>
      <c r="U78" s="35"/>
      <c r="V78" s="35"/>
      <c r="W78" s="35"/>
      <c r="X78" s="35"/>
      <c r="Z78" s="46">
        <f>SUM(AA78:AC78)</f>
        <v>-850552288.30301905</v>
      </c>
      <c r="AA78" s="45">
        <f>R78*P79*U79</f>
        <v>-259726.53911561755</v>
      </c>
      <c r="AB78" s="45">
        <f>AB16+AC16</f>
        <v>-938511910.20735872</v>
      </c>
      <c r="AC78" s="45">
        <f>AD16</f>
        <v>88219348.443455383</v>
      </c>
      <c r="AD78" s="1">
        <v>-850552288.30301845</v>
      </c>
      <c r="AE78" s="18">
        <f>Z78-AD78</f>
        <v>0</v>
      </c>
    </row>
    <row r="79" spans="1:31" x14ac:dyDescent="0.25">
      <c r="A79" s="33"/>
      <c r="B79" s="33" t="s">
        <v>50</v>
      </c>
      <c r="C79" s="32"/>
      <c r="D79" s="32">
        <f t="shared" si="13"/>
        <v>21340412031.655533</v>
      </c>
      <c r="E79" s="31">
        <f t="shared" si="9"/>
        <v>0</v>
      </c>
      <c r="F79" s="30">
        <f t="shared" si="10"/>
        <v>938511910.20735872</v>
      </c>
      <c r="G79" s="32"/>
      <c r="H79" s="39">
        <f t="shared" si="6"/>
        <v>-938511910.20735872</v>
      </c>
      <c r="I79" s="201">
        <f>SUM(H$69:H79)</f>
        <v>21340412031.655533</v>
      </c>
      <c r="J79" s="205">
        <f t="shared" si="11"/>
        <v>0</v>
      </c>
      <c r="K79" s="206">
        <f t="shared" si="12"/>
        <v>938511910.20735872</v>
      </c>
      <c r="L79" s="18"/>
      <c r="M79" s="43">
        <v>-938511910.20735872</v>
      </c>
      <c r="O79" s="36" t="s">
        <v>13</v>
      </c>
      <c r="P79" s="100">
        <f>(P17-P18/U17*10^3)</f>
        <v>-1.0337374691168861</v>
      </c>
      <c r="Q79" s="100">
        <f>(Q17-Q18/V17*10^3)</f>
        <v>-296.59773455669722</v>
      </c>
      <c r="R79" s="100">
        <f t="shared" si="7"/>
        <v>-295.56399708758033</v>
      </c>
      <c r="S79" s="99">
        <f t="shared" si="8"/>
        <v>285.91785237317396</v>
      </c>
      <c r="U79" s="40">
        <v>25000</v>
      </c>
      <c r="V79" s="40">
        <v>26137.299459576891</v>
      </c>
      <c r="W79" s="27">
        <f>V79-U79</f>
        <v>1137.2994595768905</v>
      </c>
      <c r="X79" s="26">
        <f>W79/U79</f>
        <v>4.5491978383075622E-2</v>
      </c>
      <c r="Z79" s="25"/>
      <c r="AA79" s="25"/>
      <c r="AB79" s="25"/>
      <c r="AC79" s="25"/>
    </row>
    <row r="80" spans="1:31" x14ac:dyDescent="0.25">
      <c r="A80" s="33" t="s">
        <v>12</v>
      </c>
      <c r="B80" s="33"/>
      <c r="C80" s="32"/>
      <c r="D80" s="32">
        <f t="shared" si="13"/>
        <v>21340412031.655533</v>
      </c>
      <c r="E80" s="31">
        <f t="shared" si="9"/>
        <v>3784228651.1349926</v>
      </c>
      <c r="F80" s="30">
        <f t="shared" si="10"/>
        <v>0</v>
      </c>
      <c r="G80" s="32"/>
      <c r="H80" s="39">
        <f t="shared" si="6"/>
        <v>3784228651.1349926</v>
      </c>
      <c r="I80" s="201">
        <f>SUM(H$69:H80)</f>
        <v>25124640682.790527</v>
      </c>
      <c r="J80" s="205">
        <f t="shared" si="11"/>
        <v>3784228651.1349926</v>
      </c>
      <c r="K80" s="206">
        <f t="shared" si="12"/>
        <v>0</v>
      </c>
      <c r="M80" s="37">
        <f>AC70+AC72+AC74+AC76+AC78</f>
        <v>3784228651.1349926</v>
      </c>
      <c r="U80" s="35"/>
      <c r="V80" s="35"/>
      <c r="W80" s="35"/>
      <c r="X80" s="35"/>
      <c r="Z80" s="25"/>
      <c r="AA80" s="25"/>
      <c r="AB80" s="25"/>
      <c r="AC80" s="25"/>
    </row>
    <row r="81" spans="1:29" x14ac:dyDescent="0.25">
      <c r="A81" s="33" t="s">
        <v>1</v>
      </c>
      <c r="B81" s="33"/>
      <c r="C81" s="32"/>
      <c r="D81" s="32">
        <f t="shared" si="13"/>
        <v>25124640682.790527</v>
      </c>
      <c r="E81" s="31">
        <f t="shared" si="9"/>
        <v>20245328279.286385</v>
      </c>
      <c r="F81" s="30">
        <f t="shared" si="10"/>
        <v>0</v>
      </c>
      <c r="G81" s="32"/>
      <c r="H81" s="98">
        <f>H83-SUM(H69:H80,H82)</f>
        <v>20245328279.286385</v>
      </c>
      <c r="I81" s="201">
        <f>SUM(H$69:H81)</f>
        <v>45369968962.076912</v>
      </c>
      <c r="J81" s="205">
        <f t="shared" si="11"/>
        <v>20245328279.286385</v>
      </c>
      <c r="K81" s="206">
        <f t="shared" si="12"/>
        <v>0</v>
      </c>
      <c r="O81" s="173" t="s">
        <v>97</v>
      </c>
      <c r="P81" s="174"/>
      <c r="Q81" s="174"/>
      <c r="R81" s="174"/>
      <c r="S81" s="174"/>
      <c r="U81" s="35"/>
      <c r="V81" s="35"/>
      <c r="W81" s="35"/>
      <c r="X81" s="35"/>
      <c r="Z81" s="25"/>
      <c r="AA81" s="25"/>
      <c r="AB81" s="25"/>
      <c r="AC81" s="25"/>
    </row>
    <row r="82" spans="1:29" x14ac:dyDescent="0.25">
      <c r="A82" s="33" t="s">
        <v>119</v>
      </c>
      <c r="B82" s="33" t="s">
        <v>118</v>
      </c>
      <c r="C82" s="32"/>
      <c r="D82" s="32">
        <f t="shared" si="13"/>
        <v>35166574502.999733</v>
      </c>
      <c r="E82" s="31">
        <f t="shared" si="9"/>
        <v>0</v>
      </c>
      <c r="F82" s="30">
        <f t="shared" si="10"/>
        <v>10203394459.077179</v>
      </c>
      <c r="G82" s="32"/>
      <c r="H82" s="98">
        <f>H21</f>
        <v>-10203394459.077179</v>
      </c>
      <c r="I82" s="201">
        <f>SUM(H$69:H82)</f>
        <v>35166574502.999733</v>
      </c>
      <c r="J82" s="205">
        <f t="shared" si="11"/>
        <v>0</v>
      </c>
      <c r="K82" s="206">
        <f t="shared" si="12"/>
        <v>10203394459.077179</v>
      </c>
      <c r="O82" s="173"/>
      <c r="P82" s="174"/>
      <c r="Q82" s="174"/>
      <c r="R82" s="174"/>
      <c r="S82" s="174"/>
      <c r="U82" s="35"/>
      <c r="V82" s="35"/>
      <c r="W82" s="35"/>
      <c r="X82" s="35"/>
      <c r="Z82" s="25"/>
      <c r="AA82" s="25"/>
      <c r="AB82" s="25"/>
      <c r="AC82" s="25"/>
    </row>
    <row r="83" spans="1:29" ht="15.75" thickBot="1" x14ac:dyDescent="0.3">
      <c r="A83" s="33" t="str">
        <f>A22</f>
        <v>TT T12</v>
      </c>
      <c r="B83" s="33"/>
      <c r="C83" s="32"/>
      <c r="D83" s="32"/>
      <c r="E83" s="31"/>
      <c r="F83" s="30"/>
      <c r="G83" s="97">
        <f>D82</f>
        <v>35166574502.999733</v>
      </c>
      <c r="H83" s="1">
        <f>H22</f>
        <v>35166574502.999733</v>
      </c>
      <c r="I83" s="202"/>
      <c r="J83" s="204"/>
      <c r="K83" s="207"/>
      <c r="O83" s="174" t="s">
        <v>7</v>
      </c>
      <c r="P83" s="175">
        <f>P70/10^3</f>
        <v>4.6747700000000005</v>
      </c>
      <c r="Q83" s="175">
        <f>Q70/10^3</f>
        <v>2.2551999999999999</v>
      </c>
      <c r="R83" s="177">
        <f t="shared" ref="R83:R87" si="14">Q83-P83</f>
        <v>-2.4195700000000007</v>
      </c>
      <c r="S83" s="176">
        <f t="shared" ref="S83:S87" si="15">R83/P83</f>
        <v>-0.5175805440695479</v>
      </c>
      <c r="U83" s="28">
        <v>25000.000000000004</v>
      </c>
      <c r="V83" s="28">
        <v>26142.714599566774</v>
      </c>
      <c r="W83" s="27">
        <f>V83-U83</f>
        <v>1142.7145995667706</v>
      </c>
      <c r="X83" s="26">
        <f>W83/U83</f>
        <v>4.5708583982670817E-2</v>
      </c>
      <c r="Z83" s="25"/>
      <c r="AA83" s="25"/>
      <c r="AB83" s="25"/>
      <c r="AC83" s="25"/>
    </row>
    <row r="84" spans="1:29" s="21" customFormat="1" x14ac:dyDescent="0.25">
      <c r="A84" s="21" t="s">
        <v>11</v>
      </c>
      <c r="F84" s="110">
        <f>G83-C69</f>
        <v>-13411914042.356682</v>
      </c>
      <c r="G84" s="96">
        <f>G83-H83</f>
        <v>0</v>
      </c>
      <c r="H84" s="6">
        <f>H83/H69-1</f>
        <v>-0.27608751206481741</v>
      </c>
      <c r="O84" s="174" t="s">
        <v>6</v>
      </c>
      <c r="P84" s="175">
        <f>P72/10^3</f>
        <v>0.91600000000000004</v>
      </c>
      <c r="Q84" s="175">
        <f>Q72/10^3</f>
        <v>0.27250000000000002</v>
      </c>
      <c r="R84" s="177">
        <f t="shared" si="14"/>
        <v>-0.64349999999999996</v>
      </c>
      <c r="S84" s="176">
        <f t="shared" si="15"/>
        <v>-0.70251091703056756</v>
      </c>
    </row>
    <row r="85" spans="1:29" x14ac:dyDescent="0.25">
      <c r="F85" s="107">
        <f>F84/C69</f>
        <v>-0.27608751206481735</v>
      </c>
      <c r="G85" s="94">
        <f>G24</f>
        <v>0</v>
      </c>
      <c r="O85" s="174" t="s">
        <v>5</v>
      </c>
      <c r="P85" s="175">
        <f>P74/10^3</f>
        <v>0.16275000000000001</v>
      </c>
      <c r="Q85" s="175">
        <f>Q74/10^3</f>
        <v>0.11515</v>
      </c>
      <c r="R85" s="177">
        <f t="shared" si="14"/>
        <v>-4.7600000000000003E-2</v>
      </c>
      <c r="S85" s="176">
        <f t="shared" si="15"/>
        <v>-0.2924731182795699</v>
      </c>
    </row>
    <row r="86" spans="1:29" x14ac:dyDescent="0.25">
      <c r="O86" s="174" t="s">
        <v>4</v>
      </c>
      <c r="P86" s="175">
        <f>P76/10^3</f>
        <v>8.7440000000000004E-2</v>
      </c>
      <c r="Q86" s="175">
        <f>Q76/10^3</f>
        <v>2.375E-2</v>
      </c>
      <c r="R86" s="177">
        <f t="shared" si="14"/>
        <v>-6.3689999999999997E-2</v>
      </c>
      <c r="S86" s="176">
        <f t="shared" si="15"/>
        <v>-0.72838517840805117</v>
      </c>
    </row>
    <row r="87" spans="1:29" x14ac:dyDescent="0.25">
      <c r="O87" s="174" t="s">
        <v>3</v>
      </c>
      <c r="P87" s="175">
        <f>P78/10^3</f>
        <v>0.1</v>
      </c>
      <c r="Q87" s="175">
        <f>Q78/10^3</f>
        <v>0.11005</v>
      </c>
      <c r="R87" s="177">
        <f t="shared" si="14"/>
        <v>1.0049999999999989E-2</v>
      </c>
      <c r="S87" s="176">
        <f t="shared" si="15"/>
        <v>0.10049999999999989</v>
      </c>
    </row>
    <row r="88" spans="1:29" x14ac:dyDescent="0.25">
      <c r="M88" s="1"/>
    </row>
    <row r="89" spans="1:29" x14ac:dyDescent="0.25">
      <c r="M89" s="1"/>
      <c r="O89" t="s">
        <v>7</v>
      </c>
      <c r="P89" s="6">
        <f>P71/P5</f>
        <v>0.19132422136971117</v>
      </c>
      <c r="Q89" s="6">
        <f>Q71/Q5</f>
        <v>0.1261757530611905</v>
      </c>
    </row>
    <row r="90" spans="1:29" x14ac:dyDescent="0.25">
      <c r="M90" s="1"/>
      <c r="O90" t="s">
        <v>6</v>
      </c>
      <c r="P90" s="6">
        <f>P73/P8</f>
        <v>0.17540432461958744</v>
      </c>
      <c r="Q90" s="6">
        <f>Q73/Q8</f>
        <v>9.6444473994317798E-2</v>
      </c>
    </row>
    <row r="91" spans="1:29" x14ac:dyDescent="0.25">
      <c r="M91" s="1"/>
      <c r="O91" t="s">
        <v>5</v>
      </c>
      <c r="P91" s="6">
        <f>P75/P11</f>
        <v>0.25703576382842036</v>
      </c>
      <c r="Q91" s="6">
        <f>Q75/Q11</f>
        <v>-0.50225559784144225</v>
      </c>
    </row>
    <row r="92" spans="1:29" x14ac:dyDescent="0.25">
      <c r="A92" s="68"/>
      <c r="B92" s="60"/>
      <c r="C92" s="60"/>
      <c r="D92" s="68"/>
      <c r="E92" s="68"/>
      <c r="M92" s="1"/>
      <c r="O92" t="s">
        <v>4</v>
      </c>
      <c r="P92" s="6">
        <f>P77/P14</f>
        <v>-0.19465246897530969</v>
      </c>
      <c r="Q92" s="6">
        <f>Q77/Q14</f>
        <v>-0.55844967561441217</v>
      </c>
    </row>
    <row r="93" spans="1:29" x14ac:dyDescent="0.25">
      <c r="A93" s="65"/>
      <c r="B93" s="44"/>
      <c r="C93" s="44"/>
      <c r="D93" s="157"/>
      <c r="E93" s="158"/>
      <c r="M93" s="18"/>
      <c r="O93" t="s">
        <v>3</v>
      </c>
      <c r="P93" s="6">
        <f>P79/P17</f>
        <v>-9.397613355608056E-4</v>
      </c>
      <c r="Q93" s="6">
        <f>Q79/Q17</f>
        <v>-0.42079334558327131</v>
      </c>
    </row>
    <row r="94" spans="1:29" x14ac:dyDescent="0.25">
      <c r="A94" s="65"/>
      <c r="B94" s="44"/>
      <c r="C94" s="44"/>
      <c r="D94" s="157"/>
      <c r="E94" s="158"/>
      <c r="M94" s="93"/>
    </row>
    <row r="95" spans="1:29" x14ac:dyDescent="0.25">
      <c r="P95" s="6"/>
      <c r="Q95" s="6"/>
    </row>
    <row r="96" spans="1:29" x14ac:dyDescent="0.25">
      <c r="A96" s="68"/>
      <c r="B96" s="60"/>
      <c r="C96" s="60"/>
      <c r="D96" s="68"/>
      <c r="E96" s="68"/>
    </row>
    <row r="97" spans="1:17" x14ac:dyDescent="0.25">
      <c r="A97" s="65"/>
      <c r="B97" s="44"/>
      <c r="C97" s="44"/>
      <c r="D97" s="157"/>
      <c r="E97" s="158"/>
      <c r="P97" s="6"/>
      <c r="Q97" s="6"/>
    </row>
    <row r="98" spans="1:17" x14ac:dyDescent="0.25">
      <c r="A98" s="65"/>
      <c r="B98" s="44"/>
      <c r="C98" s="44"/>
      <c r="D98" s="157"/>
      <c r="E98" s="158"/>
    </row>
  </sheetData>
  <conditionalFormatting sqref="I69:I83">
    <cfRule type="expression" dxfId="0" priority="1">
      <formula>I69&lt;0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9B83-1D7C-43CE-94BE-B965C0479223}">
  <sheetPr codeName="Sheet5">
    <tabColor rgb="FFC00000"/>
  </sheetPr>
  <dimension ref="A4:Y140"/>
  <sheetViews>
    <sheetView showGridLines="0" zoomScaleNormal="100" workbookViewId="0">
      <pane ySplit="6" topLeftCell="A87" activePane="bottomLeft" state="frozen"/>
      <selection activeCell="N41" sqref="N41"/>
      <selection pane="bottomLeft" activeCell="C60" sqref="C60"/>
    </sheetView>
  </sheetViews>
  <sheetFormatPr defaultRowHeight="15" outlineLevelRow="1" x14ac:dyDescent="0.25"/>
  <cols>
    <col min="1" max="1" width="14" customWidth="1"/>
    <col min="2" max="3" width="19.140625" bestFit="1" customWidth="1"/>
    <col min="4" max="4" width="19.7109375" bestFit="1" customWidth="1"/>
    <col min="5" max="5" width="18.7109375" bestFit="1" customWidth="1"/>
    <col min="6" max="6" width="18" bestFit="1" customWidth="1"/>
    <col min="7" max="7" width="15.28515625" bestFit="1" customWidth="1"/>
    <col min="8" max="8" width="18.7109375" bestFit="1" customWidth="1"/>
    <col min="9" max="9" width="16.28515625" bestFit="1" customWidth="1"/>
    <col min="10" max="10" width="16.85546875" bestFit="1" customWidth="1"/>
    <col min="11" max="11" width="18.42578125" bestFit="1" customWidth="1"/>
    <col min="12" max="13" width="17.5703125" customWidth="1"/>
    <col min="14" max="14" width="17.7109375" bestFit="1" customWidth="1"/>
    <col min="15" max="15" width="18.7109375" bestFit="1" customWidth="1"/>
    <col min="16" max="16" width="18.7109375" customWidth="1"/>
    <col min="17" max="17" width="34.42578125" bestFit="1" customWidth="1"/>
    <col min="18" max="18" width="18.7109375" bestFit="1" customWidth="1"/>
    <col min="19" max="19" width="16" bestFit="1" customWidth="1"/>
    <col min="20" max="20" width="15" bestFit="1" customWidth="1"/>
    <col min="21" max="21" width="16" bestFit="1" customWidth="1"/>
    <col min="22" max="22" width="14.28515625" bestFit="1" customWidth="1"/>
    <col min="23" max="23" width="15" bestFit="1" customWidth="1"/>
    <col min="24" max="24" width="15" customWidth="1"/>
    <col min="25" max="25" width="16" bestFit="1" customWidth="1"/>
  </cols>
  <sheetData>
    <row r="4" spans="1:19" x14ac:dyDescent="0.25">
      <c r="C4">
        <f>C12/C7</f>
        <v>3.9634091441125098E-2</v>
      </c>
    </row>
    <row r="5" spans="1:19" x14ac:dyDescent="0.25">
      <c r="A5" s="20" t="s">
        <v>49</v>
      </c>
      <c r="K5" s="92" t="s">
        <v>48</v>
      </c>
      <c r="L5" s="91"/>
      <c r="M5" s="91"/>
      <c r="N5" s="91"/>
      <c r="O5" s="91"/>
      <c r="P5" s="91"/>
    </row>
    <row r="6" spans="1:19" x14ac:dyDescent="0.25">
      <c r="A6" s="90"/>
      <c r="B6" s="89" t="s">
        <v>9</v>
      </c>
      <c r="C6" s="89" t="s">
        <v>8</v>
      </c>
      <c r="D6" s="89" t="s">
        <v>47</v>
      </c>
      <c r="F6" s="58" t="s">
        <v>46</v>
      </c>
      <c r="G6" s="58" t="s">
        <v>45</v>
      </c>
      <c r="H6" s="58" t="s">
        <v>44</v>
      </c>
      <c r="I6" s="58" t="s">
        <v>43</v>
      </c>
      <c r="K6" s="89" t="s">
        <v>16</v>
      </c>
      <c r="L6" s="89" t="s">
        <v>42</v>
      </c>
      <c r="M6" s="89" t="s">
        <v>14</v>
      </c>
      <c r="N6" s="89" t="s">
        <v>12</v>
      </c>
      <c r="O6" s="89" t="s">
        <v>1</v>
      </c>
      <c r="P6" s="89" t="s">
        <v>111</v>
      </c>
    </row>
    <row r="7" spans="1:19" s="83" customFormat="1" x14ac:dyDescent="0.25">
      <c r="A7" s="142" t="s">
        <v>39</v>
      </c>
      <c r="B7" s="141">
        <f>SUM(B8:B12)</f>
        <v>5940960.0000000009</v>
      </c>
      <c r="C7" s="141">
        <f>SUM(C8:C12)</f>
        <v>2776650</v>
      </c>
      <c r="D7" s="144">
        <f t="shared" ref="D7:D13" si="0">C7-B7</f>
        <v>-3164310.0000000009</v>
      </c>
      <c r="E7" s="87">
        <f>D7/B7</f>
        <v>-0.53262604023592153</v>
      </c>
      <c r="F7" s="86"/>
      <c r="H7" s="84">
        <f>SUM(H8:H12)</f>
        <v>2776650.0000000005</v>
      </c>
      <c r="I7" s="84"/>
    </row>
    <row r="8" spans="1:19" s="80" customFormat="1" outlineLevel="1" x14ac:dyDescent="0.25">
      <c r="A8" s="140" t="s">
        <v>7</v>
      </c>
      <c r="B8" s="139">
        <f>'S6'!B8</f>
        <v>4674770.0000000009</v>
      </c>
      <c r="C8" s="139">
        <f>'S6'!C8</f>
        <v>2255200</v>
      </c>
      <c r="D8" s="143">
        <f t="shared" si="0"/>
        <v>-2419570.0000000009</v>
      </c>
      <c r="F8" s="85">
        <f t="shared" ref="F8:G12" si="1">B8/B$7</f>
        <v>0.78687114540410985</v>
      </c>
      <c r="G8" s="85">
        <f t="shared" si="1"/>
        <v>0.81220175391208826</v>
      </c>
      <c r="H8" s="82">
        <f>F8*C$7</f>
        <v>2184865.7658863217</v>
      </c>
      <c r="I8" s="82"/>
      <c r="Q8" s="82"/>
      <c r="R8" s="81"/>
      <c r="S8" s="81"/>
    </row>
    <row r="9" spans="1:19" s="80" customFormat="1" outlineLevel="1" x14ac:dyDescent="0.25">
      <c r="A9" s="140" t="s">
        <v>6</v>
      </c>
      <c r="B9" s="139">
        <f>'S6'!B9</f>
        <v>916000</v>
      </c>
      <c r="C9" s="139">
        <f>'S6'!C9</f>
        <v>272500</v>
      </c>
      <c r="D9" s="143">
        <f t="shared" si="0"/>
        <v>-643500</v>
      </c>
      <c r="F9" s="85">
        <f t="shared" si="1"/>
        <v>0.15418383560905979</v>
      </c>
      <c r="G9" s="85">
        <f t="shared" si="1"/>
        <v>9.8139844776979457E-2</v>
      </c>
      <c r="H9" s="82">
        <f>F9*C$7</f>
        <v>428114.54714389588</v>
      </c>
      <c r="I9" s="82"/>
      <c r="Q9" s="82"/>
      <c r="R9" s="81"/>
      <c r="S9" s="81"/>
    </row>
    <row r="10" spans="1:19" s="80" customFormat="1" outlineLevel="1" x14ac:dyDescent="0.25">
      <c r="A10" s="140" t="s">
        <v>5</v>
      </c>
      <c r="B10" s="139">
        <f>'S6'!B10</f>
        <v>162750</v>
      </c>
      <c r="C10" s="139">
        <f>'S6'!C10</f>
        <v>115150</v>
      </c>
      <c r="D10" s="143">
        <f t="shared" si="0"/>
        <v>-47600</v>
      </c>
      <c r="F10" s="85">
        <f t="shared" si="1"/>
        <v>2.7394562494950307E-2</v>
      </c>
      <c r="G10" s="85">
        <f t="shared" si="1"/>
        <v>4.1470837159886913E-2</v>
      </c>
      <c r="H10" s="82">
        <f>F10*C$7</f>
        <v>76065.111951603772</v>
      </c>
      <c r="I10" s="82"/>
      <c r="Q10" s="82"/>
      <c r="R10" s="81"/>
      <c r="S10" s="81"/>
    </row>
    <row r="11" spans="1:19" s="80" customFormat="1" outlineLevel="1" x14ac:dyDescent="0.25">
      <c r="A11" s="140" t="s">
        <v>4</v>
      </c>
      <c r="B11" s="139">
        <f>'S6'!B11</f>
        <v>87440</v>
      </c>
      <c r="C11" s="139">
        <f>'S6'!C11</f>
        <v>23750</v>
      </c>
      <c r="D11" s="143">
        <f t="shared" si="0"/>
        <v>-63690</v>
      </c>
      <c r="F11" s="85">
        <f t="shared" si="1"/>
        <v>1.4718160028008938E-2</v>
      </c>
      <c r="G11" s="85">
        <f t="shared" si="1"/>
        <v>8.553472709920228E-3</v>
      </c>
      <c r="H11" s="82">
        <f>F11*C$7</f>
        <v>40867.179041771022</v>
      </c>
      <c r="I11" s="82"/>
      <c r="Q11" s="82"/>
      <c r="R11" s="81"/>
      <c r="S11" s="81"/>
    </row>
    <row r="12" spans="1:19" s="80" customFormat="1" outlineLevel="1" x14ac:dyDescent="0.25">
      <c r="A12" s="140" t="s">
        <v>3</v>
      </c>
      <c r="B12" s="139">
        <f>'S6'!B12</f>
        <v>100000</v>
      </c>
      <c r="C12" s="139">
        <f>'S6'!C12</f>
        <v>110050</v>
      </c>
      <c r="D12" s="143">
        <f t="shared" si="0"/>
        <v>10050</v>
      </c>
      <c r="F12" s="85">
        <f t="shared" si="1"/>
        <v>1.6832296463871157E-2</v>
      </c>
      <c r="G12" s="85">
        <f t="shared" si="1"/>
        <v>3.9634091441125098E-2</v>
      </c>
      <c r="H12" s="82">
        <f>F12*C$7</f>
        <v>46737.395976407846</v>
      </c>
      <c r="I12" s="82"/>
      <c r="Q12" s="82"/>
      <c r="R12" s="81"/>
      <c r="S12" s="81"/>
    </row>
    <row r="13" spans="1:19" s="83" customFormat="1" x14ac:dyDescent="0.25">
      <c r="A13" s="142" t="s">
        <v>38</v>
      </c>
      <c r="B13" s="141">
        <v>30553.284880668703</v>
      </c>
      <c r="C13" s="141">
        <v>28801.443116591079</v>
      </c>
      <c r="D13" s="141">
        <f t="shared" si="0"/>
        <v>-1751.8417640776242</v>
      </c>
      <c r="I13" s="84">
        <f>SUM(I14:I18)</f>
        <v>88499261978.74585</v>
      </c>
    </row>
    <row r="14" spans="1:19" s="80" customFormat="1" outlineLevel="1" x14ac:dyDescent="0.25">
      <c r="A14" s="140" t="s">
        <v>7</v>
      </c>
      <c r="B14" s="139">
        <f>'S6'!B14</f>
        <v>32231.125274612437</v>
      </c>
      <c r="C14" s="139">
        <f>'S6'!C14</f>
        <v>32376.574850163917</v>
      </c>
      <c r="D14" s="143"/>
      <c r="I14" s="82">
        <f>H8*B14</f>
        <v>70420682208.49408</v>
      </c>
      <c r="K14" s="81"/>
    </row>
    <row r="15" spans="1:19" s="80" customFormat="1" outlineLevel="1" x14ac:dyDescent="0.25">
      <c r="A15" s="140" t="s">
        <v>6</v>
      </c>
      <c r="B15" s="139">
        <f>'S6'!B15</f>
        <v>33420.305676855889</v>
      </c>
      <c r="C15" s="139">
        <f>'S6'!C15</f>
        <v>32756.9345174312</v>
      </c>
      <c r="D15" s="143"/>
      <c r="I15" s="82">
        <f>H9*B15</f>
        <v>14307719030.257732</v>
      </c>
      <c r="K15" s="81"/>
    </row>
    <row r="16" spans="1:19" s="80" customFormat="1" outlineLevel="1" x14ac:dyDescent="0.25">
      <c r="A16" s="140" t="s">
        <v>5</v>
      </c>
      <c r="B16" s="139">
        <f>'S6'!B16</f>
        <v>20685.483870967739</v>
      </c>
      <c r="C16" s="139">
        <f>'S6'!C16</f>
        <v>18023.825873345839</v>
      </c>
      <c r="D16" s="143"/>
      <c r="I16" s="82">
        <f>H10*B16</f>
        <v>1573443646.4182553</v>
      </c>
      <c r="K16" s="81"/>
    </row>
    <row r="17" spans="1:17" s="80" customFormat="1" outlineLevel="1" x14ac:dyDescent="0.25">
      <c r="A17" s="140" t="s">
        <v>4</v>
      </c>
      <c r="B17" s="139">
        <f>'S6'!B17</f>
        <v>22319.59057639524</v>
      </c>
      <c r="C17" s="139">
        <f>'S6'!C17</f>
        <v>19914.878106267934</v>
      </c>
      <c r="D17" s="143"/>
      <c r="I17" s="82">
        <f>H11*B17</f>
        <v>912138704.22456956</v>
      </c>
      <c r="K17" s="81"/>
    </row>
    <row r="18" spans="1:17" s="80" customFormat="1" outlineLevel="1" x14ac:dyDescent="0.25">
      <c r="A18" s="140" t="s">
        <v>3</v>
      </c>
      <c r="B18" s="139">
        <f>'S6'!B18</f>
        <v>27499.999999999996</v>
      </c>
      <c r="C18" s="139">
        <f>'S6'!C18</f>
        <v>18422.971485908129</v>
      </c>
      <c r="D18" s="143"/>
      <c r="I18" s="82">
        <f>H12*B18</f>
        <v>1285278389.3512156</v>
      </c>
      <c r="K18" s="81"/>
    </row>
    <row r="19" spans="1:17" x14ac:dyDescent="0.25">
      <c r="A19" s="49" t="s">
        <v>37</v>
      </c>
      <c r="B19" s="48">
        <f>SUM(B20:B24)</f>
        <v>189354285000</v>
      </c>
      <c r="C19" s="48">
        <f>SUM(C20:C24)</f>
        <v>86517786174.453491</v>
      </c>
      <c r="D19" s="114">
        <f>C19-B19</f>
        <v>-102836498825.54651</v>
      </c>
    </row>
    <row r="20" spans="1:17" s="79" customFormat="1" x14ac:dyDescent="0.25">
      <c r="A20" s="135" t="s">
        <v>7</v>
      </c>
      <c r="B20" s="134">
        <f t="shared" ref="B20:C24" si="2">B8*B14</f>
        <v>150673097500</v>
      </c>
      <c r="C20" s="134">
        <f t="shared" si="2"/>
        <v>73015651602.089661</v>
      </c>
      <c r="D20" s="134">
        <f>C20-B20</f>
        <v>-77657445897.910339</v>
      </c>
      <c r="K20" s="81">
        <f>I14-B20</f>
        <v>-80252415291.50592</v>
      </c>
      <c r="L20" s="81">
        <f>C8*B14-I14</f>
        <v>2266951510.8118896</v>
      </c>
      <c r="M20" s="82">
        <f>D63*C8/10^3*$B$69</f>
        <v>-2868699025.7539845</v>
      </c>
      <c r="N20" s="82">
        <f>IFERROR(C20-C20/C70*B70,0)</f>
        <v>3196716908.5376892</v>
      </c>
    </row>
    <row r="21" spans="1:17" s="79" customFormat="1" x14ac:dyDescent="0.25">
      <c r="A21" s="135" t="s">
        <v>6</v>
      </c>
      <c r="B21" s="134">
        <f t="shared" si="2"/>
        <v>30612999999.999996</v>
      </c>
      <c r="C21" s="134">
        <f t="shared" si="2"/>
        <v>8926264656.0000019</v>
      </c>
      <c r="D21" s="134">
        <f t="shared" ref="D21:D24" si="3">C21-B21</f>
        <v>-21686735343.999992</v>
      </c>
      <c r="K21" s="81">
        <f>I15-B21</f>
        <v>-16305280969.742264</v>
      </c>
      <c r="L21" s="81">
        <f>C9*B15-I15</f>
        <v>-5200685733.3145027</v>
      </c>
      <c r="M21" s="82">
        <f>D64*C9/10^3*$B$69</f>
        <v>-569172805.84211791</v>
      </c>
      <c r="N21" s="82">
        <f t="shared" ref="N21:N24" si="4">IFERROR(C21-C21/C71*B71,0)</f>
        <v>388404164.89888954</v>
      </c>
    </row>
    <row r="22" spans="1:17" s="79" customFormat="1" x14ac:dyDescent="0.25">
      <c r="A22" s="135" t="s">
        <v>5</v>
      </c>
      <c r="B22" s="134">
        <f t="shared" si="2"/>
        <v>3366562499.9999995</v>
      </c>
      <c r="C22" s="134">
        <f t="shared" si="2"/>
        <v>2075443549.3157732</v>
      </c>
      <c r="D22" s="134">
        <f t="shared" si="3"/>
        <v>-1291118950.6842263</v>
      </c>
      <c r="K22" s="81">
        <f>I16-B22</f>
        <v>-1793118853.5817442</v>
      </c>
      <c r="L22" s="81">
        <f>C10*B16-I16</f>
        <v>808489821.32367992</v>
      </c>
      <c r="M22" s="82">
        <f>D65*C10/10^3*$B$69</f>
        <v>-396797673.08420205</v>
      </c>
      <c r="N22" s="82">
        <f t="shared" si="4"/>
        <v>90307754.658040285</v>
      </c>
    </row>
    <row r="23" spans="1:17" s="79" customFormat="1" x14ac:dyDescent="0.25">
      <c r="A23" s="135" t="s">
        <v>4</v>
      </c>
      <c r="B23" s="134">
        <f t="shared" si="2"/>
        <v>1951624999.9999998</v>
      </c>
      <c r="C23" s="134">
        <f t="shared" si="2"/>
        <v>472978355.02386343</v>
      </c>
      <c r="D23" s="134">
        <f t="shared" si="3"/>
        <v>-1478646644.9761362</v>
      </c>
      <c r="K23" s="81">
        <f>I17-B23</f>
        <v>-1039486295.7754302</v>
      </c>
      <c r="L23" s="81">
        <f>C11*B17-I17</f>
        <v>-382048428.0351826</v>
      </c>
      <c r="M23" s="82">
        <f>D66*C11/10^3*$B$69</f>
        <v>-77692395.762454882</v>
      </c>
      <c r="N23" s="82">
        <f t="shared" si="4"/>
        <v>20580474.596931338</v>
      </c>
    </row>
    <row r="24" spans="1:17" s="79" customFormat="1" x14ac:dyDescent="0.25">
      <c r="A24" s="135" t="s">
        <v>3</v>
      </c>
      <c r="B24" s="134">
        <f t="shared" si="2"/>
        <v>2749999999.9999995</v>
      </c>
      <c r="C24" s="134">
        <f t="shared" si="2"/>
        <v>2027448012.0241895</v>
      </c>
      <c r="D24" s="134">
        <f t="shared" si="3"/>
        <v>-722551987.97581005</v>
      </c>
      <c r="K24" s="81">
        <f>I18-B24</f>
        <v>-1464721610.6487839</v>
      </c>
      <c r="L24" s="81">
        <f>C12*B18-I18</f>
        <v>1741096610.6487839</v>
      </c>
      <c r="M24" s="82">
        <f>D67*C12/10^3*$B$69</f>
        <v>-1087146336.4192657</v>
      </c>
      <c r="N24" s="82">
        <f t="shared" si="4"/>
        <v>88219348.443455696</v>
      </c>
    </row>
    <row r="25" spans="1:17" s="50" customFormat="1" x14ac:dyDescent="0.25">
      <c r="A25" s="49" t="s">
        <v>36</v>
      </c>
      <c r="B25" s="48">
        <f>'S6'!B25</f>
        <v>3271999000</v>
      </c>
      <c r="C25" s="48">
        <f>'S6'!C25</f>
        <v>8295287500</v>
      </c>
      <c r="D25" s="48">
        <f>C25-B25</f>
        <v>5023288500</v>
      </c>
      <c r="O25" s="75">
        <f>D25</f>
        <v>5023288500</v>
      </c>
      <c r="P25" s="75"/>
      <c r="Q25" s="76">
        <f>SUM(K25:P25)</f>
        <v>5023288500</v>
      </c>
    </row>
    <row r="26" spans="1:17" s="50" customFormat="1" x14ac:dyDescent="0.25">
      <c r="A26" s="49" t="s">
        <v>35</v>
      </c>
      <c r="B26" s="48">
        <f>'S6'!B26</f>
        <v>2640000000</v>
      </c>
      <c r="C26" s="48">
        <f>'S6'!C26</f>
        <v>3597738429.5950651</v>
      </c>
      <c r="D26" s="48">
        <f>C26-B26</f>
        <v>957738429.59506512</v>
      </c>
      <c r="O26" s="75">
        <f>D26</f>
        <v>957738429.59506512</v>
      </c>
      <c r="P26" s="75"/>
      <c r="Q26" s="76">
        <f t="shared" ref="Q26:Q29" si="5">SUM(K26:P26)</f>
        <v>957738429.59506512</v>
      </c>
    </row>
    <row r="27" spans="1:17" s="50" customFormat="1" x14ac:dyDescent="0.25">
      <c r="A27" s="49" t="s">
        <v>1</v>
      </c>
      <c r="B27" s="48">
        <f>'S6'!B27</f>
        <v>0</v>
      </c>
      <c r="C27" s="48">
        <f>'S6'!C27</f>
        <v>631745036.02862549</v>
      </c>
      <c r="D27" s="48">
        <f>C27-B27</f>
        <v>631745036.02862549</v>
      </c>
      <c r="O27" s="75">
        <f>D27</f>
        <v>631745036.02862549</v>
      </c>
      <c r="P27" s="75"/>
      <c r="Q27" s="76">
        <f t="shared" si="5"/>
        <v>631745036.02862549</v>
      </c>
    </row>
    <row r="28" spans="1:17" s="50" customFormat="1" x14ac:dyDescent="0.25">
      <c r="A28" s="49" t="s">
        <v>111</v>
      </c>
      <c r="B28" s="48">
        <f>'S8'!C27</f>
        <v>12595919900</v>
      </c>
      <c r="C28" s="48">
        <f>'S8'!G27</f>
        <v>2392525440.922821</v>
      </c>
      <c r="D28" s="48">
        <f>C28-B28</f>
        <v>-10203394459.077179</v>
      </c>
      <c r="O28" s="75"/>
      <c r="P28" s="75">
        <f>D28</f>
        <v>-10203394459.077179</v>
      </c>
      <c r="Q28" s="76">
        <f>SUM(K28:P28)</f>
        <v>-10203394459.077179</v>
      </c>
    </row>
    <row r="29" spans="1:17" x14ac:dyDescent="0.25">
      <c r="A29" s="132" t="s">
        <v>113</v>
      </c>
      <c r="B29" s="131">
        <f>B19+B25+B26+B27+B28</f>
        <v>207862203900</v>
      </c>
      <c r="C29" s="131">
        <f>C19+C25+C26+C27+C28</f>
        <v>101435082581</v>
      </c>
      <c r="D29" s="48">
        <f>C29-B29</f>
        <v>-106427121319</v>
      </c>
      <c r="E29" s="1"/>
      <c r="K29" s="23">
        <f>SUM(K7:K28)</f>
        <v>-100855023021.25415</v>
      </c>
      <c r="L29" s="23">
        <f t="shared" ref="L29:P29" si="6">SUM(L7:L28)</f>
        <v>-766196218.5653317</v>
      </c>
      <c r="M29" s="23">
        <f t="shared" si="6"/>
        <v>-4999508236.8620253</v>
      </c>
      <c r="N29" s="23">
        <f t="shared" si="6"/>
        <v>3784228651.135006</v>
      </c>
      <c r="O29" s="23">
        <f t="shared" si="6"/>
        <v>6612771965.6236906</v>
      </c>
      <c r="P29" s="23">
        <f t="shared" si="6"/>
        <v>-10203394459.077179</v>
      </c>
      <c r="Q29" s="75">
        <f t="shared" si="5"/>
        <v>-106427121319</v>
      </c>
    </row>
    <row r="30" spans="1:17" x14ac:dyDescent="0.25">
      <c r="P30" s="21" t="s">
        <v>11</v>
      </c>
      <c r="Q30" s="74">
        <f>Q29-D29</f>
        <v>0</v>
      </c>
    </row>
    <row r="31" spans="1:17" s="83" customFormat="1" x14ac:dyDescent="0.25">
      <c r="A31" s="142" t="s">
        <v>74</v>
      </c>
      <c r="B31" s="141"/>
      <c r="C31" s="141"/>
      <c r="D31" s="141"/>
      <c r="I31" s="84"/>
    </row>
    <row r="32" spans="1:17" s="80" customFormat="1" outlineLevel="1" x14ac:dyDescent="0.25">
      <c r="A32" s="140" t="s">
        <v>7</v>
      </c>
      <c r="B32" s="139">
        <v>26064.530327577595</v>
      </c>
      <c r="C32" s="139">
        <v>27052.801538960175</v>
      </c>
      <c r="D32" s="139">
        <f>C32-B32</f>
        <v>988.27121138258008</v>
      </c>
      <c r="I32" s="82"/>
      <c r="K32" s="81"/>
    </row>
    <row r="33" spans="1:24" s="80" customFormat="1" outlineLevel="1" x14ac:dyDescent="0.25">
      <c r="A33" s="140" t="s">
        <v>6</v>
      </c>
      <c r="B33" s="139">
        <v>27558.239531026822</v>
      </c>
      <c r="C33" s="139">
        <v>28309.838631192655</v>
      </c>
      <c r="D33" s="139">
        <f>C33-B33</f>
        <v>751.59910016583308</v>
      </c>
      <c r="I33" s="82"/>
      <c r="K33" s="81"/>
    </row>
    <row r="34" spans="1:24" s="80" customFormat="1" outlineLevel="1" x14ac:dyDescent="0.25">
      <c r="A34" s="140" t="s">
        <v>5</v>
      </c>
      <c r="B34" s="139">
        <v>15368.57472403308</v>
      </c>
      <c r="C34" s="139">
        <v>25898.231524098996</v>
      </c>
      <c r="D34" s="139">
        <f>C34-B34</f>
        <v>10529.656800065915</v>
      </c>
      <c r="I34" s="82"/>
      <c r="K34" s="81"/>
    </row>
    <row r="35" spans="1:24" s="80" customFormat="1" outlineLevel="1" x14ac:dyDescent="0.25">
      <c r="A35" s="140" t="s">
        <v>4</v>
      </c>
      <c r="B35" s="139">
        <v>26664.153988608632</v>
      </c>
      <c r="C35" s="139">
        <v>29685.866526315789</v>
      </c>
      <c r="D35" s="139">
        <f>C35-B35</f>
        <v>3021.712537707157</v>
      </c>
      <c r="I35" s="82"/>
      <c r="K35" s="81"/>
    </row>
    <row r="36" spans="1:24" s="80" customFormat="1" outlineLevel="1" x14ac:dyDescent="0.25">
      <c r="A36" s="140" t="s">
        <v>3</v>
      </c>
      <c r="B36" s="139">
        <v>27525.843436727919</v>
      </c>
      <c r="C36" s="139">
        <v>26175.235293048616</v>
      </c>
      <c r="D36" s="139">
        <f>C36-B36</f>
        <v>-1350.6081436793029</v>
      </c>
      <c r="I36" s="82"/>
      <c r="K36" s="81"/>
    </row>
    <row r="37" spans="1:24" x14ac:dyDescent="0.25">
      <c r="A37" s="33"/>
      <c r="B37" s="33"/>
      <c r="C37" s="33"/>
      <c r="D37" s="33"/>
    </row>
    <row r="38" spans="1:24" x14ac:dyDescent="0.25">
      <c r="A38" s="49" t="s">
        <v>73</v>
      </c>
      <c r="B38" s="48">
        <f>SUM(B39:B43)</f>
        <v>154674365354.64365</v>
      </c>
      <c r="C38" s="48">
        <f>SUM(C39:C43)</f>
        <v>75291714391.662979</v>
      </c>
      <c r="D38" s="33"/>
      <c r="F38" s="156"/>
      <c r="G38" s="18"/>
    </row>
    <row r="39" spans="1:24" s="79" customFormat="1" x14ac:dyDescent="0.25">
      <c r="A39" s="135" t="s">
        <v>7</v>
      </c>
      <c r="B39" s="134">
        <f t="shared" ref="B39:C43" si="7">B32*B8</f>
        <v>121845684439.44994</v>
      </c>
      <c r="C39" s="134">
        <f t="shared" si="7"/>
        <v>61009478030.662987</v>
      </c>
      <c r="D39" s="135"/>
    </row>
    <row r="40" spans="1:24" s="79" customFormat="1" x14ac:dyDescent="0.25">
      <c r="A40" s="135" t="s">
        <v>6</v>
      </c>
      <c r="B40" s="134">
        <f t="shared" si="7"/>
        <v>25243347410.42057</v>
      </c>
      <c r="C40" s="134">
        <f t="shared" si="7"/>
        <v>7714431026.9999981</v>
      </c>
      <c r="D40" s="135"/>
    </row>
    <row r="41" spans="1:24" s="79" customFormat="1" x14ac:dyDescent="0.25">
      <c r="A41" s="135" t="s">
        <v>5</v>
      </c>
      <c r="B41" s="134">
        <f t="shared" si="7"/>
        <v>2501235536.3363838</v>
      </c>
      <c r="C41" s="134">
        <f t="shared" si="7"/>
        <v>2982181359.9999995</v>
      </c>
      <c r="D41" s="135"/>
    </row>
    <row r="42" spans="1:24" s="79" customFormat="1" x14ac:dyDescent="0.25">
      <c r="A42" s="135" t="s">
        <v>4</v>
      </c>
      <c r="B42" s="134">
        <f t="shared" si="7"/>
        <v>2331513624.7639389</v>
      </c>
      <c r="C42" s="134">
        <f t="shared" si="7"/>
        <v>705039330</v>
      </c>
      <c r="D42" s="135"/>
    </row>
    <row r="43" spans="1:24" s="79" customFormat="1" x14ac:dyDescent="0.25">
      <c r="A43" s="135" t="s">
        <v>3</v>
      </c>
      <c r="B43" s="134">
        <f t="shared" si="7"/>
        <v>2752584343.672792</v>
      </c>
      <c r="C43" s="134">
        <f t="shared" si="7"/>
        <v>2880584644</v>
      </c>
      <c r="D43" s="135"/>
    </row>
    <row r="44" spans="1:24" s="50" customFormat="1" x14ac:dyDescent="0.25">
      <c r="A44" s="49" t="s">
        <v>36</v>
      </c>
      <c r="B44" s="48"/>
      <c r="C44" s="49"/>
      <c r="D44" s="49"/>
    </row>
    <row r="45" spans="1:24" s="50" customFormat="1" x14ac:dyDescent="0.25">
      <c r="A45" s="49" t="s">
        <v>35</v>
      </c>
      <c r="B45" s="208">
        <v>2359350000</v>
      </c>
      <c r="C45" s="208">
        <v>2124665875</v>
      </c>
      <c r="D45" s="49"/>
      <c r="F45" s="75"/>
    </row>
    <row r="46" spans="1:24" s="50" customFormat="1" x14ac:dyDescent="0.25">
      <c r="A46" s="49" t="s">
        <v>1</v>
      </c>
      <c r="B46" s="208">
        <v>2249999999.999939</v>
      </c>
      <c r="C46" s="208">
        <v>-11147872188.662712</v>
      </c>
      <c r="D46" s="49"/>
    </row>
    <row r="47" spans="1:24" x14ac:dyDescent="0.25">
      <c r="A47" s="132" t="s">
        <v>87</v>
      </c>
      <c r="B47" s="131">
        <f>B38+B44+B45+B46</f>
        <v>159283715354.64359</v>
      </c>
      <c r="C47" s="131">
        <f>C38+C44+C45+C46</f>
        <v>66268508078.000267</v>
      </c>
      <c r="D47" s="33"/>
      <c r="E47" s="1"/>
      <c r="F47" s="1"/>
      <c r="K47" s="92" t="s">
        <v>48</v>
      </c>
      <c r="L47" s="91"/>
      <c r="M47" s="91"/>
      <c r="N47" s="91"/>
      <c r="O47" s="91"/>
      <c r="P47" s="91"/>
      <c r="Q47" s="91"/>
      <c r="S47" s="92" t="s">
        <v>72</v>
      </c>
      <c r="T47" s="91"/>
      <c r="U47" s="91"/>
      <c r="V47" s="91"/>
      <c r="W47" s="91"/>
      <c r="X47" s="211"/>
    </row>
    <row r="48" spans="1:24" x14ac:dyDescent="0.25">
      <c r="A48" s="108" t="s">
        <v>105</v>
      </c>
      <c r="B48" s="196">
        <f>'S7'!C3-'S8'!C3-B47</f>
        <v>0</v>
      </c>
      <c r="C48" s="196">
        <f>'S7'!G17-'S8'!G22-C47</f>
        <v>0</v>
      </c>
      <c r="D48" s="113"/>
      <c r="F48" s="137" t="s">
        <v>71</v>
      </c>
      <c r="G48" s="137" t="s">
        <v>70</v>
      </c>
      <c r="H48" s="138" t="s">
        <v>69</v>
      </c>
      <c r="K48" s="89" t="s">
        <v>16</v>
      </c>
      <c r="L48" s="89" t="s">
        <v>42</v>
      </c>
      <c r="M48" s="89" t="s">
        <v>14</v>
      </c>
      <c r="N48" s="89" t="s">
        <v>60</v>
      </c>
      <c r="O48" s="89" t="s">
        <v>12</v>
      </c>
      <c r="P48" s="89" t="s">
        <v>1</v>
      </c>
      <c r="Q48" s="89" t="s">
        <v>111</v>
      </c>
      <c r="S48" s="89" t="s">
        <v>16</v>
      </c>
      <c r="T48" s="89" t="s">
        <v>42</v>
      </c>
      <c r="U48" s="89" t="s">
        <v>50</v>
      </c>
      <c r="V48" s="89" t="s">
        <v>12</v>
      </c>
      <c r="W48" s="89" t="s">
        <v>1</v>
      </c>
      <c r="X48" s="212" t="s">
        <v>111</v>
      </c>
    </row>
    <row r="49" spans="1:25" x14ac:dyDescent="0.25">
      <c r="A49" s="49" t="s">
        <v>68</v>
      </c>
      <c r="B49" s="48">
        <f>SUM(B50:B54)</f>
        <v>34679919645.356377</v>
      </c>
      <c r="C49" s="48">
        <f>SUM(C50:C54)</f>
        <v>11226071782.790503</v>
      </c>
      <c r="D49" s="48">
        <f t="shared" ref="D49:D59" si="8">C49-B49</f>
        <v>-23453847862.565872</v>
      </c>
      <c r="F49" s="137"/>
      <c r="G49" s="137"/>
      <c r="H49" s="136">
        <f>SUM(H50:H54)</f>
        <v>16208491368.950272</v>
      </c>
    </row>
    <row r="50" spans="1:25" x14ac:dyDescent="0.25">
      <c r="A50" s="135" t="s">
        <v>7</v>
      </c>
      <c r="B50" s="134">
        <f t="shared" ref="B50:C56" si="9">B20-B39</f>
        <v>28827413060.550064</v>
      </c>
      <c r="C50" s="134">
        <f t="shared" si="9"/>
        <v>12006173571.426674</v>
      </c>
      <c r="D50" s="134">
        <f t="shared" si="8"/>
        <v>-16821239489.12339</v>
      </c>
      <c r="F50" s="40">
        <f t="shared" ref="F50:G54" si="10">B63*B70/10^3-B32</f>
        <v>6166.5949470348423</v>
      </c>
      <c r="G50" s="40">
        <f t="shared" si="10"/>
        <v>5323.7733112037422</v>
      </c>
      <c r="H50" s="133">
        <f>F50*H8</f>
        <v>13473182191.864002</v>
      </c>
      <c r="K50" s="18">
        <f>H50-B50</f>
        <v>-15354230868.686062</v>
      </c>
      <c r="L50" s="1">
        <f>C8*F50-H50</f>
        <v>433722732.68897438</v>
      </c>
      <c r="M50" s="1">
        <f>C8*D63*B70/10^3</f>
        <v>-2868699025.7539845</v>
      </c>
      <c r="N50" s="1">
        <f>-D32*C8</f>
        <v>-2228749235.9099946</v>
      </c>
      <c r="O50" s="18">
        <f>N20</f>
        <v>3196716908.5376892</v>
      </c>
      <c r="P50" s="18"/>
      <c r="R50" s="1"/>
      <c r="S50" s="18">
        <f t="shared" ref="S50:T54" si="11">K50</f>
        <v>-15354230868.686062</v>
      </c>
      <c r="T50" s="18">
        <f t="shared" si="11"/>
        <v>433722732.68897438</v>
      </c>
      <c r="U50" s="1">
        <f>M50+N50</f>
        <v>-5097448261.6639786</v>
      </c>
      <c r="V50" s="18">
        <f>O50</f>
        <v>3196716908.5376892</v>
      </c>
    </row>
    <row r="51" spans="1:25" x14ac:dyDescent="0.25">
      <c r="A51" s="135" t="s">
        <v>6</v>
      </c>
      <c r="B51" s="134">
        <f t="shared" si="9"/>
        <v>5369652589.5794258</v>
      </c>
      <c r="C51" s="134">
        <f t="shared" si="9"/>
        <v>1211833629.0000038</v>
      </c>
      <c r="D51" s="134">
        <f t="shared" si="8"/>
        <v>-4157818960.579422</v>
      </c>
      <c r="F51" s="40">
        <f t="shared" si="10"/>
        <v>5862.066145829067</v>
      </c>
      <c r="G51" s="40">
        <f t="shared" si="10"/>
        <v>4447.0958862385451</v>
      </c>
      <c r="H51" s="133">
        <f>F51*H9</f>
        <v>2509635793.349174</v>
      </c>
      <c r="K51" s="18">
        <f>H51-B51</f>
        <v>-2860016796.2302518</v>
      </c>
      <c r="L51" s="1">
        <f>C9*F51-H51</f>
        <v>-912222768.6107533</v>
      </c>
      <c r="M51" s="1">
        <f>C9*D64*B71/10^3</f>
        <v>-569172805.84211791</v>
      </c>
      <c r="N51" s="1">
        <f>-D33*C9</f>
        <v>-204810754.7951895</v>
      </c>
      <c r="O51" s="18">
        <f>N21</f>
        <v>388404164.89888954</v>
      </c>
      <c r="P51" s="18"/>
      <c r="R51" s="1"/>
      <c r="S51" s="18">
        <f t="shared" si="11"/>
        <v>-2860016796.2302518</v>
      </c>
      <c r="T51" s="18">
        <f t="shared" si="11"/>
        <v>-912222768.6107533</v>
      </c>
      <c r="U51" s="1">
        <f>M51+N51</f>
        <v>-773983560.63730741</v>
      </c>
      <c r="V51" s="18">
        <f>O51</f>
        <v>388404164.89888954</v>
      </c>
    </row>
    <row r="52" spans="1:25" x14ac:dyDescent="0.25">
      <c r="A52" s="135" t="s">
        <v>5</v>
      </c>
      <c r="B52" s="134">
        <f t="shared" si="9"/>
        <v>865326963.6636157</v>
      </c>
      <c r="C52" s="134">
        <f t="shared" si="9"/>
        <v>-906737810.68422627</v>
      </c>
      <c r="D52" s="134">
        <f t="shared" si="8"/>
        <v>-1772064774.347842</v>
      </c>
      <c r="F52" s="40">
        <f t="shared" si="10"/>
        <v>5316.9091469346586</v>
      </c>
      <c r="G52" s="40">
        <f t="shared" si="10"/>
        <v>-7874.4056507531568</v>
      </c>
      <c r="H52" s="133">
        <f>F52*H10</f>
        <v>404431289.49809092</v>
      </c>
      <c r="K52" s="18">
        <f>H52-B52</f>
        <v>-460895674.16552478</v>
      </c>
      <c r="L52" s="1">
        <f>C10*F52-H52</f>
        <v>207810798.77143496</v>
      </c>
      <c r="M52" s="1">
        <f>C10*D65*B72/10^3</f>
        <v>-396797673.08420205</v>
      </c>
      <c r="N52" s="1">
        <f>-D34*C10</f>
        <v>-1212489980.5275903</v>
      </c>
      <c r="O52" s="18">
        <f>N22</f>
        <v>90307754.658040285</v>
      </c>
      <c r="P52" s="18"/>
      <c r="R52" s="1"/>
      <c r="S52" s="18">
        <f t="shared" si="11"/>
        <v>-460895674.16552478</v>
      </c>
      <c r="T52" s="18">
        <f t="shared" si="11"/>
        <v>207810798.77143496</v>
      </c>
      <c r="U52" s="1">
        <f>M52+N52</f>
        <v>-1609287653.6117923</v>
      </c>
      <c r="V52" s="18">
        <f>O52</f>
        <v>90307754.658040285</v>
      </c>
    </row>
    <row r="53" spans="1:25" x14ac:dyDescent="0.25">
      <c r="A53" s="135" t="s">
        <v>4</v>
      </c>
      <c r="B53" s="134">
        <f t="shared" si="9"/>
        <v>-379888624.76393914</v>
      </c>
      <c r="C53" s="134">
        <f t="shared" si="9"/>
        <v>-232060974.97613657</v>
      </c>
      <c r="D53" s="134">
        <f t="shared" si="8"/>
        <v>147827649.78780258</v>
      </c>
      <c r="F53" s="40">
        <f t="shared" si="10"/>
        <v>-4344.5634122133924</v>
      </c>
      <c r="G53" s="40">
        <f t="shared" si="10"/>
        <v>-9770.9884200478555</v>
      </c>
      <c r="H53" s="133">
        <f>F53*H11</f>
        <v>-177550050.82525235</v>
      </c>
      <c r="K53" s="18">
        <f>H53-B53</f>
        <v>202338573.93868679</v>
      </c>
      <c r="L53" s="1">
        <f>C11*F53-H53</f>
        <v>74366669.785184279</v>
      </c>
      <c r="M53" s="1">
        <f>C11*D66*B73/10^3</f>
        <v>-77692395.762454882</v>
      </c>
      <c r="N53" s="1">
        <f>-D35*C11</f>
        <v>-71765672.770544976</v>
      </c>
      <c r="O53" s="18">
        <f>N23</f>
        <v>20580474.596931338</v>
      </c>
      <c r="P53" s="18"/>
      <c r="R53" s="1"/>
      <c r="S53" s="18">
        <f t="shared" si="11"/>
        <v>202338573.93868679</v>
      </c>
      <c r="T53" s="18">
        <f t="shared" si="11"/>
        <v>74366669.785184279</v>
      </c>
      <c r="U53" s="1">
        <f>M53+N53</f>
        <v>-149458068.53299987</v>
      </c>
      <c r="V53" s="18">
        <f>O53</f>
        <v>20580474.596931338</v>
      </c>
    </row>
    <row r="54" spans="1:25" x14ac:dyDescent="0.25">
      <c r="A54" s="135" t="s">
        <v>3</v>
      </c>
      <c r="B54" s="134">
        <f t="shared" si="9"/>
        <v>-2584343.6727924347</v>
      </c>
      <c r="C54" s="134">
        <f t="shared" si="9"/>
        <v>-853136631.97581053</v>
      </c>
      <c r="D54" s="134">
        <f t="shared" si="8"/>
        <v>-850552288.30301809</v>
      </c>
      <c r="F54" s="40">
        <f t="shared" si="10"/>
        <v>-25.843436727922381</v>
      </c>
      <c r="G54" s="40">
        <f t="shared" si="10"/>
        <v>-7752.2638071404872</v>
      </c>
      <c r="H54" s="133">
        <f>F54*H12</f>
        <v>-1207854.9357441503</v>
      </c>
      <c r="K54" s="18">
        <f>H54-B54</f>
        <v>1376488.7370482844</v>
      </c>
      <c r="L54" s="1">
        <f>C12*F54-H54</f>
        <v>-1636215.2761637077</v>
      </c>
      <c r="M54" s="1">
        <f>C12*D67*B74/10^3</f>
        <v>-1087146336.4192657</v>
      </c>
      <c r="N54" s="1">
        <f>-D36*C12</f>
        <v>148634426.21190727</v>
      </c>
      <c r="O54" s="18">
        <f>N24</f>
        <v>88219348.443455696</v>
      </c>
      <c r="P54" s="18"/>
      <c r="R54" s="1"/>
      <c r="S54" s="18">
        <f t="shared" si="11"/>
        <v>1376488.7370482844</v>
      </c>
      <c r="T54" s="18">
        <f t="shared" si="11"/>
        <v>-1636215.2761637077</v>
      </c>
      <c r="U54" s="1">
        <f>M54+N54</f>
        <v>-938511910.20735848</v>
      </c>
      <c r="V54" s="18">
        <f>O54</f>
        <v>88219348.443455696</v>
      </c>
    </row>
    <row r="55" spans="1:25" x14ac:dyDescent="0.25">
      <c r="A55" s="49" t="s">
        <v>36</v>
      </c>
      <c r="B55" s="48">
        <f t="shared" si="9"/>
        <v>3271999000</v>
      </c>
      <c r="C55" s="48">
        <f t="shared" si="9"/>
        <v>8295287500</v>
      </c>
      <c r="D55" s="48">
        <f t="shared" si="8"/>
        <v>5023288500</v>
      </c>
      <c r="H55" s="9"/>
      <c r="P55" s="18">
        <f>D55</f>
        <v>5023288500</v>
      </c>
      <c r="Q55" s="18"/>
      <c r="W55" s="18">
        <f>P55</f>
        <v>5023288500</v>
      </c>
      <c r="X55" s="18"/>
    </row>
    <row r="56" spans="1:25" x14ac:dyDescent="0.25">
      <c r="A56" s="49" t="s">
        <v>35</v>
      </c>
      <c r="B56" s="48">
        <f t="shared" si="9"/>
        <v>280650000</v>
      </c>
      <c r="C56" s="48">
        <f t="shared" si="9"/>
        <v>1473072554.5950651</v>
      </c>
      <c r="D56" s="48">
        <f t="shared" si="8"/>
        <v>1192422554.5950651</v>
      </c>
      <c r="H56" s="9"/>
      <c r="P56" s="18">
        <f t="shared" ref="P56:P57" si="12">D56</f>
        <v>1192422554.5950651</v>
      </c>
      <c r="Q56" s="18"/>
      <c r="W56" s="18">
        <f t="shared" ref="W56:X58" si="13">P56</f>
        <v>1192422554.5950651</v>
      </c>
      <c r="X56" s="18"/>
    </row>
    <row r="57" spans="1:25" x14ac:dyDescent="0.25">
      <c r="A57" s="49" t="s">
        <v>1</v>
      </c>
      <c r="B57" s="48">
        <f t="shared" ref="B57:C57" si="14">B27-B46</f>
        <v>-2249999999.999939</v>
      </c>
      <c r="C57" s="48">
        <f t="shared" si="14"/>
        <v>11779617224.691338</v>
      </c>
      <c r="D57" s="48">
        <f t="shared" si="8"/>
        <v>14029617224.691277</v>
      </c>
      <c r="H57" s="9"/>
      <c r="P57" s="18">
        <f t="shared" si="12"/>
        <v>14029617224.691277</v>
      </c>
      <c r="Q57" s="18"/>
      <c r="W57" s="18">
        <f t="shared" si="13"/>
        <v>14029617224.691277</v>
      </c>
      <c r="X57" s="18"/>
    </row>
    <row r="58" spans="1:25" x14ac:dyDescent="0.25">
      <c r="A58" s="49" t="s">
        <v>111</v>
      </c>
      <c r="B58" s="48">
        <f>B28</f>
        <v>12595919900</v>
      </c>
      <c r="C58" s="48">
        <f>C28</f>
        <v>2392525440.922821</v>
      </c>
      <c r="D58" s="48">
        <f t="shared" si="8"/>
        <v>-10203394459.077179</v>
      </c>
      <c r="H58" s="9"/>
      <c r="Q58" s="18">
        <f>D58</f>
        <v>-10203394459.077179</v>
      </c>
      <c r="W58" s="18"/>
      <c r="X58" s="18">
        <f t="shared" si="13"/>
        <v>-10203394459.077179</v>
      </c>
    </row>
    <row r="59" spans="1:25" x14ac:dyDescent="0.25">
      <c r="A59" s="132" t="s">
        <v>67</v>
      </c>
      <c r="B59" s="131">
        <f>B49+B55+B56+B57+B58</f>
        <v>48578488545.356438</v>
      </c>
      <c r="C59" s="131">
        <f>C49+C55+C56+C57+C58</f>
        <v>35166574502.999725</v>
      </c>
      <c r="D59" s="131">
        <f t="shared" si="8"/>
        <v>-13411914042.356712</v>
      </c>
      <c r="K59" s="23">
        <f>SUM(K49:K58)</f>
        <v>-18471428276.406101</v>
      </c>
      <c r="L59" s="23">
        <f t="shared" ref="L59:Q59" si="15">SUM(L49:L58)</f>
        <v>-197958782.64132339</v>
      </c>
      <c r="M59" s="23">
        <f t="shared" si="15"/>
        <v>-4999508236.8620253</v>
      </c>
      <c r="N59" s="23">
        <f t="shared" si="15"/>
        <v>-3569181217.7914119</v>
      </c>
      <c r="O59" s="23">
        <f t="shared" si="15"/>
        <v>3784228651.135006</v>
      </c>
      <c r="P59" s="23">
        <f t="shared" si="15"/>
        <v>20245328279.286343</v>
      </c>
      <c r="Q59" s="23">
        <f t="shared" si="15"/>
        <v>-10203394459.077179</v>
      </c>
      <c r="S59" s="23">
        <f t="shared" ref="S59" si="16">SUM(S49:S58)</f>
        <v>-18471428276.406101</v>
      </c>
      <c r="T59" s="23">
        <f t="shared" ref="T59" si="17">SUM(T49:T58)</f>
        <v>-197958782.64132339</v>
      </c>
      <c r="U59" s="23">
        <f t="shared" ref="U59" si="18">SUM(U49:U58)</f>
        <v>-8568689454.6534367</v>
      </c>
      <c r="V59" s="23">
        <f t="shared" ref="V59" si="19">SUM(V49:V58)</f>
        <v>3784228651.135006</v>
      </c>
      <c r="W59" s="23">
        <f t="shared" ref="W59" si="20">SUM(W49:W58)</f>
        <v>20245328279.286343</v>
      </c>
      <c r="X59" s="23">
        <f t="shared" ref="X59" si="21">SUM(X49:X58)</f>
        <v>-10203394459.077179</v>
      </c>
      <c r="Y59" s="18">
        <f>SUM(S59:X59)</f>
        <v>-13411914042.356689</v>
      </c>
    </row>
    <row r="60" spans="1:25" s="21" customFormat="1" x14ac:dyDescent="0.25">
      <c r="A60" s="130" t="s">
        <v>11</v>
      </c>
      <c r="B60" s="62">
        <f>B59-'S8'!C3</f>
        <v>0</v>
      </c>
      <c r="C60" s="62">
        <f>C59-'S8'!G22</f>
        <v>0</v>
      </c>
      <c r="F60" s="74"/>
      <c r="X60" s="21" t="s">
        <v>11</v>
      </c>
      <c r="Y60" s="74">
        <f>Y59-D59</f>
        <v>2.288818359375E-5</v>
      </c>
    </row>
    <row r="61" spans="1:25" x14ac:dyDescent="0.25">
      <c r="B61" s="18"/>
    </row>
    <row r="62" spans="1:25" x14ac:dyDescent="0.25">
      <c r="A62" s="73" t="s">
        <v>34</v>
      </c>
      <c r="B62" s="72" t="s">
        <v>9</v>
      </c>
      <c r="C62" s="72" t="s">
        <v>8</v>
      </c>
      <c r="D62" s="71"/>
    </row>
    <row r="63" spans="1:25" x14ac:dyDescent="0.25">
      <c r="A63" s="70" t="s">
        <v>7</v>
      </c>
      <c r="B63" s="69">
        <f>'S6'!B33</f>
        <v>1289.2450109844976</v>
      </c>
      <c r="C63" s="69">
        <f>'S6'!C33</f>
        <v>1238.3635099956011</v>
      </c>
      <c r="D63" s="69">
        <f>C63-B63</f>
        <v>-50.881500988896505</v>
      </c>
      <c r="L63" s="18"/>
      <c r="Q63" s="1"/>
    </row>
    <row r="64" spans="1:25" x14ac:dyDescent="0.25">
      <c r="A64" s="70" t="s">
        <v>6</v>
      </c>
      <c r="B64" s="69">
        <f>'S6'!B34</f>
        <v>1336.8122270742358</v>
      </c>
      <c r="C64" s="69">
        <f>'S6'!C34</f>
        <v>1253.263925299246</v>
      </c>
      <c r="D64" s="69">
        <f>C64-B64</f>
        <v>-83.548301774989795</v>
      </c>
      <c r="Q64" s="18"/>
    </row>
    <row r="65" spans="1:17" x14ac:dyDescent="0.25">
      <c r="A65" s="70" t="s">
        <v>5</v>
      </c>
      <c r="B65" s="69">
        <f>'S6'!B35</f>
        <v>827.41935483870964</v>
      </c>
      <c r="C65" s="69">
        <f>'S6'!C35</f>
        <v>689.58256002005498</v>
      </c>
      <c r="D65" s="69">
        <f>C65-B65</f>
        <v>-137.83679481865465</v>
      </c>
      <c r="O65" s="18"/>
      <c r="P65" s="18"/>
    </row>
    <row r="66" spans="1:17" x14ac:dyDescent="0.25">
      <c r="A66" s="70" t="s">
        <v>4</v>
      </c>
      <c r="B66" s="69">
        <f>'S6'!B36</f>
        <v>892.7836230558097</v>
      </c>
      <c r="C66" s="69">
        <f>'S6'!C36</f>
        <v>761.93327229799092</v>
      </c>
      <c r="D66" s="69">
        <f>C66-B66</f>
        <v>-130.85035075781877</v>
      </c>
      <c r="O66" s="1"/>
      <c r="P66" s="1"/>
    </row>
    <row r="67" spans="1:17" x14ac:dyDescent="0.25">
      <c r="A67" s="70" t="s">
        <v>3</v>
      </c>
      <c r="B67" s="69">
        <f>'S6'!B37</f>
        <v>1100</v>
      </c>
      <c r="C67" s="69">
        <f>'S6'!C37</f>
        <v>704.85367145142538</v>
      </c>
      <c r="D67" s="69">
        <f>C67-B67</f>
        <v>-395.14632854857462</v>
      </c>
    </row>
    <row r="69" spans="1:17" x14ac:dyDescent="0.25">
      <c r="A69" s="68" t="s">
        <v>33</v>
      </c>
      <c r="B69" s="67">
        <f>'S6'!B39</f>
        <v>24999.999999999996</v>
      </c>
      <c r="C69" s="67">
        <f>'S6'!C39</f>
        <v>26142.714599566774</v>
      </c>
      <c r="D69" s="65"/>
      <c r="N69" s="18"/>
      <c r="O69" s="18"/>
      <c r="P69" s="18"/>
      <c r="Q69" s="66"/>
    </row>
    <row r="70" spans="1:17" x14ac:dyDescent="0.25">
      <c r="A70" s="65" t="s">
        <v>7</v>
      </c>
      <c r="B70" s="44">
        <f>'S6'!B40</f>
        <v>24999.999999999996</v>
      </c>
      <c r="C70" s="44">
        <f>'S6'!C40</f>
        <v>26144.645404061466</v>
      </c>
      <c r="D70" s="65"/>
    </row>
    <row r="71" spans="1:17" x14ac:dyDescent="0.25">
      <c r="A71" s="65" t="s">
        <v>6</v>
      </c>
      <c r="B71" s="44">
        <f>'S6'!B41</f>
        <v>24999.999999999996</v>
      </c>
      <c r="C71" s="44">
        <f>'S6'!C41</f>
        <v>26137.299459576894</v>
      </c>
      <c r="D71" s="65"/>
    </row>
    <row r="72" spans="1:17" x14ac:dyDescent="0.25">
      <c r="A72" s="65" t="s">
        <v>5</v>
      </c>
      <c r="B72" s="44">
        <f>'S6'!B42</f>
        <v>24999.999999999996</v>
      </c>
      <c r="C72" s="44">
        <f>'S6'!C42</f>
        <v>26137.299459576898</v>
      </c>
      <c r="D72" s="65"/>
    </row>
    <row r="73" spans="1:17" x14ac:dyDescent="0.25">
      <c r="A73" s="65" t="s">
        <v>4</v>
      </c>
      <c r="B73" s="44">
        <f>'S6'!B43</f>
        <v>24999.999999999996</v>
      </c>
      <c r="C73" s="44">
        <f>'S6'!C43</f>
        <v>26137.299459576894</v>
      </c>
      <c r="D73" s="65"/>
    </row>
    <row r="74" spans="1:17" x14ac:dyDescent="0.25">
      <c r="A74" s="65" t="s">
        <v>3</v>
      </c>
      <c r="B74" s="44">
        <f>'S6'!B44</f>
        <v>24999.999999999996</v>
      </c>
      <c r="C74" s="44">
        <f>'S6'!C44</f>
        <v>26137.299459576891</v>
      </c>
      <c r="D74" s="65"/>
    </row>
    <row r="77" spans="1:17" x14ac:dyDescent="0.25">
      <c r="A77" s="49" t="s">
        <v>32</v>
      </c>
      <c r="B77" s="33"/>
      <c r="C77" s="33"/>
      <c r="D77" s="33"/>
      <c r="E77" s="33"/>
      <c r="F77" s="33"/>
      <c r="G77" s="33"/>
    </row>
    <row r="78" spans="1:17" x14ac:dyDescent="0.25">
      <c r="A78" s="49"/>
      <c r="B78" s="49"/>
      <c r="C78" s="49" t="s">
        <v>28</v>
      </c>
      <c r="D78" s="49" t="s">
        <v>27</v>
      </c>
      <c r="E78" s="49" t="s">
        <v>26</v>
      </c>
      <c r="F78" s="49" t="s">
        <v>25</v>
      </c>
      <c r="G78" s="49" t="s">
        <v>24</v>
      </c>
    </row>
    <row r="79" spans="1:17" x14ac:dyDescent="0.25">
      <c r="A79" s="49" t="str">
        <f>'S7'!A3</f>
        <v>KH T12</v>
      </c>
      <c r="B79" s="49"/>
      <c r="C79" s="103">
        <f>B59</f>
        <v>48578488545.356438</v>
      </c>
      <c r="D79" s="51"/>
      <c r="E79" s="53"/>
      <c r="F79" s="52"/>
      <c r="G79" s="51"/>
    </row>
    <row r="80" spans="1:17" x14ac:dyDescent="0.25">
      <c r="A80" s="33" t="s">
        <v>7</v>
      </c>
      <c r="B80" s="33" t="s">
        <v>16</v>
      </c>
      <c r="C80" s="32"/>
      <c r="D80" s="32">
        <f>C79-F80</f>
        <v>33224257676.670376</v>
      </c>
      <c r="E80" s="31">
        <f t="shared" ref="E80:E96" si="22">IF(H80&gt;0,H80,0)</f>
        <v>0</v>
      </c>
      <c r="F80" s="30">
        <f t="shared" ref="F80:F96" si="23">IF(H80&lt;0,-H80,0)</f>
        <v>15354230868.686062</v>
      </c>
      <c r="G80" s="32"/>
      <c r="H80" s="63" cm="1">
        <f t="array" ref="H80:H82">TRANSPOSE(S50:U50)</f>
        <v>-15354230868.686062</v>
      </c>
    </row>
    <row r="81" spans="1:8" x14ac:dyDescent="0.25">
      <c r="A81" s="33"/>
      <c r="B81" s="33" t="s">
        <v>31</v>
      </c>
      <c r="C81" s="32"/>
      <c r="D81" s="32">
        <f t="shared" ref="D81:D96" si="24">D80+E80-F81</f>
        <v>33224257676.670376</v>
      </c>
      <c r="E81" s="31">
        <f t="shared" si="22"/>
        <v>433722732.68897438</v>
      </c>
      <c r="F81" s="30">
        <f t="shared" si="23"/>
        <v>0</v>
      </c>
      <c r="G81" s="32"/>
      <c r="H81" s="63">
        <v>433722732.68897438</v>
      </c>
    </row>
    <row r="82" spans="1:8" x14ac:dyDescent="0.25">
      <c r="A82" s="33"/>
      <c r="B82" s="33" t="s">
        <v>50</v>
      </c>
      <c r="C82" s="32"/>
      <c r="D82" s="32">
        <f t="shared" si="24"/>
        <v>28560532147.695374</v>
      </c>
      <c r="E82" s="31">
        <f t="shared" si="22"/>
        <v>0</v>
      </c>
      <c r="F82" s="30">
        <f t="shared" si="23"/>
        <v>5097448261.6639786</v>
      </c>
      <c r="G82" s="32"/>
      <c r="H82" s="63">
        <v>-5097448261.6639786</v>
      </c>
    </row>
    <row r="83" spans="1:8" x14ac:dyDescent="0.25">
      <c r="A83" s="33" t="s">
        <v>6</v>
      </c>
      <c r="B83" s="33" t="s">
        <v>16</v>
      </c>
      <c r="C83" s="32"/>
      <c r="D83" s="32">
        <f t="shared" si="24"/>
        <v>25700515351.465122</v>
      </c>
      <c r="E83" s="31">
        <f t="shared" si="22"/>
        <v>0</v>
      </c>
      <c r="F83" s="30">
        <f t="shared" si="23"/>
        <v>2860016796.2302518</v>
      </c>
      <c r="G83" s="32"/>
      <c r="H83" s="63" cm="1">
        <f t="array" ref="H83:H85">TRANSPOSE(S51:U51)</f>
        <v>-2860016796.2302518</v>
      </c>
    </row>
    <row r="84" spans="1:8" x14ac:dyDescent="0.25">
      <c r="A84" s="33"/>
      <c r="B84" s="33" t="s">
        <v>31</v>
      </c>
      <c r="C84" s="32"/>
      <c r="D84" s="32">
        <f t="shared" si="24"/>
        <v>24788292582.85437</v>
      </c>
      <c r="E84" s="31">
        <f t="shared" si="22"/>
        <v>0</v>
      </c>
      <c r="F84" s="30">
        <f t="shared" si="23"/>
        <v>912222768.6107533</v>
      </c>
      <c r="G84" s="32"/>
      <c r="H84" s="63">
        <v>-912222768.6107533</v>
      </c>
    </row>
    <row r="85" spans="1:8" x14ac:dyDescent="0.25">
      <c r="A85" s="33"/>
      <c r="B85" s="33" t="s">
        <v>50</v>
      </c>
      <c r="C85" s="32"/>
      <c r="D85" s="32">
        <f t="shared" si="24"/>
        <v>24014309022.217064</v>
      </c>
      <c r="E85" s="31">
        <f t="shared" si="22"/>
        <v>0</v>
      </c>
      <c r="F85" s="30">
        <f t="shared" si="23"/>
        <v>773983560.63730741</v>
      </c>
      <c r="G85" s="32"/>
      <c r="H85" s="63">
        <v>-773983560.63730741</v>
      </c>
    </row>
    <row r="86" spans="1:8" x14ac:dyDescent="0.25">
      <c r="A86" s="33" t="s">
        <v>5</v>
      </c>
      <c r="B86" s="33" t="s">
        <v>16</v>
      </c>
      <c r="C86" s="32"/>
      <c r="D86" s="32">
        <f t="shared" si="24"/>
        <v>23553413348.05154</v>
      </c>
      <c r="E86" s="31">
        <f t="shared" si="22"/>
        <v>0</v>
      </c>
      <c r="F86" s="30">
        <f t="shared" si="23"/>
        <v>460895674.16552478</v>
      </c>
      <c r="G86" s="32"/>
      <c r="H86" s="63" cm="1">
        <f t="array" ref="H86:H88">TRANSPOSE(S52:U52)</f>
        <v>-460895674.16552478</v>
      </c>
    </row>
    <row r="87" spans="1:8" x14ac:dyDescent="0.25">
      <c r="A87" s="33"/>
      <c r="B87" s="33" t="s">
        <v>31</v>
      </c>
      <c r="C87" s="32"/>
      <c r="D87" s="32">
        <f t="shared" si="24"/>
        <v>23553413348.05154</v>
      </c>
      <c r="E87" s="31">
        <f t="shared" si="22"/>
        <v>207810798.77143496</v>
      </c>
      <c r="F87" s="30">
        <f t="shared" si="23"/>
        <v>0</v>
      </c>
      <c r="G87" s="32"/>
      <c r="H87" s="63">
        <v>207810798.77143496</v>
      </c>
    </row>
    <row r="88" spans="1:8" x14ac:dyDescent="0.25">
      <c r="A88" s="33"/>
      <c r="B88" s="33" t="s">
        <v>50</v>
      </c>
      <c r="C88" s="32"/>
      <c r="D88" s="32">
        <f t="shared" si="24"/>
        <v>22151936493.211182</v>
      </c>
      <c r="E88" s="31">
        <f t="shared" si="22"/>
        <v>0</v>
      </c>
      <c r="F88" s="30">
        <f t="shared" si="23"/>
        <v>1609287653.6117923</v>
      </c>
      <c r="G88" s="32"/>
      <c r="H88" s="63">
        <v>-1609287653.6117923</v>
      </c>
    </row>
    <row r="89" spans="1:8" x14ac:dyDescent="0.25">
      <c r="A89" s="33" t="s">
        <v>4</v>
      </c>
      <c r="B89" s="33" t="s">
        <v>16</v>
      </c>
      <c r="C89" s="32"/>
      <c r="D89" s="32">
        <f t="shared" si="24"/>
        <v>22151936493.211182</v>
      </c>
      <c r="E89" s="31">
        <f t="shared" si="22"/>
        <v>202338573.93868679</v>
      </c>
      <c r="F89" s="30">
        <f t="shared" si="23"/>
        <v>0</v>
      </c>
      <c r="G89" s="32"/>
      <c r="H89" s="63" cm="1">
        <f t="array" ref="H89:H91">TRANSPOSE(S53:U53)</f>
        <v>202338573.93868679</v>
      </c>
    </row>
    <row r="90" spans="1:8" x14ac:dyDescent="0.25">
      <c r="A90" s="33"/>
      <c r="B90" s="33" t="s">
        <v>31</v>
      </c>
      <c r="C90" s="32"/>
      <c r="D90" s="32">
        <f t="shared" si="24"/>
        <v>22354275067.149868</v>
      </c>
      <c r="E90" s="31">
        <f t="shared" si="22"/>
        <v>74366669.785184279</v>
      </c>
      <c r="F90" s="30">
        <f t="shared" si="23"/>
        <v>0</v>
      </c>
      <c r="G90" s="32"/>
      <c r="H90" s="63">
        <v>74366669.785184279</v>
      </c>
    </row>
    <row r="91" spans="1:8" x14ac:dyDescent="0.25">
      <c r="A91" s="33"/>
      <c r="B91" s="33" t="s">
        <v>50</v>
      </c>
      <c r="C91" s="32"/>
      <c r="D91" s="32">
        <f t="shared" si="24"/>
        <v>22279183668.40205</v>
      </c>
      <c r="E91" s="31">
        <f t="shared" si="22"/>
        <v>0</v>
      </c>
      <c r="F91" s="30">
        <f t="shared" si="23"/>
        <v>149458068.53299987</v>
      </c>
      <c r="G91" s="32"/>
      <c r="H91" s="63">
        <v>-149458068.53299987</v>
      </c>
    </row>
    <row r="92" spans="1:8" x14ac:dyDescent="0.25">
      <c r="A92" s="33" t="s">
        <v>3</v>
      </c>
      <c r="B92" s="33" t="s">
        <v>16</v>
      </c>
      <c r="C92" s="32"/>
      <c r="D92" s="32">
        <f t="shared" si="24"/>
        <v>22279183668.40205</v>
      </c>
      <c r="E92" s="31">
        <f t="shared" si="22"/>
        <v>1376488.7370482844</v>
      </c>
      <c r="F92" s="30">
        <f t="shared" si="23"/>
        <v>0</v>
      </c>
      <c r="G92" s="32"/>
      <c r="H92" s="63" cm="1">
        <f t="array" ref="H92:H94">TRANSPOSE(S54:U54)</f>
        <v>1376488.7370482844</v>
      </c>
    </row>
    <row r="93" spans="1:8" x14ac:dyDescent="0.25">
      <c r="A93" s="33"/>
      <c r="B93" s="33" t="s">
        <v>31</v>
      </c>
      <c r="C93" s="32"/>
      <c r="D93" s="32">
        <f t="shared" si="24"/>
        <v>22278923941.862934</v>
      </c>
      <c r="E93" s="31">
        <f t="shared" si="22"/>
        <v>0</v>
      </c>
      <c r="F93" s="30">
        <f t="shared" si="23"/>
        <v>1636215.2761637077</v>
      </c>
      <c r="G93" s="32"/>
      <c r="H93" s="63">
        <v>-1636215.2761637077</v>
      </c>
    </row>
    <row r="94" spans="1:8" x14ac:dyDescent="0.25">
      <c r="A94" s="33"/>
      <c r="B94" s="33" t="s">
        <v>50</v>
      </c>
      <c r="C94" s="32"/>
      <c r="D94" s="32">
        <f t="shared" si="24"/>
        <v>21340412031.655575</v>
      </c>
      <c r="E94" s="31">
        <f t="shared" si="22"/>
        <v>0</v>
      </c>
      <c r="F94" s="30">
        <f t="shared" si="23"/>
        <v>938511910.20735848</v>
      </c>
      <c r="G94" s="32"/>
      <c r="H94" s="63">
        <v>-938511910.20735848</v>
      </c>
    </row>
    <row r="95" spans="1:8" x14ac:dyDescent="0.25">
      <c r="A95" s="33" t="s">
        <v>12</v>
      </c>
      <c r="B95" s="33"/>
      <c r="C95" s="32"/>
      <c r="D95" s="32">
        <f t="shared" si="24"/>
        <v>21340412031.655575</v>
      </c>
      <c r="E95" s="31">
        <f t="shared" si="22"/>
        <v>3784228651.135006</v>
      </c>
      <c r="F95" s="30">
        <f t="shared" si="23"/>
        <v>0</v>
      </c>
      <c r="G95" s="32"/>
      <c r="H95" s="64">
        <f>V59</f>
        <v>3784228651.135006</v>
      </c>
    </row>
    <row r="96" spans="1:8" x14ac:dyDescent="0.25">
      <c r="A96" s="33" t="s">
        <v>1</v>
      </c>
      <c r="B96" s="33"/>
      <c r="C96" s="32"/>
      <c r="D96" s="32">
        <f t="shared" si="24"/>
        <v>25124640682.790581</v>
      </c>
      <c r="E96" s="31">
        <f t="shared" si="22"/>
        <v>20245328279.286343</v>
      </c>
      <c r="F96" s="30">
        <f t="shared" si="23"/>
        <v>0</v>
      </c>
      <c r="G96" s="32"/>
      <c r="H96" s="64">
        <f>W59</f>
        <v>20245328279.286343</v>
      </c>
    </row>
    <row r="97" spans="1:8" x14ac:dyDescent="0.25">
      <c r="A97" s="33" t="s">
        <v>111</v>
      </c>
      <c r="B97" s="33"/>
      <c r="C97" s="32"/>
      <c r="D97" s="32">
        <f t="shared" ref="D97" si="25">D96+E96-F97</f>
        <v>35166574502.999741</v>
      </c>
      <c r="E97" s="31">
        <f t="shared" ref="E97" si="26">IF(H97&gt;0,H97,0)</f>
        <v>0</v>
      </c>
      <c r="F97" s="30">
        <f t="shared" ref="F97" si="27">IF(H97&lt;0,-H97,0)</f>
        <v>10203394459.077179</v>
      </c>
      <c r="G97" s="32"/>
      <c r="H97" s="64">
        <f>X59</f>
        <v>-10203394459.077179</v>
      </c>
    </row>
    <row r="98" spans="1:8" x14ac:dyDescent="0.25">
      <c r="A98" s="49" t="str">
        <f>'S7'!A17</f>
        <v>TT T12</v>
      </c>
      <c r="B98" s="49"/>
      <c r="C98" s="29"/>
      <c r="D98" s="29"/>
      <c r="E98" s="31"/>
      <c r="F98" s="30"/>
      <c r="G98" s="97">
        <f>D97+E97</f>
        <v>35166574502.999741</v>
      </c>
    </row>
    <row r="99" spans="1:8" s="21" customFormat="1" x14ac:dyDescent="0.25">
      <c r="A99" s="21" t="s">
        <v>11</v>
      </c>
      <c r="G99" s="62">
        <f>G98-C59</f>
        <v>0</v>
      </c>
    </row>
    <row r="131" spans="1:9" x14ac:dyDescent="0.25">
      <c r="A131" s="49" t="s">
        <v>32</v>
      </c>
      <c r="B131" s="33"/>
      <c r="C131" s="33"/>
      <c r="D131" s="33"/>
      <c r="E131" s="33"/>
      <c r="F131" s="33"/>
      <c r="G131" s="33"/>
    </row>
    <row r="132" spans="1:9" x14ac:dyDescent="0.25">
      <c r="A132" s="49"/>
      <c r="B132" s="49"/>
      <c r="C132" s="49" t="s">
        <v>28</v>
      </c>
      <c r="D132" s="49" t="s">
        <v>27</v>
      </c>
      <c r="E132" s="49" t="s">
        <v>26</v>
      </c>
      <c r="F132" s="49" t="s">
        <v>25</v>
      </c>
      <c r="G132" s="49" t="s">
        <v>24</v>
      </c>
    </row>
    <row r="133" spans="1:9" x14ac:dyDescent="0.25">
      <c r="A133" s="49"/>
      <c r="B133" s="49" t="str">
        <f>A79</f>
        <v>KH T12</v>
      </c>
      <c r="C133" s="103">
        <f>B59</f>
        <v>48578488545.356438</v>
      </c>
      <c r="D133" s="51"/>
      <c r="E133" s="53"/>
      <c r="F133" s="52"/>
      <c r="G133" s="51"/>
    </row>
    <row r="134" spans="1:9" x14ac:dyDescent="0.25">
      <c r="A134" s="33"/>
      <c r="B134" s="33" t="s">
        <v>16</v>
      </c>
      <c r="C134" s="32"/>
      <c r="D134" s="32">
        <f>C133-F134</f>
        <v>30107060268.950336</v>
      </c>
      <c r="E134" s="31">
        <f>IF(H134&gt;0,H134,0)</f>
        <v>0</v>
      </c>
      <c r="F134" s="30">
        <f>IF(H134&lt;0,-H134,0)</f>
        <v>18471428276.406101</v>
      </c>
      <c r="G134" s="32"/>
      <c r="H134" s="63">
        <f>SUMIFS($H$80:$H$96,$B$80:$B$96,$B134)</f>
        <v>-18471428276.406101</v>
      </c>
    </row>
    <row r="135" spans="1:9" x14ac:dyDescent="0.25">
      <c r="A135" s="33"/>
      <c r="B135" s="33" t="s">
        <v>31</v>
      </c>
      <c r="C135" s="32"/>
      <c r="D135" s="32">
        <f>D134+E134-F135</f>
        <v>29909101486.309013</v>
      </c>
      <c r="E135" s="31">
        <f>IF(H135&gt;0,H135,0)</f>
        <v>0</v>
      </c>
      <c r="F135" s="30">
        <f>IF(H135&lt;0,-H135,0)</f>
        <v>197958782.64132339</v>
      </c>
      <c r="G135" s="32"/>
      <c r="H135" s="63">
        <f>SUMIFS($H$80:$H$96,$B$80:$B$96,$B135)</f>
        <v>-197958782.64132339</v>
      </c>
    </row>
    <row r="136" spans="1:9" x14ac:dyDescent="0.25">
      <c r="A136" s="33"/>
      <c r="B136" s="33" t="s">
        <v>50</v>
      </c>
      <c r="C136" s="32"/>
      <c r="D136" s="32">
        <f>D135+E135-F136</f>
        <v>21340412031.655579</v>
      </c>
      <c r="E136" s="31">
        <f>IF(H136&gt;0,H136,0)</f>
        <v>0</v>
      </c>
      <c r="F136" s="30">
        <f>IF(H136&lt;0,-H136,0)</f>
        <v>8568689454.6534367</v>
      </c>
      <c r="G136" s="32"/>
      <c r="H136" s="63">
        <f>SUMIFS($H$80:$H$96,$B$80:$B$96,$B136)</f>
        <v>-8568689454.6534367</v>
      </c>
    </row>
    <row r="137" spans="1:9" x14ac:dyDescent="0.25">
      <c r="A137" s="33"/>
      <c r="B137" s="33" t="s">
        <v>12</v>
      </c>
      <c r="C137" s="32"/>
      <c r="D137" s="32">
        <f>D136+E136-F137</f>
        <v>21340412031.655579</v>
      </c>
      <c r="E137" s="31">
        <f>IF(H137&gt;0,H137,0)</f>
        <v>3784228651.135006</v>
      </c>
      <c r="F137" s="30">
        <f>IF(H137&lt;0,-H137,0)</f>
        <v>0</v>
      </c>
      <c r="G137" s="32"/>
      <c r="H137" s="64">
        <f>H95</f>
        <v>3784228651.135006</v>
      </c>
    </row>
    <row r="138" spans="1:9" x14ac:dyDescent="0.25">
      <c r="A138" s="33"/>
      <c r="B138" s="33" t="s">
        <v>1</v>
      </c>
      <c r="C138" s="32"/>
      <c r="D138" s="32">
        <f>D137+E137-F138</f>
        <v>25124640682.790585</v>
      </c>
      <c r="E138" s="31">
        <f>IF(H138&gt;0,H138,0)</f>
        <v>10041933820.209164</v>
      </c>
      <c r="F138" s="30">
        <f>IF(H138&lt;0,-H138,0)</f>
        <v>0</v>
      </c>
      <c r="G138" s="32"/>
      <c r="H138" s="63">
        <f>H96+H97</f>
        <v>10041933820.209164</v>
      </c>
      <c r="I138" t="s">
        <v>115</v>
      </c>
    </row>
    <row r="139" spans="1:9" x14ac:dyDescent="0.25">
      <c r="A139" s="49"/>
      <c r="B139" s="49" t="str">
        <f>A98</f>
        <v>TT T12</v>
      </c>
      <c r="C139" s="29"/>
      <c r="D139" s="29"/>
      <c r="E139" s="31"/>
      <c r="F139" s="30"/>
      <c r="G139" s="97">
        <f>D138+E138</f>
        <v>35166574502.999748</v>
      </c>
    </row>
    <row r="140" spans="1:9" x14ac:dyDescent="0.25">
      <c r="A140" s="21" t="s">
        <v>11</v>
      </c>
      <c r="B140" s="21"/>
      <c r="C140" s="21"/>
      <c r="D140" s="21"/>
      <c r="E140" s="21"/>
      <c r="F140" s="21"/>
      <c r="G140" s="62">
        <f>G139-C59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4715-424D-49FD-B33A-9ADC6BCE7A8C}">
  <sheetPr>
    <tabColor rgb="FFC00000"/>
  </sheetPr>
  <dimension ref="A1:U62"/>
  <sheetViews>
    <sheetView showGridLines="0" topLeftCell="A20" zoomScaleNormal="100" workbookViewId="0">
      <selection activeCell="M43" sqref="M43"/>
    </sheetView>
  </sheetViews>
  <sheetFormatPr defaultRowHeight="15" x14ac:dyDescent="0.25"/>
  <cols>
    <col min="1" max="1" width="22.42578125" bestFit="1" customWidth="1"/>
    <col min="2" max="2" width="10.140625" customWidth="1"/>
    <col min="3" max="3" width="16.85546875" bestFit="1" customWidth="1"/>
    <col min="4" max="4" width="10.140625" bestFit="1" customWidth="1"/>
    <col min="8" max="8" width="11.7109375" customWidth="1"/>
    <col min="9" max="9" width="10.5703125" customWidth="1"/>
    <col min="10" max="10" width="11.140625" customWidth="1"/>
    <col min="11" max="11" width="16.85546875" bestFit="1" customWidth="1"/>
    <col min="12" max="12" width="17.140625" bestFit="1" customWidth="1"/>
    <col min="13" max="13" width="18" bestFit="1" customWidth="1"/>
    <col min="14" max="14" width="15.5703125" bestFit="1" customWidth="1"/>
  </cols>
  <sheetData>
    <row r="1" spans="1:14" x14ac:dyDescent="0.25">
      <c r="A1">
        <v>-1</v>
      </c>
    </row>
    <row r="2" spans="1:14" x14ac:dyDescent="0.25">
      <c r="A2" s="155" t="s">
        <v>86</v>
      </c>
      <c r="B2" s="154" t="s">
        <v>9</v>
      </c>
      <c r="C2" s="154" t="s">
        <v>8</v>
      </c>
      <c r="D2" s="154" t="s">
        <v>62</v>
      </c>
      <c r="E2" s="154" t="s">
        <v>61</v>
      </c>
      <c r="M2" s="1"/>
    </row>
    <row r="3" spans="1:14" x14ac:dyDescent="0.25">
      <c r="A3" s="153" t="s">
        <v>83</v>
      </c>
      <c r="B3" s="152">
        <f>'S8'!C3-('S8'!C27-'S8'!C28)</f>
        <v>35982568645.356415</v>
      </c>
      <c r="C3" s="152">
        <f>'S8'!G22-('S8'!G27-'S8'!G28)</f>
        <v>33016333767.999989</v>
      </c>
      <c r="D3" s="151">
        <f t="shared" ref="D3:D11" si="0">C3-B3</f>
        <v>-2966234877.3564262</v>
      </c>
      <c r="E3" s="6">
        <f t="shared" ref="E3:E11" si="1">IFERROR(D3/B3,0)</f>
        <v>-8.2435328800219546E-2</v>
      </c>
      <c r="L3" s="1"/>
      <c r="M3" s="1"/>
      <c r="N3" s="18"/>
    </row>
    <row r="4" spans="1:14" x14ac:dyDescent="0.25">
      <c r="A4" s="33" t="s">
        <v>82</v>
      </c>
      <c r="B4" s="150">
        <v>-1039387157</v>
      </c>
      <c r="C4" s="150">
        <v>-2567444870</v>
      </c>
      <c r="D4" s="150">
        <f t="shared" si="0"/>
        <v>-1528057713</v>
      </c>
      <c r="E4" s="6">
        <f t="shared" si="1"/>
        <v>1.4701525824221822</v>
      </c>
      <c r="M4" s="18"/>
    </row>
    <row r="5" spans="1:14" x14ac:dyDescent="0.25">
      <c r="A5" s="33" t="s">
        <v>81</v>
      </c>
      <c r="B5" s="150">
        <v>-10870136224.55793</v>
      </c>
      <c r="C5" s="150">
        <v>-10510637512</v>
      </c>
      <c r="D5" s="150">
        <f t="shared" si="0"/>
        <v>359498712.55792999</v>
      </c>
      <c r="E5" s="6">
        <f t="shared" si="1"/>
        <v>-3.3072144187645654E-2</v>
      </c>
    </row>
    <row r="6" spans="1:14" x14ac:dyDescent="0.25">
      <c r="A6" s="33" t="s">
        <v>80</v>
      </c>
      <c r="B6" s="150">
        <v>-4738286187.2849617</v>
      </c>
      <c r="C6" s="150">
        <v>-1256103396</v>
      </c>
      <c r="D6" s="150">
        <f t="shared" si="0"/>
        <v>3482182791.2849617</v>
      </c>
      <c r="E6" s="6">
        <f t="shared" si="1"/>
        <v>-0.73490343420566007</v>
      </c>
    </row>
    <row r="7" spans="1:14" x14ac:dyDescent="0.25">
      <c r="A7" s="33" t="s">
        <v>79</v>
      </c>
      <c r="B7" s="150"/>
      <c r="C7" s="150">
        <v>-830498211</v>
      </c>
      <c r="D7" s="150">
        <f t="shared" si="0"/>
        <v>-830498211</v>
      </c>
      <c r="E7" s="6">
        <f t="shared" si="1"/>
        <v>0</v>
      </c>
    </row>
    <row r="8" spans="1:14" x14ac:dyDescent="0.25">
      <c r="A8" s="33" t="s">
        <v>78</v>
      </c>
      <c r="B8" s="150">
        <v>326826000</v>
      </c>
      <c r="C8" s="150">
        <v>313729918</v>
      </c>
      <c r="D8" s="150">
        <f t="shared" si="0"/>
        <v>-13096082</v>
      </c>
      <c r="E8" s="6">
        <f t="shared" si="1"/>
        <v>-4.0070502346814516E-2</v>
      </c>
    </row>
    <row r="9" spans="1:14" x14ac:dyDescent="0.25">
      <c r="A9" s="33" t="s">
        <v>85</v>
      </c>
      <c r="B9" s="150"/>
      <c r="C9" s="150">
        <v>-1560547381</v>
      </c>
      <c r="D9" s="150">
        <f t="shared" si="0"/>
        <v>-1560547381</v>
      </c>
      <c r="E9" s="6">
        <f t="shared" si="1"/>
        <v>0</v>
      </c>
      <c r="G9" s="145"/>
      <c r="H9" s="145"/>
    </row>
    <row r="10" spans="1:14" ht="15.75" thickBot="1" x14ac:dyDescent="0.3">
      <c r="A10" s="33" t="s">
        <v>76</v>
      </c>
      <c r="B10" s="150">
        <v>-2752621910.7502747</v>
      </c>
      <c r="C10" s="150">
        <v>-2388437945</v>
      </c>
      <c r="D10" s="150">
        <f t="shared" si="0"/>
        <v>364183965.75027466</v>
      </c>
      <c r="E10" s="6">
        <f t="shared" si="1"/>
        <v>-0.13230439107091538</v>
      </c>
      <c r="G10" s="95"/>
      <c r="H10" s="6"/>
    </row>
    <row r="11" spans="1:14" ht="15.75" thickBot="1" x14ac:dyDescent="0.3">
      <c r="A11" s="149" t="s">
        <v>84</v>
      </c>
      <c r="B11" s="148">
        <f>SUM(B3:B10)</f>
        <v>16908963165.763248</v>
      </c>
      <c r="C11" s="148">
        <f>SUM(C3:C10)</f>
        <v>14216394370.999989</v>
      </c>
      <c r="D11" s="148">
        <f t="shared" si="0"/>
        <v>-2692568794.7632599</v>
      </c>
      <c r="E11" s="2">
        <f t="shared" si="1"/>
        <v>-0.15923914248125462</v>
      </c>
    </row>
    <row r="14" spans="1:14" x14ac:dyDescent="0.25">
      <c r="A14" s="36"/>
      <c r="B14" s="54" t="s">
        <v>28</v>
      </c>
      <c r="C14" s="54" t="s">
        <v>27</v>
      </c>
      <c r="D14" s="54" t="s">
        <v>26</v>
      </c>
      <c r="E14" s="54" t="s">
        <v>25</v>
      </c>
      <c r="F14" s="54" t="s">
        <v>24</v>
      </c>
      <c r="I14" s="54" t="s">
        <v>26</v>
      </c>
      <c r="J14" s="54" t="s">
        <v>25</v>
      </c>
      <c r="K14" s="238" t="s">
        <v>123</v>
      </c>
    </row>
    <row r="15" spans="1:14" s="50" customFormat="1" x14ac:dyDescent="0.25">
      <c r="A15" s="102" t="str">
        <f>'S7'!A3</f>
        <v>KH T12</v>
      </c>
      <c r="B15" s="232">
        <f>B11</f>
        <v>16908963165.763248</v>
      </c>
      <c r="C15" s="233"/>
      <c r="D15" s="233"/>
      <c r="E15" s="233"/>
      <c r="F15" s="233"/>
    </row>
    <row r="16" spans="1:14" x14ac:dyDescent="0.25">
      <c r="A16" s="36" t="s">
        <v>83</v>
      </c>
      <c r="B16" s="147"/>
      <c r="C16" s="146">
        <f>B15-E16</f>
        <v>13942728288.406822</v>
      </c>
      <c r="D16" s="146">
        <f>IF(G16&gt;0,G16,0)</f>
        <v>0</v>
      </c>
      <c r="E16" s="146">
        <f>IF(G16&lt;0,-G16,0)</f>
        <v>2966234877.3564262</v>
      </c>
      <c r="F16" s="147"/>
      <c r="G16" s="145">
        <f t="shared" ref="G16:G23" si="2">D3</f>
        <v>-2966234877.3564262</v>
      </c>
      <c r="H16" s="145">
        <f>B15+G16</f>
        <v>13942728288.406822</v>
      </c>
      <c r="I16" s="31">
        <f>IF(G16&gt;0,G16,0)</f>
        <v>0</v>
      </c>
      <c r="J16" s="30">
        <f>IF(G16&lt;0,-G16,0)</f>
        <v>2966234877.3564262</v>
      </c>
      <c r="K16" s="239">
        <f>SUM($B$15,G$16:G16)</f>
        <v>13942728288.406822</v>
      </c>
    </row>
    <row r="17" spans="1:11" x14ac:dyDescent="0.25">
      <c r="A17" s="36" t="s">
        <v>82</v>
      </c>
      <c r="B17" s="147"/>
      <c r="C17" s="146">
        <f>C16+D16-E17</f>
        <v>12414670575.406822</v>
      </c>
      <c r="D17" s="146">
        <f t="shared" ref="D17:D23" si="3">IF(G17&gt;0,G17,0)</f>
        <v>0</v>
      </c>
      <c r="E17" s="146">
        <f t="shared" ref="E17:E23" si="4">IF(G17&lt;0,-G17,0)</f>
        <v>1528057713</v>
      </c>
      <c r="F17" s="147"/>
      <c r="G17" s="145">
        <f t="shared" si="2"/>
        <v>-1528057713</v>
      </c>
      <c r="H17" s="145">
        <f t="shared" ref="H17:H23" si="5">H16+G17</f>
        <v>12414670575.406822</v>
      </c>
      <c r="I17" s="31">
        <f t="shared" ref="I17:I23" si="6">IF(G17&gt;0,G17,0)</f>
        <v>0</v>
      </c>
      <c r="J17" s="30">
        <f t="shared" ref="J17:J23" si="7">IF(G17&lt;0,-G17,0)</f>
        <v>1528057713</v>
      </c>
      <c r="K17" s="239">
        <f>SUM($B$15,G$16:G17)</f>
        <v>12414670575.406822</v>
      </c>
    </row>
    <row r="18" spans="1:11" x14ac:dyDescent="0.25">
      <c r="A18" s="36" t="s">
        <v>81</v>
      </c>
      <c r="B18" s="147"/>
      <c r="C18" s="146">
        <f t="shared" ref="C18:C23" si="8">C17+D17-E18</f>
        <v>12414670575.406822</v>
      </c>
      <c r="D18" s="146">
        <f t="shared" si="3"/>
        <v>359498712.55792999</v>
      </c>
      <c r="E18" s="146">
        <f t="shared" si="4"/>
        <v>0</v>
      </c>
      <c r="F18" s="147"/>
      <c r="G18" s="145">
        <f t="shared" si="2"/>
        <v>359498712.55792999</v>
      </c>
      <c r="H18" s="145">
        <f t="shared" si="5"/>
        <v>12774169287.964752</v>
      </c>
      <c r="I18" s="31">
        <f t="shared" si="6"/>
        <v>359498712.55792999</v>
      </c>
      <c r="J18" s="30">
        <f t="shared" si="7"/>
        <v>0</v>
      </c>
      <c r="K18" s="239">
        <f>SUM($B$15,G$16:G18)</f>
        <v>12774169287.964752</v>
      </c>
    </row>
    <row r="19" spans="1:11" x14ac:dyDescent="0.25">
      <c r="A19" s="36" t="s">
        <v>80</v>
      </c>
      <c r="B19" s="147"/>
      <c r="C19" s="146">
        <f t="shared" si="8"/>
        <v>12774169287.964752</v>
      </c>
      <c r="D19" s="146">
        <f t="shared" si="3"/>
        <v>3482182791.2849617</v>
      </c>
      <c r="E19" s="146">
        <f t="shared" si="4"/>
        <v>0</v>
      </c>
      <c r="F19" s="147"/>
      <c r="G19" s="145">
        <f t="shared" si="2"/>
        <v>3482182791.2849617</v>
      </c>
      <c r="H19" s="145">
        <f t="shared" si="5"/>
        <v>16256352079.249714</v>
      </c>
      <c r="I19" s="31">
        <f t="shared" si="6"/>
        <v>3482182791.2849617</v>
      </c>
      <c r="J19" s="30">
        <f t="shared" si="7"/>
        <v>0</v>
      </c>
      <c r="K19" s="239">
        <f>SUM($B$15,G$16:G19)</f>
        <v>16256352079.249714</v>
      </c>
    </row>
    <row r="20" spans="1:11" x14ac:dyDescent="0.25">
      <c r="A20" s="36" t="s">
        <v>79</v>
      </c>
      <c r="B20" s="147"/>
      <c r="C20" s="146">
        <f t="shared" si="8"/>
        <v>15425853868.249714</v>
      </c>
      <c r="D20" s="146">
        <f t="shared" si="3"/>
        <v>0</v>
      </c>
      <c r="E20" s="146">
        <f t="shared" si="4"/>
        <v>830498211</v>
      </c>
      <c r="F20" s="147"/>
      <c r="G20" s="145">
        <f t="shared" si="2"/>
        <v>-830498211</v>
      </c>
      <c r="H20" s="145">
        <f t="shared" si="5"/>
        <v>15425853868.249714</v>
      </c>
      <c r="I20" s="31">
        <f t="shared" si="6"/>
        <v>0</v>
      </c>
      <c r="J20" s="30">
        <f t="shared" si="7"/>
        <v>830498211</v>
      </c>
      <c r="K20" s="239">
        <f>SUM($B$15,G$16:G20)</f>
        <v>15425853868.249714</v>
      </c>
    </row>
    <row r="21" spans="1:11" x14ac:dyDescent="0.25">
      <c r="A21" s="36" t="s">
        <v>78</v>
      </c>
      <c r="B21" s="147"/>
      <c r="C21" s="146">
        <f t="shared" si="8"/>
        <v>15412757786.249714</v>
      </c>
      <c r="D21" s="146">
        <f t="shared" si="3"/>
        <v>0</v>
      </c>
      <c r="E21" s="146">
        <f t="shared" si="4"/>
        <v>13096082</v>
      </c>
      <c r="F21" s="147"/>
      <c r="G21" s="145">
        <f t="shared" si="2"/>
        <v>-13096082</v>
      </c>
      <c r="H21" s="145">
        <f t="shared" si="5"/>
        <v>15412757786.249714</v>
      </c>
      <c r="I21" s="31">
        <f t="shared" si="6"/>
        <v>0</v>
      </c>
      <c r="J21" s="30">
        <f t="shared" si="7"/>
        <v>13096082</v>
      </c>
      <c r="K21" s="239">
        <f>SUM($B$15,G$16:G21)</f>
        <v>15412757786.249714</v>
      </c>
    </row>
    <row r="22" spans="1:11" x14ac:dyDescent="0.25">
      <c r="A22" s="36" t="s">
        <v>77</v>
      </c>
      <c r="B22" s="147"/>
      <c r="C22" s="146">
        <f t="shared" si="8"/>
        <v>13852210405.249714</v>
      </c>
      <c r="D22" s="146">
        <f t="shared" si="3"/>
        <v>0</v>
      </c>
      <c r="E22" s="146">
        <f t="shared" si="4"/>
        <v>1560547381</v>
      </c>
      <c r="F22" s="147"/>
      <c r="G22" s="145">
        <f t="shared" si="2"/>
        <v>-1560547381</v>
      </c>
      <c r="H22" s="145">
        <f t="shared" si="5"/>
        <v>13852210405.249714</v>
      </c>
      <c r="I22" s="31">
        <f t="shared" si="6"/>
        <v>0</v>
      </c>
      <c r="J22" s="30">
        <f t="shared" si="7"/>
        <v>1560547381</v>
      </c>
      <c r="K22" s="239">
        <f>SUM($B$15,G$16:G22)</f>
        <v>13852210405.249714</v>
      </c>
    </row>
    <row r="23" spans="1:11" x14ac:dyDescent="0.25">
      <c r="A23" s="36" t="s">
        <v>76</v>
      </c>
      <c r="B23" s="147"/>
      <c r="C23" s="146">
        <f t="shared" si="8"/>
        <v>13852210405.249714</v>
      </c>
      <c r="D23" s="146">
        <f t="shared" si="3"/>
        <v>364183965.75027466</v>
      </c>
      <c r="E23" s="146">
        <f t="shared" si="4"/>
        <v>0</v>
      </c>
      <c r="F23" s="147"/>
      <c r="G23" s="145">
        <f t="shared" si="2"/>
        <v>364183965.75027466</v>
      </c>
      <c r="H23" s="145">
        <f t="shared" si="5"/>
        <v>14216394370.999989</v>
      </c>
      <c r="I23" s="31">
        <f t="shared" si="6"/>
        <v>364183965.75027466</v>
      </c>
      <c r="J23" s="30">
        <f t="shared" si="7"/>
        <v>0</v>
      </c>
      <c r="K23" s="239">
        <f>SUM($B$15,G$16:G23)</f>
        <v>14216394370.999989</v>
      </c>
    </row>
    <row r="24" spans="1:11" s="50" customFormat="1" x14ac:dyDescent="0.25">
      <c r="A24" s="102" t="str">
        <f>'S7'!A17</f>
        <v>TT T12</v>
      </c>
      <c r="B24" s="233"/>
      <c r="C24" s="234"/>
      <c r="D24" s="234"/>
      <c r="E24" s="234"/>
      <c r="F24" s="232">
        <f>C23+D23</f>
        <v>14216394370.999989</v>
      </c>
    </row>
    <row r="25" spans="1:11" x14ac:dyDescent="0.25">
      <c r="F25" s="145">
        <f>F24-C11</f>
        <v>0</v>
      </c>
    </row>
    <row r="27" spans="1:11" x14ac:dyDescent="0.25">
      <c r="A27" s="36" t="s">
        <v>75</v>
      </c>
      <c r="B27" s="146">
        <f>'S7'!C3</f>
        <v>207862203900</v>
      </c>
      <c r="C27" s="146">
        <f>'S7'!G17</f>
        <v>101435082581</v>
      </c>
    </row>
    <row r="28" spans="1:11" x14ac:dyDescent="0.25">
      <c r="B28" s="6">
        <f>B11/B27</f>
        <v>8.1346982994070186E-2</v>
      </c>
      <c r="C28" s="6">
        <f>C11/C27</f>
        <v>0.14015263762069327</v>
      </c>
    </row>
    <row r="33" spans="21:21" x14ac:dyDescent="0.25">
      <c r="U33" s="6"/>
    </row>
    <row r="58" spans="2:3" x14ac:dyDescent="0.25">
      <c r="B58" s="33" t="s">
        <v>58</v>
      </c>
      <c r="C58" s="195">
        <v>-22184183115.313801</v>
      </c>
    </row>
    <row r="59" spans="2:3" x14ac:dyDescent="0.25">
      <c r="B59" s="33" t="s">
        <v>57</v>
      </c>
      <c r="C59" s="114">
        <v>-19275836708.89616</v>
      </c>
    </row>
    <row r="61" spans="2:3" x14ac:dyDescent="0.25">
      <c r="B61" s="33" t="s">
        <v>103</v>
      </c>
      <c r="C61" s="195">
        <v>-14265744972.55619</v>
      </c>
    </row>
    <row r="62" spans="2:3" x14ac:dyDescent="0.25">
      <c r="B62" s="33" t="s">
        <v>104</v>
      </c>
      <c r="C62" s="114">
        <v>-12395505806.654074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7E36-0476-4C4B-9A90-B98FBAD94D72}">
  <sheetPr codeName="Sheet7"/>
  <dimension ref="A2:G13"/>
  <sheetViews>
    <sheetView showGridLines="0" zoomScale="145" zoomScaleNormal="145" workbookViewId="0">
      <selection activeCell="E4" sqref="E4"/>
    </sheetView>
  </sheetViews>
  <sheetFormatPr defaultRowHeight="15" x14ac:dyDescent="0.25"/>
  <cols>
    <col min="1" max="1" width="4.140625" bestFit="1" customWidth="1"/>
    <col min="2" max="2" width="42.140625" customWidth="1"/>
    <col min="3" max="3" width="17.7109375" customWidth="1"/>
    <col min="4" max="4" width="17.7109375" bestFit="1" customWidth="1"/>
    <col min="5" max="5" width="80.28515625" bestFit="1" customWidth="1"/>
    <col min="6" max="6" width="67.85546875" customWidth="1"/>
    <col min="7" max="7" width="9.7109375" bestFit="1" customWidth="1"/>
  </cols>
  <sheetData>
    <row r="2" spans="1:7" x14ac:dyDescent="0.25">
      <c r="C2" s="159" t="s">
        <v>92</v>
      </c>
      <c r="D2" s="160">
        <v>0.13109999999999999</v>
      </c>
    </row>
    <row r="3" spans="1:7" x14ac:dyDescent="0.25">
      <c r="A3" s="163" t="s">
        <v>93</v>
      </c>
      <c r="B3" s="161" t="s">
        <v>96</v>
      </c>
      <c r="C3" s="162" t="s">
        <v>90</v>
      </c>
      <c r="D3" s="162" t="s">
        <v>84</v>
      </c>
      <c r="E3" s="163" t="s">
        <v>91</v>
      </c>
    </row>
    <row r="4" spans="1:7" x14ac:dyDescent="0.25">
      <c r="A4" s="167">
        <f>IF(B4&lt;&gt;"",SUBTOTAL(3,B$4:B4),"")</f>
        <v>1</v>
      </c>
      <c r="B4" s="168" t="s">
        <v>89</v>
      </c>
      <c r="C4" s="169">
        <f>'S8'!H4+'S8'!H7+'S8'!H10+'S8'!H13+'S8'!H16</f>
        <v>-18669387059.047455</v>
      </c>
      <c r="D4" s="197">
        <f t="shared" ref="D4:D7" si="0">C4*(1-$D$2)</f>
        <v>-16221830415.606333</v>
      </c>
      <c r="E4" s="168"/>
    </row>
    <row r="5" spans="1:7" x14ac:dyDescent="0.25">
      <c r="A5" s="170">
        <f>IF(B5&lt;&gt;"",SUBTOTAL(3,B$4:B5),"")</f>
        <v>2</v>
      </c>
      <c r="B5" s="171" t="s">
        <v>94</v>
      </c>
      <c r="C5" s="172">
        <f>'S8'!$H$5</f>
        <v>-2868699025.7539849</v>
      </c>
      <c r="D5" s="198">
        <f t="shared" si="0"/>
        <v>-2492612583.4776373</v>
      </c>
      <c r="E5" s="171"/>
      <c r="G5" s="1"/>
    </row>
    <row r="6" spans="1:7" x14ac:dyDescent="0.25">
      <c r="A6" s="170">
        <f>IF(B6&lt;&gt;"",SUBTOTAL(3,B$4:B6),"")</f>
        <v>3</v>
      </c>
      <c r="B6" s="171" t="s">
        <v>95</v>
      </c>
      <c r="C6" s="172">
        <f>'S8'!$H$6</f>
        <v>-2228749235.9099941</v>
      </c>
      <c r="D6" s="198">
        <f t="shared" si="0"/>
        <v>-1936560211.0821939</v>
      </c>
      <c r="E6" s="221"/>
    </row>
    <row r="7" spans="1:7" x14ac:dyDescent="0.25">
      <c r="A7" s="170">
        <f>IF(B7&lt;&gt;"",SUBTOTAL(3,B$4:B7),"")</f>
        <v>4</v>
      </c>
      <c r="B7" s="171" t="s">
        <v>110</v>
      </c>
      <c r="C7" s="172">
        <f>'S8'!H11+'S8'!H12</f>
        <v>-1609287653.6117923</v>
      </c>
      <c r="D7" s="198">
        <f t="shared" si="0"/>
        <v>-1398310042.2232864</v>
      </c>
      <c r="E7" s="171"/>
    </row>
    <row r="8" spans="1:7" x14ac:dyDescent="0.25">
      <c r="A8" s="170"/>
      <c r="B8" s="171"/>
      <c r="C8" s="172"/>
      <c r="D8" s="198"/>
      <c r="E8" s="171"/>
      <c r="G8" s="1"/>
    </row>
    <row r="9" spans="1:7" x14ac:dyDescent="0.25">
      <c r="A9" s="240"/>
      <c r="B9" s="241" t="s">
        <v>124</v>
      </c>
      <c r="C9" s="242">
        <v>11414476126</v>
      </c>
      <c r="D9" s="243">
        <f>C9*(1-$D$2)</f>
        <v>9918038305.8813992</v>
      </c>
      <c r="E9" s="241"/>
      <c r="G9" s="1"/>
    </row>
    <row r="10" spans="1:7" x14ac:dyDescent="0.25">
      <c r="A10" s="240"/>
      <c r="B10" s="241" t="s">
        <v>125</v>
      </c>
      <c r="C10" s="242">
        <v>4428241305</v>
      </c>
      <c r="D10" s="243">
        <f>C10*(1-$D$2)</f>
        <v>3847698869.9145002</v>
      </c>
      <c r="E10" s="241"/>
      <c r="G10" s="1"/>
    </row>
    <row r="11" spans="1:7" x14ac:dyDescent="0.25">
      <c r="A11" s="240"/>
      <c r="B11" s="241" t="s">
        <v>126</v>
      </c>
      <c r="C11" s="242">
        <f>'BĐ-LG EXW-v2'!D25</f>
        <v>5023288500</v>
      </c>
      <c r="D11" s="243">
        <f>C11*(1-$D$2)</f>
        <v>4364735377.6499996</v>
      </c>
      <c r="E11" s="241"/>
      <c r="G11" s="1"/>
    </row>
    <row r="12" spans="1:7" ht="15.75" thickBot="1" x14ac:dyDescent="0.3">
      <c r="A12" s="222"/>
      <c r="B12" s="223"/>
      <c r="C12" s="224"/>
      <c r="D12" s="225"/>
      <c r="E12" s="223"/>
      <c r="G12" s="1"/>
    </row>
    <row r="13" spans="1:7" ht="15.75" thickBot="1" x14ac:dyDescent="0.3">
      <c r="A13" s="164">
        <f>IF(B13&lt;&gt;"",SUBTOTAL(3,B$4:B13),"")</f>
        <v>8</v>
      </c>
      <c r="B13" s="165" t="s">
        <v>0</v>
      </c>
      <c r="C13" s="166">
        <f>SUM(C4:C12)</f>
        <v>-4510117043.3232269</v>
      </c>
      <c r="D13" s="166">
        <f>SUM(D4:D12)</f>
        <v>-3918840698.9435511</v>
      </c>
      <c r="E13" s="1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Mth</vt:lpstr>
      <vt:lpstr>S6</vt:lpstr>
      <vt:lpstr>S7</vt:lpstr>
      <vt:lpstr>S8</vt:lpstr>
      <vt:lpstr>BĐ-LG EXW-v2</vt:lpstr>
      <vt:lpstr>S10</vt:lpstr>
      <vt:lpstr>Giải trình</vt:lpstr>
      <vt:lpstr>mth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Danh, Hoàng Duy</cp:lastModifiedBy>
  <dcterms:created xsi:type="dcterms:W3CDTF">2025-09-08T09:19:54Z</dcterms:created>
  <dcterms:modified xsi:type="dcterms:W3CDTF">2026-01-23T01:28:21Z</dcterms:modified>
</cp:coreProperties>
</file>