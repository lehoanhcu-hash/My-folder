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Data\Dư án dây đai đại lộc\Hương\Bảng tính giá\"/>
    </mc:Choice>
  </mc:AlternateContent>
  <xr:revisionPtr revIDLastSave="0" documentId="13_ncr:1_{2B844EDA-5C8B-4C8E-B565-0393BE925F40}" xr6:coauthVersionLast="47" xr6:coauthVersionMax="47" xr10:uidLastSave="{00000000-0000-0000-0000-000000000000}"/>
  <bookViews>
    <workbookView xWindow="-110" yWindow="-110" windowWidth="19420" windowHeight="10300" activeTab="1" xr2:uid="{540A27B8-DAB8-4B30-953B-3D8C157242EF}"/>
  </bookViews>
  <sheets>
    <sheet name="TH" sheetId="2" r:id="rId1"/>
    <sheet name="Chart" sheetId="5" r:id="rId2"/>
    <sheet name="DĐ RPE1609" sheetId="3" r:id="rId3"/>
    <sheet name="DĐ RPE1909" sheetId="4" r:id="rId4"/>
    <sheet name="DĐ RPEXXXX" sheetId="10" r:id="rId5"/>
  </sheets>
  <externalReferences>
    <externalReference r:id="rId6"/>
    <externalReference r:id="rId7"/>
    <externalReference r:id="rId8"/>
  </externalReferences>
  <definedNames>
    <definedName name="\T">#REF!</definedName>
    <definedName name="__dao1">#REF!</definedName>
    <definedName name="__dao2">#REF!</definedName>
    <definedName name="__dap2">#REF!</definedName>
    <definedName name="__day1">#REF!</definedName>
    <definedName name="__day2">#REF!</definedName>
    <definedName name="__dbu1">#REF!</definedName>
    <definedName name="__dbu2">#REF!</definedName>
    <definedName name="__doi3">#REF!</definedName>
    <definedName name="__E99999">#REF!</definedName>
    <definedName name="__Jan02">#REF!</definedName>
    <definedName name="__lap1">#REF!</definedName>
    <definedName name="__lap2">#REF!</definedName>
    <definedName name="__vc1">#REF!</definedName>
    <definedName name="__vc2">#REF!</definedName>
    <definedName name="__vc3">#REF!</definedName>
    <definedName name="_01_01_99">#REF!</definedName>
    <definedName name="_01_02_99">#REF!</definedName>
    <definedName name="_01_03_99">#REF!</definedName>
    <definedName name="_01_04_99">#REF!</definedName>
    <definedName name="_01_05_99">#REF!</definedName>
    <definedName name="_01_06_99">#REF!</definedName>
    <definedName name="_01_07_99">#REF!</definedName>
    <definedName name="_01_08_1999">#REF!</definedName>
    <definedName name="_1CAP002">#REF!</definedName>
    <definedName name="_2STREO7">#REF!</definedName>
    <definedName name="_4GOIC01">#REF!</definedName>
    <definedName name="_4OSLCTT">#REF!</definedName>
    <definedName name="_6BNTTTH">#REF!</definedName>
    <definedName name="_6DCTTBO">#REF!</definedName>
    <definedName name="_6DD24TT">#REF!</definedName>
    <definedName name="_6FCOTBU">#REF!</definedName>
    <definedName name="_6LATUBU">#REF!</definedName>
    <definedName name="_6SDTT24">#REF!</definedName>
    <definedName name="_6TBUDTT">#REF!</definedName>
    <definedName name="_6TDDDTT">#REF!</definedName>
    <definedName name="_6TLTTTH">#REF!</definedName>
    <definedName name="_6TUBUTT">#REF!</definedName>
    <definedName name="_6UCLVIS">#REF!</definedName>
    <definedName name="_7DNCABC">#REF!</definedName>
    <definedName name="_7HDCTBU">#REF!</definedName>
    <definedName name="_7PKTUBU">#REF!</definedName>
    <definedName name="_7TBHT20">#REF!</definedName>
    <definedName name="_7TBHT30">#REF!</definedName>
    <definedName name="_7TDCABC">#REF!</definedName>
    <definedName name="_dao1">#REF!</definedName>
    <definedName name="_dao2">#REF!</definedName>
    <definedName name="_dap2">#REF!</definedName>
    <definedName name="_day1">#REF!</definedName>
    <definedName name="_day2">#REF!</definedName>
    <definedName name="_dbu1">#REF!</definedName>
    <definedName name="_dbu2">#REF!</definedName>
    <definedName name="_doi3">#REF!</definedName>
    <definedName name="_E99999">#REF!</definedName>
    <definedName name="_Fill" hidden="1">#REF!</definedName>
    <definedName name="_xlnm._FilterDatabase" localSheetId="2" hidden="1">'DĐ RPE1609'!$C$7:$M$109</definedName>
    <definedName name="_xlnm._FilterDatabase" localSheetId="3" hidden="1">'DĐ RPE1909'!$C$7:$M$109</definedName>
    <definedName name="_Jan02">#REF!</definedName>
    <definedName name="_lap1">#REF!</definedName>
    <definedName name="_lap2">#REF!</definedName>
    <definedName name="_Order1" hidden="1">255</definedName>
    <definedName name="_Order2" hidden="1">255</definedName>
    <definedName name="_Sort" hidden="1">#REF!</definedName>
    <definedName name="_tram" hidden="1">#REF!</definedName>
    <definedName name="_vc1">#REF!</definedName>
    <definedName name="_vc2">#REF!</definedName>
    <definedName name="_vc3">#REF!</definedName>
    <definedName name="A">#REF!</definedName>
    <definedName name="AAA">#REF!</definedName>
    <definedName name="Account">#REF!</definedName>
    <definedName name="All_list">#REF!</definedName>
    <definedName name="anscount" hidden="1">2</definedName>
    <definedName name="AOP">#REF!</definedName>
    <definedName name="AOPP">#REF!</definedName>
    <definedName name="Apr">#REF!</definedName>
    <definedName name="Asset">#REF!</definedName>
    <definedName name="aù0">#REF!</definedName>
    <definedName name="Aug">#REF!</definedName>
    <definedName name="B">#REF!</definedName>
    <definedName name="BarData">#REF!</definedName>
    <definedName name="BLOCK1">#REF!</definedName>
    <definedName name="BLOCK2">#REF!</definedName>
    <definedName name="BLOCK3">#REF!</definedName>
    <definedName name="BOY">#REF!</definedName>
    <definedName name="Brand_Label">#REF!</definedName>
    <definedName name="BREAKDOWN">#REF!</definedName>
    <definedName name="C_">#REF!</definedName>
    <definedName name="cap">#REF!</definedName>
    <definedName name="cap0.7">#REF!</definedName>
    <definedName name="CCNK">#REF!</definedName>
    <definedName name="ChemicalReagent">#REF!</definedName>
    <definedName name="CL">#REF!</definedName>
    <definedName name="CLTMP">#REF!</definedName>
    <definedName name="CLVC">#REF!</definedName>
    <definedName name="cong_bq">#REF!</definedName>
    <definedName name="cong_bv">#REF!</definedName>
    <definedName name="cong_ck">#REF!</definedName>
    <definedName name="cong_d1">#REF!</definedName>
    <definedName name="cong_d2">#REF!</definedName>
    <definedName name="cong_d3">#REF!</definedName>
    <definedName name="cong_dl">#REF!</definedName>
    <definedName name="cong_kcs">#REF!</definedName>
    <definedName name="cong_nb">#REF!</definedName>
    <definedName name="cong_ngio">#REF!</definedName>
    <definedName name="cong_nv">#REF!</definedName>
    <definedName name="cong_t3">#REF!</definedName>
    <definedName name="cong_t4">#REF!</definedName>
    <definedName name="cong_t5">#REF!</definedName>
    <definedName name="cong_t6">#REF!</definedName>
    <definedName name="cong_tc">#REF!</definedName>
    <definedName name="cong_tm">#REF!</definedName>
    <definedName name="cong_vs">#REF!</definedName>
    <definedName name="cong_xh">#REF!</definedName>
    <definedName name="Contingency">#REF!</definedName>
    <definedName name="COPY">#REF!</definedName>
    <definedName name="COST">#REF!</definedName>
    <definedName name="Cost_Allocation_wage">#REF!</definedName>
    <definedName name="CS_10">#REF!</definedName>
    <definedName name="CS_100">#REF!</definedName>
    <definedName name="CS_10S">#REF!</definedName>
    <definedName name="CS_120">#REF!</definedName>
    <definedName name="CS_140">#REF!</definedName>
    <definedName name="CS_160">#REF!</definedName>
    <definedName name="CS_20">#REF!</definedName>
    <definedName name="CS_30">#REF!</definedName>
    <definedName name="CS_40">#REF!</definedName>
    <definedName name="CS_40S">#REF!</definedName>
    <definedName name="CS_5S">#REF!</definedName>
    <definedName name="CS_60">#REF!</definedName>
    <definedName name="CS_80">#REF!</definedName>
    <definedName name="CS_80S">#REF!</definedName>
    <definedName name="CS_STD">#REF!</definedName>
    <definedName name="CS_XS">#REF!</definedName>
    <definedName name="CS_XXS">#REF!</definedName>
    <definedName name="ctdn9697">#REF!</definedName>
    <definedName name="D">#REF!</definedName>
    <definedName name="Dandoc">#REF!</definedName>
    <definedName name="daotd">#REF!</definedName>
    <definedName name="dap">#REF!</definedName>
    <definedName name="daptd">#REF!</definedName>
    <definedName name="Data">#REF!</definedName>
    <definedName name="DATA_DATA2_List">#REF!</definedName>
    <definedName name="Data11">#REF!</definedName>
    <definedName name="Data41">#REF!</definedName>
    <definedName name="_xlnm.Database">#REF!</definedName>
    <definedName name="DDAY">#REF!</definedName>
    <definedName name="ddtt1pnc">#REF!</definedName>
    <definedName name="ddtt1pvl">#REF!</definedName>
    <definedName name="ddtt3pnc">#REF!</definedName>
    <definedName name="ddtt3pvl">#REF!</definedName>
    <definedName name="Dec">#REF!</definedName>
    <definedName name="DL50SEC">#REF!</definedName>
    <definedName name="DLSCM15">#REF!</definedName>
    <definedName name="DLSCM30">#REF!</definedName>
    <definedName name="DLSCM40">#REF!</definedName>
    <definedName name="DLUHT">#REF!</definedName>
    <definedName name="DM">#REF!</definedName>
    <definedName name="dobt">#REF!</definedName>
    <definedName name="Document_array" localSheetId="1">{"Book1"}</definedName>
    <definedName name="Document_array" localSheetId="2">{"Book1"}</definedName>
    <definedName name="Document_array" localSheetId="3">{"Book1"}</definedName>
    <definedName name="Document_array">{"Book1"}</definedName>
    <definedName name="DocumentYear">#REF!</definedName>
    <definedName name="domestic">#REF!</definedName>
    <definedName name="domesticcost">#REF!</definedName>
    <definedName name="domesticcostt">#REF!</definedName>
    <definedName name="domesticostts">#REF!</definedName>
    <definedName name="domestics">#REF!</definedName>
    <definedName name="DONVI">OFFSET(#REF!,1,0,COUNTA(#REF!)-1,5)</definedName>
    <definedName name="DONVIDG">OFFSET(#REF!,COUNTIF(#REF!,"&lt;&gt;0")-1,0,1)</definedName>
    <definedName name="DT">#REF!</definedName>
    <definedName name="E">#REF!</definedName>
    <definedName name="Equipmentsupplies">#REF!</definedName>
    <definedName name="Eur">13240</definedName>
    <definedName name="F">#REF!</definedName>
    <definedName name="feb">#REF!</definedName>
    <definedName name="forex">17054</definedName>
    <definedName name="Full">#REF!</definedName>
    <definedName name="G">#REF!</definedName>
    <definedName name="G23_">#REF!</definedName>
    <definedName name="Gas">#REF!</definedName>
    <definedName name="giaca">#REF!</definedName>
    <definedName name="gica_bq">#REF!</definedName>
    <definedName name="gica_bv">#REF!</definedName>
    <definedName name="gica_ck">#REF!</definedName>
    <definedName name="gica_d1">#REF!</definedName>
    <definedName name="gica_d2">#REF!</definedName>
    <definedName name="gica_d3">#REF!</definedName>
    <definedName name="gica_dl">#REF!</definedName>
    <definedName name="gica_kcs">#REF!</definedName>
    <definedName name="gica_nb">#REF!</definedName>
    <definedName name="gica_ngio">#REF!</definedName>
    <definedName name="gica_nv">#REF!</definedName>
    <definedName name="gica_t3">#REF!</definedName>
    <definedName name="gica_t4">#REF!</definedName>
    <definedName name="gica_t5">#REF!</definedName>
    <definedName name="gica_t6">#REF!</definedName>
    <definedName name="gica_tc">#REF!</definedName>
    <definedName name="gica_tm">#REF!</definedName>
    <definedName name="gica_vs">#REF!</definedName>
    <definedName name="gica_xh">#REF!</definedName>
    <definedName name="gio_bq">#REF!</definedName>
    <definedName name="gio_d1">#REF!</definedName>
    <definedName name="gio_d2">#REF!</definedName>
    <definedName name="gio_d3">#REF!</definedName>
    <definedName name="gio_dl">#REF!</definedName>
    <definedName name="gio_kcs">#REF!</definedName>
    <definedName name="gio_ngio">#REF!</definedName>
    <definedName name="gio_t3">#REF!</definedName>
    <definedName name="gio_t4">#REF!</definedName>
    <definedName name="gio_t5">#REF!</definedName>
    <definedName name="gio_t6">#REF!</definedName>
    <definedName name="gio_vs">#REF!</definedName>
    <definedName name="gio_xh">#REF!</definedName>
    <definedName name="Graph_Contract">OFFSET(#REF!,#REF!,COLUMN(#REF!)-COLUMN(#REF!),1,2)</definedName>
    <definedName name="Graph_DA">OFFSET(#REF!,#REF!,COLUMN(#REF!)-COLUMN(#REF!),1,2)</definedName>
    <definedName name="Graph_Discret">OFFSET(#REF!,#REF!,COLUMN(#REF!)-COLUMN(#REF!),1,2)</definedName>
    <definedName name="Graph_growth">OFFSET(#REF!,#REF!,COLUMN(#REF!)-COLUMN(#REF!),1,2)</definedName>
    <definedName name="Graph_growth2">OFFSET(#REF!,#REF!,COLUMN(#REF!)-COLUMN(#REF!),1,2)</definedName>
    <definedName name="Graph_NDisc">OFFSET(#REF!,#REF!,COLUMN(#REF!)-COLUMN(#REF!),1,2)</definedName>
    <definedName name="Graph_Stale">OFFSET(#REF!,#REF!,COLUMN(#REF!)-COLUMN(#REF!),1,2)</definedName>
    <definedName name="Graph_volume">OFFSET(#REF!,#REF!,COLUMN(#REF!)-COLUMN(#REF!),1,2)</definedName>
    <definedName name="Graph_volume2">OFFSET(#REF!,#REF!,COLUMN(#REF!)-COLUMN(#REF!),1,2)</definedName>
    <definedName name="HDCCT">#REF!</definedName>
    <definedName name="HDCD">#REF!</definedName>
    <definedName name="HM">#REF!</definedName>
    <definedName name="HSKK">#REF!</definedName>
    <definedName name="Index">100%</definedName>
    <definedName name="Inflation_WC">#REF!</definedName>
    <definedName name="jan">#REF!</definedName>
    <definedName name="Jul">#REF!</definedName>
    <definedName name="Jun">#REF!</definedName>
    <definedName name="Justification">#REF!</definedName>
    <definedName name="K">#REF!</definedName>
    <definedName name="K_1" localSheetId="2">#REF!</definedName>
    <definedName name="K_1" localSheetId="3">#REF!</definedName>
    <definedName name="K_1">#REF!</definedName>
    <definedName name="K_2" localSheetId="2">#REF!</definedName>
    <definedName name="K_2" localSheetId="3">#REF!</definedName>
    <definedName name="K_2">#REF!</definedName>
    <definedName name="KCSCM">#REF!</definedName>
    <definedName name="KH">#REF!</definedName>
    <definedName name="KVC">#REF!</definedName>
    <definedName name="L">#REF!</definedName>
    <definedName name="Lab_supplies_lists">#REF!</definedName>
    <definedName name="Labsupplieslist">#REF!</definedName>
    <definedName name="lanh_bq">#REF!</definedName>
    <definedName name="lanh_bv">#REF!</definedName>
    <definedName name="lanh_ck">#REF!</definedName>
    <definedName name="lanh_d1">#REF!</definedName>
    <definedName name="lanh_d2">#REF!</definedName>
    <definedName name="lanh_d3">#REF!</definedName>
    <definedName name="lanh_dl">#REF!</definedName>
    <definedName name="lanh_kcs">#REF!</definedName>
    <definedName name="lanh_nb">#REF!</definedName>
    <definedName name="lanh_ngio">#REF!</definedName>
    <definedName name="lanh_nv">#REF!</definedName>
    <definedName name="lanh_t3">#REF!</definedName>
    <definedName name="lanh_t4">#REF!</definedName>
    <definedName name="lanh_t5">#REF!</definedName>
    <definedName name="lanh_t6">#REF!</definedName>
    <definedName name="lanh_tc">#REF!</definedName>
    <definedName name="lanh_tm">#REF!</definedName>
    <definedName name="lanh_vs">#REF!</definedName>
    <definedName name="lanh_xh">#REF!</definedName>
    <definedName name="lapa">#REF!</definedName>
    <definedName name="lapb">#REF!</definedName>
    <definedName name="lapc">#REF!</definedName>
    <definedName name="lcb_bq">#REF!</definedName>
    <definedName name="lcb_bv">#REF!</definedName>
    <definedName name="lcb_ck">#REF!</definedName>
    <definedName name="lcb_d1">#REF!</definedName>
    <definedName name="lcb_d2">#REF!</definedName>
    <definedName name="lcb_d3">#REF!</definedName>
    <definedName name="lcb_dl">#REF!</definedName>
    <definedName name="lcb_kcs">#REF!</definedName>
    <definedName name="lcb_nb">#REF!</definedName>
    <definedName name="lcb_ngio">#REF!</definedName>
    <definedName name="lcb_nv">#REF!</definedName>
    <definedName name="lcb_t3">#REF!</definedName>
    <definedName name="lcb_t4">#REF!</definedName>
    <definedName name="lcb_t5">#REF!</definedName>
    <definedName name="lcb_t6">#REF!</definedName>
    <definedName name="lcb_tc">#REF!</definedName>
    <definedName name="lcb_tm">#REF!</definedName>
    <definedName name="lcb_vs">#REF!</definedName>
    <definedName name="lcb_xh">#REF!</definedName>
    <definedName name="le_bq">#REF!</definedName>
    <definedName name="le_bv">#REF!</definedName>
    <definedName name="le_ck">#REF!</definedName>
    <definedName name="le_d1">#REF!</definedName>
    <definedName name="le_d2">#REF!</definedName>
    <definedName name="le_d3">#REF!</definedName>
    <definedName name="le_dl">#REF!</definedName>
    <definedName name="le_kcs">#REF!</definedName>
    <definedName name="le_nb">#REF!</definedName>
    <definedName name="le_ngio">#REF!</definedName>
    <definedName name="le_nv">#REF!</definedName>
    <definedName name="le_t3">#REF!</definedName>
    <definedName name="le_t4">#REF!</definedName>
    <definedName name="le_t5">#REF!</definedName>
    <definedName name="le_t6">#REF!</definedName>
    <definedName name="le_tc">#REF!</definedName>
    <definedName name="le_tm">#REF!</definedName>
    <definedName name="le_vs">#REF!</definedName>
    <definedName name="le_xh">#REF!</definedName>
    <definedName name="limcount" hidden="1">1</definedName>
    <definedName name="list">#REF!</definedName>
    <definedName name="Location">#REF!</definedName>
    <definedName name="lVC">#REF!</definedName>
    <definedName name="MADONVI">OFFSET(#REF!,COUNTA(#REF!)-1,0,1)</definedName>
    <definedName name="MajorHeader">#REF!</definedName>
    <definedName name="mar">#REF!</definedName>
    <definedName name="mat">#REF!</definedName>
    <definedName name="may">#REF!</definedName>
    <definedName name="MPETABLE">#REF!</definedName>
    <definedName name="N">#REF!</definedName>
    <definedName name="NCcap0.7">#REF!</definedName>
    <definedName name="NCcap1">#REF!</definedName>
    <definedName name="NGANHANG">OFFSET(#REF!,COUNTIF(#REF!,"&lt;&gt;0")-1,0,1)</definedName>
    <definedName name="NGAØY">#REF!</definedName>
    <definedName name="NGAY">OFFSET(#REF!,COUNTA(#REF!)-1,0,1)</definedName>
    <definedName name="nghi_bq">#REF!</definedName>
    <definedName name="nghi_bv">#REF!</definedName>
    <definedName name="nghi_ck">#REF!</definedName>
    <definedName name="nghi_d1">#REF!</definedName>
    <definedName name="nghi_d2">#REF!</definedName>
    <definedName name="nghi_d3">#REF!</definedName>
    <definedName name="nghi_dl">#REF!</definedName>
    <definedName name="nghi_kcs">#REF!</definedName>
    <definedName name="nghi_nb">#REF!</definedName>
    <definedName name="nghi_ngio">#REF!</definedName>
    <definedName name="nghi_nv">#REF!</definedName>
    <definedName name="nghi_t3">#REF!</definedName>
    <definedName name="nghi_t4">#REF!</definedName>
    <definedName name="nghi_t5">#REF!</definedName>
    <definedName name="nghi_t6">#REF!</definedName>
    <definedName name="nghi_tc">#REF!</definedName>
    <definedName name="nghi_tm">#REF!</definedName>
    <definedName name="nghi_vs">#REF!</definedName>
    <definedName name="nghi_xh">#REF!</definedName>
    <definedName name="nhap">#REF!</definedName>
    <definedName name="NHAP1">#REF!</definedName>
    <definedName name="NHAP2">#REF!</definedName>
    <definedName name="NOIDUNG">OFFSET(#REF!,COUNTA(#REF!)-1,0,1)</definedName>
    <definedName name="Nov">#REF!</definedName>
    <definedName name="NToS" localSheetId="2">#REF!</definedName>
    <definedName name="NToS" localSheetId="3">#REF!</definedName>
    <definedName name="NToS">#REF!</definedName>
    <definedName name="Oct">#REF!</definedName>
    <definedName name="OneTwoThree">#REF!</definedName>
    <definedName name="oo">#REF!</definedName>
    <definedName name="ooo">#REF!</definedName>
    <definedName name="Other_Lab_Supplies">#REF!</definedName>
    <definedName name="oversea">#REF!</definedName>
    <definedName name="PackMat">#REF!</definedName>
    <definedName name="PC_LB">#REF!</definedName>
    <definedName name="PG_LB">#REF!</definedName>
    <definedName name="PHUONG" hidden="1">#REF!</definedName>
    <definedName name="_xlnm.Print_Area" localSheetId="1">Chart!$A$1:$S$27</definedName>
    <definedName name="Print_Area_MI">#REF!</definedName>
    <definedName name="_xlnm.Print_Titles">#N/A</definedName>
    <definedName name="QUYLUONG">#REF!</definedName>
    <definedName name="RawMat">#REF!</definedName>
    <definedName name="re">#REF!</definedName>
    <definedName name="ree">#REF!</definedName>
    <definedName name="rr">#REF!</definedName>
    <definedName name="SALES">#REF!</definedName>
    <definedName name="sau">#REF!</definedName>
    <definedName name="sdafds">#REF!</definedName>
    <definedName name="SDDL">#REF!</definedName>
    <definedName name="sdgt" hidden="1">#REF!</definedName>
    <definedName name="sencount" hidden="1">1</definedName>
    <definedName name="Sep">#REF!</definedName>
    <definedName name="Sheet1">#REF!</definedName>
    <definedName name="shii">#REF!</definedName>
    <definedName name="SKU">#REF!</definedName>
    <definedName name="SO">OFFSET(#REF!,COUNTA(#REF!)-1,0,1)</definedName>
    <definedName name="Sort" hidden="1">#REF!</definedName>
    <definedName name="SORT_AREA">#REF!</definedName>
    <definedName name="SOTIEN">OFFSET(#REF!,COUNTA(#REF!)-1,0,1)</definedName>
    <definedName name="sp_bq">#REF!</definedName>
    <definedName name="sp_bv">#REF!</definedName>
    <definedName name="sp_ck">#REF!</definedName>
    <definedName name="sp_d1">#REF!</definedName>
    <definedName name="sp_d2">#REF!</definedName>
    <definedName name="sp_d3">#REF!</definedName>
    <definedName name="sp_dl">#REF!</definedName>
    <definedName name="sp_kcs">#REF!</definedName>
    <definedName name="sp_nb">#REF!</definedName>
    <definedName name="sp_ngio">#REF!</definedName>
    <definedName name="sp_nv">#REF!</definedName>
    <definedName name="sp_t3">#REF!</definedName>
    <definedName name="sp_t4">#REF!</definedName>
    <definedName name="sp_t5">#REF!</definedName>
    <definedName name="sp_t6">#REF!</definedName>
    <definedName name="sp_tc">#REF!</definedName>
    <definedName name="sp_tm">#REF!</definedName>
    <definedName name="sp_vs">#REF!</definedName>
    <definedName name="sp_xh">#REF!</definedName>
    <definedName name="sss">#REF!</definedName>
    <definedName name="TAIKHOAN">OFFSET(#REF!,COUNTIF(#REF!,"&lt;&gt;0")-1,0,1)</definedName>
    <definedName name="TAMTINH">#REF!</definedName>
    <definedName name="tdtrnc">#REF!</definedName>
    <definedName name="tdtrvl">#REF!</definedName>
    <definedName name="TG">#REF!</definedName>
    <definedName name="TGxayduong">#REF!</definedName>
    <definedName name="thgian_bq">#REF!</definedName>
    <definedName name="thgian_bv">#REF!</definedName>
    <definedName name="thgian_ck">#REF!</definedName>
    <definedName name="thgian_d1">#REF!</definedName>
    <definedName name="thgian_d2">#REF!</definedName>
    <definedName name="thgian_d3">#REF!</definedName>
    <definedName name="thgian_dl">#REF!</definedName>
    <definedName name="thgian_kcs">#REF!</definedName>
    <definedName name="thgian_nb">#REF!</definedName>
    <definedName name="thgian_ngio">#REF!</definedName>
    <definedName name="thgian_nv">#REF!</definedName>
    <definedName name="thgian_t3">#REF!</definedName>
    <definedName name="thgian_t4">#REF!</definedName>
    <definedName name="thgian_t5">#REF!</definedName>
    <definedName name="thgian_t6">#REF!</definedName>
    <definedName name="thgian_tc">#REF!</definedName>
    <definedName name="thgian_tm">#REF!</definedName>
    <definedName name="thgian_vs">#REF!</definedName>
    <definedName name="thgian_xh">#REF!</definedName>
    <definedName name="thgio_bq">#REF!</definedName>
    <definedName name="thgio_bv">#REF!</definedName>
    <definedName name="thgio_ck">#REF!</definedName>
    <definedName name="thgio_d1">#REF!</definedName>
    <definedName name="thgio_d2">#REF!</definedName>
    <definedName name="thgio_d3">#REF!</definedName>
    <definedName name="thgio_dl">#REF!</definedName>
    <definedName name="thgio_kcs">#REF!</definedName>
    <definedName name="thgio_nb">#REF!</definedName>
    <definedName name="thgio_ngio">#REF!</definedName>
    <definedName name="thgio_nv">#REF!</definedName>
    <definedName name="thgio_t3">#REF!</definedName>
    <definedName name="thgio_t4">#REF!</definedName>
    <definedName name="thgio_t5">#REF!</definedName>
    <definedName name="thgio_t6">#REF!</definedName>
    <definedName name="thgio_tc">#REF!</definedName>
    <definedName name="thgio_tm">#REF!</definedName>
    <definedName name="thgio_vs">#REF!</definedName>
    <definedName name="thgio_xh">#REF!</definedName>
    <definedName name="TINHTP">OFFSET(#REF!,COUNTIF(#REF!,"&lt;&gt;0")-1,0,1)</definedName>
    <definedName name="tluong">#REF!</definedName>
    <definedName name="tnh_bq">#REF!</definedName>
    <definedName name="tnh_bv">#REF!</definedName>
    <definedName name="tnh_ck">#REF!</definedName>
    <definedName name="tnh_d1">#REF!</definedName>
    <definedName name="tnh_d2">#REF!</definedName>
    <definedName name="tnh_d3">#REF!</definedName>
    <definedName name="tnh_dl">#REF!</definedName>
    <definedName name="tnh_kcs">#REF!</definedName>
    <definedName name="tnh_nb">#REF!</definedName>
    <definedName name="tnh_ngio">#REF!</definedName>
    <definedName name="tnh_nv">#REF!</definedName>
    <definedName name="tnh_t3">#REF!</definedName>
    <definedName name="tnh_t4">#REF!</definedName>
    <definedName name="tnh_t5">#REF!</definedName>
    <definedName name="tnh_t6">#REF!</definedName>
    <definedName name="tnh_tc">#REF!</definedName>
    <definedName name="tnh_tm">#REF!</definedName>
    <definedName name="tnh_vs">#REF!</definedName>
    <definedName name="tnh_xh">#REF!</definedName>
    <definedName name="TON">#REF!</definedName>
    <definedName name="TOP">#REF!</definedName>
    <definedName name="tram" hidden="1">#REF!</definedName>
    <definedName name="TSSCM">#REF!</definedName>
    <definedName name="TSSlist">#REF!</definedName>
    <definedName name="ttbt">#REF!</definedName>
    <definedName name="ttt">#REF!</definedName>
    <definedName name="tttb">#REF!</definedName>
    <definedName name="vc3.">#REF!</definedName>
    <definedName name="vca">#REF!</definedName>
    <definedName name="vccot">#REF!</definedName>
    <definedName name="vccot.">#REF!</definedName>
    <definedName name="vcdbt">#REF!</definedName>
    <definedName name="vcdc.">#REF!</definedName>
    <definedName name="vcdd">#REF!</definedName>
    <definedName name="vcdt">#REF!</definedName>
    <definedName name="vcdtb">#REF!</definedName>
    <definedName name="vctb">#REF!</definedName>
    <definedName name="vctt">#REF!</definedName>
    <definedName name="VDCLY">#REF!</definedName>
    <definedName name="Vlcap0.7">#REF!</definedName>
    <definedName name="VLcap1">#REF!</definedName>
    <definedName name="WeekNumbers">#REF!</definedName>
    <definedName name="xfconc">#REF!</definedName>
    <definedName name="xfcovl">#REF!</definedName>
    <definedName name="xh_bq">#REF!</definedName>
    <definedName name="xh_bv">#REF!</definedName>
    <definedName name="xh_ck">#REF!</definedName>
    <definedName name="xh_d1">#REF!</definedName>
    <definedName name="xh_d2">#REF!</definedName>
    <definedName name="xh_d3">#REF!</definedName>
    <definedName name="xh_dl">#REF!</definedName>
    <definedName name="xh_kcs">#REF!</definedName>
    <definedName name="xh_nb">#REF!</definedName>
    <definedName name="xh_ngio">#REF!</definedName>
    <definedName name="xh_nv">#REF!</definedName>
    <definedName name="xh_t3">#REF!</definedName>
    <definedName name="xh_t4">#REF!</definedName>
    <definedName name="xh_t5">#REF!</definedName>
    <definedName name="xh_t6">#REF!</definedName>
    <definedName name="xh_tc">#REF!</definedName>
    <definedName name="xh_tm">#REF!</definedName>
    <definedName name="xh_vs">#REF!</definedName>
    <definedName name="xh_xh">#REF!</definedName>
    <definedName name="Yomost">#REF!</definedName>
    <definedName name="yt_bq">#REF!</definedName>
    <definedName name="yt_bv">#REF!</definedName>
    <definedName name="yt_ck">#REF!</definedName>
    <definedName name="yt_d1">#REF!</definedName>
    <definedName name="yt_d2">#REF!</definedName>
    <definedName name="yt_d3">#REF!</definedName>
    <definedName name="yt_dl">#REF!</definedName>
    <definedName name="yt_kcs">#REF!</definedName>
    <definedName name="yt_nb">#REF!</definedName>
    <definedName name="yt_ngio">#REF!</definedName>
    <definedName name="yt_nv">#REF!</definedName>
    <definedName name="yt_t3">#REF!</definedName>
    <definedName name="yt_t4">#REF!</definedName>
    <definedName name="yt_t5">#REF!</definedName>
    <definedName name="yt_t6">#REF!</definedName>
    <definedName name="yt_tc">#REF!</definedName>
    <definedName name="yt_tm">#REF!</definedName>
    <definedName name="yt_vs">#REF!</definedName>
    <definedName name="yt_xh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" i="5" l="1"/>
  <c r="I4" i="5"/>
  <c r="E4" i="5"/>
  <c r="D6" i="3"/>
  <c r="D6" i="4"/>
  <c r="D6" i="10"/>
  <c r="D5" i="10"/>
  <c r="D5" i="4"/>
  <c r="D5" i="3"/>
  <c r="I100" i="10" l="1"/>
  <c r="I100" i="4"/>
  <c r="I100" i="3"/>
  <c r="I101" i="10"/>
  <c r="I101" i="4"/>
  <c r="I101" i="3"/>
  <c r="I104" i="10"/>
  <c r="I104" i="4"/>
  <c r="I104" i="3"/>
  <c r="J104" i="3" l="1"/>
  <c r="J103" i="3"/>
  <c r="J102" i="3"/>
  <c r="J101" i="3"/>
  <c r="J104" i="4"/>
  <c r="J103" i="4"/>
  <c r="J102" i="4"/>
  <c r="J101" i="4"/>
  <c r="J104" i="10"/>
  <c r="J103" i="10"/>
  <c r="J102" i="10"/>
  <c r="J101" i="10"/>
  <c r="J100" i="10"/>
  <c r="J100" i="4"/>
  <c r="J100" i="3"/>
  <c r="J109" i="10"/>
  <c r="J109" i="4"/>
  <c r="I91" i="3"/>
  <c r="J91" i="3" s="1"/>
  <c r="I91" i="4"/>
  <c r="J91" i="4" s="1"/>
  <c r="J79" i="3"/>
  <c r="I78" i="3"/>
  <c r="J78" i="3" s="1"/>
  <c r="J77" i="3"/>
  <c r="J76" i="3"/>
  <c r="J75" i="3"/>
  <c r="I74" i="3"/>
  <c r="J74" i="3" s="1"/>
  <c r="J73" i="3"/>
  <c r="I72" i="3"/>
  <c r="J72" i="3" s="1"/>
  <c r="I71" i="3"/>
  <c r="J71" i="3" s="1"/>
  <c r="I70" i="3"/>
  <c r="J70" i="3" s="1"/>
  <c r="J79" i="4"/>
  <c r="I78" i="4"/>
  <c r="J78" i="4" s="1"/>
  <c r="J77" i="4"/>
  <c r="J76" i="4"/>
  <c r="J75" i="4"/>
  <c r="I74" i="4"/>
  <c r="J74" i="4" s="1"/>
  <c r="J73" i="4"/>
  <c r="I72" i="4"/>
  <c r="J72" i="4" s="1"/>
  <c r="I71" i="4"/>
  <c r="J71" i="4" s="1"/>
  <c r="I70" i="4"/>
  <c r="J70" i="4" s="1"/>
  <c r="J79" i="10"/>
  <c r="J77" i="10"/>
  <c r="J76" i="10"/>
  <c r="J75" i="10"/>
  <c r="J73" i="10"/>
  <c r="I91" i="10"/>
  <c r="J91" i="10" s="1"/>
  <c r="I74" i="10"/>
  <c r="J74" i="10" s="1"/>
  <c r="I72" i="10"/>
  <c r="J72" i="10" s="1"/>
  <c r="I78" i="10"/>
  <c r="J78" i="10" s="1"/>
  <c r="I71" i="10"/>
  <c r="J71" i="10" s="1"/>
  <c r="I70" i="10"/>
  <c r="J70" i="10" s="1"/>
  <c r="I8" i="2"/>
  <c r="I7" i="2"/>
  <c r="I6" i="2"/>
  <c r="K5" i="10"/>
  <c r="M3" i="5" s="1"/>
  <c r="K5" i="4"/>
  <c r="I3" i="5" s="1"/>
  <c r="K5" i="3"/>
  <c r="L21" i="5" l="1"/>
  <c r="L20" i="5"/>
  <c r="L19" i="5"/>
  <c r="L16" i="5"/>
  <c r="L14" i="5"/>
  <c r="L11" i="5"/>
  <c r="L10" i="5"/>
  <c r="K109" i="10"/>
  <c r="L104" i="10"/>
  <c r="K104" i="10"/>
  <c r="L103" i="10"/>
  <c r="K103" i="10"/>
  <c r="L102" i="10"/>
  <c r="K102" i="10"/>
  <c r="L101" i="10"/>
  <c r="K101" i="10"/>
  <c r="C101" i="10"/>
  <c r="C102" i="10" s="1"/>
  <c r="C103" i="10" s="1"/>
  <c r="L100" i="10"/>
  <c r="K100" i="10"/>
  <c r="J99" i="10"/>
  <c r="L99" i="10" s="1"/>
  <c r="L98" i="10"/>
  <c r="K98" i="10"/>
  <c r="L97" i="10"/>
  <c r="K97" i="10"/>
  <c r="L96" i="10"/>
  <c r="K96" i="10"/>
  <c r="L95" i="10"/>
  <c r="K95" i="10"/>
  <c r="L94" i="10"/>
  <c r="K94" i="10"/>
  <c r="L93" i="10"/>
  <c r="K93" i="10"/>
  <c r="L92" i="10"/>
  <c r="K92" i="10"/>
  <c r="L91" i="10"/>
  <c r="K91" i="10"/>
  <c r="L90" i="10"/>
  <c r="K90" i="10"/>
  <c r="L89" i="10"/>
  <c r="K89" i="10"/>
  <c r="J88" i="10"/>
  <c r="K88" i="10" s="1"/>
  <c r="J87" i="10"/>
  <c r="J86" i="10"/>
  <c r="K86" i="10" s="1"/>
  <c r="C86" i="10"/>
  <c r="C87" i="10" s="1"/>
  <c r="C88" i="10" s="1"/>
  <c r="C89" i="10" s="1"/>
  <c r="C90" i="10" s="1"/>
  <c r="C91" i="10" s="1"/>
  <c r="C92" i="10" s="1"/>
  <c r="C93" i="10" s="1"/>
  <c r="K85" i="10"/>
  <c r="K84" i="10"/>
  <c r="K81" i="10"/>
  <c r="K79" i="10"/>
  <c r="O79" i="10" s="1"/>
  <c r="L78" i="10"/>
  <c r="K77" i="10"/>
  <c r="O77" i="10" s="1"/>
  <c r="L76" i="10"/>
  <c r="K75" i="10"/>
  <c r="O75" i="10" s="1"/>
  <c r="K74" i="10"/>
  <c r="O74" i="10" s="1"/>
  <c r="L73" i="10"/>
  <c r="L72" i="10"/>
  <c r="L71" i="10"/>
  <c r="K70" i="10"/>
  <c r="O70" i="10" s="1"/>
  <c r="J69" i="10"/>
  <c r="L69" i="10" s="1"/>
  <c r="H68" i="10"/>
  <c r="H64" i="10"/>
  <c r="C64" i="10"/>
  <c r="C65" i="10" s="1"/>
  <c r="C66" i="10" s="1"/>
  <c r="C67" i="10" s="1"/>
  <c r="C68" i="10" s="1"/>
  <c r="C69" i="10" s="1"/>
  <c r="C70" i="10" s="1"/>
  <c r="C71" i="10" s="1"/>
  <c r="C72" i="10" s="1"/>
  <c r="C73" i="10" s="1"/>
  <c r="C74" i="10" s="1"/>
  <c r="K63" i="10"/>
  <c r="K62" i="10"/>
  <c r="K59" i="10"/>
  <c r="J57" i="10"/>
  <c r="K57" i="10" s="1"/>
  <c r="K56" i="10"/>
  <c r="K55" i="10"/>
  <c r="K54" i="10"/>
  <c r="K53" i="10"/>
  <c r="K52" i="10"/>
  <c r="K51" i="10"/>
  <c r="K50" i="10"/>
  <c r="K49" i="10"/>
  <c r="K48" i="10"/>
  <c r="K47" i="10"/>
  <c r="J46" i="10"/>
  <c r="J45" i="10"/>
  <c r="J44" i="10"/>
  <c r="K44" i="10" s="1"/>
  <c r="K39" i="10"/>
  <c r="K38" i="10"/>
  <c r="K35" i="10"/>
  <c r="K33" i="10"/>
  <c r="C33" i="10"/>
  <c r="K32" i="10"/>
  <c r="K31" i="10"/>
  <c r="K30" i="10"/>
  <c r="K29" i="10"/>
  <c r="K28" i="10"/>
  <c r="K27" i="10"/>
  <c r="K26" i="10"/>
  <c r="K25" i="10"/>
  <c r="K24" i="10"/>
  <c r="K23" i="10"/>
  <c r="K22" i="10"/>
  <c r="J21" i="10"/>
  <c r="H10" i="10"/>
  <c r="J9" i="10"/>
  <c r="J19" i="10" s="1"/>
  <c r="K19" i="10" s="1"/>
  <c r="K109" i="4"/>
  <c r="L104" i="4"/>
  <c r="K104" i="4"/>
  <c r="K103" i="4"/>
  <c r="K102" i="4"/>
  <c r="K101" i="4"/>
  <c r="C101" i="4"/>
  <c r="C102" i="4" s="1"/>
  <c r="C103" i="4" s="1"/>
  <c r="K100" i="4"/>
  <c r="J99" i="4"/>
  <c r="K98" i="4"/>
  <c r="K97" i="4"/>
  <c r="K96" i="4"/>
  <c r="K95" i="4"/>
  <c r="K94" i="4"/>
  <c r="K93" i="4"/>
  <c r="K92" i="4"/>
  <c r="K91" i="4"/>
  <c r="K90" i="4"/>
  <c r="L89" i="4"/>
  <c r="K89" i="4"/>
  <c r="J88" i="4"/>
  <c r="J87" i="4"/>
  <c r="J86" i="4"/>
  <c r="K86" i="4" s="1"/>
  <c r="C86" i="4"/>
  <c r="C87" i="4" s="1"/>
  <c r="C88" i="4" s="1"/>
  <c r="C89" i="4" s="1"/>
  <c r="C90" i="4" s="1"/>
  <c r="C91" i="4" s="1"/>
  <c r="C92" i="4" s="1"/>
  <c r="C93" i="4" s="1"/>
  <c r="K85" i="4"/>
  <c r="K84" i="4"/>
  <c r="K81" i="4"/>
  <c r="L77" i="4"/>
  <c r="K75" i="4"/>
  <c r="O75" i="4" s="1"/>
  <c r="K70" i="4"/>
  <c r="O70" i="4" s="1"/>
  <c r="J69" i="4"/>
  <c r="H68" i="4"/>
  <c r="H64" i="4"/>
  <c r="C64" i="4"/>
  <c r="C65" i="4" s="1"/>
  <c r="C66" i="4" s="1"/>
  <c r="C67" i="4" s="1"/>
  <c r="C68" i="4" s="1"/>
  <c r="C69" i="4" s="1"/>
  <c r="C70" i="4" s="1"/>
  <c r="C71" i="4" s="1"/>
  <c r="C72" i="4" s="1"/>
  <c r="C73" i="4" s="1"/>
  <c r="C74" i="4" s="1"/>
  <c r="K63" i="4"/>
  <c r="K62" i="4"/>
  <c r="K59" i="4"/>
  <c r="J57" i="4"/>
  <c r="K56" i="4"/>
  <c r="K55" i="4"/>
  <c r="K54" i="4"/>
  <c r="K53" i="4"/>
  <c r="K52" i="4"/>
  <c r="K51" i="4"/>
  <c r="K50" i="4"/>
  <c r="K49" i="4"/>
  <c r="K48" i="4"/>
  <c r="K47" i="4"/>
  <c r="J46" i="4"/>
  <c r="J45" i="4"/>
  <c r="J44" i="4"/>
  <c r="K44" i="4" s="1"/>
  <c r="K39" i="4"/>
  <c r="K38" i="4"/>
  <c r="K35" i="4"/>
  <c r="K33" i="4"/>
  <c r="C33" i="4"/>
  <c r="K32" i="4"/>
  <c r="K31" i="4"/>
  <c r="K30" i="4"/>
  <c r="K29" i="4"/>
  <c r="K28" i="4"/>
  <c r="K27" i="4"/>
  <c r="K26" i="4"/>
  <c r="K25" i="4"/>
  <c r="K24" i="4"/>
  <c r="K23" i="4"/>
  <c r="K22" i="4"/>
  <c r="J21" i="4"/>
  <c r="H10" i="4"/>
  <c r="J9" i="4"/>
  <c r="J19" i="4" s="1"/>
  <c r="K19" i="4" s="1"/>
  <c r="J109" i="3"/>
  <c r="K109" i="3"/>
  <c r="J83" i="10" l="1"/>
  <c r="J17" i="4"/>
  <c r="K17" i="4" s="1"/>
  <c r="L12" i="5"/>
  <c r="L13" i="5"/>
  <c r="J17" i="10"/>
  <c r="K17" i="10" s="1"/>
  <c r="K99" i="10"/>
  <c r="J16" i="10"/>
  <c r="K16" i="10" s="1"/>
  <c r="L15" i="5"/>
  <c r="J20" i="10"/>
  <c r="L77" i="10"/>
  <c r="L90" i="4"/>
  <c r="L78" i="4"/>
  <c r="L79" i="4"/>
  <c r="L98" i="4"/>
  <c r="L92" i="4"/>
  <c r="L91" i="4"/>
  <c r="L69" i="4"/>
  <c r="L100" i="4"/>
  <c r="L99" i="4"/>
  <c r="L97" i="4"/>
  <c r="L71" i="4"/>
  <c r="L86" i="4"/>
  <c r="L73" i="4"/>
  <c r="L95" i="4"/>
  <c r="L88" i="4"/>
  <c r="L93" i="4"/>
  <c r="L101" i="4"/>
  <c r="L74" i="4"/>
  <c r="L102" i="4"/>
  <c r="L76" i="4"/>
  <c r="L96" i="4"/>
  <c r="L103" i="4"/>
  <c r="J11" i="4"/>
  <c r="K11" i="4" s="1"/>
  <c r="J12" i="4"/>
  <c r="K12" i="4" s="1"/>
  <c r="K77" i="4"/>
  <c r="O77" i="4" s="1"/>
  <c r="J13" i="4"/>
  <c r="K13" i="4" s="1"/>
  <c r="J15" i="4"/>
  <c r="K15" i="4" s="1"/>
  <c r="J16" i="4"/>
  <c r="J20" i="4"/>
  <c r="K20" i="4" s="1"/>
  <c r="K74" i="4"/>
  <c r="O74" i="4" s="1"/>
  <c r="L18" i="5"/>
  <c r="L74" i="10"/>
  <c r="L86" i="10"/>
  <c r="J11" i="10"/>
  <c r="K11" i="10" s="1"/>
  <c r="L75" i="10"/>
  <c r="K83" i="10"/>
  <c r="J12" i="10"/>
  <c r="K12" i="10" s="1"/>
  <c r="J13" i="10"/>
  <c r="K13" i="10" s="1"/>
  <c r="J15" i="10"/>
  <c r="K15" i="10" s="1"/>
  <c r="K71" i="10"/>
  <c r="O71" i="10" s="1"/>
  <c r="C94" i="10"/>
  <c r="C95" i="10" s="1"/>
  <c r="C96" i="10" s="1"/>
  <c r="C97" i="10"/>
  <c r="C98" i="10" s="1"/>
  <c r="C75" i="10"/>
  <c r="C76" i="10" s="1"/>
  <c r="C77" i="10" s="1"/>
  <c r="C78" i="10"/>
  <c r="C79" i="10" s="1"/>
  <c r="K20" i="10"/>
  <c r="K72" i="10"/>
  <c r="O72" i="10" s="1"/>
  <c r="K21" i="10"/>
  <c r="K69" i="10"/>
  <c r="O69" i="10" s="1"/>
  <c r="K78" i="10"/>
  <c r="O78" i="10" s="1"/>
  <c r="K87" i="10"/>
  <c r="K45" i="10"/>
  <c r="L87" i="10"/>
  <c r="K46" i="10"/>
  <c r="L70" i="10"/>
  <c r="K73" i="10"/>
  <c r="O73" i="10" s="1"/>
  <c r="L88" i="10"/>
  <c r="J14" i="10"/>
  <c r="L79" i="10"/>
  <c r="J18" i="10"/>
  <c r="K76" i="10"/>
  <c r="O76" i="10" s="1"/>
  <c r="K9" i="10"/>
  <c r="C97" i="4"/>
  <c r="C98" i="4" s="1"/>
  <c r="C94" i="4"/>
  <c r="C95" i="4" s="1"/>
  <c r="C96" i="4" s="1"/>
  <c r="C78" i="4"/>
  <c r="C79" i="4" s="1"/>
  <c r="C75" i="4"/>
  <c r="C76" i="4" s="1"/>
  <c r="C77" i="4" s="1"/>
  <c r="K69" i="4"/>
  <c r="O69" i="4" s="1"/>
  <c r="K45" i="4"/>
  <c r="K57" i="4"/>
  <c r="J83" i="4"/>
  <c r="L87" i="4"/>
  <c r="K87" i="4"/>
  <c r="L72" i="4"/>
  <c r="K72" i="4"/>
  <c r="O72" i="4" s="1"/>
  <c r="K21" i="4"/>
  <c r="L75" i="4"/>
  <c r="K78" i="4"/>
  <c r="O78" i="4" s="1"/>
  <c r="K88" i="4"/>
  <c r="L70" i="4"/>
  <c r="K73" i="4"/>
  <c r="O73" i="4" s="1"/>
  <c r="J18" i="4"/>
  <c r="K76" i="4"/>
  <c r="O76" i="4" s="1"/>
  <c r="K9" i="4"/>
  <c r="K79" i="4"/>
  <c r="O79" i="4" s="1"/>
  <c r="J14" i="4"/>
  <c r="K16" i="4"/>
  <c r="K46" i="4"/>
  <c r="K71" i="4"/>
  <c r="O71" i="4" s="1"/>
  <c r="L94" i="4"/>
  <c r="K99" i="4"/>
  <c r="L83" i="10" l="1"/>
  <c r="L9" i="5"/>
  <c r="J10" i="10"/>
  <c r="J34" i="10" s="1"/>
  <c r="K18" i="10"/>
  <c r="K10" i="10"/>
  <c r="K14" i="10"/>
  <c r="L83" i="4"/>
  <c r="K83" i="4"/>
  <c r="K14" i="4"/>
  <c r="K18" i="4"/>
  <c r="J10" i="4"/>
  <c r="J43" i="10" l="1"/>
  <c r="J42" i="10"/>
  <c r="I36" i="10"/>
  <c r="J36" i="10" s="1"/>
  <c r="K34" i="10"/>
  <c r="J41" i="10"/>
  <c r="J40" i="10"/>
  <c r="K10" i="4"/>
  <c r="J34" i="4"/>
  <c r="K43" i="10" l="1"/>
  <c r="J37" i="10"/>
  <c r="J58" i="10" s="1"/>
  <c r="K40" i="10"/>
  <c r="K41" i="10"/>
  <c r="K36" i="10"/>
  <c r="K42" i="10"/>
  <c r="I36" i="4"/>
  <c r="J36" i="4" s="1"/>
  <c r="J41" i="4"/>
  <c r="J42" i="4"/>
  <c r="J43" i="4"/>
  <c r="J40" i="4"/>
  <c r="K34" i="4"/>
  <c r="L56" i="10" l="1"/>
  <c r="L49" i="10"/>
  <c r="L32" i="10"/>
  <c r="L25" i="10"/>
  <c r="L31" i="10"/>
  <c r="L24" i="10"/>
  <c r="L54" i="10"/>
  <c r="L47" i="10"/>
  <c r="L30" i="10"/>
  <c r="J60" i="10"/>
  <c r="L53" i="10"/>
  <c r="L29" i="10"/>
  <c r="L55" i="10"/>
  <c r="L48" i="10"/>
  <c r="L27" i="10"/>
  <c r="L26" i="10"/>
  <c r="L44" i="10"/>
  <c r="L33" i="10"/>
  <c r="L52" i="10"/>
  <c r="L51" i="10"/>
  <c r="L58" i="10"/>
  <c r="L50" i="10"/>
  <c r="K58" i="10"/>
  <c r="L28" i="10"/>
  <c r="L57" i="10"/>
  <c r="L19" i="10"/>
  <c r="L17" i="10"/>
  <c r="L13" i="10"/>
  <c r="L15" i="10"/>
  <c r="L9" i="10"/>
  <c r="L16" i="10"/>
  <c r="L20" i="10"/>
  <c r="L46" i="10"/>
  <c r="L12" i="10"/>
  <c r="L11" i="10"/>
  <c r="L21" i="10"/>
  <c r="L45" i="10"/>
  <c r="L14" i="10"/>
  <c r="L18" i="10"/>
  <c r="L10" i="10"/>
  <c r="L34" i="10"/>
  <c r="L42" i="10"/>
  <c r="L43" i="10"/>
  <c r="L40" i="10"/>
  <c r="L41" i="10"/>
  <c r="L36" i="10"/>
  <c r="L37" i="10"/>
  <c r="K37" i="10"/>
  <c r="K36" i="4"/>
  <c r="J37" i="4"/>
  <c r="K40" i="4"/>
  <c r="K43" i="4"/>
  <c r="K42" i="4"/>
  <c r="K41" i="4"/>
  <c r="J66" i="10" l="1"/>
  <c r="J68" i="10"/>
  <c r="L60" i="10"/>
  <c r="J65" i="10"/>
  <c r="K60" i="10"/>
  <c r="J64" i="10"/>
  <c r="J67" i="10"/>
  <c r="K37" i="4"/>
  <c r="J58" i="4"/>
  <c r="L37" i="4" s="1"/>
  <c r="L8" i="5" l="1"/>
  <c r="L7" i="5"/>
  <c r="L6" i="5" s="1"/>
  <c r="L67" i="10"/>
  <c r="K67" i="10"/>
  <c r="O67" i="10" s="1"/>
  <c r="J61" i="10"/>
  <c r="L64" i="10"/>
  <c r="K64" i="10"/>
  <c r="O64" i="10" s="1"/>
  <c r="L65" i="10"/>
  <c r="K65" i="10"/>
  <c r="O65" i="10" s="1"/>
  <c r="L68" i="10"/>
  <c r="K68" i="10"/>
  <c r="O68" i="10" s="1"/>
  <c r="K66" i="10"/>
  <c r="O66" i="10" s="1"/>
  <c r="L66" i="10"/>
  <c r="L56" i="4"/>
  <c r="L49" i="4"/>
  <c r="K58" i="4"/>
  <c r="L28" i="4"/>
  <c r="L51" i="4"/>
  <c r="L32" i="4"/>
  <c r="L25" i="4"/>
  <c r="L24" i="4"/>
  <c r="L29" i="4"/>
  <c r="L52" i="4"/>
  <c r="L55" i="4"/>
  <c r="L48" i="4"/>
  <c r="L31" i="4"/>
  <c r="L54" i="4"/>
  <c r="L47" i="4"/>
  <c r="L30" i="4"/>
  <c r="J60" i="4"/>
  <c r="L53" i="4"/>
  <c r="L58" i="4"/>
  <c r="L27" i="4"/>
  <c r="L26" i="4"/>
  <c r="L50" i="4"/>
  <c r="L44" i="4"/>
  <c r="L19" i="4"/>
  <c r="L33" i="4"/>
  <c r="L11" i="4"/>
  <c r="L15" i="4"/>
  <c r="L20" i="4"/>
  <c r="L46" i="4"/>
  <c r="L12" i="4"/>
  <c r="L13" i="4"/>
  <c r="L45" i="4"/>
  <c r="L9" i="4"/>
  <c r="L16" i="4"/>
  <c r="L21" i="4"/>
  <c r="L57" i="4"/>
  <c r="L17" i="4"/>
  <c r="L14" i="4"/>
  <c r="L18" i="4"/>
  <c r="L10" i="4"/>
  <c r="L34" i="4"/>
  <c r="L40" i="4"/>
  <c r="L43" i="4"/>
  <c r="L42" i="4"/>
  <c r="L41" i="4"/>
  <c r="L36" i="4"/>
  <c r="L17" i="5" l="1"/>
  <c r="L22" i="5" s="1"/>
  <c r="L27" i="5" s="1"/>
  <c r="J80" i="10"/>
  <c r="L61" i="10"/>
  <c r="K61" i="10"/>
  <c r="J66" i="4"/>
  <c r="K60" i="4"/>
  <c r="L60" i="4"/>
  <c r="J68" i="4"/>
  <c r="J64" i="4" s="1"/>
  <c r="J65" i="4"/>
  <c r="J67" i="4"/>
  <c r="J82" i="10" l="1"/>
  <c r="L80" i="10"/>
  <c r="K80" i="10"/>
  <c r="L66" i="4"/>
  <c r="K66" i="4"/>
  <c r="O66" i="4" s="1"/>
  <c r="K64" i="4"/>
  <c r="O64" i="4" s="1"/>
  <c r="J61" i="4"/>
  <c r="L64" i="4"/>
  <c r="K67" i="4"/>
  <c r="O67" i="4" s="1"/>
  <c r="L67" i="4"/>
  <c r="L65" i="4"/>
  <c r="K65" i="4"/>
  <c r="O65" i="4" s="1"/>
  <c r="L68" i="4"/>
  <c r="K68" i="4"/>
  <c r="O68" i="4" s="1"/>
  <c r="J105" i="10" l="1"/>
  <c r="J107" i="10" s="1"/>
  <c r="L82" i="10"/>
  <c r="K82" i="10"/>
  <c r="J80" i="4"/>
  <c r="L61" i="4"/>
  <c r="K61" i="4"/>
  <c r="L24" i="5" l="1"/>
  <c r="K105" i="10"/>
  <c r="J82" i="4"/>
  <c r="L80" i="4"/>
  <c r="K80" i="4"/>
  <c r="M107" i="10" l="1"/>
  <c r="L107" i="10"/>
  <c r="J108" i="10"/>
  <c r="L23" i="5" s="1"/>
  <c r="K107" i="10"/>
  <c r="J105" i="4"/>
  <c r="J107" i="4" s="1"/>
  <c r="K82" i="4"/>
  <c r="L82" i="4"/>
  <c r="L25" i="5" l="1"/>
  <c r="J106" i="10"/>
  <c r="K106" i="10" s="1"/>
  <c r="L108" i="10"/>
  <c r="K108" i="10"/>
  <c r="K105" i="4"/>
  <c r="L106" i="10" l="1"/>
  <c r="L109" i="10" s="1"/>
  <c r="J108" i="4"/>
  <c r="J106" i="4" s="1"/>
  <c r="M107" i="4"/>
  <c r="K107" i="4"/>
  <c r="L107" i="4"/>
  <c r="L106" i="4" l="1"/>
  <c r="L109" i="4" s="1"/>
  <c r="K106" i="4"/>
  <c r="L108" i="4"/>
  <c r="K108" i="4"/>
  <c r="H64" i="3" l="1"/>
  <c r="H68" i="3"/>
  <c r="K85" i="3"/>
  <c r="K84" i="3"/>
  <c r="K81" i="3"/>
  <c r="K63" i="3"/>
  <c r="K62" i="3"/>
  <c r="K59" i="3"/>
  <c r="K56" i="3"/>
  <c r="K55" i="3"/>
  <c r="K54" i="3"/>
  <c r="K53" i="3"/>
  <c r="K52" i="3"/>
  <c r="K51" i="3"/>
  <c r="K50" i="3"/>
  <c r="K49" i="3"/>
  <c r="K48" i="3"/>
  <c r="K47" i="3"/>
  <c r="K39" i="3"/>
  <c r="K38" i="3"/>
  <c r="K35" i="3"/>
  <c r="K33" i="3"/>
  <c r="K32" i="3"/>
  <c r="K31" i="3"/>
  <c r="K30" i="3"/>
  <c r="K29" i="3"/>
  <c r="K28" i="3"/>
  <c r="K27" i="3"/>
  <c r="K26" i="3"/>
  <c r="K25" i="3"/>
  <c r="K24" i="3"/>
  <c r="K23" i="3"/>
  <c r="K22" i="3"/>
  <c r="J57" i="3"/>
  <c r="K57" i="3" s="1"/>
  <c r="J10" i="2" l="1"/>
  <c r="K10" i="2" s="1"/>
  <c r="J9" i="2"/>
  <c r="K9" i="2" s="1"/>
  <c r="J11" i="2" l="1"/>
  <c r="K11" i="2" s="1"/>
  <c r="H21" i="5" l="1"/>
  <c r="H20" i="5"/>
  <c r="D20" i="5"/>
  <c r="H19" i="5"/>
  <c r="H16" i="5"/>
  <c r="D16" i="5"/>
  <c r="H15" i="5"/>
  <c r="D15" i="5"/>
  <c r="H14" i="5"/>
  <c r="H13" i="5"/>
  <c r="H12" i="5"/>
  <c r="H11" i="5"/>
  <c r="A11" i="5"/>
  <c r="A12" i="5" s="1"/>
  <c r="A13" i="5" s="1"/>
  <c r="A14" i="5" s="1"/>
  <c r="A15" i="5" s="1"/>
  <c r="A16" i="5" s="1"/>
  <c r="H10" i="5"/>
  <c r="H8" i="5"/>
  <c r="H7" i="5"/>
  <c r="H6" i="5" s="1"/>
  <c r="E3" i="5"/>
  <c r="K104" i="3"/>
  <c r="K103" i="3"/>
  <c r="K102" i="3"/>
  <c r="K101" i="3"/>
  <c r="C101" i="3"/>
  <c r="C102" i="3" s="1"/>
  <c r="C103" i="3" s="1"/>
  <c r="K100" i="3"/>
  <c r="K98" i="3"/>
  <c r="K97" i="3"/>
  <c r="K96" i="3"/>
  <c r="K95" i="3"/>
  <c r="K94" i="3"/>
  <c r="K93" i="3"/>
  <c r="K92" i="3"/>
  <c r="K91" i="3"/>
  <c r="K90" i="3"/>
  <c r="K89" i="3"/>
  <c r="J88" i="3"/>
  <c r="K88" i="3" s="1"/>
  <c r="J87" i="3"/>
  <c r="K87" i="3" s="1"/>
  <c r="J86" i="3"/>
  <c r="C86" i="3"/>
  <c r="C87" i="3" s="1"/>
  <c r="C88" i="3" s="1"/>
  <c r="C89" i="3" s="1"/>
  <c r="C90" i="3" s="1"/>
  <c r="C91" i="3" s="1"/>
  <c r="C92" i="3" s="1"/>
  <c r="C93" i="3" s="1"/>
  <c r="K79" i="3"/>
  <c r="O79" i="3" s="1"/>
  <c r="K78" i="3"/>
  <c r="O78" i="3" s="1"/>
  <c r="K77" i="3"/>
  <c r="O77" i="3" s="1"/>
  <c r="K76" i="3"/>
  <c r="O76" i="3" s="1"/>
  <c r="K75" i="3"/>
  <c r="O75" i="3" s="1"/>
  <c r="K74" i="3"/>
  <c r="O74" i="3" s="1"/>
  <c r="K73" i="3"/>
  <c r="O73" i="3" s="1"/>
  <c r="K72" i="3"/>
  <c r="O72" i="3" s="1"/>
  <c r="K71" i="3"/>
  <c r="O71" i="3" s="1"/>
  <c r="K70" i="3"/>
  <c r="O70" i="3" s="1"/>
  <c r="J69" i="3"/>
  <c r="K69" i="3" s="1"/>
  <c r="O69" i="3" s="1"/>
  <c r="C64" i="3"/>
  <c r="C65" i="3" s="1"/>
  <c r="C66" i="3" s="1"/>
  <c r="C67" i="3" s="1"/>
  <c r="C68" i="3" s="1"/>
  <c r="C69" i="3" s="1"/>
  <c r="C70" i="3" s="1"/>
  <c r="C71" i="3" s="1"/>
  <c r="C72" i="3" s="1"/>
  <c r="C73" i="3" s="1"/>
  <c r="C74" i="3" s="1"/>
  <c r="J46" i="3"/>
  <c r="K46" i="3" s="1"/>
  <c r="J45" i="3"/>
  <c r="K45" i="3" s="1"/>
  <c r="J44" i="3"/>
  <c r="K44" i="3" s="1"/>
  <c r="C33" i="3"/>
  <c r="J21" i="3"/>
  <c r="K21" i="3" s="1"/>
  <c r="H10" i="3"/>
  <c r="J9" i="3"/>
  <c r="K9" i="3" s="1"/>
  <c r="F7" i="2"/>
  <c r="H7" i="2" l="1"/>
  <c r="J7" i="2" s="1"/>
  <c r="K7" i="2" s="1"/>
  <c r="K86" i="3"/>
  <c r="J83" i="3"/>
  <c r="K83" i="3" s="1"/>
  <c r="M21" i="5"/>
  <c r="M19" i="5"/>
  <c r="M15" i="5"/>
  <c r="M6" i="5"/>
  <c r="M7" i="5"/>
  <c r="M12" i="5"/>
  <c r="M14" i="5"/>
  <c r="M10" i="5"/>
  <c r="M16" i="5"/>
  <c r="M13" i="5"/>
  <c r="M20" i="5"/>
  <c r="M11" i="5"/>
  <c r="M18" i="5"/>
  <c r="M9" i="5"/>
  <c r="M8" i="5"/>
  <c r="M17" i="5"/>
  <c r="M22" i="5"/>
  <c r="M24" i="5"/>
  <c r="M23" i="5"/>
  <c r="M25" i="5"/>
  <c r="E15" i="5"/>
  <c r="E16" i="5"/>
  <c r="E20" i="5"/>
  <c r="D21" i="5"/>
  <c r="E21" i="5" s="1"/>
  <c r="D19" i="5"/>
  <c r="E19" i="5" s="1"/>
  <c r="C78" i="3"/>
  <c r="C79" i="3" s="1"/>
  <c r="C75" i="3"/>
  <c r="C76" i="3" s="1"/>
  <c r="C77" i="3" s="1"/>
  <c r="C97" i="3"/>
  <c r="C98" i="3" s="1"/>
  <c r="C94" i="3"/>
  <c r="C95" i="3" s="1"/>
  <c r="C96" i="3" s="1"/>
  <c r="D14" i="5"/>
  <c r="E14" i="5" s="1"/>
  <c r="J99" i="3"/>
  <c r="K99" i="3" s="1"/>
  <c r="I8" i="5"/>
  <c r="I7" i="5"/>
  <c r="I16" i="5"/>
  <c r="I14" i="5"/>
  <c r="I21" i="5"/>
  <c r="I20" i="5"/>
  <c r="I6" i="5"/>
  <c r="I19" i="5"/>
  <c r="I15" i="5"/>
  <c r="I13" i="5"/>
  <c r="I11" i="5"/>
  <c r="I12" i="5"/>
  <c r="I10" i="5"/>
  <c r="D10" i="5"/>
  <c r="E10" i="5" s="1"/>
  <c r="D11" i="5"/>
  <c r="E11" i="5" s="1"/>
  <c r="D12" i="5"/>
  <c r="E12" i="5" s="1"/>
  <c r="D13" i="5"/>
  <c r="E13" i="5" s="1"/>
  <c r="J11" i="3"/>
  <c r="K11" i="3" s="1"/>
  <c r="J12" i="3"/>
  <c r="K12" i="3" s="1"/>
  <c r="J13" i="3"/>
  <c r="K13" i="3" s="1"/>
  <c r="J14" i="3"/>
  <c r="K14" i="3" s="1"/>
  <c r="J15" i="3"/>
  <c r="K15" i="3" s="1"/>
  <c r="J19" i="3"/>
  <c r="K19" i="3" s="1"/>
  <c r="J16" i="3"/>
  <c r="K16" i="3" s="1"/>
  <c r="J20" i="3"/>
  <c r="K20" i="3" s="1"/>
  <c r="J17" i="3"/>
  <c r="K17" i="3" s="1"/>
  <c r="J18" i="3"/>
  <c r="K18" i="3" s="1"/>
  <c r="H18" i="5"/>
  <c r="I18" i="5" s="1"/>
  <c r="H9" i="5"/>
  <c r="I9" i="5" s="1"/>
  <c r="D18" i="5" l="1"/>
  <c r="E18" i="5" s="1"/>
  <c r="D9" i="5"/>
  <c r="E9" i="5" s="1"/>
  <c r="J10" i="3"/>
  <c r="K10" i="3" s="1"/>
  <c r="H17" i="5"/>
  <c r="I17" i="5" s="1"/>
  <c r="H24" i="5"/>
  <c r="I24" i="5" s="1"/>
  <c r="H22" i="5" l="1"/>
  <c r="I22" i="5" s="1"/>
  <c r="J34" i="3"/>
  <c r="I36" i="3" s="1"/>
  <c r="J36" i="3" s="1"/>
  <c r="K36" i="3" s="1"/>
  <c r="H23" i="5"/>
  <c r="I23" i="5" s="1"/>
  <c r="H27" i="5" l="1"/>
  <c r="J41" i="3"/>
  <c r="K41" i="3" s="1"/>
  <c r="K34" i="3"/>
  <c r="J42" i="3"/>
  <c r="K42" i="3" s="1"/>
  <c r="J43" i="3"/>
  <c r="K43" i="3" s="1"/>
  <c r="J40" i="3"/>
  <c r="K40" i="3" s="1"/>
  <c r="H25" i="5"/>
  <c r="I25" i="5" s="1"/>
  <c r="J37" i="3" l="1"/>
  <c r="J58" i="3" l="1"/>
  <c r="L48" i="3" s="1"/>
  <c r="K37" i="3"/>
  <c r="L10" i="3"/>
  <c r="L44" i="3"/>
  <c r="L18" i="3"/>
  <c r="L17" i="3"/>
  <c r="L11" i="3"/>
  <c r="L51" i="3"/>
  <c r="L55" i="3"/>
  <c r="J60" i="3"/>
  <c r="L15" i="3"/>
  <c r="L29" i="3"/>
  <c r="L14" i="3"/>
  <c r="L47" i="3"/>
  <c r="L54" i="3"/>
  <c r="L27" i="3"/>
  <c r="L43" i="3"/>
  <c r="L19" i="3"/>
  <c r="L45" i="3"/>
  <c r="L40" i="3"/>
  <c r="L16" i="3"/>
  <c r="L26" i="3"/>
  <c r="L52" i="3"/>
  <c r="L12" i="3"/>
  <c r="L24" i="3"/>
  <c r="L37" i="3"/>
  <c r="L28" i="3"/>
  <c r="L58" i="3"/>
  <c r="L36" i="3"/>
  <c r="L42" i="3"/>
  <c r="L25" i="3" l="1"/>
  <c r="L13" i="3"/>
  <c r="L33" i="3"/>
  <c r="J67" i="3"/>
  <c r="K67" i="3" s="1"/>
  <c r="O67" i="3" s="1"/>
  <c r="K60" i="3"/>
  <c r="J68" i="3"/>
  <c r="J64" i="3" s="1"/>
  <c r="L31" i="3"/>
  <c r="K58" i="3"/>
  <c r="L32" i="3"/>
  <c r="L30" i="3"/>
  <c r="L21" i="3"/>
  <c r="L57" i="3"/>
  <c r="L53" i="3"/>
  <c r="L46" i="3"/>
  <c r="L56" i="3"/>
  <c r="L49" i="3"/>
  <c r="L20" i="3"/>
  <c r="L34" i="3"/>
  <c r="L41" i="3"/>
  <c r="L50" i="3"/>
  <c r="L9" i="3"/>
  <c r="J66" i="3"/>
  <c r="J65" i="3"/>
  <c r="K65" i="3" s="1"/>
  <c r="O65" i="3" s="1"/>
  <c r="D8" i="5" l="1"/>
  <c r="E8" i="5" s="1"/>
  <c r="D7" i="5"/>
  <c r="K66" i="3"/>
  <c r="O66" i="3" s="1"/>
  <c r="K68" i="3"/>
  <c r="O68" i="3" s="1"/>
  <c r="K64" i="3"/>
  <c r="O64" i="3" s="1"/>
  <c r="J61" i="3"/>
  <c r="D6" i="5" l="1"/>
  <c r="E6" i="5" s="1"/>
  <c r="E7" i="5"/>
  <c r="D17" i="5"/>
  <c r="K61" i="3"/>
  <c r="J80" i="3"/>
  <c r="K80" i="3" s="1"/>
  <c r="E17" i="5" l="1"/>
  <c r="D22" i="5"/>
  <c r="Q4" i="5" s="1"/>
  <c r="J82" i="3"/>
  <c r="K82" i="3" s="1"/>
  <c r="E22" i="5" l="1"/>
  <c r="D27" i="5"/>
  <c r="J105" i="3"/>
  <c r="F6" i="2" l="1"/>
  <c r="H6" i="2" s="1"/>
  <c r="J6" i="2" s="1"/>
  <c r="K6" i="2" s="1"/>
  <c r="J107" i="3"/>
  <c r="K105" i="3"/>
  <c r="F8" i="2"/>
  <c r="H8" i="2" s="1"/>
  <c r="J8" i="2" s="1"/>
  <c r="K8" i="2" s="1"/>
  <c r="L69" i="3"/>
  <c r="L80" i="3"/>
  <c r="L75" i="3"/>
  <c r="L78" i="3"/>
  <c r="L76" i="3"/>
  <c r="L95" i="3"/>
  <c r="L92" i="3"/>
  <c r="L86" i="3"/>
  <c r="L74" i="3"/>
  <c r="L61" i="3"/>
  <c r="L91" i="3"/>
  <c r="L64" i="3"/>
  <c r="L72" i="3"/>
  <c r="L68" i="3"/>
  <c r="L79" i="3"/>
  <c r="L87" i="3"/>
  <c r="L77" i="3"/>
  <c r="L99" i="3"/>
  <c r="L73" i="3"/>
  <c r="L88" i="3"/>
  <c r="L94" i="3"/>
  <c r="L98" i="3"/>
  <c r="L97" i="3"/>
  <c r="L60" i="3"/>
  <c r="L66" i="3"/>
  <c r="L65" i="3"/>
  <c r="L67" i="3"/>
  <c r="L71" i="3"/>
  <c r="L104" i="3"/>
  <c r="L101" i="3"/>
  <c r="L89" i="3"/>
  <c r="L70" i="3"/>
  <c r="L102" i="3"/>
  <c r="L103" i="3"/>
  <c r="L83" i="3"/>
  <c r="L93" i="3"/>
  <c r="L100" i="3"/>
  <c r="L96" i="3"/>
  <c r="L90" i="3"/>
  <c r="L82" i="3"/>
  <c r="D24" i="5" l="1"/>
  <c r="E24" i="5" s="1"/>
  <c r="M107" i="3"/>
  <c r="K107" i="3"/>
  <c r="L107" i="3"/>
  <c r="J108" i="3"/>
  <c r="D23" i="5" s="1"/>
  <c r="J106" i="3" l="1"/>
  <c r="K108" i="3"/>
  <c r="L108" i="3"/>
  <c r="K106" i="3" l="1"/>
  <c r="L106" i="3"/>
  <c r="L109" i="3" s="1"/>
  <c r="D25" i="5"/>
  <c r="E25" i="5" s="1"/>
  <c r="F24" i="5" s="1"/>
  <c r="E23" i="5"/>
  <c r="F23" i="5" l="1"/>
  <c r="N10" i="5"/>
  <c r="N14" i="5"/>
  <c r="N16" i="5"/>
  <c r="N15" i="5"/>
  <c r="N19" i="5"/>
  <c r="N6" i="5"/>
  <c r="N20" i="5"/>
  <c r="N21" i="5"/>
  <c r="N12" i="5"/>
  <c r="N7" i="5"/>
  <c r="N13" i="5"/>
  <c r="N11" i="5"/>
  <c r="N9" i="5"/>
  <c r="N18" i="5"/>
  <c r="N8" i="5"/>
  <c r="N17" i="5"/>
  <c r="N22" i="5"/>
  <c r="N24" i="5"/>
  <c r="N25" i="5"/>
  <c r="N23" i="5"/>
  <c r="J15" i="5"/>
  <c r="J17" i="5"/>
  <c r="F13" i="5"/>
  <c r="J9" i="5"/>
  <c r="F8" i="5"/>
  <c r="J25" i="5"/>
  <c r="J7" i="5"/>
  <c r="J11" i="5"/>
  <c r="F12" i="5"/>
  <c r="J14" i="5"/>
  <c r="F18" i="5"/>
  <c r="F16" i="5"/>
  <c r="F7" i="5"/>
  <c r="F11" i="5"/>
  <c r="F14" i="5"/>
  <c r="J19" i="5"/>
  <c r="F22" i="5"/>
  <c r="J13" i="5"/>
  <c r="F19" i="5"/>
  <c r="J23" i="5"/>
  <c r="J6" i="5"/>
  <c r="F25" i="5"/>
  <c r="J22" i="5"/>
  <c r="J18" i="5"/>
  <c r="J20" i="5"/>
  <c r="J21" i="5"/>
  <c r="J8" i="5"/>
  <c r="F9" i="5"/>
  <c r="J24" i="5"/>
  <c r="J16" i="5"/>
  <c r="F17" i="5"/>
  <c r="F6" i="5"/>
  <c r="F15" i="5"/>
  <c r="J10" i="5"/>
  <c r="F10" i="5"/>
  <c r="F20" i="5"/>
  <c r="F21" i="5"/>
  <c r="J12" i="5"/>
  <c r="J26" i="5" l="1"/>
  <c r="F26" i="5"/>
  <c r="N26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tc={71709BC6-9A00-4CF1-8D92-503A33142033}</author>
    <author>tc={54D20850-3CA9-4554-B3C1-FFFBB62F833B}</author>
  </authors>
  <commentList>
    <comment ref="H64" authorId="0" shapeId="0" xr:uid="{71709BC6-9A00-4CF1-8D92-503A3314203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Kiểm tra BOM vảy mixed/TP dây đai
</t>
      </text>
    </comment>
    <comment ref="I68" authorId="1" shapeId="0" xr:uid="{54D20850-3CA9-4554-B3C1-FFFBB62F833B}">
      <text>
        <t>[Threaded comment]
Your version of Excel allows you to read this threaded comment; however, any edits to it will get removed if the file is opened in a newer version of Excel. Learn more: https://go.microsoft.com/fwlink/?linkid=870924
Comment:
    Check phế phẩm bán giá bao nhiêu?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tc={442EA066-C149-4114-BAA7-88E7AF06E57C}</author>
    <author>tc={BAF6F446-2E70-4F4D-9DA1-D6C5EC00630D}</author>
  </authors>
  <commentList>
    <comment ref="H64" authorId="0" shapeId="0" xr:uid="{442EA066-C149-4114-BAA7-88E7AF06E57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Kiểm tra BOM vảy mixed/TP dây đai
</t>
      </text>
    </comment>
    <comment ref="I68" authorId="1" shapeId="0" xr:uid="{BAF6F446-2E70-4F4D-9DA1-D6C5EC00630D}">
      <text>
        <t>[Threaded comment]
Your version of Excel allows you to read this threaded comment; however, any edits to it will get removed if the file is opened in a newer version of Excel. Learn more: https://go.microsoft.com/fwlink/?linkid=870924
Comment:
    Check phế phẩm bán giá bao nhiêu?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tc={4AA465E4-DE55-475F-BE76-F394A7847FF3}</author>
    <author>tc={CC0D88EE-DB34-4FF4-ACB6-D80CEAC21F96}</author>
  </authors>
  <commentList>
    <comment ref="H64" authorId="0" shapeId="0" xr:uid="{4AA465E4-DE55-475F-BE76-F394A7847FF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Kiểm tra BOM vảy mixed/TP dây đai
</t>
      </text>
    </comment>
    <comment ref="I68" authorId="1" shapeId="0" xr:uid="{CC0D88EE-DB34-4FF4-ACB6-D80CEAC21F96}">
      <text>
        <t>[Threaded comment]
Your version of Excel allows you to read this threaded comment; however, any edits to it will get removed if the file is opened in a newer version of Excel. Learn more: https://go.microsoft.com/fwlink/?linkid=870924
Comment:
    Check phế phẩm bán giá bao nhiêu?</t>
      </text>
    </comment>
  </commentList>
</comments>
</file>

<file path=xl/sharedStrings.xml><?xml version="1.0" encoding="utf-8"?>
<sst xmlns="http://schemas.openxmlformats.org/spreadsheetml/2006/main" count="969" uniqueCount="210">
  <si>
    <t>Danh mục</t>
  </si>
  <si>
    <t>Nguyên liệu:</t>
  </si>
  <si>
    <t>Thành phẩm:</t>
  </si>
  <si>
    <t>No.</t>
  </si>
  <si>
    <t xml:space="preserve">Nhóm </t>
  </si>
  <si>
    <t>Mã SAP</t>
  </si>
  <si>
    <t>Chi phí
 Cost Items</t>
  </si>
  <si>
    <t>Đơn vị tính
Unit</t>
  </si>
  <si>
    <t>Định mức
Standard</t>
  </si>
  <si>
    <t>Đơn giá (VNĐ)</t>
  </si>
  <si>
    <t>Chi phí đơn vị
(VNĐ /Kg)</t>
  </si>
  <si>
    <t>% giá bán</t>
  </si>
  <si>
    <t>Cơ sở tính</t>
  </si>
  <si>
    <t>A</t>
  </si>
  <si>
    <t>I</t>
  </si>
  <si>
    <t>vnđ /Kg</t>
  </si>
  <si>
    <t>II</t>
  </si>
  <si>
    <t>%</t>
  </si>
  <si>
    <t>Thu hồi theo giá thị trường</t>
  </si>
  <si>
    <t>Bụi</t>
  </si>
  <si>
    <t>Mất đi</t>
  </si>
  <si>
    <t>Hao hụt mất đi</t>
  </si>
  <si>
    <t>III</t>
  </si>
  <si>
    <t>REL01</t>
  </si>
  <si>
    <t>Công suất máy (capacity)</t>
  </si>
  <si>
    <t>Kg /h</t>
  </si>
  <si>
    <t>Hiệu suất máy</t>
  </si>
  <si>
    <t>Bình quân 3 tháng liền kề theo BI</t>
  </si>
  <si>
    <t>LAB</t>
  </si>
  <si>
    <t>Chi phí nhân công trực tiếp</t>
  </si>
  <si>
    <t>tháng</t>
  </si>
  <si>
    <t>Chi phí nhân công gián tiếp</t>
  </si>
  <si>
    <t>Lương trưởng ca, hành chính, tổ trưởng, quản lý sản xuất gián tiếp như QC, Kỹ thuật</t>
  </si>
  <si>
    <t>OTH</t>
  </si>
  <si>
    <t>Chi phí  vật tư phân xưởng</t>
  </si>
  <si>
    <t>Chi phí thực tế bình quân 3 tháng liền kề</t>
  </si>
  <si>
    <t>Chi phí CCDC, bảo trì</t>
  </si>
  <si>
    <t>DEP</t>
  </si>
  <si>
    <t>6274.1</t>
  </si>
  <si>
    <t>Chi phí khấu hao MMTB chính</t>
  </si>
  <si>
    <t>Chi phí thực tế bình quân 3 tháng liền kề theo danh sách TSCĐ</t>
  </si>
  <si>
    <t>6274.2</t>
  </si>
  <si>
    <t>Chi phí khấu hao MMTB phụ</t>
  </si>
  <si>
    <t>6274.3</t>
  </si>
  <si>
    <t>Chi phí khấu hao MMTB dùng chung</t>
  </si>
  <si>
    <t>6274.4</t>
  </si>
  <si>
    <t>Chi phí khấu hao nhà xưởng</t>
  </si>
  <si>
    <t>ELEC</t>
  </si>
  <si>
    <t>Kwh</t>
  </si>
  <si>
    <t>Chi phí bằng tiền khác</t>
  </si>
  <si>
    <t>B</t>
  </si>
  <si>
    <t>IV</t>
  </si>
  <si>
    <t>Kg</t>
  </si>
  <si>
    <t>V</t>
  </si>
  <si>
    <t>Hóa chất</t>
  </si>
  <si>
    <t>Rửa</t>
  </si>
  <si>
    <t>VBAL1</t>
  </si>
  <si>
    <t>CHE</t>
  </si>
  <si>
    <t>Hóa chất theo BOM</t>
  </si>
  <si>
    <t>H2O</t>
  </si>
  <si>
    <t>Công suất máy 6000 (CW1: 1500, CW2:1500, Boretech 3000)</t>
  </si>
  <si>
    <t>Đầu keo</t>
  </si>
  <si>
    <t>HAD</t>
  </si>
  <si>
    <t>PP Hạt</t>
  </si>
  <si>
    <t>Điện (electronic) Starlinger</t>
  </si>
  <si>
    <t>Chi phí thực tế bình quân 3 tháng liền kề. CW1: 752 Kwh, CW2: 752 Kwh, Boretech: 1254 Kwh</t>
  </si>
  <si>
    <t>BAG</t>
  </si>
  <si>
    <t>Pallet D4-1137R không nút-GC</t>
  </si>
  <si>
    <t>cái</t>
  </si>
  <si>
    <t>Giao trong nước pallet đen, giao xuất khẩu pallet gỗ</t>
  </si>
  <si>
    <t>Bao jumbo 105Lx105Wx150H (cm) đựng vảy</t>
  </si>
  <si>
    <t>1100 kg hạt/bao</t>
  </si>
  <si>
    <t>Bao PE lót ngoài bao Jumbo</t>
  </si>
  <si>
    <t>Nâng IV</t>
  </si>
  <si>
    <t>Nạp liệu 1, đóng gói 1, xe nâng 1</t>
  </si>
  <si>
    <t>Chi phí thực tế bình quân 3 tháng liền kề. CW1: 946 Kwh, Boretech: 487 Kwh</t>
  </si>
  <si>
    <t>Chi phí quản lý</t>
  </si>
  <si>
    <t>LuongBH</t>
  </si>
  <si>
    <t>Chi phí nhân sự bán hàng</t>
  </si>
  <si>
    <t>Chi phí lương BGĐ, kế toán, HCNS, bán hàng…</t>
  </si>
  <si>
    <t>LuongQL</t>
  </si>
  <si>
    <t>Chi phí nhân sự quản lý</t>
  </si>
  <si>
    <t>Banhang</t>
  </si>
  <si>
    <t>Chi phí bán hàng</t>
  </si>
  <si>
    <t>Chi phí hoạt động quản lý, CCDC, khấu hao thiết bị quản lý, chứng nhận, đánh giá…</t>
  </si>
  <si>
    <t>Quanly</t>
  </si>
  <si>
    <t>Chi phí quản lý chung</t>
  </si>
  <si>
    <t>Taichinh</t>
  </si>
  <si>
    <t>Chi phí tài chính 635</t>
  </si>
  <si>
    <t>Chi phí lãi vay vốn lưu động</t>
  </si>
  <si>
    <t xml:space="preserve">Đơn giá vốn rPET </t>
  </si>
  <si>
    <t>VI</t>
  </si>
  <si>
    <t>LN</t>
  </si>
  <si>
    <t>TAX</t>
  </si>
  <si>
    <t>Thuế (income tax)</t>
  </si>
  <si>
    <t>Nâng IV 10H</t>
  </si>
  <si>
    <t>Công suất máy 3492 (SSP-01: 1092, SSP-02: 2400)</t>
  </si>
  <si>
    <t>Lợi nhuận gia công (conversion margin)</t>
  </si>
  <si>
    <t>Lợi nhuận (margin)</t>
  </si>
  <si>
    <t>STT</t>
  </si>
  <si>
    <t>Mã</t>
  </si>
  <si>
    <t>Tên</t>
  </si>
  <si>
    <t>Lợi nhuận sau thuế</t>
  </si>
  <si>
    <t>D</t>
  </si>
  <si>
    <t>C</t>
  </si>
  <si>
    <t>Hao hụt</t>
  </si>
  <si>
    <t>NCTT</t>
  </si>
  <si>
    <t>NCGT</t>
  </si>
  <si>
    <t>VTPX</t>
  </si>
  <si>
    <t>CCDC</t>
  </si>
  <si>
    <t>Điện</t>
  </si>
  <si>
    <t>KH</t>
  </si>
  <si>
    <t>Khác</t>
  </si>
  <si>
    <t>Phụ gia</t>
  </si>
  <si>
    <t>Bao bì</t>
  </si>
  <si>
    <t>Đơn giá vốn (Vnđ/Kg)</t>
  </si>
  <si>
    <t>SAP</t>
  </si>
  <si>
    <t>Chi phí
VNĐ /Kg</t>
  </si>
  <si>
    <t>Cơ cấu % chi phí /Giá</t>
  </si>
  <si>
    <t>Chi phí nguyên vật liệu</t>
  </si>
  <si>
    <t>Hao hụt về tiền</t>
  </si>
  <si>
    <t>Chi phí sản xuất</t>
  </si>
  <si>
    <t>Chi phí nhân công</t>
  </si>
  <si>
    <t>Khấu hao</t>
  </si>
  <si>
    <t>Chi phí gián tiếp</t>
  </si>
  <si>
    <t>Đóng gói</t>
  </si>
  <si>
    <t>Nước</t>
  </si>
  <si>
    <t>Giá thành (A+B+C)</t>
  </si>
  <si>
    <t>E</t>
  </si>
  <si>
    <t>CP quản lý, bán hàng, lãi vay</t>
  </si>
  <si>
    <t>Chi phí lãi vay</t>
  </si>
  <si>
    <t>F</t>
  </si>
  <si>
    <t>Điểm hòa vốn (D+E)</t>
  </si>
  <si>
    <t>Thuế thu nhập</t>
  </si>
  <si>
    <t>G</t>
  </si>
  <si>
    <t>H</t>
  </si>
  <si>
    <t>Giá bán</t>
  </si>
  <si>
    <t>% Lãi gộp nguyên liệu/Giá bán</t>
  </si>
  <si>
    <t>Đơn giá vốn (Vnđ/Cuộn)</t>
  </si>
  <si>
    <t>Giá bán EXW đề nghị (VND/Cuộn)</t>
  </si>
  <si>
    <t>Giá bán EXW đề nghị (VND/Kg)</t>
  </si>
  <si>
    <t>NL 1</t>
  </si>
  <si>
    <t>PHƯƠNG ÁN SẢN XUẤT DĐ 1</t>
  </si>
  <si>
    <t>PHƯƠNG ÁN SẢN XUẤT DĐ 2</t>
  </si>
  <si>
    <t>Đơn giá
(VND /Cuộn)</t>
  </si>
  <si>
    <t>Đơn giá
VND /Cuộn</t>
  </si>
  <si>
    <t>GIÁ  SẢN PHẨM DÂY ĐAI 2026</t>
  </si>
  <si>
    <t>Quy cách đóng gói:</t>
  </si>
  <si>
    <t>CÔNG ĐOẠN ĐÓNG GÓI:</t>
  </si>
  <si>
    <t>CÔNG ĐOẠN TẠO CUỘN:</t>
  </si>
  <si>
    <t>CÔNG ĐOẠN TẠO VẢY MIXED:</t>
  </si>
  <si>
    <t>CÔNG ĐOẠN TẠO VẢY GCDĐ:</t>
  </si>
  <si>
    <t>Vảy GCDĐ</t>
  </si>
  <si>
    <t xml:space="preserve">Hao hụt </t>
  </si>
  <si>
    <t>Hao hụt n</t>
  </si>
  <si>
    <t>Chi phí  VC</t>
  </si>
  <si>
    <t>VND</t>
  </si>
  <si>
    <t>Hạt màu</t>
  </si>
  <si>
    <t>Cộng giá thành Vảy GCDĐ (I+II+III)</t>
  </si>
  <si>
    <t>Giá thành Vảy GCDĐ Mixed (IV+V):</t>
  </si>
  <si>
    <t>Chi phí Vảy GCDĐ</t>
  </si>
  <si>
    <t>Chi phí mixed màu</t>
  </si>
  <si>
    <t>Vảy GCDĐ Mixed</t>
  </si>
  <si>
    <t>Chi phí sản xuất dây đai</t>
  </si>
  <si>
    <t>Giá thành dây đai(III+IV)</t>
  </si>
  <si>
    <t>Chi phí đóng gói</t>
  </si>
  <si>
    <t>Đơn giá  bán  [VIII+IX+X+XI]:</t>
  </si>
  <si>
    <t>NL 2</t>
  </si>
  <si>
    <t>PHƯƠNG ÁN SẢN XUẤT DĐ 3</t>
  </si>
  <si>
    <t>NL 3</t>
  </si>
  <si>
    <t>Bảng</t>
  </si>
  <si>
    <t>Quy cách (mm x …..)</t>
  </si>
  <si>
    <t xml:space="preserve">Ghi chú </t>
  </si>
  <si>
    <t>Quy cách đóng gói</t>
  </si>
  <si>
    <t>Trọng lượng (Cuộn)</t>
  </si>
  <si>
    <t>Điện (electronic)</t>
  </si>
  <si>
    <t>Lợi nhuận sau thuế (VND/Cuộn)</t>
  </si>
  <si>
    <t>% Lợi nhuận sau thuế (VND/Cuộn)</t>
  </si>
  <si>
    <t>ĐIỂM HÒA VỐN</t>
  </si>
  <si>
    <t>Chi phí quản lý (BH, QL,TC)</t>
  </si>
  <si>
    <t>Dây đai RPE1609</t>
  </si>
  <si>
    <t>Dây đai RPE1909</t>
  </si>
  <si>
    <t>19 mm x 0.9 mm</t>
  </si>
  <si>
    <t>16 mm x 0.9 mm</t>
  </si>
  <si>
    <t>XX mm x XX mm</t>
  </si>
  <si>
    <t>Dây đai RPEXXXX</t>
  </si>
  <si>
    <t>Quy cách:</t>
  </si>
  <si>
    <t>Tạo cuộn</t>
  </si>
  <si>
    <t>BẢNG TRÌNH GIÁ  BÁN SẢN PHẨM DÂY ĐAI 2026</t>
  </si>
  <si>
    <t xml:space="preserve">Người lập </t>
  </si>
  <si>
    <t>Người kiểm tra</t>
  </si>
  <si>
    <t xml:space="preserve">Phê Duyệt </t>
  </si>
  <si>
    <t>TGĐ</t>
  </si>
  <si>
    <t>Huỳnh Ngọc Thạch</t>
  </si>
  <si>
    <t xml:space="preserve">Xem xét </t>
  </si>
  <si>
    <t xml:space="preserve">GĐTC </t>
  </si>
  <si>
    <t>Lê Hoành Cư</t>
  </si>
  <si>
    <t>GĐ Đại Lộc</t>
  </si>
  <si>
    <t>Trần Thị Hương</t>
  </si>
  <si>
    <t>KTT Đại Lộc</t>
  </si>
  <si>
    <t>Lưu Song Hùng</t>
  </si>
  <si>
    <t>GĐĐH Trạm</t>
  </si>
  <si>
    <t xml:space="preserve">Lê Đức Thắng </t>
  </si>
  <si>
    <t>Cuộn dây đai RPE1609</t>
  </si>
  <si>
    <t>Cuộn dây đai r RPE1909</t>
  </si>
  <si>
    <t>Cuộn dây đai rPET RPEXXXX</t>
  </si>
  <si>
    <t>Lê Xuân Huy Vũ</t>
  </si>
  <si>
    <t>P.TGĐ SX</t>
  </si>
  <si>
    <t>tới ngày</t>
  </si>
  <si>
    <t xml:space="preserve">Hiệu lực từ ngày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</si>
</sst>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-* #,##0.00_-;\-* #,##0.00_-;_-* &quot;-&quot;??_-;_-@_-"/>
    <numFmt numFmtId="165" formatCode="&quot;$&quot;#,##0"/>
    <numFmt numFmtId="166" formatCode="_(* #,##0_);_(* \(#,##0\);_(* &quot;-&quot;??_);_(@_)"/>
    <numFmt numFmtId="167" formatCode="0.0%"/>
    <numFmt numFmtId="168" formatCode="&quot;₫&quot;#,##0"/>
    <numFmt numFmtId="169" formatCode="_-* #,##0_-;\-* #,##0_-;_-* &quot;-&quot;??_-;_-@_-"/>
    <numFmt numFmtId="170" formatCode="0%&quot; /giá bán&quot;"/>
  </numFmts>
  <fonts count="38" x14ac:knownFonts="1">
    <font>
      <sz val="11"/>
      <color theme="1"/>
      <name val="Aptos Narrow"/>
      <family val="2"/>
      <charset val="163"/>
      <scheme val="minor"/>
    </font>
    <font>
      <u/>
      <sz val="11"/>
      <color theme="10"/>
      <name val="Aptos Narrow"/>
      <family val="2"/>
      <charset val="163"/>
      <scheme val="minor"/>
    </font>
    <font>
      <b/>
      <u/>
      <sz val="11"/>
      <color rgb="FFFF33CC"/>
      <name val="Aptos Narrow"/>
      <family val="2"/>
      <scheme val="minor"/>
    </font>
    <font>
      <sz val="11"/>
      <color theme="1"/>
      <name val="Aptos Narrow"/>
      <family val="2"/>
      <charset val="163"/>
      <scheme val="minor"/>
    </font>
    <font>
      <sz val="11"/>
      <color rgb="FFFF33CC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8"/>
      <color rgb="FF0070C0"/>
      <name val="Aptos Narrow"/>
      <family val="2"/>
      <scheme val="minor"/>
    </font>
    <font>
      <sz val="13"/>
      <color theme="1"/>
      <name val="Aptos Narrow"/>
      <family val="2"/>
      <scheme val="minor"/>
    </font>
    <font>
      <b/>
      <sz val="13"/>
      <color rgb="FF000099"/>
      <name val="Aptos Narrow"/>
      <family val="2"/>
      <scheme val="minor"/>
    </font>
    <font>
      <b/>
      <sz val="13"/>
      <color rgb="FF0070C0"/>
      <name val="Aptos Narrow"/>
      <family val="2"/>
      <scheme val="minor"/>
    </font>
    <font>
      <i/>
      <u/>
      <sz val="13"/>
      <name val="Aptos Narrow"/>
      <family val="2"/>
      <scheme val="minor"/>
    </font>
    <font>
      <sz val="13"/>
      <name val="Aptos Narrow"/>
      <family val="2"/>
      <scheme val="minor"/>
    </font>
    <font>
      <b/>
      <sz val="13"/>
      <color rgb="FFFF0000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b/>
      <sz val="13"/>
      <color rgb="FFC00000"/>
      <name val="Aptos Narrow"/>
      <family val="2"/>
      <scheme val="minor"/>
    </font>
    <font>
      <b/>
      <sz val="13"/>
      <color rgb="FF0000FF"/>
      <name val="Aptos Narrow"/>
      <family val="2"/>
      <scheme val="minor"/>
    </font>
    <font>
      <sz val="13"/>
      <color rgb="FF0000FF"/>
      <name val="Aptos Narrow"/>
      <family val="2"/>
      <scheme val="minor"/>
    </font>
    <font>
      <b/>
      <sz val="13"/>
      <name val="Aptos Narrow"/>
      <family val="2"/>
      <scheme val="minor"/>
    </font>
    <font>
      <sz val="13"/>
      <color rgb="FFFF33CC"/>
      <name val="Aptos Narrow"/>
      <family val="2"/>
      <scheme val="minor"/>
    </font>
    <font>
      <b/>
      <sz val="13"/>
      <color rgb="FFFF33CC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rgb="FFFF00FF"/>
      <name val="Aptos Narrow"/>
      <family val="2"/>
      <scheme val="minor"/>
    </font>
    <font>
      <b/>
      <sz val="11"/>
      <color rgb="FF0000FF"/>
      <name val="Aptos Narrow"/>
      <family val="2"/>
      <scheme val="minor"/>
    </font>
    <font>
      <b/>
      <sz val="18"/>
      <color rgb="FF0070C0"/>
      <name val="Arial"/>
      <family val="2"/>
    </font>
    <font>
      <sz val="11"/>
      <color theme="1"/>
      <name val="Arial"/>
      <family val="2"/>
    </font>
    <font>
      <b/>
      <sz val="12"/>
      <color rgb="FF0070C0"/>
      <name val="Arial"/>
      <family val="2"/>
    </font>
    <font>
      <b/>
      <sz val="16"/>
      <color rgb="FFFF0000"/>
      <name val="Arial"/>
      <family val="2"/>
    </font>
    <font>
      <sz val="11"/>
      <color rgb="FFFF0000"/>
      <name val="Arial"/>
      <family val="2"/>
    </font>
    <font>
      <b/>
      <sz val="13"/>
      <color theme="0"/>
      <name val="Arial"/>
      <family val="2"/>
    </font>
    <font>
      <b/>
      <sz val="13"/>
      <color rgb="FF0033CC"/>
      <name val="Arial"/>
      <family val="2"/>
    </font>
    <font>
      <sz val="13"/>
      <color theme="1"/>
      <name val="Arial"/>
      <family val="2"/>
    </font>
    <font>
      <sz val="13"/>
      <name val="Arial"/>
      <family val="2"/>
    </font>
    <font>
      <b/>
      <sz val="13"/>
      <color rgb="FFFF0000"/>
      <name val="Arial"/>
      <family val="2"/>
    </font>
    <font>
      <b/>
      <sz val="12"/>
      <color rgb="FFFF0000"/>
      <name val="Arial"/>
      <family val="2"/>
    </font>
    <font>
      <b/>
      <sz val="13"/>
      <color rgb="FF0000FF"/>
      <name val="Arial"/>
      <family val="2"/>
    </font>
    <font>
      <b/>
      <sz val="13"/>
      <color rgb="FFFFFF00"/>
      <name val="Arial"/>
      <family val="2"/>
    </font>
    <font>
      <sz val="13"/>
      <color rgb="FFFF0000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/>
      <diagonal/>
    </border>
    <border>
      <left style="thin">
        <color indexed="64"/>
      </left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2" tint="-9.9948118533890809E-2"/>
      </left>
      <right style="thin">
        <color theme="2" tint="-9.9917600024414813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2" tint="-9.9917600024414813E-2"/>
      </left>
      <right style="thin">
        <color theme="2" tint="-9.9917600024414813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2" tint="-9.9948118533890809E-2"/>
      </left>
      <right/>
      <top style="thin">
        <color theme="2" tint="-9.9948118533890809E-2"/>
      </top>
      <bottom style="thin">
        <color theme="2" tint="-9.9948118533890809E-2"/>
      </bottom>
      <diagonal/>
    </border>
    <border>
      <left/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</borders>
  <cellStyleXfs count="8">
    <xf numFmtId="0" fontId="0" fillId="0" borderId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 applyNumberFormat="0" applyFill="0" applyBorder="0" applyAlignment="0" applyProtection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3" fillId="0" borderId="0"/>
    <xf numFmtId="9" fontId="5" fillId="0" borderId="0" applyFont="0" applyFill="0" applyBorder="0" applyAlignment="0" applyProtection="0"/>
  </cellStyleXfs>
  <cellXfs count="206">
    <xf numFmtId="0" fontId="0" fillId="0" borderId="0" xfId="0"/>
    <xf numFmtId="0" fontId="2" fillId="2" borderId="0" xfId="3" applyFont="1" applyFill="1" applyAlignment="1">
      <alignment horizontal="left" vertical="center"/>
    </xf>
    <xf numFmtId="0" fontId="4" fillId="3" borderId="0" xfId="0" applyFont="1" applyFill="1"/>
    <xf numFmtId="0" fontId="5" fillId="3" borderId="0" xfId="0" applyFont="1" applyFill="1"/>
    <xf numFmtId="0" fontId="6" fillId="3" borderId="0" xfId="0" applyFont="1" applyFill="1" applyAlignment="1">
      <alignment vertical="center"/>
    </xf>
    <xf numFmtId="0" fontId="5" fillId="3" borderId="0" xfId="0" applyFont="1" applyFill="1" applyAlignment="1">
      <alignment vertical="center"/>
    </xf>
    <xf numFmtId="0" fontId="7" fillId="3" borderId="0" xfId="0" applyFont="1" applyFill="1" applyAlignment="1">
      <alignment vertical="center"/>
    </xf>
    <xf numFmtId="0" fontId="8" fillId="3" borderId="0" xfId="0" applyFont="1" applyFill="1" applyAlignment="1">
      <alignment horizontal="left" vertical="center"/>
    </xf>
    <xf numFmtId="0" fontId="9" fillId="3" borderId="0" xfId="0" applyFont="1" applyFill="1" applyAlignment="1">
      <alignment horizontal="left" vertical="center"/>
    </xf>
    <xf numFmtId="0" fontId="7" fillId="3" borderId="0" xfId="0" applyFont="1" applyFill="1" applyAlignment="1">
      <alignment horizontal="left" vertical="center"/>
    </xf>
    <xf numFmtId="0" fontId="10" fillId="3" borderId="0" xfId="0" applyFont="1" applyFill="1" applyAlignment="1">
      <alignment horizontal="right" vertical="center"/>
    </xf>
    <xf numFmtId="0" fontId="11" fillId="3" borderId="0" xfId="0" applyFont="1" applyFill="1" applyAlignment="1">
      <alignment vertical="center"/>
    </xf>
    <xf numFmtId="166" fontId="12" fillId="3" borderId="0" xfId="4" applyNumberFormat="1" applyFont="1" applyFill="1" applyAlignment="1">
      <alignment vertical="center"/>
    </xf>
    <xf numFmtId="0" fontId="7" fillId="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right" vertical="center"/>
    </xf>
    <xf numFmtId="0" fontId="13" fillId="3" borderId="0" xfId="0" applyFont="1" applyFill="1" applyAlignment="1">
      <alignment vertical="center"/>
    </xf>
    <xf numFmtId="166" fontId="11" fillId="3" borderId="0" xfId="4" applyNumberFormat="1" applyFont="1" applyFill="1" applyAlignment="1">
      <alignment vertical="center"/>
    </xf>
    <xf numFmtId="0" fontId="4" fillId="3" borderId="0" xfId="0" applyFont="1" applyFill="1" applyAlignment="1">
      <alignment wrapText="1"/>
    </xf>
    <xf numFmtId="0" fontId="7" fillId="4" borderId="1" xfId="0" applyFont="1" applyFill="1" applyBorder="1" applyAlignment="1">
      <alignment horizontal="center" vertical="center" wrapText="1"/>
    </xf>
    <xf numFmtId="2" fontId="7" fillId="4" borderId="1" xfId="0" applyNumberFormat="1" applyFont="1" applyFill="1" applyBorder="1" applyAlignment="1">
      <alignment horizontal="center" vertical="center" wrapText="1"/>
    </xf>
    <xf numFmtId="9" fontId="7" fillId="4" borderId="1" xfId="5" applyFont="1" applyFill="1" applyBorder="1" applyAlignment="1">
      <alignment horizontal="center" vertical="center" wrapText="1"/>
    </xf>
    <xf numFmtId="0" fontId="5" fillId="3" borderId="0" xfId="0" applyFont="1" applyFill="1" applyAlignment="1">
      <alignment wrapText="1"/>
    </xf>
    <xf numFmtId="0" fontId="15" fillId="5" borderId="1" xfId="0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left" vertical="center"/>
    </xf>
    <xf numFmtId="0" fontId="16" fillId="5" borderId="1" xfId="0" applyFont="1" applyFill="1" applyBorder="1" applyAlignment="1">
      <alignment vertical="center" wrapText="1"/>
    </xf>
    <xf numFmtId="0" fontId="16" fillId="5" borderId="1" xfId="0" applyFont="1" applyFill="1" applyBorder="1" applyAlignment="1">
      <alignment horizontal="center" vertical="center"/>
    </xf>
    <xf numFmtId="167" fontId="16" fillId="5" borderId="1" xfId="5" applyNumberFormat="1" applyFont="1" applyFill="1" applyBorder="1" applyAlignment="1">
      <alignment vertical="center"/>
    </xf>
    <xf numFmtId="37" fontId="16" fillId="5" borderId="1" xfId="0" applyNumberFormat="1" applyFont="1" applyFill="1" applyBorder="1" applyAlignment="1">
      <alignment vertical="center"/>
    </xf>
    <xf numFmtId="165" fontId="16" fillId="5" borderId="1" xfId="0" applyNumberFormat="1" applyFont="1" applyFill="1" applyBorder="1" applyAlignment="1">
      <alignment vertical="center"/>
    </xf>
    <xf numFmtId="168" fontId="16" fillId="5" borderId="1" xfId="0" applyNumberFormat="1" applyFont="1" applyFill="1" applyBorder="1" applyAlignment="1">
      <alignment vertical="center"/>
    </xf>
    <xf numFmtId="9" fontId="16" fillId="5" borderId="1" xfId="0" applyNumberFormat="1" applyFont="1" applyFill="1" applyBorder="1" applyAlignment="1">
      <alignment horizontal="left" vertical="center" wrapText="1"/>
    </xf>
    <xf numFmtId="0" fontId="13" fillId="6" borderId="1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vertical="center" wrapText="1"/>
    </xf>
    <xf numFmtId="37" fontId="13" fillId="6" borderId="1" xfId="0" applyNumberFormat="1" applyFont="1" applyFill="1" applyBorder="1" applyAlignment="1">
      <alignment vertical="center"/>
    </xf>
    <xf numFmtId="37" fontId="12" fillId="6" borderId="1" xfId="0" applyNumberFormat="1" applyFont="1" applyFill="1" applyBorder="1" applyAlignment="1">
      <alignment vertical="center"/>
    </xf>
    <xf numFmtId="9" fontId="17" fillId="6" borderId="1" xfId="5" applyFont="1" applyFill="1" applyBorder="1" applyAlignment="1">
      <alignment vertical="center"/>
    </xf>
    <xf numFmtId="9" fontId="17" fillId="6" borderId="1" xfId="0" applyNumberFormat="1" applyFont="1" applyFill="1" applyBorder="1" applyAlignment="1">
      <alignment horizontal="left" vertical="center" wrapText="1"/>
    </xf>
    <xf numFmtId="167" fontId="17" fillId="6" borderId="1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vertical="center" wrapText="1"/>
    </xf>
    <xf numFmtId="167" fontId="13" fillId="0" borderId="1" xfId="2" applyNumberFormat="1" applyFont="1" applyBorder="1" applyAlignment="1">
      <alignment horizontal="center" vertical="center"/>
    </xf>
    <xf numFmtId="37" fontId="7" fillId="0" borderId="1" xfId="0" applyNumberFormat="1" applyFont="1" applyBorder="1" applyAlignment="1">
      <alignment vertical="center"/>
    </xf>
    <xf numFmtId="167" fontId="11" fillId="0" borderId="1" xfId="5" applyNumberFormat="1" applyFont="1" applyFill="1" applyBorder="1" applyAlignment="1">
      <alignment vertical="center"/>
    </xf>
    <xf numFmtId="9" fontId="11" fillId="0" borderId="1" xfId="0" applyNumberFormat="1" applyFont="1" applyBorder="1" applyAlignment="1">
      <alignment horizontal="left" vertical="center" wrapText="1"/>
    </xf>
    <xf numFmtId="0" fontId="18" fillId="3" borderId="0" xfId="0" applyFont="1" applyFill="1"/>
    <xf numFmtId="0" fontId="7" fillId="6" borderId="1" xfId="0" applyFont="1" applyFill="1" applyBorder="1" applyAlignment="1">
      <alignment horizontal="center" vertical="center"/>
    </xf>
    <xf numFmtId="9" fontId="11" fillId="6" borderId="1" xfId="0" applyNumberFormat="1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9" fontId="7" fillId="7" borderId="1" xfId="2" applyFont="1" applyFill="1" applyBorder="1" applyAlignment="1">
      <alignment horizontal="center" vertical="center"/>
    </xf>
    <xf numFmtId="169" fontId="7" fillId="3" borderId="1" xfId="1" applyNumberFormat="1" applyFont="1" applyFill="1" applyBorder="1" applyAlignment="1">
      <alignment vertical="center"/>
    </xf>
    <xf numFmtId="9" fontId="11" fillId="0" borderId="1" xfId="5" applyFont="1" applyFill="1" applyBorder="1" applyAlignment="1">
      <alignment vertical="center"/>
    </xf>
    <xf numFmtId="169" fontId="5" fillId="3" borderId="0" xfId="1" applyNumberFormat="1" applyFont="1" applyFill="1"/>
    <xf numFmtId="1" fontId="7" fillId="0" borderId="1" xfId="0" applyNumberFormat="1" applyFont="1" applyBorder="1" applyAlignment="1">
      <alignment horizontal="center" vertical="center"/>
    </xf>
    <xf numFmtId="0" fontId="13" fillId="8" borderId="1" xfId="0" applyFont="1" applyFill="1" applyBorder="1" applyAlignment="1">
      <alignment horizontal="left" vertical="center"/>
    </xf>
    <xf numFmtId="0" fontId="13" fillId="8" borderId="1" xfId="0" applyFont="1" applyFill="1" applyBorder="1" applyAlignment="1">
      <alignment horizontal="center" vertical="center"/>
    </xf>
    <xf numFmtId="166" fontId="17" fillId="8" borderId="1" xfId="0" applyNumberFormat="1" applyFont="1" applyFill="1" applyBorder="1" applyAlignment="1">
      <alignment vertical="center"/>
    </xf>
    <xf numFmtId="9" fontId="17" fillId="8" borderId="1" xfId="5" applyFont="1" applyFill="1" applyBorder="1" applyAlignment="1">
      <alignment vertical="center"/>
    </xf>
    <xf numFmtId="0" fontId="11" fillId="8" borderId="1" xfId="0" applyFont="1" applyFill="1" applyBorder="1" applyAlignment="1">
      <alignment vertical="center" wrapText="1"/>
    </xf>
    <xf numFmtId="0" fontId="15" fillId="5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/>
    </xf>
    <xf numFmtId="166" fontId="13" fillId="5" borderId="1" xfId="0" applyNumberFormat="1" applyFont="1" applyFill="1" applyBorder="1" applyAlignment="1">
      <alignment vertical="center"/>
    </xf>
    <xf numFmtId="9" fontId="13" fillId="5" borderId="1" xfId="5" applyFont="1" applyFill="1" applyBorder="1" applyAlignment="1">
      <alignment vertical="center"/>
    </xf>
    <xf numFmtId="0" fontId="11" fillId="5" borderId="1" xfId="0" applyFont="1" applyFill="1" applyBorder="1" applyAlignment="1">
      <alignment vertical="center" wrapText="1"/>
    </xf>
    <xf numFmtId="166" fontId="13" fillId="6" borderId="1" xfId="0" applyNumberFormat="1" applyFont="1" applyFill="1" applyBorder="1" applyAlignment="1">
      <alignment horizontal="center" vertical="center"/>
    </xf>
    <xf numFmtId="165" fontId="5" fillId="3" borderId="0" xfId="0" applyNumberFormat="1" applyFont="1" applyFill="1"/>
    <xf numFmtId="0" fontId="7" fillId="3" borderId="1" xfId="0" applyFont="1" applyFill="1" applyBorder="1" applyAlignment="1">
      <alignment vertical="center" wrapText="1"/>
    </xf>
    <xf numFmtId="0" fontId="7" fillId="3" borderId="1" xfId="0" applyFont="1" applyFill="1" applyBorder="1" applyAlignment="1">
      <alignment vertical="center"/>
    </xf>
    <xf numFmtId="165" fontId="7" fillId="3" borderId="1" xfId="0" applyNumberFormat="1" applyFont="1" applyFill="1" applyBorder="1" applyAlignment="1">
      <alignment vertical="center"/>
    </xf>
    <xf numFmtId="167" fontId="11" fillId="3" borderId="1" xfId="2" applyNumberFormat="1" applyFont="1" applyFill="1" applyBorder="1" applyAlignment="1">
      <alignment horizontal="center" vertical="center"/>
    </xf>
    <xf numFmtId="37" fontId="7" fillId="3" borderId="1" xfId="0" applyNumberFormat="1" applyFont="1" applyFill="1" applyBorder="1" applyAlignment="1">
      <alignment vertical="center"/>
    </xf>
    <xf numFmtId="9" fontId="11" fillId="3" borderId="1" xfId="5" applyFont="1" applyFill="1" applyBorder="1" applyAlignment="1">
      <alignment vertical="center"/>
    </xf>
    <xf numFmtId="9" fontId="11" fillId="3" borderId="1" xfId="0" applyNumberFormat="1" applyFont="1" applyFill="1" applyBorder="1" applyAlignment="1">
      <alignment horizontal="left" vertical="center" wrapText="1"/>
    </xf>
    <xf numFmtId="10" fontId="11" fillId="3" borderId="1" xfId="2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vertical="center" wrapText="1"/>
    </xf>
    <xf numFmtId="0" fontId="15" fillId="5" borderId="1" xfId="0" applyFont="1" applyFill="1" applyBorder="1" applyAlignment="1">
      <alignment vertical="center" wrapText="1"/>
    </xf>
    <xf numFmtId="0" fontId="11" fillId="5" borderId="1" xfId="0" applyFont="1" applyFill="1" applyBorder="1" applyAlignment="1">
      <alignment horizontal="center" vertical="center"/>
    </xf>
    <xf numFmtId="37" fontId="11" fillId="5" borderId="1" xfId="0" applyNumberFormat="1" applyFont="1" applyFill="1" applyBorder="1" applyAlignment="1">
      <alignment vertical="center"/>
    </xf>
    <xf numFmtId="9" fontId="11" fillId="5" borderId="1" xfId="5" applyFont="1" applyFill="1" applyBorder="1" applyAlignment="1">
      <alignment vertical="center"/>
    </xf>
    <xf numFmtId="170" fontId="11" fillId="5" borderId="1" xfId="0" applyNumberFormat="1" applyFont="1" applyFill="1" applyBorder="1" applyAlignment="1">
      <alignment horizontal="left" vertical="center"/>
    </xf>
    <xf numFmtId="0" fontId="11" fillId="3" borderId="1" xfId="0" applyFont="1" applyFill="1" applyBorder="1" applyAlignment="1">
      <alignment horizontal="center" vertical="center"/>
    </xf>
    <xf numFmtId="37" fontId="11" fillId="3" borderId="1" xfId="0" applyNumberFormat="1" applyFont="1" applyFill="1" applyBorder="1" applyAlignment="1">
      <alignment vertical="center"/>
    </xf>
    <xf numFmtId="0" fontId="17" fillId="6" borderId="1" xfId="0" applyFont="1" applyFill="1" applyBorder="1" applyAlignment="1">
      <alignment horizontal="center" vertical="center"/>
    </xf>
    <xf numFmtId="0" fontId="17" fillId="6" borderId="1" xfId="0" applyFont="1" applyFill="1" applyBorder="1" applyAlignment="1">
      <alignment vertical="center" wrapText="1"/>
    </xf>
    <xf numFmtId="37" fontId="17" fillId="6" borderId="1" xfId="0" applyNumberFormat="1" applyFont="1" applyFill="1" applyBorder="1" applyAlignment="1">
      <alignment vertical="center"/>
    </xf>
    <xf numFmtId="37" fontId="13" fillId="6" borderId="1" xfId="0" applyNumberFormat="1" applyFont="1" applyFill="1" applyBorder="1" applyAlignment="1">
      <alignment horizontal="center" vertical="center"/>
    </xf>
    <xf numFmtId="170" fontId="11" fillId="6" borderId="1" xfId="0" applyNumberFormat="1" applyFont="1" applyFill="1" applyBorder="1" applyAlignment="1">
      <alignment horizontal="left" vertical="center"/>
    </xf>
    <xf numFmtId="167" fontId="5" fillId="3" borderId="0" xfId="2" applyNumberFormat="1" applyFont="1" applyFill="1"/>
    <xf numFmtId="0" fontId="11" fillId="3" borderId="1" xfId="0" applyFont="1" applyFill="1" applyBorder="1" applyAlignment="1">
      <alignment vertical="center"/>
    </xf>
    <xf numFmtId="9" fontId="13" fillId="6" borderId="1" xfId="5" applyFont="1" applyFill="1" applyBorder="1" applyAlignment="1">
      <alignment vertical="center"/>
    </xf>
    <xf numFmtId="167" fontId="11" fillId="3" borderId="1" xfId="5" applyNumberFormat="1" applyFont="1" applyFill="1" applyBorder="1" applyAlignment="1">
      <alignment vertical="center"/>
    </xf>
    <xf numFmtId="0" fontId="7" fillId="3" borderId="1" xfId="0" applyFont="1" applyFill="1" applyBorder="1" applyAlignment="1">
      <alignment horizontal="left" vertical="center" indent="1"/>
    </xf>
    <xf numFmtId="9" fontId="7" fillId="3" borderId="1" xfId="5" applyFont="1" applyFill="1" applyBorder="1" applyAlignment="1">
      <alignment vertical="center" wrapText="1"/>
    </xf>
    <xf numFmtId="0" fontId="19" fillId="7" borderId="1" xfId="0" applyFont="1" applyFill="1" applyBorder="1" applyAlignment="1">
      <alignment horizontal="center" vertical="center"/>
    </xf>
    <xf numFmtId="166" fontId="19" fillId="7" borderId="1" xfId="0" applyNumberFormat="1" applyFont="1" applyFill="1" applyBorder="1" applyAlignment="1">
      <alignment vertical="center"/>
    </xf>
    <xf numFmtId="9" fontId="19" fillId="7" borderId="1" xfId="5" applyFont="1" applyFill="1" applyBorder="1" applyAlignment="1">
      <alignment vertical="center"/>
    </xf>
    <xf numFmtId="9" fontId="18" fillId="7" borderId="1" xfId="0" applyNumberFormat="1" applyFont="1" applyFill="1" applyBorder="1" applyAlignment="1">
      <alignment horizontal="left" vertical="center" wrapText="1"/>
    </xf>
    <xf numFmtId="166" fontId="7" fillId="3" borderId="1" xfId="4" applyNumberFormat="1" applyFont="1" applyFill="1" applyBorder="1" applyAlignment="1">
      <alignment vertical="center"/>
    </xf>
    <xf numFmtId="9" fontId="7" fillId="3" borderId="1" xfId="5" applyFont="1" applyFill="1" applyBorder="1" applyAlignment="1">
      <alignment vertical="center"/>
    </xf>
    <xf numFmtId="9" fontId="11" fillId="3" borderId="1" xfId="5" applyFont="1" applyFill="1" applyBorder="1" applyAlignment="1">
      <alignment horizontal="left" vertical="center" wrapText="1"/>
    </xf>
    <xf numFmtId="0" fontId="4" fillId="3" borderId="0" xfId="0" applyFont="1" applyFill="1" applyAlignment="1">
      <alignment vertical="center"/>
    </xf>
    <xf numFmtId="0" fontId="14" fillId="0" borderId="0" xfId="0" applyFont="1" applyAlignment="1">
      <alignment vertical="center"/>
    </xf>
    <xf numFmtId="0" fontId="20" fillId="3" borderId="0" xfId="0" applyFont="1" applyFill="1"/>
    <xf numFmtId="37" fontId="20" fillId="3" borderId="0" xfId="0" applyNumberFormat="1" applyFont="1" applyFill="1"/>
    <xf numFmtId="0" fontId="0" fillId="3" borderId="0" xfId="0" applyFill="1"/>
    <xf numFmtId="0" fontId="6" fillId="3" borderId="0" xfId="0" applyFont="1" applyFill="1"/>
    <xf numFmtId="0" fontId="21" fillId="9" borderId="2" xfId="0" applyFont="1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/>
    </xf>
    <xf numFmtId="0" fontId="0" fillId="3" borderId="3" xfId="0" applyFill="1" applyBorder="1"/>
    <xf numFmtId="0" fontId="0" fillId="3" borderId="4" xfId="0" applyFill="1" applyBorder="1" applyAlignment="1">
      <alignment horizontal="center"/>
    </xf>
    <xf numFmtId="169" fontId="0" fillId="3" borderId="3" xfId="1" applyNumberFormat="1" applyFont="1" applyFill="1" applyBorder="1"/>
    <xf numFmtId="169" fontId="0" fillId="3" borderId="3" xfId="0" applyNumberFormat="1" applyFill="1" applyBorder="1"/>
    <xf numFmtId="169" fontId="0" fillId="3" borderId="4" xfId="0" applyNumberFormat="1" applyFill="1" applyBorder="1"/>
    <xf numFmtId="9" fontId="0" fillId="3" borderId="4" xfId="2" applyFont="1" applyFill="1" applyBorder="1"/>
    <xf numFmtId="169" fontId="0" fillId="3" borderId="4" xfId="1" applyNumberFormat="1" applyFont="1" applyFill="1" applyBorder="1"/>
    <xf numFmtId="0" fontId="21" fillId="10" borderId="2" xfId="0" applyFont="1" applyFill="1" applyBorder="1" applyAlignment="1">
      <alignment horizontal="center" vertical="center" wrapText="1"/>
    </xf>
    <xf numFmtId="169" fontId="23" fillId="3" borderId="3" xfId="1" applyNumberFormat="1" applyFont="1" applyFill="1" applyBorder="1"/>
    <xf numFmtId="169" fontId="23" fillId="3" borderId="4" xfId="1" applyNumberFormat="1" applyFont="1" applyFill="1" applyBorder="1"/>
    <xf numFmtId="0" fontId="24" fillId="3" borderId="0" xfId="0" applyFont="1" applyFill="1" applyAlignment="1">
      <alignment vertical="center"/>
    </xf>
    <xf numFmtId="0" fontId="25" fillId="3" borderId="0" xfId="0" applyFont="1" applyFill="1"/>
    <xf numFmtId="169" fontId="28" fillId="3" borderId="0" xfId="1" applyNumberFormat="1" applyFont="1" applyFill="1"/>
    <xf numFmtId="0" fontId="29" fillId="9" borderId="5" xfId="0" applyFont="1" applyFill="1" applyBorder="1" applyAlignment="1">
      <alignment horizontal="center" vertical="center"/>
    </xf>
    <xf numFmtId="2" fontId="29" fillId="9" borderId="5" xfId="0" applyNumberFormat="1" applyFont="1" applyFill="1" applyBorder="1" applyAlignment="1">
      <alignment horizontal="center" vertical="center" wrapText="1"/>
    </xf>
    <xf numFmtId="2" fontId="29" fillId="9" borderId="1" xfId="0" applyNumberFormat="1" applyFont="1" applyFill="1" applyBorder="1" applyAlignment="1">
      <alignment horizontal="center" vertical="center" wrapText="1"/>
    </xf>
    <xf numFmtId="0" fontId="30" fillId="11" borderId="1" xfId="0" applyFont="1" applyFill="1" applyBorder="1" applyAlignment="1">
      <alignment horizontal="center" vertical="center"/>
    </xf>
    <xf numFmtId="0" fontId="30" fillId="11" borderId="1" xfId="0" applyFont="1" applyFill="1" applyBorder="1" applyAlignment="1">
      <alignment vertical="center" wrapText="1"/>
    </xf>
    <xf numFmtId="3" fontId="30" fillId="11" borderId="1" xfId="0" applyNumberFormat="1" applyFont="1" applyFill="1" applyBorder="1" applyAlignment="1">
      <alignment horizontal="center" vertical="center"/>
    </xf>
    <xf numFmtId="9" fontId="30" fillId="11" borderId="1" xfId="5" applyFont="1" applyFill="1" applyBorder="1" applyAlignment="1">
      <alignment horizontal="center" vertical="center"/>
    </xf>
    <xf numFmtId="0" fontId="31" fillId="3" borderId="1" xfId="0" applyFont="1" applyFill="1" applyBorder="1" applyAlignment="1">
      <alignment horizontal="center" vertical="center"/>
    </xf>
    <xf numFmtId="0" fontId="31" fillId="3" borderId="1" xfId="0" applyFont="1" applyFill="1" applyBorder="1" applyAlignment="1">
      <alignment vertical="center" wrapText="1"/>
    </xf>
    <xf numFmtId="3" fontId="31" fillId="3" borderId="1" xfId="0" applyNumberFormat="1" applyFont="1" applyFill="1" applyBorder="1" applyAlignment="1">
      <alignment horizontal="center" vertical="center"/>
    </xf>
    <xf numFmtId="9" fontId="31" fillId="3" borderId="1" xfId="5" applyFont="1" applyFill="1" applyBorder="1" applyAlignment="1">
      <alignment horizontal="center" vertical="center"/>
    </xf>
    <xf numFmtId="0" fontId="31" fillId="3" borderId="1" xfId="0" applyFont="1" applyFill="1" applyBorder="1" applyAlignment="1">
      <alignment horizontal="left" vertical="center" indent="1"/>
    </xf>
    <xf numFmtId="3" fontId="32" fillId="3" borderId="1" xfId="0" applyNumberFormat="1" applyFont="1" applyFill="1" applyBorder="1" applyAlignment="1">
      <alignment horizontal="center" vertical="center"/>
    </xf>
    <xf numFmtId="0" fontId="31" fillId="3" borderId="1" xfId="0" applyFont="1" applyFill="1" applyBorder="1" applyAlignment="1">
      <alignment horizontal="left" vertical="center" wrapText="1" indent="1"/>
    </xf>
    <xf numFmtId="0" fontId="33" fillId="11" borderId="1" xfId="0" applyFont="1" applyFill="1" applyBorder="1" applyAlignment="1">
      <alignment horizontal="center" vertical="center"/>
    </xf>
    <xf numFmtId="0" fontId="33" fillId="11" borderId="1" xfId="0" applyFont="1" applyFill="1" applyBorder="1" applyAlignment="1">
      <alignment vertical="center" wrapText="1"/>
    </xf>
    <xf numFmtId="3" fontId="33" fillId="11" borderId="1" xfId="0" applyNumberFormat="1" applyFont="1" applyFill="1" applyBorder="1" applyAlignment="1">
      <alignment horizontal="center" vertical="center"/>
    </xf>
    <xf numFmtId="9" fontId="33" fillId="11" borderId="1" xfId="5" applyFont="1" applyFill="1" applyBorder="1" applyAlignment="1">
      <alignment horizontal="center" vertical="center"/>
    </xf>
    <xf numFmtId="167" fontId="31" fillId="3" borderId="1" xfId="5" applyNumberFormat="1" applyFont="1" applyFill="1" applyBorder="1" applyAlignment="1">
      <alignment horizontal="center" vertical="center"/>
    </xf>
    <xf numFmtId="0" fontId="34" fillId="11" borderId="6" xfId="6" applyFont="1" applyFill="1" applyBorder="1" applyAlignment="1">
      <alignment horizontal="center" vertical="center"/>
    </xf>
    <xf numFmtId="0" fontId="34" fillId="11" borderId="1" xfId="6" applyFont="1" applyFill="1" applyBorder="1" applyAlignment="1">
      <alignment horizontal="center" vertical="center"/>
    </xf>
    <xf numFmtId="0" fontId="33" fillId="11" borderId="7" xfId="6" applyFont="1" applyFill="1" applyBorder="1" applyAlignment="1">
      <alignment vertical="center" wrapText="1"/>
    </xf>
    <xf numFmtId="3" fontId="34" fillId="11" borderId="8" xfId="6" applyNumberFormat="1" applyFont="1" applyFill="1" applyBorder="1" applyAlignment="1">
      <alignment horizontal="center" vertical="center"/>
    </xf>
    <xf numFmtId="9" fontId="34" fillId="11" borderId="8" xfId="7" applyFont="1" applyFill="1" applyBorder="1" applyAlignment="1">
      <alignment horizontal="center" vertical="center"/>
    </xf>
    <xf numFmtId="0" fontId="31" fillId="12" borderId="1" xfId="0" applyFont="1" applyFill="1" applyBorder="1" applyAlignment="1">
      <alignment vertical="center"/>
    </xf>
    <xf numFmtId="0" fontId="35" fillId="12" borderId="1" xfId="0" applyFont="1" applyFill="1" applyBorder="1" applyAlignment="1">
      <alignment vertical="center"/>
    </xf>
    <xf numFmtId="167" fontId="31" fillId="12" borderId="1" xfId="5" applyNumberFormat="1" applyFont="1" applyFill="1" applyBorder="1" applyAlignment="1">
      <alignment vertical="center"/>
    </xf>
    <xf numFmtId="9" fontId="35" fillId="12" borderId="1" xfId="0" applyNumberFormat="1" applyFont="1" applyFill="1" applyBorder="1" applyAlignment="1">
      <alignment horizontal="center" vertical="center"/>
    </xf>
    <xf numFmtId="2" fontId="29" fillId="9" borderId="9" xfId="0" applyNumberFormat="1" applyFont="1" applyFill="1" applyBorder="1" applyAlignment="1">
      <alignment vertical="center" wrapText="1"/>
    </xf>
    <xf numFmtId="2" fontId="29" fillId="9" borderId="10" xfId="0" applyNumberFormat="1" applyFont="1" applyFill="1" applyBorder="1" applyAlignment="1">
      <alignment vertical="center" wrapText="1"/>
    </xf>
    <xf numFmtId="165" fontId="25" fillId="3" borderId="0" xfId="0" applyNumberFormat="1" applyFont="1" applyFill="1"/>
    <xf numFmtId="169" fontId="25" fillId="3" borderId="0" xfId="1" applyNumberFormat="1" applyFont="1" applyFill="1"/>
    <xf numFmtId="166" fontId="7" fillId="13" borderId="1" xfId="4" applyNumberFormat="1" applyFont="1" applyFill="1" applyBorder="1" applyAlignment="1">
      <alignment horizontal="center" vertical="center"/>
    </xf>
    <xf numFmtId="169" fontId="0" fillId="3" borderId="0" xfId="0" applyNumberFormat="1" applyFill="1"/>
    <xf numFmtId="0" fontId="0" fillId="13" borderId="3" xfId="0" quotePrefix="1" applyFill="1" applyBorder="1"/>
    <xf numFmtId="0" fontId="0" fillId="13" borderId="4" xfId="0" quotePrefix="1" applyFill="1" applyBorder="1"/>
    <xf numFmtId="0" fontId="0" fillId="13" borderId="3" xfId="0" applyFill="1" applyBorder="1"/>
    <xf numFmtId="0" fontId="0" fillId="13" borderId="4" xfId="0" applyFill="1" applyBorder="1"/>
    <xf numFmtId="169" fontId="22" fillId="13" borderId="3" xfId="1" applyNumberFormat="1" applyFont="1" applyFill="1" applyBorder="1"/>
    <xf numFmtId="2" fontId="7" fillId="13" borderId="1" xfId="0" applyNumberFormat="1" applyFont="1" applyFill="1" applyBorder="1" applyAlignment="1">
      <alignment horizontal="center" vertical="center" wrapText="1"/>
    </xf>
    <xf numFmtId="2" fontId="36" fillId="9" borderId="9" xfId="0" applyNumberFormat="1" applyFont="1" applyFill="1" applyBorder="1" applyAlignment="1">
      <alignment horizontal="left" vertical="center" wrapText="1"/>
    </xf>
    <xf numFmtId="169" fontId="13" fillId="6" borderId="1" xfId="1" applyNumberFormat="1" applyFont="1" applyFill="1" applyBorder="1" applyAlignment="1">
      <alignment vertical="center"/>
    </xf>
    <xf numFmtId="169" fontId="7" fillId="0" borderId="1" xfId="1" applyNumberFormat="1" applyFont="1" applyBorder="1" applyAlignment="1">
      <alignment vertical="center"/>
    </xf>
    <xf numFmtId="169" fontId="30" fillId="11" borderId="1" xfId="1" applyNumberFormat="1" applyFont="1" applyFill="1" applyBorder="1" applyAlignment="1">
      <alignment horizontal="center" vertical="center"/>
    </xf>
    <xf numFmtId="169" fontId="31" fillId="3" borderId="1" xfId="1" applyNumberFormat="1" applyFont="1" applyFill="1" applyBorder="1" applyAlignment="1">
      <alignment horizontal="center" vertical="center"/>
    </xf>
    <xf numFmtId="169" fontId="33" fillId="11" borderId="1" xfId="1" applyNumberFormat="1" applyFont="1" applyFill="1" applyBorder="1" applyAlignment="1">
      <alignment horizontal="center" vertical="center"/>
    </xf>
    <xf numFmtId="169" fontId="34" fillId="11" borderId="8" xfId="1" applyNumberFormat="1" applyFont="1" applyFill="1" applyBorder="1" applyAlignment="1">
      <alignment horizontal="center" vertical="center"/>
    </xf>
    <xf numFmtId="167" fontId="13" fillId="13" borderId="1" xfId="2" applyNumberFormat="1" applyFont="1" applyFill="1" applyBorder="1" applyAlignment="1">
      <alignment horizontal="center" vertical="center"/>
    </xf>
    <xf numFmtId="169" fontId="17" fillId="8" borderId="1" xfId="1" applyNumberFormat="1" applyFont="1" applyFill="1" applyBorder="1" applyAlignment="1">
      <alignment vertical="center"/>
    </xf>
    <xf numFmtId="169" fontId="13" fillId="5" borderId="1" xfId="1" applyNumberFormat="1" applyFont="1" applyFill="1" applyBorder="1" applyAlignment="1">
      <alignment vertical="center"/>
    </xf>
    <xf numFmtId="169" fontId="11" fillId="5" borderId="1" xfId="1" applyNumberFormat="1" applyFont="1" applyFill="1" applyBorder="1" applyAlignment="1">
      <alignment vertical="center"/>
    </xf>
    <xf numFmtId="169" fontId="17" fillId="6" borderId="1" xfId="1" applyNumberFormat="1" applyFont="1" applyFill="1" applyBorder="1" applyAlignment="1">
      <alignment vertical="center"/>
    </xf>
    <xf numFmtId="169" fontId="11" fillId="3" borderId="1" xfId="1" applyNumberFormat="1" applyFont="1" applyFill="1" applyBorder="1" applyAlignment="1">
      <alignment vertical="center"/>
    </xf>
    <xf numFmtId="169" fontId="19" fillId="7" borderId="1" xfId="1" applyNumberFormat="1" applyFont="1" applyFill="1" applyBorder="1" applyAlignment="1">
      <alignment vertical="center"/>
    </xf>
    <xf numFmtId="9" fontId="37" fillId="13" borderId="1" xfId="2" applyFont="1" applyFill="1" applyBorder="1" applyAlignment="1">
      <alignment horizontal="center" vertical="center"/>
    </xf>
    <xf numFmtId="0" fontId="7" fillId="13" borderId="1" xfId="0" applyFont="1" applyFill="1" applyBorder="1" applyAlignment="1">
      <alignment horizontal="center" vertical="center"/>
    </xf>
    <xf numFmtId="0" fontId="37" fillId="13" borderId="1" xfId="0" applyFont="1" applyFill="1" applyBorder="1" applyAlignment="1">
      <alignment horizontal="center" vertical="center"/>
    </xf>
    <xf numFmtId="167" fontId="37" fillId="13" borderId="1" xfId="2" applyNumberFormat="1" applyFont="1" applyFill="1" applyBorder="1" applyAlignment="1">
      <alignment horizontal="center" vertical="center"/>
    </xf>
    <xf numFmtId="37" fontId="7" fillId="13" borderId="1" xfId="0" applyNumberFormat="1" applyFont="1" applyFill="1" applyBorder="1" applyAlignment="1">
      <alignment vertical="center"/>
    </xf>
    <xf numFmtId="167" fontId="11" fillId="3" borderId="1" xfId="2" quotePrefix="1" applyNumberFormat="1" applyFont="1" applyFill="1" applyBorder="1" applyAlignment="1">
      <alignment horizontal="center" vertical="center"/>
    </xf>
    <xf numFmtId="10" fontId="11" fillId="13" borderId="1" xfId="0" applyNumberFormat="1" applyFont="1" applyFill="1" applyBorder="1" applyAlignment="1">
      <alignment horizontal="center" vertical="center"/>
    </xf>
    <xf numFmtId="1" fontId="7" fillId="13" borderId="1" xfId="0" applyNumberFormat="1" applyFont="1" applyFill="1" applyBorder="1" applyAlignment="1">
      <alignment horizontal="center" vertical="center"/>
    </xf>
    <xf numFmtId="0" fontId="12" fillId="13" borderId="1" xfId="0" applyFont="1" applyFill="1" applyBorder="1" applyAlignment="1">
      <alignment vertical="center" wrapText="1"/>
    </xf>
    <xf numFmtId="37" fontId="13" fillId="13" borderId="1" xfId="0" applyNumberFormat="1" applyFont="1" applyFill="1" applyBorder="1" applyAlignment="1">
      <alignment vertical="center"/>
    </xf>
    <xf numFmtId="37" fontId="11" fillId="13" borderId="1" xfId="0" applyNumberFormat="1" applyFont="1" applyFill="1" applyBorder="1" applyAlignment="1">
      <alignment vertical="center"/>
    </xf>
    <xf numFmtId="0" fontId="24" fillId="0" borderId="0" xfId="0" applyFont="1" applyAlignment="1">
      <alignment vertical="center"/>
    </xf>
    <xf numFmtId="0" fontId="25" fillId="0" borderId="0" xfId="0" applyFont="1"/>
    <xf numFmtId="2" fontId="29" fillId="0" borderId="0" xfId="0" applyNumberFormat="1" applyFont="1" applyAlignment="1">
      <alignment vertical="center" wrapText="1"/>
    </xf>
    <xf numFmtId="2" fontId="29" fillId="0" borderId="0" xfId="0" applyNumberFormat="1" applyFont="1" applyAlignment="1">
      <alignment horizontal="center" vertical="center" wrapText="1"/>
    </xf>
    <xf numFmtId="9" fontId="30" fillId="0" borderId="0" xfId="5" applyFont="1" applyFill="1" applyBorder="1" applyAlignment="1">
      <alignment horizontal="center" vertical="center"/>
    </xf>
    <xf numFmtId="9" fontId="31" fillId="0" borderId="0" xfId="5" applyFont="1" applyFill="1" applyBorder="1" applyAlignment="1">
      <alignment horizontal="center" vertical="center"/>
    </xf>
    <xf numFmtId="9" fontId="33" fillId="0" borderId="0" xfId="5" applyFont="1" applyFill="1" applyBorder="1" applyAlignment="1">
      <alignment horizontal="center" vertical="center"/>
    </xf>
    <xf numFmtId="167" fontId="31" fillId="0" borderId="0" xfId="5" applyNumberFormat="1" applyFont="1" applyFill="1" applyBorder="1" applyAlignment="1">
      <alignment horizontal="center" vertical="center"/>
    </xf>
    <xf numFmtId="9" fontId="34" fillId="0" borderId="0" xfId="7" applyFont="1" applyFill="1" applyBorder="1" applyAlignment="1">
      <alignment horizontal="center" vertical="center"/>
    </xf>
    <xf numFmtId="9" fontId="35" fillId="0" borderId="0" xfId="0" applyNumberFormat="1" applyFont="1" applyAlignment="1">
      <alignment horizontal="center" vertical="center"/>
    </xf>
    <xf numFmtId="166" fontId="12" fillId="2" borderId="0" xfId="4" applyNumberFormat="1" applyFont="1" applyFill="1" applyAlignment="1">
      <alignment vertical="center"/>
    </xf>
    <xf numFmtId="0" fontId="28" fillId="3" borderId="0" xfId="0" applyFont="1" applyFill="1"/>
    <xf numFmtId="37" fontId="7" fillId="2" borderId="1" xfId="0" applyNumberFormat="1" applyFont="1" applyFill="1" applyBorder="1" applyAlignment="1">
      <alignment vertical="center"/>
    </xf>
    <xf numFmtId="10" fontId="0" fillId="3" borderId="3" xfId="2" applyNumberFormat="1" applyFont="1" applyFill="1" applyBorder="1"/>
    <xf numFmtId="10" fontId="0" fillId="3" borderId="4" xfId="2" applyNumberFormat="1" applyFont="1" applyFill="1" applyBorder="1"/>
    <xf numFmtId="165" fontId="27" fillId="3" borderId="0" xfId="0" applyNumberFormat="1" applyFont="1" applyFill="1" applyAlignment="1">
      <alignment horizontal="center"/>
    </xf>
    <xf numFmtId="0" fontId="26" fillId="3" borderId="0" xfId="0" applyFont="1" applyFill="1" applyAlignment="1">
      <alignment horizontal="center"/>
    </xf>
    <xf numFmtId="0" fontId="13" fillId="8" borderId="1" xfId="0" applyFont="1" applyFill="1" applyBorder="1" applyAlignment="1">
      <alignment horizontal="left" vertical="center" wrapText="1"/>
    </xf>
    <xf numFmtId="0" fontId="19" fillId="7" borderId="1" xfId="0" applyFont="1" applyFill="1" applyBorder="1" applyAlignment="1">
      <alignment horizontal="left" vertical="center" wrapText="1"/>
    </xf>
  </cellXfs>
  <cellStyles count="8">
    <cellStyle name="Comma" xfId="1" builtinId="3"/>
    <cellStyle name="Comma 2" xfId="4" xr:uid="{DF154CF2-8FC5-431D-BFDF-9B88A8D02F87}"/>
    <cellStyle name="Hyperlink" xfId="3" builtinId="8"/>
    <cellStyle name="Normal" xfId="0" builtinId="0"/>
    <cellStyle name="Normal 2 10" xfId="6" xr:uid="{36E30E9E-01AC-408F-A88A-643C5C4A82AD}"/>
    <cellStyle name="Percent" xfId="2" builtinId="5"/>
    <cellStyle name="Percent 10 2 7" xfId="7" xr:uid="{07864880-9976-4B6E-A513-7C8F7F759C5E}"/>
    <cellStyle name="Percent 2" xfId="5" xr:uid="{62227DF1-2AEF-450F-9DF0-2927C42B6608}"/>
  </cellStyles>
  <dxfs count="3"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0000FF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rgbClr val="0070C0"/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rgbClr val="0070C0"/>
                </a:solidFill>
              </a:rPr>
              <a:t>GIÁ</a:t>
            </a:r>
            <a:r>
              <a:rPr lang="en-US" sz="1600" b="1" baseline="0">
                <a:solidFill>
                  <a:srgbClr val="0070C0"/>
                </a:solidFill>
              </a:rPr>
              <a:t> BÁN</a:t>
            </a:r>
            <a:endParaRPr lang="en-US" sz="1600" b="1">
              <a:solidFill>
                <a:srgbClr val="0070C0"/>
              </a:solidFill>
            </a:endParaRPr>
          </a:p>
        </c:rich>
      </c:tx>
      <c:layout>
        <c:manualLayout>
          <c:xMode val="edge"/>
          <c:yMode val="edge"/>
          <c:x val="0.31978834261941069"/>
          <c:y val="3.39594112306673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rgbClr val="0070C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769750513946977E-2"/>
          <c:y val="9.4566515202352999E-2"/>
          <c:w val="0.90015377680445952"/>
          <c:h val="0.87738731097202916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Chart!$C$6</c:f>
              <c:strCache>
                <c:ptCount val="1"/>
                <c:pt idx="0">
                  <c:v>Chi phí nguyên vật liệu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1.0463883740484148E-2"/>
                  <c:y val="-1.9801855924559311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300" b="1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10BAA46F-EA48-406B-839B-632D1166AEF7}" type="CELLRANGE">
                      <a:rPr lang="en-US" baseline="0"/>
                      <a:pPr>
                        <a:defRPr sz="1300" b="1"/>
                      </a:pPr>
                      <a:t>[CELLRANGE]</a:t>
                    </a:fld>
                    <a:r>
                      <a:rPr lang="en-US" baseline="0"/>
                      <a:t>; </a:t>
                    </a:r>
                    <a:fld id="{422F2C65-821F-48E6-9075-940D5791DF48}" type="SERIESNAME">
                      <a:rPr lang="en-US" baseline="0"/>
                      <a:pPr>
                        <a:defRPr sz="1300" b="1"/>
                      </a:pPr>
                      <a:t>[SERIES NAME]</a:t>
                    </a:fld>
                    <a:r>
                      <a:rPr lang="en-US" baseline="0"/>
                      <a:t>; </a:t>
                    </a:r>
                    <a:fld id="{188C327C-0875-4C3E-8143-EB8009E77E96}" type="VALUE">
                      <a:rPr lang="en-US" baseline="0"/>
                      <a:pPr>
                        <a:defRPr sz="1300" b="1"/>
                      </a:pPr>
                      <a:t>[VALUE]</a:t>
                    </a:fld>
                    <a:endParaRPr lang="en-US" baseline="0"/>
                  </a:p>
                </c:rich>
              </c:tx>
              <c:numFmt formatCode="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3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60060838832708452"/>
                      <c:h val="0.10303320410102726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5715-4FD4-8A93-5FDB95FB505A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Chart!$D$6</c:f>
              <c:numCache>
                <c:formatCode>#,##0</c:formatCode>
                <c:ptCount val="1"/>
                <c:pt idx="0">
                  <c:v>13296.279069767443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Chart!$F$6</c15:f>
                <c15:dlblRangeCache>
                  <c:ptCount val="1"/>
                  <c:pt idx="0">
                    <c:v>53%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1-5715-4FD4-8A93-5FDB95FB505A}"/>
            </c:ext>
          </c:extLst>
        </c:ser>
        <c:ser>
          <c:idx val="1"/>
          <c:order val="1"/>
          <c:tx>
            <c:strRef>
              <c:f>Chart!$D$17</c:f>
              <c:strCache>
                <c:ptCount val="1"/>
                <c:pt idx="0">
                  <c:v>21,078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Chart!$F$17</c:f>
              <c:numCache>
                <c:formatCode>0%</c:formatCode>
                <c:ptCount val="1"/>
                <c:pt idx="0">
                  <c:v>0.84312923940935169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E-5715-4FD4-8A93-5FDB95FB505A}"/>
            </c:ext>
          </c:extLst>
        </c:ser>
        <c:ser>
          <c:idx val="4"/>
          <c:order val="2"/>
          <c:tx>
            <c:strRef>
              <c:f>Chart!$C$9</c:f>
              <c:strCache>
                <c:ptCount val="1"/>
                <c:pt idx="0">
                  <c:v>Chi phí sản xuất</c:v>
                </c:pt>
              </c:strCache>
            </c:strRef>
          </c:tx>
          <c:spPr>
            <a:solidFill>
              <a:schemeClr val="bg2">
                <a:lumMod val="9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A4A099C6-1627-4BA2-9D3C-4A62170B5620}" type="CELLRANGE">
                      <a:rPr lang="en-US" baseline="0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5F594392-741C-4E9A-B7C6-45AA7F852735}" type="SERIESNAME">
                      <a:rPr lang="en-US" baseline="0"/>
                      <a:pPr/>
                      <a:t>[SERIES NAME]</a:t>
                    </a:fld>
                    <a:r>
                      <a:rPr lang="en-US" baseline="0"/>
                      <a:t>, </a:t>
                    </a:r>
                    <a:fld id="{BB314D4A-5E9C-46E6-8C10-0CD6D027551B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60858517872451823"/>
                      <c:h val="0.12903773460311113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5715-4FD4-8A93-5FDB95FB505A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Chart!$D$9</c:f>
              <c:numCache>
                <c:formatCode>#,##0</c:formatCode>
                <c:ptCount val="1"/>
                <c:pt idx="0">
                  <c:v>5961.9519154663485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Chart!$F$9</c15:f>
                <c15:dlblRangeCache>
                  <c:ptCount val="1"/>
                  <c:pt idx="0">
                    <c:v>24%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3-5715-4FD4-8A93-5FDB95FB505A}"/>
            </c:ext>
          </c:extLst>
        </c:ser>
        <c:ser>
          <c:idx val="3"/>
          <c:order val="3"/>
          <c:tx>
            <c:strRef>
              <c:f>Chart!$C$8</c:f>
              <c:strCache>
                <c:ptCount val="1"/>
                <c:pt idx="0">
                  <c:v>Hao hụt về tiền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2.364466957815306E-2"/>
                  <c:y val="-1.8275469847657674E-3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300" b="1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4E1857DD-1A54-492C-AD0E-43E1B8BB81B6}" type="CELLRANGE">
                      <a:rPr lang="en-US" b="1" baseline="0"/>
                      <a:pPr>
                        <a:defRPr sz="1300" b="1"/>
                      </a:pPr>
                      <a:t>[CELLRANGE]</a:t>
                    </a:fld>
                    <a:r>
                      <a:rPr lang="en-US" b="1" baseline="0"/>
                      <a:t>; </a:t>
                    </a:r>
                    <a:fld id="{05E6E065-123E-4EFB-91FD-6372986A3896}" type="SERIESNAME">
                      <a:rPr lang="en-US" b="1" baseline="0"/>
                      <a:pPr>
                        <a:defRPr sz="1300" b="1"/>
                      </a:pPr>
                      <a:t>[SERIES NAME]</a:t>
                    </a:fld>
                    <a:r>
                      <a:rPr lang="en-US" b="1" baseline="0"/>
                      <a:t>; </a:t>
                    </a:r>
                    <a:fld id="{34842313-267F-450F-9B77-7EFC51D20201}" type="VALUE">
                      <a:rPr lang="en-US" b="1" baseline="0"/>
                      <a:pPr>
                        <a:defRPr sz="1300" b="1"/>
                      </a:pPr>
                      <a:t>[VALUE]</a:t>
                    </a:fld>
                    <a:endParaRPr lang="en-US" b="1" baseline="0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3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74508743316400239"/>
                      <c:h val="7.4383547867277147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5715-4FD4-8A93-5FDB95FB505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Chart!$D$8</c:f>
              <c:numCache>
                <c:formatCode>#,##0</c:formatCode>
                <c:ptCount val="1"/>
                <c:pt idx="0">
                  <c:v>1820.0000000000002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Chart!$F$8</c15:f>
                <c15:dlblRangeCache>
                  <c:ptCount val="1"/>
                  <c:pt idx="0">
                    <c:v>7%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5-5715-4FD4-8A93-5FDB95FB505A}"/>
            </c:ext>
          </c:extLst>
        </c:ser>
        <c:ser>
          <c:idx val="5"/>
          <c:order val="4"/>
          <c:tx>
            <c:strRef>
              <c:f>'[1]10-11. Chart 100% chai'!$C$10</c:f>
              <c:strCache>
                <c:ptCount val="1"/>
                <c:pt idx="0">
                  <c:v>Chi phí nhân công</c:v>
                </c:pt>
              </c:strCache>
              <c:extLst xmlns:c15="http://schemas.microsoft.com/office/drawing/2012/chart"/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'[2]10-11'!$E$10</c:f>
              <c:numCache>
                <c:formatCode>"$"#,##0</c:formatCode>
                <c:ptCount val="1"/>
                <c:pt idx="0">
                  <c:v>91.232532963782404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F-5715-4FD4-8A93-5FDB95FB505A}"/>
            </c:ext>
          </c:extLst>
        </c:ser>
        <c:ser>
          <c:idx val="6"/>
          <c:order val="5"/>
          <c:tx>
            <c:strRef>
              <c:f>'[1]10-11. Chart 100% chai'!$C$11</c:f>
              <c:strCache>
                <c:ptCount val="1"/>
                <c:pt idx="0">
                  <c:v>Khấu hao</c:v>
                </c:pt>
              </c:strCache>
              <c:extLst xmlns:c15="http://schemas.microsoft.com/office/drawing/2012/chart"/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'[2]10-11'!$E$11</c:f>
              <c:numCache>
                <c:formatCode>"$"#,##0</c:formatCode>
                <c:ptCount val="1"/>
                <c:pt idx="0">
                  <c:v>14.129306967205435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10-5715-4FD4-8A93-5FDB95FB505A}"/>
            </c:ext>
          </c:extLst>
        </c:ser>
        <c:ser>
          <c:idx val="7"/>
          <c:order val="6"/>
          <c:tx>
            <c:strRef>
              <c:f>'[1]10-11. Chart 100% chai'!$C$12</c:f>
              <c:strCache>
                <c:ptCount val="1"/>
                <c:pt idx="0">
                  <c:v>Chi phí gián tiếp</c:v>
                </c:pt>
              </c:strCache>
              <c:extLst xmlns:c15="http://schemas.microsoft.com/office/drawing/2012/chart"/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'[2]10-11'!$E$12</c:f>
              <c:numCache>
                <c:formatCode>"$"#,##0</c:formatCode>
                <c:ptCount val="1"/>
                <c:pt idx="0">
                  <c:v>51.350543929788984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11-5715-4FD4-8A93-5FDB95FB505A}"/>
            </c:ext>
          </c:extLst>
        </c:ser>
        <c:ser>
          <c:idx val="8"/>
          <c:order val="7"/>
          <c:tx>
            <c:strRef>
              <c:f>'[1]10-11. Chart 100% chai'!$C$13</c:f>
              <c:strCache>
                <c:ptCount val="1"/>
                <c:pt idx="0">
                  <c:v>Điện</c:v>
                </c:pt>
              </c:strCache>
              <c:extLst xmlns:c15="http://schemas.microsoft.com/office/drawing/2012/chart"/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'[2]10-11'!$E$13</c:f>
              <c:numCache>
                <c:formatCode>"$"#,##0</c:formatCode>
                <c:ptCount val="1"/>
                <c:pt idx="0">
                  <c:v>119.46514877514076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12-5715-4FD4-8A93-5FDB95FB505A}"/>
            </c:ext>
          </c:extLst>
        </c:ser>
        <c:ser>
          <c:idx val="10"/>
          <c:order val="8"/>
          <c:tx>
            <c:strRef>
              <c:f>'[1]10-11. Chart 100% chai'!$C$14</c:f>
              <c:strCache>
                <c:ptCount val="1"/>
                <c:pt idx="0">
                  <c:v>Đóng gói</c:v>
                </c:pt>
              </c:strCache>
              <c:extLst xmlns:c15="http://schemas.microsoft.com/office/drawing/2012/chart"/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'[2]10-11'!$E$14</c:f>
              <c:numCache>
                <c:formatCode>"$"#,##0</c:formatCode>
                <c:ptCount val="1"/>
                <c:pt idx="0">
                  <c:v>14.743979416809605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13-5715-4FD4-8A93-5FDB95FB505A}"/>
            </c:ext>
          </c:extLst>
        </c:ser>
        <c:ser>
          <c:idx val="11"/>
          <c:order val="9"/>
          <c:tx>
            <c:strRef>
              <c:f>'[1]10-11. Chart 100% chai'!$C$15</c:f>
              <c:strCache>
                <c:ptCount val="1"/>
                <c:pt idx="0">
                  <c:v>Hóa chất</c:v>
                </c:pt>
              </c:strCache>
              <c:extLst xmlns:c15="http://schemas.microsoft.com/office/drawing/2012/chart"/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'[2]10-11'!$E$15</c:f>
              <c:numCache>
                <c:formatCode>"$"#,##0</c:formatCode>
                <c:ptCount val="1"/>
                <c:pt idx="0">
                  <c:v>12.369185349611543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14-5715-4FD4-8A93-5FDB95FB505A}"/>
            </c:ext>
          </c:extLst>
        </c:ser>
        <c:ser>
          <c:idx val="12"/>
          <c:order val="10"/>
          <c:tx>
            <c:strRef>
              <c:f>'[1]10-11. Chart 100% chai'!$C$16</c:f>
              <c:strCache>
                <c:ptCount val="1"/>
                <c:pt idx="0">
                  <c:v>Nước</c:v>
                </c:pt>
              </c:strCache>
              <c:extLst xmlns:c15="http://schemas.microsoft.com/office/drawing/2012/chart"/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'[2]10-11'!$E$16</c:f>
              <c:numCache>
                <c:formatCode>"$"#,##0</c:formatCode>
                <c:ptCount val="1"/>
                <c:pt idx="0">
                  <c:v>0.76983504204562281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15-5715-4FD4-8A93-5FDB95FB505A}"/>
            </c:ext>
          </c:extLst>
        </c:ser>
        <c:ser>
          <c:idx val="13"/>
          <c:order val="11"/>
          <c:tx>
            <c:strRef>
              <c:f>'[1]10-11. Chart 100% chai'!$C$17</c:f>
              <c:strCache>
                <c:ptCount val="1"/>
                <c:pt idx="0">
                  <c:v>Giá thành (A+B+C)</c:v>
                </c:pt>
              </c:strCache>
              <c:extLst xmlns:c15="http://schemas.microsoft.com/office/drawing/2012/chart"/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'[2]10-11'!$E$17</c:f>
              <c:numCache>
                <c:formatCode>"$"#,##0</c:formatCode>
                <c:ptCount val="1"/>
                <c:pt idx="0">
                  <c:v>985.17575418343506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16-5715-4FD4-8A93-5FDB95FB505A}"/>
            </c:ext>
          </c:extLst>
        </c:ser>
        <c:ser>
          <c:idx val="2"/>
          <c:order val="12"/>
          <c:tx>
            <c:strRef>
              <c:f>Chart!$C$18</c:f>
              <c:strCache>
                <c:ptCount val="1"/>
                <c:pt idx="0">
                  <c:v>CP quản lý, bán hàng, lãi vay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1.8266003327774255E-2"/>
                  <c:y val="2.7334401922625894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300" b="1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3D989144-FB4A-4F85-A840-D02507A8545D}" type="CELLRANGE">
                      <a:rPr lang="en-US" b="1" baseline="0"/>
                      <a:pPr>
                        <a:defRPr sz="1300" b="1"/>
                      </a:pPr>
                      <a:t>[CELLRANGE]</a:t>
                    </a:fld>
                    <a:r>
                      <a:rPr lang="en-US" b="1" baseline="0"/>
                      <a:t>; </a:t>
                    </a:r>
                    <a:fld id="{5827A774-F9E7-4F01-92DB-49579860DC18}" type="SERIESNAME">
                      <a:rPr lang="en-US" b="1" baseline="0"/>
                      <a:pPr>
                        <a:defRPr sz="1300" b="1"/>
                      </a:pPr>
                      <a:t>[SERIES NAME]</a:t>
                    </a:fld>
                    <a:r>
                      <a:rPr lang="en-US" b="1" baseline="0"/>
                      <a:t>; </a:t>
                    </a:r>
                    <a:fld id="{68A14EC6-C537-4BBF-BB27-F0E545B867A4}" type="VALUE">
                      <a:rPr lang="en-US" b="1" baseline="0"/>
                      <a:pPr>
                        <a:defRPr sz="1300" b="1"/>
                      </a:pPr>
                      <a:t>[VALUE]</a:t>
                    </a:fld>
                    <a:endParaRPr lang="en-US" b="1" baseline="0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3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80089541801408715"/>
                      <c:h val="6.0500781223299938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5715-4FD4-8A93-5FDB95FB505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Chart!$D$18</c:f>
              <c:numCache>
                <c:formatCode>#,##0</c:formatCode>
                <c:ptCount val="1"/>
                <c:pt idx="0">
                  <c:v>2500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Chart!$F$18</c15:f>
                <c15:dlblRangeCache>
                  <c:ptCount val="1"/>
                  <c:pt idx="0">
                    <c:v>10%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7-5715-4FD4-8A93-5FDB95FB505A}"/>
            </c:ext>
          </c:extLst>
        </c:ser>
        <c:ser>
          <c:idx val="14"/>
          <c:order val="13"/>
          <c:tx>
            <c:strRef>
              <c:f>Chart!$C$23</c:f>
              <c:strCache>
                <c:ptCount val="1"/>
                <c:pt idx="0">
                  <c:v>Thuế thu nhập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1.0498132983200506E-2"/>
                  <c:y val="1.9766252635064641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300" b="1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1057EF5C-8C23-490D-9E51-E3BA43556370}" type="CELLRANGE">
                      <a:rPr lang="en-US" b="1" baseline="0"/>
                      <a:pPr>
                        <a:defRPr sz="1300" b="1"/>
                      </a:pPr>
                      <a:t>[CELLRANGE]</a:t>
                    </a:fld>
                    <a:r>
                      <a:rPr lang="en-US" b="1" baseline="0"/>
                      <a:t>; </a:t>
                    </a:r>
                    <a:fld id="{4EC877A1-A7CE-45D7-AD64-6F7460A93EF0}" type="SERIESNAME">
                      <a:rPr lang="en-US" b="1" baseline="0"/>
                      <a:pPr>
                        <a:defRPr sz="1300" b="1"/>
                      </a:pPr>
                      <a:t>[SERIES NAME]</a:t>
                    </a:fld>
                    <a:r>
                      <a:rPr lang="en-US" b="1" baseline="0"/>
                      <a:t>; </a:t>
                    </a:r>
                    <a:fld id="{1F65086C-3A07-41F7-B99B-8D3A8E7E73AC}" type="VALUE">
                      <a:rPr lang="en-US" b="1" baseline="0"/>
                      <a:pPr>
                        <a:defRPr sz="1300" b="1"/>
                      </a:pPr>
                      <a:t>[VALUE]</a:t>
                    </a:fld>
                    <a:endParaRPr lang="en-US" b="1" baseline="0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3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74362743300745604"/>
                      <c:h val="3.7896535675054938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5715-4FD4-8A93-5FDB95FB505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Chart!$D$23</c:f>
              <c:numCache>
                <c:formatCode>#,##0</c:formatCode>
                <c:ptCount val="1"/>
                <c:pt idx="0">
                  <c:v>236.96150246103454</c:v>
                </c:pt>
              </c:numCache>
            </c:numRef>
          </c:val>
          <c:extLst xmlns:c15="http://schemas.microsoft.com/office/drawing/2012/chart">
            <c:ext xmlns:c15="http://schemas.microsoft.com/office/drawing/2012/chart" uri="{02D57815-91ED-43cb-92C2-25804820EDAC}">
              <c15:datalabelsRange>
                <c15:f>Chart!$F$23</c15:f>
                <c15:dlblRangeCache>
                  <c:ptCount val="1"/>
                  <c:pt idx="0">
                    <c:v>0.9%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9-5715-4FD4-8A93-5FDB95FB505A}"/>
            </c:ext>
          </c:extLst>
        </c:ser>
        <c:ser>
          <c:idx val="15"/>
          <c:order val="14"/>
          <c:tx>
            <c:strRef>
              <c:f>Chart!$C$24</c:f>
              <c:strCache>
                <c:ptCount val="1"/>
                <c:pt idx="0">
                  <c:v>Lợi nhuận sau thuế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3.8886646226066655E-3"/>
                  <c:y val="2.4562908694135202E-3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300" b="1" i="0" u="none" strike="noStrike" kern="1200" baseline="0">
                        <a:solidFill>
                          <a:srgbClr val="FF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27319E81-F4E0-4950-8AC4-8550DC83B4EE}" type="CELLRANGE">
                      <a:rPr lang="en-US" b="1" baseline="0">
                        <a:solidFill>
                          <a:srgbClr val="FF0000"/>
                        </a:solidFill>
                      </a:rPr>
                      <a:pPr>
                        <a:defRPr sz="1300" b="1">
                          <a:solidFill>
                            <a:srgbClr val="FF0000"/>
                          </a:solidFill>
                        </a:defRPr>
                      </a:pPr>
                      <a:t>[CELLRANGE]</a:t>
                    </a:fld>
                    <a:r>
                      <a:rPr lang="en-US" b="1" baseline="0">
                        <a:solidFill>
                          <a:srgbClr val="FF0000"/>
                        </a:solidFill>
                      </a:rPr>
                      <a:t>; </a:t>
                    </a:r>
                    <a:fld id="{3B8340B7-421C-46F7-A9D7-A2C01DF380D7}" type="SERIESNAME">
                      <a:rPr lang="en-US" b="1" baseline="0">
                        <a:solidFill>
                          <a:srgbClr val="FF0000"/>
                        </a:solidFill>
                      </a:rPr>
                      <a:pPr>
                        <a:defRPr sz="1300" b="1">
                          <a:solidFill>
                            <a:srgbClr val="FF0000"/>
                          </a:solidFill>
                        </a:defRPr>
                      </a:pPr>
                      <a:t>[SERIES NAME]</a:t>
                    </a:fld>
                    <a:r>
                      <a:rPr lang="en-US" b="1" baseline="0">
                        <a:solidFill>
                          <a:srgbClr val="FF0000"/>
                        </a:solidFill>
                      </a:rPr>
                      <a:t>; </a:t>
                    </a:r>
                    <a:fld id="{6C876BFA-665A-4C7A-9CD4-8E9D3B71B363}" type="VALUE">
                      <a:rPr lang="en-US" b="1" baseline="0">
                        <a:solidFill>
                          <a:srgbClr val="FF0000"/>
                        </a:solidFill>
                      </a:rPr>
                      <a:pPr>
                        <a:defRPr sz="1300" b="1">
                          <a:solidFill>
                            <a:srgbClr val="FF0000"/>
                          </a:solidFill>
                        </a:defRPr>
                      </a:pPr>
                      <a:t>[VALUE]</a:t>
                    </a:fld>
                    <a:endParaRPr lang="en-US" b="1" baseline="0">
                      <a:solidFill>
                        <a:srgbClr val="FF0000"/>
                      </a:solidFill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300" b="1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86466078684286085"/>
                      <c:h val="4.6858080163529672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5715-4FD4-8A93-5FDB95FB505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Chart!$D$24</c:f>
              <c:numCache>
                <c:formatCode>#,##0</c:formatCode>
                <c:ptCount val="1"/>
                <c:pt idx="0">
                  <c:v>1184.8075123051726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Chart!$F$24</c15:f>
                <c15:dlblRangeCache>
                  <c:ptCount val="1"/>
                  <c:pt idx="0">
                    <c:v>5%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B-5715-4FD4-8A93-5FDB95FB50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336187152"/>
        <c:axId val="336190512"/>
        <c:extLst/>
      </c:barChart>
      <c:lineChart>
        <c:grouping val="standard"/>
        <c:varyColors val="0"/>
        <c:ser>
          <c:idx val="16"/>
          <c:order val="15"/>
          <c:tx>
            <c:strRef>
              <c:f>Chart!$C$25</c:f>
              <c:strCache>
                <c:ptCount val="1"/>
                <c:pt idx="0">
                  <c:v>Giá bán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0.2247536544445641"/>
                  <c:y val="-0.1526128926171077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800" b="1" i="0" u="none" strike="noStrike" kern="1200" baseline="0">
                        <a:solidFill>
                          <a:srgbClr val="FF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D59CB20A-519B-4BEC-9438-9A390BEF08C4}" type="CELLRANGE">
                      <a:rPr lang="en-US"/>
                      <a:pPr>
                        <a:defRPr sz="1800" b="1">
                          <a:solidFill>
                            <a:srgbClr val="FF0000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numFmt formatCode="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800" b="1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2989700489866303"/>
                      <c:h val="7.1915946247884333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5715-4FD4-8A93-5FDB95FB505A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val>
            <c:numRef>
              <c:f>Chart!$D$25</c:f>
              <c:numCache>
                <c:formatCode>#,##0</c:formatCode>
                <c:ptCount val="1"/>
                <c:pt idx="0">
                  <c:v>25000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'[2]10-11'!$E$5</c15:sqref>
                        </c15:formulaRef>
                      </c:ext>
                    </c:extLst>
                    <c:strCache>
                      <c:ptCount val="1"/>
                      <c:pt idx="0">
                        <c:v>Đơn giá
USD /Tấn</c:v>
                      </c:pt>
                    </c:strCache>
                  </c:strRef>
                </c15:cat>
              </c15:filteredCategoryTitle>
            </c:ext>
            <c:ext xmlns:c15="http://schemas.microsoft.com/office/drawing/2012/chart" uri="{02D57815-91ED-43cb-92C2-25804820EDAC}">
              <c15:datalabelsRange>
                <c15:f>Chart!$D$25</c15:f>
                <c15:dlblRangeCache>
                  <c:ptCount val="1"/>
                  <c:pt idx="0">
                    <c:v>25,000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D-5715-4FD4-8A93-5FDB95FB50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6187152"/>
        <c:axId val="336190512"/>
        <c:extLst>
          <c:ext xmlns:c15="http://schemas.microsoft.com/office/drawing/2012/chart" uri="{02D57815-91ED-43cb-92C2-25804820EDAC}">
            <c15:filteredLineSeries>
              <c15:ser>
                <c:idx val="9"/>
                <c:order val="16"/>
                <c:tx>
                  <c:strRef>
                    <c:extLst>
                      <c:ext uri="{02D57815-91ED-43cb-92C2-25804820EDAC}">
                        <c15:formulaRef>
                          <c15:sqref>Chart!$F$5</c15:sqref>
                        </c15:formulaRef>
                      </c:ext>
                    </c:extLst>
                    <c:strCache>
                      <c:ptCount val="1"/>
                      <c:pt idx="0">
                        <c:v>Cơ cấu % chi phí /Giá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Chart!$F$18</c15:sqref>
                        </c15:formulaRef>
                      </c:ext>
                    </c:extLst>
                    <c:numCache>
                      <c:formatCode>0%</c:formatCode>
                      <c:ptCount val="1"/>
                      <c:pt idx="0">
                        <c:v>0.1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18-5715-4FD4-8A93-5FDB95FB505A}"/>
                  </c:ext>
                </c:extLst>
              </c15:ser>
            </c15:filteredLineSeries>
          </c:ext>
        </c:extLst>
      </c:lineChart>
      <c:catAx>
        <c:axId val="33618715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336190512"/>
        <c:crosses val="autoZero"/>
        <c:auto val="1"/>
        <c:lblAlgn val="ctr"/>
        <c:lblOffset val="100"/>
        <c:noMultiLvlLbl val="0"/>
      </c:catAx>
      <c:valAx>
        <c:axId val="336190512"/>
        <c:scaling>
          <c:orientation val="minMax"/>
          <c:min val="-10"/>
        </c:scaling>
        <c:delete val="1"/>
        <c:axPos val="l"/>
        <c:numFmt formatCode="#,##0" sourceLinked="1"/>
        <c:majorTickMark val="out"/>
        <c:minorTickMark val="none"/>
        <c:tickLblPos val="nextTo"/>
        <c:crossAx val="336187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0070C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80818</xdr:colOff>
      <xdr:row>4</xdr:row>
      <xdr:rowOff>103909</xdr:rowOff>
    </xdr:from>
    <xdr:to>
      <xdr:col>21</xdr:col>
      <xdr:colOff>184727</xdr:colOff>
      <xdr:row>28</xdr:row>
      <xdr:rowOff>138545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A38F8B6-E117-4812-8F2E-06B8D6AA72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381001</xdr:colOff>
      <xdr:row>0</xdr:row>
      <xdr:rowOff>115455</xdr:rowOff>
    </xdr:from>
    <xdr:to>
      <xdr:col>20</xdr:col>
      <xdr:colOff>415635</xdr:colOff>
      <xdr:row>4</xdr:row>
      <xdr:rowOff>92365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A82D6B27-B5C6-4427-BD37-56566140471A}"/>
            </a:ext>
          </a:extLst>
        </xdr:cNvPr>
        <xdr:cNvSpPr/>
      </xdr:nvSpPr>
      <xdr:spPr>
        <a:xfrm>
          <a:off x="13635183" y="115455"/>
          <a:ext cx="3151907" cy="1096819"/>
        </a:xfrm>
        <a:prstGeom prst="ellipse">
          <a:avLst/>
        </a:prstGeom>
        <a:noFill/>
        <a:ln w="12700">
          <a:solidFill>
            <a:schemeClr val="accent4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KINH%20DOANH/T&#237;nh%20rPET%20Lavie/01.%20Gia%20thanh%20k&#7871;%20ho&#7841;ch%20hat%20rPET%20T02.2026%20-%20PA%20t&#259;ng%2020%25%20B7.1.xlsx" TargetMode="External"/><Relationship Id="rId2" Type="http://schemas.openxmlformats.org/officeDocument/2006/relationships/externalLinkPath" Target="file:///C:\Data\KINH%20DOANH\T&#237;nh%20rPET%20Lavie\01.%20Gia%20thanh%20k&#7871;%20ho&#7841;ch%20hat%20rPET%20T02.2026%20-%20PA%20t&#259;ng%2020%25%20B7.1.xlsx" TargetMode="External"/><Relationship Id="rId1" Type="http://schemas.openxmlformats.org/officeDocument/2006/relationships/externalLinkPath" Target="/Data/KINH%20DOANH/T&#237;nh%20rPET%20Lavie/01.%20Gia%20thanh%20k&#7871;%20ho&#7841;ch%20hat%20rPET%20T02.2026%20-%20PA%20t&#259;ng%2020%25%20B7.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10-11.%20Chart%20100%25%20chai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Data\D&#432;%20&#225;n%20d&#226;y%20&#273;ai%20&#273;&#7841;i%20l&#7897;c\H&#432;&#417;ng\B&#7843;ng%20t&#237;nh%20gi&#225;\DLOC%20-%20SX%20Day%20Dai%202026%20CT.xlsx" TargetMode="External"/><Relationship Id="rId1" Type="http://schemas.openxmlformats.org/officeDocument/2006/relationships/externalLinkPath" Target="DLOC%20-%20SX%20Day%20Dai%202026%20C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THÔNG TIN CHUNG"/>
      <sheetName val="Danh mục"/>
      <sheetName val="Giá thành"/>
      <sheetName val="Bìa"/>
      <sheetName val="BC Giá bán_ A Thạch"/>
      <sheetName val="TH Giá bán"/>
      <sheetName val="CP Công đoạn"/>
      <sheetName val="1.1.Tính giá NVL"/>
      <sheetName val="1. Đơn giá NVL"/>
      <sheetName val="2. Hiệu suất máy"/>
      <sheetName val="3. Tỷ lệ hao hụt"/>
      <sheetName val="4. Chi phí"/>
      <sheetName val="4.1 Data chi phí"/>
      <sheetName val="4.2 Trừ tiền thuê máy"/>
      <sheetName val="4.2 Phân bổ khấu hao"/>
      <sheetName val="5. Tiêu thức phân bổ"/>
      <sheetName val="Từ chai ra hạt WSS01-iSS01 (2)"/>
      <sheetName val="10. 100% chai-&gt;hạt WSS01-iSS01"/>
      <sheetName val="11. 100% chai-&gt;hạt iSS01084G"/>
      <sheetName val="10-11. Chart 100% chai"/>
      <sheetName val="12. 100% vảy-&gt;hạt WSS01-iSS01"/>
      <sheetName val="13. 100% vảy-&gt;hạt iSS01084G"/>
      <sheetName val="12-13. Chart_100% vảy"/>
      <sheetName val="14. 50%chai+50%vảy-&gt;WSS01-iSS01"/>
      <sheetName val="15. 50%chai+50%vảy-&gt;ISS01084G"/>
      <sheetName val="14-15. Chart_50% chai + 50% vảy"/>
      <sheetName val="14-15. Chart_50chai + 50vảy B0"/>
      <sheetName val="16. Hạt ISS01L"/>
      <sheetName val="TH"/>
      <sheetName val="17. Hạt WSS01 V2"/>
      <sheetName val="17. Hạt WSS01"/>
      <sheetName val="16.1 Rửa vảy B7"/>
      <sheetName val="16. Chart_ISS01L"/>
      <sheetName val="17. Hạt WSS01G-L"/>
      <sheetName val="16.1 Rửa vảy B7_V2"/>
      <sheetName val="18. Hạt WSS01L"/>
      <sheetName val="18. Vảy B5"/>
      <sheetName val="19. ISS01G-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6">
          <cell r="C6" t="str">
            <v>Chi phí nguyên vật liệu</v>
          </cell>
        </row>
        <row r="9">
          <cell r="F9">
            <v>0.26212114865895209</v>
          </cell>
        </row>
        <row r="10">
          <cell r="C10" t="str">
            <v>Chi phí nhân công</v>
          </cell>
        </row>
        <row r="11">
          <cell r="C11" t="str">
            <v>Khấu hao</v>
          </cell>
        </row>
        <row r="12">
          <cell r="C12" t="str">
            <v>Chi phí gián tiếp</v>
          </cell>
        </row>
        <row r="13">
          <cell r="C13" t="str">
            <v>Điện</v>
          </cell>
        </row>
        <row r="14">
          <cell r="C14" t="str">
            <v>Đóng gói</v>
          </cell>
        </row>
        <row r="15">
          <cell r="C15" t="str">
            <v>Hóa chất</v>
          </cell>
        </row>
        <row r="16">
          <cell r="C16" t="str">
            <v>Nước</v>
          </cell>
        </row>
        <row r="17">
          <cell r="C17" t="str">
            <v>Giá thành (A+B+C)</v>
          </cell>
        </row>
      </sheetData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0-11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QKD Day Dai"/>
      <sheetName val="Cong suat"/>
      <sheetName val="Dinh muc"/>
      <sheetName val="CPSX"/>
      <sheetName val="CPSX Kg"/>
      <sheetName val="CPBH"/>
      <sheetName val="CPBH Kg"/>
      <sheetName val="4.Doanh thu"/>
      <sheetName val="1.NVL"/>
      <sheetName val="2.Hao hut"/>
      <sheetName val="3.Thanh pham"/>
      <sheetName val="PB_TSCD DC"/>
    </sheetNames>
    <sheetDataSet>
      <sheetData sheetId="0" refreshError="1"/>
      <sheetData sheetId="1" refreshError="1"/>
      <sheetData sheetId="2">
        <row r="6">
          <cell r="I6">
            <v>335.91731266149867</v>
          </cell>
        </row>
        <row r="10">
          <cell r="I10">
            <v>565.16472868217056</v>
          </cell>
        </row>
        <row r="14">
          <cell r="G14">
            <v>2569.7674418604652</v>
          </cell>
        </row>
        <row r="15">
          <cell r="K15">
            <v>1997.8779069767443</v>
          </cell>
        </row>
        <row r="18">
          <cell r="G18">
            <v>166.66666666666666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11">
          <cell r="E11">
            <v>0.14000000000000001</v>
          </cell>
        </row>
        <row r="29">
          <cell r="E29">
            <v>0.86</v>
          </cell>
        </row>
      </sheetData>
      <sheetData sheetId="10" refreshError="1"/>
      <sheetData sheetId="11">
        <row r="32">
          <cell r="AR32">
            <v>326.55785861880378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Cư, Lê Hoành" id="{974FC413-D1F7-4A0E-BD8F-5C19AEDF9D8E}" userId="S::CuLH@duytanrecycling.com::8040f1d9-fc08-4340-919f-e31835b09669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64" dT="2026-03-28T02:42:47.02" personId="{974FC413-D1F7-4A0E-BD8F-5C19AEDF9D8E}" id="{71709BC6-9A00-4CF1-8D92-503A33142033}">
    <text xml:space="preserve">Kiểm tra BOM vảy mixed/TP dây đai
</text>
  </threadedComment>
  <threadedComment ref="I68" dT="2026-03-28T02:45:49.46" personId="{974FC413-D1F7-4A0E-BD8F-5C19AEDF9D8E}" id="{54D20850-3CA9-4554-B3C1-FFFBB62F833B}">
    <text>Check phế phẩm bán giá bao nhiêu?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H64" dT="2026-03-28T02:42:47.02" personId="{974FC413-D1F7-4A0E-BD8F-5C19AEDF9D8E}" id="{442EA066-C149-4114-BAA7-88E7AF06E57C}">
    <text xml:space="preserve">Kiểm tra BOM vảy mixed/TP dây đai
</text>
  </threadedComment>
  <threadedComment ref="I68" dT="2026-03-28T02:45:49.46" personId="{974FC413-D1F7-4A0E-BD8F-5C19AEDF9D8E}" id="{BAF6F446-2E70-4F4D-9DA1-D6C5EC00630D}">
    <text>Check phế phẩm bán giá bao nhiêu?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H64" dT="2026-03-28T02:42:47.02" personId="{974FC413-D1F7-4A0E-BD8F-5C19AEDF9D8E}" id="{4AA465E4-DE55-475F-BE76-F394A7847FF3}">
    <text xml:space="preserve">Kiểm tra BOM vảy mixed/TP dây đai
</text>
  </threadedComment>
  <threadedComment ref="I68" dT="2026-03-28T02:45:49.46" personId="{974FC413-D1F7-4A0E-BD8F-5C19AEDF9D8E}" id="{CC0D88EE-DB34-4FF4-ACB6-D80CEAC21F96}">
    <text>Check phế phẩm bán giá bao nhiêu?</text>
  </threadedComment>
</ThreadedComment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8E56A-D9AD-40E3-A2D4-7550E2E03BDE}">
  <sheetPr>
    <tabColor rgb="FF00B050"/>
  </sheetPr>
  <dimension ref="A3:N21"/>
  <sheetViews>
    <sheetView zoomScale="85" zoomScaleNormal="85" workbookViewId="0">
      <selection activeCell="G22" sqref="G22"/>
    </sheetView>
  </sheetViews>
  <sheetFormatPr defaultColWidth="8.90625" defaultRowHeight="14.5" x14ac:dyDescent="0.35"/>
  <cols>
    <col min="1" max="1" width="8.90625" style="105"/>
    <col min="2" max="2" width="12.7265625" style="105" customWidth="1"/>
    <col min="3" max="3" width="21.54296875" style="105" customWidth="1"/>
    <col min="4" max="4" width="20.1796875" style="105" customWidth="1"/>
    <col min="5" max="5" width="11.36328125" style="105" customWidth="1"/>
    <col min="6" max="6" width="11.453125" style="105" customWidth="1"/>
    <col min="7" max="7" width="14.08984375" style="105" customWidth="1"/>
    <col min="8" max="8" width="13.08984375" style="105" customWidth="1"/>
    <col min="9" max="9" width="15.6328125" style="105" customWidth="1"/>
    <col min="10" max="10" width="13.453125" style="105" customWidth="1"/>
    <col min="11" max="11" width="14.36328125" style="105" customWidth="1"/>
    <col min="12" max="12" width="13.81640625" style="105" customWidth="1"/>
    <col min="13" max="13" width="8.90625" style="105"/>
    <col min="14" max="14" width="0" style="105" hidden="1" customWidth="1"/>
    <col min="15" max="16384" width="8.90625" style="105"/>
  </cols>
  <sheetData>
    <row r="3" spans="1:14" ht="23.5" x14ac:dyDescent="0.55000000000000004">
      <c r="A3" s="106" t="s">
        <v>188</v>
      </c>
    </row>
    <row r="4" spans="1:14" x14ac:dyDescent="0.35">
      <c r="I4" s="105" t="s">
        <v>209</v>
      </c>
      <c r="K4" s="105" t="s">
        <v>208</v>
      </c>
    </row>
    <row r="5" spans="1:14" ht="43.5" x14ac:dyDescent="0.35">
      <c r="A5" s="107" t="s">
        <v>99</v>
      </c>
      <c r="B5" s="107" t="s">
        <v>100</v>
      </c>
      <c r="C5" s="107" t="s">
        <v>101</v>
      </c>
      <c r="D5" s="107" t="s">
        <v>171</v>
      </c>
      <c r="E5" s="107" t="s">
        <v>174</v>
      </c>
      <c r="F5" s="107" t="s">
        <v>115</v>
      </c>
      <c r="G5" s="107" t="s">
        <v>140</v>
      </c>
      <c r="H5" s="107" t="s">
        <v>138</v>
      </c>
      <c r="I5" s="107" t="s">
        <v>139</v>
      </c>
      <c r="J5" s="107" t="s">
        <v>176</v>
      </c>
      <c r="K5" s="107" t="s">
        <v>177</v>
      </c>
      <c r="L5" s="116" t="s">
        <v>172</v>
      </c>
    </row>
    <row r="6" spans="1:14" ht="16.25" customHeight="1" x14ac:dyDescent="0.35">
      <c r="A6" s="108">
        <v>1</v>
      </c>
      <c r="B6" s="156"/>
      <c r="C6" s="109" t="s">
        <v>180</v>
      </c>
      <c r="D6" s="158" t="s">
        <v>183</v>
      </c>
      <c r="E6" s="158">
        <v>20</v>
      </c>
      <c r="F6" s="111">
        <f>+'DĐ RPE1609'!J105</f>
        <v>23578.230985233793</v>
      </c>
      <c r="G6" s="160">
        <v>25000</v>
      </c>
      <c r="H6" s="117">
        <f>F6*E6</f>
        <v>471564.61970467586</v>
      </c>
      <c r="I6" s="160">
        <f>G6*E6</f>
        <v>500000</v>
      </c>
      <c r="J6" s="112">
        <f>+I6-H6</f>
        <v>28435.380295324139</v>
      </c>
      <c r="K6" s="200">
        <f>+J6/I6</f>
        <v>5.687076059064828E-2</v>
      </c>
      <c r="L6" s="117"/>
      <c r="N6" s="155">
        <v>24000</v>
      </c>
    </row>
    <row r="7" spans="1:14" ht="16.25" customHeight="1" x14ac:dyDescent="0.35">
      <c r="A7" s="110">
        <v>2</v>
      </c>
      <c r="B7" s="157"/>
      <c r="C7" s="109" t="s">
        <v>181</v>
      </c>
      <c r="D7" s="158" t="s">
        <v>182</v>
      </c>
      <c r="E7" s="158">
        <v>20</v>
      </c>
      <c r="F7" s="115">
        <f>+'DĐ RPE1909'!J105</f>
        <v>23578.230985233793</v>
      </c>
      <c r="G7" s="160">
        <v>25000</v>
      </c>
      <c r="H7" s="117">
        <f t="shared" ref="H7:H8" si="0">F7*E7</f>
        <v>471564.61970467586</v>
      </c>
      <c r="I7" s="160">
        <f t="shared" ref="I7:I8" si="1">G7*E7</f>
        <v>500000</v>
      </c>
      <c r="J7" s="113">
        <f>+I7-H7</f>
        <v>28435.380295324139</v>
      </c>
      <c r="K7" s="201">
        <f>+J7/I7</f>
        <v>5.687076059064828E-2</v>
      </c>
      <c r="L7" s="118"/>
      <c r="N7" s="155">
        <v>25000</v>
      </c>
    </row>
    <row r="8" spans="1:14" hidden="1" x14ac:dyDescent="0.35">
      <c r="A8" s="108">
        <v>3</v>
      </c>
      <c r="B8" s="157"/>
      <c r="C8" s="109" t="s">
        <v>185</v>
      </c>
      <c r="D8" s="158" t="s">
        <v>184</v>
      </c>
      <c r="E8" s="158">
        <v>20</v>
      </c>
      <c r="F8" s="115">
        <f>+'DĐ RPE1609'!J105</f>
        <v>23578.230985233793</v>
      </c>
      <c r="G8" s="160">
        <v>25000</v>
      </c>
      <c r="H8" s="117">
        <f t="shared" si="0"/>
        <v>471564.61970467586</v>
      </c>
      <c r="I8" s="160">
        <f t="shared" si="1"/>
        <v>500000</v>
      </c>
      <c r="J8" s="113">
        <f t="shared" ref="J8:J11" si="2">+I8-H8</f>
        <v>28435.380295324139</v>
      </c>
      <c r="K8" s="201">
        <f t="shared" ref="K8:K11" si="3">+J8/I8</f>
        <v>5.687076059064828E-2</v>
      </c>
      <c r="L8" s="118"/>
      <c r="N8" s="155">
        <v>26000</v>
      </c>
    </row>
    <row r="9" spans="1:14" hidden="1" x14ac:dyDescent="0.35">
      <c r="A9" s="110">
        <v>4</v>
      </c>
      <c r="B9" s="157"/>
      <c r="C9" s="109"/>
      <c r="D9" s="159"/>
      <c r="E9" s="159"/>
      <c r="F9" s="115"/>
      <c r="G9" s="115"/>
      <c r="H9" s="118"/>
      <c r="I9" s="160"/>
      <c r="J9" s="113">
        <f t="shared" si="2"/>
        <v>0</v>
      </c>
      <c r="K9" s="114" t="e">
        <f t="shared" si="3"/>
        <v>#DIV/0!</v>
      </c>
      <c r="L9" s="118"/>
    </row>
    <row r="10" spans="1:14" hidden="1" x14ac:dyDescent="0.35">
      <c r="A10" s="108">
        <v>5</v>
      </c>
      <c r="B10" s="157"/>
      <c r="C10" s="109"/>
      <c r="D10" s="159"/>
      <c r="E10" s="159"/>
      <c r="F10" s="115"/>
      <c r="G10" s="115"/>
      <c r="H10" s="118"/>
      <c r="I10" s="160"/>
      <c r="J10" s="113">
        <f t="shared" si="2"/>
        <v>0</v>
      </c>
      <c r="K10" s="114" t="e">
        <f t="shared" si="3"/>
        <v>#DIV/0!</v>
      </c>
      <c r="L10" s="118"/>
      <c r="N10" s="155"/>
    </row>
    <row r="11" spans="1:14" hidden="1" x14ac:dyDescent="0.35">
      <c r="A11" s="110">
        <v>6</v>
      </c>
      <c r="B11" s="157"/>
      <c r="C11" s="109"/>
      <c r="D11" s="159"/>
      <c r="E11" s="159"/>
      <c r="F11" s="115"/>
      <c r="G11" s="115"/>
      <c r="H11" s="118"/>
      <c r="I11" s="160"/>
      <c r="J11" s="113">
        <f t="shared" si="2"/>
        <v>0</v>
      </c>
      <c r="K11" s="114" t="e">
        <f t="shared" si="3"/>
        <v>#DIV/0!</v>
      </c>
      <c r="L11" s="118"/>
      <c r="N11" s="155"/>
    </row>
    <row r="15" spans="1:14" x14ac:dyDescent="0.35">
      <c r="C15" s="105" t="s">
        <v>191</v>
      </c>
      <c r="D15" s="105" t="s">
        <v>194</v>
      </c>
      <c r="F15" s="105" t="s">
        <v>194</v>
      </c>
      <c r="H15" s="105" t="s">
        <v>190</v>
      </c>
      <c r="J15" s="105" t="s">
        <v>190</v>
      </c>
      <c r="L15" s="105" t="s">
        <v>189</v>
      </c>
    </row>
    <row r="20" spans="3:12" x14ac:dyDescent="0.35">
      <c r="C20" s="105" t="s">
        <v>192</v>
      </c>
      <c r="D20" s="105" t="s">
        <v>195</v>
      </c>
      <c r="F20" s="105" t="s">
        <v>207</v>
      </c>
      <c r="H20" s="105" t="s">
        <v>201</v>
      </c>
      <c r="J20" s="105" t="s">
        <v>197</v>
      </c>
      <c r="L20" s="105" t="s">
        <v>199</v>
      </c>
    </row>
    <row r="21" spans="3:12" x14ac:dyDescent="0.35">
      <c r="C21" s="105" t="s">
        <v>193</v>
      </c>
      <c r="D21" s="105" t="s">
        <v>196</v>
      </c>
      <c r="F21" s="105" t="s">
        <v>206</v>
      </c>
      <c r="H21" s="105" t="s">
        <v>202</v>
      </c>
      <c r="J21" s="105" t="s">
        <v>200</v>
      </c>
      <c r="L21" s="105" t="s">
        <v>198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4CE04-6068-46A0-BC9E-C655DAD58FE3}">
  <sheetPr>
    <tabColor rgb="FFFFFF00"/>
  </sheetPr>
  <dimension ref="A1:T31"/>
  <sheetViews>
    <sheetView tabSelected="1" zoomScale="55" zoomScaleNormal="55" workbookViewId="0">
      <pane ySplit="1" topLeftCell="A15" activePane="bottomLeft" state="frozen"/>
      <selection pane="bottomLeft" activeCell="D22" sqref="D22"/>
    </sheetView>
  </sheetViews>
  <sheetFormatPr defaultColWidth="8.90625" defaultRowHeight="23" outlineLevelCol="1" x14ac:dyDescent="0.3"/>
  <cols>
    <col min="1" max="1" width="7.6328125" style="120" customWidth="1"/>
    <col min="2" max="2" width="9.08984375" style="120" customWidth="1"/>
    <col min="3" max="3" width="28.81640625" style="120" customWidth="1"/>
    <col min="4" max="4" width="12.54296875" style="120" customWidth="1"/>
    <col min="5" max="5" width="16.54296875" style="120" customWidth="1"/>
    <col min="6" max="6" width="14.453125" style="120" customWidth="1"/>
    <col min="7" max="7" width="1.6328125" style="119" customWidth="1"/>
    <col min="8" max="10" width="14.453125" style="120" customWidth="1"/>
    <col min="11" max="11" width="3" style="188" customWidth="1"/>
    <col min="12" max="14" width="14.453125" style="120" hidden="1" customWidth="1" outlineLevel="1"/>
    <col min="15" max="15" width="9.90625" style="120" customWidth="1" collapsed="1"/>
    <col min="16" max="18" width="8.90625" style="120"/>
    <col min="19" max="19" width="8.90625" style="120" customWidth="1"/>
    <col min="20" max="16384" width="8.90625" style="120"/>
  </cols>
  <sheetData>
    <row r="1" spans="1:20" ht="23.5" x14ac:dyDescent="0.55000000000000004">
      <c r="A1" s="119"/>
      <c r="B1" s="119"/>
      <c r="C1" s="106" t="s">
        <v>146</v>
      </c>
      <c r="D1" s="119"/>
      <c r="E1" s="119"/>
      <c r="F1" s="119"/>
      <c r="H1" s="119"/>
      <c r="I1" s="119"/>
      <c r="J1" s="119"/>
      <c r="K1" s="187"/>
      <c r="L1" s="119"/>
      <c r="M1" s="119"/>
      <c r="N1" s="119"/>
      <c r="O1" s="119"/>
    </row>
    <row r="2" spans="1:20" ht="9.5" customHeight="1" x14ac:dyDescent="0.4">
      <c r="A2" s="4"/>
      <c r="O2" s="202"/>
      <c r="P2" s="202"/>
    </row>
    <row r="3" spans="1:20" x14ac:dyDescent="0.35">
      <c r="D3" s="10" t="s">
        <v>173</v>
      </c>
      <c r="E3" s="121">
        <f>+'DĐ RPE1609'!K5</f>
        <v>20</v>
      </c>
      <c r="H3" s="9"/>
      <c r="I3" s="198">
        <f>'DĐ RPE1909'!K5</f>
        <v>20</v>
      </c>
      <c r="M3" s="198">
        <f>'DĐ RPEXXXX'!K5</f>
        <v>20</v>
      </c>
      <c r="Q3" s="203" t="s">
        <v>178</v>
      </c>
      <c r="R3" s="203"/>
      <c r="S3" s="203"/>
      <c r="T3" s="203"/>
    </row>
    <row r="4" spans="1:20" ht="33" x14ac:dyDescent="0.4">
      <c r="A4" s="122"/>
      <c r="B4" s="122"/>
      <c r="C4" s="123"/>
      <c r="D4" s="150"/>
      <c r="E4" s="162" t="str">
        <f>TH!C6</f>
        <v>Dây đai RPE1609</v>
      </c>
      <c r="F4" s="151"/>
      <c r="H4" s="150"/>
      <c r="I4" s="162" t="str">
        <f>TH!C7</f>
        <v>Dây đai RPE1909</v>
      </c>
      <c r="J4" s="151"/>
      <c r="K4" s="189"/>
      <c r="L4" s="150"/>
      <c r="M4" s="162" t="str">
        <f>TH!C8</f>
        <v>Dây đai RPEXXXX</v>
      </c>
      <c r="N4" s="151"/>
      <c r="Q4" s="202">
        <f>D22</f>
        <v>23578.230985233793</v>
      </c>
      <c r="R4" s="202"/>
      <c r="S4" s="202"/>
      <c r="T4" s="202"/>
    </row>
    <row r="5" spans="1:20" ht="33" x14ac:dyDescent="0.3">
      <c r="A5" s="122" t="s">
        <v>3</v>
      </c>
      <c r="B5" s="122" t="s">
        <v>116</v>
      </c>
      <c r="C5" s="123" t="s">
        <v>6</v>
      </c>
      <c r="D5" s="124" t="s">
        <v>117</v>
      </c>
      <c r="E5" s="124" t="s">
        <v>145</v>
      </c>
      <c r="F5" s="124" t="s">
        <v>118</v>
      </c>
      <c r="H5" s="124" t="s">
        <v>117</v>
      </c>
      <c r="I5" s="124" t="s">
        <v>145</v>
      </c>
      <c r="J5" s="124" t="s">
        <v>118</v>
      </c>
      <c r="K5" s="190"/>
      <c r="L5" s="124" t="s">
        <v>117</v>
      </c>
      <c r="M5" s="124" t="s">
        <v>145</v>
      </c>
      <c r="N5" s="124" t="s">
        <v>118</v>
      </c>
    </row>
    <row r="6" spans="1:20" ht="26.5" customHeight="1" x14ac:dyDescent="0.3">
      <c r="A6" s="125" t="s">
        <v>13</v>
      </c>
      <c r="B6" s="125">
        <v>1521</v>
      </c>
      <c r="C6" s="126" t="s">
        <v>119</v>
      </c>
      <c r="D6" s="127">
        <f>+SUM(D7:D7)</f>
        <v>13296.279069767443</v>
      </c>
      <c r="E6" s="165">
        <f>D6*E$3</f>
        <v>265925.58139534888</v>
      </c>
      <c r="F6" s="128">
        <f t="shared" ref="F6:F21" si="0">E6/$E$25</f>
        <v>0.53185116279069777</v>
      </c>
      <c r="H6" s="127">
        <f>+SUM(H7:H7)</f>
        <v>13296.279069767443</v>
      </c>
      <c r="I6" s="165">
        <f>H6*$E$3</f>
        <v>265925.58139534888</v>
      </c>
      <c r="J6" s="128">
        <f t="shared" ref="J6:J21" si="1">I6/$E$25</f>
        <v>0.53185116279069777</v>
      </c>
      <c r="K6" s="191"/>
      <c r="L6" s="127">
        <f>+SUM(L7:L7)</f>
        <v>13296.279069767443</v>
      </c>
      <c r="M6" s="165">
        <f>L6*$E$3</f>
        <v>265925.58139534888</v>
      </c>
      <c r="N6" s="128">
        <f t="shared" ref="N6:N21" si="2">M6/$E$25</f>
        <v>0.53185116279069777</v>
      </c>
    </row>
    <row r="7" spans="1:20" ht="24" customHeight="1" x14ac:dyDescent="0.3">
      <c r="A7" s="129">
        <v>1</v>
      </c>
      <c r="B7" s="129">
        <v>1521</v>
      </c>
      <c r="C7" s="130" t="s">
        <v>160</v>
      </c>
      <c r="D7" s="131">
        <f>+SUMIFS('DĐ RPE1609'!J:J,'DĐ RPE1609'!D:D,Chart!B7)</f>
        <v>13296.279069767443</v>
      </c>
      <c r="E7" s="166">
        <f>D7*E$3</f>
        <v>265925.58139534888</v>
      </c>
      <c r="F7" s="132">
        <f t="shared" si="0"/>
        <v>0.53185116279069777</v>
      </c>
      <c r="H7" s="131">
        <f>+SUMIFS('DĐ RPE1909'!J:J,'DĐ RPE1909'!D:D,Chart!B7)</f>
        <v>13296.279069767443</v>
      </c>
      <c r="I7" s="166">
        <f t="shared" ref="I7:I25" si="3">H7*$E$3</f>
        <v>265925.58139534888</v>
      </c>
      <c r="J7" s="132">
        <f t="shared" si="1"/>
        <v>0.53185116279069777</v>
      </c>
      <c r="K7" s="192"/>
      <c r="L7" s="131">
        <f>+SUMIFS('DĐ RPEXXXX'!J:J,'DĐ RPEXXXX'!D:D,Chart!B7)</f>
        <v>13296.279069767443</v>
      </c>
      <c r="M7" s="166">
        <f t="shared" ref="M7:M25" si="4">L7*$E$3</f>
        <v>265925.58139534888</v>
      </c>
      <c r="N7" s="132">
        <f t="shared" si="2"/>
        <v>0.53185116279069777</v>
      </c>
    </row>
    <row r="8" spans="1:20" ht="47.4" customHeight="1" x14ac:dyDescent="0.3">
      <c r="A8" s="125" t="s">
        <v>50</v>
      </c>
      <c r="B8" s="125">
        <v>1522</v>
      </c>
      <c r="C8" s="126" t="s">
        <v>120</v>
      </c>
      <c r="D8" s="127">
        <f>+SUMIFS('DĐ RPE1609'!J:J,'DĐ RPE1609'!D:D,Chart!B8)</f>
        <v>1820.0000000000002</v>
      </c>
      <c r="E8" s="165">
        <f>D8*E$3</f>
        <v>36400.000000000007</v>
      </c>
      <c r="F8" s="128">
        <f t="shared" si="0"/>
        <v>7.2800000000000017E-2</v>
      </c>
      <c r="H8" s="127">
        <f>+SUMIFS('DĐ RPE1909'!J:J,'DĐ RPE1909'!D:D,Chart!B8)</f>
        <v>1820.0000000000002</v>
      </c>
      <c r="I8" s="165">
        <f t="shared" si="3"/>
        <v>36400.000000000007</v>
      </c>
      <c r="J8" s="128">
        <f t="shared" si="1"/>
        <v>7.2800000000000017E-2</v>
      </c>
      <c r="K8" s="191"/>
      <c r="L8" s="127">
        <f>+SUMIFS('DĐ RPEXXXX'!J:J,'DĐ RPEXXXX'!D:D,Chart!B8)</f>
        <v>1820.0000000000002</v>
      </c>
      <c r="M8" s="165">
        <f t="shared" si="4"/>
        <v>36400.000000000007</v>
      </c>
      <c r="N8" s="128">
        <f t="shared" si="2"/>
        <v>7.2800000000000017E-2</v>
      </c>
    </row>
    <row r="9" spans="1:20" ht="25.5" customHeight="1" x14ac:dyDescent="0.3">
      <c r="A9" s="125" t="s">
        <v>104</v>
      </c>
      <c r="B9" s="125"/>
      <c r="C9" s="126" t="s">
        <v>121</v>
      </c>
      <c r="D9" s="127">
        <f>SUM(D10:D16)</f>
        <v>5961.9519154663485</v>
      </c>
      <c r="E9" s="165">
        <f t="shared" ref="E9:E16" si="5">D9*E$3</f>
        <v>119239.03830932698</v>
      </c>
      <c r="F9" s="128">
        <f t="shared" si="0"/>
        <v>0.23847807661865394</v>
      </c>
      <c r="H9" s="127">
        <f>SUM(H10:H16)</f>
        <v>5961.9519154663485</v>
      </c>
      <c r="I9" s="165">
        <f t="shared" si="3"/>
        <v>119239.03830932698</v>
      </c>
      <c r="J9" s="128">
        <f t="shared" si="1"/>
        <v>0.23847807661865394</v>
      </c>
      <c r="K9" s="191"/>
      <c r="L9" s="127">
        <f>SUM(L10:L16)</f>
        <v>5961.9519154663485</v>
      </c>
      <c r="M9" s="165">
        <f t="shared" si="4"/>
        <v>119239.03830932698</v>
      </c>
      <c r="N9" s="128">
        <f t="shared" si="2"/>
        <v>0.23847807661865394</v>
      </c>
    </row>
    <row r="10" spans="1:20" ht="21.65" customHeight="1" x14ac:dyDescent="0.3">
      <c r="A10" s="129">
        <v>2</v>
      </c>
      <c r="B10" s="129" t="s">
        <v>28</v>
      </c>
      <c r="C10" s="133" t="s">
        <v>122</v>
      </c>
      <c r="D10" s="134">
        <f>+SUMIFS('DĐ RPE1609'!J:J,'DĐ RPE1609'!D:D,Chart!B10)</f>
        <v>901.08204134366929</v>
      </c>
      <c r="E10" s="166">
        <f t="shared" si="5"/>
        <v>18021.640826873387</v>
      </c>
      <c r="F10" s="132">
        <f t="shared" si="0"/>
        <v>3.6043281653746775E-2</v>
      </c>
      <c r="H10" s="134">
        <f>+SUMIFS('DĐ RPE1909'!J:J,'DĐ RPE1909'!D:D,Chart!B10)</f>
        <v>901.08204134366929</v>
      </c>
      <c r="I10" s="166">
        <f t="shared" si="3"/>
        <v>18021.640826873387</v>
      </c>
      <c r="J10" s="132">
        <f t="shared" si="1"/>
        <v>3.6043281653746775E-2</v>
      </c>
      <c r="K10" s="192"/>
      <c r="L10" s="134">
        <f>+SUMIFS('DĐ RPEXXXX'!J:J,'DĐ RPEXXXX'!D:D,Chart!B10)</f>
        <v>901.08204134366929</v>
      </c>
      <c r="M10" s="166">
        <f t="shared" si="4"/>
        <v>18021.640826873387</v>
      </c>
      <c r="N10" s="132">
        <f t="shared" si="2"/>
        <v>3.6043281653746775E-2</v>
      </c>
    </row>
    <row r="11" spans="1:20" ht="21.65" customHeight="1" x14ac:dyDescent="0.3">
      <c r="A11" s="129">
        <f t="shared" ref="A11:A16" si="6">+A10+1</f>
        <v>3</v>
      </c>
      <c r="B11" s="129" t="s">
        <v>37</v>
      </c>
      <c r="C11" s="133" t="s">
        <v>123</v>
      </c>
      <c r="D11" s="134">
        <f>+SUMIFS('DĐ RPE1609'!J:J,'DĐ RPE1609'!D:D,Chart!B11)</f>
        <v>326.55785861880378</v>
      </c>
      <c r="E11" s="166">
        <f t="shared" si="5"/>
        <v>6531.1571723760753</v>
      </c>
      <c r="F11" s="132">
        <f t="shared" si="0"/>
        <v>1.3062314344752151E-2</v>
      </c>
      <c r="H11" s="134">
        <f>+SUMIFS('DĐ RPE1909'!J:J,'DĐ RPE1909'!D:D,Chart!B11)</f>
        <v>326.55785861880378</v>
      </c>
      <c r="I11" s="166">
        <f t="shared" si="3"/>
        <v>6531.1571723760753</v>
      </c>
      <c r="J11" s="132">
        <f t="shared" si="1"/>
        <v>1.3062314344752151E-2</v>
      </c>
      <c r="K11" s="192"/>
      <c r="L11" s="134">
        <f>+SUMIFS('DĐ RPEXXXX'!J:J,'DĐ RPEXXXX'!D:D,Chart!B11)</f>
        <v>326.55785861880378</v>
      </c>
      <c r="M11" s="166">
        <f t="shared" si="4"/>
        <v>6531.1571723760753</v>
      </c>
      <c r="N11" s="132">
        <f t="shared" si="2"/>
        <v>1.3062314344752151E-2</v>
      </c>
    </row>
    <row r="12" spans="1:20" ht="21.65" customHeight="1" x14ac:dyDescent="0.3">
      <c r="A12" s="129">
        <f t="shared" si="6"/>
        <v>4</v>
      </c>
      <c r="B12" s="129" t="s">
        <v>47</v>
      </c>
      <c r="C12" s="133" t="s">
        <v>124</v>
      </c>
      <c r="D12" s="134">
        <f>+SUMIFS('DĐ RPE1609'!J:J,'DĐ RPE1609'!D:D,Chart!B12)</f>
        <v>2569.7674418604652</v>
      </c>
      <c r="E12" s="166">
        <f t="shared" si="5"/>
        <v>51395.348837209305</v>
      </c>
      <c r="F12" s="132">
        <f t="shared" si="0"/>
        <v>0.1027906976744186</v>
      </c>
      <c r="H12" s="134">
        <f>+SUMIFS('DĐ RPE1909'!J:J,'DĐ RPE1909'!D:D,Chart!B12)</f>
        <v>2569.7674418604652</v>
      </c>
      <c r="I12" s="166">
        <f t="shared" si="3"/>
        <v>51395.348837209305</v>
      </c>
      <c r="J12" s="132">
        <f t="shared" si="1"/>
        <v>0.1027906976744186</v>
      </c>
      <c r="K12" s="192"/>
      <c r="L12" s="134">
        <f>+SUMIFS('DĐ RPEXXXX'!J:J,'DĐ RPEXXXX'!D:D,Chart!B12)</f>
        <v>2569.7674418604652</v>
      </c>
      <c r="M12" s="166">
        <f t="shared" si="4"/>
        <v>51395.348837209305</v>
      </c>
      <c r="N12" s="132">
        <f t="shared" si="2"/>
        <v>0.1027906976744186</v>
      </c>
    </row>
    <row r="13" spans="1:20" ht="21.65" customHeight="1" x14ac:dyDescent="0.3">
      <c r="A13" s="129">
        <f t="shared" si="6"/>
        <v>5</v>
      </c>
      <c r="B13" s="129" t="s">
        <v>33</v>
      </c>
      <c r="C13" s="135" t="s">
        <v>110</v>
      </c>
      <c r="D13" s="134">
        <f>+SUMIFS('DĐ RPE1609'!J:J,'DĐ RPE1609'!D:D,Chart!B13)</f>
        <v>2164.5445736434108</v>
      </c>
      <c r="E13" s="166">
        <f t="shared" si="5"/>
        <v>43290.891472868214</v>
      </c>
      <c r="F13" s="132">
        <f t="shared" si="0"/>
        <v>8.658178294573643E-2</v>
      </c>
      <c r="H13" s="134">
        <f>+SUMIFS('DĐ RPE1909'!J:J,'DĐ RPE1909'!D:D,Chart!B13)</f>
        <v>2164.5445736434108</v>
      </c>
      <c r="I13" s="166">
        <f t="shared" si="3"/>
        <v>43290.891472868214</v>
      </c>
      <c r="J13" s="132">
        <f t="shared" si="1"/>
        <v>8.658178294573643E-2</v>
      </c>
      <c r="K13" s="192"/>
      <c r="L13" s="134">
        <f>+SUMIFS('DĐ RPEXXXX'!J:J,'DĐ RPEXXXX'!D:D,Chart!B13)</f>
        <v>2164.5445736434108</v>
      </c>
      <c r="M13" s="166">
        <f t="shared" si="4"/>
        <v>43290.891472868214</v>
      </c>
      <c r="N13" s="132">
        <f t="shared" si="2"/>
        <v>8.658178294573643E-2</v>
      </c>
    </row>
    <row r="14" spans="1:20" ht="21.65" customHeight="1" x14ac:dyDescent="0.3">
      <c r="A14" s="129">
        <f t="shared" si="6"/>
        <v>6</v>
      </c>
      <c r="B14" s="129" t="s">
        <v>66</v>
      </c>
      <c r="C14" s="135" t="s">
        <v>125</v>
      </c>
      <c r="D14" s="134">
        <f>+SUMIFS('DĐ RPE1609'!J:J,'DĐ RPE1609'!D:D,Chart!B14)</f>
        <v>0</v>
      </c>
      <c r="E14" s="166">
        <f t="shared" si="5"/>
        <v>0</v>
      </c>
      <c r="F14" s="132">
        <f t="shared" si="0"/>
        <v>0</v>
      </c>
      <c r="H14" s="134">
        <f>+SUMIFS('DĐ RPE1909'!J:J,'DĐ RPE1909'!D:D,Chart!B14)</f>
        <v>0</v>
      </c>
      <c r="I14" s="166">
        <f t="shared" si="3"/>
        <v>0</v>
      </c>
      <c r="J14" s="132">
        <f t="shared" si="1"/>
        <v>0</v>
      </c>
      <c r="K14" s="192"/>
      <c r="L14" s="134">
        <f>+SUMIFS('DĐ RPEXXXX'!J:J,'DĐ RPEXXXX'!D:D,Chart!B14)</f>
        <v>0</v>
      </c>
      <c r="M14" s="166">
        <f t="shared" si="4"/>
        <v>0</v>
      </c>
      <c r="N14" s="132">
        <f t="shared" si="2"/>
        <v>0</v>
      </c>
    </row>
    <row r="15" spans="1:20" ht="21.65" customHeight="1" x14ac:dyDescent="0.3">
      <c r="A15" s="129">
        <f t="shared" si="6"/>
        <v>7</v>
      </c>
      <c r="B15" s="129" t="s">
        <v>57</v>
      </c>
      <c r="C15" s="135" t="s">
        <v>54</v>
      </c>
      <c r="D15" s="134">
        <f>+SUMIFS('DĐ RPE1609'!J:J,'DĐ RPE1609'!D:D,Chart!B15)</f>
        <v>0</v>
      </c>
      <c r="E15" s="166">
        <f t="shared" si="5"/>
        <v>0</v>
      </c>
      <c r="F15" s="132">
        <f t="shared" si="0"/>
        <v>0</v>
      </c>
      <c r="H15" s="134">
        <f>+SUMIFS('DĐ RPE1909'!J:J,'DĐ RPE1909'!D:D,Chart!B15)</f>
        <v>0</v>
      </c>
      <c r="I15" s="166">
        <f t="shared" si="3"/>
        <v>0</v>
      </c>
      <c r="J15" s="132">
        <f t="shared" si="1"/>
        <v>0</v>
      </c>
      <c r="K15" s="192"/>
      <c r="L15" s="134">
        <f>+SUMIFS('DĐ RPEXXXX'!J:J,'DĐ RPEXXXX'!D:D,Chart!B15)</f>
        <v>0</v>
      </c>
      <c r="M15" s="166">
        <f t="shared" si="4"/>
        <v>0</v>
      </c>
      <c r="N15" s="132">
        <f t="shared" si="2"/>
        <v>0</v>
      </c>
    </row>
    <row r="16" spans="1:20" ht="21.65" customHeight="1" x14ac:dyDescent="0.3">
      <c r="A16" s="129">
        <f t="shared" si="6"/>
        <v>8</v>
      </c>
      <c r="B16" s="129" t="s">
        <v>59</v>
      </c>
      <c r="C16" s="135" t="s">
        <v>126</v>
      </c>
      <c r="D16" s="134">
        <f>+SUMIFS('DĐ RPE1609'!J:J,'DĐ RPE1609'!D:D,Chart!B16)</f>
        <v>0</v>
      </c>
      <c r="E16" s="166">
        <f t="shared" si="5"/>
        <v>0</v>
      </c>
      <c r="F16" s="132">
        <f t="shared" si="0"/>
        <v>0</v>
      </c>
      <c r="H16" s="134">
        <f>+SUMIFS('DĐ RPE1909'!J:J,'DĐ RPE1909'!D:D,Chart!B16)</f>
        <v>0</v>
      </c>
      <c r="I16" s="166">
        <f t="shared" si="3"/>
        <v>0</v>
      </c>
      <c r="J16" s="132">
        <f t="shared" si="1"/>
        <v>0</v>
      </c>
      <c r="K16" s="192"/>
      <c r="L16" s="134">
        <f>+SUMIFS('DĐ RPEXXXX'!J:J,'DĐ RPEXXXX'!D:D,Chart!B16)</f>
        <v>0</v>
      </c>
      <c r="M16" s="166">
        <f t="shared" si="4"/>
        <v>0</v>
      </c>
      <c r="N16" s="132">
        <f t="shared" si="2"/>
        <v>0</v>
      </c>
    </row>
    <row r="17" spans="1:14" ht="27.5" customHeight="1" x14ac:dyDescent="0.3">
      <c r="A17" s="136" t="s">
        <v>103</v>
      </c>
      <c r="B17" s="136"/>
      <c r="C17" s="137" t="s">
        <v>127</v>
      </c>
      <c r="D17" s="138">
        <f>SUM(D7:D9)</f>
        <v>21078.230985233793</v>
      </c>
      <c r="E17" s="167">
        <f>D17*E$3</f>
        <v>421564.61970467586</v>
      </c>
      <c r="F17" s="139">
        <f t="shared" si="0"/>
        <v>0.84312923940935169</v>
      </c>
      <c r="H17" s="138">
        <f>SUM(H7:H9)</f>
        <v>21078.230985233793</v>
      </c>
      <c r="I17" s="167">
        <f t="shared" si="3"/>
        <v>421564.61970467586</v>
      </c>
      <c r="J17" s="139">
        <f t="shared" si="1"/>
        <v>0.84312923940935169</v>
      </c>
      <c r="K17" s="193"/>
      <c r="L17" s="138">
        <f>SUM(L7:L9)</f>
        <v>21078.230985233793</v>
      </c>
      <c r="M17" s="167">
        <f t="shared" si="4"/>
        <v>421564.61970467586</v>
      </c>
      <c r="N17" s="139">
        <f t="shared" si="2"/>
        <v>0.84312923940935169</v>
      </c>
    </row>
    <row r="18" spans="1:14" ht="31" customHeight="1" x14ac:dyDescent="0.3">
      <c r="A18" s="125" t="s">
        <v>128</v>
      </c>
      <c r="B18" s="125"/>
      <c r="C18" s="126" t="s">
        <v>129</v>
      </c>
      <c r="D18" s="127">
        <f>+SUM(D19:D21)</f>
        <v>2500</v>
      </c>
      <c r="E18" s="165">
        <f t="shared" ref="E18:E23" si="7">D18*E$3</f>
        <v>50000</v>
      </c>
      <c r="F18" s="128">
        <f t="shared" si="0"/>
        <v>0.1</v>
      </c>
      <c r="H18" s="127">
        <f>+SUM(H19:H21)</f>
        <v>2500</v>
      </c>
      <c r="I18" s="165">
        <f t="shared" si="3"/>
        <v>50000</v>
      </c>
      <c r="J18" s="128">
        <f t="shared" si="1"/>
        <v>0.1</v>
      </c>
      <c r="K18" s="191"/>
      <c r="L18" s="127">
        <f>+SUM(L19:L21)</f>
        <v>2500</v>
      </c>
      <c r="M18" s="165">
        <f t="shared" si="4"/>
        <v>50000</v>
      </c>
      <c r="N18" s="128">
        <f t="shared" si="2"/>
        <v>0.1</v>
      </c>
    </row>
    <row r="19" spans="1:14" ht="21.65" customHeight="1" x14ac:dyDescent="0.3">
      <c r="A19" s="129">
        <v>9</v>
      </c>
      <c r="B19" s="129">
        <v>641</v>
      </c>
      <c r="C19" s="135" t="s">
        <v>83</v>
      </c>
      <c r="D19" s="134">
        <f>+SUMIFS('DĐ RPE1609'!J:J,'DĐ RPE1609'!D:D,Chart!B19)</f>
        <v>1750.0000000000002</v>
      </c>
      <c r="E19" s="166">
        <f t="shared" si="7"/>
        <v>35000.000000000007</v>
      </c>
      <c r="F19" s="132">
        <f t="shared" si="0"/>
        <v>7.0000000000000021E-2</v>
      </c>
      <c r="H19" s="134">
        <f>+SUMIFS('DĐ RPE1909'!J:J,'DĐ RPE1909'!D:D,Chart!B19)</f>
        <v>1750.0000000000002</v>
      </c>
      <c r="I19" s="166">
        <f t="shared" si="3"/>
        <v>35000.000000000007</v>
      </c>
      <c r="J19" s="132">
        <f t="shared" si="1"/>
        <v>7.0000000000000021E-2</v>
      </c>
      <c r="K19" s="192"/>
      <c r="L19" s="134">
        <f>+SUMIFS('DĐ RPEXXXX'!J:J,'DĐ RPEXXXX'!D:D,Chart!B19)</f>
        <v>1750.0000000000002</v>
      </c>
      <c r="M19" s="166">
        <f t="shared" si="4"/>
        <v>35000.000000000007</v>
      </c>
      <c r="N19" s="132">
        <f t="shared" si="2"/>
        <v>7.0000000000000021E-2</v>
      </c>
    </row>
    <row r="20" spans="1:14" ht="21.65" customHeight="1" x14ac:dyDescent="0.3">
      <c r="A20" s="129">
        <v>10</v>
      </c>
      <c r="B20" s="129">
        <v>642</v>
      </c>
      <c r="C20" s="135" t="s">
        <v>76</v>
      </c>
      <c r="D20" s="134">
        <f>+SUMIFS('DĐ RPE1609'!J:J,'DĐ RPE1609'!D:D,Chart!B20)</f>
        <v>500</v>
      </c>
      <c r="E20" s="166">
        <f t="shared" si="7"/>
        <v>10000</v>
      </c>
      <c r="F20" s="132">
        <f t="shared" si="0"/>
        <v>0.02</v>
      </c>
      <c r="H20" s="134">
        <f>+SUMIFS('DĐ RPE1909'!J:J,'DĐ RPE1909'!D:D,Chart!B20)</f>
        <v>500</v>
      </c>
      <c r="I20" s="166">
        <f t="shared" si="3"/>
        <v>10000</v>
      </c>
      <c r="J20" s="132">
        <f t="shared" si="1"/>
        <v>0.02</v>
      </c>
      <c r="K20" s="192"/>
      <c r="L20" s="134">
        <f>+SUMIFS('DĐ RPEXXXX'!J:J,'DĐ RPEXXXX'!D:D,Chart!B20)</f>
        <v>500</v>
      </c>
      <c r="M20" s="166">
        <f t="shared" si="4"/>
        <v>10000</v>
      </c>
      <c r="N20" s="132">
        <f t="shared" si="2"/>
        <v>0.02</v>
      </c>
    </row>
    <row r="21" spans="1:14" ht="21.65" customHeight="1" x14ac:dyDescent="0.3">
      <c r="A21" s="129">
        <v>11</v>
      </c>
      <c r="B21" s="129">
        <v>635</v>
      </c>
      <c r="C21" s="135" t="s">
        <v>130</v>
      </c>
      <c r="D21" s="134">
        <f>+SUMIFS('DĐ RPE1609'!J:J,'DĐ RPE1609'!D:D,Chart!B21)</f>
        <v>250</v>
      </c>
      <c r="E21" s="166">
        <f t="shared" si="7"/>
        <v>5000</v>
      </c>
      <c r="F21" s="132">
        <f t="shared" si="0"/>
        <v>0.01</v>
      </c>
      <c r="H21" s="134">
        <f>+SUMIFS('DĐ RPE1909'!J:J,'DĐ RPE1909'!D:D,Chart!B21)</f>
        <v>250</v>
      </c>
      <c r="I21" s="166">
        <f t="shared" si="3"/>
        <v>5000</v>
      </c>
      <c r="J21" s="132">
        <f t="shared" si="1"/>
        <v>0.01</v>
      </c>
      <c r="K21" s="192"/>
      <c r="L21" s="134">
        <f>+SUMIFS('DĐ RPEXXXX'!J:J,'DĐ RPEXXXX'!D:D,Chart!B21)</f>
        <v>250</v>
      </c>
      <c r="M21" s="166">
        <f t="shared" si="4"/>
        <v>5000</v>
      </c>
      <c r="N21" s="132">
        <f t="shared" si="2"/>
        <v>0.01</v>
      </c>
    </row>
    <row r="22" spans="1:14" ht="25.5" customHeight="1" x14ac:dyDescent="0.3">
      <c r="A22" s="136" t="s">
        <v>131</v>
      </c>
      <c r="B22" s="136"/>
      <c r="C22" s="137" t="s">
        <v>132</v>
      </c>
      <c r="D22" s="138">
        <f>+D17+D18</f>
        <v>23578.230985233793</v>
      </c>
      <c r="E22" s="167">
        <f t="shared" si="7"/>
        <v>471564.61970467586</v>
      </c>
      <c r="F22" s="139">
        <f>E22/$E$25</f>
        <v>0.94312923940935167</v>
      </c>
      <c r="H22" s="138">
        <f>+H17+H18</f>
        <v>23578.230985233793</v>
      </c>
      <c r="I22" s="167">
        <f t="shared" si="3"/>
        <v>471564.61970467586</v>
      </c>
      <c r="J22" s="139">
        <f>I22/$E$25</f>
        <v>0.94312923940935167</v>
      </c>
      <c r="K22" s="193"/>
      <c r="L22" s="138">
        <f>+L17+L18</f>
        <v>23578.230985233793</v>
      </c>
      <c r="M22" s="167">
        <f t="shared" si="4"/>
        <v>471564.61970467586</v>
      </c>
      <c r="N22" s="139">
        <f>M22/$E$25</f>
        <v>0.94312923940935167</v>
      </c>
    </row>
    <row r="23" spans="1:14" ht="23" customHeight="1" x14ac:dyDescent="0.3">
      <c r="A23" s="129">
        <v>12</v>
      </c>
      <c r="B23" s="129" t="s">
        <v>93</v>
      </c>
      <c r="C23" s="133" t="s">
        <v>133</v>
      </c>
      <c r="D23" s="134">
        <f>+SUMIFS('DĐ RPE1609'!J:J,'DĐ RPE1609'!D:D,Chart!B23)</f>
        <v>236.96150246103454</v>
      </c>
      <c r="E23" s="166">
        <f t="shared" si="7"/>
        <v>4739.2300492206905</v>
      </c>
      <c r="F23" s="140">
        <f>E23/$E$25</f>
        <v>9.4784600984413811E-3</v>
      </c>
      <c r="H23" s="134">
        <f>+SUMIFS('DĐ RPE1909'!J:J,'DĐ RPE1909'!D:D,Chart!B23)</f>
        <v>236.96150246103454</v>
      </c>
      <c r="I23" s="166">
        <f t="shared" si="3"/>
        <v>4739.2300492206905</v>
      </c>
      <c r="J23" s="140">
        <f>I23/$E$25</f>
        <v>9.4784600984413811E-3</v>
      </c>
      <c r="K23" s="194"/>
      <c r="L23" s="134">
        <f>+SUMIFS('DĐ RPEXXXX'!J:J,'DĐ RPEXXXX'!D:D,Chart!B23)</f>
        <v>236.96150246103454</v>
      </c>
      <c r="M23" s="166">
        <f t="shared" si="4"/>
        <v>4739.2300492206905</v>
      </c>
      <c r="N23" s="140">
        <f>M23/$E$25</f>
        <v>9.4784600984413811E-3</v>
      </c>
    </row>
    <row r="24" spans="1:14" ht="23" customHeight="1" x14ac:dyDescent="0.3">
      <c r="A24" s="125" t="s">
        <v>134</v>
      </c>
      <c r="B24" s="125" t="s">
        <v>92</v>
      </c>
      <c r="C24" s="126" t="s">
        <v>102</v>
      </c>
      <c r="D24" s="127">
        <f>+SUMIFS('DĐ RPE1609'!J:J,'DĐ RPE1609'!D:D,Chart!B24)</f>
        <v>1184.8075123051726</v>
      </c>
      <c r="E24" s="165">
        <f>D24*E$3</f>
        <v>23696.150246103454</v>
      </c>
      <c r="F24" s="128">
        <f>E24/$E$25</f>
        <v>4.7392300492206905E-2</v>
      </c>
      <c r="H24" s="127">
        <f>+SUMIFS('DĐ RPE1909'!J:J,'DĐ RPE1909'!D:D,Chart!B24)</f>
        <v>1184.8075123051726</v>
      </c>
      <c r="I24" s="165">
        <f t="shared" si="3"/>
        <v>23696.150246103454</v>
      </c>
      <c r="J24" s="128">
        <f>I24/$E$25</f>
        <v>4.7392300492206905E-2</v>
      </c>
      <c r="K24" s="191"/>
      <c r="L24" s="127">
        <f>+SUMIFS('DĐ RPEXXXX'!J:J,'DĐ RPEXXXX'!D:D,Chart!B24)</f>
        <v>1184.8075123051726</v>
      </c>
      <c r="M24" s="165">
        <f t="shared" si="4"/>
        <v>23696.150246103454</v>
      </c>
      <c r="N24" s="128">
        <f>M24/$E$25</f>
        <v>4.7392300492206905E-2</v>
      </c>
    </row>
    <row r="25" spans="1:14" ht="24" customHeight="1" x14ac:dyDescent="0.3">
      <c r="A25" s="141" t="s">
        <v>135</v>
      </c>
      <c r="B25" s="142"/>
      <c r="C25" s="143" t="s">
        <v>136</v>
      </c>
      <c r="D25" s="144">
        <f>+D22+D23+D24</f>
        <v>25000</v>
      </c>
      <c r="E25" s="168">
        <f>D25*E$3</f>
        <v>500000</v>
      </c>
      <c r="F25" s="145">
        <f>E25/$E$25</f>
        <v>1</v>
      </c>
      <c r="H25" s="144">
        <f>+H22+H23+H24</f>
        <v>25000</v>
      </c>
      <c r="I25" s="168">
        <f t="shared" si="3"/>
        <v>500000</v>
      </c>
      <c r="J25" s="145">
        <f>I25/$E$25</f>
        <v>1</v>
      </c>
      <c r="K25" s="195"/>
      <c r="L25" s="144">
        <f>+L22+L23+L24</f>
        <v>25000</v>
      </c>
      <c r="M25" s="168">
        <f t="shared" si="4"/>
        <v>500000</v>
      </c>
      <c r="N25" s="145">
        <f>M25/$E$25</f>
        <v>1</v>
      </c>
    </row>
    <row r="26" spans="1:14" ht="21.65" customHeight="1" x14ac:dyDescent="0.3">
      <c r="A26" s="146"/>
      <c r="B26" s="146"/>
      <c r="C26" s="147" t="s">
        <v>137</v>
      </c>
      <c r="D26" s="148"/>
      <c r="E26" s="146"/>
      <c r="F26" s="149">
        <f>F25-F6-F8</f>
        <v>0.3953488372093022</v>
      </c>
      <c r="H26" s="148"/>
      <c r="I26" s="146"/>
      <c r="J26" s="149">
        <f>J25-J6-J8</f>
        <v>0.3953488372093022</v>
      </c>
      <c r="K26" s="196"/>
      <c r="L26" s="148"/>
      <c r="M26" s="146"/>
      <c r="N26" s="149">
        <f>N25-N6-N8</f>
        <v>0.3953488372093022</v>
      </c>
    </row>
    <row r="27" spans="1:14" x14ac:dyDescent="0.3">
      <c r="D27" s="120" t="str">
        <f>"ĐIỂM HÒA VỐN "&amp;ROUND(D22,0)&amp;" Đ"</f>
        <v>ĐIỂM HÒA VỐN 23578 Đ</v>
      </c>
      <c r="H27" s="120" t="str">
        <f>"ĐIỂM HÒA VỐN "&amp;ROUND(H22,0)&amp;" Đ"</f>
        <v>ĐIỂM HÒA VỐN 23578 Đ</v>
      </c>
      <c r="L27" s="120" t="str">
        <f>"ĐIỂM HÒA VỐN "&amp;ROUND(L22,0)&amp;" Đ"</f>
        <v>ĐIỂM HÒA VỐN 23578 Đ</v>
      </c>
    </row>
    <row r="29" spans="1:14" x14ac:dyDescent="0.3">
      <c r="E29" s="152"/>
      <c r="I29" s="152"/>
      <c r="M29" s="152"/>
    </row>
    <row r="30" spans="1:14" x14ac:dyDescent="0.3">
      <c r="E30" s="153"/>
      <c r="I30" s="153"/>
      <c r="M30" s="153"/>
    </row>
    <row r="31" spans="1:14" x14ac:dyDescent="0.3">
      <c r="E31" s="153"/>
      <c r="I31" s="153"/>
      <c r="M31" s="153"/>
    </row>
  </sheetData>
  <mergeCells count="3">
    <mergeCell ref="O2:P2"/>
    <mergeCell ref="Q3:T3"/>
    <mergeCell ref="Q4:T4"/>
  </mergeCells>
  <conditionalFormatting sqref="E25">
    <cfRule type="expression" dxfId="2" priority="3">
      <formula>#REF!&lt;&gt;0</formula>
    </cfRule>
  </conditionalFormatting>
  <conditionalFormatting sqref="I25">
    <cfRule type="expression" dxfId="1" priority="2">
      <formula>#REF!&lt;&gt;0</formula>
    </cfRule>
  </conditionalFormatting>
  <conditionalFormatting sqref="M25">
    <cfRule type="expression" dxfId="0" priority="1">
      <formula>#REF!&lt;&gt;0</formula>
    </cfRule>
  </conditionalFormatting>
  <printOptions horizontalCentered="1"/>
  <pageMargins left="0.51181102362204722" right="0.31496062992125984" top="0.55118110236220474" bottom="0.15748031496062992" header="0.31496062992125984" footer="0.31496062992125984"/>
  <pageSetup paperSize="9" scale="8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454CF-68EF-4419-919E-1E25463D8CB2}">
  <sheetPr>
    <tabColor rgb="FF00B0F0"/>
  </sheetPr>
  <dimension ref="A1:O112"/>
  <sheetViews>
    <sheetView zoomScale="70" zoomScaleNormal="70" workbookViewId="0">
      <pane ySplit="7" topLeftCell="A8" activePane="bottomLeft" state="frozen"/>
      <selection activeCell="K110" sqref="K110"/>
      <selection pane="bottomLeft" activeCell="E81" sqref="E81"/>
    </sheetView>
  </sheetViews>
  <sheetFormatPr defaultColWidth="8.90625" defaultRowHeight="14.5" outlineLevelRow="1" x14ac:dyDescent="0.35"/>
  <cols>
    <col min="1" max="1" width="5" style="2" customWidth="1"/>
    <col min="2" max="2" width="8.26953125" style="2" customWidth="1"/>
    <col min="3" max="3" width="12.54296875" style="3" customWidth="1"/>
    <col min="4" max="4" width="10.453125" style="3" customWidth="1"/>
    <col min="5" max="5" width="13.453125" style="3" customWidth="1"/>
    <col min="6" max="6" width="39" style="3" customWidth="1"/>
    <col min="7" max="7" width="11" style="3" customWidth="1"/>
    <col min="8" max="8" width="14.453125" style="3" customWidth="1"/>
    <col min="9" max="9" width="17.08984375" style="3" customWidth="1"/>
    <col min="10" max="10" width="14.54296875" style="3" customWidth="1"/>
    <col min="11" max="11" width="19.453125" style="3" bestFit="1" customWidth="1"/>
    <col min="12" max="12" width="10.08984375" style="3" customWidth="1"/>
    <col min="13" max="13" width="69.54296875" style="3" customWidth="1"/>
    <col min="14" max="14" width="8.90625" style="3"/>
    <col min="15" max="15" width="11.08984375" style="3" bestFit="1" customWidth="1"/>
    <col min="16" max="16384" width="8.90625" style="3"/>
  </cols>
  <sheetData>
    <row r="1" spans="1:13" x14ac:dyDescent="0.35">
      <c r="A1" s="1" t="s">
        <v>0</v>
      </c>
      <c r="B1" s="1"/>
      <c r="C1" s="2">
        <v>1</v>
      </c>
    </row>
    <row r="2" spans="1:13" s="5" customFormat="1" ht="29.15" customHeight="1" x14ac:dyDescent="0.35">
      <c r="A2" s="101"/>
      <c r="B2" s="101"/>
      <c r="C2" s="4" t="s">
        <v>142</v>
      </c>
    </row>
    <row r="3" spans="1:13" ht="17" x14ac:dyDescent="0.35">
      <c r="C3" s="6"/>
      <c r="D3" s="6"/>
      <c r="E3" s="6"/>
      <c r="F3" s="7"/>
      <c r="G3" s="8"/>
      <c r="H3" s="8"/>
      <c r="I3" s="9"/>
      <c r="J3" s="10"/>
      <c r="K3" s="11"/>
      <c r="L3" s="12"/>
      <c r="M3" s="13"/>
    </row>
    <row r="4" spans="1:13" ht="17" x14ac:dyDescent="0.35">
      <c r="C4" s="14" t="s">
        <v>1</v>
      </c>
      <c r="D4" s="15" t="s">
        <v>141</v>
      </c>
      <c r="E4" s="6"/>
      <c r="G4" s="15"/>
      <c r="H4" s="6"/>
      <c r="J4" s="6"/>
      <c r="K4" s="6"/>
      <c r="L4" s="6"/>
      <c r="M4" s="6"/>
    </row>
    <row r="5" spans="1:13" ht="17" x14ac:dyDescent="0.35">
      <c r="C5" s="14" t="s">
        <v>2</v>
      </c>
      <c r="D5" s="102" t="str">
        <f>TH!C6</f>
        <v>Dây đai RPE1609</v>
      </c>
      <c r="E5" s="6"/>
      <c r="F5" s="7"/>
      <c r="G5" s="8"/>
      <c r="H5" s="8"/>
      <c r="I5" s="9"/>
      <c r="J5" s="10" t="s">
        <v>147</v>
      </c>
      <c r="K5" s="12">
        <f>TH!E6</f>
        <v>20</v>
      </c>
      <c r="M5" s="13"/>
    </row>
    <row r="6" spans="1:13" ht="17" x14ac:dyDescent="0.35">
      <c r="C6" s="6" t="s">
        <v>186</v>
      </c>
      <c r="D6" s="6" t="str">
        <f>TH!D6</f>
        <v>16 mm x 0.9 mm</v>
      </c>
      <c r="E6" s="6"/>
      <c r="F6" s="6"/>
      <c r="G6" s="6"/>
      <c r="H6" s="6"/>
      <c r="I6" s="6"/>
      <c r="J6" s="6"/>
      <c r="L6" s="16"/>
      <c r="M6" s="6"/>
    </row>
    <row r="7" spans="1:13" s="21" customFormat="1" ht="34" x14ac:dyDescent="0.35">
      <c r="A7" s="17"/>
      <c r="B7" s="17"/>
      <c r="C7" s="18" t="s">
        <v>3</v>
      </c>
      <c r="D7" s="18" t="s">
        <v>4</v>
      </c>
      <c r="E7" s="18" t="s">
        <v>5</v>
      </c>
      <c r="F7" s="19" t="s">
        <v>6</v>
      </c>
      <c r="G7" s="19" t="s">
        <v>7</v>
      </c>
      <c r="H7" s="19" t="s">
        <v>8</v>
      </c>
      <c r="I7" s="19" t="s">
        <v>9</v>
      </c>
      <c r="J7" s="19" t="s">
        <v>10</v>
      </c>
      <c r="K7" s="161" t="s">
        <v>144</v>
      </c>
      <c r="L7" s="20" t="s">
        <v>11</v>
      </c>
      <c r="M7" s="19" t="s">
        <v>12</v>
      </c>
    </row>
    <row r="8" spans="1:13" ht="17" x14ac:dyDescent="0.35">
      <c r="C8" s="22" t="s">
        <v>13</v>
      </c>
      <c r="D8" s="23" t="s">
        <v>151</v>
      </c>
      <c r="E8" s="23"/>
      <c r="F8" s="24"/>
      <c r="G8" s="25"/>
      <c r="H8" s="25"/>
      <c r="I8" s="26"/>
      <c r="J8" s="27"/>
      <c r="K8" s="28"/>
      <c r="L8" s="29"/>
      <c r="M8" s="30"/>
    </row>
    <row r="9" spans="1:13" ht="17" x14ac:dyDescent="0.35">
      <c r="B9" s="2" t="s">
        <v>152</v>
      </c>
      <c r="C9" s="31" t="s">
        <v>14</v>
      </c>
      <c r="D9" s="31"/>
      <c r="E9" s="31"/>
      <c r="F9" s="32" t="s">
        <v>152</v>
      </c>
      <c r="G9" s="31" t="s">
        <v>15</v>
      </c>
      <c r="H9" s="31">
        <v>1</v>
      </c>
      <c r="I9" s="33">
        <v>12000</v>
      </c>
      <c r="J9" s="34">
        <f>I9</f>
        <v>12000</v>
      </c>
      <c r="K9" s="33">
        <f>J9*$K$5</f>
        <v>240000</v>
      </c>
      <c r="L9" s="35">
        <f t="shared" ref="L9:L19" si="0">J9/$J$58</f>
        <v>0.92307692307692313</v>
      </c>
      <c r="M9" s="36"/>
    </row>
    <row r="10" spans="1:13" ht="47.4" customHeight="1" x14ac:dyDescent="0.35">
      <c r="B10" s="2" t="s">
        <v>105</v>
      </c>
      <c r="C10" s="31" t="s">
        <v>16</v>
      </c>
      <c r="D10" s="31"/>
      <c r="E10" s="31"/>
      <c r="F10" s="32" t="s">
        <v>153</v>
      </c>
      <c r="G10" s="31" t="s">
        <v>17</v>
      </c>
      <c r="H10" s="37">
        <f>SUM(H11:H20)</f>
        <v>0</v>
      </c>
      <c r="I10" s="33"/>
      <c r="J10" s="33">
        <f>SUM(J11:J20)</f>
        <v>0</v>
      </c>
      <c r="K10" s="163">
        <f t="shared" ref="K10:K73" si="1">J10*$K$5</f>
        <v>0</v>
      </c>
      <c r="L10" s="35">
        <f t="shared" si="0"/>
        <v>0</v>
      </c>
      <c r="M10" s="36"/>
    </row>
    <row r="11" spans="1:13" ht="17" hidden="1" outlineLevel="1" x14ac:dyDescent="0.35">
      <c r="C11" s="38"/>
      <c r="D11" s="38"/>
      <c r="E11" s="38"/>
      <c r="F11" s="39"/>
      <c r="G11" s="38" t="s">
        <v>17</v>
      </c>
      <c r="H11" s="40"/>
      <c r="I11" s="41"/>
      <c r="J11" s="41">
        <f>+($J$9-I11)*H11</f>
        <v>0</v>
      </c>
      <c r="K11" s="164">
        <f t="shared" si="1"/>
        <v>0</v>
      </c>
      <c r="L11" s="42">
        <f t="shared" si="0"/>
        <v>0</v>
      </c>
      <c r="M11" s="43"/>
    </row>
    <row r="12" spans="1:13" ht="17" hidden="1" outlineLevel="1" x14ac:dyDescent="0.35">
      <c r="C12" s="38"/>
      <c r="D12" s="38"/>
      <c r="E12" s="38"/>
      <c r="F12" s="39"/>
      <c r="G12" s="38" t="s">
        <v>17</v>
      </c>
      <c r="H12" s="40"/>
      <c r="I12" s="41"/>
      <c r="J12" s="41">
        <f t="shared" ref="J12:J20" si="2">+($J$9-I12)*H12</f>
        <v>0</v>
      </c>
      <c r="K12" s="164">
        <f t="shared" si="1"/>
        <v>0</v>
      </c>
      <c r="L12" s="42">
        <f t="shared" si="0"/>
        <v>0</v>
      </c>
      <c r="M12" s="43"/>
    </row>
    <row r="13" spans="1:13" ht="17" hidden="1" outlineLevel="1" x14ac:dyDescent="0.35">
      <c r="C13" s="38"/>
      <c r="D13" s="38"/>
      <c r="E13" s="38"/>
      <c r="F13" s="39"/>
      <c r="G13" s="38" t="s">
        <v>17</v>
      </c>
      <c r="H13" s="40"/>
      <c r="I13" s="41"/>
      <c r="J13" s="41">
        <f t="shared" si="2"/>
        <v>0</v>
      </c>
      <c r="K13" s="164">
        <f t="shared" si="1"/>
        <v>0</v>
      </c>
      <c r="L13" s="42">
        <f t="shared" si="0"/>
        <v>0</v>
      </c>
      <c r="M13" s="43"/>
    </row>
    <row r="14" spans="1:13" ht="17" hidden="1" outlineLevel="1" x14ac:dyDescent="0.35">
      <c r="C14" s="38"/>
      <c r="D14" s="38"/>
      <c r="E14" s="38"/>
      <c r="F14" s="39"/>
      <c r="G14" s="38" t="s">
        <v>17</v>
      </c>
      <c r="H14" s="40"/>
      <c r="I14" s="41"/>
      <c r="J14" s="41">
        <f t="shared" si="2"/>
        <v>0</v>
      </c>
      <c r="K14" s="164">
        <f t="shared" si="1"/>
        <v>0</v>
      </c>
      <c r="L14" s="42">
        <f t="shared" si="0"/>
        <v>0</v>
      </c>
      <c r="M14" s="43"/>
    </row>
    <row r="15" spans="1:13" ht="17" hidden="1" outlineLevel="1" x14ac:dyDescent="0.35">
      <c r="C15" s="38"/>
      <c r="D15" s="38"/>
      <c r="E15" s="38"/>
      <c r="F15" s="39"/>
      <c r="G15" s="38" t="s">
        <v>17</v>
      </c>
      <c r="H15" s="40"/>
      <c r="I15" s="41"/>
      <c r="J15" s="41">
        <f t="shared" si="2"/>
        <v>0</v>
      </c>
      <c r="K15" s="164">
        <f t="shared" si="1"/>
        <v>0</v>
      </c>
      <c r="L15" s="42">
        <f t="shared" si="0"/>
        <v>0</v>
      </c>
      <c r="M15" s="43"/>
    </row>
    <row r="16" spans="1:13" ht="17" hidden="1" outlineLevel="1" x14ac:dyDescent="0.4">
      <c r="A16" s="44"/>
      <c r="B16" s="44"/>
      <c r="C16" s="38"/>
      <c r="D16" s="38"/>
      <c r="E16" s="38"/>
      <c r="F16" s="39"/>
      <c r="G16" s="38" t="s">
        <v>17</v>
      </c>
      <c r="H16" s="40"/>
      <c r="I16" s="41"/>
      <c r="J16" s="41">
        <f t="shared" si="2"/>
        <v>0</v>
      </c>
      <c r="K16" s="164">
        <f t="shared" si="1"/>
        <v>0</v>
      </c>
      <c r="L16" s="42">
        <f t="shared" si="0"/>
        <v>0</v>
      </c>
      <c r="M16" s="43"/>
    </row>
    <row r="17" spans="1:15" ht="17" hidden="1" outlineLevel="1" x14ac:dyDescent="0.4">
      <c r="A17" s="44"/>
      <c r="B17" s="44"/>
      <c r="C17" s="38"/>
      <c r="D17" s="38"/>
      <c r="E17" s="38"/>
      <c r="F17" s="39"/>
      <c r="G17" s="38" t="s">
        <v>17</v>
      </c>
      <c r="H17" s="40"/>
      <c r="I17" s="41"/>
      <c r="J17" s="41">
        <f t="shared" si="2"/>
        <v>0</v>
      </c>
      <c r="K17" s="164">
        <f t="shared" si="1"/>
        <v>0</v>
      </c>
      <c r="L17" s="42">
        <f t="shared" si="0"/>
        <v>0</v>
      </c>
      <c r="M17" s="43"/>
    </row>
    <row r="18" spans="1:15" ht="17" hidden="1" outlineLevel="1" x14ac:dyDescent="0.4">
      <c r="A18" s="44"/>
      <c r="B18" s="44"/>
      <c r="C18" s="38"/>
      <c r="D18" s="38"/>
      <c r="E18" s="38"/>
      <c r="F18" s="39"/>
      <c r="G18" s="38" t="s">
        <v>17</v>
      </c>
      <c r="H18" s="40"/>
      <c r="I18" s="41"/>
      <c r="J18" s="41">
        <f t="shared" si="2"/>
        <v>0</v>
      </c>
      <c r="K18" s="164">
        <f t="shared" si="1"/>
        <v>0</v>
      </c>
      <c r="L18" s="42">
        <f t="shared" si="0"/>
        <v>0</v>
      </c>
      <c r="M18" s="43"/>
    </row>
    <row r="19" spans="1:15" ht="17" hidden="1" outlineLevel="1" x14ac:dyDescent="0.4">
      <c r="A19" s="44"/>
      <c r="B19" s="44"/>
      <c r="C19" s="38"/>
      <c r="D19" s="38"/>
      <c r="E19" s="38"/>
      <c r="F19" s="39"/>
      <c r="G19" s="38" t="s">
        <v>17</v>
      </c>
      <c r="H19" s="40"/>
      <c r="I19" s="41"/>
      <c r="J19" s="41">
        <f t="shared" si="2"/>
        <v>0</v>
      </c>
      <c r="K19" s="164">
        <f t="shared" si="1"/>
        <v>0</v>
      </c>
      <c r="L19" s="42">
        <f t="shared" si="0"/>
        <v>0</v>
      </c>
      <c r="M19" s="43"/>
    </row>
    <row r="20" spans="1:15" ht="17" hidden="1" outlineLevel="1" x14ac:dyDescent="0.4">
      <c r="A20" s="44" t="s">
        <v>20</v>
      </c>
      <c r="B20" s="44"/>
      <c r="C20" s="38"/>
      <c r="D20" s="38"/>
      <c r="E20" s="38"/>
      <c r="F20" s="39" t="s">
        <v>154</v>
      </c>
      <c r="G20" s="38" t="s">
        <v>17</v>
      </c>
      <c r="H20" s="169"/>
      <c r="I20" s="41"/>
      <c r="J20" s="41">
        <f t="shared" si="2"/>
        <v>0</v>
      </c>
      <c r="K20" s="164">
        <f t="shared" si="1"/>
        <v>0</v>
      </c>
      <c r="L20" s="42">
        <f>J20/$J$58</f>
        <v>0</v>
      </c>
      <c r="M20" s="43" t="s">
        <v>21</v>
      </c>
    </row>
    <row r="21" spans="1:15" ht="17" collapsed="1" x14ac:dyDescent="0.35">
      <c r="C21" s="31" t="s">
        <v>22</v>
      </c>
      <c r="D21" s="45"/>
      <c r="E21" s="45"/>
      <c r="F21" s="32" t="s">
        <v>155</v>
      </c>
      <c r="G21" s="31"/>
      <c r="H21" s="31"/>
      <c r="I21" s="31"/>
      <c r="J21" s="33">
        <f>SUM(J22:J33)</f>
        <v>0</v>
      </c>
      <c r="K21" s="163">
        <f t="shared" si="1"/>
        <v>0</v>
      </c>
      <c r="L21" s="35">
        <f>J21/$J$58</f>
        <v>0</v>
      </c>
      <c r="M21" s="46"/>
    </row>
    <row r="22" spans="1:15" ht="17" hidden="1" outlineLevel="1" x14ac:dyDescent="0.35">
      <c r="C22" s="38">
        <v>0</v>
      </c>
      <c r="D22" s="47" t="s">
        <v>23</v>
      </c>
      <c r="E22" s="47"/>
      <c r="F22" s="39" t="s">
        <v>24</v>
      </c>
      <c r="G22" s="38" t="s">
        <v>25</v>
      </c>
      <c r="H22" s="48"/>
      <c r="I22" s="38"/>
      <c r="J22" s="49"/>
      <c r="K22" s="164">
        <f t="shared" si="1"/>
        <v>0</v>
      </c>
      <c r="L22" s="49"/>
      <c r="M22" s="43"/>
      <c r="O22" s="53"/>
    </row>
    <row r="23" spans="1:15" ht="17" hidden="1" outlineLevel="1" x14ac:dyDescent="0.35">
      <c r="C23" s="38"/>
      <c r="D23" s="47"/>
      <c r="E23" s="47"/>
      <c r="F23" s="39" t="s">
        <v>26</v>
      </c>
      <c r="G23" s="38" t="s">
        <v>17</v>
      </c>
      <c r="H23" s="50"/>
      <c r="I23" s="38"/>
      <c r="J23" s="49"/>
      <c r="K23" s="164">
        <f t="shared" si="1"/>
        <v>0</v>
      </c>
      <c r="L23" s="49"/>
      <c r="M23" s="43"/>
      <c r="O23" s="53"/>
    </row>
    <row r="24" spans="1:15" ht="17" hidden="1" outlineLevel="1" x14ac:dyDescent="0.35">
      <c r="C24" s="38"/>
      <c r="D24" s="47"/>
      <c r="E24" s="47"/>
      <c r="F24" s="39"/>
      <c r="G24" s="38"/>
      <c r="H24" s="38"/>
      <c r="I24" s="41"/>
      <c r="J24" s="51"/>
      <c r="K24" s="164">
        <f t="shared" si="1"/>
        <v>0</v>
      </c>
      <c r="L24" s="52">
        <f t="shared" ref="L24:L34" si="3">J24/$J$58</f>
        <v>0</v>
      </c>
      <c r="M24" s="43"/>
      <c r="N24" s="103"/>
      <c r="O24" s="53"/>
    </row>
    <row r="25" spans="1:15" ht="17" hidden="1" outlineLevel="1" x14ac:dyDescent="0.35">
      <c r="C25" s="38"/>
      <c r="D25" s="47"/>
      <c r="E25" s="47"/>
      <c r="F25" s="49"/>
      <c r="G25" s="38"/>
      <c r="H25" s="38"/>
      <c r="I25" s="41"/>
      <c r="J25" s="51"/>
      <c r="K25" s="164">
        <f t="shared" si="1"/>
        <v>0</v>
      </c>
      <c r="L25" s="52">
        <f t="shared" si="3"/>
        <v>0</v>
      </c>
      <c r="M25" s="43"/>
      <c r="N25" s="103"/>
      <c r="O25" s="53"/>
    </row>
    <row r="26" spans="1:15" ht="17" hidden="1" outlineLevel="1" x14ac:dyDescent="0.35">
      <c r="C26" s="38"/>
      <c r="D26" s="47"/>
      <c r="E26" s="47"/>
      <c r="F26" s="49"/>
      <c r="G26" s="38"/>
      <c r="H26" s="38"/>
      <c r="I26" s="41"/>
      <c r="J26" s="51"/>
      <c r="K26" s="164">
        <f t="shared" si="1"/>
        <v>0</v>
      </c>
      <c r="L26" s="52">
        <f t="shared" si="3"/>
        <v>0</v>
      </c>
      <c r="M26" s="43"/>
      <c r="N26" s="103"/>
    </row>
    <row r="27" spans="1:15" ht="17" hidden="1" outlineLevel="1" x14ac:dyDescent="0.35">
      <c r="C27" s="38"/>
      <c r="D27" s="47"/>
      <c r="E27" s="47"/>
      <c r="F27" s="49"/>
      <c r="G27" s="38"/>
      <c r="H27" s="38"/>
      <c r="I27" s="41"/>
      <c r="J27" s="51"/>
      <c r="K27" s="164">
        <f t="shared" si="1"/>
        <v>0</v>
      </c>
      <c r="L27" s="52">
        <f t="shared" si="3"/>
        <v>0</v>
      </c>
      <c r="M27" s="43"/>
      <c r="N27" s="103"/>
    </row>
    <row r="28" spans="1:15" ht="17" hidden="1" outlineLevel="1" x14ac:dyDescent="0.35">
      <c r="C28" s="38"/>
      <c r="D28" s="47"/>
      <c r="E28" s="47"/>
      <c r="F28" s="49"/>
      <c r="G28" s="47"/>
      <c r="H28" s="47"/>
      <c r="I28" s="41"/>
      <c r="J28" s="51"/>
      <c r="K28" s="164">
        <f t="shared" si="1"/>
        <v>0</v>
      </c>
      <c r="L28" s="52">
        <f t="shared" si="3"/>
        <v>0</v>
      </c>
      <c r="M28" s="43"/>
      <c r="N28" s="103"/>
    </row>
    <row r="29" spans="1:15" ht="17" hidden="1" outlineLevel="1" x14ac:dyDescent="0.35">
      <c r="C29" s="38"/>
      <c r="D29" s="47"/>
      <c r="E29" s="47"/>
      <c r="F29" s="49"/>
      <c r="G29" s="47"/>
      <c r="H29" s="47"/>
      <c r="I29" s="41"/>
      <c r="J29" s="51"/>
      <c r="K29" s="164">
        <f t="shared" si="1"/>
        <v>0</v>
      </c>
      <c r="L29" s="52">
        <f t="shared" si="3"/>
        <v>0</v>
      </c>
      <c r="M29" s="43"/>
      <c r="N29" s="103"/>
    </row>
    <row r="30" spans="1:15" ht="17" hidden="1" outlineLevel="1" x14ac:dyDescent="0.35">
      <c r="C30" s="38"/>
      <c r="D30" s="47"/>
      <c r="E30" s="47"/>
      <c r="F30" s="49"/>
      <c r="G30" s="47"/>
      <c r="H30" s="47"/>
      <c r="I30" s="41"/>
      <c r="J30" s="51"/>
      <c r="K30" s="164">
        <f t="shared" si="1"/>
        <v>0</v>
      </c>
      <c r="L30" s="52">
        <f t="shared" si="3"/>
        <v>0</v>
      </c>
      <c r="M30" s="43"/>
      <c r="N30" s="103"/>
    </row>
    <row r="31" spans="1:15" ht="17" hidden="1" outlineLevel="1" x14ac:dyDescent="0.35">
      <c r="C31" s="38"/>
      <c r="D31" s="47"/>
      <c r="E31" s="47"/>
      <c r="F31" s="49"/>
      <c r="G31" s="47"/>
      <c r="H31" s="47"/>
      <c r="I31" s="41"/>
      <c r="J31" s="51"/>
      <c r="K31" s="164">
        <f t="shared" si="1"/>
        <v>0</v>
      </c>
      <c r="L31" s="52">
        <f t="shared" si="3"/>
        <v>0</v>
      </c>
      <c r="M31" s="43"/>
      <c r="N31" s="103"/>
    </row>
    <row r="32" spans="1:15" ht="17" hidden="1" outlineLevel="1" x14ac:dyDescent="0.35">
      <c r="C32" s="38"/>
      <c r="D32" s="47"/>
      <c r="E32" s="47"/>
      <c r="F32" s="39"/>
      <c r="G32" s="38"/>
      <c r="H32" s="54"/>
      <c r="I32" s="41"/>
      <c r="J32" s="51"/>
      <c r="K32" s="164">
        <f t="shared" si="1"/>
        <v>0</v>
      </c>
      <c r="L32" s="52">
        <f t="shared" si="3"/>
        <v>0</v>
      </c>
      <c r="M32" s="43"/>
      <c r="N32" s="103"/>
    </row>
    <row r="33" spans="2:14" ht="17" hidden="1" outlineLevel="1" x14ac:dyDescent="0.35">
      <c r="C33" s="38">
        <f>+C28+1</f>
        <v>1</v>
      </c>
      <c r="D33" s="47" t="s">
        <v>33</v>
      </c>
      <c r="E33" s="47">
        <v>6277.6278000000002</v>
      </c>
      <c r="F33" s="49" t="s">
        <v>49</v>
      </c>
      <c r="G33" s="38" t="s">
        <v>156</v>
      </c>
      <c r="H33" s="38"/>
      <c r="I33" s="41"/>
      <c r="J33" s="51"/>
      <c r="K33" s="164">
        <f t="shared" si="1"/>
        <v>0</v>
      </c>
      <c r="L33" s="52">
        <f t="shared" si="3"/>
        <v>0</v>
      </c>
      <c r="M33" s="43"/>
      <c r="N33" s="103"/>
    </row>
    <row r="34" spans="2:14" ht="23.15" customHeight="1" collapsed="1" x14ac:dyDescent="0.35">
      <c r="C34" s="55"/>
      <c r="D34" s="204" t="s">
        <v>158</v>
      </c>
      <c r="E34" s="204"/>
      <c r="F34" s="204"/>
      <c r="G34" s="56"/>
      <c r="H34" s="56"/>
      <c r="I34" s="56"/>
      <c r="J34" s="57">
        <f>J9+J10+J21</f>
        <v>12000</v>
      </c>
      <c r="K34" s="170">
        <f t="shared" si="1"/>
        <v>240000</v>
      </c>
      <c r="L34" s="58">
        <f t="shared" si="3"/>
        <v>0.92307692307692313</v>
      </c>
      <c r="M34" s="59"/>
    </row>
    <row r="35" spans="2:14" ht="17" x14ac:dyDescent="0.35">
      <c r="C35" s="22" t="s">
        <v>50</v>
      </c>
      <c r="D35" s="23" t="s">
        <v>150</v>
      </c>
      <c r="E35" s="23"/>
      <c r="F35" s="60"/>
      <c r="G35" s="61"/>
      <c r="H35" s="61"/>
      <c r="I35" s="61"/>
      <c r="J35" s="62"/>
      <c r="K35" s="171">
        <f t="shared" si="1"/>
        <v>0</v>
      </c>
      <c r="L35" s="63"/>
      <c r="M35" s="64"/>
    </row>
    <row r="36" spans="2:14" ht="17" x14ac:dyDescent="0.35">
      <c r="C36" s="31" t="s">
        <v>51</v>
      </c>
      <c r="D36" s="45"/>
      <c r="E36" s="45"/>
      <c r="F36" s="32" t="s">
        <v>160</v>
      </c>
      <c r="G36" s="31" t="s">
        <v>52</v>
      </c>
      <c r="H36" s="31">
        <v>1</v>
      </c>
      <c r="I36" s="65">
        <f>+J34</f>
        <v>12000</v>
      </c>
      <c r="J36" s="33">
        <f>+H36*I36</f>
        <v>12000</v>
      </c>
      <c r="K36" s="163">
        <f t="shared" si="1"/>
        <v>240000</v>
      </c>
      <c r="L36" s="35">
        <f>J36/$J$58</f>
        <v>0.92307692307692313</v>
      </c>
      <c r="M36" s="46"/>
    </row>
    <row r="37" spans="2:14" ht="17" x14ac:dyDescent="0.35">
      <c r="C37" s="31" t="s">
        <v>53</v>
      </c>
      <c r="D37" s="45"/>
      <c r="E37" s="45"/>
      <c r="F37" s="32" t="s">
        <v>161</v>
      </c>
      <c r="G37" s="31"/>
      <c r="H37" s="31"/>
      <c r="I37" s="31"/>
      <c r="J37" s="33">
        <f>SUM(J40:J57)</f>
        <v>1000</v>
      </c>
      <c r="K37" s="163">
        <f t="shared" si="1"/>
        <v>20000</v>
      </c>
      <c r="L37" s="35">
        <f>J37/$J$58</f>
        <v>7.6923076923076927E-2</v>
      </c>
      <c r="M37" s="46"/>
    </row>
    <row r="38" spans="2:14" ht="17" hidden="1" outlineLevel="1" x14ac:dyDescent="0.35">
      <c r="C38" s="47">
        <v>0</v>
      </c>
      <c r="D38" s="47" t="s">
        <v>56</v>
      </c>
      <c r="E38" s="47"/>
      <c r="F38" s="67" t="s">
        <v>24</v>
      </c>
      <c r="G38" s="47" t="s">
        <v>25</v>
      </c>
      <c r="H38" s="48"/>
      <c r="I38" s="47"/>
      <c r="J38" s="68"/>
      <c r="K38" s="51">
        <f t="shared" si="1"/>
        <v>0</v>
      </c>
      <c r="L38" s="68"/>
      <c r="M38" s="43"/>
    </row>
    <row r="39" spans="2:14" ht="17" hidden="1" outlineLevel="1" x14ac:dyDescent="0.35">
      <c r="C39" s="47"/>
      <c r="D39" s="47"/>
      <c r="E39" s="47"/>
      <c r="F39" s="39" t="s">
        <v>26</v>
      </c>
      <c r="G39" s="38" t="s">
        <v>17</v>
      </c>
      <c r="H39" s="50"/>
      <c r="I39" s="47"/>
      <c r="J39" s="68"/>
      <c r="K39" s="51">
        <f t="shared" si="1"/>
        <v>0</v>
      </c>
      <c r="L39" s="68"/>
      <c r="M39" s="43"/>
    </row>
    <row r="40" spans="2:14" ht="17" hidden="1" outlineLevel="1" x14ac:dyDescent="0.35">
      <c r="B40" s="2" t="s">
        <v>152</v>
      </c>
      <c r="C40" s="47"/>
      <c r="D40" s="47"/>
      <c r="E40" s="47"/>
      <c r="F40" s="67"/>
      <c r="G40" s="47"/>
      <c r="H40" s="70"/>
      <c r="I40" s="41"/>
      <c r="J40" s="82">
        <f>+($J$34-I40)*H40</f>
        <v>0</v>
      </c>
      <c r="K40" s="51">
        <f t="shared" si="1"/>
        <v>0</v>
      </c>
      <c r="L40" s="52">
        <f t="shared" ref="L40:L54" si="4">J40/$J$58</f>
        <v>0</v>
      </c>
      <c r="M40" s="73"/>
    </row>
    <row r="41" spans="2:14" ht="17" hidden="1" outlineLevel="1" x14ac:dyDescent="0.35">
      <c r="B41" s="2" t="s">
        <v>105</v>
      </c>
      <c r="C41" s="47"/>
      <c r="D41" s="47"/>
      <c r="E41" s="47"/>
      <c r="F41" s="67"/>
      <c r="G41" s="47"/>
      <c r="H41" s="70"/>
      <c r="I41" s="41"/>
      <c r="J41" s="82">
        <f>+($J$34-I41)*H41</f>
        <v>0</v>
      </c>
      <c r="K41" s="51">
        <f t="shared" si="1"/>
        <v>0</v>
      </c>
      <c r="L41" s="52">
        <f t="shared" si="4"/>
        <v>0</v>
      </c>
      <c r="M41" s="73"/>
    </row>
    <row r="42" spans="2:14" ht="17" hidden="1" outlineLevel="1" x14ac:dyDescent="0.35">
      <c r="C42" s="47"/>
      <c r="D42" s="47"/>
      <c r="E42" s="47"/>
      <c r="F42" s="67"/>
      <c r="G42" s="47"/>
      <c r="H42" s="70"/>
      <c r="I42" s="41"/>
      <c r="J42" s="82">
        <f>+($J$34-I42)*H42</f>
        <v>0</v>
      </c>
      <c r="K42" s="51">
        <f t="shared" si="1"/>
        <v>0</v>
      </c>
      <c r="L42" s="52">
        <f t="shared" si="4"/>
        <v>0</v>
      </c>
      <c r="M42" s="73"/>
    </row>
    <row r="43" spans="2:14" ht="17" hidden="1" outlineLevel="1" x14ac:dyDescent="0.35">
      <c r="C43" s="47"/>
      <c r="D43" s="47"/>
      <c r="E43" s="47"/>
      <c r="F43" s="67"/>
      <c r="G43" s="47"/>
      <c r="H43" s="70"/>
      <c r="I43" s="41"/>
      <c r="J43" s="82">
        <f>+($J$34-I43)*H43</f>
        <v>0</v>
      </c>
      <c r="K43" s="51">
        <f t="shared" si="1"/>
        <v>0</v>
      </c>
      <c r="L43" s="52">
        <f t="shared" si="4"/>
        <v>0</v>
      </c>
      <c r="M43" s="73"/>
    </row>
    <row r="44" spans="2:14" ht="17" hidden="1" outlineLevel="1" x14ac:dyDescent="0.35">
      <c r="C44" s="47"/>
      <c r="D44" s="47"/>
      <c r="E44" s="47"/>
      <c r="F44" s="67"/>
      <c r="G44" s="47"/>
      <c r="H44" s="70"/>
      <c r="I44" s="41"/>
      <c r="J44" s="82">
        <f>+H44*I44</f>
        <v>0</v>
      </c>
      <c r="K44" s="51">
        <f t="shared" si="1"/>
        <v>0</v>
      </c>
      <c r="L44" s="52">
        <f t="shared" si="4"/>
        <v>0</v>
      </c>
      <c r="M44" s="73"/>
      <c r="N44" s="103"/>
    </row>
    <row r="45" spans="2:14" ht="17" hidden="1" outlineLevel="1" x14ac:dyDescent="0.35">
      <c r="C45" s="47"/>
      <c r="D45" s="47"/>
      <c r="E45" s="47"/>
      <c r="F45" s="67"/>
      <c r="G45" s="47"/>
      <c r="H45" s="70"/>
      <c r="I45" s="41"/>
      <c r="J45" s="71">
        <f>+H45*I45</f>
        <v>0</v>
      </c>
      <c r="K45" s="51">
        <f t="shared" si="1"/>
        <v>0</v>
      </c>
      <c r="L45" s="52">
        <f t="shared" si="4"/>
        <v>0</v>
      </c>
      <c r="M45" s="73"/>
      <c r="N45" s="103"/>
    </row>
    <row r="46" spans="2:14" ht="17" hidden="1" outlineLevel="1" x14ac:dyDescent="0.35">
      <c r="C46" s="47"/>
      <c r="D46" s="47"/>
      <c r="E46" s="47"/>
      <c r="F46" s="67"/>
      <c r="G46" s="47"/>
      <c r="H46" s="74"/>
      <c r="I46" s="41"/>
      <c r="J46" s="71">
        <f>+H46*I46</f>
        <v>0</v>
      </c>
      <c r="K46" s="51">
        <f t="shared" si="1"/>
        <v>0</v>
      </c>
      <c r="L46" s="52">
        <f t="shared" si="4"/>
        <v>0</v>
      </c>
      <c r="M46" s="73"/>
      <c r="N46" s="103"/>
    </row>
    <row r="47" spans="2:14" ht="17" hidden="1" outlineLevel="1" x14ac:dyDescent="0.35">
      <c r="C47" s="47"/>
      <c r="D47" s="47"/>
      <c r="E47" s="47"/>
      <c r="F47" s="67"/>
      <c r="G47" s="47"/>
      <c r="H47" s="47"/>
      <c r="I47" s="41"/>
      <c r="J47" s="71"/>
      <c r="K47" s="51">
        <f t="shared" si="1"/>
        <v>0</v>
      </c>
      <c r="L47" s="52">
        <f t="shared" si="4"/>
        <v>0</v>
      </c>
      <c r="M47" s="75"/>
      <c r="N47" s="103"/>
    </row>
    <row r="48" spans="2:14" ht="17" hidden="1" outlineLevel="1" x14ac:dyDescent="0.35">
      <c r="C48" s="47"/>
      <c r="D48" s="47"/>
      <c r="E48" s="47"/>
      <c r="F48" s="67"/>
      <c r="G48" s="47"/>
      <c r="H48" s="47"/>
      <c r="I48" s="41"/>
      <c r="J48" s="71"/>
      <c r="K48" s="51">
        <f t="shared" si="1"/>
        <v>0</v>
      </c>
      <c r="L48" s="52">
        <f t="shared" si="4"/>
        <v>0</v>
      </c>
      <c r="M48" s="75"/>
      <c r="N48" s="103"/>
    </row>
    <row r="49" spans="1:15" ht="17" hidden="1" outlineLevel="1" x14ac:dyDescent="0.35">
      <c r="C49" s="47"/>
      <c r="D49" s="47"/>
      <c r="E49" s="47"/>
      <c r="F49" s="67"/>
      <c r="G49" s="47"/>
      <c r="H49" s="47"/>
      <c r="I49" s="41"/>
      <c r="J49" s="71"/>
      <c r="K49" s="51">
        <f t="shared" si="1"/>
        <v>0</v>
      </c>
      <c r="L49" s="52">
        <f t="shared" si="4"/>
        <v>0</v>
      </c>
      <c r="M49" s="43"/>
      <c r="N49" s="103"/>
    </row>
    <row r="50" spans="1:15" ht="17" hidden="1" outlineLevel="1" x14ac:dyDescent="0.35">
      <c r="C50" s="47"/>
      <c r="D50" s="47"/>
      <c r="E50" s="47"/>
      <c r="F50" s="67"/>
      <c r="G50" s="47"/>
      <c r="H50" s="47"/>
      <c r="I50" s="41"/>
      <c r="J50" s="71"/>
      <c r="K50" s="51">
        <f t="shared" si="1"/>
        <v>0</v>
      </c>
      <c r="L50" s="52">
        <f t="shared" si="4"/>
        <v>0</v>
      </c>
      <c r="M50" s="43"/>
      <c r="N50" s="103"/>
    </row>
    <row r="51" spans="1:15" ht="17" hidden="1" outlineLevel="1" x14ac:dyDescent="0.35">
      <c r="C51" s="47"/>
      <c r="D51" s="47"/>
      <c r="E51" s="47"/>
      <c r="F51" s="49"/>
      <c r="G51" s="47"/>
      <c r="H51" s="47"/>
      <c r="I51" s="41"/>
      <c r="J51" s="71"/>
      <c r="K51" s="51">
        <f t="shared" si="1"/>
        <v>0</v>
      </c>
      <c r="L51" s="52">
        <f t="shared" si="4"/>
        <v>0</v>
      </c>
      <c r="M51" s="43"/>
      <c r="N51" s="103"/>
    </row>
    <row r="52" spans="1:15" ht="17" hidden="1" outlineLevel="1" x14ac:dyDescent="0.35">
      <c r="C52" s="47"/>
      <c r="D52" s="47"/>
      <c r="E52" s="47"/>
      <c r="F52" s="49"/>
      <c r="G52" s="47"/>
      <c r="H52" s="47"/>
      <c r="I52" s="41"/>
      <c r="J52" s="71"/>
      <c r="K52" s="51">
        <f t="shared" si="1"/>
        <v>0</v>
      </c>
      <c r="L52" s="52">
        <f t="shared" si="4"/>
        <v>0</v>
      </c>
      <c r="M52" s="43"/>
      <c r="N52" s="103"/>
    </row>
    <row r="53" spans="1:15" ht="17" hidden="1" outlineLevel="1" x14ac:dyDescent="0.35">
      <c r="C53" s="47"/>
      <c r="D53" s="47"/>
      <c r="E53" s="47"/>
      <c r="F53" s="49"/>
      <c r="G53" s="47"/>
      <c r="H53" s="47"/>
      <c r="I53" s="41"/>
      <c r="J53" s="71"/>
      <c r="K53" s="51">
        <f t="shared" si="1"/>
        <v>0</v>
      </c>
      <c r="L53" s="52">
        <f t="shared" si="4"/>
        <v>0</v>
      </c>
      <c r="M53" s="43"/>
      <c r="N53" s="103"/>
    </row>
    <row r="54" spans="1:15" ht="17" hidden="1" outlineLevel="1" x14ac:dyDescent="0.35">
      <c r="C54" s="47"/>
      <c r="D54" s="47"/>
      <c r="E54" s="47"/>
      <c r="F54" s="49"/>
      <c r="G54" s="47"/>
      <c r="H54" s="47"/>
      <c r="I54" s="41"/>
      <c r="J54" s="71"/>
      <c r="K54" s="51">
        <f t="shared" si="1"/>
        <v>0</v>
      </c>
      <c r="L54" s="52">
        <f t="shared" si="4"/>
        <v>0</v>
      </c>
      <c r="M54" s="43"/>
      <c r="N54" s="103"/>
    </row>
    <row r="55" spans="1:15" ht="17" hidden="1" outlineLevel="1" x14ac:dyDescent="0.35">
      <c r="C55" s="47"/>
      <c r="D55" s="47"/>
      <c r="E55" s="47"/>
      <c r="F55" s="67"/>
      <c r="G55" s="47"/>
      <c r="H55" s="47"/>
      <c r="I55" s="41"/>
      <c r="J55" s="71"/>
      <c r="K55" s="51">
        <f t="shared" si="1"/>
        <v>0</v>
      </c>
      <c r="L55" s="52">
        <f>J55/$J$58</f>
        <v>0</v>
      </c>
      <c r="M55" s="43"/>
      <c r="N55" s="103"/>
    </row>
    <row r="56" spans="1:15" ht="17" hidden="1" outlineLevel="1" x14ac:dyDescent="0.35">
      <c r="C56" s="47"/>
      <c r="D56" s="47"/>
      <c r="E56" s="47"/>
      <c r="F56" s="67"/>
      <c r="G56" s="47"/>
      <c r="H56" s="47"/>
      <c r="I56" s="41"/>
      <c r="J56" s="71"/>
      <c r="K56" s="51">
        <f t="shared" si="1"/>
        <v>0</v>
      </c>
      <c r="L56" s="52">
        <f>J56/$J$58</f>
        <v>0</v>
      </c>
      <c r="M56" s="43"/>
      <c r="N56" s="103"/>
    </row>
    <row r="57" spans="1:15" ht="17" hidden="1" outlineLevel="1" x14ac:dyDescent="0.35">
      <c r="C57" s="47"/>
      <c r="D57" s="47"/>
      <c r="E57" s="47"/>
      <c r="F57" s="67" t="s">
        <v>157</v>
      </c>
      <c r="G57" s="47"/>
      <c r="H57" s="47"/>
      <c r="I57" s="41">
        <v>1000</v>
      </c>
      <c r="J57" s="71">
        <f>I57</f>
        <v>1000</v>
      </c>
      <c r="K57" s="51">
        <f t="shared" si="1"/>
        <v>20000</v>
      </c>
      <c r="L57" s="52">
        <f>J57/$J$58</f>
        <v>7.6923076923076927E-2</v>
      </c>
      <c r="M57" s="43"/>
      <c r="N57" s="103"/>
    </row>
    <row r="58" spans="1:15" ht="21" customHeight="1" collapsed="1" x14ac:dyDescent="0.35">
      <c r="C58" s="55"/>
      <c r="D58" s="204" t="s">
        <v>159</v>
      </c>
      <c r="E58" s="204"/>
      <c r="F58" s="204"/>
      <c r="G58" s="56"/>
      <c r="H58" s="56"/>
      <c r="I58" s="56"/>
      <c r="J58" s="57">
        <f>J36+J37</f>
        <v>13000</v>
      </c>
      <c r="K58" s="170">
        <f t="shared" si="1"/>
        <v>260000</v>
      </c>
      <c r="L58" s="58">
        <f>J58/$J$58</f>
        <v>1</v>
      </c>
      <c r="M58" s="59"/>
    </row>
    <row r="59" spans="1:15" ht="17" x14ac:dyDescent="0.35">
      <c r="C59" s="22" t="s">
        <v>104</v>
      </c>
      <c r="D59" s="23" t="s">
        <v>149</v>
      </c>
      <c r="E59" s="23"/>
      <c r="F59" s="76"/>
      <c r="G59" s="77"/>
      <c r="H59" s="77"/>
      <c r="I59" s="78"/>
      <c r="J59" s="78"/>
      <c r="K59" s="172">
        <f t="shared" si="1"/>
        <v>0</v>
      </c>
      <c r="L59" s="79"/>
      <c r="M59" s="80"/>
    </row>
    <row r="60" spans="1:15" ht="17" x14ac:dyDescent="0.35">
      <c r="C60" s="83" t="s">
        <v>14</v>
      </c>
      <c r="D60" s="83"/>
      <c r="E60" s="83"/>
      <c r="F60" s="84" t="s">
        <v>162</v>
      </c>
      <c r="G60" s="83"/>
      <c r="H60" s="83">
        <v>1</v>
      </c>
      <c r="I60" s="85"/>
      <c r="J60" s="85">
        <f>+J58</f>
        <v>13000</v>
      </c>
      <c r="K60" s="173">
        <f t="shared" si="1"/>
        <v>260000</v>
      </c>
      <c r="L60" s="35">
        <f>J60/$J$109</f>
        <v>0.52</v>
      </c>
      <c r="M60" s="46"/>
    </row>
    <row r="61" spans="1:15" ht="17" x14ac:dyDescent="0.35">
      <c r="C61" s="31" t="s">
        <v>16</v>
      </c>
      <c r="D61" s="45"/>
      <c r="E61" s="45"/>
      <c r="F61" s="32" t="s">
        <v>163</v>
      </c>
      <c r="G61" s="31"/>
      <c r="H61" s="86"/>
      <c r="I61" s="86"/>
      <c r="J61" s="33">
        <f>SUM(J62:J79)</f>
        <v>20911.564318567125</v>
      </c>
      <c r="K61" s="163">
        <f t="shared" si="1"/>
        <v>418231.28637134249</v>
      </c>
      <c r="L61" s="35">
        <f>J61/$J$109</f>
        <v>0.83646257274268498</v>
      </c>
      <c r="M61" s="87"/>
    </row>
    <row r="62" spans="1:15" ht="17" hidden="1" outlineLevel="1" x14ac:dyDescent="0.35">
      <c r="A62" s="2" t="s">
        <v>187</v>
      </c>
      <c r="C62" s="47">
        <v>0</v>
      </c>
      <c r="D62" s="47" t="s">
        <v>23</v>
      </c>
      <c r="E62" s="47"/>
      <c r="F62" s="67" t="s">
        <v>24</v>
      </c>
      <c r="G62" s="47" t="s">
        <v>25</v>
      </c>
      <c r="H62" s="178">
        <v>300</v>
      </c>
      <c r="I62" s="47"/>
      <c r="J62" s="68"/>
      <c r="K62" s="51">
        <f t="shared" si="1"/>
        <v>0</v>
      </c>
      <c r="L62" s="68"/>
      <c r="M62" s="43" t="s">
        <v>60</v>
      </c>
    </row>
    <row r="63" spans="1:15" ht="17" hidden="1" outlineLevel="1" x14ac:dyDescent="0.35">
      <c r="A63" s="2" t="s">
        <v>187</v>
      </c>
      <c r="C63" s="47"/>
      <c r="D63" s="47"/>
      <c r="E63" s="47"/>
      <c r="F63" s="39" t="s">
        <v>26</v>
      </c>
      <c r="G63" s="38" t="s">
        <v>17</v>
      </c>
      <c r="H63" s="176">
        <v>0.75</v>
      </c>
      <c r="I63" s="47"/>
      <c r="J63" s="68"/>
      <c r="K63" s="51">
        <f t="shared" si="1"/>
        <v>0</v>
      </c>
      <c r="L63" s="68"/>
      <c r="M63" s="43" t="s">
        <v>27</v>
      </c>
    </row>
    <row r="64" spans="1:15" ht="17" hidden="1" outlineLevel="1" x14ac:dyDescent="0.35">
      <c r="A64" s="2" t="s">
        <v>61</v>
      </c>
      <c r="B64" s="2" t="s">
        <v>105</v>
      </c>
      <c r="C64" s="47">
        <f>+C63+1</f>
        <v>1</v>
      </c>
      <c r="D64" s="47">
        <v>1521</v>
      </c>
      <c r="E64" s="47"/>
      <c r="F64" s="67" t="s">
        <v>162</v>
      </c>
      <c r="G64" s="47" t="s">
        <v>17</v>
      </c>
      <c r="H64" s="181">
        <f>1/'[3]2.Hao hut'!$E$29</f>
        <v>1.1627906976744187</v>
      </c>
      <c r="I64" s="180">
        <v>13000</v>
      </c>
      <c r="J64" s="82">
        <f>+(J$60-I614)*H64-J68</f>
        <v>13296.279069767443</v>
      </c>
      <c r="K64" s="51">
        <f t="shared" si="1"/>
        <v>265925.58139534888</v>
      </c>
      <c r="L64" s="72">
        <f t="shared" ref="L64:L80" si="5">J64/$J$109</f>
        <v>0.53185116279069766</v>
      </c>
      <c r="M64" s="73" t="s">
        <v>18</v>
      </c>
      <c r="N64" s="69">
        <v>4.0389910685896195</v>
      </c>
      <c r="O64" s="66">
        <f>+K64-N64</f>
        <v>265921.54240428028</v>
      </c>
    </row>
    <row r="65" spans="1:15" ht="17" hidden="1" outlineLevel="1" x14ac:dyDescent="0.35">
      <c r="A65" s="2" t="s">
        <v>62</v>
      </c>
      <c r="B65" s="2" t="s">
        <v>105</v>
      </c>
      <c r="C65" s="47">
        <f t="shared" ref="C65:C79" si="6">+C64+1</f>
        <v>2</v>
      </c>
      <c r="D65" s="47"/>
      <c r="E65" s="47"/>
      <c r="F65" s="67"/>
      <c r="G65" s="47" t="s">
        <v>17</v>
      </c>
      <c r="H65" s="70"/>
      <c r="I65" s="41"/>
      <c r="J65" s="82">
        <f>+(J$60-I65)*H65</f>
        <v>0</v>
      </c>
      <c r="K65" s="51">
        <f t="shared" si="1"/>
        <v>0</v>
      </c>
      <c r="L65" s="72">
        <f t="shared" si="5"/>
        <v>0</v>
      </c>
      <c r="M65" s="73" t="s">
        <v>18</v>
      </c>
      <c r="N65" s="69">
        <v>3.6668697587890882</v>
      </c>
      <c r="O65" s="66">
        <f t="shared" ref="O65:O79" si="7">+K65-N65</f>
        <v>-3.6668697587890882</v>
      </c>
    </row>
    <row r="66" spans="1:15" ht="17" hidden="1" outlineLevel="1" x14ac:dyDescent="0.35">
      <c r="A66" s="2" t="s">
        <v>19</v>
      </c>
      <c r="B66" s="2" t="s">
        <v>105</v>
      </c>
      <c r="C66" s="47">
        <f t="shared" si="6"/>
        <v>3</v>
      </c>
      <c r="D66" s="47"/>
      <c r="E66" s="47"/>
      <c r="F66" s="67"/>
      <c r="G66" s="47" t="s">
        <v>17</v>
      </c>
      <c r="H66" s="74"/>
      <c r="I66" s="41"/>
      <c r="J66" s="82">
        <f>+(J$60-I66)*H66</f>
        <v>0</v>
      </c>
      <c r="K66" s="51">
        <f t="shared" si="1"/>
        <v>0</v>
      </c>
      <c r="L66" s="72">
        <f t="shared" si="5"/>
        <v>0</v>
      </c>
      <c r="M66" s="73" t="s">
        <v>18</v>
      </c>
      <c r="N66" s="69">
        <v>0</v>
      </c>
      <c r="O66" s="66">
        <f t="shared" si="7"/>
        <v>0</v>
      </c>
    </row>
    <row r="67" spans="1:15" ht="17" hidden="1" outlineLevel="1" x14ac:dyDescent="0.35">
      <c r="A67" s="2" t="s">
        <v>63</v>
      </c>
      <c r="B67" s="2" t="s">
        <v>105</v>
      </c>
      <c r="C67" s="47">
        <f t="shared" si="6"/>
        <v>4</v>
      </c>
      <c r="D67" s="47"/>
      <c r="E67" s="47"/>
      <c r="F67" s="67"/>
      <c r="G67" s="47" t="s">
        <v>17</v>
      </c>
      <c r="H67" s="70"/>
      <c r="I67" s="41"/>
      <c r="J67" s="82">
        <f>+(J$60-I67)*H67</f>
        <v>0</v>
      </c>
      <c r="K67" s="51">
        <f t="shared" si="1"/>
        <v>0</v>
      </c>
      <c r="L67" s="72">
        <f t="shared" si="5"/>
        <v>0</v>
      </c>
      <c r="M67" s="73" t="s">
        <v>18</v>
      </c>
      <c r="N67" s="69">
        <v>2.597068528756231</v>
      </c>
      <c r="O67" s="66">
        <f t="shared" si="7"/>
        <v>-2.597068528756231</v>
      </c>
    </row>
    <row r="68" spans="1:15" ht="17" hidden="1" outlineLevel="1" x14ac:dyDescent="0.35">
      <c r="A68" s="2" t="s">
        <v>20</v>
      </c>
      <c r="B68" s="2" t="s">
        <v>105</v>
      </c>
      <c r="C68" s="47">
        <f t="shared" si="6"/>
        <v>5</v>
      </c>
      <c r="D68" s="47">
        <v>1522</v>
      </c>
      <c r="E68" s="47"/>
      <c r="F68" s="67" t="s">
        <v>153</v>
      </c>
      <c r="G68" s="47" t="s">
        <v>17</v>
      </c>
      <c r="H68" s="179">
        <f>'[3]2.Hao hut'!$E$11</f>
        <v>0.14000000000000001</v>
      </c>
      <c r="I68" s="180">
        <v>10000</v>
      </c>
      <c r="J68" s="82">
        <f>+(J$60)*H68</f>
        <v>1820.0000000000002</v>
      </c>
      <c r="K68" s="51">
        <f t="shared" si="1"/>
        <v>36400.000000000007</v>
      </c>
      <c r="L68" s="72">
        <f t="shared" si="5"/>
        <v>7.2800000000000004E-2</v>
      </c>
      <c r="M68" s="73" t="s">
        <v>21</v>
      </c>
      <c r="N68" s="69">
        <v>1.714515089006758</v>
      </c>
      <c r="O68" s="66">
        <f t="shared" si="7"/>
        <v>36398.285484911001</v>
      </c>
    </row>
    <row r="69" spans="1:15" ht="17" hidden="1" outlineLevel="1" x14ac:dyDescent="0.35">
      <c r="B69" s="2" t="s">
        <v>113</v>
      </c>
      <c r="C69" s="47">
        <f t="shared" si="6"/>
        <v>6</v>
      </c>
      <c r="D69" s="47" t="s">
        <v>57</v>
      </c>
      <c r="E69" s="47">
        <v>120003033</v>
      </c>
      <c r="F69" s="89" t="s">
        <v>113</v>
      </c>
      <c r="G69" s="81" t="s">
        <v>17</v>
      </c>
      <c r="H69" s="182"/>
      <c r="I69" s="180"/>
      <c r="J69" s="82">
        <f>+H69*I69</f>
        <v>0</v>
      </c>
      <c r="K69" s="51">
        <f t="shared" si="1"/>
        <v>0</v>
      </c>
      <c r="L69" s="72">
        <f t="shared" si="5"/>
        <v>0</v>
      </c>
      <c r="M69" s="73" t="s">
        <v>58</v>
      </c>
      <c r="N69" s="69">
        <v>3.7365764705882358</v>
      </c>
      <c r="O69" s="66">
        <f t="shared" si="7"/>
        <v>-3.7365764705882358</v>
      </c>
    </row>
    <row r="70" spans="1:15" ht="17" hidden="1" outlineLevel="1" x14ac:dyDescent="0.35">
      <c r="A70" s="2" t="s">
        <v>187</v>
      </c>
      <c r="B70" s="2" t="s">
        <v>106</v>
      </c>
      <c r="C70" s="47">
        <f t="shared" si="6"/>
        <v>7</v>
      </c>
      <c r="D70" s="47" t="s">
        <v>28</v>
      </c>
      <c r="E70" s="47">
        <v>622</v>
      </c>
      <c r="F70" s="67" t="s">
        <v>29</v>
      </c>
      <c r="G70" s="47" t="s">
        <v>30</v>
      </c>
      <c r="H70" s="177">
        <v>1</v>
      </c>
      <c r="I70" s="180">
        <f>'[3]Dinh muc'!$I$6</f>
        <v>335.91731266149867</v>
      </c>
      <c r="J70" s="82">
        <f>H70*I70</f>
        <v>335.91731266149867</v>
      </c>
      <c r="K70" s="51">
        <f t="shared" si="1"/>
        <v>6718.3462532299736</v>
      </c>
      <c r="L70" s="72">
        <f t="shared" si="5"/>
        <v>1.3436692506459947E-2</v>
      </c>
      <c r="M70" s="75"/>
      <c r="N70" s="69">
        <v>2.3146075304607443</v>
      </c>
      <c r="O70" s="66">
        <f t="shared" si="7"/>
        <v>6716.0316456995133</v>
      </c>
    </row>
    <row r="71" spans="1:15" ht="34" hidden="1" outlineLevel="1" x14ac:dyDescent="0.35">
      <c r="A71" s="2" t="s">
        <v>187</v>
      </c>
      <c r="B71" s="2" t="s">
        <v>107</v>
      </c>
      <c r="C71" s="47">
        <f t="shared" si="6"/>
        <v>8</v>
      </c>
      <c r="D71" s="47" t="s">
        <v>28</v>
      </c>
      <c r="E71" s="47">
        <v>6271</v>
      </c>
      <c r="F71" s="67" t="s">
        <v>31</v>
      </c>
      <c r="G71" s="47" t="s">
        <v>30</v>
      </c>
      <c r="H71" s="177">
        <v>1</v>
      </c>
      <c r="I71" s="180">
        <f>'[3]Dinh muc'!$I$10</f>
        <v>565.16472868217056</v>
      </c>
      <c r="J71" s="82">
        <f>H71*I71</f>
        <v>565.16472868217056</v>
      </c>
      <c r="K71" s="51">
        <f t="shared" si="1"/>
        <v>11303.294573643412</v>
      </c>
      <c r="L71" s="72">
        <f t="shared" si="5"/>
        <v>2.2606589147286821E-2</v>
      </c>
      <c r="M71" s="75" t="s">
        <v>32</v>
      </c>
      <c r="N71" s="69">
        <v>10.418754770838376</v>
      </c>
      <c r="O71" s="66">
        <f t="shared" si="7"/>
        <v>11292.875818872573</v>
      </c>
    </row>
    <row r="72" spans="1:15" ht="17" hidden="1" outlineLevel="1" x14ac:dyDescent="0.35">
      <c r="A72" s="2" t="s">
        <v>187</v>
      </c>
      <c r="B72" s="2" t="s">
        <v>108</v>
      </c>
      <c r="C72" s="47">
        <f t="shared" si="6"/>
        <v>9</v>
      </c>
      <c r="D72" s="47" t="s">
        <v>33</v>
      </c>
      <c r="E72" s="47">
        <v>6272</v>
      </c>
      <c r="F72" s="67" t="s">
        <v>34</v>
      </c>
      <c r="G72" s="47" t="s">
        <v>30</v>
      </c>
      <c r="H72" s="177">
        <v>1</v>
      </c>
      <c r="I72" s="180">
        <f>'[3]Dinh muc'!$K$15</f>
        <v>1997.8779069767443</v>
      </c>
      <c r="J72" s="82">
        <f>H72*I72</f>
        <v>1997.8779069767443</v>
      </c>
      <c r="K72" s="51">
        <f t="shared" si="1"/>
        <v>39957.558139534885</v>
      </c>
      <c r="L72" s="72">
        <f t="shared" si="5"/>
        <v>7.9915116279069776E-2</v>
      </c>
      <c r="M72" s="43" t="s">
        <v>35</v>
      </c>
      <c r="N72" s="69">
        <v>2.6427307250060519</v>
      </c>
      <c r="O72" s="66">
        <f t="shared" si="7"/>
        <v>39954.91540880988</v>
      </c>
    </row>
    <row r="73" spans="1:15" ht="17" hidden="1" outlineLevel="1" x14ac:dyDescent="0.35">
      <c r="A73" s="2" t="s">
        <v>187</v>
      </c>
      <c r="B73" s="2" t="s">
        <v>109</v>
      </c>
      <c r="C73" s="47">
        <f t="shared" si="6"/>
        <v>10</v>
      </c>
      <c r="D73" s="47" t="s">
        <v>33</v>
      </c>
      <c r="E73" s="47">
        <v>6273</v>
      </c>
      <c r="F73" s="67" t="s">
        <v>36</v>
      </c>
      <c r="G73" s="47" t="s">
        <v>30</v>
      </c>
      <c r="H73" s="177">
        <v>1</v>
      </c>
      <c r="I73" s="180"/>
      <c r="J73" s="82">
        <f t="shared" ref="J73:J79" si="8">H73*I73</f>
        <v>0</v>
      </c>
      <c r="K73" s="51">
        <f t="shared" si="1"/>
        <v>0</v>
      </c>
      <c r="L73" s="72">
        <f t="shared" si="5"/>
        <v>0</v>
      </c>
      <c r="M73" s="43" t="s">
        <v>35</v>
      </c>
      <c r="N73" s="69">
        <v>6.0380665698378113</v>
      </c>
      <c r="O73" s="66">
        <f t="shared" si="7"/>
        <v>-6.0380665698378113</v>
      </c>
    </row>
    <row r="74" spans="1:15" ht="17" hidden="1" outlineLevel="1" x14ac:dyDescent="0.35">
      <c r="A74" s="2" t="s">
        <v>187</v>
      </c>
      <c r="B74" s="2" t="s">
        <v>111</v>
      </c>
      <c r="C74" s="47">
        <f t="shared" si="6"/>
        <v>11</v>
      </c>
      <c r="D74" s="81" t="s">
        <v>37</v>
      </c>
      <c r="E74" s="47" t="s">
        <v>38</v>
      </c>
      <c r="F74" s="49" t="s">
        <v>39</v>
      </c>
      <c r="G74" s="47" t="s">
        <v>30</v>
      </c>
      <c r="H74" s="177">
        <v>1</v>
      </c>
      <c r="I74" s="180">
        <f>'[3]PB_TSCD DC'!$AR$32</f>
        <v>326.55785861880378</v>
      </c>
      <c r="J74" s="82">
        <f t="shared" si="8"/>
        <v>326.55785861880378</v>
      </c>
      <c r="K74" s="51">
        <f t="shared" ref="K74:K108" si="9">J74*$K$5</f>
        <v>6531.1571723760753</v>
      </c>
      <c r="L74" s="72">
        <f t="shared" si="5"/>
        <v>1.3062314344752151E-2</v>
      </c>
      <c r="M74" s="43" t="s">
        <v>40</v>
      </c>
      <c r="N74" s="69">
        <v>20.249816363874928</v>
      </c>
      <c r="O74" s="66">
        <f t="shared" si="7"/>
        <v>6510.9073560122006</v>
      </c>
    </row>
    <row r="75" spans="1:15" ht="17" hidden="1" outlineLevel="1" x14ac:dyDescent="0.35">
      <c r="A75" s="2" t="s">
        <v>187</v>
      </c>
      <c r="B75" s="2" t="s">
        <v>111</v>
      </c>
      <c r="C75" s="47">
        <f t="shared" si="6"/>
        <v>12</v>
      </c>
      <c r="D75" s="81" t="s">
        <v>37</v>
      </c>
      <c r="E75" s="47" t="s">
        <v>41</v>
      </c>
      <c r="F75" s="49" t="s">
        <v>42</v>
      </c>
      <c r="G75" s="47" t="s">
        <v>30</v>
      </c>
      <c r="H75" s="177">
        <v>1</v>
      </c>
      <c r="I75" s="180"/>
      <c r="J75" s="82">
        <f t="shared" si="8"/>
        <v>0</v>
      </c>
      <c r="K75" s="51">
        <f t="shared" si="9"/>
        <v>0</v>
      </c>
      <c r="L75" s="72">
        <f t="shared" si="5"/>
        <v>0</v>
      </c>
      <c r="M75" s="43" t="s">
        <v>40</v>
      </c>
      <c r="N75" s="69">
        <v>1.8659215064283601</v>
      </c>
      <c r="O75" s="66">
        <f t="shared" si="7"/>
        <v>-1.8659215064283601</v>
      </c>
    </row>
    <row r="76" spans="1:15" ht="17" hidden="1" outlineLevel="1" x14ac:dyDescent="0.35">
      <c r="A76" s="2" t="s">
        <v>187</v>
      </c>
      <c r="B76" s="2" t="s">
        <v>111</v>
      </c>
      <c r="C76" s="47">
        <f t="shared" si="6"/>
        <v>13</v>
      </c>
      <c r="D76" s="81" t="s">
        <v>37</v>
      </c>
      <c r="E76" s="47" t="s">
        <v>43</v>
      </c>
      <c r="F76" s="49" t="s">
        <v>44</v>
      </c>
      <c r="G76" s="47" t="s">
        <v>30</v>
      </c>
      <c r="H76" s="177">
        <v>1</v>
      </c>
      <c r="I76" s="180"/>
      <c r="J76" s="82">
        <f t="shared" si="8"/>
        <v>0</v>
      </c>
      <c r="K76" s="51">
        <f t="shared" si="9"/>
        <v>0</v>
      </c>
      <c r="L76" s="72">
        <f t="shared" si="5"/>
        <v>0</v>
      </c>
      <c r="M76" s="43" t="s">
        <v>40</v>
      </c>
      <c r="N76" s="69">
        <v>2.1907837846673184</v>
      </c>
      <c r="O76" s="66">
        <f t="shared" si="7"/>
        <v>-2.1907837846673184</v>
      </c>
    </row>
    <row r="77" spans="1:15" ht="17" hidden="1" outlineLevel="1" x14ac:dyDescent="0.35">
      <c r="A77" s="2" t="s">
        <v>187</v>
      </c>
      <c r="B77" s="2" t="s">
        <v>111</v>
      </c>
      <c r="C77" s="47">
        <f t="shared" si="6"/>
        <v>14</v>
      </c>
      <c r="D77" s="81" t="s">
        <v>37</v>
      </c>
      <c r="E77" s="47" t="s">
        <v>45</v>
      </c>
      <c r="F77" s="49" t="s">
        <v>46</v>
      </c>
      <c r="G77" s="47" t="s">
        <v>30</v>
      </c>
      <c r="H77" s="177">
        <v>1</v>
      </c>
      <c r="I77" s="199"/>
      <c r="J77" s="82">
        <f t="shared" si="8"/>
        <v>0</v>
      </c>
      <c r="K77" s="51">
        <f t="shared" si="9"/>
        <v>0</v>
      </c>
      <c r="L77" s="72">
        <f t="shared" si="5"/>
        <v>0</v>
      </c>
      <c r="M77" s="43" t="s">
        <v>40</v>
      </c>
      <c r="N77" s="69">
        <v>2.839904606824136</v>
      </c>
      <c r="O77" s="66">
        <f t="shared" si="7"/>
        <v>-2.839904606824136</v>
      </c>
    </row>
    <row r="78" spans="1:15" ht="34" hidden="1" outlineLevel="1" x14ac:dyDescent="0.35">
      <c r="A78" s="2" t="s">
        <v>187</v>
      </c>
      <c r="B78" s="2" t="s">
        <v>110</v>
      </c>
      <c r="C78" s="47">
        <f>+C74+1</f>
        <v>12</v>
      </c>
      <c r="D78" s="47" t="s">
        <v>47</v>
      </c>
      <c r="E78" s="47">
        <v>6275</v>
      </c>
      <c r="F78" s="67" t="s">
        <v>64</v>
      </c>
      <c r="G78" s="47" t="s">
        <v>48</v>
      </c>
      <c r="H78" s="183">
        <v>1</v>
      </c>
      <c r="I78" s="180">
        <f>'[3]Dinh muc'!$G$14</f>
        <v>2569.7674418604652</v>
      </c>
      <c r="J78" s="82">
        <f t="shared" si="8"/>
        <v>2569.7674418604652</v>
      </c>
      <c r="K78" s="51">
        <f t="shared" si="9"/>
        <v>51395.348837209305</v>
      </c>
      <c r="L78" s="72">
        <f t="shared" si="5"/>
        <v>0.1027906976744186</v>
      </c>
      <c r="M78" s="43" t="s">
        <v>65</v>
      </c>
      <c r="N78" s="69">
        <v>15.547200907301672</v>
      </c>
      <c r="O78" s="66">
        <f t="shared" si="7"/>
        <v>51379.801636302007</v>
      </c>
    </row>
    <row r="79" spans="1:15" ht="17" hidden="1" outlineLevel="1" x14ac:dyDescent="0.35">
      <c r="A79" s="2" t="s">
        <v>187</v>
      </c>
      <c r="B79" s="2" t="s">
        <v>112</v>
      </c>
      <c r="C79" s="47">
        <f t="shared" si="6"/>
        <v>13</v>
      </c>
      <c r="D79" s="47" t="s">
        <v>33</v>
      </c>
      <c r="E79" s="47">
        <v>6277.6278000000002</v>
      </c>
      <c r="F79" s="67" t="s">
        <v>49</v>
      </c>
      <c r="G79" s="47" t="s">
        <v>30</v>
      </c>
      <c r="H79" s="177">
        <v>1</v>
      </c>
      <c r="I79" s="180"/>
      <c r="J79" s="82">
        <f t="shared" si="8"/>
        <v>0</v>
      </c>
      <c r="K79" s="51">
        <f t="shared" si="9"/>
        <v>0</v>
      </c>
      <c r="L79" s="72">
        <f t="shared" si="5"/>
        <v>0</v>
      </c>
      <c r="M79" s="43" t="s">
        <v>35</v>
      </c>
      <c r="N79" s="69">
        <v>5.1172084741318651</v>
      </c>
      <c r="O79" s="66">
        <f t="shared" si="7"/>
        <v>-5.1172084741318651</v>
      </c>
    </row>
    <row r="80" spans="1:15" ht="23.15" customHeight="1" collapsed="1" x14ac:dyDescent="0.35">
      <c r="C80" s="55"/>
      <c r="D80" s="204" t="s">
        <v>164</v>
      </c>
      <c r="E80" s="204"/>
      <c r="F80" s="204"/>
      <c r="G80" s="56"/>
      <c r="H80" s="56"/>
      <c r="I80" s="56"/>
      <c r="J80" s="57">
        <f>+J61</f>
        <v>20911.564318567125</v>
      </c>
      <c r="K80" s="170">
        <f t="shared" si="9"/>
        <v>418231.28637134249</v>
      </c>
      <c r="L80" s="58">
        <f t="shared" si="5"/>
        <v>0.83646257274268498</v>
      </c>
      <c r="M80" s="59"/>
    </row>
    <row r="81" spans="1:14" ht="17" x14ac:dyDescent="0.35">
      <c r="C81" s="22" t="s">
        <v>103</v>
      </c>
      <c r="D81" s="23" t="s">
        <v>148</v>
      </c>
      <c r="E81" s="23"/>
      <c r="F81" s="60"/>
      <c r="G81" s="61"/>
      <c r="H81" s="61"/>
      <c r="I81" s="61"/>
      <c r="J81" s="62"/>
      <c r="K81" s="171">
        <f>J81*$K$5</f>
        <v>0</v>
      </c>
      <c r="L81" s="63"/>
      <c r="M81" s="80"/>
    </row>
    <row r="82" spans="1:14" ht="20.399999999999999" customHeight="1" x14ac:dyDescent="0.35">
      <c r="C82" s="31" t="s">
        <v>22</v>
      </c>
      <c r="D82" s="45"/>
      <c r="E82" s="45"/>
      <c r="F82" s="184" t="s">
        <v>203</v>
      </c>
      <c r="G82" s="31"/>
      <c r="H82" s="31"/>
      <c r="I82" s="31"/>
      <c r="J82" s="185">
        <f>J80</f>
        <v>20911.564318567125</v>
      </c>
      <c r="K82" s="163">
        <f>J82*$K$5</f>
        <v>418231.28637134249</v>
      </c>
      <c r="L82" s="90">
        <f>J82/$J$109</f>
        <v>0.83646257274268498</v>
      </c>
      <c r="M82" s="87"/>
    </row>
    <row r="83" spans="1:14" ht="20.399999999999999" customHeight="1" x14ac:dyDescent="0.35">
      <c r="C83" s="31" t="s">
        <v>51</v>
      </c>
      <c r="D83" s="45"/>
      <c r="E83" s="45"/>
      <c r="F83" s="32" t="s">
        <v>165</v>
      </c>
      <c r="G83" s="31"/>
      <c r="H83" s="31"/>
      <c r="I83" s="31"/>
      <c r="J83" s="33">
        <f>SUM(J84:J98)</f>
        <v>166.66666666666666</v>
      </c>
      <c r="K83" s="163">
        <f t="shared" si="9"/>
        <v>3333.333333333333</v>
      </c>
      <c r="L83" s="35">
        <f>J83/$J$109</f>
        <v>6.6666666666666662E-3</v>
      </c>
      <c r="M83" s="87"/>
    </row>
    <row r="84" spans="1:14" ht="17" hidden="1" outlineLevel="1" x14ac:dyDescent="0.35">
      <c r="A84" s="2" t="s">
        <v>95</v>
      </c>
      <c r="C84" s="47">
        <v>0</v>
      </c>
      <c r="D84" s="47" t="s">
        <v>23</v>
      </c>
      <c r="E84" s="47"/>
      <c r="F84" s="67" t="s">
        <v>24</v>
      </c>
      <c r="G84" s="47" t="s">
        <v>25</v>
      </c>
      <c r="H84" s="48"/>
      <c r="I84" s="47"/>
      <c r="J84" s="68"/>
      <c r="K84" s="51">
        <f t="shared" si="9"/>
        <v>0</v>
      </c>
      <c r="L84" s="68"/>
      <c r="M84" s="43" t="s">
        <v>96</v>
      </c>
    </row>
    <row r="85" spans="1:14" ht="17" hidden="1" outlineLevel="1" x14ac:dyDescent="0.35">
      <c r="A85" s="2" t="s">
        <v>95</v>
      </c>
      <c r="C85" s="47"/>
      <c r="D85" s="47"/>
      <c r="E85" s="47"/>
      <c r="F85" s="39" t="s">
        <v>26</v>
      </c>
      <c r="G85" s="38" t="s">
        <v>17</v>
      </c>
      <c r="H85" s="50"/>
      <c r="I85" s="47"/>
      <c r="J85" s="68"/>
      <c r="K85" s="51">
        <f t="shared" si="9"/>
        <v>0</v>
      </c>
      <c r="L85" s="68"/>
      <c r="M85" s="43" t="s">
        <v>27</v>
      </c>
    </row>
    <row r="86" spans="1:14" ht="17" hidden="1" outlineLevel="1" x14ac:dyDescent="0.35">
      <c r="B86" s="2" t="s">
        <v>114</v>
      </c>
      <c r="C86" s="47">
        <f>+C85+1</f>
        <v>1</v>
      </c>
      <c r="D86" s="81" t="s">
        <v>66</v>
      </c>
      <c r="E86" s="81"/>
      <c r="F86" s="75" t="s">
        <v>67</v>
      </c>
      <c r="G86" s="81" t="s">
        <v>68</v>
      </c>
      <c r="H86" s="81">
        <v>1</v>
      </c>
      <c r="I86" s="186"/>
      <c r="J86" s="82">
        <f>(I86*H86)/1100</f>
        <v>0</v>
      </c>
      <c r="K86" s="174">
        <f t="shared" si="9"/>
        <v>0</v>
      </c>
      <c r="L86" s="72">
        <f t="shared" ref="L86:L108" si="10">J86/$J$109</f>
        <v>0</v>
      </c>
      <c r="M86" s="75" t="s">
        <v>69</v>
      </c>
      <c r="N86" s="104"/>
    </row>
    <row r="87" spans="1:14" ht="34" hidden="1" outlineLevel="1" x14ac:dyDescent="0.35">
      <c r="B87" s="2" t="s">
        <v>114</v>
      </c>
      <c r="C87" s="47">
        <f t="shared" ref="C87:C98" si="11">+C86+1</f>
        <v>2</v>
      </c>
      <c r="D87" s="47" t="s">
        <v>66</v>
      </c>
      <c r="E87" s="47"/>
      <c r="F87" s="67" t="s">
        <v>70</v>
      </c>
      <c r="G87" s="47" t="s">
        <v>68</v>
      </c>
      <c r="H87" s="47">
        <v>1</v>
      </c>
      <c r="I87" s="180"/>
      <c r="J87" s="71">
        <f>(I87*H87)/1100</f>
        <v>0</v>
      </c>
      <c r="K87" s="51">
        <f t="shared" si="9"/>
        <v>0</v>
      </c>
      <c r="L87" s="72">
        <f t="shared" si="10"/>
        <v>0</v>
      </c>
      <c r="M87" s="75" t="s">
        <v>71</v>
      </c>
      <c r="N87" s="104"/>
    </row>
    <row r="88" spans="1:14" ht="17" hidden="1" outlineLevel="1" x14ac:dyDescent="0.35">
      <c r="B88" s="2" t="s">
        <v>114</v>
      </c>
      <c r="C88" s="47">
        <f t="shared" si="11"/>
        <v>3</v>
      </c>
      <c r="D88" s="47" t="s">
        <v>66</v>
      </c>
      <c r="E88" s="47"/>
      <c r="F88" s="67" t="s">
        <v>72</v>
      </c>
      <c r="G88" s="47" t="s">
        <v>68</v>
      </c>
      <c r="H88" s="47">
        <v>1</v>
      </c>
      <c r="I88" s="180"/>
      <c r="J88" s="71">
        <f>(I88*H88)/1100</f>
        <v>0</v>
      </c>
      <c r="K88" s="51">
        <f t="shared" si="9"/>
        <v>0</v>
      </c>
      <c r="L88" s="91">
        <f t="shared" si="10"/>
        <v>0</v>
      </c>
      <c r="M88" s="75" t="s">
        <v>71</v>
      </c>
      <c r="N88" s="104"/>
    </row>
    <row r="89" spans="1:14" ht="17" hidden="1" outlineLevel="1" x14ac:dyDescent="0.35">
      <c r="A89" s="2" t="s">
        <v>73</v>
      </c>
      <c r="B89" s="2" t="s">
        <v>106</v>
      </c>
      <c r="C89" s="47">
        <f t="shared" si="11"/>
        <v>4</v>
      </c>
      <c r="D89" s="47" t="s">
        <v>28</v>
      </c>
      <c r="E89" s="47">
        <v>622</v>
      </c>
      <c r="F89" s="67" t="s">
        <v>29</v>
      </c>
      <c r="G89" s="47" t="s">
        <v>30</v>
      </c>
      <c r="H89" s="47">
        <v>1</v>
      </c>
      <c r="I89" s="180"/>
      <c r="J89" s="82"/>
      <c r="K89" s="51">
        <f t="shared" si="9"/>
        <v>0</v>
      </c>
      <c r="L89" s="91">
        <f t="shared" si="10"/>
        <v>0</v>
      </c>
      <c r="M89" s="75" t="s">
        <v>74</v>
      </c>
      <c r="N89" s="104"/>
    </row>
    <row r="90" spans="1:14" ht="34" hidden="1" outlineLevel="1" x14ac:dyDescent="0.35">
      <c r="A90" s="2" t="s">
        <v>73</v>
      </c>
      <c r="B90" s="2" t="s">
        <v>107</v>
      </c>
      <c r="C90" s="47">
        <f t="shared" si="11"/>
        <v>5</v>
      </c>
      <c r="D90" s="47" t="s">
        <v>28</v>
      </c>
      <c r="E90" s="47">
        <v>6271</v>
      </c>
      <c r="F90" s="67" t="s">
        <v>31</v>
      </c>
      <c r="G90" s="47" t="s">
        <v>30</v>
      </c>
      <c r="H90" s="47">
        <v>1</v>
      </c>
      <c r="I90" s="180"/>
      <c r="J90" s="82"/>
      <c r="K90" s="51">
        <f t="shared" si="9"/>
        <v>0</v>
      </c>
      <c r="L90" s="72">
        <f t="shared" si="10"/>
        <v>0</v>
      </c>
      <c r="M90" s="75" t="s">
        <v>32</v>
      </c>
      <c r="N90" s="104"/>
    </row>
    <row r="91" spans="1:14" ht="17" hidden="1" outlineLevel="1" x14ac:dyDescent="0.35">
      <c r="A91" s="2" t="s">
        <v>73</v>
      </c>
      <c r="B91" s="2" t="s">
        <v>108</v>
      </c>
      <c r="C91" s="47">
        <f t="shared" si="11"/>
        <v>6</v>
      </c>
      <c r="D91" s="47" t="s">
        <v>33</v>
      </c>
      <c r="E91" s="47">
        <v>6272</v>
      </c>
      <c r="F91" s="67" t="s">
        <v>34</v>
      </c>
      <c r="G91" s="47" t="s">
        <v>30</v>
      </c>
      <c r="H91" s="47">
        <v>1</v>
      </c>
      <c r="I91" s="180">
        <f>'[3]Dinh muc'!$G$18</f>
        <v>166.66666666666666</v>
      </c>
      <c r="J91" s="71">
        <f>H91*I91</f>
        <v>166.66666666666666</v>
      </c>
      <c r="K91" s="51">
        <f t="shared" si="9"/>
        <v>3333.333333333333</v>
      </c>
      <c r="L91" s="72">
        <f t="shared" si="10"/>
        <v>6.6666666666666662E-3</v>
      </c>
      <c r="M91" s="43" t="s">
        <v>35</v>
      </c>
      <c r="N91" s="104"/>
    </row>
    <row r="92" spans="1:14" ht="17" hidden="1" outlineLevel="1" x14ac:dyDescent="0.35">
      <c r="A92" s="2" t="s">
        <v>73</v>
      </c>
      <c r="B92" s="2" t="s">
        <v>109</v>
      </c>
      <c r="C92" s="47">
        <f t="shared" si="11"/>
        <v>7</v>
      </c>
      <c r="D92" s="47" t="s">
        <v>33</v>
      </c>
      <c r="E92" s="47">
        <v>6273</v>
      </c>
      <c r="F92" s="67"/>
      <c r="G92" s="47" t="s">
        <v>30</v>
      </c>
      <c r="H92" s="47">
        <v>1</v>
      </c>
      <c r="I92" s="180"/>
      <c r="J92" s="82"/>
      <c r="K92" s="51">
        <f t="shared" si="9"/>
        <v>0</v>
      </c>
      <c r="L92" s="72">
        <f t="shared" si="10"/>
        <v>0</v>
      </c>
      <c r="M92" s="43" t="s">
        <v>35</v>
      </c>
      <c r="N92" s="104"/>
    </row>
    <row r="93" spans="1:14" ht="17" hidden="1" outlineLevel="1" x14ac:dyDescent="0.35">
      <c r="A93" s="2" t="s">
        <v>73</v>
      </c>
      <c r="B93" s="2" t="s">
        <v>111</v>
      </c>
      <c r="C93" s="47">
        <f t="shared" si="11"/>
        <v>8</v>
      </c>
      <c r="D93" s="81" t="s">
        <v>37</v>
      </c>
      <c r="E93" s="47" t="s">
        <v>38</v>
      </c>
      <c r="F93" s="49"/>
      <c r="G93" s="47" t="s">
        <v>30</v>
      </c>
      <c r="H93" s="47">
        <v>1</v>
      </c>
      <c r="I93" s="180"/>
      <c r="J93" s="82"/>
      <c r="K93" s="51">
        <f t="shared" si="9"/>
        <v>0</v>
      </c>
      <c r="L93" s="72">
        <f t="shared" si="10"/>
        <v>0</v>
      </c>
      <c r="M93" s="43" t="s">
        <v>40</v>
      </c>
      <c r="N93" s="104"/>
    </row>
    <row r="94" spans="1:14" ht="17" hidden="1" outlineLevel="1" x14ac:dyDescent="0.35">
      <c r="A94" s="2" t="s">
        <v>73</v>
      </c>
      <c r="B94" s="2" t="s">
        <v>111</v>
      </c>
      <c r="C94" s="47">
        <f t="shared" si="11"/>
        <v>9</v>
      </c>
      <c r="D94" s="81" t="s">
        <v>37</v>
      </c>
      <c r="E94" s="47" t="s">
        <v>41</v>
      </c>
      <c r="F94" s="49"/>
      <c r="G94" s="47" t="s">
        <v>30</v>
      </c>
      <c r="H94" s="47">
        <v>1</v>
      </c>
      <c r="I94" s="180"/>
      <c r="J94" s="82"/>
      <c r="K94" s="51">
        <f t="shared" si="9"/>
        <v>0</v>
      </c>
      <c r="L94" s="72">
        <f t="shared" si="10"/>
        <v>0</v>
      </c>
      <c r="M94" s="43" t="s">
        <v>40</v>
      </c>
      <c r="N94" s="104"/>
    </row>
    <row r="95" spans="1:14" ht="17" hidden="1" outlineLevel="1" x14ac:dyDescent="0.35">
      <c r="A95" s="2" t="s">
        <v>73</v>
      </c>
      <c r="B95" s="2" t="s">
        <v>111</v>
      </c>
      <c r="C95" s="47">
        <f t="shared" si="11"/>
        <v>10</v>
      </c>
      <c r="D95" s="81" t="s">
        <v>37</v>
      </c>
      <c r="E95" s="47" t="s">
        <v>43</v>
      </c>
      <c r="F95" s="49"/>
      <c r="G95" s="47" t="s">
        <v>30</v>
      </c>
      <c r="H95" s="47">
        <v>1</v>
      </c>
      <c r="I95" s="180"/>
      <c r="J95" s="82"/>
      <c r="K95" s="51">
        <f t="shared" si="9"/>
        <v>0</v>
      </c>
      <c r="L95" s="72">
        <f t="shared" si="10"/>
        <v>0</v>
      </c>
      <c r="M95" s="43" t="s">
        <v>40</v>
      </c>
      <c r="N95" s="104"/>
    </row>
    <row r="96" spans="1:14" ht="17" hidden="1" outlineLevel="1" x14ac:dyDescent="0.35">
      <c r="A96" s="2" t="s">
        <v>73</v>
      </c>
      <c r="B96" s="2" t="s">
        <v>111</v>
      </c>
      <c r="C96" s="47">
        <f t="shared" si="11"/>
        <v>11</v>
      </c>
      <c r="D96" s="81" t="s">
        <v>37</v>
      </c>
      <c r="E96" s="47" t="s">
        <v>45</v>
      </c>
      <c r="F96" s="49"/>
      <c r="G96" s="47" t="s">
        <v>30</v>
      </c>
      <c r="H96" s="47">
        <v>1</v>
      </c>
      <c r="I96" s="180"/>
      <c r="J96" s="82"/>
      <c r="K96" s="51">
        <f t="shared" si="9"/>
        <v>0</v>
      </c>
      <c r="L96" s="72">
        <f t="shared" si="10"/>
        <v>0</v>
      </c>
      <c r="M96" s="43" t="s">
        <v>40</v>
      </c>
      <c r="N96" s="104"/>
    </row>
    <row r="97" spans="1:14" ht="34" hidden="1" outlineLevel="1" x14ac:dyDescent="0.35">
      <c r="A97" s="2" t="s">
        <v>73</v>
      </c>
      <c r="B97" s="2" t="s">
        <v>110</v>
      </c>
      <c r="C97" s="47">
        <f>+C93+1</f>
        <v>9</v>
      </c>
      <c r="D97" s="81" t="s">
        <v>47</v>
      </c>
      <c r="E97" s="81">
        <v>6275</v>
      </c>
      <c r="F97" s="75"/>
      <c r="G97" s="47" t="s">
        <v>30</v>
      </c>
      <c r="H97" s="47">
        <v>1</v>
      </c>
      <c r="I97" s="180"/>
      <c r="J97" s="82"/>
      <c r="K97" s="51">
        <f t="shared" si="9"/>
        <v>0</v>
      </c>
      <c r="L97" s="72">
        <f t="shared" si="10"/>
        <v>0</v>
      </c>
      <c r="M97" s="43" t="s">
        <v>75</v>
      </c>
      <c r="N97" s="104"/>
    </row>
    <row r="98" spans="1:14" ht="17" hidden="1" outlineLevel="1" x14ac:dyDescent="0.35">
      <c r="A98" s="2" t="s">
        <v>73</v>
      </c>
      <c r="B98" s="2" t="s">
        <v>112</v>
      </c>
      <c r="C98" s="47">
        <f t="shared" si="11"/>
        <v>10</v>
      </c>
      <c r="D98" s="81" t="s">
        <v>33</v>
      </c>
      <c r="E98" s="81">
        <v>6277.6278000000002</v>
      </c>
      <c r="F98" s="67"/>
      <c r="G98" s="47" t="s">
        <v>30</v>
      </c>
      <c r="H98" s="47">
        <v>1</v>
      </c>
      <c r="I98" s="180"/>
      <c r="J98" s="82"/>
      <c r="K98" s="51">
        <f t="shared" si="9"/>
        <v>0</v>
      </c>
      <c r="L98" s="72">
        <f t="shared" si="10"/>
        <v>0</v>
      </c>
      <c r="M98" s="43" t="s">
        <v>35</v>
      </c>
      <c r="N98" s="104"/>
    </row>
    <row r="99" spans="1:14" ht="22.4" customHeight="1" collapsed="1" x14ac:dyDescent="0.35">
      <c r="C99" s="31" t="s">
        <v>53</v>
      </c>
      <c r="D99" s="45"/>
      <c r="E99" s="45"/>
      <c r="F99" s="32" t="s">
        <v>179</v>
      </c>
      <c r="G99" s="31"/>
      <c r="H99" s="31"/>
      <c r="I99" s="31"/>
      <c r="J99" s="33">
        <f>SUM(J100:J104)</f>
        <v>2500</v>
      </c>
      <c r="K99" s="163">
        <f t="shared" si="9"/>
        <v>50000</v>
      </c>
      <c r="L99" s="35">
        <f t="shared" si="10"/>
        <v>0.1</v>
      </c>
      <c r="M99" s="87"/>
    </row>
    <row r="100" spans="1:14" ht="17" hidden="1" outlineLevel="1" x14ac:dyDescent="0.35">
      <c r="A100" s="2" t="s">
        <v>77</v>
      </c>
      <c r="B100" s="2">
        <v>641</v>
      </c>
      <c r="C100" s="47">
        <v>1</v>
      </c>
      <c r="D100" s="47">
        <v>641</v>
      </c>
      <c r="E100" s="47"/>
      <c r="F100" s="92" t="s">
        <v>78</v>
      </c>
      <c r="G100" s="47" t="s">
        <v>30</v>
      </c>
      <c r="H100" s="47">
        <v>1</v>
      </c>
      <c r="I100" s="154">
        <f>7%*TH!G6</f>
        <v>1750.0000000000002</v>
      </c>
      <c r="J100" s="71">
        <f t="shared" ref="J100:J104" si="12">H100*I100</f>
        <v>1750.0000000000002</v>
      </c>
      <c r="K100" s="51">
        <f t="shared" si="9"/>
        <v>35000.000000000007</v>
      </c>
      <c r="L100" s="72">
        <f t="shared" si="10"/>
        <v>7.0000000000000007E-2</v>
      </c>
      <c r="M100" s="93" t="s">
        <v>79</v>
      </c>
      <c r="N100" s="104"/>
    </row>
    <row r="101" spans="1:14" ht="17" hidden="1" outlineLevel="1" x14ac:dyDescent="0.35">
      <c r="A101" s="2" t="s">
        <v>80</v>
      </c>
      <c r="B101" s="2">
        <v>642</v>
      </c>
      <c r="C101" s="47">
        <f>+C100+1</f>
        <v>2</v>
      </c>
      <c r="D101" s="47">
        <v>642</v>
      </c>
      <c r="E101" s="47"/>
      <c r="F101" s="92" t="s">
        <v>81</v>
      </c>
      <c r="G101" s="47" t="s">
        <v>30</v>
      </c>
      <c r="H101" s="47">
        <v>1</v>
      </c>
      <c r="I101" s="154">
        <f>2%*TH!G7</f>
        <v>500</v>
      </c>
      <c r="J101" s="71">
        <f t="shared" si="12"/>
        <v>500</v>
      </c>
      <c r="K101" s="51">
        <f t="shared" si="9"/>
        <v>10000</v>
      </c>
      <c r="L101" s="72">
        <f t="shared" si="10"/>
        <v>0.02</v>
      </c>
      <c r="M101" s="93" t="s">
        <v>79</v>
      </c>
      <c r="N101" s="104"/>
    </row>
    <row r="102" spans="1:14" ht="17" hidden="1" outlineLevel="1" x14ac:dyDescent="0.35">
      <c r="A102" s="2" t="s">
        <v>82</v>
      </c>
      <c r="B102" s="2">
        <v>641</v>
      </c>
      <c r="C102" s="47">
        <f>+C101+1</f>
        <v>3</v>
      </c>
      <c r="D102" s="47">
        <v>641</v>
      </c>
      <c r="E102" s="47"/>
      <c r="F102" s="92" t="s">
        <v>83</v>
      </c>
      <c r="G102" s="47" t="s">
        <v>30</v>
      </c>
      <c r="H102" s="47">
        <v>1</v>
      </c>
      <c r="I102" s="154"/>
      <c r="J102" s="71">
        <f t="shared" si="12"/>
        <v>0</v>
      </c>
      <c r="K102" s="51">
        <f t="shared" si="9"/>
        <v>0</v>
      </c>
      <c r="L102" s="72">
        <f t="shared" si="10"/>
        <v>0</v>
      </c>
      <c r="M102" s="93" t="s">
        <v>79</v>
      </c>
      <c r="N102" s="104"/>
    </row>
    <row r="103" spans="1:14" ht="34" hidden="1" outlineLevel="1" x14ac:dyDescent="0.35">
      <c r="A103" s="2" t="s">
        <v>85</v>
      </c>
      <c r="B103" s="2">
        <v>642</v>
      </c>
      <c r="C103" s="47">
        <f>+C102+1</f>
        <v>4</v>
      </c>
      <c r="D103" s="47">
        <v>642</v>
      </c>
      <c r="E103" s="47"/>
      <c r="F103" s="92" t="s">
        <v>86</v>
      </c>
      <c r="G103" s="47" t="s">
        <v>30</v>
      </c>
      <c r="H103" s="47">
        <v>1</v>
      </c>
      <c r="I103" s="154"/>
      <c r="J103" s="71">
        <f t="shared" si="12"/>
        <v>0</v>
      </c>
      <c r="K103" s="51">
        <f t="shared" si="9"/>
        <v>0</v>
      </c>
      <c r="L103" s="72">
        <f t="shared" si="10"/>
        <v>0</v>
      </c>
      <c r="M103" s="93" t="s">
        <v>84</v>
      </c>
      <c r="N103" s="104"/>
    </row>
    <row r="104" spans="1:14" ht="17" hidden="1" outlineLevel="1" x14ac:dyDescent="0.35">
      <c r="A104" s="2" t="s">
        <v>87</v>
      </c>
      <c r="B104" s="2">
        <v>635</v>
      </c>
      <c r="C104" s="47">
        <v>3</v>
      </c>
      <c r="D104" s="47">
        <v>635</v>
      </c>
      <c r="E104" s="47"/>
      <c r="F104" s="92" t="s">
        <v>88</v>
      </c>
      <c r="G104" s="47" t="s">
        <v>30</v>
      </c>
      <c r="H104" s="47">
        <v>1</v>
      </c>
      <c r="I104" s="154">
        <f>1%*TH!G6</f>
        <v>250</v>
      </c>
      <c r="J104" s="71">
        <f t="shared" si="12"/>
        <v>250</v>
      </c>
      <c r="K104" s="51">
        <f t="shared" si="9"/>
        <v>5000</v>
      </c>
      <c r="L104" s="72">
        <f t="shared" si="10"/>
        <v>0.01</v>
      </c>
      <c r="M104" s="93" t="s">
        <v>89</v>
      </c>
      <c r="N104" s="104"/>
    </row>
    <row r="105" spans="1:14" ht="24.65" customHeight="1" collapsed="1" x14ac:dyDescent="0.35">
      <c r="C105" s="94"/>
      <c r="D105" s="205" t="s">
        <v>90</v>
      </c>
      <c r="E105" s="205"/>
      <c r="F105" s="205"/>
      <c r="G105" s="94"/>
      <c r="H105" s="94"/>
      <c r="I105" s="94"/>
      <c r="J105" s="95">
        <f>+J82+J83+J99</f>
        <v>23578.230985233793</v>
      </c>
      <c r="K105" s="175">
        <f t="shared" si="9"/>
        <v>471564.61970467586</v>
      </c>
      <c r="L105" s="96"/>
      <c r="M105" s="97"/>
    </row>
    <row r="106" spans="1:14" ht="25.4" customHeight="1" x14ac:dyDescent="0.35">
      <c r="C106" s="31" t="s">
        <v>91</v>
      </c>
      <c r="D106" s="45"/>
      <c r="E106" s="45"/>
      <c r="F106" s="32" t="s">
        <v>97</v>
      </c>
      <c r="G106" s="31"/>
      <c r="H106" s="31"/>
      <c r="I106" s="31"/>
      <c r="J106" s="33">
        <f>J107+J108</f>
        <v>1421.7690147662072</v>
      </c>
      <c r="K106" s="163">
        <f t="shared" si="9"/>
        <v>28435.380295324143</v>
      </c>
      <c r="L106" s="35">
        <f t="shared" si="10"/>
        <v>5.6870760590648287E-2</v>
      </c>
      <c r="M106" s="87"/>
    </row>
    <row r="107" spans="1:14" ht="17" hidden="1" outlineLevel="1" x14ac:dyDescent="0.35">
      <c r="C107" s="47">
        <v>1</v>
      </c>
      <c r="D107" s="47" t="s">
        <v>92</v>
      </c>
      <c r="E107" s="47"/>
      <c r="F107" s="92" t="s">
        <v>98</v>
      </c>
      <c r="G107" s="47"/>
      <c r="H107" s="47"/>
      <c r="I107" s="47"/>
      <c r="J107" s="98">
        <f>IF((J109-J105)&lt;0,0,(J109-J105)*100%/120%)</f>
        <v>1184.8075123051726</v>
      </c>
      <c r="K107" s="51">
        <f t="shared" si="9"/>
        <v>23696.150246103454</v>
      </c>
      <c r="L107" s="91">
        <f t="shared" si="10"/>
        <v>4.7392300492206905E-2</v>
      </c>
      <c r="M107" s="99">
        <f>J107/$J$109</f>
        <v>4.7392300492206905E-2</v>
      </c>
    </row>
    <row r="108" spans="1:14" ht="17" hidden="1" outlineLevel="1" x14ac:dyDescent="0.35">
      <c r="C108" s="47">
        <v>2</v>
      </c>
      <c r="D108" s="47" t="s">
        <v>93</v>
      </c>
      <c r="E108" s="47"/>
      <c r="F108" s="92" t="s">
        <v>94</v>
      </c>
      <c r="G108" s="47"/>
      <c r="H108" s="47"/>
      <c r="I108" s="47"/>
      <c r="J108" s="98">
        <f>J107*20%</f>
        <v>236.96150246103454</v>
      </c>
      <c r="K108" s="51">
        <f t="shared" si="9"/>
        <v>4739.2300492206905</v>
      </c>
      <c r="L108" s="91">
        <f t="shared" si="10"/>
        <v>9.4784600984413811E-3</v>
      </c>
      <c r="M108" s="100"/>
    </row>
    <row r="109" spans="1:14" ht="24.65" customHeight="1" collapsed="1" x14ac:dyDescent="0.35">
      <c r="C109" s="94"/>
      <c r="D109" s="205" t="s">
        <v>166</v>
      </c>
      <c r="E109" s="205"/>
      <c r="F109" s="205"/>
      <c r="G109" s="94"/>
      <c r="I109" s="94"/>
      <c r="J109" s="95">
        <f>+TH!G6</f>
        <v>25000</v>
      </c>
      <c r="K109" s="95">
        <f>+TH!G6*K5</f>
        <v>500000</v>
      </c>
      <c r="L109" s="96">
        <f>+L82+L83+L99+L106</f>
        <v>1</v>
      </c>
      <c r="M109" s="97"/>
    </row>
    <row r="111" spans="1:14" x14ac:dyDescent="0.35">
      <c r="K111" s="66"/>
      <c r="L111" s="66"/>
    </row>
    <row r="112" spans="1:14" x14ac:dyDescent="0.35">
      <c r="K112" s="88"/>
    </row>
  </sheetData>
  <autoFilter ref="C7:M109" xr:uid="{DCB3B5EE-6636-407D-B3F6-4E7544CA3796}"/>
  <mergeCells count="5">
    <mergeCell ref="D34:F34"/>
    <mergeCell ref="D58:F58"/>
    <mergeCell ref="D80:F80"/>
    <mergeCell ref="D105:F105"/>
    <mergeCell ref="D109:F109"/>
  </mergeCells>
  <hyperlinks>
    <hyperlink ref="A1" location="'Danh mục'!A1" display="Danh mục" xr:uid="{D08DD745-8CA2-4D14-9C9F-D71952C64FEE}"/>
  </hyperlink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22466-A1B5-4236-88BA-342630AE8A04}">
  <sheetPr>
    <tabColor rgb="FFFF0000"/>
  </sheetPr>
  <dimension ref="A1:O112"/>
  <sheetViews>
    <sheetView zoomScale="70" zoomScaleNormal="70" workbookViewId="0">
      <pane ySplit="7" topLeftCell="A8" activePane="bottomLeft" state="frozen"/>
      <selection activeCell="I101" sqref="I101"/>
      <selection pane="bottomLeft" activeCell="F83" sqref="F83"/>
    </sheetView>
  </sheetViews>
  <sheetFormatPr defaultColWidth="8.90625" defaultRowHeight="14.5" outlineLevelRow="1" x14ac:dyDescent="0.35"/>
  <cols>
    <col min="1" max="2" width="8.90625" style="2"/>
    <col min="3" max="3" width="12.54296875" style="3" customWidth="1"/>
    <col min="4" max="5" width="13.453125" style="3" customWidth="1"/>
    <col min="6" max="6" width="41.08984375" style="3" customWidth="1"/>
    <col min="7" max="7" width="11" style="3" customWidth="1"/>
    <col min="8" max="8" width="14.453125" style="3" customWidth="1"/>
    <col min="9" max="9" width="18.453125" style="3" customWidth="1"/>
    <col min="10" max="10" width="14.54296875" style="3" customWidth="1"/>
    <col min="11" max="11" width="19.453125" style="3" bestFit="1" customWidth="1"/>
    <col min="12" max="12" width="10.08984375" style="3" customWidth="1"/>
    <col min="13" max="13" width="69.54296875" style="3" customWidth="1"/>
    <col min="14" max="14" width="8.90625" style="3"/>
    <col min="15" max="15" width="11.08984375" style="3" bestFit="1" customWidth="1"/>
    <col min="16" max="16384" width="8.90625" style="3"/>
  </cols>
  <sheetData>
    <row r="1" spans="1:13" x14ac:dyDescent="0.35">
      <c r="A1" s="1" t="s">
        <v>0</v>
      </c>
      <c r="B1" s="1"/>
      <c r="C1" s="2">
        <v>1</v>
      </c>
    </row>
    <row r="2" spans="1:13" s="5" customFormat="1" ht="29.15" customHeight="1" x14ac:dyDescent="0.35">
      <c r="A2" s="101"/>
      <c r="B2" s="101"/>
      <c r="C2" s="4" t="s">
        <v>143</v>
      </c>
    </row>
    <row r="3" spans="1:13" ht="17" x14ac:dyDescent="0.35">
      <c r="C3" s="6"/>
      <c r="D3" s="6"/>
      <c r="E3" s="6"/>
      <c r="F3" s="7"/>
      <c r="G3" s="8"/>
      <c r="H3" s="8"/>
      <c r="I3" s="9"/>
      <c r="J3" s="10"/>
      <c r="K3" s="11"/>
      <c r="L3" s="12"/>
      <c r="M3" s="13"/>
    </row>
    <row r="4" spans="1:13" ht="17" x14ac:dyDescent="0.35">
      <c r="C4" s="14" t="s">
        <v>1</v>
      </c>
      <c r="D4" s="15" t="s">
        <v>167</v>
      </c>
      <c r="E4" s="6"/>
      <c r="G4" s="15"/>
      <c r="H4" s="6"/>
      <c r="J4" s="6"/>
      <c r="K4" s="6"/>
      <c r="L4" s="6"/>
      <c r="M4" s="6"/>
    </row>
    <row r="5" spans="1:13" ht="17" x14ac:dyDescent="0.35">
      <c r="C5" s="14" t="s">
        <v>2</v>
      </c>
      <c r="D5" s="102" t="str">
        <f>TH!C7</f>
        <v>Dây đai RPE1909</v>
      </c>
      <c r="E5" s="6"/>
      <c r="F5" s="7"/>
      <c r="G5" s="8"/>
      <c r="H5" s="8"/>
      <c r="I5" s="9"/>
      <c r="J5" s="10" t="s">
        <v>147</v>
      </c>
      <c r="K5" s="12">
        <f>TH!E7</f>
        <v>20</v>
      </c>
      <c r="M5" s="13"/>
    </row>
    <row r="6" spans="1:13" ht="17" x14ac:dyDescent="0.35">
      <c r="C6" s="6" t="s">
        <v>186</v>
      </c>
      <c r="D6" s="6" t="str">
        <f>TH!D7</f>
        <v>19 mm x 0.9 mm</v>
      </c>
      <c r="E6" s="6"/>
      <c r="F6" s="6"/>
      <c r="G6" s="6"/>
      <c r="H6" s="6"/>
      <c r="I6" s="6"/>
      <c r="J6" s="6"/>
      <c r="L6" s="16"/>
      <c r="M6" s="6"/>
    </row>
    <row r="7" spans="1:13" s="21" customFormat="1" ht="34" x14ac:dyDescent="0.35">
      <c r="A7" s="17"/>
      <c r="B7" s="17"/>
      <c r="C7" s="18" t="s">
        <v>3</v>
      </c>
      <c r="D7" s="18" t="s">
        <v>4</v>
      </c>
      <c r="E7" s="18" t="s">
        <v>5</v>
      </c>
      <c r="F7" s="19" t="s">
        <v>6</v>
      </c>
      <c r="G7" s="19" t="s">
        <v>7</v>
      </c>
      <c r="H7" s="19" t="s">
        <v>8</v>
      </c>
      <c r="I7" s="19" t="s">
        <v>9</v>
      </c>
      <c r="J7" s="19" t="s">
        <v>10</v>
      </c>
      <c r="K7" s="161" t="s">
        <v>144</v>
      </c>
      <c r="L7" s="20" t="s">
        <v>11</v>
      </c>
      <c r="M7" s="19" t="s">
        <v>12</v>
      </c>
    </row>
    <row r="8" spans="1:13" ht="17" x14ac:dyDescent="0.35">
      <c r="C8" s="22" t="s">
        <v>13</v>
      </c>
      <c r="D8" s="23" t="s">
        <v>151</v>
      </c>
      <c r="E8" s="23"/>
      <c r="F8" s="24"/>
      <c r="G8" s="25"/>
      <c r="H8" s="25"/>
      <c r="I8" s="26"/>
      <c r="J8" s="27"/>
      <c r="K8" s="28"/>
      <c r="L8" s="29"/>
      <c r="M8" s="30"/>
    </row>
    <row r="9" spans="1:13" ht="17" x14ac:dyDescent="0.35">
      <c r="B9" s="2" t="s">
        <v>152</v>
      </c>
      <c r="C9" s="31" t="s">
        <v>14</v>
      </c>
      <c r="D9" s="31"/>
      <c r="E9" s="31"/>
      <c r="F9" s="32" t="s">
        <v>152</v>
      </c>
      <c r="G9" s="31" t="s">
        <v>15</v>
      </c>
      <c r="H9" s="31">
        <v>1</v>
      </c>
      <c r="I9" s="33">
        <v>12000</v>
      </c>
      <c r="J9" s="34">
        <f>I9</f>
        <v>12000</v>
      </c>
      <c r="K9" s="33">
        <f>J9*$K$5</f>
        <v>240000</v>
      </c>
      <c r="L9" s="35">
        <f t="shared" ref="L9:L19" si="0">J9/$J$58</f>
        <v>0.92307692307692313</v>
      </c>
      <c r="M9" s="36"/>
    </row>
    <row r="10" spans="1:13" ht="47.4" customHeight="1" x14ac:dyDescent="0.35">
      <c r="B10" s="2" t="s">
        <v>105</v>
      </c>
      <c r="C10" s="31" t="s">
        <v>16</v>
      </c>
      <c r="D10" s="31"/>
      <c r="E10" s="31"/>
      <c r="F10" s="32" t="s">
        <v>153</v>
      </c>
      <c r="G10" s="31" t="s">
        <v>17</v>
      </c>
      <c r="H10" s="37">
        <f>SUM(H11:H20)</f>
        <v>0</v>
      </c>
      <c r="I10" s="33"/>
      <c r="J10" s="33">
        <f>SUM(J11:J20)</f>
        <v>0</v>
      </c>
      <c r="K10" s="163">
        <f t="shared" ref="K10:K73" si="1">J10*$K$5</f>
        <v>0</v>
      </c>
      <c r="L10" s="35">
        <f t="shared" si="0"/>
        <v>0</v>
      </c>
      <c r="M10" s="36"/>
    </row>
    <row r="11" spans="1:13" ht="17" hidden="1" outlineLevel="1" x14ac:dyDescent="0.35">
      <c r="C11" s="38"/>
      <c r="D11" s="38"/>
      <c r="E11" s="38"/>
      <c r="F11" s="39"/>
      <c r="G11" s="38" t="s">
        <v>17</v>
      </c>
      <c r="H11" s="40"/>
      <c r="I11" s="41"/>
      <c r="J11" s="41">
        <f>+($J$9-I11)*H11</f>
        <v>0</v>
      </c>
      <c r="K11" s="164">
        <f t="shared" si="1"/>
        <v>0</v>
      </c>
      <c r="L11" s="42">
        <f t="shared" si="0"/>
        <v>0</v>
      </c>
      <c r="M11" s="43"/>
    </row>
    <row r="12" spans="1:13" ht="17" hidden="1" outlineLevel="1" x14ac:dyDescent="0.35">
      <c r="C12" s="38"/>
      <c r="D12" s="38"/>
      <c r="E12" s="38"/>
      <c r="F12" s="39"/>
      <c r="G12" s="38" t="s">
        <v>17</v>
      </c>
      <c r="H12" s="40"/>
      <c r="I12" s="41"/>
      <c r="J12" s="41">
        <f t="shared" ref="J12:J20" si="2">+($J$9-I12)*H12</f>
        <v>0</v>
      </c>
      <c r="K12" s="164">
        <f t="shared" si="1"/>
        <v>0</v>
      </c>
      <c r="L12" s="42">
        <f t="shared" si="0"/>
        <v>0</v>
      </c>
      <c r="M12" s="43"/>
    </row>
    <row r="13" spans="1:13" ht="17" hidden="1" outlineLevel="1" x14ac:dyDescent="0.35">
      <c r="C13" s="38"/>
      <c r="D13" s="38"/>
      <c r="E13" s="38"/>
      <c r="F13" s="39"/>
      <c r="G13" s="38" t="s">
        <v>17</v>
      </c>
      <c r="H13" s="40"/>
      <c r="I13" s="41"/>
      <c r="J13" s="41">
        <f t="shared" si="2"/>
        <v>0</v>
      </c>
      <c r="K13" s="164">
        <f t="shared" si="1"/>
        <v>0</v>
      </c>
      <c r="L13" s="42">
        <f t="shared" si="0"/>
        <v>0</v>
      </c>
      <c r="M13" s="43"/>
    </row>
    <row r="14" spans="1:13" ht="17" hidden="1" outlineLevel="1" x14ac:dyDescent="0.35">
      <c r="C14" s="38"/>
      <c r="D14" s="38"/>
      <c r="E14" s="38"/>
      <c r="F14" s="39"/>
      <c r="G14" s="38" t="s">
        <v>17</v>
      </c>
      <c r="H14" s="40"/>
      <c r="I14" s="41"/>
      <c r="J14" s="41">
        <f t="shared" si="2"/>
        <v>0</v>
      </c>
      <c r="K14" s="164">
        <f t="shared" si="1"/>
        <v>0</v>
      </c>
      <c r="L14" s="42">
        <f t="shared" si="0"/>
        <v>0</v>
      </c>
      <c r="M14" s="43"/>
    </row>
    <row r="15" spans="1:13" ht="17" hidden="1" outlineLevel="1" x14ac:dyDescent="0.35">
      <c r="C15" s="38"/>
      <c r="D15" s="38"/>
      <c r="E15" s="38"/>
      <c r="F15" s="39"/>
      <c r="G15" s="38" t="s">
        <v>17</v>
      </c>
      <c r="H15" s="40"/>
      <c r="I15" s="41"/>
      <c r="J15" s="41">
        <f t="shared" si="2"/>
        <v>0</v>
      </c>
      <c r="K15" s="164">
        <f t="shared" si="1"/>
        <v>0</v>
      </c>
      <c r="L15" s="42">
        <f t="shared" si="0"/>
        <v>0</v>
      </c>
      <c r="M15" s="43"/>
    </row>
    <row r="16" spans="1:13" ht="17" hidden="1" outlineLevel="1" x14ac:dyDescent="0.4">
      <c r="A16" s="44"/>
      <c r="B16" s="44"/>
      <c r="C16" s="38"/>
      <c r="D16" s="38"/>
      <c r="E16" s="38"/>
      <c r="F16" s="39"/>
      <c r="G16" s="38" t="s">
        <v>17</v>
      </c>
      <c r="H16" s="40"/>
      <c r="I16" s="41"/>
      <c r="J16" s="41">
        <f t="shared" si="2"/>
        <v>0</v>
      </c>
      <c r="K16" s="164">
        <f t="shared" si="1"/>
        <v>0</v>
      </c>
      <c r="L16" s="42">
        <f t="shared" si="0"/>
        <v>0</v>
      </c>
      <c r="M16" s="43"/>
    </row>
    <row r="17" spans="1:15" ht="17" hidden="1" outlineLevel="1" x14ac:dyDescent="0.4">
      <c r="A17" s="44"/>
      <c r="B17" s="44"/>
      <c r="C17" s="38"/>
      <c r="D17" s="38"/>
      <c r="E17" s="38"/>
      <c r="F17" s="39"/>
      <c r="G17" s="38" t="s">
        <v>17</v>
      </c>
      <c r="H17" s="40"/>
      <c r="I17" s="41"/>
      <c r="J17" s="41">
        <f t="shared" si="2"/>
        <v>0</v>
      </c>
      <c r="K17" s="164">
        <f t="shared" si="1"/>
        <v>0</v>
      </c>
      <c r="L17" s="42">
        <f t="shared" si="0"/>
        <v>0</v>
      </c>
      <c r="M17" s="43"/>
    </row>
    <row r="18" spans="1:15" ht="17" hidden="1" outlineLevel="1" x14ac:dyDescent="0.4">
      <c r="A18" s="44"/>
      <c r="B18" s="44"/>
      <c r="C18" s="38"/>
      <c r="D18" s="38"/>
      <c r="E18" s="38"/>
      <c r="F18" s="39"/>
      <c r="G18" s="38" t="s">
        <v>17</v>
      </c>
      <c r="H18" s="40"/>
      <c r="I18" s="41"/>
      <c r="J18" s="41">
        <f t="shared" si="2"/>
        <v>0</v>
      </c>
      <c r="K18" s="164">
        <f t="shared" si="1"/>
        <v>0</v>
      </c>
      <c r="L18" s="42">
        <f t="shared" si="0"/>
        <v>0</v>
      </c>
      <c r="M18" s="43"/>
    </row>
    <row r="19" spans="1:15" ht="17" hidden="1" outlineLevel="1" x14ac:dyDescent="0.4">
      <c r="A19" s="44"/>
      <c r="B19" s="44"/>
      <c r="C19" s="38"/>
      <c r="D19" s="38"/>
      <c r="E19" s="38"/>
      <c r="F19" s="39"/>
      <c r="G19" s="38" t="s">
        <v>17</v>
      </c>
      <c r="H19" s="40"/>
      <c r="I19" s="41"/>
      <c r="J19" s="41">
        <f t="shared" si="2"/>
        <v>0</v>
      </c>
      <c r="K19" s="164">
        <f t="shared" si="1"/>
        <v>0</v>
      </c>
      <c r="L19" s="42">
        <f t="shared" si="0"/>
        <v>0</v>
      </c>
      <c r="M19" s="43"/>
    </row>
    <row r="20" spans="1:15" ht="17" hidden="1" outlineLevel="1" x14ac:dyDescent="0.4">
      <c r="A20" s="44" t="s">
        <v>20</v>
      </c>
      <c r="B20" s="44"/>
      <c r="C20" s="38"/>
      <c r="D20" s="38"/>
      <c r="E20" s="38"/>
      <c r="F20" s="39" t="s">
        <v>154</v>
      </c>
      <c r="G20" s="38" t="s">
        <v>17</v>
      </c>
      <c r="H20" s="169"/>
      <c r="I20" s="41"/>
      <c r="J20" s="41">
        <f t="shared" si="2"/>
        <v>0</v>
      </c>
      <c r="K20" s="164">
        <f t="shared" si="1"/>
        <v>0</v>
      </c>
      <c r="L20" s="42">
        <f>J20/$J$58</f>
        <v>0</v>
      </c>
      <c r="M20" s="43" t="s">
        <v>21</v>
      </c>
    </row>
    <row r="21" spans="1:15" ht="17" collapsed="1" x14ac:dyDescent="0.35">
      <c r="C21" s="31" t="s">
        <v>22</v>
      </c>
      <c r="D21" s="45"/>
      <c r="E21" s="45"/>
      <c r="F21" s="32" t="s">
        <v>155</v>
      </c>
      <c r="G21" s="31"/>
      <c r="H21" s="31"/>
      <c r="I21" s="31"/>
      <c r="J21" s="33">
        <f>SUM(J22:J33)</f>
        <v>0</v>
      </c>
      <c r="K21" s="163">
        <f t="shared" si="1"/>
        <v>0</v>
      </c>
      <c r="L21" s="35">
        <f>J21/$J$58</f>
        <v>0</v>
      </c>
      <c r="M21" s="46"/>
    </row>
    <row r="22" spans="1:15" ht="17" hidden="1" outlineLevel="1" x14ac:dyDescent="0.35">
      <c r="C22" s="38">
        <v>0</v>
      </c>
      <c r="D22" s="47" t="s">
        <v>23</v>
      </c>
      <c r="E22" s="47"/>
      <c r="F22" s="39" t="s">
        <v>24</v>
      </c>
      <c r="G22" s="38" t="s">
        <v>25</v>
      </c>
      <c r="H22" s="48"/>
      <c r="I22" s="38"/>
      <c r="J22" s="49"/>
      <c r="K22" s="164">
        <f t="shared" si="1"/>
        <v>0</v>
      </c>
      <c r="L22" s="49"/>
      <c r="M22" s="43"/>
      <c r="O22" s="53"/>
    </row>
    <row r="23" spans="1:15" ht="17" hidden="1" outlineLevel="1" x14ac:dyDescent="0.35">
      <c r="C23" s="38"/>
      <c r="D23" s="47"/>
      <c r="E23" s="47"/>
      <c r="F23" s="39" t="s">
        <v>26</v>
      </c>
      <c r="G23" s="38" t="s">
        <v>17</v>
      </c>
      <c r="H23" s="50"/>
      <c r="I23" s="38"/>
      <c r="J23" s="49"/>
      <c r="K23" s="164">
        <f t="shared" si="1"/>
        <v>0</v>
      </c>
      <c r="L23" s="49"/>
      <c r="M23" s="43"/>
      <c r="O23" s="53"/>
    </row>
    <row r="24" spans="1:15" ht="17" hidden="1" outlineLevel="1" x14ac:dyDescent="0.35">
      <c r="C24" s="38"/>
      <c r="D24" s="47"/>
      <c r="E24" s="47"/>
      <c r="F24" s="39"/>
      <c r="G24" s="38"/>
      <c r="H24" s="38"/>
      <c r="I24" s="41"/>
      <c r="J24" s="51"/>
      <c r="K24" s="164">
        <f t="shared" si="1"/>
        <v>0</v>
      </c>
      <c r="L24" s="52">
        <f t="shared" ref="L24:L34" si="3">J24/$J$58</f>
        <v>0</v>
      </c>
      <c r="M24" s="43"/>
      <c r="N24" s="103"/>
      <c r="O24" s="53"/>
    </row>
    <row r="25" spans="1:15" ht="17" hidden="1" outlineLevel="1" x14ac:dyDescent="0.35">
      <c r="C25" s="38"/>
      <c r="D25" s="47"/>
      <c r="E25" s="47"/>
      <c r="F25" s="49"/>
      <c r="G25" s="38"/>
      <c r="H25" s="38"/>
      <c r="I25" s="41"/>
      <c r="J25" s="51"/>
      <c r="K25" s="164">
        <f t="shared" si="1"/>
        <v>0</v>
      </c>
      <c r="L25" s="52">
        <f t="shared" si="3"/>
        <v>0</v>
      </c>
      <c r="M25" s="43"/>
      <c r="N25" s="103"/>
      <c r="O25" s="53"/>
    </row>
    <row r="26" spans="1:15" ht="17" hidden="1" outlineLevel="1" x14ac:dyDescent="0.35">
      <c r="C26" s="38"/>
      <c r="D26" s="47"/>
      <c r="E26" s="47"/>
      <c r="F26" s="49"/>
      <c r="G26" s="38"/>
      <c r="H26" s="38"/>
      <c r="I26" s="41"/>
      <c r="J26" s="51"/>
      <c r="K26" s="164">
        <f t="shared" si="1"/>
        <v>0</v>
      </c>
      <c r="L26" s="52">
        <f t="shared" si="3"/>
        <v>0</v>
      </c>
      <c r="M26" s="43"/>
      <c r="N26" s="103"/>
    </row>
    <row r="27" spans="1:15" ht="17" hidden="1" outlineLevel="1" x14ac:dyDescent="0.35">
      <c r="C27" s="38"/>
      <c r="D27" s="47"/>
      <c r="E27" s="47"/>
      <c r="F27" s="49"/>
      <c r="G27" s="38"/>
      <c r="H27" s="38"/>
      <c r="I27" s="41"/>
      <c r="J27" s="51"/>
      <c r="K27" s="164">
        <f t="shared" si="1"/>
        <v>0</v>
      </c>
      <c r="L27" s="52">
        <f t="shared" si="3"/>
        <v>0</v>
      </c>
      <c r="M27" s="43"/>
      <c r="N27" s="103"/>
    </row>
    <row r="28" spans="1:15" ht="17" hidden="1" outlineLevel="1" x14ac:dyDescent="0.35">
      <c r="C28" s="38"/>
      <c r="D28" s="47"/>
      <c r="E28" s="47"/>
      <c r="F28" s="49"/>
      <c r="G28" s="47"/>
      <c r="H28" s="47"/>
      <c r="I28" s="41"/>
      <c r="J28" s="51"/>
      <c r="K28" s="164">
        <f t="shared" si="1"/>
        <v>0</v>
      </c>
      <c r="L28" s="52">
        <f t="shared" si="3"/>
        <v>0</v>
      </c>
      <c r="M28" s="43"/>
      <c r="N28" s="103"/>
    </row>
    <row r="29" spans="1:15" ht="17" hidden="1" outlineLevel="1" x14ac:dyDescent="0.35">
      <c r="C29" s="38"/>
      <c r="D29" s="47"/>
      <c r="E29" s="47"/>
      <c r="F29" s="49"/>
      <c r="G29" s="47"/>
      <c r="H29" s="47"/>
      <c r="I29" s="41"/>
      <c r="J29" s="51"/>
      <c r="K29" s="164">
        <f t="shared" si="1"/>
        <v>0</v>
      </c>
      <c r="L29" s="52">
        <f t="shared" si="3"/>
        <v>0</v>
      </c>
      <c r="M29" s="43"/>
      <c r="N29" s="103"/>
    </row>
    <row r="30" spans="1:15" ht="17" hidden="1" outlineLevel="1" x14ac:dyDescent="0.35">
      <c r="C30" s="38"/>
      <c r="D30" s="47"/>
      <c r="E30" s="47"/>
      <c r="F30" s="49"/>
      <c r="G30" s="47"/>
      <c r="H30" s="47"/>
      <c r="I30" s="41"/>
      <c r="J30" s="51"/>
      <c r="K30" s="164">
        <f t="shared" si="1"/>
        <v>0</v>
      </c>
      <c r="L30" s="52">
        <f t="shared" si="3"/>
        <v>0</v>
      </c>
      <c r="M30" s="43"/>
      <c r="N30" s="103"/>
    </row>
    <row r="31" spans="1:15" ht="17" hidden="1" outlineLevel="1" x14ac:dyDescent="0.35">
      <c r="C31" s="38"/>
      <c r="D31" s="47"/>
      <c r="E31" s="47"/>
      <c r="F31" s="49"/>
      <c r="G31" s="47"/>
      <c r="H31" s="47"/>
      <c r="I31" s="41"/>
      <c r="J31" s="51"/>
      <c r="K31" s="164">
        <f t="shared" si="1"/>
        <v>0</v>
      </c>
      <c r="L31" s="52">
        <f t="shared" si="3"/>
        <v>0</v>
      </c>
      <c r="M31" s="43"/>
      <c r="N31" s="103"/>
    </row>
    <row r="32" spans="1:15" ht="17" hidden="1" outlineLevel="1" x14ac:dyDescent="0.35">
      <c r="C32" s="38"/>
      <c r="D32" s="47"/>
      <c r="E32" s="47"/>
      <c r="F32" s="39"/>
      <c r="G32" s="38"/>
      <c r="H32" s="54"/>
      <c r="I32" s="41"/>
      <c r="J32" s="51"/>
      <c r="K32" s="164">
        <f t="shared" si="1"/>
        <v>0</v>
      </c>
      <c r="L32" s="52">
        <f t="shared" si="3"/>
        <v>0</v>
      </c>
      <c r="M32" s="43"/>
      <c r="N32" s="103"/>
    </row>
    <row r="33" spans="2:14" ht="17" hidden="1" outlineLevel="1" x14ac:dyDescent="0.35">
      <c r="C33" s="38">
        <f>+C28+1</f>
        <v>1</v>
      </c>
      <c r="D33" s="47" t="s">
        <v>33</v>
      </c>
      <c r="E33" s="47">
        <v>6277.6278000000002</v>
      </c>
      <c r="F33" s="49" t="s">
        <v>49</v>
      </c>
      <c r="G33" s="38" t="s">
        <v>156</v>
      </c>
      <c r="H33" s="38"/>
      <c r="I33" s="41"/>
      <c r="J33" s="51"/>
      <c r="K33" s="164">
        <f t="shared" si="1"/>
        <v>0</v>
      </c>
      <c r="L33" s="52">
        <f t="shared" si="3"/>
        <v>0</v>
      </c>
      <c r="M33" s="43"/>
      <c r="N33" s="103"/>
    </row>
    <row r="34" spans="2:14" ht="23.15" customHeight="1" collapsed="1" x14ac:dyDescent="0.35">
      <c r="C34" s="55"/>
      <c r="D34" s="204" t="s">
        <v>158</v>
      </c>
      <c r="E34" s="204"/>
      <c r="F34" s="204"/>
      <c r="G34" s="56"/>
      <c r="H34" s="56"/>
      <c r="I34" s="56"/>
      <c r="J34" s="57">
        <f>J9+J10+J21</f>
        <v>12000</v>
      </c>
      <c r="K34" s="170">
        <f t="shared" si="1"/>
        <v>240000</v>
      </c>
      <c r="L34" s="58">
        <f t="shared" si="3"/>
        <v>0.92307692307692313</v>
      </c>
      <c r="M34" s="59"/>
    </row>
    <row r="35" spans="2:14" ht="17" x14ac:dyDescent="0.35">
      <c r="C35" s="22" t="s">
        <v>50</v>
      </c>
      <c r="D35" s="23" t="s">
        <v>150</v>
      </c>
      <c r="E35" s="23"/>
      <c r="F35" s="60"/>
      <c r="G35" s="61"/>
      <c r="H35" s="61"/>
      <c r="I35" s="61"/>
      <c r="J35" s="62"/>
      <c r="K35" s="171">
        <f t="shared" si="1"/>
        <v>0</v>
      </c>
      <c r="L35" s="63"/>
      <c r="M35" s="64"/>
    </row>
    <row r="36" spans="2:14" ht="17" x14ac:dyDescent="0.35">
      <c r="C36" s="31" t="s">
        <v>51</v>
      </c>
      <c r="D36" s="45"/>
      <c r="E36" s="45"/>
      <c r="F36" s="32" t="s">
        <v>160</v>
      </c>
      <c r="G36" s="31" t="s">
        <v>52</v>
      </c>
      <c r="H36" s="31">
        <v>1</v>
      </c>
      <c r="I36" s="65">
        <f>+J34</f>
        <v>12000</v>
      </c>
      <c r="J36" s="33">
        <f>+H36*I36</f>
        <v>12000</v>
      </c>
      <c r="K36" s="163">
        <f t="shared" si="1"/>
        <v>240000</v>
      </c>
      <c r="L36" s="35">
        <f>J36/$J$58</f>
        <v>0.92307692307692313</v>
      </c>
      <c r="M36" s="46"/>
    </row>
    <row r="37" spans="2:14" ht="17" x14ac:dyDescent="0.35">
      <c r="C37" s="31" t="s">
        <v>53</v>
      </c>
      <c r="D37" s="45"/>
      <c r="E37" s="45"/>
      <c r="F37" s="32" t="s">
        <v>161</v>
      </c>
      <c r="G37" s="31"/>
      <c r="H37" s="31"/>
      <c r="I37" s="31"/>
      <c r="J37" s="33">
        <f>SUM(J40:J57)</f>
        <v>1000</v>
      </c>
      <c r="K37" s="163">
        <f t="shared" si="1"/>
        <v>20000</v>
      </c>
      <c r="L37" s="35">
        <f>J37/$J$58</f>
        <v>7.6923076923076927E-2</v>
      </c>
      <c r="M37" s="46"/>
    </row>
    <row r="38" spans="2:14" ht="17" hidden="1" outlineLevel="1" x14ac:dyDescent="0.35">
      <c r="C38" s="47">
        <v>0</v>
      </c>
      <c r="D38" s="47" t="s">
        <v>56</v>
      </c>
      <c r="E38" s="47"/>
      <c r="F38" s="67" t="s">
        <v>24</v>
      </c>
      <c r="G38" s="47" t="s">
        <v>25</v>
      </c>
      <c r="H38" s="48"/>
      <c r="I38" s="47"/>
      <c r="J38" s="68"/>
      <c r="K38" s="51">
        <f t="shared" si="1"/>
        <v>0</v>
      </c>
      <c r="L38" s="68"/>
      <c r="M38" s="43"/>
    </row>
    <row r="39" spans="2:14" ht="17" hidden="1" outlineLevel="1" x14ac:dyDescent="0.35">
      <c r="C39" s="47"/>
      <c r="D39" s="47"/>
      <c r="E39" s="47"/>
      <c r="F39" s="39" t="s">
        <v>26</v>
      </c>
      <c r="G39" s="38" t="s">
        <v>17</v>
      </c>
      <c r="H39" s="50"/>
      <c r="I39" s="47"/>
      <c r="J39" s="68"/>
      <c r="K39" s="51">
        <f t="shared" si="1"/>
        <v>0</v>
      </c>
      <c r="L39" s="68"/>
      <c r="M39" s="43"/>
    </row>
    <row r="40" spans="2:14" ht="17" hidden="1" outlineLevel="1" x14ac:dyDescent="0.35">
      <c r="B40" s="2" t="s">
        <v>152</v>
      </c>
      <c r="C40" s="47"/>
      <c r="D40" s="47"/>
      <c r="E40" s="47"/>
      <c r="F40" s="67"/>
      <c r="G40" s="47"/>
      <c r="H40" s="70"/>
      <c r="I40" s="41"/>
      <c r="J40" s="82">
        <f>+($J$34-I40)*H40</f>
        <v>0</v>
      </c>
      <c r="K40" s="51">
        <f t="shared" si="1"/>
        <v>0</v>
      </c>
      <c r="L40" s="52">
        <f t="shared" ref="L40:L54" si="4">J40/$J$58</f>
        <v>0</v>
      </c>
      <c r="M40" s="73"/>
    </row>
    <row r="41" spans="2:14" ht="17" hidden="1" outlineLevel="1" x14ac:dyDescent="0.35">
      <c r="B41" s="2" t="s">
        <v>105</v>
      </c>
      <c r="C41" s="47"/>
      <c r="D41" s="47"/>
      <c r="E41" s="47"/>
      <c r="F41" s="67"/>
      <c r="G41" s="47"/>
      <c r="H41" s="70"/>
      <c r="I41" s="41"/>
      <c r="J41" s="82">
        <f>+($J$34-I41)*H41</f>
        <v>0</v>
      </c>
      <c r="K41" s="51">
        <f t="shared" si="1"/>
        <v>0</v>
      </c>
      <c r="L41" s="52">
        <f t="shared" si="4"/>
        <v>0</v>
      </c>
      <c r="M41" s="73"/>
    </row>
    <row r="42" spans="2:14" ht="17" hidden="1" outlineLevel="1" x14ac:dyDescent="0.35">
      <c r="C42" s="47"/>
      <c r="D42" s="47"/>
      <c r="E42" s="47"/>
      <c r="F42" s="67"/>
      <c r="G42" s="47"/>
      <c r="H42" s="70"/>
      <c r="I42" s="41"/>
      <c r="J42" s="82">
        <f>+($J$34-I42)*H42</f>
        <v>0</v>
      </c>
      <c r="K42" s="51">
        <f t="shared" si="1"/>
        <v>0</v>
      </c>
      <c r="L42" s="52">
        <f t="shared" si="4"/>
        <v>0</v>
      </c>
      <c r="M42" s="73"/>
    </row>
    <row r="43" spans="2:14" ht="17" hidden="1" outlineLevel="1" x14ac:dyDescent="0.35">
      <c r="C43" s="47"/>
      <c r="D43" s="47"/>
      <c r="E43" s="47"/>
      <c r="F43" s="67"/>
      <c r="G43" s="47"/>
      <c r="H43" s="70"/>
      <c r="I43" s="41"/>
      <c r="J43" s="82">
        <f>+($J$34-I43)*H43</f>
        <v>0</v>
      </c>
      <c r="K43" s="51">
        <f t="shared" si="1"/>
        <v>0</v>
      </c>
      <c r="L43" s="52">
        <f t="shared" si="4"/>
        <v>0</v>
      </c>
      <c r="M43" s="73"/>
    </row>
    <row r="44" spans="2:14" ht="17" hidden="1" outlineLevel="1" x14ac:dyDescent="0.35">
      <c r="C44" s="47"/>
      <c r="D44" s="47"/>
      <c r="E44" s="47"/>
      <c r="F44" s="67"/>
      <c r="G44" s="47"/>
      <c r="H44" s="70"/>
      <c r="I44" s="41"/>
      <c r="J44" s="82">
        <f>+H44*I44</f>
        <v>0</v>
      </c>
      <c r="K44" s="51">
        <f t="shared" si="1"/>
        <v>0</v>
      </c>
      <c r="L44" s="52">
        <f t="shared" si="4"/>
        <v>0</v>
      </c>
      <c r="M44" s="73"/>
      <c r="N44" s="103"/>
    </row>
    <row r="45" spans="2:14" ht="17" hidden="1" outlineLevel="1" x14ac:dyDescent="0.35">
      <c r="C45" s="47"/>
      <c r="D45" s="47"/>
      <c r="E45" s="47"/>
      <c r="F45" s="67"/>
      <c r="G45" s="47"/>
      <c r="H45" s="70"/>
      <c r="I45" s="41"/>
      <c r="J45" s="71">
        <f>+H45*I45</f>
        <v>0</v>
      </c>
      <c r="K45" s="51">
        <f t="shared" si="1"/>
        <v>0</v>
      </c>
      <c r="L45" s="52">
        <f t="shared" si="4"/>
        <v>0</v>
      </c>
      <c r="M45" s="73"/>
      <c r="N45" s="103"/>
    </row>
    <row r="46" spans="2:14" ht="17" hidden="1" outlineLevel="1" x14ac:dyDescent="0.35">
      <c r="C46" s="47"/>
      <c r="D46" s="47"/>
      <c r="E46" s="47"/>
      <c r="F46" s="67"/>
      <c r="G46" s="47"/>
      <c r="H46" s="74"/>
      <c r="I46" s="41"/>
      <c r="J46" s="71">
        <f>+H46*I46</f>
        <v>0</v>
      </c>
      <c r="K46" s="51">
        <f t="shared" si="1"/>
        <v>0</v>
      </c>
      <c r="L46" s="52">
        <f t="shared" si="4"/>
        <v>0</v>
      </c>
      <c r="M46" s="73"/>
      <c r="N46" s="103"/>
    </row>
    <row r="47" spans="2:14" ht="17" hidden="1" outlineLevel="1" x14ac:dyDescent="0.35">
      <c r="C47" s="47"/>
      <c r="D47" s="47"/>
      <c r="E47" s="47"/>
      <c r="F47" s="67"/>
      <c r="G47" s="47"/>
      <c r="H47" s="47"/>
      <c r="I47" s="41"/>
      <c r="J47" s="71"/>
      <c r="K47" s="51">
        <f t="shared" si="1"/>
        <v>0</v>
      </c>
      <c r="L47" s="52">
        <f t="shared" si="4"/>
        <v>0</v>
      </c>
      <c r="M47" s="75"/>
      <c r="N47" s="103"/>
    </row>
    <row r="48" spans="2:14" ht="17" hidden="1" outlineLevel="1" x14ac:dyDescent="0.35">
      <c r="C48" s="47"/>
      <c r="D48" s="47"/>
      <c r="E48" s="47"/>
      <c r="F48" s="67"/>
      <c r="G48" s="47"/>
      <c r="H48" s="47"/>
      <c r="I48" s="41"/>
      <c r="J48" s="71"/>
      <c r="K48" s="51">
        <f t="shared" si="1"/>
        <v>0</v>
      </c>
      <c r="L48" s="52">
        <f t="shared" si="4"/>
        <v>0</v>
      </c>
      <c r="M48" s="75"/>
      <c r="N48" s="103"/>
    </row>
    <row r="49" spans="1:15" ht="17" hidden="1" outlineLevel="1" x14ac:dyDescent="0.35">
      <c r="C49" s="47"/>
      <c r="D49" s="47"/>
      <c r="E49" s="47"/>
      <c r="F49" s="67"/>
      <c r="G49" s="47"/>
      <c r="H49" s="47"/>
      <c r="I49" s="41"/>
      <c r="J49" s="71"/>
      <c r="K49" s="51">
        <f t="shared" si="1"/>
        <v>0</v>
      </c>
      <c r="L49" s="52">
        <f t="shared" si="4"/>
        <v>0</v>
      </c>
      <c r="M49" s="43"/>
      <c r="N49" s="103"/>
    </row>
    <row r="50" spans="1:15" ht="17" hidden="1" outlineLevel="1" x14ac:dyDescent="0.35">
      <c r="C50" s="47"/>
      <c r="D50" s="47"/>
      <c r="E50" s="47"/>
      <c r="F50" s="67"/>
      <c r="G50" s="47"/>
      <c r="H50" s="47"/>
      <c r="I50" s="41"/>
      <c r="J50" s="71"/>
      <c r="K50" s="51">
        <f t="shared" si="1"/>
        <v>0</v>
      </c>
      <c r="L50" s="52">
        <f t="shared" si="4"/>
        <v>0</v>
      </c>
      <c r="M50" s="43"/>
      <c r="N50" s="103"/>
    </row>
    <row r="51" spans="1:15" ht="17" hidden="1" outlineLevel="1" x14ac:dyDescent="0.35">
      <c r="C51" s="47"/>
      <c r="D51" s="47"/>
      <c r="E51" s="47"/>
      <c r="F51" s="49"/>
      <c r="G51" s="47"/>
      <c r="H51" s="47"/>
      <c r="I51" s="41"/>
      <c r="J51" s="71"/>
      <c r="K51" s="51">
        <f t="shared" si="1"/>
        <v>0</v>
      </c>
      <c r="L51" s="52">
        <f t="shared" si="4"/>
        <v>0</v>
      </c>
      <c r="M51" s="43"/>
      <c r="N51" s="103"/>
    </row>
    <row r="52" spans="1:15" ht="17" hidden="1" outlineLevel="1" x14ac:dyDescent="0.35">
      <c r="C52" s="47"/>
      <c r="D52" s="47"/>
      <c r="E52" s="47"/>
      <c r="F52" s="49"/>
      <c r="G52" s="47"/>
      <c r="H52" s="47"/>
      <c r="I52" s="41"/>
      <c r="J52" s="71"/>
      <c r="K52" s="51">
        <f t="shared" si="1"/>
        <v>0</v>
      </c>
      <c r="L52" s="52">
        <f t="shared" si="4"/>
        <v>0</v>
      </c>
      <c r="M52" s="43"/>
      <c r="N52" s="103"/>
    </row>
    <row r="53" spans="1:15" ht="17" hidden="1" outlineLevel="1" x14ac:dyDescent="0.35">
      <c r="C53" s="47"/>
      <c r="D53" s="47"/>
      <c r="E53" s="47"/>
      <c r="F53" s="49"/>
      <c r="G53" s="47"/>
      <c r="H53" s="47"/>
      <c r="I53" s="41"/>
      <c r="J53" s="71"/>
      <c r="K53" s="51">
        <f t="shared" si="1"/>
        <v>0</v>
      </c>
      <c r="L53" s="52">
        <f t="shared" si="4"/>
        <v>0</v>
      </c>
      <c r="M53" s="43"/>
      <c r="N53" s="103"/>
    </row>
    <row r="54" spans="1:15" ht="17" hidden="1" outlineLevel="1" x14ac:dyDescent="0.35">
      <c r="C54" s="47"/>
      <c r="D54" s="47"/>
      <c r="E54" s="47"/>
      <c r="F54" s="49"/>
      <c r="G54" s="47"/>
      <c r="H54" s="47"/>
      <c r="I54" s="41"/>
      <c r="J54" s="71"/>
      <c r="K54" s="51">
        <f t="shared" si="1"/>
        <v>0</v>
      </c>
      <c r="L54" s="52">
        <f t="shared" si="4"/>
        <v>0</v>
      </c>
      <c r="M54" s="43"/>
      <c r="N54" s="103"/>
    </row>
    <row r="55" spans="1:15" ht="17" hidden="1" outlineLevel="1" x14ac:dyDescent="0.35">
      <c r="C55" s="47"/>
      <c r="D55" s="47"/>
      <c r="E55" s="47"/>
      <c r="F55" s="67"/>
      <c r="G55" s="47"/>
      <c r="H55" s="47"/>
      <c r="I55" s="41"/>
      <c r="J55" s="71"/>
      <c r="K55" s="51">
        <f t="shared" si="1"/>
        <v>0</v>
      </c>
      <c r="L55" s="52">
        <f>J55/$J$58</f>
        <v>0</v>
      </c>
      <c r="M55" s="43"/>
      <c r="N55" s="103"/>
    </row>
    <row r="56" spans="1:15" ht="17" hidden="1" outlineLevel="1" x14ac:dyDescent="0.35">
      <c r="C56" s="47"/>
      <c r="D56" s="47"/>
      <c r="E56" s="47"/>
      <c r="F56" s="67"/>
      <c r="G56" s="47"/>
      <c r="H56" s="47"/>
      <c r="I56" s="41"/>
      <c r="J56" s="71"/>
      <c r="K56" s="51">
        <f t="shared" si="1"/>
        <v>0</v>
      </c>
      <c r="L56" s="52">
        <f>J56/$J$58</f>
        <v>0</v>
      </c>
      <c r="M56" s="43"/>
      <c r="N56" s="103"/>
    </row>
    <row r="57" spans="1:15" ht="17" hidden="1" outlineLevel="1" x14ac:dyDescent="0.35">
      <c r="C57" s="47"/>
      <c r="D57" s="47"/>
      <c r="E57" s="47"/>
      <c r="F57" s="67" t="s">
        <v>157</v>
      </c>
      <c r="G57" s="47"/>
      <c r="H57" s="47"/>
      <c r="I57" s="41">
        <v>1000</v>
      </c>
      <c r="J57" s="71">
        <f>I57</f>
        <v>1000</v>
      </c>
      <c r="K57" s="51">
        <f t="shared" si="1"/>
        <v>20000</v>
      </c>
      <c r="L57" s="52">
        <f>J57/$J$58</f>
        <v>7.6923076923076927E-2</v>
      </c>
      <c r="M57" s="43"/>
      <c r="N57" s="103"/>
    </row>
    <row r="58" spans="1:15" ht="21" customHeight="1" collapsed="1" x14ac:dyDescent="0.35">
      <c r="C58" s="55"/>
      <c r="D58" s="204" t="s">
        <v>159</v>
      </c>
      <c r="E58" s="204"/>
      <c r="F58" s="204"/>
      <c r="G58" s="56"/>
      <c r="H58" s="56"/>
      <c r="I58" s="56"/>
      <c r="J58" s="57">
        <f>J36+J37</f>
        <v>13000</v>
      </c>
      <c r="K58" s="170">
        <f t="shared" si="1"/>
        <v>260000</v>
      </c>
      <c r="L58" s="58">
        <f>J58/$J$58</f>
        <v>1</v>
      </c>
      <c r="M58" s="59"/>
    </row>
    <row r="59" spans="1:15" ht="17" x14ac:dyDescent="0.35">
      <c r="C59" s="22" t="s">
        <v>104</v>
      </c>
      <c r="D59" s="23" t="s">
        <v>149</v>
      </c>
      <c r="E59" s="23"/>
      <c r="F59" s="76"/>
      <c r="G59" s="77"/>
      <c r="H59" s="77"/>
      <c r="I59" s="78"/>
      <c r="J59" s="78"/>
      <c r="K59" s="172">
        <f t="shared" si="1"/>
        <v>0</v>
      </c>
      <c r="L59" s="79"/>
      <c r="M59" s="80"/>
    </row>
    <row r="60" spans="1:15" ht="17" x14ac:dyDescent="0.35">
      <c r="C60" s="83" t="s">
        <v>14</v>
      </c>
      <c r="D60" s="83"/>
      <c r="E60" s="83"/>
      <c r="F60" s="84" t="s">
        <v>162</v>
      </c>
      <c r="G60" s="83"/>
      <c r="H60" s="83">
        <v>1</v>
      </c>
      <c r="I60" s="85"/>
      <c r="J60" s="85">
        <f>+J58</f>
        <v>13000</v>
      </c>
      <c r="K60" s="173">
        <f t="shared" si="1"/>
        <v>260000</v>
      </c>
      <c r="L60" s="35">
        <f>J60/$J$109</f>
        <v>0.52</v>
      </c>
      <c r="M60" s="46"/>
    </row>
    <row r="61" spans="1:15" ht="17" x14ac:dyDescent="0.35">
      <c r="C61" s="31" t="s">
        <v>16</v>
      </c>
      <c r="D61" s="45"/>
      <c r="E61" s="45"/>
      <c r="F61" s="32" t="s">
        <v>163</v>
      </c>
      <c r="G61" s="31"/>
      <c r="H61" s="86"/>
      <c r="I61" s="86"/>
      <c r="J61" s="33">
        <f>SUM(J62:J79)</f>
        <v>20911.564318567125</v>
      </c>
      <c r="K61" s="163">
        <f t="shared" si="1"/>
        <v>418231.28637134249</v>
      </c>
      <c r="L61" s="35">
        <f>J61/$J$109</f>
        <v>0.83646257274268498</v>
      </c>
      <c r="M61" s="87"/>
    </row>
    <row r="62" spans="1:15" ht="17" hidden="1" outlineLevel="1" x14ac:dyDescent="0.35">
      <c r="A62" s="2" t="s">
        <v>187</v>
      </c>
      <c r="C62" s="47">
        <v>0</v>
      </c>
      <c r="D62" s="47" t="s">
        <v>23</v>
      </c>
      <c r="E62" s="47"/>
      <c r="F62" s="67" t="s">
        <v>24</v>
      </c>
      <c r="G62" s="47" t="s">
        <v>25</v>
      </c>
      <c r="H62" s="178">
        <v>300</v>
      </c>
      <c r="I62" s="47"/>
      <c r="J62" s="68"/>
      <c r="K62" s="51">
        <f t="shared" si="1"/>
        <v>0</v>
      </c>
      <c r="L62" s="68"/>
      <c r="M62" s="43" t="s">
        <v>60</v>
      </c>
    </row>
    <row r="63" spans="1:15" ht="17" hidden="1" outlineLevel="1" x14ac:dyDescent="0.35">
      <c r="A63" s="2" t="s">
        <v>187</v>
      </c>
      <c r="C63" s="47"/>
      <c r="D63" s="47"/>
      <c r="E63" s="47"/>
      <c r="F63" s="39" t="s">
        <v>26</v>
      </c>
      <c r="G63" s="38" t="s">
        <v>17</v>
      </c>
      <c r="H63" s="176">
        <v>0.75</v>
      </c>
      <c r="I63" s="47"/>
      <c r="J63" s="68"/>
      <c r="K63" s="51">
        <f t="shared" si="1"/>
        <v>0</v>
      </c>
      <c r="L63" s="68"/>
      <c r="M63" s="43" t="s">
        <v>27</v>
      </c>
    </row>
    <row r="64" spans="1:15" ht="17" hidden="1" outlineLevel="1" x14ac:dyDescent="0.35">
      <c r="A64" s="2" t="s">
        <v>61</v>
      </c>
      <c r="B64" s="2" t="s">
        <v>105</v>
      </c>
      <c r="C64" s="47">
        <f>+C63+1</f>
        <v>1</v>
      </c>
      <c r="D64" s="47">
        <v>1521</v>
      </c>
      <c r="E64" s="47"/>
      <c r="F64" s="67" t="s">
        <v>162</v>
      </c>
      <c r="G64" s="47" t="s">
        <v>17</v>
      </c>
      <c r="H64" s="181">
        <f>1/'[3]2.Hao hut'!$E$29</f>
        <v>1.1627906976744187</v>
      </c>
      <c r="I64" s="180">
        <v>13000</v>
      </c>
      <c r="J64" s="82">
        <f>+(J$60-I614)*H64-J68</f>
        <v>13296.279069767443</v>
      </c>
      <c r="K64" s="51">
        <f t="shared" si="1"/>
        <v>265925.58139534888</v>
      </c>
      <c r="L64" s="72">
        <f t="shared" ref="L64:L80" si="5">J64/$J$109</f>
        <v>0.53185116279069766</v>
      </c>
      <c r="M64" s="73" t="s">
        <v>18</v>
      </c>
      <c r="N64" s="69">
        <v>4.0389910685896195</v>
      </c>
      <c r="O64" s="66">
        <f>+K64-N64</f>
        <v>265921.54240428028</v>
      </c>
    </row>
    <row r="65" spans="1:15" ht="17" hidden="1" outlineLevel="1" x14ac:dyDescent="0.35">
      <c r="A65" s="2" t="s">
        <v>62</v>
      </c>
      <c r="B65" s="2" t="s">
        <v>105</v>
      </c>
      <c r="C65" s="47">
        <f t="shared" ref="C65:C79" si="6">+C64+1</f>
        <v>2</v>
      </c>
      <c r="D65" s="47"/>
      <c r="E65" s="47"/>
      <c r="F65" s="67"/>
      <c r="G65" s="47" t="s">
        <v>17</v>
      </c>
      <c r="H65" s="70"/>
      <c r="I65" s="41"/>
      <c r="J65" s="82">
        <f>+(J$60-I65)*H65</f>
        <v>0</v>
      </c>
      <c r="K65" s="51">
        <f t="shared" si="1"/>
        <v>0</v>
      </c>
      <c r="L65" s="72">
        <f t="shared" si="5"/>
        <v>0</v>
      </c>
      <c r="M65" s="73" t="s">
        <v>18</v>
      </c>
      <c r="N65" s="69">
        <v>3.6668697587890882</v>
      </c>
      <c r="O65" s="66">
        <f t="shared" ref="O65:O79" si="7">+K65-N65</f>
        <v>-3.6668697587890882</v>
      </c>
    </row>
    <row r="66" spans="1:15" ht="17" hidden="1" outlineLevel="1" x14ac:dyDescent="0.35">
      <c r="A66" s="2" t="s">
        <v>19</v>
      </c>
      <c r="B66" s="2" t="s">
        <v>105</v>
      </c>
      <c r="C66" s="47">
        <f t="shared" si="6"/>
        <v>3</v>
      </c>
      <c r="D66" s="47"/>
      <c r="E66" s="47"/>
      <c r="F66" s="67"/>
      <c r="G66" s="47" t="s">
        <v>17</v>
      </c>
      <c r="H66" s="74"/>
      <c r="I66" s="41"/>
      <c r="J66" s="82">
        <f>+(J$60-I66)*H66</f>
        <v>0</v>
      </c>
      <c r="K66" s="51">
        <f t="shared" si="1"/>
        <v>0</v>
      </c>
      <c r="L66" s="72">
        <f t="shared" si="5"/>
        <v>0</v>
      </c>
      <c r="M66" s="73" t="s">
        <v>18</v>
      </c>
      <c r="N66" s="69">
        <v>0</v>
      </c>
      <c r="O66" s="66">
        <f t="shared" si="7"/>
        <v>0</v>
      </c>
    </row>
    <row r="67" spans="1:15" ht="17" hidden="1" outlineLevel="1" x14ac:dyDescent="0.35">
      <c r="A67" s="2" t="s">
        <v>63</v>
      </c>
      <c r="B67" s="2" t="s">
        <v>105</v>
      </c>
      <c r="C67" s="47">
        <f t="shared" si="6"/>
        <v>4</v>
      </c>
      <c r="D67" s="47"/>
      <c r="E67" s="47"/>
      <c r="F67" s="67"/>
      <c r="G67" s="47" t="s">
        <v>17</v>
      </c>
      <c r="H67" s="70"/>
      <c r="I67" s="41"/>
      <c r="J67" s="82">
        <f>+(J$60-I67)*H67</f>
        <v>0</v>
      </c>
      <c r="K67" s="51">
        <f t="shared" si="1"/>
        <v>0</v>
      </c>
      <c r="L67" s="72">
        <f t="shared" si="5"/>
        <v>0</v>
      </c>
      <c r="M67" s="73" t="s">
        <v>18</v>
      </c>
      <c r="N67" s="69">
        <v>2.597068528756231</v>
      </c>
      <c r="O67" s="66">
        <f t="shared" si="7"/>
        <v>-2.597068528756231</v>
      </c>
    </row>
    <row r="68" spans="1:15" ht="17" hidden="1" outlineLevel="1" x14ac:dyDescent="0.35">
      <c r="A68" s="2" t="s">
        <v>20</v>
      </c>
      <c r="B68" s="2" t="s">
        <v>105</v>
      </c>
      <c r="C68" s="47">
        <f t="shared" si="6"/>
        <v>5</v>
      </c>
      <c r="D68" s="47">
        <v>1522</v>
      </c>
      <c r="E68" s="47"/>
      <c r="F68" s="67" t="s">
        <v>153</v>
      </c>
      <c r="G68" s="47" t="s">
        <v>17</v>
      </c>
      <c r="H68" s="179">
        <f>'[3]2.Hao hut'!$E$11</f>
        <v>0.14000000000000001</v>
      </c>
      <c r="I68" s="180">
        <v>10000</v>
      </c>
      <c r="J68" s="82">
        <f>+(J$60)*H68</f>
        <v>1820.0000000000002</v>
      </c>
      <c r="K68" s="51">
        <f t="shared" si="1"/>
        <v>36400.000000000007</v>
      </c>
      <c r="L68" s="72">
        <f t="shared" si="5"/>
        <v>7.2800000000000004E-2</v>
      </c>
      <c r="M68" s="73" t="s">
        <v>21</v>
      </c>
      <c r="N68" s="69">
        <v>1.714515089006758</v>
      </c>
      <c r="O68" s="66">
        <f t="shared" si="7"/>
        <v>36398.285484911001</v>
      </c>
    </row>
    <row r="69" spans="1:15" ht="17" hidden="1" outlineLevel="1" x14ac:dyDescent="0.35">
      <c r="B69" s="2" t="s">
        <v>113</v>
      </c>
      <c r="C69" s="47">
        <f t="shared" si="6"/>
        <v>6</v>
      </c>
      <c r="D69" s="47" t="s">
        <v>57</v>
      </c>
      <c r="E69" s="47">
        <v>120003033</v>
      </c>
      <c r="F69" s="89" t="s">
        <v>113</v>
      </c>
      <c r="G69" s="81" t="s">
        <v>17</v>
      </c>
      <c r="H69" s="182"/>
      <c r="I69" s="180"/>
      <c r="J69" s="82">
        <f>+H69*I69</f>
        <v>0</v>
      </c>
      <c r="K69" s="51">
        <f t="shared" si="1"/>
        <v>0</v>
      </c>
      <c r="L69" s="72">
        <f t="shared" si="5"/>
        <v>0</v>
      </c>
      <c r="M69" s="73" t="s">
        <v>58</v>
      </c>
      <c r="N69" s="69">
        <v>3.7365764705882358</v>
      </c>
      <c r="O69" s="66">
        <f t="shared" si="7"/>
        <v>-3.7365764705882358</v>
      </c>
    </row>
    <row r="70" spans="1:15" ht="17" hidden="1" outlineLevel="1" x14ac:dyDescent="0.35">
      <c r="A70" s="2" t="s">
        <v>187</v>
      </c>
      <c r="B70" s="2" t="s">
        <v>106</v>
      </c>
      <c r="C70" s="47">
        <f t="shared" si="6"/>
        <v>7</v>
      </c>
      <c r="D70" s="47" t="s">
        <v>28</v>
      </c>
      <c r="E70" s="47">
        <v>622</v>
      </c>
      <c r="F70" s="67" t="s">
        <v>29</v>
      </c>
      <c r="G70" s="47" t="s">
        <v>30</v>
      </c>
      <c r="H70" s="177">
        <v>1</v>
      </c>
      <c r="I70" s="180">
        <f>'[3]Dinh muc'!$I$6</f>
        <v>335.91731266149867</v>
      </c>
      <c r="J70" s="82">
        <f>H70*I70</f>
        <v>335.91731266149867</v>
      </c>
      <c r="K70" s="51">
        <f t="shared" si="1"/>
        <v>6718.3462532299736</v>
      </c>
      <c r="L70" s="72">
        <f t="shared" si="5"/>
        <v>1.3436692506459947E-2</v>
      </c>
      <c r="M70" s="75"/>
      <c r="N70" s="69">
        <v>2.3146075304607443</v>
      </c>
      <c r="O70" s="66">
        <f t="shared" si="7"/>
        <v>6716.0316456995133</v>
      </c>
    </row>
    <row r="71" spans="1:15" ht="34" hidden="1" outlineLevel="1" x14ac:dyDescent="0.35">
      <c r="A71" s="2" t="s">
        <v>187</v>
      </c>
      <c r="B71" s="2" t="s">
        <v>107</v>
      </c>
      <c r="C71" s="47">
        <f t="shared" si="6"/>
        <v>8</v>
      </c>
      <c r="D71" s="47" t="s">
        <v>28</v>
      </c>
      <c r="E71" s="47">
        <v>6271</v>
      </c>
      <c r="F71" s="67" t="s">
        <v>31</v>
      </c>
      <c r="G71" s="47" t="s">
        <v>30</v>
      </c>
      <c r="H71" s="177">
        <v>1</v>
      </c>
      <c r="I71" s="180">
        <f>'[3]Dinh muc'!$I$10</f>
        <v>565.16472868217056</v>
      </c>
      <c r="J71" s="82">
        <f>H71*I71</f>
        <v>565.16472868217056</v>
      </c>
      <c r="K71" s="51">
        <f t="shared" si="1"/>
        <v>11303.294573643412</v>
      </c>
      <c r="L71" s="72">
        <f t="shared" si="5"/>
        <v>2.2606589147286821E-2</v>
      </c>
      <c r="M71" s="75" t="s">
        <v>32</v>
      </c>
      <c r="N71" s="69">
        <v>10.418754770838376</v>
      </c>
      <c r="O71" s="66">
        <f t="shared" si="7"/>
        <v>11292.875818872573</v>
      </c>
    </row>
    <row r="72" spans="1:15" ht="17" hidden="1" outlineLevel="1" x14ac:dyDescent="0.35">
      <c r="A72" s="2" t="s">
        <v>187</v>
      </c>
      <c r="B72" s="2" t="s">
        <v>108</v>
      </c>
      <c r="C72" s="47">
        <f t="shared" si="6"/>
        <v>9</v>
      </c>
      <c r="D72" s="47" t="s">
        <v>33</v>
      </c>
      <c r="E72" s="47">
        <v>6272</v>
      </c>
      <c r="F72" s="67" t="s">
        <v>34</v>
      </c>
      <c r="G72" s="47" t="s">
        <v>30</v>
      </c>
      <c r="H72" s="177">
        <v>1</v>
      </c>
      <c r="I72" s="180">
        <f>'[3]Dinh muc'!$K$15</f>
        <v>1997.8779069767443</v>
      </c>
      <c r="J72" s="82">
        <f>H72*I72</f>
        <v>1997.8779069767443</v>
      </c>
      <c r="K72" s="51">
        <f t="shared" si="1"/>
        <v>39957.558139534885</v>
      </c>
      <c r="L72" s="72">
        <f t="shared" si="5"/>
        <v>7.9915116279069776E-2</v>
      </c>
      <c r="M72" s="43" t="s">
        <v>35</v>
      </c>
      <c r="N72" s="69">
        <v>2.6427307250060519</v>
      </c>
      <c r="O72" s="66">
        <f t="shared" si="7"/>
        <v>39954.91540880988</v>
      </c>
    </row>
    <row r="73" spans="1:15" ht="17" hidden="1" outlineLevel="1" x14ac:dyDescent="0.35">
      <c r="A73" s="2" t="s">
        <v>187</v>
      </c>
      <c r="B73" s="2" t="s">
        <v>109</v>
      </c>
      <c r="C73" s="47">
        <f t="shared" si="6"/>
        <v>10</v>
      </c>
      <c r="D73" s="47" t="s">
        <v>33</v>
      </c>
      <c r="E73" s="47">
        <v>6273</v>
      </c>
      <c r="F73" s="67" t="s">
        <v>36</v>
      </c>
      <c r="G73" s="47" t="s">
        <v>30</v>
      </c>
      <c r="H73" s="177">
        <v>1</v>
      </c>
      <c r="I73" s="180"/>
      <c r="J73" s="82">
        <f t="shared" ref="J73:J79" si="8">H73*I73</f>
        <v>0</v>
      </c>
      <c r="K73" s="51">
        <f t="shared" si="1"/>
        <v>0</v>
      </c>
      <c r="L73" s="72">
        <f t="shared" si="5"/>
        <v>0</v>
      </c>
      <c r="M73" s="43" t="s">
        <v>35</v>
      </c>
      <c r="N73" s="69">
        <v>6.0380665698378113</v>
      </c>
      <c r="O73" s="66">
        <f t="shared" si="7"/>
        <v>-6.0380665698378113</v>
      </c>
    </row>
    <row r="74" spans="1:15" ht="17" hidden="1" outlineLevel="1" x14ac:dyDescent="0.35">
      <c r="A74" s="2" t="s">
        <v>187</v>
      </c>
      <c r="B74" s="2" t="s">
        <v>111</v>
      </c>
      <c r="C74" s="47">
        <f t="shared" si="6"/>
        <v>11</v>
      </c>
      <c r="D74" s="81" t="s">
        <v>37</v>
      </c>
      <c r="E74" s="47" t="s">
        <v>38</v>
      </c>
      <c r="F74" s="49" t="s">
        <v>39</v>
      </c>
      <c r="G74" s="47" t="s">
        <v>30</v>
      </c>
      <c r="H74" s="177">
        <v>1</v>
      </c>
      <c r="I74" s="180">
        <f>'[3]PB_TSCD DC'!$AR$32</f>
        <v>326.55785861880378</v>
      </c>
      <c r="J74" s="82">
        <f t="shared" si="8"/>
        <v>326.55785861880378</v>
      </c>
      <c r="K74" s="51">
        <f t="shared" ref="K74:K108" si="9">J74*$K$5</f>
        <v>6531.1571723760753</v>
      </c>
      <c r="L74" s="72">
        <f t="shared" si="5"/>
        <v>1.3062314344752151E-2</v>
      </c>
      <c r="M74" s="43" t="s">
        <v>40</v>
      </c>
      <c r="N74" s="69">
        <v>20.249816363874928</v>
      </c>
      <c r="O74" s="66">
        <f t="shared" si="7"/>
        <v>6510.9073560122006</v>
      </c>
    </row>
    <row r="75" spans="1:15" ht="17" hidden="1" outlineLevel="1" x14ac:dyDescent="0.35">
      <c r="A75" s="2" t="s">
        <v>187</v>
      </c>
      <c r="B75" s="2" t="s">
        <v>111</v>
      </c>
      <c r="C75" s="47">
        <f t="shared" si="6"/>
        <v>12</v>
      </c>
      <c r="D75" s="81" t="s">
        <v>37</v>
      </c>
      <c r="E75" s="47" t="s">
        <v>41</v>
      </c>
      <c r="F75" s="49" t="s">
        <v>42</v>
      </c>
      <c r="G75" s="47" t="s">
        <v>30</v>
      </c>
      <c r="H75" s="177">
        <v>1</v>
      </c>
      <c r="I75" s="180"/>
      <c r="J75" s="82">
        <f t="shared" si="8"/>
        <v>0</v>
      </c>
      <c r="K75" s="51">
        <f t="shared" si="9"/>
        <v>0</v>
      </c>
      <c r="L75" s="72">
        <f t="shared" si="5"/>
        <v>0</v>
      </c>
      <c r="M75" s="43" t="s">
        <v>40</v>
      </c>
      <c r="N75" s="69">
        <v>1.8659215064283601</v>
      </c>
      <c r="O75" s="66">
        <f t="shared" si="7"/>
        <v>-1.8659215064283601</v>
      </c>
    </row>
    <row r="76" spans="1:15" ht="17" hidden="1" outlineLevel="1" x14ac:dyDescent="0.35">
      <c r="A76" s="2" t="s">
        <v>187</v>
      </c>
      <c r="B76" s="2" t="s">
        <v>111</v>
      </c>
      <c r="C76" s="47">
        <f t="shared" si="6"/>
        <v>13</v>
      </c>
      <c r="D76" s="81" t="s">
        <v>37</v>
      </c>
      <c r="E76" s="47" t="s">
        <v>43</v>
      </c>
      <c r="F76" s="49" t="s">
        <v>44</v>
      </c>
      <c r="G76" s="47" t="s">
        <v>30</v>
      </c>
      <c r="H76" s="177">
        <v>1</v>
      </c>
      <c r="I76" s="180"/>
      <c r="J76" s="82">
        <f t="shared" si="8"/>
        <v>0</v>
      </c>
      <c r="K76" s="51">
        <f t="shared" si="9"/>
        <v>0</v>
      </c>
      <c r="L76" s="72">
        <f t="shared" si="5"/>
        <v>0</v>
      </c>
      <c r="M76" s="43" t="s">
        <v>40</v>
      </c>
      <c r="N76" s="69">
        <v>2.1907837846673184</v>
      </c>
      <c r="O76" s="66">
        <f t="shared" si="7"/>
        <v>-2.1907837846673184</v>
      </c>
    </row>
    <row r="77" spans="1:15" ht="17" hidden="1" outlineLevel="1" x14ac:dyDescent="0.35">
      <c r="A77" s="2" t="s">
        <v>187</v>
      </c>
      <c r="B77" s="2" t="s">
        <v>111</v>
      </c>
      <c r="C77" s="47">
        <f t="shared" si="6"/>
        <v>14</v>
      </c>
      <c r="D77" s="81" t="s">
        <v>37</v>
      </c>
      <c r="E77" s="47" t="s">
        <v>45</v>
      </c>
      <c r="F77" s="49" t="s">
        <v>46</v>
      </c>
      <c r="G77" s="47" t="s">
        <v>30</v>
      </c>
      <c r="H77" s="177">
        <v>1</v>
      </c>
      <c r="I77" s="199"/>
      <c r="J77" s="82">
        <f t="shared" si="8"/>
        <v>0</v>
      </c>
      <c r="K77" s="51">
        <f t="shared" si="9"/>
        <v>0</v>
      </c>
      <c r="L77" s="72">
        <f t="shared" si="5"/>
        <v>0</v>
      </c>
      <c r="M77" s="43" t="s">
        <v>40</v>
      </c>
      <c r="N77" s="69">
        <v>2.839904606824136</v>
      </c>
      <c r="O77" s="66">
        <f t="shared" si="7"/>
        <v>-2.839904606824136</v>
      </c>
    </row>
    <row r="78" spans="1:15" ht="34" hidden="1" outlineLevel="1" x14ac:dyDescent="0.35">
      <c r="A78" s="2" t="s">
        <v>187</v>
      </c>
      <c r="B78" s="2" t="s">
        <v>110</v>
      </c>
      <c r="C78" s="47">
        <f>+C74+1</f>
        <v>12</v>
      </c>
      <c r="D78" s="47" t="s">
        <v>47</v>
      </c>
      <c r="E78" s="47">
        <v>6275</v>
      </c>
      <c r="F78" s="67" t="s">
        <v>64</v>
      </c>
      <c r="G78" s="47" t="s">
        <v>48</v>
      </c>
      <c r="H78" s="183">
        <v>1</v>
      </c>
      <c r="I78" s="180">
        <f>'[3]Dinh muc'!$G$14</f>
        <v>2569.7674418604652</v>
      </c>
      <c r="J78" s="82">
        <f t="shared" si="8"/>
        <v>2569.7674418604652</v>
      </c>
      <c r="K78" s="51">
        <f t="shared" si="9"/>
        <v>51395.348837209305</v>
      </c>
      <c r="L78" s="72">
        <f t="shared" si="5"/>
        <v>0.1027906976744186</v>
      </c>
      <c r="M78" s="43" t="s">
        <v>65</v>
      </c>
      <c r="N78" s="69">
        <v>15.547200907301672</v>
      </c>
      <c r="O78" s="66">
        <f t="shared" si="7"/>
        <v>51379.801636302007</v>
      </c>
    </row>
    <row r="79" spans="1:15" ht="17" hidden="1" outlineLevel="1" x14ac:dyDescent="0.35">
      <c r="A79" s="2" t="s">
        <v>187</v>
      </c>
      <c r="B79" s="2" t="s">
        <v>112</v>
      </c>
      <c r="C79" s="47">
        <f t="shared" si="6"/>
        <v>13</v>
      </c>
      <c r="D79" s="47" t="s">
        <v>33</v>
      </c>
      <c r="E79" s="47">
        <v>6277.6278000000002</v>
      </c>
      <c r="F79" s="67" t="s">
        <v>49</v>
      </c>
      <c r="G79" s="47" t="s">
        <v>30</v>
      </c>
      <c r="H79" s="177">
        <v>1</v>
      </c>
      <c r="I79" s="180"/>
      <c r="J79" s="82">
        <f t="shared" si="8"/>
        <v>0</v>
      </c>
      <c r="K79" s="51">
        <f t="shared" si="9"/>
        <v>0</v>
      </c>
      <c r="L79" s="72">
        <f t="shared" si="5"/>
        <v>0</v>
      </c>
      <c r="M79" s="43" t="s">
        <v>35</v>
      </c>
      <c r="N79" s="69">
        <v>5.1172084741318651</v>
      </c>
      <c r="O79" s="66">
        <f t="shared" si="7"/>
        <v>-5.1172084741318651</v>
      </c>
    </row>
    <row r="80" spans="1:15" ht="23.15" customHeight="1" collapsed="1" x14ac:dyDescent="0.35">
      <c r="C80" s="55"/>
      <c r="D80" s="204" t="s">
        <v>164</v>
      </c>
      <c r="E80" s="204"/>
      <c r="F80" s="204"/>
      <c r="G80" s="56"/>
      <c r="H80" s="56"/>
      <c r="I80" s="56"/>
      <c r="J80" s="57">
        <f>+J61</f>
        <v>20911.564318567125</v>
      </c>
      <c r="K80" s="170">
        <f t="shared" si="9"/>
        <v>418231.28637134249</v>
      </c>
      <c r="L80" s="58">
        <f t="shared" si="5"/>
        <v>0.83646257274268498</v>
      </c>
      <c r="M80" s="59"/>
    </row>
    <row r="81" spans="1:14" ht="17" x14ac:dyDescent="0.35">
      <c r="C81" s="22" t="s">
        <v>103</v>
      </c>
      <c r="D81" s="23" t="s">
        <v>148</v>
      </c>
      <c r="E81" s="23"/>
      <c r="F81" s="60"/>
      <c r="G81" s="61"/>
      <c r="H81" s="61"/>
      <c r="I81" s="61"/>
      <c r="J81" s="62"/>
      <c r="K81" s="171">
        <f t="shared" si="9"/>
        <v>0</v>
      </c>
      <c r="L81" s="63"/>
      <c r="M81" s="80"/>
    </row>
    <row r="82" spans="1:14" ht="20.399999999999999" customHeight="1" x14ac:dyDescent="0.35">
      <c r="C82" s="31" t="s">
        <v>22</v>
      </c>
      <c r="D82" s="45"/>
      <c r="E82" s="45"/>
      <c r="F82" s="184" t="s">
        <v>204</v>
      </c>
      <c r="G82" s="31"/>
      <c r="H82" s="31"/>
      <c r="I82" s="31"/>
      <c r="J82" s="185">
        <f>J80</f>
        <v>20911.564318567125</v>
      </c>
      <c r="K82" s="163">
        <f t="shared" si="9"/>
        <v>418231.28637134249</v>
      </c>
      <c r="L82" s="90">
        <f>J82/$J$109</f>
        <v>0.83646257274268498</v>
      </c>
      <c r="M82" s="87"/>
    </row>
    <row r="83" spans="1:14" ht="20.399999999999999" customHeight="1" x14ac:dyDescent="0.35">
      <c r="C83" s="31" t="s">
        <v>51</v>
      </c>
      <c r="D83" s="45"/>
      <c r="E83" s="45"/>
      <c r="F83" s="32" t="s">
        <v>165</v>
      </c>
      <c r="G83" s="31"/>
      <c r="H83" s="31"/>
      <c r="I83" s="31"/>
      <c r="J83" s="33">
        <f>SUM(J84:J98)</f>
        <v>166.66666666666666</v>
      </c>
      <c r="K83" s="163">
        <f t="shared" si="9"/>
        <v>3333.333333333333</v>
      </c>
      <c r="L83" s="35">
        <f>J83/$J$109</f>
        <v>6.6666666666666662E-3</v>
      </c>
      <c r="M83" s="87"/>
    </row>
    <row r="84" spans="1:14" ht="17" hidden="1" outlineLevel="1" x14ac:dyDescent="0.35">
      <c r="A84" s="2" t="s">
        <v>95</v>
      </c>
      <c r="C84" s="47">
        <v>0</v>
      </c>
      <c r="D84" s="47" t="s">
        <v>23</v>
      </c>
      <c r="E84" s="47"/>
      <c r="F84" s="67" t="s">
        <v>24</v>
      </c>
      <c r="G84" s="47" t="s">
        <v>25</v>
      </c>
      <c r="H84" s="48"/>
      <c r="I84" s="47"/>
      <c r="J84" s="68"/>
      <c r="K84" s="51">
        <f t="shared" si="9"/>
        <v>0</v>
      </c>
      <c r="L84" s="68"/>
      <c r="M84" s="43" t="s">
        <v>96</v>
      </c>
    </row>
    <row r="85" spans="1:14" ht="17" hidden="1" outlineLevel="1" x14ac:dyDescent="0.35">
      <c r="A85" s="2" t="s">
        <v>95</v>
      </c>
      <c r="C85" s="47"/>
      <c r="D85" s="47"/>
      <c r="E85" s="47"/>
      <c r="F85" s="39" t="s">
        <v>26</v>
      </c>
      <c r="G85" s="38" t="s">
        <v>17</v>
      </c>
      <c r="H85" s="50"/>
      <c r="I85" s="47"/>
      <c r="J85" s="68"/>
      <c r="K85" s="51">
        <f t="shared" si="9"/>
        <v>0</v>
      </c>
      <c r="L85" s="68"/>
      <c r="M85" s="43" t="s">
        <v>27</v>
      </c>
    </row>
    <row r="86" spans="1:14" ht="17" hidden="1" outlineLevel="1" x14ac:dyDescent="0.35">
      <c r="B86" s="2" t="s">
        <v>114</v>
      </c>
      <c r="C86" s="47">
        <f>+C85+1</f>
        <v>1</v>
      </c>
      <c r="D86" s="81" t="s">
        <v>66</v>
      </c>
      <c r="E86" s="81"/>
      <c r="F86" s="75" t="s">
        <v>67</v>
      </c>
      <c r="G86" s="81" t="s">
        <v>68</v>
      </c>
      <c r="H86" s="81">
        <v>1</v>
      </c>
      <c r="I86" s="186"/>
      <c r="J86" s="82">
        <f>(I86*H86)/1100</f>
        <v>0</v>
      </c>
      <c r="K86" s="174">
        <f t="shared" si="9"/>
        <v>0</v>
      </c>
      <c r="L86" s="72">
        <f t="shared" ref="L86:L108" si="10">J86/$J$109</f>
        <v>0</v>
      </c>
      <c r="M86" s="75" t="s">
        <v>69</v>
      </c>
      <c r="N86" s="104"/>
    </row>
    <row r="87" spans="1:14" ht="34" hidden="1" outlineLevel="1" x14ac:dyDescent="0.35">
      <c r="B87" s="2" t="s">
        <v>114</v>
      </c>
      <c r="C87" s="47">
        <f t="shared" ref="C87:C98" si="11">+C86+1</f>
        <v>2</v>
      </c>
      <c r="D87" s="47" t="s">
        <v>66</v>
      </c>
      <c r="E87" s="47"/>
      <c r="F87" s="67" t="s">
        <v>70</v>
      </c>
      <c r="G87" s="47" t="s">
        <v>68</v>
      </c>
      <c r="H87" s="47">
        <v>1</v>
      </c>
      <c r="I87" s="180"/>
      <c r="J87" s="71">
        <f>(I87*H87)/1100</f>
        <v>0</v>
      </c>
      <c r="K87" s="51">
        <f t="shared" si="9"/>
        <v>0</v>
      </c>
      <c r="L87" s="72">
        <f t="shared" si="10"/>
        <v>0</v>
      </c>
      <c r="M87" s="75" t="s">
        <v>71</v>
      </c>
      <c r="N87" s="104"/>
    </row>
    <row r="88" spans="1:14" ht="17" hidden="1" outlineLevel="1" x14ac:dyDescent="0.35">
      <c r="B88" s="2" t="s">
        <v>114</v>
      </c>
      <c r="C88" s="47">
        <f t="shared" si="11"/>
        <v>3</v>
      </c>
      <c r="D88" s="47" t="s">
        <v>66</v>
      </c>
      <c r="E88" s="47"/>
      <c r="F88" s="67" t="s">
        <v>72</v>
      </c>
      <c r="G88" s="47" t="s">
        <v>68</v>
      </c>
      <c r="H88" s="47">
        <v>1</v>
      </c>
      <c r="I88" s="180"/>
      <c r="J88" s="71">
        <f>(I88*H88)/1100</f>
        <v>0</v>
      </c>
      <c r="K88" s="51">
        <f t="shared" si="9"/>
        <v>0</v>
      </c>
      <c r="L88" s="91">
        <f t="shared" si="10"/>
        <v>0</v>
      </c>
      <c r="M88" s="75" t="s">
        <v>71</v>
      </c>
      <c r="N88" s="104"/>
    </row>
    <row r="89" spans="1:14" ht="17" hidden="1" outlineLevel="1" x14ac:dyDescent="0.35">
      <c r="A89" s="2" t="s">
        <v>73</v>
      </c>
      <c r="B89" s="2" t="s">
        <v>106</v>
      </c>
      <c r="C89" s="47">
        <f t="shared" si="11"/>
        <v>4</v>
      </c>
      <c r="D89" s="47" t="s">
        <v>28</v>
      </c>
      <c r="E89" s="47">
        <v>622</v>
      </c>
      <c r="F89" s="67" t="s">
        <v>29</v>
      </c>
      <c r="G89" s="47" t="s">
        <v>30</v>
      </c>
      <c r="H89" s="47">
        <v>1</v>
      </c>
      <c r="I89" s="180"/>
      <c r="J89" s="82"/>
      <c r="K89" s="51">
        <f t="shared" si="9"/>
        <v>0</v>
      </c>
      <c r="L89" s="91">
        <f t="shared" si="10"/>
        <v>0</v>
      </c>
      <c r="M89" s="75" t="s">
        <v>74</v>
      </c>
      <c r="N89" s="104"/>
    </row>
    <row r="90" spans="1:14" ht="34" hidden="1" outlineLevel="1" x14ac:dyDescent="0.35">
      <c r="A90" s="2" t="s">
        <v>73</v>
      </c>
      <c r="B90" s="2" t="s">
        <v>107</v>
      </c>
      <c r="C90" s="47">
        <f t="shared" si="11"/>
        <v>5</v>
      </c>
      <c r="D90" s="47" t="s">
        <v>28</v>
      </c>
      <c r="E90" s="47">
        <v>6271</v>
      </c>
      <c r="F90" s="67" t="s">
        <v>31</v>
      </c>
      <c r="G90" s="47" t="s">
        <v>30</v>
      </c>
      <c r="H90" s="47">
        <v>1</v>
      </c>
      <c r="I90" s="180"/>
      <c r="J90" s="82"/>
      <c r="K90" s="51">
        <f t="shared" si="9"/>
        <v>0</v>
      </c>
      <c r="L90" s="72">
        <f t="shared" si="10"/>
        <v>0</v>
      </c>
      <c r="M90" s="75" t="s">
        <v>32</v>
      </c>
      <c r="N90" s="104"/>
    </row>
    <row r="91" spans="1:14" ht="17" hidden="1" outlineLevel="1" x14ac:dyDescent="0.35">
      <c r="A91" s="2" t="s">
        <v>73</v>
      </c>
      <c r="B91" s="2" t="s">
        <v>108</v>
      </c>
      <c r="C91" s="47">
        <f t="shared" si="11"/>
        <v>6</v>
      </c>
      <c r="D91" s="47" t="s">
        <v>33</v>
      </c>
      <c r="E91" s="47">
        <v>6272</v>
      </c>
      <c r="F91" s="67" t="s">
        <v>34</v>
      </c>
      <c r="G91" s="47" t="s">
        <v>30</v>
      </c>
      <c r="H91" s="47">
        <v>1</v>
      </c>
      <c r="I91" s="180">
        <f>'[3]Dinh muc'!$G$18</f>
        <v>166.66666666666666</v>
      </c>
      <c r="J91" s="71">
        <f>H91*I91</f>
        <v>166.66666666666666</v>
      </c>
      <c r="K91" s="51">
        <f t="shared" si="9"/>
        <v>3333.333333333333</v>
      </c>
      <c r="L91" s="72">
        <f t="shared" si="10"/>
        <v>6.6666666666666662E-3</v>
      </c>
      <c r="M91" s="43" t="s">
        <v>35</v>
      </c>
      <c r="N91" s="104"/>
    </row>
    <row r="92" spans="1:14" ht="17" hidden="1" outlineLevel="1" x14ac:dyDescent="0.35">
      <c r="A92" s="2" t="s">
        <v>73</v>
      </c>
      <c r="B92" s="2" t="s">
        <v>109</v>
      </c>
      <c r="C92" s="47">
        <f t="shared" si="11"/>
        <v>7</v>
      </c>
      <c r="D92" s="47" t="s">
        <v>33</v>
      </c>
      <c r="E92" s="47">
        <v>6273</v>
      </c>
      <c r="F92" s="67"/>
      <c r="G92" s="47" t="s">
        <v>30</v>
      </c>
      <c r="H92" s="47">
        <v>1</v>
      </c>
      <c r="I92" s="180"/>
      <c r="J92" s="82"/>
      <c r="K92" s="51">
        <f t="shared" si="9"/>
        <v>0</v>
      </c>
      <c r="L92" s="72">
        <f t="shared" si="10"/>
        <v>0</v>
      </c>
      <c r="M92" s="43" t="s">
        <v>35</v>
      </c>
      <c r="N92" s="104"/>
    </row>
    <row r="93" spans="1:14" ht="17" hidden="1" outlineLevel="1" x14ac:dyDescent="0.35">
      <c r="A93" s="2" t="s">
        <v>73</v>
      </c>
      <c r="B93" s="2" t="s">
        <v>111</v>
      </c>
      <c r="C93" s="47">
        <f t="shared" si="11"/>
        <v>8</v>
      </c>
      <c r="D93" s="81" t="s">
        <v>37</v>
      </c>
      <c r="E93" s="47" t="s">
        <v>38</v>
      </c>
      <c r="F93" s="49"/>
      <c r="G93" s="47" t="s">
        <v>30</v>
      </c>
      <c r="H93" s="47">
        <v>1</v>
      </c>
      <c r="I93" s="180"/>
      <c r="J93" s="82"/>
      <c r="K93" s="51">
        <f t="shared" si="9"/>
        <v>0</v>
      </c>
      <c r="L93" s="72">
        <f t="shared" si="10"/>
        <v>0</v>
      </c>
      <c r="M93" s="43" t="s">
        <v>40</v>
      </c>
      <c r="N93" s="104"/>
    </row>
    <row r="94" spans="1:14" ht="17" hidden="1" outlineLevel="1" x14ac:dyDescent="0.35">
      <c r="A94" s="2" t="s">
        <v>73</v>
      </c>
      <c r="B94" s="2" t="s">
        <v>111</v>
      </c>
      <c r="C94" s="47">
        <f t="shared" si="11"/>
        <v>9</v>
      </c>
      <c r="D94" s="81" t="s">
        <v>37</v>
      </c>
      <c r="E94" s="47" t="s">
        <v>41</v>
      </c>
      <c r="F94" s="49"/>
      <c r="G94" s="47" t="s">
        <v>30</v>
      </c>
      <c r="H94" s="47">
        <v>1</v>
      </c>
      <c r="I94" s="180"/>
      <c r="J94" s="82"/>
      <c r="K94" s="51">
        <f t="shared" si="9"/>
        <v>0</v>
      </c>
      <c r="L94" s="72">
        <f t="shared" si="10"/>
        <v>0</v>
      </c>
      <c r="M94" s="43" t="s">
        <v>40</v>
      </c>
      <c r="N94" s="104"/>
    </row>
    <row r="95" spans="1:14" ht="17" hidden="1" outlineLevel="1" x14ac:dyDescent="0.35">
      <c r="A95" s="2" t="s">
        <v>73</v>
      </c>
      <c r="B95" s="2" t="s">
        <v>111</v>
      </c>
      <c r="C95" s="47">
        <f t="shared" si="11"/>
        <v>10</v>
      </c>
      <c r="D95" s="81" t="s">
        <v>37</v>
      </c>
      <c r="E95" s="47" t="s">
        <v>43</v>
      </c>
      <c r="F95" s="49"/>
      <c r="G95" s="47" t="s">
        <v>30</v>
      </c>
      <c r="H95" s="47">
        <v>1</v>
      </c>
      <c r="I95" s="180"/>
      <c r="J95" s="82"/>
      <c r="K95" s="51">
        <f t="shared" si="9"/>
        <v>0</v>
      </c>
      <c r="L95" s="72">
        <f t="shared" si="10"/>
        <v>0</v>
      </c>
      <c r="M95" s="43" t="s">
        <v>40</v>
      </c>
      <c r="N95" s="104"/>
    </row>
    <row r="96" spans="1:14" ht="17" hidden="1" outlineLevel="1" x14ac:dyDescent="0.35">
      <c r="A96" s="2" t="s">
        <v>73</v>
      </c>
      <c r="B96" s="2" t="s">
        <v>111</v>
      </c>
      <c r="C96" s="47">
        <f t="shared" si="11"/>
        <v>11</v>
      </c>
      <c r="D96" s="81" t="s">
        <v>37</v>
      </c>
      <c r="E96" s="47" t="s">
        <v>45</v>
      </c>
      <c r="F96" s="49"/>
      <c r="G96" s="47" t="s">
        <v>30</v>
      </c>
      <c r="H96" s="47">
        <v>1</v>
      </c>
      <c r="I96" s="180"/>
      <c r="J96" s="82"/>
      <c r="K96" s="51">
        <f t="shared" si="9"/>
        <v>0</v>
      </c>
      <c r="L96" s="72">
        <f t="shared" si="10"/>
        <v>0</v>
      </c>
      <c r="M96" s="43" t="s">
        <v>40</v>
      </c>
      <c r="N96" s="104"/>
    </row>
    <row r="97" spans="1:14" ht="34" hidden="1" outlineLevel="1" x14ac:dyDescent="0.35">
      <c r="A97" s="2" t="s">
        <v>73</v>
      </c>
      <c r="B97" s="2" t="s">
        <v>110</v>
      </c>
      <c r="C97" s="47">
        <f>+C93+1</f>
        <v>9</v>
      </c>
      <c r="D97" s="81" t="s">
        <v>47</v>
      </c>
      <c r="E97" s="81">
        <v>6275</v>
      </c>
      <c r="F97" s="75"/>
      <c r="G97" s="47" t="s">
        <v>30</v>
      </c>
      <c r="H97" s="47">
        <v>1</v>
      </c>
      <c r="I97" s="180"/>
      <c r="J97" s="82"/>
      <c r="K97" s="51">
        <f t="shared" si="9"/>
        <v>0</v>
      </c>
      <c r="L97" s="72">
        <f t="shared" si="10"/>
        <v>0</v>
      </c>
      <c r="M97" s="43" t="s">
        <v>75</v>
      </c>
      <c r="N97" s="104"/>
    </row>
    <row r="98" spans="1:14" ht="17" hidden="1" outlineLevel="1" x14ac:dyDescent="0.35">
      <c r="A98" s="2" t="s">
        <v>73</v>
      </c>
      <c r="B98" s="2" t="s">
        <v>112</v>
      </c>
      <c r="C98" s="47">
        <f t="shared" si="11"/>
        <v>10</v>
      </c>
      <c r="D98" s="81" t="s">
        <v>33</v>
      </c>
      <c r="E98" s="81">
        <v>6277.6278000000002</v>
      </c>
      <c r="F98" s="67"/>
      <c r="G98" s="47" t="s">
        <v>30</v>
      </c>
      <c r="H98" s="47">
        <v>1</v>
      </c>
      <c r="I98" s="180"/>
      <c r="J98" s="82"/>
      <c r="K98" s="51">
        <f t="shared" si="9"/>
        <v>0</v>
      </c>
      <c r="L98" s="72">
        <f t="shared" si="10"/>
        <v>0</v>
      </c>
      <c r="M98" s="43" t="s">
        <v>35</v>
      </c>
      <c r="N98" s="104"/>
    </row>
    <row r="99" spans="1:14" ht="22.4" customHeight="1" collapsed="1" x14ac:dyDescent="0.35">
      <c r="C99" s="31" t="s">
        <v>53</v>
      </c>
      <c r="D99" s="45"/>
      <c r="E99" s="45"/>
      <c r="F99" s="32" t="s">
        <v>76</v>
      </c>
      <c r="G99" s="31"/>
      <c r="H99" s="31"/>
      <c r="I99" s="31"/>
      <c r="J99" s="33">
        <f>SUM(J100:J104)</f>
        <v>2500</v>
      </c>
      <c r="K99" s="163">
        <f t="shared" si="9"/>
        <v>50000</v>
      </c>
      <c r="L99" s="35">
        <f t="shared" si="10"/>
        <v>0.1</v>
      </c>
      <c r="M99" s="87"/>
    </row>
    <row r="100" spans="1:14" ht="17" hidden="1" outlineLevel="1" x14ac:dyDescent="0.35">
      <c r="A100" s="2" t="s">
        <v>77</v>
      </c>
      <c r="B100" s="2">
        <v>641</v>
      </c>
      <c r="C100" s="47">
        <v>1</v>
      </c>
      <c r="D100" s="47">
        <v>641</v>
      </c>
      <c r="E100" s="47"/>
      <c r="F100" s="92" t="s">
        <v>78</v>
      </c>
      <c r="G100" s="47" t="s">
        <v>30</v>
      </c>
      <c r="H100" s="47">
        <v>1</v>
      </c>
      <c r="I100" s="154">
        <f>7%*TH!G6</f>
        <v>1750.0000000000002</v>
      </c>
      <c r="J100" s="71">
        <f t="shared" ref="J100:J104" si="12">H100*I100</f>
        <v>1750.0000000000002</v>
      </c>
      <c r="K100" s="51">
        <f t="shared" si="9"/>
        <v>35000.000000000007</v>
      </c>
      <c r="L100" s="72">
        <f t="shared" si="10"/>
        <v>7.0000000000000007E-2</v>
      </c>
      <c r="M100" s="93" t="s">
        <v>79</v>
      </c>
      <c r="N100" s="104"/>
    </row>
    <row r="101" spans="1:14" ht="17" hidden="1" outlineLevel="1" x14ac:dyDescent="0.35">
      <c r="A101" s="2" t="s">
        <v>80</v>
      </c>
      <c r="B101" s="2">
        <v>642</v>
      </c>
      <c r="C101" s="47">
        <f>+C100+1</f>
        <v>2</v>
      </c>
      <c r="D101" s="47">
        <v>642</v>
      </c>
      <c r="E101" s="47"/>
      <c r="F101" s="92" t="s">
        <v>81</v>
      </c>
      <c r="G101" s="47" t="s">
        <v>30</v>
      </c>
      <c r="H101" s="47">
        <v>1</v>
      </c>
      <c r="I101" s="154">
        <f>2%*TH!G7</f>
        <v>500</v>
      </c>
      <c r="J101" s="71">
        <f t="shared" si="12"/>
        <v>500</v>
      </c>
      <c r="K101" s="51">
        <f t="shared" si="9"/>
        <v>10000</v>
      </c>
      <c r="L101" s="72">
        <f t="shared" si="10"/>
        <v>0.02</v>
      </c>
      <c r="M101" s="93" t="s">
        <v>79</v>
      </c>
      <c r="N101" s="104"/>
    </row>
    <row r="102" spans="1:14" ht="17" hidden="1" outlineLevel="1" x14ac:dyDescent="0.35">
      <c r="A102" s="2" t="s">
        <v>82</v>
      </c>
      <c r="B102" s="2">
        <v>641</v>
      </c>
      <c r="C102" s="47">
        <f>+C101+1</f>
        <v>3</v>
      </c>
      <c r="D102" s="47">
        <v>641</v>
      </c>
      <c r="E102" s="47"/>
      <c r="F102" s="92" t="s">
        <v>83</v>
      </c>
      <c r="G102" s="47" t="s">
        <v>30</v>
      </c>
      <c r="H102" s="47">
        <v>1</v>
      </c>
      <c r="I102" s="154"/>
      <c r="J102" s="71">
        <f t="shared" si="12"/>
        <v>0</v>
      </c>
      <c r="K102" s="51">
        <f t="shared" si="9"/>
        <v>0</v>
      </c>
      <c r="L102" s="72">
        <f t="shared" si="10"/>
        <v>0</v>
      </c>
      <c r="M102" s="93" t="s">
        <v>79</v>
      </c>
      <c r="N102" s="104"/>
    </row>
    <row r="103" spans="1:14" ht="34" hidden="1" outlineLevel="1" x14ac:dyDescent="0.35">
      <c r="A103" s="2" t="s">
        <v>85</v>
      </c>
      <c r="B103" s="2">
        <v>642</v>
      </c>
      <c r="C103" s="47">
        <f>+C102+1</f>
        <v>4</v>
      </c>
      <c r="D103" s="47">
        <v>642</v>
      </c>
      <c r="E103" s="47"/>
      <c r="F103" s="92" t="s">
        <v>86</v>
      </c>
      <c r="G103" s="47" t="s">
        <v>30</v>
      </c>
      <c r="H103" s="47">
        <v>1</v>
      </c>
      <c r="I103" s="154"/>
      <c r="J103" s="71">
        <f t="shared" si="12"/>
        <v>0</v>
      </c>
      <c r="K103" s="51">
        <f t="shared" si="9"/>
        <v>0</v>
      </c>
      <c r="L103" s="72">
        <f t="shared" si="10"/>
        <v>0</v>
      </c>
      <c r="M103" s="93" t="s">
        <v>84</v>
      </c>
      <c r="N103" s="104"/>
    </row>
    <row r="104" spans="1:14" ht="17" hidden="1" outlineLevel="1" x14ac:dyDescent="0.35">
      <c r="A104" s="2" t="s">
        <v>87</v>
      </c>
      <c r="B104" s="2">
        <v>635</v>
      </c>
      <c r="C104" s="47">
        <v>3</v>
      </c>
      <c r="D104" s="47">
        <v>635</v>
      </c>
      <c r="E104" s="47"/>
      <c r="F104" s="92" t="s">
        <v>88</v>
      </c>
      <c r="G104" s="47" t="s">
        <v>30</v>
      </c>
      <c r="H104" s="47">
        <v>1</v>
      </c>
      <c r="I104" s="154">
        <f>1%*TH!G6</f>
        <v>250</v>
      </c>
      <c r="J104" s="71">
        <f t="shared" si="12"/>
        <v>250</v>
      </c>
      <c r="K104" s="51">
        <f t="shared" si="9"/>
        <v>5000</v>
      </c>
      <c r="L104" s="72">
        <f t="shared" si="10"/>
        <v>0.01</v>
      </c>
      <c r="M104" s="93" t="s">
        <v>89</v>
      </c>
      <c r="N104" s="104"/>
    </row>
    <row r="105" spans="1:14" ht="24.65" customHeight="1" collapsed="1" x14ac:dyDescent="0.35">
      <c r="C105" s="94"/>
      <c r="D105" s="205" t="s">
        <v>90</v>
      </c>
      <c r="E105" s="205"/>
      <c r="F105" s="205"/>
      <c r="G105" s="94"/>
      <c r="H105" s="94"/>
      <c r="I105" s="94"/>
      <c r="J105" s="95">
        <f>+J82+J83+J99</f>
        <v>23578.230985233793</v>
      </c>
      <c r="K105" s="175">
        <f t="shared" si="9"/>
        <v>471564.61970467586</v>
      </c>
      <c r="L105" s="96"/>
      <c r="M105" s="97"/>
    </row>
    <row r="106" spans="1:14" ht="25.4" customHeight="1" x14ac:dyDescent="0.35">
      <c r="C106" s="31" t="s">
        <v>91</v>
      </c>
      <c r="D106" s="45"/>
      <c r="E106" s="45"/>
      <c r="F106" s="32" t="s">
        <v>97</v>
      </c>
      <c r="G106" s="31"/>
      <c r="H106" s="31"/>
      <c r="I106" s="31"/>
      <c r="J106" s="33">
        <f>J107+J108</f>
        <v>1421.7690147662072</v>
      </c>
      <c r="K106" s="163">
        <f t="shared" si="9"/>
        <v>28435.380295324143</v>
      </c>
      <c r="L106" s="35">
        <f t="shared" si="10"/>
        <v>5.6870760590648287E-2</v>
      </c>
      <c r="M106" s="87"/>
    </row>
    <row r="107" spans="1:14" ht="17" hidden="1" outlineLevel="1" x14ac:dyDescent="0.35">
      <c r="C107" s="47">
        <v>1</v>
      </c>
      <c r="D107" s="47" t="s">
        <v>92</v>
      </c>
      <c r="E107" s="47"/>
      <c r="F107" s="92" t="s">
        <v>98</v>
      </c>
      <c r="G107" s="47"/>
      <c r="H107" s="47"/>
      <c r="I107" s="47"/>
      <c r="J107" s="98">
        <f>IF((J109-J105)&lt;0,0,(J109-J105)*100%/120%)</f>
        <v>1184.8075123051726</v>
      </c>
      <c r="K107" s="51">
        <f t="shared" si="9"/>
        <v>23696.150246103454</v>
      </c>
      <c r="L107" s="91">
        <f t="shared" si="10"/>
        <v>4.7392300492206905E-2</v>
      </c>
      <c r="M107" s="99">
        <f>J107/$J$109</f>
        <v>4.7392300492206905E-2</v>
      </c>
    </row>
    <row r="108" spans="1:14" ht="17" hidden="1" outlineLevel="1" x14ac:dyDescent="0.35">
      <c r="C108" s="47">
        <v>2</v>
      </c>
      <c r="D108" s="47" t="s">
        <v>93</v>
      </c>
      <c r="E108" s="47"/>
      <c r="F108" s="92" t="s">
        <v>94</v>
      </c>
      <c r="G108" s="47"/>
      <c r="H108" s="47"/>
      <c r="I108" s="47"/>
      <c r="J108" s="98">
        <f>J107*20%</f>
        <v>236.96150246103454</v>
      </c>
      <c r="K108" s="51">
        <f t="shared" si="9"/>
        <v>4739.2300492206905</v>
      </c>
      <c r="L108" s="91">
        <f t="shared" si="10"/>
        <v>9.4784600984413811E-3</v>
      </c>
      <c r="M108" s="100"/>
    </row>
    <row r="109" spans="1:14" ht="24.65" customHeight="1" collapsed="1" x14ac:dyDescent="0.35">
      <c r="C109" s="94"/>
      <c r="D109" s="205" t="s">
        <v>166</v>
      </c>
      <c r="E109" s="205"/>
      <c r="F109" s="205"/>
      <c r="G109" s="94"/>
      <c r="I109" s="94"/>
      <c r="J109" s="95">
        <f>+TH!G7</f>
        <v>25000</v>
      </c>
      <c r="K109" s="95">
        <f>+TH!G6*K5</f>
        <v>500000</v>
      </c>
      <c r="L109" s="96">
        <f>+L82+L83+L99+L106</f>
        <v>1</v>
      </c>
      <c r="M109" s="97"/>
    </row>
    <row r="111" spans="1:14" x14ac:dyDescent="0.35">
      <c r="K111" s="66"/>
      <c r="L111" s="66"/>
    </row>
    <row r="112" spans="1:14" x14ac:dyDescent="0.35">
      <c r="K112" s="88"/>
    </row>
  </sheetData>
  <autoFilter ref="C7:M109" xr:uid="{DCB3B5EE-6636-407D-B3F6-4E7544CA3796}"/>
  <mergeCells count="5">
    <mergeCell ref="D34:F34"/>
    <mergeCell ref="D58:F58"/>
    <mergeCell ref="D80:F80"/>
    <mergeCell ref="D105:F105"/>
    <mergeCell ref="D109:F109"/>
  </mergeCells>
  <hyperlinks>
    <hyperlink ref="A1" location="'Danh mục'!A1" display="Danh mục" xr:uid="{7CA638A2-FE76-48FE-B3DB-D995EF67B715}"/>
  </hyperlink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3CFDF-0F45-4374-BC9D-68DFBA5E9432}">
  <sheetPr>
    <tabColor rgb="FF0000FF"/>
  </sheetPr>
  <dimension ref="A1:O112"/>
  <sheetViews>
    <sheetView zoomScale="70" zoomScaleNormal="70" workbookViewId="0">
      <selection activeCell="D58" sqref="D58:F58"/>
    </sheetView>
  </sheetViews>
  <sheetFormatPr defaultColWidth="8.90625" defaultRowHeight="14.5" outlineLevelRow="1" x14ac:dyDescent="0.35"/>
  <cols>
    <col min="1" max="1" width="2.6328125" style="2" customWidth="1"/>
    <col min="2" max="2" width="8.90625" style="2" customWidth="1"/>
    <col min="3" max="3" width="12.54296875" style="3" customWidth="1"/>
    <col min="4" max="5" width="13.453125" style="3" customWidth="1"/>
    <col min="6" max="6" width="41" style="3" customWidth="1"/>
    <col min="7" max="7" width="11" style="3" customWidth="1"/>
    <col min="8" max="8" width="14.453125" style="3" customWidth="1"/>
    <col min="9" max="9" width="18.453125" style="3" customWidth="1"/>
    <col min="10" max="10" width="14.54296875" style="3" customWidth="1"/>
    <col min="11" max="11" width="19.453125" style="3" bestFit="1" customWidth="1"/>
    <col min="12" max="12" width="10.08984375" style="3" customWidth="1"/>
    <col min="13" max="13" width="69.54296875" style="3" customWidth="1"/>
    <col min="14" max="14" width="8.90625" style="3"/>
    <col min="15" max="15" width="11.08984375" style="3" bestFit="1" customWidth="1"/>
    <col min="16" max="16384" width="8.90625" style="3"/>
  </cols>
  <sheetData>
    <row r="1" spans="1:13" x14ac:dyDescent="0.35">
      <c r="A1" s="1" t="s">
        <v>0</v>
      </c>
      <c r="B1" s="1"/>
      <c r="C1" s="2">
        <v>1</v>
      </c>
    </row>
    <row r="2" spans="1:13" s="5" customFormat="1" ht="29.15" customHeight="1" x14ac:dyDescent="0.35">
      <c r="A2" s="101"/>
      <c r="B2" s="101"/>
      <c r="C2" s="4" t="s">
        <v>168</v>
      </c>
    </row>
    <row r="3" spans="1:13" ht="17" x14ac:dyDescent="0.35">
      <c r="C3" s="6"/>
      <c r="D3" s="6"/>
      <c r="E3" s="6"/>
      <c r="F3" s="7"/>
      <c r="G3" s="8"/>
      <c r="H3" s="8"/>
      <c r="I3" s="9"/>
      <c r="J3" s="10"/>
      <c r="K3" s="11"/>
      <c r="L3" s="12"/>
      <c r="M3" s="13"/>
    </row>
    <row r="4" spans="1:13" ht="17" x14ac:dyDescent="0.35">
      <c r="C4" s="14" t="s">
        <v>1</v>
      </c>
      <c r="D4" s="15" t="s">
        <v>169</v>
      </c>
      <c r="E4" s="6"/>
      <c r="G4" s="15"/>
      <c r="H4" s="6"/>
      <c r="J4" s="6" t="s">
        <v>170</v>
      </c>
      <c r="K4" s="6" t="s">
        <v>52</v>
      </c>
      <c r="L4" s="6"/>
      <c r="M4" s="6"/>
    </row>
    <row r="5" spans="1:13" ht="17" x14ac:dyDescent="0.35">
      <c r="C5" s="14" t="s">
        <v>2</v>
      </c>
      <c r="D5" s="102" t="str">
        <f>TH!C8</f>
        <v>Dây đai RPEXXXX</v>
      </c>
      <c r="E5" s="6"/>
      <c r="F5" s="7"/>
      <c r="G5" s="8"/>
      <c r="H5" s="8"/>
      <c r="I5" s="9"/>
      <c r="J5" s="10" t="s">
        <v>147</v>
      </c>
      <c r="K5" s="197">
        <f>TH!E8</f>
        <v>20</v>
      </c>
      <c r="M5" s="13"/>
    </row>
    <row r="6" spans="1:13" ht="17" x14ac:dyDescent="0.35">
      <c r="C6" s="6" t="s">
        <v>186</v>
      </c>
      <c r="D6" s="6" t="str">
        <f>TH!D8</f>
        <v>XX mm x XX mm</v>
      </c>
      <c r="E6" s="6"/>
      <c r="F6" s="6"/>
      <c r="G6" s="6"/>
      <c r="H6" s="6"/>
      <c r="I6" s="6"/>
      <c r="J6" s="6"/>
      <c r="L6" s="16"/>
      <c r="M6" s="6"/>
    </row>
    <row r="7" spans="1:13" s="21" customFormat="1" ht="34" x14ac:dyDescent="0.35">
      <c r="A7" s="17"/>
      <c r="B7" s="17"/>
      <c r="C7" s="18" t="s">
        <v>3</v>
      </c>
      <c r="D7" s="18" t="s">
        <v>4</v>
      </c>
      <c r="E7" s="18" t="s">
        <v>5</v>
      </c>
      <c r="F7" s="19" t="s">
        <v>6</v>
      </c>
      <c r="G7" s="19" t="s">
        <v>7</v>
      </c>
      <c r="H7" s="19" t="s">
        <v>8</v>
      </c>
      <c r="I7" s="19" t="s">
        <v>9</v>
      </c>
      <c r="J7" s="19" t="s">
        <v>10</v>
      </c>
      <c r="K7" s="161" t="s">
        <v>144</v>
      </c>
      <c r="L7" s="20" t="s">
        <v>11</v>
      </c>
      <c r="M7" s="19" t="s">
        <v>12</v>
      </c>
    </row>
    <row r="8" spans="1:13" ht="17" x14ac:dyDescent="0.35">
      <c r="C8" s="22" t="s">
        <v>13</v>
      </c>
      <c r="D8" s="23" t="s">
        <v>151</v>
      </c>
      <c r="E8" s="23"/>
      <c r="F8" s="24"/>
      <c r="G8" s="25"/>
      <c r="H8" s="25"/>
      <c r="I8" s="26"/>
      <c r="J8" s="27"/>
      <c r="K8" s="28"/>
      <c r="L8" s="29"/>
      <c r="M8" s="30"/>
    </row>
    <row r="9" spans="1:13" ht="17" x14ac:dyDescent="0.35">
      <c r="B9" s="2" t="s">
        <v>152</v>
      </c>
      <c r="C9" s="31" t="s">
        <v>14</v>
      </c>
      <c r="D9" s="31"/>
      <c r="E9" s="31"/>
      <c r="F9" s="32" t="s">
        <v>152</v>
      </c>
      <c r="G9" s="31" t="s">
        <v>15</v>
      </c>
      <c r="H9" s="31">
        <v>1</v>
      </c>
      <c r="I9" s="33">
        <v>12000</v>
      </c>
      <c r="J9" s="34">
        <f>I9</f>
        <v>12000</v>
      </c>
      <c r="K9" s="33">
        <f>J9*$K$5</f>
        <v>240000</v>
      </c>
      <c r="L9" s="35">
        <f t="shared" ref="L9:L19" si="0">J9/$J$58</f>
        <v>0.92307692307692313</v>
      </c>
      <c r="M9" s="36"/>
    </row>
    <row r="10" spans="1:13" ht="47.4" customHeight="1" x14ac:dyDescent="0.35">
      <c r="B10" s="2" t="s">
        <v>105</v>
      </c>
      <c r="C10" s="31" t="s">
        <v>16</v>
      </c>
      <c r="D10" s="31"/>
      <c r="E10" s="31"/>
      <c r="F10" s="32" t="s">
        <v>153</v>
      </c>
      <c r="G10" s="31" t="s">
        <v>17</v>
      </c>
      <c r="H10" s="37">
        <f>SUM(H11:H20)</f>
        <v>0</v>
      </c>
      <c r="I10" s="33"/>
      <c r="J10" s="33">
        <f>SUM(J11:J20)</f>
        <v>0</v>
      </c>
      <c r="K10" s="163">
        <f t="shared" ref="K10:K73" si="1">J10*$K$5</f>
        <v>0</v>
      </c>
      <c r="L10" s="35">
        <f t="shared" si="0"/>
        <v>0</v>
      </c>
      <c r="M10" s="36"/>
    </row>
    <row r="11" spans="1:13" ht="17" hidden="1" outlineLevel="1" x14ac:dyDescent="0.35">
      <c r="C11" s="38"/>
      <c r="D11" s="38"/>
      <c r="E11" s="38"/>
      <c r="F11" s="39"/>
      <c r="G11" s="38" t="s">
        <v>17</v>
      </c>
      <c r="H11" s="40"/>
      <c r="I11" s="41"/>
      <c r="J11" s="41">
        <f>+($J$9-I11)*H11</f>
        <v>0</v>
      </c>
      <c r="K11" s="164">
        <f t="shared" si="1"/>
        <v>0</v>
      </c>
      <c r="L11" s="42">
        <f t="shared" si="0"/>
        <v>0</v>
      </c>
      <c r="M11" s="43"/>
    </row>
    <row r="12" spans="1:13" ht="17" hidden="1" outlineLevel="1" x14ac:dyDescent="0.35">
      <c r="C12" s="38"/>
      <c r="D12" s="38"/>
      <c r="E12" s="38"/>
      <c r="F12" s="39"/>
      <c r="G12" s="38" t="s">
        <v>17</v>
      </c>
      <c r="H12" s="40"/>
      <c r="I12" s="41"/>
      <c r="J12" s="41">
        <f t="shared" ref="J12:J20" si="2">+($J$9-I12)*H12</f>
        <v>0</v>
      </c>
      <c r="K12" s="164">
        <f t="shared" si="1"/>
        <v>0</v>
      </c>
      <c r="L12" s="42">
        <f t="shared" si="0"/>
        <v>0</v>
      </c>
      <c r="M12" s="43"/>
    </row>
    <row r="13" spans="1:13" ht="17" hidden="1" outlineLevel="1" x14ac:dyDescent="0.35">
      <c r="C13" s="38"/>
      <c r="D13" s="38"/>
      <c r="E13" s="38"/>
      <c r="F13" s="39"/>
      <c r="G13" s="38" t="s">
        <v>17</v>
      </c>
      <c r="H13" s="40"/>
      <c r="I13" s="41"/>
      <c r="J13" s="41">
        <f t="shared" si="2"/>
        <v>0</v>
      </c>
      <c r="K13" s="164">
        <f t="shared" si="1"/>
        <v>0</v>
      </c>
      <c r="L13" s="42">
        <f t="shared" si="0"/>
        <v>0</v>
      </c>
      <c r="M13" s="43"/>
    </row>
    <row r="14" spans="1:13" ht="17" hidden="1" outlineLevel="1" x14ac:dyDescent="0.35">
      <c r="C14" s="38"/>
      <c r="D14" s="38"/>
      <c r="E14" s="38"/>
      <c r="F14" s="39"/>
      <c r="G14" s="38" t="s">
        <v>17</v>
      </c>
      <c r="H14" s="40"/>
      <c r="I14" s="41"/>
      <c r="J14" s="41">
        <f t="shared" si="2"/>
        <v>0</v>
      </c>
      <c r="K14" s="164">
        <f t="shared" si="1"/>
        <v>0</v>
      </c>
      <c r="L14" s="42">
        <f t="shared" si="0"/>
        <v>0</v>
      </c>
      <c r="M14" s="43"/>
    </row>
    <row r="15" spans="1:13" ht="17" hidden="1" outlineLevel="1" x14ac:dyDescent="0.35">
      <c r="C15" s="38"/>
      <c r="D15" s="38"/>
      <c r="E15" s="38"/>
      <c r="F15" s="39"/>
      <c r="G15" s="38" t="s">
        <v>17</v>
      </c>
      <c r="H15" s="40"/>
      <c r="I15" s="41"/>
      <c r="J15" s="41">
        <f t="shared" si="2"/>
        <v>0</v>
      </c>
      <c r="K15" s="164">
        <f t="shared" si="1"/>
        <v>0</v>
      </c>
      <c r="L15" s="42">
        <f t="shared" si="0"/>
        <v>0</v>
      </c>
      <c r="M15" s="43"/>
    </row>
    <row r="16" spans="1:13" ht="17" hidden="1" outlineLevel="1" x14ac:dyDescent="0.4">
      <c r="A16" s="44"/>
      <c r="B16" s="44"/>
      <c r="C16" s="38"/>
      <c r="D16" s="38"/>
      <c r="E16" s="38"/>
      <c r="F16" s="39"/>
      <c r="G16" s="38" t="s">
        <v>17</v>
      </c>
      <c r="H16" s="40"/>
      <c r="I16" s="41"/>
      <c r="J16" s="41">
        <f t="shared" si="2"/>
        <v>0</v>
      </c>
      <c r="K16" s="164">
        <f t="shared" si="1"/>
        <v>0</v>
      </c>
      <c r="L16" s="42">
        <f t="shared" si="0"/>
        <v>0</v>
      </c>
      <c r="M16" s="43"/>
    </row>
    <row r="17" spans="1:15" ht="17" hidden="1" outlineLevel="1" x14ac:dyDescent="0.4">
      <c r="A17" s="44"/>
      <c r="B17" s="44"/>
      <c r="C17" s="38"/>
      <c r="D17" s="38"/>
      <c r="E17" s="38"/>
      <c r="F17" s="39"/>
      <c r="G17" s="38" t="s">
        <v>17</v>
      </c>
      <c r="H17" s="40"/>
      <c r="I17" s="41"/>
      <c r="J17" s="41">
        <f t="shared" si="2"/>
        <v>0</v>
      </c>
      <c r="K17" s="164">
        <f t="shared" si="1"/>
        <v>0</v>
      </c>
      <c r="L17" s="42">
        <f t="shared" si="0"/>
        <v>0</v>
      </c>
      <c r="M17" s="43"/>
    </row>
    <row r="18" spans="1:15" ht="17" hidden="1" outlineLevel="1" x14ac:dyDescent="0.4">
      <c r="A18" s="44"/>
      <c r="B18" s="44"/>
      <c r="C18" s="38"/>
      <c r="D18" s="38"/>
      <c r="E18" s="38"/>
      <c r="F18" s="39"/>
      <c r="G18" s="38" t="s">
        <v>17</v>
      </c>
      <c r="H18" s="40"/>
      <c r="I18" s="41"/>
      <c r="J18" s="41">
        <f t="shared" si="2"/>
        <v>0</v>
      </c>
      <c r="K18" s="164">
        <f t="shared" si="1"/>
        <v>0</v>
      </c>
      <c r="L18" s="42">
        <f t="shared" si="0"/>
        <v>0</v>
      </c>
      <c r="M18" s="43"/>
    </row>
    <row r="19" spans="1:15" ht="17" hidden="1" outlineLevel="1" x14ac:dyDescent="0.4">
      <c r="A19" s="44"/>
      <c r="B19" s="44"/>
      <c r="C19" s="38"/>
      <c r="D19" s="38"/>
      <c r="E19" s="38"/>
      <c r="F19" s="39"/>
      <c r="G19" s="38" t="s">
        <v>17</v>
      </c>
      <c r="H19" s="40"/>
      <c r="I19" s="41"/>
      <c r="J19" s="41">
        <f t="shared" si="2"/>
        <v>0</v>
      </c>
      <c r="K19" s="164">
        <f t="shared" si="1"/>
        <v>0</v>
      </c>
      <c r="L19" s="42">
        <f t="shared" si="0"/>
        <v>0</v>
      </c>
      <c r="M19" s="43"/>
    </row>
    <row r="20" spans="1:15" ht="17" hidden="1" outlineLevel="1" x14ac:dyDescent="0.4">
      <c r="A20" s="44" t="s">
        <v>20</v>
      </c>
      <c r="B20" s="44"/>
      <c r="C20" s="38"/>
      <c r="D20" s="38"/>
      <c r="E20" s="38"/>
      <c r="F20" s="39" t="s">
        <v>154</v>
      </c>
      <c r="G20" s="38" t="s">
        <v>17</v>
      </c>
      <c r="H20" s="169"/>
      <c r="I20" s="41"/>
      <c r="J20" s="41">
        <f t="shared" si="2"/>
        <v>0</v>
      </c>
      <c r="K20" s="164">
        <f t="shared" si="1"/>
        <v>0</v>
      </c>
      <c r="L20" s="42">
        <f>J20/$J$58</f>
        <v>0</v>
      </c>
      <c r="M20" s="43" t="s">
        <v>21</v>
      </c>
    </row>
    <row r="21" spans="1:15" ht="17" collapsed="1" x14ac:dyDescent="0.35">
      <c r="C21" s="31" t="s">
        <v>22</v>
      </c>
      <c r="D21" s="45"/>
      <c r="E21" s="45"/>
      <c r="F21" s="32" t="s">
        <v>155</v>
      </c>
      <c r="G21" s="31"/>
      <c r="H21" s="31"/>
      <c r="I21" s="31"/>
      <c r="J21" s="33">
        <f>SUM(J22:J33)</f>
        <v>0</v>
      </c>
      <c r="K21" s="163">
        <f t="shared" si="1"/>
        <v>0</v>
      </c>
      <c r="L21" s="35">
        <f>J21/$J$58</f>
        <v>0</v>
      </c>
      <c r="M21" s="46"/>
    </row>
    <row r="22" spans="1:15" ht="17" hidden="1" outlineLevel="1" x14ac:dyDescent="0.35">
      <c r="C22" s="38">
        <v>0</v>
      </c>
      <c r="D22" s="47" t="s">
        <v>23</v>
      </c>
      <c r="E22" s="47"/>
      <c r="F22" s="39" t="s">
        <v>24</v>
      </c>
      <c r="G22" s="38" t="s">
        <v>25</v>
      </c>
      <c r="H22" s="48"/>
      <c r="I22" s="38"/>
      <c r="J22" s="49"/>
      <c r="K22" s="164">
        <f t="shared" si="1"/>
        <v>0</v>
      </c>
      <c r="L22" s="49"/>
      <c r="M22" s="43"/>
      <c r="O22" s="53"/>
    </row>
    <row r="23" spans="1:15" ht="17" hidden="1" outlineLevel="1" x14ac:dyDescent="0.35">
      <c r="C23" s="38"/>
      <c r="D23" s="47"/>
      <c r="E23" s="47"/>
      <c r="F23" s="39" t="s">
        <v>26</v>
      </c>
      <c r="G23" s="38" t="s">
        <v>17</v>
      </c>
      <c r="H23" s="50"/>
      <c r="I23" s="38"/>
      <c r="J23" s="49"/>
      <c r="K23" s="164">
        <f t="shared" si="1"/>
        <v>0</v>
      </c>
      <c r="L23" s="49"/>
      <c r="M23" s="43"/>
      <c r="O23" s="53"/>
    </row>
    <row r="24" spans="1:15" ht="17" hidden="1" outlineLevel="1" x14ac:dyDescent="0.35">
      <c r="C24" s="38"/>
      <c r="D24" s="47"/>
      <c r="E24" s="47"/>
      <c r="F24" s="39"/>
      <c r="G24" s="38"/>
      <c r="H24" s="38"/>
      <c r="I24" s="41"/>
      <c r="J24" s="51"/>
      <c r="K24" s="164">
        <f t="shared" si="1"/>
        <v>0</v>
      </c>
      <c r="L24" s="52">
        <f t="shared" ref="L24:L34" si="3">J24/$J$58</f>
        <v>0</v>
      </c>
      <c r="M24" s="43"/>
      <c r="N24" s="103"/>
      <c r="O24" s="53"/>
    </row>
    <row r="25" spans="1:15" ht="17" hidden="1" outlineLevel="1" x14ac:dyDescent="0.35">
      <c r="C25" s="38"/>
      <c r="D25" s="47"/>
      <c r="E25" s="47"/>
      <c r="F25" s="49"/>
      <c r="G25" s="38"/>
      <c r="H25" s="38"/>
      <c r="I25" s="41"/>
      <c r="J25" s="51"/>
      <c r="K25" s="164">
        <f t="shared" si="1"/>
        <v>0</v>
      </c>
      <c r="L25" s="52">
        <f t="shared" si="3"/>
        <v>0</v>
      </c>
      <c r="M25" s="43"/>
      <c r="N25" s="103"/>
      <c r="O25" s="53"/>
    </row>
    <row r="26" spans="1:15" ht="17" hidden="1" outlineLevel="1" x14ac:dyDescent="0.35">
      <c r="C26" s="38"/>
      <c r="D26" s="47"/>
      <c r="E26" s="47"/>
      <c r="F26" s="49"/>
      <c r="G26" s="38"/>
      <c r="H26" s="38"/>
      <c r="I26" s="41"/>
      <c r="J26" s="51"/>
      <c r="K26" s="164">
        <f t="shared" si="1"/>
        <v>0</v>
      </c>
      <c r="L26" s="52">
        <f t="shared" si="3"/>
        <v>0</v>
      </c>
      <c r="M26" s="43"/>
      <c r="N26" s="103"/>
    </row>
    <row r="27" spans="1:15" ht="17" hidden="1" outlineLevel="1" x14ac:dyDescent="0.35">
      <c r="C27" s="38"/>
      <c r="D27" s="47"/>
      <c r="E27" s="47"/>
      <c r="F27" s="49"/>
      <c r="G27" s="38"/>
      <c r="H27" s="38"/>
      <c r="I27" s="41"/>
      <c r="J27" s="51"/>
      <c r="K27" s="164">
        <f t="shared" si="1"/>
        <v>0</v>
      </c>
      <c r="L27" s="52">
        <f t="shared" si="3"/>
        <v>0</v>
      </c>
      <c r="M27" s="43"/>
      <c r="N27" s="103"/>
    </row>
    <row r="28" spans="1:15" ht="17" hidden="1" outlineLevel="1" x14ac:dyDescent="0.35">
      <c r="C28" s="38"/>
      <c r="D28" s="47"/>
      <c r="E28" s="47"/>
      <c r="F28" s="49"/>
      <c r="G28" s="47"/>
      <c r="H28" s="47"/>
      <c r="I28" s="41"/>
      <c r="J28" s="51"/>
      <c r="K28" s="164">
        <f t="shared" si="1"/>
        <v>0</v>
      </c>
      <c r="L28" s="52">
        <f t="shared" si="3"/>
        <v>0</v>
      </c>
      <c r="M28" s="43"/>
      <c r="N28" s="103"/>
    </row>
    <row r="29" spans="1:15" ht="17" hidden="1" outlineLevel="1" x14ac:dyDescent="0.35">
      <c r="C29" s="38"/>
      <c r="D29" s="47"/>
      <c r="E29" s="47"/>
      <c r="F29" s="49"/>
      <c r="G29" s="47"/>
      <c r="H29" s="47"/>
      <c r="I29" s="41"/>
      <c r="J29" s="51"/>
      <c r="K29" s="164">
        <f t="shared" si="1"/>
        <v>0</v>
      </c>
      <c r="L29" s="52">
        <f t="shared" si="3"/>
        <v>0</v>
      </c>
      <c r="M29" s="43"/>
      <c r="N29" s="103"/>
    </row>
    <row r="30" spans="1:15" ht="17" hidden="1" outlineLevel="1" x14ac:dyDescent="0.35">
      <c r="C30" s="38"/>
      <c r="D30" s="47"/>
      <c r="E30" s="47"/>
      <c r="F30" s="49"/>
      <c r="G30" s="47"/>
      <c r="H30" s="47"/>
      <c r="I30" s="41"/>
      <c r="J30" s="51"/>
      <c r="K30" s="164">
        <f t="shared" si="1"/>
        <v>0</v>
      </c>
      <c r="L30" s="52">
        <f t="shared" si="3"/>
        <v>0</v>
      </c>
      <c r="M30" s="43"/>
      <c r="N30" s="103"/>
    </row>
    <row r="31" spans="1:15" ht="17" hidden="1" outlineLevel="1" x14ac:dyDescent="0.35">
      <c r="C31" s="38"/>
      <c r="D31" s="47"/>
      <c r="E31" s="47"/>
      <c r="F31" s="49"/>
      <c r="G31" s="47"/>
      <c r="H31" s="47"/>
      <c r="I31" s="41"/>
      <c r="J31" s="51"/>
      <c r="K31" s="164">
        <f t="shared" si="1"/>
        <v>0</v>
      </c>
      <c r="L31" s="52">
        <f t="shared" si="3"/>
        <v>0</v>
      </c>
      <c r="M31" s="43"/>
      <c r="N31" s="103"/>
    </row>
    <row r="32" spans="1:15" ht="17" hidden="1" outlineLevel="1" x14ac:dyDescent="0.35">
      <c r="C32" s="38"/>
      <c r="D32" s="47"/>
      <c r="E32" s="47"/>
      <c r="F32" s="39"/>
      <c r="G32" s="38"/>
      <c r="H32" s="54"/>
      <c r="I32" s="41"/>
      <c r="J32" s="51"/>
      <c r="K32" s="164">
        <f t="shared" si="1"/>
        <v>0</v>
      </c>
      <c r="L32" s="52">
        <f t="shared" si="3"/>
        <v>0</v>
      </c>
      <c r="M32" s="43"/>
      <c r="N32" s="103"/>
    </row>
    <row r="33" spans="1:14" ht="17" hidden="1" outlineLevel="1" x14ac:dyDescent="0.35">
      <c r="C33" s="38">
        <f>+C28+1</f>
        <v>1</v>
      </c>
      <c r="D33" s="47" t="s">
        <v>33</v>
      </c>
      <c r="E33" s="47">
        <v>6277.6278000000002</v>
      </c>
      <c r="F33" s="49" t="s">
        <v>49</v>
      </c>
      <c r="G33" s="38" t="s">
        <v>156</v>
      </c>
      <c r="H33" s="38"/>
      <c r="I33" s="41"/>
      <c r="J33" s="51"/>
      <c r="K33" s="164">
        <f t="shared" si="1"/>
        <v>0</v>
      </c>
      <c r="L33" s="52">
        <f t="shared" si="3"/>
        <v>0</v>
      </c>
      <c r="M33" s="43"/>
      <c r="N33" s="103"/>
    </row>
    <row r="34" spans="1:14" ht="23.15" customHeight="1" collapsed="1" x14ac:dyDescent="0.35">
      <c r="C34" s="55"/>
      <c r="D34" s="204" t="s">
        <v>158</v>
      </c>
      <c r="E34" s="204"/>
      <c r="F34" s="204"/>
      <c r="G34" s="56"/>
      <c r="H34" s="56"/>
      <c r="I34" s="56"/>
      <c r="J34" s="57">
        <f>J9+J10+J21</f>
        <v>12000</v>
      </c>
      <c r="K34" s="170">
        <f t="shared" si="1"/>
        <v>240000</v>
      </c>
      <c r="L34" s="58">
        <f t="shared" si="3"/>
        <v>0.92307692307692313</v>
      </c>
      <c r="M34" s="59"/>
    </row>
    <row r="35" spans="1:14" ht="17" x14ac:dyDescent="0.35">
      <c r="C35" s="22" t="s">
        <v>50</v>
      </c>
      <c r="D35" s="23" t="s">
        <v>150</v>
      </c>
      <c r="E35" s="23"/>
      <c r="F35" s="60"/>
      <c r="G35" s="61"/>
      <c r="H35" s="61"/>
      <c r="I35" s="61"/>
      <c r="J35" s="62"/>
      <c r="K35" s="171">
        <f t="shared" si="1"/>
        <v>0</v>
      </c>
      <c r="L35" s="63"/>
      <c r="M35" s="64"/>
    </row>
    <row r="36" spans="1:14" ht="17" x14ac:dyDescent="0.35">
      <c r="C36" s="31" t="s">
        <v>51</v>
      </c>
      <c r="D36" s="45"/>
      <c r="E36" s="45"/>
      <c r="F36" s="32" t="s">
        <v>160</v>
      </c>
      <c r="G36" s="31" t="s">
        <v>52</v>
      </c>
      <c r="H36" s="31">
        <v>1</v>
      </c>
      <c r="I36" s="65">
        <f>+J34</f>
        <v>12000</v>
      </c>
      <c r="J36" s="33">
        <f>+H36*I36</f>
        <v>12000</v>
      </c>
      <c r="K36" s="163">
        <f t="shared" si="1"/>
        <v>240000</v>
      </c>
      <c r="L36" s="35">
        <f>J36/$J$58</f>
        <v>0.92307692307692313</v>
      </c>
      <c r="M36" s="46"/>
    </row>
    <row r="37" spans="1:14" ht="17" x14ac:dyDescent="0.35">
      <c r="C37" s="31" t="s">
        <v>53</v>
      </c>
      <c r="D37" s="45"/>
      <c r="E37" s="45"/>
      <c r="F37" s="32" t="s">
        <v>161</v>
      </c>
      <c r="G37" s="31"/>
      <c r="H37" s="31"/>
      <c r="I37" s="31"/>
      <c r="J37" s="33">
        <f>SUM(J40:J57)</f>
        <v>1000</v>
      </c>
      <c r="K37" s="163">
        <f t="shared" si="1"/>
        <v>20000</v>
      </c>
      <c r="L37" s="35">
        <f>J37/$J$58</f>
        <v>7.6923076923076927E-2</v>
      </c>
      <c r="M37" s="46"/>
    </row>
    <row r="38" spans="1:14" ht="17" hidden="1" outlineLevel="1" x14ac:dyDescent="0.35">
      <c r="A38" s="2" t="s">
        <v>55</v>
      </c>
      <c r="C38" s="47">
        <v>0</v>
      </c>
      <c r="D38" s="47" t="s">
        <v>56</v>
      </c>
      <c r="E38" s="47"/>
      <c r="F38" s="67" t="s">
        <v>24</v>
      </c>
      <c r="G38" s="47" t="s">
        <v>25</v>
      </c>
      <c r="H38" s="48"/>
      <c r="I38" s="47"/>
      <c r="J38" s="68"/>
      <c r="K38" s="51">
        <f t="shared" si="1"/>
        <v>0</v>
      </c>
      <c r="L38" s="68"/>
      <c r="M38" s="43"/>
    </row>
    <row r="39" spans="1:14" ht="17" hidden="1" outlineLevel="1" x14ac:dyDescent="0.35">
      <c r="A39" s="2" t="s">
        <v>55</v>
      </c>
      <c r="C39" s="47"/>
      <c r="D39" s="47"/>
      <c r="E39" s="47"/>
      <c r="F39" s="39" t="s">
        <v>26</v>
      </c>
      <c r="G39" s="38" t="s">
        <v>17</v>
      </c>
      <c r="H39" s="50"/>
      <c r="I39" s="47"/>
      <c r="J39" s="68"/>
      <c r="K39" s="51">
        <f t="shared" si="1"/>
        <v>0</v>
      </c>
      <c r="L39" s="68"/>
      <c r="M39" s="43"/>
    </row>
    <row r="40" spans="1:14" ht="17" hidden="1" outlineLevel="1" x14ac:dyDescent="0.35">
      <c r="B40" s="2" t="s">
        <v>152</v>
      </c>
      <c r="C40" s="47"/>
      <c r="D40" s="47"/>
      <c r="E40" s="47"/>
      <c r="F40" s="67"/>
      <c r="G40" s="47"/>
      <c r="H40" s="70"/>
      <c r="I40" s="41"/>
      <c r="J40" s="82">
        <f>+($J$34-I40)*H40</f>
        <v>0</v>
      </c>
      <c r="K40" s="51">
        <f t="shared" si="1"/>
        <v>0</v>
      </c>
      <c r="L40" s="52">
        <f t="shared" ref="L40:L54" si="4">J40/$J$58</f>
        <v>0</v>
      </c>
      <c r="M40" s="73"/>
    </row>
    <row r="41" spans="1:14" ht="17" hidden="1" outlineLevel="1" x14ac:dyDescent="0.35">
      <c r="B41" s="2" t="s">
        <v>105</v>
      </c>
      <c r="C41" s="47"/>
      <c r="D41" s="47"/>
      <c r="E41" s="47"/>
      <c r="F41" s="67"/>
      <c r="G41" s="47"/>
      <c r="H41" s="70"/>
      <c r="I41" s="41"/>
      <c r="J41" s="82">
        <f>+($J$34-I41)*H41</f>
        <v>0</v>
      </c>
      <c r="K41" s="51">
        <f t="shared" si="1"/>
        <v>0</v>
      </c>
      <c r="L41" s="52">
        <f t="shared" si="4"/>
        <v>0</v>
      </c>
      <c r="M41" s="73"/>
    </row>
    <row r="42" spans="1:14" ht="17" hidden="1" outlineLevel="1" x14ac:dyDescent="0.35">
      <c r="C42" s="47"/>
      <c r="D42" s="47"/>
      <c r="E42" s="47"/>
      <c r="F42" s="67"/>
      <c r="G42" s="47"/>
      <c r="H42" s="70"/>
      <c r="I42" s="41"/>
      <c r="J42" s="82">
        <f>+($J$34-I42)*H42</f>
        <v>0</v>
      </c>
      <c r="K42" s="51">
        <f t="shared" si="1"/>
        <v>0</v>
      </c>
      <c r="L42" s="52">
        <f t="shared" si="4"/>
        <v>0</v>
      </c>
      <c r="M42" s="73"/>
    </row>
    <row r="43" spans="1:14" ht="17" hidden="1" outlineLevel="1" x14ac:dyDescent="0.35">
      <c r="C43" s="47"/>
      <c r="D43" s="47"/>
      <c r="E43" s="47"/>
      <c r="F43" s="67"/>
      <c r="G43" s="47"/>
      <c r="H43" s="70"/>
      <c r="I43" s="41"/>
      <c r="J43" s="82">
        <f>+($J$34-I43)*H43</f>
        <v>0</v>
      </c>
      <c r="K43" s="51">
        <f t="shared" si="1"/>
        <v>0</v>
      </c>
      <c r="L43" s="52">
        <f t="shared" si="4"/>
        <v>0</v>
      </c>
      <c r="M43" s="73"/>
    </row>
    <row r="44" spans="1:14" ht="17" hidden="1" outlineLevel="1" x14ac:dyDescent="0.35">
      <c r="C44" s="47"/>
      <c r="D44" s="47"/>
      <c r="E44" s="47"/>
      <c r="F44" s="67"/>
      <c r="G44" s="47"/>
      <c r="H44" s="70"/>
      <c r="I44" s="41"/>
      <c r="J44" s="82">
        <f>+H44*I44</f>
        <v>0</v>
      </c>
      <c r="K44" s="51">
        <f t="shared" si="1"/>
        <v>0</v>
      </c>
      <c r="L44" s="52">
        <f t="shared" si="4"/>
        <v>0</v>
      </c>
      <c r="M44" s="73"/>
      <c r="N44" s="103"/>
    </row>
    <row r="45" spans="1:14" ht="17" hidden="1" outlineLevel="1" x14ac:dyDescent="0.35">
      <c r="C45" s="47"/>
      <c r="D45" s="47"/>
      <c r="E45" s="47"/>
      <c r="F45" s="67"/>
      <c r="G45" s="47"/>
      <c r="H45" s="70"/>
      <c r="I45" s="41"/>
      <c r="J45" s="71">
        <f>+H45*I45</f>
        <v>0</v>
      </c>
      <c r="K45" s="51">
        <f t="shared" si="1"/>
        <v>0</v>
      </c>
      <c r="L45" s="52">
        <f t="shared" si="4"/>
        <v>0</v>
      </c>
      <c r="M45" s="73"/>
      <c r="N45" s="103"/>
    </row>
    <row r="46" spans="1:14" ht="17" hidden="1" outlineLevel="1" x14ac:dyDescent="0.35">
      <c r="C46" s="47"/>
      <c r="D46" s="47"/>
      <c r="E46" s="47"/>
      <c r="F46" s="67"/>
      <c r="G46" s="47"/>
      <c r="H46" s="74"/>
      <c r="I46" s="41"/>
      <c r="J46" s="71">
        <f>+H46*I46</f>
        <v>0</v>
      </c>
      <c r="K46" s="51">
        <f t="shared" si="1"/>
        <v>0</v>
      </c>
      <c r="L46" s="52">
        <f t="shared" si="4"/>
        <v>0</v>
      </c>
      <c r="M46" s="73"/>
      <c r="N46" s="103"/>
    </row>
    <row r="47" spans="1:14" ht="17" hidden="1" outlineLevel="1" x14ac:dyDescent="0.35">
      <c r="C47" s="47"/>
      <c r="D47" s="47"/>
      <c r="E47" s="47"/>
      <c r="F47" s="67"/>
      <c r="G47" s="47"/>
      <c r="H47" s="47"/>
      <c r="I47" s="41"/>
      <c r="J47" s="71"/>
      <c r="K47" s="51">
        <f t="shared" si="1"/>
        <v>0</v>
      </c>
      <c r="L47" s="52">
        <f t="shared" si="4"/>
        <v>0</v>
      </c>
      <c r="M47" s="75"/>
      <c r="N47" s="103"/>
    </row>
    <row r="48" spans="1:14" ht="17" hidden="1" outlineLevel="1" x14ac:dyDescent="0.35">
      <c r="C48" s="47"/>
      <c r="D48" s="47"/>
      <c r="E48" s="47"/>
      <c r="F48" s="67"/>
      <c r="G48" s="47"/>
      <c r="H48" s="47"/>
      <c r="I48" s="41"/>
      <c r="J48" s="71"/>
      <c r="K48" s="51">
        <f t="shared" si="1"/>
        <v>0</v>
      </c>
      <c r="L48" s="52">
        <f t="shared" si="4"/>
        <v>0</v>
      </c>
      <c r="M48" s="75"/>
      <c r="N48" s="103"/>
    </row>
    <row r="49" spans="1:15" ht="17" hidden="1" outlineLevel="1" x14ac:dyDescent="0.35">
      <c r="C49" s="47"/>
      <c r="D49" s="47"/>
      <c r="E49" s="47"/>
      <c r="F49" s="67"/>
      <c r="G49" s="47"/>
      <c r="H49" s="47"/>
      <c r="I49" s="41"/>
      <c r="J49" s="71"/>
      <c r="K49" s="51">
        <f t="shared" si="1"/>
        <v>0</v>
      </c>
      <c r="L49" s="52">
        <f t="shared" si="4"/>
        <v>0</v>
      </c>
      <c r="M49" s="43"/>
      <c r="N49" s="103"/>
    </row>
    <row r="50" spans="1:15" ht="17" hidden="1" outlineLevel="1" x14ac:dyDescent="0.35">
      <c r="C50" s="47"/>
      <c r="D50" s="47"/>
      <c r="E50" s="47"/>
      <c r="F50" s="67"/>
      <c r="G50" s="47"/>
      <c r="H50" s="47"/>
      <c r="I50" s="41"/>
      <c r="J50" s="71"/>
      <c r="K50" s="51">
        <f t="shared" si="1"/>
        <v>0</v>
      </c>
      <c r="L50" s="52">
        <f t="shared" si="4"/>
        <v>0</v>
      </c>
      <c r="M50" s="43"/>
      <c r="N50" s="103"/>
    </row>
    <row r="51" spans="1:15" ht="17" hidden="1" outlineLevel="1" x14ac:dyDescent="0.35">
      <c r="C51" s="47"/>
      <c r="D51" s="47"/>
      <c r="E51" s="47"/>
      <c r="F51" s="49"/>
      <c r="G51" s="47"/>
      <c r="H51" s="47"/>
      <c r="I51" s="41"/>
      <c r="J51" s="71"/>
      <c r="K51" s="51">
        <f t="shared" si="1"/>
        <v>0</v>
      </c>
      <c r="L51" s="52">
        <f t="shared" si="4"/>
        <v>0</v>
      </c>
      <c r="M51" s="43"/>
      <c r="N51" s="103"/>
    </row>
    <row r="52" spans="1:15" ht="17" hidden="1" outlineLevel="1" x14ac:dyDescent="0.35">
      <c r="C52" s="47"/>
      <c r="D52" s="47"/>
      <c r="E52" s="47"/>
      <c r="F52" s="49"/>
      <c r="G52" s="47"/>
      <c r="H52" s="47"/>
      <c r="I52" s="41"/>
      <c r="J52" s="71"/>
      <c r="K52" s="51">
        <f t="shared" si="1"/>
        <v>0</v>
      </c>
      <c r="L52" s="52">
        <f t="shared" si="4"/>
        <v>0</v>
      </c>
      <c r="M52" s="43"/>
      <c r="N52" s="103"/>
    </row>
    <row r="53" spans="1:15" ht="17" hidden="1" outlineLevel="1" x14ac:dyDescent="0.35">
      <c r="C53" s="47"/>
      <c r="D53" s="47"/>
      <c r="E53" s="47"/>
      <c r="F53" s="49"/>
      <c r="G53" s="47"/>
      <c r="H53" s="47"/>
      <c r="I53" s="41"/>
      <c r="J53" s="71"/>
      <c r="K53" s="51">
        <f t="shared" si="1"/>
        <v>0</v>
      </c>
      <c r="L53" s="52">
        <f t="shared" si="4"/>
        <v>0</v>
      </c>
      <c r="M53" s="43"/>
      <c r="N53" s="103"/>
    </row>
    <row r="54" spans="1:15" ht="17" hidden="1" outlineLevel="1" x14ac:dyDescent="0.35">
      <c r="C54" s="47"/>
      <c r="D54" s="47"/>
      <c r="E54" s="47"/>
      <c r="F54" s="49"/>
      <c r="G54" s="47"/>
      <c r="H54" s="47"/>
      <c r="I54" s="41"/>
      <c r="J54" s="71"/>
      <c r="K54" s="51">
        <f t="shared" si="1"/>
        <v>0</v>
      </c>
      <c r="L54" s="52">
        <f t="shared" si="4"/>
        <v>0</v>
      </c>
      <c r="M54" s="43"/>
      <c r="N54" s="103"/>
    </row>
    <row r="55" spans="1:15" ht="17" hidden="1" outlineLevel="1" x14ac:dyDescent="0.35">
      <c r="C55" s="47"/>
      <c r="D55" s="47"/>
      <c r="E55" s="47"/>
      <c r="F55" s="67"/>
      <c r="G55" s="47"/>
      <c r="H55" s="47"/>
      <c r="I55" s="41"/>
      <c r="J55" s="71"/>
      <c r="K55" s="51">
        <f t="shared" si="1"/>
        <v>0</v>
      </c>
      <c r="L55" s="52">
        <f>J55/$J$58</f>
        <v>0</v>
      </c>
      <c r="M55" s="43"/>
      <c r="N55" s="103"/>
    </row>
    <row r="56" spans="1:15" ht="17" hidden="1" outlineLevel="1" x14ac:dyDescent="0.35">
      <c r="C56" s="47"/>
      <c r="D56" s="47"/>
      <c r="E56" s="47"/>
      <c r="F56" s="67"/>
      <c r="G56" s="47"/>
      <c r="H56" s="47"/>
      <c r="I56" s="41"/>
      <c r="J56" s="71"/>
      <c r="K56" s="51">
        <f t="shared" si="1"/>
        <v>0</v>
      </c>
      <c r="L56" s="52">
        <f>J56/$J$58</f>
        <v>0</v>
      </c>
      <c r="M56" s="43"/>
      <c r="N56" s="103"/>
    </row>
    <row r="57" spans="1:15" ht="17" hidden="1" outlineLevel="1" x14ac:dyDescent="0.35">
      <c r="C57" s="47"/>
      <c r="D57" s="47"/>
      <c r="E57" s="47"/>
      <c r="F57" s="67" t="s">
        <v>157</v>
      </c>
      <c r="G57" s="47"/>
      <c r="H57" s="47"/>
      <c r="I57" s="41">
        <v>1000</v>
      </c>
      <c r="J57" s="71">
        <f>I57</f>
        <v>1000</v>
      </c>
      <c r="K57" s="51">
        <f t="shared" si="1"/>
        <v>20000</v>
      </c>
      <c r="L57" s="52">
        <f>J57/$J$58</f>
        <v>7.6923076923076927E-2</v>
      </c>
      <c r="M57" s="43"/>
      <c r="N57" s="103"/>
    </row>
    <row r="58" spans="1:15" ht="21" customHeight="1" collapsed="1" x14ac:dyDescent="0.35">
      <c r="C58" s="55"/>
      <c r="D58" s="204" t="s">
        <v>159</v>
      </c>
      <c r="E58" s="204"/>
      <c r="F58" s="204"/>
      <c r="G58" s="56"/>
      <c r="H58" s="56"/>
      <c r="I58" s="56"/>
      <c r="J58" s="57">
        <f>J36+J37</f>
        <v>13000</v>
      </c>
      <c r="K58" s="170">
        <f t="shared" si="1"/>
        <v>260000</v>
      </c>
      <c r="L58" s="58">
        <f>J58/$J$58</f>
        <v>1</v>
      </c>
      <c r="M58" s="59"/>
    </row>
    <row r="59" spans="1:15" ht="17" x14ac:dyDescent="0.35">
      <c r="C59" s="22" t="s">
        <v>104</v>
      </c>
      <c r="D59" s="23" t="s">
        <v>149</v>
      </c>
      <c r="E59" s="23"/>
      <c r="F59" s="76"/>
      <c r="G59" s="77"/>
      <c r="H59" s="77"/>
      <c r="I59" s="78"/>
      <c r="J59" s="78"/>
      <c r="K59" s="172">
        <f t="shared" si="1"/>
        <v>0</v>
      </c>
      <c r="L59" s="79"/>
      <c r="M59" s="80"/>
    </row>
    <row r="60" spans="1:15" ht="17" x14ac:dyDescent="0.35">
      <c r="C60" s="83" t="s">
        <v>14</v>
      </c>
      <c r="D60" s="83"/>
      <c r="E60" s="83"/>
      <c r="F60" s="84" t="s">
        <v>162</v>
      </c>
      <c r="G60" s="83"/>
      <c r="H60" s="83">
        <v>1</v>
      </c>
      <c r="I60" s="85"/>
      <c r="J60" s="85">
        <f>+J58</f>
        <v>13000</v>
      </c>
      <c r="K60" s="173">
        <f t="shared" si="1"/>
        <v>260000</v>
      </c>
      <c r="L60" s="35">
        <f>J60/$J$109</f>
        <v>0.52</v>
      </c>
      <c r="M60" s="46"/>
    </row>
    <row r="61" spans="1:15" ht="17" x14ac:dyDescent="0.35">
      <c r="C61" s="31" t="s">
        <v>16</v>
      </c>
      <c r="D61" s="45"/>
      <c r="E61" s="45"/>
      <c r="F61" s="32" t="s">
        <v>163</v>
      </c>
      <c r="G61" s="31"/>
      <c r="H61" s="86"/>
      <c r="I61" s="86"/>
      <c r="J61" s="33">
        <f>SUM(J62:J79)</f>
        <v>20911.564318567125</v>
      </c>
      <c r="K61" s="163">
        <f t="shared" si="1"/>
        <v>418231.28637134249</v>
      </c>
      <c r="L61" s="35">
        <f>J61/$J$109</f>
        <v>0.83646257274268498</v>
      </c>
      <c r="M61" s="87"/>
    </row>
    <row r="62" spans="1:15" ht="17" hidden="1" outlineLevel="1" x14ac:dyDescent="0.35">
      <c r="A62" s="2" t="s">
        <v>187</v>
      </c>
      <c r="C62" s="47">
        <v>0</v>
      </c>
      <c r="D62" s="47" t="s">
        <v>23</v>
      </c>
      <c r="E62" s="47"/>
      <c r="F62" s="67" t="s">
        <v>24</v>
      </c>
      <c r="G62" s="47" t="s">
        <v>25</v>
      </c>
      <c r="H62" s="178">
        <v>300</v>
      </c>
      <c r="I62" s="47"/>
      <c r="J62" s="68"/>
      <c r="K62" s="51">
        <f t="shared" si="1"/>
        <v>0</v>
      </c>
      <c r="L62" s="68"/>
      <c r="M62" s="43" t="s">
        <v>60</v>
      </c>
    </row>
    <row r="63" spans="1:15" ht="17" hidden="1" outlineLevel="1" x14ac:dyDescent="0.35">
      <c r="A63" s="2" t="s">
        <v>187</v>
      </c>
      <c r="C63" s="47"/>
      <c r="D63" s="47"/>
      <c r="E63" s="47"/>
      <c r="F63" s="39" t="s">
        <v>26</v>
      </c>
      <c r="G63" s="38" t="s">
        <v>17</v>
      </c>
      <c r="H63" s="176">
        <v>0.75</v>
      </c>
      <c r="I63" s="47"/>
      <c r="J63" s="68"/>
      <c r="K63" s="51">
        <f t="shared" si="1"/>
        <v>0</v>
      </c>
      <c r="L63" s="68"/>
      <c r="M63" s="43" t="s">
        <v>27</v>
      </c>
    </row>
    <row r="64" spans="1:15" ht="17" hidden="1" outlineLevel="1" x14ac:dyDescent="0.35">
      <c r="A64" s="2" t="s">
        <v>61</v>
      </c>
      <c r="B64" s="2" t="s">
        <v>105</v>
      </c>
      <c r="C64" s="47">
        <f>+C63+1</f>
        <v>1</v>
      </c>
      <c r="D64" s="47">
        <v>1521</v>
      </c>
      <c r="E64" s="47"/>
      <c r="F64" s="67" t="s">
        <v>162</v>
      </c>
      <c r="G64" s="47" t="s">
        <v>17</v>
      </c>
      <c r="H64" s="181">
        <f>1/'[3]2.Hao hut'!$E$29</f>
        <v>1.1627906976744187</v>
      </c>
      <c r="I64" s="180">
        <v>13000</v>
      </c>
      <c r="J64" s="82">
        <f>+(J$60-I614)*H64-J68</f>
        <v>13296.279069767443</v>
      </c>
      <c r="K64" s="51">
        <f t="shared" si="1"/>
        <v>265925.58139534888</v>
      </c>
      <c r="L64" s="72">
        <f t="shared" ref="L64:L80" si="5">J64/$J$109</f>
        <v>0.53185116279069766</v>
      </c>
      <c r="M64" s="73" t="s">
        <v>18</v>
      </c>
      <c r="N64" s="69">
        <v>4.0389910685896195</v>
      </c>
      <c r="O64" s="66">
        <f>+K64-N64</f>
        <v>265921.54240428028</v>
      </c>
    </row>
    <row r="65" spans="1:15" ht="17" hidden="1" outlineLevel="1" x14ac:dyDescent="0.35">
      <c r="A65" s="2" t="s">
        <v>62</v>
      </c>
      <c r="B65" s="2" t="s">
        <v>105</v>
      </c>
      <c r="C65" s="47">
        <f t="shared" ref="C65:C79" si="6">+C64+1</f>
        <v>2</v>
      </c>
      <c r="D65" s="47"/>
      <c r="E65" s="47"/>
      <c r="F65" s="67"/>
      <c r="G65" s="47" t="s">
        <v>17</v>
      </c>
      <c r="H65" s="70"/>
      <c r="I65" s="41"/>
      <c r="J65" s="82">
        <f>+(J$60-I65)*H65</f>
        <v>0</v>
      </c>
      <c r="K65" s="51">
        <f t="shared" si="1"/>
        <v>0</v>
      </c>
      <c r="L65" s="72">
        <f t="shared" si="5"/>
        <v>0</v>
      </c>
      <c r="M65" s="73" t="s">
        <v>18</v>
      </c>
      <c r="N65" s="69">
        <v>3.6668697587890882</v>
      </c>
      <c r="O65" s="66">
        <f t="shared" ref="O65:O79" si="7">+K65-N65</f>
        <v>-3.6668697587890882</v>
      </c>
    </row>
    <row r="66" spans="1:15" ht="17" hidden="1" outlineLevel="1" x14ac:dyDescent="0.35">
      <c r="A66" s="2" t="s">
        <v>19</v>
      </c>
      <c r="B66" s="2" t="s">
        <v>105</v>
      </c>
      <c r="C66" s="47">
        <f t="shared" si="6"/>
        <v>3</v>
      </c>
      <c r="D66" s="47"/>
      <c r="E66" s="47"/>
      <c r="F66" s="67"/>
      <c r="G66" s="47" t="s">
        <v>17</v>
      </c>
      <c r="H66" s="74"/>
      <c r="I66" s="41"/>
      <c r="J66" s="82">
        <f>+(J$60-I66)*H66</f>
        <v>0</v>
      </c>
      <c r="K66" s="51">
        <f t="shared" si="1"/>
        <v>0</v>
      </c>
      <c r="L66" s="72">
        <f t="shared" si="5"/>
        <v>0</v>
      </c>
      <c r="M66" s="73" t="s">
        <v>18</v>
      </c>
      <c r="N66" s="69">
        <v>0</v>
      </c>
      <c r="O66" s="66">
        <f t="shared" si="7"/>
        <v>0</v>
      </c>
    </row>
    <row r="67" spans="1:15" ht="17" hidden="1" outlineLevel="1" x14ac:dyDescent="0.35">
      <c r="A67" s="2" t="s">
        <v>63</v>
      </c>
      <c r="B67" s="2" t="s">
        <v>105</v>
      </c>
      <c r="C67" s="47">
        <f t="shared" si="6"/>
        <v>4</v>
      </c>
      <c r="D67" s="47"/>
      <c r="E67" s="47"/>
      <c r="F67" s="67"/>
      <c r="G67" s="47" t="s">
        <v>17</v>
      </c>
      <c r="H67" s="70"/>
      <c r="I67" s="41"/>
      <c r="J67" s="82">
        <f>+(J$60-I67)*H67</f>
        <v>0</v>
      </c>
      <c r="K67" s="51">
        <f t="shared" si="1"/>
        <v>0</v>
      </c>
      <c r="L67" s="72">
        <f t="shared" si="5"/>
        <v>0</v>
      </c>
      <c r="M67" s="73" t="s">
        <v>18</v>
      </c>
      <c r="N67" s="69">
        <v>2.597068528756231</v>
      </c>
      <c r="O67" s="66">
        <f t="shared" si="7"/>
        <v>-2.597068528756231</v>
      </c>
    </row>
    <row r="68" spans="1:15" ht="17" hidden="1" outlineLevel="1" x14ac:dyDescent="0.35">
      <c r="A68" s="2" t="s">
        <v>20</v>
      </c>
      <c r="B68" s="2" t="s">
        <v>105</v>
      </c>
      <c r="C68" s="47">
        <f t="shared" si="6"/>
        <v>5</v>
      </c>
      <c r="D68" s="47">
        <v>1522</v>
      </c>
      <c r="E68" s="47"/>
      <c r="F68" s="67" t="s">
        <v>153</v>
      </c>
      <c r="G68" s="47" t="s">
        <v>17</v>
      </c>
      <c r="H68" s="179">
        <f>'[3]2.Hao hut'!$E$11</f>
        <v>0.14000000000000001</v>
      </c>
      <c r="I68" s="180">
        <v>10000</v>
      </c>
      <c r="J68" s="82">
        <f>+(J$60)*H68</f>
        <v>1820.0000000000002</v>
      </c>
      <c r="K68" s="51">
        <f t="shared" si="1"/>
        <v>36400.000000000007</v>
      </c>
      <c r="L68" s="72">
        <f t="shared" si="5"/>
        <v>7.2800000000000004E-2</v>
      </c>
      <c r="M68" s="73" t="s">
        <v>21</v>
      </c>
      <c r="N68" s="69">
        <v>1.714515089006758</v>
      </c>
      <c r="O68" s="66">
        <f t="shared" si="7"/>
        <v>36398.285484911001</v>
      </c>
    </row>
    <row r="69" spans="1:15" ht="17" hidden="1" outlineLevel="1" x14ac:dyDescent="0.35">
      <c r="B69" s="2" t="s">
        <v>113</v>
      </c>
      <c r="C69" s="47">
        <f t="shared" si="6"/>
        <v>6</v>
      </c>
      <c r="D69" s="47" t="s">
        <v>57</v>
      </c>
      <c r="E69" s="47">
        <v>120003033</v>
      </c>
      <c r="F69" s="89" t="s">
        <v>113</v>
      </c>
      <c r="G69" s="81" t="s">
        <v>17</v>
      </c>
      <c r="H69" s="182"/>
      <c r="I69" s="180"/>
      <c r="J69" s="82">
        <f>+H69*I69</f>
        <v>0</v>
      </c>
      <c r="K69" s="51">
        <f t="shared" si="1"/>
        <v>0</v>
      </c>
      <c r="L69" s="72">
        <f t="shared" si="5"/>
        <v>0</v>
      </c>
      <c r="M69" s="73" t="s">
        <v>58</v>
      </c>
      <c r="N69" s="69">
        <v>3.7365764705882358</v>
      </c>
      <c r="O69" s="66">
        <f t="shared" si="7"/>
        <v>-3.7365764705882358</v>
      </c>
    </row>
    <row r="70" spans="1:15" ht="17" hidden="1" outlineLevel="1" x14ac:dyDescent="0.35">
      <c r="A70" s="2" t="s">
        <v>187</v>
      </c>
      <c r="B70" s="2" t="s">
        <v>106</v>
      </c>
      <c r="C70" s="47">
        <f t="shared" si="6"/>
        <v>7</v>
      </c>
      <c r="D70" s="47" t="s">
        <v>28</v>
      </c>
      <c r="E70" s="47">
        <v>622</v>
      </c>
      <c r="F70" s="67" t="s">
        <v>29</v>
      </c>
      <c r="G70" s="47" t="s">
        <v>30</v>
      </c>
      <c r="H70" s="177">
        <v>1</v>
      </c>
      <c r="I70" s="180">
        <f>'[3]Dinh muc'!$I$6</f>
        <v>335.91731266149867</v>
      </c>
      <c r="J70" s="82">
        <f>H70*I70</f>
        <v>335.91731266149867</v>
      </c>
      <c r="K70" s="51">
        <f t="shared" si="1"/>
        <v>6718.3462532299736</v>
      </c>
      <c r="L70" s="72">
        <f t="shared" si="5"/>
        <v>1.3436692506459947E-2</v>
      </c>
      <c r="M70" s="75"/>
      <c r="N70" s="69">
        <v>2.3146075304607443</v>
      </c>
      <c r="O70" s="66">
        <f t="shared" si="7"/>
        <v>6716.0316456995133</v>
      </c>
    </row>
    <row r="71" spans="1:15" ht="34" hidden="1" outlineLevel="1" x14ac:dyDescent="0.35">
      <c r="A71" s="2" t="s">
        <v>187</v>
      </c>
      <c r="B71" s="2" t="s">
        <v>107</v>
      </c>
      <c r="C71" s="47">
        <f t="shared" si="6"/>
        <v>8</v>
      </c>
      <c r="D71" s="47" t="s">
        <v>28</v>
      </c>
      <c r="E71" s="47">
        <v>6271</v>
      </c>
      <c r="F71" s="67" t="s">
        <v>31</v>
      </c>
      <c r="G71" s="47" t="s">
        <v>30</v>
      </c>
      <c r="H71" s="177">
        <v>1</v>
      </c>
      <c r="I71" s="180">
        <f>'[3]Dinh muc'!$I$10</f>
        <v>565.16472868217056</v>
      </c>
      <c r="J71" s="82">
        <f>H71*I71</f>
        <v>565.16472868217056</v>
      </c>
      <c r="K71" s="51">
        <f t="shared" si="1"/>
        <v>11303.294573643412</v>
      </c>
      <c r="L71" s="72">
        <f t="shared" si="5"/>
        <v>2.2606589147286821E-2</v>
      </c>
      <c r="M71" s="75" t="s">
        <v>32</v>
      </c>
      <c r="N71" s="69">
        <v>10.418754770838376</v>
      </c>
      <c r="O71" s="66">
        <f t="shared" si="7"/>
        <v>11292.875818872573</v>
      </c>
    </row>
    <row r="72" spans="1:15" ht="17" hidden="1" outlineLevel="1" x14ac:dyDescent="0.35">
      <c r="A72" s="2" t="s">
        <v>187</v>
      </c>
      <c r="B72" s="2" t="s">
        <v>108</v>
      </c>
      <c r="C72" s="47">
        <f t="shared" si="6"/>
        <v>9</v>
      </c>
      <c r="D72" s="47" t="s">
        <v>33</v>
      </c>
      <c r="E72" s="47">
        <v>6272</v>
      </c>
      <c r="F72" s="67" t="s">
        <v>34</v>
      </c>
      <c r="G72" s="47" t="s">
        <v>30</v>
      </c>
      <c r="H72" s="177">
        <v>1</v>
      </c>
      <c r="I72" s="180">
        <f>'[3]Dinh muc'!$K$15</f>
        <v>1997.8779069767443</v>
      </c>
      <c r="J72" s="82">
        <f>H72*I72</f>
        <v>1997.8779069767443</v>
      </c>
      <c r="K72" s="51">
        <f t="shared" si="1"/>
        <v>39957.558139534885</v>
      </c>
      <c r="L72" s="72">
        <f t="shared" si="5"/>
        <v>7.9915116279069776E-2</v>
      </c>
      <c r="M72" s="43" t="s">
        <v>35</v>
      </c>
      <c r="N72" s="69">
        <v>2.6427307250060519</v>
      </c>
      <c r="O72" s="66">
        <f t="shared" si="7"/>
        <v>39954.91540880988</v>
      </c>
    </row>
    <row r="73" spans="1:15" ht="17" hidden="1" outlineLevel="1" x14ac:dyDescent="0.35">
      <c r="A73" s="2" t="s">
        <v>187</v>
      </c>
      <c r="B73" s="2" t="s">
        <v>109</v>
      </c>
      <c r="C73" s="47">
        <f t="shared" si="6"/>
        <v>10</v>
      </c>
      <c r="D73" s="47" t="s">
        <v>33</v>
      </c>
      <c r="E73" s="47">
        <v>6273</v>
      </c>
      <c r="F73" s="67" t="s">
        <v>36</v>
      </c>
      <c r="G73" s="47" t="s">
        <v>30</v>
      </c>
      <c r="H73" s="177">
        <v>1</v>
      </c>
      <c r="I73" s="180"/>
      <c r="J73" s="82">
        <f t="shared" ref="J73:J79" si="8">H73*I73</f>
        <v>0</v>
      </c>
      <c r="K73" s="51">
        <f t="shared" si="1"/>
        <v>0</v>
      </c>
      <c r="L73" s="72">
        <f t="shared" si="5"/>
        <v>0</v>
      </c>
      <c r="M73" s="43" t="s">
        <v>35</v>
      </c>
      <c r="N73" s="69">
        <v>6.0380665698378113</v>
      </c>
      <c r="O73" s="66">
        <f t="shared" si="7"/>
        <v>-6.0380665698378113</v>
      </c>
    </row>
    <row r="74" spans="1:15" ht="17" hidden="1" outlineLevel="1" x14ac:dyDescent="0.35">
      <c r="A74" s="2" t="s">
        <v>187</v>
      </c>
      <c r="B74" s="2" t="s">
        <v>111</v>
      </c>
      <c r="C74" s="47">
        <f t="shared" si="6"/>
        <v>11</v>
      </c>
      <c r="D74" s="81" t="s">
        <v>37</v>
      </c>
      <c r="E74" s="47" t="s">
        <v>38</v>
      </c>
      <c r="F74" s="49" t="s">
        <v>39</v>
      </c>
      <c r="G74" s="47" t="s">
        <v>30</v>
      </c>
      <c r="H74" s="177">
        <v>1</v>
      </c>
      <c r="I74" s="180">
        <f>'[3]PB_TSCD DC'!$AR$32</f>
        <v>326.55785861880378</v>
      </c>
      <c r="J74" s="82">
        <f t="shared" si="8"/>
        <v>326.55785861880378</v>
      </c>
      <c r="K74" s="51">
        <f t="shared" ref="K74:K108" si="9">J74*$K$5</f>
        <v>6531.1571723760753</v>
      </c>
      <c r="L74" s="72">
        <f t="shared" si="5"/>
        <v>1.3062314344752151E-2</v>
      </c>
      <c r="M74" s="43" t="s">
        <v>40</v>
      </c>
      <c r="N74" s="69">
        <v>20.249816363874928</v>
      </c>
      <c r="O74" s="66">
        <f t="shared" si="7"/>
        <v>6510.9073560122006</v>
      </c>
    </row>
    <row r="75" spans="1:15" ht="17" hidden="1" outlineLevel="1" x14ac:dyDescent="0.35">
      <c r="A75" s="2" t="s">
        <v>187</v>
      </c>
      <c r="B75" s="2" t="s">
        <v>111</v>
      </c>
      <c r="C75" s="47">
        <f t="shared" si="6"/>
        <v>12</v>
      </c>
      <c r="D75" s="81" t="s">
        <v>37</v>
      </c>
      <c r="E75" s="47" t="s">
        <v>41</v>
      </c>
      <c r="F75" s="49" t="s">
        <v>42</v>
      </c>
      <c r="G75" s="47" t="s">
        <v>30</v>
      </c>
      <c r="H75" s="177">
        <v>1</v>
      </c>
      <c r="I75" s="180"/>
      <c r="J75" s="82">
        <f t="shared" si="8"/>
        <v>0</v>
      </c>
      <c r="K75" s="51">
        <f t="shared" si="9"/>
        <v>0</v>
      </c>
      <c r="L75" s="72">
        <f t="shared" si="5"/>
        <v>0</v>
      </c>
      <c r="M75" s="43" t="s">
        <v>40</v>
      </c>
      <c r="N75" s="69">
        <v>1.8659215064283601</v>
      </c>
      <c r="O75" s="66">
        <f t="shared" si="7"/>
        <v>-1.8659215064283601</v>
      </c>
    </row>
    <row r="76" spans="1:15" ht="17" hidden="1" outlineLevel="1" x14ac:dyDescent="0.35">
      <c r="A76" s="2" t="s">
        <v>187</v>
      </c>
      <c r="B76" s="2" t="s">
        <v>111</v>
      </c>
      <c r="C76" s="47">
        <f t="shared" si="6"/>
        <v>13</v>
      </c>
      <c r="D76" s="81" t="s">
        <v>37</v>
      </c>
      <c r="E76" s="47" t="s">
        <v>43</v>
      </c>
      <c r="F76" s="49" t="s">
        <v>44</v>
      </c>
      <c r="G76" s="47" t="s">
        <v>30</v>
      </c>
      <c r="H76" s="177">
        <v>1</v>
      </c>
      <c r="I76" s="180"/>
      <c r="J76" s="82">
        <f t="shared" si="8"/>
        <v>0</v>
      </c>
      <c r="K76" s="51">
        <f t="shared" si="9"/>
        <v>0</v>
      </c>
      <c r="L76" s="72">
        <f t="shared" si="5"/>
        <v>0</v>
      </c>
      <c r="M76" s="43" t="s">
        <v>40</v>
      </c>
      <c r="N76" s="69">
        <v>2.1907837846673184</v>
      </c>
      <c r="O76" s="66">
        <f t="shared" si="7"/>
        <v>-2.1907837846673184</v>
      </c>
    </row>
    <row r="77" spans="1:15" ht="17" hidden="1" outlineLevel="1" x14ac:dyDescent="0.35">
      <c r="A77" s="2" t="s">
        <v>187</v>
      </c>
      <c r="B77" s="2" t="s">
        <v>111</v>
      </c>
      <c r="C77" s="47">
        <f t="shared" si="6"/>
        <v>14</v>
      </c>
      <c r="D77" s="81" t="s">
        <v>37</v>
      </c>
      <c r="E77" s="47" t="s">
        <v>45</v>
      </c>
      <c r="F77" s="49" t="s">
        <v>46</v>
      </c>
      <c r="G77" s="47" t="s">
        <v>30</v>
      </c>
      <c r="H77" s="177">
        <v>1</v>
      </c>
      <c r="I77" s="199"/>
      <c r="J77" s="82">
        <f t="shared" si="8"/>
        <v>0</v>
      </c>
      <c r="K77" s="51">
        <f t="shared" si="9"/>
        <v>0</v>
      </c>
      <c r="L77" s="72">
        <f t="shared" si="5"/>
        <v>0</v>
      </c>
      <c r="M77" s="43" t="s">
        <v>40</v>
      </c>
      <c r="N77" s="69">
        <v>2.839904606824136</v>
      </c>
      <c r="O77" s="66">
        <f t="shared" si="7"/>
        <v>-2.839904606824136</v>
      </c>
    </row>
    <row r="78" spans="1:15" ht="34" hidden="1" outlineLevel="1" x14ac:dyDescent="0.35">
      <c r="A78" s="2" t="s">
        <v>187</v>
      </c>
      <c r="B78" s="2" t="s">
        <v>110</v>
      </c>
      <c r="C78" s="47">
        <f>+C74+1</f>
        <v>12</v>
      </c>
      <c r="D78" s="47" t="s">
        <v>47</v>
      </c>
      <c r="E78" s="47">
        <v>6275</v>
      </c>
      <c r="F78" s="67" t="s">
        <v>175</v>
      </c>
      <c r="G78" s="47" t="s">
        <v>48</v>
      </c>
      <c r="H78" s="183">
        <v>1</v>
      </c>
      <c r="I78" s="180">
        <f>'[3]Dinh muc'!$G$14</f>
        <v>2569.7674418604652</v>
      </c>
      <c r="J78" s="82">
        <f t="shared" si="8"/>
        <v>2569.7674418604652</v>
      </c>
      <c r="K78" s="51">
        <f t="shared" si="9"/>
        <v>51395.348837209305</v>
      </c>
      <c r="L78" s="72">
        <f t="shared" si="5"/>
        <v>0.1027906976744186</v>
      </c>
      <c r="M78" s="43" t="s">
        <v>65</v>
      </c>
      <c r="N78" s="69">
        <v>15.547200907301672</v>
      </c>
      <c r="O78" s="66">
        <f t="shared" si="7"/>
        <v>51379.801636302007</v>
      </c>
    </row>
    <row r="79" spans="1:15" ht="17" hidden="1" outlineLevel="1" x14ac:dyDescent="0.35">
      <c r="A79" s="2" t="s">
        <v>187</v>
      </c>
      <c r="B79" s="2" t="s">
        <v>112</v>
      </c>
      <c r="C79" s="47">
        <f t="shared" si="6"/>
        <v>13</v>
      </c>
      <c r="D79" s="47" t="s">
        <v>33</v>
      </c>
      <c r="E79" s="47">
        <v>6277.6278000000002</v>
      </c>
      <c r="F79" s="67" t="s">
        <v>49</v>
      </c>
      <c r="G79" s="47" t="s">
        <v>30</v>
      </c>
      <c r="H79" s="177">
        <v>1</v>
      </c>
      <c r="I79" s="180"/>
      <c r="J79" s="82">
        <f t="shared" si="8"/>
        <v>0</v>
      </c>
      <c r="K79" s="51">
        <f t="shared" si="9"/>
        <v>0</v>
      </c>
      <c r="L79" s="72">
        <f t="shared" si="5"/>
        <v>0</v>
      </c>
      <c r="M79" s="43" t="s">
        <v>35</v>
      </c>
      <c r="N79" s="69">
        <v>5.1172084741318651</v>
      </c>
      <c r="O79" s="66">
        <f t="shared" si="7"/>
        <v>-5.1172084741318651</v>
      </c>
    </row>
    <row r="80" spans="1:15" ht="23.15" customHeight="1" collapsed="1" x14ac:dyDescent="0.35">
      <c r="C80" s="55"/>
      <c r="D80" s="204" t="s">
        <v>164</v>
      </c>
      <c r="E80" s="204"/>
      <c r="F80" s="204"/>
      <c r="G80" s="56"/>
      <c r="H80" s="56"/>
      <c r="I80" s="56"/>
      <c r="J80" s="57">
        <f>+J61</f>
        <v>20911.564318567125</v>
      </c>
      <c r="K80" s="170">
        <f t="shared" si="9"/>
        <v>418231.28637134249</v>
      </c>
      <c r="L80" s="58">
        <f t="shared" si="5"/>
        <v>0.83646257274268498</v>
      </c>
      <c r="M80" s="59"/>
    </row>
    <row r="81" spans="1:14" ht="17" x14ac:dyDescent="0.35">
      <c r="C81" s="22" t="s">
        <v>103</v>
      </c>
      <c r="D81" s="23" t="s">
        <v>148</v>
      </c>
      <c r="E81" s="23"/>
      <c r="F81" s="60"/>
      <c r="G81" s="61"/>
      <c r="H81" s="61"/>
      <c r="I81" s="61"/>
      <c r="J81" s="62"/>
      <c r="K81" s="171">
        <f t="shared" si="9"/>
        <v>0</v>
      </c>
      <c r="L81" s="63"/>
      <c r="M81" s="80"/>
    </row>
    <row r="82" spans="1:14" ht="20.399999999999999" customHeight="1" x14ac:dyDescent="0.35">
      <c r="C82" s="31" t="s">
        <v>22</v>
      </c>
      <c r="D82" s="45"/>
      <c r="E82" s="45"/>
      <c r="F82" s="184" t="s">
        <v>205</v>
      </c>
      <c r="G82" s="31"/>
      <c r="H82" s="31"/>
      <c r="I82" s="31"/>
      <c r="J82" s="185">
        <f>J80</f>
        <v>20911.564318567125</v>
      </c>
      <c r="K82" s="163">
        <f t="shared" si="9"/>
        <v>418231.28637134249</v>
      </c>
      <c r="L82" s="90">
        <f>J82/$J$109</f>
        <v>0.83646257274268498</v>
      </c>
      <c r="M82" s="87"/>
    </row>
    <row r="83" spans="1:14" ht="20.399999999999999" customHeight="1" x14ac:dyDescent="0.35">
      <c r="C83" s="31" t="s">
        <v>51</v>
      </c>
      <c r="D83" s="45"/>
      <c r="E83" s="45"/>
      <c r="F83" s="32" t="s">
        <v>165</v>
      </c>
      <c r="G83" s="31"/>
      <c r="H83" s="31"/>
      <c r="I83" s="31"/>
      <c r="J83" s="33">
        <f>SUM(J84:J98)</f>
        <v>166.66666666666666</v>
      </c>
      <c r="K83" s="163">
        <f t="shared" si="9"/>
        <v>3333.333333333333</v>
      </c>
      <c r="L83" s="35">
        <f>J83/$J$109</f>
        <v>6.6666666666666662E-3</v>
      </c>
      <c r="M83" s="87"/>
    </row>
    <row r="84" spans="1:14" ht="17" hidden="1" outlineLevel="1" x14ac:dyDescent="0.35">
      <c r="A84" s="2" t="s">
        <v>95</v>
      </c>
      <c r="C84" s="47">
        <v>0</v>
      </c>
      <c r="D84" s="47" t="s">
        <v>23</v>
      </c>
      <c r="E84" s="47"/>
      <c r="F84" s="67" t="s">
        <v>24</v>
      </c>
      <c r="G84" s="47" t="s">
        <v>25</v>
      </c>
      <c r="H84" s="48"/>
      <c r="I84" s="47"/>
      <c r="J84" s="68"/>
      <c r="K84" s="51">
        <f t="shared" si="9"/>
        <v>0</v>
      </c>
      <c r="L84" s="68"/>
      <c r="M84" s="43" t="s">
        <v>96</v>
      </c>
    </row>
    <row r="85" spans="1:14" ht="17" hidden="1" outlineLevel="1" x14ac:dyDescent="0.35">
      <c r="A85" s="2" t="s">
        <v>95</v>
      </c>
      <c r="C85" s="47"/>
      <c r="D85" s="47"/>
      <c r="E85" s="47"/>
      <c r="F85" s="39" t="s">
        <v>26</v>
      </c>
      <c r="G85" s="38" t="s">
        <v>17</v>
      </c>
      <c r="H85" s="50"/>
      <c r="I85" s="47"/>
      <c r="J85" s="68"/>
      <c r="K85" s="51">
        <f t="shared" si="9"/>
        <v>0</v>
      </c>
      <c r="L85" s="68"/>
      <c r="M85" s="43" t="s">
        <v>27</v>
      </c>
    </row>
    <row r="86" spans="1:14" ht="17" hidden="1" outlineLevel="1" x14ac:dyDescent="0.35">
      <c r="B86" s="2" t="s">
        <v>114</v>
      </c>
      <c r="C86" s="47">
        <f>+C85+1</f>
        <v>1</v>
      </c>
      <c r="D86" s="81" t="s">
        <v>66</v>
      </c>
      <c r="E86" s="81"/>
      <c r="F86" s="75" t="s">
        <v>67</v>
      </c>
      <c r="G86" s="81" t="s">
        <v>68</v>
      </c>
      <c r="H86" s="81">
        <v>1</v>
      </c>
      <c r="I86" s="186"/>
      <c r="J86" s="82">
        <f>(I86*H86)/1100</f>
        <v>0</v>
      </c>
      <c r="K86" s="174">
        <f t="shared" si="9"/>
        <v>0</v>
      </c>
      <c r="L86" s="72">
        <f t="shared" ref="L86:L108" si="10">J86/$J$109</f>
        <v>0</v>
      </c>
      <c r="M86" s="75" t="s">
        <v>69</v>
      </c>
      <c r="N86" s="104"/>
    </row>
    <row r="87" spans="1:14" ht="34" hidden="1" outlineLevel="1" x14ac:dyDescent="0.35">
      <c r="B87" s="2" t="s">
        <v>114</v>
      </c>
      <c r="C87" s="47">
        <f t="shared" ref="C87:C98" si="11">+C86+1</f>
        <v>2</v>
      </c>
      <c r="D87" s="47" t="s">
        <v>66</v>
      </c>
      <c r="E87" s="47"/>
      <c r="F87" s="67" t="s">
        <v>70</v>
      </c>
      <c r="G87" s="47" t="s">
        <v>68</v>
      </c>
      <c r="H87" s="47">
        <v>1</v>
      </c>
      <c r="I87" s="180"/>
      <c r="J87" s="71">
        <f>(I87*H87)/1100</f>
        <v>0</v>
      </c>
      <c r="K87" s="51">
        <f t="shared" si="9"/>
        <v>0</v>
      </c>
      <c r="L87" s="72">
        <f t="shared" si="10"/>
        <v>0</v>
      </c>
      <c r="M87" s="75" t="s">
        <v>71</v>
      </c>
      <c r="N87" s="104"/>
    </row>
    <row r="88" spans="1:14" ht="17" hidden="1" outlineLevel="1" x14ac:dyDescent="0.35">
      <c r="B88" s="2" t="s">
        <v>114</v>
      </c>
      <c r="C88" s="47">
        <f t="shared" si="11"/>
        <v>3</v>
      </c>
      <c r="D88" s="47" t="s">
        <v>66</v>
      </c>
      <c r="E88" s="47"/>
      <c r="F88" s="67" t="s">
        <v>72</v>
      </c>
      <c r="G88" s="47" t="s">
        <v>68</v>
      </c>
      <c r="H88" s="47">
        <v>1</v>
      </c>
      <c r="I88" s="180"/>
      <c r="J88" s="71">
        <f>(I88*H88)/1100</f>
        <v>0</v>
      </c>
      <c r="K88" s="51">
        <f t="shared" si="9"/>
        <v>0</v>
      </c>
      <c r="L88" s="91">
        <f t="shared" si="10"/>
        <v>0</v>
      </c>
      <c r="M88" s="75" t="s">
        <v>71</v>
      </c>
      <c r="N88" s="104"/>
    </row>
    <row r="89" spans="1:14" ht="17" hidden="1" outlineLevel="1" x14ac:dyDescent="0.35">
      <c r="A89" s="2" t="s">
        <v>73</v>
      </c>
      <c r="B89" s="2" t="s">
        <v>106</v>
      </c>
      <c r="C89" s="47">
        <f t="shared" si="11"/>
        <v>4</v>
      </c>
      <c r="D89" s="47" t="s">
        <v>28</v>
      </c>
      <c r="E89" s="47">
        <v>622</v>
      </c>
      <c r="F89" s="67" t="s">
        <v>29</v>
      </c>
      <c r="G89" s="47" t="s">
        <v>30</v>
      </c>
      <c r="H89" s="47">
        <v>1</v>
      </c>
      <c r="I89" s="180"/>
      <c r="J89" s="82"/>
      <c r="K89" s="51">
        <f t="shared" si="9"/>
        <v>0</v>
      </c>
      <c r="L89" s="91">
        <f t="shared" si="10"/>
        <v>0</v>
      </c>
      <c r="M89" s="75" t="s">
        <v>74</v>
      </c>
      <c r="N89" s="104"/>
    </row>
    <row r="90" spans="1:14" ht="34" hidden="1" outlineLevel="1" x14ac:dyDescent="0.35">
      <c r="A90" s="2" t="s">
        <v>73</v>
      </c>
      <c r="B90" s="2" t="s">
        <v>107</v>
      </c>
      <c r="C90" s="47">
        <f t="shared" si="11"/>
        <v>5</v>
      </c>
      <c r="D90" s="47" t="s">
        <v>28</v>
      </c>
      <c r="E90" s="47">
        <v>6271</v>
      </c>
      <c r="F90" s="67" t="s">
        <v>31</v>
      </c>
      <c r="G90" s="47" t="s">
        <v>30</v>
      </c>
      <c r="H90" s="47">
        <v>1</v>
      </c>
      <c r="I90" s="180"/>
      <c r="J90" s="82"/>
      <c r="K90" s="51">
        <f t="shared" si="9"/>
        <v>0</v>
      </c>
      <c r="L90" s="72">
        <f t="shared" si="10"/>
        <v>0</v>
      </c>
      <c r="M90" s="75" t="s">
        <v>32</v>
      </c>
      <c r="N90" s="104"/>
    </row>
    <row r="91" spans="1:14" ht="17" hidden="1" outlineLevel="1" x14ac:dyDescent="0.35">
      <c r="A91" s="2" t="s">
        <v>73</v>
      </c>
      <c r="B91" s="2" t="s">
        <v>108</v>
      </c>
      <c r="C91" s="47">
        <f t="shared" si="11"/>
        <v>6</v>
      </c>
      <c r="D91" s="47" t="s">
        <v>33</v>
      </c>
      <c r="E91" s="47">
        <v>6272</v>
      </c>
      <c r="F91" s="67" t="s">
        <v>34</v>
      </c>
      <c r="G91" s="47" t="s">
        <v>30</v>
      </c>
      <c r="H91" s="47">
        <v>1</v>
      </c>
      <c r="I91" s="180">
        <f>'[3]Dinh muc'!$G$18</f>
        <v>166.66666666666666</v>
      </c>
      <c r="J91" s="71">
        <f>H91*I91</f>
        <v>166.66666666666666</v>
      </c>
      <c r="K91" s="51">
        <f t="shared" si="9"/>
        <v>3333.333333333333</v>
      </c>
      <c r="L91" s="72">
        <f t="shared" si="10"/>
        <v>6.6666666666666662E-3</v>
      </c>
      <c r="M91" s="43" t="s">
        <v>35</v>
      </c>
      <c r="N91" s="104"/>
    </row>
    <row r="92" spans="1:14" ht="17" hidden="1" outlineLevel="1" x14ac:dyDescent="0.35">
      <c r="A92" s="2" t="s">
        <v>73</v>
      </c>
      <c r="B92" s="2" t="s">
        <v>109</v>
      </c>
      <c r="C92" s="47">
        <f t="shared" si="11"/>
        <v>7</v>
      </c>
      <c r="D92" s="47" t="s">
        <v>33</v>
      </c>
      <c r="E92" s="47">
        <v>6273</v>
      </c>
      <c r="F92" s="67"/>
      <c r="G92" s="47" t="s">
        <v>30</v>
      </c>
      <c r="H92" s="47">
        <v>1</v>
      </c>
      <c r="I92" s="180"/>
      <c r="J92" s="82"/>
      <c r="K92" s="51">
        <f t="shared" si="9"/>
        <v>0</v>
      </c>
      <c r="L92" s="72">
        <f t="shared" si="10"/>
        <v>0</v>
      </c>
      <c r="M92" s="43" t="s">
        <v>35</v>
      </c>
      <c r="N92" s="104"/>
    </row>
    <row r="93" spans="1:14" ht="17" hidden="1" outlineLevel="1" x14ac:dyDescent="0.35">
      <c r="A93" s="2" t="s">
        <v>73</v>
      </c>
      <c r="B93" s="2" t="s">
        <v>111</v>
      </c>
      <c r="C93" s="47">
        <f t="shared" si="11"/>
        <v>8</v>
      </c>
      <c r="D93" s="81" t="s">
        <v>37</v>
      </c>
      <c r="E93" s="47" t="s">
        <v>38</v>
      </c>
      <c r="F93" s="49"/>
      <c r="G93" s="47" t="s">
        <v>30</v>
      </c>
      <c r="H93" s="47">
        <v>1</v>
      </c>
      <c r="I93" s="180"/>
      <c r="J93" s="82"/>
      <c r="K93" s="51">
        <f t="shared" si="9"/>
        <v>0</v>
      </c>
      <c r="L93" s="72">
        <f t="shared" si="10"/>
        <v>0</v>
      </c>
      <c r="M93" s="43" t="s">
        <v>40</v>
      </c>
      <c r="N93" s="104"/>
    </row>
    <row r="94" spans="1:14" ht="17" hidden="1" outlineLevel="1" x14ac:dyDescent="0.35">
      <c r="A94" s="2" t="s">
        <v>73</v>
      </c>
      <c r="B94" s="2" t="s">
        <v>111</v>
      </c>
      <c r="C94" s="47">
        <f t="shared" si="11"/>
        <v>9</v>
      </c>
      <c r="D94" s="81" t="s">
        <v>37</v>
      </c>
      <c r="E94" s="47" t="s">
        <v>41</v>
      </c>
      <c r="F94" s="49"/>
      <c r="G94" s="47" t="s">
        <v>30</v>
      </c>
      <c r="H94" s="47">
        <v>1</v>
      </c>
      <c r="I94" s="180"/>
      <c r="J94" s="82"/>
      <c r="K94" s="51">
        <f t="shared" si="9"/>
        <v>0</v>
      </c>
      <c r="L94" s="72">
        <f t="shared" si="10"/>
        <v>0</v>
      </c>
      <c r="M94" s="43" t="s">
        <v>40</v>
      </c>
      <c r="N94" s="104"/>
    </row>
    <row r="95" spans="1:14" ht="17" hidden="1" outlineLevel="1" x14ac:dyDescent="0.35">
      <c r="A95" s="2" t="s">
        <v>73</v>
      </c>
      <c r="B95" s="2" t="s">
        <v>111</v>
      </c>
      <c r="C95" s="47">
        <f t="shared" si="11"/>
        <v>10</v>
      </c>
      <c r="D95" s="81" t="s">
        <v>37</v>
      </c>
      <c r="E95" s="47" t="s">
        <v>43</v>
      </c>
      <c r="F95" s="49"/>
      <c r="G95" s="47" t="s">
        <v>30</v>
      </c>
      <c r="H95" s="47">
        <v>1</v>
      </c>
      <c r="I95" s="180"/>
      <c r="J95" s="82"/>
      <c r="K95" s="51">
        <f t="shared" si="9"/>
        <v>0</v>
      </c>
      <c r="L95" s="72">
        <f t="shared" si="10"/>
        <v>0</v>
      </c>
      <c r="M95" s="43" t="s">
        <v>40</v>
      </c>
      <c r="N95" s="104"/>
    </row>
    <row r="96" spans="1:14" ht="17" hidden="1" outlineLevel="1" x14ac:dyDescent="0.35">
      <c r="A96" s="2" t="s">
        <v>73</v>
      </c>
      <c r="B96" s="2" t="s">
        <v>111</v>
      </c>
      <c r="C96" s="47">
        <f t="shared" si="11"/>
        <v>11</v>
      </c>
      <c r="D96" s="81" t="s">
        <v>37</v>
      </c>
      <c r="E96" s="47" t="s">
        <v>45</v>
      </c>
      <c r="F96" s="49"/>
      <c r="G96" s="47" t="s">
        <v>30</v>
      </c>
      <c r="H96" s="47">
        <v>1</v>
      </c>
      <c r="I96" s="180"/>
      <c r="J96" s="82"/>
      <c r="K96" s="51">
        <f t="shared" si="9"/>
        <v>0</v>
      </c>
      <c r="L96" s="72">
        <f t="shared" si="10"/>
        <v>0</v>
      </c>
      <c r="M96" s="43" t="s">
        <v>40</v>
      </c>
      <c r="N96" s="104"/>
    </row>
    <row r="97" spans="1:14" ht="34" hidden="1" outlineLevel="1" x14ac:dyDescent="0.35">
      <c r="A97" s="2" t="s">
        <v>73</v>
      </c>
      <c r="B97" s="2" t="s">
        <v>110</v>
      </c>
      <c r="C97" s="47">
        <f>+C93+1</f>
        <v>9</v>
      </c>
      <c r="D97" s="81" t="s">
        <v>47</v>
      </c>
      <c r="E97" s="81">
        <v>6275</v>
      </c>
      <c r="F97" s="75"/>
      <c r="G97" s="47" t="s">
        <v>30</v>
      </c>
      <c r="H97" s="47">
        <v>1</v>
      </c>
      <c r="I97" s="180"/>
      <c r="J97" s="82"/>
      <c r="K97" s="51">
        <f t="shared" si="9"/>
        <v>0</v>
      </c>
      <c r="L97" s="72">
        <f t="shared" si="10"/>
        <v>0</v>
      </c>
      <c r="M97" s="43" t="s">
        <v>75</v>
      </c>
      <c r="N97" s="104"/>
    </row>
    <row r="98" spans="1:14" ht="17" hidden="1" outlineLevel="1" x14ac:dyDescent="0.35">
      <c r="A98" s="2" t="s">
        <v>73</v>
      </c>
      <c r="B98" s="2" t="s">
        <v>112</v>
      </c>
      <c r="C98" s="47">
        <f t="shared" si="11"/>
        <v>10</v>
      </c>
      <c r="D98" s="81" t="s">
        <v>33</v>
      </c>
      <c r="E98" s="81">
        <v>6277.6278000000002</v>
      </c>
      <c r="F98" s="67"/>
      <c r="G98" s="47" t="s">
        <v>30</v>
      </c>
      <c r="H98" s="47">
        <v>1</v>
      </c>
      <c r="I98" s="180"/>
      <c r="J98" s="82"/>
      <c r="K98" s="51">
        <f t="shared" si="9"/>
        <v>0</v>
      </c>
      <c r="L98" s="72">
        <f t="shared" si="10"/>
        <v>0</v>
      </c>
      <c r="M98" s="43" t="s">
        <v>35</v>
      </c>
      <c r="N98" s="104"/>
    </row>
    <row r="99" spans="1:14" ht="22.4" customHeight="1" collapsed="1" x14ac:dyDescent="0.35">
      <c r="C99" s="31" t="s">
        <v>53</v>
      </c>
      <c r="D99" s="45"/>
      <c r="E99" s="45"/>
      <c r="F99" s="32" t="s">
        <v>76</v>
      </c>
      <c r="G99" s="31"/>
      <c r="H99" s="31"/>
      <c r="I99" s="31"/>
      <c r="J99" s="33">
        <f>SUM(J100:J104)</f>
        <v>2500</v>
      </c>
      <c r="K99" s="163">
        <f t="shared" si="9"/>
        <v>50000</v>
      </c>
      <c r="L99" s="35">
        <f t="shared" si="10"/>
        <v>0.1</v>
      </c>
      <c r="M99" s="87"/>
    </row>
    <row r="100" spans="1:14" ht="17" hidden="1" outlineLevel="1" x14ac:dyDescent="0.35">
      <c r="A100" s="2" t="s">
        <v>77</v>
      </c>
      <c r="B100" s="2">
        <v>641</v>
      </c>
      <c r="C100" s="47">
        <v>1</v>
      </c>
      <c r="D100" s="47">
        <v>641</v>
      </c>
      <c r="E100" s="47"/>
      <c r="F100" s="92" t="s">
        <v>78</v>
      </c>
      <c r="G100" s="47" t="s">
        <v>30</v>
      </c>
      <c r="H100" s="47">
        <v>1</v>
      </c>
      <c r="I100" s="154">
        <f>7%*TH!G6</f>
        <v>1750.0000000000002</v>
      </c>
      <c r="J100" s="71">
        <f t="shared" ref="J100:J104" si="12">H100*I100</f>
        <v>1750.0000000000002</v>
      </c>
      <c r="K100" s="51">
        <f t="shared" si="9"/>
        <v>35000.000000000007</v>
      </c>
      <c r="L100" s="72">
        <f t="shared" si="10"/>
        <v>7.0000000000000007E-2</v>
      </c>
      <c r="M100" s="93" t="s">
        <v>79</v>
      </c>
      <c r="N100" s="104"/>
    </row>
    <row r="101" spans="1:14" ht="17" hidden="1" outlineLevel="1" x14ac:dyDescent="0.35">
      <c r="A101" s="2" t="s">
        <v>80</v>
      </c>
      <c r="B101" s="2">
        <v>642</v>
      </c>
      <c r="C101" s="47">
        <f>+C100+1</f>
        <v>2</v>
      </c>
      <c r="D101" s="47">
        <v>642</v>
      </c>
      <c r="E101" s="47"/>
      <c r="F101" s="92" t="s">
        <v>81</v>
      </c>
      <c r="G101" s="47" t="s">
        <v>30</v>
      </c>
      <c r="H101" s="47">
        <v>1</v>
      </c>
      <c r="I101" s="154">
        <f>2%*TH!G7</f>
        <v>500</v>
      </c>
      <c r="J101" s="71">
        <f t="shared" si="12"/>
        <v>500</v>
      </c>
      <c r="K101" s="51">
        <f t="shared" si="9"/>
        <v>10000</v>
      </c>
      <c r="L101" s="72">
        <f t="shared" si="10"/>
        <v>0.02</v>
      </c>
      <c r="M101" s="93" t="s">
        <v>79</v>
      </c>
      <c r="N101" s="104"/>
    </row>
    <row r="102" spans="1:14" ht="17" hidden="1" outlineLevel="1" x14ac:dyDescent="0.35">
      <c r="A102" s="2" t="s">
        <v>82</v>
      </c>
      <c r="B102" s="2">
        <v>641</v>
      </c>
      <c r="C102" s="47">
        <f>+C101+1</f>
        <v>3</v>
      </c>
      <c r="D102" s="47">
        <v>641</v>
      </c>
      <c r="E102" s="47"/>
      <c r="F102" s="92" t="s">
        <v>83</v>
      </c>
      <c r="G102" s="47" t="s">
        <v>30</v>
      </c>
      <c r="H102" s="47">
        <v>1</v>
      </c>
      <c r="I102" s="154"/>
      <c r="J102" s="71">
        <f t="shared" si="12"/>
        <v>0</v>
      </c>
      <c r="K102" s="51">
        <f t="shared" si="9"/>
        <v>0</v>
      </c>
      <c r="L102" s="72">
        <f t="shared" si="10"/>
        <v>0</v>
      </c>
      <c r="M102" s="93" t="s">
        <v>79</v>
      </c>
      <c r="N102" s="104"/>
    </row>
    <row r="103" spans="1:14" ht="34" hidden="1" outlineLevel="1" x14ac:dyDescent="0.35">
      <c r="A103" s="2" t="s">
        <v>85</v>
      </c>
      <c r="B103" s="2">
        <v>642</v>
      </c>
      <c r="C103" s="47">
        <f>+C102+1</f>
        <v>4</v>
      </c>
      <c r="D103" s="47">
        <v>642</v>
      </c>
      <c r="E103" s="47"/>
      <c r="F103" s="92" t="s">
        <v>86</v>
      </c>
      <c r="G103" s="47" t="s">
        <v>30</v>
      </c>
      <c r="H103" s="47">
        <v>1</v>
      </c>
      <c r="I103" s="154"/>
      <c r="J103" s="71">
        <f t="shared" si="12"/>
        <v>0</v>
      </c>
      <c r="K103" s="51">
        <f t="shared" si="9"/>
        <v>0</v>
      </c>
      <c r="L103" s="72">
        <f t="shared" si="10"/>
        <v>0</v>
      </c>
      <c r="M103" s="93" t="s">
        <v>84</v>
      </c>
      <c r="N103" s="104"/>
    </row>
    <row r="104" spans="1:14" ht="17" hidden="1" outlineLevel="1" x14ac:dyDescent="0.35">
      <c r="A104" s="2" t="s">
        <v>87</v>
      </c>
      <c r="B104" s="2">
        <v>635</v>
      </c>
      <c r="C104" s="47">
        <v>3</v>
      </c>
      <c r="D104" s="47">
        <v>635</v>
      </c>
      <c r="E104" s="47"/>
      <c r="F104" s="92" t="s">
        <v>88</v>
      </c>
      <c r="G104" s="47" t="s">
        <v>30</v>
      </c>
      <c r="H104" s="47">
        <v>1</v>
      </c>
      <c r="I104" s="154">
        <f>1%*TH!G6</f>
        <v>250</v>
      </c>
      <c r="J104" s="71">
        <f t="shared" si="12"/>
        <v>250</v>
      </c>
      <c r="K104" s="51">
        <f t="shared" si="9"/>
        <v>5000</v>
      </c>
      <c r="L104" s="72">
        <f t="shared" si="10"/>
        <v>0.01</v>
      </c>
      <c r="M104" s="93" t="s">
        <v>89</v>
      </c>
      <c r="N104" s="104"/>
    </row>
    <row r="105" spans="1:14" ht="24.65" customHeight="1" collapsed="1" x14ac:dyDescent="0.35">
      <c r="C105" s="94"/>
      <c r="D105" s="205" t="s">
        <v>90</v>
      </c>
      <c r="E105" s="205"/>
      <c r="F105" s="205"/>
      <c r="G105" s="94"/>
      <c r="H105" s="94"/>
      <c r="I105" s="94"/>
      <c r="J105" s="95">
        <f>+J82+J83+J99</f>
        <v>23578.230985233793</v>
      </c>
      <c r="K105" s="175">
        <f t="shared" si="9"/>
        <v>471564.61970467586</v>
      </c>
      <c r="L105" s="96"/>
      <c r="M105" s="97"/>
    </row>
    <row r="106" spans="1:14" ht="25.4" customHeight="1" x14ac:dyDescent="0.35">
      <c r="C106" s="31" t="s">
        <v>91</v>
      </c>
      <c r="D106" s="45"/>
      <c r="E106" s="45"/>
      <c r="F106" s="32" t="s">
        <v>97</v>
      </c>
      <c r="G106" s="31"/>
      <c r="H106" s="31"/>
      <c r="I106" s="31"/>
      <c r="J106" s="33">
        <f>J107+J108</f>
        <v>1421.7690147662072</v>
      </c>
      <c r="K106" s="163">
        <f t="shared" si="9"/>
        <v>28435.380295324143</v>
      </c>
      <c r="L106" s="35">
        <f t="shared" si="10"/>
        <v>5.6870760590648287E-2</v>
      </c>
      <c r="M106" s="87"/>
    </row>
    <row r="107" spans="1:14" ht="17" hidden="1" outlineLevel="1" x14ac:dyDescent="0.35">
      <c r="C107" s="47">
        <v>1</v>
      </c>
      <c r="D107" s="47" t="s">
        <v>92</v>
      </c>
      <c r="E107" s="47"/>
      <c r="F107" s="92" t="s">
        <v>98</v>
      </c>
      <c r="G107" s="47"/>
      <c r="H107" s="47"/>
      <c r="I107" s="47"/>
      <c r="J107" s="98">
        <f>IF((J109-J105)&lt;0,0,(J109-J105)*100%/120%)</f>
        <v>1184.8075123051726</v>
      </c>
      <c r="K107" s="51">
        <f t="shared" si="9"/>
        <v>23696.150246103454</v>
      </c>
      <c r="L107" s="91">
        <f t="shared" si="10"/>
        <v>4.7392300492206905E-2</v>
      </c>
      <c r="M107" s="99">
        <f>J107/$J$109</f>
        <v>4.7392300492206905E-2</v>
      </c>
    </row>
    <row r="108" spans="1:14" ht="17" hidden="1" outlineLevel="1" x14ac:dyDescent="0.35">
      <c r="C108" s="47">
        <v>2</v>
      </c>
      <c r="D108" s="47" t="s">
        <v>93</v>
      </c>
      <c r="E108" s="47"/>
      <c r="F108" s="92" t="s">
        <v>94</v>
      </c>
      <c r="G108" s="47"/>
      <c r="H108" s="47"/>
      <c r="I108" s="47"/>
      <c r="J108" s="98">
        <f>J107*20%</f>
        <v>236.96150246103454</v>
      </c>
      <c r="K108" s="51">
        <f t="shared" si="9"/>
        <v>4739.2300492206905</v>
      </c>
      <c r="L108" s="91">
        <f t="shared" si="10"/>
        <v>9.4784600984413811E-3</v>
      </c>
      <c r="M108" s="100"/>
    </row>
    <row r="109" spans="1:14" ht="24.65" customHeight="1" collapsed="1" x14ac:dyDescent="0.35">
      <c r="C109" s="94"/>
      <c r="D109" s="205" t="s">
        <v>166</v>
      </c>
      <c r="E109" s="205"/>
      <c r="F109" s="205"/>
      <c r="G109" s="94"/>
      <c r="I109" s="94"/>
      <c r="J109" s="95">
        <f>+TH!G8</f>
        <v>25000</v>
      </c>
      <c r="K109" s="95">
        <f>+TH!G6*K5</f>
        <v>500000</v>
      </c>
      <c r="L109" s="96">
        <f>+L82+L83+L99+L106</f>
        <v>1</v>
      </c>
      <c r="M109" s="97"/>
    </row>
    <row r="111" spans="1:14" x14ac:dyDescent="0.35">
      <c r="K111" s="66"/>
      <c r="L111" s="66"/>
    </row>
    <row r="112" spans="1:14" x14ac:dyDescent="0.35">
      <c r="K112" s="88"/>
    </row>
  </sheetData>
  <mergeCells count="5">
    <mergeCell ref="D34:F34"/>
    <mergeCell ref="D58:F58"/>
    <mergeCell ref="D80:F80"/>
    <mergeCell ref="D105:F105"/>
    <mergeCell ref="D109:F109"/>
  </mergeCells>
  <hyperlinks>
    <hyperlink ref="A1" location="'Danh mục'!A1" display="Danh mục" xr:uid="{C8A255A0-B04F-4683-8A9C-576E5347864C}"/>
  </hyperlink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TH</vt:lpstr>
      <vt:lpstr>Chart</vt:lpstr>
      <vt:lpstr>DĐ RPE1609</vt:lpstr>
      <vt:lpstr>DĐ RPE1909</vt:lpstr>
      <vt:lpstr>DĐ RPEXXXX</vt:lpstr>
      <vt:lpstr>Chart!Print_Area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Nhâm, Hoàng Thị</dc:creator>
  <cp:lastModifiedBy>Cư, Lê Hoành</cp:lastModifiedBy>
  <dcterms:created xsi:type="dcterms:W3CDTF">2026-01-14T02:22:36Z</dcterms:created>
  <dcterms:modified xsi:type="dcterms:W3CDTF">2026-05-07T12:17:21Z</dcterms:modified>
</cp:coreProperties>
</file>