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ml.chartshap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"/>
    </mc:Choice>
  </mc:AlternateContent>
  <xr:revisionPtr revIDLastSave="3" documentId="13_ncr:1_{098710AE-0E93-40D5-B0D5-F72A49F835F5}" xr6:coauthVersionLast="47" xr6:coauthVersionMax="47" xr10:uidLastSave="{77E7D2E5-4088-415E-B36F-7FA0589F3080}"/>
  <bookViews>
    <workbookView xWindow="-110" yWindow="-110" windowWidth="19420" windowHeight="10300" tabRatio="863" activeTab="1" xr2:uid="{A13438B8-0EA7-45D2-B5AB-834A60669422}"/>
  </bookViews>
  <sheets>
    <sheet name="BÌA" sheetId="12" r:id="rId1"/>
    <sheet name="Giá công thức" sheetId="8" r:id="rId2"/>
    <sheet name="Price" sheetId="10" r:id="rId3"/>
    <sheet name="Biểu đồ" sheetId="14" r:id="rId4"/>
    <sheet name="Vẽ Biểu đồ" sheetId="13" state="hidden" r:id="rId5"/>
    <sheet name="Price_cũ" sheetId="11" state="hidden" r:id="rId6"/>
    <sheet name="General Data" sheetId="4" state="hidden" r:id="rId7"/>
    <sheet name="Note" sheetId="5" state="hidden" r:id="rId8"/>
    <sheet name="||" sheetId="7" state="hidden" r:id="rId9"/>
    <sheet name="Rebate-Suntory" sheetId="6" state="hidden" r:id="rId10"/>
    <sheet name="Ghi chú-Màu" sheetId="15" state="hidden" r:id="rId11"/>
    <sheet name="Chart-Price-BCKQKD" sheetId="16" state="hidden" r:id="rId12"/>
    <sheet name="Chart Suntory" sheetId="17" r:id="rId13"/>
    <sheet name="Ma trận PET" sheetId="18" state="hidden" r:id="rId14"/>
  </sheets>
  <externalReferences>
    <externalReference r:id="rId15"/>
    <externalReference r:id="rId16"/>
  </externalReferences>
  <definedNames>
    <definedName name="\T" localSheetId="12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xlnm._FilterDatabase" localSheetId="7" hidden="1">Note!$A$2:$Q$101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 localSheetId="12">#REF!</definedName>
    <definedName name="ChemicalReagent">#REF!</definedName>
    <definedName name="CL" localSheetId="12">#REF!</definedName>
    <definedName name="CL">#REF!</definedName>
    <definedName name="CLTMP" localSheetId="12">#REF!</definedName>
    <definedName name="CLTMP">#REF!</definedName>
    <definedName name="CLVC">#REF!</definedName>
    <definedName name="Code_General_Data">'General Data'!$A$9:$A$120</definedName>
    <definedName name="Code_General_Item">'General Data'!$C$9:$C$120</definedName>
    <definedName name="cong_bq" localSheetId="12">#REF!</definedName>
    <definedName name="cong_bq">#REF!</definedName>
    <definedName name="cong_bv" localSheetId="12">#REF!</definedName>
    <definedName name="cong_bv">#REF!</definedName>
    <definedName name="cong_ck" localSheetId="12">#REF!</definedName>
    <definedName name="cong_ck">#REF!</definedName>
    <definedName name="cong_d1" localSheetId="12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 localSheetId="12">#REF!</definedName>
    <definedName name="COPY">#REF!</definedName>
    <definedName name="COST" localSheetId="12">#REF!</definedName>
    <definedName name="COST">#REF!</definedName>
    <definedName name="Cost_Allocation_wage" localSheetId="12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2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eneral_Data">'General Data'!$F$9:$BB$120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 localSheetId="12">#REF!</definedName>
    <definedName name="HDCCT">#REF!</definedName>
    <definedName name="HDCD" localSheetId="12">#REF!</definedName>
    <definedName name="HDCD">#REF!</definedName>
    <definedName name="HM" localSheetId="12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12">#REF!</definedName>
    <definedName name="K_1" localSheetId="13">#REF!</definedName>
    <definedName name="K_1">#REF!</definedName>
    <definedName name="K_2" localSheetId="12">#REF!</definedName>
    <definedName name="K_2" localSheetId="13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onth">'General Data'!$F$4:$BB$4</definedName>
    <definedName name="MPETABLE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12">#REF!</definedName>
    <definedName name="NToS" localSheetId="13">#REF!</definedName>
    <definedName name="NToS">#REF!</definedName>
    <definedName name="Oct" localSheetId="12">#REF!</definedName>
    <definedName name="Oct">#REF!</definedName>
    <definedName name="OneTwoThree" localSheetId="12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localSheetId="12" hidden="1">#REF!</definedName>
    <definedName name="PHUONG" hidden="1">#REF!</definedName>
    <definedName name="_xlnm.Print_Area" localSheetId="3">'Biểu đồ'!$A$1:$O$175</definedName>
    <definedName name="_xlnm.Print_Area" localSheetId="12">'Chart Suntory'!$A$41:$T$87</definedName>
    <definedName name="_xlnm.Print_Area" localSheetId="1">'Giá công thức'!$D$5:$AD$104</definedName>
    <definedName name="_xlnm.Print_Area" localSheetId="2">Price!$F$6:$AL$112</definedName>
    <definedName name="Print_Area_MI">#REF!</definedName>
    <definedName name="_xlnm.Print_Titles" localSheetId="1">'Giá công thức'!$A:$F,'Giá công thức'!$5:$9</definedName>
    <definedName name="_xlnm.Print_Titles" localSheetId="2">Price!$F:$J,Price!$6:$9</definedName>
    <definedName name="_xlnm.Print_Titles">#N/A</definedName>
    <definedName name="QUYLUONG" localSheetId="12">#REF!</definedName>
    <definedName name="QUYLUONG">#REF!</definedName>
    <definedName name="RawMat">#REF!</definedName>
    <definedName name="re" localSheetId="12">#REF!</definedName>
    <definedName name="re">#REF!</definedName>
    <definedName name="ree" localSheetId="12">#REF!</definedName>
    <definedName name="ree">#REF!</definedName>
    <definedName name="rr">#REF!</definedName>
    <definedName name="SALES" localSheetId="12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 localSheetId="12">#REF!</definedName>
    <definedName name="thgian_bq">#REF!</definedName>
    <definedName name="thgian_bv" localSheetId="12">#REF!</definedName>
    <definedName name="thgian_bv">#REF!</definedName>
    <definedName name="thgian_ck" localSheetId="12">#REF!</definedName>
    <definedName name="thgian_ck">#REF!</definedName>
    <definedName name="thgian_d1" localSheetId="12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localSheetId="12" hidden="1">#REF!</definedName>
    <definedName name="tram" hidden="1">#REF!</definedName>
    <definedName name="TSSCM" localSheetId="12">#REF!</definedName>
    <definedName name="TSSCM">#REF!</definedName>
    <definedName name="TSSlist" localSheetId="12">#REF!</definedName>
    <definedName name="TSSlist">#REF!</definedName>
    <definedName name="ttbt" localSheetId="12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 localSheetId="12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ear">'General Data'!$F$3:$BB$3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63" i="8" l="1"/>
  <c r="AC63" i="8"/>
  <c r="AB63" i="8"/>
  <c r="AA63" i="8"/>
  <c r="Z63" i="8"/>
  <c r="Y63" i="8"/>
  <c r="X63" i="8"/>
  <c r="W63" i="8"/>
  <c r="V63" i="8"/>
  <c r="U63" i="8"/>
  <c r="T63" i="8"/>
  <c r="S63" i="8"/>
  <c r="Q63" i="8"/>
  <c r="P63" i="8"/>
  <c r="O63" i="8"/>
  <c r="N63" i="8"/>
  <c r="M63" i="8"/>
  <c r="L63" i="8"/>
  <c r="K63" i="8"/>
  <c r="J63" i="8"/>
  <c r="I63" i="8"/>
  <c r="H63" i="8"/>
  <c r="G63" i="8"/>
  <c r="R63" i="8"/>
  <c r="P6" i="18"/>
  <c r="O6" i="18"/>
  <c r="N6" i="18"/>
  <c r="M6" i="18"/>
  <c r="L6" i="18"/>
  <c r="K6" i="18"/>
  <c r="J6" i="18"/>
  <c r="I6" i="18"/>
  <c r="H6" i="18"/>
  <c r="G6" i="18"/>
  <c r="F6" i="18"/>
  <c r="E6" i="18"/>
  <c r="G9" i="18" l="1"/>
  <c r="G10" i="18" s="1"/>
  <c r="G11" i="18" s="1"/>
  <c r="F9" i="18"/>
  <c r="F10" i="18" l="1"/>
  <c r="F11" i="18" s="1"/>
  <c r="H9" i="18"/>
  <c r="H10" i="18" s="1"/>
  <c r="H11" i="18" s="1"/>
  <c r="K9" i="18"/>
  <c r="K10" i="18" s="1"/>
  <c r="K11" i="18" s="1"/>
  <c r="L9" i="18"/>
  <c r="L10" i="18" s="1"/>
  <c r="L11" i="18" s="1"/>
  <c r="J9" i="18"/>
  <c r="J10" i="18" s="1"/>
  <c r="J11" i="18" s="1"/>
  <c r="I9" i="18"/>
  <c r="I10" i="18" s="1"/>
  <c r="I11" i="18" s="1"/>
  <c r="M9" i="18"/>
  <c r="M10" i="18" s="1"/>
  <c r="M11" i="18" s="1"/>
  <c r="N9" i="18"/>
  <c r="N10" i="18" s="1"/>
  <c r="N11" i="18" s="1"/>
  <c r="O9" i="18"/>
  <c r="O10" i="18" s="1"/>
  <c r="O11" i="18" s="1"/>
  <c r="P9" i="18"/>
  <c r="P10" i="18" s="1"/>
  <c r="P11" i="18" s="1"/>
  <c r="E9" i="18"/>
  <c r="E10" i="18" s="1"/>
  <c r="E11" i="18" s="1"/>
  <c r="AL67" i="10" l="1" a="1"/>
  <c r="AL67" i="10" s="1"/>
  <c r="AL56" i="10" a="1"/>
  <c r="AL56" i="10" s="1"/>
  <c r="AL61" i="10" a="1"/>
  <c r="AL61" i="10" s="1"/>
  <c r="AL29" i="10" a="1"/>
  <c r="AL29" i="10" s="1"/>
  <c r="AL43" i="10" a="1"/>
  <c r="AL43" i="10" s="1"/>
  <c r="AV2" i="4"/>
  <c r="AU2" i="4"/>
  <c r="AT2" i="4"/>
  <c r="AS2" i="4"/>
  <c r="AR2" i="4"/>
  <c r="AQ2" i="4"/>
  <c r="AP2" i="4"/>
  <c r="BA1" i="4"/>
  <c r="BA2" i="4" s="1"/>
  <c r="AZ1" i="4"/>
  <c r="AZ2" i="4" s="1"/>
  <c r="AY1" i="4"/>
  <c r="AY2" i="4" s="1"/>
  <c r="AX1" i="4"/>
  <c r="AX2" i="4" s="1"/>
  <c r="AW1" i="4"/>
  <c r="AW2" i="4" s="1"/>
  <c r="AV1" i="4"/>
  <c r="AU1" i="4"/>
  <c r="AT1" i="4"/>
  <c r="AS1" i="4"/>
  <c r="AR1" i="4"/>
  <c r="AQ1" i="4"/>
  <c r="AP1" i="4"/>
  <c r="AL106" i="10" l="1" a="1"/>
  <c r="AL106" i="10" s="1"/>
  <c r="AL92" i="10" a="1"/>
  <c r="AL92" i="10" s="1"/>
  <c r="AL89" i="10" a="1"/>
  <c r="AL89" i="10" s="1"/>
  <c r="AL79" i="10" a="1"/>
  <c r="AL79" i="10" s="1"/>
  <c r="AL76" i="10" a="1"/>
  <c r="AL76" i="10" s="1"/>
  <c r="AL21" i="10" a="1"/>
  <c r="AL21" i="10" s="1"/>
  <c r="AL17" i="10" a="1"/>
  <c r="AL17" i="10" s="1"/>
  <c r="AO16" i="4"/>
  <c r="AN16" i="4" l="1"/>
  <c r="AM16" i="4" l="1"/>
  <c r="Y6" i="16" l="1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R8" i="16" l="1"/>
  <c r="R7" i="16"/>
  <c r="S8" i="16"/>
  <c r="S7" i="16"/>
  <c r="K8" i="16"/>
  <c r="K7" i="16"/>
  <c r="M8" i="16"/>
  <c r="M7" i="16"/>
  <c r="P8" i="16"/>
  <c r="P7" i="16"/>
  <c r="D8" i="16"/>
  <c r="D7" i="16"/>
  <c r="T8" i="16"/>
  <c r="T7" i="16"/>
  <c r="L8" i="16"/>
  <c r="L7" i="16"/>
  <c r="O8" i="16"/>
  <c r="O7" i="16"/>
  <c r="B8" i="16"/>
  <c r="B7" i="16"/>
  <c r="E8" i="16"/>
  <c r="E7" i="16"/>
  <c r="U8" i="16"/>
  <c r="U7" i="16"/>
  <c r="V8" i="16"/>
  <c r="V7" i="16"/>
  <c r="C8" i="16"/>
  <c r="C7" i="16"/>
  <c r="F8" i="16"/>
  <c r="F7" i="16"/>
  <c r="G8" i="16"/>
  <c r="G7" i="16"/>
  <c r="W8" i="16"/>
  <c r="W7" i="16"/>
  <c r="X8" i="16"/>
  <c r="X7" i="16"/>
  <c r="H8" i="16"/>
  <c r="H7" i="16"/>
  <c r="I8" i="16"/>
  <c r="I7" i="16"/>
  <c r="Y8" i="16"/>
  <c r="Y7" i="16"/>
  <c r="N8" i="16"/>
  <c r="N7" i="16"/>
  <c r="Q8" i="16"/>
  <c r="Q7" i="16"/>
  <c r="J8" i="16"/>
  <c r="J7" i="16"/>
  <c r="AL97" i="10" l="1"/>
  <c r="AK97" i="10"/>
  <c r="AJ97" i="10"/>
  <c r="AI97" i="10"/>
  <c r="AH97" i="10"/>
  <c r="AH98" i="10"/>
  <c r="AL98" i="10"/>
  <c r="AK98" i="10"/>
  <c r="AJ98" i="10"/>
  <c r="AI98" i="10"/>
  <c r="AL16" i="4" l="1"/>
  <c r="AK16" i="4"/>
  <c r="AJ16" i="4" l="1"/>
  <c r="AI16" i="4" l="1"/>
  <c r="Q101" i="5" l="1"/>
  <c r="P101" i="5"/>
  <c r="O101" i="5"/>
  <c r="N101" i="5"/>
  <c r="M101" i="5"/>
  <c r="F101" i="5"/>
  <c r="Q100" i="5"/>
  <c r="P100" i="5"/>
  <c r="O100" i="5"/>
  <c r="N100" i="5"/>
  <c r="M100" i="5"/>
  <c r="F100" i="5"/>
  <c r="Q99" i="5"/>
  <c r="P99" i="5"/>
  <c r="O99" i="5"/>
  <c r="N99" i="5"/>
  <c r="M99" i="5"/>
  <c r="F99" i="5"/>
  <c r="Q98" i="5"/>
  <c r="P98" i="5"/>
  <c r="O98" i="5"/>
  <c r="N98" i="5"/>
  <c r="M98" i="5"/>
  <c r="F98" i="5"/>
  <c r="Q97" i="5"/>
  <c r="P97" i="5"/>
  <c r="O97" i="5"/>
  <c r="N97" i="5"/>
  <c r="M97" i="5"/>
  <c r="F97" i="5"/>
  <c r="Q96" i="5"/>
  <c r="P96" i="5"/>
  <c r="O96" i="5"/>
  <c r="N96" i="5"/>
  <c r="M96" i="5"/>
  <c r="F96" i="5"/>
  <c r="Q95" i="5"/>
  <c r="P95" i="5"/>
  <c r="O95" i="5"/>
  <c r="N95" i="5"/>
  <c r="M95" i="5"/>
  <c r="F95" i="5"/>
  <c r="Q94" i="5"/>
  <c r="P94" i="5"/>
  <c r="O94" i="5"/>
  <c r="N94" i="5"/>
  <c r="M94" i="5"/>
  <c r="F94" i="5"/>
  <c r="Q93" i="5"/>
  <c r="P93" i="5"/>
  <c r="O93" i="5"/>
  <c r="N93" i="5"/>
  <c r="M93" i="5"/>
  <c r="F93" i="5"/>
  <c r="Q92" i="5"/>
  <c r="P92" i="5"/>
  <c r="O92" i="5"/>
  <c r="N92" i="5"/>
  <c r="M92" i="5"/>
  <c r="F92" i="5"/>
  <c r="Q91" i="5"/>
  <c r="P91" i="5"/>
  <c r="O91" i="5"/>
  <c r="N91" i="5"/>
  <c r="M91" i="5"/>
  <c r="F91" i="5"/>
  <c r="Q90" i="5"/>
  <c r="P90" i="5"/>
  <c r="O90" i="5"/>
  <c r="N90" i="5"/>
  <c r="M90" i="5"/>
  <c r="F90" i="5"/>
  <c r="Q89" i="5"/>
  <c r="P89" i="5"/>
  <c r="O89" i="5"/>
  <c r="N89" i="5"/>
  <c r="M89" i="5"/>
  <c r="F89" i="5"/>
  <c r="Q88" i="5"/>
  <c r="P88" i="5"/>
  <c r="O88" i="5"/>
  <c r="N88" i="5"/>
  <c r="M88" i="5"/>
  <c r="F88" i="5"/>
  <c r="Q87" i="5"/>
  <c r="P87" i="5"/>
  <c r="O87" i="5"/>
  <c r="N87" i="5"/>
  <c r="M87" i="5"/>
  <c r="F87" i="5"/>
  <c r="Q86" i="5"/>
  <c r="P86" i="5"/>
  <c r="O86" i="5"/>
  <c r="N86" i="5"/>
  <c r="M86" i="5"/>
  <c r="F86" i="5"/>
  <c r="Q85" i="5"/>
  <c r="P85" i="5"/>
  <c r="O85" i="5"/>
  <c r="N85" i="5"/>
  <c r="M85" i="5"/>
  <c r="F85" i="5"/>
  <c r="Q84" i="5"/>
  <c r="P84" i="5"/>
  <c r="O84" i="5"/>
  <c r="N84" i="5"/>
  <c r="M84" i="5"/>
  <c r="F84" i="5"/>
  <c r="Q83" i="5"/>
  <c r="P83" i="5"/>
  <c r="O83" i="5"/>
  <c r="N83" i="5"/>
  <c r="M83" i="5"/>
  <c r="F83" i="5"/>
  <c r="Q82" i="5"/>
  <c r="P82" i="5"/>
  <c r="O82" i="5"/>
  <c r="N82" i="5"/>
  <c r="M82" i="5"/>
  <c r="F82" i="5"/>
  <c r="Q81" i="5"/>
  <c r="P81" i="5"/>
  <c r="O81" i="5"/>
  <c r="N81" i="5"/>
  <c r="M81" i="5"/>
  <c r="F81" i="5"/>
  <c r="Q80" i="5"/>
  <c r="P80" i="5"/>
  <c r="O80" i="5"/>
  <c r="N80" i="5"/>
  <c r="M80" i="5"/>
  <c r="F80" i="5"/>
  <c r="Q79" i="5"/>
  <c r="P79" i="5"/>
  <c r="O79" i="5"/>
  <c r="N79" i="5"/>
  <c r="M79" i="5"/>
  <c r="F79" i="5"/>
  <c r="Q78" i="5"/>
  <c r="P78" i="5"/>
  <c r="O78" i="5"/>
  <c r="N78" i="5"/>
  <c r="M78" i="5"/>
  <c r="F78" i="5"/>
  <c r="Q77" i="5"/>
  <c r="P77" i="5"/>
  <c r="O77" i="5"/>
  <c r="N77" i="5"/>
  <c r="M77" i="5"/>
  <c r="F77" i="5"/>
  <c r="Q76" i="5"/>
  <c r="P76" i="5"/>
  <c r="O76" i="5"/>
  <c r="N76" i="5"/>
  <c r="M76" i="5"/>
  <c r="F76" i="5"/>
  <c r="Q75" i="5"/>
  <c r="P75" i="5"/>
  <c r="O75" i="5"/>
  <c r="N75" i="5"/>
  <c r="M75" i="5"/>
  <c r="F75" i="5"/>
  <c r="Q74" i="5"/>
  <c r="P74" i="5"/>
  <c r="O74" i="5"/>
  <c r="N74" i="5"/>
  <c r="M74" i="5"/>
  <c r="F74" i="5"/>
  <c r="Q73" i="5"/>
  <c r="P73" i="5"/>
  <c r="O73" i="5"/>
  <c r="N73" i="5"/>
  <c r="M73" i="5"/>
  <c r="F73" i="5"/>
  <c r="Q72" i="5"/>
  <c r="P72" i="5"/>
  <c r="O72" i="5"/>
  <c r="N72" i="5"/>
  <c r="M72" i="5"/>
  <c r="F72" i="5"/>
  <c r="Q71" i="5"/>
  <c r="P71" i="5"/>
  <c r="O71" i="5"/>
  <c r="N71" i="5"/>
  <c r="M71" i="5"/>
  <c r="F71" i="5"/>
  <c r="Q70" i="5"/>
  <c r="P70" i="5"/>
  <c r="O70" i="5"/>
  <c r="N70" i="5"/>
  <c r="M70" i="5"/>
  <c r="F70" i="5"/>
  <c r="Q69" i="5"/>
  <c r="P69" i="5"/>
  <c r="O69" i="5"/>
  <c r="N69" i="5"/>
  <c r="M69" i="5"/>
  <c r="F69" i="5"/>
  <c r="Q68" i="5"/>
  <c r="P68" i="5"/>
  <c r="O68" i="5"/>
  <c r="N68" i="5"/>
  <c r="M68" i="5"/>
  <c r="F68" i="5"/>
  <c r="Q67" i="5"/>
  <c r="P67" i="5"/>
  <c r="O67" i="5"/>
  <c r="N67" i="5"/>
  <c r="M67" i="5"/>
  <c r="F67" i="5"/>
  <c r="Q66" i="5"/>
  <c r="P66" i="5"/>
  <c r="O66" i="5"/>
  <c r="N66" i="5"/>
  <c r="M66" i="5"/>
  <c r="F66" i="5"/>
  <c r="Q65" i="5"/>
  <c r="P65" i="5"/>
  <c r="O65" i="5"/>
  <c r="N65" i="5"/>
  <c r="M65" i="5"/>
  <c r="F65" i="5"/>
  <c r="Q64" i="5"/>
  <c r="P64" i="5"/>
  <c r="O64" i="5"/>
  <c r="N64" i="5"/>
  <c r="M64" i="5"/>
  <c r="F64" i="5"/>
  <c r="Q63" i="5"/>
  <c r="P63" i="5"/>
  <c r="O63" i="5"/>
  <c r="N63" i="5"/>
  <c r="M63" i="5"/>
  <c r="F63" i="5"/>
  <c r="Q62" i="5"/>
  <c r="P62" i="5"/>
  <c r="O62" i="5"/>
  <c r="N62" i="5"/>
  <c r="M62" i="5"/>
  <c r="F62" i="5"/>
  <c r="Q61" i="5"/>
  <c r="P61" i="5"/>
  <c r="O61" i="5"/>
  <c r="N61" i="5"/>
  <c r="M61" i="5"/>
  <c r="F61" i="5"/>
  <c r="Q60" i="5"/>
  <c r="P60" i="5"/>
  <c r="O60" i="5"/>
  <c r="N60" i="5"/>
  <c r="M60" i="5"/>
  <c r="F60" i="5"/>
  <c r="Q59" i="5"/>
  <c r="P59" i="5"/>
  <c r="O59" i="5"/>
  <c r="N59" i="5"/>
  <c r="M59" i="5"/>
  <c r="F59" i="5"/>
  <c r="Q58" i="5"/>
  <c r="P58" i="5"/>
  <c r="O58" i="5"/>
  <c r="N58" i="5"/>
  <c r="M58" i="5"/>
  <c r="F58" i="5"/>
  <c r="Q57" i="5"/>
  <c r="P57" i="5"/>
  <c r="O57" i="5"/>
  <c r="N57" i="5"/>
  <c r="M57" i="5"/>
  <c r="F57" i="5"/>
  <c r="Q56" i="5"/>
  <c r="P56" i="5"/>
  <c r="O56" i="5"/>
  <c r="N56" i="5"/>
  <c r="M56" i="5"/>
  <c r="F56" i="5"/>
  <c r="Q55" i="5"/>
  <c r="P55" i="5"/>
  <c r="O55" i="5"/>
  <c r="N55" i="5"/>
  <c r="M55" i="5"/>
  <c r="F55" i="5"/>
  <c r="Q54" i="5"/>
  <c r="P54" i="5"/>
  <c r="O54" i="5"/>
  <c r="N54" i="5"/>
  <c r="M54" i="5"/>
  <c r="F54" i="5"/>
  <c r="Q53" i="5"/>
  <c r="P53" i="5"/>
  <c r="O53" i="5"/>
  <c r="N53" i="5"/>
  <c r="M53" i="5"/>
  <c r="F53" i="5"/>
  <c r="Q52" i="5"/>
  <c r="P52" i="5"/>
  <c r="O52" i="5"/>
  <c r="N52" i="5"/>
  <c r="M52" i="5"/>
  <c r="F52" i="5"/>
  <c r="Q51" i="5"/>
  <c r="P51" i="5"/>
  <c r="O51" i="5"/>
  <c r="N51" i="5"/>
  <c r="M51" i="5"/>
  <c r="F51" i="5"/>
  <c r="Q50" i="5"/>
  <c r="P50" i="5"/>
  <c r="O50" i="5"/>
  <c r="N50" i="5"/>
  <c r="M50" i="5"/>
  <c r="F50" i="5"/>
  <c r="Q49" i="5"/>
  <c r="P49" i="5"/>
  <c r="O49" i="5"/>
  <c r="N49" i="5"/>
  <c r="M49" i="5"/>
  <c r="F49" i="5"/>
  <c r="Q48" i="5"/>
  <c r="P48" i="5"/>
  <c r="O48" i="5"/>
  <c r="N48" i="5"/>
  <c r="M48" i="5"/>
  <c r="F48" i="5"/>
  <c r="Q47" i="5"/>
  <c r="P47" i="5"/>
  <c r="O47" i="5"/>
  <c r="N47" i="5"/>
  <c r="M47" i="5"/>
  <c r="F47" i="5"/>
  <c r="Q46" i="5"/>
  <c r="P46" i="5"/>
  <c r="O46" i="5"/>
  <c r="N46" i="5"/>
  <c r="M46" i="5"/>
  <c r="F46" i="5"/>
  <c r="Q45" i="5"/>
  <c r="P45" i="5"/>
  <c r="O45" i="5"/>
  <c r="N45" i="5"/>
  <c r="M45" i="5"/>
  <c r="F45" i="5"/>
  <c r="Q44" i="5"/>
  <c r="P44" i="5"/>
  <c r="O44" i="5"/>
  <c r="N44" i="5"/>
  <c r="M44" i="5"/>
  <c r="F44" i="5"/>
  <c r="Q43" i="5"/>
  <c r="P43" i="5"/>
  <c r="O43" i="5"/>
  <c r="N43" i="5"/>
  <c r="M43" i="5"/>
  <c r="F43" i="5"/>
  <c r="Q42" i="5"/>
  <c r="P42" i="5"/>
  <c r="O42" i="5"/>
  <c r="N42" i="5"/>
  <c r="M42" i="5"/>
  <c r="F42" i="5"/>
  <c r="Q41" i="5"/>
  <c r="P41" i="5"/>
  <c r="O41" i="5"/>
  <c r="N41" i="5"/>
  <c r="M41" i="5"/>
  <c r="F41" i="5"/>
  <c r="Q40" i="5"/>
  <c r="P40" i="5"/>
  <c r="O40" i="5"/>
  <c r="N40" i="5"/>
  <c r="M40" i="5"/>
  <c r="F40" i="5"/>
  <c r="Q39" i="5"/>
  <c r="P39" i="5"/>
  <c r="O39" i="5"/>
  <c r="N39" i="5"/>
  <c r="M39" i="5"/>
  <c r="F39" i="5"/>
  <c r="Q38" i="5"/>
  <c r="P38" i="5"/>
  <c r="O38" i="5"/>
  <c r="N38" i="5"/>
  <c r="M38" i="5"/>
  <c r="F38" i="5"/>
  <c r="Q37" i="5"/>
  <c r="P37" i="5"/>
  <c r="O37" i="5"/>
  <c r="N37" i="5"/>
  <c r="M37" i="5"/>
  <c r="F37" i="5"/>
  <c r="Q36" i="5"/>
  <c r="P36" i="5"/>
  <c r="O36" i="5"/>
  <c r="N36" i="5"/>
  <c r="M36" i="5"/>
  <c r="F36" i="5"/>
  <c r="Q35" i="5"/>
  <c r="P35" i="5"/>
  <c r="O35" i="5"/>
  <c r="N35" i="5"/>
  <c r="M35" i="5"/>
  <c r="F35" i="5"/>
  <c r="Q34" i="5"/>
  <c r="P34" i="5"/>
  <c r="O34" i="5"/>
  <c r="N34" i="5"/>
  <c r="M34" i="5"/>
  <c r="F34" i="5"/>
  <c r="Q33" i="5"/>
  <c r="P33" i="5"/>
  <c r="O33" i="5"/>
  <c r="N33" i="5"/>
  <c r="M33" i="5"/>
  <c r="F33" i="5"/>
  <c r="Q32" i="5"/>
  <c r="P32" i="5"/>
  <c r="O32" i="5"/>
  <c r="N32" i="5"/>
  <c r="M32" i="5"/>
  <c r="F32" i="5"/>
  <c r="Q31" i="5"/>
  <c r="P31" i="5"/>
  <c r="O31" i="5"/>
  <c r="N31" i="5"/>
  <c r="M31" i="5"/>
  <c r="F31" i="5"/>
  <c r="Q30" i="5"/>
  <c r="P30" i="5"/>
  <c r="O30" i="5"/>
  <c r="N30" i="5"/>
  <c r="M30" i="5"/>
  <c r="F30" i="5"/>
  <c r="Q29" i="5"/>
  <c r="P29" i="5"/>
  <c r="O29" i="5"/>
  <c r="N29" i="5"/>
  <c r="M29" i="5"/>
  <c r="F29" i="5"/>
  <c r="Q28" i="5"/>
  <c r="P28" i="5"/>
  <c r="O28" i="5"/>
  <c r="N28" i="5"/>
  <c r="M28" i="5"/>
  <c r="F28" i="5"/>
  <c r="Q27" i="5"/>
  <c r="P27" i="5"/>
  <c r="O27" i="5"/>
  <c r="N27" i="5"/>
  <c r="M27" i="5"/>
  <c r="F27" i="5"/>
  <c r="Q26" i="5"/>
  <c r="P26" i="5"/>
  <c r="O26" i="5"/>
  <c r="N26" i="5"/>
  <c r="M26" i="5"/>
  <c r="F26" i="5"/>
  <c r="Q25" i="5"/>
  <c r="P25" i="5"/>
  <c r="O25" i="5"/>
  <c r="N25" i="5"/>
  <c r="M25" i="5"/>
  <c r="F25" i="5"/>
  <c r="Q24" i="5"/>
  <c r="P24" i="5"/>
  <c r="F23" i="5" s="1"/>
  <c r="O24" i="5"/>
  <c r="N24" i="5"/>
  <c r="M24" i="5"/>
  <c r="F24" i="5"/>
  <c r="Q23" i="5"/>
  <c r="P23" i="5"/>
  <c r="O23" i="5"/>
  <c r="N23" i="5"/>
  <c r="M23" i="5"/>
  <c r="Q22" i="5"/>
  <c r="O22" i="5"/>
  <c r="P22" i="5" s="1"/>
  <c r="N22" i="5"/>
  <c r="M22" i="5"/>
  <c r="F22" i="5"/>
  <c r="Q21" i="5"/>
  <c r="O21" i="5"/>
  <c r="F14" i="5" s="1"/>
  <c r="N21" i="5"/>
  <c r="M21" i="5"/>
  <c r="F21" i="5"/>
  <c r="Q20" i="5"/>
  <c r="P20" i="5"/>
  <c r="O20" i="5"/>
  <c r="N20" i="5"/>
  <c r="M20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F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F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F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F6" i="5"/>
  <c r="Q5" i="5"/>
  <c r="P5" i="5"/>
  <c r="O5" i="5"/>
  <c r="N5" i="5"/>
  <c r="M5" i="5"/>
  <c r="Q4" i="5"/>
  <c r="P4" i="5"/>
  <c r="O4" i="5"/>
  <c r="N4" i="5"/>
  <c r="M4" i="5"/>
  <c r="Q3" i="5"/>
  <c r="P3" i="5"/>
  <c r="O3" i="5"/>
  <c r="N3" i="5"/>
  <c r="M3" i="5"/>
  <c r="AH16" i="4"/>
  <c r="AG16" i="4"/>
  <c r="AF16" i="4"/>
  <c r="AE16" i="4"/>
  <c r="AD16" i="4"/>
  <c r="U103" i="11" s="1" a="1"/>
  <c r="U103" i="11" s="1"/>
  <c r="AC16" i="4"/>
  <c r="AB16" i="4"/>
  <c r="AA16" i="4"/>
  <c r="Z16" i="4"/>
  <c r="Y16" i="4"/>
  <c r="X16" i="4"/>
  <c r="W16" i="4"/>
  <c r="T111" i="11" s="1" a="1"/>
  <c r="T111" i="11" s="1"/>
  <c r="V16" i="4"/>
  <c r="U16" i="4"/>
  <c r="T16" i="4"/>
  <c r="R121" i="11" s="1" a="1"/>
  <c r="R121" i="11" s="1"/>
  <c r="S16" i="4"/>
  <c r="R16" i="4"/>
  <c r="AG61" i="10" s="1" a="1"/>
  <c r="AG61" i="10" s="1"/>
  <c r="AO2" i="4"/>
  <c r="AL2" i="4"/>
  <c r="AH2" i="4"/>
  <c r="AG2" i="4"/>
  <c r="AF2" i="4"/>
  <c r="AE2" i="4"/>
  <c r="AD2" i="4"/>
  <c r="AB2" i="4"/>
  <c r="Y2" i="4"/>
  <c r="V2" i="4"/>
  <c r="R2" i="4"/>
  <c r="Q2" i="4"/>
  <c r="P2" i="4"/>
  <c r="O2" i="4"/>
  <c r="N2" i="4"/>
  <c r="L2" i="4"/>
  <c r="I2" i="4"/>
  <c r="F2" i="4"/>
  <c r="AO1" i="4"/>
  <c r="AN1" i="4"/>
  <c r="AN2" i="4" s="1"/>
  <c r="AM1" i="4"/>
  <c r="AM2" i="4" s="1"/>
  <c r="AL1" i="4"/>
  <c r="AK1" i="4"/>
  <c r="AK2" i="4" s="1"/>
  <c r="AJ1" i="4"/>
  <c r="AJ2" i="4" s="1"/>
  <c r="AI1" i="4"/>
  <c r="AI2" i="4" s="1"/>
  <c r="AH1" i="4"/>
  <c r="AG1" i="4"/>
  <c r="AF1" i="4"/>
  <c r="AE1" i="4"/>
  <c r="AD1" i="4"/>
  <c r="AC1" i="4"/>
  <c r="AC2" i="4" s="1"/>
  <c r="AB1" i="4"/>
  <c r="AA1" i="4"/>
  <c r="AA2" i="4" s="1"/>
  <c r="Z1" i="4"/>
  <c r="Z2" i="4" s="1"/>
  <c r="Y1" i="4"/>
  <c r="X1" i="4"/>
  <c r="X2" i="4" s="1"/>
  <c r="W1" i="4"/>
  <c r="W2" i="4" s="1"/>
  <c r="V1" i="4"/>
  <c r="U1" i="4"/>
  <c r="U2" i="4" s="1"/>
  <c r="T1" i="4"/>
  <c r="T2" i="4" s="1"/>
  <c r="S1" i="4"/>
  <c r="S2" i="4" s="1"/>
  <c r="R1" i="4"/>
  <c r="Q1" i="4"/>
  <c r="P1" i="4"/>
  <c r="O1" i="4"/>
  <c r="N1" i="4"/>
  <c r="M1" i="4"/>
  <c r="M2" i="4" s="1"/>
  <c r="L1" i="4"/>
  <c r="K1" i="4"/>
  <c r="K2" i="4" s="1"/>
  <c r="J1" i="4"/>
  <c r="J2" i="4" s="1"/>
  <c r="I1" i="4"/>
  <c r="H1" i="4"/>
  <c r="H2" i="4" s="1"/>
  <c r="G1" i="4"/>
  <c r="G2" i="4" s="1"/>
  <c r="F1" i="4"/>
  <c r="Z125" i="11"/>
  <c r="Y125" i="11"/>
  <c r="X125" i="11"/>
  <c r="T121" i="11" a="1"/>
  <c r="T121" i="11" s="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U111" i="11" a="1"/>
  <c r="U111" i="11" s="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V103" i="11" a="1"/>
  <c r="V103" i="11" s="1"/>
  <c r="S97" i="11" a="1"/>
  <c r="S97" i="11" s="1"/>
  <c r="Z94" i="11"/>
  <c r="Y94" i="11"/>
  <c r="X94" i="11"/>
  <c r="W94" i="11"/>
  <c r="V94" i="11"/>
  <c r="U94" i="11"/>
  <c r="T94" i="11"/>
  <c r="S94" i="11"/>
  <c r="R94" i="11"/>
  <c r="Q94" i="11"/>
  <c r="P94" i="11"/>
  <c r="O94" i="11"/>
  <c r="Q89" i="11" a="1"/>
  <c r="Q89" i="11" s="1"/>
  <c r="O83" i="11" a="1"/>
  <c r="O83" i="11" s="1"/>
  <c r="Z80" i="11"/>
  <c r="Y80" i="11"/>
  <c r="X80" i="11"/>
  <c r="W80" i="11"/>
  <c r="V80" i="11"/>
  <c r="U80" i="11"/>
  <c r="T80" i="11"/>
  <c r="S80" i="11"/>
  <c r="R80" i="11"/>
  <c r="Q80" i="11"/>
  <c r="P80" i="11"/>
  <c r="O80" i="11"/>
  <c r="AC74" i="11" a="1"/>
  <c r="AC74" i="11" s="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AA57" i="11" a="1"/>
  <c r="AA57" i="11" s="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Z41" i="11" a="1"/>
  <c r="Z41" i="11" s="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Y24" i="11" a="1"/>
  <c r="Y24" i="11" s="1"/>
  <c r="W17" i="11" a="1"/>
  <c r="W17" i="11" s="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M31" i="13" a="1"/>
  <c r="M31" i="13" s="1"/>
  <c r="T30" i="13" a="1"/>
  <c r="T30" i="13" s="1"/>
  <c r="V12" i="13" a="1"/>
  <c r="V12" i="13" s="1"/>
  <c r="F12" i="13" a="1"/>
  <c r="F12" i="13" s="1"/>
  <c r="H11" i="13" a="1"/>
  <c r="H11" i="13" s="1"/>
  <c r="Z110" i="10"/>
  <c r="Y110" i="10"/>
  <c r="X110" i="10"/>
  <c r="Y106" i="10" a="1"/>
  <c r="Y106" i="10" s="1"/>
  <c r="AL105" i="10"/>
  <c r="AL103" i="10" s="1"/>
  <c r="AD91" i="8" s="1" a="1"/>
  <c r="AD91" i="8" s="1"/>
  <c r="AK105" i="10"/>
  <c r="AK103" i="10" s="1"/>
  <c r="AC91" i="8" s="1" a="1"/>
  <c r="AC91" i="8" s="1"/>
  <c r="AJ105" i="10"/>
  <c r="AJ103" i="10" s="1"/>
  <c r="AB91" i="8" s="1" a="1"/>
  <c r="AB91" i="8" s="1"/>
  <c r="AI105" i="10"/>
  <c r="AI103" i="10" s="1"/>
  <c r="AA91" i="8" s="1" a="1"/>
  <c r="AA91" i="8" s="1"/>
  <c r="AH105" i="10"/>
  <c r="AH103" i="10" s="1"/>
  <c r="Z91" i="8" s="1" a="1"/>
  <c r="Z91" i="8" s="1"/>
  <c r="AG105" i="10"/>
  <c r="AG103" i="10" s="1"/>
  <c r="Y91" i="8" s="1" a="1"/>
  <c r="Y91" i="8" s="1"/>
  <c r="AF105" i="10"/>
  <c r="AF103" i="10" s="1"/>
  <c r="X91" i="8" s="1" a="1"/>
  <c r="X91" i="8" s="1"/>
  <c r="AE105" i="10"/>
  <c r="AE103" i="10" s="1"/>
  <c r="W91" i="8" s="1" a="1"/>
  <c r="W91" i="8" s="1"/>
  <c r="AD105" i="10"/>
  <c r="AD103" i="10" s="1"/>
  <c r="V91" i="8" s="1" a="1"/>
  <c r="V91" i="8" s="1"/>
  <c r="AC105" i="10"/>
  <c r="AC103" i="10" s="1"/>
  <c r="U91" i="8" s="1" a="1"/>
  <c r="U91" i="8" s="1"/>
  <c r="AB105" i="10"/>
  <c r="AB103" i="10" s="1"/>
  <c r="T91" i="8" s="1" a="1"/>
  <c r="T91" i="8" s="1"/>
  <c r="AA105" i="10"/>
  <c r="AA103" i="10" s="1"/>
  <c r="S91" i="8" s="1" a="1"/>
  <c r="S91" i="8" s="1"/>
  <c r="Z103" i="10"/>
  <c r="R91" i="8" s="1" a="1"/>
  <c r="R91" i="8" s="1"/>
  <c r="Y103" i="10"/>
  <c r="Q91" i="8" s="1" a="1"/>
  <c r="Q91" i="8" s="1"/>
  <c r="X103" i="10"/>
  <c r="W103" i="10"/>
  <c r="O91" i="8" s="1" a="1"/>
  <c r="O91" i="8" s="1"/>
  <c r="V103" i="10"/>
  <c r="N91" i="8" s="1" a="1"/>
  <c r="N91" i="8" s="1"/>
  <c r="U103" i="10"/>
  <c r="T103" i="10"/>
  <c r="S103" i="10"/>
  <c r="K91" i="8" s="1" a="1"/>
  <c r="K91" i="8" s="1"/>
  <c r="R103" i="10"/>
  <c r="Q103" i="10"/>
  <c r="P103" i="10"/>
  <c r="O103" i="10"/>
  <c r="G91" i="8" s="1" a="1"/>
  <c r="G91" i="8" s="1"/>
  <c r="R99" i="10" a="1"/>
  <c r="R99" i="10" s="1"/>
  <c r="AF98" i="10"/>
  <c r="AE98" i="10"/>
  <c r="W82" i="8" s="1" a="1"/>
  <c r="W82" i="8" s="1"/>
  <c r="AD98" i="10"/>
  <c r="V82" i="8" s="1" a="1"/>
  <c r="V82" i="8" s="1"/>
  <c r="AC98" i="10"/>
  <c r="U82" i="8" s="1" a="1"/>
  <c r="U82" i="8" s="1"/>
  <c r="AB98" i="10"/>
  <c r="T82" i="8" s="1" a="1"/>
  <c r="T82" i="8" s="1"/>
  <c r="AA98" i="10"/>
  <c r="Z98" i="10"/>
  <c r="R82" i="8" s="1" a="1"/>
  <c r="R82" i="8" s="1"/>
  <c r="Y98" i="10"/>
  <c r="Q82" i="8" s="1" a="1"/>
  <c r="Q82" i="8" s="1"/>
  <c r="X98" i="10"/>
  <c r="W98" i="10"/>
  <c r="O82" i="8" s="1" a="1"/>
  <c r="O82" i="8" s="1"/>
  <c r="V98" i="10"/>
  <c r="N82" i="8" s="1" a="1"/>
  <c r="N82" i="8" s="1"/>
  <c r="U98" i="10"/>
  <c r="T98" i="10"/>
  <c r="S98" i="10"/>
  <c r="R98" i="10"/>
  <c r="J82" i="8" s="1" a="1"/>
  <c r="J82" i="8" s="1"/>
  <c r="Q98" i="10"/>
  <c r="I82" i="8" s="1" a="1"/>
  <c r="I82" i="8" s="1"/>
  <c r="P98" i="10"/>
  <c r="H82" i="8" s="1" a="1"/>
  <c r="H82" i="8" s="1"/>
  <c r="O98" i="10"/>
  <c r="G82" i="8" s="1" a="1"/>
  <c r="G82" i="8" s="1"/>
  <c r="U92" i="10" a="1"/>
  <c r="U92" i="10" s="1"/>
  <c r="V89" i="10" a="1"/>
  <c r="V89" i="10" s="1"/>
  <c r="Z86" i="10"/>
  <c r="Y86" i="10"/>
  <c r="X86" i="10"/>
  <c r="W86" i="10"/>
  <c r="V86" i="10"/>
  <c r="U86" i="10"/>
  <c r="T86" i="10"/>
  <c r="S86" i="10"/>
  <c r="R86" i="10"/>
  <c r="Q86" i="10"/>
  <c r="P86" i="10"/>
  <c r="O86" i="10"/>
  <c r="V79" i="10" a="1"/>
  <c r="V79" i="10" s="1"/>
  <c r="W76" i="10" a="1"/>
  <c r="W76" i="10" s="1"/>
  <c r="Z73" i="10"/>
  <c r="Y73" i="10"/>
  <c r="X73" i="10"/>
  <c r="W73" i="10"/>
  <c r="V73" i="10"/>
  <c r="U73" i="10"/>
  <c r="T73" i="10"/>
  <c r="S73" i="10"/>
  <c r="R73" i="10"/>
  <c r="Q73" i="10"/>
  <c r="P73" i="10"/>
  <c r="O73" i="10"/>
  <c r="W67" i="10" a="1"/>
  <c r="W67" i="10" s="1"/>
  <c r="AC56" i="10" a="1"/>
  <c r="AC56" i="10" s="1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AL46" i="10"/>
  <c r="AK46" i="10"/>
  <c r="AJ46" i="10"/>
  <c r="AI46" i="10"/>
  <c r="AH46" i="10"/>
  <c r="AG46" i="10"/>
  <c r="AF46" i="10"/>
  <c r="AE46" i="10"/>
  <c r="AE47" i="10" s="1"/>
  <c r="AD46" i="10"/>
  <c r="AD47" i="10" s="1"/>
  <c r="AC46" i="10"/>
  <c r="AC47" i="10" s="1"/>
  <c r="AB46" i="10"/>
  <c r="AB47" i="10" s="1"/>
  <c r="AA46" i="10"/>
  <c r="AA47" i="10" s="1"/>
  <c r="Z46" i="10"/>
  <c r="Z47" i="10" s="1"/>
  <c r="Y46" i="10"/>
  <c r="Y47" i="10" s="1"/>
  <c r="X46" i="10"/>
  <c r="X47" i="10" s="1"/>
  <c r="W46" i="10"/>
  <c r="V46" i="10"/>
  <c r="U46" i="10"/>
  <c r="T46" i="10"/>
  <c r="S46" i="10"/>
  <c r="R46" i="10"/>
  <c r="Q46" i="10"/>
  <c r="P46" i="10"/>
  <c r="O46" i="10"/>
  <c r="O47" i="10" s="1"/>
  <c r="AD43" i="10" a="1"/>
  <c r="AD43" i="10" s="1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AL33" i="10"/>
  <c r="AK33" i="10"/>
  <c r="AJ33" i="10"/>
  <c r="AI33" i="10"/>
  <c r="AH33" i="10"/>
  <c r="AG33" i="10"/>
  <c r="AF33" i="10"/>
  <c r="AF34" i="10" s="1"/>
  <c r="AE33" i="10"/>
  <c r="AE34" i="10" s="1"/>
  <c r="AD33" i="10"/>
  <c r="AD34" i="10" s="1"/>
  <c r="AC33" i="10"/>
  <c r="AC34" i="10" s="1"/>
  <c r="AB33" i="10"/>
  <c r="AB34" i="10" s="1"/>
  <c r="AA33" i="10"/>
  <c r="AA34" i="10" s="1"/>
  <c r="Z33" i="10"/>
  <c r="Z34" i="10" s="1"/>
  <c r="Y33" i="10"/>
  <c r="Y34" i="10" s="1"/>
  <c r="X33" i="10"/>
  <c r="W33" i="10"/>
  <c r="V33" i="10"/>
  <c r="U33" i="10"/>
  <c r="T33" i="10"/>
  <c r="S33" i="10"/>
  <c r="R33" i="10"/>
  <c r="Q33" i="10"/>
  <c r="P33" i="10"/>
  <c r="P34" i="10" s="1"/>
  <c r="O33" i="10"/>
  <c r="O34" i="10" s="1"/>
  <c r="AE29" i="10" a="1"/>
  <c r="AE29" i="10" s="1"/>
  <c r="AD27" i="10"/>
  <c r="V23" i="8" s="1" a="1"/>
  <c r="V23" i="8" s="1"/>
  <c r="AC27" i="10"/>
  <c r="U23" i="8" s="1" a="1"/>
  <c r="U23" i="8" s="1"/>
  <c r="AB27" i="10"/>
  <c r="T23" i="8" s="1" a="1"/>
  <c r="T23" i="8" s="1"/>
  <c r="AA27" i="10"/>
  <c r="X21" i="10" a="1"/>
  <c r="X21" i="10" s="1"/>
  <c r="Y17" i="10" a="1"/>
  <c r="Y17" i="10" s="1"/>
  <c r="AL1" i="10"/>
  <c r="AK1" i="10"/>
  <c r="AJ1" i="10"/>
  <c r="AI1" i="10"/>
  <c r="AI2" i="10" s="1"/>
  <c r="AH1" i="10"/>
  <c r="AH2" i="10" s="1"/>
  <c r="AG1" i="10"/>
  <c r="AF1" i="10"/>
  <c r="AE1" i="10"/>
  <c r="AE2" i="10" s="1"/>
  <c r="AD1" i="10"/>
  <c r="AD2" i="10" s="1"/>
  <c r="AC1" i="10"/>
  <c r="AC2" i="10" s="1"/>
  <c r="AB1" i="10"/>
  <c r="AB2" i="10" s="1"/>
  <c r="AA1" i="10"/>
  <c r="AA2" i="10" s="1"/>
  <c r="Z1" i="10"/>
  <c r="Z2" i="10" s="1"/>
  <c r="Y1" i="10"/>
  <c r="Y2" i="10" s="1"/>
  <c r="X1" i="10"/>
  <c r="X2" i="10" s="1"/>
  <c r="W1" i="10"/>
  <c r="W2" i="10" s="1"/>
  <c r="V1" i="10"/>
  <c r="V2" i="10" s="1"/>
  <c r="U1" i="10"/>
  <c r="U2" i="10" s="1"/>
  <c r="T1" i="10"/>
  <c r="T2" i="10" s="1"/>
  <c r="S1" i="10"/>
  <c r="S2" i="10" s="1"/>
  <c r="R1" i="10"/>
  <c r="R2" i="10" s="1"/>
  <c r="Q1" i="10"/>
  <c r="Q2" i="10" s="1"/>
  <c r="P1" i="10"/>
  <c r="P2" i="10" s="1"/>
  <c r="O1" i="10"/>
  <c r="O2" i="10" s="1"/>
  <c r="N1" i="10"/>
  <c r="N2" i="10" s="1"/>
  <c r="M1" i="10"/>
  <c r="M2" i="10" s="1"/>
  <c r="L1" i="10"/>
  <c r="L2" i="10" s="1"/>
  <c r="W104" i="8" a="1"/>
  <c r="W104" i="8" s="1"/>
  <c r="V101" i="8" a="1"/>
  <c r="V101" i="8" s="1"/>
  <c r="AD100" i="8" a="1"/>
  <c r="AD100" i="8" s="1"/>
  <c r="AC100" i="8" a="1"/>
  <c r="AC100" i="8" s="1"/>
  <c r="AB100" i="8" a="1"/>
  <c r="AB100" i="8" s="1"/>
  <c r="AA100" i="8" a="1"/>
  <c r="AA100" i="8" s="1"/>
  <c r="Z100" i="8" a="1"/>
  <c r="Z100" i="8" s="1"/>
  <c r="Y100" i="8" a="1"/>
  <c r="Y100" i="8" s="1"/>
  <c r="X100" i="8" a="1"/>
  <c r="X100" i="8" s="1"/>
  <c r="W100" i="8" a="1"/>
  <c r="W100" i="8" s="1"/>
  <c r="V100" i="8" a="1"/>
  <c r="V100" i="8" s="1"/>
  <c r="U100" i="8" a="1"/>
  <c r="U100" i="8" s="1"/>
  <c r="T100" i="8" a="1"/>
  <c r="T100" i="8" s="1"/>
  <c r="S100" i="8" a="1"/>
  <c r="S100" i="8" s="1"/>
  <c r="R100" i="8" a="1"/>
  <c r="R100" i="8" s="1"/>
  <c r="Q100" i="8" a="1"/>
  <c r="Q100" i="8" s="1"/>
  <c r="P100" i="8" a="1"/>
  <c r="P100" i="8" s="1"/>
  <c r="O100" i="8" a="1"/>
  <c r="O100" i="8" s="1"/>
  <c r="N100" i="8" a="1"/>
  <c r="N100" i="8" s="1"/>
  <c r="M100" i="8" a="1"/>
  <c r="M100" i="8" s="1"/>
  <c r="L100" i="8" a="1"/>
  <c r="L100" i="8" s="1"/>
  <c r="K100" i="8" a="1"/>
  <c r="K100" i="8" s="1"/>
  <c r="J100" i="8" a="1"/>
  <c r="J100" i="8" s="1"/>
  <c r="I100" i="8" a="1"/>
  <c r="I100" i="8" s="1"/>
  <c r="H100" i="8" a="1"/>
  <c r="H100" i="8" s="1"/>
  <c r="G100" i="8" a="1"/>
  <c r="G100" i="8" s="1"/>
  <c r="AD99" i="8" a="1"/>
  <c r="AD99" i="8" s="1"/>
  <c r="AC99" i="8" a="1"/>
  <c r="AC99" i="8" s="1"/>
  <c r="AB99" i="8" a="1"/>
  <c r="AB99" i="8" s="1"/>
  <c r="AA99" i="8" a="1"/>
  <c r="AA99" i="8" s="1"/>
  <c r="Z99" i="8" a="1"/>
  <c r="Z99" i="8" s="1"/>
  <c r="Y99" i="8" a="1"/>
  <c r="Y99" i="8" s="1"/>
  <c r="X99" i="8" a="1"/>
  <c r="X99" i="8" s="1"/>
  <c r="W99" i="8" a="1"/>
  <c r="W99" i="8" s="1"/>
  <c r="V99" i="8" a="1"/>
  <c r="V99" i="8" s="1"/>
  <c r="U99" i="8" a="1"/>
  <c r="U99" i="8" s="1"/>
  <c r="T99" i="8" a="1"/>
  <c r="T99" i="8" s="1"/>
  <c r="S99" i="8" a="1"/>
  <c r="S99" i="8" s="1"/>
  <c r="R99" i="8" a="1"/>
  <c r="R99" i="8" s="1"/>
  <c r="Q99" i="8" a="1"/>
  <c r="Q99" i="8" s="1"/>
  <c r="P99" i="8" a="1"/>
  <c r="P99" i="8" s="1"/>
  <c r="O99" i="8" a="1"/>
  <c r="O99" i="8" s="1"/>
  <c r="N99" i="8" a="1"/>
  <c r="N99" i="8" s="1"/>
  <c r="M99" i="8" a="1"/>
  <c r="M99" i="8" s="1"/>
  <c r="L99" i="8" a="1"/>
  <c r="L99" i="8" s="1"/>
  <c r="K99" i="8" a="1"/>
  <c r="K99" i="8" s="1"/>
  <c r="J99" i="8" a="1"/>
  <c r="J99" i="8" s="1"/>
  <c r="I99" i="8" a="1"/>
  <c r="I99" i="8" s="1"/>
  <c r="H99" i="8" a="1"/>
  <c r="H99" i="8" s="1"/>
  <c r="G99" i="8" a="1"/>
  <c r="G99" i="8" s="1"/>
  <c r="U95" i="8" a="1"/>
  <c r="U95" i="8" s="1"/>
  <c r="AC92" i="8" a="1"/>
  <c r="AC92" i="8" s="1"/>
  <c r="AA92" i="8" a="1"/>
  <c r="AA92" i="8" s="1"/>
  <c r="Z92" i="8" a="1"/>
  <c r="Z92" i="8" s="1"/>
  <c r="Y92" i="8" a="1"/>
  <c r="Y92" i="8" s="1"/>
  <c r="M92" i="8" a="1"/>
  <c r="M92" i="8" s="1"/>
  <c r="K92" i="8" a="1"/>
  <c r="K92" i="8" s="1"/>
  <c r="J92" i="8" a="1"/>
  <c r="J92" i="8" s="1"/>
  <c r="I92" i="8" a="1"/>
  <c r="I92" i="8" s="1"/>
  <c r="H92" i="8" a="1"/>
  <c r="H92" i="8" s="1"/>
  <c r="G92" i="8" a="1"/>
  <c r="G92" i="8" s="1"/>
  <c r="P91" i="8" a="1"/>
  <c r="P91" i="8" s="1"/>
  <c r="M91" i="8" a="1"/>
  <c r="M91" i="8" s="1"/>
  <c r="L91" i="8" a="1"/>
  <c r="L91" i="8" s="1"/>
  <c r="J91" i="8" a="1"/>
  <c r="J91" i="8" s="1"/>
  <c r="I91" i="8" a="1"/>
  <c r="I91" i="8" s="1"/>
  <c r="H91" i="8" a="1"/>
  <c r="H91" i="8" s="1"/>
  <c r="AD90" i="8" a="1"/>
  <c r="AD90" i="8" s="1"/>
  <c r="AC90" i="8" a="1"/>
  <c r="AC90" i="8" s="1"/>
  <c r="AB90" i="8" a="1"/>
  <c r="AB90" i="8" s="1"/>
  <c r="AA90" i="8" a="1"/>
  <c r="AA90" i="8" s="1"/>
  <c r="Z90" i="8" a="1"/>
  <c r="Z90" i="8" s="1"/>
  <c r="Y90" i="8" a="1"/>
  <c r="Y90" i="8" s="1"/>
  <c r="X90" i="8" a="1"/>
  <c r="X90" i="8" s="1"/>
  <c r="W90" i="8" a="1"/>
  <c r="W90" i="8" s="1"/>
  <c r="V90" i="8" a="1"/>
  <c r="V90" i="8" s="1"/>
  <c r="U90" i="8" a="1"/>
  <c r="U90" i="8" s="1"/>
  <c r="T90" i="8" a="1"/>
  <c r="T90" i="8" s="1"/>
  <c r="S90" i="8" a="1"/>
  <c r="S90" i="8" s="1"/>
  <c r="R90" i="8" a="1"/>
  <c r="R90" i="8" s="1"/>
  <c r="Q90" i="8" a="1"/>
  <c r="Q90" i="8" s="1"/>
  <c r="P90" i="8" a="1"/>
  <c r="P90" i="8" s="1"/>
  <c r="O90" i="8" a="1"/>
  <c r="O90" i="8" s="1"/>
  <c r="N90" i="8" a="1"/>
  <c r="N90" i="8" s="1"/>
  <c r="M90" i="8" a="1"/>
  <c r="M90" i="8" s="1"/>
  <c r="L90" i="8" a="1"/>
  <c r="L90" i="8" s="1"/>
  <c r="K90" i="8" a="1"/>
  <c r="K90" i="8" s="1"/>
  <c r="J90" i="8" a="1"/>
  <c r="J90" i="8" s="1"/>
  <c r="I90" i="8" a="1"/>
  <c r="I90" i="8" s="1"/>
  <c r="H90" i="8" a="1"/>
  <c r="H90" i="8" s="1"/>
  <c r="G90" i="8" a="1"/>
  <c r="G90" i="8" s="1"/>
  <c r="AD86" i="8" a="1"/>
  <c r="AD86" i="8" s="1"/>
  <c r="X86" i="8" a="1"/>
  <c r="X86" i="8" s="1"/>
  <c r="W86" i="8" a="1"/>
  <c r="W86" i="8" s="1"/>
  <c r="U86" i="8" a="1"/>
  <c r="U86" i="8" s="1"/>
  <c r="S86" i="8" a="1"/>
  <c r="S86" i="8" s="1"/>
  <c r="R86" i="8" a="1"/>
  <c r="R86" i="8" s="1"/>
  <c r="Q86" i="8" a="1"/>
  <c r="Q86" i="8" s="1"/>
  <c r="P86" i="8" a="1"/>
  <c r="P86" i="8" s="1"/>
  <c r="O86" i="8" a="1"/>
  <c r="O86" i="8" s="1"/>
  <c r="N86" i="8" a="1"/>
  <c r="N86" i="8" s="1"/>
  <c r="H86" i="8" a="1"/>
  <c r="H86" i="8" s="1"/>
  <c r="G86" i="8" a="1"/>
  <c r="G86" i="8" s="1"/>
  <c r="AC83" i="8" a="1"/>
  <c r="AC83" i="8" s="1"/>
  <c r="AA83" i="8" a="1"/>
  <c r="AA83" i="8" s="1"/>
  <c r="Z83" i="8" a="1"/>
  <c r="Z83" i="8" s="1"/>
  <c r="Y83" i="8" a="1"/>
  <c r="Y83" i="8" s="1"/>
  <c r="X83" i="8" a="1"/>
  <c r="X83" i="8" s="1"/>
  <c r="W83" i="8" a="1"/>
  <c r="W83" i="8" s="1"/>
  <c r="V83" i="8" a="1"/>
  <c r="V83" i="8" s="1"/>
  <c r="P83" i="8" a="1"/>
  <c r="P83" i="8" s="1"/>
  <c r="O83" i="8" a="1"/>
  <c r="O83" i="8" s="1"/>
  <c r="M83" i="8" a="1"/>
  <c r="M83" i="8" s="1"/>
  <c r="K83" i="8" a="1"/>
  <c r="K83" i="8" s="1"/>
  <c r="J83" i="8" a="1"/>
  <c r="J83" i="8" s="1"/>
  <c r="I83" i="8" a="1"/>
  <c r="I83" i="8" s="1"/>
  <c r="H83" i="8" a="1"/>
  <c r="H83" i="8" s="1"/>
  <c r="G83" i="8" a="1"/>
  <c r="G83" i="8" s="1"/>
  <c r="AD82" i="8" a="1"/>
  <c r="AD82" i="8" s="1"/>
  <c r="AC82" i="8" a="1"/>
  <c r="AC82" i="8" s="1"/>
  <c r="AB82" i="8" a="1"/>
  <c r="AB82" i="8" s="1"/>
  <c r="AA82" i="8" a="1"/>
  <c r="AA82" i="8" s="1"/>
  <c r="Z82" i="8" a="1"/>
  <c r="Z82" i="8" s="1"/>
  <c r="Y82" i="8" a="1"/>
  <c r="Y82" i="8" s="1"/>
  <c r="X82" i="8" a="1"/>
  <c r="X82" i="8" s="1"/>
  <c r="S82" i="8" a="1"/>
  <c r="S82" i="8" s="1"/>
  <c r="P82" i="8" a="1"/>
  <c r="P82" i="8" s="1"/>
  <c r="M82" i="8" a="1"/>
  <c r="M82" i="8" s="1"/>
  <c r="L82" i="8" a="1"/>
  <c r="L82" i="8" s="1"/>
  <c r="K82" i="8" a="1"/>
  <c r="K82" i="8" s="1"/>
  <c r="AD81" i="8" a="1"/>
  <c r="AD81" i="8" s="1"/>
  <c r="AC81" i="8" a="1"/>
  <c r="AC81" i="8" s="1"/>
  <c r="AB81" i="8" a="1"/>
  <c r="AB81" i="8" s="1"/>
  <c r="AA81" i="8" a="1"/>
  <c r="AA81" i="8" s="1"/>
  <c r="Z81" i="8" a="1"/>
  <c r="Z81" i="8" s="1"/>
  <c r="Y81" i="8" a="1"/>
  <c r="Y81" i="8" s="1"/>
  <c r="X81" i="8" a="1"/>
  <c r="X81" i="8" s="1"/>
  <c r="W81" i="8" a="1"/>
  <c r="W81" i="8" s="1"/>
  <c r="V81" i="8" a="1"/>
  <c r="V81" i="8" s="1"/>
  <c r="U81" i="8" a="1"/>
  <c r="U81" i="8" s="1"/>
  <c r="T81" i="8" a="1"/>
  <c r="T81" i="8" s="1"/>
  <c r="S81" i="8" a="1"/>
  <c r="S81" i="8" s="1"/>
  <c r="R81" i="8" a="1"/>
  <c r="R81" i="8" s="1"/>
  <c r="Q81" i="8" a="1"/>
  <c r="Q81" i="8" s="1"/>
  <c r="P81" i="8" a="1"/>
  <c r="P81" i="8" s="1"/>
  <c r="O81" i="8" a="1"/>
  <c r="O81" i="8" s="1"/>
  <c r="N81" i="8" a="1"/>
  <c r="N81" i="8" s="1"/>
  <c r="M81" i="8" a="1"/>
  <c r="M81" i="8" s="1"/>
  <c r="L81" i="8" a="1"/>
  <c r="L81" i="8" s="1"/>
  <c r="K81" i="8" a="1"/>
  <c r="K81" i="8" s="1"/>
  <c r="J81" i="8" a="1"/>
  <c r="J81" i="8" s="1"/>
  <c r="I81" i="8" a="1"/>
  <c r="I81" i="8" s="1"/>
  <c r="H81" i="8" a="1"/>
  <c r="H81" i="8" s="1"/>
  <c r="G81" i="8" a="1"/>
  <c r="G81" i="8" s="1"/>
  <c r="AC77" i="8" a="1"/>
  <c r="AC77" i="8" s="1"/>
  <c r="AA77" i="8" a="1"/>
  <c r="AA77" i="8" s="1"/>
  <c r="Z77" i="8" a="1"/>
  <c r="Z77" i="8" s="1"/>
  <c r="Y77" i="8" a="1"/>
  <c r="Y77" i="8" s="1"/>
  <c r="X77" i="8" a="1"/>
  <c r="X77" i="8" s="1"/>
  <c r="W77" i="8" a="1"/>
  <c r="W77" i="8" s="1"/>
  <c r="V77" i="8" a="1"/>
  <c r="V77" i="8" s="1"/>
  <c r="P77" i="8" a="1"/>
  <c r="P77" i="8" s="1"/>
  <c r="O77" i="8" a="1"/>
  <c r="O77" i="8" s="1"/>
  <c r="M77" i="8" a="1"/>
  <c r="M77" i="8" s="1"/>
  <c r="K77" i="8" a="1"/>
  <c r="K77" i="8" s="1"/>
  <c r="J77" i="8" a="1"/>
  <c r="J77" i="8" s="1"/>
  <c r="I77" i="8" a="1"/>
  <c r="I77" i="8" s="1"/>
  <c r="H77" i="8" a="1"/>
  <c r="H77" i="8" s="1"/>
  <c r="G77" i="8" a="1"/>
  <c r="G77" i="8" s="1"/>
  <c r="AD74" i="8" a="1"/>
  <c r="AD74" i="8" s="1"/>
  <c r="X74" i="8" a="1"/>
  <c r="X74" i="8" s="1"/>
  <c r="W74" i="8" a="1"/>
  <c r="W74" i="8" s="1"/>
  <c r="U74" i="8" a="1"/>
  <c r="U74" i="8" s="1"/>
  <c r="S74" i="8" a="1"/>
  <c r="S74" i="8" s="1"/>
  <c r="R74" i="8" a="1"/>
  <c r="R74" i="8" s="1"/>
  <c r="Q74" i="8" a="1"/>
  <c r="Q74" i="8" s="1"/>
  <c r="P74" i="8" a="1"/>
  <c r="P74" i="8" s="1"/>
  <c r="O74" i="8" a="1"/>
  <c r="O74" i="8" s="1"/>
  <c r="N74" i="8" a="1"/>
  <c r="N74" i="8" s="1"/>
  <c r="H74" i="8" a="1"/>
  <c r="H74" i="8" s="1"/>
  <c r="G74" i="8" a="1"/>
  <c r="G74" i="8" s="1"/>
  <c r="AC69" i="8" a="1"/>
  <c r="AC69" i="8" s="1"/>
  <c r="AB69" i="8" a="1"/>
  <c r="AB69" i="8" s="1"/>
  <c r="AA69" i="8" a="1"/>
  <c r="AA69" i="8" s="1"/>
  <c r="Z69" i="8" a="1"/>
  <c r="Z69" i="8" s="1"/>
  <c r="Y69" i="8" a="1"/>
  <c r="Y69" i="8" s="1"/>
  <c r="X69" i="8" a="1"/>
  <c r="X69" i="8" s="1"/>
  <c r="R69" i="8" a="1"/>
  <c r="R69" i="8" s="1"/>
  <c r="Q69" i="8" a="1"/>
  <c r="Q69" i="8" s="1"/>
  <c r="O69" i="8" a="1"/>
  <c r="O69" i="8" s="1"/>
  <c r="M69" i="8" a="1"/>
  <c r="M69" i="8" s="1"/>
  <c r="L69" i="8" a="1"/>
  <c r="L69" i="8" s="1"/>
  <c r="K69" i="8" a="1"/>
  <c r="K69" i="8" s="1"/>
  <c r="J69" i="8" a="1"/>
  <c r="J69" i="8" s="1"/>
  <c r="I69" i="8" a="1"/>
  <c r="I69" i="8" s="1"/>
  <c r="H69" i="8" a="1"/>
  <c r="H69" i="8" s="1"/>
  <c r="Z66" i="8" a="1"/>
  <c r="Z66" i="8" s="1"/>
  <c r="Y66" i="8" a="1"/>
  <c r="Y66" i="8" s="1"/>
  <c r="W66" i="8" a="1"/>
  <c r="W66" i="8" s="1"/>
  <c r="U66" i="8" a="1"/>
  <c r="U66" i="8" s="1"/>
  <c r="T66" i="8" a="1"/>
  <c r="T66" i="8" s="1"/>
  <c r="S66" i="8" a="1"/>
  <c r="S66" i="8" s="1"/>
  <c r="R66" i="8" a="1"/>
  <c r="R66" i="8" s="1"/>
  <c r="Q66" i="8" a="1"/>
  <c r="Q66" i="8" s="1"/>
  <c r="P66" i="8" a="1"/>
  <c r="P66" i="8" s="1"/>
  <c r="J66" i="8" a="1"/>
  <c r="J66" i="8" s="1"/>
  <c r="I66" i="8" a="1"/>
  <c r="I66" i="8" s="1"/>
  <c r="G66" i="8" a="1"/>
  <c r="G66" i="8" s="1"/>
  <c r="AD60" i="8" a="1"/>
  <c r="AD60" i="8" s="1"/>
  <c r="AC60" i="8" a="1"/>
  <c r="AC60" i="8" s="1"/>
  <c r="AB60" i="8" a="1"/>
  <c r="AB60" i="8" s="1"/>
  <c r="AA60" i="8" a="1"/>
  <c r="AA60" i="8" s="1"/>
  <c r="Z60" i="8" a="1"/>
  <c r="Z60" i="8" s="1"/>
  <c r="T60" i="8" a="1"/>
  <c r="T60" i="8" s="1"/>
  <c r="S60" i="8" a="1"/>
  <c r="S60" i="8" s="1"/>
  <c r="Q60" i="8" a="1"/>
  <c r="Q60" i="8" s="1"/>
  <c r="O60" i="8" a="1"/>
  <c r="O60" i="8" s="1"/>
  <c r="N60" i="8" a="1"/>
  <c r="N60" i="8" s="1"/>
  <c r="M60" i="8" a="1"/>
  <c r="M60" i="8" s="1"/>
  <c r="L60" i="8" a="1"/>
  <c r="L60" i="8" s="1"/>
  <c r="K60" i="8" a="1"/>
  <c r="K60" i="8" s="1"/>
  <c r="J60" i="8" a="1"/>
  <c r="J60" i="8" s="1"/>
  <c r="AB57" i="8" a="1"/>
  <c r="AB57" i="8" s="1"/>
  <c r="AA57" i="8" a="1"/>
  <c r="AA57" i="8" s="1"/>
  <c r="Y57" i="8" a="1"/>
  <c r="Y57" i="8" s="1"/>
  <c r="W57" i="8" a="1"/>
  <c r="W57" i="8" s="1"/>
  <c r="V57" i="8" a="1"/>
  <c r="V57" i="8" s="1"/>
  <c r="U57" i="8" a="1"/>
  <c r="U57" i="8" s="1"/>
  <c r="T57" i="8" a="1"/>
  <c r="T57" i="8" s="1"/>
  <c r="S57" i="8" a="1"/>
  <c r="S57" i="8" s="1"/>
  <c r="R57" i="8" a="1"/>
  <c r="R57" i="8" s="1"/>
  <c r="L57" i="8" a="1"/>
  <c r="L57" i="8" s="1"/>
  <c r="K57" i="8" a="1"/>
  <c r="K57" i="8" s="1"/>
  <c r="I57" i="8" a="1"/>
  <c r="I57" i="8" s="1"/>
  <c r="G57" i="8" a="1"/>
  <c r="G57" i="8" s="1"/>
  <c r="AD44" i="8" a="1"/>
  <c r="AD44" i="8" s="1"/>
  <c r="AC44" i="8" a="1"/>
  <c r="AC44" i="8" s="1"/>
  <c r="AB44" i="8" a="1"/>
  <c r="AB44" i="8" s="1"/>
  <c r="AA44" i="8" a="1"/>
  <c r="AA44" i="8" s="1"/>
  <c r="Z44" i="8" a="1"/>
  <c r="Z44" i="8" s="1"/>
  <c r="W44" i="8" a="1"/>
  <c r="W44" i="8" s="1"/>
  <c r="T44" i="8" a="1"/>
  <c r="T44" i="8" s="1"/>
  <c r="S44" i="8" a="1"/>
  <c r="S44" i="8" s="1"/>
  <c r="Q44" i="8" a="1"/>
  <c r="Q44" i="8" s="1"/>
  <c r="O44" i="8" a="1"/>
  <c r="O44" i="8" s="1"/>
  <c r="N44" i="8" a="1"/>
  <c r="N44" i="8" s="1"/>
  <c r="M44" i="8" a="1"/>
  <c r="M44" i="8" s="1"/>
  <c r="L44" i="8" a="1"/>
  <c r="L44" i="8" s="1"/>
  <c r="K44" i="8" a="1"/>
  <c r="K44" i="8" s="1"/>
  <c r="J44" i="8" a="1"/>
  <c r="J44" i="8" s="1"/>
  <c r="G44" i="8" a="1"/>
  <c r="G44" i="8" s="1"/>
  <c r="AB41" i="8" a="1"/>
  <c r="AB41" i="8" s="1"/>
  <c r="AA41" i="8" a="1"/>
  <c r="AA41" i="8" s="1"/>
  <c r="Y41" i="8" a="1"/>
  <c r="Y41" i="8" s="1"/>
  <c r="W41" i="8" a="1"/>
  <c r="W41" i="8" s="1"/>
  <c r="V41" i="8" a="1"/>
  <c r="V41" i="8" s="1"/>
  <c r="U41" i="8" a="1"/>
  <c r="U41" i="8" s="1"/>
  <c r="T41" i="8" a="1"/>
  <c r="T41" i="8" s="1"/>
  <c r="S41" i="8" a="1"/>
  <c r="S41" i="8" s="1"/>
  <c r="R41" i="8" a="1"/>
  <c r="R41" i="8" s="1"/>
  <c r="P41" i="8" a="1"/>
  <c r="P41" i="8" s="1"/>
  <c r="O41" i="8" a="1"/>
  <c r="O41" i="8" s="1"/>
  <c r="L41" i="8" a="1"/>
  <c r="L41" i="8" s="1"/>
  <c r="K41" i="8" a="1"/>
  <c r="K41" i="8" s="1"/>
  <c r="I41" i="8" a="1"/>
  <c r="I41" i="8" s="1"/>
  <c r="G41" i="8" a="1"/>
  <c r="G41" i="8" s="1"/>
  <c r="AD52" i="8" a="1"/>
  <c r="AD52" i="8" s="1"/>
  <c r="AC52" i="8" a="1"/>
  <c r="AC52" i="8" s="1"/>
  <c r="AB52" i="8" a="1"/>
  <c r="AB52" i="8" s="1"/>
  <c r="AA52" i="8" a="1"/>
  <c r="AA52" i="8" s="1"/>
  <c r="Z52" i="8" a="1"/>
  <c r="Z52" i="8" s="1"/>
  <c r="X52" i="8" a="1"/>
  <c r="X52" i="8" s="1"/>
  <c r="W52" i="8" a="1"/>
  <c r="W52" i="8" s="1"/>
  <c r="T52" i="8" a="1"/>
  <c r="T52" i="8" s="1"/>
  <c r="S52" i="8" a="1"/>
  <c r="S52" i="8" s="1"/>
  <c r="AC49" i="8" a="1"/>
  <c r="AC49" i="8" s="1"/>
  <c r="AA49" i="8" a="1"/>
  <c r="AA49" i="8" s="1"/>
  <c r="Z49" i="8" a="1"/>
  <c r="Z49" i="8" s="1"/>
  <c r="Y49" i="8" a="1"/>
  <c r="Y49" i="8" s="1"/>
  <c r="X49" i="8" a="1"/>
  <c r="X49" i="8" s="1"/>
  <c r="W49" i="8" a="1"/>
  <c r="W49" i="8" s="1"/>
  <c r="V49" i="8" a="1"/>
  <c r="V49" i="8" s="1"/>
  <c r="T49" i="8" a="1"/>
  <c r="T49" i="8" s="1"/>
  <c r="S49" i="8" a="1"/>
  <c r="S49" i="8" s="1"/>
  <c r="R48" i="8" a="1"/>
  <c r="R48" i="8" s="1"/>
  <c r="Q48" i="8" a="1"/>
  <c r="Q48" i="8" s="1"/>
  <c r="P48" i="8" a="1"/>
  <c r="P48" i="8" s="1"/>
  <c r="O48" i="8" a="1"/>
  <c r="O48" i="8" s="1"/>
  <c r="N48" i="8" a="1"/>
  <c r="N48" i="8" s="1"/>
  <c r="M48" i="8" a="1"/>
  <c r="M48" i="8" s="1"/>
  <c r="L48" i="8" a="1"/>
  <c r="L48" i="8" s="1"/>
  <c r="K48" i="8" a="1"/>
  <c r="K48" i="8" s="1"/>
  <c r="J48" i="8" a="1"/>
  <c r="J48" i="8" s="1"/>
  <c r="I48" i="8" a="1"/>
  <c r="I48" i="8" s="1"/>
  <c r="H48" i="8" a="1"/>
  <c r="H48" i="8" s="1"/>
  <c r="G48" i="8" a="1"/>
  <c r="G48" i="8" s="1"/>
  <c r="R47" i="8" a="1"/>
  <c r="R47" i="8" s="1"/>
  <c r="Q47" i="8" a="1"/>
  <c r="Q47" i="8" s="1"/>
  <c r="P47" i="8" a="1"/>
  <c r="P47" i="8" s="1"/>
  <c r="O47" i="8" a="1"/>
  <c r="O47" i="8" s="1"/>
  <c r="N47" i="8" a="1"/>
  <c r="N47" i="8" s="1"/>
  <c r="M47" i="8" a="1"/>
  <c r="M47" i="8" s="1"/>
  <c r="L47" i="8" a="1"/>
  <c r="L47" i="8" s="1"/>
  <c r="K47" i="8" a="1"/>
  <c r="K47" i="8" s="1"/>
  <c r="J47" i="8" a="1"/>
  <c r="J47" i="8" s="1"/>
  <c r="I47" i="8" a="1"/>
  <c r="I47" i="8" s="1"/>
  <c r="H47" i="8" a="1"/>
  <c r="H47" i="8" s="1"/>
  <c r="G47" i="8" a="1"/>
  <c r="G47" i="8" s="1"/>
  <c r="AD36" i="8" a="1"/>
  <c r="AD36" i="8" s="1"/>
  <c r="AC36" i="8" a="1"/>
  <c r="AC36" i="8" s="1"/>
  <c r="AB36" i="8" a="1"/>
  <c r="AB36" i="8" s="1"/>
  <c r="AA36" i="8" a="1"/>
  <c r="AA36" i="8" s="1"/>
  <c r="Z36" i="8" a="1"/>
  <c r="Z36" i="8" s="1"/>
  <c r="X36" i="8" a="1"/>
  <c r="X36" i="8" s="1"/>
  <c r="W36" i="8" a="1"/>
  <c r="W36" i="8" s="1"/>
  <c r="V36" i="8" a="1"/>
  <c r="V36" i="8" s="1"/>
  <c r="T36" i="8" a="1"/>
  <c r="T36" i="8" s="1"/>
  <c r="S36" i="8" a="1"/>
  <c r="S36" i="8" s="1"/>
  <c r="Q36" i="8" a="1"/>
  <c r="Q36" i="8" s="1"/>
  <c r="O36" i="8" a="1"/>
  <c r="O36" i="8" s="1"/>
  <c r="N36" i="8" a="1"/>
  <c r="N36" i="8" s="1"/>
  <c r="M36" i="8" a="1"/>
  <c r="M36" i="8" s="1"/>
  <c r="L36" i="8" a="1"/>
  <c r="L36" i="8" s="1"/>
  <c r="K36" i="8" a="1"/>
  <c r="K36" i="8" s="1"/>
  <c r="J36" i="8" a="1"/>
  <c r="J36" i="8" s="1"/>
  <c r="I36" i="8" a="1"/>
  <c r="I36" i="8" s="1"/>
  <c r="H36" i="8" a="1"/>
  <c r="H36" i="8" s="1"/>
  <c r="G36" i="8" a="1"/>
  <c r="G36" i="8" s="1"/>
  <c r="AD33" i="8" a="1"/>
  <c r="AD33" i="8" s="1"/>
  <c r="AC33" i="8" a="1"/>
  <c r="AC33" i="8" s="1"/>
  <c r="AB33" i="8" a="1"/>
  <c r="AB33" i="8" s="1"/>
  <c r="AA33" i="8" a="1"/>
  <c r="AA33" i="8" s="1"/>
  <c r="Y33" i="8" a="1"/>
  <c r="Y33" i="8" s="1"/>
  <c r="X33" i="8" a="1"/>
  <c r="X33" i="8" s="1"/>
  <c r="W33" i="8" a="1"/>
  <c r="W33" i="8" s="1"/>
  <c r="V33" i="8" a="1"/>
  <c r="V33" i="8" s="1"/>
  <c r="U33" i="8" a="1"/>
  <c r="U33" i="8" s="1"/>
  <c r="T33" i="8" a="1"/>
  <c r="T33" i="8" s="1"/>
  <c r="S33" i="8" a="1"/>
  <c r="S33" i="8" s="1"/>
  <c r="R33" i="8" a="1"/>
  <c r="R33" i="8" s="1"/>
  <c r="Q33" i="8" a="1"/>
  <c r="Q33" i="8" s="1"/>
  <c r="P33" i="8" a="1"/>
  <c r="P33" i="8" s="1"/>
  <c r="O33" i="8" a="1"/>
  <c r="O33" i="8" s="1"/>
  <c r="N33" i="8" a="1"/>
  <c r="N33" i="8" s="1"/>
  <c r="M33" i="8" a="1"/>
  <c r="M33" i="8" s="1"/>
  <c r="L33" i="8" a="1"/>
  <c r="L33" i="8" s="1"/>
  <c r="K33" i="8" a="1"/>
  <c r="K33" i="8" s="1"/>
  <c r="I33" i="8" a="1"/>
  <c r="I33" i="8" s="1"/>
  <c r="H33" i="8" a="1"/>
  <c r="H33" i="8" s="1"/>
  <c r="G33" i="8" a="1"/>
  <c r="G33" i="8" s="1"/>
  <c r="AD27" i="8" a="1"/>
  <c r="AD27" i="8" s="1"/>
  <c r="AC27" i="8" a="1"/>
  <c r="AC27" i="8" s="1"/>
  <c r="AB27" i="8" a="1"/>
  <c r="AB27" i="8" s="1"/>
  <c r="AA27" i="8" a="1"/>
  <c r="AA27" i="8" s="1"/>
  <c r="Z27" i="8" a="1"/>
  <c r="Z27" i="8" s="1"/>
  <c r="Y27" i="8" a="1"/>
  <c r="Y27" i="8" s="1"/>
  <c r="X27" i="8" a="1"/>
  <c r="X27" i="8" s="1"/>
  <c r="W27" i="8" a="1"/>
  <c r="W27" i="8" s="1"/>
  <c r="V27" i="8" a="1"/>
  <c r="V27" i="8" s="1"/>
  <c r="U27" i="8" a="1"/>
  <c r="U27" i="8" s="1"/>
  <c r="T27" i="8" a="1"/>
  <c r="T27" i="8" s="1"/>
  <c r="S27" i="8" a="1"/>
  <c r="S27" i="8" s="1"/>
  <c r="AC24" i="8" a="1"/>
  <c r="AC24" i="8" s="1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 s="1"/>
  <c r="T24" i="8" a="1"/>
  <c r="T24" i="8" s="1"/>
  <c r="S24" i="8" a="1"/>
  <c r="S24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S23" i="8" a="1"/>
  <c r="S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X15" i="8" a="1"/>
  <c r="X15" i="8" s="1"/>
  <c r="W15" i="8" a="1"/>
  <c r="W15" i="8" s="1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H15" i="8" a="1"/>
  <c r="H15" i="8" s="1"/>
  <c r="G15" i="8" a="1"/>
  <c r="G15" i="8" s="1"/>
  <c r="AD2" i="8"/>
  <c r="AC2" i="8"/>
  <c r="AB2" i="8"/>
  <c r="AA2" i="8"/>
  <c r="Z2" i="8"/>
  <c r="Y2" i="8"/>
  <c r="X2" i="8"/>
  <c r="W2" i="8"/>
  <c r="N2" i="8"/>
  <c r="M2" i="8"/>
  <c r="L2" i="8"/>
  <c r="K2" i="8"/>
  <c r="J2" i="8"/>
  <c r="I2" i="8"/>
  <c r="H2" i="8"/>
  <c r="G2" i="8"/>
  <c r="AD1" i="8"/>
  <c r="AC1" i="8"/>
  <c r="AB1" i="8"/>
  <c r="AA1" i="8"/>
  <c r="Z1" i="8"/>
  <c r="Y1" i="8"/>
  <c r="X1" i="8"/>
  <c r="W1" i="8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O1" i="8"/>
  <c r="O2" i="8" s="1"/>
  <c r="N1" i="8"/>
  <c r="M1" i="8"/>
  <c r="L1" i="8"/>
  <c r="K1" i="8"/>
  <c r="J1" i="8"/>
  <c r="I1" i="8"/>
  <c r="H1" i="8"/>
  <c r="G1" i="8"/>
  <c r="AL2" i="10" l="1"/>
  <c r="AL90" i="10" a="1"/>
  <c r="AL90" i="10" s="1"/>
  <c r="AL91" i="10" a="1"/>
  <c r="AL91" i="10" s="1"/>
  <c r="AL78" i="10" a="1"/>
  <c r="AL78" i="10" s="1"/>
  <c r="AL19" i="10" a="1"/>
  <c r="AL19" i="10" s="1"/>
  <c r="AL22" i="10" s="1"/>
  <c r="AL77" i="10" a="1"/>
  <c r="AL77" i="10" s="1"/>
  <c r="AL20" i="10" a="1"/>
  <c r="AL20" i="10" s="1"/>
  <c r="AL23" i="10" s="1"/>
  <c r="AB30" i="13" a="1"/>
  <c r="AB30" i="13" s="1"/>
  <c r="AG21" i="10" a="1"/>
  <c r="AG21" i="10" s="1"/>
  <c r="I15" i="8" a="1"/>
  <c r="I15" i="8" s="1"/>
  <c r="Y15" i="8" a="1"/>
  <c r="Y15" i="8" s="1"/>
  <c r="Q18" i="8" a="1"/>
  <c r="Q18" i="8" s="1"/>
  <c r="AD24" i="8" a="1"/>
  <c r="AD24" i="8" s="1"/>
  <c r="J33" i="8" a="1"/>
  <c r="J33" i="8" s="1"/>
  <c r="Z33" i="8" a="1"/>
  <c r="Z33" i="8" s="1"/>
  <c r="R36" i="8" a="1"/>
  <c r="R36" i="8" s="1"/>
  <c r="AD49" i="8" a="1"/>
  <c r="AD49" i="8" s="1"/>
  <c r="J41" i="8" a="1"/>
  <c r="J41" i="8" s="1"/>
  <c r="Z41" i="8" a="1"/>
  <c r="Z41" i="8" s="1"/>
  <c r="R44" i="8" a="1"/>
  <c r="R44" i="8" s="1"/>
  <c r="J57" i="8" a="1"/>
  <c r="J57" i="8" s="1"/>
  <c r="Z57" i="8" a="1"/>
  <c r="Z57" i="8" s="1"/>
  <c r="R60" i="8" a="1"/>
  <c r="R60" i="8" s="1"/>
  <c r="H66" i="8" a="1"/>
  <c r="H66" i="8" s="1"/>
  <c r="X66" i="8" a="1"/>
  <c r="X66" i="8" s="1"/>
  <c r="P69" i="8" a="1"/>
  <c r="P69" i="8" s="1"/>
  <c r="V74" i="8" a="1"/>
  <c r="V74" i="8" s="1"/>
  <c r="N77" i="8" a="1"/>
  <c r="N77" i="8" s="1"/>
  <c r="AD77" i="8" a="1"/>
  <c r="AD77" i="8" s="1"/>
  <c r="N83" i="8" a="1"/>
  <c r="N83" i="8" s="1"/>
  <c r="AD83" i="8" a="1"/>
  <c r="AD83" i="8" s="1"/>
  <c r="V86" i="8" a="1"/>
  <c r="V86" i="8" s="1"/>
  <c r="N92" i="8" a="1"/>
  <c r="N92" i="8" s="1"/>
  <c r="AD92" i="8" a="1"/>
  <c r="AD92" i="8" s="1"/>
  <c r="V95" i="8" a="1"/>
  <c r="V95" i="8" s="1"/>
  <c r="W101" i="8" a="1"/>
  <c r="W101" i="8" s="1"/>
  <c r="X104" i="8" a="1"/>
  <c r="X104" i="8" s="1"/>
  <c r="Z17" i="10" a="1"/>
  <c r="Z17" i="10" s="1"/>
  <c r="Y21" i="10" a="1"/>
  <c r="Y21" i="10" s="1"/>
  <c r="O43" i="10" a="1"/>
  <c r="O43" i="10" s="1"/>
  <c r="AE43" i="10" a="1"/>
  <c r="AE43" i="10" s="1"/>
  <c r="AD56" i="10" a="1"/>
  <c r="AD56" i="10" s="1"/>
  <c r="X67" i="10" a="1"/>
  <c r="X67" i="10" s="1"/>
  <c r="X76" i="10" a="1"/>
  <c r="X76" i="10" s="1"/>
  <c r="W79" i="10" a="1"/>
  <c r="W79" i="10" s="1"/>
  <c r="W89" i="10" a="1"/>
  <c r="W89" i="10" s="1"/>
  <c r="V92" i="10" a="1"/>
  <c r="V92" i="10" s="1"/>
  <c r="S99" i="10" a="1"/>
  <c r="S99" i="10" s="1"/>
  <c r="Z106" i="10" a="1"/>
  <c r="Z106" i="10" s="1"/>
  <c r="I11" i="13" a="1"/>
  <c r="I11" i="13" s="1"/>
  <c r="G12" i="13" a="1"/>
  <c r="G12" i="13" s="1"/>
  <c r="E30" i="13" a="1"/>
  <c r="E30" i="13" s="1"/>
  <c r="U30" i="13" a="1"/>
  <c r="U30" i="13" s="1"/>
  <c r="N31" i="13" a="1"/>
  <c r="N31" i="13" s="1"/>
  <c r="N37" i="13" s="1"/>
  <c r="X17" i="11" a="1"/>
  <c r="X17" i="11" s="1"/>
  <c r="Z24" i="11" a="1"/>
  <c r="Z24" i="11" s="1"/>
  <c r="AA41" i="11" a="1"/>
  <c r="AA41" i="11" s="1"/>
  <c r="AB57" i="11" a="1"/>
  <c r="AB57" i="11" s="1"/>
  <c r="P83" i="11" a="1"/>
  <c r="P83" i="11" s="1"/>
  <c r="R89" i="11" a="1"/>
  <c r="R89" i="11" s="1"/>
  <c r="T97" i="11" a="1"/>
  <c r="T97" i="11" s="1"/>
  <c r="W103" i="11" a="1"/>
  <c r="W103" i="11" s="1"/>
  <c r="V111" i="11" a="1"/>
  <c r="V111" i="11" s="1"/>
  <c r="U121" i="11" a="1"/>
  <c r="U121" i="11" s="1"/>
  <c r="AB31" i="13" a="1"/>
  <c r="AB31" i="13" s="1"/>
  <c r="AG43" i="10" a="1"/>
  <c r="AG43" i="10" s="1"/>
  <c r="O92" i="8" a="1"/>
  <c r="O92" i="8" s="1"/>
  <c r="G95" i="8" a="1"/>
  <c r="G95" i="8" s="1"/>
  <c r="W95" i="8" a="1"/>
  <c r="W95" i="8" s="1"/>
  <c r="X101" i="8" a="1"/>
  <c r="X101" i="8" s="1"/>
  <c r="X102" i="8" s="1"/>
  <c r="X103" i="8" s="1"/>
  <c r="Y104" i="8" a="1"/>
  <c r="Y104" i="8" s="1"/>
  <c r="AA17" i="10" a="1"/>
  <c r="AA17" i="10" s="1"/>
  <c r="Z21" i="10" a="1"/>
  <c r="Z21" i="10" s="1"/>
  <c r="P43" i="10" a="1"/>
  <c r="P43" i="10" s="1"/>
  <c r="O56" i="10" a="1"/>
  <c r="O56" i="10" s="1"/>
  <c r="AE56" i="10" a="1"/>
  <c r="AE56" i="10" s="1"/>
  <c r="Y67" i="10" a="1"/>
  <c r="Y67" i="10" s="1"/>
  <c r="Y76" i="10" a="1"/>
  <c r="Y76" i="10" s="1"/>
  <c r="X79" i="10" a="1"/>
  <c r="X79" i="10" s="1"/>
  <c r="X89" i="10" a="1"/>
  <c r="X89" i="10" s="1"/>
  <c r="W92" i="10" a="1"/>
  <c r="W92" i="10" s="1"/>
  <c r="T99" i="10" a="1"/>
  <c r="T99" i="10" s="1"/>
  <c r="AA106" i="10" a="1"/>
  <c r="AA106" i="10" s="1"/>
  <c r="J11" i="13" a="1"/>
  <c r="J11" i="13" s="1"/>
  <c r="H12" i="13" a="1"/>
  <c r="H12" i="13" s="1"/>
  <c r="F30" i="13" a="1"/>
  <c r="F30" i="13" s="1"/>
  <c r="F40" i="13" s="1"/>
  <c r="V30" i="13" a="1"/>
  <c r="V30" i="13" s="1"/>
  <c r="V36" i="13" s="1"/>
  <c r="O31" i="13" a="1"/>
  <c r="O31" i="13" s="1"/>
  <c r="Y17" i="11" a="1"/>
  <c r="Y17" i="11" s="1"/>
  <c r="AA24" i="11" a="1"/>
  <c r="AA24" i="11" s="1"/>
  <c r="AB41" i="11" a="1"/>
  <c r="AB41" i="11" s="1"/>
  <c r="AC57" i="11" a="1"/>
  <c r="AC57" i="11" s="1"/>
  <c r="O74" i="11" a="1"/>
  <c r="O74" i="11" s="1"/>
  <c r="Q83" i="11" a="1"/>
  <c r="Q83" i="11" s="1"/>
  <c r="S89" i="11" a="1"/>
  <c r="S89" i="11" s="1"/>
  <c r="U97" i="11" a="1"/>
  <c r="U97" i="11" s="1"/>
  <c r="X103" i="11" a="1"/>
  <c r="X103" i="11" s="1"/>
  <c r="X111" i="11" a="1"/>
  <c r="X111" i="11" s="1"/>
  <c r="V121" i="11" a="1"/>
  <c r="V121" i="11" s="1"/>
  <c r="AB48" i="13" a="1"/>
  <c r="AB48" i="13" s="1"/>
  <c r="AF67" i="10" a="1"/>
  <c r="AF67" i="10" s="1"/>
  <c r="P92" i="8" a="1"/>
  <c r="P92" i="8" s="1"/>
  <c r="P93" i="8" s="1"/>
  <c r="P94" i="8" s="1"/>
  <c r="H95" i="8" a="1"/>
  <c r="H95" i="8" s="1"/>
  <c r="X95" i="8" a="1"/>
  <c r="X95" i="8" s="1"/>
  <c r="Y101" i="8" a="1"/>
  <c r="Y101" i="8" s="1"/>
  <c r="Z104" i="8" a="1"/>
  <c r="Z104" i="8" s="1"/>
  <c r="L17" i="10" a="1"/>
  <c r="L17" i="10" s="1"/>
  <c r="AB17" i="10" a="1"/>
  <c r="AB17" i="10" s="1"/>
  <c r="AA21" i="10" a="1"/>
  <c r="AA21" i="10" s="1"/>
  <c r="Q43" i="10" a="1"/>
  <c r="Q43" i="10" s="1"/>
  <c r="P56" i="10" a="1"/>
  <c r="P56" i="10" s="1"/>
  <c r="AA61" i="10" a="1"/>
  <c r="AA61" i="10" s="1"/>
  <c r="Z67" i="10" a="1"/>
  <c r="Z67" i="10" s="1"/>
  <c r="Z76" i="10" a="1"/>
  <c r="Z76" i="10" s="1"/>
  <c r="Y79" i="10" a="1"/>
  <c r="Y79" i="10" s="1"/>
  <c r="Y89" i="10" a="1"/>
  <c r="Y89" i="10" s="1"/>
  <c r="X92" i="10" a="1"/>
  <c r="X92" i="10" s="1"/>
  <c r="U99" i="10" a="1"/>
  <c r="U99" i="10" s="1"/>
  <c r="AB106" i="10" a="1"/>
  <c r="AB106" i="10" s="1"/>
  <c r="K11" i="13" a="1"/>
  <c r="K11" i="13" s="1"/>
  <c r="I12" i="13" a="1"/>
  <c r="I12" i="13" s="1"/>
  <c r="G30" i="13" a="1"/>
  <c r="G30" i="13" s="1"/>
  <c r="W30" i="13" a="1"/>
  <c r="W30" i="13" s="1"/>
  <c r="P31" i="13" a="1"/>
  <c r="P31" i="13" s="1"/>
  <c r="Z17" i="11" a="1"/>
  <c r="Z17" i="11" s="1"/>
  <c r="AB24" i="11" a="1"/>
  <c r="AB24" i="11" s="1"/>
  <c r="AC41" i="11" a="1"/>
  <c r="AC41" i="11" s="1"/>
  <c r="P74" i="11" a="1"/>
  <c r="P74" i="11" s="1"/>
  <c r="R83" i="11" a="1"/>
  <c r="R83" i="11" s="1"/>
  <c r="T89" i="11" a="1"/>
  <c r="T89" i="11" s="1"/>
  <c r="V97" i="11" a="1"/>
  <c r="V97" i="11" s="1"/>
  <c r="Y103" i="11" a="1"/>
  <c r="Y103" i="11" s="1"/>
  <c r="Y111" i="11" a="1"/>
  <c r="Y111" i="11" s="1"/>
  <c r="W121" i="11" a="1"/>
  <c r="W121" i="11" s="1"/>
  <c r="O103" i="11" a="1"/>
  <c r="O103" i="11" s="1"/>
  <c r="AB49" i="13" a="1"/>
  <c r="AB49" i="13" s="1"/>
  <c r="U36" i="8" a="1"/>
  <c r="U36" i="8" s="1"/>
  <c r="U52" i="8" a="1"/>
  <c r="U52" i="8" s="1"/>
  <c r="M41" i="8" a="1"/>
  <c r="M41" i="8" s="1"/>
  <c r="AC41" i="8" a="1"/>
  <c r="AC41" i="8" s="1"/>
  <c r="U44" i="8" a="1"/>
  <c r="U44" i="8" s="1"/>
  <c r="M57" i="8" a="1"/>
  <c r="M57" i="8" s="1"/>
  <c r="AC57" i="8" a="1"/>
  <c r="AC57" i="8" s="1"/>
  <c r="U60" i="8" a="1"/>
  <c r="U60" i="8" s="1"/>
  <c r="K66" i="8" a="1"/>
  <c r="K66" i="8" s="1"/>
  <c r="AA66" i="8" a="1"/>
  <c r="AA66" i="8" s="1"/>
  <c r="S69" i="8" a="1"/>
  <c r="S69" i="8" s="1"/>
  <c r="I74" i="8" a="1"/>
  <c r="I74" i="8" s="1"/>
  <c r="Y74" i="8" a="1"/>
  <c r="Y74" i="8" s="1"/>
  <c r="Q77" i="8" a="1"/>
  <c r="Q77" i="8" s="1"/>
  <c r="Q83" i="8" a="1"/>
  <c r="Q83" i="8" s="1"/>
  <c r="Q84" i="8" s="1"/>
  <c r="Q85" i="8" s="1"/>
  <c r="I86" i="8" a="1"/>
  <c r="I86" i="8" s="1"/>
  <c r="Y86" i="8" a="1"/>
  <c r="Y86" i="8" s="1"/>
  <c r="Q92" i="8" a="1"/>
  <c r="Q92" i="8" s="1"/>
  <c r="I95" i="8" a="1"/>
  <c r="I95" i="8" s="1"/>
  <c r="Y95" i="8" a="1"/>
  <c r="Y95" i="8" s="1"/>
  <c r="Z101" i="8" a="1"/>
  <c r="Z101" i="8" s="1"/>
  <c r="AA104" i="8" a="1"/>
  <c r="AA104" i="8" s="1"/>
  <c r="M17" i="10" a="1"/>
  <c r="M17" i="10" s="1"/>
  <c r="AC17" i="10" a="1"/>
  <c r="AC17" i="10" s="1"/>
  <c r="AB21" i="10" a="1"/>
  <c r="AB21" i="10" s="1"/>
  <c r="R43" i="10" a="1"/>
  <c r="R43" i="10" s="1"/>
  <c r="Q56" i="10" a="1"/>
  <c r="Q56" i="10" s="1"/>
  <c r="AB61" i="10" a="1"/>
  <c r="AB61" i="10" s="1"/>
  <c r="AA67" i="10" a="1"/>
  <c r="AA67" i="10" s="1"/>
  <c r="AA76" i="10" a="1"/>
  <c r="AA76" i="10" s="1"/>
  <c r="AB71" i="10" s="1"/>
  <c r="AB73" i="10" s="1"/>
  <c r="Z79" i="10" a="1"/>
  <c r="Z79" i="10" s="1"/>
  <c r="Z89" i="10" a="1"/>
  <c r="Z89" i="10" s="1"/>
  <c r="Y92" i="10" a="1"/>
  <c r="Y92" i="10" s="1"/>
  <c r="V99" i="10" a="1"/>
  <c r="V99" i="10" s="1"/>
  <c r="AC106" i="10" a="1"/>
  <c r="AC106" i="10" s="1"/>
  <c r="L11" i="13" a="1"/>
  <c r="L11" i="13" s="1"/>
  <c r="J12" i="13" a="1"/>
  <c r="J12" i="13" s="1"/>
  <c r="H30" i="13" a="1"/>
  <c r="H30" i="13" s="1"/>
  <c r="X30" i="13" a="1"/>
  <c r="X30" i="13" s="1"/>
  <c r="Q31" i="13" a="1"/>
  <c r="Q31" i="13" s="1"/>
  <c r="AA17" i="11" a="1"/>
  <c r="AA17" i="11" s="1"/>
  <c r="AB13" i="11" s="1"/>
  <c r="AB14" i="11" s="1"/>
  <c r="AC24" i="11" a="1"/>
  <c r="AC24" i="11" s="1"/>
  <c r="O57" i="11" a="1"/>
  <c r="O57" i="11" s="1"/>
  <c r="Q74" i="11" a="1"/>
  <c r="Q74" i="11" s="1"/>
  <c r="S83" i="11" a="1"/>
  <c r="S83" i="11" s="1"/>
  <c r="U89" i="11" a="1"/>
  <c r="U89" i="11" s="1"/>
  <c r="W97" i="11" a="1"/>
  <c r="W97" i="11" s="1"/>
  <c r="Z103" i="11" a="1"/>
  <c r="Z103" i="11" s="1"/>
  <c r="Z111" i="11" a="1"/>
  <c r="Z111" i="11" s="1"/>
  <c r="X121" i="11" a="1"/>
  <c r="X121" i="11" s="1"/>
  <c r="AK89" i="10" a="1"/>
  <c r="AK89" i="10" s="1"/>
  <c r="AK76" i="10" a="1"/>
  <c r="AK76" i="10" s="1"/>
  <c r="AK43" i="10" a="1"/>
  <c r="AK43" i="10" s="1"/>
  <c r="AK106" i="10" a="1"/>
  <c r="AK106" i="10" s="1"/>
  <c r="AK92" i="10" a="1"/>
  <c r="AK92" i="10" s="1"/>
  <c r="AK79" i="10" a="1"/>
  <c r="AK79" i="10" s="1"/>
  <c r="AK67" i="10" a="1"/>
  <c r="AK67" i="10" s="1"/>
  <c r="AK21" i="10" a="1"/>
  <c r="AK21" i="10" s="1"/>
  <c r="AK17" i="10" a="1"/>
  <c r="AK17" i="10" s="1"/>
  <c r="AK61" i="10" a="1"/>
  <c r="AK61" i="10" s="1"/>
  <c r="AK56" i="10" a="1"/>
  <c r="AK56" i="10" s="1"/>
  <c r="AK29" i="10" a="1"/>
  <c r="AK29" i="10" s="1"/>
  <c r="AI61" i="10" a="1"/>
  <c r="AI61" i="10" s="1"/>
  <c r="AI43" i="10" a="1"/>
  <c r="AI43" i="10" s="1"/>
  <c r="AI106" i="10" a="1"/>
  <c r="AI106" i="10" s="1"/>
  <c r="AJ89" i="10" a="1"/>
  <c r="AJ89" i="10" s="1"/>
  <c r="AI92" i="10" a="1"/>
  <c r="AI92" i="10" s="1"/>
  <c r="AJ79" i="10" a="1"/>
  <c r="AJ79" i="10" s="1"/>
  <c r="AI79" i="10" a="1"/>
  <c r="AI79" i="10" s="1"/>
  <c r="AJ106" i="10" a="1"/>
  <c r="AJ106" i="10" s="1"/>
  <c r="AI89" i="10" a="1"/>
  <c r="AI89" i="10" s="1"/>
  <c r="AJ76" i="10" a="1"/>
  <c r="AJ76" i="10" s="1"/>
  <c r="AJ17" i="10" a="1"/>
  <c r="AJ17" i="10" s="1"/>
  <c r="AJ99" i="10" a="1"/>
  <c r="AJ99" i="10" s="1"/>
  <c r="AJ61" i="10" a="1"/>
  <c r="AJ61" i="10" s="1"/>
  <c r="AI76" i="10" a="1"/>
  <c r="AI76" i="10" s="1"/>
  <c r="AJ21" i="10" a="1"/>
  <c r="AJ21" i="10" s="1"/>
  <c r="AK99" i="10" a="1"/>
  <c r="AK99" i="10" s="1"/>
  <c r="AJ43" i="10" a="1"/>
  <c r="AJ43" i="10" s="1"/>
  <c r="AJ92" i="10" a="1"/>
  <c r="AJ92" i="10" s="1"/>
  <c r="AL99" i="10" a="1"/>
  <c r="AL99" i="10" s="1"/>
  <c r="AJ67" i="10" a="1"/>
  <c r="AJ67" i="10" s="1"/>
  <c r="AJ29" i="10" a="1"/>
  <c r="AJ29" i="10" s="1"/>
  <c r="AH99" i="10" a="1"/>
  <c r="AH99" i="10" s="1"/>
  <c r="AJ56" i="10" a="1"/>
  <c r="AJ56" i="10" s="1"/>
  <c r="AI67" i="10" a="1"/>
  <c r="AI67" i="10" s="1"/>
  <c r="AI21" i="10" a="1"/>
  <c r="AI21" i="10" s="1"/>
  <c r="AI99" i="10" a="1"/>
  <c r="AI99" i="10" s="1"/>
  <c r="AI29" i="10" a="1"/>
  <c r="AI29" i="10" s="1"/>
  <c r="AI17" i="10" a="1"/>
  <c r="AI17" i="10" s="1"/>
  <c r="AI56" i="10" a="1"/>
  <c r="AI56" i="10" s="1"/>
  <c r="AH92" i="10" a="1"/>
  <c r="AH92" i="10" s="1"/>
  <c r="AH17" i="10" a="1"/>
  <c r="AH17" i="10" s="1"/>
  <c r="AH89" i="10" a="1"/>
  <c r="AH89" i="10" s="1"/>
  <c r="AF17" i="10" a="1"/>
  <c r="AF17" i="10" s="1"/>
  <c r="AH56" i="10" a="1"/>
  <c r="AH56" i="10" s="1"/>
  <c r="AH79" i="10" a="1"/>
  <c r="AH79" i="10" s="1"/>
  <c r="AH43" i="10" a="1"/>
  <c r="AH43" i="10" s="1"/>
  <c r="AH76" i="10" a="1"/>
  <c r="AH76" i="10" s="1"/>
  <c r="AH21" i="10" a="1"/>
  <c r="AH21" i="10" s="1"/>
  <c r="AH67" i="10" a="1"/>
  <c r="AH67" i="10" s="1"/>
  <c r="AH29" i="10" a="1"/>
  <c r="AH29" i="10" s="1"/>
  <c r="AH61" i="10" a="1"/>
  <c r="AH61" i="10" s="1"/>
  <c r="AH106" i="10" a="1"/>
  <c r="AH106" i="10" s="1"/>
  <c r="AF43" i="10" a="1"/>
  <c r="AF43" i="10" s="1"/>
  <c r="AF29" i="10" a="1"/>
  <c r="AF29" i="10" s="1"/>
  <c r="AF21" i="10" a="1"/>
  <c r="AF21" i="10" s="1"/>
  <c r="W11" i="13" a="1"/>
  <c r="W11" i="13" s="1"/>
  <c r="AG76" i="10" a="1"/>
  <c r="AG76" i="10" s="1"/>
  <c r="V52" i="8" a="1"/>
  <c r="V52" i="8" s="1"/>
  <c r="N41" i="8" a="1"/>
  <c r="N41" i="8" s="1"/>
  <c r="AD41" i="8" a="1"/>
  <c r="AD41" i="8" s="1"/>
  <c r="V44" i="8" a="1"/>
  <c r="V44" i="8" s="1"/>
  <c r="N57" i="8" a="1"/>
  <c r="N57" i="8" s="1"/>
  <c r="AD57" i="8" a="1"/>
  <c r="AD57" i="8" s="1"/>
  <c r="V60" i="8" a="1"/>
  <c r="V60" i="8" s="1"/>
  <c r="L66" i="8" a="1"/>
  <c r="L66" i="8" s="1"/>
  <c r="AB66" i="8" a="1"/>
  <c r="AB66" i="8" s="1"/>
  <c r="T69" i="8" a="1"/>
  <c r="T69" i="8" s="1"/>
  <c r="J74" i="8" a="1"/>
  <c r="J74" i="8" s="1"/>
  <c r="Z74" i="8" a="1"/>
  <c r="Z74" i="8" s="1"/>
  <c r="R77" i="8" a="1"/>
  <c r="R77" i="8" s="1"/>
  <c r="R83" i="8" a="1"/>
  <c r="R83" i="8" s="1"/>
  <c r="J86" i="8" a="1"/>
  <c r="J86" i="8" s="1"/>
  <c r="Z86" i="8" a="1"/>
  <c r="Z86" i="8" s="1"/>
  <c r="R92" i="8" a="1"/>
  <c r="R92" i="8" s="1"/>
  <c r="R93" i="8" s="1"/>
  <c r="R94" i="8" s="1"/>
  <c r="J95" i="8" a="1"/>
  <c r="J95" i="8" s="1"/>
  <c r="Z95" i="8" a="1"/>
  <c r="Z95" i="8" s="1"/>
  <c r="AA101" i="8" a="1"/>
  <c r="AA101" i="8" s="1"/>
  <c r="AB104" i="8" a="1"/>
  <c r="AB104" i="8" s="1"/>
  <c r="N17" i="10" a="1"/>
  <c r="N17" i="10" s="1"/>
  <c r="AD17" i="10" a="1"/>
  <c r="AD17" i="10" s="1"/>
  <c r="AC21" i="10" a="1"/>
  <c r="AC21" i="10" s="1"/>
  <c r="S43" i="10" a="1"/>
  <c r="S43" i="10" s="1"/>
  <c r="R56" i="10" a="1"/>
  <c r="R56" i="10" s="1"/>
  <c r="AC61" i="10" a="1"/>
  <c r="AC61" i="10" s="1"/>
  <c r="AB67" i="10" a="1"/>
  <c r="AB67" i="10" s="1"/>
  <c r="L76" i="10" a="1"/>
  <c r="L76" i="10" s="1"/>
  <c r="AB76" i="10" a="1"/>
  <c r="AB76" i="10" s="1"/>
  <c r="AA79" i="10" a="1"/>
  <c r="AA79" i="10" s="1"/>
  <c r="AA89" i="10" a="1"/>
  <c r="AA89" i="10" s="1"/>
  <c r="Z92" i="10" a="1"/>
  <c r="Z92" i="10" s="1"/>
  <c r="W99" i="10" a="1"/>
  <c r="W99" i="10" s="1"/>
  <c r="AD106" i="10" a="1"/>
  <c r="AD106" i="10" s="1"/>
  <c r="M11" i="13" a="1"/>
  <c r="M11" i="13" s="1"/>
  <c r="K12" i="13" a="1"/>
  <c r="K12" i="13" s="1"/>
  <c r="I30" i="13" a="1"/>
  <c r="I30" i="13" s="1"/>
  <c r="Y30" i="13" a="1"/>
  <c r="Y30" i="13" s="1"/>
  <c r="R31" i="13" a="1"/>
  <c r="R31" i="13" s="1"/>
  <c r="L17" i="11" a="1"/>
  <c r="L17" i="11" s="1"/>
  <c r="AB17" i="11" a="1"/>
  <c r="AB17" i="11" s="1"/>
  <c r="O41" i="11" a="1"/>
  <c r="O41" i="11" s="1"/>
  <c r="P57" i="11" a="1"/>
  <c r="P57" i="11" s="1"/>
  <c r="R74" i="11" a="1"/>
  <c r="R74" i="11" s="1"/>
  <c r="T83" i="11" a="1"/>
  <c r="T83" i="11" s="1"/>
  <c r="V89" i="11" a="1"/>
  <c r="V89" i="11" s="1"/>
  <c r="X97" i="11" a="1"/>
  <c r="X97" i="11" s="1"/>
  <c r="AA103" i="11" a="1"/>
  <c r="AA103" i="11" s="1"/>
  <c r="AA111" i="11" a="1"/>
  <c r="AA111" i="11" s="1"/>
  <c r="Y121" i="11" a="1"/>
  <c r="Y121" i="11" s="1"/>
  <c r="Y11" i="13" a="1"/>
  <c r="Y11" i="13" s="1"/>
  <c r="AG17" i="10" a="1"/>
  <c r="AG17" i="10" s="1"/>
  <c r="O57" i="8" a="1"/>
  <c r="O57" i="8" s="1"/>
  <c r="G60" i="8" a="1"/>
  <c r="G60" i="8" s="1"/>
  <c r="W60" i="8" a="1"/>
  <c r="W60" i="8" s="1"/>
  <c r="M66" i="8" a="1"/>
  <c r="M66" i="8" s="1"/>
  <c r="AC66" i="8" a="1"/>
  <c r="AC66" i="8" s="1"/>
  <c r="U69" i="8" a="1"/>
  <c r="U69" i="8" s="1"/>
  <c r="K74" i="8" a="1"/>
  <c r="K74" i="8" s="1"/>
  <c r="AA74" i="8" a="1"/>
  <c r="AA74" i="8" s="1"/>
  <c r="S77" i="8" a="1"/>
  <c r="S77" i="8" s="1"/>
  <c r="S83" i="8" a="1"/>
  <c r="S83" i="8" s="1"/>
  <c r="K86" i="8" a="1"/>
  <c r="K86" i="8" s="1"/>
  <c r="AA86" i="8" a="1"/>
  <c r="AA86" i="8" s="1"/>
  <c r="S92" i="8" a="1"/>
  <c r="S92" i="8" s="1"/>
  <c r="S93" i="8" s="1"/>
  <c r="S94" i="8" s="1"/>
  <c r="K95" i="8" a="1"/>
  <c r="K95" i="8" s="1"/>
  <c r="AA95" i="8" a="1"/>
  <c r="AA95" i="8" s="1"/>
  <c r="AB101" i="8" a="1"/>
  <c r="AB101" i="8" s="1"/>
  <c r="AC104" i="8" a="1"/>
  <c r="AC104" i="8" s="1"/>
  <c r="O17" i="10" a="1"/>
  <c r="O17" i="10" s="1"/>
  <c r="AE17" i="10" a="1"/>
  <c r="AE17" i="10" s="1"/>
  <c r="AD21" i="10" a="1"/>
  <c r="AD21" i="10" s="1"/>
  <c r="T43" i="10" a="1"/>
  <c r="T43" i="10" s="1"/>
  <c r="S56" i="10" a="1"/>
  <c r="S56" i="10" s="1"/>
  <c r="AD61" i="10" a="1"/>
  <c r="AD61" i="10" s="1"/>
  <c r="AC67" i="10" a="1"/>
  <c r="AC67" i="10" s="1"/>
  <c r="M76" i="10" a="1"/>
  <c r="M76" i="10" s="1"/>
  <c r="AC76" i="10" a="1"/>
  <c r="AC76" i="10" s="1"/>
  <c r="AB79" i="10" a="1"/>
  <c r="AB79" i="10" s="1"/>
  <c r="L89" i="10" a="1"/>
  <c r="L89" i="10" s="1"/>
  <c r="AB89" i="10" a="1"/>
  <c r="AB89" i="10" s="1"/>
  <c r="AA92" i="10" a="1"/>
  <c r="AA92" i="10" s="1"/>
  <c r="X99" i="10" a="1"/>
  <c r="X99" i="10" s="1"/>
  <c r="O106" i="10" a="1"/>
  <c r="O106" i="10" s="1"/>
  <c r="AE106" i="10" a="1"/>
  <c r="AE106" i="10" s="1"/>
  <c r="N11" i="13" a="1"/>
  <c r="N11" i="13" s="1"/>
  <c r="L12" i="13" a="1"/>
  <c r="L12" i="13" s="1"/>
  <c r="J30" i="13" a="1"/>
  <c r="J30" i="13" s="1"/>
  <c r="Z30" i="13" a="1"/>
  <c r="Z30" i="13" s="1"/>
  <c r="S31" i="13" a="1"/>
  <c r="S31" i="13" s="1"/>
  <c r="S37" i="13" s="1"/>
  <c r="M17" i="11" a="1"/>
  <c r="M17" i="11" s="1"/>
  <c r="O24" i="11" a="1"/>
  <c r="O24" i="11" s="1"/>
  <c r="P41" i="11" a="1"/>
  <c r="P41" i="11" s="1"/>
  <c r="Q57" i="11" a="1"/>
  <c r="Q57" i="11" s="1"/>
  <c r="S74" i="11" a="1"/>
  <c r="S74" i="11" s="1"/>
  <c r="U83" i="11" a="1"/>
  <c r="U83" i="11" s="1"/>
  <c r="W89" i="11" a="1"/>
  <c r="W89" i="11" s="1"/>
  <c r="Y97" i="11" a="1"/>
  <c r="Y97" i="11" s="1"/>
  <c r="AB103" i="11" a="1"/>
  <c r="AB103" i="11" s="1"/>
  <c r="AB111" i="11" a="1"/>
  <c r="AB111" i="11" s="1"/>
  <c r="Z121" i="11" a="1"/>
  <c r="Z121" i="11" s="1"/>
  <c r="AB66" i="13" a="1"/>
  <c r="AB66" i="13" s="1"/>
  <c r="X11" i="13" a="1"/>
  <c r="X11" i="13" s="1"/>
  <c r="AG79" i="10" a="1"/>
  <c r="AG79" i="10" s="1"/>
  <c r="H44" i="8" a="1"/>
  <c r="H44" i="8" s="1"/>
  <c r="X44" i="8" a="1"/>
  <c r="X44" i="8" s="1"/>
  <c r="P57" i="8" a="1"/>
  <c r="P57" i="8" s="1"/>
  <c r="H60" i="8" a="1"/>
  <c r="H60" i="8" s="1"/>
  <c r="X60" i="8" a="1"/>
  <c r="X60" i="8" s="1"/>
  <c r="N66" i="8" a="1"/>
  <c r="N66" i="8" s="1"/>
  <c r="AD66" i="8" a="1"/>
  <c r="AD66" i="8" s="1"/>
  <c r="V69" i="8" a="1"/>
  <c r="V69" i="8" s="1"/>
  <c r="L74" i="8" a="1"/>
  <c r="L74" i="8" s="1"/>
  <c r="AB74" i="8" a="1"/>
  <c r="AB74" i="8" s="1"/>
  <c r="T77" i="8" a="1"/>
  <c r="T77" i="8" s="1"/>
  <c r="T83" i="8" a="1"/>
  <c r="T83" i="8" s="1"/>
  <c r="L86" i="8" a="1"/>
  <c r="L86" i="8" s="1"/>
  <c r="AB86" i="8" a="1"/>
  <c r="AB86" i="8" s="1"/>
  <c r="T92" i="8" a="1"/>
  <c r="T92" i="8" s="1"/>
  <c r="L95" i="8" a="1"/>
  <c r="L95" i="8" s="1"/>
  <c r="AB95" i="8" a="1"/>
  <c r="AB95" i="8" s="1"/>
  <c r="AC101" i="8" a="1"/>
  <c r="AC101" i="8" s="1"/>
  <c r="AD104" i="8" a="1"/>
  <c r="AD104" i="8" s="1"/>
  <c r="P17" i="10" a="1"/>
  <c r="P17" i="10" s="1"/>
  <c r="O21" i="10" a="1"/>
  <c r="O21" i="10" s="1"/>
  <c r="AE21" i="10" a="1"/>
  <c r="AE21" i="10" s="1"/>
  <c r="U43" i="10" a="1"/>
  <c r="U43" i="10" s="1"/>
  <c r="T56" i="10" a="1"/>
  <c r="T56" i="10" s="1"/>
  <c r="AE61" i="10" a="1"/>
  <c r="AE61" i="10" s="1"/>
  <c r="AD67" i="10" a="1"/>
  <c r="AD67" i="10" s="1"/>
  <c r="N76" i="10" a="1"/>
  <c r="N76" i="10" s="1"/>
  <c r="AD76" i="10" a="1"/>
  <c r="AD76" i="10" s="1"/>
  <c r="AC79" i="10" a="1"/>
  <c r="AC79" i="10" s="1"/>
  <c r="M89" i="10" a="1"/>
  <c r="M89" i="10" s="1"/>
  <c r="AC89" i="10" a="1"/>
  <c r="AC89" i="10" s="1"/>
  <c r="AB92" i="10" a="1"/>
  <c r="AB92" i="10" s="1"/>
  <c r="Y99" i="10" a="1"/>
  <c r="Y99" i="10" s="1"/>
  <c r="P106" i="10" a="1"/>
  <c r="P106" i="10" s="1"/>
  <c r="O11" i="13" a="1"/>
  <c r="O11" i="13" s="1"/>
  <c r="O22" i="13" s="1"/>
  <c r="M12" i="13" a="1"/>
  <c r="M12" i="13" s="1"/>
  <c r="K30" i="13" a="1"/>
  <c r="K30" i="13" s="1"/>
  <c r="K40" i="13" s="1"/>
  <c r="AA30" i="13" a="1"/>
  <c r="AA30" i="13" s="1"/>
  <c r="AA34" i="13" s="1"/>
  <c r="T31" i="13" a="1"/>
  <c r="T31" i="13" s="1"/>
  <c r="N17" i="11" a="1"/>
  <c r="N17" i="11" s="1"/>
  <c r="P24" i="11" a="1"/>
  <c r="P24" i="11" s="1"/>
  <c r="Q41" i="11" a="1"/>
  <c r="Q41" i="11" s="1"/>
  <c r="R57" i="11" a="1"/>
  <c r="R57" i="11" s="1"/>
  <c r="AA65" i="11" a="1"/>
  <c r="AA65" i="11" s="1"/>
  <c r="T74" i="11" a="1"/>
  <c r="T74" i="11" s="1"/>
  <c r="V83" i="11" a="1"/>
  <c r="V83" i="11" s="1"/>
  <c r="X89" i="11" a="1"/>
  <c r="X89" i="11" s="1"/>
  <c r="Z97" i="11" a="1"/>
  <c r="Z97" i="11" s="1"/>
  <c r="AC103" i="11" a="1"/>
  <c r="AC103" i="11" s="1"/>
  <c r="AC111" i="11" a="1"/>
  <c r="AC111" i="11" s="1"/>
  <c r="AB82" i="13" a="1"/>
  <c r="AB82" i="13" s="1"/>
  <c r="AB88" i="13" s="1"/>
  <c r="W12" i="13" a="1"/>
  <c r="W12" i="13" s="1"/>
  <c r="AF61" i="10" a="1"/>
  <c r="AF61" i="10" s="1"/>
  <c r="Y36" i="8" a="1"/>
  <c r="Y36" i="8" s="1"/>
  <c r="U49" i="8" a="1"/>
  <c r="U49" i="8" s="1"/>
  <c r="Y52" i="8" a="1"/>
  <c r="Y52" i="8" s="1"/>
  <c r="Q41" i="8" a="1"/>
  <c r="Q41" i="8" s="1"/>
  <c r="I44" i="8" a="1"/>
  <c r="I44" i="8" s="1"/>
  <c r="Y44" i="8" a="1"/>
  <c r="Y44" i="8" s="1"/>
  <c r="Q57" i="8" a="1"/>
  <c r="Q57" i="8" s="1"/>
  <c r="I60" i="8" a="1"/>
  <c r="I60" i="8" s="1"/>
  <c r="Y60" i="8" a="1"/>
  <c r="Y60" i="8" s="1"/>
  <c r="O66" i="8" a="1"/>
  <c r="O66" i="8" s="1"/>
  <c r="G69" i="8" a="1"/>
  <c r="G69" i="8" s="1"/>
  <c r="W69" i="8" a="1"/>
  <c r="W69" i="8" s="1"/>
  <c r="M74" i="8" a="1"/>
  <c r="M74" i="8" s="1"/>
  <c r="AC74" i="8" a="1"/>
  <c r="AC74" i="8" s="1"/>
  <c r="U77" i="8" a="1"/>
  <c r="U77" i="8" s="1"/>
  <c r="U83" i="8" a="1"/>
  <c r="U83" i="8" s="1"/>
  <c r="M86" i="8" a="1"/>
  <c r="M86" i="8" s="1"/>
  <c r="AC86" i="8" a="1"/>
  <c r="AC86" i="8" s="1"/>
  <c r="U92" i="8" a="1"/>
  <c r="U92" i="8" s="1"/>
  <c r="U93" i="8" s="1"/>
  <c r="U94" i="8" s="1"/>
  <c r="M95" i="8" a="1"/>
  <c r="M95" i="8" s="1"/>
  <c r="AC95" i="8" a="1"/>
  <c r="AC95" i="8" s="1"/>
  <c r="AD101" i="8" a="1"/>
  <c r="AD101" i="8" s="1"/>
  <c r="Q17" i="10" a="1"/>
  <c r="Q17" i="10" s="1"/>
  <c r="P21" i="10" a="1"/>
  <c r="P21" i="10" s="1"/>
  <c r="V43" i="10" a="1"/>
  <c r="V43" i="10" s="1"/>
  <c r="U56" i="10" a="1"/>
  <c r="U56" i="10" s="1"/>
  <c r="O67" i="10" a="1"/>
  <c r="O67" i="10" s="1"/>
  <c r="AE67" i="10" a="1"/>
  <c r="AE67" i="10" s="1"/>
  <c r="O76" i="10" a="1"/>
  <c r="O76" i="10" s="1"/>
  <c r="Q71" i="10" s="1"/>
  <c r="Q70" i="10" s="1"/>
  <c r="AE76" i="10" a="1"/>
  <c r="AE76" i="10" s="1"/>
  <c r="AD79" i="10" a="1"/>
  <c r="AD79" i="10" s="1"/>
  <c r="N89" i="10" a="1"/>
  <c r="N89" i="10" s="1"/>
  <c r="AD89" i="10" a="1"/>
  <c r="AD89" i="10" s="1"/>
  <c r="AC92" i="10" a="1"/>
  <c r="AC92" i="10" s="1"/>
  <c r="Z99" i="10" a="1"/>
  <c r="Z99" i="10" s="1"/>
  <c r="Q106" i="10" a="1"/>
  <c r="Q106" i="10" s="1"/>
  <c r="P11" i="13" a="1"/>
  <c r="P11" i="13" s="1"/>
  <c r="N12" i="13" a="1"/>
  <c r="N12" i="13" s="1"/>
  <c r="L30" i="13" a="1"/>
  <c r="L30" i="13" s="1"/>
  <c r="L36" i="13" s="1"/>
  <c r="E31" i="13" a="1"/>
  <c r="E31" i="13" s="1"/>
  <c r="E37" i="13" s="1"/>
  <c r="U31" i="13" a="1"/>
  <c r="U31" i="13" s="1"/>
  <c r="O17" i="11" a="1"/>
  <c r="O17" i="11" s="1"/>
  <c r="Q24" i="11" a="1"/>
  <c r="Q24" i="11" s="1"/>
  <c r="R41" i="11" a="1"/>
  <c r="R41" i="11" s="1"/>
  <c r="S57" i="11" a="1"/>
  <c r="S57" i="11" s="1"/>
  <c r="AB65" i="11" a="1"/>
  <c r="AB65" i="11" s="1"/>
  <c r="U74" i="11" a="1"/>
  <c r="U74" i="11" s="1"/>
  <c r="W83" i="11" a="1"/>
  <c r="W83" i="11" s="1"/>
  <c r="Y89" i="11" a="1"/>
  <c r="Y89" i="11" s="1"/>
  <c r="AA97" i="11" a="1"/>
  <c r="AA97" i="11" s="1"/>
  <c r="AB81" i="13" a="1"/>
  <c r="AB81" i="13" s="1"/>
  <c r="AB85" i="13" s="1"/>
  <c r="AB11" i="13" a="1"/>
  <c r="AB11" i="13" s="1"/>
  <c r="AB22" i="13" s="1"/>
  <c r="AG89" i="10" a="1"/>
  <c r="AG89" i="10" s="1"/>
  <c r="V92" i="8" a="1"/>
  <c r="V92" i="8" s="1"/>
  <c r="N95" i="8" a="1"/>
  <c r="N95" i="8" s="1"/>
  <c r="AD95" i="8" a="1"/>
  <c r="AD95" i="8" s="1"/>
  <c r="P104" i="8" a="1"/>
  <c r="P104" i="8" s="1"/>
  <c r="R17" i="10" a="1"/>
  <c r="R17" i="10" s="1"/>
  <c r="Q21" i="10" a="1"/>
  <c r="Q21" i="10" s="1"/>
  <c r="W43" i="10" a="1"/>
  <c r="W43" i="10" s="1"/>
  <c r="V56" i="10" a="1"/>
  <c r="V56" i="10" s="1"/>
  <c r="P67" i="10" a="1"/>
  <c r="P67" i="10" s="1"/>
  <c r="P76" i="10" a="1"/>
  <c r="P76" i="10" s="1"/>
  <c r="O79" i="10" a="1"/>
  <c r="O79" i="10" s="1"/>
  <c r="AE79" i="10" a="1"/>
  <c r="AE79" i="10" s="1"/>
  <c r="O89" i="10" a="1"/>
  <c r="O89" i="10" s="1"/>
  <c r="AE89" i="10" a="1"/>
  <c r="AE89" i="10" s="1"/>
  <c r="AD92" i="10" a="1"/>
  <c r="AD92" i="10" s="1"/>
  <c r="AA99" i="10" a="1"/>
  <c r="AA99" i="10" s="1"/>
  <c r="R106" i="10" a="1"/>
  <c r="R106" i="10" s="1"/>
  <c r="Q11" i="13" a="1"/>
  <c r="Q11" i="13" s="1"/>
  <c r="Q22" i="13" s="1"/>
  <c r="O12" i="13" a="1"/>
  <c r="O12" i="13" s="1"/>
  <c r="O23" i="13" s="1"/>
  <c r="M30" i="13" a="1"/>
  <c r="M30" i="13" s="1"/>
  <c r="M40" i="13" s="1"/>
  <c r="F31" i="13" a="1"/>
  <c r="F31" i="13" s="1"/>
  <c r="F41" i="13" s="1"/>
  <c r="V31" i="13" a="1"/>
  <c r="V31" i="13" s="1"/>
  <c r="V41" i="13" s="1"/>
  <c r="P17" i="11" a="1"/>
  <c r="P17" i="11" s="1"/>
  <c r="R24" i="11" a="1"/>
  <c r="R24" i="11" s="1"/>
  <c r="S41" i="11" a="1"/>
  <c r="S41" i="11" s="1"/>
  <c r="T57" i="11" a="1"/>
  <c r="T57" i="11" s="1"/>
  <c r="AC65" i="11" a="1"/>
  <c r="AC65" i="11" s="1"/>
  <c r="V74" i="11" a="1"/>
  <c r="V74" i="11" s="1"/>
  <c r="X83" i="11" a="1"/>
  <c r="X83" i="11" s="1"/>
  <c r="Z89" i="11" a="1"/>
  <c r="Z89" i="11" s="1"/>
  <c r="L97" i="11" a="1"/>
  <c r="L97" i="11" s="1"/>
  <c r="AB97" i="11" a="1"/>
  <c r="AB97" i="11" s="1"/>
  <c r="AF76" i="10" a="1"/>
  <c r="AF76" i="10" s="1"/>
  <c r="Y12" i="13" a="1"/>
  <c r="Y12" i="13" s="1"/>
  <c r="Y23" i="13" s="1"/>
  <c r="AG29" i="10" a="1"/>
  <c r="AG29" i="10" s="1"/>
  <c r="W92" i="8" a="1"/>
  <c r="W92" i="8" s="1"/>
  <c r="O95" i="8" a="1"/>
  <c r="O95" i="8" s="1"/>
  <c r="P101" i="8" a="1"/>
  <c r="P101" i="8" s="1"/>
  <c r="Q104" i="8" a="1"/>
  <c r="Q104" i="8" s="1"/>
  <c r="S17" i="10" a="1"/>
  <c r="S17" i="10" s="1"/>
  <c r="R21" i="10" a="1"/>
  <c r="R21" i="10" s="1"/>
  <c r="X43" i="10" a="1"/>
  <c r="X43" i="10" s="1"/>
  <c r="W56" i="10" a="1"/>
  <c r="W56" i="10" s="1"/>
  <c r="Q67" i="10" a="1"/>
  <c r="Q67" i="10" s="1"/>
  <c r="Q76" i="10" a="1"/>
  <c r="Q76" i="10" s="1"/>
  <c r="P79" i="10" a="1"/>
  <c r="P79" i="10" s="1"/>
  <c r="P89" i="10" a="1"/>
  <c r="P89" i="10" s="1"/>
  <c r="O92" i="10" a="1"/>
  <c r="O92" i="10" s="1"/>
  <c r="AE92" i="10" a="1"/>
  <c r="AE92" i="10" s="1"/>
  <c r="AB99" i="10" a="1"/>
  <c r="AB99" i="10" s="1"/>
  <c r="S106" i="10" a="1"/>
  <c r="S106" i="10" s="1"/>
  <c r="X112" i="10" a="1"/>
  <c r="X112" i="10" s="1"/>
  <c r="R11" i="13" a="1"/>
  <c r="R11" i="13" s="1"/>
  <c r="R22" i="13" s="1"/>
  <c r="P12" i="13" a="1"/>
  <c r="P12" i="13" s="1"/>
  <c r="P13" i="13" s="1"/>
  <c r="P14" i="13" s="1"/>
  <c r="N30" i="13" a="1"/>
  <c r="N30" i="13" s="1"/>
  <c r="N34" i="13" s="1"/>
  <c r="G31" i="13" a="1"/>
  <c r="G31" i="13" s="1"/>
  <c r="W31" i="13" a="1"/>
  <c r="W31" i="13" s="1"/>
  <c r="W32" i="13" s="1"/>
  <c r="W33" i="13" s="1"/>
  <c r="Q17" i="11" a="1"/>
  <c r="Q17" i="11" s="1"/>
  <c r="S24" i="11" a="1"/>
  <c r="S24" i="11" s="1"/>
  <c r="T41" i="11" a="1"/>
  <c r="T41" i="11" s="1"/>
  <c r="U57" i="11" a="1"/>
  <c r="U57" i="11" s="1"/>
  <c r="W74" i="11" a="1"/>
  <c r="W74" i="11" s="1"/>
  <c r="Y83" i="11" a="1"/>
  <c r="Y83" i="11" s="1"/>
  <c r="AA89" i="11" a="1"/>
  <c r="AA89" i="11" s="1"/>
  <c r="M97" i="11" a="1"/>
  <c r="M97" i="11" s="1"/>
  <c r="P103" i="11" a="1"/>
  <c r="P103" i="11" s="1"/>
  <c r="O111" i="11" a="1"/>
  <c r="O111" i="11" s="1"/>
  <c r="Y130" i="11" a="1"/>
  <c r="Y130" i="11" s="1"/>
  <c r="AF79" i="10" a="1"/>
  <c r="AF79" i="10" s="1"/>
  <c r="Z12" i="13" a="1"/>
  <c r="Z12" i="13" s="1"/>
  <c r="Z23" i="13" s="1"/>
  <c r="AG67" i="10" a="1"/>
  <c r="AG67" i="10" s="1"/>
  <c r="X92" i="8" a="1"/>
  <c r="X92" i="8" s="1"/>
  <c r="P95" i="8" a="1"/>
  <c r="P95" i="8" s="1"/>
  <c r="Q101" i="8" a="1"/>
  <c r="Q101" i="8" s="1"/>
  <c r="Q102" i="8" s="1"/>
  <c r="Q103" i="8" s="1"/>
  <c r="R104" i="8" a="1"/>
  <c r="R104" i="8" s="1"/>
  <c r="T17" i="10" a="1"/>
  <c r="T17" i="10" s="1"/>
  <c r="S21" i="10" a="1"/>
  <c r="S21" i="10" s="1"/>
  <c r="Y43" i="10" a="1"/>
  <c r="Y43" i="10" s="1"/>
  <c r="X56" i="10" a="1"/>
  <c r="X56" i="10" s="1"/>
  <c r="R67" i="10" a="1"/>
  <c r="R67" i="10" s="1"/>
  <c r="R76" i="10" a="1"/>
  <c r="R76" i="10" s="1"/>
  <c r="Q79" i="10" a="1"/>
  <c r="Q79" i="10" s="1"/>
  <c r="Q89" i="10" a="1"/>
  <c r="Q89" i="10" s="1"/>
  <c r="P92" i="10" a="1"/>
  <c r="P92" i="10" s="1"/>
  <c r="AC99" i="10" a="1"/>
  <c r="AC99" i="10" s="1"/>
  <c r="T106" i="10" a="1"/>
  <c r="T106" i="10" s="1"/>
  <c r="Y112" i="10" a="1"/>
  <c r="Y112" i="10" s="1"/>
  <c r="S11" i="13" a="1"/>
  <c r="S11" i="13" s="1"/>
  <c r="S22" i="13" s="1"/>
  <c r="Q12" i="13" a="1"/>
  <c r="Q12" i="13" s="1"/>
  <c r="Q23" i="13" s="1"/>
  <c r="O30" i="13" a="1"/>
  <c r="O30" i="13" s="1"/>
  <c r="O34" i="13" s="1"/>
  <c r="H31" i="13" a="1"/>
  <c r="H31" i="13" s="1"/>
  <c r="H41" i="13" s="1"/>
  <c r="X31" i="13" a="1"/>
  <c r="X31" i="13" s="1"/>
  <c r="X41" i="13" s="1"/>
  <c r="R17" i="11" a="1"/>
  <c r="R17" i="11" s="1"/>
  <c r="T24" i="11" a="1"/>
  <c r="T24" i="11" s="1"/>
  <c r="U41" i="11" a="1"/>
  <c r="U41" i="11" s="1"/>
  <c r="V57" i="11" a="1"/>
  <c r="V57" i="11" s="1"/>
  <c r="X74" i="11" a="1"/>
  <c r="X74" i="11" s="1"/>
  <c r="Z83" i="11" a="1"/>
  <c r="Z83" i="11" s="1"/>
  <c r="AB89" i="11" a="1"/>
  <c r="AB89" i="11" s="1"/>
  <c r="N97" i="11" a="1"/>
  <c r="N97" i="11" s="1"/>
  <c r="Q103" i="11" a="1"/>
  <c r="Q103" i="11" s="1"/>
  <c r="P111" i="11" a="1"/>
  <c r="P111" i="11" s="1"/>
  <c r="Z130" i="11" a="1"/>
  <c r="Z130" i="11" s="1"/>
  <c r="AF89" i="10" a="1"/>
  <c r="AF89" i="10" s="1"/>
  <c r="AH84" i="10" s="1"/>
  <c r="AH86" i="10" s="1"/>
  <c r="AA11" i="13" a="1"/>
  <c r="AA11" i="13" s="1"/>
  <c r="AA22" i="13" s="1"/>
  <c r="AG92" i="10" a="1"/>
  <c r="AG92" i="10" s="1"/>
  <c r="Q95" i="8" a="1"/>
  <c r="Q95" i="8" s="1"/>
  <c r="R101" i="8" a="1"/>
  <c r="R101" i="8" s="1"/>
  <c r="R102" i="8" s="1"/>
  <c r="R103" i="8" s="1"/>
  <c r="S104" i="8" a="1"/>
  <c r="S104" i="8" s="1"/>
  <c r="U17" i="10" a="1"/>
  <c r="U17" i="10" s="1"/>
  <c r="T21" i="10" a="1"/>
  <c r="T21" i="10" s="1"/>
  <c r="AA29" i="10" a="1"/>
  <c r="AA29" i="10" s="1"/>
  <c r="Z43" i="10" a="1"/>
  <c r="Z43" i="10" s="1"/>
  <c r="Y56" i="10" a="1"/>
  <c r="Y56" i="10" s="1"/>
  <c r="S67" i="10" a="1"/>
  <c r="S67" i="10" s="1"/>
  <c r="S76" i="10" a="1"/>
  <c r="S76" i="10" s="1"/>
  <c r="R79" i="10" a="1"/>
  <c r="R79" i="10" s="1"/>
  <c r="R89" i="10" a="1"/>
  <c r="R89" i="10" s="1"/>
  <c r="Q92" i="10" a="1"/>
  <c r="Q92" i="10" s="1"/>
  <c r="AD99" i="10" a="1"/>
  <c r="AD99" i="10" s="1"/>
  <c r="U106" i="10" a="1"/>
  <c r="U106" i="10" s="1"/>
  <c r="Z112" i="10" a="1"/>
  <c r="Z112" i="10" s="1"/>
  <c r="T11" i="13" a="1"/>
  <c r="T11" i="13" s="1"/>
  <c r="T17" i="13" s="1"/>
  <c r="R12" i="13" a="1"/>
  <c r="R12" i="13" s="1"/>
  <c r="R23" i="13" s="1"/>
  <c r="P30" i="13" a="1"/>
  <c r="P30" i="13" s="1"/>
  <c r="P34" i="13" s="1"/>
  <c r="I31" i="13" a="1"/>
  <c r="I31" i="13" s="1"/>
  <c r="I41" i="13" s="1"/>
  <c r="Y31" i="13" a="1"/>
  <c r="Y31" i="13" s="1"/>
  <c r="Y41" i="13" s="1"/>
  <c r="S17" i="11" a="1"/>
  <c r="S17" i="11" s="1"/>
  <c r="U24" i="11" a="1"/>
  <c r="U24" i="11" s="1"/>
  <c r="V41" i="11" a="1"/>
  <c r="V41" i="11" s="1"/>
  <c r="W57" i="11" a="1"/>
  <c r="W57" i="11" s="1"/>
  <c r="Y74" i="11" a="1"/>
  <c r="Y74" i="11" s="1"/>
  <c r="AA83" i="11" a="1"/>
  <c r="AA83" i="11" s="1"/>
  <c r="AC89" i="11" a="1"/>
  <c r="AC89" i="11" s="1"/>
  <c r="O97" i="11" a="1"/>
  <c r="O97" i="11" s="1"/>
  <c r="R103" i="11" a="1"/>
  <c r="R103" i="11" s="1"/>
  <c r="Q111" i="11" a="1"/>
  <c r="Q111" i="11" s="1"/>
  <c r="O121" i="11" a="1"/>
  <c r="O121" i="11" s="1"/>
  <c r="AF92" i="10" a="1"/>
  <c r="AF92" i="10" s="1"/>
  <c r="AA12" i="13" a="1"/>
  <c r="AA12" i="13" s="1"/>
  <c r="AA23" i="13" s="1"/>
  <c r="AF56" i="10" a="1"/>
  <c r="AF56" i="10" s="1"/>
  <c r="R95" i="8" a="1"/>
  <c r="R95" i="8" s="1"/>
  <c r="S101" i="8" a="1"/>
  <c r="S101" i="8" s="1"/>
  <c r="S102" i="8" s="1"/>
  <c r="S103" i="8" s="1"/>
  <c r="T104" i="8" a="1"/>
  <c r="T104" i="8" s="1"/>
  <c r="V17" i="10" a="1"/>
  <c r="V17" i="10" s="1"/>
  <c r="U21" i="10" a="1"/>
  <c r="U21" i="10" s="1"/>
  <c r="AB29" i="10" a="1"/>
  <c r="AB29" i="10" s="1"/>
  <c r="AA43" i="10" a="1"/>
  <c r="AA43" i="10" s="1"/>
  <c r="Z56" i="10" a="1"/>
  <c r="Z56" i="10" s="1"/>
  <c r="T67" i="10" a="1"/>
  <c r="T67" i="10" s="1"/>
  <c r="T76" i="10" a="1"/>
  <c r="T76" i="10" s="1"/>
  <c r="S79" i="10" a="1"/>
  <c r="S79" i="10" s="1"/>
  <c r="S89" i="10" a="1"/>
  <c r="S89" i="10" s="1"/>
  <c r="R92" i="10" a="1"/>
  <c r="R92" i="10" s="1"/>
  <c r="O99" i="10" a="1"/>
  <c r="O99" i="10" s="1"/>
  <c r="AE99" i="10" a="1"/>
  <c r="AE99" i="10" s="1"/>
  <c r="V106" i="10" a="1"/>
  <c r="V106" i="10" s="1"/>
  <c r="E11" i="13" a="1"/>
  <c r="E11" i="13" s="1"/>
  <c r="E17" i="13" s="1"/>
  <c r="U11" i="13" a="1"/>
  <c r="U11" i="13" s="1"/>
  <c r="S12" i="13" a="1"/>
  <c r="S12" i="13" s="1"/>
  <c r="S23" i="13" s="1"/>
  <c r="Q30" i="13" a="1"/>
  <c r="Q30" i="13" s="1"/>
  <c r="Q40" i="13" s="1"/>
  <c r="J31" i="13" a="1"/>
  <c r="J31" i="13" s="1"/>
  <c r="J41" i="13" s="1"/>
  <c r="Z31" i="13" a="1"/>
  <c r="Z31" i="13" s="1"/>
  <c r="Z41" i="13" s="1"/>
  <c r="T17" i="11" a="1"/>
  <c r="T17" i="11" s="1"/>
  <c r="V24" i="11" a="1"/>
  <c r="V24" i="11" s="1"/>
  <c r="W41" i="11" a="1"/>
  <c r="W41" i="11" s="1"/>
  <c r="X57" i="11" a="1"/>
  <c r="X57" i="11" s="1"/>
  <c r="Z74" i="11" a="1"/>
  <c r="Z74" i="11" s="1"/>
  <c r="L83" i="11" a="1"/>
  <c r="L83" i="11" s="1"/>
  <c r="AB83" i="11" a="1"/>
  <c r="AB83" i="11" s="1"/>
  <c r="P97" i="11" a="1"/>
  <c r="P97" i="11" s="1"/>
  <c r="S103" i="11" a="1"/>
  <c r="S103" i="11" s="1"/>
  <c r="R111" i="11" a="1"/>
  <c r="R111" i="11" s="1"/>
  <c r="P121" i="11" a="1"/>
  <c r="P121" i="11" s="1"/>
  <c r="AF99" i="10" a="1"/>
  <c r="AF99" i="10" s="1"/>
  <c r="Z11" i="13" a="1"/>
  <c r="Z11" i="13" s="1"/>
  <c r="Z17" i="13" s="1"/>
  <c r="AG56" i="10" a="1"/>
  <c r="AG56" i="10" s="1"/>
  <c r="S95" i="8" a="1"/>
  <c r="S95" i="8" s="1"/>
  <c r="T101" i="8" a="1"/>
  <c r="T101" i="8" s="1"/>
  <c r="T102" i="8" s="1"/>
  <c r="T103" i="8" s="1"/>
  <c r="U104" i="8" a="1"/>
  <c r="U104" i="8" s="1"/>
  <c r="W17" i="10" a="1"/>
  <c r="W17" i="10" s="1"/>
  <c r="V21" i="10" a="1"/>
  <c r="V21" i="10" s="1"/>
  <c r="AC29" i="10" a="1"/>
  <c r="AC29" i="10" s="1"/>
  <c r="AB43" i="10" a="1"/>
  <c r="AB43" i="10" s="1"/>
  <c r="AA56" i="10" a="1"/>
  <c r="AA56" i="10" s="1"/>
  <c r="U67" i="10" a="1"/>
  <c r="U67" i="10" s="1"/>
  <c r="U76" i="10" a="1"/>
  <c r="U76" i="10" s="1"/>
  <c r="T79" i="10" a="1"/>
  <c r="T79" i="10" s="1"/>
  <c r="T89" i="10" a="1"/>
  <c r="T89" i="10" s="1"/>
  <c r="S92" i="10" a="1"/>
  <c r="S92" i="10" s="1"/>
  <c r="P99" i="10" a="1"/>
  <c r="P99" i="10" s="1"/>
  <c r="W106" i="10" a="1"/>
  <c r="W106" i="10" s="1"/>
  <c r="F11" i="13" a="1"/>
  <c r="F11" i="13" s="1"/>
  <c r="F17" i="13" s="1"/>
  <c r="V11" i="13" a="1"/>
  <c r="V11" i="13" s="1"/>
  <c r="V22" i="13" s="1"/>
  <c r="T12" i="13" a="1"/>
  <c r="T12" i="13" s="1"/>
  <c r="T18" i="13" s="1"/>
  <c r="R30" i="13" a="1"/>
  <c r="R30" i="13" s="1"/>
  <c r="R32" i="13" s="1"/>
  <c r="R33" i="13" s="1"/>
  <c r="K31" i="13" a="1"/>
  <c r="K31" i="13" s="1"/>
  <c r="K37" i="13" s="1"/>
  <c r="AA31" i="13" a="1"/>
  <c r="AA31" i="13" s="1"/>
  <c r="AA32" i="13" s="1"/>
  <c r="AA33" i="13" s="1"/>
  <c r="U17" i="11" a="1"/>
  <c r="U17" i="11" s="1"/>
  <c r="W24" i="11" a="1"/>
  <c r="W24" i="11" s="1"/>
  <c r="X41" i="11" a="1"/>
  <c r="X41" i="11" s="1"/>
  <c r="Y57" i="11" a="1"/>
  <c r="Y57" i="11" s="1"/>
  <c r="AA74" i="11" a="1"/>
  <c r="AA74" i="11" s="1"/>
  <c r="M83" i="11" a="1"/>
  <c r="M83" i="11" s="1"/>
  <c r="O89" i="11" a="1"/>
  <c r="O89" i="11" s="1"/>
  <c r="Q97" i="11" a="1"/>
  <c r="Q97" i="11" s="1"/>
  <c r="T103" i="11" a="1"/>
  <c r="T103" i="11" s="1"/>
  <c r="S111" i="11" a="1"/>
  <c r="S111" i="11" s="1"/>
  <c r="Q121" i="11" a="1"/>
  <c r="Q121" i="11" s="1"/>
  <c r="AB65" i="13" a="1"/>
  <c r="AB65" i="13" s="1"/>
  <c r="AB71" i="13" s="1"/>
  <c r="X12" i="13" a="1"/>
  <c r="X12" i="13" s="1"/>
  <c r="X13" i="13" s="1"/>
  <c r="X14" i="13" s="1"/>
  <c r="AG106" i="10" a="1"/>
  <c r="AG106" i="10" s="1"/>
  <c r="P36" i="8" a="1"/>
  <c r="P36" i="8" s="1"/>
  <c r="AB49" i="8" a="1"/>
  <c r="AB49" i="8" s="1"/>
  <c r="H41" i="8" a="1"/>
  <c r="H41" i="8" s="1"/>
  <c r="X41" i="8" a="1"/>
  <c r="X41" i="8" s="1"/>
  <c r="P44" i="8" a="1"/>
  <c r="P44" i="8" s="1"/>
  <c r="H57" i="8" a="1"/>
  <c r="H57" i="8" s="1"/>
  <c r="X57" i="8" a="1"/>
  <c r="X57" i="8" s="1"/>
  <c r="P60" i="8" a="1"/>
  <c r="P60" i="8" s="1"/>
  <c r="V66" i="8" a="1"/>
  <c r="V66" i="8" s="1"/>
  <c r="N69" i="8" a="1"/>
  <c r="N69" i="8" s="1"/>
  <c r="AD69" i="8" a="1"/>
  <c r="AD69" i="8" s="1"/>
  <c r="T74" i="8" a="1"/>
  <c r="T74" i="8" s="1"/>
  <c r="L77" i="8" a="1"/>
  <c r="L77" i="8" s="1"/>
  <c r="AB77" i="8" a="1"/>
  <c r="AB77" i="8" s="1"/>
  <c r="L83" i="8" a="1"/>
  <c r="L83" i="8" s="1"/>
  <c r="L84" i="8" s="1"/>
  <c r="L85" i="8" s="1"/>
  <c r="AB83" i="8" a="1"/>
  <c r="AB83" i="8" s="1"/>
  <c r="AB84" i="8" s="1"/>
  <c r="AB85" i="8" s="1"/>
  <c r="T86" i="8" a="1"/>
  <c r="T86" i="8" s="1"/>
  <c r="L92" i="8" a="1"/>
  <c r="L92" i="8" s="1"/>
  <c r="L93" i="8" s="1"/>
  <c r="L94" i="8" s="1"/>
  <c r="AB92" i="8" a="1"/>
  <c r="AB92" i="8" s="1"/>
  <c r="AB93" i="8" s="1"/>
  <c r="AB94" i="8" s="1"/>
  <c r="T95" i="8" a="1"/>
  <c r="T95" i="8" s="1"/>
  <c r="U101" i="8" a="1"/>
  <c r="U101" i="8" s="1"/>
  <c r="U102" i="8" s="1"/>
  <c r="U103" i="8" s="1"/>
  <c r="V104" i="8" a="1"/>
  <c r="V104" i="8" s="1"/>
  <c r="X17" i="10" a="1"/>
  <c r="X17" i="10" s="1"/>
  <c r="W21" i="10" a="1"/>
  <c r="W21" i="10" s="1"/>
  <c r="AD29" i="10" a="1"/>
  <c r="AD29" i="10" s="1"/>
  <c r="AC43" i="10" a="1"/>
  <c r="AC43" i="10" s="1"/>
  <c r="AB56" i="10" a="1"/>
  <c r="AB56" i="10" s="1"/>
  <c r="V67" i="10" a="1"/>
  <c r="V67" i="10" s="1"/>
  <c r="V76" i="10" a="1"/>
  <c r="V76" i="10" s="1"/>
  <c r="X71" i="10" s="1"/>
  <c r="X70" i="10" s="1"/>
  <c r="X75" i="10" s="1"/>
  <c r="P65" i="8" s="1" a="1"/>
  <c r="P65" i="8" s="1"/>
  <c r="U79" i="10" a="1"/>
  <c r="U79" i="10" s="1"/>
  <c r="U89" i="10" a="1"/>
  <c r="U89" i="10" s="1"/>
  <c r="W84" i="10" s="1"/>
  <c r="W83" i="10" s="1"/>
  <c r="W88" i="10" s="1"/>
  <c r="O73" i="8" s="1" a="1"/>
  <c r="O73" i="8" s="1"/>
  <c r="T92" i="10" a="1"/>
  <c r="T92" i="10" s="1"/>
  <c r="Q99" i="10" a="1"/>
  <c r="Q99" i="10" s="1"/>
  <c r="X106" i="10" a="1"/>
  <c r="X106" i="10" s="1"/>
  <c r="G11" i="13" a="1"/>
  <c r="G11" i="13" s="1"/>
  <c r="G17" i="13" s="1"/>
  <c r="E12" i="13" a="1"/>
  <c r="E12" i="13" s="1"/>
  <c r="E18" i="13" s="1"/>
  <c r="U12" i="13" a="1"/>
  <c r="U12" i="13" s="1"/>
  <c r="U23" i="13" s="1"/>
  <c r="S30" i="13" a="1"/>
  <c r="S30" i="13" s="1"/>
  <c r="S32" i="13" s="1"/>
  <c r="S33" i="13" s="1"/>
  <c r="L31" i="13" a="1"/>
  <c r="L31" i="13" s="1"/>
  <c r="V17" i="11" a="1"/>
  <c r="V17" i="11" s="1"/>
  <c r="X24" i="11" a="1"/>
  <c r="X24" i="11" s="1"/>
  <c r="Y41" i="11" a="1"/>
  <c r="Y41" i="11" s="1"/>
  <c r="Z57" i="11" a="1"/>
  <c r="Z57" i="11" s="1"/>
  <c r="AB74" i="11" a="1"/>
  <c r="AB74" i="11" s="1"/>
  <c r="N83" i="11" a="1"/>
  <c r="N83" i="11" s="1"/>
  <c r="P89" i="11" a="1"/>
  <c r="P89" i="11" s="1"/>
  <c r="R97" i="11" a="1"/>
  <c r="R97" i="11" s="1"/>
  <c r="T92" i="11" s="1"/>
  <c r="T91" i="11" s="1"/>
  <c r="T96" i="11" s="1"/>
  <c r="AF106" i="10" a="1"/>
  <c r="AF106" i="10" s="1"/>
  <c r="AB12" i="13" a="1"/>
  <c r="AB12" i="13" s="1"/>
  <c r="AB23" i="13" s="1"/>
  <c r="AG99" i="10" a="1"/>
  <c r="AG99" i="10" s="1"/>
  <c r="AJ2" i="10"/>
  <c r="AJ90" i="10" s="1" a="1"/>
  <c r="AJ90" i="10" s="1"/>
  <c r="AJ91" i="10" a="1"/>
  <c r="AJ91" i="10" s="1"/>
  <c r="AJ77" i="10" a="1"/>
  <c r="AJ77" i="10" s="1"/>
  <c r="AK2" i="10"/>
  <c r="AK91" i="10" s="1" a="1"/>
  <c r="AK91" i="10" s="1"/>
  <c r="AK90" i="10" a="1"/>
  <c r="AK90" i="10" s="1"/>
  <c r="AK78" i="10" a="1"/>
  <c r="AK78" i="10" s="1"/>
  <c r="AK77" i="10" a="1"/>
  <c r="AK77" i="10" s="1"/>
  <c r="AK20" i="10" a="1"/>
  <c r="AK20" i="10" s="1"/>
  <c r="O51" i="10"/>
  <c r="O45" i="10" s="1"/>
  <c r="O55" i="10" s="1"/>
  <c r="G40" i="8" s="1" a="1"/>
  <c r="G40" i="8" s="1"/>
  <c r="AE51" i="10"/>
  <c r="AE45" i="10" s="1"/>
  <c r="AE59" i="10" s="1"/>
  <c r="AE58" i="10" s="1"/>
  <c r="AJ13" i="10"/>
  <c r="AB40" i="13"/>
  <c r="AB32" i="13"/>
  <c r="AB33" i="13" s="1"/>
  <c r="AB36" i="13"/>
  <c r="AB34" i="13"/>
  <c r="AB41" i="13"/>
  <c r="AB37" i="13"/>
  <c r="AB50" i="13"/>
  <c r="AB54" i="13"/>
  <c r="AB52" i="13"/>
  <c r="AB58" i="13"/>
  <c r="AB59" i="13"/>
  <c r="AB55" i="13"/>
  <c r="W15" i="13"/>
  <c r="W22" i="13"/>
  <c r="W13" i="13"/>
  <c r="W14" i="13" s="1"/>
  <c r="W17" i="13"/>
  <c r="Y15" i="13"/>
  <c r="Y17" i="13"/>
  <c r="Y22" i="13"/>
  <c r="AB75" i="13"/>
  <c r="AB72" i="13"/>
  <c r="X15" i="13"/>
  <c r="X17" i="13"/>
  <c r="X22" i="13"/>
  <c r="W23" i="13"/>
  <c r="W18" i="13"/>
  <c r="Z15" i="13"/>
  <c r="AB38" i="10"/>
  <c r="AB32" i="10" s="1"/>
  <c r="T31" i="8" s="1" a="1"/>
  <c r="T31" i="8" s="1"/>
  <c r="P38" i="10"/>
  <c r="P32" i="10" s="1"/>
  <c r="H31" i="8" s="1" a="1"/>
  <c r="H31" i="8" s="1"/>
  <c r="AC38" i="10"/>
  <c r="AC32" i="10" s="1"/>
  <c r="AC42" i="10" s="1"/>
  <c r="U32" i="8" s="1" a="1"/>
  <c r="U32" i="8" s="1"/>
  <c r="AF2" i="10"/>
  <c r="AG2" i="10"/>
  <c r="AD38" i="10"/>
  <c r="AD32" i="10" s="1"/>
  <c r="V31" i="8" s="1" a="1"/>
  <c r="V31" i="8" s="1"/>
  <c r="AA51" i="10"/>
  <c r="AA45" i="10" s="1"/>
  <c r="AA59" i="10" s="1"/>
  <c r="AA58" i="10" s="1"/>
  <c r="Y38" i="10"/>
  <c r="Y32" i="10" s="1"/>
  <c r="Z38" i="10"/>
  <c r="Z32" i="10" s="1"/>
  <c r="AA38" i="10"/>
  <c r="AA32" i="10" s="1"/>
  <c r="AE38" i="10"/>
  <c r="AE32" i="10" s="1"/>
  <c r="W31" i="8" s="1" a="1"/>
  <c r="W31" i="8" s="1"/>
  <c r="AB51" i="10"/>
  <c r="AB45" i="10" s="1"/>
  <c r="T39" i="8" s="1" a="1"/>
  <c r="T39" i="8" s="1"/>
  <c r="AF38" i="10"/>
  <c r="AF32" i="10" s="1"/>
  <c r="AC51" i="10"/>
  <c r="AC45" i="10" s="1"/>
  <c r="AC55" i="10" s="1"/>
  <c r="AD51" i="10"/>
  <c r="AD45" i="10" s="1"/>
  <c r="V39" i="8" s="1" a="1"/>
  <c r="V39" i="8" s="1"/>
  <c r="AF13" i="10"/>
  <c r="AF14" i="10" s="1"/>
  <c r="H37" i="13"/>
  <c r="G41" i="13"/>
  <c r="G37" i="13"/>
  <c r="Q34" i="13"/>
  <c r="AO31" i="13"/>
  <c r="V37" i="13"/>
  <c r="T34" i="13"/>
  <c r="T40" i="13"/>
  <c r="T36" i="13"/>
  <c r="M37" i="13"/>
  <c r="M41" i="13"/>
  <c r="E36" i="13"/>
  <c r="E34" i="13"/>
  <c r="E40" i="13"/>
  <c r="U36" i="13"/>
  <c r="U34" i="13"/>
  <c r="U40" i="13"/>
  <c r="AO30" i="13"/>
  <c r="O37" i="13"/>
  <c r="O41" i="13"/>
  <c r="G36" i="13"/>
  <c r="G34" i="13"/>
  <c r="G40" i="13"/>
  <c r="W36" i="13"/>
  <c r="W34" i="13"/>
  <c r="W40" i="13"/>
  <c r="P37" i="13"/>
  <c r="P41" i="13"/>
  <c r="H36" i="13"/>
  <c r="H34" i="13"/>
  <c r="H40" i="13"/>
  <c r="X36" i="13"/>
  <c r="X34" i="13"/>
  <c r="X40" i="13"/>
  <c r="Q37" i="13"/>
  <c r="Q41" i="13"/>
  <c r="I36" i="13"/>
  <c r="I34" i="13"/>
  <c r="I40" i="13"/>
  <c r="Y36" i="13"/>
  <c r="Y34" i="13"/>
  <c r="Y40" i="13"/>
  <c r="R37" i="13"/>
  <c r="R41" i="13"/>
  <c r="J36" i="13"/>
  <c r="J34" i="13"/>
  <c r="J40" i="13"/>
  <c r="Z36" i="13"/>
  <c r="Z34" i="13"/>
  <c r="Z40" i="13"/>
  <c r="S41" i="13"/>
  <c r="K36" i="13"/>
  <c r="K34" i="13"/>
  <c r="AA36" i="13"/>
  <c r="AA40" i="13"/>
  <c r="T37" i="13"/>
  <c r="T41" i="13"/>
  <c r="E41" i="13"/>
  <c r="U41" i="13"/>
  <c r="U37" i="13"/>
  <c r="N23" i="13"/>
  <c r="V23" i="13"/>
  <c r="G23" i="13"/>
  <c r="H23" i="13"/>
  <c r="I23" i="13"/>
  <c r="J23" i="13"/>
  <c r="K23" i="13"/>
  <c r="L23" i="13"/>
  <c r="F23" i="13"/>
  <c r="P22" i="13"/>
  <c r="P15" i="13"/>
  <c r="J15" i="13"/>
  <c r="J22" i="13"/>
  <c r="K15" i="13"/>
  <c r="K22" i="13"/>
  <c r="I15" i="13"/>
  <c r="I22" i="13"/>
  <c r="L15" i="13"/>
  <c r="L22" i="13"/>
  <c r="M22" i="13"/>
  <c r="M15" i="13"/>
  <c r="N22" i="13"/>
  <c r="N15" i="13"/>
  <c r="H15" i="13"/>
  <c r="H22" i="13"/>
  <c r="O15" i="13"/>
  <c r="P18" i="13"/>
  <c r="P17" i="13"/>
  <c r="G18" i="13"/>
  <c r="V18" i="13"/>
  <c r="H18" i="13"/>
  <c r="L17" i="13"/>
  <c r="M17" i="13"/>
  <c r="K18" i="13"/>
  <c r="N18" i="13"/>
  <c r="H17" i="13"/>
  <c r="J17" i="13"/>
  <c r="I18" i="13"/>
  <c r="N17" i="13"/>
  <c r="L18" i="13"/>
  <c r="F18" i="13"/>
  <c r="I17" i="13"/>
  <c r="K17" i="13"/>
  <c r="J18" i="13"/>
  <c r="M18" i="13"/>
  <c r="J13" i="13"/>
  <c r="J14" i="13" s="1"/>
  <c r="I13" i="13"/>
  <c r="I14" i="13" s="1"/>
  <c r="L13" i="13"/>
  <c r="L14" i="13" s="1"/>
  <c r="H13" i="13"/>
  <c r="H14" i="13" s="1"/>
  <c r="K13" i="13"/>
  <c r="K14" i="13" s="1"/>
  <c r="N13" i="13"/>
  <c r="N14" i="13" s="1"/>
  <c r="O38" i="10"/>
  <c r="O32" i="10" s="1"/>
  <c r="G31" i="8" s="1" a="1"/>
  <c r="G31" i="8" s="1"/>
  <c r="AA121" i="11" a="1"/>
  <c r="AA121" i="11" s="1"/>
  <c r="AB121" i="11" a="1"/>
  <c r="AB121" i="11" s="1"/>
  <c r="S78" i="11"/>
  <c r="S77" i="11" s="1"/>
  <c r="S82" i="11" s="1"/>
  <c r="U78" i="11"/>
  <c r="U77" i="11" s="1"/>
  <c r="U82" i="11" s="1"/>
  <c r="T32" i="13"/>
  <c r="T33" i="13" s="1"/>
  <c r="Q78" i="11"/>
  <c r="Q77" i="11" s="1"/>
  <c r="Q82" i="11" s="1"/>
  <c r="U92" i="11"/>
  <c r="U91" i="11" s="1"/>
  <c r="U96" i="11" s="1"/>
  <c r="N82" i="13" a="1"/>
  <c r="N82" i="13" s="1"/>
  <c r="W81" i="13" a="1"/>
  <c r="W81" i="13" s="1"/>
  <c r="G81" i="13" a="1"/>
  <c r="G81" i="13" s="1"/>
  <c r="O65" i="13" a="1"/>
  <c r="O65" i="13" s="1"/>
  <c r="O74" i="13" s="1"/>
  <c r="W66" i="13" a="1"/>
  <c r="W66" i="13" s="1"/>
  <c r="W75" i="13" s="1"/>
  <c r="G66" i="13" a="1"/>
  <c r="G66" i="13" s="1"/>
  <c r="G75" i="13" s="1"/>
  <c r="M82" i="13" a="1"/>
  <c r="M82" i="13" s="1"/>
  <c r="V81" i="13" a="1"/>
  <c r="V81" i="13" s="1"/>
  <c r="F81" i="13" a="1"/>
  <c r="F81" i="13" s="1"/>
  <c r="N65" i="13" a="1"/>
  <c r="N65" i="13" s="1"/>
  <c r="N74" i="13" s="1"/>
  <c r="V66" i="13" a="1"/>
  <c r="V66" i="13" s="1"/>
  <c r="F66" i="13" a="1"/>
  <c r="F66" i="13" s="1"/>
  <c r="F75" i="13" s="1"/>
  <c r="Z82" i="13" a="1"/>
  <c r="Z82" i="13" s="1"/>
  <c r="J82" i="13" a="1"/>
  <c r="J82" i="13" s="1"/>
  <c r="AA65" i="13" a="1"/>
  <c r="AA65" i="13" s="1"/>
  <c r="AA74" i="13" s="1"/>
  <c r="S66" i="13" a="1"/>
  <c r="S66" i="13" s="1"/>
  <c r="S75" i="13" s="1"/>
  <c r="Q66" i="13" a="1"/>
  <c r="Q66" i="13" s="1"/>
  <c r="Q75" i="13" s="1"/>
  <c r="P81" i="13" a="1"/>
  <c r="P81" i="13" s="1"/>
  <c r="H65" i="13" a="1"/>
  <c r="H65" i="13" s="1"/>
  <c r="H74" i="13" s="1"/>
  <c r="G82" i="13" a="1"/>
  <c r="G82" i="13" s="1"/>
  <c r="W65" i="13" a="1"/>
  <c r="W65" i="13" s="1"/>
  <c r="W74" i="13" s="1"/>
  <c r="U82" i="13" a="1"/>
  <c r="U82" i="13" s="1"/>
  <c r="N81" i="13" a="1"/>
  <c r="N81" i="13" s="1"/>
  <c r="N66" i="13" a="1"/>
  <c r="N66" i="13" s="1"/>
  <c r="N75" i="13" s="1"/>
  <c r="E82" i="13" a="1"/>
  <c r="E82" i="13" s="1"/>
  <c r="E65" i="13" a="1"/>
  <c r="E65" i="13" s="1"/>
  <c r="E74" i="13" s="1"/>
  <c r="S82" i="13" a="1"/>
  <c r="S82" i="13" s="1"/>
  <c r="L66" i="13" a="1"/>
  <c r="L66" i="13" s="1"/>
  <c r="L75" i="13" s="1"/>
  <c r="S65" i="13" a="1"/>
  <c r="S65" i="13" s="1"/>
  <c r="S74" i="13" s="1"/>
  <c r="Q82" i="13" a="1"/>
  <c r="Q82" i="13" s="1"/>
  <c r="Z66" i="13" a="1"/>
  <c r="Z66" i="13" s="1"/>
  <c r="Z75" i="13" s="1"/>
  <c r="Y81" i="13" a="1"/>
  <c r="Y81" i="13" s="1"/>
  <c r="I66" i="13" a="1"/>
  <c r="I66" i="13" s="1"/>
  <c r="I75" i="13" s="1"/>
  <c r="H81" i="13" a="1"/>
  <c r="H81" i="13" s="1"/>
  <c r="T65" i="13" a="1"/>
  <c r="T65" i="13" s="1"/>
  <c r="T74" i="13" s="1"/>
  <c r="AA81" i="13" a="1"/>
  <c r="AA81" i="13" s="1"/>
  <c r="AA66" i="13" a="1"/>
  <c r="AA66" i="13" s="1"/>
  <c r="AA75" i="13" s="1"/>
  <c r="J81" i="13" a="1"/>
  <c r="J81" i="13" s="1"/>
  <c r="P82" i="13" a="1"/>
  <c r="P82" i="13" s="1"/>
  <c r="Q65" i="13" a="1"/>
  <c r="Q65" i="13" s="1"/>
  <c r="Q74" i="13" s="1"/>
  <c r="X81" i="13" a="1"/>
  <c r="X81" i="13" s="1"/>
  <c r="X66" i="13" a="1"/>
  <c r="X66" i="13" s="1"/>
  <c r="X75" i="13" s="1"/>
  <c r="L82" i="13" a="1"/>
  <c r="L82" i="13" s="1"/>
  <c r="U81" i="13" a="1"/>
  <c r="U81" i="13" s="1"/>
  <c r="E81" i="13" a="1"/>
  <c r="E81" i="13" s="1"/>
  <c r="M65" i="13" a="1"/>
  <c r="M65" i="13" s="1"/>
  <c r="M74" i="13" s="1"/>
  <c r="U66" i="13" a="1"/>
  <c r="U66" i="13" s="1"/>
  <c r="U75" i="13" s="1"/>
  <c r="E66" i="13" a="1"/>
  <c r="E66" i="13" s="1"/>
  <c r="E75" i="13" s="1"/>
  <c r="AA82" i="13" a="1"/>
  <c r="AA82" i="13" s="1"/>
  <c r="K82" i="13" a="1"/>
  <c r="K82" i="13" s="1"/>
  <c r="T81" i="13" a="1"/>
  <c r="T81" i="13" s="1"/>
  <c r="L65" i="13" a="1"/>
  <c r="L65" i="13" s="1"/>
  <c r="L74" i="13" s="1"/>
  <c r="T66" i="13" a="1"/>
  <c r="T66" i="13" s="1"/>
  <c r="T75" i="13" s="1"/>
  <c r="S81" i="13" a="1"/>
  <c r="S81" i="13" s="1"/>
  <c r="K65" i="13" a="1"/>
  <c r="K65" i="13" s="1"/>
  <c r="K74" i="13" s="1"/>
  <c r="Y65" i="13" a="1"/>
  <c r="Y65" i="13" s="1"/>
  <c r="Y74" i="13" s="1"/>
  <c r="I65" i="13" a="1"/>
  <c r="I65" i="13" s="1"/>
  <c r="I74" i="13" s="1"/>
  <c r="H82" i="13" a="1"/>
  <c r="H82" i="13" s="1"/>
  <c r="X65" i="13" a="1"/>
  <c r="X65" i="13" s="1"/>
  <c r="X74" i="13" s="1"/>
  <c r="V82" i="13" a="1"/>
  <c r="V82" i="13" s="1"/>
  <c r="O81" i="13" a="1"/>
  <c r="O81" i="13" s="1"/>
  <c r="O66" i="13" a="1"/>
  <c r="O66" i="13" s="1"/>
  <c r="O75" i="13" s="1"/>
  <c r="F82" i="13" a="1"/>
  <c r="F82" i="13" s="1"/>
  <c r="F65" i="13" a="1"/>
  <c r="F65" i="13" s="1"/>
  <c r="F74" i="13" s="1"/>
  <c r="T82" i="13" a="1"/>
  <c r="T82" i="13" s="1"/>
  <c r="U65" i="13" a="1"/>
  <c r="U65" i="13" s="1"/>
  <c r="U74" i="13" s="1"/>
  <c r="M66" i="13" a="1"/>
  <c r="M66" i="13" s="1"/>
  <c r="M75" i="13" s="1"/>
  <c r="L81" i="13" a="1"/>
  <c r="L81" i="13" s="1"/>
  <c r="K81" i="13" a="1"/>
  <c r="K81" i="13" s="1"/>
  <c r="K66" i="13" a="1"/>
  <c r="K66" i="13" s="1"/>
  <c r="K75" i="13" s="1"/>
  <c r="R65" i="13" a="1"/>
  <c r="R65" i="13" s="1"/>
  <c r="R74" i="13" s="1"/>
  <c r="J66" i="13" a="1"/>
  <c r="J66" i="13" s="1"/>
  <c r="J75" i="13" s="1"/>
  <c r="I81" i="13" a="1"/>
  <c r="I81" i="13" s="1"/>
  <c r="O82" i="13" a="1"/>
  <c r="O82" i="13" s="1"/>
  <c r="P65" i="13" a="1"/>
  <c r="P65" i="13" s="1"/>
  <c r="P74" i="13" s="1"/>
  <c r="Y82" i="13" a="1"/>
  <c r="Y82" i="13" s="1"/>
  <c r="I82" i="13" a="1"/>
  <c r="I82" i="13" s="1"/>
  <c r="R81" i="13" a="1"/>
  <c r="R81" i="13" s="1"/>
  <c r="Z65" i="13" a="1"/>
  <c r="Z65" i="13" s="1"/>
  <c r="Z74" i="13" s="1"/>
  <c r="J65" i="13" a="1"/>
  <c r="J65" i="13" s="1"/>
  <c r="J74" i="13" s="1"/>
  <c r="R66" i="13" a="1"/>
  <c r="R66" i="13" s="1"/>
  <c r="R75" i="13" s="1"/>
  <c r="X82" i="13" a="1"/>
  <c r="X82" i="13" s="1"/>
  <c r="Q81" i="13" a="1"/>
  <c r="Q81" i="13" s="1"/>
  <c r="W82" i="13" a="1"/>
  <c r="W82" i="13" s="1"/>
  <c r="P66" i="13" a="1"/>
  <c r="P66" i="13" s="1"/>
  <c r="P75" i="13" s="1"/>
  <c r="G65" i="13" a="1"/>
  <c r="G65" i="13" s="1"/>
  <c r="G74" i="13" s="1"/>
  <c r="V65" i="13" a="1"/>
  <c r="V65" i="13" s="1"/>
  <c r="M81" i="13" a="1"/>
  <c r="M81" i="13" s="1"/>
  <c r="R82" i="13" a="1"/>
  <c r="R82" i="13" s="1"/>
  <c r="Z81" i="13" a="1"/>
  <c r="Z81" i="13" s="1"/>
  <c r="Y66" i="13" a="1"/>
  <c r="Y66" i="13" s="1"/>
  <c r="Y75" i="13" s="1"/>
  <c r="H66" i="13" a="1"/>
  <c r="H66" i="13" s="1"/>
  <c r="H75" i="13" s="1"/>
  <c r="Z49" i="13" a="1"/>
  <c r="Z49" i="13" s="1"/>
  <c r="J49" i="13" a="1"/>
  <c r="J49" i="13" s="1"/>
  <c r="R48" i="13" a="1"/>
  <c r="R48" i="13" s="1"/>
  <c r="I48" i="13" a="1"/>
  <c r="I48" i="13" s="1"/>
  <c r="Y49" i="13" a="1"/>
  <c r="Y49" i="13" s="1"/>
  <c r="I49" i="13" a="1"/>
  <c r="I49" i="13" s="1"/>
  <c r="Q48" i="13" a="1"/>
  <c r="Q48" i="13" s="1"/>
  <c r="O48" i="13" a="1"/>
  <c r="O48" i="13" s="1"/>
  <c r="K48" i="13" a="1"/>
  <c r="K48" i="13" s="1"/>
  <c r="J48" i="13" a="1"/>
  <c r="J48" i="13" s="1"/>
  <c r="N49" i="13" a="1"/>
  <c r="N49" i="13" s="1"/>
  <c r="S48" i="13" a="1"/>
  <c r="S48" i="13" s="1"/>
  <c r="X49" i="13" a="1"/>
  <c r="X49" i="13" s="1"/>
  <c r="H49" i="13" a="1"/>
  <c r="H49" i="13" s="1"/>
  <c r="P48" i="13" a="1"/>
  <c r="P48" i="13" s="1"/>
  <c r="E49" i="13" a="1"/>
  <c r="E49" i="13" s="1"/>
  <c r="L48" i="13" a="1"/>
  <c r="L48" i="13" s="1"/>
  <c r="R49" i="13" a="1"/>
  <c r="R49" i="13" s="1"/>
  <c r="Q49" i="13" a="1"/>
  <c r="Q49" i="13" s="1"/>
  <c r="V48" i="13" a="1"/>
  <c r="V48" i="13" s="1"/>
  <c r="E48" i="13" a="1"/>
  <c r="E48" i="13" s="1"/>
  <c r="K49" i="13" a="1"/>
  <c r="K49" i="13" s="1"/>
  <c r="W49" i="13" a="1"/>
  <c r="W49" i="13" s="1"/>
  <c r="G49" i="13" a="1"/>
  <c r="G49" i="13" s="1"/>
  <c r="AA48" i="13" a="1"/>
  <c r="AA48" i="13" s="1"/>
  <c r="U48" i="13" a="1"/>
  <c r="U48" i="13" s="1"/>
  <c r="V49" i="13" a="1"/>
  <c r="V49" i="13" s="1"/>
  <c r="F49" i="13" a="1"/>
  <c r="F49" i="13" s="1"/>
  <c r="N48" i="13" a="1"/>
  <c r="N48" i="13" s="1"/>
  <c r="M48" i="13" a="1"/>
  <c r="M48" i="13" s="1"/>
  <c r="S49" i="13" a="1"/>
  <c r="S49" i="13" s="1"/>
  <c r="Z48" i="13" a="1"/>
  <c r="Z48" i="13" s="1"/>
  <c r="Y48" i="13" a="1"/>
  <c r="Y48" i="13" s="1"/>
  <c r="M49" i="13" a="1"/>
  <c r="M49" i="13" s="1"/>
  <c r="L49" i="13" a="1"/>
  <c r="L49" i="13" s="1"/>
  <c r="U49" i="13" a="1"/>
  <c r="U49" i="13" s="1"/>
  <c r="T49" i="13" a="1"/>
  <c r="T49" i="13" s="1"/>
  <c r="F48" i="13" a="1"/>
  <c r="F48" i="13" s="1"/>
  <c r="P49" i="13" a="1"/>
  <c r="P49" i="13" s="1"/>
  <c r="X48" i="13" a="1"/>
  <c r="X48" i="13" s="1"/>
  <c r="H48" i="13" a="1"/>
  <c r="H48" i="13" s="1"/>
  <c r="AA49" i="13" a="1"/>
  <c r="AA49" i="13" s="1"/>
  <c r="O49" i="13" a="1"/>
  <c r="O49" i="13" s="1"/>
  <c r="W48" i="13" a="1"/>
  <c r="W48" i="13" s="1"/>
  <c r="G48" i="13" a="1"/>
  <c r="G48" i="13" s="1"/>
  <c r="T48" i="13" a="1"/>
  <c r="T48" i="13" s="1"/>
  <c r="AC121" i="11" a="1"/>
  <c r="AC121" i="11" s="1"/>
  <c r="W111" i="11" a="1"/>
  <c r="W111" i="11" s="1"/>
  <c r="S121" i="11" a="1"/>
  <c r="S121" i="11" s="1"/>
  <c r="O71" i="10"/>
  <c r="O70" i="10" s="1"/>
  <c r="O75" i="10" s="1"/>
  <c r="G65" i="8" s="1" a="1"/>
  <c r="G65" i="8" s="1"/>
  <c r="AE71" i="10"/>
  <c r="AE73" i="10" s="1"/>
  <c r="X130" i="11" a="1"/>
  <c r="X130" i="11" s="1"/>
  <c r="R13" i="10"/>
  <c r="R14" i="10" s="1"/>
  <c r="W102" i="8"/>
  <c r="W103" i="8" s="1"/>
  <c r="AD25" i="8"/>
  <c r="AD26" i="8" s="1"/>
  <c r="X78" i="11"/>
  <c r="X77" i="11" s="1"/>
  <c r="X82" i="11" s="1"/>
  <c r="V92" i="11"/>
  <c r="V91" i="11" s="1"/>
  <c r="V96" i="11" s="1"/>
  <c r="W92" i="11"/>
  <c r="W91" i="11" s="1"/>
  <c r="W96" i="11" s="1"/>
  <c r="R13" i="11"/>
  <c r="R14" i="11" s="1"/>
  <c r="Z92" i="11"/>
  <c r="Z91" i="11" s="1"/>
  <c r="Z96" i="11" s="1"/>
  <c r="AA92" i="11"/>
  <c r="AA94" i="11" s="1"/>
  <c r="U13" i="11"/>
  <c r="U14" i="11" s="1"/>
  <c r="P78" i="11"/>
  <c r="P77" i="11" s="1"/>
  <c r="P82" i="11" s="1"/>
  <c r="AB92" i="11"/>
  <c r="AB94" i="11" s="1"/>
  <c r="O13" i="10"/>
  <c r="O14" i="10" s="1"/>
  <c r="AE13" i="10"/>
  <c r="AE14" i="10" s="1"/>
  <c r="Z71" i="10"/>
  <c r="Z70" i="10" s="1"/>
  <c r="Z75" i="10" s="1"/>
  <c r="R65" i="8" s="1" a="1"/>
  <c r="R65" i="8" s="1"/>
  <c r="Y84" i="10"/>
  <c r="Y83" i="10" s="1"/>
  <c r="Q72" i="8" s="1" a="1"/>
  <c r="Q72" i="8" s="1"/>
  <c r="R78" i="11"/>
  <c r="R77" i="11" s="1"/>
  <c r="R82" i="11" s="1"/>
  <c r="P71" i="10"/>
  <c r="P70" i="10" s="1"/>
  <c r="P75" i="10" s="1"/>
  <c r="H65" i="8" s="1" a="1"/>
  <c r="H65" i="8" s="1"/>
  <c r="O84" i="10"/>
  <c r="O83" i="10" s="1"/>
  <c r="O88" i="10" s="1"/>
  <c r="G73" i="8" s="1" a="1"/>
  <c r="G73" i="8" s="1"/>
  <c r="AE84" i="10"/>
  <c r="AE86" i="10" s="1"/>
  <c r="AD13" i="10"/>
  <c r="AD14" i="10" s="1"/>
  <c r="X32" i="13"/>
  <c r="X33" i="13" s="1"/>
  <c r="P47" i="10"/>
  <c r="P51" i="10" s="1"/>
  <c r="P45" i="10" s="1"/>
  <c r="AF47" i="10"/>
  <c r="AF51" i="10" s="1"/>
  <c r="AF45" i="10" s="1"/>
  <c r="Q47" i="10"/>
  <c r="Q51" i="10" s="1"/>
  <c r="AG47" i="10"/>
  <c r="AG51" i="10" s="1"/>
  <c r="AG45" i="10" s="1"/>
  <c r="Y51" i="10"/>
  <c r="Y45" i="10" s="1"/>
  <c r="Q34" i="10"/>
  <c r="Q38" i="10" s="1"/>
  <c r="Q32" i="10" s="1"/>
  <c r="AG34" i="10"/>
  <c r="Z51" i="10"/>
  <c r="Z45" i="10" s="1"/>
  <c r="X51" i="10"/>
  <c r="X45" i="10" s="1"/>
  <c r="R34" i="10"/>
  <c r="R38" i="10" s="1"/>
  <c r="AH34" i="10"/>
  <c r="AH38" i="10" s="1"/>
  <c r="AH32" i="10" s="1"/>
  <c r="R47" i="10"/>
  <c r="R51" i="10" s="1"/>
  <c r="AH47" i="10"/>
  <c r="AH51" i="10" s="1"/>
  <c r="AH45" i="10" s="1"/>
  <c r="S34" i="10"/>
  <c r="AI34" i="10"/>
  <c r="W34" i="10"/>
  <c r="W38" i="10" s="1"/>
  <c r="V47" i="10"/>
  <c r="AL47" i="10"/>
  <c r="AL51" i="10" s="1"/>
  <c r="X34" i="10"/>
  <c r="W47" i="10"/>
  <c r="W51" i="10" s="1"/>
  <c r="AA84" i="10"/>
  <c r="AA86" i="10" s="1"/>
  <c r="X93" i="8"/>
  <c r="X94" i="8" s="1"/>
  <c r="T34" i="10"/>
  <c r="AJ34" i="10"/>
  <c r="S47" i="10"/>
  <c r="S51" i="10" s="1"/>
  <c r="AI47" i="10"/>
  <c r="S71" i="10"/>
  <c r="S70" i="10" s="1"/>
  <c r="S75" i="10" s="1"/>
  <c r="K65" i="8" s="1" a="1"/>
  <c r="K65" i="8" s="1"/>
  <c r="Y84" i="8"/>
  <c r="Y85" i="8" s="1"/>
  <c r="U34" i="10"/>
  <c r="U38" i="10" s="1"/>
  <c r="U32" i="10" s="1"/>
  <c r="AK34" i="10"/>
  <c r="AK38" i="10" s="1"/>
  <c r="AK32" i="10" s="1"/>
  <c r="T47" i="10"/>
  <c r="T51" i="10" s="1"/>
  <c r="AJ47" i="10"/>
  <c r="Z25" i="8"/>
  <c r="Z26" i="8" s="1"/>
  <c r="V34" i="10"/>
  <c r="V38" i="10" s="1"/>
  <c r="V32" i="10" s="1"/>
  <c r="AL34" i="10"/>
  <c r="U47" i="10"/>
  <c r="U51" i="10" s="1"/>
  <c r="AK47" i="10"/>
  <c r="Y71" i="10"/>
  <c r="Y70" i="10" s="1"/>
  <c r="X84" i="10"/>
  <c r="X83" i="10" s="1"/>
  <c r="AA71" i="10"/>
  <c r="AA73" i="10" s="1"/>
  <c r="Z84" i="10"/>
  <c r="Z83" i="10" s="1"/>
  <c r="AB13" i="10"/>
  <c r="AB14" i="10" s="1"/>
  <c r="AB84" i="10"/>
  <c r="AB86" i="10" s="1"/>
  <c r="AD71" i="10"/>
  <c r="AD73" i="10" s="1"/>
  <c r="P13" i="10"/>
  <c r="P14" i="10" s="1"/>
  <c r="P84" i="10"/>
  <c r="P83" i="10" s="1"/>
  <c r="Q13" i="10"/>
  <c r="Q14" i="10" s="1"/>
  <c r="R71" i="10"/>
  <c r="R70" i="10" s="1"/>
  <c r="AC25" i="8"/>
  <c r="AC26" i="8" s="1"/>
  <c r="U84" i="8"/>
  <c r="U85" i="8" s="1"/>
  <c r="Y102" i="8"/>
  <c r="Y103" i="8" s="1"/>
  <c r="V102" i="8"/>
  <c r="V103" i="8" s="1"/>
  <c r="AD102" i="8"/>
  <c r="AD103" i="8" s="1"/>
  <c r="Y25" i="8"/>
  <c r="Y26" i="8" s="1"/>
  <c r="AA25" i="8"/>
  <c r="AA26" i="8" s="1"/>
  <c r="Z84" i="8"/>
  <c r="Z85" i="8" s="1"/>
  <c r="G32" i="13"/>
  <c r="G33" i="13" s="1"/>
  <c r="M32" i="13"/>
  <c r="M33" i="13" s="1"/>
  <c r="N32" i="13"/>
  <c r="N33" i="13" s="1"/>
  <c r="O32" i="13"/>
  <c r="O33" i="13" s="1"/>
  <c r="Q32" i="13"/>
  <c r="Q33" i="13" s="1"/>
  <c r="E32" i="13"/>
  <c r="E33" i="13" s="1"/>
  <c r="F32" i="13"/>
  <c r="F33" i="13" s="1"/>
  <c r="U32" i="13"/>
  <c r="U33" i="13" s="1"/>
  <c r="H84" i="8"/>
  <c r="H85" i="8" s="1"/>
  <c r="Q93" i="8"/>
  <c r="Q94" i="8" s="1"/>
  <c r="I84" i="8"/>
  <c r="I85" i="8" s="1"/>
  <c r="R84" i="8"/>
  <c r="R85" i="8" s="1"/>
  <c r="J84" i="8"/>
  <c r="J85" i="8" s="1"/>
  <c r="O84" i="8"/>
  <c r="O85" i="8" s="1"/>
  <c r="AC102" i="8"/>
  <c r="AC103" i="8" s="1"/>
  <c r="AB102" i="8"/>
  <c r="AB103" i="8" s="1"/>
  <c r="M93" i="8"/>
  <c r="M94" i="8" s="1"/>
  <c r="AD84" i="8"/>
  <c r="AD85" i="8" s="1"/>
  <c r="AA84" i="8"/>
  <c r="AA85" i="8" s="1"/>
  <c r="K84" i="8"/>
  <c r="K85" i="8" s="1"/>
  <c r="P84" i="8"/>
  <c r="P85" i="8" s="1"/>
  <c r="S25" i="8"/>
  <c r="S26" i="8" s="1"/>
  <c r="AC84" i="8"/>
  <c r="AC85" i="8" s="1"/>
  <c r="S84" i="8"/>
  <c r="S85" i="8" s="1"/>
  <c r="G84" i="8"/>
  <c r="G85" i="8" s="1"/>
  <c r="N93" i="8"/>
  <c r="N94" i="8" s="1"/>
  <c r="AD93" i="8"/>
  <c r="AD94" i="8" s="1"/>
  <c r="Z102" i="8"/>
  <c r="Z103" i="8" s="1"/>
  <c r="W25" i="8"/>
  <c r="W26" i="8" s="1"/>
  <c r="V84" i="8"/>
  <c r="V85" i="8" s="1"/>
  <c r="AA102" i="8"/>
  <c r="AA103" i="8" s="1"/>
  <c r="F5" i="5"/>
  <c r="F8" i="5"/>
  <c r="T84" i="8"/>
  <c r="T85" i="8" s="1"/>
  <c r="T25" i="8"/>
  <c r="T26" i="8" s="1"/>
  <c r="U25" i="8"/>
  <c r="U26" i="8" s="1"/>
  <c r="X84" i="8"/>
  <c r="X85" i="8" s="1"/>
  <c r="V25" i="8"/>
  <c r="V26" i="8" s="1"/>
  <c r="X25" i="8"/>
  <c r="X26" i="8" s="1"/>
  <c r="N84" i="8"/>
  <c r="N85" i="8" s="1"/>
  <c r="M84" i="8"/>
  <c r="M85" i="8" s="1"/>
  <c r="W84" i="8"/>
  <c r="W85" i="8" s="1"/>
  <c r="T93" i="8"/>
  <c r="T94" i="8" s="1"/>
  <c r="O93" i="8"/>
  <c r="O94" i="8" s="1"/>
  <c r="AC93" i="8"/>
  <c r="AC94" i="8" s="1"/>
  <c r="AB25" i="8"/>
  <c r="AB26" i="8" s="1"/>
  <c r="P102" i="8"/>
  <c r="P103" i="8" s="1"/>
  <c r="F15" i="5"/>
  <c r="F7" i="5"/>
  <c r="F20" i="5"/>
  <c r="F12" i="5"/>
  <c r="F4" i="5"/>
  <c r="P21" i="5"/>
  <c r="F19" i="5"/>
  <c r="F11" i="5"/>
  <c r="F3" i="5"/>
  <c r="F18" i="5"/>
  <c r="F10" i="5"/>
  <c r="F17" i="5"/>
  <c r="G93" i="8"/>
  <c r="G94" i="8" s="1"/>
  <c r="H93" i="8"/>
  <c r="H94" i="8" s="1"/>
  <c r="V93" i="8"/>
  <c r="V94" i="8" s="1"/>
  <c r="I93" i="8"/>
  <c r="I94" i="8" s="1"/>
  <c r="W93" i="8"/>
  <c r="W94" i="8" s="1"/>
  <c r="J93" i="8"/>
  <c r="J94" i="8" s="1"/>
  <c r="K93" i="8"/>
  <c r="K94" i="8" s="1"/>
  <c r="Y93" i="8"/>
  <c r="Y94" i="8" s="1"/>
  <c r="Z93" i="8"/>
  <c r="Z94" i="8" s="1"/>
  <c r="AA93" i="8"/>
  <c r="AA94" i="8" s="1"/>
  <c r="T13" i="10" l="1"/>
  <c r="T14" i="10" s="1"/>
  <c r="S84" i="10"/>
  <c r="S83" i="10" s="1"/>
  <c r="Q36" i="13"/>
  <c r="Y13" i="13"/>
  <c r="Y14" i="13" s="1"/>
  <c r="T71" i="10"/>
  <c r="T70" i="10" s="1"/>
  <c r="Z13" i="13"/>
  <c r="Z14" i="13" s="1"/>
  <c r="L40" i="13"/>
  <c r="Y18" i="13"/>
  <c r="L34" i="13"/>
  <c r="Q17" i="13"/>
  <c r="L32" i="13"/>
  <c r="L33" i="13" s="1"/>
  <c r="M13" i="13"/>
  <c r="M14" i="13" s="1"/>
  <c r="T84" i="10"/>
  <c r="T83" i="10" s="1"/>
  <c r="AL84" i="10"/>
  <c r="AL86" i="10" s="1"/>
  <c r="AL94" i="10" s="1"/>
  <c r="U31" i="8" a="1"/>
  <c r="U31" i="8" s="1"/>
  <c r="U34" i="8" s="1"/>
  <c r="U35" i="8" s="1"/>
  <c r="AD55" i="10"/>
  <c r="AK19" i="10" a="1"/>
  <c r="AK19" i="10" s="1"/>
  <c r="AK22" i="10" s="1"/>
  <c r="W39" i="8" a="1"/>
  <c r="W39" i="8" s="1"/>
  <c r="AC84" i="10"/>
  <c r="AC86" i="10" s="1"/>
  <c r="AD59" i="10"/>
  <c r="AD58" i="10" s="1"/>
  <c r="U39" i="8" a="1"/>
  <c r="U39" i="8" s="1"/>
  <c r="P42" i="10"/>
  <c r="H32" i="8" s="1" a="1"/>
  <c r="H32" i="8" s="1"/>
  <c r="H34" i="8" s="1"/>
  <c r="H35" i="8" s="1"/>
  <c r="AJ20" i="10" a="1"/>
  <c r="AJ20" i="10" s="1"/>
  <c r="AJ23" i="10" s="1"/>
  <c r="AJ19" i="10" a="1"/>
  <c r="AJ19" i="10" s="1"/>
  <c r="AJ22" i="10" s="1"/>
  <c r="U13" i="10"/>
  <c r="U14" i="10" s="1"/>
  <c r="W71" i="10"/>
  <c r="W70" i="10" s="1"/>
  <c r="W75" i="10" s="1"/>
  <c r="O65" i="8" s="1" a="1"/>
  <c r="O65" i="8" s="1"/>
  <c r="AJ78" i="10" a="1"/>
  <c r="AJ78" i="10" s="1"/>
  <c r="AL13" i="10"/>
  <c r="AL14" i="10" s="1"/>
  <c r="AL12" i="10" s="1"/>
  <c r="AL15" i="10" s="1"/>
  <c r="AD14" i="8" s="1" a="1"/>
  <c r="AD14" i="8" s="1"/>
  <c r="Z78" i="11"/>
  <c r="Z77" i="11" s="1"/>
  <c r="Z82" i="11" s="1"/>
  <c r="Q84" i="10"/>
  <c r="Q83" i="10" s="1"/>
  <c r="N36" i="13"/>
  <c r="W13" i="10"/>
  <c r="W14" i="10" s="1"/>
  <c r="AF84" i="10"/>
  <c r="AF86" i="10" s="1"/>
  <c r="V78" i="11"/>
  <c r="V77" i="11" s="1"/>
  <c r="V82" i="11" s="1"/>
  <c r="AG71" i="10"/>
  <c r="AG73" i="10" s="1"/>
  <c r="T78" i="11"/>
  <c r="T77" i="11" s="1"/>
  <c r="T82" i="11" s="1"/>
  <c r="AL71" i="10"/>
  <c r="AL73" i="10" s="1"/>
  <c r="AL83" i="10"/>
  <c r="S17" i="13"/>
  <c r="F22" i="13"/>
  <c r="E23" i="13"/>
  <c r="F15" i="13"/>
  <c r="N41" i="13"/>
  <c r="F13" i="13"/>
  <c r="F14" i="13" s="1"/>
  <c r="S15" i="13"/>
  <c r="O13" i="11"/>
  <c r="O14" i="11" s="1"/>
  <c r="AC13" i="10"/>
  <c r="AC14" i="10" s="1"/>
  <c r="AB91" i="13"/>
  <c r="Q18" i="13"/>
  <c r="V13" i="10"/>
  <c r="V14" i="10" s="1"/>
  <c r="AA13" i="10"/>
  <c r="AA14" i="10" s="1"/>
  <c r="Z22" i="13"/>
  <c r="AC71" i="10"/>
  <c r="AC73" i="10" s="1"/>
  <c r="U71" i="10"/>
  <c r="U70" i="10" s="1"/>
  <c r="O92" i="11"/>
  <c r="O91" i="11" s="1"/>
  <c r="O96" i="11" s="1"/>
  <c r="X13" i="10"/>
  <c r="X14" i="10" s="1"/>
  <c r="F34" i="13"/>
  <c r="F36" i="13"/>
  <c r="AA15" i="13"/>
  <c r="W13" i="11"/>
  <c r="W14" i="11" s="1"/>
  <c r="O78" i="11"/>
  <c r="O77" i="11" s="1"/>
  <c r="O82" i="11" s="1"/>
  <c r="AA37" i="13"/>
  <c r="AB87" i="13"/>
  <c r="AB90" i="13"/>
  <c r="AB83" i="13"/>
  <c r="AB84" i="13" s="1"/>
  <c r="AG84" i="10"/>
  <c r="AG86" i="10" s="1"/>
  <c r="Q13" i="11"/>
  <c r="Q14" i="11" s="1"/>
  <c r="W78" i="11"/>
  <c r="W77" i="11" s="1"/>
  <c r="W82" i="11" s="1"/>
  <c r="M34" i="13"/>
  <c r="P13" i="11"/>
  <c r="P14" i="11" s="1"/>
  <c r="O36" i="13"/>
  <c r="U13" i="13"/>
  <c r="U14" i="13" s="1"/>
  <c r="Y78" i="11"/>
  <c r="Y77" i="11" s="1"/>
  <c r="Y82" i="11" s="1"/>
  <c r="AI71" i="10"/>
  <c r="AI73" i="10" s="1"/>
  <c r="W37" i="13"/>
  <c r="AO11" i="13"/>
  <c r="W41" i="13"/>
  <c r="O18" i="13"/>
  <c r="X13" i="11"/>
  <c r="X14" i="11" s="1"/>
  <c r="Z13" i="11"/>
  <c r="Z14" i="11" s="1"/>
  <c r="S92" i="11"/>
  <c r="S91" i="11" s="1"/>
  <c r="S96" i="11" s="1"/>
  <c r="S13" i="11"/>
  <c r="S14" i="11" s="1"/>
  <c r="J32" i="13"/>
  <c r="J33" i="13" s="1"/>
  <c r="X18" i="13"/>
  <c r="V15" i="13"/>
  <c r="X23" i="13"/>
  <c r="Q13" i="13"/>
  <c r="Q14" i="13" s="1"/>
  <c r="V17" i="13"/>
  <c r="L41" i="13"/>
  <c r="AB67" i="13"/>
  <c r="AB68" i="13" s="1"/>
  <c r="AK84" i="10"/>
  <c r="AK86" i="10" s="1"/>
  <c r="AK94" i="10" s="1"/>
  <c r="Q15" i="13"/>
  <c r="AB69" i="13"/>
  <c r="AB74" i="13"/>
  <c r="AB78" i="11"/>
  <c r="AB80" i="11" s="1"/>
  <c r="S13" i="10"/>
  <c r="S14" i="10" s="1"/>
  <c r="V13" i="13"/>
  <c r="V16" i="13" s="1"/>
  <c r="T13" i="13"/>
  <c r="T14" i="13" s="1"/>
  <c r="O13" i="13"/>
  <c r="O14" i="13" s="1"/>
  <c r="AA18" i="13"/>
  <c r="V84" i="10"/>
  <c r="V83" i="10" s="1"/>
  <c r="V88" i="10" s="1"/>
  <c r="N73" i="8" s="1" a="1"/>
  <c r="N73" i="8" s="1"/>
  <c r="AA41" i="13"/>
  <c r="T15" i="13"/>
  <c r="T23" i="13"/>
  <c r="K41" i="13"/>
  <c r="H32" i="13"/>
  <c r="H33" i="13" s="1"/>
  <c r="S18" i="13"/>
  <c r="R18" i="13"/>
  <c r="T22" i="13"/>
  <c r="R36" i="13"/>
  <c r="AO12" i="13"/>
  <c r="AO14" i="13" s="1"/>
  <c r="AF71" i="10"/>
  <c r="AF73" i="10" s="1"/>
  <c r="U84" i="10"/>
  <c r="U83" i="10" s="1"/>
  <c r="M72" i="8" s="1" a="1"/>
  <c r="M72" i="8" s="1"/>
  <c r="Z37" i="13"/>
  <c r="R92" i="11"/>
  <c r="R91" i="11" s="1"/>
  <c r="R96" i="11" s="1"/>
  <c r="V71" i="10"/>
  <c r="V70" i="10" s="1"/>
  <c r="N64" i="8" s="1" a="1"/>
  <c r="N64" i="8" s="1"/>
  <c r="Z32" i="13"/>
  <c r="Z33" i="13" s="1"/>
  <c r="P32" i="13"/>
  <c r="P33" i="13" s="1"/>
  <c r="AA78" i="11"/>
  <c r="AA80" i="11" s="1"/>
  <c r="R17" i="13"/>
  <c r="S36" i="13"/>
  <c r="P36" i="13"/>
  <c r="P23" i="13"/>
  <c r="S40" i="13"/>
  <c r="Z18" i="13"/>
  <c r="AA13" i="11"/>
  <c r="AA14" i="11" s="1"/>
  <c r="R15" i="13"/>
  <c r="S34" i="13"/>
  <c r="AG13" i="10"/>
  <c r="AG14" i="10" s="1"/>
  <c r="Y92" i="11"/>
  <c r="Y91" i="11" s="1"/>
  <c r="Y96" i="11" s="1"/>
  <c r="AJ84" i="10"/>
  <c r="AJ86" i="10" s="1"/>
  <c r="AJ94" i="10" s="1"/>
  <c r="AK13" i="10"/>
  <c r="AK14" i="10" s="1"/>
  <c r="AK71" i="10"/>
  <c r="AK73" i="10" s="1"/>
  <c r="AK80" i="10" s="1"/>
  <c r="X37" i="13"/>
  <c r="Q92" i="11"/>
  <c r="Q91" i="11" s="1"/>
  <c r="Q96" i="11" s="1"/>
  <c r="K32" i="13"/>
  <c r="K33" i="13" s="1"/>
  <c r="P92" i="11"/>
  <c r="P91" i="11" s="1"/>
  <c r="P96" i="11" s="1"/>
  <c r="O17" i="13"/>
  <c r="M23" i="13"/>
  <c r="N40" i="13"/>
  <c r="Y13" i="10"/>
  <c r="Y14" i="10" s="1"/>
  <c r="AA17" i="13"/>
  <c r="Z13" i="10"/>
  <c r="Z14" i="10" s="1"/>
  <c r="I32" i="13"/>
  <c r="I33" i="13" s="1"/>
  <c r="F37" i="13"/>
  <c r="O40" i="13"/>
  <c r="G13" i="13"/>
  <c r="G14" i="13" s="1"/>
  <c r="U18" i="13"/>
  <c r="E22" i="13"/>
  <c r="J37" i="13"/>
  <c r="AH71" i="10"/>
  <c r="AH73" i="10" s="1"/>
  <c r="Y13" i="11"/>
  <c r="Y14" i="11" s="1"/>
  <c r="E15" i="13"/>
  <c r="L37" i="13"/>
  <c r="AB18" i="13"/>
  <c r="T13" i="11"/>
  <c r="T14" i="11" s="1"/>
  <c r="AI84" i="10"/>
  <c r="AI86" i="10" s="1"/>
  <c r="Y32" i="13"/>
  <c r="Y33" i="13" s="1"/>
  <c r="U17" i="13"/>
  <c r="AA13" i="13"/>
  <c r="AA14" i="13" s="1"/>
  <c r="R13" i="13"/>
  <c r="R14" i="13" s="1"/>
  <c r="U22" i="13"/>
  <c r="Y37" i="13"/>
  <c r="V32" i="13"/>
  <c r="V33" i="13" s="1"/>
  <c r="AD84" i="10"/>
  <c r="AD86" i="10" s="1"/>
  <c r="U15" i="13"/>
  <c r="AI13" i="10"/>
  <c r="AI14" i="10" s="1"/>
  <c r="S13" i="13"/>
  <c r="S14" i="13" s="1"/>
  <c r="G22" i="13"/>
  <c r="M36" i="13"/>
  <c r="V40" i="13"/>
  <c r="I37" i="13"/>
  <c r="R84" i="10"/>
  <c r="R83" i="10" s="1"/>
  <c r="R88" i="10" s="1"/>
  <c r="J73" i="8" s="1" a="1"/>
  <c r="J73" i="8" s="1"/>
  <c r="V13" i="11"/>
  <c r="V14" i="11" s="1"/>
  <c r="G15" i="13"/>
  <c r="V34" i="13"/>
  <c r="AH13" i="10"/>
  <c r="AH14" i="10" s="1"/>
  <c r="E13" i="13"/>
  <c r="E14" i="13" s="1"/>
  <c r="R40" i="13"/>
  <c r="P40" i="13"/>
  <c r="AJ71" i="10"/>
  <c r="AJ73" i="10" s="1"/>
  <c r="AJ80" i="10" s="1"/>
  <c r="X92" i="11"/>
  <c r="X91" i="11" s="1"/>
  <c r="X96" i="11" s="1"/>
  <c r="R34" i="13"/>
  <c r="AB13" i="13"/>
  <c r="AB14" i="13" s="1"/>
  <c r="AB17" i="13"/>
  <c r="AB15" i="13"/>
  <c r="AK23" i="10"/>
  <c r="AE55" i="10"/>
  <c r="AK83" i="10"/>
  <c r="G39" i="8" a="1"/>
  <c r="G39" i="8" s="1"/>
  <c r="G42" i="8" s="1"/>
  <c r="G43" i="8" s="1"/>
  <c r="AB42" i="10"/>
  <c r="T32" i="8" s="1" a="1"/>
  <c r="T32" i="8" s="1"/>
  <c r="T34" i="8" s="1"/>
  <c r="T35" i="8" s="1"/>
  <c r="O64" i="10"/>
  <c r="O63" i="10" s="1"/>
  <c r="AJ14" i="10"/>
  <c r="AJ12" i="10" s="1"/>
  <c r="AF91" i="10" a="1"/>
  <c r="AF91" i="10" s="1"/>
  <c r="AF19" i="10" a="1"/>
  <c r="AF19" i="10" s="1"/>
  <c r="AF22" i="10" s="1"/>
  <c r="AF20" i="10" a="1"/>
  <c r="AF20" i="10" s="1"/>
  <c r="AF23" i="10" s="1"/>
  <c r="AF78" i="10" a="1"/>
  <c r="AF78" i="10" s="1"/>
  <c r="AF77" i="10" a="1"/>
  <c r="AF77" i="10" s="1"/>
  <c r="AF90" i="10" a="1"/>
  <c r="AF90" i="10" s="1"/>
  <c r="AI78" i="10" a="1"/>
  <c r="AI78" i="10" s="1"/>
  <c r="AI91" i="10" a="1"/>
  <c r="AI91" i="10" s="1"/>
  <c r="AI77" i="10" a="1"/>
  <c r="AI77" i="10" s="1"/>
  <c r="AI90" i="10" a="1"/>
  <c r="AI90" i="10" s="1"/>
  <c r="AI20" i="10" a="1"/>
  <c r="AI20" i="10" s="1"/>
  <c r="AI19" i="10" a="1"/>
  <c r="AI19" i="10" s="1"/>
  <c r="AI22" i="10" s="1"/>
  <c r="AH90" i="10" a="1"/>
  <c r="AH90" i="10" s="1"/>
  <c r="AH93" i="10" s="1"/>
  <c r="AH78" i="10" a="1"/>
  <c r="AH78" i="10" s="1"/>
  <c r="AH77" i="10" a="1"/>
  <c r="AH77" i="10" s="1"/>
  <c r="AH91" i="10" a="1"/>
  <c r="AH91" i="10" s="1"/>
  <c r="AH94" i="10" s="1"/>
  <c r="AH20" i="10" a="1"/>
  <c r="AH20" i="10" s="1"/>
  <c r="AH19" i="10" a="1"/>
  <c r="AH19" i="10" s="1"/>
  <c r="AH22" i="10" s="1"/>
  <c r="AG78" i="10" a="1"/>
  <c r="AG78" i="10" s="1"/>
  <c r="Z16" i="13"/>
  <c r="Y16" i="13"/>
  <c r="AB51" i="13"/>
  <c r="AB53" i="13"/>
  <c r="AB35" i="13"/>
  <c r="X16" i="13"/>
  <c r="W16" i="13"/>
  <c r="AG90" i="10" a="1"/>
  <c r="AG90" i="10" s="1"/>
  <c r="AG91" i="10" a="1"/>
  <c r="AG91" i="10" s="1"/>
  <c r="S39" i="8" a="1"/>
  <c r="S39" i="8" s="1"/>
  <c r="AG19" i="10" a="1"/>
  <c r="AG19" i="10" s="1"/>
  <c r="AG22" i="10" s="1"/>
  <c r="AA55" i="10"/>
  <c r="AD42" i="10"/>
  <c r="V32" i="8" s="1" a="1"/>
  <c r="V32" i="8" s="1"/>
  <c r="V34" i="8" s="1"/>
  <c r="V35" i="8" s="1"/>
  <c r="AC59" i="10"/>
  <c r="AC58" i="10" s="1"/>
  <c r="AE42" i="10"/>
  <c r="W32" i="8" s="1" a="1"/>
  <c r="W32" i="8" s="1"/>
  <c r="W34" i="8" s="1"/>
  <c r="W35" i="8" s="1"/>
  <c r="AB59" i="10"/>
  <c r="AB58" i="10" s="1"/>
  <c r="AG20" i="10" a="1"/>
  <c r="AG20" i="10" s="1"/>
  <c r="AB55" i="10"/>
  <c r="T40" i="8" s="1" a="1"/>
  <c r="T40" i="8" s="1"/>
  <c r="T42" i="8" s="1"/>
  <c r="T43" i="8" s="1"/>
  <c r="O42" i="10"/>
  <c r="G32" i="8" s="1" a="1"/>
  <c r="G32" i="8" s="1"/>
  <c r="G34" i="8" s="1"/>
  <c r="G35" i="8" s="1"/>
  <c r="AG77" i="10" a="1"/>
  <c r="AG77" i="10" s="1"/>
  <c r="I91" i="13"/>
  <c r="I88" i="13"/>
  <c r="O87" i="13"/>
  <c r="O85" i="13"/>
  <c r="O90" i="13"/>
  <c r="E90" i="13"/>
  <c r="E87" i="13"/>
  <c r="E85" i="13"/>
  <c r="Z91" i="13"/>
  <c r="Z88" i="13"/>
  <c r="Q88" i="13"/>
  <c r="Q91" i="13"/>
  <c r="Y88" i="13"/>
  <c r="Y91" i="13"/>
  <c r="AO82" i="13"/>
  <c r="V91" i="13"/>
  <c r="V88" i="13"/>
  <c r="U90" i="13"/>
  <c r="U87" i="13"/>
  <c r="U85" i="13"/>
  <c r="L91" i="13"/>
  <c r="L88" i="13"/>
  <c r="S88" i="13"/>
  <c r="S91" i="13"/>
  <c r="V75" i="13"/>
  <c r="AO66" i="13"/>
  <c r="R90" i="13"/>
  <c r="R87" i="13"/>
  <c r="R85" i="13"/>
  <c r="J88" i="13"/>
  <c r="J91" i="13"/>
  <c r="Z87" i="13"/>
  <c r="Z85" i="13"/>
  <c r="Z90" i="13"/>
  <c r="O91" i="13"/>
  <c r="O88" i="13"/>
  <c r="H91" i="13"/>
  <c r="H88" i="13"/>
  <c r="R88" i="13"/>
  <c r="R91" i="13"/>
  <c r="I87" i="13"/>
  <c r="I85" i="13"/>
  <c r="I90" i="13"/>
  <c r="X87" i="13"/>
  <c r="X85" i="13"/>
  <c r="X90" i="13"/>
  <c r="E88" i="13"/>
  <c r="E91" i="13"/>
  <c r="F87" i="13"/>
  <c r="F90" i="13"/>
  <c r="F85" i="13"/>
  <c r="M83" i="13"/>
  <c r="M84" i="13" s="1"/>
  <c r="M87" i="13"/>
  <c r="M85" i="13"/>
  <c r="M90" i="13"/>
  <c r="AO81" i="13"/>
  <c r="V90" i="13"/>
  <c r="V87" i="13"/>
  <c r="V85" i="13"/>
  <c r="V74" i="13"/>
  <c r="AO65" i="13"/>
  <c r="P91" i="13"/>
  <c r="P88" i="13"/>
  <c r="N87" i="13"/>
  <c r="N85" i="13"/>
  <c r="N90" i="13"/>
  <c r="M91" i="13"/>
  <c r="M88" i="13"/>
  <c r="S90" i="13"/>
  <c r="S87" i="13"/>
  <c r="S85" i="13"/>
  <c r="J87" i="13"/>
  <c r="J85" i="13"/>
  <c r="J90" i="13"/>
  <c r="U88" i="13"/>
  <c r="U91" i="13"/>
  <c r="K85" i="13"/>
  <c r="K87" i="13"/>
  <c r="K90" i="13"/>
  <c r="W88" i="13"/>
  <c r="W91" i="13"/>
  <c r="L87" i="13"/>
  <c r="L85" i="13"/>
  <c r="L90" i="13"/>
  <c r="AA87" i="13"/>
  <c r="AA90" i="13"/>
  <c r="AA85" i="13"/>
  <c r="G88" i="13"/>
  <c r="G91" i="13"/>
  <c r="Q90" i="13"/>
  <c r="Q87" i="13"/>
  <c r="Q85" i="13"/>
  <c r="T90" i="13"/>
  <c r="T87" i="13"/>
  <c r="T85" i="13"/>
  <c r="G90" i="13"/>
  <c r="G87" i="13"/>
  <c r="G85" i="13"/>
  <c r="K91" i="13"/>
  <c r="K88" i="13"/>
  <c r="H85" i="13"/>
  <c r="H87" i="13"/>
  <c r="H90" i="13"/>
  <c r="P90" i="13"/>
  <c r="P87" i="13"/>
  <c r="P85" i="13"/>
  <c r="W90" i="13"/>
  <c r="W85" i="13"/>
  <c r="W87" i="13"/>
  <c r="T91" i="13"/>
  <c r="T88" i="13"/>
  <c r="AA91" i="13"/>
  <c r="AA88" i="13"/>
  <c r="N91" i="13"/>
  <c r="N88" i="13"/>
  <c r="Y85" i="13"/>
  <c r="Y87" i="13"/>
  <c r="Y90" i="13"/>
  <c r="X91" i="13"/>
  <c r="X88" i="13"/>
  <c r="F88" i="13"/>
  <c r="F91" i="13"/>
  <c r="P16" i="13"/>
  <c r="R71" i="13"/>
  <c r="R69" i="13"/>
  <c r="W58" i="13"/>
  <c r="W54" i="13"/>
  <c r="W52" i="13"/>
  <c r="N72" i="13"/>
  <c r="V71" i="13"/>
  <c r="V69" i="13"/>
  <c r="K71" i="13"/>
  <c r="K69" i="13"/>
  <c r="AA59" i="13"/>
  <c r="AA55" i="13"/>
  <c r="U58" i="13"/>
  <c r="U54" i="13"/>
  <c r="U52" i="13"/>
  <c r="J58" i="13"/>
  <c r="J54" i="13"/>
  <c r="J52" i="13"/>
  <c r="G67" i="13"/>
  <c r="G68" i="13" s="1"/>
  <c r="G71" i="13"/>
  <c r="G69" i="13"/>
  <c r="K72" i="13"/>
  <c r="G72" i="13"/>
  <c r="P72" i="13"/>
  <c r="T72" i="13"/>
  <c r="AA72" i="13"/>
  <c r="W67" i="13"/>
  <c r="W68" i="13" s="1"/>
  <c r="W71" i="13"/>
  <c r="W69" i="13"/>
  <c r="W72" i="13"/>
  <c r="T35" i="13"/>
  <c r="N59" i="13"/>
  <c r="N55" i="13"/>
  <c r="O58" i="13"/>
  <c r="O54" i="13"/>
  <c r="O52" i="13"/>
  <c r="L71" i="13"/>
  <c r="L69" i="13"/>
  <c r="O71" i="13"/>
  <c r="O69" i="13"/>
  <c r="O59" i="13"/>
  <c r="O55" i="13"/>
  <c r="T71" i="13"/>
  <c r="T69" i="13"/>
  <c r="H71" i="13"/>
  <c r="H69" i="13"/>
  <c r="Q71" i="13"/>
  <c r="Q69" i="13"/>
  <c r="W59" i="13"/>
  <c r="W55" i="13"/>
  <c r="K59" i="13"/>
  <c r="K55" i="13"/>
  <c r="K58" i="13"/>
  <c r="K54" i="13"/>
  <c r="K52" i="13"/>
  <c r="M72" i="13"/>
  <c r="U71" i="13"/>
  <c r="U69" i="13"/>
  <c r="T59" i="13"/>
  <c r="T55" i="13"/>
  <c r="E58" i="13"/>
  <c r="E54" i="13"/>
  <c r="E52" i="13"/>
  <c r="Y59" i="13"/>
  <c r="Y55" i="13"/>
  <c r="R72" i="13"/>
  <c r="I72" i="13"/>
  <c r="Q72" i="13"/>
  <c r="J16" i="13"/>
  <c r="S58" i="13"/>
  <c r="S54" i="13"/>
  <c r="S52" i="13"/>
  <c r="H58" i="13"/>
  <c r="H54" i="13"/>
  <c r="H52" i="13"/>
  <c r="Q58" i="13"/>
  <c r="Q54" i="13"/>
  <c r="Q52" i="13"/>
  <c r="F58" i="13"/>
  <c r="F54" i="13"/>
  <c r="F52" i="13"/>
  <c r="I59" i="13"/>
  <c r="I55" i="13"/>
  <c r="U59" i="13"/>
  <c r="U55" i="13"/>
  <c r="AO48" i="13"/>
  <c r="V58" i="13"/>
  <c r="V54" i="13"/>
  <c r="V52" i="13"/>
  <c r="I58" i="13"/>
  <c r="I54" i="13"/>
  <c r="I52" i="13"/>
  <c r="J71" i="13"/>
  <c r="J69" i="13"/>
  <c r="F71" i="13"/>
  <c r="F69" i="13"/>
  <c r="E72" i="13"/>
  <c r="S72" i="13"/>
  <c r="AA58" i="13"/>
  <c r="AA54" i="13"/>
  <c r="AA52" i="13"/>
  <c r="L59" i="13"/>
  <c r="L55" i="13"/>
  <c r="Q59" i="13"/>
  <c r="Q55" i="13"/>
  <c r="R58" i="13"/>
  <c r="R54" i="13"/>
  <c r="R52" i="13"/>
  <c r="Z71" i="13"/>
  <c r="Z69" i="13"/>
  <c r="U72" i="13"/>
  <c r="Z72" i="13"/>
  <c r="AA71" i="13"/>
  <c r="AA69" i="13"/>
  <c r="J72" i="13"/>
  <c r="P59" i="13"/>
  <c r="P55" i="13"/>
  <c r="R59" i="13"/>
  <c r="R55" i="13"/>
  <c r="J59" i="13"/>
  <c r="J55" i="13"/>
  <c r="O72" i="13"/>
  <c r="M71" i="13"/>
  <c r="M69" i="13"/>
  <c r="Y71" i="13"/>
  <c r="Y69" i="13"/>
  <c r="G59" i="13"/>
  <c r="G55" i="13"/>
  <c r="Y58" i="13"/>
  <c r="Y54" i="13"/>
  <c r="Y52" i="13"/>
  <c r="Z59" i="13"/>
  <c r="Z55" i="13"/>
  <c r="S71" i="13"/>
  <c r="S69" i="13"/>
  <c r="AO49" i="13"/>
  <c r="V59" i="13"/>
  <c r="V55" i="13"/>
  <c r="M59" i="13"/>
  <c r="M55" i="13"/>
  <c r="L58" i="13"/>
  <c r="L54" i="13"/>
  <c r="L52" i="13"/>
  <c r="Z58" i="13"/>
  <c r="Z54" i="13"/>
  <c r="Z52" i="13"/>
  <c r="E59" i="13"/>
  <c r="E55" i="13"/>
  <c r="H72" i="13"/>
  <c r="L72" i="13"/>
  <c r="F72" i="13"/>
  <c r="X58" i="13"/>
  <c r="X54" i="13"/>
  <c r="X52" i="13"/>
  <c r="S59" i="13"/>
  <c r="S55" i="13"/>
  <c r="P58" i="13"/>
  <c r="P54" i="13"/>
  <c r="P52" i="13"/>
  <c r="Y72" i="13"/>
  <c r="P71" i="13"/>
  <c r="P69" i="13"/>
  <c r="X71" i="13"/>
  <c r="X69" i="13"/>
  <c r="V72" i="13"/>
  <c r="F59" i="13"/>
  <c r="F55" i="13"/>
  <c r="T58" i="13"/>
  <c r="T54" i="13"/>
  <c r="T52" i="13"/>
  <c r="M58" i="13"/>
  <c r="M54" i="13"/>
  <c r="M52" i="13"/>
  <c r="H59" i="13"/>
  <c r="H55" i="13"/>
  <c r="X72" i="13"/>
  <c r="E71" i="13"/>
  <c r="E69" i="13"/>
  <c r="N71" i="13"/>
  <c r="N69" i="13"/>
  <c r="G58" i="13"/>
  <c r="G54" i="13"/>
  <c r="G52" i="13"/>
  <c r="N58" i="13"/>
  <c r="N54" i="13"/>
  <c r="N52" i="13"/>
  <c r="X59" i="13"/>
  <c r="X55" i="13"/>
  <c r="I71" i="13"/>
  <c r="I69" i="13"/>
  <c r="O35" i="13"/>
  <c r="R35" i="13"/>
  <c r="M35" i="13"/>
  <c r="U35" i="13"/>
  <c r="G35" i="13"/>
  <c r="AA35" i="13"/>
  <c r="E35" i="13"/>
  <c r="X35" i="13"/>
  <c r="S35" i="13"/>
  <c r="W35" i="13"/>
  <c r="N35" i="13"/>
  <c r="F35" i="13"/>
  <c r="Q35" i="13"/>
  <c r="L16" i="13"/>
  <c r="K16" i="13"/>
  <c r="I16" i="13"/>
  <c r="H16" i="13"/>
  <c r="M16" i="13"/>
  <c r="N16" i="13"/>
  <c r="S67" i="13"/>
  <c r="S68" i="13" s="1"/>
  <c r="Q67" i="13"/>
  <c r="Q68" i="13" s="1"/>
  <c r="U67" i="13"/>
  <c r="U68" i="13" s="1"/>
  <c r="N83" i="13"/>
  <c r="N84" i="13" s="1"/>
  <c r="U83" i="13"/>
  <c r="U84" i="13" s="1"/>
  <c r="W32" i="10"/>
  <c r="W42" i="10" s="1"/>
  <c r="O32" i="8" s="1" a="1"/>
  <c r="O32" i="8" s="1"/>
  <c r="V51" i="10"/>
  <c r="V45" i="10" s="1"/>
  <c r="AI51" i="10"/>
  <c r="AI45" i="10" s="1"/>
  <c r="S45" i="10"/>
  <c r="Q45" i="10"/>
  <c r="Q64" i="10" s="1"/>
  <c r="Q63" i="10" s="1"/>
  <c r="AL45" i="10"/>
  <c r="AL59" i="10" s="1"/>
  <c r="AL58" i="10" s="1"/>
  <c r="Y50" i="13"/>
  <c r="Y51" i="13" s="1"/>
  <c r="X67" i="13"/>
  <c r="X68" i="13" s="1"/>
  <c r="H50" i="13"/>
  <c r="H51" i="13" s="1"/>
  <c r="V67" i="13"/>
  <c r="V68" i="13" s="1"/>
  <c r="T67" i="13"/>
  <c r="T68" i="13" s="1"/>
  <c r="W50" i="13"/>
  <c r="W51" i="13" s="1"/>
  <c r="E83" i="13"/>
  <c r="E84" i="13" s="1"/>
  <c r="S83" i="13"/>
  <c r="S84" i="13" s="1"/>
  <c r="J67" i="13"/>
  <c r="J68" i="13" s="1"/>
  <c r="G83" i="13"/>
  <c r="G84" i="13" s="1"/>
  <c r="P50" i="13"/>
  <c r="P51" i="13" s="1"/>
  <c r="L50" i="13"/>
  <c r="L51" i="13" s="1"/>
  <c r="L83" i="13"/>
  <c r="L84" i="13" s="1"/>
  <c r="L67" i="13"/>
  <c r="L68" i="13" s="1"/>
  <c r="G64" i="8" a="1"/>
  <c r="G64" i="8" s="1"/>
  <c r="G67" i="8" s="1"/>
  <c r="G68" i="8" s="1"/>
  <c r="I50" i="13"/>
  <c r="I51" i="13" s="1"/>
  <c r="F67" i="13"/>
  <c r="F68" i="13" s="1"/>
  <c r="H83" i="13"/>
  <c r="H84" i="13" s="1"/>
  <c r="G50" i="13"/>
  <c r="G51" i="13" s="1"/>
  <c r="Z83" i="13"/>
  <c r="Z84" i="13" s="1"/>
  <c r="I83" i="13"/>
  <c r="I84" i="13" s="1"/>
  <c r="G72" i="8" a="1"/>
  <c r="G72" i="8" s="1"/>
  <c r="G75" i="8" s="1"/>
  <c r="G76" i="8" s="1"/>
  <c r="X50" i="13"/>
  <c r="X51" i="13" s="1"/>
  <c r="H64" i="8" a="1"/>
  <c r="H64" i="8" s="1"/>
  <c r="H67" i="8" s="1"/>
  <c r="H68" i="8" s="1"/>
  <c r="F50" i="13"/>
  <c r="F51" i="13" s="1"/>
  <c r="O50" i="13"/>
  <c r="O51" i="13" s="1"/>
  <c r="K83" i="13"/>
  <c r="K84" i="13" s="1"/>
  <c r="Q83" i="13"/>
  <c r="Q84" i="13" s="1"/>
  <c r="J83" i="13"/>
  <c r="J84" i="13" s="1"/>
  <c r="Z50" i="13"/>
  <c r="Z51" i="13" s="1"/>
  <c r="Z67" i="13"/>
  <c r="Z68" i="13" s="1"/>
  <c r="V83" i="13"/>
  <c r="V84" i="13" s="1"/>
  <c r="E50" i="13"/>
  <c r="E51" i="13" s="1"/>
  <c r="Q50" i="13"/>
  <c r="Q51" i="13" s="1"/>
  <c r="V50" i="13"/>
  <c r="V51" i="13" s="1"/>
  <c r="T83" i="13"/>
  <c r="T84" i="13" s="1"/>
  <c r="AA83" i="13"/>
  <c r="AA84" i="13" s="1"/>
  <c r="O67" i="13"/>
  <c r="O68" i="13" s="1"/>
  <c r="R50" i="13"/>
  <c r="R51" i="13" s="1"/>
  <c r="H67" i="13"/>
  <c r="H68" i="13" s="1"/>
  <c r="P83" i="13"/>
  <c r="P84" i="13" s="1"/>
  <c r="W83" i="13"/>
  <c r="W84" i="13" s="1"/>
  <c r="R83" i="13"/>
  <c r="R84" i="13" s="1"/>
  <c r="Y88" i="10"/>
  <c r="Q73" i="8" s="1" a="1"/>
  <c r="Q73" i="8" s="1"/>
  <c r="Q75" i="8" s="1"/>
  <c r="Q76" i="8" s="1"/>
  <c r="R64" i="8" a="1"/>
  <c r="R64" i="8" s="1"/>
  <c r="R67" i="8" s="1"/>
  <c r="R68" i="8" s="1"/>
  <c r="T50" i="13"/>
  <c r="T51" i="13" s="1"/>
  <c r="M50" i="13"/>
  <c r="M51" i="13" s="1"/>
  <c r="Y83" i="13"/>
  <c r="Y84" i="13" s="1"/>
  <c r="N50" i="13"/>
  <c r="N51" i="13" s="1"/>
  <c r="O83" i="13"/>
  <c r="O84" i="13" s="1"/>
  <c r="M67" i="13"/>
  <c r="M68" i="13" s="1"/>
  <c r="AA67" i="13"/>
  <c r="AA68" i="13" s="1"/>
  <c r="S50" i="13"/>
  <c r="S51" i="13" s="1"/>
  <c r="P67" i="13"/>
  <c r="P68" i="13" s="1"/>
  <c r="U50" i="13"/>
  <c r="U51" i="13" s="1"/>
  <c r="AA50" i="13"/>
  <c r="AA51" i="13" s="1"/>
  <c r="J50" i="13"/>
  <c r="J51" i="13" s="1"/>
  <c r="I67" i="13"/>
  <c r="I68" i="13" s="1"/>
  <c r="O72" i="8" a="1"/>
  <c r="O72" i="8" s="1"/>
  <c r="O75" i="8" s="1"/>
  <c r="O76" i="8" s="1"/>
  <c r="K50" i="13"/>
  <c r="K51" i="13" s="1"/>
  <c r="R67" i="13"/>
  <c r="R68" i="13" s="1"/>
  <c r="Y67" i="13"/>
  <c r="Y68" i="13" s="1"/>
  <c r="E67" i="13"/>
  <c r="E68" i="13" s="1"/>
  <c r="N67" i="13"/>
  <c r="N68" i="13" s="1"/>
  <c r="K67" i="13"/>
  <c r="K68" i="13" s="1"/>
  <c r="X83" i="13"/>
  <c r="X84" i="13" s="1"/>
  <c r="F83" i="13"/>
  <c r="F84" i="13" s="1"/>
  <c r="P64" i="8" a="1"/>
  <c r="P64" i="8" s="1"/>
  <c r="P67" i="8" s="1"/>
  <c r="P68" i="8" s="1"/>
  <c r="M31" i="8" a="1"/>
  <c r="M31" i="8" s="1"/>
  <c r="U42" i="10"/>
  <c r="M32" i="8" s="1" a="1"/>
  <c r="M32" i="8" s="1"/>
  <c r="Z39" i="8" a="1"/>
  <c r="Z39" i="8" s="1"/>
  <c r="AH59" i="10"/>
  <c r="AH58" i="10" s="1"/>
  <c r="AH55" i="10"/>
  <c r="P64" i="10"/>
  <c r="P63" i="10" s="1"/>
  <c r="H39" i="8" a="1"/>
  <c r="H39" i="8" s="1"/>
  <c r="P55" i="10"/>
  <c r="H40" i="8" s="1" a="1"/>
  <c r="H40" i="8" s="1"/>
  <c r="Z31" i="8" a="1"/>
  <c r="Z31" i="8" s="1"/>
  <c r="AH42" i="10"/>
  <c r="Z32" i="8" s="1" a="1"/>
  <c r="Z32" i="8" s="1"/>
  <c r="X55" i="10"/>
  <c r="P40" i="8" s="1" a="1"/>
  <c r="P40" i="8" s="1"/>
  <c r="X64" i="10"/>
  <c r="X63" i="10" s="1"/>
  <c r="P39" i="8" a="1"/>
  <c r="P39" i="8" s="1"/>
  <c r="Y39" i="8" a="1"/>
  <c r="Y39" i="8" s="1"/>
  <c r="AG59" i="10"/>
  <c r="AG58" i="10" s="1"/>
  <c r="AG55" i="10"/>
  <c r="V42" i="10"/>
  <c r="N32" i="8" s="1" a="1"/>
  <c r="N32" i="8" s="1"/>
  <c r="N31" i="8" a="1"/>
  <c r="N31" i="8" s="1"/>
  <c r="I31" i="8" a="1"/>
  <c r="I31" i="8" s="1"/>
  <c r="Q42" i="10"/>
  <c r="I32" i="8" s="1" a="1"/>
  <c r="I32" i="8" s="1"/>
  <c r="AC31" i="8" a="1"/>
  <c r="AC31" i="8" s="1"/>
  <c r="AK42" i="10"/>
  <c r="AC32" i="8" s="1" a="1"/>
  <c r="AC32" i="8" s="1"/>
  <c r="AI38" i="10"/>
  <c r="AI32" i="10" s="1"/>
  <c r="R32" i="10"/>
  <c r="X31" i="8" a="1"/>
  <c r="X31" i="8" s="1"/>
  <c r="AF42" i="10"/>
  <c r="X32" i="8" s="1" a="1"/>
  <c r="X32" i="8" s="1"/>
  <c r="U47" i="8" a="1"/>
  <c r="U47" i="8" s="1"/>
  <c r="AC64" i="10"/>
  <c r="AC63" i="10" s="1"/>
  <c r="AE60" i="10"/>
  <c r="W48" i="8" s="1" a="1"/>
  <c r="W48" i="8" s="1"/>
  <c r="W40" i="8" a="1"/>
  <c r="W40" i="8" s="1"/>
  <c r="W42" i="8" s="1"/>
  <c r="W43" i="8" s="1"/>
  <c r="S38" i="10"/>
  <c r="S32" i="10" s="1"/>
  <c r="X38" i="10"/>
  <c r="X32" i="10" s="1"/>
  <c r="AK51" i="10"/>
  <c r="AK45" i="10" s="1"/>
  <c r="U40" i="8" a="1"/>
  <c r="U40" i="8" s="1"/>
  <c r="AC60" i="10"/>
  <c r="U48" i="8" s="1" a="1"/>
  <c r="U48" i="8" s="1"/>
  <c r="Z42" i="10"/>
  <c r="R32" i="8" s="1" a="1"/>
  <c r="R32" i="8" s="1"/>
  <c r="R31" i="8" a="1"/>
  <c r="R31" i="8" s="1"/>
  <c r="X39" i="8" a="1"/>
  <c r="X39" i="8" s="1"/>
  <c r="AF59" i="10"/>
  <c r="AF58" i="10" s="1"/>
  <c r="AF55" i="10"/>
  <c r="U45" i="10"/>
  <c r="W45" i="10"/>
  <c r="AE64" i="10"/>
  <c r="AE63" i="10" s="1"/>
  <c r="W47" i="8" a="1"/>
  <c r="W47" i="8" s="1"/>
  <c r="AJ38" i="10"/>
  <c r="AJ32" i="10" s="1"/>
  <c r="K64" i="8" a="1"/>
  <c r="K64" i="8" s="1"/>
  <c r="K67" i="8" s="1"/>
  <c r="K68" i="8" s="1"/>
  <c r="AL38" i="10"/>
  <c r="AL32" i="10" s="1"/>
  <c r="T38" i="10"/>
  <c r="T32" i="10" s="1"/>
  <c r="AA42" i="10"/>
  <c r="S32" i="8" s="1" a="1"/>
  <c r="S32" i="8" s="1"/>
  <c r="S31" i="8" a="1"/>
  <c r="S31" i="8" s="1"/>
  <c r="V47" i="8" a="1"/>
  <c r="V47" i="8" s="1"/>
  <c r="AD64" i="10"/>
  <c r="AD63" i="10" s="1"/>
  <c r="R45" i="10"/>
  <c r="S64" i="10"/>
  <c r="S63" i="10" s="1"/>
  <c r="K39" i="8" a="1"/>
  <c r="K39" i="8" s="1"/>
  <c r="S55" i="10"/>
  <c r="K40" i="8" s="1" a="1"/>
  <c r="K40" i="8" s="1"/>
  <c r="AD60" i="10"/>
  <c r="V48" i="8" s="1" a="1"/>
  <c r="V48" i="8" s="1"/>
  <c r="V40" i="8" a="1"/>
  <c r="V40" i="8" s="1"/>
  <c r="V42" i="8" s="1"/>
  <c r="V43" i="8" s="1"/>
  <c r="G55" i="8" a="1"/>
  <c r="G55" i="8" s="1"/>
  <c r="O66" i="10"/>
  <c r="G56" i="8" s="1" a="1"/>
  <c r="G56" i="8" s="1"/>
  <c r="AG38" i="10"/>
  <c r="AG32" i="10" s="1"/>
  <c r="AA64" i="10"/>
  <c r="AA63" i="10" s="1"/>
  <c r="S47" i="8" a="1"/>
  <c r="S47" i="8" s="1"/>
  <c r="N72" i="8" a="1"/>
  <c r="N72" i="8" s="1"/>
  <c r="T45" i="10"/>
  <c r="AJ51" i="10"/>
  <c r="AJ45" i="10" s="1"/>
  <c r="Y55" i="10"/>
  <c r="Q40" i="8" s="1" a="1"/>
  <c r="Q40" i="8" s="1"/>
  <c r="Y64" i="10"/>
  <c r="Y63" i="10" s="1"/>
  <c r="Q39" i="8" a="1"/>
  <c r="Q39" i="8" s="1"/>
  <c r="Y42" i="10"/>
  <c r="Q32" i="8" s="1" a="1"/>
  <c r="Q32" i="8" s="1"/>
  <c r="Q31" i="8" a="1"/>
  <c r="Q31" i="8" s="1"/>
  <c r="T47" i="8" a="1"/>
  <c r="T47" i="8" s="1"/>
  <c r="AB64" i="10"/>
  <c r="AB63" i="10" s="1"/>
  <c r="S40" i="8" a="1"/>
  <c r="S40" i="8" s="1"/>
  <c r="AA60" i="10"/>
  <c r="S48" i="8" s="1" a="1"/>
  <c r="S48" i="8" s="1"/>
  <c r="R39" i="8" a="1"/>
  <c r="R39" i="8" s="1"/>
  <c r="Z55" i="10"/>
  <c r="R40" i="8" s="1" a="1"/>
  <c r="R40" i="8" s="1"/>
  <c r="Z64" i="10"/>
  <c r="Z63" i="10" s="1"/>
  <c r="X88" i="10"/>
  <c r="P73" i="8" s="1" a="1"/>
  <c r="P73" i="8" s="1"/>
  <c r="P72" i="8" a="1"/>
  <c r="P72" i="8" s="1"/>
  <c r="Y75" i="10"/>
  <c r="Q65" i="8" s="1" a="1"/>
  <c r="Q65" i="8" s="1"/>
  <c r="Q64" i="8" a="1"/>
  <c r="Q64" i="8" s="1"/>
  <c r="K72" i="8" a="1"/>
  <c r="K72" i="8" s="1"/>
  <c r="S88" i="10"/>
  <c r="K73" i="8" s="1" a="1"/>
  <c r="K73" i="8" s="1"/>
  <c r="L64" i="8" a="1"/>
  <c r="L64" i="8" s="1"/>
  <c r="T75" i="10"/>
  <c r="L65" i="8" s="1" a="1"/>
  <c r="L65" i="8" s="1"/>
  <c r="P88" i="10"/>
  <c r="H73" i="8" s="1" a="1"/>
  <c r="H73" i="8" s="1"/>
  <c r="H72" i="8" a="1"/>
  <c r="H72" i="8" s="1"/>
  <c r="Z88" i="10"/>
  <c r="R73" i="8" s="1" a="1"/>
  <c r="R73" i="8" s="1"/>
  <c r="R72" i="8" a="1"/>
  <c r="R72" i="8" s="1"/>
  <c r="T88" i="10"/>
  <c r="L73" i="8" s="1" a="1"/>
  <c r="L73" i="8" s="1"/>
  <c r="L72" i="8" a="1"/>
  <c r="L72" i="8" s="1"/>
  <c r="U75" i="10"/>
  <c r="M65" i="8" s="1" a="1"/>
  <c r="M65" i="8" s="1"/>
  <c r="M64" i="8" a="1"/>
  <c r="M64" i="8" s="1"/>
  <c r="Q88" i="10"/>
  <c r="I73" i="8" s="1" a="1"/>
  <c r="I73" i="8" s="1"/>
  <c r="I72" i="8" a="1"/>
  <c r="I72" i="8" s="1"/>
  <c r="J64" i="8" a="1"/>
  <c r="J64" i="8" s="1"/>
  <c r="R75" i="10"/>
  <c r="J65" i="8" s="1" a="1"/>
  <c r="J65" i="8" s="1"/>
  <c r="Q75" i="10"/>
  <c r="I65" i="8" s="1" a="1"/>
  <c r="I65" i="8" s="1"/>
  <c r="I64" i="8" a="1"/>
  <c r="I64" i="8" s="1"/>
  <c r="Z128" i="11" a="1"/>
  <c r="Z128" i="11" s="1"/>
  <c r="AB91" i="10" a="1"/>
  <c r="AB91" i="10" s="1"/>
  <c r="AB94" i="10" s="1"/>
  <c r="T91" i="10" a="1"/>
  <c r="T91" i="10" s="1"/>
  <c r="AC90" i="10" a="1"/>
  <c r="AC90" i="10" s="1"/>
  <c r="AC93" i="10" s="1"/>
  <c r="U90" i="10" a="1"/>
  <c r="U90" i="10" s="1"/>
  <c r="AC78" i="10" a="1"/>
  <c r="AC78" i="10" s="1"/>
  <c r="U78" i="10" a="1"/>
  <c r="U78" i="10" s="1"/>
  <c r="AD77" i="10" a="1"/>
  <c r="AD77" i="10" s="1"/>
  <c r="AD80" i="10" s="1"/>
  <c r="AJ120" i="11" a="1"/>
  <c r="AJ120" i="11" s="1"/>
  <c r="AB120" i="11" a="1"/>
  <c r="AB120" i="11" s="1"/>
  <c r="T120" i="11" a="1"/>
  <c r="T120" i="11" s="1"/>
  <c r="Y128" i="11" a="1"/>
  <c r="Y128" i="11" s="1"/>
  <c r="AA91" i="10" a="1"/>
  <c r="AA91" i="10" s="1"/>
  <c r="AA94" i="10" s="1"/>
  <c r="S91" i="10" a="1"/>
  <c r="S91" i="10" s="1"/>
  <c r="AB90" i="10" a="1"/>
  <c r="AB90" i="10" s="1"/>
  <c r="AB93" i="10" s="1"/>
  <c r="T90" i="10" a="1"/>
  <c r="T90" i="10" s="1"/>
  <c r="AB78" i="10" a="1"/>
  <c r="AB78" i="10" s="1"/>
  <c r="AB81" i="10" s="1"/>
  <c r="T78" i="10" a="1"/>
  <c r="T78" i="10" s="1"/>
  <c r="AI120" i="11" a="1"/>
  <c r="AI120" i="11" s="1"/>
  <c r="AA120" i="11" a="1"/>
  <c r="AA120" i="11" s="1"/>
  <c r="S120" i="11" a="1"/>
  <c r="S120" i="11" s="1"/>
  <c r="AI119" i="11" a="1"/>
  <c r="AI119" i="11" s="1"/>
  <c r="AA119" i="11" a="1"/>
  <c r="AA119" i="11" s="1"/>
  <c r="S119" i="11" a="1"/>
  <c r="S119" i="11" s="1"/>
  <c r="AI118" i="11" a="1"/>
  <c r="AI118" i="11" s="1"/>
  <c r="AA118" i="11" a="1"/>
  <c r="AA118" i="11" s="1"/>
  <c r="X128" i="11" a="1"/>
  <c r="X128" i="11" s="1"/>
  <c r="AF120" i="11" a="1"/>
  <c r="AF120" i="11" s="1"/>
  <c r="X120" i="11" a="1"/>
  <c r="X120" i="11" s="1"/>
  <c r="P120" i="11" a="1"/>
  <c r="P120" i="11" s="1"/>
  <c r="AF119" i="11" a="1"/>
  <c r="AF119" i="11" s="1"/>
  <c r="X119" i="11" a="1"/>
  <c r="X119" i="11" s="1"/>
  <c r="X129" i="11" a="1"/>
  <c r="X129" i="11" s="1"/>
  <c r="AC91" i="10" a="1"/>
  <c r="AC91" i="10" s="1"/>
  <c r="AC94" i="10" s="1"/>
  <c r="U91" i="10" a="1"/>
  <c r="U91" i="10" s="1"/>
  <c r="AD90" i="10" a="1"/>
  <c r="AD90" i="10" s="1"/>
  <c r="AK120" i="11" a="1"/>
  <c r="AK120" i="11" s="1"/>
  <c r="AC120" i="11" a="1"/>
  <c r="AC120" i="11" s="1"/>
  <c r="U120" i="11" a="1"/>
  <c r="U120" i="11" s="1"/>
  <c r="Y129" i="11" a="1"/>
  <c r="Y129" i="11" s="1"/>
  <c r="Y119" i="11" a="1"/>
  <c r="Y119" i="11" s="1"/>
  <c r="AL118" i="11" a="1"/>
  <c r="AL118" i="11" s="1"/>
  <c r="Y118" i="11" a="1"/>
  <c r="Y118" i="11" s="1"/>
  <c r="O118" i="11" a="1"/>
  <c r="O118" i="11" s="1"/>
  <c r="W110" i="11" a="1"/>
  <c r="W110" i="11" s="1"/>
  <c r="AD109" i="11" a="1"/>
  <c r="AD109" i="11" s="1"/>
  <c r="T109" i="11" a="1"/>
  <c r="T109" i="11" s="1"/>
  <c r="AA108" i="11" a="1"/>
  <c r="AA108" i="11" s="1"/>
  <c r="P108" i="11" a="1"/>
  <c r="P108" i="11" s="1"/>
  <c r="T102" i="11" a="1"/>
  <c r="T102" i="11" s="1"/>
  <c r="W101" i="11" a="1"/>
  <c r="W101" i="11" s="1"/>
  <c r="Z100" i="11" a="1"/>
  <c r="Z100" i="11" s="1"/>
  <c r="P100" i="11" a="1"/>
  <c r="P100" i="11" s="1"/>
  <c r="S99" i="11" a="1"/>
  <c r="S99" i="11" s="1"/>
  <c r="V98" i="11" a="1"/>
  <c r="V98" i="11" s="1"/>
  <c r="R88" i="11" a="1"/>
  <c r="R88" i="11" s="1"/>
  <c r="AB85" i="11" a="1"/>
  <c r="AB85" i="11" s="1"/>
  <c r="U73" i="11" a="1"/>
  <c r="U73" i="11" s="1"/>
  <c r="Z72" i="11" a="1"/>
  <c r="Z72" i="11" s="1"/>
  <c r="O72" i="11" a="1"/>
  <c r="O72" i="11" s="1"/>
  <c r="T71" i="11" a="1"/>
  <c r="T71" i="11" s="1"/>
  <c r="AG64" i="11" a="1"/>
  <c r="AG64" i="11" s="1"/>
  <c r="AH63" i="11" a="1"/>
  <c r="AH63" i="11" s="1"/>
  <c r="AA62" i="11" a="1"/>
  <c r="AA62" i="11" s="1"/>
  <c r="T56" i="11" a="1"/>
  <c r="T56" i="11" s="1"/>
  <c r="AH55" i="11" a="1"/>
  <c r="AH55" i="11" s="1"/>
  <c r="O55" i="11" a="1"/>
  <c r="O55" i="11" s="1"/>
  <c r="AC54" i="11" a="1"/>
  <c r="AC54" i="11" s="1"/>
  <c r="AF40" i="11" a="1"/>
  <c r="AF40" i="11" s="1"/>
  <c r="AK39" i="11" a="1"/>
  <c r="AK39" i="11" s="1"/>
  <c r="Z39" i="11" a="1"/>
  <c r="Z39" i="11" s="1"/>
  <c r="AE38" i="11" a="1"/>
  <c r="AE38" i="11" s="1"/>
  <c r="X23" i="11" a="1"/>
  <c r="X23" i="11" s="1"/>
  <c r="AB22" i="11" a="1"/>
  <c r="AB22" i="11" s="1"/>
  <c r="W21" i="11" a="1"/>
  <c r="W21" i="11" s="1"/>
  <c r="AA20" i="11" a="1"/>
  <c r="AA20" i="11" s="1"/>
  <c r="U19" i="11" a="1"/>
  <c r="U19" i="11" s="1"/>
  <c r="Y90" i="10" a="1"/>
  <c r="Y90" i="10" s="1"/>
  <c r="P90" i="10" a="1"/>
  <c r="P90" i="10" s="1"/>
  <c r="AD120" i="11" a="1"/>
  <c r="AD120" i="11" s="1"/>
  <c r="AL119" i="11" a="1"/>
  <c r="AL119" i="11" s="1"/>
  <c r="AK118" i="11" a="1"/>
  <c r="AK118" i="11" s="1"/>
  <c r="V110" i="11" a="1"/>
  <c r="V110" i="11" s="1"/>
  <c r="Z108" i="11" a="1"/>
  <c r="Z108" i="11" s="1"/>
  <c r="V101" i="11" a="1"/>
  <c r="V101" i="11" s="1"/>
  <c r="R99" i="11" a="1"/>
  <c r="R99" i="11" s="1"/>
  <c r="Q88" i="11" a="1"/>
  <c r="Q88" i="11" s="1"/>
  <c r="U87" i="11" a="1"/>
  <c r="U87" i="11" s="1"/>
  <c r="Y86" i="11" a="1"/>
  <c r="Y86" i="11" s="1"/>
  <c r="AA85" i="11" a="1"/>
  <c r="AA85" i="11" s="1"/>
  <c r="Q85" i="11" a="1"/>
  <c r="Q85" i="11" s="1"/>
  <c r="U84" i="11" a="1"/>
  <c r="U84" i="11" s="1"/>
  <c r="AD73" i="11" a="1"/>
  <c r="AD73" i="11" s="1"/>
  <c r="AI72" i="11" a="1"/>
  <c r="AI72" i="11" s="1"/>
  <c r="Y72" i="11" a="1"/>
  <c r="Y72" i="11" s="1"/>
  <c r="AC71" i="11" a="1"/>
  <c r="AC71" i="11" s="1"/>
  <c r="AF64" i="11" a="1"/>
  <c r="AF64" i="11" s="1"/>
  <c r="AJ62" i="11" a="1"/>
  <c r="AJ62" i="11" s="1"/>
  <c r="AD56" i="11" a="1"/>
  <c r="AD56" i="11" s="1"/>
  <c r="S56" i="11" a="1"/>
  <c r="S56" i="11" s="1"/>
  <c r="X55" i="11" a="1"/>
  <c r="X55" i="11" s="1"/>
  <c r="AB54" i="11" a="1"/>
  <c r="AB54" i="11" s="1"/>
  <c r="R54" i="11" a="1"/>
  <c r="R54" i="11" s="1"/>
  <c r="V40" i="11" a="1"/>
  <c r="V40" i="11" s="1"/>
  <c r="AJ39" i="11" a="1"/>
  <c r="AJ39" i="11" s="1"/>
  <c r="P39" i="11" a="1"/>
  <c r="P39" i="11" s="1"/>
  <c r="U38" i="11" a="1"/>
  <c r="U38" i="11" s="1"/>
  <c r="W23" i="11" a="1"/>
  <c r="W23" i="11" s="1"/>
  <c r="R22" i="11" a="1"/>
  <c r="R22" i="11" s="1"/>
  <c r="Z20" i="11" a="1"/>
  <c r="Z20" i="11" s="1"/>
  <c r="P20" i="11" a="1"/>
  <c r="P20" i="11" s="1"/>
  <c r="Q91" i="10" a="1"/>
  <c r="Q91" i="10" s="1"/>
  <c r="V77" i="10" a="1"/>
  <c r="V77" i="10" s="1"/>
  <c r="AA20" i="10" a="1"/>
  <c r="AA20" i="10" s="1"/>
  <c r="AA23" i="10" s="1"/>
  <c r="S20" i="10" a="1"/>
  <c r="S20" i="10" s="1"/>
  <c r="S23" i="10" s="1"/>
  <c r="AB19" i="10" a="1"/>
  <c r="AB19" i="10" s="1"/>
  <c r="AB22" i="10" s="1"/>
  <c r="T19" i="10" a="1"/>
  <c r="T19" i="10" s="1"/>
  <c r="T22" i="10" s="1"/>
  <c r="Z120" i="11" a="1"/>
  <c r="Z120" i="11" s="1"/>
  <c r="AK119" i="11" a="1"/>
  <c r="AK119" i="11" s="1"/>
  <c r="AJ118" i="11" a="1"/>
  <c r="AJ118" i="11" s="1"/>
  <c r="X118" i="11" a="1"/>
  <c r="X118" i="11" s="1"/>
  <c r="U110" i="11" a="1"/>
  <c r="U110" i="11" s="1"/>
  <c r="AC109" i="11" a="1"/>
  <c r="AC109" i="11" s="1"/>
  <c r="S109" i="11" a="1"/>
  <c r="S109" i="11" s="1"/>
  <c r="Y108" i="11" a="1"/>
  <c r="Y108" i="11" s="1"/>
  <c r="O108" i="11" a="1"/>
  <c r="O108" i="11" s="1"/>
  <c r="S102" i="11" a="1"/>
  <c r="S102" i="11" s="1"/>
  <c r="U101" i="11" a="1"/>
  <c r="U101" i="11" s="1"/>
  <c r="Y100" i="11" a="1"/>
  <c r="Y100" i="11" s="1"/>
  <c r="O100" i="11" a="1"/>
  <c r="O100" i="11" s="1"/>
  <c r="Q99" i="11" a="1"/>
  <c r="Q99" i="11" s="1"/>
  <c r="U98" i="11" a="1"/>
  <c r="U98" i="11" s="1"/>
  <c r="AB88" i="11" a="1"/>
  <c r="AB88" i="11" s="1"/>
  <c r="X86" i="11" a="1"/>
  <c r="X86" i="11" s="1"/>
  <c r="T84" i="11" a="1"/>
  <c r="T84" i="11" s="1"/>
  <c r="Z127" i="11" a="1"/>
  <c r="Z127" i="11" s="1"/>
  <c r="AJ119" i="11" a="1"/>
  <c r="AJ119" i="11" s="1"/>
  <c r="W119" i="11" a="1"/>
  <c r="W119" i="11" s="1"/>
  <c r="AH118" i="11" a="1"/>
  <c r="AH118" i="11" s="1"/>
  <c r="AF110" i="11" a="1"/>
  <c r="AF110" i="11" s="1"/>
  <c r="R109" i="11" a="1"/>
  <c r="R109" i="11" s="1"/>
  <c r="R102" i="11" a="1"/>
  <c r="R102" i="11" s="1"/>
  <c r="AB99" i="11" a="1"/>
  <c r="AB99" i="11" s="1"/>
  <c r="AA88" i="11" a="1"/>
  <c r="AA88" i="11" s="1"/>
  <c r="P88" i="11" a="1"/>
  <c r="P88" i="11" s="1"/>
  <c r="T87" i="11" a="1"/>
  <c r="T87" i="11" s="1"/>
  <c r="W86" i="11" a="1"/>
  <c r="W86" i="11" s="1"/>
  <c r="Z85" i="11" a="1"/>
  <c r="Z85" i="11" s="1"/>
  <c r="P85" i="11" a="1"/>
  <c r="P85" i="11" s="1"/>
  <c r="S84" i="11" a="1"/>
  <c r="S84" i="11" s="1"/>
  <c r="AC73" i="11" a="1"/>
  <c r="AC73" i="11" s="1"/>
  <c r="AH72" i="11" a="1"/>
  <c r="AH72" i="11" s="1"/>
  <c r="W72" i="11" a="1"/>
  <c r="W72" i="11" s="1"/>
  <c r="Y120" i="11" a="1"/>
  <c r="Y120" i="11" s="1"/>
  <c r="AH119" i="11" a="1"/>
  <c r="AH119" i="11" s="1"/>
  <c r="W118" i="11" a="1"/>
  <c r="W118" i="11" s="1"/>
  <c r="AE110" i="11" a="1"/>
  <c r="AE110" i="11" s="1"/>
  <c r="T110" i="11" a="1"/>
  <c r="T110" i="11" s="1"/>
  <c r="AB109" i="11" a="1"/>
  <c r="AB109" i="11" s="1"/>
  <c r="Q109" i="11" a="1"/>
  <c r="Q109" i="11" s="1"/>
  <c r="X108" i="11" a="1"/>
  <c r="X108" i="11" s="1"/>
  <c r="AB102" i="11" a="1"/>
  <c r="AB102" i="11" s="1"/>
  <c r="Q102" i="11" a="1"/>
  <c r="Q102" i="11" s="1"/>
  <c r="T101" i="11" a="1"/>
  <c r="T101" i="11" s="1"/>
  <c r="X100" i="11" a="1"/>
  <c r="X100" i="11" s="1"/>
  <c r="AA99" i="11" a="1"/>
  <c r="AA99" i="11" s="1"/>
  <c r="P99" i="11" a="1"/>
  <c r="P99" i="11" s="1"/>
  <c r="T98" i="11" a="1"/>
  <c r="T98" i="11" s="1"/>
  <c r="Z88" i="11" a="1"/>
  <c r="Z88" i="11" s="1"/>
  <c r="V86" i="11" a="1"/>
  <c r="V86" i="11" s="1"/>
  <c r="R84" i="11" a="1"/>
  <c r="R84" i="11" s="1"/>
  <c r="Y127" i="11" a="1"/>
  <c r="Y127" i="11" s="1"/>
  <c r="V119" i="11" a="1"/>
  <c r="V119" i="11" s="1"/>
  <c r="AG118" i="11" a="1"/>
  <c r="AG118" i="11" s="1"/>
  <c r="AD110" i="11" a="1"/>
  <c r="AD110" i="11" s="1"/>
  <c r="P109" i="11" a="1"/>
  <c r="P109" i="11" s="1"/>
  <c r="P102" i="11" a="1"/>
  <c r="P102" i="11" s="1"/>
  <c r="Z99" i="11" a="1"/>
  <c r="Z99" i="11" s="1"/>
  <c r="Y88" i="11" a="1"/>
  <c r="Y88" i="11" s="1"/>
  <c r="O88" i="11" a="1"/>
  <c r="O88" i="11" s="1"/>
  <c r="S87" i="11" a="1"/>
  <c r="S87" i="11" s="1"/>
  <c r="U86" i="11" a="1"/>
  <c r="U86" i="11" s="1"/>
  <c r="Y85" i="11" a="1"/>
  <c r="Y85" i="11" s="1"/>
  <c r="O85" i="11" a="1"/>
  <c r="O85" i="11" s="1"/>
  <c r="Q84" i="11" a="1"/>
  <c r="Q84" i="11" s="1"/>
  <c r="AB73" i="11" a="1"/>
  <c r="AB73" i="11" s="1"/>
  <c r="AF72" i="11" a="1"/>
  <c r="AF72" i="11" s="1"/>
  <c r="V72" i="11" a="1"/>
  <c r="V72" i="11" s="1"/>
  <c r="AA71" i="11" a="1"/>
  <c r="AA71" i="11" s="1"/>
  <c r="X127" i="11" a="1"/>
  <c r="X127" i="11" s="1"/>
  <c r="AG119" i="11" a="1"/>
  <c r="AG119" i="11" s="1"/>
  <c r="U119" i="11" a="1"/>
  <c r="U119" i="11" s="1"/>
  <c r="V118" i="11" a="1"/>
  <c r="V118" i="11" s="1"/>
  <c r="AC110" i="11" a="1"/>
  <c r="AC110" i="11" s="1"/>
  <c r="S110" i="11" a="1"/>
  <c r="S110" i="11" s="1"/>
  <c r="AA109" i="11" a="1"/>
  <c r="AA109" i="11" s="1"/>
  <c r="O109" i="11" a="1"/>
  <c r="O109" i="11" s="1"/>
  <c r="W108" i="11" a="1"/>
  <c r="W108" i="11" s="1"/>
  <c r="AA102" i="11" a="1"/>
  <c r="AA102" i="11" s="1"/>
  <c r="O102" i="11" a="1"/>
  <c r="O102" i="11" s="1"/>
  <c r="S101" i="11" a="1"/>
  <c r="S101" i="11" s="1"/>
  <c r="W100" i="11" a="1"/>
  <c r="W100" i="11" s="1"/>
  <c r="Y99" i="11" a="1"/>
  <c r="Y99" i="11" s="1"/>
  <c r="O99" i="11" a="1"/>
  <c r="O99" i="11" s="1"/>
  <c r="S98" i="11" a="1"/>
  <c r="S98" i="11" s="1"/>
  <c r="R87" i="11" a="1"/>
  <c r="R87" i="11" s="1"/>
  <c r="AB84" i="11" a="1"/>
  <c r="AB84" i="11" s="1"/>
  <c r="AK73" i="11" a="1"/>
  <c r="AK73" i="11" s="1"/>
  <c r="R73" i="11" a="1"/>
  <c r="R73" i="11" s="1"/>
  <c r="AE72" i="11" a="1"/>
  <c r="AE72" i="11" s="1"/>
  <c r="AJ71" i="11" a="1"/>
  <c r="AJ71" i="11" s="1"/>
  <c r="P71" i="11" a="1"/>
  <c r="P71" i="11" s="1"/>
  <c r="AL64" i="11" a="1"/>
  <c r="AL64" i="11" s="1"/>
  <c r="AE63" i="11" a="1"/>
  <c r="AE63" i="11" s="1"/>
  <c r="AJ56" i="11" a="1"/>
  <c r="AJ56" i="11" s="1"/>
  <c r="Z56" i="11" a="1"/>
  <c r="Z56" i="11" s="1"/>
  <c r="AE55" i="11" a="1"/>
  <c r="AE55" i="11" s="1"/>
  <c r="U55" i="11" a="1"/>
  <c r="U55" i="11" s="1"/>
  <c r="Y54" i="11" a="1"/>
  <c r="Y54" i="11" s="1"/>
  <c r="AC40" i="11" a="1"/>
  <c r="AC40" i="11" s="1"/>
  <c r="R40" i="11" a="1"/>
  <c r="R40" i="11" s="1"/>
  <c r="W39" i="11" a="1"/>
  <c r="W39" i="11" s="1"/>
  <c r="AA38" i="11" a="1"/>
  <c r="AA38" i="11" s="1"/>
  <c r="Q38" i="11" a="1"/>
  <c r="Q38" i="11" s="1"/>
  <c r="Y22" i="11" a="1"/>
  <c r="Y22" i="11" s="1"/>
  <c r="O22" i="11" a="1"/>
  <c r="O22" i="11" s="1"/>
  <c r="W20" i="11" a="1"/>
  <c r="W20" i="11" s="1"/>
  <c r="R19" i="11" a="1"/>
  <c r="R19" i="11" s="1"/>
  <c r="X91" i="10" a="1"/>
  <c r="X91" i="10" s="1"/>
  <c r="V90" i="10" a="1"/>
  <c r="V90" i="10" s="1"/>
  <c r="S78" i="10" a="1"/>
  <c r="S78" i="10" s="1"/>
  <c r="AL120" i="11" a="1"/>
  <c r="AL120" i="11" s="1"/>
  <c r="V120" i="11" a="1"/>
  <c r="V120" i="11" s="1"/>
  <c r="AE119" i="11" a="1"/>
  <c r="AE119" i="11" s="1"/>
  <c r="AE118" i="11" a="1"/>
  <c r="AE118" i="11" s="1"/>
  <c r="S118" i="11" a="1"/>
  <c r="S118" i="11" s="1"/>
  <c r="X109" i="11" a="1"/>
  <c r="X109" i="11" s="1"/>
  <c r="X102" i="11" a="1"/>
  <c r="X102" i="11" s="1"/>
  <c r="T100" i="11" a="1"/>
  <c r="T100" i="11" s="1"/>
  <c r="P98" i="11" a="1"/>
  <c r="P98" i="11" s="1"/>
  <c r="W88" i="11" a="1"/>
  <c r="W88" i="11" s="1"/>
  <c r="AA87" i="11" a="1"/>
  <c r="AA87" i="11" s="1"/>
  <c r="O87" i="11" a="1"/>
  <c r="O87" i="11" s="1"/>
  <c r="S86" i="11" a="1"/>
  <c r="S86" i="11" s="1"/>
  <c r="W85" i="11" a="1"/>
  <c r="W85" i="11" s="1"/>
  <c r="Y84" i="11" a="1"/>
  <c r="Y84" i="11" s="1"/>
  <c r="O84" i="11" a="1"/>
  <c r="O84" i="11" s="1"/>
  <c r="Z73" i="11" a="1"/>
  <c r="Z73" i="11" s="1"/>
  <c r="O73" i="11" a="1"/>
  <c r="O73" i="11" s="1"/>
  <c r="T72" i="11" a="1"/>
  <c r="T72" i="11" s="1"/>
  <c r="Z129" i="11" a="1"/>
  <c r="Z129" i="11" s="1"/>
  <c r="Z119" i="11" a="1"/>
  <c r="Z119" i="11" s="1"/>
  <c r="O119" i="11" a="1"/>
  <c r="O119" i="11" s="1"/>
  <c r="Z118" i="11" a="1"/>
  <c r="Z118" i="11" s="1"/>
  <c r="P118" i="11" a="1"/>
  <c r="P118" i="11" s="1"/>
  <c r="Y110" i="11" a="1"/>
  <c r="Y110" i="11" s="1"/>
  <c r="AE109" i="11" a="1"/>
  <c r="AE109" i="11" s="1"/>
  <c r="U109" i="11" a="1"/>
  <c r="U109" i="11" s="1"/>
  <c r="AC108" i="11" a="1"/>
  <c r="AC108" i="11" s="1"/>
  <c r="Q108" i="11" a="1"/>
  <c r="Q108" i="11" s="1"/>
  <c r="U102" i="11" a="1"/>
  <c r="U102" i="11" s="1"/>
  <c r="Y101" i="11" a="1"/>
  <c r="Y101" i="11" s="1"/>
  <c r="AA100" i="11" a="1"/>
  <c r="AA100" i="11" s="1"/>
  <c r="Q100" i="11" a="1"/>
  <c r="Q100" i="11" s="1"/>
  <c r="U99" i="11" a="1"/>
  <c r="U99" i="11" s="1"/>
  <c r="W98" i="11" a="1"/>
  <c r="W98" i="11" s="1"/>
  <c r="T88" i="11" a="1"/>
  <c r="T88" i="11" s="1"/>
  <c r="P86" i="11" a="1"/>
  <c r="P86" i="11" s="1"/>
  <c r="AE120" i="11" a="1"/>
  <c r="AE120" i="11" s="1"/>
  <c r="O120" i="11" a="1"/>
  <c r="O120" i="11" s="1"/>
  <c r="X110" i="11" a="1"/>
  <c r="X110" i="11" s="1"/>
  <c r="AB108" i="11" a="1"/>
  <c r="AB108" i="11" s="1"/>
  <c r="X101" i="11" a="1"/>
  <c r="X101" i="11" s="1"/>
  <c r="T99" i="11" a="1"/>
  <c r="T99" i="11" s="1"/>
  <c r="S88" i="11" a="1"/>
  <c r="S88" i="11" s="1"/>
  <c r="V87" i="11" a="1"/>
  <c r="V87" i="11" s="1"/>
  <c r="Z86" i="11" a="1"/>
  <c r="Z86" i="11" s="1"/>
  <c r="O86" i="11" a="1"/>
  <c r="O86" i="11" s="1"/>
  <c r="R85" i="11" a="1"/>
  <c r="R85" i="11" s="1"/>
  <c r="V84" i="11" a="1"/>
  <c r="V84" i="11" s="1"/>
  <c r="AE73" i="11" a="1"/>
  <c r="AE73" i="11" s="1"/>
  <c r="AJ72" i="11" a="1"/>
  <c r="AJ72" i="11" s="1"/>
  <c r="P72" i="11" a="1"/>
  <c r="P72" i="11" s="1"/>
  <c r="AD71" i="11" a="1"/>
  <c r="AD71" i="11" s="1"/>
  <c r="AI63" i="11" a="1"/>
  <c r="AI63" i="11" s="1"/>
  <c r="R119" i="11" a="1"/>
  <c r="R119" i="11" s="1"/>
  <c r="Y109" i="11" a="1"/>
  <c r="Y109" i="11" s="1"/>
  <c r="R108" i="11" a="1"/>
  <c r="R108" i="11" s="1"/>
  <c r="P101" i="11" a="1"/>
  <c r="P101" i="11" s="1"/>
  <c r="AB98" i="11" a="1"/>
  <c r="AB98" i="11" s="1"/>
  <c r="T86" i="11" a="1"/>
  <c r="T86" i="11" s="1"/>
  <c r="X84" i="11" a="1"/>
  <c r="X84" i="11" s="1"/>
  <c r="AJ73" i="11" a="1"/>
  <c r="AJ73" i="11" s="1"/>
  <c r="S73" i="11" a="1"/>
  <c r="S73" i="11" s="1"/>
  <c r="AA72" i="11" a="1"/>
  <c r="AA72" i="11" s="1"/>
  <c r="AH71" i="11" a="1"/>
  <c r="AH71" i="11" s="1"/>
  <c r="S71" i="11" a="1"/>
  <c r="S71" i="11" s="1"/>
  <c r="AA63" i="11" a="1"/>
  <c r="AA63" i="11" s="1"/>
  <c r="AB56" i="11" a="1"/>
  <c r="AB56" i="11" s="1"/>
  <c r="P56" i="11" a="1"/>
  <c r="P56" i="11" s="1"/>
  <c r="AB55" i="11" a="1"/>
  <c r="AB55" i="11" s="1"/>
  <c r="AA54" i="11" a="1"/>
  <c r="AA54" i="11" s="1"/>
  <c r="P54" i="11" a="1"/>
  <c r="P54" i="11" s="1"/>
  <c r="AL40" i="11" a="1"/>
  <c r="AL40" i="11" s="1"/>
  <c r="Y39" i="11" a="1"/>
  <c r="Y39" i="11" s="1"/>
  <c r="AL38" i="11" a="1"/>
  <c r="AL38" i="11" s="1"/>
  <c r="Y38" i="11" a="1"/>
  <c r="Y38" i="11" s="1"/>
  <c r="AA23" i="11" a="1"/>
  <c r="AA23" i="11" s="1"/>
  <c r="V19" i="11" a="1"/>
  <c r="V19" i="11" s="1"/>
  <c r="W91" i="10" a="1"/>
  <c r="W91" i="10" s="1"/>
  <c r="Q90" i="10" a="1"/>
  <c r="Q90" i="10" s="1"/>
  <c r="AE78" i="10" a="1"/>
  <c r="AE78" i="10" s="1"/>
  <c r="AE81" i="10" s="1"/>
  <c r="AA77" i="10" a="1"/>
  <c r="AA77" i="10" s="1"/>
  <c r="AA80" i="10" s="1"/>
  <c r="R77" i="10" a="1"/>
  <c r="R77" i="10" s="1"/>
  <c r="AE20" i="10" a="1"/>
  <c r="AE20" i="10" s="1"/>
  <c r="AE23" i="10" s="1"/>
  <c r="V20" i="10" a="1"/>
  <c r="V20" i="10" s="1"/>
  <c r="V23" i="10" s="1"/>
  <c r="AD19" i="10" a="1"/>
  <c r="AD19" i="10" s="1"/>
  <c r="AD22" i="10" s="1"/>
  <c r="U19" i="10" a="1"/>
  <c r="U19" i="10" s="1"/>
  <c r="U22" i="10" s="1"/>
  <c r="AG120" i="11" a="1"/>
  <c r="AG120" i="11" s="1"/>
  <c r="Q119" i="11" a="1"/>
  <c r="Q119" i="11" s="1"/>
  <c r="W109" i="11" a="1"/>
  <c r="W109" i="11" s="1"/>
  <c r="Z102" i="11" a="1"/>
  <c r="Z102" i="11" s="1"/>
  <c r="O101" i="11" a="1"/>
  <c r="O101" i="11" s="1"/>
  <c r="AA98" i="11" a="1"/>
  <c r="AA98" i="11" s="1"/>
  <c r="V88" i="11" a="1"/>
  <c r="V88" i="11" s="1"/>
  <c r="AI73" i="11" a="1"/>
  <c r="AI73" i="11" s="1"/>
  <c r="Q73" i="11" a="1"/>
  <c r="Q73" i="11" s="1"/>
  <c r="X72" i="11" a="1"/>
  <c r="X72" i="11" s="1"/>
  <c r="AG71" i="11" a="1"/>
  <c r="AG71" i="11" s="1"/>
  <c r="AA64" i="11" a="1"/>
  <c r="AA64" i="11" s="1"/>
  <c r="AL62" i="11" a="1"/>
  <c r="AL62" i="11" s="1"/>
  <c r="AA56" i="11" a="1"/>
  <c r="AA56" i="11" s="1"/>
  <c r="AA55" i="11" a="1"/>
  <c r="AA55" i="11" s="1"/>
  <c r="P55" i="11" a="1"/>
  <c r="P55" i="11" s="1"/>
  <c r="O54" i="11" a="1"/>
  <c r="O54" i="11" s="1"/>
  <c r="Y40" i="11" a="1"/>
  <c r="Y40" i="11" s="1"/>
  <c r="AL39" i="11" a="1"/>
  <c r="AL39" i="11" s="1"/>
  <c r="AK38" i="11" a="1"/>
  <c r="AK38" i="11" s="1"/>
  <c r="AA22" i="11" a="1"/>
  <c r="AA22" i="11" s="1"/>
  <c r="P22" i="11" a="1"/>
  <c r="P22" i="11" s="1"/>
  <c r="Q21" i="11" a="1"/>
  <c r="Q21" i="11" s="1"/>
  <c r="T20" i="11" a="1"/>
  <c r="T20" i="11" s="1"/>
  <c r="AA90" i="10" a="1"/>
  <c r="AA90" i="10" s="1"/>
  <c r="AA93" i="10" s="1"/>
  <c r="Y102" i="11" a="1"/>
  <c r="Y102" i="11" s="1"/>
  <c r="AB100" i="11" a="1"/>
  <c r="AB100" i="11" s="1"/>
  <c r="Z98" i="11" a="1"/>
  <c r="Z98" i="11" s="1"/>
  <c r="W84" i="11" a="1"/>
  <c r="W84" i="11" s="1"/>
  <c r="P73" i="11" a="1"/>
  <c r="P73" i="11" s="1"/>
  <c r="AF71" i="11" a="1"/>
  <c r="AF71" i="11" s="1"/>
  <c r="R71" i="11" a="1"/>
  <c r="R71" i="11" s="1"/>
  <c r="O56" i="11" a="1"/>
  <c r="O56" i="11" s="1"/>
  <c r="Z54" i="11" a="1"/>
  <c r="Z54" i="11" s="1"/>
  <c r="AK40" i="11" a="1"/>
  <c r="AK40" i="11" s="1"/>
  <c r="X39" i="11" a="1"/>
  <c r="X39" i="11" s="1"/>
  <c r="AJ38" i="11" a="1"/>
  <c r="AJ38" i="11" s="1"/>
  <c r="X38" i="11" a="1"/>
  <c r="X38" i="11" s="1"/>
  <c r="Z23" i="11" a="1"/>
  <c r="Z23" i="11" s="1"/>
  <c r="AB21" i="11" a="1"/>
  <c r="AB21" i="11" s="1"/>
  <c r="S20" i="11" a="1"/>
  <c r="S20" i="11" s="1"/>
  <c r="T19" i="11" a="1"/>
  <c r="T19" i="11" s="1"/>
  <c r="V91" i="10" a="1"/>
  <c r="V91" i="10" s="1"/>
  <c r="O90" i="10" a="1"/>
  <c r="O90" i="10" s="1"/>
  <c r="AD78" i="10" a="1"/>
  <c r="AD78" i="10" s="1"/>
  <c r="AD81" i="10" s="1"/>
  <c r="Z77" i="10" a="1"/>
  <c r="Z77" i="10" s="1"/>
  <c r="Q77" i="10" a="1"/>
  <c r="Q77" i="10" s="1"/>
  <c r="AD20" i="10" a="1"/>
  <c r="AD20" i="10" s="1"/>
  <c r="AD23" i="10" s="1"/>
  <c r="U20" i="10" a="1"/>
  <c r="U20" i="10" s="1"/>
  <c r="U23" i="10" s="1"/>
  <c r="AC19" i="10" a="1"/>
  <c r="AC19" i="10" s="1"/>
  <c r="AC22" i="10" s="1"/>
  <c r="AI39" i="11" a="1"/>
  <c r="AI39" i="11" s="1"/>
  <c r="Y23" i="11" a="1"/>
  <c r="Y23" i="11" s="1"/>
  <c r="AA21" i="11" a="1"/>
  <c r="AA21" i="11" s="1"/>
  <c r="P21" i="11" a="1"/>
  <c r="P21" i="11" s="1"/>
  <c r="Z90" i="10" a="1"/>
  <c r="Z90" i="10" s="1"/>
  <c r="R78" i="10" a="1"/>
  <c r="R78" i="10" s="1"/>
  <c r="S19" i="10" a="1"/>
  <c r="S19" i="10" s="1"/>
  <c r="S22" i="10" s="1"/>
  <c r="W120" i="11" a="1"/>
  <c r="W120" i="11" s="1"/>
  <c r="P119" i="11" a="1"/>
  <c r="P119" i="11" s="1"/>
  <c r="V109" i="11" a="1"/>
  <c r="V109" i="11" s="1"/>
  <c r="W102" i="11" a="1"/>
  <c r="W102" i="11" s="1"/>
  <c r="V100" i="11" a="1"/>
  <c r="V100" i="11" s="1"/>
  <c r="Y98" i="11" a="1"/>
  <c r="Y98" i="11" s="1"/>
  <c r="U88" i="11" a="1"/>
  <c r="U88" i="11" s="1"/>
  <c r="R86" i="11" a="1"/>
  <c r="R86" i="11" s="1"/>
  <c r="AH73" i="11" a="1"/>
  <c r="AH73" i="11" s="1"/>
  <c r="U72" i="11" a="1"/>
  <c r="U72" i="11" s="1"/>
  <c r="AE71" i="11" a="1"/>
  <c r="AE71" i="11" s="1"/>
  <c r="Q71" i="11" a="1"/>
  <c r="Q71" i="11" s="1"/>
  <c r="AL63" i="11" a="1"/>
  <c r="AL63" i="11" s="1"/>
  <c r="AK62" i="11" a="1"/>
  <c r="AK62" i="11" s="1"/>
  <c r="Z55" i="11" a="1"/>
  <c r="Z55" i="11" s="1"/>
  <c r="AL54" i="11" a="1"/>
  <c r="AL54" i="11" s="1"/>
  <c r="AJ40" i="11" a="1"/>
  <c r="AJ40" i="11" s="1"/>
  <c r="X40" i="11" a="1"/>
  <c r="X40" i="11" s="1"/>
  <c r="AI38" i="11" a="1"/>
  <c r="AI38" i="11" s="1"/>
  <c r="Z22" i="11" a="1"/>
  <c r="Z22" i="11" s="1"/>
  <c r="R20" i="11" a="1"/>
  <c r="R20" i="11" s="1"/>
  <c r="AB110" i="11" a="1"/>
  <c r="AB110" i="11" s="1"/>
  <c r="U100" i="11" a="1"/>
  <c r="U100" i="11" s="1"/>
  <c r="X98" i="11" a="1"/>
  <c r="X98" i="11" s="1"/>
  <c r="AB87" i="11" a="1"/>
  <c r="AB87" i="11" s="1"/>
  <c r="P84" i="11" a="1"/>
  <c r="P84" i="11" s="1"/>
  <c r="AG73" i="11" a="1"/>
  <c r="AG73" i="11" s="1"/>
  <c r="AL72" i="11" a="1"/>
  <c r="AL72" i="11" s="1"/>
  <c r="O71" i="11" a="1"/>
  <c r="O71" i="11" s="1"/>
  <c r="AK64" i="11" a="1"/>
  <c r="AK64" i="11" s="1"/>
  <c r="AL56" i="11" a="1"/>
  <c r="AL56" i="11" s="1"/>
  <c r="Y56" i="11" a="1"/>
  <c r="Y56" i="11" s="1"/>
  <c r="AL55" i="11" a="1"/>
  <c r="AL55" i="11" s="1"/>
  <c r="AK54" i="11" a="1"/>
  <c r="AK54" i="11" s="1"/>
  <c r="AI40" i="11" a="1"/>
  <c r="AI40" i="11" s="1"/>
  <c r="AH39" i="11" a="1"/>
  <c r="AH39" i="11" s="1"/>
  <c r="AH38" i="11" a="1"/>
  <c r="AH38" i="11" s="1"/>
  <c r="W38" i="11" a="1"/>
  <c r="W38" i="11" s="1"/>
  <c r="Q20" i="11" a="1"/>
  <c r="Q20" i="11" s="1"/>
  <c r="S19" i="11" a="1"/>
  <c r="S19" i="11" s="1"/>
  <c r="Y77" i="10" a="1"/>
  <c r="Y77" i="10" s="1"/>
  <c r="P77" i="10" a="1"/>
  <c r="P77" i="10" s="1"/>
  <c r="AC20" i="10" a="1"/>
  <c r="AC20" i="10" s="1"/>
  <c r="AC23" i="10" s="1"/>
  <c r="T20" i="10" a="1"/>
  <c r="T20" i="10" s="1"/>
  <c r="T23" i="10" s="1"/>
  <c r="R120" i="11" a="1"/>
  <c r="R120" i="11" s="1"/>
  <c r="AF118" i="11" a="1"/>
  <c r="AF118" i="11" s="1"/>
  <c r="AA110" i="11" a="1"/>
  <c r="AA110" i="11" s="1"/>
  <c r="V102" i="11" a="1"/>
  <c r="V102" i="11" s="1"/>
  <c r="S100" i="11" a="1"/>
  <c r="S100" i="11" s="1"/>
  <c r="R98" i="11" a="1"/>
  <c r="R98" i="11" s="1"/>
  <c r="Q86" i="11" a="1"/>
  <c r="Q86" i="11" s="1"/>
  <c r="AF73" i="11" a="1"/>
  <c r="AF73" i="11" s="1"/>
  <c r="AK63" i="11" a="1"/>
  <c r="AK63" i="11" s="1"/>
  <c r="AI62" i="11" a="1"/>
  <c r="AI62" i="11" s="1"/>
  <c r="AK56" i="11" a="1"/>
  <c r="AK56" i="11" s="1"/>
  <c r="AK55" i="11" a="1"/>
  <c r="AK55" i="11" s="1"/>
  <c r="Y55" i="11" a="1"/>
  <c r="Y55" i="11" s="1"/>
  <c r="AJ54" i="11" a="1"/>
  <c r="AJ54" i="11" s="1"/>
  <c r="X54" i="11" a="1"/>
  <c r="X54" i="11" s="1"/>
  <c r="AH40" i="11" a="1"/>
  <c r="AH40" i="11" s="1"/>
  <c r="W40" i="11" a="1"/>
  <c r="W40" i="11" s="1"/>
  <c r="V39" i="11" a="1"/>
  <c r="V39" i="11" s="1"/>
  <c r="V23" i="11" a="1"/>
  <c r="V23" i="11" s="1"/>
  <c r="Z21" i="11" a="1"/>
  <c r="Z21" i="11" s="1"/>
  <c r="O21" i="11" a="1"/>
  <c r="O21" i="11" s="1"/>
  <c r="X90" i="10" a="1"/>
  <c r="X90" i="10" s="1"/>
  <c r="AA78" i="10" a="1"/>
  <c r="AA78" i="10" s="1"/>
  <c r="Q78" i="10" a="1"/>
  <c r="Q78" i="10" s="1"/>
  <c r="AA19" i="10" a="1"/>
  <c r="AA19" i="10" s="1"/>
  <c r="AA22" i="10" s="1"/>
  <c r="R19" i="10" a="1"/>
  <c r="R19" i="10" s="1"/>
  <c r="R22" i="10" s="1"/>
  <c r="AF108" i="11" a="1"/>
  <c r="AF108" i="11" s="1"/>
  <c r="Q98" i="11" a="1"/>
  <c r="Q98" i="11" s="1"/>
  <c r="Z87" i="11" a="1"/>
  <c r="Z87" i="11" s="1"/>
  <c r="X85" i="11" a="1"/>
  <c r="X85" i="11" s="1"/>
  <c r="AK72" i="11" a="1"/>
  <c r="AK72" i="11" s="1"/>
  <c r="S72" i="11" a="1"/>
  <c r="S72" i="11" s="1"/>
  <c r="AB71" i="11" a="1"/>
  <c r="AB71" i="11" s="1"/>
  <c r="AJ64" i="11" a="1"/>
  <c r="AJ64" i="11" s="1"/>
  <c r="AJ63" i="11" a="1"/>
  <c r="AJ63" i="11" s="1"/>
  <c r="AI56" i="11" a="1"/>
  <c r="AI56" i="11" s="1"/>
  <c r="X56" i="11" a="1"/>
  <c r="X56" i="11" s="1"/>
  <c r="AJ55" i="11" a="1"/>
  <c r="AJ55" i="11" s="1"/>
  <c r="AI54" i="11" a="1"/>
  <c r="AI54" i="11" s="1"/>
  <c r="AG39" i="11" a="1"/>
  <c r="AG39" i="11" s="1"/>
  <c r="AG38" i="11" a="1"/>
  <c r="AG38" i="11" s="1"/>
  <c r="V38" i="11" a="1"/>
  <c r="V38" i="11" s="1"/>
  <c r="X22" i="11" a="1"/>
  <c r="X22" i="11" s="1"/>
  <c r="O20" i="11" a="1"/>
  <c r="O20" i="11" s="1"/>
  <c r="Q19" i="11" a="1"/>
  <c r="Q19" i="11" s="1"/>
  <c r="AE91" i="10" a="1"/>
  <c r="AE91" i="10" s="1"/>
  <c r="AE94" i="10" s="1"/>
  <c r="X77" i="10" a="1"/>
  <c r="X77" i="10" s="1"/>
  <c r="O77" i="10" a="1"/>
  <c r="O77" i="10" s="1"/>
  <c r="AB20" i="10" a="1"/>
  <c r="AB20" i="10" s="1"/>
  <c r="Q19" i="10" a="1"/>
  <c r="Q19" i="10" s="1"/>
  <c r="Q22" i="10" s="1"/>
  <c r="W22" i="11" a="1"/>
  <c r="W22" i="11" s="1"/>
  <c r="AB20" i="11" a="1"/>
  <c r="AB20" i="11" s="1"/>
  <c r="R91" i="10" a="1"/>
  <c r="R91" i="10" s="1"/>
  <c r="W90" i="10" a="1"/>
  <c r="W90" i="10" s="1"/>
  <c r="P78" i="10" a="1"/>
  <c r="P78" i="10" s="1"/>
  <c r="R20" i="10" a="1"/>
  <c r="R20" i="10" s="1"/>
  <c r="R23" i="10" s="1"/>
  <c r="Q120" i="11" a="1"/>
  <c r="Q120" i="11" s="1"/>
  <c r="Z110" i="11" a="1"/>
  <c r="Z110" i="11" s="1"/>
  <c r="AE108" i="11" a="1"/>
  <c r="AE108" i="11" s="1"/>
  <c r="R100" i="11" a="1"/>
  <c r="R100" i="11" s="1"/>
  <c r="O98" i="11" a="1"/>
  <c r="O98" i="11" s="1"/>
  <c r="Y87" i="11" a="1"/>
  <c r="Y87" i="11" s="1"/>
  <c r="AG63" i="11" a="1"/>
  <c r="AG63" i="11" s="1"/>
  <c r="AH62" i="11" a="1"/>
  <c r="AH62" i="11" s="1"/>
  <c r="AI55" i="11" a="1"/>
  <c r="AI55" i="11" s="1"/>
  <c r="W55" i="11" a="1"/>
  <c r="W55" i="11" s="1"/>
  <c r="AH54" i="11" a="1"/>
  <c r="AH54" i="11" s="1"/>
  <c r="W54" i="11" a="1"/>
  <c r="W54" i="11" s="1"/>
  <c r="AG40" i="11" a="1"/>
  <c r="AG40" i="11" s="1"/>
  <c r="U40" i="11" a="1"/>
  <c r="U40" i="11" s="1"/>
  <c r="AF39" i="11" a="1"/>
  <c r="AF39" i="11" s="1"/>
  <c r="U39" i="11" a="1"/>
  <c r="U39" i="11" s="1"/>
  <c r="T38" i="11" a="1"/>
  <c r="T38" i="11" s="1"/>
  <c r="U23" i="11" a="1"/>
  <c r="U23" i="11" s="1"/>
  <c r="Y21" i="11" a="1"/>
  <c r="Y21" i="11" s="1"/>
  <c r="P19" i="11" a="1"/>
  <c r="P19" i="11" s="1"/>
  <c r="Z78" i="10" a="1"/>
  <c r="Z78" i="10" s="1"/>
  <c r="Z19" i="10" a="1"/>
  <c r="Z19" i="10" s="1"/>
  <c r="Z22" i="10" s="1"/>
  <c r="AD118" i="11" a="1"/>
  <c r="AD118" i="11" s="1"/>
  <c r="AB101" i="11" a="1"/>
  <c r="AB101" i="11" s="1"/>
  <c r="X87" i="11" a="1"/>
  <c r="X87" i="11" s="1"/>
  <c r="V85" i="11" a="1"/>
  <c r="V85" i="11" s="1"/>
  <c r="AA73" i="11" a="1"/>
  <c r="AA73" i="11" s="1"/>
  <c r="R72" i="11" a="1"/>
  <c r="R72" i="11" s="1"/>
  <c r="Z71" i="11" a="1"/>
  <c r="Z71" i="11" s="1"/>
  <c r="AI64" i="11" a="1"/>
  <c r="AI64" i="11" s="1"/>
  <c r="AG62" i="11" a="1"/>
  <c r="AG62" i="11" s="1"/>
  <c r="AH56" i="11" a="1"/>
  <c r="AH56" i="11" s="1"/>
  <c r="W56" i="11" a="1"/>
  <c r="W56" i="11" s="1"/>
  <c r="T40" i="11" a="1"/>
  <c r="T40" i="11" s="1"/>
  <c r="T39" i="11" a="1"/>
  <c r="T39" i="11" s="1"/>
  <c r="AF38" i="11" a="1"/>
  <c r="AF38" i="11" s="1"/>
  <c r="S38" i="11" a="1"/>
  <c r="S38" i="11" s="1"/>
  <c r="T23" i="11" a="1"/>
  <c r="T23" i="11" s="1"/>
  <c r="V22" i="11" a="1"/>
  <c r="V22" i="11" s="1"/>
  <c r="Y20" i="11" a="1"/>
  <c r="Y20" i="11" s="1"/>
  <c r="AB19" i="11" a="1"/>
  <c r="AB19" i="11" s="1"/>
  <c r="O19" i="11" a="1"/>
  <c r="O19" i="11" s="1"/>
  <c r="AD91" i="10" a="1"/>
  <c r="AD91" i="10" s="1"/>
  <c r="W77" i="10" a="1"/>
  <c r="W77" i="10" s="1"/>
  <c r="Y19" i="10" a="1"/>
  <c r="Y19" i="10" s="1"/>
  <c r="Y22" i="10" s="1"/>
  <c r="P19" i="10" a="1"/>
  <c r="P19" i="10" s="1"/>
  <c r="P22" i="10" s="1"/>
  <c r="AC118" i="11" a="1"/>
  <c r="AC118" i="11" s="1"/>
  <c r="AD108" i="11" a="1"/>
  <c r="AD108" i="11" s="1"/>
  <c r="AA101" i="11" a="1"/>
  <c r="AA101" i="11" s="1"/>
  <c r="W87" i="11" a="1"/>
  <c r="W87" i="11" s="1"/>
  <c r="U85" i="11" a="1"/>
  <c r="U85" i="11" s="1"/>
  <c r="AG72" i="11" a="1"/>
  <c r="AG72" i="11" s="1"/>
  <c r="Q72" i="11" a="1"/>
  <c r="Q72" i="11" s="1"/>
  <c r="Y71" i="11" a="1"/>
  <c r="Y71" i="11" s="1"/>
  <c r="AF63" i="11" a="1"/>
  <c r="AF63" i="11" s="1"/>
  <c r="AF62" i="11" a="1"/>
  <c r="AF62" i="11" s="1"/>
  <c r="AG55" i="11" a="1"/>
  <c r="AG55" i="11" s="1"/>
  <c r="V55" i="11" a="1"/>
  <c r="V55" i="11" s="1"/>
  <c r="AG54" i="11" a="1"/>
  <c r="AG54" i="11" s="1"/>
  <c r="V54" i="11" a="1"/>
  <c r="V54" i="11" s="1"/>
  <c r="AE40" i="11" a="1"/>
  <c r="AE40" i="11" s="1"/>
  <c r="S40" i="11" a="1"/>
  <c r="S40" i="11" s="1"/>
  <c r="AE39" i="11" a="1"/>
  <c r="AE39" i="11" s="1"/>
  <c r="S39" i="11" a="1"/>
  <c r="S39" i="11" s="1"/>
  <c r="R38" i="11" a="1"/>
  <c r="R38" i="11" s="1"/>
  <c r="U22" i="11" a="1"/>
  <c r="U22" i="11" s="1"/>
  <c r="X21" i="11" a="1"/>
  <c r="X21" i="11" s="1"/>
  <c r="AA19" i="11" a="1"/>
  <c r="AA19" i="11" s="1"/>
  <c r="P91" i="10" a="1"/>
  <c r="P91" i="10" s="1"/>
  <c r="Y78" i="10" a="1"/>
  <c r="Y78" i="10" s="1"/>
  <c r="O78" i="10" a="1"/>
  <c r="O78" i="10" s="1"/>
  <c r="Z20" i="10" a="1"/>
  <c r="Z20" i="10" s="1"/>
  <c r="Z23" i="10" s="1"/>
  <c r="AB118" i="11" a="1"/>
  <c r="AB118" i="11" s="1"/>
  <c r="R110" i="11" a="1"/>
  <c r="R110" i="11" s="1"/>
  <c r="X99" i="11" a="1"/>
  <c r="X99" i="11" s="1"/>
  <c r="Q87" i="11" a="1"/>
  <c r="Q87" i="11" s="1"/>
  <c r="T85" i="11" a="1"/>
  <c r="T85" i="11" s="1"/>
  <c r="Y73" i="11" a="1"/>
  <c r="Y73" i="11" s="1"/>
  <c r="AL71" i="11" a="1"/>
  <c r="AL71" i="11" s="1"/>
  <c r="X71" i="11" a="1"/>
  <c r="X71" i="11" s="1"/>
  <c r="AH64" i="11" a="1"/>
  <c r="AH64" i="11" s="1"/>
  <c r="AE62" i="11" a="1"/>
  <c r="AE62" i="11" s="1"/>
  <c r="AG56" i="11" a="1"/>
  <c r="AG56" i="11" s="1"/>
  <c r="V56" i="11" a="1"/>
  <c r="V56" i="11" s="1"/>
  <c r="T55" i="11" a="1"/>
  <c r="T55" i="11" s="1"/>
  <c r="U54" i="11" a="1"/>
  <c r="U54" i="11" s="1"/>
  <c r="R39" i="11" a="1"/>
  <c r="R39" i="11" s="1"/>
  <c r="AD38" i="11" a="1"/>
  <c r="AD38" i="11" s="1"/>
  <c r="S23" i="11" a="1"/>
  <c r="S23" i="11" s="1"/>
  <c r="X20" i="11" a="1"/>
  <c r="X20" i="11" s="1"/>
  <c r="P20" i="10" a="1"/>
  <c r="P20" i="10" s="1"/>
  <c r="P23" i="10" s="1"/>
  <c r="X19" i="10" a="1"/>
  <c r="X19" i="10" s="1"/>
  <c r="X22" i="10" s="1"/>
  <c r="O19" i="10" a="1"/>
  <c r="O19" i="10" s="1"/>
  <c r="O22" i="10" s="1"/>
  <c r="AB119" i="11" a="1"/>
  <c r="AB119" i="11" s="1"/>
  <c r="AF109" i="11" a="1"/>
  <c r="AF109" i="11" s="1"/>
  <c r="T108" i="11" a="1"/>
  <c r="T108" i="11" s="1"/>
  <c r="R101" i="11" a="1"/>
  <c r="R101" i="11" s="1"/>
  <c r="X88" i="11" a="1"/>
  <c r="X88" i="11" s="1"/>
  <c r="Z84" i="11" a="1"/>
  <c r="Z84" i="11" s="1"/>
  <c r="AL73" i="11" a="1"/>
  <c r="AL73" i="11" s="1"/>
  <c r="V73" i="11" a="1"/>
  <c r="V73" i="11" s="1"/>
  <c r="AB72" i="11" a="1"/>
  <c r="AB72" i="11" s="1"/>
  <c r="AI71" i="11" a="1"/>
  <c r="AI71" i="11" s="1"/>
  <c r="AC64" i="11" a="1"/>
  <c r="AC64" i="11" s="1"/>
  <c r="AC63" i="11" a="1"/>
  <c r="AC63" i="11" s="1"/>
  <c r="AE56" i="11" a="1"/>
  <c r="AE56" i="11" s="1"/>
  <c r="AD55" i="11" a="1"/>
  <c r="AD55" i="11" s="1"/>
  <c r="Q54" i="11" a="1"/>
  <c r="Q54" i="11" s="1"/>
  <c r="AA40" i="11" a="1"/>
  <c r="AA40" i="11" s="1"/>
  <c r="AB39" i="11" a="1"/>
  <c r="AB39" i="11" s="1"/>
  <c r="O39" i="11" a="1"/>
  <c r="O39" i="11" s="1"/>
  <c r="Z38" i="11" a="1"/>
  <c r="Z38" i="11" s="1"/>
  <c r="O38" i="11" a="1"/>
  <c r="O38" i="11" s="1"/>
  <c r="AB23" i="11" a="1"/>
  <c r="AB23" i="11" s="1"/>
  <c r="AB12" i="11" s="1"/>
  <c r="AB15" i="11" s="1"/>
  <c r="P23" i="11" a="1"/>
  <c r="P23" i="11" s="1"/>
  <c r="S21" i="11" a="1"/>
  <c r="S21" i="11" s="1"/>
  <c r="W19" i="11" a="1"/>
  <c r="W19" i="11" s="1"/>
  <c r="R90" i="10" a="1"/>
  <c r="R90" i="10" s="1"/>
  <c r="V78" i="10" a="1"/>
  <c r="V78" i="10" s="1"/>
  <c r="AH120" i="11" a="1"/>
  <c r="AH120" i="11" s="1"/>
  <c r="T119" i="11" a="1"/>
  <c r="T119" i="11" s="1"/>
  <c r="Q118" i="11" a="1"/>
  <c r="Q118" i="11" s="1"/>
  <c r="Z109" i="11" a="1"/>
  <c r="Z109" i="11" s="1"/>
  <c r="S108" i="11" a="1"/>
  <c r="S108" i="11" s="1"/>
  <c r="Q101" i="11" a="1"/>
  <c r="Q101" i="11" s="1"/>
  <c r="AA86" i="11" a="1"/>
  <c r="AA86" i="11" s="1"/>
  <c r="T73" i="11" a="1"/>
  <c r="T73" i="11" s="1"/>
  <c r="U71" i="11" a="1"/>
  <c r="U71" i="11" s="1"/>
  <c r="AB64" i="11" a="1"/>
  <c r="AB64" i="11" s="1"/>
  <c r="AB63" i="11" a="1"/>
  <c r="AB63" i="11" s="1"/>
  <c r="AB62" i="11" a="1"/>
  <c r="AB62" i="11" s="1"/>
  <c r="AC56" i="11" a="1"/>
  <c r="AC56" i="11" s="1"/>
  <c r="Q56" i="11" a="1"/>
  <c r="Q56" i="11" s="1"/>
  <c r="AC55" i="11" a="1"/>
  <c r="AC55" i="11" s="1"/>
  <c r="Q55" i="11" a="1"/>
  <c r="Q55" i="11" s="1"/>
  <c r="AD54" i="11" a="1"/>
  <c r="AD54" i="11" s="1"/>
  <c r="Z40" i="11" a="1"/>
  <c r="Z40" i="11" s="1"/>
  <c r="O40" i="11" a="1"/>
  <c r="O40" i="11" s="1"/>
  <c r="AA39" i="11" a="1"/>
  <c r="AA39" i="11" s="1"/>
  <c r="O23" i="11" a="1"/>
  <c r="O23" i="11" s="1"/>
  <c r="Q22" i="11" a="1"/>
  <c r="Q22" i="11" s="1"/>
  <c r="R21" i="11" a="1"/>
  <c r="R21" i="11" s="1"/>
  <c r="U20" i="11" a="1"/>
  <c r="U20" i="11" s="1"/>
  <c r="AB77" i="10" a="1"/>
  <c r="AB77" i="10" s="1"/>
  <c r="AB80" i="10" s="1"/>
  <c r="AC119" i="11" a="1"/>
  <c r="AC119" i="11" s="1"/>
  <c r="X73" i="11" a="1"/>
  <c r="X73" i="11" s="1"/>
  <c r="AD62" i="11" a="1"/>
  <c r="AD62" i="11" s="1"/>
  <c r="R55" i="11" a="1"/>
  <c r="R55" i="11" s="1"/>
  <c r="W20" i="10" a="1"/>
  <c r="W20" i="10" s="1"/>
  <c r="W23" i="10" s="1"/>
  <c r="P38" i="11" a="1"/>
  <c r="P38" i="11" s="1"/>
  <c r="Q110" i="11" a="1"/>
  <c r="Q110" i="11" s="1"/>
  <c r="U118" i="11" a="1"/>
  <c r="U118" i="11" s="1"/>
  <c r="V99" i="11" a="1"/>
  <c r="V99" i="11" s="1"/>
  <c r="W73" i="11" a="1"/>
  <c r="W73" i="11" s="1"/>
  <c r="AF54" i="11" a="1"/>
  <c r="AF54" i="11" s="1"/>
  <c r="V20" i="11" a="1"/>
  <c r="V20" i="11" s="1"/>
  <c r="Z91" i="10" a="1"/>
  <c r="Z91" i="10" s="1"/>
  <c r="X78" i="10" a="1"/>
  <c r="X78" i="10" s="1"/>
  <c r="P87" i="11" a="1"/>
  <c r="P87" i="11" s="1"/>
  <c r="T118" i="11" a="1"/>
  <c r="T118" i="11" s="1"/>
  <c r="AC62" i="11" a="1"/>
  <c r="AC62" i="11" s="1"/>
  <c r="AC38" i="11" a="1"/>
  <c r="AC38" i="11" s="1"/>
  <c r="Z19" i="11" a="1"/>
  <c r="Z19" i="11" s="1"/>
  <c r="Q20" i="10" a="1"/>
  <c r="Q20" i="10" s="1"/>
  <c r="Q23" i="10" s="1"/>
  <c r="S54" i="11" a="1"/>
  <c r="S54" i="11" s="1"/>
  <c r="AE90" i="10" a="1"/>
  <c r="AE90" i="10" s="1"/>
  <c r="AE93" i="10" s="1"/>
  <c r="R118" i="11" a="1"/>
  <c r="R118" i="11" s="1"/>
  <c r="AD72" i="11" a="1"/>
  <c r="AD72" i="11" s="1"/>
  <c r="AE54" i="11" a="1"/>
  <c r="AE54" i="11" s="1"/>
  <c r="AB38" i="11" a="1"/>
  <c r="AB38" i="11" s="1"/>
  <c r="Y19" i="11" a="1"/>
  <c r="Y19" i="11" s="1"/>
  <c r="Y91" i="10" a="1"/>
  <c r="Y91" i="10" s="1"/>
  <c r="W78" i="10" a="1"/>
  <c r="W78" i="10" s="1"/>
  <c r="AC72" i="11" a="1"/>
  <c r="AC72" i="11" s="1"/>
  <c r="T54" i="11" a="1"/>
  <c r="T54" i="11" s="1"/>
  <c r="X19" i="11" a="1"/>
  <c r="X19" i="11" s="1"/>
  <c r="O91" i="10" a="1"/>
  <c r="O91" i="10" s="1"/>
  <c r="AE77" i="10" a="1"/>
  <c r="AE77" i="10" s="1"/>
  <c r="AE80" i="10" s="1"/>
  <c r="O20" i="10" a="1"/>
  <c r="O20" i="10" s="1"/>
  <c r="AD40" i="11" a="1"/>
  <c r="AD40" i="11" s="1"/>
  <c r="P110" i="11" a="1"/>
  <c r="P110" i="11" s="1"/>
  <c r="AK71" i="11" a="1"/>
  <c r="AK71" i="11" s="1"/>
  <c r="AB40" i="11" a="1"/>
  <c r="AB40" i="11" s="1"/>
  <c r="R23" i="11" a="1"/>
  <c r="R23" i="11" s="1"/>
  <c r="S85" i="11" a="1"/>
  <c r="S85" i="11" s="1"/>
  <c r="W71" i="11" a="1"/>
  <c r="W71" i="11" s="1"/>
  <c r="T22" i="11" a="1"/>
  <c r="T22" i="11" s="1"/>
  <c r="U108" i="11" a="1"/>
  <c r="U108" i="11" s="1"/>
  <c r="AA84" i="11" a="1"/>
  <c r="AA84" i="11" s="1"/>
  <c r="V71" i="11" a="1"/>
  <c r="V71" i="11" s="1"/>
  <c r="AD64" i="11" a="1"/>
  <c r="AD64" i="11" s="1"/>
  <c r="AF55" i="11" a="1"/>
  <c r="AF55" i="11" s="1"/>
  <c r="AD39" i="11" a="1"/>
  <c r="AD39" i="11" s="1"/>
  <c r="S22" i="11" a="1"/>
  <c r="S22" i="11" s="1"/>
  <c r="S77" i="10" a="1"/>
  <c r="S77" i="10" s="1"/>
  <c r="Z101" i="11" a="1"/>
  <c r="Z101" i="11" s="1"/>
  <c r="V21" i="11" a="1"/>
  <c r="V21" i="11" s="1"/>
  <c r="V19" i="10" a="1"/>
  <c r="V19" i="10" s="1"/>
  <c r="V22" i="10" s="1"/>
  <c r="AC39" i="11" a="1"/>
  <c r="AC39" i="11" s="1"/>
  <c r="AD63" i="11" a="1"/>
  <c r="AD63" i="11" s="1"/>
  <c r="S55" i="11" a="1"/>
  <c r="S55" i="11" s="1"/>
  <c r="T21" i="11" a="1"/>
  <c r="T21" i="11" s="1"/>
  <c r="X20" i="10" a="1"/>
  <c r="X20" i="10" s="1"/>
  <c r="X23" i="10" s="1"/>
  <c r="AD119" i="11" a="1"/>
  <c r="AD119" i="11" s="1"/>
  <c r="W99" i="11" a="1"/>
  <c r="W99" i="11" s="1"/>
  <c r="Q39" i="11" a="1"/>
  <c r="Q39" i="11" s="1"/>
  <c r="O110" i="11" a="1"/>
  <c r="O110" i="11" s="1"/>
  <c r="U56" i="11" a="1"/>
  <c r="U56" i="11" s="1"/>
  <c r="V108" i="11" a="1"/>
  <c r="V108" i="11" s="1"/>
  <c r="R56" i="11" a="1"/>
  <c r="R56" i="11" s="1"/>
  <c r="Q40" i="11" a="1"/>
  <c r="Q40" i="11" s="1"/>
  <c r="S90" i="10" a="1"/>
  <c r="S90" i="10" s="1"/>
  <c r="P40" i="11" a="1"/>
  <c r="P40" i="11" s="1"/>
  <c r="Q23" i="11" a="1"/>
  <c r="Q23" i="11" s="1"/>
  <c r="AE64" i="11" a="1"/>
  <c r="AE64" i="11" s="1"/>
  <c r="AB86" i="11" a="1"/>
  <c r="AB86" i="11" s="1"/>
  <c r="U21" i="11" a="1"/>
  <c r="U21" i="11" s="1"/>
  <c r="AC77" i="10" a="1"/>
  <c r="AC77" i="10" s="1"/>
  <c r="U77" i="10" a="1"/>
  <c r="U77" i="10" s="1"/>
  <c r="Y20" i="10" a="1"/>
  <c r="Y20" i="10" s="1"/>
  <c r="Y23" i="10" s="1"/>
  <c r="T77" i="10" a="1"/>
  <c r="T77" i="10" s="1"/>
  <c r="AE19" i="10" a="1"/>
  <c r="AE19" i="10" s="1"/>
  <c r="AE22" i="10" s="1"/>
  <c r="W19" i="10" a="1"/>
  <c r="W19" i="10" s="1"/>
  <c r="W22" i="10" s="1"/>
  <c r="AF56" i="11" a="1"/>
  <c r="AF56" i="11" s="1"/>
  <c r="K35" i="13" l="1"/>
  <c r="AL93" i="10"/>
  <c r="L35" i="13"/>
  <c r="O64" i="8" a="1"/>
  <c r="O64" i="8" s="1"/>
  <c r="O67" i="8" s="1"/>
  <c r="O68" i="8" s="1"/>
  <c r="AI80" i="10"/>
  <c r="U42" i="8"/>
  <c r="U43" i="8" s="1"/>
  <c r="AC80" i="10"/>
  <c r="AD93" i="10"/>
  <c r="AD94" i="10"/>
  <c r="AC81" i="10"/>
  <c r="AF94" i="10"/>
  <c r="AF81" i="10"/>
  <c r="AD13" i="8" a="1"/>
  <c r="AD13" i="8" s="1"/>
  <c r="AD16" i="8" s="1"/>
  <c r="AD17" i="8" s="1"/>
  <c r="I39" i="8" a="1"/>
  <c r="I39" i="8" s="1"/>
  <c r="J72" i="8" a="1"/>
  <c r="J72" i="8" s="1"/>
  <c r="J75" i="8" s="1"/>
  <c r="J76" i="8" s="1"/>
  <c r="AF12" i="10"/>
  <c r="AG81" i="10"/>
  <c r="AL88" i="10"/>
  <c r="AD73" i="8" s="1" a="1"/>
  <c r="AD73" i="8" s="1"/>
  <c r="AD72" i="8" a="1"/>
  <c r="AD72" i="8" s="1"/>
  <c r="AL70" i="10"/>
  <c r="AL80" i="10"/>
  <c r="AL81" i="10"/>
  <c r="S16" i="13"/>
  <c r="F16" i="13"/>
  <c r="O16" i="13"/>
  <c r="AB86" i="13"/>
  <c r="H35" i="13"/>
  <c r="I35" i="13"/>
  <c r="N75" i="8"/>
  <c r="N76" i="8" s="1"/>
  <c r="T16" i="13"/>
  <c r="AF80" i="10"/>
  <c r="U88" i="10"/>
  <c r="M73" i="8" s="1" a="1"/>
  <c r="M73" i="8" s="1"/>
  <c r="M75" i="8" s="1"/>
  <c r="M76" i="8" s="1"/>
  <c r="V14" i="13"/>
  <c r="AG93" i="10"/>
  <c r="AB70" i="13"/>
  <c r="J35" i="13"/>
  <c r="AK93" i="10"/>
  <c r="Q16" i="13"/>
  <c r="U16" i="13"/>
  <c r="P35" i="13"/>
  <c r="AI93" i="10"/>
  <c r="V35" i="13"/>
  <c r="AJ70" i="10"/>
  <c r="AJ75" i="10" s="1"/>
  <c r="AB65" i="8" s="1" a="1"/>
  <c r="AB65" i="8" s="1"/>
  <c r="AA16" i="13"/>
  <c r="Z35" i="13"/>
  <c r="AK81" i="10"/>
  <c r="G16" i="13"/>
  <c r="AK12" i="10"/>
  <c r="AK15" i="10" s="1"/>
  <c r="AC14" i="8" s="1" a="1"/>
  <c r="AC14" i="8" s="1"/>
  <c r="R16" i="13"/>
  <c r="AJ93" i="10"/>
  <c r="V75" i="10"/>
  <c r="N65" i="8" s="1" a="1"/>
  <c r="N65" i="8" s="1"/>
  <c r="N67" i="8" s="1"/>
  <c r="N68" i="8" s="1"/>
  <c r="AJ83" i="10"/>
  <c r="AJ88" i="10" s="1"/>
  <c r="AB73" i="8" s="1" a="1"/>
  <c r="AB73" i="8" s="1"/>
  <c r="AH80" i="10"/>
  <c r="Y35" i="13"/>
  <c r="AK70" i="10"/>
  <c r="AK75" i="10" s="1"/>
  <c r="AC65" i="8" s="1" a="1"/>
  <c r="AC65" i="8" s="1"/>
  <c r="AJ81" i="10"/>
  <c r="E16" i="13"/>
  <c r="AB16" i="13"/>
  <c r="AK88" i="10"/>
  <c r="AC73" i="8" s="1" a="1"/>
  <c r="AC73" i="8" s="1"/>
  <c r="AC72" i="8" a="1"/>
  <c r="AC72" i="8" s="1"/>
  <c r="AF83" i="10"/>
  <c r="AF88" i="10" s="1"/>
  <c r="X73" i="8" s="1" a="1"/>
  <c r="X73" i="8" s="1"/>
  <c r="Q55" i="10"/>
  <c r="I40" i="8" s="1" a="1"/>
  <c r="I40" i="8" s="1"/>
  <c r="I42" i="8" s="1"/>
  <c r="I43" i="8" s="1"/>
  <c r="AJ15" i="10"/>
  <c r="AB14" i="8" s="1" a="1"/>
  <c r="AB14" i="8" s="1"/>
  <c r="AB13" i="8" a="1"/>
  <c r="AB13" i="8" s="1"/>
  <c r="AF70" i="10"/>
  <c r="AF75" i="10" s="1"/>
  <c r="X65" i="8" s="1" a="1"/>
  <c r="X65" i="8" s="1"/>
  <c r="AF93" i="10"/>
  <c r="O12" i="11"/>
  <c r="O15" i="11" s="1"/>
  <c r="Y12" i="11"/>
  <c r="Y15" i="11" s="1"/>
  <c r="AH83" i="10"/>
  <c r="AH23" i="10"/>
  <c r="AH12" i="10"/>
  <c r="AH70" i="10"/>
  <c r="AH81" i="10"/>
  <c r="AI83" i="10"/>
  <c r="AI94" i="10"/>
  <c r="AI81" i="10"/>
  <c r="AI70" i="10"/>
  <c r="AI23" i="10"/>
  <c r="AI12" i="10"/>
  <c r="AA77" i="11"/>
  <c r="AA82" i="11" s="1"/>
  <c r="AA76" i="11" s="1"/>
  <c r="P12" i="11"/>
  <c r="P15" i="11" s="1"/>
  <c r="S42" i="8"/>
  <c r="S43" i="8" s="1"/>
  <c r="AA70" i="10"/>
  <c r="AA75" i="10" s="1"/>
  <c r="S65" i="8" s="1" a="1"/>
  <c r="S65" i="8" s="1"/>
  <c r="AA81" i="10"/>
  <c r="AG70" i="10"/>
  <c r="AG75" i="10" s="1"/>
  <c r="Y65" i="8" s="1" a="1"/>
  <c r="Y65" i="8" s="1"/>
  <c r="AG80" i="10"/>
  <c r="AD39" i="8" a="1"/>
  <c r="AD39" i="8" s="1"/>
  <c r="AG83" i="10"/>
  <c r="AG94" i="10"/>
  <c r="AL55" i="10"/>
  <c r="O12" i="10"/>
  <c r="O15" i="10" s="1"/>
  <c r="G14" i="8" s="1" a="1"/>
  <c r="G14" i="8" s="1"/>
  <c r="O23" i="10"/>
  <c r="AG12" i="10"/>
  <c r="AG15" i="10" s="1"/>
  <c r="Y14" i="8" s="1" a="1"/>
  <c r="Y14" i="8" s="1"/>
  <c r="AG23" i="10"/>
  <c r="AB12" i="10"/>
  <c r="AB15" i="10" s="1"/>
  <c r="T14" i="8" s="1" a="1"/>
  <c r="T14" i="8" s="1"/>
  <c r="AB23" i="10"/>
  <c r="AF15" i="10"/>
  <c r="X14" i="8" s="1" a="1"/>
  <c r="X14" i="8" s="1"/>
  <c r="X13" i="8" a="1"/>
  <c r="X13" i="8" s="1"/>
  <c r="AB60" i="10"/>
  <c r="T48" i="8" s="1" a="1"/>
  <c r="T48" i="8" s="1"/>
  <c r="T50" i="8" s="1"/>
  <c r="T51" i="8" s="1"/>
  <c r="O31" i="8" a="1"/>
  <c r="O31" i="8" s="1"/>
  <c r="O34" i="8" s="1"/>
  <c r="O35" i="8" s="1"/>
  <c r="Q86" i="13"/>
  <c r="Z86" i="13"/>
  <c r="X86" i="13"/>
  <c r="H86" i="13"/>
  <c r="W86" i="13"/>
  <c r="G70" i="13"/>
  <c r="W53" i="13"/>
  <c r="K70" i="13"/>
  <c r="N53" i="13"/>
  <c r="S86" i="13"/>
  <c r="AA86" i="13"/>
  <c r="F86" i="13"/>
  <c r="N70" i="13"/>
  <c r="O86" i="13"/>
  <c r="L86" i="13"/>
  <c r="U86" i="13"/>
  <c r="E86" i="13"/>
  <c r="V53" i="13"/>
  <c r="P86" i="13"/>
  <c r="W70" i="13"/>
  <c r="G86" i="13"/>
  <c r="L53" i="13"/>
  <c r="N86" i="13"/>
  <c r="K86" i="13"/>
  <c r="J86" i="13"/>
  <c r="V86" i="13"/>
  <c r="E53" i="13"/>
  <c r="I86" i="13"/>
  <c r="T86" i="13"/>
  <c r="M86" i="13"/>
  <c r="R86" i="13"/>
  <c r="Y86" i="13"/>
  <c r="O70" i="13"/>
  <c r="X70" i="13"/>
  <c r="Q70" i="13"/>
  <c r="T70" i="13"/>
  <c r="X53" i="13"/>
  <c r="M70" i="13"/>
  <c r="J70" i="13"/>
  <c r="U70" i="13"/>
  <c r="P70" i="13"/>
  <c r="AA53" i="13"/>
  <c r="H53" i="13"/>
  <c r="L70" i="13"/>
  <c r="H70" i="13"/>
  <c r="Z70" i="13"/>
  <c r="T53" i="13"/>
  <c r="Y70" i="13"/>
  <c r="U53" i="13"/>
  <c r="S70" i="13"/>
  <c r="J53" i="13"/>
  <c r="E70" i="13"/>
  <c r="S53" i="13"/>
  <c r="R53" i="13"/>
  <c r="I70" i="13"/>
  <c r="O53" i="13"/>
  <c r="F53" i="13"/>
  <c r="R70" i="13"/>
  <c r="P53" i="13"/>
  <c r="Q53" i="13"/>
  <c r="F70" i="13"/>
  <c r="Z53" i="13"/>
  <c r="I53" i="13"/>
  <c r="G53" i="13"/>
  <c r="Y53" i="13"/>
  <c r="K53" i="13"/>
  <c r="AA70" i="13"/>
  <c r="V70" i="13"/>
  <c r="M53" i="13"/>
  <c r="N39" i="8" a="1"/>
  <c r="N39" i="8" s="1"/>
  <c r="V55" i="10"/>
  <c r="N40" i="8" s="1" a="1"/>
  <c r="N40" i="8" s="1"/>
  <c r="V64" i="10"/>
  <c r="V63" i="10" s="1"/>
  <c r="AA39" i="8" a="1"/>
  <c r="AA39" i="8" s="1"/>
  <c r="AI59" i="10"/>
  <c r="AI58" i="10" s="1"/>
  <c r="AI64" i="10" s="1"/>
  <c r="AI63" i="10" s="1"/>
  <c r="AI55" i="10"/>
  <c r="AI60" i="10" s="1"/>
  <c r="AA48" i="8" s="1" a="1"/>
  <c r="AA48" i="8" s="1"/>
  <c r="P12" i="10"/>
  <c r="P15" i="10" s="1"/>
  <c r="H14" i="8" s="1" a="1"/>
  <c r="H14" i="8" s="1"/>
  <c r="AD83" i="10"/>
  <c r="V72" i="8" s="1" a="1"/>
  <c r="V72" i="8" s="1"/>
  <c r="T12" i="10"/>
  <c r="L13" i="8" s="1" a="1"/>
  <c r="L13" i="8" s="1"/>
  <c r="I67" i="8"/>
  <c r="I68" i="8" s="1"/>
  <c r="R34" i="8"/>
  <c r="R35" i="8" s="1"/>
  <c r="P42" i="8"/>
  <c r="P43" i="8" s="1"/>
  <c r="G58" i="8"/>
  <c r="G59" i="8" s="1"/>
  <c r="V50" i="8"/>
  <c r="V51" i="8" s="1"/>
  <c r="K42" i="8"/>
  <c r="K43" i="8" s="1"/>
  <c r="S50" i="8"/>
  <c r="S51" i="8" s="1"/>
  <c r="AC34" i="8"/>
  <c r="AC35" i="8" s="1"/>
  <c r="R42" i="8"/>
  <c r="R43" i="8" s="1"/>
  <c r="Z34" i="8"/>
  <c r="Z35" i="8" s="1"/>
  <c r="Q42" i="8"/>
  <c r="Q43" i="8" s="1"/>
  <c r="Y31" i="8" a="1"/>
  <c r="Y31" i="8" s="1"/>
  <c r="AG42" i="10"/>
  <c r="Y32" i="8" s="1" a="1"/>
  <c r="Y32" i="8" s="1"/>
  <c r="K31" i="8" a="1"/>
  <c r="K31" i="8" s="1"/>
  <c r="S42" i="10"/>
  <c r="K32" i="8" s="1" a="1"/>
  <c r="K32" i="8" s="1"/>
  <c r="AB31" i="8" a="1"/>
  <c r="AB31" i="8" s="1"/>
  <c r="AJ42" i="10"/>
  <c r="AB32" i="8" s="1" a="1"/>
  <c r="AB32" i="8" s="1"/>
  <c r="AA31" i="8" a="1"/>
  <c r="AA31" i="8" s="1"/>
  <c r="AI42" i="10"/>
  <c r="AA32" i="8" s="1" a="1"/>
  <c r="AA32" i="8" s="1"/>
  <c r="AJ59" i="10"/>
  <c r="AJ58" i="10" s="1"/>
  <c r="AJ55" i="10"/>
  <c r="AB39" i="8" a="1"/>
  <c r="AB39" i="8" s="1"/>
  <c r="L31" i="8" a="1"/>
  <c r="L31" i="8" s="1"/>
  <c r="T42" i="10"/>
  <c r="L32" i="8" s="1" a="1"/>
  <c r="L32" i="8" s="1"/>
  <c r="AK55" i="10"/>
  <c r="AC39" i="8" a="1"/>
  <c r="AC39" i="8" s="1"/>
  <c r="AK59" i="10"/>
  <c r="AK58" i="10" s="1"/>
  <c r="X42" i="10"/>
  <c r="P32" i="8" s="1" a="1"/>
  <c r="P32" i="8" s="1"/>
  <c r="P31" i="8" a="1"/>
  <c r="P31" i="8" s="1"/>
  <c r="Z66" i="10"/>
  <c r="R56" i="8" s="1" a="1"/>
  <c r="R56" i="8" s="1"/>
  <c r="R55" i="8" a="1"/>
  <c r="R55" i="8" s="1"/>
  <c r="S34" i="8"/>
  <c r="S35" i="8" s="1"/>
  <c r="H42" i="8"/>
  <c r="H43" i="8" s="1"/>
  <c r="AD47" i="8" a="1"/>
  <c r="AD47" i="8" s="1"/>
  <c r="AL64" i="10"/>
  <c r="AL63" i="10" s="1"/>
  <c r="AG64" i="10"/>
  <c r="AG63" i="10" s="1"/>
  <c r="Y47" i="8" a="1"/>
  <c r="Y47" i="8" s="1"/>
  <c r="Q34" i="8"/>
  <c r="Q35" i="8" s="1"/>
  <c r="K75" i="8"/>
  <c r="K76" i="8" s="1"/>
  <c r="W55" i="10"/>
  <c r="O40" i="8" s="1" a="1"/>
  <c r="O40" i="8" s="1"/>
  <c r="W64" i="10"/>
  <c r="W63" i="10" s="1"/>
  <c r="O39" i="8" a="1"/>
  <c r="O39" i="8" s="1"/>
  <c r="M34" i="8"/>
  <c r="M35" i="8" s="1"/>
  <c r="AL42" i="10"/>
  <c r="AD32" i="8" s="1" a="1"/>
  <c r="AD32" i="8" s="1"/>
  <c r="AD31" i="8" a="1"/>
  <c r="AD31" i="8" s="1"/>
  <c r="Y40" i="8" a="1"/>
  <c r="Y40" i="8" s="1"/>
  <c r="Y42" i="8" s="1"/>
  <c r="Y43" i="8" s="1"/>
  <c r="AG60" i="10"/>
  <c r="Y48" i="8" s="1" a="1"/>
  <c r="Y48" i="8" s="1"/>
  <c r="Y66" i="10"/>
  <c r="Q56" i="8" s="1" a="1"/>
  <c r="Q56" i="8" s="1"/>
  <c r="Q55" i="8" a="1"/>
  <c r="Q55" i="8" s="1"/>
  <c r="U50" i="8"/>
  <c r="U51" i="8" s="1"/>
  <c r="X66" i="10"/>
  <c r="P56" i="8" s="1" a="1"/>
  <c r="P56" i="8" s="1"/>
  <c r="P55" i="8" a="1"/>
  <c r="P55" i="8" s="1"/>
  <c r="I75" i="8"/>
  <c r="I76" i="8" s="1"/>
  <c r="U55" i="10"/>
  <c r="M40" i="8" s="1" a="1"/>
  <c r="M40" i="8" s="1"/>
  <c r="U64" i="10"/>
  <c r="U63" i="10" s="1"/>
  <c r="M39" i="8" a="1"/>
  <c r="M39" i="8" s="1"/>
  <c r="X34" i="8"/>
  <c r="X35" i="8" s="1"/>
  <c r="I34" i="8"/>
  <c r="I35" i="8" s="1"/>
  <c r="Z40" i="8" a="1"/>
  <c r="Z40" i="8" s="1"/>
  <c r="Z42" i="8" s="1"/>
  <c r="Z43" i="8" s="1"/>
  <c r="AH60" i="10"/>
  <c r="Z48" i="8" s="1" a="1"/>
  <c r="Z48" i="8" s="1"/>
  <c r="W50" i="8"/>
  <c r="W51" i="8" s="1"/>
  <c r="AA47" i="8" a="1"/>
  <c r="AA47" i="8" s="1"/>
  <c r="W55" i="8" a="1"/>
  <c r="W55" i="8" s="1"/>
  <c r="AE66" i="10"/>
  <c r="W56" i="8" s="1" a="1"/>
  <c r="W56" i="8" s="1"/>
  <c r="U55" i="8" a="1"/>
  <c r="U55" i="8" s="1"/>
  <c r="AC66" i="10"/>
  <c r="U56" i="8" s="1" a="1"/>
  <c r="U56" i="8" s="1"/>
  <c r="M67" i="8"/>
  <c r="M68" i="8" s="1"/>
  <c r="P75" i="8"/>
  <c r="P76" i="8" s="1"/>
  <c r="K55" i="8" a="1"/>
  <c r="K55" i="8" s="1"/>
  <c r="S66" i="10"/>
  <c r="K56" i="8" s="1" a="1"/>
  <c r="K56" i="8" s="1"/>
  <c r="AF60" i="10"/>
  <c r="X48" i="8" s="1" a="1"/>
  <c r="X48" i="8" s="1"/>
  <c r="X40" i="8" a="1"/>
  <c r="X40" i="8" s="1"/>
  <c r="X42" i="8" s="1"/>
  <c r="X43" i="8" s="1"/>
  <c r="J31" i="8" a="1"/>
  <c r="J31" i="8" s="1"/>
  <c r="R42" i="10"/>
  <c r="J32" i="8" s="1" a="1"/>
  <c r="J32" i="8" s="1"/>
  <c r="V66" i="10"/>
  <c r="N56" i="8" s="1" a="1"/>
  <c r="N56" i="8" s="1"/>
  <c r="N55" i="8" a="1"/>
  <c r="N55" i="8" s="1"/>
  <c r="I55" i="8" a="1"/>
  <c r="I55" i="8" s="1"/>
  <c r="Q66" i="10"/>
  <c r="I56" i="8" s="1" a="1"/>
  <c r="I56" i="8" s="1"/>
  <c r="H55" i="8" a="1"/>
  <c r="H55" i="8" s="1"/>
  <c r="P66" i="10"/>
  <c r="H56" i="8" s="1" a="1"/>
  <c r="H56" i="8" s="1"/>
  <c r="AA66" i="10"/>
  <c r="S56" i="8" s="1" a="1"/>
  <c r="S56" i="8" s="1"/>
  <c r="S55" i="8" a="1"/>
  <c r="S55" i="8" s="1"/>
  <c r="AH64" i="10"/>
  <c r="AH63" i="10" s="1"/>
  <c r="Z47" i="8" a="1"/>
  <c r="Z47" i="8" s="1"/>
  <c r="T55" i="8" a="1"/>
  <c r="T55" i="8" s="1"/>
  <c r="AB66" i="10"/>
  <c r="T56" i="8" s="1" a="1"/>
  <c r="T56" i="8" s="1"/>
  <c r="AL60" i="10"/>
  <c r="AD48" i="8" s="1" a="1"/>
  <c r="AD48" i="8" s="1"/>
  <c r="AD40" i="8" a="1"/>
  <c r="AD40" i="8" s="1"/>
  <c r="R64" i="10"/>
  <c r="R63" i="10" s="1"/>
  <c r="J39" i="8" a="1"/>
  <c r="J39" i="8" s="1"/>
  <c r="R55" i="10"/>
  <c r="J40" i="8" s="1" a="1"/>
  <c r="J40" i="8" s="1"/>
  <c r="AF64" i="10"/>
  <c r="AF63" i="10" s="1"/>
  <c r="X47" i="8" a="1"/>
  <c r="X47" i="8" s="1"/>
  <c r="L75" i="8"/>
  <c r="L76" i="8" s="1"/>
  <c r="L39" i="8" a="1"/>
  <c r="L39" i="8" s="1"/>
  <c r="T55" i="10"/>
  <c r="L40" i="8" s="1" a="1"/>
  <c r="L40" i="8" s="1"/>
  <c r="T64" i="10"/>
  <c r="T63" i="10" s="1"/>
  <c r="V55" i="8" a="1"/>
  <c r="V55" i="8" s="1"/>
  <c r="AD66" i="10"/>
  <c r="V56" i="8" s="1" a="1"/>
  <c r="V56" i="8" s="1"/>
  <c r="N34" i="8"/>
  <c r="N35" i="8" s="1"/>
  <c r="R75" i="8"/>
  <c r="R76" i="8" s="1"/>
  <c r="H75" i="8"/>
  <c r="H76" i="8" s="1"/>
  <c r="Y12" i="10"/>
  <c r="Y15" i="10" s="1"/>
  <c r="Q14" i="8" s="1" a="1"/>
  <c r="Q14" i="8" s="1"/>
  <c r="Z12" i="10"/>
  <c r="Z15" i="10" s="1"/>
  <c r="R14" i="8" s="1" a="1"/>
  <c r="R14" i="8" s="1"/>
  <c r="L67" i="8"/>
  <c r="L68" i="8" s="1"/>
  <c r="W12" i="10"/>
  <c r="W15" i="10" s="1"/>
  <c r="O14" i="8" s="1" a="1"/>
  <c r="O14" i="8" s="1"/>
  <c r="Q12" i="10"/>
  <c r="Q15" i="10" s="1"/>
  <c r="I14" i="8" s="1" a="1"/>
  <c r="I14" i="8" s="1"/>
  <c r="U12" i="10"/>
  <c r="U15" i="10" s="1"/>
  <c r="M14" i="8" s="1" a="1"/>
  <c r="M14" i="8" s="1"/>
  <c r="J67" i="8"/>
  <c r="J68" i="8" s="1"/>
  <c r="Q67" i="8"/>
  <c r="Q68" i="8" s="1"/>
  <c r="AD70" i="10"/>
  <c r="V64" i="8" s="1" a="1"/>
  <c r="V64" i="8" s="1"/>
  <c r="AD12" i="10"/>
  <c r="AD15" i="10" s="1"/>
  <c r="V14" i="8" s="1" a="1"/>
  <c r="V14" i="8" s="1"/>
  <c r="R12" i="11"/>
  <c r="R15" i="11" s="1"/>
  <c r="R12" i="10"/>
  <c r="J13" i="8" s="1" a="1"/>
  <c r="J13" i="8" s="1"/>
  <c r="V12" i="11"/>
  <c r="V15" i="11" s="1"/>
  <c r="X12" i="10"/>
  <c r="X15" i="10" s="1"/>
  <c r="P14" i="8" s="1" a="1"/>
  <c r="P14" i="8" s="1"/>
  <c r="Q12" i="11"/>
  <c r="Q15" i="11" s="1"/>
  <c r="U12" i="11"/>
  <c r="U15" i="11" s="1"/>
  <c r="AA83" i="10"/>
  <c r="V12" i="10"/>
  <c r="W12" i="11"/>
  <c r="W15" i="11" s="1"/>
  <c r="AE12" i="10"/>
  <c r="X12" i="11"/>
  <c r="X15" i="11" s="1"/>
  <c r="AE70" i="10"/>
  <c r="AA91" i="11"/>
  <c r="AA96" i="11" s="1"/>
  <c r="AC70" i="10"/>
  <c r="Z12" i="11"/>
  <c r="Z15" i="11" s="1"/>
  <c r="AB77" i="11"/>
  <c r="AB82" i="11" s="1"/>
  <c r="AB76" i="11" s="1"/>
  <c r="S12" i="11"/>
  <c r="S15" i="11" s="1"/>
  <c r="AA12" i="11"/>
  <c r="AA15" i="11" s="1"/>
  <c r="S12" i="10"/>
  <c r="AC12" i="10"/>
  <c r="AB91" i="11"/>
  <c r="AB96" i="11" s="1"/>
  <c r="AA12" i="10"/>
  <c r="AC83" i="10"/>
  <c r="AB83" i="10"/>
  <c r="T12" i="11"/>
  <c r="T15" i="11" s="1"/>
  <c r="AE83" i="10"/>
  <c r="AB70" i="10"/>
  <c r="AA40" i="8" l="1" a="1"/>
  <c r="AA40" i="8" s="1"/>
  <c r="AD75" i="8"/>
  <c r="AD76" i="8" s="1"/>
  <c r="AL75" i="10"/>
  <c r="AD65" i="8" s="1" a="1"/>
  <c r="AD65" i="8" s="1"/>
  <c r="AD64" i="8" a="1"/>
  <c r="AD64" i="8" s="1"/>
  <c r="X72" i="8" a="1"/>
  <c r="X72" i="8" s="1"/>
  <c r="X75" i="8" s="1"/>
  <c r="X76" i="8" s="1"/>
  <c r="AB72" i="8" a="1"/>
  <c r="AB72" i="8" s="1"/>
  <c r="AB75" i="8" s="1"/>
  <c r="AB76" i="8" s="1"/>
  <c r="AB64" i="8" a="1"/>
  <c r="AB64" i="8" s="1"/>
  <c r="AB67" i="8" s="1"/>
  <c r="AB68" i="8" s="1"/>
  <c r="S64" i="8" a="1"/>
  <c r="S64" i="8" s="1"/>
  <c r="S67" i="8" s="1"/>
  <c r="S68" i="8" s="1"/>
  <c r="AC13" i="8" a="1"/>
  <c r="AC13" i="8" s="1"/>
  <c r="AC16" i="8" s="1"/>
  <c r="AC17" i="8" s="1"/>
  <c r="AC64" i="8" a="1"/>
  <c r="AC64" i="8" s="1"/>
  <c r="AC67" i="8" s="1"/>
  <c r="AC68" i="8" s="1"/>
  <c r="AC75" i="8"/>
  <c r="AC76" i="8" s="1"/>
  <c r="X64" i="8" a="1"/>
  <c r="X64" i="8" s="1"/>
  <c r="X67" i="8" s="1"/>
  <c r="X68" i="8" s="1"/>
  <c r="AB16" i="8"/>
  <c r="AB17" i="8" s="1"/>
  <c r="G13" i="8" a="1"/>
  <c r="G13" i="8" s="1"/>
  <c r="T15" i="10"/>
  <c r="L14" i="8" s="1" a="1"/>
  <c r="L14" i="8" s="1"/>
  <c r="L16" i="8" s="1"/>
  <c r="L17" i="8" s="1"/>
  <c r="AI15" i="10"/>
  <c r="AA14" i="8" s="1" a="1"/>
  <c r="AA14" i="8" s="1"/>
  <c r="AA13" i="8" a="1"/>
  <c r="AA13" i="8" s="1"/>
  <c r="AI75" i="10"/>
  <c r="AA65" i="8" s="1" a="1"/>
  <c r="AA65" i="8" s="1"/>
  <c r="AA64" i="8" a="1"/>
  <c r="AA64" i="8" s="1"/>
  <c r="AI88" i="10"/>
  <c r="AA73" i="8" s="1" a="1"/>
  <c r="AA73" i="8" s="1"/>
  <c r="AA72" i="8" a="1"/>
  <c r="AA72" i="8" s="1"/>
  <c r="AH75" i="10"/>
  <c r="Z65" i="8" s="1" a="1"/>
  <c r="Z65" i="8" s="1"/>
  <c r="Z64" i="8" a="1"/>
  <c r="Z64" i="8" s="1"/>
  <c r="AH15" i="10"/>
  <c r="Z14" i="8" s="1" a="1"/>
  <c r="Z14" i="8" s="1"/>
  <c r="Z13" i="8" a="1"/>
  <c r="Z13" i="8" s="1"/>
  <c r="AH88" i="10"/>
  <c r="Z73" i="8" s="1" a="1"/>
  <c r="Z73" i="8" s="1"/>
  <c r="Z72" i="8" a="1"/>
  <c r="Z72" i="8" s="1"/>
  <c r="AD42" i="8"/>
  <c r="AD43" i="8" s="1"/>
  <c r="Y64" i="8" a="1"/>
  <c r="Y64" i="8" s="1"/>
  <c r="Y67" i="8" s="1"/>
  <c r="Y68" i="8" s="1"/>
  <c r="T13" i="8" a="1"/>
  <c r="T13" i="8" s="1"/>
  <c r="T16" i="8" s="1"/>
  <c r="T17" i="8" s="1"/>
  <c r="Y13" i="8" a="1"/>
  <c r="Y13" i="8" s="1"/>
  <c r="Y16" i="8" s="1"/>
  <c r="Y17" i="8" s="1"/>
  <c r="AG88" i="10"/>
  <c r="Y73" i="8" s="1" a="1"/>
  <c r="Y73" i="8" s="1"/>
  <c r="Y72" i="8" a="1"/>
  <c r="Y72" i="8" s="1"/>
  <c r="AD88" i="10"/>
  <c r="V73" i="8" s="1" a="1"/>
  <c r="V73" i="8" s="1"/>
  <c r="V75" i="8" s="1"/>
  <c r="V76" i="8" s="1"/>
  <c r="X16" i="8"/>
  <c r="X17" i="8" s="1"/>
  <c r="K58" i="8"/>
  <c r="K59" i="8" s="1"/>
  <c r="H13" i="8" a="1"/>
  <c r="H13" i="8" s="1"/>
  <c r="H16" i="8" s="1"/>
  <c r="H17" i="8" s="1"/>
  <c r="N42" i="8"/>
  <c r="N43" i="8" s="1"/>
  <c r="AA42" i="8"/>
  <c r="AA43" i="8" s="1"/>
  <c r="R58" i="8"/>
  <c r="R59" i="8" s="1"/>
  <c r="I13" i="8" a="1"/>
  <c r="I13" i="8" s="1"/>
  <c r="I16" i="8" s="1"/>
  <c r="I17" i="8" s="1"/>
  <c r="M13" i="8" a="1"/>
  <c r="M13" i="8" s="1"/>
  <c r="M16" i="8" s="1"/>
  <c r="M17" i="8" s="1"/>
  <c r="Z50" i="8"/>
  <c r="Z51" i="8" s="1"/>
  <c r="V58" i="8"/>
  <c r="V59" i="8" s="1"/>
  <c r="S58" i="8"/>
  <c r="S59" i="8" s="1"/>
  <c r="X50" i="8"/>
  <c r="X51" i="8" s="1"/>
  <c r="P13" i="8" a="1"/>
  <c r="P13" i="8" s="1"/>
  <c r="P16" i="8" s="1"/>
  <c r="P17" i="8" s="1"/>
  <c r="Y50" i="8"/>
  <c r="Y51" i="8" s="1"/>
  <c r="R15" i="10"/>
  <c r="J14" i="8" s="1" a="1"/>
  <c r="J14" i="8" s="1"/>
  <c r="J16" i="8" s="1"/>
  <c r="J17" i="8" s="1"/>
  <c r="AD50" i="8"/>
  <c r="AD51" i="8" s="1"/>
  <c r="AA34" i="8"/>
  <c r="AA35" i="8" s="1"/>
  <c r="I58" i="8"/>
  <c r="I59" i="8" s="1"/>
  <c r="N58" i="8"/>
  <c r="N59" i="8" s="1"/>
  <c r="AD34" i="8"/>
  <c r="AD35" i="8" s="1"/>
  <c r="Y34" i="8"/>
  <c r="Y35" i="8" s="1"/>
  <c r="Q13" i="8" a="1"/>
  <c r="Q13" i="8" s="1"/>
  <c r="Q16" i="8" s="1"/>
  <c r="Q17" i="8" s="1"/>
  <c r="P58" i="8"/>
  <c r="P59" i="8" s="1"/>
  <c r="Q58" i="8"/>
  <c r="Q59" i="8" s="1"/>
  <c r="AD75" i="10"/>
  <c r="V65" i="8" s="1" a="1"/>
  <c r="V65" i="8" s="1"/>
  <c r="V67" i="8" s="1"/>
  <c r="V68" i="8" s="1"/>
  <c r="T58" i="8"/>
  <c r="T59" i="8" s="1"/>
  <c r="U66" i="10"/>
  <c r="M56" i="8" s="1" a="1"/>
  <c r="M56" i="8" s="1"/>
  <c r="M55" i="8" a="1"/>
  <c r="M55" i="8" s="1"/>
  <c r="AC47" i="8" a="1"/>
  <c r="AC47" i="8" s="1"/>
  <c r="AK64" i="10"/>
  <c r="AK63" i="10" s="1"/>
  <c r="Y55" i="8" a="1"/>
  <c r="Y55" i="8" s="1"/>
  <c r="AG66" i="10"/>
  <c r="Y56" i="8" s="1" a="1"/>
  <c r="Y56" i="8" s="1"/>
  <c r="AJ60" i="10"/>
  <c r="AB48" i="8" s="1" a="1"/>
  <c r="AB48" i="8" s="1"/>
  <c r="AB40" i="8" a="1"/>
  <c r="AB40" i="8" s="1"/>
  <c r="AB42" i="8" s="1"/>
  <c r="AB43" i="8" s="1"/>
  <c r="Z55" i="8" a="1"/>
  <c r="Z55" i="8" s="1"/>
  <c r="AH66" i="10"/>
  <c r="Z56" i="8" s="1" a="1"/>
  <c r="Z56" i="8" s="1"/>
  <c r="L34" i="8"/>
  <c r="L35" i="8" s="1"/>
  <c r="H58" i="8"/>
  <c r="H59" i="8" s="1"/>
  <c r="W58" i="8"/>
  <c r="W59" i="8" s="1"/>
  <c r="AL66" i="10"/>
  <c r="AD56" i="8" s="1" a="1"/>
  <c r="AD56" i="8" s="1"/>
  <c r="AD55" i="8" a="1"/>
  <c r="AD55" i="8" s="1"/>
  <c r="AB47" i="8" a="1"/>
  <c r="AB47" i="8" s="1"/>
  <c r="AJ64" i="10"/>
  <c r="AJ63" i="10" s="1"/>
  <c r="L55" i="8" a="1"/>
  <c r="L55" i="8" s="1"/>
  <c r="T66" i="10"/>
  <c r="L56" i="8" s="1" a="1"/>
  <c r="L56" i="8" s="1"/>
  <c r="L42" i="8"/>
  <c r="L43" i="8" s="1"/>
  <c r="AA50" i="8"/>
  <c r="AA51" i="8" s="1"/>
  <c r="AA55" i="8" a="1"/>
  <c r="AA55" i="8" s="1"/>
  <c r="AI66" i="10"/>
  <c r="AA56" i="8" s="1" a="1"/>
  <c r="AA56" i="8" s="1"/>
  <c r="J55" i="8" a="1"/>
  <c r="J55" i="8" s="1"/>
  <c r="R66" i="10"/>
  <c r="J56" i="8" s="1" a="1"/>
  <c r="J56" i="8" s="1"/>
  <c r="AB34" i="8"/>
  <c r="AB35" i="8" s="1"/>
  <c r="AK60" i="10"/>
  <c r="AC48" i="8" s="1" a="1"/>
  <c r="AC48" i="8" s="1"/>
  <c r="AC40" i="8" a="1"/>
  <c r="AC40" i="8" s="1"/>
  <c r="AC42" i="8" s="1"/>
  <c r="AC43" i="8" s="1"/>
  <c r="U58" i="8"/>
  <c r="U59" i="8" s="1"/>
  <c r="X55" i="8" a="1"/>
  <c r="X55" i="8" s="1"/>
  <c r="AF66" i="10"/>
  <c r="X56" i="8" s="1" a="1"/>
  <c r="X56" i="8" s="1"/>
  <c r="O13" i="8" a="1"/>
  <c r="O13" i="8" s="1"/>
  <c r="O16" i="8" s="1"/>
  <c r="O17" i="8" s="1"/>
  <c r="J34" i="8"/>
  <c r="J35" i="8" s="1"/>
  <c r="O42" i="8"/>
  <c r="O43" i="8" s="1"/>
  <c r="K34" i="8"/>
  <c r="K35" i="8" s="1"/>
  <c r="W66" i="10"/>
  <c r="O56" i="8" s="1" a="1"/>
  <c r="O56" i="8" s="1"/>
  <c r="O55" i="8" a="1"/>
  <c r="O55" i="8" s="1"/>
  <c r="P34" i="8"/>
  <c r="P35" i="8" s="1"/>
  <c r="J42" i="8"/>
  <c r="J43" i="8" s="1"/>
  <c r="M42" i="8"/>
  <c r="M43" i="8" s="1"/>
  <c r="V13" i="8" a="1"/>
  <c r="V13" i="8" s="1"/>
  <c r="V16" i="8" s="1"/>
  <c r="V17" i="8" s="1"/>
  <c r="R13" i="8" a="1"/>
  <c r="R13" i="8" s="1"/>
  <c r="R16" i="8" s="1"/>
  <c r="R17" i="8" s="1"/>
  <c r="AE75" i="10"/>
  <c r="W65" i="8" s="1" a="1"/>
  <c r="W65" i="8" s="1"/>
  <c r="W64" i="8" a="1"/>
  <c r="W64" i="8" s="1"/>
  <c r="AB75" i="10"/>
  <c r="T65" i="8" s="1" a="1"/>
  <c r="T65" i="8" s="1"/>
  <c r="T64" i="8" a="1"/>
  <c r="T64" i="8" s="1"/>
  <c r="AC15" i="10"/>
  <c r="U14" i="8" s="1" a="1"/>
  <c r="U14" i="8" s="1"/>
  <c r="U13" i="8" a="1"/>
  <c r="U13" i="8" s="1"/>
  <c r="V15" i="10"/>
  <c r="N14" i="8" s="1" a="1"/>
  <c r="N14" i="8" s="1"/>
  <c r="N13" i="8" a="1"/>
  <c r="N13" i="8" s="1"/>
  <c r="AE88" i="10"/>
  <c r="W73" i="8" s="1" a="1"/>
  <c r="W73" i="8" s="1"/>
  <c r="W72" i="8" a="1"/>
  <c r="W72" i="8" s="1"/>
  <c r="U72" i="8" a="1"/>
  <c r="U72" i="8" s="1"/>
  <c r="AC88" i="10"/>
  <c r="U73" i="8" s="1" a="1"/>
  <c r="U73" i="8" s="1"/>
  <c r="S15" i="10"/>
  <c r="K14" i="8" s="1" a="1"/>
  <c r="K14" i="8" s="1"/>
  <c r="K13" i="8" a="1"/>
  <c r="K13" i="8" s="1"/>
  <c r="AA88" i="10"/>
  <c r="S73" i="8" s="1" a="1"/>
  <c r="S73" i="8" s="1"/>
  <c r="S72" i="8" a="1"/>
  <c r="S72" i="8" s="1"/>
  <c r="AA15" i="10"/>
  <c r="S14" i="8" s="1" a="1"/>
  <c r="S14" i="8" s="1"/>
  <c r="S13" i="8" a="1"/>
  <c r="S13" i="8" s="1"/>
  <c r="AE15" i="10"/>
  <c r="W14" i="8" s="1" a="1"/>
  <c r="W14" i="8" s="1"/>
  <c r="W13" i="8" a="1"/>
  <c r="W13" i="8" s="1"/>
  <c r="AB88" i="10"/>
  <c r="T73" i="8" s="1" a="1"/>
  <c r="T73" i="8" s="1"/>
  <c r="T72" i="8" a="1"/>
  <c r="T72" i="8" s="1"/>
  <c r="AC75" i="10"/>
  <c r="U65" i="8" s="1" a="1"/>
  <c r="U65" i="8" s="1"/>
  <c r="U64" i="8" a="1"/>
  <c r="U64" i="8" s="1"/>
  <c r="AD67" i="8" l="1"/>
  <c r="AD68" i="8" s="1"/>
  <c r="G16" i="8"/>
  <c r="G17" i="8" s="1"/>
  <c r="Z75" i="8"/>
  <c r="Z76" i="8" s="1"/>
  <c r="Z67" i="8"/>
  <c r="Z68" i="8" s="1"/>
  <c r="AA16" i="8"/>
  <c r="AA17" i="8" s="1"/>
  <c r="Z16" i="8"/>
  <c r="Z17" i="8" s="1"/>
  <c r="AA67" i="8"/>
  <c r="AA68" i="8" s="1"/>
  <c r="AA75" i="8"/>
  <c r="AA76" i="8" s="1"/>
  <c r="Y75" i="8"/>
  <c r="Y76" i="8" s="1"/>
  <c r="O58" i="8"/>
  <c r="O59" i="8" s="1"/>
  <c r="X58" i="8"/>
  <c r="X59" i="8" s="1"/>
  <c r="M58" i="8"/>
  <c r="M59" i="8" s="1"/>
  <c r="L58" i="8"/>
  <c r="L59" i="8" s="1"/>
  <c r="Z58" i="8"/>
  <c r="Z59" i="8" s="1"/>
  <c r="J58" i="8"/>
  <c r="J59" i="8" s="1"/>
  <c r="N16" i="8"/>
  <c r="N17" i="8" s="1"/>
  <c r="AA58" i="8"/>
  <c r="AA59" i="8" s="1"/>
  <c r="U16" i="8"/>
  <c r="U17" i="8" s="1"/>
  <c r="Y58" i="8"/>
  <c r="Y59" i="8" s="1"/>
  <c r="AK66" i="10"/>
  <c r="AC56" i="8" s="1" a="1"/>
  <c r="AC56" i="8" s="1"/>
  <c r="AC55" i="8" a="1"/>
  <c r="AC55" i="8" s="1"/>
  <c r="AB55" i="8" a="1"/>
  <c r="AB55" i="8" s="1"/>
  <c r="AJ66" i="10"/>
  <c r="AB56" i="8" s="1" a="1"/>
  <c r="AB56" i="8" s="1"/>
  <c r="AC50" i="8"/>
  <c r="AC51" i="8" s="1"/>
  <c r="AB50" i="8"/>
  <c r="AB51" i="8" s="1"/>
  <c r="AD58" i="8"/>
  <c r="AD59" i="8" s="1"/>
  <c r="W16" i="8"/>
  <c r="W17" i="8" s="1"/>
  <c r="S16" i="8"/>
  <c r="S17" i="8" s="1"/>
  <c r="S75" i="8"/>
  <c r="S76" i="8" s="1"/>
  <c r="U75" i="8"/>
  <c r="U76" i="8" s="1"/>
  <c r="W67" i="8"/>
  <c r="W68" i="8" s="1"/>
  <c r="U67" i="8"/>
  <c r="U68" i="8" s="1"/>
  <c r="K16" i="8"/>
  <c r="K17" i="8" s="1"/>
  <c r="T75" i="8"/>
  <c r="T76" i="8" s="1"/>
  <c r="W75" i="8"/>
  <c r="W76" i="8" s="1"/>
  <c r="T67" i="8"/>
  <c r="AB58" i="8" l="1"/>
  <c r="AB59" i="8" s="1"/>
  <c r="G9" i="13" s="1" a="1"/>
  <c r="G9" i="13" s="1"/>
  <c r="G20" i="13" s="1"/>
  <c r="AC58" i="8"/>
  <c r="AC59" i="8" s="1"/>
  <c r="T68" i="8"/>
  <c r="AB9" i="13" l="1" a="1"/>
  <c r="AB9" i="13" s="1"/>
  <c r="AB20" i="13" s="1"/>
  <c r="AA8" i="13" a="1"/>
  <c r="AA8" i="13" s="1"/>
  <c r="AA19" i="13" s="1"/>
  <c r="AB10" i="13" a="1"/>
  <c r="AB10" i="13" s="1"/>
  <c r="AB21" i="13" s="1"/>
  <c r="AB8" i="13" a="1"/>
  <c r="AB8" i="13" s="1"/>
  <c r="AB19" i="13" s="1"/>
  <c r="AA10" i="13" a="1"/>
  <c r="AA10" i="13" s="1"/>
  <c r="AA21" i="13" s="1"/>
  <c r="AA9" i="13" a="1"/>
  <c r="AA9" i="13" s="1"/>
  <c r="AA20" i="13" s="1"/>
  <c r="E9" i="13" a="1"/>
  <c r="E9" i="13" s="1"/>
  <c r="E20" i="13" s="1"/>
  <c r="I9" i="13" a="1"/>
  <c r="I9" i="13" s="1"/>
  <c r="I20" i="13" s="1"/>
  <c r="T9" i="13" a="1"/>
  <c r="T9" i="13" s="1"/>
  <c r="T20" i="13" s="1"/>
  <c r="V9" i="13" a="1"/>
  <c r="V9" i="13" s="1"/>
  <c r="V20" i="13" s="1"/>
  <c r="S9" i="13" a="1"/>
  <c r="S9" i="13" s="1"/>
  <c r="S20" i="13" s="1"/>
  <c r="X9" i="13" a="1"/>
  <c r="X9" i="13" s="1"/>
  <c r="X20" i="13" s="1"/>
  <c r="Y9" i="13" a="1"/>
  <c r="Y9" i="13" s="1"/>
  <c r="J9" i="13" a="1"/>
  <c r="J9" i="13" s="1"/>
  <c r="J20" i="13" s="1"/>
  <c r="O9" i="13" a="1"/>
  <c r="O9" i="13" s="1"/>
  <c r="O20" i="13" s="1"/>
  <c r="Q46" i="13" a="1"/>
  <c r="Q46" i="13" s="1"/>
  <c r="Q56" i="13" s="1"/>
  <c r="P9" i="13" a="1"/>
  <c r="P9" i="13" s="1"/>
  <c r="P20" i="13" s="1"/>
  <c r="W9" i="13" a="1"/>
  <c r="W9" i="13" s="1"/>
  <c r="W20" i="13" s="1"/>
  <c r="K9" i="13" a="1"/>
  <c r="K9" i="13" s="1"/>
  <c r="K20" i="13" s="1"/>
  <c r="U9" i="13" a="1"/>
  <c r="U9" i="13" s="1"/>
  <c r="U20" i="13" s="1"/>
  <c r="H9" i="13" a="1"/>
  <c r="H9" i="13" s="1"/>
  <c r="H20" i="13" s="1"/>
  <c r="N9" i="13" a="1"/>
  <c r="N9" i="13" s="1"/>
  <c r="N20" i="13" s="1"/>
  <c r="F9" i="13" a="1"/>
  <c r="F9" i="13" s="1"/>
  <c r="F20" i="13" s="1"/>
  <c r="L9" i="13" a="1"/>
  <c r="L9" i="13" s="1"/>
  <c r="L20" i="13" s="1"/>
  <c r="M9" i="13" a="1"/>
  <c r="M9" i="13" s="1"/>
  <c r="M20" i="13" s="1"/>
  <c r="Q9" i="13" a="1"/>
  <c r="Q9" i="13" s="1"/>
  <c r="Q20" i="13" s="1"/>
  <c r="R9" i="13" a="1"/>
  <c r="R9" i="13" s="1"/>
  <c r="R20" i="13" s="1"/>
  <c r="Z9" i="13" a="1"/>
  <c r="Z9" i="13" s="1"/>
  <c r="Z20" i="13" s="1"/>
  <c r="I46" i="13" a="1"/>
  <c r="I46" i="13" s="1"/>
  <c r="I56" i="13" s="1"/>
  <c r="L8" i="13" a="1"/>
  <c r="L8" i="13" s="1"/>
  <c r="L19" i="13" s="1"/>
  <c r="P8" i="13" a="1"/>
  <c r="P8" i="13" s="1"/>
  <c r="P19" i="13" s="1"/>
  <c r="O47" i="13" a="1"/>
  <c r="O47" i="13" s="1"/>
  <c r="O57" i="13" s="1"/>
  <c r="Y8" i="13" a="1"/>
  <c r="Y8" i="13" s="1"/>
  <c r="Y19" i="13" s="1"/>
  <c r="AB46" i="13" a="1"/>
  <c r="AB46" i="13" s="1"/>
  <c r="AB56" i="13" s="1"/>
  <c r="AB28" i="13" a="1"/>
  <c r="AB28" i="13" s="1"/>
  <c r="AB38" i="13" s="1"/>
  <c r="AB47" i="13" a="1"/>
  <c r="AB47" i="13" s="1"/>
  <c r="AB57" i="13" s="1"/>
  <c r="AB80" i="13" a="1"/>
  <c r="AB80" i="13" s="1"/>
  <c r="AB89" i="13" s="1"/>
  <c r="AB29" i="13" a="1"/>
  <c r="AB29" i="13" s="1"/>
  <c r="AB39" i="13" s="1"/>
  <c r="Z8" i="13" a="1"/>
  <c r="Z8" i="13" s="1"/>
  <c r="Z19" i="13" s="1"/>
  <c r="T8" i="13" a="1"/>
  <c r="T8" i="13" s="1"/>
  <c r="T19" i="13" s="1"/>
  <c r="W10" i="13" a="1"/>
  <c r="W10" i="13" s="1"/>
  <c r="X10" i="13" a="1"/>
  <c r="X10" i="13" s="1"/>
  <c r="X21" i="13" s="1"/>
  <c r="Y10" i="13" a="1"/>
  <c r="Y10" i="13" s="1"/>
  <c r="Y21" i="13" s="1"/>
  <c r="Z10" i="13" a="1"/>
  <c r="Z10" i="13" s="1"/>
  <c r="Z21" i="13" s="1"/>
  <c r="X8" i="13" a="1"/>
  <c r="X8" i="13" s="1"/>
  <c r="X19" i="13" s="1"/>
  <c r="W8" i="13" a="1"/>
  <c r="W8" i="13" s="1"/>
  <c r="AB64" i="13" a="1"/>
  <c r="AB64" i="13" s="1"/>
  <c r="AB73" i="13" s="1"/>
  <c r="S46" i="13" a="1"/>
  <c r="S46" i="13" s="1"/>
  <c r="S56" i="13" s="1"/>
  <c r="M80" i="13" a="1"/>
  <c r="M80" i="13" s="1"/>
  <c r="M89" i="13" s="1"/>
  <c r="J28" i="13" a="1"/>
  <c r="J28" i="13" s="1"/>
  <c r="J38" i="13" s="1"/>
  <c r="G10" i="13" a="1"/>
  <c r="G10" i="13" s="1"/>
  <c r="G21" i="13" s="1"/>
  <c r="L46" i="13" a="1"/>
  <c r="L46" i="13" s="1"/>
  <c r="L56" i="13" s="1"/>
  <c r="H28" i="13" a="1"/>
  <c r="H28" i="13" s="1"/>
  <c r="H38" i="13" s="1"/>
  <c r="M46" i="13" a="1"/>
  <c r="M46" i="13" s="1"/>
  <c r="M56" i="13" s="1"/>
  <c r="V10" i="13" a="1"/>
  <c r="V10" i="13" s="1"/>
  <c r="V21" i="13" s="1"/>
  <c r="T29" i="13" a="1"/>
  <c r="T29" i="13" s="1"/>
  <c r="T39" i="13" s="1"/>
  <c r="E10" i="13" a="1"/>
  <c r="E10" i="13" s="1"/>
  <c r="E21" i="13" s="1"/>
  <c r="V28" i="13" a="1"/>
  <c r="V28" i="13" s="1"/>
  <c r="T47" i="13" a="1"/>
  <c r="T47" i="13" s="1"/>
  <c r="T57" i="13" s="1"/>
  <c r="J29" i="13" a="1"/>
  <c r="J29" i="13" s="1"/>
  <c r="J39" i="13" s="1"/>
  <c r="H47" i="13" a="1"/>
  <c r="H47" i="13" s="1"/>
  <c r="H57" i="13" s="1"/>
  <c r="V46" i="13" a="1"/>
  <c r="V46" i="13" s="1"/>
  <c r="K10" i="13" a="1"/>
  <c r="K10" i="13" s="1"/>
  <c r="K21" i="13" s="1"/>
  <c r="J47" i="13" a="1"/>
  <c r="J47" i="13" s="1"/>
  <c r="J57" i="13" s="1"/>
  <c r="H8" i="13" a="1"/>
  <c r="H8" i="13" s="1"/>
  <c r="H19" i="13" s="1"/>
  <c r="Q29" i="13" a="1"/>
  <c r="Q29" i="13" s="1"/>
  <c r="Q39" i="13" s="1"/>
  <c r="P80" i="13" a="1"/>
  <c r="P80" i="13" s="1"/>
  <c r="P89" i="13" s="1"/>
  <c r="G29" i="13" a="1"/>
  <c r="G29" i="13" s="1"/>
  <c r="G39" i="13" s="1"/>
  <c r="O29" i="13" a="1"/>
  <c r="O29" i="13" s="1"/>
  <c r="O39" i="13" s="1"/>
  <c r="Y64" i="13" a="1"/>
  <c r="Y64" i="13" s="1"/>
  <c r="Y73" i="13" s="1"/>
  <c r="O10" i="13" a="1"/>
  <c r="O10" i="13" s="1"/>
  <c r="O21" i="13" s="1"/>
  <c r="J80" i="13" a="1"/>
  <c r="J80" i="13" s="1"/>
  <c r="J89" i="13" s="1"/>
  <c r="T46" i="13" a="1"/>
  <c r="T46" i="13" s="1"/>
  <c r="T56" i="13" s="1"/>
  <c r="Y46" i="13" a="1"/>
  <c r="Y46" i="13" s="1"/>
  <c r="Y56" i="13" s="1"/>
  <c r="F80" i="13" a="1"/>
  <c r="F80" i="13" s="1"/>
  <c r="F89" i="13" s="1"/>
  <c r="W29" i="13" a="1"/>
  <c r="W29" i="13" s="1"/>
  <c r="W39" i="13" s="1"/>
  <c r="E64" i="13" a="1"/>
  <c r="E64" i="13" s="1"/>
  <c r="E73" i="13" s="1"/>
  <c r="I29" i="13" a="1"/>
  <c r="I29" i="13" s="1"/>
  <c r="I39" i="13" s="1"/>
  <c r="W46" i="13" a="1"/>
  <c r="W46" i="13" s="1"/>
  <c r="W56" i="13" s="1"/>
  <c r="S10" i="13" a="1"/>
  <c r="S10" i="13" s="1"/>
  <c r="S21" i="13" s="1"/>
  <c r="I8" i="13" a="1"/>
  <c r="I8" i="13" s="1"/>
  <c r="I19" i="13" s="1"/>
  <c r="V47" i="13" a="1"/>
  <c r="V47" i="13" s="1"/>
  <c r="R80" i="13" a="1"/>
  <c r="R80" i="13" s="1"/>
  <c r="R89" i="13" s="1"/>
  <c r="U46" i="13" a="1"/>
  <c r="U46" i="13" s="1"/>
  <c r="U56" i="13" s="1"/>
  <c r="N8" i="13" a="1"/>
  <c r="N8" i="13" s="1"/>
  <c r="N19" i="13" s="1"/>
  <c r="P64" i="13" a="1"/>
  <c r="P64" i="13" s="1"/>
  <c r="P73" i="13" s="1"/>
  <c r="R8" i="13" a="1"/>
  <c r="R8" i="13" s="1"/>
  <c r="R19" i="13" s="1"/>
  <c r="H80" i="13" a="1"/>
  <c r="H80" i="13" s="1"/>
  <c r="H89" i="13" s="1"/>
  <c r="R47" i="13" a="1"/>
  <c r="R47" i="13" s="1"/>
  <c r="R57" i="13" s="1"/>
  <c r="F46" i="13" a="1"/>
  <c r="F46" i="13" s="1"/>
  <c r="F56" i="13" s="1"/>
  <c r="G64" i="13" a="1"/>
  <c r="G64" i="13" s="1"/>
  <c r="G73" i="13" s="1"/>
  <c r="T64" i="13" a="1"/>
  <c r="T64" i="13" s="1"/>
  <c r="T73" i="13" s="1"/>
  <c r="T80" i="13" a="1"/>
  <c r="T80" i="13" s="1"/>
  <c r="T89" i="13" s="1"/>
  <c r="J64" i="13" a="1"/>
  <c r="J64" i="13" s="1"/>
  <c r="J73" i="13" s="1"/>
  <c r="H64" i="13" a="1"/>
  <c r="H64" i="13" s="1"/>
  <c r="H73" i="13" s="1"/>
  <c r="G80" i="13" a="1"/>
  <c r="G80" i="13" s="1"/>
  <c r="G89" i="13" s="1"/>
  <c r="N80" i="13" a="1"/>
  <c r="N80" i="13" s="1"/>
  <c r="N89" i="13" s="1"/>
  <c r="O80" i="13" a="1"/>
  <c r="O80" i="13" s="1"/>
  <c r="O89" i="13" s="1"/>
  <c r="M64" i="13" a="1"/>
  <c r="M64" i="13" s="1"/>
  <c r="M73" i="13" s="1"/>
  <c r="V80" i="13" a="1"/>
  <c r="V80" i="13" s="1"/>
  <c r="K80" i="13" a="1"/>
  <c r="K80" i="13" s="1"/>
  <c r="K89" i="13" s="1"/>
  <c r="S64" i="13" a="1"/>
  <c r="S64" i="13" s="1"/>
  <c r="S73" i="13" s="1"/>
  <c r="V64" i="13" a="1"/>
  <c r="V64" i="13" s="1"/>
  <c r="N64" i="13" a="1"/>
  <c r="N64" i="13" s="1"/>
  <c r="N73" i="13" s="1"/>
  <c r="W64" i="13" a="1"/>
  <c r="W64" i="13" s="1"/>
  <c r="W73" i="13" s="1"/>
  <c r="O64" i="13" a="1"/>
  <c r="O64" i="13" s="1"/>
  <c r="O73" i="13" s="1"/>
  <c r="X64" i="13" a="1"/>
  <c r="X64" i="13" s="1"/>
  <c r="X73" i="13" s="1"/>
  <c r="Q80" i="13" a="1"/>
  <c r="Q80" i="13" s="1"/>
  <c r="Q89" i="13" s="1"/>
  <c r="F64" i="13" a="1"/>
  <c r="F64" i="13" s="1"/>
  <c r="F73" i="13" s="1"/>
  <c r="AA64" i="13" a="1"/>
  <c r="AA64" i="13" s="1"/>
  <c r="AA73" i="13" s="1"/>
  <c r="U80" i="13" a="1"/>
  <c r="U80" i="13" s="1"/>
  <c r="U89" i="13" s="1"/>
  <c r="G46" i="13" a="1"/>
  <c r="G46" i="13" s="1"/>
  <c r="G56" i="13" s="1"/>
  <c r="AA80" i="13" a="1"/>
  <c r="AA80" i="13" s="1"/>
  <c r="AA89" i="13" s="1"/>
  <c r="E80" i="13" a="1"/>
  <c r="E80" i="13" s="1"/>
  <c r="E89" i="13" s="1"/>
  <c r="R64" i="13" a="1"/>
  <c r="R64" i="13" s="1"/>
  <c r="R73" i="13" s="1"/>
  <c r="Z64" i="13" a="1"/>
  <c r="Z64" i="13" s="1"/>
  <c r="Z73" i="13" s="1"/>
  <c r="I64" i="13" a="1"/>
  <c r="I64" i="13" s="1"/>
  <c r="I73" i="13" s="1"/>
  <c r="Y80" i="13" a="1"/>
  <c r="Y80" i="13" s="1"/>
  <c r="Y89" i="13" s="1"/>
  <c r="S80" i="13" a="1"/>
  <c r="S80" i="13" s="1"/>
  <c r="S89" i="13" s="1"/>
  <c r="K64" i="13" a="1"/>
  <c r="K64" i="13" s="1"/>
  <c r="K73" i="13" s="1"/>
  <c r="Z80" i="13" a="1"/>
  <c r="Z80" i="13" s="1"/>
  <c r="Z89" i="13" s="1"/>
  <c r="X80" i="13" a="1"/>
  <c r="X80" i="13" s="1"/>
  <c r="X89" i="13" s="1"/>
  <c r="U64" i="13" a="1"/>
  <c r="U64" i="13" s="1"/>
  <c r="U73" i="13" s="1"/>
  <c r="W80" i="13" a="1"/>
  <c r="W80" i="13" s="1"/>
  <c r="W89" i="13" s="1"/>
  <c r="Q64" i="13" a="1"/>
  <c r="Q64" i="13" s="1"/>
  <c r="Q73" i="13" s="1"/>
  <c r="L64" i="13" a="1"/>
  <c r="L64" i="13" s="1"/>
  <c r="L73" i="13" s="1"/>
  <c r="L80" i="13" a="1"/>
  <c r="L80" i="13" s="1"/>
  <c r="L89" i="13" s="1"/>
  <c r="I80" i="13" a="1"/>
  <c r="I80" i="13" s="1"/>
  <c r="I89" i="13" s="1"/>
  <c r="Z29" i="13" a="1"/>
  <c r="Z29" i="13" s="1"/>
  <c r="Z39" i="13" s="1"/>
  <c r="X28" i="13" a="1"/>
  <c r="X28" i="13" s="1"/>
  <c r="X38" i="13" s="1"/>
  <c r="K47" i="13" a="1"/>
  <c r="K47" i="13" s="1"/>
  <c r="K57" i="13" s="1"/>
  <c r="Y47" i="13" a="1"/>
  <c r="Y47" i="13" s="1"/>
  <c r="Y57" i="13" s="1"/>
  <c r="J8" i="13" a="1"/>
  <c r="J8" i="13" s="1"/>
  <c r="J19" i="13" s="1"/>
  <c r="L29" i="13" a="1"/>
  <c r="L29" i="13" s="1"/>
  <c r="L39" i="13" s="1"/>
  <c r="E8" i="13" a="1"/>
  <c r="E8" i="13" s="1"/>
  <c r="E19" i="13" s="1"/>
  <c r="P28" i="13" a="1"/>
  <c r="P28" i="13" s="1"/>
  <c r="P38" i="13" s="1"/>
  <c r="X47" i="13" a="1"/>
  <c r="X47" i="13" s="1"/>
  <c r="X57" i="13" s="1"/>
  <c r="F29" i="13" a="1"/>
  <c r="F29" i="13" s="1"/>
  <c r="F39" i="13" s="1"/>
  <c r="J46" i="13" a="1"/>
  <c r="J46" i="13" s="1"/>
  <c r="J56" i="13" s="1"/>
  <c r="T10" i="13" a="1"/>
  <c r="T10" i="13" s="1"/>
  <c r="T21" i="13" s="1"/>
  <c r="U10" i="13" a="1"/>
  <c r="U10" i="13" s="1"/>
  <c r="U21" i="13" s="1"/>
  <c r="U8" i="13" a="1"/>
  <c r="U8" i="13" s="1"/>
  <c r="U19" i="13" s="1"/>
  <c r="L28" i="13" a="1"/>
  <c r="L28" i="13" s="1"/>
  <c r="L38" i="13" s="1"/>
  <c r="M28" i="13" a="1"/>
  <c r="M28" i="13" s="1"/>
  <c r="M38" i="13" s="1"/>
  <c r="Q8" i="13" a="1"/>
  <c r="Q8" i="13" s="1"/>
  <c r="Q19" i="13" s="1"/>
  <c r="N46" i="13" a="1"/>
  <c r="N46" i="13" s="1"/>
  <c r="N56" i="13" s="1"/>
  <c r="P10" i="13" a="1"/>
  <c r="P10" i="13" s="1"/>
  <c r="P21" i="13" s="1"/>
  <c r="Z47" i="13" a="1"/>
  <c r="Z47" i="13" s="1"/>
  <c r="Z57" i="13" s="1"/>
  <c r="P29" i="13" a="1"/>
  <c r="P29" i="13" s="1"/>
  <c r="P39" i="13" s="1"/>
  <c r="K28" i="13" a="1"/>
  <c r="K28" i="13" s="1"/>
  <c r="K38" i="13" s="1"/>
  <c r="P46" i="13" a="1"/>
  <c r="P46" i="13" s="1"/>
  <c r="P56" i="13" s="1"/>
  <c r="Y28" i="13" a="1"/>
  <c r="Y28" i="13" s="1"/>
  <c r="Y38" i="13" s="1"/>
  <c r="L47" i="13" a="1"/>
  <c r="L47" i="13" s="1"/>
  <c r="L57" i="13" s="1"/>
  <c r="Y29" i="13" a="1"/>
  <c r="Y29" i="13" s="1"/>
  <c r="Y39" i="13" s="1"/>
  <c r="Z46" i="13" a="1"/>
  <c r="Z46" i="13" s="1"/>
  <c r="Z56" i="13" s="1"/>
  <c r="M47" i="13" a="1"/>
  <c r="M47" i="13" s="1"/>
  <c r="M57" i="13" s="1"/>
  <c r="I28" i="13" a="1"/>
  <c r="I28" i="13" s="1"/>
  <c r="I38" i="13" s="1"/>
  <c r="W28" i="13" a="1"/>
  <c r="W28" i="13" s="1"/>
  <c r="W38" i="13" s="1"/>
  <c r="F47" i="13" a="1"/>
  <c r="F47" i="13" s="1"/>
  <c r="F57" i="13" s="1"/>
  <c r="J10" i="13" a="1"/>
  <c r="J10" i="13" s="1"/>
  <c r="J21" i="13" s="1"/>
  <c r="S29" i="13" a="1"/>
  <c r="S29" i="13" s="1"/>
  <c r="S39" i="13" s="1"/>
  <c r="E47" i="13" a="1"/>
  <c r="E47" i="13" s="1"/>
  <c r="E57" i="13" s="1"/>
  <c r="O46" i="13" a="1"/>
  <c r="O46" i="13" s="1"/>
  <c r="O56" i="13" s="1"/>
  <c r="R28" i="13" a="1"/>
  <c r="R28" i="13" s="1"/>
  <c r="R38" i="13" s="1"/>
  <c r="G47" i="13" a="1"/>
  <c r="G47" i="13" s="1"/>
  <c r="G57" i="13" s="1"/>
  <c r="R29" i="13" a="1"/>
  <c r="R29" i="13" s="1"/>
  <c r="R39" i="13" s="1"/>
  <c r="T28" i="13" a="1"/>
  <c r="T28" i="13" s="1"/>
  <c r="T38" i="13" s="1"/>
  <c r="U28" i="13" a="1"/>
  <c r="U28" i="13" s="1"/>
  <c r="U38" i="13" s="1"/>
  <c r="P47" i="13" a="1"/>
  <c r="P47" i="13" s="1"/>
  <c r="P57" i="13" s="1"/>
  <c r="AA29" i="13" a="1"/>
  <c r="AA29" i="13" s="1"/>
  <c r="AA39" i="13" s="1"/>
  <c r="K29" i="13" a="1"/>
  <c r="K29" i="13" s="1"/>
  <c r="K39" i="13" s="1"/>
  <c r="R46" i="13" a="1"/>
  <c r="R46" i="13" s="1"/>
  <c r="R56" i="13" s="1"/>
  <c r="E46" i="13" a="1"/>
  <c r="E46" i="13" s="1"/>
  <c r="E56" i="13" s="1"/>
  <c r="AA47" i="13" a="1"/>
  <c r="AA47" i="13" s="1"/>
  <c r="AA57" i="13" s="1"/>
  <c r="N10" i="13" a="1"/>
  <c r="N10" i="13" s="1"/>
  <c r="N21" i="13" s="1"/>
  <c r="S8" i="13" a="1"/>
  <c r="S8" i="13" s="1"/>
  <c r="S19" i="13" s="1"/>
  <c r="N29" i="13" a="1"/>
  <c r="N29" i="13" s="1"/>
  <c r="N39" i="13" s="1"/>
  <c r="H29" i="13" a="1"/>
  <c r="H29" i="13" s="1"/>
  <c r="H39" i="13" s="1"/>
  <c r="W47" i="13" a="1"/>
  <c r="W47" i="13" s="1"/>
  <c r="W57" i="13" s="1"/>
  <c r="M8" i="13" a="1"/>
  <c r="M8" i="13" s="1"/>
  <c r="M19" i="13" s="1"/>
  <c r="F28" i="13" a="1"/>
  <c r="F28" i="13" s="1"/>
  <c r="F38" i="13" s="1"/>
  <c r="Q10" i="13" a="1"/>
  <c r="Q10" i="13" s="1"/>
  <c r="Q21" i="13" s="1"/>
  <c r="G28" i="13" a="1"/>
  <c r="G28" i="13" s="1"/>
  <c r="G38" i="13" s="1"/>
  <c r="R10" i="13" a="1"/>
  <c r="R10" i="13" s="1"/>
  <c r="R21" i="13" s="1"/>
  <c r="L10" i="13" a="1"/>
  <c r="L10" i="13" s="1"/>
  <c r="L21" i="13" s="1"/>
  <c r="X29" i="13" a="1"/>
  <c r="X29" i="13" s="1"/>
  <c r="X39" i="13" s="1"/>
  <c r="N28" i="13" a="1"/>
  <c r="N28" i="13" s="1"/>
  <c r="N38" i="13" s="1"/>
  <c r="I47" i="13" a="1"/>
  <c r="I47" i="13" s="1"/>
  <c r="I57" i="13" s="1"/>
  <c r="Q28" i="13" a="1"/>
  <c r="Q28" i="13" s="1"/>
  <c r="Q38" i="13" s="1"/>
  <c r="O8" i="13" a="1"/>
  <c r="O8" i="13" s="1"/>
  <c r="O19" i="13" s="1"/>
  <c r="M29" i="13" a="1"/>
  <c r="M29" i="13" s="1"/>
  <c r="M39" i="13" s="1"/>
  <c r="V8" i="13" a="1"/>
  <c r="V8" i="13" s="1"/>
  <c r="V19" i="13" s="1"/>
  <c r="N47" i="13" a="1"/>
  <c r="N47" i="13" s="1"/>
  <c r="N57" i="13" s="1"/>
  <c r="E28" i="13" a="1"/>
  <c r="E28" i="13" s="1"/>
  <c r="E38" i="13" s="1"/>
  <c r="O28" i="13" a="1"/>
  <c r="O28" i="13" s="1"/>
  <c r="O38" i="13" s="1"/>
  <c r="M10" i="13" a="1"/>
  <c r="M10" i="13" s="1"/>
  <c r="M21" i="13" s="1"/>
  <c r="AA28" i="13" a="1"/>
  <c r="AA28" i="13" s="1"/>
  <c r="AA38" i="13" s="1"/>
  <c r="V29" i="13" a="1"/>
  <c r="V29" i="13" s="1"/>
  <c r="U47" i="13" a="1"/>
  <c r="U47" i="13" s="1"/>
  <c r="U57" i="13" s="1"/>
  <c r="H10" i="13" a="1"/>
  <c r="H10" i="13" s="1"/>
  <c r="H21" i="13" s="1"/>
  <c r="I10" i="13" a="1"/>
  <c r="I10" i="13" s="1"/>
  <c r="I21" i="13" s="1"/>
  <c r="G8" i="13" a="1"/>
  <c r="G8" i="13" s="1"/>
  <c r="G19" i="13" s="1"/>
  <c r="X46" i="13" a="1"/>
  <c r="X46" i="13" s="1"/>
  <c r="X56" i="13" s="1"/>
  <c r="K8" i="13" a="1"/>
  <c r="K8" i="13" s="1"/>
  <c r="K19" i="13" s="1"/>
  <c r="Q47" i="13" a="1"/>
  <c r="Q47" i="13" s="1"/>
  <c r="Q57" i="13" s="1"/>
  <c r="F10" i="13" a="1"/>
  <c r="F10" i="13" s="1"/>
  <c r="F21" i="13" s="1"/>
  <c r="S47" i="13" a="1"/>
  <c r="S47" i="13" s="1"/>
  <c r="S57" i="13" s="1"/>
  <c r="F8" i="13" a="1"/>
  <c r="F8" i="13" s="1"/>
  <c r="F19" i="13" s="1"/>
  <c r="K46" i="13" a="1"/>
  <c r="K46" i="13" s="1"/>
  <c r="K56" i="13" s="1"/>
  <c r="AA46" i="13" a="1"/>
  <c r="AA46" i="13" s="1"/>
  <c r="AA56" i="13" s="1"/>
  <c r="E29" i="13" a="1"/>
  <c r="E29" i="13" s="1"/>
  <c r="E39" i="13" s="1"/>
  <c r="H46" i="13" a="1"/>
  <c r="H46" i="13" s="1"/>
  <c r="H56" i="13" s="1"/>
  <c r="S28" i="13" a="1"/>
  <c r="S28" i="13" s="1"/>
  <c r="S38" i="13" s="1"/>
  <c r="Z28" i="13" a="1"/>
  <c r="Z28" i="13" s="1"/>
  <c r="Z38" i="13" s="1"/>
  <c r="U29" i="13" a="1"/>
  <c r="U29" i="13" s="1"/>
  <c r="U39" i="13" s="1"/>
  <c r="Y20" i="13" l="1"/>
  <c r="AO9" i="13"/>
  <c r="W21" i="13"/>
  <c r="AO10" i="13"/>
  <c r="W19" i="13"/>
  <c r="AO8" i="13"/>
  <c r="V73" i="13"/>
  <c r="AO64" i="13"/>
  <c r="V89" i="13"/>
  <c r="AO80" i="13"/>
  <c r="V56" i="13"/>
  <c r="AO46" i="13"/>
  <c r="AO47" i="13"/>
  <c r="V57" i="13"/>
  <c r="AO28" i="13"/>
  <c r="V38" i="13"/>
  <c r="AO29" i="13"/>
  <c r="V3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32" authorId="0" shapeId="0" xr:uid="{B036A888-0A06-4495-8C6E-1EC82C3C4E1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32" authorId="0" shapeId="0" xr:uid="{3E0D4EBA-79AE-433E-9C98-64EE9FCC3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32" authorId="0" shapeId="0" xr:uid="{8E2D3F52-9A43-4721-A940-742B79FF58E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27" authorId="0" shapeId="0" xr:uid="{007B5EE9-7A45-4BCD-8026-DDC50B2FE99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27" authorId="0" shapeId="0" xr:uid="{1EAF65D7-B621-4AC7-B8FE-B577758AA98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27" authorId="0" shapeId="0" xr:uid="{F7833159-4F0E-4679-9335-833874F7D6E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G12" authorId="0" shapeId="0" xr:uid="{873A1ECB-3253-4504-B91B-D111776ADF4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H12" authorId="0" shapeId="0" xr:uid="{2DA8B503-8151-4684-8D2F-AC37CD60EE3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I12" authorId="0" shapeId="0" xr:uid="{8D360E19-1733-4B15-A81B-16F583A97AD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J12" authorId="0" shapeId="0" xr:uid="{CA5E506D-37A5-49C9-9C19-2683F6277DC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K12" authorId="0" shapeId="0" xr:uid="{FD72B08D-920D-441D-90A4-026097488EC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L12" authorId="0" shapeId="0" xr:uid="{2BF65905-D76A-4568-A339-9F357CED94F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M12" authorId="0" shapeId="0" xr:uid="{FF9861D4-6438-453B-AA02-6752F1A3F17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N12" authorId="0" shapeId="0" xr:uid="{9DB342F0-BB37-48A8-8B71-CD8B8CC64C3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O12" authorId="0" shapeId="0" xr:uid="{BC9EA327-BFF7-48B4-8685-1492ADC2B9B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P12" authorId="0" shapeId="0" xr:uid="{FFBEE4E4-255E-4DFB-8CA5-122D21850188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<sst xmlns="http://schemas.openxmlformats.org/spreadsheetml/2006/main" count="1679" uniqueCount="466">
  <si>
    <t>STT</t>
  </si>
  <si>
    <t>KHÁCH HÀNG/SẢN PHẨM</t>
  </si>
  <si>
    <t>1</t>
  </si>
  <si>
    <t>NIAGARA</t>
  </si>
  <si>
    <t>WSS01G</t>
  </si>
  <si>
    <t>1.1</t>
  </si>
  <si>
    <t>Giá bán - FOB</t>
  </si>
  <si>
    <t>1.2</t>
  </si>
  <si>
    <t>Giá bán quy đổi EXW</t>
  </si>
  <si>
    <t>PETVirgin</t>
  </si>
  <si>
    <t>1.3</t>
  </si>
  <si>
    <t>Giá chính phẩm</t>
  </si>
  <si>
    <t>1.4</t>
  </si>
  <si>
    <t>1.5</t>
  </si>
  <si>
    <t>% +/-</t>
  </si>
  <si>
    <t>110000354</t>
  </si>
  <si>
    <t>1.6</t>
  </si>
  <si>
    <t>Giá duyệt</t>
  </si>
  <si>
    <t>UNILEVER VIET NAM</t>
  </si>
  <si>
    <t>Giá bán - DDP</t>
  </si>
  <si>
    <t>PCF01</t>
  </si>
  <si>
    <t>HDPEVirgin</t>
  </si>
  <si>
    <t>110000481</t>
  </si>
  <si>
    <t>MBF01</t>
  </si>
  <si>
    <t>110000339</t>
  </si>
  <si>
    <t>3</t>
  </si>
  <si>
    <t>SUNTORY VIET NAM</t>
  </si>
  <si>
    <t>iSS1084G</t>
  </si>
  <si>
    <t>Giá bán-DDP</t>
  </si>
  <si>
    <t>110000332</t>
  </si>
  <si>
    <t>iSS01G</t>
  </si>
  <si>
    <t>110000355</t>
  </si>
  <si>
    <t>LAVIE VIET NAM</t>
  </si>
  <si>
    <t>WSS01</t>
  </si>
  <si>
    <t>Giá bán-EXW</t>
  </si>
  <si>
    <t>110000329</t>
  </si>
  <si>
    <t>COCA VIET NAM</t>
  </si>
  <si>
    <t>NESTLE VIET NAM</t>
  </si>
  <si>
    <t>ĐƠN GIÁ (USD/tấn)</t>
  </si>
  <si>
    <t>KHÁCH HÀNG/NỘI DUNG</t>
  </si>
  <si>
    <t>105194</t>
  </si>
  <si>
    <t>[+]</t>
  </si>
  <si>
    <t>CP vận chuyển-Miền Bắc</t>
  </si>
  <si>
    <t>Incoterms</t>
  </si>
  <si>
    <t>04</t>
  </si>
  <si>
    <t>Công thức</t>
  </si>
  <si>
    <t>Tần suất tính</t>
  </si>
  <si>
    <t>Giá trần</t>
  </si>
  <si>
    <t>Giá sàn</t>
  </si>
  <si>
    <t>102990</t>
  </si>
  <si>
    <t>Chi phí vận chuyển</t>
  </si>
  <si>
    <t>Rebate</t>
  </si>
  <si>
    <t>200319</t>
  </si>
  <si>
    <t>Chiết khấu</t>
  </si>
  <si>
    <t>%Chiết khấu</t>
  </si>
  <si>
    <t>Bales DTR</t>
  </si>
  <si>
    <t>Hao hụt</t>
  </si>
  <si>
    <t>Conversion cost</t>
  </si>
  <si>
    <t>Lợi nhuận trước thuế (EBT)</t>
  </si>
  <si>
    <t>Interest (lãi vay)</t>
  </si>
  <si>
    <t>Exchange rate</t>
  </si>
  <si>
    <t>%Hao hụt</t>
  </si>
  <si>
    <t>104909</t>
  </si>
  <si>
    <t>105217</t>
  </si>
  <si>
    <t>105263</t>
  </si>
  <si>
    <t>RHDPETHOI-MAU</t>
  </si>
  <si>
    <t>KHOẢN MỤC</t>
  </si>
  <si>
    <t>Đvt</t>
  </si>
  <si>
    <t>01</t>
  </si>
  <si>
    <t>ICIS Bales Thailand</t>
  </si>
  <si>
    <t>USD/ton</t>
  </si>
  <si>
    <t>02</t>
  </si>
  <si>
    <t>ICIS Bales Malaysia</t>
  </si>
  <si>
    <t>03</t>
  </si>
  <si>
    <t>ICIS Bales Indonesia</t>
  </si>
  <si>
    <t>ICIS Bales - SEA</t>
  </si>
  <si>
    <t>05</t>
  </si>
  <si>
    <t>ICIS Pellet USA - Bờ Đông</t>
  </si>
  <si>
    <t>06</t>
  </si>
  <si>
    <t>ICIS Pellet USA - Bờ Tây</t>
  </si>
  <si>
    <t>07</t>
  </si>
  <si>
    <t>VND/kg</t>
  </si>
  <si>
    <t>08</t>
  </si>
  <si>
    <t>EXR</t>
  </si>
  <si>
    <t>Tỷ giá</t>
  </si>
  <si>
    <t>VND</t>
  </si>
  <si>
    <t>EXR-SELL</t>
  </si>
  <si>
    <t>EXR-BUY</t>
  </si>
  <si>
    <t>GIÁ EXW CHUNG</t>
  </si>
  <si>
    <t>Hạt nhựa rPET iSS01084G</t>
  </si>
  <si>
    <t>110000330</t>
  </si>
  <si>
    <t>Hạt nhựa rPET iSS01</t>
  </si>
  <si>
    <t>Hạt nhựa rPET iSS01G 1</t>
  </si>
  <si>
    <t>110000378</t>
  </si>
  <si>
    <t>Hạt nhựa rPET iSS01G 2</t>
  </si>
  <si>
    <t>Hạt nhựa rPET WSS01G 1</t>
  </si>
  <si>
    <t>110000377</t>
  </si>
  <si>
    <t>Hạt nhựa rPET WSS01G 2</t>
  </si>
  <si>
    <t>Hạt nhựa rPET WSS01</t>
  </si>
  <si>
    <t>110000331</t>
  </si>
  <si>
    <t>Hạt nhựa rPET WSS02</t>
  </si>
  <si>
    <t>110000358</t>
  </si>
  <si>
    <t>Hạt nhựa rPET WSS02G</t>
  </si>
  <si>
    <t>110000333</t>
  </si>
  <si>
    <t>Hạt nhựa rPET WSS03</t>
  </si>
  <si>
    <t>110000359</t>
  </si>
  <si>
    <t>Hạt nhựa rPET WSS03G</t>
  </si>
  <si>
    <t>110000376</t>
  </si>
  <si>
    <t>Hạt nhựa rPET iSS01L</t>
  </si>
  <si>
    <t>110000387</t>
  </si>
  <si>
    <t>Hạt nhựa rPET WSS03SD</t>
  </si>
  <si>
    <t>110000381</t>
  </si>
  <si>
    <t>Hạt nhựa rPET WSS04SD</t>
  </si>
  <si>
    <t>110000382</t>
  </si>
  <si>
    <t>Hạt nhựa rPET WSS04SB</t>
  </si>
  <si>
    <t>110000488</t>
  </si>
  <si>
    <t>Hạt Nhựa rPET iSS01084G PL</t>
  </si>
  <si>
    <t>110000486</t>
  </si>
  <si>
    <t>Hạt Nhựa rPET iSS01G 1 PL</t>
  </si>
  <si>
    <t>110000484</t>
  </si>
  <si>
    <t>Hạt Nhựa rPET WSS01G 1 PL</t>
  </si>
  <si>
    <t>110000493</t>
  </si>
  <si>
    <t>Hạt Nhựa rPET WSS01 PL</t>
  </si>
  <si>
    <t>Hạt rPET WSS02 PL</t>
  </si>
  <si>
    <t>Hạt nhựa rPET WSS02G PL</t>
  </si>
  <si>
    <t>Hạt rPET WSS03 PL</t>
  </si>
  <si>
    <t>110000492</t>
  </si>
  <si>
    <t>Hạt Nhựa rPET WSS03G PL</t>
  </si>
  <si>
    <t>Hạt Nhựa rHDPE PCF01</t>
  </si>
  <si>
    <t>Hạt Nhựa rHDPE MBF01</t>
  </si>
  <si>
    <t>Hạt nhựa rHDPE màu</t>
  </si>
  <si>
    <t>KHÁC</t>
  </si>
  <si>
    <t>VC01</t>
  </si>
  <si>
    <t>Kéo cont từ DTR đến cảng HCM</t>
  </si>
  <si>
    <t>Giá chính phẩm PET</t>
  </si>
  <si>
    <t>Giá chính phẩm HDPE</t>
  </si>
  <si>
    <t>PPVirgin</t>
  </si>
  <si>
    <t>Giá chính phẩm PP</t>
  </si>
  <si>
    <t>KHÔNG PHẢI TABLE</t>
  </si>
  <si>
    <t>(chưa làm)</t>
  </si>
  <si>
    <t>Check trùng</t>
  </si>
  <si>
    <t>Mã khách hàng</t>
  </si>
  <si>
    <t>Tên khách hàng</t>
  </si>
  <si>
    <t>Mã hàng</t>
  </si>
  <si>
    <t>Tên hàng</t>
  </si>
  <si>
    <t>Bắt đầu</t>
  </si>
  <si>
    <t>Kết thúc</t>
  </si>
  <si>
    <t>Cách tính</t>
  </si>
  <si>
    <t>Payment Term</t>
  </si>
  <si>
    <t>Year-Start</t>
  </si>
  <si>
    <t>Month-Start</t>
  </si>
  <si>
    <t>Mã khách | Mã hàng</t>
  </si>
  <si>
    <t>Mã khách | Mã hàng | Count</t>
  </si>
  <si>
    <t>Check</t>
  </si>
  <si>
    <t>Niagara Bottling, LLC</t>
  </si>
  <si>
    <t>Giá ICIS rPET ĐNA trung bình 3 tháng trước đó với chiết khấu 10%. Giá trần $1,600; giá sàn $1,200</t>
  </si>
  <si>
    <t>FOB</t>
  </si>
  <si>
    <t>Tháng</t>
  </si>
  <si>
    <t>200350</t>
  </si>
  <si>
    <t>Niagara Mexico</t>
  </si>
  <si>
    <t>Công ty TNHH La Vie</t>
  </si>
  <si>
    <t>Giá cố định</t>
  </si>
  <si>
    <t>EXW</t>
  </si>
  <si>
    <t>Lần</t>
  </si>
  <si>
    <t>Suntory Việt Nam</t>
  </si>
  <si>
    <t>Giá ICIS rPET ĐNA trung bình từ ngày 16 tháng (X-2) đến ngày 15 tháng (X-1) +Premium ( Chi phí tăng IV ) - REBATE + Cp vận chuyển</t>
  </si>
  <si>
    <t>DDP</t>
  </si>
  <si>
    <t>Unilever Duy Tân</t>
  </si>
  <si>
    <t>Giá Bales DTR +% Hao Hụt + Conversion cost</t>
  </si>
  <si>
    <t>Quý</t>
  </si>
  <si>
    <t>Năm</t>
  </si>
  <si>
    <t>Giá Bales DTR Mua +% Hao Hụt + Conversion cost</t>
  </si>
  <si>
    <t>Giá MBF01 trừ $50</t>
  </si>
  <si>
    <t>Giá ICIS rPET ĐNA trung bình từ ngày 16 tháng (X-2) đến ngày 15 tháng (X-1) +Premium ( Chi phí tăng IV ) - REBATE + Cp vận chuyển. Giá trần $1,550; giá sàn $1,330</t>
  </si>
  <si>
    <t>105222</t>
  </si>
  <si>
    <t>CN Cty Coca - Hà Nội</t>
  </si>
  <si>
    <t>Coca-Cola Thủ Đức</t>
  </si>
  <si>
    <t>Giá cố định (đã thanh toán 100% trong năm 2024)</t>
  </si>
  <si>
    <t>H1.25</t>
  </si>
  <si>
    <t xml:space="preserve">Nestle Việt Nam </t>
  </si>
  <si>
    <t>Năm 2024</t>
  </si>
  <si>
    <t>Năm 2025</t>
  </si>
  <si>
    <t>Từ</t>
  </si>
  <si>
    <t>Đến dưới</t>
  </si>
  <si>
    <t>Sản phẩm áp dụng:</t>
  </si>
  <si>
    <t xml:space="preserve">iSS01084G, iSS01G  </t>
  </si>
  <si>
    <t>Khoảng 1</t>
  </si>
  <si>
    <t>/tấn</t>
  </si>
  <si>
    <t>giá trị</t>
  </si>
  <si>
    <t>Khoảng 2</t>
  </si>
  <si>
    <t>Khoảng 3</t>
  </si>
  <si>
    <t>Khoảng 4</t>
  </si>
  <si>
    <t>Khoảng 5</t>
  </si>
  <si>
    <t>N/A</t>
  </si>
  <si>
    <t>Khoảng 6</t>
  </si>
  <si>
    <t>Sản lượng đạt:</t>
  </si>
  <si>
    <t>tấn</t>
  </si>
  <si>
    <t>Chiết khấu đạt:</t>
  </si>
  <si>
    <t>(ko đạt)</t>
  </si>
  <si>
    <t>Chiết khấu chốt:</t>
  </si>
  <si>
    <t>(nếu có thay đổi)</t>
  </si>
  <si>
    <t>1.1.1</t>
  </si>
  <si>
    <t>1.1.2</t>
  </si>
  <si>
    <t>Giá duyệt tháng</t>
  </si>
  <si>
    <t>ICIS Bales - SEA trung bình 3 tháng gần nhất</t>
  </si>
  <si>
    <t>Chiết khấu 10%</t>
  </si>
  <si>
    <t>GIÁ BÁN WSS01G (FOB)</t>
  </si>
  <si>
    <t>UNILEVER VIỆT NAM</t>
  </si>
  <si>
    <t>GIÁ BÁN WSS01G (DDP)</t>
  </si>
  <si>
    <t>GIÁ BÁN MBF01 (DDP)</t>
  </si>
  <si>
    <t>2.1.1</t>
  </si>
  <si>
    <t>2.1.2</t>
  </si>
  <si>
    <t>2.1.3</t>
  </si>
  <si>
    <t>2.1.4</t>
  </si>
  <si>
    <t>2.1.5</t>
  </si>
  <si>
    <t>2.1.6</t>
  </si>
  <si>
    <t>2.1.7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</si>
  <si>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</si>
  <si>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</si>
  <si>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</si>
  <si>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</si>
  <si>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</si>
  <si>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</si>
  <si>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</si>
  <si>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</si>
  <si>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</si>
  <si>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</si>
  <si>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</si>
  <si>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</si>
  <si>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</si>
  <si>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</si>
  <si>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</si>
  <si>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</si>
  <si>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</si>
  <si>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</si>
  <si>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</si>
  <si>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</si>
  <si>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</si>
  <si>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</si>
  <si>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</si>
  <si>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</si>
  <si>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</si>
  <si>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</si>
  <si>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</si>
  <si>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</si>
  <si>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GIÁ BÁN PCF01 (DDP)</t>
  </si>
  <si>
    <t>Giá bán MBF01</t>
  </si>
  <si>
    <t>2.3.1</t>
  </si>
  <si>
    <t>2.3.2</t>
  </si>
  <si>
    <t>2.3.3</t>
  </si>
  <si>
    <t>2.3.4</t>
  </si>
  <si>
    <t>2.3.5</t>
  </si>
  <si>
    <t>GIÁ BÁN rHDPE thổi màu (DDP)</t>
  </si>
  <si>
    <t>Giá PCF01 trừ $50</t>
  </si>
  <si>
    <t>Giá PCF01/MBF01</t>
  </si>
  <si>
    <t>2.4.1</t>
  </si>
  <si>
    <t>2.4.2</t>
  </si>
  <si>
    <t>2.4.3</t>
  </si>
  <si>
    <t>2.4.4</t>
  </si>
  <si>
    <t>2.4.5</t>
  </si>
  <si>
    <t>2.4.6</t>
  </si>
  <si>
    <t>GIÁ BÁN iSS1084G (DDP)</t>
  </si>
  <si>
    <t>1.1.12</t>
  </si>
  <si>
    <t>2.1.14</t>
  </si>
  <si>
    <t>2.3.6</t>
  </si>
  <si>
    <t>2.2.14</t>
  </si>
  <si>
    <t>2.4.7</t>
  </si>
  <si>
    <t>ICIS Bales - SEA trung bình 2 tháng gần nhất</t>
  </si>
  <si>
    <t>Premium (2025: $20; 2024: $50)</t>
  </si>
  <si>
    <t>Premium (2025: $20; 2024: $30)</t>
  </si>
  <si>
    <t>GIÁ BÁN iSS01G (DDP)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</si>
  <si>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</si>
  <si>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</si>
  <si>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</si>
  <si>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</si>
  <si>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</si>
  <si>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</si>
  <si>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</si>
  <si>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</si>
  <si>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</si>
  <si>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</si>
  <si>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</si>
  <si>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</si>
  <si>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</si>
  <si>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</si>
  <si>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</si>
  <si>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</si>
  <si>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</si>
  <si>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</si>
  <si>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</si>
  <si>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</si>
  <si>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</si>
  <si>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</si>
  <si>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</si>
  <si>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</si>
  <si>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LA VIE VIỆT NAM</t>
  </si>
  <si>
    <t>GIÁ BÁN WSS01 (DDP)</t>
  </si>
  <si>
    <t>GIÁ BÁN WSS01 (EXW)</t>
  </si>
  <si>
    <t>COCA VIỆT NAM</t>
  </si>
  <si>
    <t>5.1.1</t>
  </si>
  <si>
    <t>5.1.2</t>
  </si>
  <si>
    <t>5.1.3</t>
  </si>
  <si>
    <t>5.1.4</t>
  </si>
  <si>
    <t>5.1.5</t>
  </si>
  <si>
    <t>5.1.6</t>
  </si>
  <si>
    <t>5.1.7</t>
  </si>
  <si>
    <t>4.1.1</t>
  </si>
  <si>
    <t>4.1.2</t>
  </si>
  <si>
    <t>4.1.3</t>
  </si>
  <si>
    <t>4.1.4</t>
  </si>
  <si>
    <t>4.1.5</t>
  </si>
  <si>
    <t>NESTLE VIỆT NAM</t>
  </si>
  <si>
    <t>6.1.1</t>
  </si>
  <si>
    <t>6.1.2</t>
  </si>
  <si>
    <t>6.1.3</t>
  </si>
  <si>
    <t>6.1.4</t>
  </si>
  <si>
    <t>6.1.5</t>
  </si>
  <si>
    <t>6.1.6</t>
  </si>
  <si>
    <t>Khách</t>
  </si>
  <si>
    <t>SKU</t>
  </si>
  <si>
    <t>Code</t>
  </si>
  <si>
    <t>Link</t>
  </si>
  <si>
    <t>GB</t>
  </si>
  <si>
    <t>Rebate (2025: sản lượng dự tính 6000-7000 tấn ~ 5% giá trị)</t>
  </si>
  <si>
    <t>SUNTORY VIỆT NAM</t>
  </si>
  <si>
    <t>1.1.A</t>
  </si>
  <si>
    <t>1.1.B</t>
  </si>
  <si>
    <t>3.1.A</t>
  </si>
  <si>
    <t>3.2.B</t>
  </si>
  <si>
    <t>3.2.C</t>
  </si>
  <si>
    <t>3.1.B</t>
  </si>
  <si>
    <t>3.1.C</t>
  </si>
  <si>
    <t>3.1.D</t>
  </si>
  <si>
    <t>3.2.A</t>
  </si>
  <si>
    <t>3.2.D</t>
  </si>
  <si>
    <t>CHI TIẾT GIÁ CÔNG THỨC THEO KHÁCH HÀNG</t>
  </si>
  <si>
    <t>Chiết khấu (10%)</t>
  </si>
  <si>
    <t>Hao hụt (30%)</t>
  </si>
  <si>
    <t>Hao hụt (21.27%)</t>
  </si>
  <si>
    <t>ICIS Bales - SEA trung bình 3 tháng trước</t>
  </si>
  <si>
    <t>Rebate (2025: 6000-7000 tấn ~ 5% giá trị)</t>
  </si>
  <si>
    <t>ICIS Bales - SEA trung bình 2 tháng trước</t>
  </si>
  <si>
    <t>I. GIÁ CÔNG THỨC THEO KHÁCH HÀNG</t>
  </si>
  <si>
    <t>MA TRẬN KHÁCH HÀNG</t>
  </si>
  <si>
    <t>I.</t>
  </si>
  <si>
    <t>TỔNG QUAN GIÁ CÔNG THỨC THEO KHÁCH HÀNG</t>
  </si>
  <si>
    <t>II.</t>
  </si>
  <si>
    <t>II. CHI TIẾT GIÁ CÔNG THỨC THEO KHÁCH HÀNG</t>
  </si>
  <si>
    <t>Giá cố định (KD đề xuất)</t>
  </si>
  <si>
    <t>Bằng giá MBF01 (KD đề xuất)</t>
  </si>
  <si>
    <t>Chi phí vận chuyển - Miền Nam</t>
  </si>
  <si>
    <t>Rebate (2025: 3% giá EXW)</t>
  </si>
  <si>
    <t>110000499</t>
  </si>
  <si>
    <t>Hạt Nhựa rPET WSS01L</t>
  </si>
  <si>
    <t>Niagara</t>
  </si>
  <si>
    <t>Unilever</t>
  </si>
  <si>
    <t>Tỷ giá bán USD-trung bình (VCB)</t>
  </si>
  <si>
    <t>Tỷ giá mua USD-trung bình (VCB)</t>
  </si>
  <si>
    <t>Genearal Data</t>
  </si>
  <si>
    <t>Price</t>
  </si>
  <si>
    <t>OUTEIRINHO</t>
  </si>
  <si>
    <t>GIÁ BÁN iSS01G (FOB)</t>
  </si>
  <si>
    <t>200332</t>
  </si>
  <si>
    <t>3.1.E</t>
  </si>
  <si>
    <t>3.1.F</t>
  </si>
  <si>
    <t>3.1.G</t>
  </si>
  <si>
    <t>3.2.E</t>
  </si>
  <si>
    <t>3.2.F</t>
  </si>
  <si>
    <t>3.2.G</t>
  </si>
  <si>
    <t>3.3.A</t>
  </si>
  <si>
    <t>3.3.1</t>
  </si>
  <si>
    <t>3.3.2</t>
  </si>
  <si>
    <t>3.4.A</t>
  </si>
  <si>
    <t>3.4.B</t>
  </si>
  <si>
    <t>3.4.1</t>
  </si>
  <si>
    <t>3.4.2</t>
  </si>
  <si>
    <t>4.1.A</t>
  </si>
  <si>
    <t>4.1.B</t>
  </si>
  <si>
    <t>4.1.C</t>
  </si>
  <si>
    <t>4.1.D</t>
  </si>
  <si>
    <t>4.2.A</t>
  </si>
  <si>
    <t>4.2.B</t>
  </si>
  <si>
    <t>4.2.C</t>
  </si>
  <si>
    <t>4.2.D</t>
  </si>
  <si>
    <t>4.2.1</t>
  </si>
  <si>
    <t>4.2.2</t>
  </si>
  <si>
    <t>4.2.3</t>
  </si>
  <si>
    <t>4.2.4</t>
  </si>
  <si>
    <t>7.1.1</t>
  </si>
  <si>
    <t>7.1.2</t>
  </si>
  <si>
    <t>7.1.3</t>
  </si>
  <si>
    <t>Giá bán-FOB</t>
  </si>
  <si>
    <t>4</t>
  </si>
  <si>
    <t>BIỂU ĐỒ</t>
  </si>
  <si>
    <t>%Chênh lệch</t>
  </si>
  <si>
    <t>Chênh lệch-Area</t>
  </si>
  <si>
    <t>#54C1DE</t>
  </si>
  <si>
    <t>Suntory</t>
  </si>
  <si>
    <t>#F37736</t>
  </si>
  <si>
    <t>#0F0E9A</t>
  </si>
  <si>
    <t>Outeirinho</t>
  </si>
  <si>
    <t>#007DC4</t>
  </si>
  <si>
    <t>Coca</t>
  </si>
  <si>
    <t>#F40000</t>
  </si>
  <si>
    <t>màu đỏ nhiều quá nên chuyển sang màu khác</t>
  </si>
  <si>
    <t>#F3D3DC</t>
  </si>
  <si>
    <t>Giá cố định: $1250 với sản lượng cam kết 10 ngàn tấn; nếu như sản lượng đạt 16 ngàn tấn thì giá $1230</t>
  </si>
  <si>
    <t>III.</t>
  </si>
  <si>
    <t>III. BIỂU ĐỒ</t>
  </si>
  <si>
    <t xml:space="preserve"> </t>
  </si>
  <si>
    <t>Niagara-Label</t>
  </si>
  <si>
    <t>Unilever-Label</t>
  </si>
  <si>
    <t>Giá duyệt-Label</t>
  </si>
  <si>
    <t>Giá chính phẩm-Label</t>
  </si>
  <si>
    <t>x</t>
  </si>
  <si>
    <t>X dòng này làm lable -&gt;</t>
  </si>
  <si>
    <t>Chênh lệch</t>
  </si>
  <si>
    <t>Giá duyệt-Area</t>
  </si>
  <si>
    <t>Giá chính phẩm-Area</t>
  </si>
  <si>
    <t>Chênh lệch-Line Drop</t>
  </si>
  <si>
    <t>Chênh lệch-Label</t>
  </si>
  <si>
    <t>UNILERVER</t>
  </si>
  <si>
    <t>SUNTORY VN</t>
  </si>
  <si>
    <t>Outeirinho-Label</t>
  </si>
  <si>
    <t>Suntory VN-Label</t>
  </si>
  <si>
    <t>Coca VN-Label</t>
  </si>
  <si>
    <t>COCA VN</t>
  </si>
  <si>
    <t>UNILEVER</t>
  </si>
  <si>
    <t>GIÁ BÁN rHDPE thổi màu-khử mùi (DDP)</t>
  </si>
  <si>
    <t>rHDPE thổi màu - khử mùi</t>
  </si>
  <si>
    <t>Chênh lệch giữa R sv Virgin</t>
  </si>
  <si>
    <t>Giá trần - quy đổi EXW</t>
  </si>
  <si>
    <t>Giá sàn - quy đổi EXW</t>
  </si>
  <si>
    <t>Bales B1 ĐNA - VND</t>
  </si>
  <si>
    <t>Bales B1 ĐNA - USD</t>
  </si>
  <si>
    <t>Hạt nhựa rHDPE màu (khử mùi)</t>
  </si>
  <si>
    <t>Giá cố định (VND34,382,040/tấn ~ tỷ giá deal lúc ký hợp đồng là 26,370)</t>
  </si>
  <si>
    <t>110000506</t>
  </si>
  <si>
    <t>Hạt Nhựa rPET WSS01 &amp; WSS01G-L</t>
  </si>
  <si>
    <t>Giá cố định (VND36,726,270/tấn ~ tỷ giá deal lúc ký hợp đồng là 26,370)-Tỷ lệ phối trộn 50:50 (hoặc theo tỷ lệ khác theo yêu cầu)</t>
  </si>
  <si>
    <t>Hạt Nhựa rPET WSS01G-L</t>
  </si>
  <si>
    <t>Giá cố định (VND37,507,680/tấn ~ tỷ giá deal lúc ký hợp đồng là 26,370)</t>
  </si>
  <si>
    <t>Lavie</t>
  </si>
  <si>
    <t>Laive-Label</t>
  </si>
  <si>
    <t>LAVIE</t>
  </si>
  <si>
    <t>#D42216</t>
  </si>
  <si>
    <t>#999900</t>
  </si>
  <si>
    <t>Giá thực tế</t>
  </si>
  <si>
    <t>Giá kế hoạch</t>
  </si>
  <si>
    <t>MỤC</t>
  </si>
  <si>
    <t>+/- TT vs Chính phẩm</t>
  </si>
  <si>
    <t>Line-Label +/- TT vs Chính phẩm</t>
  </si>
  <si>
    <t>%</t>
  </si>
  <si>
    <t>#7030A0</t>
  </si>
  <si>
    <t>Stt</t>
  </si>
  <si>
    <t>Mã SAP</t>
  </si>
  <si>
    <t>Tên hàng hóa SAP</t>
  </si>
  <si>
    <t>Diễn giải</t>
  </si>
  <si>
    <t>T1.25</t>
  </si>
  <si>
    <t>Hạt rPET WSS01</t>
  </si>
  <si>
    <t>ICIS</t>
  </si>
  <si>
    <t>RESIN</t>
  </si>
  <si>
    <t>TTCP</t>
  </si>
  <si>
    <t>CL</t>
  </si>
  <si>
    <t>Giá bán Unilever</t>
  </si>
  <si>
    <t>Giá bán Suntory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</si>
</sst>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_);\(&quot;$&quot;#,##0\);;"/>
    <numFmt numFmtId="166" formatCode="0.0%"/>
    <numFmt numFmtId="167" formatCode="[$$-409]#,##0_);\([$$-409]#,##0\);;"/>
    <numFmt numFmtId="168" formatCode="0.0%;;;"/>
    <numFmt numFmtId="169" formatCode="&quot;$&quot;#,##0"/>
    <numFmt numFmtId="170" formatCode="&quot;$&quot;#,##0.00_);\(&quot;$&quot;#,##0.00\);"/>
    <numFmt numFmtId="171" formatCode="\+0.0%;\-0.0%;;"/>
    <numFmt numFmtId="172" formatCode="_(* #,##0_);_(* \(#,##0\);;_(@_)"/>
  </numFmts>
  <fonts count="84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5"/>
      <color theme="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2"/>
      <name val="Aptos Display"/>
      <family val="2"/>
      <scheme val="major"/>
    </font>
    <font>
      <i/>
      <sz val="9"/>
      <color theme="2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i/>
      <sz val="11"/>
      <color rgb="FFFF33CC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9"/>
      <color theme="2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2"/>
      <name val="Aptos Display"/>
      <family val="2"/>
      <scheme val="major"/>
    </font>
    <font>
      <b/>
      <sz val="9"/>
      <color theme="3"/>
      <name val="Aptos Display"/>
      <family val="2"/>
      <scheme val="major"/>
    </font>
    <font>
      <i/>
      <sz val="9"/>
      <color rgb="FFFF33C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theme="7" tint="0.39997558519241921"/>
      <name val="Aptos Display"/>
      <family val="2"/>
      <scheme val="major"/>
    </font>
    <font>
      <u/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 tint="-0.249977111117893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i/>
      <sz val="11"/>
      <color theme="3" tint="0.39997558519241921"/>
      <name val="Aptos Display"/>
      <family val="2"/>
      <scheme val="major"/>
    </font>
    <font>
      <b/>
      <i/>
      <sz val="11"/>
      <color theme="3" tint="0.39997558519241921"/>
      <name val="Aptos Display"/>
      <family val="2"/>
      <scheme val="major"/>
    </font>
    <font>
      <b/>
      <sz val="13"/>
      <color rgb="FF0000FF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sz val="9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9"/>
      <color rgb="FFDC8198"/>
      <name val="Aptos Display"/>
      <family val="2"/>
      <scheme val="major"/>
    </font>
    <font>
      <sz val="11"/>
      <color rgb="FFDC8198"/>
      <name val="Aptos Display"/>
      <family val="2"/>
      <scheme val="major"/>
    </font>
    <font>
      <sz val="9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17"/>
      <color rgb="FF0000FF"/>
      <name val="Aptos Display"/>
      <family val="2"/>
      <scheme val="major"/>
    </font>
    <font>
      <sz val="17"/>
      <color theme="2"/>
      <name val="Aptos Display"/>
      <family val="2"/>
      <scheme val="major"/>
    </font>
    <font>
      <b/>
      <sz val="17"/>
      <color rgb="FF0000FF"/>
      <name val="Aptos Display"/>
      <family val="2"/>
      <scheme val="major"/>
    </font>
    <font>
      <sz val="11"/>
      <color theme="1"/>
      <name val="Wingdings 3"/>
      <family val="1"/>
      <charset val="2"/>
    </font>
    <font>
      <b/>
      <sz val="13"/>
      <color theme="3"/>
      <name val="Aptos Display"/>
      <family val="2"/>
      <scheme val="major"/>
    </font>
    <font>
      <sz val="9"/>
      <color theme="9" tint="-0.249977111117893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u/>
      <sz val="11"/>
      <color theme="9" tint="-0.249977111117893"/>
      <name val="Aptos Display"/>
      <family val="2"/>
      <scheme val="major"/>
    </font>
    <font>
      <b/>
      <sz val="22"/>
      <color theme="0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b/>
      <sz val="22"/>
      <color rgb="FF119303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i/>
      <sz val="11"/>
      <color theme="0" tint="-0.499984740745262"/>
      <name val="Aptos Display"/>
      <family val="2"/>
      <scheme val="major"/>
    </font>
    <font>
      <b/>
      <sz val="15"/>
      <color theme="5"/>
      <name val="Aptos Display"/>
      <family val="2"/>
      <scheme val="major"/>
    </font>
    <font>
      <b/>
      <sz val="22"/>
      <color theme="5"/>
      <name val="Aptos Display"/>
      <family val="2"/>
      <scheme val="major"/>
    </font>
    <font>
      <sz val="17"/>
      <color theme="5"/>
      <name val="Aptos Display"/>
      <family val="2"/>
      <scheme val="major"/>
    </font>
    <font>
      <b/>
      <sz val="17"/>
      <color theme="5"/>
      <name val="Aptos Display"/>
      <family val="2"/>
      <scheme val="major"/>
    </font>
    <font>
      <sz val="22"/>
      <color theme="5"/>
      <name val="Aptos Display"/>
      <family val="2"/>
      <scheme val="major"/>
    </font>
    <font>
      <sz val="11"/>
      <color theme="3" tint="0.59999389629810485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7" tint="0.39997558519241921"/>
      <name val="Aptos Display"/>
      <family val="2"/>
      <scheme val="major"/>
    </font>
    <font>
      <b/>
      <sz val="11"/>
      <color theme="4" tint="-0.499984740745262"/>
      <name val="Aptos Display"/>
      <family val="2"/>
      <scheme val="major"/>
    </font>
    <font>
      <b/>
      <sz val="11"/>
      <color rgb="FF00B0F0"/>
      <name val="Aptos Display"/>
      <family val="2"/>
      <scheme val="major"/>
    </font>
    <font>
      <b/>
      <i/>
      <sz val="11"/>
      <color theme="0" tint="-0.499984740745262"/>
      <name val="Aptos Display"/>
      <family val="2"/>
      <scheme val="major"/>
    </font>
    <font>
      <b/>
      <sz val="11"/>
      <color theme="3" tint="0.59999389629810485"/>
      <name val="Aptos Display"/>
      <family val="2"/>
      <scheme val="major"/>
    </font>
    <font>
      <sz val="11"/>
      <color theme="3" tint="-0.249977111117893"/>
      <name val="Aptos Display"/>
      <family val="2"/>
      <scheme val="major"/>
    </font>
    <font>
      <b/>
      <sz val="11"/>
      <color theme="3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99"/>
      <name val="Times New Roman"/>
      <family val="1"/>
    </font>
    <font>
      <sz val="10"/>
      <color rgb="FFC00000"/>
      <name val="Times New Roman"/>
      <family val="1"/>
    </font>
    <font>
      <sz val="11"/>
      <color rgb="FFFF000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462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C1DE"/>
        <bgColor indexed="64"/>
      </patternFill>
    </fill>
    <fill>
      <patternFill patternType="solid">
        <fgColor rgb="FFF37736"/>
        <bgColor indexed="64"/>
      </patternFill>
    </fill>
    <fill>
      <patternFill patternType="solid">
        <fgColor rgb="FF0F0E9A"/>
        <bgColor indexed="64"/>
      </patternFill>
    </fill>
    <fill>
      <patternFill patternType="solid">
        <fgColor rgb="FF007DC4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22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C7F7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medium">
        <color auto="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6795556505021"/>
      </bottom>
      <diagonal/>
    </border>
    <border>
      <left/>
      <right style="medium">
        <color auto="1"/>
      </right>
      <top/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thick">
        <color auto="1"/>
      </right>
      <top/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71" fillId="0" borderId="0" applyFont="0" applyFill="0" applyBorder="0" applyAlignment="0" applyProtection="0"/>
    <xf numFmtId="0" fontId="71" fillId="0" borderId="0"/>
    <xf numFmtId="9" fontId="71" fillId="0" borderId="0" applyFont="0" applyFill="0" applyBorder="0" applyAlignment="0" applyProtection="0"/>
    <xf numFmtId="44" fontId="71" fillId="0" borderId="0" applyFont="0" applyFill="0" applyBorder="0" applyAlignment="0" applyProtection="0"/>
  </cellStyleXfs>
  <cellXfs count="52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4" xfId="0" applyFont="1" applyBorder="1"/>
    <xf numFmtId="0" fontId="7" fillId="0" borderId="3" xfId="0" applyFont="1" applyBorder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1" fillId="0" borderId="0" xfId="0" quotePrefix="1" applyNumberFormat="1" applyFont="1"/>
    <xf numFmtId="49" fontId="11" fillId="0" borderId="0" xfId="0" applyNumberFormat="1" applyFont="1"/>
    <xf numFmtId="49" fontId="10" fillId="0" borderId="0" xfId="0" applyNumberFormat="1" applyFont="1"/>
    <xf numFmtId="0" fontId="11" fillId="0" borderId="3" xfId="0" applyFont="1" applyBorder="1"/>
    <xf numFmtId="164" fontId="0" fillId="0" borderId="4" xfId="0" applyNumberFormat="1" applyBorder="1"/>
    <xf numFmtId="164" fontId="2" fillId="0" borderId="4" xfId="1" applyNumberFormat="1" applyFont="1" applyBorder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2" fillId="5" borderId="0" xfId="0" applyFont="1" applyFill="1"/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Continuous" vertical="center"/>
    </xf>
    <xf numFmtId="0" fontId="14" fillId="3" borderId="1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0" fillId="0" borderId="4" xfId="1" applyNumberFormat="1" applyFont="1" applyBorder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4" fillId="6" borderId="0" xfId="0" applyFont="1" applyFill="1" applyAlignment="1">
      <alignment horizontal="centerContinuous" vertical="center"/>
    </xf>
    <xf numFmtId="0" fontId="5" fillId="6" borderId="0" xfId="0" applyFont="1" applyFill="1" applyAlignment="1">
      <alignment horizontal="centerContinuous" vertical="center"/>
    </xf>
    <xf numFmtId="0" fontId="1" fillId="5" borderId="0" xfId="0" applyFont="1" applyFill="1"/>
    <xf numFmtId="0" fontId="4" fillId="7" borderId="0" xfId="0" applyFont="1" applyFill="1"/>
    <xf numFmtId="0" fontId="4" fillId="8" borderId="0" xfId="0" applyFont="1" applyFill="1"/>
    <xf numFmtId="14" fontId="0" fillId="0" borderId="0" xfId="0" applyNumberFormat="1"/>
    <xf numFmtId="0" fontId="4" fillId="6" borderId="5" xfId="0" applyFont="1" applyFill="1" applyBorder="1" applyAlignment="1">
      <alignment horizontal="centerContinuous" vertical="center"/>
    </xf>
    <xf numFmtId="0" fontId="4" fillId="6" borderId="7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2" fillId="0" borderId="11" xfId="1" applyNumberFormat="1" applyFont="1" applyBorder="1"/>
    <xf numFmtId="164" fontId="2" fillId="0" borderId="12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9" borderId="4" xfId="0" applyFont="1" applyFill="1" applyBorder="1"/>
    <xf numFmtId="0" fontId="8" fillId="9" borderId="4" xfId="0" applyFont="1" applyFill="1" applyBorder="1"/>
    <xf numFmtId="0" fontId="1" fillId="9" borderId="0" xfId="0" applyFont="1" applyFill="1"/>
    <xf numFmtId="0" fontId="1" fillId="9" borderId="11" xfId="0" applyFont="1" applyFill="1" applyBorder="1"/>
    <xf numFmtId="0" fontId="1" fillId="9" borderId="12" xfId="0" applyFont="1" applyFill="1" applyBorder="1"/>
    <xf numFmtId="0" fontId="16" fillId="0" borderId="0" xfId="0" applyFont="1"/>
    <xf numFmtId="0" fontId="4" fillId="3" borderId="6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/>
    <xf numFmtId="0" fontId="12" fillId="10" borderId="0" xfId="0" applyFont="1" applyFill="1"/>
    <xf numFmtId="0" fontId="12" fillId="10" borderId="9" xfId="0" applyFont="1" applyFill="1" applyBorder="1"/>
    <xf numFmtId="0" fontId="12" fillId="10" borderId="10" xfId="0" applyFont="1" applyFill="1" applyBorder="1"/>
    <xf numFmtId="14" fontId="12" fillId="0" borderId="0" xfId="0" applyNumberFormat="1" applyFont="1"/>
    <xf numFmtId="14" fontId="12" fillId="0" borderId="9" xfId="0" applyNumberFormat="1" applyFont="1" applyBorder="1"/>
    <xf numFmtId="14" fontId="12" fillId="0" borderId="10" xfId="0" applyNumberFormat="1" applyFont="1" applyBorder="1"/>
    <xf numFmtId="0" fontId="0" fillId="10" borderId="0" xfId="0" applyFill="1"/>
    <xf numFmtId="14" fontId="0" fillId="10" borderId="0" xfId="0" applyNumberFormat="1" applyFill="1"/>
    <xf numFmtId="14" fontId="0" fillId="0" borderId="0" xfId="0" quotePrefix="1" applyNumberFormat="1"/>
    <xf numFmtId="11" fontId="0" fillId="0" borderId="9" xfId="0" applyNumberFormat="1" applyBorder="1"/>
    <xf numFmtId="0" fontId="14" fillId="2" borderId="5" xfId="0" applyFont="1" applyFill="1" applyBorder="1" applyAlignment="1">
      <alignment horizontal="centerContinuous" vertical="center"/>
    </xf>
    <xf numFmtId="0" fontId="14" fillId="2" borderId="6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3" xfId="0" applyFont="1" applyBorder="1"/>
    <xf numFmtId="0" fontId="17" fillId="0" borderId="3" xfId="0" applyFont="1" applyBorder="1"/>
    <xf numFmtId="5" fontId="0" fillId="0" borderId="11" xfId="1" applyNumberFormat="1" applyFont="1" applyBorder="1"/>
    <xf numFmtId="5" fontId="0" fillId="0" borderId="4" xfId="1" applyNumberFormat="1" applyFont="1" applyBorder="1"/>
    <xf numFmtId="5" fontId="0" fillId="0" borderId="12" xfId="1" applyNumberFormat="1" applyFont="1" applyBorder="1"/>
    <xf numFmtId="5" fontId="0" fillId="0" borderId="11" xfId="0" applyNumberFormat="1" applyBorder="1"/>
    <xf numFmtId="5" fontId="0" fillId="0" borderId="4" xfId="0" applyNumberFormat="1" applyBorder="1"/>
    <xf numFmtId="5" fontId="0" fillId="0" borderId="12" xfId="0" applyNumberFormat="1" applyBorder="1"/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centerContinuous"/>
    </xf>
    <xf numFmtId="0" fontId="4" fillId="11" borderId="0" xfId="0" applyFont="1" applyFill="1" applyAlignment="1">
      <alignment horizontal="centerContinuous"/>
    </xf>
    <xf numFmtId="0" fontId="0" fillId="0" borderId="18" xfId="0" applyBorder="1"/>
    <xf numFmtId="164" fontId="0" fillId="0" borderId="18" xfId="1" applyNumberFormat="1" applyFont="1" applyBorder="1" applyAlignment="1"/>
    <xf numFmtId="6" fontId="0" fillId="0" borderId="18" xfId="0" applyNumberFormat="1" applyBorder="1"/>
    <xf numFmtId="0" fontId="0" fillId="0" borderId="18" xfId="0" quotePrefix="1" applyBorder="1"/>
    <xf numFmtId="10" fontId="0" fillId="0" borderId="18" xfId="0" applyNumberFormat="1" applyBorder="1"/>
    <xf numFmtId="164" fontId="0" fillId="0" borderId="0" xfId="1" applyNumberFormat="1" applyFont="1" applyBorder="1" applyAlignment="1"/>
    <xf numFmtId="10" fontId="0" fillId="0" borderId="0" xfId="0" applyNumberFormat="1"/>
    <xf numFmtId="164" fontId="1" fillId="5" borderId="0" xfId="1" applyNumberFormat="1" applyFont="1" applyFill="1"/>
    <xf numFmtId="0" fontId="24" fillId="5" borderId="0" xfId="0" applyFont="1" applyFill="1"/>
    <xf numFmtId="0" fontId="24" fillId="0" borderId="0" xfId="0" applyFont="1"/>
    <xf numFmtId="0" fontId="4" fillId="2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Continuous"/>
    </xf>
    <xf numFmtId="0" fontId="27" fillId="0" borderId="0" xfId="0" applyFont="1"/>
    <xf numFmtId="0" fontId="5" fillId="0" borderId="0" xfId="0" applyFont="1"/>
    <xf numFmtId="0" fontId="14" fillId="3" borderId="6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vertical="center"/>
    </xf>
    <xf numFmtId="0" fontId="5" fillId="12" borderId="0" xfId="0" applyFont="1" applyFill="1"/>
    <xf numFmtId="0" fontId="30" fillId="0" borderId="0" xfId="0" applyFont="1"/>
    <xf numFmtId="167" fontId="0" fillId="0" borderId="4" xfId="0" applyNumberFormat="1" applyBorder="1"/>
    <xf numFmtId="167" fontId="0" fillId="0" borderId="12" xfId="0" applyNumberFormat="1" applyBorder="1"/>
    <xf numFmtId="0" fontId="16" fillId="0" borderId="4" xfId="0" applyFont="1" applyBorder="1"/>
    <xf numFmtId="167" fontId="16" fillId="0" borderId="4" xfId="0" applyNumberFormat="1" applyFont="1" applyBorder="1"/>
    <xf numFmtId="167" fontId="16" fillId="0" borderId="12" xfId="0" applyNumberFormat="1" applyFont="1" applyBorder="1"/>
    <xf numFmtId="0" fontId="25" fillId="0" borderId="0" xfId="0" applyFont="1"/>
    <xf numFmtId="0" fontId="25" fillId="0" borderId="4" xfId="0" applyFont="1" applyBorder="1"/>
    <xf numFmtId="167" fontId="25" fillId="0" borderId="4" xfId="0" applyNumberFormat="1" applyFont="1" applyBorder="1"/>
    <xf numFmtId="167" fontId="25" fillId="0" borderId="12" xfId="0" applyNumberFormat="1" applyFont="1" applyBorder="1"/>
    <xf numFmtId="6" fontId="24" fillId="5" borderId="0" xfId="0" applyNumberFormat="1" applyFont="1" applyFill="1"/>
    <xf numFmtId="9" fontId="24" fillId="5" borderId="0" xfId="0" applyNumberFormat="1" applyFont="1" applyFill="1"/>
    <xf numFmtId="0" fontId="10" fillId="0" borderId="0" xfId="0" applyFont="1"/>
    <xf numFmtId="0" fontId="1" fillId="0" borderId="4" xfId="0" applyFont="1" applyBorder="1"/>
    <xf numFmtId="167" fontId="1" fillId="0" borderId="4" xfId="0" applyNumberFormat="1" applyFont="1" applyBorder="1"/>
    <xf numFmtId="167" fontId="1" fillId="0" borderId="12" xfId="0" applyNumberFormat="1" applyFont="1" applyBorder="1"/>
    <xf numFmtId="169" fontId="0" fillId="10" borderId="0" xfId="0" applyNumberFormat="1" applyFill="1"/>
    <xf numFmtId="0" fontId="31" fillId="0" borderId="0" xfId="0" applyFont="1"/>
    <xf numFmtId="0" fontId="31" fillId="0" borderId="20" xfId="0" applyFont="1" applyBorder="1"/>
    <xf numFmtId="0" fontId="31" fillId="0" borderId="19" xfId="0" applyFont="1" applyBorder="1"/>
    <xf numFmtId="167" fontId="31" fillId="0" borderId="20" xfId="0" applyNumberFormat="1" applyFont="1" applyBorder="1"/>
    <xf numFmtId="0" fontId="32" fillId="0" borderId="0" xfId="0" applyFont="1"/>
    <xf numFmtId="0" fontId="32" fillId="0" borderId="4" xfId="0" applyFont="1" applyBorder="1"/>
    <xf numFmtId="167" fontId="32" fillId="0" borderId="4" xfId="0" applyNumberFormat="1" applyFont="1" applyBorder="1"/>
    <xf numFmtId="167" fontId="32" fillId="0" borderId="12" xfId="0" applyNumberFormat="1" applyFont="1" applyBorder="1"/>
    <xf numFmtId="0" fontId="33" fillId="0" borderId="0" xfId="0" applyFont="1"/>
    <xf numFmtId="0" fontId="33" fillId="0" borderId="4" xfId="0" applyFont="1" applyBorder="1"/>
    <xf numFmtId="168" fontId="33" fillId="0" borderId="4" xfId="0" applyNumberFormat="1" applyFont="1" applyBorder="1"/>
    <xf numFmtId="168" fontId="33" fillId="0" borderId="12" xfId="0" applyNumberFormat="1" applyFont="1" applyBorder="1"/>
    <xf numFmtId="0" fontId="5" fillId="12" borderId="0" xfId="0" applyFont="1" applyFill="1" applyAlignment="1">
      <alignment horizontal="center"/>
    </xf>
    <xf numFmtId="0" fontId="31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12" borderId="0" xfId="0" applyNumberFormat="1" applyFont="1" applyFill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5" fontId="3" fillId="9" borderId="9" xfId="1" applyNumberFormat="1" applyFont="1" applyFill="1" applyBorder="1" applyAlignment="1">
      <alignment vertical="center"/>
    </xf>
    <xf numFmtId="5" fontId="3" fillId="9" borderId="0" xfId="1" applyNumberFormat="1" applyFont="1" applyFill="1" applyBorder="1" applyAlignment="1">
      <alignment vertical="center"/>
    </xf>
    <xf numFmtId="5" fontId="3" fillId="9" borderId="10" xfId="1" applyNumberFormat="1" applyFont="1" applyFill="1" applyBorder="1" applyAlignment="1">
      <alignment vertical="center"/>
    </xf>
    <xf numFmtId="5" fontId="3" fillId="9" borderId="0" xfId="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39" fillId="0" borderId="11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11" xfId="0" applyNumberFormat="1" applyFont="1" applyBorder="1" applyAlignment="1">
      <alignment vertical="center"/>
    </xf>
    <xf numFmtId="165" fontId="37" fillId="0" borderId="12" xfId="0" applyNumberFormat="1" applyFont="1" applyBorder="1" applyAlignment="1">
      <alignment vertical="center"/>
    </xf>
    <xf numFmtId="166" fontId="15" fillId="0" borderId="11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vertical="center"/>
    </xf>
    <xf numFmtId="166" fontId="15" fillId="0" borderId="12" xfId="0" applyNumberFormat="1" applyFont="1" applyBorder="1" applyAlignment="1">
      <alignment vertical="center"/>
    </xf>
    <xf numFmtId="165" fontId="11" fillId="0" borderId="20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165" fontId="11" fillId="0" borderId="19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34" fillId="0" borderId="21" xfId="0" applyNumberFormat="1" applyFont="1" applyBorder="1" applyAlignment="1">
      <alignment vertical="center"/>
    </xf>
    <xf numFmtId="165" fontId="34" fillId="0" borderId="20" xfId="0" applyNumberFormat="1" applyFont="1" applyBorder="1" applyAlignment="1">
      <alignment vertical="center"/>
    </xf>
    <xf numFmtId="165" fontId="34" fillId="0" borderId="19" xfId="0" applyNumberFormat="1" applyFont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9" fillId="0" borderId="4" xfId="0" quotePrefix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165" fontId="1" fillId="5" borderId="4" xfId="0" applyNumberFormat="1" applyFont="1" applyFill="1" applyBorder="1" applyAlignment="1">
      <alignment vertical="center"/>
    </xf>
    <xf numFmtId="165" fontId="1" fillId="5" borderId="12" xfId="0" applyNumberFormat="1" applyFont="1" applyFill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vertical="center"/>
    </xf>
    <xf numFmtId="165" fontId="1" fillId="5" borderId="23" xfId="0" applyNumberFormat="1" applyFont="1" applyFill="1" applyBorder="1" applyAlignment="1">
      <alignment vertical="center"/>
    </xf>
    <xf numFmtId="165" fontId="1" fillId="5" borderId="22" xfId="0" applyNumberFormat="1" applyFont="1" applyFill="1" applyBorder="1" applyAlignment="1">
      <alignment vertical="center"/>
    </xf>
    <xf numFmtId="165" fontId="1" fillId="5" borderId="24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164" fontId="41" fillId="0" borderId="11" xfId="1" applyNumberFormat="1" applyFont="1" applyBorder="1" applyAlignment="1">
      <alignment vertical="center"/>
    </xf>
    <xf numFmtId="164" fontId="41" fillId="0" borderId="4" xfId="1" applyNumberFormat="1" applyFont="1" applyBorder="1" applyAlignment="1">
      <alignment vertical="center"/>
    </xf>
    <xf numFmtId="164" fontId="41" fillId="0" borderId="12" xfId="1" applyNumberFormat="1" applyFont="1" applyBorder="1" applyAlignment="1">
      <alignment vertical="center"/>
    </xf>
    <xf numFmtId="166" fontId="41" fillId="0" borderId="11" xfId="0" applyNumberFormat="1" applyFont="1" applyBorder="1" applyAlignment="1">
      <alignment vertical="center"/>
    </xf>
    <xf numFmtId="166" fontId="41" fillId="0" borderId="4" xfId="0" applyNumberFormat="1" applyFont="1" applyBorder="1" applyAlignment="1">
      <alignment vertical="center"/>
    </xf>
    <xf numFmtId="166" fontId="41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left"/>
    </xf>
    <xf numFmtId="0" fontId="42" fillId="0" borderId="9" xfId="0" applyFont="1" applyBorder="1"/>
    <xf numFmtId="0" fontId="42" fillId="0" borderId="10" xfId="0" applyFont="1" applyBorder="1"/>
    <xf numFmtId="165" fontId="34" fillId="13" borderId="21" xfId="0" applyNumberFormat="1" applyFont="1" applyFill="1" applyBorder="1" applyAlignment="1">
      <alignment vertical="center"/>
    </xf>
    <xf numFmtId="165" fontId="34" fillId="13" borderId="20" xfId="0" applyNumberFormat="1" applyFont="1" applyFill="1" applyBorder="1" applyAlignment="1">
      <alignment vertical="center"/>
    </xf>
    <xf numFmtId="165" fontId="34" fillId="13" borderId="19" xfId="0" applyNumberFormat="1" applyFont="1" applyFill="1" applyBorder="1" applyAlignment="1">
      <alignment vertical="center"/>
    </xf>
    <xf numFmtId="165" fontId="0" fillId="13" borderId="11" xfId="0" applyNumberFormat="1" applyFill="1" applyBorder="1" applyAlignment="1">
      <alignment vertical="center"/>
    </xf>
    <xf numFmtId="165" fontId="0" fillId="13" borderId="4" xfId="0" applyNumberFormat="1" applyFill="1" applyBorder="1" applyAlignment="1">
      <alignment vertical="center"/>
    </xf>
    <xf numFmtId="165" fontId="0" fillId="13" borderId="12" xfId="0" applyNumberFormat="1" applyFill="1" applyBorder="1" applyAlignment="1">
      <alignment vertical="center"/>
    </xf>
    <xf numFmtId="165" fontId="1" fillId="14" borderId="11" xfId="0" applyNumberFormat="1" applyFont="1" applyFill="1" applyBorder="1" applyAlignment="1">
      <alignment vertical="center"/>
    </xf>
    <xf numFmtId="165" fontId="1" fillId="14" borderId="4" xfId="0" applyNumberFormat="1" applyFont="1" applyFill="1" applyBorder="1" applyAlignment="1">
      <alignment vertical="center"/>
    </xf>
    <xf numFmtId="165" fontId="1" fillId="14" borderId="12" xfId="0" applyNumberFormat="1" applyFont="1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12" fillId="13" borderId="1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165" fontId="39" fillId="13" borderId="11" xfId="0" applyNumberFormat="1" applyFont="1" applyFill="1" applyBorder="1" applyAlignment="1">
      <alignment horizontal="center" vertical="center"/>
    </xf>
    <xf numFmtId="165" fontId="39" fillId="13" borderId="4" xfId="0" applyNumberFormat="1" applyFont="1" applyFill="1" applyBorder="1" applyAlignment="1">
      <alignment horizontal="center" vertical="center"/>
    </xf>
    <xf numFmtId="165" fontId="39" fillId="13" borderId="12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26" fillId="0" borderId="26" xfId="2" applyFont="1" applyBorder="1"/>
    <xf numFmtId="0" fontId="1" fillId="5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39" fillId="0" borderId="27" xfId="0" quotePrefix="1" applyFont="1" applyBorder="1" applyAlignment="1">
      <alignment horizontal="center" vertical="center"/>
    </xf>
    <xf numFmtId="0" fontId="39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0" fillId="0" borderId="29" xfId="0" applyBorder="1"/>
    <xf numFmtId="0" fontId="1" fillId="5" borderId="29" xfId="0" applyFont="1" applyFill="1" applyBorder="1" applyAlignment="1">
      <alignment vertical="center"/>
    </xf>
    <xf numFmtId="165" fontId="37" fillId="0" borderId="26" xfId="0" applyNumberFormat="1" applyFont="1" applyBorder="1" applyAlignment="1">
      <alignment vertical="center"/>
    </xf>
    <xf numFmtId="165" fontId="37" fillId="0" borderId="29" xfId="0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0" applyFont="1" applyBorder="1" applyAlignment="1">
      <alignment vertical="center"/>
    </xf>
    <xf numFmtId="165" fontId="39" fillId="0" borderId="27" xfId="0" applyNumberFormat="1" applyFont="1" applyBorder="1" applyAlignment="1">
      <alignment horizontal="center" vertical="center"/>
    </xf>
    <xf numFmtId="165" fontId="39" fillId="0" borderId="30" xfId="0" applyNumberFormat="1" applyFont="1" applyBorder="1" applyAlignment="1">
      <alignment horizontal="center" vertical="center"/>
    </xf>
    <xf numFmtId="170" fontId="0" fillId="0" borderId="11" xfId="0" applyNumberFormat="1" applyBorder="1" applyAlignment="1">
      <alignment vertical="center"/>
    </xf>
    <xf numFmtId="170" fontId="0" fillId="0" borderId="4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9" fillId="0" borderId="20" xfId="0" quotePrefix="1" applyFont="1" applyBorder="1" applyAlignment="1">
      <alignment horizontal="center" vertical="center"/>
    </xf>
    <xf numFmtId="0" fontId="39" fillId="0" borderId="20" xfId="0" applyFont="1" applyBorder="1" applyAlignment="1">
      <alignment vertical="center"/>
    </xf>
    <xf numFmtId="165" fontId="39" fillId="0" borderId="20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/>
    </xf>
    <xf numFmtId="165" fontId="39" fillId="0" borderId="19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/>
    </xf>
    <xf numFmtId="0" fontId="39" fillId="0" borderId="0" xfId="0" quotePrefix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39" fillId="0" borderId="10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right" vertical="center"/>
    </xf>
    <xf numFmtId="165" fontId="12" fillId="0" borderId="12" xfId="0" applyNumberFormat="1" applyFont="1" applyBorder="1" applyAlignment="1">
      <alignment horizontal="right" vertical="center"/>
    </xf>
    <xf numFmtId="165" fontId="39" fillId="0" borderId="4" xfId="0" applyNumberFormat="1" applyFont="1" applyBorder="1" applyAlignment="1">
      <alignment horizontal="right" vertical="center"/>
    </xf>
    <xf numFmtId="165" fontId="39" fillId="0" borderId="12" xfId="0" applyNumberFormat="1" applyFont="1" applyBorder="1" applyAlignment="1">
      <alignment horizontal="right" vertical="center"/>
    </xf>
    <xf numFmtId="165" fontId="39" fillId="15" borderId="4" xfId="0" applyNumberFormat="1" applyFont="1" applyFill="1" applyBorder="1" applyAlignment="1">
      <alignment horizontal="right" vertical="center"/>
    </xf>
    <xf numFmtId="165" fontId="39" fillId="15" borderId="12" xfId="0" applyNumberFormat="1" applyFont="1" applyFill="1" applyBorder="1" applyAlignment="1">
      <alignment horizontal="right" vertical="center"/>
    </xf>
    <xf numFmtId="0" fontId="5" fillId="12" borderId="10" xfId="0" applyFont="1" applyFill="1" applyBorder="1"/>
    <xf numFmtId="167" fontId="0" fillId="0" borderId="4" xfId="0" quotePrefix="1" applyNumberFormat="1" applyBorder="1"/>
    <xf numFmtId="0" fontId="0" fillId="0" borderId="31" xfId="0" applyBorder="1"/>
    <xf numFmtId="0" fontId="5" fillId="12" borderId="31" xfId="0" applyFont="1" applyFill="1" applyBorder="1"/>
    <xf numFmtId="0" fontId="31" fillId="0" borderId="32" xfId="0" applyFont="1" applyBorder="1"/>
    <xf numFmtId="0" fontId="16" fillId="0" borderId="33" xfId="0" applyFont="1" applyBorder="1" applyAlignment="1">
      <alignment horizontal="left" indent="2"/>
    </xf>
    <xf numFmtId="0" fontId="1" fillId="0" borderId="33" xfId="0" applyFont="1" applyBorder="1" applyAlignment="1">
      <alignment horizontal="left" indent="2"/>
    </xf>
    <xf numFmtId="0" fontId="0" fillId="0" borderId="33" xfId="0" applyBorder="1" applyAlignment="1">
      <alignment horizontal="left" indent="2"/>
    </xf>
    <xf numFmtId="0" fontId="32" fillId="0" borderId="33" xfId="0" quotePrefix="1" applyFont="1" applyBorder="1" applyAlignment="1">
      <alignment horizontal="left" indent="2"/>
    </xf>
    <xf numFmtId="0" fontId="33" fillId="0" borderId="33" xfId="0" quotePrefix="1" applyFont="1" applyBorder="1" applyAlignment="1">
      <alignment horizontal="left" indent="2"/>
    </xf>
    <xf numFmtId="0" fontId="25" fillId="0" borderId="33" xfId="0" applyFont="1" applyBorder="1" applyAlignment="1">
      <alignment horizontal="left" indent="2"/>
    </xf>
    <xf numFmtId="0" fontId="31" fillId="0" borderId="0" xfId="0" applyFont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/>
    </xf>
    <xf numFmtId="165" fontId="31" fillId="0" borderId="21" xfId="0" applyNumberFormat="1" applyFont="1" applyBorder="1" applyAlignment="1">
      <alignment vertical="center"/>
    </xf>
    <xf numFmtId="165" fontId="31" fillId="0" borderId="20" xfId="0" applyNumberFormat="1" applyFont="1" applyBorder="1" applyAlignment="1">
      <alignment vertical="center"/>
    </xf>
    <xf numFmtId="165" fontId="31" fillId="0" borderId="19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9" borderId="0" xfId="0" applyFont="1" applyFill="1" applyAlignment="1">
      <alignment horizontal="center" vertical="center"/>
    </xf>
    <xf numFmtId="5" fontId="46" fillId="9" borderId="0" xfId="1" applyNumberFormat="1" applyFont="1" applyFill="1" applyBorder="1" applyAlignment="1">
      <alignment vertical="center"/>
    </xf>
    <xf numFmtId="5" fontId="46" fillId="9" borderId="10" xfId="1" applyNumberFormat="1" applyFont="1" applyFill="1" applyBorder="1" applyAlignment="1">
      <alignment vertical="center"/>
    </xf>
    <xf numFmtId="5" fontId="46" fillId="9" borderId="0" xfId="1" applyNumberFormat="1" applyFont="1" applyFill="1" applyAlignment="1">
      <alignment vertical="center"/>
    </xf>
    <xf numFmtId="165" fontId="31" fillId="15" borderId="20" xfId="0" applyNumberFormat="1" applyFont="1" applyFill="1" applyBorder="1" applyAlignment="1">
      <alignment vertical="center"/>
    </xf>
    <xf numFmtId="165" fontId="31" fillId="15" borderId="19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vertical="center"/>
    </xf>
    <xf numFmtId="0" fontId="48" fillId="0" borderId="0" xfId="0" applyFont="1" applyAlignment="1">
      <alignment vertical="center"/>
    </xf>
    <xf numFmtId="165" fontId="48" fillId="0" borderId="11" xfId="0" applyNumberFormat="1" applyFont="1" applyBorder="1" applyAlignment="1">
      <alignment vertical="center"/>
    </xf>
    <xf numFmtId="165" fontId="48" fillId="0" borderId="4" xfId="0" applyNumberFormat="1" applyFont="1" applyBorder="1" applyAlignment="1">
      <alignment vertical="center"/>
    </xf>
    <xf numFmtId="165" fontId="48" fillId="0" borderId="12" xfId="0" applyNumberFormat="1" applyFont="1" applyBorder="1" applyAlignment="1">
      <alignment vertical="center"/>
    </xf>
    <xf numFmtId="165" fontId="48" fillId="15" borderId="4" xfId="0" applyNumberFormat="1" applyFont="1" applyFill="1" applyBorder="1" applyAlignment="1">
      <alignment vertical="center"/>
    </xf>
    <xf numFmtId="165" fontId="48" fillId="15" borderId="12" xfId="0" applyNumberFormat="1" applyFont="1" applyFill="1" applyBorder="1" applyAlignment="1">
      <alignment vertical="center"/>
    </xf>
    <xf numFmtId="0" fontId="47" fillId="0" borderId="0" xfId="0" applyFont="1"/>
    <xf numFmtId="0" fontId="48" fillId="0" borderId="26" xfId="0" applyFont="1" applyBorder="1" applyAlignment="1">
      <alignment horizontal="center"/>
    </xf>
    <xf numFmtId="0" fontId="48" fillId="0" borderId="26" xfId="0" applyFont="1" applyBorder="1"/>
    <xf numFmtId="0" fontId="48" fillId="0" borderId="0" xfId="0" applyFont="1"/>
    <xf numFmtId="0" fontId="49" fillId="0" borderId="26" xfId="2" applyFont="1" applyBorder="1"/>
    <xf numFmtId="165" fontId="48" fillId="0" borderId="4" xfId="0" applyNumberFormat="1" applyFont="1" applyBorder="1"/>
    <xf numFmtId="165" fontId="48" fillId="0" borderId="12" xfId="0" applyNumberFormat="1" applyFont="1" applyBorder="1"/>
    <xf numFmtId="0" fontId="48" fillId="0" borderId="4" xfId="0" applyFont="1" applyBorder="1"/>
    <xf numFmtId="0" fontId="48" fillId="0" borderId="12" xfId="0" applyFont="1" applyBorder="1"/>
    <xf numFmtId="11" fontId="0" fillId="0" borderId="0" xfId="0" applyNumberFormat="1"/>
    <xf numFmtId="0" fontId="46" fillId="9" borderId="0" xfId="0" applyFont="1" applyFill="1" applyAlignment="1">
      <alignment vertical="center"/>
    </xf>
    <xf numFmtId="0" fontId="46" fillId="9" borderId="31" xfId="0" applyFont="1" applyFill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9" fontId="48" fillId="0" borderId="33" xfId="0" applyNumberFormat="1" applyFont="1" applyBorder="1" applyAlignment="1">
      <alignment horizontal="left" vertical="center"/>
    </xf>
    <xf numFmtId="0" fontId="1" fillId="5" borderId="34" xfId="0" applyFont="1" applyFill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10" fontId="48" fillId="0" borderId="33" xfId="0" applyNumberFormat="1" applyFont="1" applyBorder="1" applyAlignment="1">
      <alignment horizontal="left" vertical="center"/>
    </xf>
    <xf numFmtId="0" fontId="31" fillId="0" borderId="35" xfId="0" applyFont="1" applyBorder="1" applyAlignment="1">
      <alignment vertical="center"/>
    </xf>
    <xf numFmtId="0" fontId="48" fillId="0" borderId="36" xfId="0" applyFont="1" applyBorder="1"/>
    <xf numFmtId="0" fontId="1" fillId="5" borderId="36" xfId="0" applyFont="1" applyFill="1" applyBorder="1" applyAlignment="1">
      <alignment vertical="center"/>
    </xf>
    <xf numFmtId="0" fontId="37" fillId="0" borderId="36" xfId="0" applyFont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0" fillId="0" borderId="38" xfId="0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39" xfId="0" applyFont="1" applyBorder="1" applyAlignment="1">
      <alignment horizontal="center"/>
    </xf>
    <xf numFmtId="0" fontId="51" fillId="0" borderId="0" xfId="0" applyFont="1" applyAlignment="1">
      <alignment horizontal="left" indent="3"/>
    </xf>
    <xf numFmtId="0" fontId="8" fillId="0" borderId="4" xfId="0" applyFont="1" applyBorder="1"/>
    <xf numFmtId="5" fontId="1" fillId="0" borderId="11" xfId="0" applyNumberFormat="1" applyFont="1" applyBorder="1"/>
    <xf numFmtId="5" fontId="1" fillId="0" borderId="4" xfId="0" applyNumberFormat="1" applyFont="1" applyBorder="1"/>
    <xf numFmtId="5" fontId="1" fillId="0" borderId="12" xfId="0" applyNumberFormat="1" applyFont="1" applyBorder="1"/>
    <xf numFmtId="5" fontId="1" fillId="0" borderId="11" xfId="1" applyNumberFormat="1" applyFont="1" applyBorder="1"/>
    <xf numFmtId="5" fontId="1" fillId="0" borderId="4" xfId="1" applyNumberFormat="1" applyFont="1" applyBorder="1"/>
    <xf numFmtId="5" fontId="1" fillId="0" borderId="12" xfId="1" applyNumberFormat="1" applyFont="1" applyBorder="1"/>
    <xf numFmtId="5" fontId="2" fillId="0" borderId="11" xfId="1" applyNumberFormat="1" applyFont="1" applyBorder="1"/>
    <xf numFmtId="5" fontId="2" fillId="0" borderId="4" xfId="1" applyNumberFormat="1" applyFont="1" applyBorder="1"/>
    <xf numFmtId="5" fontId="2" fillId="0" borderId="12" xfId="1" applyNumberFormat="1" applyFont="1" applyBorder="1"/>
    <xf numFmtId="0" fontId="34" fillId="0" borderId="0" xfId="0" applyFont="1"/>
    <xf numFmtId="164" fontId="0" fillId="0" borderId="0" xfId="1" applyNumberFormat="1" applyFont="1"/>
    <xf numFmtId="0" fontId="52" fillId="0" borderId="0" xfId="0" applyFont="1"/>
    <xf numFmtId="164" fontId="52" fillId="0" borderId="0" xfId="1" applyNumberFormat="1" applyFont="1"/>
    <xf numFmtId="164" fontId="25" fillId="0" borderId="0" xfId="1" applyNumberFormat="1" applyFont="1"/>
    <xf numFmtId="49" fontId="46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71" fontId="55" fillId="0" borderId="0" xfId="0" applyNumberFormat="1" applyFon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56" fillId="0" borderId="0" xfId="0" applyFont="1"/>
    <xf numFmtId="0" fontId="57" fillId="0" borderId="0" xfId="0" applyFont="1" applyAlignment="1">
      <alignment horizontal="left" indent="7"/>
    </xf>
    <xf numFmtId="0" fontId="58" fillId="0" borderId="0" xfId="0" applyFont="1"/>
    <xf numFmtId="0" fontId="59" fillId="0" borderId="0" xfId="0" applyFont="1" applyAlignment="1">
      <alignment horizontal="left"/>
    </xf>
    <xf numFmtId="0" fontId="60" fillId="0" borderId="0" xfId="0" applyFont="1"/>
    <xf numFmtId="0" fontId="57" fillId="0" borderId="0" xfId="0" applyFont="1" applyAlignment="1">
      <alignment horizontal="left"/>
    </xf>
    <xf numFmtId="0" fontId="61" fillId="0" borderId="0" xfId="0" applyFont="1"/>
    <xf numFmtId="0" fontId="11" fillId="0" borderId="0" xfId="0" applyFont="1" applyAlignment="1">
      <alignment horizontal="right"/>
    </xf>
    <xf numFmtId="0" fontId="62" fillId="0" borderId="0" xfId="0" applyFont="1"/>
    <xf numFmtId="164" fontId="62" fillId="0" borderId="0" xfId="1" applyNumberFormat="1" applyFont="1"/>
    <xf numFmtId="164" fontId="1" fillId="0" borderId="0" xfId="1" applyNumberFormat="1" applyFont="1"/>
    <xf numFmtId="164" fontId="63" fillId="0" borderId="0" xfId="1" applyNumberFormat="1" applyFont="1"/>
    <xf numFmtId="164" fontId="64" fillId="0" borderId="0" xfId="1" applyNumberFormat="1" applyFont="1"/>
    <xf numFmtId="164" fontId="65" fillId="0" borderId="0" xfId="0" applyNumberFormat="1" applyFont="1"/>
    <xf numFmtId="171" fontId="66" fillId="0" borderId="0" xfId="0" applyNumberFormat="1" applyFont="1"/>
    <xf numFmtId="0" fontId="67" fillId="0" borderId="0" xfId="0" applyFont="1"/>
    <xf numFmtId="0" fontId="68" fillId="0" borderId="0" xfId="0" applyFont="1"/>
    <xf numFmtId="164" fontId="68" fillId="0" borderId="0" xfId="1" applyNumberFormat="1" applyFont="1"/>
    <xf numFmtId="0" fontId="69" fillId="0" borderId="0" xfId="0" applyFont="1"/>
    <xf numFmtId="171" fontId="70" fillId="0" borderId="0" xfId="0" applyNumberFormat="1" applyFont="1"/>
    <xf numFmtId="172" fontId="61" fillId="0" borderId="0" xfId="1" applyNumberFormat="1" applyFont="1"/>
    <xf numFmtId="164" fontId="2" fillId="23" borderId="12" xfId="1" applyNumberFormat="1" applyFont="1" applyFill="1" applyBorder="1"/>
    <xf numFmtId="49" fontId="0" fillId="10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20" xfId="0" applyBorder="1"/>
    <xf numFmtId="164" fontId="0" fillId="0" borderId="20" xfId="1" applyNumberFormat="1" applyFont="1" applyBorder="1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4" fontId="0" fillId="0" borderId="4" xfId="1" applyNumberFormat="1" applyFont="1" applyFill="1" applyBorder="1"/>
    <xf numFmtId="5" fontId="0" fillId="0" borderId="4" xfId="1" applyNumberFormat="1" applyFont="1" applyFill="1" applyBorder="1"/>
    <xf numFmtId="164" fontId="2" fillId="0" borderId="4" xfId="1" applyNumberFormat="1" applyFont="1" applyFill="1" applyBorder="1"/>
    <xf numFmtId="0" fontId="4" fillId="26" borderId="0" xfId="0" applyFont="1" applyFill="1" applyAlignment="1">
      <alignment horizontal="centerContinuous" vertical="center"/>
    </xf>
    <xf numFmtId="0" fontId="4" fillId="26" borderId="7" xfId="0" applyFont="1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164" fontId="0" fillId="0" borderId="11" xfId="1" applyNumberFormat="1" applyFont="1" applyFill="1" applyBorder="1"/>
    <xf numFmtId="164" fontId="2" fillId="0" borderId="11" xfId="1" applyNumberFormat="1" applyFont="1" applyFill="1" applyBorder="1"/>
    <xf numFmtId="0" fontId="0" fillId="0" borderId="40" xfId="0" applyBorder="1"/>
    <xf numFmtId="0" fontId="0" fillId="0" borderId="41" xfId="0" applyBorder="1"/>
    <xf numFmtId="5" fontId="0" fillId="23" borderId="12" xfId="0" applyNumberFormat="1" applyFill="1" applyBorder="1"/>
    <xf numFmtId="164" fontId="0" fillId="23" borderId="12" xfId="1" applyNumberFormat="1" applyFont="1" applyFill="1" applyBorder="1"/>
    <xf numFmtId="5" fontId="0" fillId="23" borderId="12" xfId="1" applyNumberFormat="1" applyFont="1" applyFill="1" applyBorder="1"/>
    <xf numFmtId="0" fontId="14" fillId="26" borderId="1" xfId="0" applyFont="1" applyFill="1" applyBorder="1" applyAlignment="1">
      <alignment horizontal="centerContinuous" vertical="center"/>
    </xf>
    <xf numFmtId="0" fontId="14" fillId="26" borderId="6" xfId="0" applyFont="1" applyFill="1" applyBorder="1" applyAlignment="1">
      <alignment horizontal="centerContinuous" vertical="center"/>
    </xf>
    <xf numFmtId="0" fontId="14" fillId="26" borderId="2" xfId="0" applyFont="1" applyFill="1" applyBorder="1" applyAlignment="1">
      <alignment vertical="center"/>
    </xf>
    <xf numFmtId="0" fontId="14" fillId="26" borderId="8" xfId="0" applyFont="1" applyFill="1" applyBorder="1" applyAlignment="1">
      <alignment vertical="center"/>
    </xf>
    <xf numFmtId="165" fontId="48" fillId="0" borderId="42" xfId="0" applyNumberFormat="1" applyFont="1" applyBorder="1" applyAlignment="1">
      <alignment vertical="center"/>
    </xf>
    <xf numFmtId="165" fontId="48" fillId="0" borderId="42" xfId="0" applyNumberFormat="1" applyFont="1" applyBorder="1"/>
    <xf numFmtId="165" fontId="1" fillId="5" borderId="42" xfId="0" applyNumberFormat="1" applyFont="1" applyFill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12" fillId="0" borderId="42" xfId="0" applyNumberFormat="1" applyFont="1" applyBorder="1" applyAlignment="1">
      <alignment horizontal="right" vertical="center"/>
    </xf>
    <xf numFmtId="165" fontId="39" fillId="0" borderId="42" xfId="0" applyNumberFormat="1" applyFont="1" applyBorder="1" applyAlignment="1">
      <alignment horizontal="right" vertical="center"/>
    </xf>
    <xf numFmtId="165" fontId="39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vertical="center"/>
    </xf>
    <xf numFmtId="0" fontId="48" fillId="0" borderId="42" xfId="0" applyFont="1" applyBorder="1"/>
    <xf numFmtId="0" fontId="0" fillId="0" borderId="43" xfId="0" applyBorder="1"/>
    <xf numFmtId="5" fontId="46" fillId="9" borderId="43" xfId="1" applyNumberFormat="1" applyFont="1" applyFill="1" applyBorder="1" applyAlignment="1">
      <alignment vertical="center"/>
    </xf>
    <xf numFmtId="165" fontId="11" fillId="0" borderId="44" xfId="0" applyNumberFormat="1" applyFont="1" applyBorder="1" applyAlignment="1">
      <alignment vertical="center"/>
    </xf>
    <xf numFmtId="0" fontId="4" fillId="26" borderId="10" xfId="0" applyFont="1" applyFill="1" applyBorder="1" applyAlignment="1">
      <alignment horizontal="centerContinuous" vertical="center"/>
    </xf>
    <xf numFmtId="0" fontId="4" fillId="26" borderId="8" xfId="0" applyFont="1" applyFill="1" applyBorder="1" applyAlignment="1">
      <alignment vertical="center"/>
    </xf>
    <xf numFmtId="164" fontId="0" fillId="0" borderId="12" xfId="1" applyNumberFormat="1" applyFont="1" applyFill="1" applyBorder="1"/>
    <xf numFmtId="164" fontId="2" fillId="0" borderId="12" xfId="1" applyNumberFormat="1" applyFont="1" applyFill="1" applyBorder="1"/>
    <xf numFmtId="0" fontId="0" fillId="0" borderId="45" xfId="0" applyBorder="1"/>
    <xf numFmtId="164" fontId="0" fillId="0" borderId="0" xfId="3" applyNumberFormat="1" applyFont="1"/>
    <xf numFmtId="166" fontId="71" fillId="0" borderId="0" xfId="4" applyNumberFormat="1"/>
    <xf numFmtId="0" fontId="71" fillId="0" borderId="0" xfId="4"/>
    <xf numFmtId="43" fontId="71" fillId="0" borderId="0" xfId="4" applyNumberFormat="1"/>
    <xf numFmtId="0" fontId="72" fillId="0" borderId="0" xfId="4" applyFont="1" applyAlignment="1">
      <alignment wrapText="1"/>
    </xf>
    <xf numFmtId="9" fontId="0" fillId="0" borderId="0" xfId="5" applyFont="1"/>
    <xf numFmtId="0" fontId="72" fillId="0" borderId="0" xfId="4" applyFont="1" applyAlignment="1">
      <alignment vertical="center" wrapText="1"/>
    </xf>
    <xf numFmtId="0" fontId="73" fillId="0" borderId="0" xfId="4" applyFont="1" applyAlignment="1">
      <alignment horizontal="center" vertical="center"/>
    </xf>
    <xf numFmtId="0" fontId="74" fillId="0" borderId="0" xfId="4" applyFont="1"/>
    <xf numFmtId="0" fontId="75" fillId="0" borderId="0" xfId="4" applyFont="1" applyAlignment="1">
      <alignment vertical="center"/>
    </xf>
    <xf numFmtId="0" fontId="76" fillId="0" borderId="0" xfId="4" applyFont="1" applyAlignment="1">
      <alignment vertical="center"/>
    </xf>
    <xf numFmtId="0" fontId="77" fillId="23" borderId="0" xfId="4" applyFont="1" applyFill="1" applyAlignment="1">
      <alignment vertical="center"/>
    </xf>
    <xf numFmtId="0" fontId="77" fillId="0" borderId="0" xfId="4" applyFont="1" applyAlignment="1">
      <alignment vertical="center"/>
    </xf>
    <xf numFmtId="0" fontId="78" fillId="0" borderId="0" xfId="4" applyFont="1" applyAlignment="1">
      <alignment horizontal="center" vertical="center"/>
    </xf>
    <xf numFmtId="0" fontId="78" fillId="0" borderId="0" xfId="4" applyFont="1" applyAlignment="1">
      <alignment horizontal="right" vertical="center"/>
    </xf>
    <xf numFmtId="3" fontId="78" fillId="0" borderId="0" xfId="4" applyNumberFormat="1" applyFont="1" applyAlignment="1">
      <alignment horizontal="center" vertical="center"/>
    </xf>
    <xf numFmtId="0" fontId="78" fillId="0" borderId="0" xfId="4" applyFont="1" applyAlignment="1">
      <alignment vertical="center"/>
    </xf>
    <xf numFmtId="0" fontId="79" fillId="5" borderId="46" xfId="4" applyFont="1" applyFill="1" applyBorder="1" applyAlignment="1">
      <alignment horizontal="center" vertical="center"/>
    </xf>
    <xf numFmtId="0" fontId="80" fillId="27" borderId="46" xfId="4" applyFont="1" applyFill="1" applyBorder="1" applyAlignment="1">
      <alignment horizontal="center" vertical="center"/>
    </xf>
    <xf numFmtId="0" fontId="80" fillId="27" borderId="46" xfId="4" applyFont="1" applyFill="1" applyBorder="1" applyAlignment="1">
      <alignment horizontal="left" vertical="center"/>
    </xf>
    <xf numFmtId="5" fontId="80" fillId="27" borderId="47" xfId="6" applyNumberFormat="1" applyFont="1" applyFill="1" applyBorder="1" applyAlignment="1">
      <alignment horizontal="center" vertical="center"/>
    </xf>
    <xf numFmtId="9" fontId="75" fillId="0" borderId="0" xfId="5" applyFont="1" applyAlignment="1">
      <alignment vertical="center"/>
    </xf>
    <xf numFmtId="0" fontId="81" fillId="0" borderId="46" xfId="4" applyFont="1" applyBorder="1" applyAlignment="1">
      <alignment horizontal="center" vertical="center"/>
    </xf>
    <xf numFmtId="0" fontId="81" fillId="0" borderId="46" xfId="4" applyFont="1" applyBorder="1" applyAlignment="1">
      <alignment horizontal="left" vertical="center"/>
    </xf>
    <xf numFmtId="0" fontId="81" fillId="23" borderId="46" xfId="4" applyFont="1" applyFill="1" applyBorder="1" applyAlignment="1">
      <alignment horizontal="left" vertical="center"/>
    </xf>
    <xf numFmtId="5" fontId="81" fillId="0" borderId="47" xfId="6" applyNumberFormat="1" applyFont="1" applyBorder="1" applyAlignment="1">
      <alignment horizontal="center" vertical="center"/>
    </xf>
    <xf numFmtId="0" fontId="82" fillId="0" borderId="0" xfId="4" applyFont="1" applyAlignment="1">
      <alignment vertical="center"/>
    </xf>
    <xf numFmtId="0" fontId="81" fillId="23" borderId="46" xfId="4" applyFont="1" applyFill="1" applyBorder="1" applyAlignment="1">
      <alignment horizontal="left" vertical="center" wrapText="1"/>
    </xf>
    <xf numFmtId="5" fontId="75" fillId="0" borderId="0" xfId="4" applyNumberFormat="1" applyFont="1" applyAlignment="1">
      <alignment vertical="center"/>
    </xf>
    <xf numFmtId="0" fontId="83" fillId="28" borderId="0" xfId="4" applyFont="1" applyFill="1" applyAlignment="1">
      <alignment horizontal="left" vertical="center" wrapText="1"/>
    </xf>
    <xf numFmtId="3" fontId="75" fillId="23" borderId="0" xfId="3" applyNumberFormat="1" applyFont="1" applyFill="1" applyAlignment="1">
      <alignment horizontal="right" vertical="center"/>
    </xf>
    <xf numFmtId="0" fontId="77" fillId="0" borderId="0" xfId="4" applyFont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50" fillId="16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4" fillId="4" borderId="3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7" fontId="31" fillId="0" borderId="19" xfId="0" applyNumberFormat="1" applyFont="1" applyBorder="1"/>
  </cellXfs>
  <cellStyles count="7">
    <cellStyle name="Comma" xfId="1" builtinId="3"/>
    <cellStyle name="Comma 2" xfId="3" xr:uid="{CA33273B-A9AA-4DEA-87E7-3D6582C2BD40}"/>
    <cellStyle name="Currency 2" xfId="6" xr:uid="{99A2A257-5419-4812-B224-F5D99301DF37}"/>
    <cellStyle name="Hyperlink" xfId="2" builtinId="8"/>
    <cellStyle name="Normal" xfId="0" builtinId="0"/>
    <cellStyle name="Normal 2" xfId="4" xr:uid="{DFFB6748-FE87-4B5F-9C91-034BDCA60994}"/>
    <cellStyle name="Percent 2" xfId="5" xr:uid="{A381BF19-4369-4809-B975-4735CFB1DD71}"/>
  </cellStyles>
  <dxfs count="2"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3399"/>
      <color rgb="FFF9FDC5"/>
      <color rgb="FF7C7F70"/>
      <color rgb="FF278A5B"/>
      <color rgb="FFC9C8CA"/>
      <color rgb="FFE3CAAF"/>
      <color rgb="FF999900"/>
      <color rgb="FF0F0E9A"/>
      <color rgb="FFFF33CC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WSS01G</a:t>
            </a:r>
          </a:p>
        </c:rich>
      </c:tx>
      <c:layout>
        <c:manualLayout>
          <c:xMode val="edge"/>
          <c:yMode val="edge"/>
          <c:x val="0.31738209513508642"/>
          <c:y val="1.16066548031564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5.5139226488226507E-2"/>
          <c:w val="0.96006059276030531"/>
          <c:h val="0.84182644630684578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6B0-9772-0AB88141E4EF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23A3A97-3D93-4C9F-88AC-A262F7FAD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2618FFF-6DC7-47EC-AF2C-21BEA8D76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44CF62-8A3F-4FE1-B9D6-3FAC3E527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002376-D932-4F83-A8DE-ED037BEF79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9B9241C-624C-4982-A584-6C004F2E7A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31ADBE-12BD-44D7-99B4-5AADC85C1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6EAB9C-C7D6-4C3B-A053-C5259F76C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79F947-151C-4A85-A87D-3EF16C06C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C58DB74-8C92-4858-B555-A236FF613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D21E085-46E0-401B-980C-4B9C2A0B9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BA18DF-4264-479B-AC6B-4F8F1FD41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617A57-BF51-4F05-916A-51A75D4471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14-46B0-9772-0AB88141E4EF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9BB59359-4AFD-4020-8563-4C40CB793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14-46B0-9772-0AB88141E4EF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802B508D-8E5F-41B0-926D-54CAEB0B2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14-46B0-9772-0AB88141E4EF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9CD30A86-1B63-41BD-B927-81C81168C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6BFEA13-5675-45A3-90A5-851F84FE9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D39CC82-3CC4-49B6-BC52-40838B5D14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B183164-E7D3-4E5C-BB3E-94E8227B9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8DA44FF-1908-4403-B124-1B56250C0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5FB1371-A302-4401-B398-3D9CEA4946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15B4497-2680-4283-97A7-DC11EF4CF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479FDDB-142E-4B5F-A625-5EF524D422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E19A57F-58DC-4ED9-AB7C-94295B963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BAA49A5-7D92-4FAA-8C6B-994D0BEE11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8-4173-887D-D0A79A793F31}"/>
                </c:ext>
              </c:extLst>
            </c:dLbl>
            <c:dLbl>
              <c:idx val="24"/>
              <c:layout>
                <c:manualLayout>
                  <c:x val="-9.7714718132802456E-3"/>
                  <c:y val="1.19189511323003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5311E78-2B0F-414A-B0A1-C6E35C111FC2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814-46B0-9772-0AB88141E4EF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5CF5D95-1236-4F6C-9A97-F6DD78811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8-45F4-A574-517C82556A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42CACF-64C5-413C-B83E-4B43A2EE5B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8-45F4-A574-517C82556A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5F0E60-A11D-4DCB-8D53-FAE37BB70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8-45F4-A574-517C82556A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C76E39A-43BC-4FE0-B452-B479992BB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8-45F4-A574-517C82556A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A754BB-FD4D-4E4C-B1BD-C1B53362E4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8-45F4-A574-517C82556A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389305-B465-4B1E-B04F-81D6C922E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8-45F4-A574-517C82556A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566844-1F12-45B3-89A2-CEDE558A3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8-45F4-A574-517C82556A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52634B-9A98-46C6-B37D-008FF0BE7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8-45F4-A574-517C82556A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D1886F-0C1B-437A-9CFB-94B0DE62E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8-45F4-A574-517C82556A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806635-30DE-4356-83A4-164259290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B98-45F4-A574-517C82556A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68BD56D-E2DE-4759-8A46-3D91AD4DB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B98-45F4-A574-517C82556A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B3E5DA-4DCC-4B92-8447-B22E865015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8-45F4-A574-517C82556A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DD813B-6F5D-4F20-84C4-16579C33D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8-45F4-A574-517C82556A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890A81-FE22-46E1-BC68-A03C201F0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8-45F4-A574-517C82556A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89A3C8C-73F1-413F-A31F-6FD96A17D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8-45F4-A574-517C82556A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4AE33A5-67F7-47F3-B657-8E033A7BB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B98-45F4-A574-517C82556A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4361BBA-4FA6-47F1-8701-34EE1A2BB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B98-45F4-A574-517C82556A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00C2C59-67F8-4DF9-B702-49BBEDC28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B98-45F4-A574-517C82556A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1D3B9E6-A0EB-43A7-9D3B-72941003D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8-45F4-A574-517C82556A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9D4579A-2ED3-4ED6-9D4E-BB960C6A7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8-45F4-A574-517C82556A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08A6AFB-BE74-4CFD-98B2-DE4812AC2E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8-45F4-A574-517C82556A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4506A34-4E01-4C86-8E5B-661EC968D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8-45F4-A574-517C82556A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CBB7819-BFE3-4262-9222-907A4F57D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D317ECE-D7CE-4303-AFE2-95A5390E0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8-4173-887D-D0A79A793F31}"/>
                </c:ext>
              </c:extLst>
            </c:dLbl>
            <c:dLbl>
              <c:idx val="24"/>
              <c:layout>
                <c:manualLayout>
                  <c:x val="-2.3803506800549638E-4"/>
                  <c:y val="-1.07469209376241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3F0DC9B-0CFF-4343-91AD-61626114AB59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BB98-45F4-A574-517C82556AD3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71A38B8-F126-4BDA-ADE3-282DE7A41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8D7922-287B-4FDA-84FD-29FAB98BF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4283B6-7884-45B9-83A1-33E05754B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8AEB16-A48B-42E4-BFB4-72CB293B30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CD5776-5CD1-42D2-BBBB-A30BF86235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72A021-1399-4B24-83DE-4F485D14F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FC0FE50-47A6-4602-BF80-A827737616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F0D224-B301-483E-A49B-44F8B426B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E04FE4E-D8DE-4CCF-BF42-EEDFF3CC8B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4AAFE6E-4E4F-4B1A-9E15-86AB6A09B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875D9E-67F7-4182-B64F-361C3C00C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CDC3D0D-CB9D-482E-8F21-01DA04E4A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DD3CE25-7DA2-4EB3-87C8-40E088570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056F82-3465-4252-88E1-666718F91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76E1469-E29D-40D0-A22B-45D15F2A3D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14-46B0-9772-0AB88141E4EF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C551A83A-A030-4939-AE4D-C143F4080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814-46B0-9772-0AB88141E4EF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8E0A996F-F333-49BA-BD43-CA8CC4F32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814-46B0-9772-0AB88141E4EF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A30F2DE2-B97B-4F3A-B475-AD0A7CC1D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1E999D6-BB5F-43E3-B345-13BBF77DD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9585EE0-7F36-46C8-941A-A18D6430E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C73400D-1AE4-4033-BE8E-19664C687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68E40A5-3370-427F-9016-C43FEE8B3B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5E232E5-25D2-4DDD-8457-CEFE20517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58-4173-887D-D0A79A793F31}"/>
                </c:ext>
              </c:extLst>
            </c:dLbl>
            <c:dLbl>
              <c:idx val="24"/>
              <c:layout>
                <c:manualLayout>
                  <c:x val="0"/>
                  <c:y val="-2.38379022646007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BCA1692-9255-4497-AD20-BAE3E642042C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814-46B0-9772-0AB88141E4EF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A8C2FC5-D9A1-4EA8-8A87-50DEA3249E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F0C04E-F901-41F3-989A-AD0D28B73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AB475E-34FF-4414-AA37-712E0CE97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CDC2F0-64A9-4DA1-B109-A4519F731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C89C0C8-855D-4C44-B404-78FCB9DF66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5489D6-3D3D-4A22-94D1-67F4009325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386C063-5812-49CA-BD4E-AA979B21CC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49327C-F21A-450C-AA96-64BF30265B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D9BC26-BB09-412B-9635-8285E764F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FB42A2B-0050-40FB-9EA1-68F762936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2F8BF1-5306-4192-B9B0-A5352D16A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BF6342-652E-4D99-B026-7026DFF73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62908BD-85C4-413A-B19F-A5020E473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563D91C-1EC1-4A82-88A9-F2BFCA385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68B44B-83DE-4D69-AC47-8305B0D19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814-46B0-9772-0AB88141E4EF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1D99CD76-9215-45C3-8C28-49E16B8E1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814-46B0-9772-0AB88141E4EF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4C003F50-86EC-4696-86F0-440A7162D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814-46B0-9772-0AB88141E4EF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4DE25F57-1927-404C-B887-14C69F66A4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171EC1E-5CC3-40C6-A13E-63075688CD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F8EE22-95DC-4F2C-958D-9BD37C613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B1422FF-CCD4-48F4-968E-5DF4042C2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FBF8F77-ED42-42B1-B537-89A4FC6C0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BE4E1A2-9695-4DE3-B085-3E4BD76FAD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1F5ACFF-9BE3-422C-9041-98781B3A1C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58-4173-887D-D0A79A793F31}"/>
                </c:ext>
              </c:extLst>
            </c:dLbl>
            <c:dLbl>
              <c:idx val="24"/>
              <c:layout>
                <c:manualLayout>
                  <c:x val="-1.7907812757146556E-16"/>
                  <c:y val="-1.9864918553833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1678CB0-BA25-4B81-894C-07B4402FFA7E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6C9-465F-A2F4-AF2DDC49DC18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814-46B0-9772-0AB88141E4EF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9-465F-A2F4-AF2DDC49DC18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3-D814-46B0-9772-0AB88141E4EF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39E9B85-1993-4E72-A663-9A9F37FF7D77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51101998886833"/>
                      <c:h val="0.1161576547267563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D814-46B0-9772-0AB88141E4EF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814-46B0-9772-0AB88141E4EF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2B0C769-B5E0-4DEF-A8DB-4B27C09BB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BCB2BA7-1E12-4C8C-B549-3ABC28A74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0756B4-C8A5-4870-A8C9-84F98F569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ADC42C-73C5-458C-9DED-F84C6678A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F07BC5E-1422-4853-9800-52D0A48AE6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955DAD3-2D10-4A83-8956-30F4CB6E6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D4B9E58-66F3-4592-9814-DC285A3B65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725ACAB-436E-4290-B2C6-1B415C3FA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EAA3E04-DE3E-4368-A163-43978DB15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D504506-B94A-4C4F-B66D-461B622B7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F2EDBA1-EE92-42E7-B215-B6B770571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B807C3-CE3C-41C3-9893-C88826262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3579622-6990-4475-ACD1-9888676C3A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15692AE-CB1E-4B03-BD71-63C53FE66C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2478970-CCCA-4C60-82A7-58F74B153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3ECD8BF-BA89-481A-857F-4748178B2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DD07A40-0EC0-4E55-93B2-D09D41361F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1EC0A3A-E504-4777-A1BE-E7C5EDE4F2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CFC58DA-51EE-4720-8E4A-E0790957E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DD3D13E-9F00-4008-953A-7DEA58F94C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F6D4377-B181-47A4-8F49-DF826714A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C06B413-E298-4CBB-90FB-09A3B2DC7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EB91F5B-3BA2-4FE8-9812-3AC46C6CAC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61975E6-A452-46FD-A788-308E73A61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658-4173-887D-D0A79A793F31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MBF01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C7A-ACC6-45C713076D1E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0E0668D-3A01-4FD4-9BAD-768531C48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690102-BBDB-48D8-915C-08D586B1F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1B98C6-F0E7-4B41-9B03-3741C9216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7F9E34-877E-4E43-AB30-7EFC94D215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A6C07F-2764-4855-8A47-276AEFB9C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937A1E-5713-449B-8016-48ADAC174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F1FF8A-D906-45C7-ACDE-460D4F99ED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AB33F8-E81D-4FB4-BAD6-47CBEC8C2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F1A5CCF-FB44-4488-98DD-44B62CBFF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667C726-4F8F-4ABC-BA48-F142F6B62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DEFDF3-5F6A-4A87-AB09-E71D61165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905571D-90F1-439C-970F-FEF5E240F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478731F-93D8-4111-B6D4-DFC1F6FD6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99E8F34-A426-4BCF-BA99-9F72B4658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F5755D-428B-42E9-8B3C-2EA0F35BE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587CDF3-1F6C-4FC6-9F25-BFE0C1534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8D08721-08BA-4C21-B4DA-8D85F6ACA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A92EEBD-08DD-4371-B50A-46C7E5CE18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E34838C-6933-400E-9C01-69161EAE40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9C410DC-0B09-4884-AF8C-2844475AEA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2604B66-1767-46EB-A8D8-C61B854941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5285204-C3BA-48A9-B5DE-5697FDEA3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F953C8B-5E71-407A-A930-BF525126EA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38AD589-C79B-43DC-BDBC-AFAB82F5A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6E92416-D6BF-4B9A-AB76-8A3A7C45D5DD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EA8-4C7A-ACC6-45C713076D1E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FF22372-2211-4D73-9800-D9DCD5A8B4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A3B849-F783-4721-9AE7-28AF49766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A4CB1A-F629-43E2-8C07-B8D267DCE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ED4692-1861-4316-B28C-63183DB37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7AE122-9CAF-4C5B-9D85-308877CD6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07BC837-F4ED-4F6D-B556-E1E833858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DD963D3-ECA7-4052-8CCA-C0488828A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701501-C300-4DB1-8CB6-64E957417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840FF20-0EEC-41EE-9AA9-225860368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D41A3D-1FD1-4DBD-9555-37361F680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BAAF4E8-E8C8-4CDB-A980-A609ABBFA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EC1271D-39FE-4767-A77B-B30C9BCEE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50503B-7EA0-4089-98FD-89E853F0C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7875AE3-CB2E-4762-9AA5-926D44380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EBFCF54-372B-4387-9FA1-A77299240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A38ED70-5F67-4450-9F62-668790949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A7C24CE-C959-46B1-8862-5DF4F81EF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3CE9AD5-0E23-4BD4-B029-A7C8A3DE5E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6CEC4D1-0215-4FB4-BF31-97F8626BF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EF02E6E-BB37-4753-B6DD-0441EB89A7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B6252F5-C6F7-4721-A482-72D29E7B3C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A80CE07-E6B6-4123-9A31-2E384C47B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353187E-A95D-44FC-B9B9-05EC96036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86C25DA-F272-4D22-A56B-AB474010F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52B053D-C918-4D26-AFA6-7A9ADAF286AE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53-4463-8A1B-1FB504415EB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EA8-4C7A-ACC6-45C713076D1E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E308566-9A81-4A58-BBFD-BD044A36A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EE3FB4-8C3F-44EA-AED5-FF0562281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53F882-5245-447E-832F-49E5F0C71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4F4306-7E7D-4237-ABCA-790BA6412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A3AEBA-0BC5-45B7-9EA9-D6D03A7FD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E2926C0-ACFB-4224-88E5-A0CE54B27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0EE6FE-ADDD-44E6-812D-3508BC3B1A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F01D5F-4BDD-4568-8CC9-7F15FED78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520D87C-1BF7-4B2E-A777-96930F21D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FE0EFEF-5BD2-43B8-AD0C-2F3CADEA2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22697B-D503-42FF-833E-2995072B8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3B45067-A536-4FBF-BB9A-486556C36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F9D88B1-AC78-4EEB-A82C-9439CE226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4A28B30-3237-46C8-BE6F-9CD42FB33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A67B8D1-B883-47D5-A57E-58DDB136E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D1780D5-3BFD-4E6B-8883-1A59038EC8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4C08CEA-D451-4EAC-8430-307071D96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C7FFB32-3FDC-410A-8EDB-66896C901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FEAE888-F0DF-4E58-87A2-E8D8723BC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7A92AA6-8B94-442A-9250-2DBABFC71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F0C7FEA-0058-454D-AB4A-21D3AD0CBA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0537A58-F7B2-4DA6-AC1B-B059458F5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8776A0E-2610-4EAA-B5C0-ACD424DF35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FA94F6E-4521-4A9F-BE98-025A9BFE17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55C1D9C-06F7-42EA-A5C7-5B1564610A20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EA8-4C7A-ACC6-45C713076D1E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EA8-4C7A-ACC6-45C713076D1E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60757B1-CBC3-43C7-9AFB-6867CF4EF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F7511CD-D05A-446A-8727-62EC862CC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E7CEEC-D62C-4B30-B83E-7E31C325E2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DBDA12-E8A1-40C3-B59B-E394C6D6F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73A282E-413D-45FB-A4A9-C0419265A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D3CA2C8-7337-4651-92EA-9BB163D47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0DE336-C541-4045-A947-9608351712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A0B4AAE-40B4-4764-938E-E1980C5B8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3DD91BC-9F62-41CC-9B0A-9E5503634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76EE193-3322-4263-A621-0F8B8842C3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14EA69-AB51-47FF-B440-9AC4ECB7B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481399-492F-494F-B1B7-3AA6D9C53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F1BAE26-728D-44FF-B344-4E6593514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3B5D86D-35A6-4344-A4DB-957D1DD78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E3483FE-1C23-4A4B-A182-2F7BE3F983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A407657-3840-435C-80BB-81FD07CB5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D7DB028-F0C6-41D8-88B7-098136D4C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6032ADB-2D84-43D0-90DD-C5D4E88830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B918687-19A7-43A2-AD38-BA124B01F0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5074B5E-9E68-4031-812C-8AE6F19637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FF5B9A1-3B2A-4293-9AB3-C465186F7B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9431C12-2528-40D1-8C08-0DA0DC71A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CC6B20D-1386-4800-B27D-2F0CCE046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869A202-8BF4-4309-B144-C6A965681D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EB-4898-A113-A23567AE080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PCF01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D7A-9F7C-6D011FA25BA9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4EA75D6-5326-43A3-B377-56A873C46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4113C5-37CF-4600-8506-C3EBFC689E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19E65E-0BEF-437F-922E-E94573159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6CB0FE3-C210-4B6A-A6B5-C39BAA9AB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B7B61F5-AEAB-4860-9001-B0D68B478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25DBD08-8A74-4330-A9E9-7750C67D0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AE-4D7A-9F7C-6D011FA25BA9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82A9290-D2E8-4DDD-8C27-A393DA48B721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9DD2DCC-1C77-4D39-9B49-006F324A3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AB62B77-A396-4695-8A7E-B614E95F55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A692FC2-8205-46B4-86C9-51BF46D0D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9358F05-960A-4D4E-950C-995C85A70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9E2C919-6F3C-4F5D-B269-A03CC0507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7E-4DC9-B8BF-1DE5F544B066}"/>
                </c:ext>
              </c:extLst>
            </c:dLbl>
            <c:dLbl>
              <c:idx val="24"/>
              <c:layout>
                <c:manualLayout>
                  <c:x val="0"/>
                  <c:y val="-2.4337043135492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414013C-ACC7-4EB8-8306-8444D10A6F4F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4AE-4D7A-9F7C-6D011FA25BA9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55B13F-D584-4A93-8C7D-B5DE7FBEE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072925-F72D-4F2D-B34B-CA34C12794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021505-5C26-4D12-A428-6680DC098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04C51AA-B010-4F8B-9C26-4F849E6C50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CEBF687-1BC3-4FF6-9B83-501E34FF55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EB81565-C24D-49D3-A948-F8B2F236F2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1005E2E-99E9-4CF8-9C23-C87E8C8B40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9990E40-FD8A-4087-B6C8-1500973A5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F2C26FF-3662-45A1-9544-E03E7E9A76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2678A09-BF6D-45C9-BF1D-BCA3DBCA8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412AF08-3601-4A40-86E9-32F1776B1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00D9A31-174D-4274-9C54-0BDEA98E7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7E-4DC9-B8BF-1DE5F544B066}"/>
                </c:ext>
              </c:extLst>
            </c:dLbl>
            <c:dLbl>
              <c:idx val="24"/>
              <c:layout>
                <c:manualLayout>
                  <c:x val="-4.8972733868284562E-3"/>
                  <c:y val="1.0140434639788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EAD4CE7-9661-4B7B-A86D-9CCD83CB5E0D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6C-4A50-B309-DB7495C4568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A4AE-4D7A-9F7C-6D011FA25BA9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120CE10-412C-436D-B73E-E4880956D0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FE2C6E-1245-44BF-B79F-A6488CD68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6D9D1D-E309-4B58-B0FE-72B30F59CA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DDB4B7-B1A1-463C-8A8B-B36BD9D36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931CA8-77EE-456A-BFD4-D94146838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2489BA1-26B4-4C09-B90C-FFB00D69CB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19D43E-1303-4AAD-9BAA-9491988F6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34F811-75D0-4B28-B711-9F358358C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34F220F-56DE-47C5-BBB1-082E92FF9D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31A1359-D904-4DE3-B769-07D221A71D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FECB1CA-124F-421F-A15A-E7CD9C4E3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98A32E-13AE-4FBE-8A66-9AE8F3D7E2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CBF1F09-2FA3-4CF9-A148-63DE33102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DD3333-9EE6-4907-933F-8EC594732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94922F6-516D-43A2-889A-0AFE01263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055F723-D0C0-415F-B73D-53683EDB1E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DFD4E54-0431-431E-A063-8608E8BDCD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94B61CB-21FD-4DE0-8D83-8C4E7E837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619054-4AE9-4D69-816C-E0E9FAEBCC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D248DFA-1227-41B5-872B-F86A8E9A7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5E67ED-5FCA-4089-A472-78FF4878FA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072B7F1-6CED-4230-9E8B-69EB46BC3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EA77449-9D40-4B71-A711-90FDB86BB8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73FDD3A-FE00-4BFC-8732-B137D12103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7E-4DC9-B8BF-1DE5F544B066}"/>
                </c:ext>
              </c:extLst>
            </c:dLbl>
            <c:dLbl>
              <c:idx val="24"/>
              <c:layout>
                <c:manualLayout>
                  <c:x val="-6.1044080651631626E-3"/>
                  <c:y val="-4.8674086270985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9A371FA-9840-44A2-AED9-B02088C8BFB7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5334172787929"/>
                      <c:h val="0.101695173530931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4AE-4D7A-9F7C-6D011FA25BA9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4AE-4D7A-9F7C-6D011FA25BA9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3E1D89-8AD1-4225-B49A-DB4548323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6493912-B78F-4F12-BC99-0835227F39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40DA5AC-447F-4444-A357-A9ABBAFA45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5A87731-E72D-4667-AD1F-2AC2CA0180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3DF9074-8229-4D58-8633-A92BC29F2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C17EC52-D238-434F-A9BB-AE1885B1A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006405F-B1D8-4C2F-9FFB-B6B92C2D44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C9970F9-D763-4206-BB10-6F55A9DE85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DE6F5F9-8C79-44D3-8646-F49250BD1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60A2DD4-E49D-429B-B250-3A7D47ABAF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56D2F35-6D9A-42C9-A723-E62FAFC44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B4953C8-AFB2-47E6-B40A-9C5E27C2C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57E-4DC9-B8BF-1DE5F544B06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iSS1084G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AFE-B517-60F0D45F1E6D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9BEB54A-DB35-44F0-9BCA-7CB3A9EF3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3122AD-72B4-482C-8C9D-C33F7438F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F318DC-92FC-433A-AE94-92239048F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F186C4-9742-4BD3-9B66-A58CFC029A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BB3B5E-87C7-4834-9F72-378734705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6E5981-CD85-4DB8-B7D9-D5493449CB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E7C1BA4-5F7B-4985-8BD2-AB4AF62D8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A35D9F1-D919-40D5-B48D-52A751F6F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25080D-45A6-48D0-A393-100CC680F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CA871A8-EE59-4148-A66A-10EE61C26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EF3D0AD-0486-43B7-86F8-C5C0D07F74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BD3AEA-D907-460A-8204-0849D5104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D3C8FAC-1469-489D-9A45-0151C22B1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DA0115B-B032-4B0B-ADED-4BA271437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A213133-2DC6-4028-8F5B-2A8F0DFA25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4D407A0-8DEF-44CE-A79B-886C13193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77E435D-715F-44DD-BA72-C60211F1F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3B74CCC-C302-4FFF-AA32-FC4A6182A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E0E2ED2-0BF3-498C-A83B-D4561D19C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17A4012-2AB1-46D8-9A72-63E2C08B6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3A2338E-A187-4B20-9CDB-8016EC2D64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58D358B-2618-48D2-A543-277573F57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7397F58-0F22-4F14-8544-C95B933AF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9F7C0AA-8A5F-4B04-9489-56B1D948D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1-46C8-8C51-305FDD0A1529}"/>
                </c:ext>
              </c:extLst>
            </c:dLbl>
            <c:dLbl>
              <c:idx val="24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B40B4C97-10DB-4BC0-BCEE-9D1B75985D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B96-4AFE-B517-60F0D45F1E6D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BE7F0D-7771-4D30-AF2A-D433251536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B45128-31BB-4918-8B1C-D1F9E9F83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3108F1-E2A6-4302-BBD4-E0AE5F6A3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60FA54-6F58-4026-A7A9-4038F4B62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76D3ED-4754-4A8C-8C02-11B2B3B4B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9F87536-1BB8-466E-BAF9-25E8DD394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15E94AC-759E-49B7-AE1E-B38BFF021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ECA01F-2120-410A-A543-F7D9C5C91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8448AE-E842-4FE6-9F28-CABDFA5AD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5B5801-8659-448D-B44D-083A5B65E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362B38-B73E-4C51-9B11-0CB8B7331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F0708C-FC40-4076-AA47-C3EDCEC3F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98AD6F3-14D3-4D20-A633-98D4824E3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D73352-2278-441A-BB45-F86371DEEB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12A7D28-480E-4847-A6B4-E80DC462D0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0B82486-D9FE-4438-9A42-5A632C60FB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E3CFEAE-803C-464E-8AC3-9B680B80F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FA67D4F-7D17-4BD8-AF54-6937DA094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E3ED718-0733-4868-B763-067ABA5929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44B2389-D344-4BA9-9A7D-C6B6CCED4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4C920CB-DF25-4E0F-8AA6-1F4E6B203E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03CE657-314E-4473-B052-304136AF89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05B5055-167C-4389-BBFE-7360A2F20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7D4EABF-C613-4BF5-9F2D-CD1732103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1-46C8-8C51-305FDD0A1529}"/>
                </c:ext>
              </c:extLst>
            </c:dLbl>
            <c:dLbl>
              <c:idx val="24"/>
              <c:layout>
                <c:manualLayout>
                  <c:x val="-4.820120803795633E-8"/>
                  <c:y val="5.33116184309346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4B1D946-D162-4EEB-960B-1FC0BCAF98BD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1310.996875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7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B96-4AFE-B517-60F0D45F1E6D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00544B5-020F-42BF-BC0D-769121E0B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39AB4D-3CB8-46B0-90D6-320C8BCEB5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A4EFB4A-A192-480E-93F9-DD5BB409D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0585ACC-3A89-4375-86A0-01D073F58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FBC0E1-CBE5-4CF7-AEB3-AD6FE601C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9E19B14-B4A0-41A1-98A2-4A41D7FF0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2B007E4-AE35-403B-945A-7E1CD380C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28C50FC-DADB-4B6E-BF00-F4D35A94E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C5C14F1-371C-4AB5-9259-8CA826A3F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03A58E4-B4CA-4D44-AAFC-323877E38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F81095-A803-43F4-A623-E3F6E3DD0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C2DA41-F741-4D02-AC7B-CD7939B4D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238E42-F07A-467A-ABE0-F96662CE6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3F02F91-E37E-4445-8F35-5AFE6915C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CA7BC9A-8188-437C-A042-CBAAC6F30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91C7DC-5EA5-4E85-BBA1-CB1BEAD1E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2F1CE83-14CE-4F43-8B66-7B9F655F3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85BADE1-9DEF-4E42-8FDB-2F09DA2EEC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2EFEBB2-8158-4720-8221-752F93856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6122EA-6CF9-4099-A932-0B216E655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4146980-75F5-44A1-8F49-BE226253D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04F877F-92CC-47DF-8E11-C4219329F9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551E59A-B599-4B90-9E0D-64BD21B2C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308F856-9179-4AEA-9EBC-B29CEA0E2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1-46C8-8C51-305FDD0A1529}"/>
                </c:ext>
              </c:extLst>
            </c:dLbl>
            <c:dLbl>
              <c:idx val="24"/>
              <c:layout>
                <c:manualLayout>
                  <c:x val="-1.2243106841642703E-3"/>
                  <c:y val="3.65055647032389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36F85AF-A58C-4E8D-BBB8-8900A9359928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C58-462A-8D96-7660D2D0DE2B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1B96-4AFE-B517-60F0D45F1E6D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6F38384-9349-4E43-9257-D922E9A269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4A32776-4925-4673-8B24-519502389C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C453160-DFCD-4A61-8470-CE9DBA787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774128-259D-4241-A8EA-DD945DC19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1F6C10-1169-4C59-8B3E-BAE6A8BE6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B539AB-3A21-493A-9757-026F07142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F975E9-B287-453B-946F-158BB9D6E3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DDBFFBC-9D74-413C-B8F5-E8CFB9503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64E051-9AF9-446A-97FC-25C74000A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2DC9B5-3341-4679-BA04-D1B841433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C102146-9951-4993-8B69-B3671EFAD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9176C4F-7E93-44C0-A207-C38FAB2E7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3A3872E-29AF-433E-931D-588E08A59D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1D3AC6D-8C3E-4BD6-AC1D-8081C7DD3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9509E66-FD4B-4A3E-9A13-0395EDD40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7A5C87F-60A2-4434-B814-E692C35A11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A0D5ADB-2D19-4D37-B404-BBC56A503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5E9DF3-2BED-4506-91C9-78E17339F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C0FE1F-FC89-44C8-8209-949A1E0E3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5C523D3-BD6C-4516-8587-E29347C3B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7C5B490-5592-4C69-B575-C0F71FD50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2D9E932-D8CB-4203-8497-32F4CBEB5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FF46640-165A-4CAC-B328-4F20CF2E3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D1DFB99-DB40-44A9-98AC-741E4008DF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1-46C8-8C51-305FDD0A1529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8DA8686-C06D-4052-8E2B-4473E868BCFD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3007331778E-2"/>
                      <c:h val="7.46430504308267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B96-4AFE-B517-60F0D45F1E6D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B96-4AFE-B517-60F0D45F1E6D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CEFD5F3-4B26-40C8-BEAE-9480927B1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C99ABB5-D2DA-4FB3-B519-47D56C8DD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62C085-5794-4EAB-B6F3-1D0F030CB8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3F60B39-8264-441C-B1EF-8C869E4F9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CA1524-8CE1-4C57-AEAB-9BF534913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E994EE-0434-4619-8830-B10F2A609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E2574D3-E5D2-4C14-BB86-1125B2CF7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7662865-53CA-4F44-9881-737864814C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58A37D-C8B4-48F5-BDCF-EB2FFF3A05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718F773-631D-4A91-BB5C-378077B20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ACD4351-0D43-4CA0-A8A5-A79BCE7F66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419B78D-DBCE-4C33-A2A3-0C5FB885B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540CFB-F5E4-4E00-A214-E5D6FD2DD9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069B165-2638-4541-BB0D-80C3E53F8A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3BA977D-04A3-4866-9CF3-EE2DA7841D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ED98295-9E83-4446-B65E-141B55EC5B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DBAB2F3-4E34-40C9-9BE9-ECC6F1551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6A7F83A-ACCF-4A47-B400-A9E6A7AF28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2232EA7-9F72-4B87-81D4-4C415B1009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49BFB87-7EF5-433E-86E8-9ABD99768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BD20CF6-1C35-46C4-B6B2-8E7E08AEC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152FAC3-BB96-4600-8EC2-CA160E2B3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A084AF5-F9B1-4597-8144-81BD36733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7732444-77B2-465F-916F-27BC5DDAE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461-46C8-8C51-305FDD0A152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iSS01G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F8D-9630-E32551AC36DC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3419D29-ADA5-4BC2-BAA8-0E808942A7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385EA4A-68BC-4FC3-95EC-707187A3C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15E49E-0D7A-4022-A04A-44F4A49CA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521E63-C7F0-4EAD-AADB-562251767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6A81277-EC43-4D43-8791-68D479D78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5E78022-BD5B-4C34-965F-1A20199200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8808AD7-5FD1-4869-A4F4-8893F953B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076529F-1CD4-4F9A-B5B0-15ACC74B22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79FA761-0798-44FA-8D12-D03A11B1F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12860A7-3F58-4A5D-8242-192F1C23D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F8AEB0B-80F5-4CA6-A2A5-F0B3DBE70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6E1E155-5DAC-405B-9E2D-2D5449CF6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7C-4DBF-BE90-84AD3FCFFFC7}"/>
                </c:ext>
              </c:extLst>
            </c:dLbl>
            <c:dLbl>
              <c:idx val="24"/>
              <c:layout>
                <c:manualLayout>
                  <c:x val="-1.7907812757146556E-16"/>
                  <c:y val="4.96623041525976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73AFF26-6333-4E2F-A901-6C63BB5E64B2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6D5-4F8D-9630-E32551AC36DC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9E7888B-30EE-4BD8-B9CC-D5F5E3290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5A645F1-A379-40E9-8F7E-E2727D559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937BA0-8D31-48A0-8AD4-22CD3C097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6D9AC4-2B66-4ACE-ABAC-294257AAE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C55BB7-23A8-4730-A65C-FF1763DCE0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1E27C52-6184-4B17-A2BA-DCBFFF511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8C94E1E-8A18-4D8A-AF86-5D46C58A59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6BDDE3B-8EE2-4C67-A654-39C0CAD26D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F3C8DA-3849-4734-AE25-23F816AAF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9F63F94-21F6-4539-947B-0F55279FD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1057062-4F89-481F-A30C-734A93252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43EA26B-2E2B-49B9-A4AC-6E30BCFFA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B0BDCC-A83F-48A8-A80B-1CC8E30E0E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52479CD-5FFB-4664-8CAE-2C7B5F18C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1BE7EB-B77D-4A78-BC1E-0D04166CC2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E947EA7-3DD7-4F91-B055-6773D1443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982A98D-0F5A-4FE6-B311-A4BCD3E5FA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501D5EB-4396-4ABE-9607-EAA644156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0FD9572-3B57-4EF6-9D37-457571C89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5235C91-4C6E-48E2-825D-94E22E717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CF0FCD3-BB0A-423D-8AA3-2705BA4B94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F9B601A-82BB-436D-BFE7-A66247290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6EF24D5-9F00-4B38-BEEC-4C9AD0AA2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D731C73-CFB3-4ADE-AB68-84DD67A1F9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7C-4DBF-BE90-84AD3FCFFFC7}"/>
                </c:ext>
              </c:extLst>
            </c:dLbl>
            <c:dLbl>
              <c:idx val="24"/>
              <c:layout>
                <c:manualLayout>
                  <c:x val="-4.3456110626361443E-5"/>
                  <c:y val="-5.907209856004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CE95D6-4E3D-4E49-A2C9-01D71F637ECD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32692349292141"/>
                      <c:h val="5.9143346369622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1310.996875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7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6D5-4F8D-9630-E32551AC36DC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DA8DC2-80BF-4663-9BD8-B24FF38738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0E4C58-35AA-4745-BD4F-7442B1A49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FD093A-8395-4AB4-978F-B7E7746A9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233442-C4B7-47DD-9B0F-CD6BC5530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E17D61-AD34-426C-87F6-EBB42095E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0275D5-68CE-4CD2-BB7A-39D8B6B73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A9F328-BC2D-4D6D-82C0-971AFF3C9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9E5520D-A616-478F-913D-EB2EA284A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E6815F-1210-4C0D-A033-A6FAA5859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342C73-0E64-45C6-B4E9-8AD78EA00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679B5F-3BCF-41E8-A51E-73D111C7EE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EEB780-0C8E-4E46-8C98-092E54FAA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AEB1833-7704-44C7-B814-2CA9C110E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B951BEA-7611-4F29-AFA6-F8D2FD2F1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E4546C5-FBB4-48B4-A8CE-E8F8D0C37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E82D847-90CA-4810-A003-96A34CC68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5EF6477-6C06-4BAE-8C6B-2FEA27386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764218D-4223-4E34-89A5-2AD4247C0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E68BF9D-A75A-4795-8DDF-5BBB94517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41391EB-34AD-4CA5-A4DB-F4FCB755C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E20AC7-D63B-465A-8EE6-B0902A696F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5DF77C1-ED71-47BF-8A82-10AC9375E2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C678D4D-618F-436E-94BA-57FD4C3B56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DD5038A-116A-4F42-B55F-DECED1B16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7C-4DBF-BE90-84AD3FCFFFC7}"/>
                </c:ext>
              </c:extLst>
            </c:dLbl>
            <c:dLbl>
              <c:idx val="24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9349F36-63B8-4858-9BFB-3C0F499D6BD4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7-44CF-A8FE-9E906AE1339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6D5-4F8D-9630-E32551AC36DC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41D41F1-D405-49F7-B874-10D548EEE5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99FE754-773B-4B9B-9FFB-593759385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06678D-AB70-496E-BBAB-53BA4A551E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36BFA5-7BF2-4F70-A979-56A1319FA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19A88D5-82CC-4369-8EAB-1C3265B0FB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8BF850-EF5E-4B2A-9233-951760FEC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EC92160-B8FE-447C-B94F-1BBEB5D6AB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1B577FD-71F9-4D85-92F0-BCB774AAC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536D122-54F3-43BB-AA93-2CC9532B3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D37F4FE-9C01-47CE-9330-F37F476778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449D7E-4E3B-4B41-9E7E-A9345E23A1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8BFF4C-D2A9-4E0E-A5DE-1A783C2103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8DE53A2-385C-48AC-B781-18314D6389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D995FE-8CC2-4F14-8452-A3385E4BC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9859DC-D110-4EF2-8D08-CB0FE85FA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71F0406-0AA7-4E73-BFAB-045957D5B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44205BD-052A-4A44-9C7E-7266B0517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E2EAC74-228B-4691-B2A6-5780219AC5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81FEB76-6D07-4BA8-8B07-6B7EABD8C8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4B28E7F-0244-4913-975C-D4B8D8994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FEE4CDA-B89B-42D6-BB6E-13E5A8A066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3B6116C-2DD3-4BA2-BACB-EB385BFE9A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BE680BA-6A52-4C91-9A68-561F79FD7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24F972F-CFC8-4ACD-9F8F-C15C1C9D7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7C-4DBF-BE90-84AD3FCFFFC7}"/>
                </c:ext>
              </c:extLst>
            </c:dLbl>
            <c:dLbl>
              <c:idx val="24"/>
              <c:layout>
                <c:manualLayout>
                  <c:x val="-7.3260080303431327E-3"/>
                  <c:y val="-1.4898691245779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7363B35-5726-4166-9B8D-CE6B4B50F384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6D5-4F8D-9630-E32551AC36DC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D5-4F8D-9630-E32551AC36DC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ED59C73-E7F8-478E-8429-69664BE925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9D1D83-DDE2-432A-9C36-A96BF35E5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7F66F5A-5A9E-486A-B02B-942AAADE1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BB0E90C-AC65-453B-A2EC-D409A5FD24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27D4207-2173-4DFE-91BD-81503E604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E963FD8-98DB-4BB3-AC4A-F6C66E2DB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0B7EE6-EAF5-42F7-A361-273192F3F8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7537C1-9AD3-4830-8A7D-069D8B1184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A7023D0-7E1A-468D-B595-148563CD6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53A5AD4-F26C-4EC2-98E3-73122C2150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7B225FA-0E0E-4B15-A8DA-BF87724FB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0D415B2-5422-468D-8289-4A02640D9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B2DCD06-848D-46B6-8479-33A0FF924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FB81302-6E2B-4D39-933C-D79E9D65D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1D92566-9474-40EA-98E3-536FE0D192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27D5E8-AA8D-450B-8A38-4C6CCAF418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2B6C837-1EEA-436D-9215-7EF6983C5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F6364D-4AC3-443B-90D3-83357BDB9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2DE5880-015B-4013-AC58-439EA396C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5DCE3B0-3BD6-4AD8-AD9B-01039545A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83C1EAD-5C69-4FB4-8E88-CAAA22840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8EB6B06-9FF4-4250-BDA5-C9945AB4D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FB89091-9AA2-4E49-A573-59D4F2FC9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929B828-31FB-460C-A8D7-FCBEFBF4D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7C-4DBF-BE90-84AD3FCFFFC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7560764851576656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5-4EEE-9BFE-D7DEFADC7C66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DAE09B-0FDF-4159-99A4-0B3D74160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D1D169D-D6DA-4644-8C70-6B93A49468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B074E1-41ED-4373-8C7B-6162A32DE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0B76343-7837-4166-AF3B-D068DC9755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8652BD9-1D41-4C51-A3F0-0FD4E2932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F5B54B2-5199-46D9-A8F3-5EB080487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C2114FB-5DBF-4553-BE34-CF04868D0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F6F0B8-777F-4B95-9881-7CEA8757A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97BEFF9-17CD-484C-A8AB-B67D38AB5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04C5063-902F-4409-9562-233CB2D082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16BFF7B-E1E3-4985-A6B8-CAEE51CCE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AC1B0B-29E2-4FC1-ADC7-F2E9DE532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97-47E7-843B-5B28A7142195}"/>
                </c:ext>
              </c:extLst>
            </c:dLbl>
            <c:dLbl>
              <c:idx val="24"/>
              <c:layout>
                <c:manualLayout>
                  <c:x val="0"/>
                  <c:y val="6.8113491168733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8AA0F0F-6FD1-4708-A2ED-522330A7DCBD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26E5-4EEE-9BFE-D7DEFADC7C66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AEF74AE-F7E4-4C53-9D2C-3A14194BF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8851564-4196-479F-9DBF-41C2638E4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9915857-73A4-4892-B4C7-9D694E89A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0D9044E-EC7A-4031-A8D6-5630E4051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6C59F79-0832-413A-8E3B-8200569F1E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45A6DF-2D80-4368-87BF-5531513A46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E9031F1-DD34-4269-B98A-F0C8A5169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A855398-F893-40A5-A0B0-9B82BF5F3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58D1730-1A98-463A-A396-CFB2AD0AD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A321AFC-B1E8-424C-892D-2E5B80D16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1468793-9862-4912-B53A-D786C2BED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B134FE0-7DC5-4930-B67C-1910677F63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C5C77A5-C56C-433C-AF42-C41368E14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E9CFB6A-9D7C-4FFC-BE4E-C341EB98B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88B285D-49EA-4A20-9735-4FD365D3E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0704DCD-31BF-485E-85B9-F52009D72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5BFCD9F-7752-422E-9528-35F19C2F0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39C3ACE-C9EA-487B-8AD9-8FA0C1D87E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8C77AC-AF62-458D-8D10-C4A69B056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B4C1488-B3B8-48C3-9842-AA45F71D16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9F2DF66-8ADC-4BED-BD99-22C1D5AEEC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1C39E76-3043-4526-B928-2B9C01589D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A61C191-260D-450F-AD82-13665A5084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761F2B5-F152-4CFD-A02F-555BE803C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97-47E7-843B-5B28A7142195}"/>
                </c:ext>
              </c:extLst>
            </c:dLbl>
            <c:dLbl>
              <c:idx val="24"/>
              <c:layout>
                <c:manualLayout>
                  <c:x val="-3.1489918617777436E-4"/>
                  <c:y val="-1.3464574326743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AC4A65C-92B3-48B1-8688-CEE993436173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95065742006858E-2"/>
                      <c:h val="9.29136381861281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1310.996875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7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26E5-4EEE-9BFE-D7DEFADC7C66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144BA7-874F-4FE0-A621-6792148A3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90067C-6F47-4B53-9F0D-5309944EE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C9EC17-CF11-44C6-8037-FF0A394630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33CFE4-4994-4472-9BFB-6F3E33DDB1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D897ED-8C2B-4C31-B46C-3A82B9BCE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EEB132-DD7C-40C8-B6EA-6E4149AC2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8EC8E9C-0023-4640-A8FB-E419838E5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80A4C8E-5B98-4851-A074-B42933592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6682A8-AE5B-4A02-9847-A9C76BD86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5F7620-1E5C-4BB3-84C6-69CDA97CC4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76BF34-FD07-483E-9113-64771F41D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83838B2-7B17-447B-8A9C-621EB7661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EFE42B0-66E3-4F63-B189-37552BDC8E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CD4EF88-DB6A-42C5-876E-CC5E53B7E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214752E-0301-4D56-8CB2-0984400DF4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29C7216-7C74-4E23-AE0A-8F9D4A11A2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AA2883B-54DC-42A1-941F-AFDA5DEAB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8F22FCA-506D-47A4-B14D-18E0C1CA7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4CF0256-3BC0-4916-B5F5-266BEB386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AE5E2FD-F063-46A3-8A2A-DCF381143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77DE54A-B327-4A40-8A10-3739386E5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D830FF0-905A-46BA-9169-63EB2CB1D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82A56EF-FBE9-4DD3-AB4C-FC384654E2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B9174F9-6E2B-4A58-B761-1E79334055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97-47E7-843B-5B28A7142195}"/>
                </c:ext>
              </c:extLst>
            </c:dLbl>
            <c:dLbl>
              <c:idx val="24"/>
              <c:layout>
                <c:manualLayout>
                  <c:x val="-1.1911296398133613E-2"/>
                  <c:y val="1.64411875234873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1581B0F-358B-43A8-B856-8661DD810720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E85-453D-A523-212FFACC4F2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26E5-4EEE-9BFE-D7DEFADC7C66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947F4A-510C-4EF8-AE15-97F95F8DCE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F9CC745-272F-418F-96F9-01992D165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8A0EA1-0F80-4E79-81DC-980981C86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5238FF2-0A2B-40CC-AD71-343E7C597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354709-469D-495D-9EDB-F1B9E7412A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BBE8DC8-4129-4373-9609-BB8145B77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C1E6F38-0CB4-4571-AEA9-BBEAB08DCB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F09099-0C2E-42DC-8693-FEE0D0D1CF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DF54BF1-10F5-47F7-875E-033E74293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0E5B37D-3C99-4237-B3B8-179328C09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603F1B-85B9-42FD-AE7A-08B73E5A0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2AED506-6672-4C72-901A-BDBE09B5E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698FBF-96C1-4544-A94D-066D394375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08210D8-D5D3-4EB0-9D09-295018AE1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EF322A1-5C2F-4665-BAA6-F7F22BF40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5AF85B8-24D1-4555-8CED-0DE3D89B0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AA88962-712B-434B-930A-341F733B8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D29B6C4-7A37-4479-A276-95C49125EE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69AEE0-A9D5-4E76-AB5E-2BC2BE022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B28891C-FC2F-4F72-9179-759E1E3AE3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1178CF9-E931-450F-9D33-0430D7B87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8FB8FD8-9481-4755-A904-32C69B170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294C55B-59D2-45B3-B5F8-634AD732F4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AAF66B8-8000-47C8-9D87-9C4890D700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97-47E7-843B-5B28A714219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BCBC351-DC34-4700-8DBD-F90D42E9E2BB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170246010593347E-2"/>
                      <c:h val="8.50477532973993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26E5-4EEE-9BFE-D7DEFADC7C66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E5-4EEE-9BFE-D7DEFADC7C66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56CA743-E2CD-4F93-902F-738F78B4E6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7A356CA-7956-4C75-B469-F79330F67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DB6041-001A-4790-9B51-17A159DFD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37B31BA-2D3A-43A9-9113-635069AE6E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541F9C-B894-4C46-A216-1275FAC6D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3A5FD0-C088-4BE9-973F-7D63818718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A3FBEEF-7818-42EA-8306-9BD40EED4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FA43874-30EC-4924-80F1-7227E97D1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8410DC-2C3F-4B31-A1D4-EEE6888FD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4E5EEF-51A2-4275-B6BE-1E35A5330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EBA7824-B9BE-44AC-A9BF-66F504F16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90D6FF2-BA85-418F-BC6B-925A05CB8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E94BE39-5787-406D-AFCB-69EDAA831B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389B8FC-F987-427B-B9DE-C13F9CF2F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4D16C98-DC19-42DA-8C38-825B8B5BF9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4794641-4E8C-43BD-A963-D5978FCEF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05E50C5-FC2C-424C-9779-01D5ADA9B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8C1A651-B267-4934-A4FE-847FB71CC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B5033F4-A612-421B-B98A-A39A4D626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E2A61B4-EAC4-4C20-A7D4-F0FC95F5D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36B46B7-50FF-4739-973F-592825EF70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1BB539B-1684-4221-8140-939058A86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41F6875-7E15-46E7-A887-CAD9F2FEC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2A502E2-D4A1-425D-A56F-0C08C726BF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497-47E7-843B-5B28A714219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497-47E7-843B-5B28A7142195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96447364768197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486-8E5D-8A2954B17F89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F8D1BFD-CEF5-4977-B60E-6273C1E33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8E410F-E7B7-411E-A8F1-74EAB61BBF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C824FB-14F5-4370-9B73-7E17C169D1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CF28632-E855-4EB2-B373-CE4CB578E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E8487CF-8B0F-463A-AFE4-09386D5C3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0D2AA5-B747-4C22-B993-67A0B24360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D6ECC15-29DC-47D8-8914-11FF0BD2A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B33F7C-663B-44D2-903B-53DE09E68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E672797-93B6-41CE-9C6F-11FF153591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8F78A4-C098-4249-9A29-C90A87F92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F0903A-E059-424B-B907-BFC5A9C24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D634737-5A40-4F99-A410-6F855BBB9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2C-4486-8E5D-8A2954B17F89}"/>
                </c:ext>
              </c:extLst>
            </c:dLbl>
            <c:dLbl>
              <c:idx val="12"/>
              <c:layout>
                <c:manualLayout>
                  <c:x val="-3.7909187269423578E-2"/>
                  <c:y val="-1.5982881332205882E-2"/>
                </c:manualLayout>
              </c:layout>
              <c:tx>
                <c:rich>
                  <a:bodyPr/>
                  <a:lstStyle/>
                  <a:p>
                    <a:fld id="{DA3518CB-0A1C-4D4E-AD10-42E28F637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4EFE0FF-7420-4B77-90A1-AF829CB8B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8B00608-A87C-4783-A285-16D50678B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8B9881D-6DC8-411D-A007-A0C56C06D7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852BCDE-E699-4850-A9B8-F18206CC6E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9E47DCB-E4F3-4F7F-B497-3FB134BAD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0641E48-9F3A-4BA3-8C80-083BF6AE2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6D8BC8D-4217-4C1F-A351-D07D27480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89D38D0-B118-40A0-B4BB-83852A9083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47C7652-DEE9-4DAB-BAB0-3B88CF8F3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23B9E3E-28CE-4E3C-A80C-068D9FB2E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7430A65-BDAF-4E2D-BEA3-337F1781B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471-4AEE-91CB-650F2F2FDA41}"/>
                </c:ext>
              </c:extLst>
            </c:dLbl>
            <c:dLbl>
              <c:idx val="24"/>
              <c:layout>
                <c:manualLayout>
                  <c:x val="-1.4014254077809063E-2"/>
                  <c:y val="-1.56259709362710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>
                            <a:lumMod val="60000"/>
                            <a:lumOff val="40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C91711E-9C84-4B2B-B64B-0304D897BB02}" type="CELLRANGE">
                      <a:rPr lang="en-US"/>
                      <a:pPr>
                        <a:defRPr sz="1200" b="1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B2C-4486-8E5D-8A2954B17F89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E54D2A0-878A-4A96-B0C1-46F38E573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405701-144F-4D7F-90DF-8254F1699F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10B6BD1-757A-4F5B-B014-2368E593E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2DF026C-79B5-4634-A35F-7022017D3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116C29A-FDA9-4C95-AA52-A794B8159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DF57123-2529-410D-B228-4C9D7B119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7F4120C-6292-49DC-BA0E-0E444A89A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1649BAF-DAA8-4CEB-8FCD-50E13906E4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244F936-9B3E-41CF-872A-5D8693881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6A0F657-8937-499C-AC39-CD70D9884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48216E1-A6A2-4573-AC23-160935E654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5480633-5D8B-4B4D-BA19-AAC7F64BE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B2C-4486-8E5D-8A2954B17F89}"/>
                </c:ext>
              </c:extLst>
            </c:dLbl>
            <c:dLbl>
              <c:idx val="12"/>
              <c:layout>
                <c:manualLayout>
                  <c:x val="-2.2126358986595207E-2"/>
                  <c:y val="-3.3436885907157654E-2"/>
                </c:manualLayout>
              </c:layout>
              <c:tx>
                <c:rich>
                  <a:bodyPr/>
                  <a:lstStyle/>
                  <a:p>
                    <a:fld id="{A7683E16-E508-4A49-8855-2D1E004E1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7FF899A-3C6E-40B8-9FBC-3CD6BEAC0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01A374F-6B40-4EC3-B751-803E05C83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B6DB7C7-54D2-48F4-A4E8-0F180E86D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BE1E7BA-8244-49B3-BDC3-405B73978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1891DE8-AA0A-4AEE-A826-CFE321AA1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6098370-A535-416A-BB9C-17E591945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C6087D6-4064-4573-9BE1-C16880E5F5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5B1F68F-3A72-48C3-903E-EEDE8780E9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BFCA00D-9497-43AB-82B5-C44B09D2A2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A67-43A5-8CAB-B1B55473BB1F}"/>
                </c:ext>
              </c:extLst>
            </c:dLbl>
            <c:dLbl>
              <c:idx val="2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E0A2A5F-AA64-418B-BF3A-32C697B93B58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032789588529078E-2"/>
                      <c:h val="5.917319024116562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D6B-45E0-93A7-9C5B8FC7E63D}"/>
                </c:ext>
              </c:extLst>
            </c:dLbl>
            <c:dLbl>
              <c:idx val="2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0B42074-51A9-4F6E-9FF2-4603332333BF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37992810007188E-2"/>
                      <c:h val="2.6347825832234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471-4AEE-91CB-650F2F2FDA41}"/>
                </c:ext>
              </c:extLst>
            </c:dLbl>
            <c:dLbl>
              <c:idx val="24"/>
              <c:layout>
                <c:manualLayout>
                  <c:x val="-1.2987595898536108E-2"/>
                  <c:y val="3.9969149750391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BA632A0-6E93-4D7A-9D17-A99BAC967ED2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47768030055312E-2"/>
                      <c:h val="8.074195317638387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1426.403125</c:v>
                </c:pt>
                <c:pt idx="13">
                  <c:v>1388.6447916666652</c:v>
                </c:pt>
                <c:pt idx="14">
                  <c:v>1353.5541666666652</c:v>
                </c:pt>
                <c:pt idx="15">
                  <c:v>1354.375</c:v>
                </c:pt>
                <c:pt idx="16">
                  <c:v>1359.3</c:v>
                </c:pt>
                <c:pt idx="17">
                  <c:v>1359.3</c:v>
                </c:pt>
                <c:pt idx="18">
                  <c:v>1359.3</c:v>
                </c:pt>
                <c:pt idx="19">
                  <c:v>1341.57</c:v>
                </c:pt>
                <c:pt idx="20">
                  <c:v>1310.0574999999999</c:v>
                </c:pt>
                <c:pt idx="21">
                  <c:v>1310.4775</c:v>
                </c:pt>
                <c:pt idx="22">
                  <c:v>1310.8150000000001</c:v>
                </c:pt>
                <c:pt idx="23">
                  <c:v>1310.996875</c:v>
                </c:pt>
                <c:pt idx="24">
                  <c:v>1310.996875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1,426 </c:v>
                  </c:pt>
                  <c:pt idx="13">
                    <c:v> 1,389 </c:v>
                  </c:pt>
                  <c:pt idx="14">
                    <c:v> 1,354 </c:v>
                  </c:pt>
                  <c:pt idx="15">
                    <c:v> 1,354 </c:v>
                  </c:pt>
                  <c:pt idx="16">
                    <c:v> 1,359 </c:v>
                  </c:pt>
                  <c:pt idx="17">
                    <c:v> 1,359 </c:v>
                  </c:pt>
                  <c:pt idx="18">
                    <c:v> 1,359 </c:v>
                  </c:pt>
                  <c:pt idx="19">
                    <c:v> 1,342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1,311 </c:v>
                  </c:pt>
                  <c:pt idx="23">
                    <c:v> 1,311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0B2C-4486-8E5D-8A2954B17F89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09D195E-5E4A-42E4-B9EC-477D52857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CFCE1D-96DA-410A-8868-69524E2669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9F5CA7-1DAA-4608-B334-66A25B55C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E37DA1-937C-467A-ABF7-7693DFD8B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3422E3-D499-4240-B35E-C69FB4237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BECAED-F0D0-4394-907F-FDFB4754A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668561-CE57-4554-B676-F2ABC0F9C0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A92BC4-A42E-4089-A740-8497F7689B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856CE4A-2EC6-4C7F-B73F-8ACCABD8A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F63244-9A0C-459B-9F8A-045EAE6CF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8FF4A8-DB12-476E-BF78-DB9C3EAD8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7C8F1E-6BD6-45CE-8B00-5545A3584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8412AA-9D61-42D5-A97F-8D0661119B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6EE7D12-85E9-4280-ADC0-07834EC57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C9853CF-C7FB-44CF-8B86-FFA801C0A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4C5E77E-97FD-4967-B45C-0C1E06C24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30EACDF-194F-467A-8D17-F4F6F5CE75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07FF4C8-A601-48C6-927F-EFF4412F1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876EB20-D74C-4C7D-AFA7-C636B3CF6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A5DBBFA-1ED0-49F6-96F3-707ABE512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CDC8E1A-3CBC-44DE-B497-124AB5824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C02C078-53D0-4639-9D2D-EA19EF9B6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3D8DD85-88D2-4E23-9CCD-5EA6EC55F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943305A-8C60-40F3-A785-1744DD1AAA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71-4AEE-91CB-650F2F2FDA41}"/>
                </c:ext>
              </c:extLst>
            </c:dLbl>
            <c:dLbl>
              <c:idx val="24"/>
              <c:layout>
                <c:manualLayout>
                  <c:x val="-1.5022984472381604E-2"/>
                  <c:y val="-1.997117956352747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090FE73-46CE-427D-92C4-2FB14F207F16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37F-44D4-A8C7-15E09D7330D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0B2C-4486-8E5D-8A2954B17F89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CC12475-5B95-4984-9BF5-7EB3771D3D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F05FF6-6B93-4457-9142-E0F216A17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4C27F4C-7C20-47C5-B424-9DB371F697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5E3F0B5-1091-448C-99A2-4E67B790B4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D0934F-FB99-4092-9A0F-C57B18BD3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52BA73E-6B79-460E-8A2E-FDAC72AC27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5A207E-3878-47E9-A248-7B7A22528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BF8066-2585-40FA-BD5D-8CBAD9396E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B5E9C13-4919-46A4-AF1F-06AD0703E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385A80-F4F7-487A-AE45-C6DC692649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602638D-7E64-477D-9B2A-80D942F94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50D707-E7BD-4883-B9BA-681AAC66B9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B8BBE6F-FE6F-4C0C-9369-40676666B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8FC9339-F59F-4BE5-AF98-A41580593B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91C9B8D-1172-44E7-9EF0-0E08207F3F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3A67E29-7323-41FE-97EA-DA8740A71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D77DD95-95FD-4A4B-8926-C81415FC92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37C6256-A2BF-40BD-A613-C3377B165E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77133CB-2D8F-4EDB-9D90-64264C984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5583FD5-2F61-47F8-8E29-73BF8237C1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12888F2-D4A6-40AD-A7D0-99DEF997A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DCD7A44-4AFB-4150-99CD-8E6AED87AD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75BF77D-16EF-4BAE-BC1F-ADE70E127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2A53171-E982-42A7-BC66-9ABD7BDDE7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71-4AEE-91CB-650F2F2FDA41}"/>
                </c:ext>
              </c:extLst>
            </c:dLbl>
            <c:dLbl>
              <c:idx val="24"/>
              <c:layout>
                <c:manualLayout>
                  <c:x val="-4.8563006699503539E-3"/>
                  <c:y val="6.113021258530894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A092032-915F-4F37-9B81-8B75FB4849B3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6975509175E-2"/>
                      <c:h val="9.175954678200436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0B2C-4486-8E5D-8A2954B17F89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B2C-4486-8E5D-8A2954B17F89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A78F278-7C18-4E60-8A3F-EB766657E2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BCBE6CF-3683-4DFD-BF16-48708FF11D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A95242-4C32-49D4-8517-48F26FDE3C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2E6EE9-867B-47EA-9B22-FBA57EEAC4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F1CEA5-CC51-4CA4-9118-D132A9B77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6DC8B0-CBC8-4123-AF5D-43506D0BAF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6F2152E-A8EB-4C41-97D6-7CB0BDDEA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F5BF6A4-DD91-4D48-B90A-96DC49D8DD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9DB99B7-F919-439D-A43A-72E46AAB3B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043D56B-CD34-4C11-B340-B92C3B8D9A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E68FC95-B5CF-475A-A97A-0385C03E2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CA9829-1F6B-4E0A-A404-C2ADD0D64F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4ED5F0F-3708-43A4-8C3C-B661B35A9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44E953E-D3EB-4CE0-A64B-2282BDD6F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BDCE33D-6A60-403E-AD47-4A23CFAFE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276843-8D7F-46F2-8C28-9A038B24B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B9270B4-DBC9-4A38-8D5B-4CBDDEE2A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0211308-CCF0-4977-AEBF-BAC5247FA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36AB0BB-4826-4D9B-BB92-32B3945B6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26AD7AC-CF20-47EC-AD33-C9C95B084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2CF10B1-D833-4E44-8A14-FD2961CFE5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447A83-B143-4B50-A5F9-A35ECBDC33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5D729AC-3ADC-447F-BC58-8A19220400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5258421-324B-4ECB-A765-A19E5B2B11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71-4AEE-91CB-650F2F2FDA4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471-4AEE-91CB-650F2F2FDA4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566773889068285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4-4D5D-8CD8-ABD94746445C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F4272F-4187-4595-82DF-1F879445E2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8C90AD0-8969-4685-A377-642126F84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1A5D045-364F-4361-962D-90D2878D2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9792E98-C3F3-45E4-8F04-B3B05C2F4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776EAD-0147-4B0C-BC0E-D5C4DD7CE7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D640CAA-E62A-48FD-905A-06025B64F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806EBE7-1269-44CF-A79B-2F498AC8E5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4EB1833-92F9-40BA-AC0D-B71E14155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9DD16DC-3C4F-4044-BB37-58CAF06D0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07EB28F-C4EA-42C0-8D39-726268CA0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5AB01CE-B167-45A7-8217-6F307B2F7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B65E433-6E9D-433F-BE3F-D90BE71872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F5A-45DA-968F-80B8889776CC}"/>
                </c:ext>
              </c:extLst>
            </c:dLbl>
            <c:dLbl>
              <c:idx val="24"/>
              <c:layout>
                <c:manualLayout>
                  <c:x val="-7.5865955694281876E-3"/>
                  <c:y val="-1.40924464487034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9C5A877-697B-471A-8D97-DC25EDEDC51D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FA4-4D5D-8CD8-ABD94746445C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145CE03-052B-4848-AE3F-837ADFA78C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A983EE-F134-446D-8A70-95381C8C7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23C776B-944A-451B-BD15-1E623E2853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002C295-C8B3-4DB0-8A7E-C71D8E966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11BA38C-0F82-46F4-865C-D9D02D9AD8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2001DAC-72B3-4844-9212-FAA057D54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73DB775-406C-48F3-BF88-C2B810B84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1EF79F3-BDD5-4E1C-9251-183CE59C70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ED2BAEA-3244-48B7-89A9-CDEB30DB9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8535F97-9A74-40C5-A5E0-DF4A527237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A259DAB-3812-4D9F-BEAD-54FB3C4200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243EF0B-D90D-4C9D-8AA9-8F39C5143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5A-45DA-968F-80B8889776CC}"/>
                </c:ext>
              </c:extLst>
            </c:dLbl>
            <c:dLbl>
              <c:idx val="24"/>
              <c:layout>
                <c:manualLayout>
                  <c:x val="-5.3980887628613658E-3"/>
                  <c:y val="-8.034952846982475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6B0E043-9C69-40D6-A681-84E749BF5206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3E-48D6-8DCA-CB7ADE609989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FA4-4D5D-8CD8-ABD94746445C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988F040-1B6F-45C9-BEF8-49B9D63758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514801-D7AA-4CDE-8FF3-68B4CE64C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4BA5D7-14B0-4661-860A-64C54D80A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2CAB23-DEE1-46F2-87C3-03DD50F47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D8AB36-9AEA-481B-8B74-1091483B79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CC87EEF-5461-469F-8AB7-66F547BD0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85962D-985E-4F79-B156-2D800502A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E131FD-F4C6-483C-9E5F-1488FED67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0305786-E99F-436F-A766-5A13EF5D3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75C3C7D-C5FF-45F7-9387-46ACD58453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457150C-7CC2-41C6-8268-84B75AFC2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B7E7B21-17C5-403F-8E4E-E5C5047B16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B98A22F-F066-45E9-9C32-E92F7C66A1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02A928-7BF8-4F3A-B00B-19CA7B2FC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CA88445-9BC1-4785-8158-F6763AD2B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A54B8F6-7397-47F1-A5E2-3EF21104B1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59C010A-524E-476E-AFC5-6A6D1D158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1651F74-9A3A-4EB5-8C24-14F94F2447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24203B8-BF6A-498B-AD66-4D2B4B01A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57C683E-E76E-4A00-9280-4FD3EEB797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043E105-9448-4B32-B6D4-05BA7C650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2233B3C-9C07-4F11-9B2D-7D730ED80D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38F03F0-2C20-4151-8A23-616BE07EB8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8233071-2761-4C1D-83A3-CAA98D03A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5A-45DA-968F-80B8889776CC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25EC0EE-6966-4CDA-ABA6-4E4181FD4DD5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340096494893315E-2"/>
                      <c:h val="0.101695169610107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FA4-4D5D-8CD8-ABD94746445C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A4-4D5D-8CD8-ABD94746445C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B3EF0E7-5EE7-4F77-B443-0B77AA6C74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3580B0-1EBD-49DF-9721-1783C954FA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5DD9F87-3B0C-4993-A74E-B910C21D3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1FA73C-8F79-4505-A415-2121A7A107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F14A462-928E-4C94-BAE0-6B9D05D8FE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8852579-52BF-4C39-BED0-73D1E95E4C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685579-17A3-40DC-9C58-D933E0C27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B3DAE11-E95A-40AC-A096-A5C412904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B642DE1-30EA-4D98-86A7-D606A4A72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29D1DE-E32D-4B7E-B152-155424FD5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F496D2F-9638-4230-848D-20542FC0A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5A7E4FA-F8BD-4C67-A6A6-86CEBBB15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5A-45DA-968F-80B8889776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F5A-45DA-968F-80B8889776C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236551885354809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B-4447-B68F-B0EDB57E1660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62E372F-78FF-4F3A-8951-9D1C5D2E4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000442-8A98-4D73-9BB7-A6777C547D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175D25-F186-4B5B-97F4-016D151D69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26C3EF-4E81-4602-9DE5-A69F5E62C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0E20E7-C43A-40FD-83C9-3340796B57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184442-80EE-41E8-A410-DE700A887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442397-5070-47FD-84BA-A678F4B5B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97A720C-AABB-4AE0-A25A-616E70738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8B73E0E-43BE-47B8-BCD8-C587FAC32B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803C52-5FAC-443A-8B25-283487E20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966A615-9557-4FD5-80D1-55C4DDA9B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5B73146-512B-4762-B070-A6EEE0B67D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246C4F0-F82F-4975-97BA-8F958EAB3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3268C95-B408-4727-82D9-B2F9CA84C8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892CC8-D7D1-4A1F-9000-EC85874AD6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AADBE3C-0EBF-4081-8C04-6D565A16E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E181B60-B8B9-4257-BC60-2D2C250D11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325CEB3-F565-47B1-B623-307412157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0E8C6E9-FCE9-4B67-83EB-43F7247CBE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BA51F01-1234-45B7-8AF1-F675B86914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44AF412-CE6C-4EEF-B472-DC105F4C5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21A8F9D-491D-4B74-A4D4-0E63FF651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08700F2-3734-46C8-9816-E5271E658E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422EF3B-E72A-4906-9494-E34D02F33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E0B-48F7-BFD6-60C4CC89C44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426D9B1-EA1B-405D-98EB-035A75E2EFBE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539B-4447-B68F-B0EDB57E1660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0632776-DB42-4D51-908F-43C3AAE638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8C2A7F-965E-49E5-A2A8-62C425DBF7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A6AE03-5440-4291-AF7D-CD240CCBF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ED9ECC-59AB-4B04-8CDF-ABAB61BDE7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2A43AB-AB06-457A-8CCD-64BFBE5AF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680576-53AA-4376-8227-0E9769FA29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A2E5F4-CAA2-4C02-9054-BAA613140B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938BC93-18AF-4B00-AA47-D704555794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53449E4-3FC3-4CFF-B45A-CBBC70F57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C40CB3-D21F-41F5-8B1F-270B28070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502AE33-DC8A-4B62-9FFA-EAFC0E4C9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7DED44-4607-4D71-89EC-EF2CA3247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D2B2D43-4E64-4713-91A9-E870DC93E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14E5B7C-4519-4A2D-84A2-F60EFE9D42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BBE1379-017C-4BFC-BDE1-F260BAC0F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E43625-F05C-4E2C-B9A6-7EE939EB0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9C305C-47EA-4CDD-AFAD-55F1E28FE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888B3A2-C782-401F-9F24-209294800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0027F7F-A22E-4375-9163-0D15C65F1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E17482E-85B6-494C-985C-C67AD01CC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F166FA-9D1C-4531-8670-0046FE34C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09D9466-21B7-464B-A1C0-D307A8982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5646D35-3D33-4222-9F05-656AEE112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AEA9F94-2C98-4102-943E-019CE52C9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E0B-48F7-BFD6-60C4CC89C445}"/>
                </c:ext>
              </c:extLst>
            </c:dLbl>
            <c:dLbl>
              <c:idx val="24"/>
              <c:layout>
                <c:manualLayout>
                  <c:x val="-3.367518034837297E-3"/>
                  <c:y val="-5.45462750076199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E278093-107E-4FB6-8B20-181CBC396838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2-40E7-8ED4-19FE97F97AC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539B-4447-B68F-B0EDB57E1660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41C23D7-20CF-46B0-A840-BD63BEC48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0D847F-6224-40C7-8A10-32C7F2058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328967-4E78-4B33-9A18-E8CF8510D3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B9E39F6-6889-49C4-8E4F-4A079CEA2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17F848C-CA15-43AD-B219-E2EABB5173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4B9B52F-701C-4E81-B03F-878FD6D97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BA5973-9CE4-44F8-9544-D6E6CD94E9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5BC963-91BE-41EF-9202-5E346732B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DA6B0E-20EB-4766-94D2-6FA3A910A4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2BA5F3-989D-4A73-931F-ACBD4F911D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8ECA710-8421-4D66-87E7-83924913F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5299894-0579-4ED5-87BE-74051AF0EF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081EFD-F92B-478C-B9C2-CBF531B810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AA083C-655B-4EEF-AE0E-2D836DB3A1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D5FFF87-1820-4DCE-ACFD-29483281FF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2E76863-0C61-4DDD-9491-8B6C69DB97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BB4325E-D9EC-41D5-AE9B-4862FAA6B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FCDBD27-14B7-4811-AEC9-7ADCF14889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30BF6FE-A76B-4A8C-A18C-76048C6E0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B8D3B76-19A1-4B27-B99F-F4C549696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299A51F-6F0D-43D1-8B48-5596924F5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7296D7B-6B7E-44DB-B5DC-35F0A78A1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1A5C1B1-A600-4CAF-B344-75E6FA0030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845D1F7-7944-4A8E-9378-E82B6F47B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E0B-48F7-BFD6-60C4CC89C445}"/>
                </c:ext>
              </c:extLst>
            </c:dLbl>
            <c:dLbl>
              <c:idx val="24"/>
              <c:layout>
                <c:manualLayout>
                  <c:x val="-4.2530981426435107E-8"/>
                  <c:y val="-7.04622322435174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D56F9E57-3B5F-4ECC-B8E0-27A38ADB80D9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490972203792125E-2"/>
                      <c:h val="9.21240978614989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539B-4447-B68F-B0EDB57E1660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39B-4447-B68F-B0EDB57E1660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5F5A297-E4D2-49A9-A65A-448D3A4018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F2F2FC-F7B6-44FB-81F0-95308FB065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5262DC-0268-43FC-990A-180A8BAD0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E6A530D-46E4-4454-9AAB-A015A0A94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2CA953-4AD6-45A8-B989-8874B7BB8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AAC94FD-1A8F-4931-8925-72B2FB0A0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FBF2577-8E19-47BA-9C11-9A6B319D5C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A6339AA-AC45-4628-B88B-00002ACCEC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6F77342-4141-458C-ACEC-A9F1DEA87C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15BF1FC-8008-49A9-A36F-9FAF1D8DE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84F51B7-B43B-42E2-90DB-6ED37A880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D787C71-12B8-4E67-B172-155FED97C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05EDE50-F44D-4BC1-9E02-EE0F43EF59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EC3CB37-F389-4039-8354-6D2B42F41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F6C0FFF-B4F1-4126-9E5A-83074C97C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257B3BE-DFE7-4399-AF5C-39BD3C12C9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1095D5A-1179-4290-B971-EF863E4BD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D45C214-4E09-4201-BBE6-67696E555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673CBC4-0F79-4280-9AF7-A942D9608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F54A348-432D-43CB-9845-0F448DFFFA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20EBCBC-3FB3-433B-9E2F-953B7D69CF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8171072-814C-4B8F-ABEF-C34BDA5E8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0945087-C8FC-4CAE-ADA3-F3148B77D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AB07E0D-FE85-4014-977B-C849A639A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0B-48F7-BFD6-60C4CC89C44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E0B-48F7-BFD6-60C4CC89C44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7291076857489966"/>
          <c:h val="0.89068834849902434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017-B679-B12A82D3415D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F0A013F-0654-4EFC-A338-87784A1C23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712116-4ABA-44F4-92E4-B83FA1CCA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EE6711-8492-4E40-B80D-A29C66246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C22D3D-0498-4494-AB42-DED7DB532C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3AF08A3-7FCA-4EFF-92A1-AD2532E92F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F08ECB1-8639-4AB4-93AE-F6FAC5535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283B54-FEA7-4D5E-9438-E1A8553B8F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DC2C0F0-704F-48F7-A0FA-DFA4E13F1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2DCBCB-0056-4B82-904F-6B369BF8B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58C3135-253F-401E-B977-C56781F57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CE8E609-AD1F-41FE-8E6D-F36782C18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D24D872-595F-4173-9C0F-D7BA3DC4DA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F5-4017-B679-B12A82D3415D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C786C603-1C5B-4DEB-BF64-40CA5F3D0B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5F5-4017-B679-B12A82D3415D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975A254D-CD3A-4193-B4AB-FAEB93B3D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5F5-4017-B679-B12A82D3415D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9A4FC944-81D9-4AD4-BC08-2ED9C5893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A1FFBCE-AF83-4919-BF63-94732B3ADB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571C1F2-C4A8-42FD-A322-DE49E94E0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4FD43D1-D663-45CA-A897-35E7597F6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1BF4EF7-52CF-4E2F-B404-8D2392459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D6DF357-38E4-49D3-B77F-9EAE02D27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7F23B3B-FDCB-4A88-A1E0-FC3523E597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27ADC6B-A224-43FB-80B0-D246C852F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D875F68-E4BF-49B9-9D77-5F991635A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E0EFC9A-BCB3-4D18-832D-AE554E1461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C6-47B0-888F-D559168C96BD}"/>
                </c:ext>
              </c:extLst>
            </c:dLbl>
            <c:dLbl>
              <c:idx val="24"/>
              <c:layout>
                <c:manualLayout>
                  <c:x val="-4.4172027648432923E-3"/>
                  <c:y val="2.0681710921781466E-2"/>
                </c:manualLayout>
              </c:layout>
              <c:tx>
                <c:rich>
                  <a:bodyPr/>
                  <a:lstStyle/>
                  <a:p>
                    <a:fld id="{B994AC8A-7F12-4714-A1DA-BD8C1B6B3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5F5-4017-B679-B12A82D3415D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01C70F3-BE8A-45FE-B6B8-1B519B788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8B7B09-9911-48AA-A694-AFCCB6B7C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C52587-3BD1-466D-99B2-AAF8D03DD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29F1EF-6CC4-472A-A62D-BCBF0AA4E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93FFB0-095A-4822-B7AA-D988DC99A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2E5F6F7-F5EE-4281-A8AF-C9D962BBE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5F5-4017-B679-B12A82D3415D}"/>
                </c:ext>
              </c:extLst>
            </c:dLbl>
            <c:dLbl>
              <c:idx val="6"/>
              <c:layout>
                <c:manualLayout>
                  <c:x val="-2.165792787852173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3E8FE023-5000-4033-91A7-5786A5E9D1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5F5-4017-B679-B12A82D3415D}"/>
                </c:ext>
              </c:extLst>
            </c:dLbl>
            <c:dLbl>
              <c:idx val="7"/>
              <c:layout>
                <c:manualLayout>
                  <c:x val="-2.379962238721701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4315AD11-2A74-4905-ABF7-8FB1660CE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A9E41D1-80FD-4278-A78D-F2C60FFC43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4D5B378-1EE8-4A8D-8FCB-DED7AED5B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E29C28-EC91-45E2-BACD-62965D1D70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9428891-EA49-4E19-90ED-B90EC970CF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2A16517-6B69-4CF9-B762-FF13203406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6F7329-9885-439F-BCDF-AF884362F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30EE66C-CECB-4399-AB4B-4E4325B35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E303B79-DD33-49A4-9D0E-3CFD97664F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A50E214-67CB-4462-A0F2-08E7C9B77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EED6533-7411-4E94-829F-C8E837C2B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C8ACAE0-4ED5-40B4-9949-673FBF934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6FA104-81DE-42C8-AF39-210B6C2F1E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8C7BE0C-16D1-49A1-B056-21FA2BD35C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27B17BE-E6CD-4E2E-B147-D9858CB77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D3216D4-8D86-47C3-B46B-81C41F67C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3F35BD-A83A-4365-AB80-AA37829E2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C6-47B0-888F-D559168C96BD}"/>
                </c:ext>
              </c:extLst>
            </c:dLbl>
            <c:dLbl>
              <c:idx val="24"/>
              <c:layout>
                <c:manualLayout>
                  <c:x val="-2.3803163771837695E-4"/>
                  <c:y val="-1.4924026649665658E-2"/>
                </c:manualLayout>
              </c:layout>
              <c:tx>
                <c:rich>
                  <a:bodyPr/>
                  <a:lstStyle/>
                  <a:p>
                    <a:fld id="{D7787F76-CAC5-4CF4-8A64-718C7EB29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15F5-4017-B679-B12A82D3415D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2B3885C-DBCB-407D-A650-0AEE5EEFF6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FFCB42-07B2-4C11-B7D3-CC7F2B6AC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E81057-0DC2-4061-A417-7DF9BAA12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06F18F-FB68-4C3E-8025-8D0C0A0427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C64B16-0483-4DEE-A04F-1C8307B07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047F86-9F48-4697-B82B-137455A27F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6308C3A-0AF1-47CD-9978-60E8046DC8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FFC48E8-7E98-427E-9A71-C16B5B5C4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9D874A-4418-420E-B6DD-0650A8BFC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5FDBE3E-E1E5-4660-ACE5-EF8D263425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A0B5C0A-3A72-446C-BF36-A0528EC781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7E83D92-8A6D-418B-9E14-9892901CA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5F5-4017-B679-B12A82D3415D}"/>
                </c:ext>
              </c:extLst>
            </c:dLbl>
            <c:dLbl>
              <c:idx val="12"/>
              <c:layout>
                <c:manualLayout>
                  <c:x val="-4.0933178456779254E-2"/>
                  <c:y val="-1.1851559761654419E-2"/>
                </c:manualLayout>
              </c:layout>
              <c:tx>
                <c:rich>
                  <a:bodyPr/>
                  <a:lstStyle/>
                  <a:p>
                    <a:fld id="{E407D9ED-87F8-4C95-B79A-2A707DCBE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C18218-F3D0-4D32-86E0-5061A3496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864F4E0-DC9F-451F-96BB-3C1CA9AEE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5F5-4017-B679-B12A82D3415D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DFB059DF-87B7-4FA0-8018-1F80586A31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15F5-4017-B679-B12A82D3415D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2F356D7A-0C80-409C-AE18-C2F20E3F78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15F5-4017-B679-B12A82D3415D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76F5A803-AA44-436B-BF80-FEAECCA49A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0C1888A-D1B9-4980-96B0-0897E975E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104F8E1-7620-4308-896E-EAEC7EAB3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4D54C5E-D558-427B-8B01-8980A98C2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AEF2972-A946-48C9-8075-F7C6E52EE2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B0D1592-955E-4288-90EB-F256623BBE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C6-47B0-888F-D559168C96BD}"/>
                </c:ext>
              </c:extLst>
            </c:dLbl>
            <c:dLbl>
              <c:idx val="24"/>
              <c:layout>
                <c:manualLayout>
                  <c:x val="-2.0346097832605315E-2"/>
                  <c:y val="-2.38378375021734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264C7F7-7C7D-4B72-A4DC-E6F2B7F351D5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15F5-4017-B679-B12A82D3415D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293F769-E588-40B2-B061-5597547B0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AA5E4DD-0776-43EE-ADBB-31E044F1A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D60F5E-504B-46DF-8639-40F77D170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96D266-9834-4114-9BC5-2735B7266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573F8A-0D58-46B9-976D-F2091A1FE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E1CBAC-5961-4D4B-8619-1C4D66A3EC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5F5-4017-B679-B12A82D3415D}"/>
                </c:ext>
              </c:extLst>
            </c:dLbl>
            <c:dLbl>
              <c:idx val="6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950F3E13-BE3A-4741-9805-7514442AE2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15F5-4017-B679-B12A82D3415D}"/>
                </c:ext>
              </c:extLst>
            </c:dLbl>
            <c:dLbl>
              <c:idx val="7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1A7225B4-F360-431D-A5EA-14C365DCA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15F5-4017-B679-B12A82D3415D}"/>
                </c:ext>
              </c:extLst>
            </c:dLbl>
            <c:dLbl>
              <c:idx val="8"/>
              <c:layout>
                <c:manualLayout>
                  <c:x val="-2.1938962043776912E-2"/>
                  <c:y val="-5.2795303189625059E-3"/>
                </c:manualLayout>
              </c:layout>
              <c:tx>
                <c:rich>
                  <a:bodyPr/>
                  <a:lstStyle/>
                  <a:p>
                    <a:fld id="{28414D49-E513-423D-8554-0C235F5A7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99542F6-1890-4164-9088-2835385FB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28BB13F-B4F1-4E97-88B8-FC387F33F4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A45A556-89D0-46B7-98B4-6971948625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8D4EF40-A9B5-485B-8D55-231E8ECB4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3426AAE-E7FB-4A16-B787-99B948FA10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D55F11F-2674-4B15-97A4-8FDA2409A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5F5-4017-B679-B12A82D3415D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70165DE7-5785-4B1E-B064-33389A49C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15F5-4017-B679-B12A82D3415D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65303B98-DB68-4881-B343-996EC50EE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15F5-4017-B679-B12A82D3415D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D112C0C8-04BB-4710-A6A6-155E3D93C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7EF1C7-1E77-42A8-AA58-D310188DFD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2815543-8155-4954-BEE5-910AA8507B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41D2EA4-FAED-47E5-9D0E-0D07BA9F4A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310104-C9A2-4FDC-970D-4EFA335E4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8975DA-A8CF-4703-B30D-83C9CB460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2E7251A-0E21-482F-9007-A34722CAE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C6-47B0-888F-D559168C96BD}"/>
                </c:ext>
              </c:extLst>
            </c:dLbl>
            <c:dLbl>
              <c:idx val="24"/>
              <c:layout>
                <c:manualLayout>
                  <c:x val="-5.3542784310789213E-3"/>
                  <c:y val="2.3949958739384707E-3"/>
                </c:manualLayout>
              </c:layout>
              <c:tx>
                <c:rich>
                  <a:bodyPr/>
                  <a:lstStyle/>
                  <a:p>
                    <a:fld id="{04F5B697-3EB9-4EEB-B710-4C31915D1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79601826949724E-2"/>
                      <c:h val="4.133806519453206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A-4A39-A56C-FB9A879A82D7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15F5-4017-B679-B12A82D3415D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5A-4A39-A56C-FB9A879A82D7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3-15F5-4017-B679-B12A82D3415D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71D2A28-8989-4008-9857-505C0FA860D7}" type="CELLRANGE">
                      <a:rPr lang="en-US" sz="1200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164929364554176E-2"/>
                      <c:h val="0.116157601750885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4-15F5-4017-B679-B12A82D3415D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5F5-4017-B679-B12A82D3415D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A7856B6-7F8C-4A30-8A0A-A196C74D9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CA0F84-7E8C-44A1-A28B-F968FFD91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95A0A11-AA47-4741-BAB1-5BC43BAC9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BFEC299-D716-478E-9728-203AE9487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654948-0B10-4AF8-9706-0C1648BF32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EE26FE-4629-44E8-9EDA-1DEE2F7F2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1F6323B-F105-4ECA-B025-07162F073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4D8633-03B6-4F0E-B9C9-80F1FC2A5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36E8EDB-8B01-4498-938E-5B9E3D5A0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00C5AB9-747F-4AD2-9CD3-8199D07E6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60D36B-9B3D-4231-BB36-CE4BF8EB1D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C943BC-2ECD-4287-96BB-6850108F1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310124F-4FD9-4E2A-9337-15922D990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7ED50C-267B-47FB-9EDB-E1F0E21D4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FC7ADF-443A-429A-840D-DB80937A2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3C76B11-D70E-42D2-836A-27BC097E4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7EFECAC-42FF-46B7-8631-B15B8AF2FB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7F58444-2C9A-4241-A29F-B68F12473D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AFCDE81-4939-416B-8736-8C2C41889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CD7DC08-6797-4B4F-932C-9C8669587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C4E99CC-8121-44BB-9D59-399813694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55E697B-2F17-402F-A8CB-5FB43EA144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3E6807D-1C09-49CD-B417-B75F1377A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224CA68-5282-46B3-B97C-FD15E7FBE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C6-47B0-888F-D559168C96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8C6-47B0-888F-D559168C96BD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1"/>
          <c:h val="0.71711701144667195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8-4277-AA2B-B99BA2B2BC91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'Chart-Price-BCKQKD'!$B$6:$Y$6</c:f>
              <c:numCache>
                <c:formatCode>_(* #,##0_);_(* \(#,##0\);_(* "-"??_);_(@_)</c:formatCode>
                <c:ptCount val="24"/>
                <c:pt idx="0">
                  <c:v>249.02544409719735</c:v>
                </c:pt>
                <c:pt idx="1">
                  <c:v>286.74833830282421</c:v>
                </c:pt>
                <c:pt idx="2">
                  <c:v>281.95871664031029</c:v>
                </c:pt>
                <c:pt idx="3">
                  <c:v>254.32789327176624</c:v>
                </c:pt>
                <c:pt idx="4">
                  <c:v>260.1932537357618</c:v>
                </c:pt>
                <c:pt idx="5">
                  <c:v>289.58301830390701</c:v>
                </c:pt>
                <c:pt idx="6">
                  <c:v>241.70928483346825</c:v>
                </c:pt>
                <c:pt idx="7">
                  <c:v>272.9857762533029</c:v>
                </c:pt>
                <c:pt idx="8">
                  <c:v>333.30655697930251</c:v>
                </c:pt>
                <c:pt idx="9">
                  <c:v>365.37431312076956</c:v>
                </c:pt>
                <c:pt idx="10">
                  <c:v>464.85264095881166</c:v>
                </c:pt>
                <c:pt idx="11">
                  <c:v>481.41064231547853</c:v>
                </c:pt>
                <c:pt idx="12">
                  <c:v>395.39194410210757</c:v>
                </c:pt>
                <c:pt idx="13">
                  <c:v>425.10632921330716</c:v>
                </c:pt>
                <c:pt idx="14">
                  <c:v>416.31020759062471</c:v>
                </c:pt>
                <c:pt idx="15">
                  <c:v>468.34503881630235</c:v>
                </c:pt>
                <c:pt idx="16">
                  <c:v>466.21356596350574</c:v>
                </c:pt>
                <c:pt idx="17">
                  <c:v>418.76396656781071</c:v>
                </c:pt>
                <c:pt idx="18">
                  <c:v>405.00507260307472</c:v>
                </c:pt>
                <c:pt idx="19">
                  <c:v>430.73637958310564</c:v>
                </c:pt>
                <c:pt idx="20">
                  <c:v>431.18433978708072</c:v>
                </c:pt>
                <c:pt idx="21">
                  <c:v>445.09195689323451</c:v>
                </c:pt>
                <c:pt idx="22">
                  <c:v>453.52658145277337</c:v>
                </c:pt>
                <c:pt idx="23">
                  <c:v>468.27860576542662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648-4277-AA2B-B99BA2B2BC9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48-4277-AA2B-B99BA2B2BC9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648-4277-AA2B-B99BA2B2BC9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48-4277-AA2B-B99BA2B2BC9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48-4277-AA2B-B99BA2B2BC9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'Chart-Price-BCKQKD'!$B$3:$Y$3</c:f>
              <c:numCache>
                <c:formatCode>_(* #,##0_);_(* \(#,##0\);_(* "-"??_);_(@_)</c:formatCode>
                <c:ptCount val="24"/>
                <c:pt idx="0">
                  <c:v>1179.0254440971974</c:v>
                </c:pt>
                <c:pt idx="1">
                  <c:v>1230.0816716361576</c:v>
                </c:pt>
                <c:pt idx="2">
                  <c:v>1221.9587166403103</c:v>
                </c:pt>
                <c:pt idx="3">
                  <c:v>1194.3278932717662</c:v>
                </c:pt>
                <c:pt idx="4">
                  <c:v>1202.1932537357618</c:v>
                </c:pt>
                <c:pt idx="5">
                  <c:v>1239.583018303907</c:v>
                </c:pt>
                <c:pt idx="6">
                  <c:v>1189.2092848334682</c:v>
                </c:pt>
                <c:pt idx="7">
                  <c:v>1202.9857762533029</c:v>
                </c:pt>
                <c:pt idx="8">
                  <c:v>1213.3065569793025</c:v>
                </c:pt>
                <c:pt idx="9">
                  <c:v>1227.8743131207696</c:v>
                </c:pt>
                <c:pt idx="10">
                  <c:v>1316.8526409588117</c:v>
                </c:pt>
                <c:pt idx="11">
                  <c:v>1311.4106423154785</c:v>
                </c:pt>
                <c:pt idx="12">
                  <c:v>1223.3919441021076</c:v>
                </c:pt>
                <c:pt idx="13">
                  <c:v>1265.1063292133072</c:v>
                </c:pt>
                <c:pt idx="14">
                  <c:v>1239.3102075906247</c:v>
                </c:pt>
                <c:pt idx="15">
                  <c:v>1233.3450388163023</c:v>
                </c:pt>
                <c:pt idx="16">
                  <c:v>1248.2135659635057</c:v>
                </c:pt>
                <c:pt idx="17">
                  <c:v>1226.2639665678107</c:v>
                </c:pt>
                <c:pt idx="18">
                  <c:v>1207.0050726030747</c:v>
                </c:pt>
                <c:pt idx="19">
                  <c:v>1225.7363795831056</c:v>
                </c:pt>
                <c:pt idx="20">
                  <c:v>1214.1843397870807</c:v>
                </c:pt>
                <c:pt idx="21">
                  <c:v>1217.0919568932345</c:v>
                </c:pt>
                <c:pt idx="22">
                  <c:v>1223.5265814527734</c:v>
                </c:pt>
                <c:pt idx="23">
                  <c:v>1241.2786057654266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8-4277-AA2B-B99BA2B2BC91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648-4277-AA2B-B99BA2B2BC91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648-4277-AA2B-B99BA2B2BC91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648-4277-AA2B-B99BA2B2BC9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648-4277-AA2B-B99BA2B2BC91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648-4277-AA2B-B99BA2B2BC9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'Chart-Price-BCKQKD'!$B$4:$Y$4</c:f>
              <c:numCache>
                <c:formatCode>_(* #,##0_);_(* \(#,##0\);_(* "-"??_);_(@_)</c:formatCode>
                <c:ptCount val="24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8-4277-AA2B-B99BA2B2BC91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8-4277-AA2B-B99BA2B2BC91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729617D-3FEE-4EDC-96F6-FB13AAAE33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C2AB693-1222-488F-8ABB-7958DE3C2C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D2500A0-BD03-4462-8C3F-C15EB0015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322E69-F248-4C04-8606-A840EDCC15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09DEA4-0435-470B-AA14-E9AE046F4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F72617-A428-47CD-B417-118B4DDBA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05C5CEF-4E5F-4A9D-BC18-7BA81AA274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AB6E84D-98A0-41A2-A57E-592DD1576B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1FB5703-F852-4120-A689-FB6E71D975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EF435C-61B8-4304-A32A-BB8360E54E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1E9C241-64DC-4753-BE3A-B72A7F50E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1E366ED-7365-4969-AFF0-B785D688E8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C5EB741-005B-4CFC-A015-9D1A6A4FB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780B01-5AD0-4A77-A474-BCD4CFC486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4E5B358-3F86-47C4-B5E4-3D21506B2F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42B14C-AD4D-4403-A89E-0A145F0633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680789-1C7B-46A6-9374-8507C368EC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93196B4-7DD4-479F-BC13-B73AD16BEF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4DC6FD6-7877-40A1-B917-FF6D3BA8E8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A3494C1-FA3E-41C5-8477-842707D35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BDA4C1C-4CBF-4B3F-9E0C-9BED2A15A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04A9069-CEC9-46CF-9941-2C195907D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F4F70E-89CC-4BA0-8E65-195AC9BBB7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C85EBCE-5D8B-40F7-99A9-BEE34B554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449-4034-837B-A0D88F5C2496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'Chart-Price-BCKQKD'!$B$6:$Y$6</c15:f>
                <c15:dlblRangeCache>
                  <c:ptCount val="24"/>
                  <c:pt idx="0">
                    <c:v> 249 </c:v>
                  </c:pt>
                  <c:pt idx="1">
                    <c:v> 287 </c:v>
                  </c:pt>
                  <c:pt idx="2">
                    <c:v> 282 </c:v>
                  </c:pt>
                  <c:pt idx="3">
                    <c:v> 254 </c:v>
                  </c:pt>
                  <c:pt idx="4">
                    <c:v> 260 </c:v>
                  </c:pt>
                  <c:pt idx="5">
                    <c:v> 290 </c:v>
                  </c:pt>
                  <c:pt idx="6">
                    <c:v> 242 </c:v>
                  </c:pt>
                  <c:pt idx="7">
                    <c:v> 273 </c:v>
                  </c:pt>
                  <c:pt idx="8">
                    <c:v> 333 </c:v>
                  </c:pt>
                  <c:pt idx="9">
                    <c:v> 365 </c:v>
                  </c:pt>
                  <c:pt idx="10">
                    <c:v> 465 </c:v>
                  </c:pt>
                  <c:pt idx="11">
                    <c:v> 481 </c:v>
                  </c:pt>
                  <c:pt idx="12">
                    <c:v> 395 </c:v>
                  </c:pt>
                  <c:pt idx="13">
                    <c:v> 425 </c:v>
                  </c:pt>
                  <c:pt idx="14">
                    <c:v> 416 </c:v>
                  </c:pt>
                  <c:pt idx="15">
                    <c:v> 468 </c:v>
                  </c:pt>
                  <c:pt idx="16">
                    <c:v> 466 </c:v>
                  </c:pt>
                  <c:pt idx="17">
                    <c:v> 419 </c:v>
                  </c:pt>
                  <c:pt idx="18">
                    <c:v> 405 </c:v>
                  </c:pt>
                  <c:pt idx="19">
                    <c:v> 431 </c:v>
                  </c:pt>
                  <c:pt idx="20">
                    <c:v> 431 </c:v>
                  </c:pt>
                  <c:pt idx="21">
                    <c:v> 445 </c:v>
                  </c:pt>
                  <c:pt idx="22">
                    <c:v> 454 </c:v>
                  </c:pt>
                  <c:pt idx="23">
                    <c:v> 468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648-4277-AA2B-B99BA2B2BC91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66326F0-32EE-40C5-893E-2B898768CE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F6FD498-F191-4957-99F1-BFBCC135A6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C8D077-270C-49FC-B88E-BC18F7590E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608C18D-480A-430D-8466-35F49AF8FA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8FE3BC-DE57-45E7-8AE2-0BDB4ECD74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3C8BF4-0548-499C-9DA6-3FECFA8078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330995-D640-4222-9087-695D38D418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49FB103-D52B-4FEA-A6D4-42FAC8CE5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F6537C8-CDC2-4738-91DE-1A7A3816B8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D4B3E6F-A85B-4233-BB31-21BEA5A9D3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8A02A7-AE67-4125-B49C-4AF06BB74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4D6FFF-73ED-4A32-A028-D1EC54E54D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5648798-6332-4E76-8856-8B12A7B2C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02E275-6A8F-46F7-814D-0EEDF691E9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F5D98AE-33DA-4FA9-A01E-B387EE59BE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30710B7-6FC0-40F2-9486-4EBD8CAE03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886E3BD-E5C8-461B-924C-F6B53CE86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828ED4E-5ABD-4647-BD07-7629BEAB8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11BC62D-5C04-41A2-88D8-30B4D242A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A7FE412-B5D6-4F9B-BCC1-22BCB78DFC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C1CA3E3-78A4-4F87-B5D2-4E7CFEA895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0A3A179-F45D-4578-9E97-4EF7E5E64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A36A90A-4EAC-481C-8D20-48D5BD1A82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F78A174-B4B1-4972-B3B5-D8C18BECC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49-4034-837B-A0D88F5C2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'Chart-Price-BCKQKD'!$B$7:$Y$7</c15:f>
                <c15:dlblRangeCache>
                  <c:ptCount val="24"/>
                  <c:pt idx="0">
                    <c:v>26.8%</c:v>
                  </c:pt>
                  <c:pt idx="1">
                    <c:v>30.4%</c:v>
                  </c:pt>
                  <c:pt idx="2">
                    <c:v>30.0%</c:v>
                  </c:pt>
                  <c:pt idx="3">
                    <c:v>27.1%</c:v>
                  </c:pt>
                  <c:pt idx="4">
                    <c:v>27.6%</c:v>
                  </c:pt>
                  <c:pt idx="5">
                    <c:v>30.5%</c:v>
                  </c:pt>
                  <c:pt idx="6">
                    <c:v>25.5%</c:v>
                  </c:pt>
                  <c:pt idx="7">
                    <c:v>29.4%</c:v>
                  </c:pt>
                  <c:pt idx="8">
                    <c:v>37.9%</c:v>
                  </c:pt>
                  <c:pt idx="9">
                    <c:v>42.4%</c:v>
                  </c:pt>
                  <c:pt idx="10">
                    <c:v>54.6%</c:v>
                  </c:pt>
                  <c:pt idx="11">
                    <c:v>58.0%</c:v>
                  </c:pt>
                  <c:pt idx="12">
                    <c:v>47.8%</c:v>
                  </c:pt>
                  <c:pt idx="13">
                    <c:v>50.6%</c:v>
                  </c:pt>
                  <c:pt idx="14">
                    <c:v>50.6%</c:v>
                  </c:pt>
                  <c:pt idx="15">
                    <c:v>61.2%</c:v>
                  </c:pt>
                  <c:pt idx="16">
                    <c:v>59.6%</c:v>
                  </c:pt>
                  <c:pt idx="17">
                    <c:v>51.9%</c:v>
                  </c:pt>
                  <c:pt idx="18">
                    <c:v>50.5%</c:v>
                  </c:pt>
                  <c:pt idx="19">
                    <c:v>54.2%</c:v>
                  </c:pt>
                  <c:pt idx="20">
                    <c:v>55.1%</c:v>
                  </c:pt>
                  <c:pt idx="21">
                    <c:v>57.7%</c:v>
                  </c:pt>
                  <c:pt idx="22">
                    <c:v>58.9%</c:v>
                  </c:pt>
                  <c:pt idx="23">
                    <c:v>60.6%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7381792845"/>
          <c:y val="8.3873696413087909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BÁN HẠT NHỰA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iSS01084G (SUNTORY) 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2025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78550934188825883"/>
          <c:h val="0.8086243455651364"/>
        </c:manualLayout>
      </c:layout>
      <c:areaChart>
        <c:grouping val="stacked"/>
        <c:varyColors val="0"/>
        <c:ser>
          <c:idx val="1"/>
          <c:order val="6"/>
          <c:tx>
            <c:strRef>
              <c:f>'Ma trận PET'!$D$9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PET'!$E$9:$P$9</c:f>
              <c:numCache>
                <c:formatCode>"$"#,##0_);\("$"#,##0\)</c:formatCode>
                <c:ptCount val="12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1-4994-A32E-DB24C7B7D828}"/>
            </c:ext>
          </c:extLst>
        </c:ser>
        <c:ser>
          <c:idx val="2"/>
          <c:order val="8"/>
          <c:tx>
            <c:strRef>
              <c:f>'Ma trận PET'!$D$10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F9FDC5"/>
            </a:solidFill>
            <a:ln w="25400">
              <a:noFill/>
            </a:ln>
            <a:effectLst/>
          </c:spPr>
          <c:val>
            <c:numRef>
              <c:f>'Ma trận PET'!$E$10:$P$10</c:f>
              <c:numCache>
                <c:formatCode>"$"#,##0_);\("$"#,##0\)</c:formatCode>
                <c:ptCount val="12"/>
                <c:pt idx="0">
                  <c:v>395.89194410210757</c:v>
                </c:pt>
                <c:pt idx="1">
                  <c:v>425.10632921330716</c:v>
                </c:pt>
                <c:pt idx="2">
                  <c:v>416.81020759062471</c:v>
                </c:pt>
                <c:pt idx="3">
                  <c:v>468.34503881630235</c:v>
                </c:pt>
                <c:pt idx="4">
                  <c:v>466.21356596350574</c:v>
                </c:pt>
                <c:pt idx="5">
                  <c:v>418.76396656781071</c:v>
                </c:pt>
                <c:pt idx="6">
                  <c:v>405.00507260307472</c:v>
                </c:pt>
                <c:pt idx="7">
                  <c:v>430.73637958310564</c:v>
                </c:pt>
                <c:pt idx="8">
                  <c:v>431.68433978708072</c:v>
                </c:pt>
                <c:pt idx="9">
                  <c:v>445.09195689323451</c:v>
                </c:pt>
                <c:pt idx="10">
                  <c:v>453.52658145277337</c:v>
                </c:pt>
                <c:pt idx="11">
                  <c:v>468.77860576542662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1-4994-A32E-DB24C7B7D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4"/>
          <c:order val="1"/>
          <c:tx>
            <c:strRef>
              <c:f>'Ma trận PET'!$D$6</c:f>
              <c:strCache>
                <c:ptCount val="1"/>
                <c:pt idx="0">
                  <c:v>Giá bán Suntory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2295255471325913E-4"/>
                  <c:y val="-2.130333315499627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301-4994-A32E-DB24C7B7D82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PET'!$E$5:$P$5</c:f>
              <c:strCache>
                <c:ptCount val="12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PET'!$E$6:$P$6</c:f>
              <c:numCache>
                <c:formatCode>"$"#,##0_);\("$"#,##0\)</c:formatCode>
                <c:ptCount val="12"/>
                <c:pt idx="0">
                  <c:v>1223.3919441021076</c:v>
                </c:pt>
                <c:pt idx="1">
                  <c:v>1265.1063292133072</c:v>
                </c:pt>
                <c:pt idx="2">
                  <c:v>1239.3102075906247</c:v>
                </c:pt>
                <c:pt idx="3">
                  <c:v>1233.3450388163023</c:v>
                </c:pt>
                <c:pt idx="4">
                  <c:v>1248.2135659635057</c:v>
                </c:pt>
                <c:pt idx="5">
                  <c:v>1226.2639665678107</c:v>
                </c:pt>
                <c:pt idx="6">
                  <c:v>1207.0050726030747</c:v>
                </c:pt>
                <c:pt idx="7">
                  <c:v>1225.7363795831056</c:v>
                </c:pt>
                <c:pt idx="8">
                  <c:v>1214.1843397870807</c:v>
                </c:pt>
                <c:pt idx="9">
                  <c:v>1217.0919568932345</c:v>
                </c:pt>
                <c:pt idx="10">
                  <c:v>1223.5265814527734</c:v>
                </c:pt>
                <c:pt idx="11">
                  <c:v>1241.2786057654266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7301-4994-A32E-DB24C7B7D828}"/>
            </c:ext>
          </c:extLst>
        </c:ser>
        <c:ser>
          <c:idx val="12"/>
          <c:order val="2"/>
          <c:tx>
            <c:strRef>
              <c:f>'Ma trận PET'!$D$7</c:f>
              <c:strCache>
                <c:ptCount val="1"/>
                <c:pt idx="0">
                  <c:v>ICIS</c:v>
                </c:pt>
              </c:strCache>
            </c:strRef>
          </c:tx>
          <c:spPr>
            <a:ln w="539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9842777369480064E-2"/>
                  <c:y val="-3.3748964629757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301-4994-A32E-DB24C7B7D828}"/>
                </c:ext>
              </c:extLst>
            </c:dLbl>
            <c:dLbl>
              <c:idx val="10"/>
              <c:layout>
                <c:manualLayout>
                  <c:x val="-1.9619824814766804E-2"/>
                  <c:y val="-2.4667017337364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301-4994-A32E-DB24C7B7D828}"/>
                </c:ext>
              </c:extLst>
            </c:dLbl>
            <c:dLbl>
              <c:idx val="11"/>
              <c:layout>
                <c:manualLayout>
                  <c:x val="-2.6085448901451321E-2"/>
                  <c:y val="3.3524719017599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301-4994-A32E-DB24C7B7D82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PET'!$E$5:$P$5</c:f>
              <c:strCache>
                <c:ptCount val="12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PET'!$E$7:$P$7</c:f>
              <c:numCache>
                <c:formatCode>"$"#,##0_);\("$"#,##0\)</c:formatCode>
                <c:ptCount val="12"/>
                <c:pt idx="0">
                  <c:v>1368.75</c:v>
                </c:pt>
                <c:pt idx="1">
                  <c:v>1350</c:v>
                </c:pt>
                <c:pt idx="2">
                  <c:v>1360</c:v>
                </c:pt>
                <c:pt idx="3">
                  <c:v>1360</c:v>
                </c:pt>
                <c:pt idx="4">
                  <c:v>1360</c:v>
                </c:pt>
                <c:pt idx="5">
                  <c:v>1360</c:v>
                </c:pt>
                <c:pt idx="6">
                  <c:v>1324</c:v>
                </c:pt>
                <c:pt idx="7">
                  <c:v>1295</c:v>
                </c:pt>
                <c:pt idx="8">
                  <c:v>1275</c:v>
                </c:pt>
                <c:pt idx="9">
                  <c:v>1248</c:v>
                </c:pt>
                <c:pt idx="10">
                  <c:v>1243.75</c:v>
                </c:pt>
                <c:pt idx="11">
                  <c:v>1193.75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301-4994-A32E-DB24C7B7D828}"/>
            </c:ext>
          </c:extLst>
        </c:ser>
        <c:ser>
          <c:idx val="0"/>
          <c:order val="3"/>
          <c:tx>
            <c:strRef>
              <c:f>'[1]Ma trận PET'!$H$16</c:f>
              <c:strCache>
                <c:ptCount val="1"/>
                <c:pt idx="0">
                  <c:v>Giá keo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'[1]Ma trận PET'!$I$5:$BX$5</c:f>
              <c:strCache>
                <c:ptCount val="68"/>
                <c:pt idx="0">
                  <c:v>T1.21</c:v>
                </c:pt>
                <c:pt idx="1">
                  <c:v>T2.21</c:v>
                </c:pt>
                <c:pt idx="2">
                  <c:v>T3.21</c:v>
                </c:pt>
                <c:pt idx="3">
                  <c:v>T4.21</c:v>
                </c:pt>
                <c:pt idx="4">
                  <c:v>T5.21</c:v>
                </c:pt>
                <c:pt idx="5">
                  <c:v>T6.21</c:v>
                </c:pt>
                <c:pt idx="6">
                  <c:v>T7.21</c:v>
                </c:pt>
                <c:pt idx="7">
                  <c:v>T8.21</c:v>
                </c:pt>
                <c:pt idx="8">
                  <c:v>T9.21</c:v>
                </c:pt>
                <c:pt idx="9">
                  <c:v>T10.21</c:v>
                </c:pt>
                <c:pt idx="10">
                  <c:v>T11.21</c:v>
                </c:pt>
                <c:pt idx="11">
                  <c:v>T12.21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Hiện tại 23/8</c:v>
                </c:pt>
                <c:pt idx="21">
                  <c:v>9</c:v>
                </c:pt>
                <c:pt idx="22">
                  <c:v>10</c:v>
                </c:pt>
                <c:pt idx="23">
                  <c:v>4/10</c:v>
                </c:pt>
                <c:pt idx="24">
                  <c:v>11/10</c:v>
                </c:pt>
                <c:pt idx="25">
                  <c:v>18/10</c:v>
                </c:pt>
                <c:pt idx="26">
                  <c:v>25/10</c:v>
                </c:pt>
                <c:pt idx="27">
                  <c:v>11</c:v>
                </c:pt>
                <c:pt idx="28">
                  <c:v>12</c:v>
                </c:pt>
                <c:pt idx="29">
                  <c:v>T1/23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11</c:v>
                </c:pt>
                <c:pt idx="40">
                  <c:v>12</c:v>
                </c:pt>
                <c:pt idx="41">
                  <c:v>T1.24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T1.25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T1.26</c:v>
                </c:pt>
                <c:pt idx="66">
                  <c:v>2</c:v>
                </c:pt>
                <c:pt idx="67">
                  <c:v>3</c:v>
                </c:pt>
              </c:strCache>
            </c:strRef>
          </c:cat>
          <c:val>
            <c:numRef>
              <c:f>'[1]Ma trận PET'!$U$16:$AT$16</c:f>
              <c:numCache>
                <c:formatCode>General</c:formatCode>
                <c:ptCount val="26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1316.6666666666667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1190</c:v>
                </c:pt>
                <c:pt idx="10">
                  <c:v>1130</c:v>
                </c:pt>
                <c:pt idx="11">
                  <c:v>1100</c:v>
                </c:pt>
                <c:pt idx="12">
                  <c:v>1100</c:v>
                </c:pt>
                <c:pt idx="13">
                  <c:v>1070</c:v>
                </c:pt>
                <c:pt idx="14">
                  <c:v>1040</c:v>
                </c:pt>
                <c:pt idx="15">
                  <c:v>1040</c:v>
                </c:pt>
                <c:pt idx="16">
                  <c:v>977.5</c:v>
                </c:pt>
                <c:pt idx="17">
                  <c:v>1000</c:v>
                </c:pt>
                <c:pt idx="18">
                  <c:v>1045</c:v>
                </c:pt>
                <c:pt idx="19">
                  <c:v>1020</c:v>
                </c:pt>
                <c:pt idx="20">
                  <c:v>1055</c:v>
                </c:pt>
                <c:pt idx="21">
                  <c:v>974</c:v>
                </c:pt>
                <c:pt idx="22">
                  <c:v>895</c:v>
                </c:pt>
                <c:pt idx="23">
                  <c:v>903</c:v>
                </c:pt>
                <c:pt idx="24">
                  <c:v>918</c:v>
                </c:pt>
                <c:pt idx="25">
                  <c:v>930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0-7301-4994-A32E-DB24C7B7D828}"/>
            </c:ext>
          </c:extLst>
        </c:ser>
        <c:ser>
          <c:idx val="11"/>
          <c:order val="4"/>
          <c:tx>
            <c:strRef>
              <c:f>'[1]Ma trận PET'!$H$10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 trận PET'!$I$5:$BX$5</c:f>
              <c:strCache>
                <c:ptCount val="68"/>
                <c:pt idx="0">
                  <c:v>T1.21</c:v>
                </c:pt>
                <c:pt idx="1">
                  <c:v>T2.21</c:v>
                </c:pt>
                <c:pt idx="2">
                  <c:v>T3.21</c:v>
                </c:pt>
                <c:pt idx="3">
                  <c:v>T4.21</c:v>
                </c:pt>
                <c:pt idx="4">
                  <c:v>T5.21</c:v>
                </c:pt>
                <c:pt idx="5">
                  <c:v>T6.21</c:v>
                </c:pt>
                <c:pt idx="6">
                  <c:v>T7.21</c:v>
                </c:pt>
                <c:pt idx="7">
                  <c:v>T8.21</c:v>
                </c:pt>
                <c:pt idx="8">
                  <c:v>T9.21</c:v>
                </c:pt>
                <c:pt idx="9">
                  <c:v>T10.21</c:v>
                </c:pt>
                <c:pt idx="10">
                  <c:v>T11.21</c:v>
                </c:pt>
                <c:pt idx="11">
                  <c:v>T12.21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Hiện tại 23/8</c:v>
                </c:pt>
                <c:pt idx="21">
                  <c:v>9</c:v>
                </c:pt>
                <c:pt idx="22">
                  <c:v>10</c:v>
                </c:pt>
                <c:pt idx="23">
                  <c:v>4/10</c:v>
                </c:pt>
                <c:pt idx="24">
                  <c:v>11/10</c:v>
                </c:pt>
                <c:pt idx="25">
                  <c:v>18/10</c:v>
                </c:pt>
                <c:pt idx="26">
                  <c:v>25/10</c:v>
                </c:pt>
                <c:pt idx="27">
                  <c:v>11</c:v>
                </c:pt>
                <c:pt idx="28">
                  <c:v>12</c:v>
                </c:pt>
                <c:pt idx="29">
                  <c:v>T1/23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11</c:v>
                </c:pt>
                <c:pt idx="40">
                  <c:v>12</c:v>
                </c:pt>
                <c:pt idx="41">
                  <c:v>T1.24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T1.25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T1.26</c:v>
                </c:pt>
                <c:pt idx="66">
                  <c:v>2</c:v>
                </c:pt>
                <c:pt idx="67">
                  <c:v>3</c:v>
                </c:pt>
              </c:strCache>
            </c:strRef>
          </c:cat>
          <c:val>
            <c:numRef>
              <c:f>'[1]Ma trận PET'!$I$10:$AT$10</c:f>
              <c:numCache>
                <c:formatCode>General</c:formatCode>
                <c:ptCount val="38"/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1-7301-4994-A32E-DB24C7B7D828}"/>
            </c:ext>
          </c:extLst>
        </c:ser>
        <c:ser>
          <c:idx val="13"/>
          <c:order val="5"/>
          <c:tx>
            <c:strRef>
              <c:f>'[1]Ma trận PET'!$H$12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 trận PET'!$I$5:$BX$5</c:f>
              <c:strCache>
                <c:ptCount val="68"/>
                <c:pt idx="0">
                  <c:v>T1.21</c:v>
                </c:pt>
                <c:pt idx="1">
                  <c:v>T2.21</c:v>
                </c:pt>
                <c:pt idx="2">
                  <c:v>T3.21</c:v>
                </c:pt>
                <c:pt idx="3">
                  <c:v>T4.21</c:v>
                </c:pt>
                <c:pt idx="4">
                  <c:v>T5.21</c:v>
                </c:pt>
                <c:pt idx="5">
                  <c:v>T6.21</c:v>
                </c:pt>
                <c:pt idx="6">
                  <c:v>T7.21</c:v>
                </c:pt>
                <c:pt idx="7">
                  <c:v>T8.21</c:v>
                </c:pt>
                <c:pt idx="8">
                  <c:v>T9.21</c:v>
                </c:pt>
                <c:pt idx="9">
                  <c:v>T10.21</c:v>
                </c:pt>
                <c:pt idx="10">
                  <c:v>T11.21</c:v>
                </c:pt>
                <c:pt idx="11">
                  <c:v>T12.21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Hiện tại 23/8</c:v>
                </c:pt>
                <c:pt idx="21">
                  <c:v>9</c:v>
                </c:pt>
                <c:pt idx="22">
                  <c:v>10</c:v>
                </c:pt>
                <c:pt idx="23">
                  <c:v>4/10</c:v>
                </c:pt>
                <c:pt idx="24">
                  <c:v>11/10</c:v>
                </c:pt>
                <c:pt idx="25">
                  <c:v>18/10</c:v>
                </c:pt>
                <c:pt idx="26">
                  <c:v>25/10</c:v>
                </c:pt>
                <c:pt idx="27">
                  <c:v>11</c:v>
                </c:pt>
                <c:pt idx="28">
                  <c:v>12</c:v>
                </c:pt>
                <c:pt idx="29">
                  <c:v>T1/23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  <c:pt idx="35">
                  <c:v>7</c:v>
                </c:pt>
                <c:pt idx="36">
                  <c:v>8</c:v>
                </c:pt>
                <c:pt idx="37">
                  <c:v>9</c:v>
                </c:pt>
                <c:pt idx="38">
                  <c:v>10</c:v>
                </c:pt>
                <c:pt idx="39">
                  <c:v>11</c:v>
                </c:pt>
                <c:pt idx="40">
                  <c:v>12</c:v>
                </c:pt>
                <c:pt idx="41">
                  <c:v>T1.24</c:v>
                </c:pt>
                <c:pt idx="42">
                  <c:v>2</c:v>
                </c:pt>
                <c:pt idx="43">
                  <c:v>3</c:v>
                </c:pt>
                <c:pt idx="44">
                  <c:v>4</c:v>
                </c:pt>
                <c:pt idx="45">
                  <c:v>5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  <c:pt idx="50">
                  <c:v>10</c:v>
                </c:pt>
                <c:pt idx="51">
                  <c:v>11</c:v>
                </c:pt>
                <c:pt idx="52">
                  <c:v>12</c:v>
                </c:pt>
                <c:pt idx="53">
                  <c:v>T1.25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10</c:v>
                </c:pt>
                <c:pt idx="63">
                  <c:v>11</c:v>
                </c:pt>
                <c:pt idx="64">
                  <c:v>12</c:v>
                </c:pt>
                <c:pt idx="65">
                  <c:v>T1.26</c:v>
                </c:pt>
                <c:pt idx="66">
                  <c:v>2</c:v>
                </c:pt>
                <c:pt idx="67">
                  <c:v>3</c:v>
                </c:pt>
              </c:strCache>
            </c:strRef>
          </c:cat>
          <c:val>
            <c:numRef>
              <c:f>'[1]Ma trận PET'!$I$12:$AT$12</c:f>
              <c:numCache>
                <c:formatCode>General</c:formatCode>
                <c:ptCount val="38"/>
                <c:pt idx="7">
                  <c:v>1400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1650</c:v>
                </c:pt>
                <c:pt idx="14">
                  <c:v>1650</c:v>
                </c:pt>
                <c:pt idx="15">
                  <c:v>1650</c:v>
                </c:pt>
                <c:pt idx="16">
                  <c:v>1650</c:v>
                </c:pt>
                <c:pt idx="17">
                  <c:v>1800</c:v>
                </c:pt>
                <c:pt idx="18">
                  <c:v>1700</c:v>
                </c:pt>
                <c:pt idx="19">
                  <c:v>1610</c:v>
                </c:pt>
                <c:pt idx="20">
                  <c:v>1520</c:v>
                </c:pt>
                <c:pt idx="21">
                  <c:v>1538</c:v>
                </c:pt>
                <c:pt idx="22">
                  <c:v>1550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1410</c:v>
                </c:pt>
                <c:pt idx="29">
                  <c:v>1325</c:v>
                </c:pt>
                <c:pt idx="30">
                  <c:v>1345</c:v>
                </c:pt>
                <c:pt idx="31">
                  <c:v>1530</c:v>
                </c:pt>
                <c:pt idx="32">
                  <c:v>1530</c:v>
                </c:pt>
                <c:pt idx="33">
                  <c:v>1516</c:v>
                </c:pt>
                <c:pt idx="34">
                  <c:v>1362.5</c:v>
                </c:pt>
                <c:pt idx="35">
                  <c:v>1350</c:v>
                </c:pt>
                <c:pt idx="36">
                  <c:v>1328</c:v>
                </c:pt>
                <c:pt idx="37">
                  <c:v>1327.5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3-7301-4994-A32E-DB24C7B7D828}"/>
            </c:ext>
          </c:extLst>
        </c:ser>
        <c:ser>
          <c:idx val="15"/>
          <c:order val="7"/>
          <c:tx>
            <c:strRef>
              <c:f>'Ma trận PET'!$D$8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PET'!$E$5:$P$5</c:f>
              <c:strCache>
                <c:ptCount val="12"/>
                <c:pt idx="0">
                  <c:v>T1.25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'Ma trận PET'!$E$8:$P$8</c:f>
              <c:numCache>
                <c:formatCode>"$"#,##0_);\("$"#,##0\)</c:formatCode>
                <c:ptCount val="12"/>
                <c:pt idx="0">
                  <c:v>827.5</c:v>
                </c:pt>
                <c:pt idx="1">
                  <c:v>840</c:v>
                </c:pt>
                <c:pt idx="2">
                  <c:v>822.5</c:v>
                </c:pt>
                <c:pt idx="3">
                  <c:v>765</c:v>
                </c:pt>
                <c:pt idx="4">
                  <c:v>782</c:v>
                </c:pt>
                <c:pt idx="5">
                  <c:v>807.5</c:v>
                </c:pt>
                <c:pt idx="6">
                  <c:v>802</c:v>
                </c:pt>
                <c:pt idx="7">
                  <c:v>795</c:v>
                </c:pt>
                <c:pt idx="8">
                  <c:v>782.5</c:v>
                </c:pt>
                <c:pt idx="9">
                  <c:v>772</c:v>
                </c:pt>
                <c:pt idx="10">
                  <c:v>770</c:v>
                </c:pt>
                <c:pt idx="11">
                  <c:v>772.5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301-4994-A32E-DB24C7B7D8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'Ma trận PET'!$D$12</c15:sqref>
                        </c15:formulaRef>
                      </c:ext>
                    </c:extLst>
                    <c:strCache>
                      <c:ptCount val="1"/>
                      <c:pt idx="0">
                        <c:v>Giá bán Unilever</c:v>
                      </c:pt>
                    </c:strCache>
                  </c:strRef>
                </c:tx>
                <c:spPr>
                  <a:ln w="53975" cap="rnd">
                    <a:solidFill>
                      <a:srgbClr val="2CD8D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6"/>
                    <c:layout>
                      <c:manualLayout>
                        <c:x val="-2.07345875883331E-2"/>
                        <c:y val="2.903980677444224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7301-4994-A32E-DB24C7B7D828}"/>
                      </c:ext>
                    </c:extLst>
                  </c:dLbl>
                  <c:dLbl>
                    <c:idx val="7"/>
                    <c:layout>
                      <c:manualLayout>
                        <c:x val="-2.0734587588333166E-2"/>
                        <c:y val="2.903980677444224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7301-4994-A32E-DB24C7B7D828}"/>
                      </c:ext>
                    </c:extLst>
                  </c:dLbl>
                  <c:dLbl>
                    <c:idx val="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7301-4994-A32E-DB24C7B7D82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2CD8D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'Ma trận PET'!$E$5:$P$5</c15:sqref>
                        </c15:formulaRef>
                      </c:ext>
                    </c:extLst>
                    <c:strCache>
                      <c:ptCount val="12"/>
                      <c:pt idx="0">
                        <c:v>T1.25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 trận PET'!$E$12:$P$12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1300</c:v>
                      </c:pt>
                      <c:pt idx="1">
                        <c:v>1300</c:v>
                      </c:pt>
                      <c:pt idx="2">
                        <c:v>1250</c:v>
                      </c:pt>
                      <c:pt idx="3">
                        <c:v>1250</c:v>
                      </c:pt>
                      <c:pt idx="4">
                        <c:v>1250</c:v>
                      </c:pt>
                      <c:pt idx="5">
                        <c:v>1250</c:v>
                      </c:pt>
                      <c:pt idx="6">
                        <c:v>1280</c:v>
                      </c:pt>
                      <c:pt idx="7">
                        <c:v>1280</c:v>
                      </c:pt>
                      <c:pt idx="8">
                        <c:v>1280</c:v>
                      </c:pt>
                      <c:pt idx="9">
                        <c:v>1280</c:v>
                      </c:pt>
                      <c:pt idx="10">
                        <c:v>1280</c:v>
                      </c:pt>
                      <c:pt idx="11">
                        <c:v>1280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7301-4994-A32E-DB24C7B7D828}"/>
                  </c:ext>
                </c:extLst>
              </c15:ser>
            </c15:filteredLineSeries>
          </c:ext>
        </c:extLst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7375062479739984"/>
          <c:y val="0.32749041085151009"/>
          <c:w val="0.12089472182259471"/>
          <c:h val="0.490834975888299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10.png"/><Relationship Id="rId2" Type="http://schemas.openxmlformats.org/officeDocument/2006/relationships/chart" Target="../charts/chart1.xml"/><Relationship Id="rId1" Type="http://schemas.openxmlformats.org/officeDocument/2006/relationships/image" Target="../media/image8.png"/><Relationship Id="rId6" Type="http://schemas.openxmlformats.org/officeDocument/2006/relationships/chart" Target="../charts/chart5.xml"/><Relationship Id="rId11" Type="http://schemas.openxmlformats.org/officeDocument/2006/relationships/image" Target="../media/image9.png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14</xdr:col>
      <xdr:colOff>239112</xdr:colOff>
      <xdr:row>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D4E41-2CB4-33D3-93A2-E981F41C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8773512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4</xdr:row>
      <xdr:rowOff>30480</xdr:rowOff>
    </xdr:from>
    <xdr:to>
      <xdr:col>6</xdr:col>
      <xdr:colOff>289000</xdr:colOff>
      <xdr:row>4</xdr:row>
      <xdr:rowOff>281940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3650F-0E03-8FB4-635E-EEBA5C42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30480"/>
          <a:ext cx="1150620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1011667</xdr:colOff>
      <xdr:row>5</xdr:row>
      <xdr:rowOff>64098</xdr:rowOff>
    </xdr:from>
    <xdr:to>
      <xdr:col>9</xdr:col>
      <xdr:colOff>2154804</xdr:colOff>
      <xdr:row>5</xdr:row>
      <xdr:rowOff>325083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0B969-6A88-4878-97E7-870BF3F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27" y="86958"/>
          <a:ext cx="1150757" cy="25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1</xdr:col>
      <xdr:colOff>617357</xdr:colOff>
      <xdr:row>0</xdr:row>
      <xdr:rowOff>320040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8775E-D194-4226-B744-D7306A7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35</xdr:row>
      <xdr:rowOff>68580</xdr:rowOff>
    </xdr:from>
    <xdr:ext cx="1150757" cy="251460"/>
    <xdr:pic>
      <xdr:nvPicPr>
        <xdr:cNvPr id="20" name="Picture 19">
          <a:extLst>
            <a:ext uri="{FF2B5EF4-FFF2-40B4-BE49-F238E27FC236}">
              <a16:creationId xmlns:a16="http://schemas.microsoft.com/office/drawing/2014/main" id="{47D492B9-E014-4AF4-B459-040EDD2E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68580</xdr:rowOff>
    </xdr:from>
    <xdr:ext cx="1150757" cy="251460"/>
    <xdr:pic>
      <xdr:nvPicPr>
        <xdr:cNvPr id="21" name="Picture 20">
          <a:extLst>
            <a:ext uri="{FF2B5EF4-FFF2-40B4-BE49-F238E27FC236}">
              <a16:creationId xmlns:a16="http://schemas.microsoft.com/office/drawing/2014/main" id="{AF5AAD02-1944-4AB0-9A34-D5AD25C4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105</xdr:row>
      <xdr:rowOff>68580</xdr:rowOff>
    </xdr:from>
    <xdr:ext cx="1150757" cy="251460"/>
    <xdr:pic>
      <xdr:nvPicPr>
        <xdr:cNvPr id="22" name="Picture 21">
          <a:extLst>
            <a:ext uri="{FF2B5EF4-FFF2-40B4-BE49-F238E27FC236}">
              <a16:creationId xmlns:a16="http://schemas.microsoft.com/office/drawing/2014/main" id="{ADCC20EB-E034-4F58-81E9-9EEDE61D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140</xdr:row>
      <xdr:rowOff>68580</xdr:rowOff>
    </xdr:from>
    <xdr:ext cx="1150757" cy="251460"/>
    <xdr:pic>
      <xdr:nvPicPr>
        <xdr:cNvPr id="23" name="Picture 22">
          <a:extLst>
            <a:ext uri="{FF2B5EF4-FFF2-40B4-BE49-F238E27FC236}">
              <a16:creationId xmlns:a16="http://schemas.microsoft.com/office/drawing/2014/main" id="{7D4CADCE-32E3-437F-AE74-8A3D9311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17584</xdr:rowOff>
    </xdr:from>
    <xdr:to>
      <xdr:col>14</xdr:col>
      <xdr:colOff>533399</xdr:colOff>
      <xdr:row>34</xdr:row>
      <xdr:rowOff>124264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2B9453-A327-41B0-8231-756F3B5E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14</xdr:col>
      <xdr:colOff>534419</xdr:colOff>
      <xdr:row>173</xdr:row>
      <xdr:rowOff>166059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A19FBF-2508-496E-A72D-4A4E3D72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534419</xdr:colOff>
      <xdr:row>138</xdr:row>
      <xdr:rowOff>166059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CB963-E395-4528-816A-B3DB74B5C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14</xdr:col>
      <xdr:colOff>534419</xdr:colOff>
      <xdr:row>103</xdr:row>
      <xdr:rowOff>166059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F6E011-8953-450C-889F-E4FF6587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533399</xdr:colOff>
      <xdr:row>69</xdr:row>
      <xdr:rowOff>106679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8D5D27-4923-4165-99EF-8085BB94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441959</xdr:colOff>
      <xdr:row>36</xdr:row>
      <xdr:rowOff>15240</xdr:rowOff>
    </xdr:from>
    <xdr:to>
      <xdr:col>32</xdr:col>
      <xdr:colOff>615695</xdr:colOff>
      <xdr:row>66</xdr:row>
      <xdr:rowOff>97536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75B9-01DD-4CF6-9D8E-38C681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569594</xdr:colOff>
      <xdr:row>70</xdr:row>
      <xdr:rowOff>228600</xdr:rowOff>
    </xdr:from>
    <xdr:to>
      <xdr:col>33</xdr:col>
      <xdr:colOff>57530</xdr:colOff>
      <xdr:row>100</xdr:row>
      <xdr:rowOff>112932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CC2EF-18B5-4F2C-A624-1E2E733F9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170328</xdr:colOff>
      <xdr:row>106</xdr:row>
      <xdr:rowOff>8965</xdr:rowOff>
    </xdr:from>
    <xdr:to>
      <xdr:col>33</xdr:col>
      <xdr:colOff>344064</xdr:colOff>
      <xdr:row>136</xdr:row>
      <xdr:rowOff>91261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73F70B-7274-4CE7-8F0E-2B83FD96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76199</xdr:colOff>
      <xdr:row>144</xdr:row>
      <xdr:rowOff>22860</xdr:rowOff>
    </xdr:from>
    <xdr:to>
      <xdr:col>33</xdr:col>
      <xdr:colOff>249935</xdr:colOff>
      <xdr:row>174</xdr:row>
      <xdr:rowOff>105156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7A0743-3DBB-4EA2-B872-1415B4809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600075</xdr:colOff>
      <xdr:row>140</xdr:row>
      <xdr:rowOff>123825</xdr:rowOff>
    </xdr:from>
    <xdr:to>
      <xdr:col>19</xdr:col>
      <xdr:colOff>609793</xdr:colOff>
      <xdr:row>143</xdr:row>
      <xdr:rowOff>181091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FB9FFA-41F2-424D-BB67-C61F0C08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5375" y="27593925"/>
          <a:ext cx="1381318" cy="8287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17</xdr:col>
      <xdr:colOff>492248</xdr:colOff>
      <xdr:row>2</xdr:row>
      <xdr:rowOff>77534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A09E3A-AFFD-F336-2140-7217EB5D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76891" y="0"/>
          <a:ext cx="1867161" cy="657317"/>
        </a:xfrm>
        <a:prstGeom prst="rect">
          <a:avLst/>
        </a:prstGeom>
      </xdr:spPr>
    </xdr:pic>
    <xdr:clientData/>
  </xdr:twoCellAnchor>
  <xdr:twoCellAnchor>
    <xdr:from>
      <xdr:col>15</xdr:col>
      <xdr:colOff>157369</xdr:colOff>
      <xdr:row>2</xdr:row>
      <xdr:rowOff>87383</xdr:rowOff>
    </xdr:from>
    <xdr:to>
      <xdr:col>32</xdr:col>
      <xdr:colOff>330376</xdr:colOff>
      <xdr:row>32</xdr:row>
      <xdr:rowOff>169679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4FA015-068F-4C91-9869-CC3B1CAC3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147636</xdr:colOff>
      <xdr:row>11</xdr:row>
      <xdr:rowOff>42862</xdr:rowOff>
    </xdr:from>
    <xdr:to>
      <xdr:col>16</xdr:col>
      <xdr:colOff>295275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4FFA-C1B6-102A-35C2-DB653795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11</xdr:row>
      <xdr:rowOff>66675</xdr:rowOff>
    </xdr:from>
    <xdr:to>
      <xdr:col>20</xdr:col>
      <xdr:colOff>190500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D9808-3C66-198B-3901-2309EF7D83B8}"/>
            </a:ext>
          </a:extLst>
        </xdr:cNvPr>
        <xdr:cNvSpPr/>
      </xdr:nvSpPr>
      <xdr:spPr>
        <a:xfrm>
          <a:off x="12268200" y="2162175"/>
          <a:ext cx="2505075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51</xdr:row>
      <xdr:rowOff>15240</xdr:rowOff>
    </xdr:from>
    <xdr:to>
      <xdr:col>10</xdr:col>
      <xdr:colOff>15240</xdr:colOff>
      <xdr:row>52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0C9CD00-5CD3-42F5-84CB-3B267E9B844D}"/>
            </a:ext>
          </a:extLst>
        </xdr:cNvPr>
        <xdr:cNvSpPr/>
      </xdr:nvSpPr>
      <xdr:spPr>
        <a:xfrm>
          <a:off x="9892030" y="9406890"/>
          <a:ext cx="524510" cy="29083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107463</xdr:colOff>
      <xdr:row>0</xdr:row>
      <xdr:rowOff>157833</xdr:rowOff>
    </xdr:from>
    <xdr:to>
      <xdr:col>15</xdr:col>
      <xdr:colOff>310926</xdr:colOff>
      <xdr:row>31</xdr:row>
      <xdr:rowOff>31560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49871D8-70DE-4251-97D7-A6A70917F8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67</xdr:row>
      <xdr:rowOff>164353</xdr:rowOff>
    </xdr:from>
    <xdr:to>
      <xdr:col>1</xdr:col>
      <xdr:colOff>552823</xdr:colOff>
      <xdr:row>69</xdr:row>
      <xdr:rowOff>89648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E611A634-0E9D-47B5-B29A-5CF0929FC6BA}"/>
            </a:ext>
          </a:extLst>
        </xdr:cNvPr>
        <xdr:cNvSpPr txBox="1"/>
      </xdr:nvSpPr>
      <xdr:spPr>
        <a:xfrm>
          <a:off x="0" y="12508753"/>
          <a:ext cx="794123" cy="293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0.00357</cdr:x>
      <cdr:y>0.00929</cdr:y>
    </cdr:from>
    <cdr:to>
      <cdr:x>0.12649</cdr:x>
      <cdr:y>0.08319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453CAA98-2FDA-E320-5A36-8E26E8D377B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750006" cy="40397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accent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Báo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cáo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iangvanloc_duytanrecycling_com/Documents/TAI%20CHE/BI/DTR-giaban.xlsx" TargetMode="External"/><Relationship Id="rId2" Type="http://schemas.openxmlformats.org/officeDocument/2006/relationships/externalLinkPath" Target="https://dtg-my.sharepoint.com/personal/giangvanloc_duytanrecycling_com/Documents/TAI%20CHE/BI/DTR-giaban.xlsx" TargetMode="External"/><Relationship Id="rId1" Type="http://schemas.openxmlformats.org/officeDocument/2006/relationships/externalLinkPath" Target="/personal/giangvanloc_duytanrecycling_com/Documents/TAI%20CHE/BI/DTR-giaba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esktop/DTR-giaban.xlsx" TargetMode="External"/><Relationship Id="rId2" Type="http://schemas.openxmlformats.org/officeDocument/2006/relationships/externalLinkPath" Target="https://dtg-my.sharepoint.com/personal/culh_duytanrecycling_com/Documents/Desktop/DTR-giaban.xlsx" TargetMode="External"/><Relationship Id="rId1" Type="http://schemas.openxmlformats.org/officeDocument/2006/relationships/externalLinkPath" Target="/personal/culh_duytanrecycling_com/Documents/Desktop/DTR-gia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-tháng"/>
      <sheetName val="PET_tuan"/>
      <sheetName val="Ma trận PET"/>
      <sheetName val="PET Fiber_tháng"/>
      <sheetName val="PET Fiber_tuan "/>
      <sheetName val="Ma trận PET- Fiber"/>
      <sheetName val="HD thổi-tháng"/>
      <sheetName val="HD thổi_tuần"/>
      <sheetName val="Ma trận HDPE thổi"/>
      <sheetName val="HD Ép-tháng"/>
      <sheetName val="HD Ép_tuần"/>
      <sheetName val="Ma trận HDPE Ép"/>
      <sheetName val="PP-tháng"/>
      <sheetName val="PP_tuần"/>
      <sheetName val="Ma trận giá bán rPP"/>
      <sheetName val="Vảy PP_tháng"/>
      <sheetName val="Vảy PP_tuần"/>
      <sheetName val="Ma trận giá bán vảy PP"/>
      <sheetName val="Vảy HD ÉP_tháng"/>
      <sheetName val="Vảy HD ÉP_tuần"/>
      <sheetName val="Ma trận giá bán vảy HDPE ÉP"/>
    </sheetNames>
    <sheetDataSet>
      <sheetData sheetId="0"/>
      <sheetData sheetId="1"/>
      <sheetData sheetId="2">
        <row r="5">
          <cell r="I5" t="str">
            <v>T1.21</v>
          </cell>
          <cell r="J5" t="str">
            <v>T2.21</v>
          </cell>
          <cell r="K5" t="str">
            <v>T3.21</v>
          </cell>
          <cell r="L5" t="str">
            <v>T4.21</v>
          </cell>
          <cell r="M5" t="str">
            <v>T5.21</v>
          </cell>
          <cell r="N5" t="str">
            <v>T6.21</v>
          </cell>
          <cell r="O5" t="str">
            <v>T7.21</v>
          </cell>
          <cell r="P5" t="str">
            <v>T8.21</v>
          </cell>
          <cell r="Q5" t="str">
            <v>T9.21</v>
          </cell>
          <cell r="R5" t="str">
            <v>T10.21</v>
          </cell>
          <cell r="S5" t="str">
            <v>T11.21</v>
          </cell>
          <cell r="T5" t="str">
            <v>T12.21</v>
          </cell>
          <cell r="U5">
            <v>1</v>
          </cell>
          <cell r="V5">
            <v>2</v>
          </cell>
          <cell r="W5">
            <v>3</v>
          </cell>
          <cell r="X5">
            <v>4</v>
          </cell>
          <cell r="Y5">
            <v>5</v>
          </cell>
          <cell r="Z5">
            <v>6</v>
          </cell>
          <cell r="AA5">
            <v>7</v>
          </cell>
          <cell r="AB5">
            <v>8</v>
          </cell>
          <cell r="AC5" t="str">
            <v>Hiện tại 23/8</v>
          </cell>
          <cell r="AD5">
            <v>9</v>
          </cell>
          <cell r="AE5">
            <v>10</v>
          </cell>
          <cell r="AF5" t="str">
            <v>4/10</v>
          </cell>
          <cell r="AG5" t="str">
            <v>11/10</v>
          </cell>
          <cell r="AH5" t="str">
            <v>18/10</v>
          </cell>
          <cell r="AI5" t="str">
            <v>25/10</v>
          </cell>
          <cell r="AJ5">
            <v>11</v>
          </cell>
          <cell r="AK5">
            <v>12</v>
          </cell>
          <cell r="AL5" t="str">
            <v>T1/23</v>
          </cell>
          <cell r="AM5">
            <v>2</v>
          </cell>
          <cell r="AN5">
            <v>3</v>
          </cell>
          <cell r="AO5">
            <v>4</v>
          </cell>
          <cell r="AP5">
            <v>5</v>
          </cell>
          <cell r="AQ5">
            <v>6</v>
          </cell>
          <cell r="AR5">
            <v>7</v>
          </cell>
          <cell r="AS5">
            <v>8</v>
          </cell>
          <cell r="AT5">
            <v>9</v>
          </cell>
          <cell r="AU5">
            <v>10</v>
          </cell>
          <cell r="AV5">
            <v>11</v>
          </cell>
          <cell r="AW5">
            <v>12</v>
          </cell>
          <cell r="AX5" t="str">
            <v>T1.24</v>
          </cell>
          <cell r="AY5">
            <v>2</v>
          </cell>
          <cell r="AZ5">
            <v>3</v>
          </cell>
          <cell r="BA5">
            <v>4</v>
          </cell>
          <cell r="BB5">
            <v>5</v>
          </cell>
          <cell r="BC5">
            <v>6</v>
          </cell>
          <cell r="BD5">
            <v>7</v>
          </cell>
          <cell r="BE5">
            <v>8</v>
          </cell>
          <cell r="BF5">
            <v>9</v>
          </cell>
          <cell r="BG5">
            <v>10</v>
          </cell>
          <cell r="BH5">
            <v>11</v>
          </cell>
          <cell r="BI5">
            <v>12</v>
          </cell>
          <cell r="BJ5" t="str">
            <v>T1.25</v>
          </cell>
          <cell r="BK5">
            <v>2</v>
          </cell>
          <cell r="BL5">
            <v>3</v>
          </cell>
          <cell r="BM5">
            <v>4</v>
          </cell>
          <cell r="BN5">
            <v>5</v>
          </cell>
          <cell r="BO5">
            <v>6</v>
          </cell>
          <cell r="BP5">
            <v>7</v>
          </cell>
          <cell r="BQ5">
            <v>8</v>
          </cell>
          <cell r="BR5">
            <v>9</v>
          </cell>
          <cell r="BS5">
            <v>10</v>
          </cell>
          <cell r="BT5">
            <v>11</v>
          </cell>
          <cell r="BU5">
            <v>12</v>
          </cell>
          <cell r="BV5" t="str">
            <v>T1.26</v>
          </cell>
          <cell r="BW5">
            <v>2</v>
          </cell>
          <cell r="BX5">
            <v>3</v>
          </cell>
        </row>
        <row r="12">
          <cell r="H12" t="str">
            <v>ICIS FOB ĐNA - Giá Cao</v>
          </cell>
          <cell r="P12">
            <v>1400</v>
          </cell>
          <cell r="Q12">
            <v>1500</v>
          </cell>
          <cell r="R12">
            <v>1500</v>
          </cell>
          <cell r="S12">
            <v>1500</v>
          </cell>
          <cell r="T12">
            <v>1500</v>
          </cell>
          <cell r="U12">
            <v>1500</v>
          </cell>
          <cell r="V12">
            <v>1650</v>
          </cell>
          <cell r="W12">
            <v>1650</v>
          </cell>
          <cell r="X12">
            <v>1650</v>
          </cell>
          <cell r="Y12">
            <v>1650</v>
          </cell>
          <cell r="Z12">
            <v>1800</v>
          </cell>
          <cell r="AA12">
            <v>1700</v>
          </cell>
          <cell r="AB12">
            <v>1610</v>
          </cell>
          <cell r="AC12">
            <v>1520</v>
          </cell>
          <cell r="AD12">
            <v>1538</v>
          </cell>
          <cell r="AE12">
            <v>1550</v>
          </cell>
          <cell r="AF12">
            <v>1500</v>
          </cell>
          <cell r="AG12">
            <v>1500</v>
          </cell>
          <cell r="AH12">
            <v>1500</v>
          </cell>
          <cell r="AI12">
            <v>1500</v>
          </cell>
          <cell r="AJ12">
            <v>1500</v>
          </cell>
          <cell r="AK12">
            <v>1410</v>
          </cell>
          <cell r="AL12">
            <v>1325</v>
          </cell>
          <cell r="AM12">
            <v>1345</v>
          </cell>
          <cell r="AN12">
            <v>1530</v>
          </cell>
          <cell r="AO12">
            <v>1530</v>
          </cell>
          <cell r="AP12">
            <v>1516</v>
          </cell>
          <cell r="AQ12">
            <v>1362.5</v>
          </cell>
          <cell r="AR12">
            <v>1350</v>
          </cell>
          <cell r="AS12">
            <v>1328</v>
          </cell>
          <cell r="AT12">
            <v>1327.5</v>
          </cell>
        </row>
        <row r="16">
          <cell r="H16" t="str">
            <v>Giá keo dự báo</v>
          </cell>
          <cell r="U16">
            <v>1165</v>
          </cell>
          <cell r="V16">
            <v>1272.5</v>
          </cell>
          <cell r="W16">
            <v>1346</v>
          </cell>
          <cell r="X16">
            <v>1297.5</v>
          </cell>
          <cell r="Y16">
            <v>1316.6666666666667</v>
          </cell>
          <cell r="Z16">
            <v>1390</v>
          </cell>
          <cell r="AA16">
            <v>1220</v>
          </cell>
          <cell r="AB16">
            <v>1270</v>
          </cell>
          <cell r="AC16">
            <v>1190</v>
          </cell>
          <cell r="AD16">
            <v>1190</v>
          </cell>
          <cell r="AE16">
            <v>1130</v>
          </cell>
          <cell r="AF16">
            <v>1100</v>
          </cell>
          <cell r="AG16">
            <v>1100</v>
          </cell>
          <cell r="AH16">
            <v>1070</v>
          </cell>
          <cell r="AI16">
            <v>1040</v>
          </cell>
          <cell r="AJ16">
            <v>1040</v>
          </cell>
          <cell r="AK16">
            <v>977.5</v>
          </cell>
          <cell r="AL16">
            <v>1000</v>
          </cell>
          <cell r="AM16">
            <v>1045</v>
          </cell>
          <cell r="AN16">
            <v>1020</v>
          </cell>
          <cell r="AO16">
            <v>1055</v>
          </cell>
          <cell r="AP16">
            <v>974</v>
          </cell>
          <cell r="AQ16">
            <v>895</v>
          </cell>
          <cell r="AR16">
            <v>903</v>
          </cell>
          <cell r="AS16">
            <v>918</v>
          </cell>
          <cell r="AT16">
            <v>930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T-tháng"/>
      <sheetName val="PET_tuan"/>
      <sheetName val="Ma trận PET"/>
      <sheetName val="PET Fiber_tháng"/>
      <sheetName val="PET Fiber_tuan "/>
      <sheetName val="Ma trận PET- Fiber"/>
      <sheetName val="HD thổi-tháng"/>
      <sheetName val="HD thổi_tuần"/>
      <sheetName val="Ma trận HDPE thổi"/>
      <sheetName val="HD Ép-tháng"/>
      <sheetName val="HD Ép_tuần"/>
      <sheetName val="Ma trận HDPE Ép"/>
      <sheetName val="PP-tháng"/>
      <sheetName val="PP_tuần"/>
      <sheetName val="Ma trận giá bán rPP"/>
      <sheetName val="Vảy PP_tháng"/>
      <sheetName val="Vảy PP_tuần"/>
      <sheetName val="Ma trận giá bán vảy PP"/>
      <sheetName val="Vảy HD ÉP_tháng"/>
      <sheetName val="Vảy HD ÉP_tuần"/>
      <sheetName val="Ma trận giá bán vảy HDPE ÉP"/>
    </sheetNames>
    <sheetDataSet>
      <sheetData sheetId="0" refreshError="1"/>
      <sheetData sheetId="1" refreshError="1"/>
      <sheetData sheetId="2">
        <row r="12">
          <cell r="P12">
            <v>1400</v>
          </cell>
          <cell r="Q12">
            <v>1500</v>
          </cell>
          <cell r="R12">
            <v>1500</v>
          </cell>
          <cell r="S12">
            <v>1500</v>
          </cell>
          <cell r="T12">
            <v>1500</v>
          </cell>
          <cell r="U12">
            <v>1500</v>
          </cell>
          <cell r="V12">
            <v>1650</v>
          </cell>
          <cell r="W12">
            <v>1650</v>
          </cell>
          <cell r="X12">
            <v>1650</v>
          </cell>
          <cell r="Y12">
            <v>1650</v>
          </cell>
          <cell r="Z12">
            <v>1800</v>
          </cell>
          <cell r="AA12">
            <v>1700</v>
          </cell>
          <cell r="AB12">
            <v>1610</v>
          </cell>
          <cell r="AC12">
            <v>1520</v>
          </cell>
          <cell r="AD12">
            <v>1538</v>
          </cell>
          <cell r="AE12">
            <v>1550</v>
          </cell>
          <cell r="AF12">
            <v>1500</v>
          </cell>
          <cell r="AG12">
            <v>1500</v>
          </cell>
          <cell r="AH12">
            <v>1500</v>
          </cell>
          <cell r="AI12">
            <v>1500</v>
          </cell>
          <cell r="AJ12">
            <v>1500</v>
          </cell>
          <cell r="AK12">
            <v>1410</v>
          </cell>
          <cell r="AL12">
            <v>1325</v>
          </cell>
          <cell r="AM12">
            <v>1345</v>
          </cell>
          <cell r="AN12">
            <v>1530</v>
          </cell>
          <cell r="AO12">
            <v>1530</v>
          </cell>
          <cell r="AP12">
            <v>1516</v>
          </cell>
          <cell r="AQ12">
            <v>1362.5</v>
          </cell>
          <cell r="AR12">
            <v>1350</v>
          </cell>
          <cell r="AS12">
            <v>1328</v>
          </cell>
          <cell r="AT12">
            <v>1327.5</v>
          </cell>
        </row>
        <row r="16">
          <cell r="U16">
            <v>1165</v>
          </cell>
          <cell r="V16">
            <v>1272.5</v>
          </cell>
          <cell r="W16">
            <v>1346</v>
          </cell>
          <cell r="X16">
            <v>1297.5</v>
          </cell>
          <cell r="Y16">
            <v>1316.6666666666667</v>
          </cell>
          <cell r="Z16">
            <v>1390</v>
          </cell>
          <cell r="AA16">
            <v>1220</v>
          </cell>
          <cell r="AB16">
            <v>1270</v>
          </cell>
          <cell r="AC16">
            <v>1190</v>
          </cell>
          <cell r="AD16">
            <v>1190</v>
          </cell>
          <cell r="AE16">
            <v>1130</v>
          </cell>
          <cell r="AF16">
            <v>1100</v>
          </cell>
          <cell r="AG16">
            <v>1100</v>
          </cell>
          <cell r="AH16">
            <v>1070</v>
          </cell>
          <cell r="AI16">
            <v>1040</v>
          </cell>
          <cell r="AJ16">
            <v>1040</v>
          </cell>
          <cell r="AK16">
            <v>977.5</v>
          </cell>
          <cell r="AL16">
            <v>1000</v>
          </cell>
          <cell r="AM16">
            <v>1045</v>
          </cell>
          <cell r="AN16">
            <v>1020</v>
          </cell>
          <cell r="AO16">
            <v>1055</v>
          </cell>
          <cell r="AP16">
            <v>974</v>
          </cell>
          <cell r="AQ16">
            <v>895</v>
          </cell>
          <cell r="AR16">
            <v>903</v>
          </cell>
          <cell r="AS16">
            <v>918</v>
          </cell>
          <cell r="AT16">
            <v>930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  <v>Discover Niagara Bottling LLC: Quality Bottled Water by IBWA</v>
  </rv>
  <rv s="0">
    <v>1</v>
    <v>5</v>
    <v>Suntory Holdings Limited | LinkedIn</v>
  </rv>
  <rv s="0">
    <v>2</v>
    <v>5</v>
    <v>Unilever plc - WikiCorporates</v>
  </rv>
  <rv s="0">
    <v>3</v>
    <v>5</v>
    <v>iF Design - Outeirinho Turismo e Indústria S.A.</v>
  </rv>
  <rv s="0">
    <v>4</v>
    <v>5</v>
    <v>Coca-Cola logo vector (svg, eps ...</v>
  </rv>
  <rv s="0">
    <v>5</v>
    <v>5</v>
    <v>Logo Lavie file Vector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19D-B1F7-4999-AD4F-46931266B3E1}">
  <dimension ref="A5:O17"/>
  <sheetViews>
    <sheetView showGridLines="0" view="pageLayout" topLeftCell="A10" zoomScaleNormal="100" workbookViewId="0">
      <selection activeCell="E33" sqref="E33"/>
    </sheetView>
  </sheetViews>
  <sheetFormatPr defaultRowHeight="14.5" x14ac:dyDescent="0.35"/>
  <sheetData>
    <row r="5" spans="1:15" ht="30.65" customHeight="1" x14ac:dyDescent="0.35">
      <c r="A5" s="518" t="s">
        <v>343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</row>
    <row r="10" spans="1:15" ht="15" thickBot="1" x14ac:dyDescent="0.4"/>
    <row r="11" spans="1:15" ht="26.5" thickBot="1" x14ac:dyDescent="0.65">
      <c r="C11" s="387" t="s">
        <v>344</v>
      </c>
      <c r="D11" s="388" t="s">
        <v>345</v>
      </c>
    </row>
    <row r="12" spans="1:15" ht="10.4" customHeight="1" x14ac:dyDescent="0.6">
      <c r="C12" s="386"/>
      <c r="D12" s="385"/>
    </row>
    <row r="13" spans="1:15" ht="15" thickBot="1" x14ac:dyDescent="0.4"/>
    <row r="14" spans="1:15" ht="26.5" thickBot="1" x14ac:dyDescent="0.65">
      <c r="C14" s="387" t="s">
        <v>346</v>
      </c>
      <c r="D14" s="388" t="s">
        <v>335</v>
      </c>
    </row>
    <row r="15" spans="1:15" ht="10.4" customHeight="1" x14ac:dyDescent="0.6">
      <c r="C15" s="386"/>
      <c r="D15" s="385"/>
    </row>
    <row r="16" spans="1:15" ht="15" thickBot="1" x14ac:dyDescent="0.4"/>
    <row r="17" spans="3:4" ht="26.5" thickBot="1" x14ac:dyDescent="0.65">
      <c r="C17" s="387" t="s">
        <v>407</v>
      </c>
      <c r="D17" s="388" t="s">
        <v>393</v>
      </c>
    </row>
  </sheetData>
  <mergeCells count="1">
    <mergeCell ref="A5:O5"/>
  </mergeCells>
  <hyperlinks>
    <hyperlink ref="C11" location="'Giá công thức'!A1" display="I." xr:uid="{9A445FB0-0D56-4FA2-8144-1BBA1E3E4ACE}"/>
    <hyperlink ref="C14" location="Price!A1" display="II." xr:uid="{27D980F6-3968-4F96-BC2E-FBCAB710BFA3}"/>
    <hyperlink ref="C17" location="'Biểu đồ'!A1" display="III." xr:uid="{1A262CD2-0AE9-46A6-BECC-FFA4967B32D0}"/>
  </hyperlinks>
  <printOptions horizontalCentered="1"/>
  <pageMargins left="0.2" right="0.2" top="0.25" bottom="0.25" header="0.05" footer="0.0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135-7297-401E-8248-E50EFD55FEF9}">
  <sheetPr>
    <tabColor theme="7" tint="-0.249977111117893"/>
  </sheetPr>
  <dimension ref="A1:AP104"/>
  <sheetViews>
    <sheetView showGridLines="0" tabSelected="1" topLeftCell="D5" zoomScale="115" zoomScaleNormal="115" workbookViewId="0">
      <pane xSplit="3" ySplit="6" topLeftCell="U60" activePane="bottomRight" state="frozen"/>
      <selection activeCell="D5" sqref="D5"/>
      <selection pane="topRight" activeCell="G5" sqref="G5"/>
      <selection pane="bottomLeft" activeCell="D11" sqref="D11"/>
      <selection pane="bottomRight" activeCell="Y69" sqref="Y69"/>
    </sheetView>
  </sheetViews>
  <sheetFormatPr defaultRowHeight="14.5" outlineLevelRow="1" outlineLevelCol="1" x14ac:dyDescent="0.35"/>
  <cols>
    <col min="1" max="1" width="9" hidden="1" customWidth="1" outlineLevel="1"/>
    <col min="2" max="2" width="18.33203125" hidden="1" customWidth="1" outlineLevel="1"/>
    <col min="3" max="3" width="16.08203125" style="14" hidden="1" customWidth="1" outlineLevel="1"/>
    <col min="4" max="4" width="6" style="14" customWidth="1" collapsed="1"/>
    <col min="5" max="5" width="0.58203125" customWidth="1"/>
    <col min="6" max="6" width="26.5" style="321" bestFit="1" customWidth="1"/>
    <col min="7" max="17" width="8.33203125" customWidth="1"/>
    <col min="18" max="18" width="8.33203125" style="48" customWidth="1"/>
    <col min="19" max="29" width="8.33203125" customWidth="1"/>
    <col min="30" max="30" width="8.33203125" style="48" customWidth="1"/>
    <col min="31" max="41" width="8.33203125" customWidth="1"/>
    <col min="42" max="42" width="8.33203125" style="48" customWidth="1"/>
  </cols>
  <sheetData>
    <row r="1" spans="1:42" hidden="1" outlineLevel="1" x14ac:dyDescent="0.35">
      <c r="F1"/>
      <c r="G1" s="78">
        <f t="shared" ref="G1:AD1" si="0">DATE(G3,G4,1)</f>
        <v>45292</v>
      </c>
      <c r="H1" s="77">
        <f t="shared" si="0"/>
        <v>45323</v>
      </c>
      <c r="I1" s="77">
        <f t="shared" si="0"/>
        <v>45352</v>
      </c>
      <c r="J1" s="77">
        <f t="shared" si="0"/>
        <v>45383</v>
      </c>
      <c r="K1" s="77">
        <f t="shared" si="0"/>
        <v>45413</v>
      </c>
      <c r="L1" s="77">
        <f t="shared" si="0"/>
        <v>45444</v>
      </c>
      <c r="M1" s="77">
        <f t="shared" si="0"/>
        <v>45474</v>
      </c>
      <c r="N1" s="77">
        <f t="shared" si="0"/>
        <v>45505</v>
      </c>
      <c r="O1" s="77">
        <f t="shared" si="0"/>
        <v>45536</v>
      </c>
      <c r="P1" s="77">
        <f t="shared" si="0"/>
        <v>45566</v>
      </c>
      <c r="Q1" s="77">
        <f t="shared" si="0"/>
        <v>45597</v>
      </c>
      <c r="R1" s="79">
        <f t="shared" si="0"/>
        <v>45627</v>
      </c>
      <c r="S1" s="77">
        <f t="shared" si="0"/>
        <v>45658</v>
      </c>
      <c r="T1" s="77">
        <f t="shared" si="0"/>
        <v>45689</v>
      </c>
      <c r="U1" s="77">
        <f t="shared" si="0"/>
        <v>45717</v>
      </c>
      <c r="V1" s="77">
        <f t="shared" si="0"/>
        <v>45748</v>
      </c>
      <c r="W1" s="77">
        <f t="shared" si="0"/>
        <v>45778</v>
      </c>
      <c r="X1" s="77">
        <f t="shared" si="0"/>
        <v>45809</v>
      </c>
      <c r="Y1" s="77">
        <f t="shared" si="0"/>
        <v>45839</v>
      </c>
      <c r="Z1" s="77">
        <f t="shared" si="0"/>
        <v>45870</v>
      </c>
      <c r="AA1" s="77">
        <f t="shared" si="0"/>
        <v>45901</v>
      </c>
      <c r="AB1" s="77">
        <f t="shared" si="0"/>
        <v>45931</v>
      </c>
      <c r="AC1" s="77">
        <f t="shared" si="0"/>
        <v>45962</v>
      </c>
      <c r="AD1" s="79">
        <f t="shared" si="0"/>
        <v>45992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9"/>
    </row>
    <row r="2" spans="1:42" hidden="1" outlineLevel="1" x14ac:dyDescent="0.35">
      <c r="F2"/>
      <c r="G2" s="78">
        <f t="shared" ref="G2:AD2" si="1">EOMONTH(G1,0)</f>
        <v>45322</v>
      </c>
      <c r="H2" s="77">
        <f t="shared" si="1"/>
        <v>45351</v>
      </c>
      <c r="I2" s="77">
        <f t="shared" si="1"/>
        <v>45382</v>
      </c>
      <c r="J2" s="77">
        <f t="shared" si="1"/>
        <v>45412</v>
      </c>
      <c r="K2" s="77">
        <f t="shared" si="1"/>
        <v>45443</v>
      </c>
      <c r="L2" s="77">
        <f t="shared" si="1"/>
        <v>45473</v>
      </c>
      <c r="M2" s="77">
        <f t="shared" si="1"/>
        <v>45504</v>
      </c>
      <c r="N2" s="77">
        <f t="shared" si="1"/>
        <v>45535</v>
      </c>
      <c r="O2" s="77">
        <f t="shared" si="1"/>
        <v>45565</v>
      </c>
      <c r="P2" s="77">
        <f t="shared" si="1"/>
        <v>45596</v>
      </c>
      <c r="Q2" s="77">
        <f t="shared" si="1"/>
        <v>45626</v>
      </c>
      <c r="R2" s="79">
        <f t="shared" si="1"/>
        <v>45657</v>
      </c>
      <c r="S2" s="77">
        <f t="shared" si="1"/>
        <v>45688</v>
      </c>
      <c r="T2" s="77">
        <f t="shared" si="1"/>
        <v>45716</v>
      </c>
      <c r="U2" s="77">
        <f t="shared" si="1"/>
        <v>45747</v>
      </c>
      <c r="V2" s="77">
        <f t="shared" si="1"/>
        <v>45777</v>
      </c>
      <c r="W2" s="77">
        <f t="shared" si="1"/>
        <v>45808</v>
      </c>
      <c r="X2" s="77">
        <f t="shared" si="1"/>
        <v>45838</v>
      </c>
      <c r="Y2" s="77">
        <f t="shared" si="1"/>
        <v>45869</v>
      </c>
      <c r="Z2" s="77">
        <f t="shared" si="1"/>
        <v>45900</v>
      </c>
      <c r="AA2" s="77">
        <f t="shared" si="1"/>
        <v>45930</v>
      </c>
      <c r="AB2" s="77">
        <f t="shared" si="1"/>
        <v>45961</v>
      </c>
      <c r="AC2" s="77">
        <f t="shared" si="1"/>
        <v>45991</v>
      </c>
      <c r="AD2" s="79">
        <f t="shared" si="1"/>
        <v>46022</v>
      </c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9"/>
    </row>
    <row r="3" spans="1:42" hidden="1" outlineLevel="1" x14ac:dyDescent="0.35">
      <c r="F3"/>
      <c r="G3" s="72">
        <v>2024</v>
      </c>
      <c r="H3" s="21">
        <v>2024</v>
      </c>
      <c r="I3" s="21">
        <v>2024</v>
      </c>
      <c r="J3" s="21">
        <v>2024</v>
      </c>
      <c r="K3" s="21">
        <v>2024</v>
      </c>
      <c r="L3" s="21">
        <v>2024</v>
      </c>
      <c r="M3" s="21">
        <v>2024</v>
      </c>
      <c r="N3" s="21">
        <v>2024</v>
      </c>
      <c r="O3" s="21">
        <v>2024</v>
      </c>
      <c r="P3" s="21">
        <v>2024</v>
      </c>
      <c r="Q3" s="21">
        <v>2024</v>
      </c>
      <c r="R3" s="73">
        <v>2024</v>
      </c>
      <c r="S3" s="21">
        <v>2025</v>
      </c>
      <c r="T3" s="21">
        <v>2025</v>
      </c>
      <c r="U3" s="21">
        <v>2025</v>
      </c>
      <c r="V3" s="21">
        <v>2025</v>
      </c>
      <c r="W3" s="21">
        <v>2025</v>
      </c>
      <c r="X3" s="21">
        <v>2025</v>
      </c>
      <c r="Y3" s="21">
        <v>2025</v>
      </c>
      <c r="Z3" s="21">
        <v>2025</v>
      </c>
      <c r="AA3" s="21">
        <v>2025</v>
      </c>
      <c r="AB3" s="21">
        <v>2025</v>
      </c>
      <c r="AC3" s="21">
        <v>2025</v>
      </c>
      <c r="AD3" s="73">
        <v>2025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73"/>
    </row>
    <row r="4" spans="1:42" hidden="1" outlineLevel="1" x14ac:dyDescent="0.35">
      <c r="F4"/>
      <c r="G4" s="72">
        <v>1</v>
      </c>
      <c r="H4" s="21">
        <v>2</v>
      </c>
      <c r="I4" s="21">
        <v>3</v>
      </c>
      <c r="J4" s="21">
        <v>4</v>
      </c>
      <c r="K4" s="21">
        <v>5</v>
      </c>
      <c r="L4" s="21">
        <v>6</v>
      </c>
      <c r="M4" s="21">
        <v>7</v>
      </c>
      <c r="N4" s="21">
        <v>8</v>
      </c>
      <c r="O4" s="21">
        <v>9</v>
      </c>
      <c r="P4" s="21">
        <v>10</v>
      </c>
      <c r="Q4" s="21">
        <v>11</v>
      </c>
      <c r="R4" s="73">
        <v>12</v>
      </c>
      <c r="S4" s="21">
        <v>1</v>
      </c>
      <c r="T4" s="21">
        <v>2</v>
      </c>
      <c r="U4" s="21">
        <v>3</v>
      </c>
      <c r="V4" s="21">
        <v>4</v>
      </c>
      <c r="W4" s="21">
        <v>5</v>
      </c>
      <c r="X4" s="21">
        <v>6</v>
      </c>
      <c r="Y4" s="21">
        <v>7</v>
      </c>
      <c r="Z4" s="21">
        <v>8</v>
      </c>
      <c r="AA4" s="21">
        <v>9</v>
      </c>
      <c r="AB4" s="21">
        <v>10</v>
      </c>
      <c r="AC4" s="21">
        <v>11</v>
      </c>
      <c r="AD4" s="73">
        <v>12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73"/>
    </row>
    <row r="5" spans="1:42" s="418" customFormat="1" ht="27.65" customHeight="1" collapsed="1" x14ac:dyDescent="0.65">
      <c r="F5" s="419"/>
      <c r="G5" s="419" t="s">
        <v>342</v>
      </c>
      <c r="S5" s="419" t="s">
        <v>342</v>
      </c>
      <c r="AE5" s="419" t="s">
        <v>342</v>
      </c>
    </row>
    <row r="6" spans="1:42" hidden="1" x14ac:dyDescent="0.35">
      <c r="F6"/>
      <c r="G6" s="47"/>
      <c r="R6"/>
      <c r="S6" s="47"/>
      <c r="AD6"/>
      <c r="AE6" s="47"/>
      <c r="AP6"/>
    </row>
    <row r="7" spans="1:42" hidden="1" x14ac:dyDescent="0.35">
      <c r="F7"/>
      <c r="G7" s="47"/>
      <c r="R7"/>
      <c r="S7" s="47"/>
      <c r="AD7"/>
      <c r="AE7" s="47"/>
      <c r="AP7"/>
    </row>
    <row r="8" spans="1:42" ht="15.65" customHeight="1" x14ac:dyDescent="0.35">
      <c r="D8" s="521" t="s">
        <v>0</v>
      </c>
      <c r="E8" s="519" t="s">
        <v>1</v>
      </c>
      <c r="F8" s="520"/>
      <c r="G8" s="29">
        <v>2024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85"/>
      <c r="S8" s="30">
        <v>2025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128"/>
      <c r="AE8" s="464">
        <v>2026</v>
      </c>
      <c r="AF8" s="464"/>
      <c r="AG8" s="464"/>
      <c r="AH8" s="464"/>
      <c r="AI8" s="464"/>
      <c r="AJ8" s="464"/>
      <c r="AK8" s="464"/>
      <c r="AL8" s="464"/>
      <c r="AM8" s="464"/>
      <c r="AN8" s="464"/>
      <c r="AO8" s="464"/>
      <c r="AP8" s="465"/>
    </row>
    <row r="9" spans="1:42" ht="15.65" customHeight="1" x14ac:dyDescent="0.35">
      <c r="D9" s="521"/>
      <c r="E9" s="519"/>
      <c r="F9" s="520"/>
      <c r="G9" s="31">
        <v>1</v>
      </c>
      <c r="H9" s="31">
        <v>2</v>
      </c>
      <c r="I9" s="31">
        <v>3</v>
      </c>
      <c r="J9" s="31">
        <v>4</v>
      </c>
      <c r="K9" s="31">
        <v>5</v>
      </c>
      <c r="L9" s="31">
        <v>6</v>
      </c>
      <c r="M9" s="31">
        <v>7</v>
      </c>
      <c r="N9" s="31">
        <v>8</v>
      </c>
      <c r="O9" s="31">
        <v>9</v>
      </c>
      <c r="P9" s="31">
        <v>10</v>
      </c>
      <c r="Q9" s="31">
        <v>11</v>
      </c>
      <c r="R9" s="87">
        <v>12</v>
      </c>
      <c r="S9" s="32">
        <v>1</v>
      </c>
      <c r="T9" s="32">
        <v>2</v>
      </c>
      <c r="U9" s="32">
        <v>3</v>
      </c>
      <c r="V9" s="32">
        <v>4</v>
      </c>
      <c r="W9" s="32">
        <v>5</v>
      </c>
      <c r="X9" s="32">
        <v>6</v>
      </c>
      <c r="Y9" s="32">
        <v>7</v>
      </c>
      <c r="Z9" s="32">
        <v>8</v>
      </c>
      <c r="AA9" s="32">
        <v>9</v>
      </c>
      <c r="AB9" s="32">
        <v>10</v>
      </c>
      <c r="AC9" s="32">
        <v>11</v>
      </c>
      <c r="AD9" s="129">
        <v>12</v>
      </c>
      <c r="AE9" s="466">
        <v>1</v>
      </c>
      <c r="AF9" s="466">
        <v>2</v>
      </c>
      <c r="AG9" s="466">
        <v>3</v>
      </c>
      <c r="AH9" s="466">
        <v>4</v>
      </c>
      <c r="AI9" s="466">
        <v>5</v>
      </c>
      <c r="AJ9" s="466">
        <v>6</v>
      </c>
      <c r="AK9" s="466">
        <v>7</v>
      </c>
      <c r="AL9" s="466">
        <v>8</v>
      </c>
      <c r="AM9" s="466">
        <v>9</v>
      </c>
      <c r="AN9" s="466">
        <v>10</v>
      </c>
      <c r="AO9" s="466">
        <v>11</v>
      </c>
      <c r="AP9" s="467">
        <v>12</v>
      </c>
    </row>
    <row r="10" spans="1:42" ht="3" customHeight="1" x14ac:dyDescent="0.35"/>
    <row r="11" spans="1:42" s="127" customFormat="1" ht="15.65" customHeight="1" x14ac:dyDescent="0.4">
      <c r="A11" s="127" t="s">
        <v>52</v>
      </c>
      <c r="C11" s="131"/>
      <c r="D11" s="169" t="s">
        <v>2</v>
      </c>
      <c r="E11" s="130" t="s">
        <v>3</v>
      </c>
      <c r="F11" s="322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31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319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319"/>
    </row>
    <row r="12" spans="1:42" s="148" customFormat="1" ht="13.4" customHeight="1" outlineLevel="1" x14ac:dyDescent="0.4">
      <c r="A12" s="148" t="s">
        <v>52</v>
      </c>
      <c r="B12" s="148" t="s">
        <v>15</v>
      </c>
      <c r="D12" s="161"/>
      <c r="E12" s="149"/>
      <c r="F12" s="323" t="s">
        <v>4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151"/>
      <c r="T12" s="151"/>
      <c r="U12" s="149"/>
      <c r="V12" s="149"/>
      <c r="W12" s="149"/>
      <c r="X12" s="149"/>
      <c r="Y12" s="149"/>
      <c r="Z12" s="149"/>
      <c r="AA12" s="149"/>
      <c r="AB12" s="149"/>
      <c r="AC12" s="149"/>
      <c r="AD12" s="150"/>
      <c r="AE12" s="151"/>
      <c r="AF12" s="151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</row>
    <row r="13" spans="1:42" s="69" customFormat="1" ht="11.5" customHeight="1" outlineLevel="1" x14ac:dyDescent="0.35">
      <c r="A13" s="69" t="s">
        <v>52</v>
      </c>
      <c r="B13" s="69" t="s">
        <v>15</v>
      </c>
      <c r="D13" s="170" t="s">
        <v>5</v>
      </c>
      <c r="E13" s="134"/>
      <c r="F13" s="324" t="s">
        <v>6</v>
      </c>
      <c r="G13" s="135" cm="1">
        <f t="array" ref="G13">INDEX(Price!$L$11:$AM$182,MATCH(1,(Price!$A$11:$A$182=$A13)*(Price!$B$11:$B$182=$B13)*(Price!$D$11:$D$182="gb"),0),MATCH(1,(Price!$L$3:$AM$3=G$3)*(Price!$L$4:$AM$4=G$4),0))</f>
        <v>1200</v>
      </c>
      <c r="H13" s="135" cm="1">
        <f t="array" ref="H13">INDEX(Price!$L$11:$AM$182,MATCH(1,(Price!$A$11:$A$182=$A13)*(Price!$B$11:$B$182=$B13)*(Price!$D$11:$D$182="gb"),0),MATCH(1,(Price!$L$3:$AM$3=H$3)*(Price!$L$4:$AM$4=H$4),0))</f>
        <v>1200</v>
      </c>
      <c r="I13" s="135" cm="1">
        <f t="array" ref="I13">INDEX(Price!$L$11:$AM$182,MATCH(1,(Price!$A$11:$A$182=$A13)*(Price!$B$11:$B$182=$B13)*(Price!$D$11:$D$182="gb"),0),MATCH(1,(Price!$L$3:$AM$3=I$3)*(Price!$L$4:$AM$4=I$4),0))</f>
        <v>1200</v>
      </c>
      <c r="J13" s="135" cm="1">
        <f t="array" ref="J13">INDEX(Price!$L$11:$AM$182,MATCH(1,(Price!$A$11:$A$182=$A13)*(Price!$B$11:$B$182=$B13)*(Price!$D$11:$D$182="gb"),0),MATCH(1,(Price!$L$3:$AM$3=J$3)*(Price!$L$4:$AM$4=J$4),0))</f>
        <v>1200</v>
      </c>
      <c r="K13" s="135" cm="1">
        <f t="array" ref="K13">INDEX(Price!$L$11:$AM$182,MATCH(1,(Price!$A$11:$A$182=$A13)*(Price!$B$11:$B$182=$B13)*(Price!$D$11:$D$182="gb"),0),MATCH(1,(Price!$L$3:$AM$3=K$3)*(Price!$L$4:$AM$4=K$4),0))</f>
        <v>1200</v>
      </c>
      <c r="L13" s="135" cm="1">
        <f t="array" ref="L13">INDEX(Price!$L$11:$AM$182,MATCH(1,(Price!$A$11:$A$182=$A13)*(Price!$B$11:$B$182=$B13)*(Price!$D$11:$D$182="gb"),0),MATCH(1,(Price!$L$3:$AM$3=L$3)*(Price!$L$4:$AM$4=L$4),0))</f>
        <v>1200.8999999999999</v>
      </c>
      <c r="M13" s="135" cm="1">
        <f t="array" ref="M13">INDEX(Price!$L$11:$AM$182,MATCH(1,(Price!$A$11:$A$182=$A13)*(Price!$B$11:$B$182=$B13)*(Price!$D$11:$D$182="gb"),0),MATCH(1,(Price!$L$3:$AM$3=M$3)*(Price!$L$4:$AM$4=M$4),0))</f>
        <v>1214.3999999999999</v>
      </c>
      <c r="N13" s="135" cm="1">
        <f t="array" ref="N13">INDEX(Price!$L$11:$AM$182,MATCH(1,(Price!$A$11:$A$182=$A13)*(Price!$B$11:$B$182=$B13)*(Price!$D$11:$D$182="gb"),0),MATCH(1,(Price!$L$3:$AM$3=N$3)*(Price!$L$4:$AM$4=N$4),0))</f>
        <v>1226.0999999999999</v>
      </c>
      <c r="O13" s="135" cm="1">
        <f t="array" ref="O13">INDEX(Price!$L$11:$AM$182,MATCH(1,(Price!$A$11:$A$182=$A13)*(Price!$B$11:$B$182=$B13)*(Price!$D$11:$D$182="gb"),0),MATCH(1,(Price!$L$3:$AM$3=O$3)*(Price!$L$4:$AM$4=O$4),0))</f>
        <v>1242.6000000000001</v>
      </c>
      <c r="P13" s="135" cm="1">
        <f t="array" ref="P13">INDEX(Price!$L$11:$AM$182,MATCH(1,(Price!$A$11:$A$182=$A13)*(Price!$B$11:$B$182=$B13)*(Price!$D$11:$D$182="gb"),0),MATCH(1,(Price!$L$3:$AM$3=P$3)*(Price!$L$4:$AM$4=P$4),0))</f>
        <v>1261.3499999999999</v>
      </c>
      <c r="Q13" s="135" cm="1">
        <f t="array" ref="Q13">INDEX(Price!$L$11:$AM$182,MATCH(1,(Price!$A$11:$A$182=$A13)*(Price!$B$11:$B$182=$B13)*(Price!$D$11:$D$182="gb"),0),MATCH(1,(Price!$L$3:$AM$3=Q$3)*(Price!$L$4:$AM$4=Q$4),0))</f>
        <v>1281.75</v>
      </c>
      <c r="R13" s="136" cm="1">
        <f t="array" ref="R13">INDEX(Price!$L$11:$AM$182,MATCH(1,(Price!$A$11:$A$182=$A13)*(Price!$B$11:$B$182=$B13)*(Price!$D$11:$D$182="gb"),0),MATCH(1,(Price!$L$3:$AM$3=R$3)*(Price!$L$4:$AM$4=R$4),0))</f>
        <v>1290.75</v>
      </c>
      <c r="S13" s="135" cm="1">
        <f t="array" ref="S13">INDEX(Price!$L$11:$AM$182,MATCH(1,(Price!$A$11:$A$182=$A13)*(Price!$B$11:$B$182=$B13)*(Price!$D$11:$D$182="gb"),0),MATCH(1,(Price!$L$3:$AM$3=S$3)*(Price!$L$4:$AM$4=S$4),0))</f>
        <v>1288.875</v>
      </c>
      <c r="T13" s="135" cm="1">
        <f t="array" ref="T13">INDEX(Price!$L$11:$AM$182,MATCH(1,(Price!$A$11:$A$182=$A13)*(Price!$B$11:$B$182=$B13)*(Price!$D$11:$D$182="gb"),0),MATCH(1,(Price!$L$3:$AM$3=T$3)*(Price!$L$4:$AM$4=T$4),0))</f>
        <v>1264.3749999999991</v>
      </c>
      <c r="U13" s="135" cm="1">
        <f t="array" ref="U13">INDEX(Price!$L$11:$AM$182,MATCH(1,(Price!$A$11:$A$182=$A13)*(Price!$B$11:$B$182=$B13)*(Price!$D$11:$D$182="gb"),0),MATCH(1,(Price!$L$3:$AM$3=U$3)*(Price!$L$4:$AM$4=U$4),0))</f>
        <v>1238.8749999999991</v>
      </c>
      <c r="V13" s="135" cm="1">
        <f t="array" ref="V13">INDEX(Price!$L$11:$AM$182,MATCH(1,(Price!$A$11:$A$182=$A13)*(Price!$B$11:$B$182=$B13)*(Price!$D$11:$D$182="gb"),0),MATCH(1,(Price!$L$3:$AM$3=V$3)*(Price!$L$4:$AM$4=V$4),0))</f>
        <v>1219.8800000000001</v>
      </c>
      <c r="W13" s="135" cm="1">
        <f t="array" ref="W13">INDEX(Price!$L$11:$AM$182,MATCH(1,(Price!$A$11:$A$182=$A13)*(Price!$B$11:$B$182=$B13)*(Price!$D$11:$D$182="gb"),0),MATCH(1,(Price!$L$3:$AM$3=W$3)*(Price!$L$4:$AM$4=W$4),0))</f>
        <v>1221</v>
      </c>
      <c r="X13" s="135" cm="1">
        <f t="array" ref="X13">INDEX(Price!$L$11:$AM$182,MATCH(1,(Price!$A$11:$A$182=$A13)*(Price!$B$11:$B$182=$B13)*(Price!$D$11:$D$182="gb"),0),MATCH(1,(Price!$L$3:$AM$3=X$3)*(Price!$L$4:$AM$4=X$4),0))</f>
        <v>1224</v>
      </c>
      <c r="Y13" s="135" cm="1">
        <f t="array" ref="Y13">INDEX(Price!$L$11:$AM$182,MATCH(1,(Price!$A$11:$A$182=$A13)*(Price!$B$11:$B$182=$B13)*(Price!$D$11:$D$182="gb"),0),MATCH(1,(Price!$L$3:$AM$3=Y$3)*(Price!$L$4:$AM$4=Y$4),0))</f>
        <v>1224</v>
      </c>
      <c r="Z13" s="135" cm="1">
        <f t="array" ref="Z13">INDEX(Price!$L$11:$AM$182,MATCH(1,(Price!$A$11:$A$182=$A13)*(Price!$B$11:$B$182=$B13)*(Price!$D$11:$D$182="gb"),0),MATCH(1,(Price!$L$3:$AM$3=Z$3)*(Price!$L$4:$AM$4=Z$4),0))</f>
        <v>1213.2</v>
      </c>
      <c r="AA13" s="135" cm="1">
        <f t="array" ref="AA13">INDEX(Price!$L$11:$AM$182,MATCH(1,(Price!$A$11:$A$182=$A13)*(Price!$B$11:$B$182=$B13)*(Price!$D$11:$D$182="gb"),0),MATCH(1,(Price!$L$3:$AM$3=AA$3)*(Price!$L$4:$AM$4=AA$4),0))</f>
        <v>1200</v>
      </c>
      <c r="AB13" s="135" cm="1">
        <f t="array" ref="AB13">INDEX(Price!$L$11:$AM$182,MATCH(1,(Price!$A$11:$A$182=$A13)*(Price!$B$11:$B$182=$B13)*(Price!$D$11:$D$182="gb"),0),MATCH(1,(Price!$L$3:$AM$3=AB$3)*(Price!$L$4:$AM$4=AB$4),0))</f>
        <v>1200</v>
      </c>
      <c r="AC13" s="135" cm="1">
        <f t="array" ref="AC13">INDEX(Price!$L$11:$AM$182,MATCH(1,(Price!$A$11:$A$182=$A13)*(Price!$B$11:$B$182=$B13)*(Price!$D$11:$D$182="gb"),0),MATCH(1,(Price!$L$3:$AM$3=AC$3)*(Price!$L$4:$AM$4=AC$4),0))</f>
        <v>1200</v>
      </c>
      <c r="AD13" s="136" cm="1">
        <f t="array" ref="AD13">INDEX(Price!$L$11:$AM$182,MATCH(1,(Price!$A$11:$A$182=$A13)*(Price!$B$11:$B$182=$B13)*(Price!$D$11:$D$182="gb"),0),MATCH(1,(Price!$L$3:$AM$3=AD$3)*(Price!$L$4:$AM$4=AD$4),0))</f>
        <v>1200</v>
      </c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</row>
    <row r="14" spans="1:42" s="1" customFormat="1" ht="11.5" customHeight="1" outlineLevel="1" x14ac:dyDescent="0.35">
      <c r="A14" s="1" t="s">
        <v>52</v>
      </c>
      <c r="B14" s="1" t="s">
        <v>15</v>
      </c>
      <c r="C14" s="143" t="s">
        <v>322</v>
      </c>
      <c r="D14" s="171" t="s">
        <v>7</v>
      </c>
      <c r="E14" s="144"/>
      <c r="F14" s="325" t="s">
        <v>8</v>
      </c>
      <c r="G14" s="145" cm="1">
        <f t="array" ref="G14">INDEX(Price!$L$11:$AM$182,MATCH(1,(Price!$A$11:$A$182=$A14)*(Price!$B$11:$B$182=$B14)*(Price!$D$11:$D$182="exw"),0),MATCH(1,(Price!$L$3:$AM$3=G$3)*(Price!$L$4:$AM$4=G$4),0))</f>
        <v>1180</v>
      </c>
      <c r="H14" s="145" cm="1">
        <f t="array" ref="H14">INDEX(Price!$L$11:$AM$182,MATCH(1,(Price!$A$11:$A$182=$A14)*(Price!$B$11:$B$182=$B14)*(Price!$D$11:$D$182="exw"),0),MATCH(1,(Price!$L$3:$AM$3=H$3)*(Price!$L$4:$AM$4=H$4),0))</f>
        <v>1180</v>
      </c>
      <c r="I14" s="145" cm="1">
        <f t="array" ref="I14">INDEX(Price!$L$11:$AM$182,MATCH(1,(Price!$A$11:$A$182=$A14)*(Price!$B$11:$B$182=$B14)*(Price!$D$11:$D$182="exw"),0),MATCH(1,(Price!$L$3:$AM$3=I$3)*(Price!$L$4:$AM$4=I$4),0))</f>
        <v>1180</v>
      </c>
      <c r="J14" s="145" cm="1">
        <f t="array" ref="J14">INDEX(Price!$L$11:$AM$182,MATCH(1,(Price!$A$11:$A$182=$A14)*(Price!$B$11:$B$182=$B14)*(Price!$D$11:$D$182="exw"),0),MATCH(1,(Price!$L$3:$AM$3=J$3)*(Price!$L$4:$AM$4=J$4),0))</f>
        <v>1180</v>
      </c>
      <c r="K14" s="145" cm="1">
        <f t="array" ref="K14">INDEX(Price!$L$11:$AM$182,MATCH(1,(Price!$A$11:$A$182=$A14)*(Price!$B$11:$B$182=$B14)*(Price!$D$11:$D$182="exw"),0),MATCH(1,(Price!$L$3:$AM$3=K$3)*(Price!$L$4:$AM$4=K$4),0))</f>
        <v>1180</v>
      </c>
      <c r="L14" s="145" cm="1">
        <f t="array" ref="L14">INDEX(Price!$L$11:$AM$182,MATCH(1,(Price!$A$11:$A$182=$A14)*(Price!$B$11:$B$182=$B14)*(Price!$D$11:$D$182="exw"),0),MATCH(1,(Price!$L$3:$AM$3=L$3)*(Price!$L$4:$AM$4=L$4),0))</f>
        <v>1180.8999999999999</v>
      </c>
      <c r="M14" s="145" cm="1">
        <f t="array" ref="M14">INDEX(Price!$L$11:$AM$182,MATCH(1,(Price!$A$11:$A$182=$A14)*(Price!$B$11:$B$182=$B14)*(Price!$D$11:$D$182="exw"),0),MATCH(1,(Price!$L$3:$AM$3=M$3)*(Price!$L$4:$AM$4=M$4),0))</f>
        <v>1194.3999999999999</v>
      </c>
      <c r="N14" s="145" cm="1">
        <f t="array" ref="N14">INDEX(Price!$L$11:$AM$182,MATCH(1,(Price!$A$11:$A$182=$A14)*(Price!$B$11:$B$182=$B14)*(Price!$D$11:$D$182="exw"),0),MATCH(1,(Price!$L$3:$AM$3=N$3)*(Price!$L$4:$AM$4=N$4),0))</f>
        <v>1206.0999999999999</v>
      </c>
      <c r="O14" s="145" cm="1">
        <f t="array" ref="O14">INDEX(Price!$L$11:$AM$182,MATCH(1,(Price!$A$11:$A$182=$A14)*(Price!$B$11:$B$182=$B14)*(Price!$D$11:$D$182="exw"),0),MATCH(1,(Price!$L$3:$AM$3=O$3)*(Price!$L$4:$AM$4=O$4),0))</f>
        <v>1222.6000000000001</v>
      </c>
      <c r="P14" s="145" cm="1">
        <f t="array" ref="P14">INDEX(Price!$L$11:$AM$182,MATCH(1,(Price!$A$11:$A$182=$A14)*(Price!$B$11:$B$182=$B14)*(Price!$D$11:$D$182="exw"),0),MATCH(1,(Price!$L$3:$AM$3=P$3)*(Price!$L$4:$AM$4=P$4),0))</f>
        <v>1241.3499999999999</v>
      </c>
      <c r="Q14" s="145" cm="1">
        <f t="array" ref="Q14">INDEX(Price!$L$11:$AM$182,MATCH(1,(Price!$A$11:$A$182=$A14)*(Price!$B$11:$B$182=$B14)*(Price!$D$11:$D$182="exw"),0),MATCH(1,(Price!$L$3:$AM$3=Q$3)*(Price!$L$4:$AM$4=Q$4),0))</f>
        <v>1261.75</v>
      </c>
      <c r="R14" s="146" cm="1">
        <f t="array" ref="R14">INDEX(Price!$L$11:$AM$182,MATCH(1,(Price!$A$11:$A$182=$A14)*(Price!$B$11:$B$182=$B14)*(Price!$D$11:$D$182="exw"),0),MATCH(1,(Price!$L$3:$AM$3=R$3)*(Price!$L$4:$AM$4=R$4),0))</f>
        <v>1270.75</v>
      </c>
      <c r="S14" s="145" cm="1">
        <f t="array" ref="S14">INDEX(Price!$L$11:$AM$182,MATCH(1,(Price!$A$11:$A$182=$A14)*(Price!$B$11:$B$182=$B14)*(Price!$D$11:$D$182="exw"),0),MATCH(1,(Price!$L$3:$AM$3=S$3)*(Price!$L$4:$AM$4=S$4),0))</f>
        <v>1268.875</v>
      </c>
      <c r="T14" s="145" cm="1">
        <f t="array" ref="T14">INDEX(Price!$L$11:$AM$182,MATCH(1,(Price!$A$11:$A$182=$A14)*(Price!$B$11:$B$182=$B14)*(Price!$D$11:$D$182="exw"),0),MATCH(1,(Price!$L$3:$AM$3=T$3)*(Price!$L$4:$AM$4=T$4),0))</f>
        <v>1244.3749999999991</v>
      </c>
      <c r="U14" s="145" cm="1">
        <f t="array" ref="U14">INDEX(Price!$L$11:$AM$182,MATCH(1,(Price!$A$11:$A$182=$A14)*(Price!$B$11:$B$182=$B14)*(Price!$D$11:$D$182="exw"),0),MATCH(1,(Price!$L$3:$AM$3=U$3)*(Price!$L$4:$AM$4=U$4),0))</f>
        <v>1218.8749999999991</v>
      </c>
      <c r="V14" s="145" cm="1">
        <f t="array" ref="V14">INDEX(Price!$L$11:$AM$182,MATCH(1,(Price!$A$11:$A$182=$A14)*(Price!$B$11:$B$182=$B14)*(Price!$D$11:$D$182="exw"),0),MATCH(1,(Price!$L$3:$AM$3=V$3)*(Price!$L$4:$AM$4=V$4),0))</f>
        <v>1197.8800000000001</v>
      </c>
      <c r="W14" s="145" cm="1">
        <f t="array" ref="W14">INDEX(Price!$L$11:$AM$182,MATCH(1,(Price!$A$11:$A$182=$A14)*(Price!$B$11:$B$182=$B14)*(Price!$D$11:$D$182="exw"),0),MATCH(1,(Price!$L$3:$AM$3=W$3)*(Price!$L$4:$AM$4=W$4),0))</f>
        <v>1199</v>
      </c>
      <c r="X14" s="145" cm="1">
        <f t="array" ref="X14">INDEX(Price!$L$11:$AM$182,MATCH(1,(Price!$A$11:$A$182=$A14)*(Price!$B$11:$B$182=$B14)*(Price!$D$11:$D$182="exw"),0),MATCH(1,(Price!$L$3:$AM$3=X$3)*(Price!$L$4:$AM$4=X$4),0))</f>
        <v>1202</v>
      </c>
      <c r="Y14" s="145" cm="1">
        <f t="array" ref="Y14">INDEX(Price!$L$11:$AM$182,MATCH(1,(Price!$A$11:$A$182=$A14)*(Price!$B$11:$B$182=$B14)*(Price!$D$11:$D$182="exw"),0),MATCH(1,(Price!$L$3:$AM$3=Y$3)*(Price!$L$4:$AM$4=Y$4),0))</f>
        <v>1202</v>
      </c>
      <c r="Z14" s="145" cm="1">
        <f t="array" ref="Z14">INDEX(Price!$L$11:$AM$182,MATCH(1,(Price!$A$11:$A$182=$A14)*(Price!$B$11:$B$182=$B14)*(Price!$D$11:$D$182="exw"),0),MATCH(1,(Price!$L$3:$AM$3=Z$3)*(Price!$L$4:$AM$4=Z$4),0))</f>
        <v>1193.2</v>
      </c>
      <c r="AA14" s="145" cm="1">
        <f t="array" ref="AA14">INDEX(Price!$L$11:$AM$182,MATCH(1,(Price!$A$11:$A$182=$A14)*(Price!$B$11:$B$182=$B14)*(Price!$D$11:$D$182="exw"),0),MATCH(1,(Price!$L$3:$AM$3=AA$3)*(Price!$L$4:$AM$4=AA$4),0))</f>
        <v>1180</v>
      </c>
      <c r="AB14" s="145" cm="1">
        <f t="array" ref="AB14">INDEX(Price!$L$11:$AM$182,MATCH(1,(Price!$A$11:$A$182=$A14)*(Price!$B$11:$B$182=$B14)*(Price!$D$11:$D$182="exw"),0),MATCH(1,(Price!$L$3:$AM$3=AB$3)*(Price!$L$4:$AM$4=AB$4),0))</f>
        <v>1180</v>
      </c>
      <c r="AC14" s="145" cm="1">
        <f t="array" ref="AC14">INDEX(Price!$L$11:$AM$182,MATCH(1,(Price!$A$11:$A$182=$A14)*(Price!$B$11:$B$182=$B14)*(Price!$D$11:$D$182="exw"),0),MATCH(1,(Price!$L$3:$AM$3=AC$3)*(Price!$L$4:$AM$4=AC$4),0))</f>
        <v>1180</v>
      </c>
      <c r="AD14" s="146" cm="1">
        <f t="array" ref="AD14">INDEX(Price!$L$11:$AM$182,MATCH(1,(Price!$A$11:$A$182=$A14)*(Price!$B$11:$B$182=$B14)*(Price!$D$11:$D$182="exw"),0),MATCH(1,(Price!$L$3:$AM$3=AD$3)*(Price!$L$4:$AM$4=AD$4),0))</f>
        <v>1180</v>
      </c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</row>
    <row r="15" spans="1:42" ht="11.5" customHeight="1" outlineLevel="1" x14ac:dyDescent="0.35">
      <c r="A15" t="s">
        <v>52</v>
      </c>
      <c r="B15" t="s">
        <v>15</v>
      </c>
      <c r="C15" s="14" t="s">
        <v>9</v>
      </c>
      <c r="D15" s="172" t="s">
        <v>10</v>
      </c>
      <c r="E15" s="8"/>
      <c r="F15" s="326" t="s">
        <v>11</v>
      </c>
      <c r="G15" s="320" cm="1">
        <f t="array" ref="G15">SUMPRODUCT(General_Data*(Code_General_Data=$C15)*(Year=G$3)*(Month=G$4))</f>
        <v>930</v>
      </c>
      <c r="H15" s="132" cm="1">
        <f t="array" ref="H15">SUMPRODUCT(General_Data*(Code_General_Data=$C15)*(Year=H$3)*(Month=H$4))</f>
        <v>943.33333333333337</v>
      </c>
      <c r="I15" s="132" cm="1">
        <f t="array" ref="I15">SUMPRODUCT(General_Data*(Code_General_Data=$C15)*(Year=I$3)*(Month=I$4))</f>
        <v>940</v>
      </c>
      <c r="J15" s="132" cm="1">
        <f t="array" ref="J15">SUMPRODUCT(General_Data*(Code_General_Data=$C15)*(Year=J$3)*(Month=J$4))</f>
        <v>940</v>
      </c>
      <c r="K15" s="132" cm="1">
        <f t="array" ref="K15">SUMPRODUCT(General_Data*(Code_General_Data=$C15)*(Year=K$3)*(Month=K$4))</f>
        <v>942</v>
      </c>
      <c r="L15" s="132" cm="1">
        <f t="array" ref="L15">SUMPRODUCT(General_Data*(Code_General_Data=$C15)*(Year=L$3)*(Month=L$4))</f>
        <v>950</v>
      </c>
      <c r="M15" s="132" cm="1">
        <f t="array" ref="M15">SUMPRODUCT(General_Data*(Code_General_Data=$C15)*(Year=M$3)*(Month=M$4))</f>
        <v>947.5</v>
      </c>
      <c r="N15" s="132" cm="1">
        <f t="array" ref="N15">SUMPRODUCT(General_Data*(Code_General_Data=$C15)*(Year=N$3)*(Month=N$4))</f>
        <v>930</v>
      </c>
      <c r="O15" s="132" cm="1">
        <f t="array" ref="O15">SUMPRODUCT(General_Data*(Code_General_Data=$C15)*(Year=O$3)*(Month=O$4))</f>
        <v>880</v>
      </c>
      <c r="P15" s="132" cm="1">
        <f t="array" ref="P15">SUMPRODUCT(General_Data*(Code_General_Data=$C15)*(Year=P$3)*(Month=P$4))</f>
        <v>862.5</v>
      </c>
      <c r="Q15" s="132" cm="1">
        <f t="array" ref="Q15">SUMPRODUCT(General_Data*(Code_General_Data=$C15)*(Year=Q$3)*(Month=Q$4))</f>
        <v>852</v>
      </c>
      <c r="R15" s="133" cm="1">
        <f t="array" ref="R15">SUMPRODUCT(General_Data*(Code_General_Data=$C15)*(Year=R$3)*(Month=R$4))</f>
        <v>830</v>
      </c>
      <c r="S15" s="132" cm="1">
        <f t="array" ref="S15">SUMPRODUCT(General_Data*(Code_General_Data=$C15)*(Year=S$3)*(Month=S$4))</f>
        <v>828</v>
      </c>
      <c r="T15" s="132" cm="1">
        <f t="array" ref="T15">SUMPRODUCT(General_Data*(Code_General_Data=$C15)*(Year=T$3)*(Month=T$4))</f>
        <v>840</v>
      </c>
      <c r="U15" s="132" cm="1">
        <f t="array" ref="U15">SUMPRODUCT(General_Data*(Code_General_Data=$C15)*(Year=U$3)*(Month=U$4))</f>
        <v>823</v>
      </c>
      <c r="V15" s="132" cm="1">
        <f t="array" ref="V15">SUMPRODUCT(General_Data*(Code_General_Data=$C15)*(Year=V$3)*(Month=V$4))</f>
        <v>765</v>
      </c>
      <c r="W15" s="132" cm="1">
        <f t="array" ref="W15">SUMPRODUCT(General_Data*(Code_General_Data=$C15)*(Year=W$3)*(Month=W$4))</f>
        <v>782</v>
      </c>
      <c r="X15" s="132" cm="1">
        <f t="array" ref="X15">SUMPRODUCT(General_Data*(Code_General_Data=$C15)*(Year=X$3)*(Month=X$4))</f>
        <v>807.5</v>
      </c>
      <c r="Y15" s="132" cm="1">
        <f t="array" ref="Y15">SUMPRODUCT(General_Data*(Code_General_Data=$C15)*(Year=Y$3)*(Month=Y$4))</f>
        <v>802</v>
      </c>
      <c r="Z15" s="132" cm="1">
        <f t="array" ref="Z15">SUMPRODUCT(General_Data*(Code_General_Data=$C15)*(Year=Z$3)*(Month=Z$4))</f>
        <v>795</v>
      </c>
      <c r="AA15" s="132" cm="1">
        <f t="array" ref="AA15">SUMPRODUCT(General_Data*(Code_General_Data=$C15)*(Year=AA$3)*(Month=AA$4))</f>
        <v>783</v>
      </c>
      <c r="AB15" s="132" cm="1">
        <f t="array" ref="AB15">SUMPRODUCT(General_Data*(Code_General_Data=$C15)*(Year=AB$3)*(Month=AB$4))</f>
        <v>772</v>
      </c>
      <c r="AC15" s="132" cm="1">
        <f t="array" ref="AC15">SUMPRODUCT(General_Data*(Code_General_Data=$C15)*(Year=AC$3)*(Month=AC$4))</f>
        <v>770</v>
      </c>
      <c r="AD15" s="133" cm="1">
        <f t="array" ref="AD15">SUMPRODUCT(General_Data*(Code_General_Data=$C15)*(Year=AD$3)*(Month=AD$4))</f>
        <v>770</v>
      </c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3"/>
    </row>
    <row r="16" spans="1:42" s="152" customFormat="1" ht="11.5" customHeight="1" outlineLevel="1" x14ac:dyDescent="0.35">
      <c r="A16" s="152" t="s">
        <v>52</v>
      </c>
      <c r="B16" s="152" t="s">
        <v>15</v>
      </c>
      <c r="D16" s="173" t="s">
        <v>12</v>
      </c>
      <c r="E16" s="153"/>
      <c r="F16" s="327" t="s">
        <v>430</v>
      </c>
      <c r="G16" s="154">
        <f>IF(G13*G14*G15&lt;&gt;0,G14-G15,0)</f>
        <v>250</v>
      </c>
      <c r="H16" s="154">
        <f t="shared" ref="H16:T16" si="2">IF(H13*H14*H15&lt;&gt;0,H14-H15,0)</f>
        <v>236.66666666666663</v>
      </c>
      <c r="I16" s="154">
        <f t="shared" si="2"/>
        <v>240</v>
      </c>
      <c r="J16" s="154">
        <f t="shared" si="2"/>
        <v>240</v>
      </c>
      <c r="K16" s="154">
        <f t="shared" si="2"/>
        <v>238</v>
      </c>
      <c r="L16" s="154">
        <f t="shared" si="2"/>
        <v>230.89999999999986</v>
      </c>
      <c r="M16" s="154">
        <f t="shared" si="2"/>
        <v>246.89999999999986</v>
      </c>
      <c r="N16" s="154">
        <f t="shared" si="2"/>
        <v>276.09999999999991</v>
      </c>
      <c r="O16" s="154">
        <f t="shared" si="2"/>
        <v>342.60000000000014</v>
      </c>
      <c r="P16" s="154">
        <f t="shared" si="2"/>
        <v>378.84999999999991</v>
      </c>
      <c r="Q16" s="154">
        <f t="shared" si="2"/>
        <v>409.75</v>
      </c>
      <c r="R16" s="155">
        <f t="shared" si="2"/>
        <v>440.75</v>
      </c>
      <c r="S16" s="154">
        <f t="shared" si="2"/>
        <v>440.875</v>
      </c>
      <c r="T16" s="154">
        <f t="shared" si="2"/>
        <v>404.37499999999909</v>
      </c>
      <c r="U16" s="154">
        <f t="shared" ref="U16:AD16" si="3">IF(U13*U14*U15&lt;&gt;0,U14-U15,0)</f>
        <v>395.87499999999909</v>
      </c>
      <c r="V16" s="154">
        <f t="shared" si="3"/>
        <v>432.88000000000011</v>
      </c>
      <c r="W16" s="154">
        <f t="shared" si="3"/>
        <v>417</v>
      </c>
      <c r="X16" s="154">
        <f t="shared" si="3"/>
        <v>394.5</v>
      </c>
      <c r="Y16" s="154">
        <f t="shared" si="3"/>
        <v>400</v>
      </c>
      <c r="Z16" s="154">
        <f t="shared" si="3"/>
        <v>398.20000000000005</v>
      </c>
      <c r="AA16" s="154">
        <f t="shared" si="3"/>
        <v>397</v>
      </c>
      <c r="AB16" s="154">
        <f t="shared" si="3"/>
        <v>408</v>
      </c>
      <c r="AC16" s="154">
        <f t="shared" si="3"/>
        <v>410</v>
      </c>
      <c r="AD16" s="155">
        <f t="shared" si="3"/>
        <v>410</v>
      </c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</row>
    <row r="17" spans="1:42" s="156" customFormat="1" ht="11.5" customHeight="1" outlineLevel="1" x14ac:dyDescent="0.35">
      <c r="A17" s="156" t="s">
        <v>52</v>
      </c>
      <c r="B17" s="156" t="s">
        <v>15</v>
      </c>
      <c r="D17" s="174" t="s">
        <v>13</v>
      </c>
      <c r="E17" s="157"/>
      <c r="F17" s="328" t="s">
        <v>14</v>
      </c>
      <c r="G17" s="158">
        <f>IFERROR(G16/G15,0)</f>
        <v>0.26881720430107525</v>
      </c>
      <c r="H17" s="158">
        <f t="shared" ref="H17:T17" si="4">IFERROR(H16/H15,0)</f>
        <v>0.25088339222614836</v>
      </c>
      <c r="I17" s="158">
        <f t="shared" si="4"/>
        <v>0.25531914893617019</v>
      </c>
      <c r="J17" s="158">
        <f t="shared" si="4"/>
        <v>0.25531914893617019</v>
      </c>
      <c r="K17" s="158">
        <f t="shared" si="4"/>
        <v>0.25265392781316348</v>
      </c>
      <c r="L17" s="158">
        <f t="shared" si="4"/>
        <v>0.24305263157894721</v>
      </c>
      <c r="M17" s="158">
        <f t="shared" si="4"/>
        <v>0.2605804749340368</v>
      </c>
      <c r="N17" s="158">
        <f t="shared" si="4"/>
        <v>0.29688172043010741</v>
      </c>
      <c r="O17" s="158">
        <f t="shared" si="4"/>
        <v>0.38931818181818195</v>
      </c>
      <c r="P17" s="158">
        <f t="shared" si="4"/>
        <v>0.43924637681159412</v>
      </c>
      <c r="Q17" s="158">
        <f t="shared" si="4"/>
        <v>0.48092723004694837</v>
      </c>
      <c r="R17" s="159">
        <f t="shared" si="4"/>
        <v>0.53102409638554215</v>
      </c>
      <c r="S17" s="158">
        <f t="shared" si="4"/>
        <v>0.53245772946859904</v>
      </c>
      <c r="T17" s="158">
        <f t="shared" si="4"/>
        <v>0.48139880952380842</v>
      </c>
      <c r="U17" s="158">
        <f t="shared" ref="U17:AD17" si="5">IFERROR(U16/U15,0)</f>
        <v>0.48101458080194298</v>
      </c>
      <c r="V17" s="158">
        <f t="shared" si="5"/>
        <v>0.56585620915032697</v>
      </c>
      <c r="W17" s="158">
        <f t="shared" si="5"/>
        <v>0.53324808184143224</v>
      </c>
      <c r="X17" s="158">
        <f t="shared" si="5"/>
        <v>0.4885448916408669</v>
      </c>
      <c r="Y17" s="158">
        <f t="shared" si="5"/>
        <v>0.49875311720698257</v>
      </c>
      <c r="Z17" s="158">
        <f t="shared" si="5"/>
        <v>0.50088050314465415</v>
      </c>
      <c r="AA17" s="158">
        <f t="shared" si="5"/>
        <v>0.50702426564495529</v>
      </c>
      <c r="AB17" s="158">
        <f t="shared" si="5"/>
        <v>0.52849740932642486</v>
      </c>
      <c r="AC17" s="158">
        <f t="shared" si="5"/>
        <v>0.53246753246753242</v>
      </c>
      <c r="AD17" s="159">
        <f t="shared" si="5"/>
        <v>0.53246753246753242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</row>
    <row r="18" spans="1:42" s="137" customFormat="1" ht="11.5" customHeight="1" outlineLevel="1" x14ac:dyDescent="0.35">
      <c r="A18" s="137" t="s">
        <v>52</v>
      </c>
      <c r="B18" s="137" t="s">
        <v>15</v>
      </c>
      <c r="C18" s="137" t="s">
        <v>15</v>
      </c>
      <c r="D18" s="175" t="s">
        <v>16</v>
      </c>
      <c r="E18" s="138"/>
      <c r="F18" s="329" t="s">
        <v>203</v>
      </c>
      <c r="G18" s="139" cm="1">
        <f t="array" ref="G18">SUMPRODUCT(General_Data*(Code_General_Data=$C18)*(Year=G$3)*(Month=G$4))</f>
        <v>1250</v>
      </c>
      <c r="H18" s="139" cm="1">
        <f t="array" ref="H18">SUMPRODUCT(General_Data*(Code_General_Data=$C18)*(Year=H$3)*(Month=H$4))</f>
        <v>1250</v>
      </c>
      <c r="I18" s="139" cm="1">
        <f t="array" ref="I18">SUMPRODUCT(General_Data*(Code_General_Data=$C18)*(Year=I$3)*(Month=I$4))</f>
        <v>1250</v>
      </c>
      <c r="J18" s="139" cm="1">
        <f t="array" ref="J18">SUMPRODUCT(General_Data*(Code_General_Data=$C18)*(Year=J$3)*(Month=J$4))</f>
        <v>1250</v>
      </c>
      <c r="K18" s="139" cm="1">
        <f t="array" ref="K18">SUMPRODUCT(General_Data*(Code_General_Data=$C18)*(Year=K$3)*(Month=K$4))</f>
        <v>1300</v>
      </c>
      <c r="L18" s="139" cm="1">
        <f t="array" ref="L18">SUMPRODUCT(General_Data*(Code_General_Data=$C18)*(Year=L$3)*(Month=L$4))</f>
        <v>1300</v>
      </c>
      <c r="M18" s="139" cm="1">
        <f t="array" ref="M18">SUMPRODUCT(General_Data*(Code_General_Data=$C18)*(Year=M$3)*(Month=M$4))</f>
        <v>1300</v>
      </c>
      <c r="N18" s="139" cm="1">
        <f t="array" ref="N18">SUMPRODUCT(General_Data*(Code_General_Data=$C18)*(Year=N$3)*(Month=N$4))</f>
        <v>1300</v>
      </c>
      <c r="O18" s="139" cm="1">
        <f t="array" ref="O18">SUMPRODUCT(General_Data*(Code_General_Data=$C18)*(Year=O$3)*(Month=O$4))</f>
        <v>1310</v>
      </c>
      <c r="P18" s="139" cm="1">
        <f t="array" ref="P18">SUMPRODUCT(General_Data*(Code_General_Data=$C18)*(Year=P$3)*(Month=P$4))</f>
        <v>1325</v>
      </c>
      <c r="Q18" s="139" cm="1">
        <f t="array" ref="Q18">SUMPRODUCT(General_Data*(Code_General_Data=$C18)*(Year=Q$3)*(Month=Q$4))</f>
        <v>1325</v>
      </c>
      <c r="R18" s="140" cm="1">
        <f t="array" ref="R18">SUMPRODUCT(General_Data*(Code_General_Data=$C18)*(Year=R$3)*(Month=R$4))</f>
        <v>1275</v>
      </c>
      <c r="S18" s="139" cm="1">
        <f t="array" ref="S18">SUMPRODUCT(General_Data*(Code_General_Data=$C18)*(Year=S$3)*(Month=S$4))</f>
        <v>1230</v>
      </c>
      <c r="T18" s="139" cm="1">
        <f t="array" ref="T18">SUMPRODUCT(General_Data*(Code_General_Data=$C18)*(Year=T$3)*(Month=T$4))</f>
        <v>1230</v>
      </c>
      <c r="U18" s="139" cm="1">
        <f t="array" ref="U18">SUMPRODUCT(General_Data*(Code_General_Data=$C18)*(Year=U$3)*(Month=U$4))</f>
        <v>1230</v>
      </c>
      <c r="V18" s="139" cm="1">
        <f t="array" ref="V18">SUMPRODUCT(General_Data*(Code_General_Data=$C18)*(Year=V$3)*(Month=V$4))</f>
        <v>1250</v>
      </c>
      <c r="W18" s="139" cm="1">
        <f t="array" ref="W18">SUMPRODUCT(General_Data*(Code_General_Data=$C18)*(Year=W$3)*(Month=W$4))</f>
        <v>1250</v>
      </c>
      <c r="X18" s="139" cm="1">
        <f t="array" ref="X18">SUMPRODUCT(General_Data*(Code_General_Data=$C18)*(Year=X$3)*(Month=X$4))</f>
        <v>1250</v>
      </c>
      <c r="Y18" s="139" cm="1">
        <f t="array" ref="Y18">SUMPRODUCT(General_Data*(Code_General_Data=$C18)*(Year=Y$3)*(Month=Y$4))</f>
        <v>1250</v>
      </c>
      <c r="Z18" s="139" cm="1">
        <f t="array" ref="Z18">SUMPRODUCT(General_Data*(Code_General_Data=$C18)*(Year=Z$3)*(Month=Z$4))</f>
        <v>1220</v>
      </c>
      <c r="AA18" s="139" cm="1">
        <f t="array" ref="AA18">SUMPRODUCT(General_Data*(Code_General_Data=$C18)*(Year=AA$3)*(Month=AA$4))</f>
        <v>1220</v>
      </c>
      <c r="AB18" s="139" cm="1">
        <f t="array" ref="AB18">SUMPRODUCT(General_Data*(Code_General_Data=$C18)*(Year=AB$3)*(Month=AB$4))</f>
        <v>1210</v>
      </c>
      <c r="AC18" s="139" cm="1">
        <f t="array" ref="AC18">SUMPRODUCT(General_Data*(Code_General_Data=$C18)*(Year=AC$3)*(Month=AC$4))</f>
        <v>1200</v>
      </c>
      <c r="AD18" s="140" cm="1">
        <f t="array" ref="AD18">SUMPRODUCT(General_Data*(Code_General_Data=$C18)*(Year=AD$3)*(Month=AD$4))</f>
        <v>1200</v>
      </c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40"/>
    </row>
    <row r="19" spans="1:42" ht="3.65" customHeight="1" x14ac:dyDescent="0.35">
      <c r="D19" s="168"/>
    </row>
    <row r="20" spans="1:42" s="127" customFormat="1" ht="15.65" customHeight="1" x14ac:dyDescent="0.4">
      <c r="A20" s="127" t="s">
        <v>362</v>
      </c>
      <c r="C20" s="131"/>
      <c r="D20" s="160">
        <v>2</v>
      </c>
      <c r="E20" s="130" t="s">
        <v>360</v>
      </c>
      <c r="F20" s="322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31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319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319"/>
    </row>
    <row r="21" spans="1:42" s="148" customFormat="1" ht="13.4" customHeight="1" outlineLevel="1" x14ac:dyDescent="0.4">
      <c r="A21" s="148" t="s">
        <v>362</v>
      </c>
      <c r="B21" s="148" t="s">
        <v>31</v>
      </c>
      <c r="D21" s="161"/>
      <c r="E21" s="149"/>
      <c r="F21" s="323" t="s">
        <v>30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</row>
    <row r="22" spans="1:42" s="69" customFormat="1" ht="11.5" customHeight="1" outlineLevel="1" x14ac:dyDescent="0.35">
      <c r="A22" s="69" t="s">
        <v>362</v>
      </c>
      <c r="B22" s="69" t="s">
        <v>31</v>
      </c>
      <c r="D22" s="162">
        <v>2.1</v>
      </c>
      <c r="E22" s="134"/>
      <c r="F22" s="324" t="s">
        <v>391</v>
      </c>
      <c r="G22" s="135" cm="1">
        <f t="array" ref="G22">INDEX(Price!$L$11:$AM$182,MATCH(1,(Price!$A$11:$A$182=$A22)*(Price!$B$11:$B$182=$B22)*(Price!$D$11:$D$182="gb"),0),MATCH(1,(Price!$L$3:$AM$3=G$3)*(Price!$L$4:$AM$4=G$4),0))</f>
        <v>0</v>
      </c>
      <c r="H22" s="135" cm="1">
        <f t="array" ref="H22">INDEX(Price!$L$11:$AM$182,MATCH(1,(Price!$A$11:$A$182=$A22)*(Price!$B$11:$B$182=$B22)*(Price!$D$11:$D$182="gb"),0),MATCH(1,(Price!$L$3:$AM$3=H$3)*(Price!$L$4:$AM$4=H$4),0))</f>
        <v>0</v>
      </c>
      <c r="I22" s="135" cm="1">
        <f t="array" ref="I22">INDEX(Price!$L$11:$AM$182,MATCH(1,(Price!$A$11:$A$182=$A22)*(Price!$B$11:$B$182=$B22)*(Price!$D$11:$D$182="gb"),0),MATCH(1,(Price!$L$3:$AM$3=I$3)*(Price!$L$4:$AM$4=I$4),0))</f>
        <v>0</v>
      </c>
      <c r="J22" s="135" cm="1">
        <f t="array" ref="J22">INDEX(Price!$L$11:$AM$182,MATCH(1,(Price!$A$11:$A$182=$A22)*(Price!$B$11:$B$182=$B22)*(Price!$D$11:$D$182="gb"),0),MATCH(1,(Price!$L$3:$AM$3=J$3)*(Price!$L$4:$AM$4=J$4),0))</f>
        <v>0</v>
      </c>
      <c r="K22" s="135" cm="1">
        <f t="array" ref="K22">INDEX(Price!$L$11:$AM$182,MATCH(1,(Price!$A$11:$A$182=$A22)*(Price!$B$11:$B$182=$B22)*(Price!$D$11:$D$182="gb"),0),MATCH(1,(Price!$L$3:$AM$3=K$3)*(Price!$L$4:$AM$4=K$4),0))</f>
        <v>0</v>
      </c>
      <c r="L22" s="135" cm="1">
        <f t="array" ref="L22">INDEX(Price!$L$11:$AM$182,MATCH(1,(Price!$A$11:$A$182=$A22)*(Price!$B$11:$B$182=$B22)*(Price!$D$11:$D$182="gb"),0),MATCH(1,(Price!$L$3:$AM$3=L$3)*(Price!$L$4:$AM$4=L$4),0))</f>
        <v>0</v>
      </c>
      <c r="M22" s="135" cm="1">
        <f t="array" ref="M22">INDEX(Price!$L$11:$AM$182,MATCH(1,(Price!$A$11:$A$182=$A22)*(Price!$B$11:$B$182=$B22)*(Price!$D$11:$D$182="gb"),0),MATCH(1,(Price!$L$3:$AM$3=M$3)*(Price!$L$4:$AM$4=M$4),0))</f>
        <v>0</v>
      </c>
      <c r="N22" s="135" cm="1">
        <f t="array" ref="N22">INDEX(Price!$L$11:$AM$182,MATCH(1,(Price!$A$11:$A$182=$A22)*(Price!$B$11:$B$182=$B22)*(Price!$D$11:$D$182="gb"),0),MATCH(1,(Price!$L$3:$AM$3=N$3)*(Price!$L$4:$AM$4=N$4),0))</f>
        <v>0</v>
      </c>
      <c r="O22" s="135" cm="1">
        <f t="array" ref="O22">INDEX(Price!$L$11:$AM$182,MATCH(1,(Price!$A$11:$A$182=$A22)*(Price!$B$11:$B$182=$B22)*(Price!$D$11:$D$182="gb"),0),MATCH(1,(Price!$L$3:$AM$3=O$3)*(Price!$L$4:$AM$4=O$4),0))</f>
        <v>0</v>
      </c>
      <c r="P22" s="135"/>
      <c r="Q22" s="135"/>
      <c r="R22" s="136"/>
      <c r="S22" s="135" cm="1">
        <f t="array" ref="S22">INDEX(Price!$L$11:$AM$182,MATCH(1,(Price!$A$11:$A$182=$A22)*(Price!$B$11:$B$182=$B22)*(Price!$D$11:$D$182="gb"),0),MATCH(1,(Price!$L$3:$AM$3=S$3)*(Price!$L$4:$AM$4=S$4),0))</f>
        <v>1250</v>
      </c>
      <c r="T22" s="135" cm="1">
        <f t="array" ref="T22">INDEX(Price!$L$11:$AM$182,MATCH(1,(Price!$A$11:$A$182=$A22)*(Price!$B$11:$B$182=$B22)*(Price!$D$11:$D$182="gb"),0),MATCH(1,(Price!$L$3:$AM$3=T$3)*(Price!$L$4:$AM$4=T$4),0))</f>
        <v>1250</v>
      </c>
      <c r="U22" s="135" cm="1">
        <f t="array" ref="U22">INDEX(Price!$L$11:$AM$182,MATCH(1,(Price!$A$11:$A$182=$A22)*(Price!$B$11:$B$182=$B22)*(Price!$D$11:$D$182="gb"),0),MATCH(1,(Price!$L$3:$AM$3=U$3)*(Price!$L$4:$AM$4=U$4),0))</f>
        <v>1250</v>
      </c>
      <c r="V22" s="135" cm="1">
        <f t="array" ref="V22">INDEX(Price!$L$11:$AM$182,MATCH(1,(Price!$A$11:$A$182=$A22)*(Price!$B$11:$B$182=$B22)*(Price!$D$11:$D$182="gb"),0),MATCH(1,(Price!$L$3:$AM$3=V$3)*(Price!$L$4:$AM$4=V$4),0))</f>
        <v>1250</v>
      </c>
      <c r="W22" s="135" cm="1">
        <f t="array" ref="W22">INDEX(Price!$L$11:$AM$182,MATCH(1,(Price!$A$11:$A$182=$A22)*(Price!$B$11:$B$182=$B22)*(Price!$D$11:$D$182="gb"),0),MATCH(1,(Price!$L$3:$AM$3=W$3)*(Price!$L$4:$AM$4=W$4),0))</f>
        <v>1250</v>
      </c>
      <c r="X22" s="135" cm="1">
        <f t="array" ref="X22">INDEX(Price!$L$11:$AM$182,MATCH(1,(Price!$A$11:$A$182=$A22)*(Price!$B$11:$B$182=$B22)*(Price!$D$11:$D$182="gb"),0),MATCH(1,(Price!$L$3:$AM$3=X$3)*(Price!$L$4:$AM$4=X$4),0))</f>
        <v>1250</v>
      </c>
      <c r="Y22" s="135" cm="1">
        <f t="array" ref="Y22">INDEX(Price!$L$11:$AM$182,MATCH(1,(Price!$A$11:$A$182=$A22)*(Price!$B$11:$B$182=$B22)*(Price!$D$11:$D$182="gb"),0),MATCH(1,(Price!$L$3:$AM$3=Y$3)*(Price!$L$4:$AM$4=Y$4),0))</f>
        <v>1250</v>
      </c>
      <c r="Z22" s="135" cm="1">
        <f t="array" ref="Z22">INDEX(Price!$L$11:$AM$182,MATCH(1,(Price!$A$11:$A$182=$A22)*(Price!$B$11:$B$182=$B22)*(Price!$D$11:$D$182="gb"),0),MATCH(1,(Price!$L$3:$AM$3=Z$3)*(Price!$L$4:$AM$4=Z$4),0))</f>
        <v>1250</v>
      </c>
      <c r="AA22" s="135" cm="1">
        <f t="array" ref="AA22">INDEX(Price!$L$11:$AM$182,MATCH(1,(Price!$A$11:$A$182=$A22)*(Price!$B$11:$B$182=$B22)*(Price!$D$11:$D$182="gb"),0),MATCH(1,(Price!$L$3:$AM$3=AA$3)*(Price!$L$4:$AM$4=AA$4),0))</f>
        <v>1250</v>
      </c>
      <c r="AB22" s="135" cm="1">
        <f t="array" ref="AB22">INDEX(Price!$L$11:$AM$182,MATCH(1,(Price!$A$11:$A$182=$A22)*(Price!$B$11:$B$182=$B22)*(Price!$D$11:$D$182="gb"),0),MATCH(1,(Price!$L$3:$AM$3=AB$3)*(Price!$L$4:$AM$4=AB$4),0))</f>
        <v>1250</v>
      </c>
      <c r="AC22" s="135" cm="1">
        <f t="array" ref="AC22">INDEX(Price!$L$11:$AM$182,MATCH(1,(Price!$A$11:$A$182=$A22)*(Price!$B$11:$B$182=$B22)*(Price!$D$11:$D$182="gb"),0),MATCH(1,(Price!$L$3:$AM$3=AC$3)*(Price!$L$4:$AM$4=AC$4),0))</f>
        <v>1250</v>
      </c>
      <c r="AD22" s="136" cm="1">
        <f t="array" ref="AD22">INDEX(Price!$L$11:$AM$182,MATCH(1,(Price!$A$11:$A$182=$A22)*(Price!$B$11:$B$182=$B22)*(Price!$D$11:$D$182="gb"),0),MATCH(1,(Price!$L$3:$AM$3=AD$3)*(Price!$L$4:$AM$4=AD$4),0))</f>
        <v>1250</v>
      </c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6"/>
    </row>
    <row r="23" spans="1:42" s="1" customFormat="1" ht="11.5" customHeight="1" outlineLevel="1" x14ac:dyDescent="0.35">
      <c r="A23" s="1" t="s">
        <v>362</v>
      </c>
      <c r="B23" s="1" t="s">
        <v>31</v>
      </c>
      <c r="C23" s="143" t="s">
        <v>322</v>
      </c>
      <c r="D23" s="163">
        <v>2.2000000000000002</v>
      </c>
      <c r="E23" s="144"/>
      <c r="F23" s="325" t="s">
        <v>8</v>
      </c>
      <c r="G23" s="145" cm="1">
        <f t="array" ref="G23">INDEX(Price!$L$11:$AM$182,MATCH(1,(Price!$A$11:$A$182=$A23)*(Price!$B$11:$B$182=$B23)*(Price!$D$11:$D$182="exw"),0),MATCH(1,(Price!$L$3:$AM$3=G$3)*(Price!$L$4:$AM$4=G$4),0))</f>
        <v>0</v>
      </c>
      <c r="H23" s="145" cm="1">
        <f t="array" ref="H23">INDEX(Price!$L$11:$AM$182,MATCH(1,(Price!$A$11:$A$182=$A23)*(Price!$B$11:$B$182=$B23)*(Price!$D$11:$D$182="exw"),0),MATCH(1,(Price!$L$3:$AM$3=H$3)*(Price!$L$4:$AM$4=H$4),0))</f>
        <v>0</v>
      </c>
      <c r="I23" s="145" cm="1">
        <f t="array" ref="I23">INDEX(Price!$L$11:$AM$182,MATCH(1,(Price!$A$11:$A$182=$A23)*(Price!$B$11:$B$182=$B23)*(Price!$D$11:$D$182="exw"),0),MATCH(1,(Price!$L$3:$AM$3=I$3)*(Price!$L$4:$AM$4=I$4),0))</f>
        <v>0</v>
      </c>
      <c r="J23" s="145" cm="1">
        <f t="array" ref="J23">INDEX(Price!$L$11:$AM$182,MATCH(1,(Price!$A$11:$A$182=$A23)*(Price!$B$11:$B$182=$B23)*(Price!$D$11:$D$182="exw"),0),MATCH(1,(Price!$L$3:$AM$3=J$3)*(Price!$L$4:$AM$4=J$4),0))</f>
        <v>0</v>
      </c>
      <c r="K23" s="145" cm="1">
        <f t="array" ref="K23">INDEX(Price!$L$11:$AM$182,MATCH(1,(Price!$A$11:$A$182=$A23)*(Price!$B$11:$B$182=$B23)*(Price!$D$11:$D$182="exw"),0),MATCH(1,(Price!$L$3:$AM$3=K$3)*(Price!$L$4:$AM$4=K$4),0))</f>
        <v>0</v>
      </c>
      <c r="L23" s="145" cm="1">
        <f t="array" ref="L23">INDEX(Price!$L$11:$AM$182,MATCH(1,(Price!$A$11:$A$182=$A23)*(Price!$B$11:$B$182=$B23)*(Price!$D$11:$D$182="exw"),0),MATCH(1,(Price!$L$3:$AM$3=L$3)*(Price!$L$4:$AM$4=L$4),0))</f>
        <v>0</v>
      </c>
      <c r="M23" s="145" cm="1">
        <f t="array" ref="M23">INDEX(Price!$L$11:$AM$182,MATCH(1,(Price!$A$11:$A$182=$A23)*(Price!$B$11:$B$182=$B23)*(Price!$D$11:$D$182="exw"),0),MATCH(1,(Price!$L$3:$AM$3=M$3)*(Price!$L$4:$AM$4=M$4),0))</f>
        <v>0</v>
      </c>
      <c r="N23" s="145" cm="1">
        <f t="array" ref="N23">INDEX(Price!$L$11:$AM$182,MATCH(1,(Price!$A$11:$A$182=$A23)*(Price!$B$11:$B$182=$B23)*(Price!$D$11:$D$182="exw"),0),MATCH(1,(Price!$L$3:$AM$3=N$3)*(Price!$L$4:$AM$4=N$4),0))</f>
        <v>0</v>
      </c>
      <c r="O23" s="145" cm="1">
        <f t="array" ref="O23">INDEX(Price!$L$11:$AM$182,MATCH(1,(Price!$A$11:$A$182=$A23)*(Price!$B$11:$B$182=$B23)*(Price!$D$11:$D$182="exw"),0),MATCH(1,(Price!$L$3:$AM$3=O$3)*(Price!$L$4:$AM$4=O$4),0))</f>
        <v>0</v>
      </c>
      <c r="P23" s="145"/>
      <c r="Q23" s="145"/>
      <c r="R23" s="146"/>
      <c r="S23" s="145" cm="1">
        <f t="array" ref="S23">INDEX(Price!$L$11:$AM$182,MATCH(1,(Price!$A$11:$A$182=$A23)*(Price!$B$11:$B$182=$B23)*(Price!$D$11:$D$182="exw"),0),MATCH(1,(Price!$L$3:$AM$3=S$3)*(Price!$L$4:$AM$4=S$4),0))</f>
        <v>1230</v>
      </c>
      <c r="T23" s="145" cm="1">
        <f t="array" ref="T23">INDEX(Price!$L$11:$AM$182,MATCH(1,(Price!$A$11:$A$182=$A23)*(Price!$B$11:$B$182=$B23)*(Price!$D$11:$D$182="exw"),0),MATCH(1,(Price!$L$3:$AM$3=T$3)*(Price!$L$4:$AM$4=T$4),0))</f>
        <v>1230</v>
      </c>
      <c r="U23" s="145" cm="1">
        <f t="array" ref="U23">INDEX(Price!$L$11:$AM$182,MATCH(1,(Price!$A$11:$A$182=$A23)*(Price!$B$11:$B$182=$B23)*(Price!$D$11:$D$182="exw"),0),MATCH(1,(Price!$L$3:$AM$3=U$3)*(Price!$L$4:$AM$4=U$4),0))</f>
        <v>1230</v>
      </c>
      <c r="V23" s="145" cm="1">
        <f t="array" ref="V23">INDEX(Price!$L$11:$AM$182,MATCH(1,(Price!$A$11:$A$182=$A23)*(Price!$B$11:$B$182=$B23)*(Price!$D$11:$D$182="exw"),0),MATCH(1,(Price!$L$3:$AM$3=V$3)*(Price!$L$4:$AM$4=V$4),0))</f>
        <v>1228</v>
      </c>
      <c r="W23" s="145" cm="1">
        <f t="array" ref="W23">INDEX(Price!$L$11:$AM$182,MATCH(1,(Price!$A$11:$A$182=$A23)*(Price!$B$11:$B$182=$B23)*(Price!$D$11:$D$182="exw"),0),MATCH(1,(Price!$L$3:$AM$3=W$3)*(Price!$L$4:$AM$4=W$4),0))</f>
        <v>1228</v>
      </c>
      <c r="X23" s="145" cm="1">
        <f t="array" ref="X23">INDEX(Price!$L$11:$AM$182,MATCH(1,(Price!$A$11:$A$182=$A23)*(Price!$B$11:$B$182=$B23)*(Price!$D$11:$D$182="exw"),0),MATCH(1,(Price!$L$3:$AM$3=X$3)*(Price!$L$4:$AM$4=X$4),0))</f>
        <v>1228</v>
      </c>
      <c r="Y23" s="145" cm="1">
        <f t="array" ref="Y23">INDEX(Price!$L$11:$AM$182,MATCH(1,(Price!$A$11:$A$182=$A23)*(Price!$B$11:$B$182=$B23)*(Price!$D$11:$D$182="exw"),0),MATCH(1,(Price!$L$3:$AM$3=Y$3)*(Price!$L$4:$AM$4=Y$4),0))</f>
        <v>1228</v>
      </c>
      <c r="Z23" s="145" cm="1">
        <f t="array" ref="Z23">INDEX(Price!$L$11:$AM$182,MATCH(1,(Price!$A$11:$A$182=$A23)*(Price!$B$11:$B$182=$B23)*(Price!$D$11:$D$182="exw"),0),MATCH(1,(Price!$L$3:$AM$3=Z$3)*(Price!$L$4:$AM$4=Z$4),0))</f>
        <v>1228</v>
      </c>
      <c r="AA23" s="145" cm="1">
        <f t="array" ref="AA23">INDEX(Price!$L$11:$AM$182,MATCH(1,(Price!$A$11:$A$182=$A23)*(Price!$B$11:$B$182=$B23)*(Price!$D$11:$D$182="exw"),0),MATCH(1,(Price!$L$3:$AM$3=AA$3)*(Price!$L$4:$AM$4=AA$4),0))</f>
        <v>1228</v>
      </c>
      <c r="AB23" s="145" cm="1">
        <f t="array" ref="AB23">INDEX(Price!$L$11:$AM$182,MATCH(1,(Price!$A$11:$A$182=$A23)*(Price!$B$11:$B$182=$B23)*(Price!$D$11:$D$182="exw"),0),MATCH(1,(Price!$L$3:$AM$3=AB$3)*(Price!$L$4:$AM$4=AB$4),0))</f>
        <v>1228</v>
      </c>
      <c r="AC23" s="145" cm="1">
        <f t="array" ref="AC23">INDEX(Price!$L$11:$AM$182,MATCH(1,(Price!$A$11:$A$182=$A23)*(Price!$B$11:$B$182=$B23)*(Price!$D$11:$D$182="exw"),0),MATCH(1,(Price!$L$3:$AM$3=AC$3)*(Price!$L$4:$AM$4=AC$4),0))</f>
        <v>1228</v>
      </c>
      <c r="AD23" s="146" cm="1">
        <f t="array" ref="AD23">INDEX(Price!$L$11:$AM$182,MATCH(1,(Price!$A$11:$A$182=$A23)*(Price!$B$11:$B$182=$B23)*(Price!$D$11:$D$182="exw"),0),MATCH(1,(Price!$L$3:$AM$3=AD$3)*(Price!$L$4:$AM$4=AD$4),0))</f>
        <v>1228</v>
      </c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6"/>
    </row>
    <row r="24" spans="1:42" ht="11.5" customHeight="1" outlineLevel="1" x14ac:dyDescent="0.35">
      <c r="A24" t="s">
        <v>362</v>
      </c>
      <c r="B24" t="s">
        <v>31</v>
      </c>
      <c r="C24" s="14" t="s">
        <v>9</v>
      </c>
      <c r="D24" s="164">
        <v>2.2999999999999998</v>
      </c>
      <c r="E24" s="8"/>
      <c r="F24" s="326" t="s">
        <v>11</v>
      </c>
      <c r="G24" s="32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3"/>
      <c r="S24" s="132" cm="1">
        <f t="array" ref="S24">SUMPRODUCT(General_Data*(Code_General_Data=$C24)*(Year=S$3)*(Month=S$4))</f>
        <v>828</v>
      </c>
      <c r="T24" s="132" cm="1">
        <f t="array" ref="T24">SUMPRODUCT(General_Data*(Code_General_Data=$C24)*(Year=T$3)*(Month=T$4))</f>
        <v>840</v>
      </c>
      <c r="U24" s="132" cm="1">
        <f t="array" ref="U24">SUMPRODUCT(General_Data*(Code_General_Data=$C24)*(Year=U$3)*(Month=U$4))</f>
        <v>823</v>
      </c>
      <c r="V24" s="132" cm="1">
        <f t="array" ref="V24">SUMPRODUCT(General_Data*(Code_General_Data=$C24)*(Year=V$3)*(Month=V$4))</f>
        <v>765</v>
      </c>
      <c r="W24" s="132" cm="1">
        <f t="array" ref="W24">SUMPRODUCT(General_Data*(Code_General_Data=$C24)*(Year=W$3)*(Month=W$4))</f>
        <v>782</v>
      </c>
      <c r="X24" s="132" cm="1">
        <f t="array" ref="X24">SUMPRODUCT(General_Data*(Code_General_Data=$C24)*(Year=X$3)*(Month=X$4))</f>
        <v>807.5</v>
      </c>
      <c r="Y24" s="132" cm="1">
        <f t="array" ref="Y24">SUMPRODUCT(General_Data*(Code_General_Data=$C24)*(Year=Y$3)*(Month=Y$4))</f>
        <v>802</v>
      </c>
      <c r="Z24" s="132" cm="1">
        <f t="array" ref="Z24">SUMPRODUCT(General_Data*(Code_General_Data=$C24)*(Year=Z$3)*(Month=Z$4))</f>
        <v>795</v>
      </c>
      <c r="AA24" s="132" cm="1">
        <f t="array" ref="AA24">SUMPRODUCT(General_Data*(Code_General_Data=$C24)*(Year=AA$3)*(Month=AA$4))</f>
        <v>783</v>
      </c>
      <c r="AB24" s="132" cm="1">
        <f t="array" ref="AB24">SUMPRODUCT(General_Data*(Code_General_Data=$C24)*(Year=AB$3)*(Month=AB$4))</f>
        <v>772</v>
      </c>
      <c r="AC24" s="132" cm="1">
        <f t="array" ref="AC24">SUMPRODUCT(General_Data*(Code_General_Data=$C24)*(Year=AC$3)*(Month=AC$4))</f>
        <v>770</v>
      </c>
      <c r="AD24" s="133" cm="1">
        <f t="array" ref="AD24">SUMPRODUCT(General_Data*(Code_General_Data=$C24)*(Year=AD$3)*(Month=AD$4))</f>
        <v>770</v>
      </c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3"/>
    </row>
    <row r="25" spans="1:42" s="152" customFormat="1" ht="11.5" customHeight="1" outlineLevel="1" x14ac:dyDescent="0.35">
      <c r="A25" s="152" t="s">
        <v>362</v>
      </c>
      <c r="B25" s="152" t="s">
        <v>31</v>
      </c>
      <c r="D25" s="165">
        <v>2.4</v>
      </c>
      <c r="E25" s="153"/>
      <c r="F25" s="327" t="s">
        <v>430</v>
      </c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4">
        <f t="shared" ref="S25:AD25" si="6">IF(S22*S23*S24&lt;&gt;0,S23-S24,0)</f>
        <v>402</v>
      </c>
      <c r="T25" s="154">
        <f t="shared" si="6"/>
        <v>390</v>
      </c>
      <c r="U25" s="154">
        <f t="shared" si="6"/>
        <v>407</v>
      </c>
      <c r="V25" s="154">
        <f t="shared" si="6"/>
        <v>463</v>
      </c>
      <c r="W25" s="154">
        <f t="shared" si="6"/>
        <v>446</v>
      </c>
      <c r="X25" s="154">
        <f t="shared" si="6"/>
        <v>420.5</v>
      </c>
      <c r="Y25" s="154">
        <f t="shared" si="6"/>
        <v>426</v>
      </c>
      <c r="Z25" s="154">
        <f t="shared" si="6"/>
        <v>433</v>
      </c>
      <c r="AA25" s="154">
        <f t="shared" si="6"/>
        <v>445</v>
      </c>
      <c r="AB25" s="154">
        <f t="shared" si="6"/>
        <v>456</v>
      </c>
      <c r="AC25" s="154">
        <f t="shared" si="6"/>
        <v>458</v>
      </c>
      <c r="AD25" s="155">
        <f t="shared" si="6"/>
        <v>458</v>
      </c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</row>
    <row r="26" spans="1:42" s="156" customFormat="1" ht="11.5" customHeight="1" outlineLevel="1" x14ac:dyDescent="0.35">
      <c r="A26" s="156" t="s">
        <v>362</v>
      </c>
      <c r="B26" s="156" t="s">
        <v>31</v>
      </c>
      <c r="D26" s="166">
        <v>2.5</v>
      </c>
      <c r="E26" s="157"/>
      <c r="F26" s="328" t="s">
        <v>14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158">
        <f t="shared" ref="S26:AD26" si="7">IFERROR(S25/S24,0)</f>
        <v>0.48550724637681159</v>
      </c>
      <c r="T26" s="158">
        <f t="shared" si="7"/>
        <v>0.4642857142857143</v>
      </c>
      <c r="U26" s="158">
        <f t="shared" si="7"/>
        <v>0.49453219927095993</v>
      </c>
      <c r="V26" s="158">
        <f t="shared" si="7"/>
        <v>0.6052287581699346</v>
      </c>
      <c r="W26" s="158">
        <f t="shared" si="7"/>
        <v>0.57033248081841437</v>
      </c>
      <c r="X26" s="158">
        <f t="shared" si="7"/>
        <v>0.52074303405572753</v>
      </c>
      <c r="Y26" s="158">
        <f t="shared" si="7"/>
        <v>0.53117206982543641</v>
      </c>
      <c r="Z26" s="158">
        <f t="shared" si="7"/>
        <v>0.54465408805031446</v>
      </c>
      <c r="AA26" s="158">
        <f t="shared" si="7"/>
        <v>0.56832694763729241</v>
      </c>
      <c r="AB26" s="158">
        <f t="shared" si="7"/>
        <v>0.59067357512953367</v>
      </c>
      <c r="AC26" s="158">
        <f t="shared" si="7"/>
        <v>0.59480519480519478</v>
      </c>
      <c r="AD26" s="159">
        <f t="shared" si="7"/>
        <v>0.59480519480519478</v>
      </c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</row>
    <row r="27" spans="1:42" s="137" customFormat="1" ht="11.5" customHeight="1" outlineLevel="1" x14ac:dyDescent="0.35">
      <c r="A27" s="137" t="s">
        <v>362</v>
      </c>
      <c r="B27" s="137" t="s">
        <v>31</v>
      </c>
      <c r="C27" s="137" t="s">
        <v>31</v>
      </c>
      <c r="D27" s="167">
        <v>2.6</v>
      </c>
      <c r="E27" s="138"/>
      <c r="F27" s="329" t="s">
        <v>203</v>
      </c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9" cm="1">
        <f t="array" ref="S27">SUMPRODUCT(General_Data*(Code_General_Data=$C27)*(Year=S$3)*(Month=S$4))</f>
        <v>1260</v>
      </c>
      <c r="T27" s="139" cm="1">
        <f t="array" ref="T27">SUMPRODUCT(General_Data*(Code_General_Data=$C27)*(Year=T$3)*(Month=T$4))</f>
        <v>1260</v>
      </c>
      <c r="U27" s="139" cm="1">
        <f t="array" ref="U27">SUMPRODUCT(General_Data*(Code_General_Data=$C27)*(Year=U$3)*(Month=U$4))</f>
        <v>1260</v>
      </c>
      <c r="V27" s="139" cm="1">
        <f t="array" ref="V27">SUMPRODUCT(General_Data*(Code_General_Data=$C27)*(Year=V$3)*(Month=V$4))</f>
        <v>1280</v>
      </c>
      <c r="W27" s="139" cm="1">
        <f t="array" ref="W27">SUMPRODUCT(General_Data*(Code_General_Data=$C27)*(Year=W$3)*(Month=W$4))</f>
        <v>1280</v>
      </c>
      <c r="X27" s="139" cm="1">
        <f t="array" ref="X27">SUMPRODUCT(General_Data*(Code_General_Data=$C27)*(Year=X$3)*(Month=X$4))</f>
        <v>1280</v>
      </c>
      <c r="Y27" s="139" cm="1">
        <f t="array" ref="Y27">SUMPRODUCT(General_Data*(Code_General_Data=$C27)*(Year=Y$3)*(Month=Y$4))</f>
        <v>1280</v>
      </c>
      <c r="Z27" s="139" cm="1">
        <f t="array" ref="Z27">SUMPRODUCT(General_Data*(Code_General_Data=$C27)*(Year=Z$3)*(Month=Z$4))</f>
        <v>1250</v>
      </c>
      <c r="AA27" s="139" cm="1">
        <f t="array" ref="AA27">SUMPRODUCT(General_Data*(Code_General_Data=$C27)*(Year=AA$3)*(Month=AA$4))</f>
        <v>1250</v>
      </c>
      <c r="AB27" s="139" cm="1">
        <f t="array" ref="AB27">SUMPRODUCT(General_Data*(Code_General_Data=$C27)*(Year=AB$3)*(Month=AB$4))</f>
        <v>1240</v>
      </c>
      <c r="AC27" s="139" cm="1">
        <f t="array" ref="AC27">SUMPRODUCT(General_Data*(Code_General_Data=$C27)*(Year=AC$3)*(Month=AC$4))</f>
        <v>1230</v>
      </c>
      <c r="AD27" s="140" cm="1">
        <f t="array" ref="AD27">SUMPRODUCT(General_Data*(Code_General_Data=$C27)*(Year=AD$3)*(Month=AD$4))</f>
        <v>1230</v>
      </c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40"/>
    </row>
    <row r="28" spans="1:42" ht="3.65" customHeight="1" x14ac:dyDescent="0.35">
      <c r="D28" s="168"/>
    </row>
    <row r="29" spans="1:42" s="127" customFormat="1" ht="15.65" customHeight="1" x14ac:dyDescent="0.4">
      <c r="A29" s="127" t="s">
        <v>64</v>
      </c>
      <c r="C29" s="131"/>
      <c r="D29" s="169" t="s">
        <v>25</v>
      </c>
      <c r="E29" s="130" t="s">
        <v>18</v>
      </c>
      <c r="F29" s="322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31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319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319"/>
    </row>
    <row r="30" spans="1:42" s="148" customFormat="1" ht="13.4" customHeight="1" outlineLevel="1" x14ac:dyDescent="0.4">
      <c r="A30" s="148" t="s">
        <v>64</v>
      </c>
      <c r="B30" s="148" t="s">
        <v>15</v>
      </c>
      <c r="D30" s="161"/>
      <c r="E30" s="149"/>
      <c r="F30" s="323" t="s">
        <v>4</v>
      </c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</row>
    <row r="31" spans="1:42" s="69" customFormat="1" ht="11.5" customHeight="1" outlineLevel="1" x14ac:dyDescent="0.35">
      <c r="A31" s="69" t="s">
        <v>64</v>
      </c>
      <c r="B31" s="69" t="s">
        <v>15</v>
      </c>
      <c r="D31" s="170">
        <v>3.1</v>
      </c>
      <c r="E31" s="134"/>
      <c r="F31" s="324" t="s">
        <v>19</v>
      </c>
      <c r="G31" s="135" cm="1">
        <f t="array" ref="G31">INDEX(Price!$L$11:$AM$182,MATCH(1,(Price!$A$11:$A$182=$A31)*(Price!$B$11:$B$182=$B31)*(Price!$D$11:$D$182="gb"),0),MATCH(1,(Price!$L$3:$AM$3=G$3)*(Price!$L$4:$AM$4=G$4),0))</f>
        <v>1320</v>
      </c>
      <c r="H31" s="135" cm="1">
        <f t="array" ref="H31">INDEX(Price!$L$11:$AM$182,MATCH(1,(Price!$A$11:$A$182=$A31)*(Price!$B$11:$B$182=$B31)*(Price!$D$11:$D$182="gb"),0),MATCH(1,(Price!$L$3:$AM$3=H$3)*(Price!$L$4:$AM$4=H$4),0))</f>
        <v>1320</v>
      </c>
      <c r="I31" s="135" cm="1">
        <f t="array" ref="I31">INDEX(Price!$L$11:$AM$182,MATCH(1,(Price!$A$11:$A$182=$A31)*(Price!$B$11:$B$182=$B31)*(Price!$D$11:$D$182="gb"),0),MATCH(1,(Price!$L$3:$AM$3=I$3)*(Price!$L$4:$AM$4=I$4),0))</f>
        <v>1320</v>
      </c>
      <c r="J31" s="135" cm="1">
        <f t="array" ref="J31">INDEX(Price!$L$11:$AM$182,MATCH(1,(Price!$A$11:$A$182=$A31)*(Price!$B$11:$B$182=$B31)*(Price!$D$11:$D$182="gb"),0),MATCH(1,(Price!$L$3:$AM$3=J$3)*(Price!$L$4:$AM$4=J$4),0))</f>
        <v>1320</v>
      </c>
      <c r="K31" s="135" cm="1">
        <f t="array" ref="K31">INDEX(Price!$L$11:$AM$182,MATCH(1,(Price!$A$11:$A$182=$A31)*(Price!$B$11:$B$182=$B31)*(Price!$D$11:$D$182="gb"),0),MATCH(1,(Price!$L$3:$AM$3=K$3)*(Price!$L$4:$AM$4=K$4),0))</f>
        <v>1320</v>
      </c>
      <c r="L31" s="135" cm="1">
        <f t="array" ref="L31">INDEX(Price!$L$11:$AM$182,MATCH(1,(Price!$A$11:$A$182=$A31)*(Price!$B$11:$B$182=$B31)*(Price!$D$11:$D$182="gb"),0),MATCH(1,(Price!$L$3:$AM$3=L$3)*(Price!$L$4:$AM$4=L$4),0))</f>
        <v>1320</v>
      </c>
      <c r="M31" s="135" cm="1">
        <f t="array" ref="M31">INDEX(Price!$L$11:$AM$182,MATCH(1,(Price!$A$11:$A$182=$A31)*(Price!$B$11:$B$182=$B31)*(Price!$D$11:$D$182="gb"),0),MATCH(1,(Price!$L$3:$AM$3=M$3)*(Price!$L$4:$AM$4=M$4),0))</f>
        <v>1320</v>
      </c>
      <c r="N31" s="135" cm="1">
        <f t="array" ref="N31">INDEX(Price!$L$11:$AM$182,MATCH(1,(Price!$A$11:$A$182=$A31)*(Price!$B$11:$B$182=$B31)*(Price!$D$11:$D$182="gb"),0),MATCH(1,(Price!$L$3:$AM$3=N$3)*(Price!$L$4:$AM$4=N$4),0))</f>
        <v>1320</v>
      </c>
      <c r="O31" s="135" cm="1">
        <f t="array" ref="O31">INDEX(Price!$L$11:$AM$182,MATCH(1,(Price!$A$11:$A$182=$A31)*(Price!$B$11:$B$182=$B31)*(Price!$D$11:$D$182="gb"),0),MATCH(1,(Price!$L$3:$AM$3=O$3)*(Price!$L$4:$AM$4=O$4),0))</f>
        <v>1320</v>
      </c>
      <c r="P31" s="135" cm="1">
        <f t="array" ref="P31">INDEX(Price!$L$11:$AM$182,MATCH(1,(Price!$A$11:$A$182=$A31)*(Price!$B$11:$B$182=$B31)*(Price!$D$11:$D$182="gb"),0),MATCH(1,(Price!$L$3:$AM$3=P$3)*(Price!$L$4:$AM$4=P$4),0))</f>
        <v>1300</v>
      </c>
      <c r="Q31" s="135" cm="1">
        <f t="array" ref="Q31">INDEX(Price!$L$11:$AM$182,MATCH(1,(Price!$A$11:$A$182=$A31)*(Price!$B$11:$B$182=$B31)*(Price!$D$11:$D$182="gb"),0),MATCH(1,(Price!$L$3:$AM$3=Q$3)*(Price!$L$4:$AM$4=Q$4),0))</f>
        <v>1300</v>
      </c>
      <c r="R31" s="136" cm="1">
        <f t="array" ref="R31">INDEX(Price!$L$11:$AM$182,MATCH(1,(Price!$A$11:$A$182=$A31)*(Price!$B$11:$B$182=$B31)*(Price!$D$11:$D$182="gb"),0),MATCH(1,(Price!$L$3:$AM$3=R$3)*(Price!$L$4:$AM$4=R$4),0))</f>
        <v>1300</v>
      </c>
      <c r="S31" s="135" cm="1">
        <f t="array" ref="S31">INDEX(Price!$L$11:$AM$182,MATCH(1,(Price!$A$11:$A$182=$A31)*(Price!$B$11:$B$182=$B31)*(Price!$D$11:$D$182="gb"),0),MATCH(1,(Price!$L$3:$AM$3=S$3)*(Price!$L$4:$AM$4=S$4),0))</f>
        <v>1300</v>
      </c>
      <c r="T31" s="135" cm="1">
        <f t="array" ref="T31">INDEX(Price!$L$11:$AM$182,MATCH(1,(Price!$A$11:$A$182=$A31)*(Price!$B$11:$B$182=$B31)*(Price!$D$11:$D$182="gb"),0),MATCH(1,(Price!$L$3:$AM$3=T$3)*(Price!$L$4:$AM$4=T$4),0))</f>
        <v>1300</v>
      </c>
      <c r="U31" s="135" cm="1">
        <f t="array" ref="U31">INDEX(Price!$L$11:$AM$182,MATCH(1,(Price!$A$11:$A$182=$A31)*(Price!$B$11:$B$182=$B31)*(Price!$D$11:$D$182="gb"),0),MATCH(1,(Price!$L$3:$AM$3=U$3)*(Price!$L$4:$AM$4=U$4),0))</f>
        <v>1300</v>
      </c>
      <c r="V31" s="135" cm="1">
        <f t="array" ref="V31">INDEX(Price!$L$11:$AM$182,MATCH(1,(Price!$A$11:$A$182=$A31)*(Price!$B$11:$B$182=$B31)*(Price!$D$11:$D$182="gb"),0),MATCH(1,(Price!$L$3:$AM$3=V$3)*(Price!$L$4:$AM$4=V$4),0))</f>
        <v>1250</v>
      </c>
      <c r="W31" s="135" cm="1">
        <f t="array" ref="W31">INDEX(Price!$L$11:$AM$182,MATCH(1,(Price!$A$11:$A$182=$A31)*(Price!$B$11:$B$182=$B31)*(Price!$D$11:$D$182="gb"),0),MATCH(1,(Price!$L$3:$AM$3=W$3)*(Price!$L$4:$AM$4=W$4),0))</f>
        <v>1250</v>
      </c>
      <c r="X31" s="135" cm="1">
        <f t="array" ref="X31">INDEX(Price!$L$11:$AM$182,MATCH(1,(Price!$A$11:$A$182=$A31)*(Price!$B$11:$B$182=$B31)*(Price!$D$11:$D$182="gb"),0),MATCH(1,(Price!$L$3:$AM$3=X$3)*(Price!$L$4:$AM$4=X$4),0))</f>
        <v>1250</v>
      </c>
      <c r="Y31" s="135" cm="1">
        <f t="array" ref="Y31">INDEX(Price!$L$11:$AM$182,MATCH(1,(Price!$A$11:$A$182=$A31)*(Price!$B$11:$B$182=$B31)*(Price!$D$11:$D$182="gb"),0),MATCH(1,(Price!$L$3:$AM$3=Y$3)*(Price!$L$4:$AM$4=Y$4),0))</f>
        <v>1280</v>
      </c>
      <c r="Z31" s="135" cm="1">
        <f t="array" ref="Z31">INDEX(Price!$L$11:$AM$182,MATCH(1,(Price!$A$11:$A$182=$A31)*(Price!$B$11:$B$182=$B31)*(Price!$D$11:$D$182="gb"),0),MATCH(1,(Price!$L$3:$AM$3=Z$3)*(Price!$L$4:$AM$4=Z$4),0))</f>
        <v>1280</v>
      </c>
      <c r="AA31" s="135" cm="1">
        <f t="array" ref="AA31">INDEX(Price!$L$11:$AM$182,MATCH(1,(Price!$A$11:$A$182=$A31)*(Price!$B$11:$B$182=$B31)*(Price!$D$11:$D$182="gb"),0),MATCH(1,(Price!$L$3:$AM$3=AA$3)*(Price!$L$4:$AM$4=AA$4),0))</f>
        <v>1280</v>
      </c>
      <c r="AB31" s="135" cm="1">
        <f t="array" ref="AB31">INDEX(Price!$L$11:$AM$182,MATCH(1,(Price!$A$11:$A$182=$A31)*(Price!$B$11:$B$182=$B31)*(Price!$D$11:$D$182="gb"),0),MATCH(1,(Price!$L$3:$AM$3=AB$3)*(Price!$L$4:$AM$4=AB$4),0))</f>
        <v>1280</v>
      </c>
      <c r="AC31" s="135" cm="1">
        <f t="array" ref="AC31">INDEX(Price!$L$11:$AM$182,MATCH(1,(Price!$A$11:$A$182=$A31)*(Price!$B$11:$B$182=$B31)*(Price!$D$11:$D$182="gb"),0),MATCH(1,(Price!$L$3:$AM$3=AC$3)*(Price!$L$4:$AM$4=AC$4),0))</f>
        <v>1280</v>
      </c>
      <c r="AD31" s="136" cm="1">
        <f t="array" ref="AD31">INDEX(Price!$L$11:$AM$182,MATCH(1,(Price!$A$11:$A$182=$A31)*(Price!$B$11:$B$182=$B31)*(Price!$D$11:$D$182="gb"),0),MATCH(1,(Price!$L$3:$AM$3=AD$3)*(Price!$L$4:$AM$4=AD$4),0))</f>
        <v>1280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</row>
    <row r="32" spans="1:42" s="1" customFormat="1" ht="11.5" customHeight="1" outlineLevel="1" x14ac:dyDescent="0.35">
      <c r="A32" s="1" t="s">
        <v>64</v>
      </c>
      <c r="B32" s="1" t="s">
        <v>15</v>
      </c>
      <c r="C32" s="143" t="s">
        <v>322</v>
      </c>
      <c r="D32" s="171">
        <v>3.2</v>
      </c>
      <c r="E32" s="144"/>
      <c r="F32" s="325" t="s">
        <v>8</v>
      </c>
      <c r="G32" s="145" cm="1">
        <f t="array" ref="G32">INDEX(Price!$L$11:$AM$182,MATCH(1,(Price!$A$11:$A$182=$A32)*(Price!$B$11:$B$182=$B32)*(Price!$D$11:$D$182="exw"),0),MATCH(1,(Price!$L$3:$AM$3=G$3)*(Price!$L$4:$AM$4=G$4),0))</f>
        <v>1307.795918367347</v>
      </c>
      <c r="H32" s="145" cm="1">
        <f t="array" ref="H32">INDEX(Price!$L$11:$AM$182,MATCH(1,(Price!$A$11:$A$182=$A32)*(Price!$B$11:$B$182=$B32)*(Price!$D$11:$D$182="exw"),0),MATCH(1,(Price!$L$3:$AM$3=H$3)*(Price!$L$4:$AM$4=H$4),0))</f>
        <v>1307.795918367347</v>
      </c>
      <c r="I32" s="145" cm="1">
        <f t="array" ref="I32">INDEX(Price!$L$11:$AM$182,MATCH(1,(Price!$A$11:$A$182=$A32)*(Price!$B$11:$B$182=$B32)*(Price!$D$11:$D$182="exw"),0),MATCH(1,(Price!$L$3:$AM$3=I$3)*(Price!$L$4:$AM$4=I$4),0))</f>
        <v>1307.795918367347</v>
      </c>
      <c r="J32" s="145" cm="1">
        <f t="array" ref="J32">INDEX(Price!$L$11:$AM$182,MATCH(1,(Price!$A$11:$A$182=$A32)*(Price!$B$11:$B$182=$B32)*(Price!$D$11:$D$182="exw"),0),MATCH(1,(Price!$L$3:$AM$3=J$3)*(Price!$L$4:$AM$4=J$4),0))</f>
        <v>1307.795918367347</v>
      </c>
      <c r="K32" s="145" cm="1">
        <f t="array" ref="K32">INDEX(Price!$L$11:$AM$182,MATCH(1,(Price!$A$11:$A$182=$A32)*(Price!$B$11:$B$182=$B32)*(Price!$D$11:$D$182="exw"),0),MATCH(1,(Price!$L$3:$AM$3=K$3)*(Price!$L$4:$AM$4=K$4),0))</f>
        <v>1307.795918367347</v>
      </c>
      <c r="L32" s="145" cm="1">
        <f t="array" ref="L32">INDEX(Price!$L$11:$AM$182,MATCH(1,(Price!$A$11:$A$182=$A32)*(Price!$B$11:$B$182=$B32)*(Price!$D$11:$D$182="exw"),0),MATCH(1,(Price!$L$3:$AM$3=L$3)*(Price!$L$4:$AM$4=L$4),0))</f>
        <v>1307.795918367347</v>
      </c>
      <c r="M32" s="145" cm="1">
        <f t="array" ref="M32">INDEX(Price!$L$11:$AM$182,MATCH(1,(Price!$A$11:$A$182=$A32)*(Price!$B$11:$B$182=$B32)*(Price!$D$11:$D$182="exw"),0),MATCH(1,(Price!$L$3:$AM$3=M$3)*(Price!$L$4:$AM$4=M$4),0))</f>
        <v>1308.04</v>
      </c>
      <c r="N32" s="145" cm="1">
        <f t="array" ref="N32">INDEX(Price!$L$11:$AM$182,MATCH(1,(Price!$A$11:$A$182=$A32)*(Price!$B$11:$B$182=$B32)*(Price!$D$11:$D$182="exw"),0),MATCH(1,(Price!$L$3:$AM$3=N$3)*(Price!$L$4:$AM$4=N$4),0))</f>
        <v>1308.04</v>
      </c>
      <c r="O32" s="145" cm="1">
        <f t="array" ref="O32">INDEX(Price!$L$11:$AM$182,MATCH(1,(Price!$A$11:$A$182=$A32)*(Price!$B$11:$B$182=$B32)*(Price!$D$11:$D$182="exw"),0),MATCH(1,(Price!$L$3:$AM$3=O$3)*(Price!$L$4:$AM$4=O$4),0))</f>
        <v>1308.04</v>
      </c>
      <c r="P32" s="145" cm="1">
        <f t="array" ref="P32">INDEX(Price!$L$11:$AM$182,MATCH(1,(Price!$A$11:$A$182=$A32)*(Price!$B$11:$B$182=$B32)*(Price!$D$11:$D$182="exw"),0),MATCH(1,(Price!$L$3:$AM$3=P$3)*(Price!$L$4:$AM$4=P$4),0))</f>
        <v>1288.04</v>
      </c>
      <c r="Q32" s="145" cm="1">
        <f t="array" ref="Q32">INDEX(Price!$L$11:$AM$182,MATCH(1,(Price!$A$11:$A$182=$A32)*(Price!$B$11:$B$182=$B32)*(Price!$D$11:$D$182="exw"),0),MATCH(1,(Price!$L$3:$AM$3=Q$3)*(Price!$L$4:$AM$4=Q$4),0))</f>
        <v>1288.04</v>
      </c>
      <c r="R32" s="146" cm="1">
        <f t="array" ref="R32">INDEX(Price!$L$11:$AM$182,MATCH(1,(Price!$A$11:$A$182=$A32)*(Price!$B$11:$B$182=$B32)*(Price!$D$11:$D$182="exw"),0),MATCH(1,(Price!$L$3:$AM$3=R$3)*(Price!$L$4:$AM$4=R$4),0))</f>
        <v>1288.04</v>
      </c>
      <c r="S32" s="145" cm="1">
        <f t="array" ref="S32">INDEX(Price!$L$11:$AM$182,MATCH(1,(Price!$A$11:$A$182=$A32)*(Price!$B$11:$B$182=$B32)*(Price!$D$11:$D$182="exw"),0),MATCH(1,(Price!$L$3:$AM$3=S$3)*(Price!$L$4:$AM$4=S$4),0))</f>
        <v>1288.04</v>
      </c>
      <c r="T32" s="145" cm="1">
        <f t="array" ref="T32">INDEX(Price!$L$11:$AM$182,MATCH(1,(Price!$A$11:$A$182=$A32)*(Price!$B$11:$B$182=$B32)*(Price!$D$11:$D$182="exw"),0),MATCH(1,(Price!$L$3:$AM$3=T$3)*(Price!$L$4:$AM$4=T$4),0))</f>
        <v>1288.04</v>
      </c>
      <c r="U32" s="145" cm="1">
        <f t="array" ref="U32">INDEX(Price!$L$11:$AM$182,MATCH(1,(Price!$A$11:$A$182=$A32)*(Price!$B$11:$B$182=$B32)*(Price!$D$11:$D$182="exw"),0),MATCH(1,(Price!$L$3:$AM$3=U$3)*(Price!$L$4:$AM$4=U$4),0))</f>
        <v>1288.04</v>
      </c>
      <c r="V32" s="145" cm="1">
        <f t="array" ref="V32">INDEX(Price!$L$11:$AM$182,MATCH(1,(Price!$A$11:$A$182=$A32)*(Price!$B$11:$B$182=$B32)*(Price!$D$11:$D$182="exw"),0),MATCH(1,(Price!$L$3:$AM$3=V$3)*(Price!$L$4:$AM$4=V$4),0))</f>
        <v>1238.04</v>
      </c>
      <c r="W32" s="145" cm="1">
        <f t="array" ref="W32">INDEX(Price!$L$11:$AM$182,MATCH(1,(Price!$A$11:$A$182=$A32)*(Price!$B$11:$B$182=$B32)*(Price!$D$11:$D$182="exw"),0),MATCH(1,(Price!$L$3:$AM$3=W$3)*(Price!$L$4:$AM$4=W$4),0))</f>
        <v>1238.04</v>
      </c>
      <c r="X32" s="145" cm="1">
        <f t="array" ref="X32">INDEX(Price!$L$11:$AM$182,MATCH(1,(Price!$A$11:$A$182=$A32)*(Price!$B$11:$B$182=$B32)*(Price!$D$11:$D$182="exw"),0),MATCH(1,(Price!$L$3:$AM$3=X$3)*(Price!$L$4:$AM$4=X$4),0))</f>
        <v>1238.04</v>
      </c>
      <c r="Y32" s="145" cm="1">
        <f t="array" ref="Y32">INDEX(Price!$L$11:$AM$182,MATCH(1,(Price!$A$11:$A$182=$A32)*(Price!$B$11:$B$182=$B32)*(Price!$D$11:$D$182="exw"),0),MATCH(1,(Price!$L$3:$AM$3=Y$3)*(Price!$L$4:$AM$4=Y$4),0))</f>
        <v>1268.04</v>
      </c>
      <c r="Z32" s="145" cm="1">
        <f t="array" ref="Z32">INDEX(Price!$L$11:$AM$182,MATCH(1,(Price!$A$11:$A$182=$A32)*(Price!$B$11:$B$182=$B32)*(Price!$D$11:$D$182="exw"),0),MATCH(1,(Price!$L$3:$AM$3=Z$3)*(Price!$L$4:$AM$4=Z$4),0))</f>
        <v>1268.04</v>
      </c>
      <c r="AA32" s="145" cm="1">
        <f t="array" ref="AA32">INDEX(Price!$L$11:$AM$182,MATCH(1,(Price!$A$11:$A$182=$A32)*(Price!$B$11:$B$182=$B32)*(Price!$D$11:$D$182="exw"),0),MATCH(1,(Price!$L$3:$AM$3=AA$3)*(Price!$L$4:$AM$4=AA$4),0))</f>
        <v>1268.04</v>
      </c>
      <c r="AB32" s="145" cm="1">
        <f t="array" ref="AB32">INDEX(Price!$L$11:$AM$182,MATCH(1,(Price!$A$11:$A$182=$A32)*(Price!$B$11:$B$182=$B32)*(Price!$D$11:$D$182="exw"),0),MATCH(1,(Price!$L$3:$AM$3=AB$3)*(Price!$L$4:$AM$4=AB$4),0))</f>
        <v>1268.04</v>
      </c>
      <c r="AC32" s="145" cm="1">
        <f t="array" ref="AC32">INDEX(Price!$L$11:$AM$182,MATCH(1,(Price!$A$11:$A$182=$A32)*(Price!$B$11:$B$182=$B32)*(Price!$D$11:$D$182="exw"),0),MATCH(1,(Price!$L$3:$AM$3=AC$3)*(Price!$L$4:$AM$4=AC$4),0))</f>
        <v>1268.04</v>
      </c>
      <c r="AD32" s="146" cm="1">
        <f t="array" ref="AD32">INDEX(Price!$L$11:$AM$182,MATCH(1,(Price!$A$11:$A$182=$A32)*(Price!$B$11:$B$182=$B32)*(Price!$D$11:$D$182="exw"),0),MATCH(1,(Price!$L$3:$AM$3=AD$3)*(Price!$L$4:$AM$4=AD$4),0))</f>
        <v>1268.04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</row>
    <row r="33" spans="1:42" ht="11.5" customHeight="1" outlineLevel="1" x14ac:dyDescent="0.35">
      <c r="A33" t="s">
        <v>64</v>
      </c>
      <c r="B33" t="s">
        <v>15</v>
      </c>
      <c r="C33" s="14" t="s">
        <v>9</v>
      </c>
      <c r="D33" s="172">
        <v>3.3</v>
      </c>
      <c r="E33" s="8"/>
      <c r="F33" s="326" t="s">
        <v>11</v>
      </c>
      <c r="G33" s="320" cm="1">
        <f t="array" ref="G33">SUMPRODUCT(General_Data*(Code_General_Data=$C33)*(Year=G$3)*(Month=G$4))</f>
        <v>930</v>
      </c>
      <c r="H33" s="132" cm="1">
        <f t="array" ref="H33">SUMPRODUCT(General_Data*(Code_General_Data=$C33)*(Year=H$3)*(Month=H$4))</f>
        <v>943.33333333333337</v>
      </c>
      <c r="I33" s="132" cm="1">
        <f t="array" ref="I33">SUMPRODUCT(General_Data*(Code_General_Data=$C33)*(Year=I$3)*(Month=I$4))</f>
        <v>940</v>
      </c>
      <c r="J33" s="132" cm="1">
        <f t="array" ref="J33">SUMPRODUCT(General_Data*(Code_General_Data=$C33)*(Year=J$3)*(Month=J$4))</f>
        <v>940</v>
      </c>
      <c r="K33" s="132" cm="1">
        <f t="array" ref="K33">SUMPRODUCT(General_Data*(Code_General_Data=$C33)*(Year=K$3)*(Month=K$4))</f>
        <v>942</v>
      </c>
      <c r="L33" s="132" cm="1">
        <f t="array" ref="L33">SUMPRODUCT(General_Data*(Code_General_Data=$C33)*(Year=L$3)*(Month=L$4))</f>
        <v>950</v>
      </c>
      <c r="M33" s="132" cm="1">
        <f t="array" ref="M33">SUMPRODUCT(General_Data*(Code_General_Data=$C33)*(Year=M$3)*(Month=M$4))</f>
        <v>947.5</v>
      </c>
      <c r="N33" s="132" cm="1">
        <f t="array" ref="N33">SUMPRODUCT(General_Data*(Code_General_Data=$C33)*(Year=N$3)*(Month=N$4))</f>
        <v>930</v>
      </c>
      <c r="O33" s="132" cm="1">
        <f t="array" ref="O33">SUMPRODUCT(General_Data*(Code_General_Data=$C33)*(Year=O$3)*(Month=O$4))</f>
        <v>880</v>
      </c>
      <c r="P33" s="132" cm="1">
        <f t="array" ref="P33">SUMPRODUCT(General_Data*(Code_General_Data=$C33)*(Year=P$3)*(Month=P$4))</f>
        <v>862.5</v>
      </c>
      <c r="Q33" s="132" cm="1">
        <f t="array" ref="Q33">SUMPRODUCT(General_Data*(Code_General_Data=$C33)*(Year=Q$3)*(Month=Q$4))</f>
        <v>852</v>
      </c>
      <c r="R33" s="133" cm="1">
        <f t="array" ref="R33">SUMPRODUCT(General_Data*(Code_General_Data=$C33)*(Year=R$3)*(Month=R$4))</f>
        <v>830</v>
      </c>
      <c r="S33" s="132" cm="1">
        <f t="array" ref="S33">SUMPRODUCT(General_Data*(Code_General_Data=$C33)*(Year=S$3)*(Month=S$4))</f>
        <v>828</v>
      </c>
      <c r="T33" s="132" cm="1">
        <f t="array" ref="T33">SUMPRODUCT(General_Data*(Code_General_Data=$C33)*(Year=T$3)*(Month=T$4))</f>
        <v>840</v>
      </c>
      <c r="U33" s="132" cm="1">
        <f t="array" ref="U33">SUMPRODUCT(General_Data*(Code_General_Data=$C33)*(Year=U$3)*(Month=U$4))</f>
        <v>823</v>
      </c>
      <c r="V33" s="132" cm="1">
        <f t="array" ref="V33">SUMPRODUCT(General_Data*(Code_General_Data=$C33)*(Year=V$3)*(Month=V$4))</f>
        <v>765</v>
      </c>
      <c r="W33" s="132" cm="1">
        <f t="array" ref="W33">SUMPRODUCT(General_Data*(Code_General_Data=$C33)*(Year=W$3)*(Month=W$4))</f>
        <v>782</v>
      </c>
      <c r="X33" s="132" cm="1">
        <f t="array" ref="X33">SUMPRODUCT(General_Data*(Code_General_Data=$C33)*(Year=X$3)*(Month=X$4))</f>
        <v>807.5</v>
      </c>
      <c r="Y33" s="132" cm="1">
        <f t="array" ref="Y33">SUMPRODUCT(General_Data*(Code_General_Data=$C33)*(Year=Y$3)*(Month=Y$4))</f>
        <v>802</v>
      </c>
      <c r="Z33" s="132" cm="1">
        <f t="array" ref="Z33">SUMPRODUCT(General_Data*(Code_General_Data=$C33)*(Year=Z$3)*(Month=Z$4))</f>
        <v>795</v>
      </c>
      <c r="AA33" s="132" cm="1">
        <f t="array" ref="AA33">SUMPRODUCT(General_Data*(Code_General_Data=$C33)*(Year=AA$3)*(Month=AA$4))</f>
        <v>783</v>
      </c>
      <c r="AB33" s="132" cm="1">
        <f t="array" ref="AB33">SUMPRODUCT(General_Data*(Code_General_Data=$C33)*(Year=AB$3)*(Month=AB$4))</f>
        <v>772</v>
      </c>
      <c r="AC33" s="132" cm="1">
        <f t="array" ref="AC33">SUMPRODUCT(General_Data*(Code_General_Data=$C33)*(Year=AC$3)*(Month=AC$4))</f>
        <v>770</v>
      </c>
      <c r="AD33" s="133" cm="1">
        <f t="array" ref="AD33">SUMPRODUCT(General_Data*(Code_General_Data=$C33)*(Year=AD$3)*(Month=AD$4))</f>
        <v>770</v>
      </c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</row>
    <row r="34" spans="1:42" s="152" customFormat="1" ht="11.5" customHeight="1" outlineLevel="1" x14ac:dyDescent="0.35">
      <c r="A34" s="152" t="s">
        <v>64</v>
      </c>
      <c r="B34" s="152" t="s">
        <v>15</v>
      </c>
      <c r="D34" s="173">
        <v>3.4</v>
      </c>
      <c r="E34" s="153"/>
      <c r="F34" s="327" t="s">
        <v>430</v>
      </c>
      <c r="G34" s="154">
        <f t="shared" ref="G34:AD34" si="8">IF(G31*G32*G33&lt;&gt;0,G32-G33,0)</f>
        <v>377.79591836734699</v>
      </c>
      <c r="H34" s="154">
        <f t="shared" si="8"/>
        <v>364.46258503401361</v>
      </c>
      <c r="I34" s="154">
        <f t="shared" si="8"/>
        <v>367.79591836734699</v>
      </c>
      <c r="J34" s="154">
        <f t="shared" si="8"/>
        <v>367.79591836734699</v>
      </c>
      <c r="K34" s="154">
        <f t="shared" si="8"/>
        <v>365.79591836734699</v>
      </c>
      <c r="L34" s="154">
        <f t="shared" si="8"/>
        <v>357.79591836734699</v>
      </c>
      <c r="M34" s="154">
        <f t="shared" si="8"/>
        <v>360.53999999999996</v>
      </c>
      <c r="N34" s="154">
        <f t="shared" si="8"/>
        <v>378.03999999999996</v>
      </c>
      <c r="O34" s="154">
        <f t="shared" si="8"/>
        <v>428.03999999999996</v>
      </c>
      <c r="P34" s="154">
        <f t="shared" si="8"/>
        <v>425.53999999999996</v>
      </c>
      <c r="Q34" s="154">
        <f t="shared" si="8"/>
        <v>436.03999999999996</v>
      </c>
      <c r="R34" s="155">
        <f t="shared" si="8"/>
        <v>458.03999999999996</v>
      </c>
      <c r="S34" s="154">
        <f t="shared" si="8"/>
        <v>460.03999999999996</v>
      </c>
      <c r="T34" s="154">
        <f t="shared" si="8"/>
        <v>448.03999999999996</v>
      </c>
      <c r="U34" s="154">
        <f t="shared" si="8"/>
        <v>465.03999999999996</v>
      </c>
      <c r="V34" s="154">
        <f t="shared" si="8"/>
        <v>473.03999999999996</v>
      </c>
      <c r="W34" s="154">
        <f t="shared" si="8"/>
        <v>456.03999999999996</v>
      </c>
      <c r="X34" s="154">
        <f t="shared" si="8"/>
        <v>430.53999999999996</v>
      </c>
      <c r="Y34" s="154">
        <f t="shared" si="8"/>
        <v>466.03999999999996</v>
      </c>
      <c r="Z34" s="154">
        <f t="shared" si="8"/>
        <v>473.03999999999996</v>
      </c>
      <c r="AA34" s="154">
        <f t="shared" si="8"/>
        <v>485.03999999999996</v>
      </c>
      <c r="AB34" s="154">
        <f t="shared" si="8"/>
        <v>496.03999999999996</v>
      </c>
      <c r="AC34" s="154">
        <f t="shared" si="8"/>
        <v>498.03999999999996</v>
      </c>
      <c r="AD34" s="155">
        <f t="shared" si="8"/>
        <v>498.03999999999996</v>
      </c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</row>
    <row r="35" spans="1:42" s="156" customFormat="1" ht="11.5" customHeight="1" outlineLevel="1" x14ac:dyDescent="0.35">
      <c r="A35" s="156" t="s">
        <v>64</v>
      </c>
      <c r="B35" s="156" t="s">
        <v>15</v>
      </c>
      <c r="D35" s="174">
        <v>3.5</v>
      </c>
      <c r="E35" s="157"/>
      <c r="F35" s="328" t="s">
        <v>14</v>
      </c>
      <c r="G35" s="158">
        <f t="shared" ref="G35:AD35" si="9">IFERROR(G34/G33,0)</f>
        <v>0.40623217028746988</v>
      </c>
      <c r="H35" s="158">
        <f t="shared" si="9"/>
        <v>0.38635609720920172</v>
      </c>
      <c r="I35" s="158">
        <f t="shared" si="9"/>
        <v>0.39127225358228401</v>
      </c>
      <c r="J35" s="158">
        <f t="shared" si="9"/>
        <v>0.39127225358228401</v>
      </c>
      <c r="K35" s="158">
        <f t="shared" si="9"/>
        <v>0.38831838467871233</v>
      </c>
      <c r="L35" s="158">
        <f t="shared" si="9"/>
        <v>0.37662728249194422</v>
      </c>
      <c r="M35" s="158">
        <f t="shared" si="9"/>
        <v>0.38051715039577833</v>
      </c>
      <c r="N35" s="158">
        <f t="shared" si="9"/>
        <v>0.40649462365591393</v>
      </c>
      <c r="O35" s="158">
        <f t="shared" si="9"/>
        <v>0.48640909090909085</v>
      </c>
      <c r="P35" s="158">
        <f t="shared" si="9"/>
        <v>0.49337971014492749</v>
      </c>
      <c r="Q35" s="158">
        <f t="shared" si="9"/>
        <v>0.5117840375586854</v>
      </c>
      <c r="R35" s="159">
        <f t="shared" si="9"/>
        <v>0.55185542168674695</v>
      </c>
      <c r="S35" s="158">
        <f t="shared" si="9"/>
        <v>0.55560386473429946</v>
      </c>
      <c r="T35" s="158">
        <f t="shared" si="9"/>
        <v>0.53338095238095229</v>
      </c>
      <c r="U35" s="158">
        <f t="shared" si="9"/>
        <v>0.56505467800729037</v>
      </c>
      <c r="V35" s="158">
        <f t="shared" si="9"/>
        <v>0.61835294117647055</v>
      </c>
      <c r="W35" s="158">
        <f t="shared" si="9"/>
        <v>0.58317135549872123</v>
      </c>
      <c r="X35" s="158">
        <f t="shared" si="9"/>
        <v>0.53317647058823525</v>
      </c>
      <c r="Y35" s="158">
        <f t="shared" si="9"/>
        <v>0.58109725685785529</v>
      </c>
      <c r="Z35" s="158">
        <f t="shared" si="9"/>
        <v>0.59501886792452829</v>
      </c>
      <c r="AA35" s="158">
        <f t="shared" si="9"/>
        <v>0.61946360153256697</v>
      </c>
      <c r="AB35" s="158">
        <f t="shared" si="9"/>
        <v>0.64253886010362693</v>
      </c>
      <c r="AC35" s="158">
        <f t="shared" si="9"/>
        <v>0.64680519480519472</v>
      </c>
      <c r="AD35" s="159">
        <f t="shared" si="9"/>
        <v>0.64680519480519472</v>
      </c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9"/>
    </row>
    <row r="36" spans="1:42" s="137" customFormat="1" ht="11.5" customHeight="1" outlineLevel="1" x14ac:dyDescent="0.35">
      <c r="A36" s="137" t="s">
        <v>64</v>
      </c>
      <c r="B36" s="137" t="s">
        <v>15</v>
      </c>
      <c r="C36" s="137" t="s">
        <v>15</v>
      </c>
      <c r="D36" s="175">
        <v>3.6</v>
      </c>
      <c r="E36" s="138"/>
      <c r="F36" s="329" t="s">
        <v>203</v>
      </c>
      <c r="G36" s="139" cm="1">
        <f t="array" ref="G36">SUMPRODUCT(General_Data*(Code_General_Data=$C36)*(Year=G$3)*(Month=G$4))</f>
        <v>1250</v>
      </c>
      <c r="H36" s="139" cm="1">
        <f t="array" ref="H36">SUMPRODUCT(General_Data*(Code_General_Data=$C36)*(Year=H$3)*(Month=H$4))</f>
        <v>1250</v>
      </c>
      <c r="I36" s="139" cm="1">
        <f t="array" ref="I36">SUMPRODUCT(General_Data*(Code_General_Data=$C36)*(Year=I$3)*(Month=I$4))</f>
        <v>1250</v>
      </c>
      <c r="J36" s="139" cm="1">
        <f t="array" ref="J36">SUMPRODUCT(General_Data*(Code_General_Data=$C36)*(Year=J$3)*(Month=J$4))</f>
        <v>1250</v>
      </c>
      <c r="K36" s="139" cm="1">
        <f t="array" ref="K36">SUMPRODUCT(General_Data*(Code_General_Data=$C36)*(Year=K$3)*(Month=K$4))</f>
        <v>1300</v>
      </c>
      <c r="L36" s="139" cm="1">
        <f t="array" ref="L36">SUMPRODUCT(General_Data*(Code_General_Data=$C36)*(Year=L$3)*(Month=L$4))</f>
        <v>1300</v>
      </c>
      <c r="M36" s="139" cm="1">
        <f t="array" ref="M36">SUMPRODUCT(General_Data*(Code_General_Data=$C36)*(Year=M$3)*(Month=M$4))</f>
        <v>1300</v>
      </c>
      <c r="N36" s="139" cm="1">
        <f t="array" ref="N36">SUMPRODUCT(General_Data*(Code_General_Data=$C36)*(Year=N$3)*(Month=N$4))</f>
        <v>1300</v>
      </c>
      <c r="O36" s="139" cm="1">
        <f t="array" ref="O36">SUMPRODUCT(General_Data*(Code_General_Data=$C36)*(Year=O$3)*(Month=O$4))</f>
        <v>1310</v>
      </c>
      <c r="P36" s="139" cm="1">
        <f t="array" ref="P36">SUMPRODUCT(General_Data*(Code_General_Data=$C36)*(Year=P$3)*(Month=P$4))</f>
        <v>1325</v>
      </c>
      <c r="Q36" s="139" cm="1">
        <f t="array" ref="Q36">SUMPRODUCT(General_Data*(Code_General_Data=$C36)*(Year=Q$3)*(Month=Q$4))</f>
        <v>1325</v>
      </c>
      <c r="R36" s="140" cm="1">
        <f t="array" ref="R36">SUMPRODUCT(General_Data*(Code_General_Data=$C36)*(Year=R$3)*(Month=R$4))</f>
        <v>1275</v>
      </c>
      <c r="S36" s="139" cm="1">
        <f t="array" ref="S36">SUMPRODUCT(General_Data*(Code_General_Data=$C36)*(Year=S$3)*(Month=S$4))</f>
        <v>1230</v>
      </c>
      <c r="T36" s="139" cm="1">
        <f t="array" ref="T36">SUMPRODUCT(General_Data*(Code_General_Data=$C36)*(Year=T$3)*(Month=T$4))</f>
        <v>1230</v>
      </c>
      <c r="U36" s="139" cm="1">
        <f t="array" ref="U36">SUMPRODUCT(General_Data*(Code_General_Data=$C36)*(Year=U$3)*(Month=U$4))</f>
        <v>1230</v>
      </c>
      <c r="V36" s="139" cm="1">
        <f t="array" ref="V36">SUMPRODUCT(General_Data*(Code_General_Data=$C36)*(Year=V$3)*(Month=V$4))</f>
        <v>1250</v>
      </c>
      <c r="W36" s="139" cm="1">
        <f t="array" ref="W36">SUMPRODUCT(General_Data*(Code_General_Data=$C36)*(Year=W$3)*(Month=W$4))</f>
        <v>1250</v>
      </c>
      <c r="X36" s="139" cm="1">
        <f t="array" ref="X36">SUMPRODUCT(General_Data*(Code_General_Data=$C36)*(Year=X$3)*(Month=X$4))</f>
        <v>1250</v>
      </c>
      <c r="Y36" s="139" cm="1">
        <f t="array" ref="Y36">SUMPRODUCT(General_Data*(Code_General_Data=$C36)*(Year=Y$3)*(Month=Y$4))</f>
        <v>1250</v>
      </c>
      <c r="Z36" s="139" cm="1">
        <f t="array" ref="Z36">SUMPRODUCT(General_Data*(Code_General_Data=$C36)*(Year=Z$3)*(Month=Z$4))</f>
        <v>1220</v>
      </c>
      <c r="AA36" s="139" cm="1">
        <f t="array" ref="AA36">SUMPRODUCT(General_Data*(Code_General_Data=$C36)*(Year=AA$3)*(Month=AA$4))</f>
        <v>1220</v>
      </c>
      <c r="AB36" s="139" cm="1">
        <f t="array" ref="AB36">SUMPRODUCT(General_Data*(Code_General_Data=$C36)*(Year=AB$3)*(Month=AB$4))</f>
        <v>1210</v>
      </c>
      <c r="AC36" s="139" cm="1">
        <f t="array" ref="AC36">SUMPRODUCT(General_Data*(Code_General_Data=$C36)*(Year=AC$3)*(Month=AC$4))</f>
        <v>1200</v>
      </c>
      <c r="AD36" s="140" cm="1">
        <f t="array" ref="AD36">SUMPRODUCT(General_Data*(Code_General_Data=$C36)*(Year=AD$3)*(Month=AD$4))</f>
        <v>1200</v>
      </c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40"/>
    </row>
    <row r="37" spans="1:42" ht="3.75" customHeight="1" x14ac:dyDescent="0.35">
      <c r="A37" t="s">
        <v>64</v>
      </c>
      <c r="D37" s="168"/>
    </row>
    <row r="38" spans="1:42" s="148" customFormat="1" ht="13.4" customHeight="1" outlineLevel="1" x14ac:dyDescent="0.4">
      <c r="A38" s="148" t="s">
        <v>64</v>
      </c>
      <c r="B38" s="148" t="s">
        <v>24</v>
      </c>
      <c r="D38" s="161"/>
      <c r="E38" s="149"/>
      <c r="F38" s="323" t="s">
        <v>23</v>
      </c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50"/>
    </row>
    <row r="39" spans="1:42" s="69" customFormat="1" ht="11.5" customHeight="1" outlineLevel="1" x14ac:dyDescent="0.35">
      <c r="A39" s="69" t="s">
        <v>64</v>
      </c>
      <c r="B39" s="69" t="s">
        <v>24</v>
      </c>
      <c r="D39" s="162">
        <v>3.7</v>
      </c>
      <c r="E39" s="134"/>
      <c r="F39" s="324" t="s">
        <v>19</v>
      </c>
      <c r="G39" s="135" cm="1">
        <f t="array" ref="G39">INDEX(Price!$L$11:$AM$182,MATCH(1,(Price!$A$11:$A$182=$A39)*(Price!$B$11:$B$182=$B39)*(Price!$D$11:$D$182="gb"),0),MATCH(1,(Price!$L$3:$AM$3=G$3)*(Price!$L$4:$AM$4=G$4),0))</f>
        <v>1500</v>
      </c>
      <c r="H39" s="135" cm="1">
        <f t="array" ref="H39">INDEX(Price!$L$11:$AM$182,MATCH(1,(Price!$A$11:$A$182=$A39)*(Price!$B$11:$B$182=$B39)*(Price!$D$11:$D$182="gb"),0),MATCH(1,(Price!$L$3:$AM$3=H$3)*(Price!$L$4:$AM$4=H$4),0))</f>
        <v>1500</v>
      </c>
      <c r="I39" s="135" cm="1">
        <f t="array" ref="I39">INDEX(Price!$L$11:$AM$182,MATCH(1,(Price!$A$11:$A$182=$A39)*(Price!$B$11:$B$182=$B39)*(Price!$D$11:$D$182="gb"),0),MATCH(1,(Price!$L$3:$AM$3=I$3)*(Price!$L$4:$AM$4=I$4),0))</f>
        <v>1500</v>
      </c>
      <c r="J39" s="135" cm="1">
        <f t="array" ref="J39">INDEX(Price!$L$11:$AM$182,MATCH(1,(Price!$A$11:$A$182=$A39)*(Price!$B$11:$B$182=$B39)*(Price!$D$11:$D$182="gb"),0),MATCH(1,(Price!$L$3:$AM$3=J$3)*(Price!$L$4:$AM$4=J$4),0))</f>
        <v>1430</v>
      </c>
      <c r="K39" s="135" cm="1">
        <f t="array" ref="K39">INDEX(Price!$L$11:$AM$182,MATCH(1,(Price!$A$11:$A$182=$A39)*(Price!$B$11:$B$182=$B39)*(Price!$D$11:$D$182="gb"),0),MATCH(1,(Price!$L$3:$AM$3=K$3)*(Price!$L$4:$AM$4=K$4),0))</f>
        <v>1430</v>
      </c>
      <c r="L39" s="135" cm="1">
        <f t="array" ref="L39">INDEX(Price!$L$11:$AM$182,MATCH(1,(Price!$A$11:$A$182=$A39)*(Price!$B$11:$B$182=$B39)*(Price!$D$11:$D$182="gb"),0),MATCH(1,(Price!$L$3:$AM$3=L$3)*(Price!$L$4:$AM$4=L$4),0))</f>
        <v>1430</v>
      </c>
      <c r="M39" s="135" cm="1">
        <f t="array" ref="M39">INDEX(Price!$L$11:$AM$182,MATCH(1,(Price!$A$11:$A$182=$A39)*(Price!$B$11:$B$182=$B39)*(Price!$D$11:$D$182="gb"),0),MATCH(1,(Price!$L$3:$AM$3=M$3)*(Price!$L$4:$AM$4=M$4),0))</f>
        <v>1430</v>
      </c>
      <c r="N39" s="135" cm="1">
        <f t="array" ref="N39">INDEX(Price!$L$11:$AM$182,MATCH(1,(Price!$A$11:$A$182=$A39)*(Price!$B$11:$B$182=$B39)*(Price!$D$11:$D$182="gb"),0),MATCH(1,(Price!$L$3:$AM$3=N$3)*(Price!$L$4:$AM$4=N$4),0))</f>
        <v>1430</v>
      </c>
      <c r="O39" s="135" cm="1">
        <f t="array" ref="O39">INDEX(Price!$L$11:$AM$182,MATCH(1,(Price!$A$11:$A$182=$A39)*(Price!$B$11:$B$182=$B39)*(Price!$D$11:$D$182="gb"),0),MATCH(1,(Price!$L$3:$AM$3=O$3)*(Price!$L$4:$AM$4=O$4),0))</f>
        <v>1430</v>
      </c>
      <c r="P39" s="135" cm="1">
        <f t="array" ref="P39">INDEX(Price!$L$11:$AM$182,MATCH(1,(Price!$A$11:$A$182=$A39)*(Price!$B$11:$B$182=$B39)*(Price!$D$11:$D$182="gb"),0),MATCH(1,(Price!$L$3:$AM$3=P$3)*(Price!$L$4:$AM$4=P$4),0))</f>
        <v>1430</v>
      </c>
      <c r="Q39" s="135" cm="1">
        <f t="array" ref="Q39">INDEX(Price!$L$11:$AM$182,MATCH(1,(Price!$A$11:$A$182=$A39)*(Price!$B$11:$B$182=$B39)*(Price!$D$11:$D$182="gb"),0),MATCH(1,(Price!$L$3:$AM$3=Q$3)*(Price!$L$4:$AM$4=Q$4),0))</f>
        <v>1430</v>
      </c>
      <c r="R39" s="136" cm="1">
        <f t="array" ref="R39">INDEX(Price!$L$11:$AM$182,MATCH(1,(Price!$A$11:$A$182=$A39)*(Price!$B$11:$B$182=$B39)*(Price!$D$11:$D$182="gb"),0),MATCH(1,(Price!$L$3:$AM$3=R$3)*(Price!$L$4:$AM$4=R$4),0))</f>
        <v>1430</v>
      </c>
      <c r="S39" s="135" cm="1">
        <f t="array" ref="S39">INDEX(Price!$L$11:$AM$182,MATCH(1,(Price!$A$11:$A$182=$A39)*(Price!$B$11:$B$182=$B39)*(Price!$D$11:$D$182="gb"),0),MATCH(1,(Price!$L$3:$AM$3=S$3)*(Price!$L$4:$AM$4=S$4),0))</f>
        <v>1400</v>
      </c>
      <c r="T39" s="135" cm="1">
        <f t="array" ref="T39">INDEX(Price!$L$11:$AM$182,MATCH(1,(Price!$A$11:$A$182=$A39)*(Price!$B$11:$B$182=$B39)*(Price!$D$11:$D$182="gb"),0),MATCH(1,(Price!$L$3:$AM$3=T$3)*(Price!$L$4:$AM$4=T$4),0))</f>
        <v>1400</v>
      </c>
      <c r="U39" s="135" cm="1">
        <f t="array" ref="U39">INDEX(Price!$L$11:$AM$182,MATCH(1,(Price!$A$11:$A$182=$A39)*(Price!$B$11:$B$182=$B39)*(Price!$D$11:$D$182="gb"),0),MATCH(1,(Price!$L$3:$AM$3=U$3)*(Price!$L$4:$AM$4=U$4),0))</f>
        <v>1400</v>
      </c>
      <c r="V39" s="135" cm="1">
        <f t="array" ref="V39">INDEX(Price!$L$11:$AM$182,MATCH(1,(Price!$A$11:$A$182=$A39)*(Price!$B$11:$B$182=$B39)*(Price!$D$11:$D$182="gb"),0),MATCH(1,(Price!$L$3:$AM$3=V$3)*(Price!$L$4:$AM$4=V$4),0))</f>
        <v>1350</v>
      </c>
      <c r="W39" s="135" cm="1">
        <f t="array" ref="W39">INDEX(Price!$L$11:$AM$182,MATCH(1,(Price!$A$11:$A$182=$A39)*(Price!$B$11:$B$182=$B39)*(Price!$D$11:$D$182="gb"),0),MATCH(1,(Price!$L$3:$AM$3=W$3)*(Price!$L$4:$AM$4=W$4),0))</f>
        <v>1350</v>
      </c>
      <c r="X39" s="135" cm="1">
        <f t="array" ref="X39">INDEX(Price!$L$11:$AM$182,MATCH(1,(Price!$A$11:$A$182=$A39)*(Price!$B$11:$B$182=$B39)*(Price!$D$11:$D$182="gb"),0),MATCH(1,(Price!$L$3:$AM$3=X$3)*(Price!$L$4:$AM$4=X$4),0))</f>
        <v>1350</v>
      </c>
      <c r="Y39" s="135" cm="1">
        <f t="array" ref="Y39">INDEX(Price!$L$11:$AM$182,MATCH(1,(Price!$A$11:$A$182=$A39)*(Price!$B$11:$B$182=$B39)*(Price!$D$11:$D$182="gb"),0),MATCH(1,(Price!$L$3:$AM$3=Y$3)*(Price!$L$4:$AM$4=Y$4),0))</f>
        <v>1380</v>
      </c>
      <c r="Z39" s="135" cm="1">
        <f t="array" ref="Z39">INDEX(Price!$L$11:$AM$182,MATCH(1,(Price!$A$11:$A$182=$A39)*(Price!$B$11:$B$182=$B39)*(Price!$D$11:$D$182="gb"),0),MATCH(1,(Price!$L$3:$AM$3=Z$3)*(Price!$L$4:$AM$4=Z$4),0))</f>
        <v>1380</v>
      </c>
      <c r="AA39" s="135" cm="1">
        <f t="array" ref="AA39">INDEX(Price!$L$11:$AM$182,MATCH(1,(Price!$A$11:$A$182=$A39)*(Price!$B$11:$B$182=$B39)*(Price!$D$11:$D$182="gb"),0),MATCH(1,(Price!$L$3:$AM$3=AA$3)*(Price!$L$4:$AM$4=AA$4),0))</f>
        <v>1380</v>
      </c>
      <c r="AB39" s="135" cm="1">
        <f t="array" ref="AB39">INDEX(Price!$L$11:$AM$182,MATCH(1,(Price!$A$11:$A$182=$A39)*(Price!$B$11:$B$182=$B39)*(Price!$D$11:$D$182="gb"),0),MATCH(1,(Price!$L$3:$AM$3=AB$3)*(Price!$L$4:$AM$4=AB$4),0))</f>
        <v>1380</v>
      </c>
      <c r="AC39" s="135" cm="1">
        <f t="array" ref="AC39">INDEX(Price!$L$11:$AM$182,MATCH(1,(Price!$A$11:$A$182=$A39)*(Price!$B$11:$B$182=$B39)*(Price!$D$11:$D$182="gb"),0),MATCH(1,(Price!$L$3:$AM$3=AC$3)*(Price!$L$4:$AM$4=AC$4),0))</f>
        <v>1380</v>
      </c>
      <c r="AD39" s="136" cm="1">
        <f t="array" ref="AD39">INDEX(Price!$L$11:$AM$182,MATCH(1,(Price!$A$11:$A$182=$A39)*(Price!$B$11:$B$182=$B39)*(Price!$D$11:$D$182="gb"),0),MATCH(1,(Price!$L$3:$AM$3=AD$3)*(Price!$L$4:$AM$4=AD$4),0))</f>
        <v>1380</v>
      </c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6"/>
    </row>
    <row r="40" spans="1:42" s="1" customFormat="1" ht="11.5" customHeight="1" outlineLevel="1" x14ac:dyDescent="0.35">
      <c r="A40" s="1" t="s">
        <v>64</v>
      </c>
      <c r="B40" s="1" t="s">
        <v>24</v>
      </c>
      <c r="C40" s="143" t="s">
        <v>322</v>
      </c>
      <c r="D40" s="163">
        <v>3.8</v>
      </c>
      <c r="E40" s="144"/>
      <c r="F40" s="325" t="s">
        <v>8</v>
      </c>
      <c r="G40" s="145" cm="1">
        <f t="array" ref="G40">INDEX(Price!$L$11:$AM$182,MATCH(1,(Price!$A$11:$A$182=$A40)*(Price!$B$11:$B$182=$B40)*(Price!$D$11:$D$182="exw"),0),MATCH(1,(Price!$L$3:$AM$3=G$3)*(Price!$L$4:$AM$4=G$4),0))</f>
        <v>1487.795918367347</v>
      </c>
      <c r="H40" s="145" cm="1">
        <f t="array" ref="H40">INDEX(Price!$L$11:$AM$182,MATCH(1,(Price!$A$11:$A$182=$A40)*(Price!$B$11:$B$182=$B40)*(Price!$D$11:$D$182="exw"),0),MATCH(1,(Price!$L$3:$AM$3=H$3)*(Price!$L$4:$AM$4=H$4),0))</f>
        <v>1487.795918367347</v>
      </c>
      <c r="I40" s="145" cm="1">
        <f t="array" ref="I40">INDEX(Price!$L$11:$AM$182,MATCH(1,(Price!$A$11:$A$182=$A40)*(Price!$B$11:$B$182=$B40)*(Price!$D$11:$D$182="exw"),0),MATCH(1,(Price!$L$3:$AM$3=I$3)*(Price!$L$4:$AM$4=I$4),0))</f>
        <v>1487.795918367347</v>
      </c>
      <c r="J40" s="145" cm="1">
        <f t="array" ref="J40">INDEX(Price!$L$11:$AM$182,MATCH(1,(Price!$A$11:$A$182=$A40)*(Price!$B$11:$B$182=$B40)*(Price!$D$11:$D$182="exw"),0),MATCH(1,(Price!$L$3:$AM$3=J$3)*(Price!$L$4:$AM$4=J$4),0))</f>
        <v>1417.795918367347</v>
      </c>
      <c r="K40" s="145" cm="1">
        <f t="array" ref="K40">INDEX(Price!$L$11:$AM$182,MATCH(1,(Price!$A$11:$A$182=$A40)*(Price!$B$11:$B$182=$B40)*(Price!$D$11:$D$182="exw"),0),MATCH(1,(Price!$L$3:$AM$3=K$3)*(Price!$L$4:$AM$4=K$4),0))</f>
        <v>1417.795918367347</v>
      </c>
      <c r="L40" s="145" cm="1">
        <f t="array" ref="L40">INDEX(Price!$L$11:$AM$182,MATCH(1,(Price!$A$11:$A$182=$A40)*(Price!$B$11:$B$182=$B40)*(Price!$D$11:$D$182="exw"),0),MATCH(1,(Price!$L$3:$AM$3=L$3)*(Price!$L$4:$AM$4=L$4),0))</f>
        <v>1417.795918367347</v>
      </c>
      <c r="M40" s="145" cm="1">
        <f t="array" ref="M40">INDEX(Price!$L$11:$AM$182,MATCH(1,(Price!$A$11:$A$182=$A40)*(Price!$B$11:$B$182=$B40)*(Price!$D$11:$D$182="exw"),0),MATCH(1,(Price!$L$3:$AM$3=M$3)*(Price!$L$4:$AM$4=M$4),0))</f>
        <v>1418.04</v>
      </c>
      <c r="N40" s="145" cm="1">
        <f t="array" ref="N40">INDEX(Price!$L$11:$AM$182,MATCH(1,(Price!$A$11:$A$182=$A40)*(Price!$B$11:$B$182=$B40)*(Price!$D$11:$D$182="exw"),0),MATCH(1,(Price!$L$3:$AM$3=N$3)*(Price!$L$4:$AM$4=N$4),0))</f>
        <v>1418.04</v>
      </c>
      <c r="O40" s="145" cm="1">
        <f t="array" ref="O40">INDEX(Price!$L$11:$AM$182,MATCH(1,(Price!$A$11:$A$182=$A40)*(Price!$B$11:$B$182=$B40)*(Price!$D$11:$D$182="exw"),0),MATCH(1,(Price!$L$3:$AM$3=O$3)*(Price!$L$4:$AM$4=O$4),0))</f>
        <v>1418.04</v>
      </c>
      <c r="P40" s="145" cm="1">
        <f t="array" ref="P40">INDEX(Price!$L$11:$AM$182,MATCH(1,(Price!$A$11:$A$182=$A40)*(Price!$B$11:$B$182=$B40)*(Price!$D$11:$D$182="exw"),0),MATCH(1,(Price!$L$3:$AM$3=P$3)*(Price!$L$4:$AM$4=P$4),0))</f>
        <v>1418.04</v>
      </c>
      <c r="Q40" s="145" cm="1">
        <f t="array" ref="Q40">INDEX(Price!$L$11:$AM$182,MATCH(1,(Price!$A$11:$A$182=$A40)*(Price!$B$11:$B$182=$B40)*(Price!$D$11:$D$182="exw"),0),MATCH(1,(Price!$L$3:$AM$3=Q$3)*(Price!$L$4:$AM$4=Q$4),0))</f>
        <v>1418.04</v>
      </c>
      <c r="R40" s="146" cm="1">
        <f t="array" ref="R40">INDEX(Price!$L$11:$AM$182,MATCH(1,(Price!$A$11:$A$182=$A40)*(Price!$B$11:$B$182=$B40)*(Price!$D$11:$D$182="exw"),0),MATCH(1,(Price!$L$3:$AM$3=R$3)*(Price!$L$4:$AM$4=R$4),0))</f>
        <v>1418.04</v>
      </c>
      <c r="S40" s="145" cm="1">
        <f t="array" ref="S40">INDEX(Price!$L$11:$AM$182,MATCH(1,(Price!$A$11:$A$182=$A40)*(Price!$B$11:$B$182=$B40)*(Price!$D$11:$D$182="exw"),0),MATCH(1,(Price!$L$3:$AM$3=S$3)*(Price!$L$4:$AM$4=S$4),0))</f>
        <v>1388.04</v>
      </c>
      <c r="T40" s="145" cm="1">
        <f t="array" ref="T40">INDEX(Price!$L$11:$AM$182,MATCH(1,(Price!$A$11:$A$182=$A40)*(Price!$B$11:$B$182=$B40)*(Price!$D$11:$D$182="exw"),0),MATCH(1,(Price!$L$3:$AM$3=T$3)*(Price!$L$4:$AM$4=T$4),0))</f>
        <v>1388.04</v>
      </c>
      <c r="U40" s="145" cm="1">
        <f t="array" ref="U40">INDEX(Price!$L$11:$AM$182,MATCH(1,(Price!$A$11:$A$182=$A40)*(Price!$B$11:$B$182=$B40)*(Price!$D$11:$D$182="exw"),0),MATCH(1,(Price!$L$3:$AM$3=U$3)*(Price!$L$4:$AM$4=U$4),0))</f>
        <v>1388.04</v>
      </c>
      <c r="V40" s="145" cm="1">
        <f t="array" ref="V40">INDEX(Price!$L$11:$AM$182,MATCH(1,(Price!$A$11:$A$182=$A40)*(Price!$B$11:$B$182=$B40)*(Price!$D$11:$D$182="exw"),0),MATCH(1,(Price!$L$3:$AM$3=V$3)*(Price!$L$4:$AM$4=V$4),0))</f>
        <v>1338.04</v>
      </c>
      <c r="W40" s="145" cm="1">
        <f t="array" ref="W40">INDEX(Price!$L$11:$AM$182,MATCH(1,(Price!$A$11:$A$182=$A40)*(Price!$B$11:$B$182=$B40)*(Price!$D$11:$D$182="exw"),0),MATCH(1,(Price!$L$3:$AM$3=W$3)*(Price!$L$4:$AM$4=W$4),0))</f>
        <v>1338.04</v>
      </c>
      <c r="X40" s="145" cm="1">
        <f t="array" ref="X40">INDEX(Price!$L$11:$AM$182,MATCH(1,(Price!$A$11:$A$182=$A40)*(Price!$B$11:$B$182=$B40)*(Price!$D$11:$D$182="exw"),0),MATCH(1,(Price!$L$3:$AM$3=X$3)*(Price!$L$4:$AM$4=X$4),0))</f>
        <v>1338.04</v>
      </c>
      <c r="Y40" s="145" cm="1">
        <f t="array" ref="Y40">INDEX(Price!$L$11:$AM$182,MATCH(1,(Price!$A$11:$A$182=$A40)*(Price!$B$11:$B$182=$B40)*(Price!$D$11:$D$182="exw"),0),MATCH(1,(Price!$L$3:$AM$3=Y$3)*(Price!$L$4:$AM$4=Y$4),0))</f>
        <v>1368.04</v>
      </c>
      <c r="Z40" s="145" cm="1">
        <f t="array" ref="Z40">INDEX(Price!$L$11:$AM$182,MATCH(1,(Price!$A$11:$A$182=$A40)*(Price!$B$11:$B$182=$B40)*(Price!$D$11:$D$182="exw"),0),MATCH(1,(Price!$L$3:$AM$3=Z$3)*(Price!$L$4:$AM$4=Z$4),0))</f>
        <v>1368.04</v>
      </c>
      <c r="AA40" s="145" cm="1">
        <f t="array" ref="AA40">INDEX(Price!$L$11:$AM$182,MATCH(1,(Price!$A$11:$A$182=$A40)*(Price!$B$11:$B$182=$B40)*(Price!$D$11:$D$182="exw"),0),MATCH(1,(Price!$L$3:$AM$3=AA$3)*(Price!$L$4:$AM$4=AA$4),0))</f>
        <v>1368.04</v>
      </c>
      <c r="AB40" s="145" cm="1">
        <f t="array" ref="AB40">INDEX(Price!$L$11:$AM$182,MATCH(1,(Price!$A$11:$A$182=$A40)*(Price!$B$11:$B$182=$B40)*(Price!$D$11:$D$182="exw"),0),MATCH(1,(Price!$L$3:$AM$3=AB$3)*(Price!$L$4:$AM$4=AB$4),0))</f>
        <v>1368.04</v>
      </c>
      <c r="AC40" s="145" cm="1">
        <f t="array" ref="AC40">INDEX(Price!$L$11:$AM$182,MATCH(1,(Price!$A$11:$A$182=$A40)*(Price!$B$11:$B$182=$B40)*(Price!$D$11:$D$182="exw"),0),MATCH(1,(Price!$L$3:$AM$3=AC$3)*(Price!$L$4:$AM$4=AC$4),0))</f>
        <v>1368.04</v>
      </c>
      <c r="AD40" s="146" cm="1">
        <f t="array" ref="AD40">INDEX(Price!$L$11:$AM$182,MATCH(1,(Price!$A$11:$A$182=$A40)*(Price!$B$11:$B$182=$B40)*(Price!$D$11:$D$182="exw"),0),MATCH(1,(Price!$L$3:$AM$3=AD$3)*(Price!$L$4:$AM$4=AD$4),0))</f>
        <v>1368.04</v>
      </c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6"/>
    </row>
    <row r="41" spans="1:42" ht="11.5" customHeight="1" outlineLevel="1" x14ac:dyDescent="0.35">
      <c r="A41" t="s">
        <v>64</v>
      </c>
      <c r="B41" t="s">
        <v>24</v>
      </c>
      <c r="C41" s="14" t="s">
        <v>21</v>
      </c>
      <c r="D41" s="164">
        <v>3.9</v>
      </c>
      <c r="E41" s="8"/>
      <c r="F41" s="326" t="s">
        <v>11</v>
      </c>
      <c r="G41" s="320" cm="1">
        <f t="array" ref="G41">SUMPRODUCT(General_Data*(Code_General_Data=$C41)*(Year=G$3)*(Month=G$4))</f>
        <v>940</v>
      </c>
      <c r="H41" s="132" cm="1">
        <f t="array" ref="H41">SUMPRODUCT(General_Data*(Code_General_Data=$C41)*(Year=H$3)*(Month=H$4))</f>
        <v>993.33333333333337</v>
      </c>
      <c r="I41" s="132" cm="1">
        <f t="array" ref="I41">SUMPRODUCT(General_Data*(Code_General_Data=$C41)*(Year=I$3)*(Month=I$4))</f>
        <v>985</v>
      </c>
      <c r="J41" s="132" cm="1">
        <f t="array" ref="J41">SUMPRODUCT(General_Data*(Code_General_Data=$C41)*(Year=J$3)*(Month=J$4))</f>
        <v>962.5</v>
      </c>
      <c r="K41" s="132" cm="1">
        <f t="array" ref="K41">SUMPRODUCT(General_Data*(Code_General_Data=$C41)*(Year=K$3)*(Month=K$4))</f>
        <v>982</v>
      </c>
      <c r="L41" s="132" cm="1">
        <f t="array" ref="L41">SUMPRODUCT(General_Data*(Code_General_Data=$C41)*(Year=L$3)*(Month=L$4))</f>
        <v>1000</v>
      </c>
      <c r="M41" s="132" cm="1">
        <f t="array" ref="M41">SUMPRODUCT(General_Data*(Code_General_Data=$C41)*(Year=M$3)*(Month=M$4))</f>
        <v>1000</v>
      </c>
      <c r="N41" s="132" cm="1">
        <f t="array" ref="N41">SUMPRODUCT(General_Data*(Code_General_Data=$C41)*(Year=N$3)*(Month=N$4))</f>
        <v>984</v>
      </c>
      <c r="O41" s="132" cm="1">
        <f t="array" ref="O41">SUMPRODUCT(General_Data*(Code_General_Data=$C41)*(Year=O$3)*(Month=O$4))</f>
        <v>967.5</v>
      </c>
      <c r="P41" s="132" cm="1">
        <f t="array" ref="P41">SUMPRODUCT(General_Data*(Code_General_Data=$C41)*(Year=P$3)*(Month=P$4))</f>
        <v>965</v>
      </c>
      <c r="Q41" s="132" cm="1">
        <f t="array" ref="Q41">SUMPRODUCT(General_Data*(Code_General_Data=$C41)*(Year=Q$3)*(Month=Q$4))</f>
        <v>974</v>
      </c>
      <c r="R41" s="133" cm="1">
        <f t="array" ref="R41">SUMPRODUCT(General_Data*(Code_General_Data=$C41)*(Year=R$3)*(Month=R$4))</f>
        <v>956</v>
      </c>
      <c r="S41" s="132" cm="1">
        <f t="array" ref="S41">SUMPRODUCT(General_Data*(Code_General_Data=$C41)*(Year=S$3)*(Month=S$4))</f>
        <v>940</v>
      </c>
      <c r="T41" s="132" cm="1">
        <f t="array" ref="T41">SUMPRODUCT(General_Data*(Code_General_Data=$C41)*(Year=T$3)*(Month=T$4))</f>
        <v>918</v>
      </c>
      <c r="U41" s="132" cm="1">
        <f t="array" ref="U41">SUMPRODUCT(General_Data*(Code_General_Data=$C41)*(Year=U$3)*(Month=U$4))</f>
        <v>896</v>
      </c>
      <c r="V41" s="132" cm="1">
        <f t="array" ref="V41">SUMPRODUCT(General_Data*(Code_General_Data=$C41)*(Year=V$3)*(Month=V$4))</f>
        <v>891.5</v>
      </c>
      <c r="W41" s="132" cm="1">
        <f t="array" ref="W41">SUMPRODUCT(General_Data*(Code_General_Data=$C41)*(Year=W$3)*(Month=W$4))</f>
        <v>864</v>
      </c>
      <c r="X41" s="132" cm="1">
        <f t="array" ref="X41">SUMPRODUCT(General_Data*(Code_General_Data=$C41)*(Year=X$3)*(Month=X$4))</f>
        <v>833</v>
      </c>
      <c r="Y41" s="132" cm="1">
        <f t="array" ref="Y41">SUMPRODUCT(General_Data*(Code_General_Data=$C41)*(Year=Y$3)*(Month=Y$4))</f>
        <v>833</v>
      </c>
      <c r="Z41" s="132" cm="1">
        <f t="array" ref="Z41">SUMPRODUCT(General_Data*(Code_General_Data=$C41)*(Year=Z$3)*(Month=Z$4))</f>
        <v>815</v>
      </c>
      <c r="AA41" s="132" cm="1">
        <f t="array" ref="AA41">SUMPRODUCT(General_Data*(Code_General_Data=$C41)*(Year=AA$3)*(Month=AA$4))</f>
        <v>813</v>
      </c>
      <c r="AB41" s="132" cm="1">
        <f t="array" ref="AB41">SUMPRODUCT(General_Data*(Code_General_Data=$C41)*(Year=AB$3)*(Month=AB$4))</f>
        <v>805</v>
      </c>
      <c r="AC41" s="132" cm="1">
        <f t="array" ref="AC41">SUMPRODUCT(General_Data*(Code_General_Data=$C41)*(Year=AC$3)*(Month=AC$4))</f>
        <v>805</v>
      </c>
      <c r="AD41" s="133" cm="1">
        <f t="array" ref="AD41">SUMPRODUCT(General_Data*(Code_General_Data=$C41)*(Year=AD$3)*(Month=AD$4))</f>
        <v>805</v>
      </c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3"/>
    </row>
    <row r="42" spans="1:42" s="152" customFormat="1" ht="11.5" customHeight="1" outlineLevel="1" x14ac:dyDescent="0.35">
      <c r="A42" s="152" t="s">
        <v>64</v>
      </c>
      <c r="B42" s="152" t="s">
        <v>24</v>
      </c>
      <c r="D42" s="165">
        <v>3.1</v>
      </c>
      <c r="E42" s="153"/>
      <c r="F42" s="327" t="s">
        <v>430</v>
      </c>
      <c r="G42" s="154">
        <f t="shared" ref="G42:AD42" si="10">IF(G39*G40*G41&lt;&gt;0,G40-G41,0)</f>
        <v>547.79591836734699</v>
      </c>
      <c r="H42" s="154">
        <f t="shared" si="10"/>
        <v>494.46258503401361</v>
      </c>
      <c r="I42" s="154">
        <f t="shared" si="10"/>
        <v>502.79591836734699</v>
      </c>
      <c r="J42" s="154">
        <f t="shared" si="10"/>
        <v>455.29591836734699</v>
      </c>
      <c r="K42" s="154">
        <f t="shared" si="10"/>
        <v>435.79591836734699</v>
      </c>
      <c r="L42" s="154">
        <f t="shared" si="10"/>
        <v>417.79591836734699</v>
      </c>
      <c r="M42" s="154">
        <f t="shared" si="10"/>
        <v>418.03999999999996</v>
      </c>
      <c r="N42" s="154">
        <f t="shared" si="10"/>
        <v>434.03999999999996</v>
      </c>
      <c r="O42" s="154">
        <f t="shared" si="10"/>
        <v>450.53999999999996</v>
      </c>
      <c r="P42" s="154">
        <f t="shared" si="10"/>
        <v>453.03999999999996</v>
      </c>
      <c r="Q42" s="154">
        <f t="shared" si="10"/>
        <v>444.03999999999996</v>
      </c>
      <c r="R42" s="155">
        <f t="shared" si="10"/>
        <v>462.03999999999996</v>
      </c>
      <c r="S42" s="154">
        <f t="shared" si="10"/>
        <v>448.03999999999996</v>
      </c>
      <c r="T42" s="154">
        <f t="shared" si="10"/>
        <v>470.03999999999996</v>
      </c>
      <c r="U42" s="154">
        <f t="shared" si="10"/>
        <v>492.03999999999996</v>
      </c>
      <c r="V42" s="154">
        <f t="shared" si="10"/>
        <v>446.53999999999996</v>
      </c>
      <c r="W42" s="154">
        <f t="shared" si="10"/>
        <v>474.03999999999996</v>
      </c>
      <c r="X42" s="154">
        <f t="shared" si="10"/>
        <v>505.03999999999996</v>
      </c>
      <c r="Y42" s="154">
        <f t="shared" si="10"/>
        <v>535.04</v>
      </c>
      <c r="Z42" s="154">
        <f t="shared" si="10"/>
        <v>553.04</v>
      </c>
      <c r="AA42" s="154">
        <f t="shared" si="10"/>
        <v>555.04</v>
      </c>
      <c r="AB42" s="154">
        <f t="shared" si="10"/>
        <v>563.04</v>
      </c>
      <c r="AC42" s="154">
        <f t="shared" si="10"/>
        <v>563.04</v>
      </c>
      <c r="AD42" s="155">
        <f t="shared" si="10"/>
        <v>563.04</v>
      </c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5"/>
    </row>
    <row r="43" spans="1:42" s="156" customFormat="1" ht="11.5" customHeight="1" outlineLevel="1" x14ac:dyDescent="0.35">
      <c r="A43" s="156" t="s">
        <v>64</v>
      </c>
      <c r="B43" s="156" t="s">
        <v>24</v>
      </c>
      <c r="D43" s="166">
        <v>3.11</v>
      </c>
      <c r="E43" s="157"/>
      <c r="F43" s="328" t="s">
        <v>14</v>
      </c>
      <c r="G43" s="158">
        <f t="shared" ref="G43:AD43" si="11">IFERROR(G42/G41,0)</f>
        <v>0.58276161528441173</v>
      </c>
      <c r="H43" s="158">
        <f t="shared" si="11"/>
        <v>0.49778112587316803</v>
      </c>
      <c r="I43" s="158">
        <f t="shared" si="11"/>
        <v>0.51045270900238271</v>
      </c>
      <c r="J43" s="158">
        <f t="shared" si="11"/>
        <v>0.47303472038165922</v>
      </c>
      <c r="K43" s="158">
        <f t="shared" si="11"/>
        <v>0.44378403092397861</v>
      </c>
      <c r="L43" s="158">
        <f t="shared" si="11"/>
        <v>0.41779591836734697</v>
      </c>
      <c r="M43" s="158">
        <f t="shared" si="11"/>
        <v>0.41803999999999997</v>
      </c>
      <c r="N43" s="158">
        <f t="shared" si="11"/>
        <v>0.4410975609756097</v>
      </c>
      <c r="O43" s="158">
        <f t="shared" si="11"/>
        <v>0.46567441860465114</v>
      </c>
      <c r="P43" s="158">
        <f t="shared" si="11"/>
        <v>0.46947150259067355</v>
      </c>
      <c r="Q43" s="158">
        <f t="shared" si="11"/>
        <v>0.45589322381930181</v>
      </c>
      <c r="R43" s="159">
        <f t="shared" si="11"/>
        <v>0.48330543933054387</v>
      </c>
      <c r="S43" s="158">
        <f t="shared" si="11"/>
        <v>0.47663829787234041</v>
      </c>
      <c r="T43" s="158">
        <f t="shared" si="11"/>
        <v>0.51202614379084965</v>
      </c>
      <c r="U43" s="158">
        <f t="shared" si="11"/>
        <v>0.54915178571428569</v>
      </c>
      <c r="V43" s="158">
        <f t="shared" si="11"/>
        <v>0.50088614694335387</v>
      </c>
      <c r="W43" s="158">
        <f t="shared" si="11"/>
        <v>0.54865740740740732</v>
      </c>
      <c r="X43" s="158">
        <f t="shared" si="11"/>
        <v>0.60629051620648255</v>
      </c>
      <c r="Y43" s="158">
        <f t="shared" si="11"/>
        <v>0.64230492196878752</v>
      </c>
      <c r="Z43" s="158">
        <f t="shared" si="11"/>
        <v>0.67857668711656438</v>
      </c>
      <c r="AA43" s="158">
        <f t="shared" si="11"/>
        <v>0.6827060270602705</v>
      </c>
      <c r="AB43" s="158">
        <f t="shared" si="11"/>
        <v>0.6994285714285714</v>
      </c>
      <c r="AC43" s="158">
        <f t="shared" si="11"/>
        <v>0.6994285714285714</v>
      </c>
      <c r="AD43" s="159">
        <f t="shared" si="11"/>
        <v>0.6994285714285714</v>
      </c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9"/>
    </row>
    <row r="44" spans="1:42" s="137" customFormat="1" ht="11.5" customHeight="1" outlineLevel="1" x14ac:dyDescent="0.35">
      <c r="A44" s="137" t="s">
        <v>64</v>
      </c>
      <c r="B44" s="137" t="s">
        <v>24</v>
      </c>
      <c r="C44" s="137" t="s">
        <v>24</v>
      </c>
      <c r="D44" s="167">
        <v>3.12</v>
      </c>
      <c r="E44" s="138"/>
      <c r="F44" s="329" t="s">
        <v>203</v>
      </c>
      <c r="G44" s="139" cm="1">
        <f t="array" ref="G44">SUMPRODUCT(General_Data*(Code_General_Data=$C44)*(Year=G$3)*(Month=G$4))</f>
        <v>1350</v>
      </c>
      <c r="H44" s="139" cm="1">
        <f t="array" ref="H44">SUMPRODUCT(General_Data*(Code_General_Data=$C44)*(Year=H$3)*(Month=H$4))</f>
        <v>1350</v>
      </c>
      <c r="I44" s="139" cm="1">
        <f t="array" ref="I44">SUMPRODUCT(General_Data*(Code_General_Data=$C44)*(Year=I$3)*(Month=I$4))</f>
        <v>1350</v>
      </c>
      <c r="J44" s="139" cm="1">
        <f t="array" ref="J44">SUMPRODUCT(General_Data*(Code_General_Data=$C44)*(Year=J$3)*(Month=J$4))</f>
        <v>1350</v>
      </c>
      <c r="K44" s="139" cm="1">
        <f t="array" ref="K44">SUMPRODUCT(General_Data*(Code_General_Data=$C44)*(Year=K$3)*(Month=K$4))</f>
        <v>1350</v>
      </c>
      <c r="L44" s="139" cm="1">
        <f t="array" ref="L44">SUMPRODUCT(General_Data*(Code_General_Data=$C44)*(Year=L$3)*(Month=L$4))</f>
        <v>1350</v>
      </c>
      <c r="M44" s="139" cm="1">
        <f t="array" ref="M44">SUMPRODUCT(General_Data*(Code_General_Data=$C44)*(Year=M$3)*(Month=M$4))</f>
        <v>1350</v>
      </c>
      <c r="N44" s="139" cm="1">
        <f t="array" ref="N44">SUMPRODUCT(General_Data*(Code_General_Data=$C44)*(Year=N$3)*(Month=N$4))</f>
        <v>1350</v>
      </c>
      <c r="O44" s="139" cm="1">
        <f t="array" ref="O44">SUMPRODUCT(General_Data*(Code_General_Data=$C44)*(Year=O$3)*(Month=O$4))</f>
        <v>1350</v>
      </c>
      <c r="P44" s="139" cm="1">
        <f t="array" ref="P44">SUMPRODUCT(General_Data*(Code_General_Data=$C44)*(Year=P$3)*(Month=P$4))</f>
        <v>1350</v>
      </c>
      <c r="Q44" s="139" cm="1">
        <f t="array" ref="Q44">SUMPRODUCT(General_Data*(Code_General_Data=$C44)*(Year=Q$3)*(Month=Q$4))</f>
        <v>1350</v>
      </c>
      <c r="R44" s="140" cm="1">
        <f t="array" ref="R44">SUMPRODUCT(General_Data*(Code_General_Data=$C44)*(Year=R$3)*(Month=R$4))</f>
        <v>1350</v>
      </c>
      <c r="S44" s="139" cm="1">
        <f t="array" ref="S44">SUMPRODUCT(General_Data*(Code_General_Data=$C44)*(Year=S$3)*(Month=S$4))</f>
        <v>1350</v>
      </c>
      <c r="T44" s="139" cm="1">
        <f t="array" ref="T44">SUMPRODUCT(General_Data*(Code_General_Data=$C44)*(Year=T$3)*(Month=T$4))</f>
        <v>1300</v>
      </c>
      <c r="U44" s="139" cm="1">
        <f t="array" ref="U44">SUMPRODUCT(General_Data*(Code_General_Data=$C44)*(Year=U$3)*(Month=U$4))</f>
        <v>1250</v>
      </c>
      <c r="V44" s="139" cm="1">
        <f t="array" ref="V44">SUMPRODUCT(General_Data*(Code_General_Data=$C44)*(Year=V$3)*(Month=V$4))</f>
        <v>1250</v>
      </c>
      <c r="W44" s="139" cm="1">
        <f t="array" ref="W44">SUMPRODUCT(General_Data*(Code_General_Data=$C44)*(Year=W$3)*(Month=W$4))</f>
        <v>1250</v>
      </c>
      <c r="X44" s="139" cm="1">
        <f t="array" ref="X44">SUMPRODUCT(General_Data*(Code_General_Data=$C44)*(Year=X$3)*(Month=X$4))</f>
        <v>1250</v>
      </c>
      <c r="Y44" s="139" cm="1">
        <f t="array" ref="Y44">SUMPRODUCT(General_Data*(Code_General_Data=$C44)*(Year=Y$3)*(Month=Y$4))</f>
        <v>1250</v>
      </c>
      <c r="Z44" s="139" cm="1">
        <f t="array" ref="Z44">SUMPRODUCT(General_Data*(Code_General_Data=$C44)*(Year=Z$3)*(Month=Z$4))</f>
        <v>1230</v>
      </c>
      <c r="AA44" s="139" cm="1">
        <f t="array" ref="AA44">SUMPRODUCT(General_Data*(Code_General_Data=$C44)*(Year=AA$3)*(Month=AA$4))</f>
        <v>1210</v>
      </c>
      <c r="AB44" s="139" cm="1">
        <f t="array" ref="AB44">SUMPRODUCT(General_Data*(Code_General_Data=$C44)*(Year=AB$3)*(Month=AB$4))</f>
        <v>1210</v>
      </c>
      <c r="AC44" s="139" cm="1">
        <f t="array" ref="AC44">SUMPRODUCT(General_Data*(Code_General_Data=$C44)*(Year=AC$3)*(Month=AC$4))</f>
        <v>1200</v>
      </c>
      <c r="AD44" s="140" cm="1">
        <f t="array" ref="AD44">SUMPRODUCT(General_Data*(Code_General_Data=$C44)*(Year=AD$3)*(Month=AD$4))</f>
        <v>1200</v>
      </c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</row>
    <row r="45" spans="1:42" ht="3.75" customHeight="1" x14ac:dyDescent="0.35">
      <c r="A45" t="s">
        <v>64</v>
      </c>
      <c r="D45" s="168"/>
    </row>
    <row r="46" spans="1:42" s="148" customFormat="1" ht="13.4" customHeight="1" outlineLevel="1" x14ac:dyDescent="0.4">
      <c r="A46" s="148" t="s">
        <v>64</v>
      </c>
      <c r="B46" s="148" t="s">
        <v>22</v>
      </c>
      <c r="D46" s="161"/>
      <c r="E46" s="149"/>
      <c r="F46" s="323" t="s">
        <v>20</v>
      </c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50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50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</row>
    <row r="47" spans="1:42" s="69" customFormat="1" ht="11.5" customHeight="1" outlineLevel="1" x14ac:dyDescent="0.35">
      <c r="A47" s="69" t="s">
        <v>64</v>
      </c>
      <c r="B47" s="69" t="s">
        <v>22</v>
      </c>
      <c r="D47" s="170">
        <v>3.13</v>
      </c>
      <c r="E47" s="134"/>
      <c r="F47" s="324" t="s">
        <v>19</v>
      </c>
      <c r="G47" s="135" cm="1">
        <f t="array" ref="G47">INDEX(Price!$L$11:$AM$182,MATCH(1,(Price!$A$11:$A$182=$A47)*(Price!$B$11:$B$182=$B47)*(Price!$D$11:$D$182="gb"),0),MATCH(1,(Price!$L$3:$AM$3=G$3)*(Price!$L$4:$AM$4=G$4),0))</f>
        <v>0</v>
      </c>
      <c r="H47" s="135" cm="1">
        <f t="array" ref="H47">INDEX(Price!$L$11:$AM$182,MATCH(1,(Price!$A$11:$A$182=$A47)*(Price!$B$11:$B$182=$B47)*(Price!$D$11:$D$182="gb"),0),MATCH(1,(Price!$L$3:$AM$3=H$3)*(Price!$L$4:$AM$4=H$4),0))</f>
        <v>0</v>
      </c>
      <c r="I47" s="135" cm="1">
        <f t="array" ref="I47">INDEX(Price!$L$11:$AM$182,MATCH(1,(Price!$A$11:$A$182=$A47)*(Price!$B$11:$B$182=$B47)*(Price!$D$11:$D$182="gb"),0),MATCH(1,(Price!$L$3:$AM$3=I$3)*(Price!$L$4:$AM$4=I$4),0))</f>
        <v>0</v>
      </c>
      <c r="J47" s="135" cm="1">
        <f t="array" ref="J47">INDEX(Price!$L$11:$AM$182,MATCH(1,(Price!$A$11:$A$182=$A47)*(Price!$B$11:$B$182=$B47)*(Price!$D$11:$D$182="gb"),0),MATCH(1,(Price!$L$3:$AM$3=J$3)*(Price!$L$4:$AM$4=J$4),0))</f>
        <v>0</v>
      </c>
      <c r="K47" s="135" cm="1">
        <f t="array" ref="K47">INDEX(Price!$L$11:$AM$182,MATCH(1,(Price!$A$11:$A$182=$A47)*(Price!$B$11:$B$182=$B47)*(Price!$D$11:$D$182="gb"),0),MATCH(1,(Price!$L$3:$AM$3=K$3)*(Price!$L$4:$AM$4=K$4),0))</f>
        <v>0</v>
      </c>
      <c r="L47" s="135" cm="1">
        <f t="array" ref="L47">INDEX(Price!$L$11:$AM$182,MATCH(1,(Price!$A$11:$A$182=$A47)*(Price!$B$11:$B$182=$B47)*(Price!$D$11:$D$182="gb"),0),MATCH(1,(Price!$L$3:$AM$3=L$3)*(Price!$L$4:$AM$4=L$4),0))</f>
        <v>0</v>
      </c>
      <c r="M47" s="135" cm="1">
        <f t="array" ref="M47">INDEX(Price!$L$11:$AM$182,MATCH(1,(Price!$A$11:$A$182=$A47)*(Price!$B$11:$B$182=$B47)*(Price!$D$11:$D$182="gb"),0),MATCH(1,(Price!$L$3:$AM$3=M$3)*(Price!$L$4:$AM$4=M$4),0))</f>
        <v>0</v>
      </c>
      <c r="N47" s="135" cm="1">
        <f t="array" ref="N47">INDEX(Price!$L$11:$AM$182,MATCH(1,(Price!$A$11:$A$182=$A47)*(Price!$B$11:$B$182=$B47)*(Price!$D$11:$D$182="gb"),0),MATCH(1,(Price!$L$3:$AM$3=N$3)*(Price!$L$4:$AM$4=N$4),0))</f>
        <v>0</v>
      </c>
      <c r="O47" s="135" cm="1">
        <f t="array" ref="O47">INDEX(Price!$L$11:$AM$182,MATCH(1,(Price!$A$11:$A$182=$A47)*(Price!$B$11:$B$182=$B47)*(Price!$D$11:$D$182="gb"),0),MATCH(1,(Price!$L$3:$AM$3=O$3)*(Price!$L$4:$AM$4=O$4),0))</f>
        <v>0</v>
      </c>
      <c r="P47" s="135" cm="1">
        <f t="array" ref="P47">INDEX(Price!$L$11:$AM$182,MATCH(1,(Price!$A$11:$A$182=$A47)*(Price!$B$11:$B$182=$B47)*(Price!$D$11:$D$182="gb"),0),MATCH(1,(Price!$L$3:$AM$3=P$3)*(Price!$L$4:$AM$4=P$4),0))</f>
        <v>0</v>
      </c>
      <c r="Q47" s="135" cm="1">
        <f t="array" ref="Q47">INDEX(Price!$L$11:$AM$182,MATCH(1,(Price!$A$11:$A$182=$A47)*(Price!$B$11:$B$182=$B47)*(Price!$D$11:$D$182="gb"),0),MATCH(1,(Price!$L$3:$AM$3=Q$3)*(Price!$L$4:$AM$4=Q$4),0))</f>
        <v>0</v>
      </c>
      <c r="R47" s="136" cm="1">
        <f t="array" ref="R47">INDEX(Price!$L$11:$AM$182,MATCH(1,(Price!$A$11:$A$182=$A47)*(Price!$B$11:$B$182=$B47)*(Price!$D$11:$D$182="gb"),0),MATCH(1,(Price!$L$3:$AM$3=R$3)*(Price!$L$4:$AM$4=R$4),0))</f>
        <v>0</v>
      </c>
      <c r="S47" s="135" cm="1">
        <f t="array" ref="S47">INDEX(Price!$L$11:$AM$182,MATCH(1,(Price!$A$11:$A$182=$A47)*(Price!$B$11:$B$182=$B47)*(Price!$D$11:$D$182="gb"),0),MATCH(1,(Price!$L$3:$AM$3=S$3)*(Price!$L$4:$AM$4=S$4),0))</f>
        <v>1400</v>
      </c>
      <c r="T47" s="135" cm="1">
        <f t="array" ref="T47">INDEX(Price!$L$11:$AM$182,MATCH(1,(Price!$A$11:$A$182=$A47)*(Price!$B$11:$B$182=$B47)*(Price!$D$11:$D$182="gb"),0),MATCH(1,(Price!$L$3:$AM$3=T$3)*(Price!$L$4:$AM$4=T$4),0))</f>
        <v>1400</v>
      </c>
      <c r="U47" s="135" cm="1">
        <f t="array" ref="U47">INDEX(Price!$L$11:$AM$182,MATCH(1,(Price!$A$11:$A$182=$A47)*(Price!$B$11:$B$182=$B47)*(Price!$D$11:$D$182="gb"),0),MATCH(1,(Price!$L$3:$AM$3=U$3)*(Price!$L$4:$AM$4=U$4),0))</f>
        <v>1400</v>
      </c>
      <c r="V47" s="135" cm="1">
        <f t="array" ref="V47">INDEX(Price!$L$11:$AM$182,MATCH(1,(Price!$A$11:$A$182=$A47)*(Price!$B$11:$B$182=$B47)*(Price!$D$11:$D$182="gb"),0),MATCH(1,(Price!$L$3:$AM$3=V$3)*(Price!$L$4:$AM$4=V$4),0))</f>
        <v>1350</v>
      </c>
      <c r="W47" s="135" cm="1">
        <f t="array" ref="W47">INDEX(Price!$L$11:$AM$182,MATCH(1,(Price!$A$11:$A$182=$A47)*(Price!$B$11:$B$182=$B47)*(Price!$D$11:$D$182="gb"),0),MATCH(1,(Price!$L$3:$AM$3=W$3)*(Price!$L$4:$AM$4=W$4),0))</f>
        <v>1350</v>
      </c>
      <c r="X47" s="135" cm="1">
        <f t="array" ref="X47">INDEX(Price!$L$11:$AM$182,MATCH(1,(Price!$A$11:$A$182=$A47)*(Price!$B$11:$B$182=$B47)*(Price!$D$11:$D$182="gb"),0),MATCH(1,(Price!$L$3:$AM$3=X$3)*(Price!$L$4:$AM$4=X$4),0))</f>
        <v>1350</v>
      </c>
      <c r="Y47" s="135" cm="1">
        <f t="array" ref="Y47">INDEX(Price!$L$11:$AM$182,MATCH(1,(Price!$A$11:$A$182=$A47)*(Price!$B$11:$B$182=$B47)*(Price!$D$11:$D$182="gb"),0),MATCH(1,(Price!$L$3:$AM$3=Y$3)*(Price!$L$4:$AM$4=Y$4),0))</f>
        <v>1380</v>
      </c>
      <c r="Z47" s="135" cm="1">
        <f t="array" ref="Z47">INDEX(Price!$L$11:$AM$182,MATCH(1,(Price!$A$11:$A$182=$A47)*(Price!$B$11:$B$182=$B47)*(Price!$D$11:$D$182="gb"),0),MATCH(1,(Price!$L$3:$AM$3=Z$3)*(Price!$L$4:$AM$4=Z$4),0))</f>
        <v>1380</v>
      </c>
      <c r="AA47" s="135" cm="1">
        <f t="array" ref="AA47">INDEX(Price!$L$11:$AM$182,MATCH(1,(Price!$A$11:$A$182=$A47)*(Price!$B$11:$B$182=$B47)*(Price!$D$11:$D$182="gb"),0),MATCH(1,(Price!$L$3:$AM$3=AA$3)*(Price!$L$4:$AM$4=AA$4),0))</f>
        <v>1380</v>
      </c>
      <c r="AB47" s="135" cm="1">
        <f t="array" ref="AB47">INDEX(Price!$L$11:$AM$182,MATCH(1,(Price!$A$11:$A$182=$A47)*(Price!$B$11:$B$182=$B47)*(Price!$D$11:$D$182="gb"),0),MATCH(1,(Price!$L$3:$AM$3=AB$3)*(Price!$L$4:$AM$4=AB$4),0))</f>
        <v>1380</v>
      </c>
      <c r="AC47" s="135" cm="1">
        <f t="array" ref="AC47">INDEX(Price!$L$11:$AM$182,MATCH(1,(Price!$A$11:$A$182=$A47)*(Price!$B$11:$B$182=$B47)*(Price!$D$11:$D$182="gb"),0),MATCH(1,(Price!$L$3:$AM$3=AC$3)*(Price!$L$4:$AM$4=AC$4),0))</f>
        <v>1380</v>
      </c>
      <c r="AD47" s="136" cm="1">
        <f t="array" ref="AD47">INDEX(Price!$L$11:$AM$182,MATCH(1,(Price!$A$11:$A$182=$A47)*(Price!$B$11:$B$182=$B47)*(Price!$D$11:$D$182="gb"),0),MATCH(1,(Price!$L$3:$AM$3=AD$3)*(Price!$L$4:$AM$4=AD$4),0))</f>
        <v>1380</v>
      </c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2" s="1" customFormat="1" ht="11.5" customHeight="1" outlineLevel="1" x14ac:dyDescent="0.35">
      <c r="A48" s="1" t="s">
        <v>64</v>
      </c>
      <c r="B48" s="1" t="s">
        <v>22</v>
      </c>
      <c r="C48" s="143" t="s">
        <v>322</v>
      </c>
      <c r="D48" s="171">
        <v>3.14</v>
      </c>
      <c r="E48" s="144"/>
      <c r="F48" s="325" t="s">
        <v>8</v>
      </c>
      <c r="G48" s="145" cm="1">
        <f t="array" ref="G48">INDEX(Price!$L$11:$AM$182,MATCH(1,(Price!$A$11:$A$182=$A48)*(Price!$B$11:$B$182=$B48)*(Price!$D$11:$D$182="exw"),0),MATCH(1,(Price!$L$3:$AM$3=G$3)*(Price!$L$4:$AM$4=G$4),0))</f>
        <v>0</v>
      </c>
      <c r="H48" s="145" cm="1">
        <f t="array" ref="H48">INDEX(Price!$L$11:$AM$182,MATCH(1,(Price!$A$11:$A$182=$A48)*(Price!$B$11:$B$182=$B48)*(Price!$D$11:$D$182="exw"),0),MATCH(1,(Price!$L$3:$AM$3=H$3)*(Price!$L$4:$AM$4=H$4),0))</f>
        <v>0</v>
      </c>
      <c r="I48" s="145" cm="1">
        <f t="array" ref="I48">INDEX(Price!$L$11:$AM$182,MATCH(1,(Price!$A$11:$A$182=$A48)*(Price!$B$11:$B$182=$B48)*(Price!$D$11:$D$182="exw"),0),MATCH(1,(Price!$L$3:$AM$3=I$3)*(Price!$L$4:$AM$4=I$4),0))</f>
        <v>0</v>
      </c>
      <c r="J48" s="145" cm="1">
        <f t="array" ref="J48">INDEX(Price!$L$11:$AM$182,MATCH(1,(Price!$A$11:$A$182=$A48)*(Price!$B$11:$B$182=$B48)*(Price!$D$11:$D$182="exw"),0),MATCH(1,(Price!$L$3:$AM$3=J$3)*(Price!$L$4:$AM$4=J$4),0))</f>
        <v>0</v>
      </c>
      <c r="K48" s="145" cm="1">
        <f t="array" ref="K48">INDEX(Price!$L$11:$AM$182,MATCH(1,(Price!$A$11:$A$182=$A48)*(Price!$B$11:$B$182=$B48)*(Price!$D$11:$D$182="exw"),0),MATCH(1,(Price!$L$3:$AM$3=K$3)*(Price!$L$4:$AM$4=K$4),0))</f>
        <v>0</v>
      </c>
      <c r="L48" s="145" cm="1">
        <f t="array" ref="L48">INDEX(Price!$L$11:$AM$182,MATCH(1,(Price!$A$11:$A$182=$A48)*(Price!$B$11:$B$182=$B48)*(Price!$D$11:$D$182="exw"),0),MATCH(1,(Price!$L$3:$AM$3=L$3)*(Price!$L$4:$AM$4=L$4),0))</f>
        <v>0</v>
      </c>
      <c r="M48" s="145" cm="1">
        <f t="array" ref="M48">INDEX(Price!$L$11:$AM$182,MATCH(1,(Price!$A$11:$A$182=$A48)*(Price!$B$11:$B$182=$B48)*(Price!$D$11:$D$182="exw"),0),MATCH(1,(Price!$L$3:$AM$3=M$3)*(Price!$L$4:$AM$4=M$4),0))</f>
        <v>0</v>
      </c>
      <c r="N48" s="145" cm="1">
        <f t="array" ref="N48">INDEX(Price!$L$11:$AM$182,MATCH(1,(Price!$A$11:$A$182=$A48)*(Price!$B$11:$B$182=$B48)*(Price!$D$11:$D$182="exw"),0),MATCH(1,(Price!$L$3:$AM$3=N$3)*(Price!$L$4:$AM$4=N$4),0))</f>
        <v>0</v>
      </c>
      <c r="O48" s="145" cm="1">
        <f t="array" ref="O48">INDEX(Price!$L$11:$AM$182,MATCH(1,(Price!$A$11:$A$182=$A48)*(Price!$B$11:$B$182=$B48)*(Price!$D$11:$D$182="exw"),0),MATCH(1,(Price!$L$3:$AM$3=O$3)*(Price!$L$4:$AM$4=O$4),0))</f>
        <v>0</v>
      </c>
      <c r="P48" s="145" cm="1">
        <f t="array" ref="P48">INDEX(Price!$L$11:$AM$182,MATCH(1,(Price!$A$11:$A$182=$A48)*(Price!$B$11:$B$182=$B48)*(Price!$D$11:$D$182="exw"),0),MATCH(1,(Price!$L$3:$AM$3=P$3)*(Price!$L$4:$AM$4=P$4),0))</f>
        <v>0</v>
      </c>
      <c r="Q48" s="145" cm="1">
        <f t="array" ref="Q48">INDEX(Price!$L$11:$AM$182,MATCH(1,(Price!$A$11:$A$182=$A48)*(Price!$B$11:$B$182=$B48)*(Price!$D$11:$D$182="exw"),0),MATCH(1,(Price!$L$3:$AM$3=Q$3)*(Price!$L$4:$AM$4=Q$4),0))</f>
        <v>0</v>
      </c>
      <c r="R48" s="146" cm="1">
        <f t="array" ref="R48">INDEX(Price!$L$11:$AM$182,MATCH(1,(Price!$A$11:$A$182=$A48)*(Price!$B$11:$B$182=$B48)*(Price!$D$11:$D$182="exw"),0),MATCH(1,(Price!$L$3:$AM$3=R$3)*(Price!$L$4:$AM$4=R$4),0))</f>
        <v>0</v>
      </c>
      <c r="S48" s="145" cm="1">
        <f t="array" ref="S48">INDEX(Price!$L$11:$AM$182,MATCH(1,(Price!$A$11:$A$182=$A48)*(Price!$B$11:$B$182=$B48)*(Price!$D$11:$D$182="exw"),0),MATCH(1,(Price!$L$3:$AM$3=S$3)*(Price!$L$4:$AM$4=S$4),0))</f>
        <v>1388.04</v>
      </c>
      <c r="T48" s="145" cm="1">
        <f t="array" ref="T48">INDEX(Price!$L$11:$AM$182,MATCH(1,(Price!$A$11:$A$182=$A48)*(Price!$B$11:$B$182=$B48)*(Price!$D$11:$D$182="exw"),0),MATCH(1,(Price!$L$3:$AM$3=T$3)*(Price!$L$4:$AM$4=T$4),0))</f>
        <v>1388.04</v>
      </c>
      <c r="U48" s="145" cm="1">
        <f t="array" ref="U48">INDEX(Price!$L$11:$AM$182,MATCH(1,(Price!$A$11:$A$182=$A48)*(Price!$B$11:$B$182=$B48)*(Price!$D$11:$D$182="exw"),0),MATCH(1,(Price!$L$3:$AM$3=U$3)*(Price!$L$4:$AM$4=U$4),0))</f>
        <v>1388.04</v>
      </c>
      <c r="V48" s="145" cm="1">
        <f t="array" ref="V48">INDEX(Price!$L$11:$AM$182,MATCH(1,(Price!$A$11:$A$182=$A48)*(Price!$B$11:$B$182=$B48)*(Price!$D$11:$D$182="exw"),0),MATCH(1,(Price!$L$3:$AM$3=V$3)*(Price!$L$4:$AM$4=V$4),0))</f>
        <v>1338.04</v>
      </c>
      <c r="W48" s="145" cm="1">
        <f t="array" ref="W48">INDEX(Price!$L$11:$AM$182,MATCH(1,(Price!$A$11:$A$182=$A48)*(Price!$B$11:$B$182=$B48)*(Price!$D$11:$D$182="exw"),0),MATCH(1,(Price!$L$3:$AM$3=W$3)*(Price!$L$4:$AM$4=W$4),0))</f>
        <v>1338.04</v>
      </c>
      <c r="X48" s="145" cm="1">
        <f t="array" ref="X48">INDEX(Price!$L$11:$AM$182,MATCH(1,(Price!$A$11:$A$182=$A48)*(Price!$B$11:$B$182=$B48)*(Price!$D$11:$D$182="exw"),0),MATCH(1,(Price!$L$3:$AM$3=X$3)*(Price!$L$4:$AM$4=X$4),0))</f>
        <v>1338.04</v>
      </c>
      <c r="Y48" s="145" cm="1">
        <f t="array" ref="Y48">INDEX(Price!$L$11:$AM$182,MATCH(1,(Price!$A$11:$A$182=$A48)*(Price!$B$11:$B$182=$B48)*(Price!$D$11:$D$182="exw"),0),MATCH(1,(Price!$L$3:$AM$3=Y$3)*(Price!$L$4:$AM$4=Y$4),0))</f>
        <v>1368.04</v>
      </c>
      <c r="Z48" s="145" cm="1">
        <f t="array" ref="Z48">INDEX(Price!$L$11:$AM$182,MATCH(1,(Price!$A$11:$A$182=$A48)*(Price!$B$11:$B$182=$B48)*(Price!$D$11:$D$182="exw"),0),MATCH(1,(Price!$L$3:$AM$3=Z$3)*(Price!$L$4:$AM$4=Z$4),0))</f>
        <v>1368.04</v>
      </c>
      <c r="AA48" s="145" cm="1">
        <f t="array" ref="AA48">INDEX(Price!$L$11:$AM$182,MATCH(1,(Price!$A$11:$A$182=$A48)*(Price!$B$11:$B$182=$B48)*(Price!$D$11:$D$182="exw"),0),MATCH(1,(Price!$L$3:$AM$3=AA$3)*(Price!$L$4:$AM$4=AA$4),0))</f>
        <v>1368.04</v>
      </c>
      <c r="AB48" s="145" cm="1">
        <f t="array" ref="AB48">INDEX(Price!$L$11:$AM$182,MATCH(1,(Price!$A$11:$A$182=$A48)*(Price!$B$11:$B$182=$B48)*(Price!$D$11:$D$182="exw"),0),MATCH(1,(Price!$L$3:$AM$3=AB$3)*(Price!$L$4:$AM$4=AB$4),0))</f>
        <v>1368.04</v>
      </c>
      <c r="AC48" s="145" cm="1">
        <f t="array" ref="AC48">INDEX(Price!$L$11:$AM$182,MATCH(1,(Price!$A$11:$A$182=$A48)*(Price!$B$11:$B$182=$B48)*(Price!$D$11:$D$182="exw"),0),MATCH(1,(Price!$L$3:$AM$3=AC$3)*(Price!$L$4:$AM$4=AC$4),0))</f>
        <v>1368.04</v>
      </c>
      <c r="AD48" s="146" cm="1">
        <f t="array" ref="AD48">INDEX(Price!$L$11:$AM$182,MATCH(1,(Price!$A$11:$A$182=$A48)*(Price!$B$11:$B$182=$B48)*(Price!$D$11:$D$182="exw"),0),MATCH(1,(Price!$L$3:$AM$3=AD$3)*(Price!$L$4:$AM$4=AD$4),0))</f>
        <v>1368.04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6"/>
    </row>
    <row r="49" spans="1:42" ht="11.5" customHeight="1" outlineLevel="1" x14ac:dyDescent="0.35">
      <c r="A49" t="s">
        <v>64</v>
      </c>
      <c r="B49" t="s">
        <v>22</v>
      </c>
      <c r="C49" s="14" t="s">
        <v>21</v>
      </c>
      <c r="D49" s="172">
        <v>3.15</v>
      </c>
      <c r="E49" s="8"/>
      <c r="F49" s="326" t="s">
        <v>11</v>
      </c>
      <c r="G49" s="320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132" cm="1">
        <f t="array" ref="S49">SUMPRODUCT(General_Data*(Code_General_Data=$C49)*(Year=S$3)*(Month=S$4))</f>
        <v>940</v>
      </c>
      <c r="T49" s="132" cm="1">
        <f t="array" ref="T49">SUMPRODUCT(General_Data*(Code_General_Data=$C49)*(Year=T$3)*(Month=T$4))</f>
        <v>918</v>
      </c>
      <c r="U49" s="132" cm="1">
        <f t="array" ref="U49">SUMPRODUCT(General_Data*(Code_General_Data=$C49)*(Year=U$3)*(Month=U$4))</f>
        <v>896</v>
      </c>
      <c r="V49" s="132" cm="1">
        <f t="array" ref="V49">SUMPRODUCT(General_Data*(Code_General_Data=$C49)*(Year=V$3)*(Month=V$4))</f>
        <v>891.5</v>
      </c>
      <c r="W49" s="132" cm="1">
        <f t="array" ref="W49">SUMPRODUCT(General_Data*(Code_General_Data=$C49)*(Year=W$3)*(Month=W$4))</f>
        <v>864</v>
      </c>
      <c r="X49" s="132" cm="1">
        <f t="array" ref="X49">SUMPRODUCT(General_Data*(Code_General_Data=$C49)*(Year=X$3)*(Month=X$4))</f>
        <v>833</v>
      </c>
      <c r="Y49" s="132" cm="1">
        <f t="array" ref="Y49">SUMPRODUCT(General_Data*(Code_General_Data=$C49)*(Year=Y$3)*(Month=Y$4))</f>
        <v>833</v>
      </c>
      <c r="Z49" s="132" cm="1">
        <f t="array" ref="Z49">SUMPRODUCT(General_Data*(Code_General_Data=$C49)*(Year=Z$3)*(Month=Z$4))</f>
        <v>815</v>
      </c>
      <c r="AA49" s="132" cm="1">
        <f t="array" ref="AA49">SUMPRODUCT(General_Data*(Code_General_Data=$C49)*(Year=AA$3)*(Month=AA$4))</f>
        <v>813</v>
      </c>
      <c r="AB49" s="132" cm="1">
        <f t="array" ref="AB49">SUMPRODUCT(General_Data*(Code_General_Data=$C49)*(Year=AB$3)*(Month=AB$4))</f>
        <v>805</v>
      </c>
      <c r="AC49" s="132" cm="1">
        <f t="array" ref="AC49">SUMPRODUCT(General_Data*(Code_General_Data=$C49)*(Year=AC$3)*(Month=AC$4))</f>
        <v>805</v>
      </c>
      <c r="AD49" s="133" cm="1">
        <f t="array" ref="AD49">SUMPRODUCT(General_Data*(Code_General_Data=$C49)*(Year=AD$3)*(Month=AD$4))</f>
        <v>805</v>
      </c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</row>
    <row r="50" spans="1:42" s="152" customFormat="1" ht="11.5" customHeight="1" outlineLevel="1" x14ac:dyDescent="0.35">
      <c r="A50" s="152" t="s">
        <v>64</v>
      </c>
      <c r="B50" s="152" t="s">
        <v>22</v>
      </c>
      <c r="D50" s="173">
        <v>3.16</v>
      </c>
      <c r="E50" s="153"/>
      <c r="F50" s="327" t="s">
        <v>430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4">
        <f t="shared" ref="S50:AD50" si="12">IF(S47*S48*S49&lt;&gt;0,S48-S49,0)</f>
        <v>448.03999999999996</v>
      </c>
      <c r="T50" s="154">
        <f t="shared" si="12"/>
        <v>470.03999999999996</v>
      </c>
      <c r="U50" s="154">
        <f t="shared" si="12"/>
        <v>492.03999999999996</v>
      </c>
      <c r="V50" s="154">
        <f t="shared" si="12"/>
        <v>446.53999999999996</v>
      </c>
      <c r="W50" s="154">
        <f t="shared" si="12"/>
        <v>474.03999999999996</v>
      </c>
      <c r="X50" s="154">
        <f t="shared" si="12"/>
        <v>505.03999999999996</v>
      </c>
      <c r="Y50" s="154">
        <f t="shared" si="12"/>
        <v>535.04</v>
      </c>
      <c r="Z50" s="154">
        <f t="shared" si="12"/>
        <v>553.04</v>
      </c>
      <c r="AA50" s="154">
        <f t="shared" si="12"/>
        <v>555.04</v>
      </c>
      <c r="AB50" s="154">
        <f t="shared" si="12"/>
        <v>563.04</v>
      </c>
      <c r="AC50" s="154">
        <f t="shared" si="12"/>
        <v>563.04</v>
      </c>
      <c r="AD50" s="155">
        <f t="shared" si="12"/>
        <v>563.04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5"/>
    </row>
    <row r="51" spans="1:42" s="156" customFormat="1" ht="11.5" customHeight="1" outlineLevel="1" x14ac:dyDescent="0.35">
      <c r="A51" s="156" t="s">
        <v>64</v>
      </c>
      <c r="B51" s="156" t="s">
        <v>22</v>
      </c>
      <c r="D51" s="174">
        <v>3.17</v>
      </c>
      <c r="E51" s="157"/>
      <c r="F51" s="328" t="s">
        <v>14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9"/>
      <c r="S51" s="158">
        <f t="shared" ref="S51:AD51" si="13">IFERROR(S50/S49,0)</f>
        <v>0.47663829787234041</v>
      </c>
      <c r="T51" s="158">
        <f t="shared" si="13"/>
        <v>0.51202614379084965</v>
      </c>
      <c r="U51" s="158">
        <f t="shared" si="13"/>
        <v>0.54915178571428569</v>
      </c>
      <c r="V51" s="158">
        <f t="shared" si="13"/>
        <v>0.50088614694335387</v>
      </c>
      <c r="W51" s="158">
        <f t="shared" si="13"/>
        <v>0.54865740740740732</v>
      </c>
      <c r="X51" s="158">
        <f>IFERROR(X50/X49,0)</f>
        <v>0.60629051620648255</v>
      </c>
      <c r="Y51" s="158">
        <f t="shared" si="13"/>
        <v>0.64230492196878752</v>
      </c>
      <c r="Z51" s="158">
        <f t="shared" si="13"/>
        <v>0.67857668711656438</v>
      </c>
      <c r="AA51" s="158">
        <f t="shared" si="13"/>
        <v>0.6827060270602705</v>
      </c>
      <c r="AB51" s="158">
        <f t="shared" si="13"/>
        <v>0.6994285714285714</v>
      </c>
      <c r="AC51" s="158">
        <f t="shared" si="13"/>
        <v>0.6994285714285714</v>
      </c>
      <c r="AD51" s="159">
        <f t="shared" si="13"/>
        <v>0.6994285714285714</v>
      </c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9"/>
    </row>
    <row r="52" spans="1:42" s="137" customFormat="1" ht="11.5" customHeight="1" outlineLevel="1" x14ac:dyDescent="0.35">
      <c r="A52" s="137" t="s">
        <v>64</v>
      </c>
      <c r="B52" s="137" t="s">
        <v>22</v>
      </c>
      <c r="C52" s="137" t="s">
        <v>22</v>
      </c>
      <c r="D52" s="175">
        <v>3.18</v>
      </c>
      <c r="E52" s="138"/>
      <c r="F52" s="329" t="s">
        <v>203</v>
      </c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40"/>
      <c r="S52" s="139" cm="1">
        <f t="array" ref="S52">SUMPRODUCT(General_Data*(Code_General_Data=$C52)*(Year=S$3)*(Month=S$4))</f>
        <v>1400</v>
      </c>
      <c r="T52" s="139" cm="1">
        <f t="array" ref="T52">SUMPRODUCT(General_Data*(Code_General_Data=$C52)*(Year=T$3)*(Month=T$4))</f>
        <v>1400</v>
      </c>
      <c r="U52" s="139" cm="1">
        <f t="array" ref="U52">SUMPRODUCT(General_Data*(Code_General_Data=$C52)*(Year=U$3)*(Month=U$4))</f>
        <v>1350</v>
      </c>
      <c r="V52" s="139" cm="1">
        <f t="array" ref="V52">SUMPRODUCT(General_Data*(Code_General_Data=$C52)*(Year=V$3)*(Month=V$4))</f>
        <v>1350</v>
      </c>
      <c r="W52" s="139" cm="1">
        <f t="array" ref="W52">SUMPRODUCT(General_Data*(Code_General_Data=$C52)*(Year=W$3)*(Month=W$4))</f>
        <v>1350</v>
      </c>
      <c r="X52" s="139" cm="1">
        <f t="array" ref="X52">SUMPRODUCT(General_Data*(Code_General_Data=$C52)*(Year=X$3)*(Month=X$4))</f>
        <v>1350</v>
      </c>
      <c r="Y52" s="139" cm="1">
        <f t="array" ref="Y52">SUMPRODUCT(General_Data*(Code_General_Data=$C52)*(Year=Y$3)*(Month=Y$4))</f>
        <v>1350</v>
      </c>
      <c r="Z52" s="139" cm="1">
        <f t="array" ref="Z52">SUMPRODUCT(General_Data*(Code_General_Data=$C52)*(Year=Z$3)*(Month=Z$4))</f>
        <v>1330</v>
      </c>
      <c r="AA52" s="139" cm="1">
        <f t="array" ref="AA52">SUMPRODUCT(General_Data*(Code_General_Data=$C52)*(Year=AA$3)*(Month=AA$4))</f>
        <v>1310</v>
      </c>
      <c r="AB52" s="139" cm="1">
        <f t="array" ref="AB52">SUMPRODUCT(General_Data*(Code_General_Data=$C52)*(Year=AB$3)*(Month=AB$4))</f>
        <v>1310</v>
      </c>
      <c r="AC52" s="139" cm="1">
        <f t="array" ref="AC52">SUMPRODUCT(General_Data*(Code_General_Data=$C52)*(Year=AC$3)*(Month=AC$4))</f>
        <v>1300</v>
      </c>
      <c r="AD52" s="140" cm="1">
        <f t="array" ref="AD52">SUMPRODUCT(General_Data*(Code_General_Data=$C52)*(Year=AD$3)*(Month=AD$4))</f>
        <v>1300</v>
      </c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40"/>
    </row>
    <row r="53" spans="1:42" ht="3.75" customHeight="1" x14ac:dyDescent="0.35">
      <c r="A53" t="s">
        <v>64</v>
      </c>
      <c r="D53" s="168"/>
    </row>
    <row r="54" spans="1:42" s="148" customFormat="1" ht="14.5" customHeight="1" outlineLevel="1" x14ac:dyDescent="0.4">
      <c r="A54" s="148" t="s">
        <v>64</v>
      </c>
      <c r="B54" s="148" t="s">
        <v>65</v>
      </c>
      <c r="D54" s="309">
        <v>3.19</v>
      </c>
      <c r="E54" s="149"/>
      <c r="F54" s="323" t="s">
        <v>429</v>
      </c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50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50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50"/>
    </row>
    <row r="55" spans="1:42" s="69" customFormat="1" ht="12" customHeight="1" outlineLevel="1" x14ac:dyDescent="0.35">
      <c r="A55" s="69" t="s">
        <v>64</v>
      </c>
      <c r="B55" s="69" t="s">
        <v>65</v>
      </c>
      <c r="D55" s="170">
        <v>3.2</v>
      </c>
      <c r="E55" s="134"/>
      <c r="F55" s="324" t="s">
        <v>19</v>
      </c>
      <c r="G55" s="135" cm="1">
        <f t="array" ref="G55">INDEX(Price!$L$11:$AM$182,MATCH(1,(Price!$A$11:$A$182=$A55)*(Price!$B$11:$B$182=$B55)*(Price!$D$11:$D$182="gb"),0),MATCH(1,(Price!$L$3:$AM$3=G$3)*(Price!$L$4:$AM$4=G$4),0))</f>
        <v>1450</v>
      </c>
      <c r="H55" s="135" cm="1">
        <f t="array" ref="H55">INDEX(Price!$L$11:$AM$182,MATCH(1,(Price!$A$11:$A$182=$A55)*(Price!$B$11:$B$182=$B55)*(Price!$D$11:$D$182="gb"),0),MATCH(1,(Price!$L$3:$AM$3=H$3)*(Price!$L$4:$AM$4=H$4),0))</f>
        <v>1450</v>
      </c>
      <c r="I55" s="135" cm="1">
        <f t="array" ref="I55">INDEX(Price!$L$11:$AM$182,MATCH(1,(Price!$A$11:$A$182=$A55)*(Price!$B$11:$B$182=$B55)*(Price!$D$11:$D$182="gb"),0),MATCH(1,(Price!$L$3:$AM$3=I$3)*(Price!$L$4:$AM$4=I$4),0))</f>
        <v>1450</v>
      </c>
      <c r="J55" s="135" cm="1">
        <f t="array" ref="J55">INDEX(Price!$L$11:$AM$182,MATCH(1,(Price!$A$11:$A$182=$A55)*(Price!$B$11:$B$182=$B55)*(Price!$D$11:$D$182="gb"),0),MATCH(1,(Price!$L$3:$AM$3=J$3)*(Price!$L$4:$AM$4=J$4),0))</f>
        <v>1380</v>
      </c>
      <c r="K55" s="135" cm="1">
        <f t="array" ref="K55">INDEX(Price!$L$11:$AM$182,MATCH(1,(Price!$A$11:$A$182=$A55)*(Price!$B$11:$B$182=$B55)*(Price!$D$11:$D$182="gb"),0),MATCH(1,(Price!$L$3:$AM$3=K$3)*(Price!$L$4:$AM$4=K$4),0))</f>
        <v>1380</v>
      </c>
      <c r="L55" s="135" cm="1">
        <f t="array" ref="L55">INDEX(Price!$L$11:$AM$182,MATCH(1,(Price!$A$11:$A$182=$A55)*(Price!$B$11:$B$182=$B55)*(Price!$D$11:$D$182="gb"),0),MATCH(1,(Price!$L$3:$AM$3=L$3)*(Price!$L$4:$AM$4=L$4),0))</f>
        <v>1380</v>
      </c>
      <c r="M55" s="135" cm="1">
        <f t="array" ref="M55">INDEX(Price!$L$11:$AM$182,MATCH(1,(Price!$A$11:$A$182=$A55)*(Price!$B$11:$B$182=$B55)*(Price!$D$11:$D$182="gb"),0),MATCH(1,(Price!$L$3:$AM$3=M$3)*(Price!$L$4:$AM$4=M$4),0))</f>
        <v>1380</v>
      </c>
      <c r="N55" s="135" cm="1">
        <f t="array" ref="N55">INDEX(Price!$L$11:$AM$182,MATCH(1,(Price!$A$11:$A$182=$A55)*(Price!$B$11:$B$182=$B55)*(Price!$D$11:$D$182="gb"),0),MATCH(1,(Price!$L$3:$AM$3=N$3)*(Price!$L$4:$AM$4=N$4),0))</f>
        <v>1380</v>
      </c>
      <c r="O55" s="135" cm="1">
        <f t="array" ref="O55">INDEX(Price!$L$11:$AM$182,MATCH(1,(Price!$A$11:$A$182=$A55)*(Price!$B$11:$B$182=$B55)*(Price!$D$11:$D$182="gb"),0),MATCH(1,(Price!$L$3:$AM$3=O$3)*(Price!$L$4:$AM$4=O$4),0))</f>
        <v>1380</v>
      </c>
      <c r="P55" s="135" cm="1">
        <f t="array" ref="P55">INDEX(Price!$L$11:$AM$182,MATCH(1,(Price!$A$11:$A$182=$A55)*(Price!$B$11:$B$182=$B55)*(Price!$D$11:$D$182="gb"),0),MATCH(1,(Price!$L$3:$AM$3=P$3)*(Price!$L$4:$AM$4=P$4),0))</f>
        <v>1380</v>
      </c>
      <c r="Q55" s="135" cm="1">
        <f t="array" ref="Q55">INDEX(Price!$L$11:$AM$182,MATCH(1,(Price!$A$11:$A$182=$A55)*(Price!$B$11:$B$182=$B55)*(Price!$D$11:$D$182="gb"),0),MATCH(1,(Price!$L$3:$AM$3=Q$3)*(Price!$L$4:$AM$4=Q$4),0))</f>
        <v>1380</v>
      </c>
      <c r="R55" s="136" cm="1">
        <f t="array" ref="R55">INDEX(Price!$L$11:$AM$182,MATCH(1,(Price!$A$11:$A$182=$A55)*(Price!$B$11:$B$182=$B55)*(Price!$D$11:$D$182="gb"),0),MATCH(1,(Price!$L$3:$AM$3=R$3)*(Price!$L$4:$AM$4=R$4),0))</f>
        <v>1380</v>
      </c>
      <c r="S55" s="135" cm="1">
        <f t="array" ref="S55">INDEX(Price!$L$11:$AM$182,MATCH(1,(Price!$A$11:$A$182=$A55)*(Price!$B$11:$B$182=$B55)*(Price!$D$11:$D$182="gb"),0),MATCH(1,(Price!$L$3:$AM$3=S$3)*(Price!$L$4:$AM$4=S$4),0))</f>
        <v>1350</v>
      </c>
      <c r="T55" s="135" cm="1">
        <f t="array" ref="T55">INDEX(Price!$L$11:$AM$182,MATCH(1,(Price!$A$11:$A$182=$A55)*(Price!$B$11:$B$182=$B55)*(Price!$D$11:$D$182="gb"),0),MATCH(1,(Price!$L$3:$AM$3=T$3)*(Price!$L$4:$AM$4=T$4),0))</f>
        <v>1350</v>
      </c>
      <c r="U55" s="135" cm="1">
        <f t="array" ref="U55">INDEX(Price!$L$11:$AM$182,MATCH(1,(Price!$A$11:$A$182=$A55)*(Price!$B$11:$B$182=$B55)*(Price!$D$11:$D$182="gb"),0),MATCH(1,(Price!$L$3:$AM$3=U$3)*(Price!$L$4:$AM$4=U$4),0))</f>
        <v>1350</v>
      </c>
      <c r="V55" s="135" cm="1">
        <f t="array" ref="V55">INDEX(Price!$L$11:$AM$182,MATCH(1,(Price!$A$11:$A$182=$A55)*(Price!$B$11:$B$182=$B55)*(Price!$D$11:$D$182="gb"),0),MATCH(1,(Price!$L$3:$AM$3=V$3)*(Price!$L$4:$AM$4=V$4),0))</f>
        <v>1300</v>
      </c>
      <c r="W55" s="135" cm="1">
        <f t="array" ref="W55">INDEX(Price!$L$11:$AM$182,MATCH(1,(Price!$A$11:$A$182=$A55)*(Price!$B$11:$B$182=$B55)*(Price!$D$11:$D$182="gb"),0),MATCH(1,(Price!$L$3:$AM$3=W$3)*(Price!$L$4:$AM$4=W$4),0))</f>
        <v>1300</v>
      </c>
      <c r="X55" s="135" cm="1">
        <f t="array" ref="X55">INDEX(Price!$L$11:$AM$182,MATCH(1,(Price!$A$11:$A$182=$A55)*(Price!$B$11:$B$182=$B55)*(Price!$D$11:$D$182="gb"),0),MATCH(1,(Price!$L$3:$AM$3=X$3)*(Price!$L$4:$AM$4=X$4),0))</f>
        <v>1300</v>
      </c>
      <c r="Y55" s="135" cm="1">
        <f t="array" ref="Y55">INDEX(Price!$L$11:$AM$182,MATCH(1,(Price!$A$11:$A$182=$A55)*(Price!$B$11:$B$182=$B55)*(Price!$D$11:$D$182="gb"),0),MATCH(1,(Price!$L$3:$AM$3=Y$3)*(Price!$L$4:$AM$4=Y$4),0))</f>
        <v>1330</v>
      </c>
      <c r="Z55" s="135" cm="1">
        <f t="array" ref="Z55">INDEX(Price!$L$11:$AM$182,MATCH(1,(Price!$A$11:$A$182=$A55)*(Price!$B$11:$B$182=$B55)*(Price!$D$11:$D$182="gb"),0),MATCH(1,(Price!$L$3:$AM$3=Z$3)*(Price!$L$4:$AM$4=Z$4),0))</f>
        <v>1330</v>
      </c>
      <c r="AA55" s="135" cm="1">
        <f t="array" ref="AA55">INDEX(Price!$L$11:$AM$182,MATCH(1,(Price!$A$11:$A$182=$A55)*(Price!$B$11:$B$182=$B55)*(Price!$D$11:$D$182="gb"),0),MATCH(1,(Price!$L$3:$AM$3=AA$3)*(Price!$L$4:$AM$4=AA$4),0))</f>
        <v>1330</v>
      </c>
      <c r="AB55" s="135" cm="1">
        <f t="array" ref="AB55">INDEX(Price!$L$11:$AM$182,MATCH(1,(Price!$A$11:$A$182=$A55)*(Price!$B$11:$B$182=$B55)*(Price!$D$11:$D$182="gb"),0),MATCH(1,(Price!$L$3:$AM$3=AB$3)*(Price!$L$4:$AM$4=AB$4),0))</f>
        <v>1330</v>
      </c>
      <c r="AC55" s="135" cm="1">
        <f t="array" ref="AC55">INDEX(Price!$L$11:$AM$182,MATCH(1,(Price!$A$11:$A$182=$A55)*(Price!$B$11:$B$182=$B55)*(Price!$D$11:$D$182="gb"),0),MATCH(1,(Price!$L$3:$AM$3=AC$3)*(Price!$L$4:$AM$4=AC$4),0))</f>
        <v>1330</v>
      </c>
      <c r="AD55" s="136" cm="1">
        <f t="array" ref="AD55">INDEX(Price!$L$11:$AM$182,MATCH(1,(Price!$A$11:$A$182=$A55)*(Price!$B$11:$B$182=$B55)*(Price!$D$11:$D$182="gb"),0),MATCH(1,(Price!$L$3:$AM$3=AD$3)*(Price!$L$4:$AM$4=AD$4),0))</f>
        <v>1330</v>
      </c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6"/>
    </row>
    <row r="56" spans="1:42" s="1" customFormat="1" ht="12" customHeight="1" outlineLevel="1" x14ac:dyDescent="0.35">
      <c r="A56" s="1" t="s">
        <v>64</v>
      </c>
      <c r="B56" s="1" t="s">
        <v>65</v>
      </c>
      <c r="C56" s="143" t="s">
        <v>322</v>
      </c>
      <c r="D56" s="171">
        <v>3.21</v>
      </c>
      <c r="E56" s="144"/>
      <c r="F56" s="325" t="s">
        <v>8</v>
      </c>
      <c r="G56" s="145" cm="1">
        <f t="array" ref="G56">INDEX(Price!$L$11:$AM$182,MATCH(1,(Price!$A$11:$A$182=$A56)*(Price!$B$11:$B$182=$B56)*(Price!$D$11:$D$182="exw"),0),MATCH(1,(Price!$L$3:$AM$3=G$3)*(Price!$L$4:$AM$4=G$4),0))</f>
        <v>1437.795918367347</v>
      </c>
      <c r="H56" s="145" cm="1">
        <f t="array" ref="H56">INDEX(Price!$L$11:$AM$182,MATCH(1,(Price!$A$11:$A$182=$A56)*(Price!$B$11:$B$182=$B56)*(Price!$D$11:$D$182="exw"),0),MATCH(1,(Price!$L$3:$AM$3=H$3)*(Price!$L$4:$AM$4=H$4),0))</f>
        <v>1437.795918367347</v>
      </c>
      <c r="I56" s="145" cm="1">
        <f t="array" ref="I56">INDEX(Price!$L$11:$AM$182,MATCH(1,(Price!$A$11:$A$182=$A56)*(Price!$B$11:$B$182=$B56)*(Price!$D$11:$D$182="exw"),0),MATCH(1,(Price!$L$3:$AM$3=I$3)*(Price!$L$4:$AM$4=I$4),0))</f>
        <v>1437.795918367347</v>
      </c>
      <c r="J56" s="145" cm="1">
        <f t="array" ref="J56">INDEX(Price!$L$11:$AM$182,MATCH(1,(Price!$A$11:$A$182=$A56)*(Price!$B$11:$B$182=$B56)*(Price!$D$11:$D$182="exw"),0),MATCH(1,(Price!$L$3:$AM$3=J$3)*(Price!$L$4:$AM$4=J$4),0))</f>
        <v>1367.795918367347</v>
      </c>
      <c r="K56" s="145" cm="1">
        <f t="array" ref="K56">INDEX(Price!$L$11:$AM$182,MATCH(1,(Price!$A$11:$A$182=$A56)*(Price!$B$11:$B$182=$B56)*(Price!$D$11:$D$182="exw"),0),MATCH(1,(Price!$L$3:$AM$3=K$3)*(Price!$L$4:$AM$4=K$4),0))</f>
        <v>1367.795918367347</v>
      </c>
      <c r="L56" s="145" cm="1">
        <f t="array" ref="L56">INDEX(Price!$L$11:$AM$182,MATCH(1,(Price!$A$11:$A$182=$A56)*(Price!$B$11:$B$182=$B56)*(Price!$D$11:$D$182="exw"),0),MATCH(1,(Price!$L$3:$AM$3=L$3)*(Price!$L$4:$AM$4=L$4),0))</f>
        <v>1367.795918367347</v>
      </c>
      <c r="M56" s="145" cm="1">
        <f t="array" ref="M56">INDEX(Price!$L$11:$AM$182,MATCH(1,(Price!$A$11:$A$182=$A56)*(Price!$B$11:$B$182=$B56)*(Price!$D$11:$D$182="exw"),0),MATCH(1,(Price!$L$3:$AM$3=M$3)*(Price!$L$4:$AM$4=M$4),0))</f>
        <v>1368.04</v>
      </c>
      <c r="N56" s="145" cm="1">
        <f t="array" ref="N56">INDEX(Price!$L$11:$AM$182,MATCH(1,(Price!$A$11:$A$182=$A56)*(Price!$B$11:$B$182=$B56)*(Price!$D$11:$D$182="exw"),0),MATCH(1,(Price!$L$3:$AM$3=N$3)*(Price!$L$4:$AM$4=N$4),0))</f>
        <v>1368.04</v>
      </c>
      <c r="O56" s="145" cm="1">
        <f t="array" ref="O56">INDEX(Price!$L$11:$AM$182,MATCH(1,(Price!$A$11:$A$182=$A56)*(Price!$B$11:$B$182=$B56)*(Price!$D$11:$D$182="exw"),0),MATCH(1,(Price!$L$3:$AM$3=O$3)*(Price!$L$4:$AM$4=O$4),0))</f>
        <v>1368.04</v>
      </c>
      <c r="P56" s="145" cm="1">
        <f t="array" ref="P56">INDEX(Price!$L$11:$AM$182,MATCH(1,(Price!$A$11:$A$182=$A56)*(Price!$B$11:$B$182=$B56)*(Price!$D$11:$D$182="exw"),0),MATCH(1,(Price!$L$3:$AM$3=P$3)*(Price!$L$4:$AM$4=P$4),0))</f>
        <v>1368.04</v>
      </c>
      <c r="Q56" s="145" cm="1">
        <f t="array" ref="Q56">INDEX(Price!$L$11:$AM$182,MATCH(1,(Price!$A$11:$A$182=$A56)*(Price!$B$11:$B$182=$B56)*(Price!$D$11:$D$182="exw"),0),MATCH(1,(Price!$L$3:$AM$3=Q$3)*(Price!$L$4:$AM$4=Q$4),0))</f>
        <v>1368.04</v>
      </c>
      <c r="R56" s="146" cm="1">
        <f t="array" ref="R56">INDEX(Price!$L$11:$AM$182,MATCH(1,(Price!$A$11:$A$182=$A56)*(Price!$B$11:$B$182=$B56)*(Price!$D$11:$D$182="exw"),0),MATCH(1,(Price!$L$3:$AM$3=R$3)*(Price!$L$4:$AM$4=R$4),0))</f>
        <v>1368.04</v>
      </c>
      <c r="S56" s="145" cm="1">
        <f t="array" ref="S56">INDEX(Price!$L$11:$AM$182,MATCH(1,(Price!$A$11:$A$182=$A56)*(Price!$B$11:$B$182=$B56)*(Price!$D$11:$D$182="exw"),0),MATCH(1,(Price!$L$3:$AM$3=S$3)*(Price!$L$4:$AM$4=S$4),0))</f>
        <v>1338.04</v>
      </c>
      <c r="T56" s="145" cm="1">
        <f t="array" ref="T56">INDEX(Price!$L$11:$AM$182,MATCH(1,(Price!$A$11:$A$182=$A56)*(Price!$B$11:$B$182=$B56)*(Price!$D$11:$D$182="exw"),0),MATCH(1,(Price!$L$3:$AM$3=T$3)*(Price!$L$4:$AM$4=T$4),0))</f>
        <v>1338.04</v>
      </c>
      <c r="U56" s="145" cm="1">
        <f t="array" ref="U56">INDEX(Price!$L$11:$AM$182,MATCH(1,(Price!$A$11:$A$182=$A56)*(Price!$B$11:$B$182=$B56)*(Price!$D$11:$D$182="exw"),0),MATCH(1,(Price!$L$3:$AM$3=U$3)*(Price!$L$4:$AM$4=U$4),0))</f>
        <v>1338.04</v>
      </c>
      <c r="V56" s="145" cm="1">
        <f t="array" ref="V56">INDEX(Price!$L$11:$AM$182,MATCH(1,(Price!$A$11:$A$182=$A56)*(Price!$B$11:$B$182=$B56)*(Price!$D$11:$D$182="exw"),0),MATCH(1,(Price!$L$3:$AM$3=V$3)*(Price!$L$4:$AM$4=V$4),0))</f>
        <v>1288.04</v>
      </c>
      <c r="W56" s="145" cm="1">
        <f t="array" ref="W56">INDEX(Price!$L$11:$AM$182,MATCH(1,(Price!$A$11:$A$182=$A56)*(Price!$B$11:$B$182=$B56)*(Price!$D$11:$D$182="exw"),0),MATCH(1,(Price!$L$3:$AM$3=W$3)*(Price!$L$4:$AM$4=W$4),0))</f>
        <v>1288.04</v>
      </c>
      <c r="X56" s="145" cm="1">
        <f t="array" ref="X56">INDEX(Price!$L$11:$AM$182,MATCH(1,(Price!$A$11:$A$182=$A56)*(Price!$B$11:$B$182=$B56)*(Price!$D$11:$D$182="exw"),0),MATCH(1,(Price!$L$3:$AM$3=X$3)*(Price!$L$4:$AM$4=X$4),0))</f>
        <v>1288.04</v>
      </c>
      <c r="Y56" s="145" cm="1">
        <f t="array" ref="Y56">INDEX(Price!$L$11:$AM$182,MATCH(1,(Price!$A$11:$A$182=$A56)*(Price!$B$11:$B$182=$B56)*(Price!$D$11:$D$182="exw"),0),MATCH(1,(Price!$L$3:$AM$3=Y$3)*(Price!$L$4:$AM$4=Y$4),0))</f>
        <v>1318.04</v>
      </c>
      <c r="Z56" s="145" cm="1">
        <f t="array" ref="Z56">INDEX(Price!$L$11:$AM$182,MATCH(1,(Price!$A$11:$A$182=$A56)*(Price!$B$11:$B$182=$B56)*(Price!$D$11:$D$182="exw"),0),MATCH(1,(Price!$L$3:$AM$3=Z$3)*(Price!$L$4:$AM$4=Z$4),0))</f>
        <v>1318.04</v>
      </c>
      <c r="AA56" s="145" cm="1">
        <f t="array" ref="AA56">INDEX(Price!$L$11:$AM$182,MATCH(1,(Price!$A$11:$A$182=$A56)*(Price!$B$11:$B$182=$B56)*(Price!$D$11:$D$182="exw"),0),MATCH(1,(Price!$L$3:$AM$3=AA$3)*(Price!$L$4:$AM$4=AA$4),0))</f>
        <v>1318.04</v>
      </c>
      <c r="AB56" s="145" cm="1">
        <f t="array" ref="AB56">INDEX(Price!$L$11:$AM$182,MATCH(1,(Price!$A$11:$A$182=$A56)*(Price!$B$11:$B$182=$B56)*(Price!$D$11:$D$182="exw"),0),MATCH(1,(Price!$L$3:$AM$3=AB$3)*(Price!$L$4:$AM$4=AB$4),0))</f>
        <v>1318.04</v>
      </c>
      <c r="AC56" s="145" cm="1">
        <f t="array" ref="AC56">INDEX(Price!$L$11:$AM$182,MATCH(1,(Price!$A$11:$A$182=$A56)*(Price!$B$11:$B$182=$B56)*(Price!$D$11:$D$182="exw"),0),MATCH(1,(Price!$L$3:$AM$3=AC$3)*(Price!$L$4:$AM$4=AC$4),0))</f>
        <v>1318.04</v>
      </c>
      <c r="AD56" s="146" cm="1">
        <f t="array" ref="AD56">INDEX(Price!$L$11:$AM$182,MATCH(1,(Price!$A$11:$A$182=$A56)*(Price!$B$11:$B$182=$B56)*(Price!$D$11:$D$182="exw"),0),MATCH(1,(Price!$L$3:$AM$3=AD$3)*(Price!$L$4:$AM$4=AD$4),0))</f>
        <v>1318.04</v>
      </c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6"/>
    </row>
    <row r="57" spans="1:42" ht="12" customHeight="1" outlineLevel="1" x14ac:dyDescent="0.35">
      <c r="A57" t="s">
        <v>64</v>
      </c>
      <c r="B57" t="s">
        <v>65</v>
      </c>
      <c r="C57" s="14" t="s">
        <v>21</v>
      </c>
      <c r="D57" s="172">
        <v>3.22</v>
      </c>
      <c r="E57" s="8"/>
      <c r="F57" s="326" t="s">
        <v>11</v>
      </c>
      <c r="G57" s="320" cm="1">
        <f t="array" ref="G57">SUMPRODUCT(General_Data*(Code_General_Data=$C57)*(Year=G$3)*(Month=G$4))</f>
        <v>940</v>
      </c>
      <c r="H57" s="132" cm="1">
        <f t="array" ref="H57">SUMPRODUCT(General_Data*(Code_General_Data=$C57)*(Year=H$3)*(Month=H$4))</f>
        <v>993.33333333333337</v>
      </c>
      <c r="I57" s="132" cm="1">
        <f t="array" ref="I57">SUMPRODUCT(General_Data*(Code_General_Data=$C57)*(Year=I$3)*(Month=I$4))</f>
        <v>985</v>
      </c>
      <c r="J57" s="132" cm="1">
        <f t="array" ref="J57">SUMPRODUCT(General_Data*(Code_General_Data=$C57)*(Year=J$3)*(Month=J$4))</f>
        <v>962.5</v>
      </c>
      <c r="K57" s="132" cm="1">
        <f t="array" ref="K57">SUMPRODUCT(General_Data*(Code_General_Data=$C57)*(Year=K$3)*(Month=K$4))</f>
        <v>982</v>
      </c>
      <c r="L57" s="132" cm="1">
        <f t="array" ref="L57">SUMPRODUCT(General_Data*(Code_General_Data=$C57)*(Year=L$3)*(Month=L$4))</f>
        <v>1000</v>
      </c>
      <c r="M57" s="132" cm="1">
        <f t="array" ref="M57">SUMPRODUCT(General_Data*(Code_General_Data=$C57)*(Year=M$3)*(Month=M$4))</f>
        <v>1000</v>
      </c>
      <c r="N57" s="132" cm="1">
        <f t="array" ref="N57">SUMPRODUCT(General_Data*(Code_General_Data=$C57)*(Year=N$3)*(Month=N$4))</f>
        <v>984</v>
      </c>
      <c r="O57" s="132" cm="1">
        <f t="array" ref="O57">SUMPRODUCT(General_Data*(Code_General_Data=$C57)*(Year=O$3)*(Month=O$4))</f>
        <v>967.5</v>
      </c>
      <c r="P57" s="132" cm="1">
        <f t="array" ref="P57">SUMPRODUCT(General_Data*(Code_General_Data=$C57)*(Year=P$3)*(Month=P$4))</f>
        <v>965</v>
      </c>
      <c r="Q57" s="132" cm="1">
        <f t="array" ref="Q57">SUMPRODUCT(General_Data*(Code_General_Data=$C57)*(Year=Q$3)*(Month=Q$4))</f>
        <v>974</v>
      </c>
      <c r="R57" s="133" cm="1">
        <f t="array" ref="R57">SUMPRODUCT(General_Data*(Code_General_Data=$C57)*(Year=R$3)*(Month=R$4))</f>
        <v>956</v>
      </c>
      <c r="S57" s="132" cm="1">
        <f t="array" ref="S57">SUMPRODUCT(General_Data*(Code_General_Data=$C57)*(Year=S$3)*(Month=S$4))</f>
        <v>940</v>
      </c>
      <c r="T57" s="132" cm="1">
        <f t="array" ref="T57">SUMPRODUCT(General_Data*(Code_General_Data=$C57)*(Year=T$3)*(Month=T$4))</f>
        <v>918</v>
      </c>
      <c r="U57" s="132" cm="1">
        <f t="array" ref="U57">SUMPRODUCT(General_Data*(Code_General_Data=$C57)*(Year=U$3)*(Month=U$4))</f>
        <v>896</v>
      </c>
      <c r="V57" s="132" cm="1">
        <f t="array" ref="V57">SUMPRODUCT(General_Data*(Code_General_Data=$C57)*(Year=V$3)*(Month=V$4))</f>
        <v>891.5</v>
      </c>
      <c r="W57" s="132" cm="1">
        <f t="array" ref="W57">SUMPRODUCT(General_Data*(Code_General_Data=$C57)*(Year=W$3)*(Month=W$4))</f>
        <v>864</v>
      </c>
      <c r="X57" s="132" cm="1">
        <f t="array" ref="X57">SUMPRODUCT(General_Data*(Code_General_Data=$C57)*(Year=X$3)*(Month=X$4))</f>
        <v>833</v>
      </c>
      <c r="Y57" s="132" cm="1">
        <f t="array" ref="Y57">SUMPRODUCT(General_Data*(Code_General_Data=$C57)*(Year=Y$3)*(Month=Y$4))</f>
        <v>833</v>
      </c>
      <c r="Z57" s="132" cm="1">
        <f t="array" ref="Z57">SUMPRODUCT(General_Data*(Code_General_Data=$C57)*(Year=Z$3)*(Month=Z$4))</f>
        <v>815</v>
      </c>
      <c r="AA57" s="132" cm="1">
        <f t="array" ref="AA57">SUMPRODUCT(General_Data*(Code_General_Data=$C57)*(Year=AA$3)*(Month=AA$4))</f>
        <v>813</v>
      </c>
      <c r="AB57" s="132" cm="1">
        <f t="array" ref="AB57">SUMPRODUCT(General_Data*(Code_General_Data=$C57)*(Year=AB$3)*(Month=AB$4))</f>
        <v>805</v>
      </c>
      <c r="AC57" s="132" cm="1">
        <f t="array" ref="AC57">SUMPRODUCT(General_Data*(Code_General_Data=$C57)*(Year=AC$3)*(Month=AC$4))</f>
        <v>805</v>
      </c>
      <c r="AD57" s="133" cm="1">
        <f t="array" ref="AD57">SUMPRODUCT(General_Data*(Code_General_Data=$C57)*(Year=AD$3)*(Month=AD$4))</f>
        <v>805</v>
      </c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3"/>
    </row>
    <row r="58" spans="1:42" s="152" customFormat="1" ht="12" customHeight="1" outlineLevel="1" x14ac:dyDescent="0.35">
      <c r="A58" s="152" t="s">
        <v>64</v>
      </c>
      <c r="B58" s="152" t="s">
        <v>65</v>
      </c>
      <c r="D58" s="173">
        <v>3.23</v>
      </c>
      <c r="E58" s="153"/>
      <c r="F58" s="327" t="s">
        <v>430</v>
      </c>
      <c r="G58" s="154">
        <f t="shared" ref="G58:AD58" si="14">IF(G55*G56*G57&lt;&gt;0,G56-G57,0)</f>
        <v>497.79591836734699</v>
      </c>
      <c r="H58" s="154">
        <f t="shared" si="14"/>
        <v>444.46258503401361</v>
      </c>
      <c r="I58" s="154">
        <f t="shared" si="14"/>
        <v>452.79591836734699</v>
      </c>
      <c r="J58" s="154">
        <f t="shared" si="14"/>
        <v>405.29591836734699</v>
      </c>
      <c r="K58" s="154">
        <f t="shared" si="14"/>
        <v>385.79591836734699</v>
      </c>
      <c r="L58" s="154">
        <f t="shared" si="14"/>
        <v>367.79591836734699</v>
      </c>
      <c r="M58" s="154">
        <f t="shared" si="14"/>
        <v>368.03999999999996</v>
      </c>
      <c r="N58" s="154">
        <f t="shared" si="14"/>
        <v>384.03999999999996</v>
      </c>
      <c r="O58" s="154">
        <f t="shared" si="14"/>
        <v>400.53999999999996</v>
      </c>
      <c r="P58" s="154">
        <f t="shared" si="14"/>
        <v>403.03999999999996</v>
      </c>
      <c r="Q58" s="154">
        <f t="shared" si="14"/>
        <v>394.03999999999996</v>
      </c>
      <c r="R58" s="155">
        <f t="shared" si="14"/>
        <v>412.03999999999996</v>
      </c>
      <c r="S58" s="154">
        <f t="shared" si="14"/>
        <v>398.03999999999996</v>
      </c>
      <c r="T58" s="154">
        <f t="shared" si="14"/>
        <v>420.03999999999996</v>
      </c>
      <c r="U58" s="154">
        <f t="shared" si="14"/>
        <v>442.03999999999996</v>
      </c>
      <c r="V58" s="154">
        <f t="shared" si="14"/>
        <v>396.53999999999996</v>
      </c>
      <c r="W58" s="154">
        <f t="shared" si="14"/>
        <v>424.03999999999996</v>
      </c>
      <c r="X58" s="154">
        <f t="shared" si="14"/>
        <v>455.03999999999996</v>
      </c>
      <c r="Y58" s="154">
        <f t="shared" si="14"/>
        <v>485.03999999999996</v>
      </c>
      <c r="Z58" s="154">
        <f t="shared" si="14"/>
        <v>503.03999999999996</v>
      </c>
      <c r="AA58" s="154">
        <f t="shared" si="14"/>
        <v>505.03999999999996</v>
      </c>
      <c r="AB58" s="154">
        <f t="shared" si="14"/>
        <v>513.04</v>
      </c>
      <c r="AC58" s="154">
        <f t="shared" si="14"/>
        <v>513.04</v>
      </c>
      <c r="AD58" s="155">
        <f t="shared" si="14"/>
        <v>513.04</v>
      </c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5"/>
    </row>
    <row r="59" spans="1:42" s="156" customFormat="1" ht="12" customHeight="1" outlineLevel="1" x14ac:dyDescent="0.35">
      <c r="A59" s="156" t="s">
        <v>64</v>
      </c>
      <c r="B59" s="156" t="s">
        <v>65</v>
      </c>
      <c r="D59" s="174">
        <v>3.24</v>
      </c>
      <c r="E59" s="157"/>
      <c r="F59" s="328" t="s">
        <v>14</v>
      </c>
      <c r="G59" s="158">
        <f t="shared" ref="G59:AD59" si="15">IFERROR(G58/G57,0)</f>
        <v>0.52957012592270958</v>
      </c>
      <c r="H59" s="158">
        <f t="shared" si="15"/>
        <v>0.44744555540336939</v>
      </c>
      <c r="I59" s="158">
        <f t="shared" si="15"/>
        <v>0.45969128768258577</v>
      </c>
      <c r="J59" s="158">
        <f t="shared" si="15"/>
        <v>0.42108666843360726</v>
      </c>
      <c r="K59" s="158">
        <f t="shared" si="15"/>
        <v>0.3928675339789684</v>
      </c>
      <c r="L59" s="158">
        <f t="shared" si="15"/>
        <v>0.36779591836734699</v>
      </c>
      <c r="M59" s="158">
        <f t="shared" si="15"/>
        <v>0.36803999999999998</v>
      </c>
      <c r="N59" s="158">
        <f t="shared" si="15"/>
        <v>0.39028455284552843</v>
      </c>
      <c r="O59" s="158">
        <f t="shared" si="15"/>
        <v>0.41399483204134363</v>
      </c>
      <c r="P59" s="158">
        <f t="shared" si="15"/>
        <v>0.41765803108808286</v>
      </c>
      <c r="Q59" s="158">
        <f t="shared" si="15"/>
        <v>0.40455852156057492</v>
      </c>
      <c r="R59" s="159">
        <f t="shared" si="15"/>
        <v>0.43100418410041835</v>
      </c>
      <c r="S59" s="158">
        <f t="shared" si="15"/>
        <v>0.42344680851063826</v>
      </c>
      <c r="T59" s="158">
        <f t="shared" si="15"/>
        <v>0.45755991285403047</v>
      </c>
      <c r="U59" s="158">
        <f t="shared" si="15"/>
        <v>0.49334821428571424</v>
      </c>
      <c r="V59" s="158">
        <f t="shared" si="15"/>
        <v>0.44480089736399325</v>
      </c>
      <c r="W59" s="158">
        <f t="shared" si="15"/>
        <v>0.49078703703703702</v>
      </c>
      <c r="X59" s="158">
        <f t="shared" si="15"/>
        <v>0.54626650660264098</v>
      </c>
      <c r="Y59" s="158">
        <f t="shared" si="15"/>
        <v>0.58228091236494595</v>
      </c>
      <c r="Z59" s="158">
        <f t="shared" si="15"/>
        <v>0.61722699386503066</v>
      </c>
      <c r="AA59" s="158">
        <f t="shared" si="15"/>
        <v>0.6212054120541205</v>
      </c>
      <c r="AB59" s="158">
        <f t="shared" si="15"/>
        <v>0.63731677018633537</v>
      </c>
      <c r="AC59" s="158">
        <f t="shared" si="15"/>
        <v>0.63731677018633537</v>
      </c>
      <c r="AD59" s="159">
        <f t="shared" si="15"/>
        <v>0.63731677018633537</v>
      </c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9"/>
    </row>
    <row r="60" spans="1:42" s="137" customFormat="1" ht="12" customHeight="1" outlineLevel="1" x14ac:dyDescent="0.35">
      <c r="A60" s="137" t="s">
        <v>64</v>
      </c>
      <c r="B60" s="137" t="s">
        <v>65</v>
      </c>
      <c r="C60" s="137" t="s">
        <v>65</v>
      </c>
      <c r="D60" s="175">
        <v>3.25</v>
      </c>
      <c r="E60" s="138"/>
      <c r="F60" s="329" t="s">
        <v>203</v>
      </c>
      <c r="G60" s="139" cm="1">
        <f t="array" ref="G60">SUMPRODUCT(General_Data*(Code_General_Data=$C60)*(Year=G$3)*(Month=G$4))</f>
        <v>1350</v>
      </c>
      <c r="H60" s="139" cm="1">
        <f t="array" ref="H60">SUMPRODUCT(General_Data*(Code_General_Data=$C60)*(Year=H$3)*(Month=H$4))</f>
        <v>1350</v>
      </c>
      <c r="I60" s="139" cm="1">
        <f t="array" ref="I60">SUMPRODUCT(General_Data*(Code_General_Data=$C60)*(Year=I$3)*(Month=I$4))</f>
        <v>1350</v>
      </c>
      <c r="J60" s="139" cm="1">
        <f t="array" ref="J60">SUMPRODUCT(General_Data*(Code_General_Data=$C60)*(Year=J$3)*(Month=J$4))</f>
        <v>1350</v>
      </c>
      <c r="K60" s="139" cm="1">
        <f t="array" ref="K60">SUMPRODUCT(General_Data*(Code_General_Data=$C60)*(Year=K$3)*(Month=K$4))</f>
        <v>1350</v>
      </c>
      <c r="L60" s="139" cm="1">
        <f t="array" ref="L60">SUMPRODUCT(General_Data*(Code_General_Data=$C60)*(Year=L$3)*(Month=L$4))</f>
        <v>1350</v>
      </c>
      <c r="M60" s="139" cm="1">
        <f t="array" ref="M60">SUMPRODUCT(General_Data*(Code_General_Data=$C60)*(Year=M$3)*(Month=M$4))</f>
        <v>1350</v>
      </c>
      <c r="N60" s="139" cm="1">
        <f t="array" ref="N60">SUMPRODUCT(General_Data*(Code_General_Data=$C60)*(Year=N$3)*(Month=N$4))</f>
        <v>1350</v>
      </c>
      <c r="O60" s="139" cm="1">
        <f t="array" ref="O60">SUMPRODUCT(General_Data*(Code_General_Data=$C60)*(Year=O$3)*(Month=O$4))</f>
        <v>1350</v>
      </c>
      <c r="P60" s="139" cm="1">
        <f t="array" ref="P60">SUMPRODUCT(General_Data*(Code_General_Data=$C60)*(Year=P$3)*(Month=P$4))</f>
        <v>1350</v>
      </c>
      <c r="Q60" s="139" cm="1">
        <f t="array" ref="Q60">SUMPRODUCT(General_Data*(Code_General_Data=$C60)*(Year=Q$3)*(Month=Q$4))</f>
        <v>1350</v>
      </c>
      <c r="R60" s="140" cm="1">
        <f t="array" ref="R60">SUMPRODUCT(General_Data*(Code_General_Data=$C60)*(Year=R$3)*(Month=R$4))</f>
        <v>1350</v>
      </c>
      <c r="S60" s="139" cm="1">
        <f t="array" ref="S60">SUMPRODUCT(General_Data*(Code_General_Data=$C60)*(Year=S$3)*(Month=S$4))</f>
        <v>1350</v>
      </c>
      <c r="T60" s="139" cm="1">
        <f t="array" ref="T60">SUMPRODUCT(General_Data*(Code_General_Data=$C60)*(Year=T$3)*(Month=T$4))</f>
        <v>1350</v>
      </c>
      <c r="U60" s="139" cm="1">
        <f t="array" ref="U60">SUMPRODUCT(General_Data*(Code_General_Data=$C60)*(Year=U$3)*(Month=U$4))</f>
        <v>1300</v>
      </c>
      <c r="V60" s="139" cm="1">
        <f t="array" ref="V60">SUMPRODUCT(General_Data*(Code_General_Data=$C60)*(Year=V$3)*(Month=V$4))</f>
        <v>1300</v>
      </c>
      <c r="W60" s="139" cm="1">
        <f t="array" ref="W60">SUMPRODUCT(General_Data*(Code_General_Data=$C60)*(Year=W$3)*(Month=W$4))</f>
        <v>1300</v>
      </c>
      <c r="X60" s="139" cm="1">
        <f t="array" ref="X60">SUMPRODUCT(General_Data*(Code_General_Data=$C60)*(Year=X$3)*(Month=X$4))</f>
        <v>1300</v>
      </c>
      <c r="Y60" s="139" cm="1">
        <f t="array" ref="Y60">SUMPRODUCT(General_Data*(Code_General_Data=$C60)*(Year=Y$3)*(Month=Y$4))</f>
        <v>1300</v>
      </c>
      <c r="Z60" s="139" cm="1">
        <f t="array" ref="Z60">SUMPRODUCT(General_Data*(Code_General_Data=$C60)*(Year=Z$3)*(Month=Z$4))</f>
        <v>1280</v>
      </c>
      <c r="AA60" s="139" cm="1">
        <f t="array" ref="AA60">SUMPRODUCT(General_Data*(Code_General_Data=$C60)*(Year=AA$3)*(Month=AA$4))</f>
        <v>1260</v>
      </c>
      <c r="AB60" s="139" cm="1">
        <f t="array" ref="AB60">SUMPRODUCT(General_Data*(Code_General_Data=$C60)*(Year=AB$3)*(Month=AB$4))</f>
        <v>1260</v>
      </c>
      <c r="AC60" s="139" cm="1">
        <f t="array" ref="AC60">SUMPRODUCT(General_Data*(Code_General_Data=$C60)*(Year=AC$3)*(Month=AC$4))</f>
        <v>1250</v>
      </c>
      <c r="AD60" s="140" cm="1">
        <f t="array" ref="AD60">SUMPRODUCT(General_Data*(Code_General_Data=$C60)*(Year=AD$3)*(Month=AD$4))</f>
        <v>1250</v>
      </c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40"/>
    </row>
    <row r="61" spans="1:42" ht="3.65" customHeight="1" x14ac:dyDescent="0.35">
      <c r="D61" s="168"/>
    </row>
    <row r="62" spans="1:42" s="127" customFormat="1" ht="15.65" customHeight="1" x14ac:dyDescent="0.4">
      <c r="A62" s="127" t="s">
        <v>40</v>
      </c>
      <c r="C62" s="131"/>
      <c r="D62" s="169" t="s">
        <v>392</v>
      </c>
      <c r="E62" s="130" t="s">
        <v>26</v>
      </c>
      <c r="F62" s="322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319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319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319"/>
    </row>
    <row r="63" spans="1:42" s="148" customFormat="1" ht="13.4" customHeight="1" outlineLevel="1" x14ac:dyDescent="0.4">
      <c r="A63" s="148" t="s">
        <v>40</v>
      </c>
      <c r="B63" s="148" t="s">
        <v>29</v>
      </c>
      <c r="D63" s="161"/>
      <c r="E63" s="149"/>
      <c r="F63" s="323" t="s">
        <v>27</v>
      </c>
      <c r="G63" s="527">
        <f t="shared" ref="G63:Q63" si="16">G64-G65</f>
        <v>26.5</v>
      </c>
      <c r="H63" s="527">
        <f t="shared" si="16"/>
        <v>26.5</v>
      </c>
      <c r="I63" s="527">
        <f t="shared" si="16"/>
        <v>26.5</v>
      </c>
      <c r="J63" s="527">
        <f t="shared" si="16"/>
        <v>26.5</v>
      </c>
      <c r="K63" s="527">
        <f t="shared" si="16"/>
        <v>26.5</v>
      </c>
      <c r="L63" s="527">
        <f t="shared" si="16"/>
        <v>26.5</v>
      </c>
      <c r="M63" s="527">
        <f t="shared" si="16"/>
        <v>26.5</v>
      </c>
      <c r="N63" s="527">
        <f t="shared" si="16"/>
        <v>26.5</v>
      </c>
      <c r="O63" s="527">
        <f t="shared" si="16"/>
        <v>26.5</v>
      </c>
      <c r="P63" s="527">
        <f t="shared" si="16"/>
        <v>26.5</v>
      </c>
      <c r="Q63" s="527">
        <f t="shared" si="16"/>
        <v>26.5</v>
      </c>
      <c r="R63" s="527">
        <f>R64-R65</f>
        <v>26.5</v>
      </c>
      <c r="S63" s="527">
        <f t="shared" ref="S63:AD63" si="17">S64-S65</f>
        <v>26.5</v>
      </c>
      <c r="T63" s="527">
        <f t="shared" si="17"/>
        <v>26.5</v>
      </c>
      <c r="U63" s="527">
        <f t="shared" si="17"/>
        <v>26.5</v>
      </c>
      <c r="V63" s="527">
        <f t="shared" si="17"/>
        <v>26.5</v>
      </c>
      <c r="W63" s="527">
        <f t="shared" si="17"/>
        <v>26.5</v>
      </c>
      <c r="X63" s="527">
        <f t="shared" si="17"/>
        <v>26.5</v>
      </c>
      <c r="Y63" s="527">
        <f t="shared" si="17"/>
        <v>26.5</v>
      </c>
      <c r="Z63" s="527">
        <f t="shared" si="17"/>
        <v>26.5</v>
      </c>
      <c r="AA63" s="527">
        <f t="shared" si="17"/>
        <v>26.5</v>
      </c>
      <c r="AB63" s="527">
        <f t="shared" si="17"/>
        <v>26.5</v>
      </c>
      <c r="AC63" s="527">
        <f t="shared" si="17"/>
        <v>26.5</v>
      </c>
      <c r="AD63" s="527">
        <f t="shared" si="17"/>
        <v>26.5</v>
      </c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50"/>
    </row>
    <row r="64" spans="1:42" s="69" customFormat="1" ht="11.5" customHeight="1" outlineLevel="1" x14ac:dyDescent="0.35">
      <c r="A64" s="69" t="s">
        <v>40</v>
      </c>
      <c r="B64" s="69" t="s">
        <v>29</v>
      </c>
      <c r="D64" s="170">
        <v>4.0999999999999996</v>
      </c>
      <c r="E64" s="134"/>
      <c r="F64" s="324" t="s">
        <v>28</v>
      </c>
      <c r="G64" s="135" cm="1">
        <f t="array" ref="G64">INDEX(Price!$L$11:$AM$182,MATCH(1,(Price!$A$11:$A$182=$A64)*(Price!$B$11:$B$182=$B64)*(Price!$D$11:$D$182="gb"),0),MATCH(1,(Price!$L$3:$AM$3=G$3)*(Price!$L$4:$AM$4=G$4),0))</f>
        <v>1366.5</v>
      </c>
      <c r="H64" s="135" cm="1">
        <f t="array" ref="H64">INDEX(Price!$L$11:$AM$182,MATCH(1,(Price!$A$11:$A$182=$A64)*(Price!$B$11:$B$182=$B64)*(Price!$D$11:$D$182="gb"),0),MATCH(1,(Price!$L$3:$AM$3=H$3)*(Price!$L$4:$AM$4=H$4),0))</f>
        <v>1374</v>
      </c>
      <c r="I64" s="135" cm="1">
        <f t="array" ref="I64">INDEX(Price!$L$11:$AM$182,MATCH(1,(Price!$A$11:$A$182=$A64)*(Price!$B$11:$B$182=$B64)*(Price!$D$11:$D$182="gb"),0),MATCH(1,(Price!$L$3:$AM$3=I$3)*(Price!$L$4:$AM$4=I$4),0))</f>
        <v>1386.5</v>
      </c>
      <c r="J64" s="135" cm="1">
        <f t="array" ref="J64">INDEX(Price!$L$11:$AM$182,MATCH(1,(Price!$A$11:$A$182=$A64)*(Price!$B$11:$B$182=$B64)*(Price!$D$11:$D$182="gb"),0),MATCH(1,(Price!$L$3:$AM$3=J$3)*(Price!$L$4:$AM$4=J$4),0))</f>
        <v>1389</v>
      </c>
      <c r="K64" s="135" cm="1">
        <f t="array" ref="K64">INDEX(Price!$L$11:$AM$182,MATCH(1,(Price!$A$11:$A$182=$A64)*(Price!$B$11:$B$182=$B64)*(Price!$D$11:$D$182="gb"),0),MATCH(1,(Price!$L$3:$AM$3=K$3)*(Price!$L$4:$AM$4=K$4),0))</f>
        <v>1393</v>
      </c>
      <c r="L64" s="135" cm="1">
        <f t="array" ref="L64">INDEX(Price!$L$11:$AM$182,MATCH(1,(Price!$A$11:$A$182=$A64)*(Price!$B$11:$B$182=$B64)*(Price!$D$11:$D$182="gb"),0),MATCH(1,(Price!$L$3:$AM$3=L$3)*(Price!$L$4:$AM$4=L$4),0))</f>
        <v>1408</v>
      </c>
      <c r="M64" s="135" cm="1">
        <f t="array" ref="M64">INDEX(Price!$L$11:$AM$182,MATCH(1,(Price!$A$11:$A$182=$A64)*(Price!$B$11:$B$182=$B64)*(Price!$D$11:$D$182="gb"),0),MATCH(1,(Price!$L$3:$AM$3=M$3)*(Price!$L$4:$AM$4=M$4),0))</f>
        <v>1424</v>
      </c>
      <c r="N64" s="135" cm="1">
        <f t="array" ref="N64">INDEX(Price!$L$11:$AM$182,MATCH(1,(Price!$A$11:$A$182=$A64)*(Price!$B$11:$B$182=$B64)*(Price!$D$11:$D$182="gb"),0),MATCH(1,(Price!$L$3:$AM$3=N$3)*(Price!$L$4:$AM$4=N$4),0))</f>
        <v>1435</v>
      </c>
      <c r="O64" s="135" cm="1">
        <f t="array" ref="O64">INDEX(Price!$L$11:$AM$182,MATCH(1,(Price!$A$11:$A$182=$A64)*(Price!$B$11:$B$182=$B64)*(Price!$D$11:$D$182="gb"),0),MATCH(1,(Price!$L$3:$AM$3=O$3)*(Price!$L$4:$AM$4=O$4),0))</f>
        <v>1455</v>
      </c>
      <c r="P64" s="135" cm="1">
        <f t="array" ref="P64">INDEX(Price!$L$11:$AM$182,MATCH(1,(Price!$A$11:$A$182=$A64)*(Price!$B$11:$B$182=$B64)*(Price!$D$11:$D$182="gb"),0),MATCH(1,(Price!$L$3:$AM$3=P$3)*(Price!$L$4:$AM$4=P$4),0))</f>
        <v>1482.75</v>
      </c>
      <c r="Q64" s="135" cm="1">
        <f t="array" ref="Q64">INDEX(Price!$L$11:$AM$182,MATCH(1,(Price!$A$11:$A$182=$A64)*(Price!$B$11:$B$182=$B64)*(Price!$D$11:$D$182="gb"),0),MATCH(1,(Price!$L$3:$AM$3=Q$3)*(Price!$L$4:$AM$4=Q$4),0))</f>
        <v>1500.25</v>
      </c>
      <c r="R64" s="136" cm="1">
        <f t="array" ref="R64">INDEX(Price!$L$11:$AM$182,MATCH(1,(Price!$A$11:$A$182=$A64)*(Price!$B$11:$B$182=$B64)*(Price!$D$11:$D$182="gb"),0),MATCH(1,(Price!$L$3:$AM$3=R$3)*(Price!$L$4:$AM$4=R$4),0))</f>
        <v>1504</v>
      </c>
      <c r="S64" s="135" cm="1">
        <f t="array" ref="S64">INDEX(Price!$L$11:$AM$182,MATCH(1,(Price!$A$11:$A$182=$A64)*(Price!$B$11:$B$182=$B64)*(Price!$D$11:$D$182="gb"),0),MATCH(1,(Price!$L$3:$AM$3=S$3)*(Price!$L$4:$AM$4=S$4),0))</f>
        <v>1452.903125</v>
      </c>
      <c r="T64" s="135" cm="1">
        <f t="array" ref="T64">INDEX(Price!$L$11:$AM$182,MATCH(1,(Price!$A$11:$A$182=$A64)*(Price!$B$11:$B$182=$B64)*(Price!$D$11:$D$182="gb"),0),MATCH(1,(Price!$L$3:$AM$3=T$3)*(Price!$L$4:$AM$4=T$4),0))</f>
        <v>1415.1447916666652</v>
      </c>
      <c r="U64" s="135" cm="1">
        <f t="array" ref="U64">INDEX(Price!$L$11:$AM$182,MATCH(1,(Price!$A$11:$A$182=$A64)*(Price!$B$11:$B$182=$B64)*(Price!$D$11:$D$182="gb"),0),MATCH(1,(Price!$L$3:$AM$3=U$3)*(Price!$L$4:$AM$4=U$4),0))</f>
        <v>1380.0541666666652</v>
      </c>
      <c r="V64" s="135" cm="1">
        <f t="array" ref="V64">INDEX(Price!$L$11:$AM$182,MATCH(1,(Price!$A$11:$A$182=$A64)*(Price!$B$11:$B$182=$B64)*(Price!$D$11:$D$182="gb"),0),MATCH(1,(Price!$L$3:$AM$3=V$3)*(Price!$L$4:$AM$4=V$4),0))</f>
        <v>1380.875</v>
      </c>
      <c r="W64" s="135" cm="1">
        <f t="array" ref="W64">INDEX(Price!$L$11:$AM$182,MATCH(1,(Price!$A$11:$A$182=$A64)*(Price!$B$11:$B$182=$B64)*(Price!$D$11:$D$182="gb"),0),MATCH(1,(Price!$L$3:$AM$3=W$3)*(Price!$L$4:$AM$4=W$4),0))</f>
        <v>1385.8</v>
      </c>
      <c r="X64" s="135" cm="1">
        <f t="array" ref="X64">INDEX(Price!$L$11:$AM$182,MATCH(1,(Price!$A$11:$A$182=$A64)*(Price!$B$11:$B$182=$B64)*(Price!$D$11:$D$182="gb"),0),MATCH(1,(Price!$L$3:$AM$3=X$3)*(Price!$L$4:$AM$4=X$4),0))</f>
        <v>1385.8</v>
      </c>
      <c r="Y64" s="135" cm="1">
        <f t="array" ref="Y64">INDEX(Price!$L$11:$AM$182,MATCH(1,(Price!$A$11:$A$182=$A64)*(Price!$B$11:$B$182=$B64)*(Price!$D$11:$D$182="gb"),0),MATCH(1,(Price!$L$3:$AM$3=Y$3)*(Price!$L$4:$AM$4=Y$4),0))</f>
        <v>1385.8</v>
      </c>
      <c r="Z64" s="135" cm="1">
        <f t="array" ref="Z64">INDEX(Price!$L$11:$AM$182,MATCH(1,(Price!$A$11:$A$182=$A64)*(Price!$B$11:$B$182=$B64)*(Price!$D$11:$D$182="gb"),0),MATCH(1,(Price!$L$3:$AM$3=Z$3)*(Price!$L$4:$AM$4=Z$4),0))</f>
        <v>1368.07</v>
      </c>
      <c r="AA64" s="135" cm="1">
        <f t="array" ref="AA64">INDEX(Price!$L$11:$AM$182,MATCH(1,(Price!$A$11:$A$182=$A64)*(Price!$B$11:$B$182=$B64)*(Price!$D$11:$D$182="gb"),0),MATCH(1,(Price!$L$3:$AM$3=AA$3)*(Price!$L$4:$AM$4=AA$4),0))</f>
        <v>1336.5574999999999</v>
      </c>
      <c r="AB64" s="135" cm="1">
        <f t="array" ref="AB64">INDEX(Price!$L$11:$AM$182,MATCH(1,(Price!$A$11:$A$182=$A64)*(Price!$B$11:$B$182=$B64)*(Price!$D$11:$D$182="gb"),0),MATCH(1,(Price!$L$3:$AM$3=AB$3)*(Price!$L$4:$AM$4=AB$4),0))</f>
        <v>1336.9775</v>
      </c>
      <c r="AC64" s="135" cm="1">
        <f t="array" ref="AC64">INDEX(Price!$L$11:$AM$182,MATCH(1,(Price!$A$11:$A$182=$A64)*(Price!$B$11:$B$182=$B64)*(Price!$D$11:$D$182="gb"),0),MATCH(1,(Price!$L$3:$AM$3=AC$3)*(Price!$L$4:$AM$4=AC$4),0))</f>
        <v>1337.3150000000001</v>
      </c>
      <c r="AD64" s="136" cm="1">
        <f t="array" ref="AD64">INDEX(Price!$L$11:$AM$182,MATCH(1,(Price!$A$11:$A$182=$A64)*(Price!$B$11:$B$182=$B64)*(Price!$D$11:$D$182="gb"),0),MATCH(1,(Price!$L$3:$AM$3=AD$3)*(Price!$L$4:$AM$4=AD$4),0))</f>
        <v>1337.496875</v>
      </c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6"/>
    </row>
    <row r="65" spans="1:42" s="1" customFormat="1" ht="11.5" customHeight="1" outlineLevel="1" x14ac:dyDescent="0.35">
      <c r="A65" s="1" t="s">
        <v>40</v>
      </c>
      <c r="B65" s="1" t="s">
        <v>29</v>
      </c>
      <c r="C65" s="143" t="s">
        <v>322</v>
      </c>
      <c r="D65" s="171">
        <v>4.2</v>
      </c>
      <c r="E65" s="144"/>
      <c r="F65" s="325" t="s">
        <v>8</v>
      </c>
      <c r="G65" s="145" cm="1">
        <f t="array" ref="G65">INDEX(Price!$L$11:$AM$182,MATCH(1,(Price!$A$11:$A$182=$A65)*(Price!$B$11:$B$182=$B65)*(Price!$D$11:$D$182="exw"),0),MATCH(1,(Price!$L$3:$AM$3=G$3)*(Price!$L$4:$AM$4=G$4),0))</f>
        <v>1340</v>
      </c>
      <c r="H65" s="145" cm="1">
        <f t="array" ref="H65">INDEX(Price!$L$11:$AM$182,MATCH(1,(Price!$A$11:$A$182=$A65)*(Price!$B$11:$B$182=$B65)*(Price!$D$11:$D$182="exw"),0),MATCH(1,(Price!$L$3:$AM$3=H$3)*(Price!$L$4:$AM$4=H$4),0))</f>
        <v>1347.5</v>
      </c>
      <c r="I65" s="145" cm="1">
        <f t="array" ref="I65">INDEX(Price!$L$11:$AM$182,MATCH(1,(Price!$A$11:$A$182=$A65)*(Price!$B$11:$B$182=$B65)*(Price!$D$11:$D$182="exw"),0),MATCH(1,(Price!$L$3:$AM$3=I$3)*(Price!$L$4:$AM$4=I$4),0))</f>
        <v>1360</v>
      </c>
      <c r="J65" s="145" cm="1">
        <f t="array" ref="J65">INDEX(Price!$L$11:$AM$182,MATCH(1,(Price!$A$11:$A$182=$A65)*(Price!$B$11:$B$182=$B65)*(Price!$D$11:$D$182="exw"),0),MATCH(1,(Price!$L$3:$AM$3=J$3)*(Price!$L$4:$AM$4=J$4),0))</f>
        <v>1362.5</v>
      </c>
      <c r="K65" s="145" cm="1">
        <f t="array" ref="K65">INDEX(Price!$L$11:$AM$182,MATCH(1,(Price!$A$11:$A$182=$A65)*(Price!$B$11:$B$182=$B65)*(Price!$D$11:$D$182="exw"),0),MATCH(1,(Price!$L$3:$AM$3=K$3)*(Price!$L$4:$AM$4=K$4),0))</f>
        <v>1366.5</v>
      </c>
      <c r="L65" s="145" cm="1">
        <f t="array" ref="L65">INDEX(Price!$L$11:$AM$182,MATCH(1,(Price!$A$11:$A$182=$A65)*(Price!$B$11:$B$182=$B65)*(Price!$D$11:$D$182="exw"),0),MATCH(1,(Price!$L$3:$AM$3=L$3)*(Price!$L$4:$AM$4=L$4),0))</f>
        <v>1381.5</v>
      </c>
      <c r="M65" s="145" cm="1">
        <f t="array" ref="M65">INDEX(Price!$L$11:$AM$182,MATCH(1,(Price!$A$11:$A$182=$A65)*(Price!$B$11:$B$182=$B65)*(Price!$D$11:$D$182="exw"),0),MATCH(1,(Price!$L$3:$AM$3=M$3)*(Price!$L$4:$AM$4=M$4),0))</f>
        <v>1397.5</v>
      </c>
      <c r="N65" s="145" cm="1">
        <f t="array" ref="N65">INDEX(Price!$L$11:$AM$182,MATCH(1,(Price!$A$11:$A$182=$A65)*(Price!$B$11:$B$182=$B65)*(Price!$D$11:$D$182="exw"),0),MATCH(1,(Price!$L$3:$AM$3=N$3)*(Price!$L$4:$AM$4=N$4),0))</f>
        <v>1408.5</v>
      </c>
      <c r="O65" s="145" cm="1">
        <f t="array" ref="O65">INDEX(Price!$L$11:$AM$182,MATCH(1,(Price!$A$11:$A$182=$A65)*(Price!$B$11:$B$182=$B65)*(Price!$D$11:$D$182="exw"),0),MATCH(1,(Price!$L$3:$AM$3=O$3)*(Price!$L$4:$AM$4=O$4),0))</f>
        <v>1428.5</v>
      </c>
      <c r="P65" s="145" cm="1">
        <f t="array" ref="P65">INDEX(Price!$L$11:$AM$182,MATCH(1,(Price!$A$11:$A$182=$A65)*(Price!$B$11:$B$182=$B65)*(Price!$D$11:$D$182="exw"),0),MATCH(1,(Price!$L$3:$AM$3=P$3)*(Price!$L$4:$AM$4=P$4),0))</f>
        <v>1456.25</v>
      </c>
      <c r="Q65" s="145" cm="1">
        <f t="array" ref="Q65">INDEX(Price!$L$11:$AM$182,MATCH(1,(Price!$A$11:$A$182=$A65)*(Price!$B$11:$B$182=$B65)*(Price!$D$11:$D$182="exw"),0),MATCH(1,(Price!$L$3:$AM$3=Q$3)*(Price!$L$4:$AM$4=Q$4),0))</f>
        <v>1473.75</v>
      </c>
      <c r="R65" s="146" cm="1">
        <f t="array" ref="R65">INDEX(Price!$L$11:$AM$182,MATCH(1,(Price!$A$11:$A$182=$A65)*(Price!$B$11:$B$182=$B65)*(Price!$D$11:$D$182="exw"),0),MATCH(1,(Price!$L$3:$AM$3=R$3)*(Price!$L$4:$AM$4=R$4),0))</f>
        <v>1477.5</v>
      </c>
      <c r="S65" s="145" cm="1">
        <f t="array" ref="S65">INDEX(Price!$L$11:$AM$182,MATCH(1,(Price!$A$11:$A$182=$A65)*(Price!$B$11:$B$182=$B65)*(Price!$D$11:$D$182="exw"),0),MATCH(1,(Price!$L$3:$AM$3=S$3)*(Price!$L$4:$AM$4=S$4),0))</f>
        <v>1426.403125</v>
      </c>
      <c r="T65" s="145" cm="1">
        <f t="array" ref="T65">INDEX(Price!$L$11:$AM$182,MATCH(1,(Price!$A$11:$A$182=$A65)*(Price!$B$11:$B$182=$B65)*(Price!$D$11:$D$182="exw"),0),MATCH(1,(Price!$L$3:$AM$3=T$3)*(Price!$L$4:$AM$4=T$4),0))</f>
        <v>1388.6447916666652</v>
      </c>
      <c r="U65" s="145" cm="1">
        <f t="array" ref="U65">INDEX(Price!$L$11:$AM$182,MATCH(1,(Price!$A$11:$A$182=$A65)*(Price!$B$11:$B$182=$B65)*(Price!$D$11:$D$182="exw"),0),MATCH(1,(Price!$L$3:$AM$3=U$3)*(Price!$L$4:$AM$4=U$4),0))</f>
        <v>1353.5541666666652</v>
      </c>
      <c r="V65" s="145" cm="1">
        <f t="array" ref="V65">INDEX(Price!$L$11:$AM$182,MATCH(1,(Price!$A$11:$A$182=$A65)*(Price!$B$11:$B$182=$B65)*(Price!$D$11:$D$182="exw"),0),MATCH(1,(Price!$L$3:$AM$3=V$3)*(Price!$L$4:$AM$4=V$4),0))</f>
        <v>1354.375</v>
      </c>
      <c r="W65" s="145" cm="1">
        <f t="array" ref="W65">INDEX(Price!$L$11:$AM$182,MATCH(1,(Price!$A$11:$A$182=$A65)*(Price!$B$11:$B$182=$B65)*(Price!$D$11:$D$182="exw"),0),MATCH(1,(Price!$L$3:$AM$3=W$3)*(Price!$L$4:$AM$4=W$4),0))</f>
        <v>1359.3</v>
      </c>
      <c r="X65" s="145" cm="1">
        <f t="array" ref="X65">INDEX(Price!$L$11:$AM$182,MATCH(1,(Price!$A$11:$A$182=$A65)*(Price!$B$11:$B$182=$B65)*(Price!$D$11:$D$182="exw"),0),MATCH(1,(Price!$L$3:$AM$3=X$3)*(Price!$L$4:$AM$4=X$4),0))</f>
        <v>1359.3</v>
      </c>
      <c r="Y65" s="145" cm="1">
        <f t="array" ref="Y65">INDEX(Price!$L$11:$AM$182,MATCH(1,(Price!$A$11:$A$182=$A65)*(Price!$B$11:$B$182=$B65)*(Price!$D$11:$D$182="exw"),0),MATCH(1,(Price!$L$3:$AM$3=Y$3)*(Price!$L$4:$AM$4=Y$4),0))</f>
        <v>1359.3</v>
      </c>
      <c r="Z65" s="145" cm="1">
        <f t="array" ref="Z65">INDEX(Price!$L$11:$AM$182,MATCH(1,(Price!$A$11:$A$182=$A65)*(Price!$B$11:$B$182=$B65)*(Price!$D$11:$D$182="exw"),0),MATCH(1,(Price!$L$3:$AM$3=Z$3)*(Price!$L$4:$AM$4=Z$4),0))</f>
        <v>1341.57</v>
      </c>
      <c r="AA65" s="145" cm="1">
        <f t="array" ref="AA65">INDEX(Price!$L$11:$AM$182,MATCH(1,(Price!$A$11:$A$182=$A65)*(Price!$B$11:$B$182=$B65)*(Price!$D$11:$D$182="exw"),0),MATCH(1,(Price!$L$3:$AM$3=AA$3)*(Price!$L$4:$AM$4=AA$4),0))</f>
        <v>1310.0574999999999</v>
      </c>
      <c r="AB65" s="145" cm="1">
        <f t="array" ref="AB65">INDEX(Price!$L$11:$AM$182,MATCH(1,(Price!$A$11:$A$182=$A65)*(Price!$B$11:$B$182=$B65)*(Price!$D$11:$D$182="exw"),0),MATCH(1,(Price!$L$3:$AM$3=AB$3)*(Price!$L$4:$AM$4=AB$4),0))</f>
        <v>1310.4775</v>
      </c>
      <c r="AC65" s="145" cm="1">
        <f t="array" ref="AC65">INDEX(Price!$L$11:$AM$182,MATCH(1,(Price!$A$11:$A$182=$A65)*(Price!$B$11:$B$182=$B65)*(Price!$D$11:$D$182="exw"),0),MATCH(1,(Price!$L$3:$AM$3=AC$3)*(Price!$L$4:$AM$4=AC$4),0))</f>
        <v>1310.8150000000001</v>
      </c>
      <c r="AD65" s="146" cm="1">
        <f t="array" ref="AD65">INDEX(Price!$L$11:$AM$182,MATCH(1,(Price!$A$11:$A$182=$A65)*(Price!$B$11:$B$182=$B65)*(Price!$D$11:$D$182="exw"),0),MATCH(1,(Price!$L$3:$AM$3=AD$3)*(Price!$L$4:$AM$4=AD$4),0))</f>
        <v>1310.996875</v>
      </c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6"/>
    </row>
    <row r="66" spans="1:42" ht="11.5" customHeight="1" outlineLevel="1" x14ac:dyDescent="0.35">
      <c r="A66" t="s">
        <v>40</v>
      </c>
      <c r="B66" t="s">
        <v>29</v>
      </c>
      <c r="C66" s="14" t="s">
        <v>9</v>
      </c>
      <c r="D66" s="172">
        <v>4.3</v>
      </c>
      <c r="E66" s="8"/>
      <c r="F66" s="326" t="s">
        <v>11</v>
      </c>
      <c r="G66" s="320" cm="1">
        <f t="array" ref="G66">SUMPRODUCT(General_Data*(Code_General_Data=$C66)*(Year=G$3)*(Month=G$4))</f>
        <v>930</v>
      </c>
      <c r="H66" s="132" cm="1">
        <f t="array" ref="H66">SUMPRODUCT(General_Data*(Code_General_Data=$C66)*(Year=H$3)*(Month=H$4))</f>
        <v>943.33333333333337</v>
      </c>
      <c r="I66" s="132" cm="1">
        <f t="array" ref="I66">SUMPRODUCT(General_Data*(Code_General_Data=$C66)*(Year=I$3)*(Month=I$4))</f>
        <v>940</v>
      </c>
      <c r="J66" s="132" cm="1">
        <f t="array" ref="J66">SUMPRODUCT(General_Data*(Code_General_Data=$C66)*(Year=J$3)*(Month=J$4))</f>
        <v>940</v>
      </c>
      <c r="K66" s="132" cm="1">
        <f t="array" ref="K66">SUMPRODUCT(General_Data*(Code_General_Data=$C66)*(Year=K$3)*(Month=K$4))</f>
        <v>942</v>
      </c>
      <c r="L66" s="132" cm="1">
        <f t="array" ref="L66">SUMPRODUCT(General_Data*(Code_General_Data=$C66)*(Year=L$3)*(Month=L$4))</f>
        <v>950</v>
      </c>
      <c r="M66" s="132" cm="1">
        <f t="array" ref="M66">SUMPRODUCT(General_Data*(Code_General_Data=$C66)*(Year=M$3)*(Month=M$4))</f>
        <v>947.5</v>
      </c>
      <c r="N66" s="132" cm="1">
        <f t="array" ref="N66">SUMPRODUCT(General_Data*(Code_General_Data=$C66)*(Year=N$3)*(Month=N$4))</f>
        <v>930</v>
      </c>
      <c r="O66" s="132" cm="1">
        <f t="array" ref="O66">SUMPRODUCT(General_Data*(Code_General_Data=$C66)*(Year=O$3)*(Month=O$4))</f>
        <v>880</v>
      </c>
      <c r="P66" s="132" cm="1">
        <f t="array" ref="P66">SUMPRODUCT(General_Data*(Code_General_Data=$C66)*(Year=P$3)*(Month=P$4))</f>
        <v>862.5</v>
      </c>
      <c r="Q66" s="132" cm="1">
        <f t="array" ref="Q66">SUMPRODUCT(General_Data*(Code_General_Data=$C66)*(Year=Q$3)*(Month=Q$4))</f>
        <v>852</v>
      </c>
      <c r="R66" s="133" cm="1">
        <f t="array" ref="R66">SUMPRODUCT(General_Data*(Code_General_Data=$C66)*(Year=R$3)*(Month=R$4))</f>
        <v>830</v>
      </c>
      <c r="S66" s="132" cm="1">
        <f t="array" ref="S66">SUMPRODUCT(General_Data*(Code_General_Data=$C66)*(Year=S$3)*(Month=S$4))</f>
        <v>828</v>
      </c>
      <c r="T66" s="132" cm="1">
        <f t="array" ref="T66">SUMPRODUCT(General_Data*(Code_General_Data=$C66)*(Year=T$3)*(Month=T$4))</f>
        <v>840</v>
      </c>
      <c r="U66" s="132" cm="1">
        <f t="array" ref="U66">SUMPRODUCT(General_Data*(Code_General_Data=$C66)*(Year=U$3)*(Month=U$4))</f>
        <v>823</v>
      </c>
      <c r="V66" s="132" cm="1">
        <f t="array" ref="V66">SUMPRODUCT(General_Data*(Code_General_Data=$C66)*(Year=V$3)*(Month=V$4))</f>
        <v>765</v>
      </c>
      <c r="W66" s="132" cm="1">
        <f t="array" ref="W66">SUMPRODUCT(General_Data*(Code_General_Data=$C66)*(Year=W$3)*(Month=W$4))</f>
        <v>782</v>
      </c>
      <c r="X66" s="132" cm="1">
        <f t="array" ref="X66">SUMPRODUCT(General_Data*(Code_General_Data=$C66)*(Year=X$3)*(Month=X$4))</f>
        <v>807.5</v>
      </c>
      <c r="Y66" s="132" cm="1">
        <f t="array" ref="Y66">SUMPRODUCT(General_Data*(Code_General_Data=$C66)*(Year=Y$3)*(Month=Y$4))</f>
        <v>802</v>
      </c>
      <c r="Z66" s="132" cm="1">
        <f t="array" ref="Z66">SUMPRODUCT(General_Data*(Code_General_Data=$C66)*(Year=Z$3)*(Month=Z$4))</f>
        <v>795</v>
      </c>
      <c r="AA66" s="132" cm="1">
        <f t="array" ref="AA66">SUMPRODUCT(General_Data*(Code_General_Data=$C66)*(Year=AA$3)*(Month=AA$4))</f>
        <v>783</v>
      </c>
      <c r="AB66" s="132" cm="1">
        <f t="array" ref="AB66">SUMPRODUCT(General_Data*(Code_General_Data=$C66)*(Year=AB$3)*(Month=AB$4))</f>
        <v>772</v>
      </c>
      <c r="AC66" s="132" cm="1">
        <f t="array" ref="AC66">SUMPRODUCT(General_Data*(Code_General_Data=$C66)*(Year=AC$3)*(Month=AC$4))</f>
        <v>770</v>
      </c>
      <c r="AD66" s="133" cm="1">
        <f t="array" ref="AD66">SUMPRODUCT(General_Data*(Code_General_Data=$C66)*(Year=AD$3)*(Month=AD$4))</f>
        <v>770</v>
      </c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3"/>
    </row>
    <row r="67" spans="1:42" s="152" customFormat="1" ht="11.5" customHeight="1" outlineLevel="1" x14ac:dyDescent="0.35">
      <c r="A67" s="152" t="s">
        <v>40</v>
      </c>
      <c r="B67" s="152" t="s">
        <v>29</v>
      </c>
      <c r="D67" s="173">
        <v>4.4000000000000004</v>
      </c>
      <c r="E67" s="153"/>
      <c r="F67" s="327" t="s">
        <v>430</v>
      </c>
      <c r="G67" s="154">
        <f t="shared" ref="G67:AD67" si="18">IF(G64*G65*G66&lt;&gt;0,G65-G66,0)</f>
        <v>410</v>
      </c>
      <c r="H67" s="154">
        <f t="shared" si="18"/>
        <v>404.16666666666663</v>
      </c>
      <c r="I67" s="154">
        <f t="shared" si="18"/>
        <v>420</v>
      </c>
      <c r="J67" s="154">
        <f t="shared" si="18"/>
        <v>422.5</v>
      </c>
      <c r="K67" s="154">
        <f t="shared" si="18"/>
        <v>424.5</v>
      </c>
      <c r="L67" s="154">
        <f t="shared" si="18"/>
        <v>431.5</v>
      </c>
      <c r="M67" s="154">
        <f t="shared" si="18"/>
        <v>450</v>
      </c>
      <c r="N67" s="154">
        <f t="shared" si="18"/>
        <v>478.5</v>
      </c>
      <c r="O67" s="154">
        <f t="shared" si="18"/>
        <v>548.5</v>
      </c>
      <c r="P67" s="154">
        <f t="shared" si="18"/>
        <v>593.75</v>
      </c>
      <c r="Q67" s="154">
        <f t="shared" si="18"/>
        <v>621.75</v>
      </c>
      <c r="R67" s="155">
        <f t="shared" si="18"/>
        <v>647.5</v>
      </c>
      <c r="S67" s="154">
        <f t="shared" si="18"/>
        <v>598.40312500000005</v>
      </c>
      <c r="T67" s="154">
        <f t="shared" si="18"/>
        <v>548.64479166666524</v>
      </c>
      <c r="U67" s="154">
        <f t="shared" si="18"/>
        <v>530.5541666666652</v>
      </c>
      <c r="V67" s="154">
        <f t="shared" si="18"/>
        <v>589.375</v>
      </c>
      <c r="W67" s="154">
        <f t="shared" si="18"/>
        <v>577.29999999999995</v>
      </c>
      <c r="X67" s="154">
        <f t="shared" si="18"/>
        <v>551.79999999999995</v>
      </c>
      <c r="Y67" s="154">
        <f t="shared" si="18"/>
        <v>557.29999999999995</v>
      </c>
      <c r="Z67" s="154">
        <f t="shared" si="18"/>
        <v>546.56999999999994</v>
      </c>
      <c r="AA67" s="154">
        <f t="shared" si="18"/>
        <v>527.05749999999989</v>
      </c>
      <c r="AB67" s="154">
        <f t="shared" si="18"/>
        <v>538.47749999999996</v>
      </c>
      <c r="AC67" s="154">
        <f t="shared" si="18"/>
        <v>540.81500000000005</v>
      </c>
      <c r="AD67" s="155">
        <f t="shared" si="18"/>
        <v>540.99687500000005</v>
      </c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5"/>
    </row>
    <row r="68" spans="1:42" s="156" customFormat="1" ht="11.5" customHeight="1" outlineLevel="1" x14ac:dyDescent="0.35">
      <c r="A68" s="156" t="s">
        <v>40</v>
      </c>
      <c r="B68" s="156" t="s">
        <v>29</v>
      </c>
      <c r="D68" s="174">
        <v>4.5</v>
      </c>
      <c r="E68" s="157"/>
      <c r="F68" s="328" t="s">
        <v>14</v>
      </c>
      <c r="G68" s="158">
        <f t="shared" ref="G68:AD68" si="19">IFERROR(G67/G66,0)</f>
        <v>0.44086021505376344</v>
      </c>
      <c r="H68" s="158">
        <f t="shared" si="19"/>
        <v>0.42844522968197873</v>
      </c>
      <c r="I68" s="158">
        <f t="shared" si="19"/>
        <v>0.44680851063829785</v>
      </c>
      <c r="J68" s="158">
        <f t="shared" si="19"/>
        <v>0.44946808510638298</v>
      </c>
      <c r="K68" s="158">
        <f t="shared" si="19"/>
        <v>0.45063694267515925</v>
      </c>
      <c r="L68" s="158">
        <f t="shared" si="19"/>
        <v>0.45421052631578945</v>
      </c>
      <c r="M68" s="158">
        <f t="shared" si="19"/>
        <v>0.47493403693931396</v>
      </c>
      <c r="N68" s="158">
        <f t="shared" si="19"/>
        <v>0.51451612903225807</v>
      </c>
      <c r="O68" s="158">
        <f t="shared" si="19"/>
        <v>0.62329545454545454</v>
      </c>
      <c r="P68" s="158">
        <f t="shared" si="19"/>
        <v>0.68840579710144922</v>
      </c>
      <c r="Q68" s="158">
        <f t="shared" si="19"/>
        <v>0.72975352112676062</v>
      </c>
      <c r="R68" s="159">
        <f t="shared" si="19"/>
        <v>0.78012048192771088</v>
      </c>
      <c r="S68" s="158">
        <f t="shared" si="19"/>
        <v>0.72270908816425128</v>
      </c>
      <c r="T68" s="158">
        <f t="shared" si="19"/>
        <v>0.65314856150793477</v>
      </c>
      <c r="U68" s="158">
        <f t="shared" si="19"/>
        <v>0.64465876873227845</v>
      </c>
      <c r="V68" s="158">
        <f t="shared" si="19"/>
        <v>0.77042483660130723</v>
      </c>
      <c r="W68" s="158">
        <f t="shared" si="19"/>
        <v>0.73823529411764699</v>
      </c>
      <c r="X68" s="158">
        <f t="shared" si="19"/>
        <v>0.68334365325077395</v>
      </c>
      <c r="Y68" s="158">
        <f t="shared" si="19"/>
        <v>0.69488778054862832</v>
      </c>
      <c r="Z68" s="158">
        <f t="shared" si="19"/>
        <v>0.68750943396226405</v>
      </c>
      <c r="AA68" s="158">
        <f t="shared" si="19"/>
        <v>0.67312579821200502</v>
      </c>
      <c r="AB68" s="158">
        <f t="shared" si="19"/>
        <v>0.69750971502590664</v>
      </c>
      <c r="AC68" s="158">
        <f t="shared" si="19"/>
        <v>0.7023571428571429</v>
      </c>
      <c r="AD68" s="159">
        <f t="shared" si="19"/>
        <v>0.70259334415584418</v>
      </c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9"/>
    </row>
    <row r="69" spans="1:42" s="137" customFormat="1" ht="11.5" customHeight="1" outlineLevel="1" x14ac:dyDescent="0.35">
      <c r="A69" s="137" t="s">
        <v>40</v>
      </c>
      <c r="B69" s="137" t="s">
        <v>29</v>
      </c>
      <c r="C69" s="137" t="s">
        <v>29</v>
      </c>
      <c r="D69" s="175">
        <v>4.5999999999999996</v>
      </c>
      <c r="E69" s="138"/>
      <c r="F69" s="329" t="s">
        <v>203</v>
      </c>
      <c r="G69" s="139" cm="1">
        <f t="array" ref="G69">SUMPRODUCT(General_Data*(Code_General_Data=$C69)*(Year=G$3)*(Month=G$4))</f>
        <v>1340</v>
      </c>
      <c r="H69" s="139" cm="1">
        <f t="array" ref="H69">SUMPRODUCT(General_Data*(Code_General_Data=$C69)*(Year=H$3)*(Month=H$4))</f>
        <v>1340</v>
      </c>
      <c r="I69" s="139" cm="1">
        <f t="array" ref="I69">SUMPRODUCT(General_Data*(Code_General_Data=$C69)*(Year=I$3)*(Month=I$4))</f>
        <v>1340</v>
      </c>
      <c r="J69" s="139" cm="1">
        <f t="array" ref="J69">SUMPRODUCT(General_Data*(Code_General_Data=$C69)*(Year=J$3)*(Month=J$4))</f>
        <v>1340</v>
      </c>
      <c r="K69" s="139" cm="1">
        <f t="array" ref="K69">SUMPRODUCT(General_Data*(Code_General_Data=$C69)*(Year=K$3)*(Month=K$4))</f>
        <v>1390</v>
      </c>
      <c r="L69" s="139" cm="1">
        <f t="array" ref="L69">SUMPRODUCT(General_Data*(Code_General_Data=$C69)*(Year=L$3)*(Month=L$4))</f>
        <v>1390</v>
      </c>
      <c r="M69" s="139" cm="1">
        <f t="array" ref="M69">SUMPRODUCT(General_Data*(Code_General_Data=$C69)*(Year=M$3)*(Month=M$4))</f>
        <v>1390</v>
      </c>
      <c r="N69" s="139" cm="1">
        <f t="array" ref="N69">SUMPRODUCT(General_Data*(Code_General_Data=$C69)*(Year=N$3)*(Month=N$4))</f>
        <v>1390</v>
      </c>
      <c r="O69" s="139" cm="1">
        <f t="array" ref="O69">SUMPRODUCT(General_Data*(Code_General_Data=$C69)*(Year=O$3)*(Month=O$4))</f>
        <v>1400</v>
      </c>
      <c r="P69" s="139" cm="1">
        <f t="array" ref="P69">SUMPRODUCT(General_Data*(Code_General_Data=$C69)*(Year=P$3)*(Month=P$4))</f>
        <v>1415</v>
      </c>
      <c r="Q69" s="139" cm="1">
        <f t="array" ref="Q69">SUMPRODUCT(General_Data*(Code_General_Data=$C69)*(Year=Q$3)*(Month=Q$4))</f>
        <v>1415</v>
      </c>
      <c r="R69" s="140" cm="1">
        <f t="array" ref="R69">SUMPRODUCT(General_Data*(Code_General_Data=$C69)*(Year=R$3)*(Month=R$4))</f>
        <v>1365</v>
      </c>
      <c r="S69" s="139" cm="1">
        <f t="array" ref="S69">SUMPRODUCT(General_Data*(Code_General_Data=$C69)*(Year=S$3)*(Month=S$4))</f>
        <v>1320</v>
      </c>
      <c r="T69" s="139" cm="1">
        <f t="array" ref="T69">SUMPRODUCT(General_Data*(Code_General_Data=$C69)*(Year=T$3)*(Month=T$4))</f>
        <v>1280</v>
      </c>
      <c r="U69" s="139" cm="1">
        <f t="array" ref="U69">SUMPRODUCT(General_Data*(Code_General_Data=$C69)*(Year=U$3)*(Month=U$4))</f>
        <v>1320</v>
      </c>
      <c r="V69" s="139" cm="1">
        <f t="array" ref="V69">SUMPRODUCT(General_Data*(Code_General_Data=$C69)*(Year=V$3)*(Month=V$4))</f>
        <v>1340</v>
      </c>
      <c r="W69" s="139" cm="1">
        <f t="array" ref="W69">SUMPRODUCT(General_Data*(Code_General_Data=$C69)*(Year=W$3)*(Month=W$4))</f>
        <v>1340</v>
      </c>
      <c r="X69" s="139" cm="1">
        <f t="array" ref="X69">SUMPRODUCT(General_Data*(Code_General_Data=$C69)*(Year=X$3)*(Month=X$4))</f>
        <v>1340</v>
      </c>
      <c r="Y69" s="139" cm="1">
        <f t="array" ref="Y69">SUMPRODUCT(General_Data*(Code_General_Data=$C69)*(Year=Y$3)*(Month=Y$4))</f>
        <v>1340</v>
      </c>
      <c r="Z69" s="139" cm="1">
        <f t="array" ref="Z69">SUMPRODUCT(General_Data*(Code_General_Data=$C69)*(Year=Z$3)*(Month=Z$4))</f>
        <v>1310</v>
      </c>
      <c r="AA69" s="139" cm="1">
        <f t="array" ref="AA69">SUMPRODUCT(General_Data*(Code_General_Data=$C69)*(Year=AA$3)*(Month=AA$4))</f>
        <v>1310</v>
      </c>
      <c r="AB69" s="139" cm="1">
        <f t="array" ref="AB69">SUMPRODUCT(General_Data*(Code_General_Data=$C69)*(Year=AB$3)*(Month=AB$4))</f>
        <v>1300</v>
      </c>
      <c r="AC69" s="139" cm="1">
        <f t="array" ref="AC69">SUMPRODUCT(General_Data*(Code_General_Data=$C69)*(Year=AC$3)*(Month=AC$4))</f>
        <v>1290</v>
      </c>
      <c r="AD69" s="140" cm="1">
        <f t="array" ref="AD69">SUMPRODUCT(General_Data*(Code_General_Data=$C69)*(Year=AD$3)*(Month=AD$4))</f>
        <v>1290</v>
      </c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40"/>
    </row>
    <row r="70" spans="1:42" ht="3.65" customHeight="1" x14ac:dyDescent="0.35">
      <c r="A70" t="s">
        <v>40</v>
      </c>
      <c r="D70" s="168"/>
    </row>
    <row r="71" spans="1:42" s="148" customFormat="1" ht="13.4" customHeight="1" outlineLevel="1" x14ac:dyDescent="0.4">
      <c r="A71" s="148" t="s">
        <v>40</v>
      </c>
      <c r="B71" s="148" t="s">
        <v>31</v>
      </c>
      <c r="D71" s="161"/>
      <c r="E71" s="149"/>
      <c r="F71" s="323" t="s">
        <v>30</v>
      </c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50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50"/>
    </row>
    <row r="72" spans="1:42" s="69" customFormat="1" ht="11.5" customHeight="1" outlineLevel="1" x14ac:dyDescent="0.35">
      <c r="A72" s="69" t="s">
        <v>40</v>
      </c>
      <c r="B72" s="69" t="s">
        <v>31</v>
      </c>
      <c r="D72" s="170">
        <v>4.7</v>
      </c>
      <c r="E72" s="134"/>
      <c r="F72" s="324" t="s">
        <v>28</v>
      </c>
      <c r="G72" s="135" cm="1">
        <f t="array" ref="G72">INDEX(Price!$L$11:$AM$182,MATCH(1,(Price!$A$11:$A$182=$A72)*(Price!$B$11:$B$182=$B72)*(Price!$D$11:$D$182="gb"),0),MATCH(1,(Price!$L$3:$AM$3=G$3)*(Price!$L$4:$AM$4=G$4),0))</f>
        <v>1346.5</v>
      </c>
      <c r="H72" s="135" cm="1">
        <f t="array" ref="H72">INDEX(Price!$L$11:$AM$182,MATCH(1,(Price!$A$11:$A$182=$A72)*(Price!$B$11:$B$182=$B72)*(Price!$D$11:$D$182="gb"),0),MATCH(1,(Price!$L$3:$AM$3=H$3)*(Price!$L$4:$AM$4=H$4),0))</f>
        <v>1354</v>
      </c>
      <c r="I72" s="135" cm="1">
        <f t="array" ref="I72">INDEX(Price!$L$11:$AM$182,MATCH(1,(Price!$A$11:$A$182=$A72)*(Price!$B$11:$B$182=$B72)*(Price!$D$11:$D$182="gb"),0),MATCH(1,(Price!$L$3:$AM$3=I$3)*(Price!$L$4:$AM$4=I$4),0))</f>
        <v>1366.5</v>
      </c>
      <c r="J72" s="135" cm="1">
        <f t="array" ref="J72">INDEX(Price!$L$11:$AM$182,MATCH(1,(Price!$A$11:$A$182=$A72)*(Price!$B$11:$B$182=$B72)*(Price!$D$11:$D$182="gb"),0),MATCH(1,(Price!$L$3:$AM$3=J$3)*(Price!$L$4:$AM$4=J$4),0))</f>
        <v>1369</v>
      </c>
      <c r="K72" s="135" cm="1">
        <f t="array" ref="K72">INDEX(Price!$L$11:$AM$182,MATCH(1,(Price!$A$11:$A$182=$A72)*(Price!$B$11:$B$182=$B72)*(Price!$D$11:$D$182="gb"),0),MATCH(1,(Price!$L$3:$AM$3=K$3)*(Price!$L$4:$AM$4=K$4),0))</f>
        <v>1373</v>
      </c>
      <c r="L72" s="135" cm="1">
        <f t="array" ref="L72">INDEX(Price!$L$11:$AM$182,MATCH(1,(Price!$A$11:$A$182=$A72)*(Price!$B$11:$B$182=$B72)*(Price!$D$11:$D$182="gb"),0),MATCH(1,(Price!$L$3:$AM$3=L$3)*(Price!$L$4:$AM$4=L$4),0))</f>
        <v>1388</v>
      </c>
      <c r="M72" s="135" cm="1">
        <f t="array" ref="M72">INDEX(Price!$L$11:$AM$182,MATCH(1,(Price!$A$11:$A$182=$A72)*(Price!$B$11:$B$182=$B72)*(Price!$D$11:$D$182="gb"),0),MATCH(1,(Price!$L$3:$AM$3=M$3)*(Price!$L$4:$AM$4=M$4),0))</f>
        <v>1404</v>
      </c>
      <c r="N72" s="135" cm="1">
        <f t="array" ref="N72">INDEX(Price!$L$11:$AM$182,MATCH(1,(Price!$A$11:$A$182=$A72)*(Price!$B$11:$B$182=$B72)*(Price!$D$11:$D$182="gb"),0),MATCH(1,(Price!$L$3:$AM$3=N$3)*(Price!$L$4:$AM$4=N$4),0))</f>
        <v>1415</v>
      </c>
      <c r="O72" s="135" cm="1">
        <f t="array" ref="O72">INDEX(Price!$L$11:$AM$182,MATCH(1,(Price!$A$11:$A$182=$A72)*(Price!$B$11:$B$182=$B72)*(Price!$D$11:$D$182="gb"),0),MATCH(1,(Price!$L$3:$AM$3=O$3)*(Price!$L$4:$AM$4=O$4),0))</f>
        <v>1435</v>
      </c>
      <c r="P72" s="135" cm="1">
        <f t="array" ref="P72">INDEX(Price!$L$11:$AM$182,MATCH(1,(Price!$A$11:$A$182=$A72)*(Price!$B$11:$B$182=$B72)*(Price!$D$11:$D$182="gb"),0),MATCH(1,(Price!$L$3:$AM$3=P$3)*(Price!$L$4:$AM$4=P$4),0))</f>
        <v>1462.75</v>
      </c>
      <c r="Q72" s="135" cm="1">
        <f t="array" ref="Q72">INDEX(Price!$L$11:$AM$182,MATCH(1,(Price!$A$11:$A$182=$A72)*(Price!$B$11:$B$182=$B72)*(Price!$D$11:$D$182="gb"),0),MATCH(1,(Price!$L$3:$AM$3=Q$3)*(Price!$L$4:$AM$4=Q$4),0))</f>
        <v>1480.25</v>
      </c>
      <c r="R72" s="136" cm="1">
        <f t="array" ref="R72">INDEX(Price!$L$11:$AM$182,MATCH(1,(Price!$A$11:$A$182=$A72)*(Price!$B$11:$B$182=$B72)*(Price!$D$11:$D$182="gb"),0),MATCH(1,(Price!$L$3:$AM$3=R$3)*(Price!$L$4:$AM$4=R$4),0))</f>
        <v>1484</v>
      </c>
      <c r="S72" s="135" cm="1">
        <f t="array" ref="S72">INDEX(Price!$L$11:$AM$182,MATCH(1,(Price!$A$11:$A$182=$A72)*(Price!$B$11:$B$182=$B72)*(Price!$D$11:$D$182="gb"),0),MATCH(1,(Price!$L$3:$AM$3=S$3)*(Price!$L$4:$AM$4=S$4),0))</f>
        <v>1452.903125</v>
      </c>
      <c r="T72" s="135" cm="1">
        <f t="array" ref="T72">INDEX(Price!$L$11:$AM$182,MATCH(1,(Price!$A$11:$A$182=$A72)*(Price!$B$11:$B$182=$B72)*(Price!$D$11:$D$182="gb"),0),MATCH(1,(Price!$L$3:$AM$3=T$3)*(Price!$L$4:$AM$4=T$4),0))</f>
        <v>1415.1447916666652</v>
      </c>
      <c r="U72" s="135" cm="1">
        <f t="array" ref="U72">INDEX(Price!$L$11:$AM$182,MATCH(1,(Price!$A$11:$A$182=$A72)*(Price!$B$11:$B$182=$B72)*(Price!$D$11:$D$182="gb"),0),MATCH(1,(Price!$L$3:$AM$3=U$3)*(Price!$L$4:$AM$4=U$4),0))</f>
        <v>1380.0541666666652</v>
      </c>
      <c r="V72" s="135" cm="1">
        <f t="array" ref="V72">INDEX(Price!$L$11:$AM$182,MATCH(1,(Price!$A$11:$A$182=$A72)*(Price!$B$11:$B$182=$B72)*(Price!$D$11:$D$182="gb"),0),MATCH(1,(Price!$L$3:$AM$3=V$3)*(Price!$L$4:$AM$4=V$4),0))</f>
        <v>1380.875</v>
      </c>
      <c r="W72" s="135" cm="1">
        <f t="array" ref="W72">INDEX(Price!$L$11:$AM$182,MATCH(1,(Price!$A$11:$A$182=$A72)*(Price!$B$11:$B$182=$B72)*(Price!$D$11:$D$182="gb"),0),MATCH(1,(Price!$L$3:$AM$3=W$3)*(Price!$L$4:$AM$4=W$4),0))</f>
        <v>1385.8</v>
      </c>
      <c r="X72" s="135" cm="1">
        <f t="array" ref="X72">INDEX(Price!$L$11:$AM$182,MATCH(1,(Price!$A$11:$A$182=$A72)*(Price!$B$11:$B$182=$B72)*(Price!$D$11:$D$182="gb"),0),MATCH(1,(Price!$L$3:$AM$3=X$3)*(Price!$L$4:$AM$4=X$4),0))</f>
        <v>1385.8</v>
      </c>
      <c r="Y72" s="135" cm="1">
        <f t="array" ref="Y72">INDEX(Price!$L$11:$AM$182,MATCH(1,(Price!$A$11:$A$182=$A72)*(Price!$B$11:$B$182=$B72)*(Price!$D$11:$D$182="gb"),0),MATCH(1,(Price!$L$3:$AM$3=Y$3)*(Price!$L$4:$AM$4=Y$4),0))</f>
        <v>1385.8</v>
      </c>
      <c r="Z72" s="135" cm="1">
        <f t="array" ref="Z72">INDEX(Price!$L$11:$AM$182,MATCH(1,(Price!$A$11:$A$182=$A72)*(Price!$B$11:$B$182=$B72)*(Price!$D$11:$D$182="gb"),0),MATCH(1,(Price!$L$3:$AM$3=Z$3)*(Price!$L$4:$AM$4=Z$4),0))</f>
        <v>1368.07</v>
      </c>
      <c r="AA72" s="135" cm="1">
        <f t="array" ref="AA72">INDEX(Price!$L$11:$AM$182,MATCH(1,(Price!$A$11:$A$182=$A72)*(Price!$B$11:$B$182=$B72)*(Price!$D$11:$D$182="gb"),0),MATCH(1,(Price!$L$3:$AM$3=AA$3)*(Price!$L$4:$AM$4=AA$4),0))</f>
        <v>1336.5574999999999</v>
      </c>
      <c r="AB72" s="135" cm="1">
        <f t="array" ref="AB72">INDEX(Price!$L$11:$AM$182,MATCH(1,(Price!$A$11:$A$182=$A72)*(Price!$B$11:$B$182=$B72)*(Price!$D$11:$D$182="gb"),0),MATCH(1,(Price!$L$3:$AM$3=AB$3)*(Price!$L$4:$AM$4=AB$4),0))</f>
        <v>1336.9775</v>
      </c>
      <c r="AC72" s="135" cm="1">
        <f t="array" ref="AC72">INDEX(Price!$L$11:$AM$182,MATCH(1,(Price!$A$11:$A$182=$A72)*(Price!$B$11:$B$182=$B72)*(Price!$D$11:$D$182="gb"),0),MATCH(1,(Price!$L$3:$AM$3=AC$3)*(Price!$L$4:$AM$4=AC$4),0))</f>
        <v>1337.3150000000001</v>
      </c>
      <c r="AD72" s="136" cm="1">
        <f t="array" ref="AD72">INDEX(Price!$L$11:$AM$182,MATCH(1,(Price!$A$11:$A$182=$A72)*(Price!$B$11:$B$182=$B72)*(Price!$D$11:$D$182="gb"),0),MATCH(1,(Price!$L$3:$AM$3=AD$3)*(Price!$L$4:$AM$4=AD$4),0))</f>
        <v>1337.496875</v>
      </c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6"/>
    </row>
    <row r="73" spans="1:42" s="1" customFormat="1" ht="11.5" customHeight="1" outlineLevel="1" x14ac:dyDescent="0.35">
      <c r="A73" s="1" t="s">
        <v>40</v>
      </c>
      <c r="B73" s="1" t="s">
        <v>31</v>
      </c>
      <c r="C73" s="143" t="s">
        <v>322</v>
      </c>
      <c r="D73" s="171">
        <v>4.8</v>
      </c>
      <c r="E73" s="144"/>
      <c r="F73" s="325" t="s">
        <v>8</v>
      </c>
      <c r="G73" s="145" cm="1">
        <f t="array" ref="G73">INDEX(Price!$L$11:$AM$182,MATCH(1,(Price!$A$11:$A$182=$A73)*(Price!$B$11:$B$182=$B73)*(Price!$D$11:$D$182="exw"),0),MATCH(1,(Price!$L$3:$AM$3=G$3)*(Price!$L$4:$AM$4=G$4),0))</f>
        <v>1320</v>
      </c>
      <c r="H73" s="145" cm="1">
        <f t="array" ref="H73">INDEX(Price!$L$11:$AM$182,MATCH(1,(Price!$A$11:$A$182=$A73)*(Price!$B$11:$B$182=$B73)*(Price!$D$11:$D$182="exw"),0),MATCH(1,(Price!$L$3:$AM$3=H$3)*(Price!$L$4:$AM$4=H$4),0))</f>
        <v>1327.5</v>
      </c>
      <c r="I73" s="145" cm="1">
        <f t="array" ref="I73">INDEX(Price!$L$11:$AM$182,MATCH(1,(Price!$A$11:$A$182=$A73)*(Price!$B$11:$B$182=$B73)*(Price!$D$11:$D$182="exw"),0),MATCH(1,(Price!$L$3:$AM$3=I$3)*(Price!$L$4:$AM$4=I$4),0))</f>
        <v>1340</v>
      </c>
      <c r="J73" s="145" cm="1">
        <f t="array" ref="J73">INDEX(Price!$L$11:$AM$182,MATCH(1,(Price!$A$11:$A$182=$A73)*(Price!$B$11:$B$182=$B73)*(Price!$D$11:$D$182="exw"),0),MATCH(1,(Price!$L$3:$AM$3=J$3)*(Price!$L$4:$AM$4=J$4),0))</f>
        <v>1342.5</v>
      </c>
      <c r="K73" s="145" cm="1">
        <f t="array" ref="K73">INDEX(Price!$L$11:$AM$182,MATCH(1,(Price!$A$11:$A$182=$A73)*(Price!$B$11:$B$182=$B73)*(Price!$D$11:$D$182="exw"),0),MATCH(1,(Price!$L$3:$AM$3=K$3)*(Price!$L$4:$AM$4=K$4),0))</f>
        <v>1346.5</v>
      </c>
      <c r="L73" s="145" cm="1">
        <f t="array" ref="L73">INDEX(Price!$L$11:$AM$182,MATCH(1,(Price!$A$11:$A$182=$A73)*(Price!$B$11:$B$182=$B73)*(Price!$D$11:$D$182="exw"),0),MATCH(1,(Price!$L$3:$AM$3=L$3)*(Price!$L$4:$AM$4=L$4),0))</f>
        <v>1361.5</v>
      </c>
      <c r="M73" s="145" cm="1">
        <f t="array" ref="M73">INDEX(Price!$L$11:$AM$182,MATCH(1,(Price!$A$11:$A$182=$A73)*(Price!$B$11:$B$182=$B73)*(Price!$D$11:$D$182="exw"),0),MATCH(1,(Price!$L$3:$AM$3=M$3)*(Price!$L$4:$AM$4=M$4),0))</f>
        <v>1377.5</v>
      </c>
      <c r="N73" s="145" cm="1">
        <f t="array" ref="N73">INDEX(Price!$L$11:$AM$182,MATCH(1,(Price!$A$11:$A$182=$A73)*(Price!$B$11:$B$182=$B73)*(Price!$D$11:$D$182="exw"),0),MATCH(1,(Price!$L$3:$AM$3=N$3)*(Price!$L$4:$AM$4=N$4),0))</f>
        <v>1388.5</v>
      </c>
      <c r="O73" s="145" cm="1">
        <f t="array" ref="O73">INDEX(Price!$L$11:$AM$182,MATCH(1,(Price!$A$11:$A$182=$A73)*(Price!$B$11:$B$182=$B73)*(Price!$D$11:$D$182="exw"),0),MATCH(1,(Price!$L$3:$AM$3=O$3)*(Price!$L$4:$AM$4=O$4),0))</f>
        <v>1408.5</v>
      </c>
      <c r="P73" s="145" cm="1">
        <f t="array" ref="P73">INDEX(Price!$L$11:$AM$182,MATCH(1,(Price!$A$11:$A$182=$A73)*(Price!$B$11:$B$182=$B73)*(Price!$D$11:$D$182="exw"),0),MATCH(1,(Price!$L$3:$AM$3=P$3)*(Price!$L$4:$AM$4=P$4),0))</f>
        <v>1436.25</v>
      </c>
      <c r="Q73" s="145" cm="1">
        <f t="array" ref="Q73">INDEX(Price!$L$11:$AM$182,MATCH(1,(Price!$A$11:$A$182=$A73)*(Price!$B$11:$B$182=$B73)*(Price!$D$11:$D$182="exw"),0),MATCH(1,(Price!$L$3:$AM$3=Q$3)*(Price!$L$4:$AM$4=Q$4),0))</f>
        <v>1453.75</v>
      </c>
      <c r="R73" s="146" cm="1">
        <f t="array" ref="R73">INDEX(Price!$L$11:$AM$182,MATCH(1,(Price!$A$11:$A$182=$A73)*(Price!$B$11:$B$182=$B73)*(Price!$D$11:$D$182="exw"),0),MATCH(1,(Price!$L$3:$AM$3=R$3)*(Price!$L$4:$AM$4=R$4),0))</f>
        <v>1457.5</v>
      </c>
      <c r="S73" s="145" cm="1">
        <f t="array" ref="S73">INDEX(Price!$L$11:$AM$182,MATCH(1,(Price!$A$11:$A$182=$A73)*(Price!$B$11:$B$182=$B73)*(Price!$D$11:$D$182="exw"),0),MATCH(1,(Price!$L$3:$AM$3=S$3)*(Price!$L$4:$AM$4=S$4),0))</f>
        <v>1426.403125</v>
      </c>
      <c r="T73" s="145" cm="1">
        <f t="array" ref="T73">INDEX(Price!$L$11:$AM$182,MATCH(1,(Price!$A$11:$A$182=$A73)*(Price!$B$11:$B$182=$B73)*(Price!$D$11:$D$182="exw"),0),MATCH(1,(Price!$L$3:$AM$3=T$3)*(Price!$L$4:$AM$4=T$4),0))</f>
        <v>1388.6447916666652</v>
      </c>
      <c r="U73" s="145" cm="1">
        <f t="array" ref="U73">INDEX(Price!$L$11:$AM$182,MATCH(1,(Price!$A$11:$A$182=$A73)*(Price!$B$11:$B$182=$B73)*(Price!$D$11:$D$182="exw"),0),MATCH(1,(Price!$L$3:$AM$3=U$3)*(Price!$L$4:$AM$4=U$4),0))</f>
        <v>1353.5541666666652</v>
      </c>
      <c r="V73" s="145" cm="1">
        <f t="array" ref="V73">INDEX(Price!$L$11:$AM$182,MATCH(1,(Price!$A$11:$A$182=$A73)*(Price!$B$11:$B$182=$B73)*(Price!$D$11:$D$182="exw"),0),MATCH(1,(Price!$L$3:$AM$3=V$3)*(Price!$L$4:$AM$4=V$4),0))</f>
        <v>1354.375</v>
      </c>
      <c r="W73" s="145" cm="1">
        <f t="array" ref="W73">INDEX(Price!$L$11:$AM$182,MATCH(1,(Price!$A$11:$A$182=$A73)*(Price!$B$11:$B$182=$B73)*(Price!$D$11:$D$182="exw"),0),MATCH(1,(Price!$L$3:$AM$3=W$3)*(Price!$L$4:$AM$4=W$4),0))</f>
        <v>1359.3</v>
      </c>
      <c r="X73" s="145" cm="1">
        <f t="array" ref="X73">INDEX(Price!$L$11:$AM$182,MATCH(1,(Price!$A$11:$A$182=$A73)*(Price!$B$11:$B$182=$B73)*(Price!$D$11:$D$182="exw"),0),MATCH(1,(Price!$L$3:$AM$3=X$3)*(Price!$L$4:$AM$4=X$4),0))</f>
        <v>1359.3</v>
      </c>
      <c r="Y73" s="145" cm="1">
        <f t="array" ref="Y73">INDEX(Price!$L$11:$AM$182,MATCH(1,(Price!$A$11:$A$182=$A73)*(Price!$B$11:$B$182=$B73)*(Price!$D$11:$D$182="exw"),0),MATCH(1,(Price!$L$3:$AM$3=Y$3)*(Price!$L$4:$AM$4=Y$4),0))</f>
        <v>1359.3</v>
      </c>
      <c r="Z73" s="145" cm="1">
        <f t="array" ref="Z73">INDEX(Price!$L$11:$AM$182,MATCH(1,(Price!$A$11:$A$182=$A73)*(Price!$B$11:$B$182=$B73)*(Price!$D$11:$D$182="exw"),0),MATCH(1,(Price!$L$3:$AM$3=Z$3)*(Price!$L$4:$AM$4=Z$4),0))</f>
        <v>1341.57</v>
      </c>
      <c r="AA73" s="145" cm="1">
        <f t="array" ref="AA73">INDEX(Price!$L$11:$AM$182,MATCH(1,(Price!$A$11:$A$182=$A73)*(Price!$B$11:$B$182=$B73)*(Price!$D$11:$D$182="exw"),0),MATCH(1,(Price!$L$3:$AM$3=AA$3)*(Price!$L$4:$AM$4=AA$4),0))</f>
        <v>1310.0574999999999</v>
      </c>
      <c r="AB73" s="145" cm="1">
        <f t="array" ref="AB73">INDEX(Price!$L$11:$AM$182,MATCH(1,(Price!$A$11:$A$182=$A73)*(Price!$B$11:$B$182=$B73)*(Price!$D$11:$D$182="exw"),0),MATCH(1,(Price!$L$3:$AM$3=AB$3)*(Price!$L$4:$AM$4=AB$4),0))</f>
        <v>1310.4775</v>
      </c>
      <c r="AC73" s="145" cm="1">
        <f t="array" ref="AC73">INDEX(Price!$L$11:$AM$182,MATCH(1,(Price!$A$11:$A$182=$A73)*(Price!$B$11:$B$182=$B73)*(Price!$D$11:$D$182="exw"),0),MATCH(1,(Price!$L$3:$AM$3=AC$3)*(Price!$L$4:$AM$4=AC$4),0))</f>
        <v>1310.8150000000001</v>
      </c>
      <c r="AD73" s="146" cm="1">
        <f t="array" ref="AD73">INDEX(Price!$L$11:$AM$182,MATCH(1,(Price!$A$11:$A$182=$A73)*(Price!$B$11:$B$182=$B73)*(Price!$D$11:$D$182="exw"),0),MATCH(1,(Price!$L$3:$AM$3=AD$3)*(Price!$L$4:$AM$4=AD$4),0))</f>
        <v>1310.996875</v>
      </c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6"/>
    </row>
    <row r="74" spans="1:42" ht="11.5" customHeight="1" outlineLevel="1" x14ac:dyDescent="0.35">
      <c r="A74" t="s">
        <v>40</v>
      </c>
      <c r="B74" t="s">
        <v>31</v>
      </c>
      <c r="C74" s="14" t="s">
        <v>9</v>
      </c>
      <c r="D74" s="172">
        <v>4.9000000000000004</v>
      </c>
      <c r="E74" s="8"/>
      <c r="F74" s="326" t="s">
        <v>11</v>
      </c>
      <c r="G74" s="320" cm="1">
        <f t="array" ref="G74">SUMPRODUCT(General_Data*(Code_General_Data=$C74)*(Year=G$3)*(Month=G$4))</f>
        <v>930</v>
      </c>
      <c r="H74" s="132" cm="1">
        <f t="array" ref="H74">SUMPRODUCT(General_Data*(Code_General_Data=$C74)*(Year=H$3)*(Month=H$4))</f>
        <v>943.33333333333337</v>
      </c>
      <c r="I74" s="132" cm="1">
        <f t="array" ref="I74">SUMPRODUCT(General_Data*(Code_General_Data=$C74)*(Year=I$3)*(Month=I$4))</f>
        <v>940</v>
      </c>
      <c r="J74" s="132" cm="1">
        <f t="array" ref="J74">SUMPRODUCT(General_Data*(Code_General_Data=$C74)*(Year=J$3)*(Month=J$4))</f>
        <v>940</v>
      </c>
      <c r="K74" s="132" cm="1">
        <f t="array" ref="K74">SUMPRODUCT(General_Data*(Code_General_Data=$C74)*(Year=K$3)*(Month=K$4))</f>
        <v>942</v>
      </c>
      <c r="L74" s="132" cm="1">
        <f t="array" ref="L74">SUMPRODUCT(General_Data*(Code_General_Data=$C74)*(Year=L$3)*(Month=L$4))</f>
        <v>950</v>
      </c>
      <c r="M74" s="132" cm="1">
        <f t="array" ref="M74">SUMPRODUCT(General_Data*(Code_General_Data=$C74)*(Year=M$3)*(Month=M$4))</f>
        <v>947.5</v>
      </c>
      <c r="N74" s="132" cm="1">
        <f t="array" ref="N74">SUMPRODUCT(General_Data*(Code_General_Data=$C74)*(Year=N$3)*(Month=N$4))</f>
        <v>930</v>
      </c>
      <c r="O74" s="132" cm="1">
        <f t="array" ref="O74">SUMPRODUCT(General_Data*(Code_General_Data=$C74)*(Year=O$3)*(Month=O$4))</f>
        <v>880</v>
      </c>
      <c r="P74" s="132" cm="1">
        <f t="array" ref="P74">SUMPRODUCT(General_Data*(Code_General_Data=$C74)*(Year=P$3)*(Month=P$4))</f>
        <v>862.5</v>
      </c>
      <c r="Q74" s="132" cm="1">
        <f t="array" ref="Q74">SUMPRODUCT(General_Data*(Code_General_Data=$C74)*(Year=Q$3)*(Month=Q$4))</f>
        <v>852</v>
      </c>
      <c r="R74" s="133" cm="1">
        <f t="array" ref="R74">SUMPRODUCT(General_Data*(Code_General_Data=$C74)*(Year=R$3)*(Month=R$4))</f>
        <v>830</v>
      </c>
      <c r="S74" s="132" cm="1">
        <f t="array" ref="S74">SUMPRODUCT(General_Data*(Code_General_Data=$C74)*(Year=S$3)*(Month=S$4))</f>
        <v>828</v>
      </c>
      <c r="T74" s="132" cm="1">
        <f t="array" ref="T74">SUMPRODUCT(General_Data*(Code_General_Data=$C74)*(Year=T$3)*(Month=T$4))</f>
        <v>840</v>
      </c>
      <c r="U74" s="132" cm="1">
        <f t="array" ref="U74">SUMPRODUCT(General_Data*(Code_General_Data=$C74)*(Year=U$3)*(Month=U$4))</f>
        <v>823</v>
      </c>
      <c r="V74" s="132" cm="1">
        <f t="array" ref="V74">SUMPRODUCT(General_Data*(Code_General_Data=$C74)*(Year=V$3)*(Month=V$4))</f>
        <v>765</v>
      </c>
      <c r="W74" s="132" cm="1">
        <f t="array" ref="W74">SUMPRODUCT(General_Data*(Code_General_Data=$C74)*(Year=W$3)*(Month=W$4))</f>
        <v>782</v>
      </c>
      <c r="X74" s="132" cm="1">
        <f t="array" ref="X74">SUMPRODUCT(General_Data*(Code_General_Data=$C74)*(Year=X$3)*(Month=X$4))</f>
        <v>807.5</v>
      </c>
      <c r="Y74" s="132" cm="1">
        <f t="array" ref="Y74">SUMPRODUCT(General_Data*(Code_General_Data=$C74)*(Year=Y$3)*(Month=Y$4))</f>
        <v>802</v>
      </c>
      <c r="Z74" s="132" cm="1">
        <f t="array" ref="Z74">SUMPRODUCT(General_Data*(Code_General_Data=$C74)*(Year=Z$3)*(Month=Z$4))</f>
        <v>795</v>
      </c>
      <c r="AA74" s="132" cm="1">
        <f t="array" ref="AA74">SUMPRODUCT(General_Data*(Code_General_Data=$C74)*(Year=AA$3)*(Month=AA$4))</f>
        <v>783</v>
      </c>
      <c r="AB74" s="132" cm="1">
        <f t="array" ref="AB74">SUMPRODUCT(General_Data*(Code_General_Data=$C74)*(Year=AB$3)*(Month=AB$4))</f>
        <v>772</v>
      </c>
      <c r="AC74" s="132" cm="1">
        <f t="array" ref="AC74">SUMPRODUCT(General_Data*(Code_General_Data=$C74)*(Year=AC$3)*(Month=AC$4))</f>
        <v>770</v>
      </c>
      <c r="AD74" s="133" cm="1">
        <f t="array" ref="AD74">SUMPRODUCT(General_Data*(Code_General_Data=$C74)*(Year=AD$3)*(Month=AD$4))</f>
        <v>770</v>
      </c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3"/>
    </row>
    <row r="75" spans="1:42" s="152" customFormat="1" ht="11.5" customHeight="1" outlineLevel="1" x14ac:dyDescent="0.35">
      <c r="A75" s="152" t="s">
        <v>40</v>
      </c>
      <c r="B75" s="152" t="s">
        <v>31</v>
      </c>
      <c r="D75" s="173">
        <v>4.0999999999999996</v>
      </c>
      <c r="E75" s="153"/>
      <c r="F75" s="327" t="s">
        <v>430</v>
      </c>
      <c r="G75" s="154">
        <f t="shared" ref="G75:AD75" si="20">IF(G72*G73*G74&lt;&gt;0,G73-G74,0)</f>
        <v>390</v>
      </c>
      <c r="H75" s="154">
        <f t="shared" si="20"/>
        <v>384.16666666666663</v>
      </c>
      <c r="I75" s="154">
        <f t="shared" si="20"/>
        <v>400</v>
      </c>
      <c r="J75" s="154">
        <f t="shared" si="20"/>
        <v>402.5</v>
      </c>
      <c r="K75" s="154">
        <f t="shared" si="20"/>
        <v>404.5</v>
      </c>
      <c r="L75" s="154">
        <f t="shared" si="20"/>
        <v>411.5</v>
      </c>
      <c r="M75" s="154">
        <f t="shared" si="20"/>
        <v>430</v>
      </c>
      <c r="N75" s="154">
        <f t="shared" si="20"/>
        <v>458.5</v>
      </c>
      <c r="O75" s="154">
        <f t="shared" si="20"/>
        <v>528.5</v>
      </c>
      <c r="P75" s="154">
        <f t="shared" si="20"/>
        <v>573.75</v>
      </c>
      <c r="Q75" s="154">
        <f t="shared" si="20"/>
        <v>601.75</v>
      </c>
      <c r="R75" s="155">
        <f t="shared" si="20"/>
        <v>627.5</v>
      </c>
      <c r="S75" s="154">
        <f t="shared" si="20"/>
        <v>598.40312500000005</v>
      </c>
      <c r="T75" s="154">
        <f t="shared" si="20"/>
        <v>548.64479166666524</v>
      </c>
      <c r="U75" s="154">
        <f t="shared" si="20"/>
        <v>530.5541666666652</v>
      </c>
      <c r="V75" s="154">
        <f t="shared" si="20"/>
        <v>589.375</v>
      </c>
      <c r="W75" s="154">
        <f t="shared" si="20"/>
        <v>577.29999999999995</v>
      </c>
      <c r="X75" s="154">
        <f t="shared" si="20"/>
        <v>551.79999999999995</v>
      </c>
      <c r="Y75" s="154">
        <f t="shared" si="20"/>
        <v>557.29999999999995</v>
      </c>
      <c r="Z75" s="154">
        <f t="shared" si="20"/>
        <v>546.56999999999994</v>
      </c>
      <c r="AA75" s="154">
        <f t="shared" si="20"/>
        <v>527.05749999999989</v>
      </c>
      <c r="AB75" s="154">
        <f t="shared" si="20"/>
        <v>538.47749999999996</v>
      </c>
      <c r="AC75" s="154">
        <f t="shared" si="20"/>
        <v>540.81500000000005</v>
      </c>
      <c r="AD75" s="155">
        <f t="shared" si="20"/>
        <v>540.99687500000005</v>
      </c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5"/>
    </row>
    <row r="76" spans="1:42" s="156" customFormat="1" ht="11.5" customHeight="1" outlineLevel="1" x14ac:dyDescent="0.35">
      <c r="A76" s="156" t="s">
        <v>40</v>
      </c>
      <c r="B76" s="156" t="s">
        <v>31</v>
      </c>
      <c r="D76" s="166">
        <v>4.1100000000000003</v>
      </c>
      <c r="E76" s="157"/>
      <c r="F76" s="328" t="s">
        <v>14</v>
      </c>
      <c r="G76" s="158">
        <f t="shared" ref="G76:AD76" si="21">IFERROR(G75/G74,0)</f>
        <v>0.41935483870967744</v>
      </c>
      <c r="H76" s="158">
        <f t="shared" si="21"/>
        <v>0.40724381625441691</v>
      </c>
      <c r="I76" s="158">
        <f t="shared" si="21"/>
        <v>0.42553191489361702</v>
      </c>
      <c r="J76" s="158">
        <f t="shared" si="21"/>
        <v>0.42819148936170215</v>
      </c>
      <c r="K76" s="158">
        <f t="shared" si="21"/>
        <v>0.4294055201698514</v>
      </c>
      <c r="L76" s="158">
        <f t="shared" si="21"/>
        <v>0.43315789473684213</v>
      </c>
      <c r="M76" s="158">
        <f t="shared" si="21"/>
        <v>0.45382585751978893</v>
      </c>
      <c r="N76" s="158">
        <f t="shared" si="21"/>
        <v>0.49301075268817202</v>
      </c>
      <c r="O76" s="158">
        <f t="shared" si="21"/>
        <v>0.60056818181818183</v>
      </c>
      <c r="P76" s="158">
        <f t="shared" si="21"/>
        <v>0.66521739130434787</v>
      </c>
      <c r="Q76" s="158">
        <f t="shared" si="21"/>
        <v>0.70627934272300474</v>
      </c>
      <c r="R76" s="159">
        <f t="shared" si="21"/>
        <v>0.75602409638554213</v>
      </c>
      <c r="S76" s="158">
        <f t="shared" si="21"/>
        <v>0.72270908816425128</v>
      </c>
      <c r="T76" s="158">
        <f t="shared" si="21"/>
        <v>0.65314856150793477</v>
      </c>
      <c r="U76" s="158">
        <f t="shared" si="21"/>
        <v>0.64465876873227845</v>
      </c>
      <c r="V76" s="158">
        <f t="shared" si="21"/>
        <v>0.77042483660130723</v>
      </c>
      <c r="W76" s="158">
        <f t="shared" si="21"/>
        <v>0.73823529411764699</v>
      </c>
      <c r="X76" s="158">
        <f t="shared" si="21"/>
        <v>0.68334365325077395</v>
      </c>
      <c r="Y76" s="158">
        <f t="shared" si="21"/>
        <v>0.69488778054862832</v>
      </c>
      <c r="Z76" s="158">
        <f t="shared" si="21"/>
        <v>0.68750943396226405</v>
      </c>
      <c r="AA76" s="158">
        <f t="shared" si="21"/>
        <v>0.67312579821200502</v>
      </c>
      <c r="AB76" s="158">
        <f t="shared" si="21"/>
        <v>0.69750971502590664</v>
      </c>
      <c r="AC76" s="158">
        <f t="shared" si="21"/>
        <v>0.7023571428571429</v>
      </c>
      <c r="AD76" s="159">
        <f t="shared" si="21"/>
        <v>0.70259334415584418</v>
      </c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9"/>
    </row>
    <row r="77" spans="1:42" s="137" customFormat="1" ht="11.5" customHeight="1" outlineLevel="1" x14ac:dyDescent="0.35">
      <c r="A77" s="137" t="s">
        <v>40</v>
      </c>
      <c r="B77" s="137" t="s">
        <v>31</v>
      </c>
      <c r="C77" s="137" t="s">
        <v>31</v>
      </c>
      <c r="D77" s="167">
        <v>4.12</v>
      </c>
      <c r="E77" s="138"/>
      <c r="F77" s="329" t="s">
        <v>203</v>
      </c>
      <c r="G77" s="139" cm="1">
        <f t="array" ref="G77">SUMPRODUCT(General_Data*(Code_General_Data=$C77)*(Year=G$3)*(Month=G$4))</f>
        <v>1280</v>
      </c>
      <c r="H77" s="139" cm="1">
        <f t="array" ref="H77">SUMPRODUCT(General_Data*(Code_General_Data=$C77)*(Year=H$3)*(Month=H$4))</f>
        <v>1280</v>
      </c>
      <c r="I77" s="139" cm="1">
        <f t="array" ref="I77">SUMPRODUCT(General_Data*(Code_General_Data=$C77)*(Year=I$3)*(Month=I$4))</f>
        <v>1280</v>
      </c>
      <c r="J77" s="139" cm="1">
        <f t="array" ref="J77">SUMPRODUCT(General_Data*(Code_General_Data=$C77)*(Year=J$3)*(Month=J$4))</f>
        <v>1280</v>
      </c>
      <c r="K77" s="139" cm="1">
        <f t="array" ref="K77">SUMPRODUCT(General_Data*(Code_General_Data=$C77)*(Year=K$3)*(Month=K$4))</f>
        <v>1330</v>
      </c>
      <c r="L77" s="139" cm="1">
        <f t="array" ref="L77">SUMPRODUCT(General_Data*(Code_General_Data=$C77)*(Year=L$3)*(Month=L$4))</f>
        <v>1330</v>
      </c>
      <c r="M77" s="139" cm="1">
        <f t="array" ref="M77">SUMPRODUCT(General_Data*(Code_General_Data=$C77)*(Year=M$3)*(Month=M$4))</f>
        <v>1330</v>
      </c>
      <c r="N77" s="139" cm="1">
        <f t="array" ref="N77">SUMPRODUCT(General_Data*(Code_General_Data=$C77)*(Year=N$3)*(Month=N$4))</f>
        <v>1330</v>
      </c>
      <c r="O77" s="139" cm="1">
        <f t="array" ref="O77">SUMPRODUCT(General_Data*(Code_General_Data=$C77)*(Year=O$3)*(Month=O$4))</f>
        <v>1340</v>
      </c>
      <c r="P77" s="139" cm="1">
        <f t="array" ref="P77">SUMPRODUCT(General_Data*(Code_General_Data=$C77)*(Year=P$3)*(Month=P$4))</f>
        <v>1355</v>
      </c>
      <c r="Q77" s="139" cm="1">
        <f t="array" ref="Q77">SUMPRODUCT(General_Data*(Code_General_Data=$C77)*(Year=Q$3)*(Month=Q$4))</f>
        <v>1355</v>
      </c>
      <c r="R77" s="140" cm="1">
        <f t="array" ref="R77">SUMPRODUCT(General_Data*(Code_General_Data=$C77)*(Year=R$3)*(Month=R$4))</f>
        <v>1305</v>
      </c>
      <c r="S77" s="139" cm="1">
        <f t="array" ref="S77">SUMPRODUCT(General_Data*(Code_General_Data=$C77)*(Year=S$3)*(Month=S$4))</f>
        <v>1260</v>
      </c>
      <c r="T77" s="139" cm="1">
        <f t="array" ref="T77">SUMPRODUCT(General_Data*(Code_General_Data=$C77)*(Year=T$3)*(Month=T$4))</f>
        <v>1260</v>
      </c>
      <c r="U77" s="139" cm="1">
        <f t="array" ref="U77">SUMPRODUCT(General_Data*(Code_General_Data=$C77)*(Year=U$3)*(Month=U$4))</f>
        <v>1260</v>
      </c>
      <c r="V77" s="139" cm="1">
        <f t="array" ref="V77">SUMPRODUCT(General_Data*(Code_General_Data=$C77)*(Year=V$3)*(Month=V$4))</f>
        <v>1280</v>
      </c>
      <c r="W77" s="139" cm="1">
        <f t="array" ref="W77">SUMPRODUCT(General_Data*(Code_General_Data=$C77)*(Year=W$3)*(Month=W$4))</f>
        <v>1280</v>
      </c>
      <c r="X77" s="139" cm="1">
        <f t="array" ref="X77">SUMPRODUCT(General_Data*(Code_General_Data=$C77)*(Year=X$3)*(Month=X$4))</f>
        <v>1280</v>
      </c>
      <c r="Y77" s="139" cm="1">
        <f t="array" ref="Y77">SUMPRODUCT(General_Data*(Code_General_Data=$C77)*(Year=Y$3)*(Month=Y$4))</f>
        <v>1280</v>
      </c>
      <c r="Z77" s="139" cm="1">
        <f t="array" ref="Z77">SUMPRODUCT(General_Data*(Code_General_Data=$C77)*(Year=Z$3)*(Month=Z$4))</f>
        <v>1250</v>
      </c>
      <c r="AA77" s="139" cm="1">
        <f t="array" ref="AA77">SUMPRODUCT(General_Data*(Code_General_Data=$C77)*(Year=AA$3)*(Month=AA$4))</f>
        <v>1250</v>
      </c>
      <c r="AB77" s="139" cm="1">
        <f t="array" ref="AB77">SUMPRODUCT(General_Data*(Code_General_Data=$C77)*(Year=AB$3)*(Month=AB$4))</f>
        <v>1240</v>
      </c>
      <c r="AC77" s="139" cm="1">
        <f t="array" ref="AC77">SUMPRODUCT(General_Data*(Code_General_Data=$C77)*(Year=AC$3)*(Month=AC$4))</f>
        <v>1230</v>
      </c>
      <c r="AD77" s="140" cm="1">
        <f t="array" ref="AD77">SUMPRODUCT(General_Data*(Code_General_Data=$C77)*(Year=AD$3)*(Month=AD$4))</f>
        <v>1230</v>
      </c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40"/>
    </row>
    <row r="78" spans="1:42" ht="3.65" customHeight="1" x14ac:dyDescent="0.35">
      <c r="D78" s="168"/>
    </row>
    <row r="79" spans="1:42" s="127" customFormat="1" ht="15.65" customHeight="1" x14ac:dyDescent="0.4">
      <c r="A79" s="127" t="s">
        <v>62</v>
      </c>
      <c r="C79" s="131"/>
      <c r="D79" s="160">
        <v>5</v>
      </c>
      <c r="E79" s="130" t="s">
        <v>32</v>
      </c>
      <c r="F79" s="322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319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319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319"/>
    </row>
    <row r="80" spans="1:42" s="148" customFormat="1" ht="13.4" customHeight="1" outlineLevel="1" x14ac:dyDescent="0.4">
      <c r="A80" s="148" t="s">
        <v>62</v>
      </c>
      <c r="B80" s="148" t="s">
        <v>35</v>
      </c>
      <c r="D80" s="161"/>
      <c r="E80" s="149"/>
      <c r="F80" s="323" t="s">
        <v>33</v>
      </c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50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1:42" s="69" customFormat="1" ht="11.5" customHeight="1" outlineLevel="1" x14ac:dyDescent="0.35">
      <c r="A81" s="69" t="s">
        <v>62</v>
      </c>
      <c r="B81" s="69" t="s">
        <v>35</v>
      </c>
      <c r="D81" s="162">
        <v>5.0999999999999996</v>
      </c>
      <c r="E81" s="134"/>
      <c r="F81" s="324" t="s">
        <v>34</v>
      </c>
      <c r="G81" s="135" cm="1">
        <f t="array" ref="G81">INDEX(Price!$L$11:$AM$182,MATCH(1,(Price!$A$11:$A$182=$A81)*(Price!$B$11:$B$182=$B81)*(Price!$D$11:$D$182="gb"),0),MATCH(1,(Price!$L$3:$AM$3=G$3)*(Price!$L$4:$AM$4=G$4),0))</f>
        <v>1250</v>
      </c>
      <c r="H81" s="135" cm="1">
        <f t="array" ref="H81">INDEX(Price!$L$11:$AM$182,MATCH(1,(Price!$A$11:$A$182=$A81)*(Price!$B$11:$B$182=$B81)*(Price!$D$11:$D$182="gb"),0),MATCH(1,(Price!$L$3:$AM$3=H$3)*(Price!$L$4:$AM$4=H$4),0))</f>
        <v>1250</v>
      </c>
      <c r="I81" s="135" cm="1">
        <f t="array" ref="I81">INDEX(Price!$L$11:$AM$182,MATCH(1,(Price!$A$11:$A$182=$A81)*(Price!$B$11:$B$182=$B81)*(Price!$D$11:$D$182="gb"),0),MATCH(1,(Price!$L$3:$AM$3=I$3)*(Price!$L$4:$AM$4=I$4),0))</f>
        <v>1250</v>
      </c>
      <c r="J81" s="135" cm="1">
        <f t="array" ref="J81">INDEX(Price!$L$11:$AM$182,MATCH(1,(Price!$A$11:$A$182=$A81)*(Price!$B$11:$B$182=$B81)*(Price!$D$11:$D$182="gb"),0),MATCH(1,(Price!$L$3:$AM$3=J$3)*(Price!$L$4:$AM$4=J$4),0))</f>
        <v>1250</v>
      </c>
      <c r="K81" s="135" cm="1">
        <f t="array" ref="K81">INDEX(Price!$L$11:$AM$182,MATCH(1,(Price!$A$11:$A$182=$A81)*(Price!$B$11:$B$182=$B81)*(Price!$D$11:$D$182="gb"),0),MATCH(1,(Price!$L$3:$AM$3=K$3)*(Price!$L$4:$AM$4=K$4),0))</f>
        <v>1250</v>
      </c>
      <c r="L81" s="135" cm="1">
        <f t="array" ref="L81">INDEX(Price!$L$11:$AM$182,MATCH(1,(Price!$A$11:$A$182=$A81)*(Price!$B$11:$B$182=$B81)*(Price!$D$11:$D$182="gb"),0),MATCH(1,(Price!$L$3:$AM$3=L$3)*(Price!$L$4:$AM$4=L$4),0))</f>
        <v>1250</v>
      </c>
      <c r="M81" s="135" cm="1">
        <f t="array" ref="M81">INDEX(Price!$L$11:$AM$182,MATCH(1,(Price!$A$11:$A$182=$A81)*(Price!$B$11:$B$182=$B81)*(Price!$D$11:$D$182="gb"),0),MATCH(1,(Price!$L$3:$AM$3=M$3)*(Price!$L$4:$AM$4=M$4),0))</f>
        <v>1330</v>
      </c>
      <c r="N81" s="135" cm="1">
        <f t="array" ref="N81">INDEX(Price!$L$11:$AM$182,MATCH(1,(Price!$A$11:$A$182=$A81)*(Price!$B$11:$B$182=$B81)*(Price!$D$11:$D$182="gb"),0),MATCH(1,(Price!$L$3:$AM$3=N$3)*(Price!$L$4:$AM$4=N$4),0))</f>
        <v>1330</v>
      </c>
      <c r="O81" s="135" cm="1">
        <f t="array" ref="O81">INDEX(Price!$L$11:$AM$182,MATCH(1,(Price!$A$11:$A$182=$A81)*(Price!$B$11:$B$182=$B81)*(Price!$D$11:$D$182="gb"),0),MATCH(1,(Price!$L$3:$AM$3=O$3)*(Price!$L$4:$AM$4=O$4),0))</f>
        <v>1330</v>
      </c>
      <c r="P81" s="135" cm="1">
        <f t="array" ref="P81">INDEX(Price!$L$11:$AM$182,MATCH(1,(Price!$A$11:$A$182=$A81)*(Price!$B$11:$B$182=$B81)*(Price!$D$11:$D$182="gb"),0),MATCH(1,(Price!$L$3:$AM$3=P$3)*(Price!$L$4:$AM$4=P$4),0))</f>
        <v>1330</v>
      </c>
      <c r="Q81" s="135" cm="1">
        <f t="array" ref="Q81">INDEX(Price!$L$11:$AM$182,MATCH(1,(Price!$A$11:$A$182=$A81)*(Price!$B$11:$B$182=$B81)*(Price!$D$11:$D$182="gb"),0),MATCH(1,(Price!$L$3:$AM$3=Q$3)*(Price!$L$4:$AM$4=Q$4),0))</f>
        <v>1330</v>
      </c>
      <c r="R81" s="136" cm="1">
        <f t="array" ref="R81">INDEX(Price!$L$11:$AM$182,MATCH(1,(Price!$A$11:$A$182=$A81)*(Price!$B$11:$B$182=$B81)*(Price!$D$11:$D$182="gb"),0),MATCH(1,(Price!$L$3:$AM$3=R$3)*(Price!$L$4:$AM$4=R$4),0))</f>
        <v>1330</v>
      </c>
      <c r="S81" s="135" cm="1">
        <f t="array" ref="S81">INDEX(Price!$L$11:$AM$182,MATCH(1,(Price!$A$11:$A$182=$A81)*(Price!$B$11:$B$182=$B81)*(Price!$D$11:$D$182="gb"),0),MATCH(1,(Price!$L$3:$AM$3=S$3)*(Price!$L$4:$AM$4=S$4),0))</f>
        <v>1250</v>
      </c>
      <c r="T81" s="135" cm="1">
        <f t="array" ref="T81">INDEX(Price!$L$11:$AM$182,MATCH(1,(Price!$A$11:$A$182=$A81)*(Price!$B$11:$B$182=$B81)*(Price!$D$11:$D$182="gb"),0),MATCH(1,(Price!$L$3:$AM$3=T$3)*(Price!$L$4:$AM$4=T$4),0))</f>
        <v>1250</v>
      </c>
      <c r="U81" s="135" cm="1">
        <f t="array" ref="U81">INDEX(Price!$L$11:$AM$182,MATCH(1,(Price!$A$11:$A$182=$A81)*(Price!$B$11:$B$182=$B81)*(Price!$D$11:$D$182="gb"),0),MATCH(1,(Price!$L$3:$AM$3=U$3)*(Price!$L$4:$AM$4=U$4),0))</f>
        <v>1250</v>
      </c>
      <c r="V81" s="135" cm="1">
        <f t="array" ref="V81">INDEX(Price!$L$11:$AM$182,MATCH(1,(Price!$A$11:$A$182=$A81)*(Price!$B$11:$B$182=$B81)*(Price!$D$11:$D$182="gb"),0),MATCH(1,(Price!$L$3:$AM$3=V$3)*(Price!$L$4:$AM$4=V$4),0))</f>
        <v>1250</v>
      </c>
      <c r="W81" s="135" cm="1">
        <f t="array" ref="W81">INDEX(Price!$L$11:$AM$182,MATCH(1,(Price!$A$11:$A$182=$A81)*(Price!$B$11:$B$182=$B81)*(Price!$D$11:$D$182="gb"),0),MATCH(1,(Price!$L$3:$AM$3=W$3)*(Price!$L$4:$AM$4=W$4),0))</f>
        <v>1250</v>
      </c>
      <c r="X81" s="135" cm="1">
        <f t="array" ref="X81">INDEX(Price!$L$11:$AM$182,MATCH(1,(Price!$A$11:$A$182=$A81)*(Price!$B$11:$B$182=$B81)*(Price!$D$11:$D$182="gb"),0),MATCH(1,(Price!$L$3:$AM$3=X$3)*(Price!$L$4:$AM$4=X$4),0))</f>
        <v>1250</v>
      </c>
      <c r="Y81" s="135" cm="1">
        <f t="array" ref="Y81">INDEX(Price!$L$11:$AM$182,MATCH(1,(Price!$A$11:$A$182=$A81)*(Price!$B$11:$B$182=$B81)*(Price!$D$11:$D$182="gb"),0),MATCH(1,(Price!$L$3:$AM$3=Y$3)*(Price!$L$4:$AM$4=Y$4),0))</f>
        <v>0</v>
      </c>
      <c r="Z81" s="135" cm="1">
        <f t="array" ref="Z81">INDEX(Price!$L$11:$AM$182,MATCH(1,(Price!$A$11:$A$182=$A81)*(Price!$B$11:$B$182=$B81)*(Price!$D$11:$D$182="gb"),0),MATCH(1,(Price!$L$3:$AM$3=Z$3)*(Price!$L$4:$AM$4=Z$4),0))</f>
        <v>1303.8316268486917</v>
      </c>
      <c r="AA81" s="135" cm="1">
        <f t="array" ref="AA81">INDEX(Price!$L$11:$AM$182,MATCH(1,(Price!$A$11:$A$182=$A81)*(Price!$B$11:$B$182=$B81)*(Price!$D$11:$D$182="gb"),0),MATCH(1,(Price!$L$3:$AM$3=AA$3)*(Price!$L$4:$AM$4=AA$4),0))</f>
        <v>1303.8316268486917</v>
      </c>
      <c r="AB81" s="135" cm="1">
        <f t="array" ref="AB81">INDEX(Price!$L$11:$AM$182,MATCH(1,(Price!$A$11:$A$182=$A81)*(Price!$B$11:$B$182=$B81)*(Price!$D$11:$D$182="gb"),0),MATCH(1,(Price!$L$3:$AM$3=AB$3)*(Price!$L$4:$AM$4=AB$4),0))</f>
        <v>1303.8316268486917</v>
      </c>
      <c r="AC81" s="135" cm="1">
        <f t="array" ref="AC81">INDEX(Price!$L$11:$AM$182,MATCH(1,(Price!$A$11:$A$182=$A81)*(Price!$B$11:$B$182=$B81)*(Price!$D$11:$D$182="gb"),0),MATCH(1,(Price!$L$3:$AM$3=AC$3)*(Price!$L$4:$AM$4=AC$4),0))</f>
        <v>1303.8316268486917</v>
      </c>
      <c r="AD81" s="136" cm="1">
        <f t="array" ref="AD81">INDEX(Price!$L$11:$AM$182,MATCH(1,(Price!$A$11:$A$182=$A81)*(Price!$B$11:$B$182=$B81)*(Price!$D$11:$D$182="gb"),0),MATCH(1,(Price!$L$3:$AM$3=AD$3)*(Price!$L$4:$AM$4=AD$4),0))</f>
        <v>1303.8316268486917</v>
      </c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6"/>
    </row>
    <row r="82" spans="1:42" s="1" customFormat="1" ht="11.5" customHeight="1" outlineLevel="1" x14ac:dyDescent="0.35">
      <c r="A82" s="1" t="s">
        <v>62</v>
      </c>
      <c r="B82" s="1" t="s">
        <v>35</v>
      </c>
      <c r="C82" s="143" t="s">
        <v>322</v>
      </c>
      <c r="D82" s="163">
        <v>5.2</v>
      </c>
      <c r="E82" s="144"/>
      <c r="F82" s="325" t="s">
        <v>8</v>
      </c>
      <c r="G82" s="145" cm="1">
        <f t="array" ref="G82">INDEX(Price!$L$11:$AM$182,MATCH(1,(Price!$A$11:$A$182=$A82)*(Price!$B$11:$B$182=$B82)*(Price!$D$11:$D$182="exw"),0),MATCH(1,(Price!$L$3:$AM$3=G$3)*(Price!$L$4:$AM$4=G$4),0))</f>
        <v>1250</v>
      </c>
      <c r="H82" s="145" cm="1">
        <f t="array" ref="H82">INDEX(Price!$L$11:$AM$182,MATCH(1,(Price!$A$11:$A$182=$A82)*(Price!$B$11:$B$182=$B82)*(Price!$D$11:$D$182="exw"),0),MATCH(1,(Price!$L$3:$AM$3=H$3)*(Price!$L$4:$AM$4=H$4),0))</f>
        <v>1250</v>
      </c>
      <c r="I82" s="145" cm="1">
        <f t="array" ref="I82">INDEX(Price!$L$11:$AM$182,MATCH(1,(Price!$A$11:$A$182=$A82)*(Price!$B$11:$B$182=$B82)*(Price!$D$11:$D$182="exw"),0),MATCH(1,(Price!$L$3:$AM$3=I$3)*(Price!$L$4:$AM$4=I$4),0))</f>
        <v>1250</v>
      </c>
      <c r="J82" s="145" cm="1">
        <f t="array" ref="J82">INDEX(Price!$L$11:$AM$182,MATCH(1,(Price!$A$11:$A$182=$A82)*(Price!$B$11:$B$182=$B82)*(Price!$D$11:$D$182="exw"),0),MATCH(1,(Price!$L$3:$AM$3=J$3)*(Price!$L$4:$AM$4=J$4),0))</f>
        <v>1250</v>
      </c>
      <c r="K82" s="145" cm="1">
        <f t="array" ref="K82">INDEX(Price!$L$11:$AM$182,MATCH(1,(Price!$A$11:$A$182=$A82)*(Price!$B$11:$B$182=$B82)*(Price!$D$11:$D$182="exw"),0),MATCH(1,(Price!$L$3:$AM$3=K$3)*(Price!$L$4:$AM$4=K$4),0))</f>
        <v>1250</v>
      </c>
      <c r="L82" s="145" cm="1">
        <f t="array" ref="L82">INDEX(Price!$L$11:$AM$182,MATCH(1,(Price!$A$11:$A$182=$A82)*(Price!$B$11:$B$182=$B82)*(Price!$D$11:$D$182="exw"),0),MATCH(1,(Price!$L$3:$AM$3=L$3)*(Price!$L$4:$AM$4=L$4),0))</f>
        <v>1250</v>
      </c>
      <c r="M82" s="145" cm="1">
        <f t="array" ref="M82">INDEX(Price!$L$11:$AM$182,MATCH(1,(Price!$A$11:$A$182=$A82)*(Price!$B$11:$B$182=$B82)*(Price!$D$11:$D$182="exw"),0),MATCH(1,(Price!$L$3:$AM$3=M$3)*(Price!$L$4:$AM$4=M$4),0))</f>
        <v>1330</v>
      </c>
      <c r="N82" s="145" cm="1">
        <f t="array" ref="N82">INDEX(Price!$L$11:$AM$182,MATCH(1,(Price!$A$11:$A$182=$A82)*(Price!$B$11:$B$182=$B82)*(Price!$D$11:$D$182="exw"),0),MATCH(1,(Price!$L$3:$AM$3=N$3)*(Price!$L$4:$AM$4=N$4),0))</f>
        <v>1330</v>
      </c>
      <c r="O82" s="145" cm="1">
        <f t="array" ref="O82">INDEX(Price!$L$11:$AM$182,MATCH(1,(Price!$A$11:$A$182=$A82)*(Price!$B$11:$B$182=$B82)*(Price!$D$11:$D$182="exw"),0),MATCH(1,(Price!$L$3:$AM$3=O$3)*(Price!$L$4:$AM$4=O$4),0))</f>
        <v>1330</v>
      </c>
      <c r="P82" s="145" cm="1">
        <f t="array" ref="P82">INDEX(Price!$L$11:$AM$182,MATCH(1,(Price!$A$11:$A$182=$A82)*(Price!$B$11:$B$182=$B82)*(Price!$D$11:$D$182="exw"),0),MATCH(1,(Price!$L$3:$AM$3=P$3)*(Price!$L$4:$AM$4=P$4),0))</f>
        <v>1330</v>
      </c>
      <c r="Q82" s="145" cm="1">
        <f t="array" ref="Q82">INDEX(Price!$L$11:$AM$182,MATCH(1,(Price!$A$11:$A$182=$A82)*(Price!$B$11:$B$182=$B82)*(Price!$D$11:$D$182="exw"),0),MATCH(1,(Price!$L$3:$AM$3=Q$3)*(Price!$L$4:$AM$4=Q$4),0))</f>
        <v>1330</v>
      </c>
      <c r="R82" s="146" cm="1">
        <f t="array" ref="R82">INDEX(Price!$L$11:$AM$182,MATCH(1,(Price!$A$11:$A$182=$A82)*(Price!$B$11:$B$182=$B82)*(Price!$D$11:$D$182="exw"),0),MATCH(1,(Price!$L$3:$AM$3=R$3)*(Price!$L$4:$AM$4=R$4),0))</f>
        <v>1330</v>
      </c>
      <c r="S82" s="145" cm="1">
        <f t="array" ref="S82">INDEX(Price!$L$11:$AM$182,MATCH(1,(Price!$A$11:$A$182=$A82)*(Price!$B$11:$B$182=$B82)*(Price!$D$11:$D$182="exw"),0),MATCH(1,(Price!$L$3:$AM$3=S$3)*(Price!$L$4:$AM$4=S$4),0))</f>
        <v>1250</v>
      </c>
      <c r="T82" s="145" cm="1">
        <f t="array" ref="T82">INDEX(Price!$L$11:$AM$182,MATCH(1,(Price!$A$11:$A$182=$A82)*(Price!$B$11:$B$182=$B82)*(Price!$D$11:$D$182="exw"),0),MATCH(1,(Price!$L$3:$AM$3=T$3)*(Price!$L$4:$AM$4=T$4),0))</f>
        <v>1250</v>
      </c>
      <c r="U82" s="145" cm="1">
        <f t="array" ref="U82">INDEX(Price!$L$11:$AM$182,MATCH(1,(Price!$A$11:$A$182=$A82)*(Price!$B$11:$B$182=$B82)*(Price!$D$11:$D$182="exw"),0),MATCH(1,(Price!$L$3:$AM$3=U$3)*(Price!$L$4:$AM$4=U$4),0))</f>
        <v>1250</v>
      </c>
      <c r="V82" s="145" cm="1">
        <f t="array" ref="V82">INDEX(Price!$L$11:$AM$182,MATCH(1,(Price!$A$11:$A$182=$A82)*(Price!$B$11:$B$182=$B82)*(Price!$D$11:$D$182="exw"),0),MATCH(1,(Price!$L$3:$AM$3=V$3)*(Price!$L$4:$AM$4=V$4),0))</f>
        <v>1250</v>
      </c>
      <c r="W82" s="145" cm="1">
        <f t="array" ref="W82">INDEX(Price!$L$11:$AM$182,MATCH(1,(Price!$A$11:$A$182=$A82)*(Price!$B$11:$B$182=$B82)*(Price!$D$11:$D$182="exw"),0),MATCH(1,(Price!$L$3:$AM$3=W$3)*(Price!$L$4:$AM$4=W$4),0))</f>
        <v>1250</v>
      </c>
      <c r="X82" s="145" cm="1">
        <f t="array" ref="X82">INDEX(Price!$L$11:$AM$182,MATCH(1,(Price!$A$11:$A$182=$A82)*(Price!$B$11:$B$182=$B82)*(Price!$D$11:$D$182="exw"),0),MATCH(1,(Price!$L$3:$AM$3=X$3)*(Price!$L$4:$AM$4=X$4),0))</f>
        <v>1250</v>
      </c>
      <c r="Y82" s="145" cm="1">
        <f t="array" ref="Y82">INDEX(Price!$L$11:$AM$182,MATCH(1,(Price!$A$11:$A$182=$A82)*(Price!$B$11:$B$182=$B82)*(Price!$D$11:$D$182="exw"),0),MATCH(1,(Price!$L$3:$AM$3=Y$3)*(Price!$L$4:$AM$4=Y$4),0))</f>
        <v>0</v>
      </c>
      <c r="Z82" s="145" cm="1">
        <f t="array" ref="Z82">INDEX(Price!$L$11:$AM$182,MATCH(1,(Price!$A$11:$A$182=$A82)*(Price!$B$11:$B$182=$B82)*(Price!$D$11:$D$182="exw"),0),MATCH(1,(Price!$L$3:$AM$3=Z$3)*(Price!$L$4:$AM$4=Z$4),0))</f>
        <v>1303.8316268486917</v>
      </c>
      <c r="AA82" s="145" cm="1">
        <f t="array" ref="AA82">INDEX(Price!$L$11:$AM$182,MATCH(1,(Price!$A$11:$A$182=$A82)*(Price!$B$11:$B$182=$B82)*(Price!$D$11:$D$182="exw"),0),MATCH(1,(Price!$L$3:$AM$3=AA$3)*(Price!$L$4:$AM$4=AA$4),0))</f>
        <v>1303.8316268486917</v>
      </c>
      <c r="AB82" s="145" cm="1">
        <f t="array" ref="AB82">INDEX(Price!$L$11:$AM$182,MATCH(1,(Price!$A$11:$A$182=$A82)*(Price!$B$11:$B$182=$B82)*(Price!$D$11:$D$182="exw"),0),MATCH(1,(Price!$L$3:$AM$3=AB$3)*(Price!$L$4:$AM$4=AB$4),0))</f>
        <v>1303.8316268486917</v>
      </c>
      <c r="AC82" s="145" cm="1">
        <f t="array" ref="AC82">INDEX(Price!$L$11:$AM$182,MATCH(1,(Price!$A$11:$A$182=$A82)*(Price!$B$11:$B$182=$B82)*(Price!$D$11:$D$182="exw"),0),MATCH(1,(Price!$L$3:$AM$3=AC$3)*(Price!$L$4:$AM$4=AC$4),0))</f>
        <v>1303.8316268486917</v>
      </c>
      <c r="AD82" s="146" cm="1">
        <f t="array" ref="AD82">INDEX(Price!$L$11:$AM$182,MATCH(1,(Price!$A$11:$A$182=$A82)*(Price!$B$11:$B$182=$B82)*(Price!$D$11:$D$182="exw"),0),MATCH(1,(Price!$L$3:$AM$3=AD$3)*(Price!$L$4:$AM$4=AD$4),0))</f>
        <v>1303.8316268486917</v>
      </c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6"/>
    </row>
    <row r="83" spans="1:42" ht="11.5" customHeight="1" outlineLevel="1" x14ac:dyDescent="0.35">
      <c r="A83" t="s">
        <v>62</v>
      </c>
      <c r="B83" t="s">
        <v>35</v>
      </c>
      <c r="C83" s="14" t="s">
        <v>9</v>
      </c>
      <c r="D83" s="164">
        <v>5.3</v>
      </c>
      <c r="E83" s="8"/>
      <c r="F83" s="326" t="s">
        <v>11</v>
      </c>
      <c r="G83" s="320" cm="1">
        <f t="array" ref="G83">SUMPRODUCT(General_Data*(Code_General_Data=$C83)*(Year=G$3)*(Month=G$4))</f>
        <v>930</v>
      </c>
      <c r="H83" s="132" cm="1">
        <f t="array" ref="H83">SUMPRODUCT(General_Data*(Code_General_Data=$C83)*(Year=H$3)*(Month=H$4))</f>
        <v>943.33333333333337</v>
      </c>
      <c r="I83" s="132" cm="1">
        <f t="array" ref="I83">SUMPRODUCT(General_Data*(Code_General_Data=$C83)*(Year=I$3)*(Month=I$4))</f>
        <v>940</v>
      </c>
      <c r="J83" s="132" cm="1">
        <f t="array" ref="J83">SUMPRODUCT(General_Data*(Code_General_Data=$C83)*(Year=J$3)*(Month=J$4))</f>
        <v>940</v>
      </c>
      <c r="K83" s="132" cm="1">
        <f t="array" ref="K83">SUMPRODUCT(General_Data*(Code_General_Data=$C83)*(Year=K$3)*(Month=K$4))</f>
        <v>942</v>
      </c>
      <c r="L83" s="132" cm="1">
        <f t="array" ref="L83">SUMPRODUCT(General_Data*(Code_General_Data=$C83)*(Year=L$3)*(Month=L$4))</f>
        <v>950</v>
      </c>
      <c r="M83" s="132" cm="1">
        <f t="array" ref="M83">SUMPRODUCT(General_Data*(Code_General_Data=$C83)*(Year=M$3)*(Month=M$4))</f>
        <v>947.5</v>
      </c>
      <c r="N83" s="132" cm="1">
        <f t="array" ref="N83">SUMPRODUCT(General_Data*(Code_General_Data=$C83)*(Year=N$3)*(Month=N$4))</f>
        <v>930</v>
      </c>
      <c r="O83" s="132" cm="1">
        <f t="array" ref="O83">SUMPRODUCT(General_Data*(Code_General_Data=$C83)*(Year=O$3)*(Month=O$4))</f>
        <v>880</v>
      </c>
      <c r="P83" s="132" cm="1">
        <f t="array" ref="P83">SUMPRODUCT(General_Data*(Code_General_Data=$C83)*(Year=P$3)*(Month=P$4))</f>
        <v>862.5</v>
      </c>
      <c r="Q83" s="132" cm="1">
        <f t="array" ref="Q83">SUMPRODUCT(General_Data*(Code_General_Data=$C83)*(Year=Q$3)*(Month=Q$4))</f>
        <v>852</v>
      </c>
      <c r="R83" s="133" cm="1">
        <f t="array" ref="R83">SUMPRODUCT(General_Data*(Code_General_Data=$C83)*(Year=R$3)*(Month=R$4))</f>
        <v>830</v>
      </c>
      <c r="S83" s="132" cm="1">
        <f t="array" ref="S83">SUMPRODUCT(General_Data*(Code_General_Data=$C83)*(Year=S$3)*(Month=S$4))</f>
        <v>828</v>
      </c>
      <c r="T83" s="132" cm="1">
        <f t="array" ref="T83">SUMPRODUCT(General_Data*(Code_General_Data=$C83)*(Year=T$3)*(Month=T$4))</f>
        <v>840</v>
      </c>
      <c r="U83" s="132" cm="1">
        <f t="array" ref="U83">SUMPRODUCT(General_Data*(Code_General_Data=$C83)*(Year=U$3)*(Month=U$4))</f>
        <v>823</v>
      </c>
      <c r="V83" s="132" cm="1">
        <f t="array" ref="V83">SUMPRODUCT(General_Data*(Code_General_Data=$C83)*(Year=V$3)*(Month=V$4))</f>
        <v>765</v>
      </c>
      <c r="W83" s="132" cm="1">
        <f t="array" ref="W83">SUMPRODUCT(General_Data*(Code_General_Data=$C83)*(Year=W$3)*(Month=W$4))</f>
        <v>782</v>
      </c>
      <c r="X83" s="132" cm="1">
        <f t="array" ref="X83">SUMPRODUCT(General_Data*(Code_General_Data=$C83)*(Year=X$3)*(Month=X$4))</f>
        <v>807.5</v>
      </c>
      <c r="Y83" s="132" cm="1">
        <f t="array" ref="Y83">SUMPRODUCT(General_Data*(Code_General_Data=$C83)*(Year=Y$3)*(Month=Y$4))</f>
        <v>802</v>
      </c>
      <c r="Z83" s="132" cm="1">
        <f t="array" ref="Z83">SUMPRODUCT(General_Data*(Code_General_Data=$C83)*(Year=Z$3)*(Month=Z$4))</f>
        <v>795</v>
      </c>
      <c r="AA83" s="132" cm="1">
        <f t="array" ref="AA83">SUMPRODUCT(General_Data*(Code_General_Data=$C83)*(Year=AA$3)*(Month=AA$4))</f>
        <v>783</v>
      </c>
      <c r="AB83" s="132" cm="1">
        <f t="array" ref="AB83">SUMPRODUCT(General_Data*(Code_General_Data=$C83)*(Year=AB$3)*(Month=AB$4))</f>
        <v>772</v>
      </c>
      <c r="AC83" s="132" cm="1">
        <f t="array" ref="AC83">SUMPRODUCT(General_Data*(Code_General_Data=$C83)*(Year=AC$3)*(Month=AC$4))</f>
        <v>770</v>
      </c>
      <c r="AD83" s="133" cm="1">
        <f t="array" ref="AD83">SUMPRODUCT(General_Data*(Code_General_Data=$C83)*(Year=AD$3)*(Month=AD$4))</f>
        <v>770</v>
      </c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3"/>
    </row>
    <row r="84" spans="1:42" s="152" customFormat="1" ht="11.5" customHeight="1" outlineLevel="1" x14ac:dyDescent="0.35">
      <c r="A84" s="152" t="s">
        <v>62</v>
      </c>
      <c r="B84" s="152" t="s">
        <v>35</v>
      </c>
      <c r="D84" s="165">
        <v>5.4</v>
      </c>
      <c r="E84" s="153"/>
      <c r="F84" s="327" t="s">
        <v>430</v>
      </c>
      <c r="G84" s="154">
        <f t="shared" ref="G84:AD84" si="22">IF(G81*G82*G83&lt;&gt;0,G82-G83,0)</f>
        <v>320</v>
      </c>
      <c r="H84" s="154">
        <f t="shared" si="22"/>
        <v>306.66666666666663</v>
      </c>
      <c r="I84" s="154">
        <f t="shared" si="22"/>
        <v>310</v>
      </c>
      <c r="J84" s="154">
        <f t="shared" si="22"/>
        <v>310</v>
      </c>
      <c r="K84" s="154">
        <f t="shared" si="22"/>
        <v>308</v>
      </c>
      <c r="L84" s="154">
        <f t="shared" si="22"/>
        <v>300</v>
      </c>
      <c r="M84" s="154">
        <f t="shared" si="22"/>
        <v>382.5</v>
      </c>
      <c r="N84" s="154">
        <f t="shared" si="22"/>
        <v>400</v>
      </c>
      <c r="O84" s="154">
        <f t="shared" si="22"/>
        <v>450</v>
      </c>
      <c r="P84" s="154">
        <f t="shared" si="22"/>
        <v>467.5</v>
      </c>
      <c r="Q84" s="154">
        <f t="shared" si="22"/>
        <v>478</v>
      </c>
      <c r="R84" s="155">
        <f t="shared" si="22"/>
        <v>500</v>
      </c>
      <c r="S84" s="154">
        <f t="shared" si="22"/>
        <v>422</v>
      </c>
      <c r="T84" s="154">
        <f t="shared" si="22"/>
        <v>410</v>
      </c>
      <c r="U84" s="154">
        <f t="shared" si="22"/>
        <v>427</v>
      </c>
      <c r="V84" s="154">
        <f t="shared" si="22"/>
        <v>485</v>
      </c>
      <c r="W84" s="154">
        <f t="shared" si="22"/>
        <v>468</v>
      </c>
      <c r="X84" s="154">
        <f t="shared" si="22"/>
        <v>442.5</v>
      </c>
      <c r="Y84" s="154">
        <f t="shared" si="22"/>
        <v>0</v>
      </c>
      <c r="Z84" s="154">
        <f t="shared" si="22"/>
        <v>508.83162684869171</v>
      </c>
      <c r="AA84" s="154">
        <f t="shared" si="22"/>
        <v>520.83162684869171</v>
      </c>
      <c r="AB84" s="154">
        <f t="shared" si="22"/>
        <v>531.83162684869171</v>
      </c>
      <c r="AC84" s="154">
        <f t="shared" si="22"/>
        <v>533.83162684869171</v>
      </c>
      <c r="AD84" s="155">
        <f t="shared" si="22"/>
        <v>533.83162684869171</v>
      </c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5"/>
    </row>
    <row r="85" spans="1:42" s="156" customFormat="1" ht="11.5" customHeight="1" outlineLevel="1" x14ac:dyDescent="0.35">
      <c r="A85" s="156" t="s">
        <v>62</v>
      </c>
      <c r="B85" s="156" t="s">
        <v>35</v>
      </c>
      <c r="D85" s="166">
        <v>5.5</v>
      </c>
      <c r="E85" s="157"/>
      <c r="F85" s="328" t="s">
        <v>14</v>
      </c>
      <c r="G85" s="158">
        <f t="shared" ref="G85:AD85" si="23">IFERROR(G84/G83,0)</f>
        <v>0.34408602150537637</v>
      </c>
      <c r="H85" s="158">
        <f t="shared" si="23"/>
        <v>0.32508833922261476</v>
      </c>
      <c r="I85" s="158">
        <f t="shared" si="23"/>
        <v>0.32978723404255317</v>
      </c>
      <c r="J85" s="158">
        <f t="shared" si="23"/>
        <v>0.32978723404255317</v>
      </c>
      <c r="K85" s="158">
        <f t="shared" si="23"/>
        <v>0.32696390658174096</v>
      </c>
      <c r="L85" s="158">
        <f t="shared" si="23"/>
        <v>0.31578947368421051</v>
      </c>
      <c r="M85" s="158">
        <f t="shared" si="23"/>
        <v>0.40369393139841686</v>
      </c>
      <c r="N85" s="158">
        <f t="shared" si="23"/>
        <v>0.43010752688172044</v>
      </c>
      <c r="O85" s="158">
        <f t="shared" si="23"/>
        <v>0.51136363636363635</v>
      </c>
      <c r="P85" s="158">
        <f t="shared" si="23"/>
        <v>0.54202898550724643</v>
      </c>
      <c r="Q85" s="158">
        <f t="shared" si="23"/>
        <v>0.56103286384976525</v>
      </c>
      <c r="R85" s="159">
        <f t="shared" si="23"/>
        <v>0.60240963855421692</v>
      </c>
      <c r="S85" s="158">
        <f t="shared" si="23"/>
        <v>0.50966183574879231</v>
      </c>
      <c r="T85" s="158">
        <f t="shared" si="23"/>
        <v>0.48809523809523808</v>
      </c>
      <c r="U85" s="158">
        <f t="shared" si="23"/>
        <v>0.51883353584447145</v>
      </c>
      <c r="V85" s="158">
        <f t="shared" si="23"/>
        <v>0.63398692810457513</v>
      </c>
      <c r="W85" s="158">
        <f t="shared" si="23"/>
        <v>0.59846547314578002</v>
      </c>
      <c r="X85" s="158">
        <f t="shared" si="23"/>
        <v>0.54798761609907121</v>
      </c>
      <c r="Y85" s="158">
        <f t="shared" si="23"/>
        <v>0</v>
      </c>
      <c r="Z85" s="158">
        <f t="shared" si="23"/>
        <v>0.64003978219961222</v>
      </c>
      <c r="AA85" s="158">
        <f t="shared" si="23"/>
        <v>0.66517449150535335</v>
      </c>
      <c r="AB85" s="158">
        <f t="shared" si="23"/>
        <v>0.68890107104752818</v>
      </c>
      <c r="AC85" s="158">
        <f t="shared" si="23"/>
        <v>0.69328782707622305</v>
      </c>
      <c r="AD85" s="159">
        <f t="shared" si="23"/>
        <v>0.69328782707622305</v>
      </c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9"/>
    </row>
    <row r="86" spans="1:42" s="137" customFormat="1" ht="11.5" customHeight="1" outlineLevel="1" x14ac:dyDescent="0.35">
      <c r="A86" s="137" t="s">
        <v>62</v>
      </c>
      <c r="B86" s="137" t="s">
        <v>35</v>
      </c>
      <c r="C86" s="137" t="s">
        <v>35</v>
      </c>
      <c r="D86" s="167">
        <v>5.6</v>
      </c>
      <c r="E86" s="138"/>
      <c r="F86" s="329" t="s">
        <v>203</v>
      </c>
      <c r="G86" s="139" cm="1">
        <f t="array" ref="G86">SUMPRODUCT(General_Data*(Code_General_Data=$C86)*(Year=G$3)*(Month=G$4))</f>
        <v>1250</v>
      </c>
      <c r="H86" s="139" cm="1">
        <f t="array" ref="H86">SUMPRODUCT(General_Data*(Code_General_Data=$C86)*(Year=H$3)*(Month=H$4))</f>
        <v>1250</v>
      </c>
      <c r="I86" s="139" cm="1">
        <f t="array" ref="I86">SUMPRODUCT(General_Data*(Code_General_Data=$C86)*(Year=I$3)*(Month=I$4))</f>
        <v>1250</v>
      </c>
      <c r="J86" s="139" cm="1">
        <f t="array" ref="J86">SUMPRODUCT(General_Data*(Code_General_Data=$C86)*(Year=J$3)*(Month=J$4))</f>
        <v>1250</v>
      </c>
      <c r="K86" s="139" cm="1">
        <f t="array" ref="K86">SUMPRODUCT(General_Data*(Code_General_Data=$C86)*(Year=K$3)*(Month=K$4))</f>
        <v>1300</v>
      </c>
      <c r="L86" s="139" cm="1">
        <f t="array" ref="L86">SUMPRODUCT(General_Data*(Code_General_Data=$C86)*(Year=L$3)*(Month=L$4))</f>
        <v>1300</v>
      </c>
      <c r="M86" s="139" cm="1">
        <f t="array" ref="M86">SUMPRODUCT(General_Data*(Code_General_Data=$C86)*(Year=M$3)*(Month=M$4))</f>
        <v>1300</v>
      </c>
      <c r="N86" s="139" cm="1">
        <f t="array" ref="N86">SUMPRODUCT(General_Data*(Code_General_Data=$C86)*(Year=N$3)*(Month=N$4))</f>
        <v>1300</v>
      </c>
      <c r="O86" s="139" cm="1">
        <f t="array" ref="O86">SUMPRODUCT(General_Data*(Code_General_Data=$C86)*(Year=O$3)*(Month=O$4))</f>
        <v>1310</v>
      </c>
      <c r="P86" s="139" cm="1">
        <f t="array" ref="P86">SUMPRODUCT(General_Data*(Code_General_Data=$C86)*(Year=P$3)*(Month=P$4))</f>
        <v>1325</v>
      </c>
      <c r="Q86" s="139" cm="1">
        <f t="array" ref="Q86">SUMPRODUCT(General_Data*(Code_General_Data=$C86)*(Year=Q$3)*(Month=Q$4))</f>
        <v>1325</v>
      </c>
      <c r="R86" s="140" cm="1">
        <f t="array" ref="R86">SUMPRODUCT(General_Data*(Code_General_Data=$C86)*(Year=R$3)*(Month=R$4))</f>
        <v>1275</v>
      </c>
      <c r="S86" s="139" cm="1">
        <f t="array" ref="S86">SUMPRODUCT(General_Data*(Code_General_Data=$C86)*(Year=S$3)*(Month=S$4))</f>
        <v>1230</v>
      </c>
      <c r="T86" s="139" cm="1">
        <f t="array" ref="T86">SUMPRODUCT(General_Data*(Code_General_Data=$C86)*(Year=T$3)*(Month=T$4))</f>
        <v>1230</v>
      </c>
      <c r="U86" s="139" cm="1">
        <f t="array" ref="U86">SUMPRODUCT(General_Data*(Code_General_Data=$C86)*(Year=U$3)*(Month=U$4))</f>
        <v>1230</v>
      </c>
      <c r="V86" s="139" cm="1">
        <f t="array" ref="V86">SUMPRODUCT(General_Data*(Code_General_Data=$C86)*(Year=V$3)*(Month=V$4))</f>
        <v>1250</v>
      </c>
      <c r="W86" s="139" cm="1">
        <f t="array" ref="W86">SUMPRODUCT(General_Data*(Code_General_Data=$C86)*(Year=W$3)*(Month=W$4))</f>
        <v>1250</v>
      </c>
      <c r="X86" s="139" cm="1">
        <f t="array" ref="X86">SUMPRODUCT(General_Data*(Code_General_Data=$C86)*(Year=X$3)*(Month=X$4))</f>
        <v>1250</v>
      </c>
      <c r="Y86" s="139" cm="1">
        <f t="array" ref="Y86">SUMPRODUCT(General_Data*(Code_General_Data=$C86)*(Year=Y$3)*(Month=Y$4))</f>
        <v>1250</v>
      </c>
      <c r="Z86" s="139" cm="1">
        <f t="array" ref="Z86">SUMPRODUCT(General_Data*(Code_General_Data=$C86)*(Year=Z$3)*(Month=Z$4))</f>
        <v>1220</v>
      </c>
      <c r="AA86" s="139" cm="1">
        <f t="array" ref="AA86">SUMPRODUCT(General_Data*(Code_General_Data=$C86)*(Year=AA$3)*(Month=AA$4))</f>
        <v>1220</v>
      </c>
      <c r="AB86" s="139" cm="1">
        <f t="array" ref="AB86">SUMPRODUCT(General_Data*(Code_General_Data=$C86)*(Year=AB$3)*(Month=AB$4))</f>
        <v>1210</v>
      </c>
      <c r="AC86" s="139" cm="1">
        <f t="array" ref="AC86">SUMPRODUCT(General_Data*(Code_General_Data=$C86)*(Year=AC$3)*(Month=AC$4))</f>
        <v>1200</v>
      </c>
      <c r="AD86" s="140" cm="1">
        <f t="array" ref="AD86">SUMPRODUCT(General_Data*(Code_General_Data=$C86)*(Year=AD$3)*(Month=AD$4))</f>
        <v>1200</v>
      </c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40"/>
    </row>
    <row r="87" spans="1:42" ht="3.65" customHeight="1" x14ac:dyDescent="0.35">
      <c r="D87" s="168"/>
    </row>
    <row r="88" spans="1:42" s="127" customFormat="1" ht="15.65" customHeight="1" x14ac:dyDescent="0.4">
      <c r="A88" s="127" t="s">
        <v>49</v>
      </c>
      <c r="C88" s="131"/>
      <c r="D88" s="160">
        <v>6</v>
      </c>
      <c r="E88" s="130" t="s">
        <v>36</v>
      </c>
      <c r="F88" s="322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319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319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319"/>
    </row>
    <row r="89" spans="1:42" s="148" customFormat="1" ht="13.4" customHeight="1" outlineLevel="1" x14ac:dyDescent="0.4">
      <c r="A89" s="148" t="s">
        <v>49</v>
      </c>
      <c r="B89" s="148" t="s">
        <v>29</v>
      </c>
      <c r="D89" s="161"/>
      <c r="E89" s="149"/>
      <c r="F89" s="323" t="s">
        <v>27</v>
      </c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50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50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50"/>
    </row>
    <row r="90" spans="1:42" s="69" customFormat="1" ht="11.5" customHeight="1" outlineLevel="1" x14ac:dyDescent="0.35">
      <c r="A90" s="69" t="s">
        <v>49</v>
      </c>
      <c r="B90" s="69" t="s">
        <v>29</v>
      </c>
      <c r="D90" s="162">
        <v>6.1</v>
      </c>
      <c r="E90" s="134"/>
      <c r="F90" s="324" t="s">
        <v>28</v>
      </c>
      <c r="G90" s="135" cm="1">
        <f t="array" ref="G90">INDEX(Price!$L$11:$AM$182,MATCH(1,(Price!$A$11:$A$182=$A90)*(Price!$B$11:$B$182=$B90)*(Price!$D$11:$D$182="gb"),0),MATCH(1,(Price!$L$3:$AM$3=G$3)*(Price!$L$4:$AM$4=G$4),0))</f>
        <v>1325</v>
      </c>
      <c r="H90" s="135" cm="1">
        <f t="array" ref="H90">INDEX(Price!$L$11:$AM$182,MATCH(1,(Price!$A$11:$A$182=$A90)*(Price!$B$11:$B$182=$B90)*(Price!$D$11:$D$182="gb"),0),MATCH(1,(Price!$L$3:$AM$3=H$3)*(Price!$L$4:$AM$4=H$4),0))</f>
        <v>1325</v>
      </c>
      <c r="I90" s="135" cm="1">
        <f t="array" ref="I90">INDEX(Price!$L$11:$AM$182,MATCH(1,(Price!$A$11:$A$182=$A90)*(Price!$B$11:$B$182=$B90)*(Price!$D$11:$D$182="gb"),0),MATCH(1,(Price!$L$3:$AM$3=I$3)*(Price!$L$4:$AM$4=I$4),0))</f>
        <v>1325</v>
      </c>
      <c r="J90" s="135" cm="1">
        <f t="array" ref="J90">INDEX(Price!$L$11:$AM$182,MATCH(1,(Price!$A$11:$A$182=$A90)*(Price!$B$11:$B$182=$B90)*(Price!$D$11:$D$182="gb"),0),MATCH(1,(Price!$L$3:$AM$3=J$3)*(Price!$L$4:$AM$4=J$4),0))</f>
        <v>1325</v>
      </c>
      <c r="K90" s="135" cm="1">
        <f t="array" ref="K90">INDEX(Price!$L$11:$AM$182,MATCH(1,(Price!$A$11:$A$182=$A90)*(Price!$B$11:$B$182=$B90)*(Price!$D$11:$D$182="gb"),0),MATCH(1,(Price!$L$3:$AM$3=K$3)*(Price!$L$4:$AM$4=K$4),0))</f>
        <v>1325</v>
      </c>
      <c r="L90" s="135" cm="1">
        <f t="array" ref="L90">INDEX(Price!$L$11:$AM$182,MATCH(1,(Price!$A$11:$A$182=$A90)*(Price!$B$11:$B$182=$B90)*(Price!$D$11:$D$182="gb"),0),MATCH(1,(Price!$L$3:$AM$3=L$3)*(Price!$L$4:$AM$4=L$4),0))</f>
        <v>1325</v>
      </c>
      <c r="M90" s="135" cm="1">
        <f t="array" ref="M90">INDEX(Price!$L$11:$AM$182,MATCH(1,(Price!$A$11:$A$182=$A90)*(Price!$B$11:$B$182=$B90)*(Price!$D$11:$D$182="gb"),0),MATCH(1,(Price!$L$3:$AM$3=M$3)*(Price!$L$4:$AM$4=M$4),0))</f>
        <v>1325</v>
      </c>
      <c r="N90" s="135" cm="1">
        <f t="array" ref="N90">INDEX(Price!$L$11:$AM$182,MATCH(1,(Price!$A$11:$A$182=$A90)*(Price!$B$11:$B$182=$B90)*(Price!$D$11:$D$182="gb"),0),MATCH(1,(Price!$L$3:$AM$3=N$3)*(Price!$L$4:$AM$4=N$4),0))</f>
        <v>1325</v>
      </c>
      <c r="O90" s="135" cm="1">
        <f t="array" ref="O90">INDEX(Price!$L$11:$AM$182,MATCH(1,(Price!$A$11:$A$182=$A90)*(Price!$B$11:$B$182=$B90)*(Price!$D$11:$D$182="gb"),0),MATCH(1,(Price!$L$3:$AM$3=O$3)*(Price!$L$4:$AM$4=O$4),0))</f>
        <v>1325</v>
      </c>
      <c r="P90" s="135" cm="1">
        <f t="array" ref="P90">INDEX(Price!$L$11:$AM$182,MATCH(1,(Price!$A$11:$A$182=$A90)*(Price!$B$11:$B$182=$B90)*(Price!$D$11:$D$182="gb"),0),MATCH(1,(Price!$L$3:$AM$3=P$3)*(Price!$L$4:$AM$4=P$4),0))</f>
        <v>1325</v>
      </c>
      <c r="Q90" s="135" cm="1">
        <f t="array" ref="Q90">INDEX(Price!$L$11:$AM$182,MATCH(1,(Price!$A$11:$A$182=$A90)*(Price!$B$11:$B$182=$B90)*(Price!$D$11:$D$182="gb"),0),MATCH(1,(Price!$L$3:$AM$3=Q$3)*(Price!$L$4:$AM$4=Q$4),0))</f>
        <v>1325</v>
      </c>
      <c r="R90" s="136" cm="1">
        <f t="array" ref="R90">INDEX(Price!$L$11:$AM$182,MATCH(1,(Price!$A$11:$A$182=$A90)*(Price!$B$11:$B$182=$B90)*(Price!$D$11:$D$182="gb"),0),MATCH(1,(Price!$L$3:$AM$3=R$3)*(Price!$L$4:$AM$4=R$4),0))</f>
        <v>1325</v>
      </c>
      <c r="S90" s="135" cm="1">
        <f t="array" ref="S90">INDEX(Price!$L$11:$AM$182,MATCH(1,(Price!$A$11:$A$182=$A90)*(Price!$B$11:$B$182=$B90)*(Price!$D$11:$D$182="gb"),0),MATCH(1,(Price!$L$3:$AM$3=S$3)*(Price!$L$4:$AM$4=S$4),0))</f>
        <v>1400</v>
      </c>
      <c r="T90" s="135" cm="1">
        <f t="array" ref="T90">INDEX(Price!$L$11:$AM$182,MATCH(1,(Price!$A$11:$A$182=$A90)*(Price!$B$11:$B$182=$B90)*(Price!$D$11:$D$182="gb"),0),MATCH(1,(Price!$L$3:$AM$3=T$3)*(Price!$L$4:$AM$4=T$4),0))</f>
        <v>1400</v>
      </c>
      <c r="U90" s="135" cm="1">
        <f t="array" ref="U90">INDEX(Price!$L$11:$AM$182,MATCH(1,(Price!$A$11:$A$182=$A90)*(Price!$B$11:$B$182=$B90)*(Price!$D$11:$D$182="gb"),0),MATCH(1,(Price!$L$3:$AM$3=U$3)*(Price!$L$4:$AM$4=U$4),0))</f>
        <v>1400</v>
      </c>
      <c r="V90" s="135" cm="1">
        <f t="array" ref="V90">INDEX(Price!$L$11:$AM$182,MATCH(1,(Price!$A$11:$A$182=$A90)*(Price!$B$11:$B$182=$B90)*(Price!$D$11:$D$182="gb"),0),MATCH(1,(Price!$L$3:$AM$3=V$3)*(Price!$L$4:$AM$4=V$4),0))</f>
        <v>1400</v>
      </c>
      <c r="W90" s="135" cm="1">
        <f t="array" ref="W90">INDEX(Price!$L$11:$AM$182,MATCH(1,(Price!$A$11:$A$182=$A90)*(Price!$B$11:$B$182=$B90)*(Price!$D$11:$D$182="gb"),0),MATCH(1,(Price!$L$3:$AM$3=W$3)*(Price!$L$4:$AM$4=W$4),0))</f>
        <v>1400</v>
      </c>
      <c r="X90" s="135" cm="1">
        <f t="array" ref="X90">INDEX(Price!$L$11:$AM$182,MATCH(1,(Price!$A$11:$A$182=$A90)*(Price!$B$11:$B$182=$B90)*(Price!$D$11:$D$182="gb"),0),MATCH(1,(Price!$L$3:$AM$3=X$3)*(Price!$L$4:$AM$4=X$4),0))</f>
        <v>1400</v>
      </c>
      <c r="Y90" s="135" cm="1">
        <f t="array" ref="Y90">INDEX(Price!$L$11:$AM$182,MATCH(1,(Price!$A$11:$A$182=$A90)*(Price!$B$11:$B$182=$B90)*(Price!$D$11:$D$182="gb"),0),MATCH(1,(Price!$L$3:$AM$3=Y$3)*(Price!$L$4:$AM$4=Y$4),0))</f>
        <v>1400</v>
      </c>
      <c r="Z90" s="135" cm="1">
        <f t="array" ref="Z90">INDEX(Price!$L$11:$AM$182,MATCH(1,(Price!$A$11:$A$182=$A90)*(Price!$B$11:$B$182=$B90)*(Price!$D$11:$D$182="gb"),0),MATCH(1,(Price!$L$3:$AM$3=Z$3)*(Price!$L$4:$AM$4=Z$4),0))</f>
        <v>1400</v>
      </c>
      <c r="AA90" s="135" cm="1">
        <f t="array" ref="AA90">INDEX(Price!$L$11:$AM$182,MATCH(1,(Price!$A$11:$A$182=$A90)*(Price!$B$11:$B$182=$B90)*(Price!$D$11:$D$182="gb"),0),MATCH(1,(Price!$L$3:$AM$3=AA$3)*(Price!$L$4:$AM$4=AA$4),0))</f>
        <v>1400</v>
      </c>
      <c r="AB90" s="135" cm="1">
        <f t="array" ref="AB90">INDEX(Price!$L$11:$AM$182,MATCH(1,(Price!$A$11:$A$182=$A90)*(Price!$B$11:$B$182=$B90)*(Price!$D$11:$D$182="gb"),0),MATCH(1,(Price!$L$3:$AM$3=AB$3)*(Price!$L$4:$AM$4=AB$4),0))</f>
        <v>1400</v>
      </c>
      <c r="AC90" s="135" cm="1">
        <f t="array" ref="AC90">INDEX(Price!$L$11:$AM$182,MATCH(1,(Price!$A$11:$A$182=$A90)*(Price!$B$11:$B$182=$B90)*(Price!$D$11:$D$182="gb"),0),MATCH(1,(Price!$L$3:$AM$3=AC$3)*(Price!$L$4:$AM$4=AC$4),0))</f>
        <v>1400</v>
      </c>
      <c r="AD90" s="136" cm="1">
        <f t="array" ref="AD90">INDEX(Price!$L$11:$AM$182,MATCH(1,(Price!$A$11:$A$182=$A90)*(Price!$B$11:$B$182=$B90)*(Price!$D$11:$D$182="gb"),0),MATCH(1,(Price!$L$3:$AM$3=AD$3)*(Price!$L$4:$AM$4=AD$4),0))</f>
        <v>1400</v>
      </c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6"/>
    </row>
    <row r="91" spans="1:42" s="1" customFormat="1" ht="11.5" customHeight="1" outlineLevel="1" x14ac:dyDescent="0.35">
      <c r="A91" s="1" t="s">
        <v>49</v>
      </c>
      <c r="B91" s="1" t="s">
        <v>29</v>
      </c>
      <c r="C91" s="143" t="s">
        <v>322</v>
      </c>
      <c r="D91" s="163">
        <v>6.2</v>
      </c>
      <c r="E91" s="144"/>
      <c r="F91" s="325" t="s">
        <v>8</v>
      </c>
      <c r="G91" s="145" cm="1">
        <f t="array" ref="G91">INDEX(Price!$L$11:$AM$182,MATCH(1,(Price!$A$11:$A$182=$A91)*(Price!$B$11:$B$182=$B91)*(Price!$D$11:$D$182="exw"),0),MATCH(1,(Price!$L$3:$AM$3=G$3)*(Price!$L$4:$AM$4=G$4),0))</f>
        <v>1315</v>
      </c>
      <c r="H91" s="145" cm="1">
        <f t="array" ref="H91">INDEX(Price!$L$11:$AM$182,MATCH(1,(Price!$A$11:$A$182=$A91)*(Price!$B$11:$B$182=$B91)*(Price!$D$11:$D$182="exw"),0),MATCH(1,(Price!$L$3:$AM$3=H$3)*(Price!$L$4:$AM$4=H$4),0))</f>
        <v>1315</v>
      </c>
      <c r="I91" s="145" cm="1">
        <f t="array" ref="I91">INDEX(Price!$L$11:$AM$182,MATCH(1,(Price!$A$11:$A$182=$A91)*(Price!$B$11:$B$182=$B91)*(Price!$D$11:$D$182="exw"),0),MATCH(1,(Price!$L$3:$AM$3=I$3)*(Price!$L$4:$AM$4=I$4),0))</f>
        <v>1315</v>
      </c>
      <c r="J91" s="145" cm="1">
        <f t="array" ref="J91">INDEX(Price!$L$11:$AM$182,MATCH(1,(Price!$A$11:$A$182=$A91)*(Price!$B$11:$B$182=$B91)*(Price!$D$11:$D$182="exw"),0),MATCH(1,(Price!$L$3:$AM$3=J$3)*(Price!$L$4:$AM$4=J$4),0))</f>
        <v>1315</v>
      </c>
      <c r="K91" s="145" cm="1">
        <f t="array" ref="K91">INDEX(Price!$L$11:$AM$182,MATCH(1,(Price!$A$11:$A$182=$A91)*(Price!$B$11:$B$182=$B91)*(Price!$D$11:$D$182="exw"),0),MATCH(1,(Price!$L$3:$AM$3=K$3)*(Price!$L$4:$AM$4=K$4),0))</f>
        <v>1315</v>
      </c>
      <c r="L91" s="145" cm="1">
        <f t="array" ref="L91">INDEX(Price!$L$11:$AM$182,MATCH(1,(Price!$A$11:$A$182=$A91)*(Price!$B$11:$B$182=$B91)*(Price!$D$11:$D$182="exw"),0),MATCH(1,(Price!$L$3:$AM$3=L$3)*(Price!$L$4:$AM$4=L$4),0))</f>
        <v>1315</v>
      </c>
      <c r="M91" s="145" cm="1">
        <f t="array" ref="M91">INDEX(Price!$L$11:$AM$182,MATCH(1,(Price!$A$11:$A$182=$A91)*(Price!$B$11:$B$182=$B91)*(Price!$D$11:$D$182="exw"),0),MATCH(1,(Price!$L$3:$AM$3=M$3)*(Price!$L$4:$AM$4=M$4),0))</f>
        <v>1315</v>
      </c>
      <c r="N91" s="145" cm="1">
        <f t="array" ref="N91">INDEX(Price!$L$11:$AM$182,MATCH(1,(Price!$A$11:$A$182=$A91)*(Price!$B$11:$B$182=$B91)*(Price!$D$11:$D$182="exw"),0),MATCH(1,(Price!$L$3:$AM$3=N$3)*(Price!$L$4:$AM$4=N$4),0))</f>
        <v>1315</v>
      </c>
      <c r="O91" s="145" cm="1">
        <f t="array" ref="O91">INDEX(Price!$L$11:$AM$182,MATCH(1,(Price!$A$11:$A$182=$A91)*(Price!$B$11:$B$182=$B91)*(Price!$D$11:$D$182="exw"),0),MATCH(1,(Price!$L$3:$AM$3=O$3)*(Price!$L$4:$AM$4=O$4),0))</f>
        <v>1315</v>
      </c>
      <c r="P91" s="145" cm="1">
        <f t="array" ref="P91">INDEX(Price!$L$11:$AM$182,MATCH(1,(Price!$A$11:$A$182=$A91)*(Price!$B$11:$B$182=$B91)*(Price!$D$11:$D$182="exw"),0),MATCH(1,(Price!$L$3:$AM$3=P$3)*(Price!$L$4:$AM$4=P$4),0))</f>
        <v>1315</v>
      </c>
      <c r="Q91" s="145" cm="1">
        <f t="array" ref="Q91">INDEX(Price!$L$11:$AM$182,MATCH(1,(Price!$A$11:$A$182=$A91)*(Price!$B$11:$B$182=$B91)*(Price!$D$11:$D$182="exw"),0),MATCH(1,(Price!$L$3:$AM$3=Q$3)*(Price!$L$4:$AM$4=Q$4),0))</f>
        <v>1315</v>
      </c>
      <c r="R91" s="146" cm="1">
        <f t="array" ref="R91">INDEX(Price!$L$11:$AM$182,MATCH(1,(Price!$A$11:$A$182=$A91)*(Price!$B$11:$B$182=$B91)*(Price!$D$11:$D$182="exw"),0),MATCH(1,(Price!$L$3:$AM$3=R$3)*(Price!$L$4:$AM$4=R$4),0))</f>
        <v>1315</v>
      </c>
      <c r="S91" s="145" cm="1">
        <f t="array" ref="S91">INDEX(Price!$L$11:$AM$182,MATCH(1,(Price!$A$11:$A$182=$A91)*(Price!$B$11:$B$182=$B91)*(Price!$D$11:$D$182="exw"),0),MATCH(1,(Price!$L$3:$AM$3=S$3)*(Price!$L$4:$AM$4=S$4),0))</f>
        <v>1348.3</v>
      </c>
      <c r="T91" s="145" cm="1">
        <f t="array" ref="T91">INDEX(Price!$L$11:$AM$182,MATCH(1,(Price!$A$11:$A$182=$A91)*(Price!$B$11:$B$182=$B91)*(Price!$D$11:$D$182="exw"),0),MATCH(1,(Price!$L$3:$AM$3=T$3)*(Price!$L$4:$AM$4=T$4),0))</f>
        <v>1348.3</v>
      </c>
      <c r="U91" s="145" cm="1">
        <f t="array" ref="U91">INDEX(Price!$L$11:$AM$182,MATCH(1,(Price!$A$11:$A$182=$A91)*(Price!$B$11:$B$182=$B91)*(Price!$D$11:$D$182="exw"),0),MATCH(1,(Price!$L$3:$AM$3=U$3)*(Price!$L$4:$AM$4=U$4),0))</f>
        <v>1348.3</v>
      </c>
      <c r="V91" s="145" cm="1">
        <f t="array" ref="V91">INDEX(Price!$L$11:$AM$182,MATCH(1,(Price!$A$11:$A$182=$A91)*(Price!$B$11:$B$182=$B91)*(Price!$D$11:$D$182="exw"),0),MATCH(1,(Price!$L$3:$AM$3=V$3)*(Price!$L$4:$AM$4=V$4),0))</f>
        <v>1348.3</v>
      </c>
      <c r="W91" s="145" cm="1">
        <f t="array" ref="W91">INDEX(Price!$L$11:$AM$182,MATCH(1,(Price!$A$11:$A$182=$A91)*(Price!$B$11:$B$182=$B91)*(Price!$D$11:$D$182="exw"),0),MATCH(1,(Price!$L$3:$AM$3=W$3)*(Price!$L$4:$AM$4=W$4),0))</f>
        <v>1348.3</v>
      </c>
      <c r="X91" s="145" cm="1">
        <f t="array" ref="X91">INDEX(Price!$L$11:$AM$182,MATCH(1,(Price!$A$11:$A$182=$A91)*(Price!$B$11:$B$182=$B91)*(Price!$D$11:$D$182="exw"),0),MATCH(1,(Price!$L$3:$AM$3=X$3)*(Price!$L$4:$AM$4=X$4),0))</f>
        <v>1348.3</v>
      </c>
      <c r="Y91" s="145" cm="1">
        <f t="array" ref="Y91">INDEX(Price!$L$11:$AM$182,MATCH(1,(Price!$A$11:$A$182=$A91)*(Price!$B$11:$B$182=$B91)*(Price!$D$11:$D$182="exw"),0),MATCH(1,(Price!$L$3:$AM$3=Y$3)*(Price!$L$4:$AM$4=Y$4),0))</f>
        <v>1348.3</v>
      </c>
      <c r="Z91" s="145" cm="1">
        <f t="array" ref="Z91">INDEX(Price!$L$11:$AM$182,MATCH(1,(Price!$A$11:$A$182=$A91)*(Price!$B$11:$B$182=$B91)*(Price!$D$11:$D$182="exw"),0),MATCH(1,(Price!$L$3:$AM$3=Z$3)*(Price!$L$4:$AM$4=Z$4),0))</f>
        <v>1348.3</v>
      </c>
      <c r="AA91" s="145" cm="1">
        <f t="array" ref="AA91">INDEX(Price!$L$11:$AM$182,MATCH(1,(Price!$A$11:$A$182=$A91)*(Price!$B$11:$B$182=$B91)*(Price!$D$11:$D$182="exw"),0),MATCH(1,(Price!$L$3:$AM$3=AA$3)*(Price!$L$4:$AM$4=AA$4),0))</f>
        <v>1348.3</v>
      </c>
      <c r="AB91" s="145" cm="1">
        <f t="array" ref="AB91">INDEX(Price!$L$11:$AM$182,MATCH(1,(Price!$A$11:$A$182=$A91)*(Price!$B$11:$B$182=$B91)*(Price!$D$11:$D$182="exw"),0),MATCH(1,(Price!$L$3:$AM$3=AB$3)*(Price!$L$4:$AM$4=AB$4),0))</f>
        <v>1348.3</v>
      </c>
      <c r="AC91" s="145" cm="1">
        <f t="array" ref="AC91">INDEX(Price!$L$11:$AM$182,MATCH(1,(Price!$A$11:$A$182=$A91)*(Price!$B$11:$B$182=$B91)*(Price!$D$11:$D$182="exw"),0),MATCH(1,(Price!$L$3:$AM$3=AC$3)*(Price!$L$4:$AM$4=AC$4),0))</f>
        <v>1348.3</v>
      </c>
      <c r="AD91" s="146" cm="1">
        <f t="array" ref="AD91">INDEX(Price!$L$11:$AM$182,MATCH(1,(Price!$A$11:$A$182=$A91)*(Price!$B$11:$B$182=$B91)*(Price!$D$11:$D$182="exw"),0),MATCH(1,(Price!$L$3:$AM$3=AD$3)*(Price!$L$4:$AM$4=AD$4),0))</f>
        <v>1348.3</v>
      </c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6"/>
    </row>
    <row r="92" spans="1:42" ht="11.5" customHeight="1" outlineLevel="1" x14ac:dyDescent="0.35">
      <c r="A92" t="s">
        <v>49</v>
      </c>
      <c r="B92" t="s">
        <v>29</v>
      </c>
      <c r="C92" s="14" t="s">
        <v>9</v>
      </c>
      <c r="D92" s="164">
        <v>6.3</v>
      </c>
      <c r="E92" s="8"/>
      <c r="F92" s="326" t="s">
        <v>11</v>
      </c>
      <c r="G92" s="320" cm="1">
        <f t="array" ref="G92">SUMPRODUCT(General_Data*(Code_General_Data=$C92)*(Year=G$3)*(Month=G$4))</f>
        <v>930</v>
      </c>
      <c r="H92" s="132" cm="1">
        <f t="array" ref="H92">SUMPRODUCT(General_Data*(Code_General_Data=$C92)*(Year=H$3)*(Month=H$4))</f>
        <v>943.33333333333337</v>
      </c>
      <c r="I92" s="132" cm="1">
        <f t="array" ref="I92">SUMPRODUCT(General_Data*(Code_General_Data=$C92)*(Year=I$3)*(Month=I$4))</f>
        <v>940</v>
      </c>
      <c r="J92" s="132" cm="1">
        <f t="array" ref="J92">SUMPRODUCT(General_Data*(Code_General_Data=$C92)*(Year=J$3)*(Month=J$4))</f>
        <v>940</v>
      </c>
      <c r="K92" s="132" cm="1">
        <f t="array" ref="K92">SUMPRODUCT(General_Data*(Code_General_Data=$C92)*(Year=K$3)*(Month=K$4))</f>
        <v>942</v>
      </c>
      <c r="L92" s="132" cm="1">
        <f t="array" ref="L92">SUMPRODUCT(General_Data*(Code_General_Data=$C92)*(Year=L$3)*(Month=L$4))</f>
        <v>950</v>
      </c>
      <c r="M92" s="132" cm="1">
        <f t="array" ref="M92">SUMPRODUCT(General_Data*(Code_General_Data=$C92)*(Year=M$3)*(Month=M$4))</f>
        <v>947.5</v>
      </c>
      <c r="N92" s="132" cm="1">
        <f t="array" ref="N92">SUMPRODUCT(General_Data*(Code_General_Data=$C92)*(Year=N$3)*(Month=N$4))</f>
        <v>930</v>
      </c>
      <c r="O92" s="132" cm="1">
        <f t="array" ref="O92">SUMPRODUCT(General_Data*(Code_General_Data=$C92)*(Year=O$3)*(Month=O$4))</f>
        <v>880</v>
      </c>
      <c r="P92" s="132" cm="1">
        <f t="array" ref="P92">SUMPRODUCT(General_Data*(Code_General_Data=$C92)*(Year=P$3)*(Month=P$4))</f>
        <v>862.5</v>
      </c>
      <c r="Q92" s="132" cm="1">
        <f t="array" ref="Q92">SUMPRODUCT(General_Data*(Code_General_Data=$C92)*(Year=Q$3)*(Month=Q$4))</f>
        <v>852</v>
      </c>
      <c r="R92" s="133" cm="1">
        <f t="array" ref="R92">SUMPRODUCT(General_Data*(Code_General_Data=$C92)*(Year=R$3)*(Month=R$4))</f>
        <v>830</v>
      </c>
      <c r="S92" s="132" cm="1">
        <f t="array" ref="S92">SUMPRODUCT(General_Data*(Code_General_Data=$C92)*(Year=S$3)*(Month=S$4))</f>
        <v>828</v>
      </c>
      <c r="T92" s="132" cm="1">
        <f t="array" ref="T92">SUMPRODUCT(General_Data*(Code_General_Data=$C92)*(Year=T$3)*(Month=T$4))</f>
        <v>840</v>
      </c>
      <c r="U92" s="132" cm="1">
        <f t="array" ref="U92">SUMPRODUCT(General_Data*(Code_General_Data=$C92)*(Year=U$3)*(Month=U$4))</f>
        <v>823</v>
      </c>
      <c r="V92" s="132" cm="1">
        <f t="array" ref="V92">SUMPRODUCT(General_Data*(Code_General_Data=$C92)*(Year=V$3)*(Month=V$4))</f>
        <v>765</v>
      </c>
      <c r="W92" s="132" cm="1">
        <f t="array" ref="W92">SUMPRODUCT(General_Data*(Code_General_Data=$C92)*(Year=W$3)*(Month=W$4))</f>
        <v>782</v>
      </c>
      <c r="X92" s="132" cm="1">
        <f t="array" ref="X92">SUMPRODUCT(General_Data*(Code_General_Data=$C92)*(Year=X$3)*(Month=X$4))</f>
        <v>807.5</v>
      </c>
      <c r="Y92" s="132" cm="1">
        <f t="array" ref="Y92">SUMPRODUCT(General_Data*(Code_General_Data=$C92)*(Year=Y$3)*(Month=Y$4))</f>
        <v>802</v>
      </c>
      <c r="Z92" s="132" cm="1">
        <f t="array" ref="Z92">SUMPRODUCT(General_Data*(Code_General_Data=$C92)*(Year=Z$3)*(Month=Z$4))</f>
        <v>795</v>
      </c>
      <c r="AA92" s="132" cm="1">
        <f t="array" ref="AA92">SUMPRODUCT(General_Data*(Code_General_Data=$C92)*(Year=AA$3)*(Month=AA$4))</f>
        <v>783</v>
      </c>
      <c r="AB92" s="132" cm="1">
        <f t="array" ref="AB92">SUMPRODUCT(General_Data*(Code_General_Data=$C92)*(Year=AB$3)*(Month=AB$4))</f>
        <v>772</v>
      </c>
      <c r="AC92" s="132" cm="1">
        <f t="array" ref="AC92">SUMPRODUCT(General_Data*(Code_General_Data=$C92)*(Year=AC$3)*(Month=AC$4))</f>
        <v>770</v>
      </c>
      <c r="AD92" s="133" cm="1">
        <f t="array" ref="AD92">SUMPRODUCT(General_Data*(Code_General_Data=$C92)*(Year=AD$3)*(Month=AD$4))</f>
        <v>770</v>
      </c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3"/>
    </row>
    <row r="93" spans="1:42" s="152" customFormat="1" ht="11.5" customHeight="1" outlineLevel="1" x14ac:dyDescent="0.35">
      <c r="A93" s="152" t="s">
        <v>49</v>
      </c>
      <c r="B93" s="152" t="s">
        <v>29</v>
      </c>
      <c r="D93" s="165">
        <v>6.4</v>
      </c>
      <c r="E93" s="153"/>
      <c r="F93" s="327" t="s">
        <v>430</v>
      </c>
      <c r="G93" s="154">
        <f t="shared" ref="G93:AD93" si="24">IF(G90*G91*G92&lt;&gt;0,G91-G92,0)</f>
        <v>385</v>
      </c>
      <c r="H93" s="154">
        <f t="shared" si="24"/>
        <v>371.66666666666663</v>
      </c>
      <c r="I93" s="154">
        <f t="shared" si="24"/>
        <v>375</v>
      </c>
      <c r="J93" s="154">
        <f t="shared" si="24"/>
        <v>375</v>
      </c>
      <c r="K93" s="154">
        <f t="shared" si="24"/>
        <v>373</v>
      </c>
      <c r="L93" s="154">
        <f t="shared" si="24"/>
        <v>365</v>
      </c>
      <c r="M93" s="154">
        <f t="shared" si="24"/>
        <v>367.5</v>
      </c>
      <c r="N93" s="154">
        <f t="shared" si="24"/>
        <v>385</v>
      </c>
      <c r="O93" s="154">
        <f t="shared" si="24"/>
        <v>435</v>
      </c>
      <c r="P93" s="154">
        <f t="shared" si="24"/>
        <v>452.5</v>
      </c>
      <c r="Q93" s="154">
        <f t="shared" si="24"/>
        <v>463</v>
      </c>
      <c r="R93" s="155">
        <f t="shared" si="24"/>
        <v>485</v>
      </c>
      <c r="S93" s="154">
        <f t="shared" si="24"/>
        <v>520.29999999999995</v>
      </c>
      <c r="T93" s="154">
        <f t="shared" si="24"/>
        <v>508.29999999999995</v>
      </c>
      <c r="U93" s="154">
        <f t="shared" si="24"/>
        <v>525.29999999999995</v>
      </c>
      <c r="V93" s="154">
        <f t="shared" si="24"/>
        <v>583.29999999999995</v>
      </c>
      <c r="W93" s="154">
        <f t="shared" si="24"/>
        <v>566.29999999999995</v>
      </c>
      <c r="X93" s="154">
        <f t="shared" si="24"/>
        <v>540.79999999999995</v>
      </c>
      <c r="Y93" s="154">
        <f t="shared" si="24"/>
        <v>546.29999999999995</v>
      </c>
      <c r="Z93" s="154">
        <f t="shared" si="24"/>
        <v>553.29999999999995</v>
      </c>
      <c r="AA93" s="154">
        <f t="shared" si="24"/>
        <v>565.29999999999995</v>
      </c>
      <c r="AB93" s="154">
        <f t="shared" si="24"/>
        <v>576.29999999999995</v>
      </c>
      <c r="AC93" s="154">
        <f t="shared" si="24"/>
        <v>578.29999999999995</v>
      </c>
      <c r="AD93" s="155">
        <f t="shared" si="24"/>
        <v>578.29999999999995</v>
      </c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5"/>
    </row>
    <row r="94" spans="1:42" s="156" customFormat="1" ht="11.5" customHeight="1" outlineLevel="1" x14ac:dyDescent="0.35">
      <c r="A94" s="156" t="s">
        <v>49</v>
      </c>
      <c r="B94" s="156" t="s">
        <v>29</v>
      </c>
      <c r="D94" s="166">
        <v>6.5</v>
      </c>
      <c r="E94" s="157"/>
      <c r="F94" s="328" t="s">
        <v>14</v>
      </c>
      <c r="G94" s="158">
        <f t="shared" ref="G94:AD94" si="25">IFERROR(G93/G92,0)</f>
        <v>0.41397849462365593</v>
      </c>
      <c r="H94" s="158">
        <f t="shared" si="25"/>
        <v>0.39399293286219078</v>
      </c>
      <c r="I94" s="158">
        <f t="shared" si="25"/>
        <v>0.39893617021276595</v>
      </c>
      <c r="J94" s="158">
        <f t="shared" si="25"/>
        <v>0.39893617021276595</v>
      </c>
      <c r="K94" s="158">
        <f t="shared" si="25"/>
        <v>0.39596602972399153</v>
      </c>
      <c r="L94" s="158">
        <f t="shared" si="25"/>
        <v>0.38421052631578945</v>
      </c>
      <c r="M94" s="158">
        <f t="shared" si="25"/>
        <v>0.38786279683377306</v>
      </c>
      <c r="N94" s="158">
        <f t="shared" si="25"/>
        <v>0.41397849462365593</v>
      </c>
      <c r="O94" s="158">
        <f t="shared" si="25"/>
        <v>0.49431818181818182</v>
      </c>
      <c r="P94" s="158">
        <f t="shared" si="25"/>
        <v>0.52463768115942033</v>
      </c>
      <c r="Q94" s="158">
        <f t="shared" si="25"/>
        <v>0.54342723004694837</v>
      </c>
      <c r="R94" s="159">
        <f t="shared" si="25"/>
        <v>0.58433734939759041</v>
      </c>
      <c r="S94" s="158">
        <f t="shared" si="25"/>
        <v>0.62838164251207729</v>
      </c>
      <c r="T94" s="158">
        <f t="shared" si="25"/>
        <v>0.60511904761904756</v>
      </c>
      <c r="U94" s="158">
        <f t="shared" si="25"/>
        <v>0.6382746051032806</v>
      </c>
      <c r="V94" s="158">
        <f t="shared" si="25"/>
        <v>0.76248366013071889</v>
      </c>
      <c r="W94" s="158">
        <f t="shared" si="25"/>
        <v>0.72416879795396416</v>
      </c>
      <c r="X94" s="158">
        <f t="shared" si="25"/>
        <v>0.66972136222910206</v>
      </c>
      <c r="Y94" s="158">
        <f t="shared" si="25"/>
        <v>0.68117206982543632</v>
      </c>
      <c r="Z94" s="158">
        <f t="shared" si="25"/>
        <v>0.69597484276729549</v>
      </c>
      <c r="AA94" s="158">
        <f t="shared" si="25"/>
        <v>0.72196679438058742</v>
      </c>
      <c r="AB94" s="158">
        <f t="shared" si="25"/>
        <v>0.74650259067357505</v>
      </c>
      <c r="AC94" s="158">
        <f t="shared" si="25"/>
        <v>0.75103896103896095</v>
      </c>
      <c r="AD94" s="159">
        <f t="shared" si="25"/>
        <v>0.75103896103896095</v>
      </c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9"/>
    </row>
    <row r="95" spans="1:42" s="137" customFormat="1" ht="11.5" customHeight="1" outlineLevel="1" x14ac:dyDescent="0.35">
      <c r="A95" s="137" t="s">
        <v>49</v>
      </c>
      <c r="B95" s="137" t="s">
        <v>29</v>
      </c>
      <c r="C95" s="137" t="s">
        <v>29</v>
      </c>
      <c r="D95" s="167">
        <v>6.6</v>
      </c>
      <c r="E95" s="138"/>
      <c r="F95" s="329" t="s">
        <v>203</v>
      </c>
      <c r="G95" s="139" cm="1">
        <f t="array" ref="G95">SUMPRODUCT(General_Data*(Code_General_Data=$C95)*(Year=G$3)*(Month=G$4))</f>
        <v>1340</v>
      </c>
      <c r="H95" s="139" cm="1">
        <f t="array" ref="H95">SUMPRODUCT(General_Data*(Code_General_Data=$C95)*(Year=H$3)*(Month=H$4))</f>
        <v>1340</v>
      </c>
      <c r="I95" s="139" cm="1">
        <f t="array" ref="I95">SUMPRODUCT(General_Data*(Code_General_Data=$C95)*(Year=I$3)*(Month=I$4))</f>
        <v>1340</v>
      </c>
      <c r="J95" s="139" cm="1">
        <f t="array" ref="J95">SUMPRODUCT(General_Data*(Code_General_Data=$C95)*(Year=J$3)*(Month=J$4))</f>
        <v>1340</v>
      </c>
      <c r="K95" s="139" cm="1">
        <f t="array" ref="K95">SUMPRODUCT(General_Data*(Code_General_Data=$C95)*(Year=K$3)*(Month=K$4))</f>
        <v>1390</v>
      </c>
      <c r="L95" s="139" cm="1">
        <f t="array" ref="L95">SUMPRODUCT(General_Data*(Code_General_Data=$C95)*(Year=L$3)*(Month=L$4))</f>
        <v>1390</v>
      </c>
      <c r="M95" s="139" cm="1">
        <f t="array" ref="M95">SUMPRODUCT(General_Data*(Code_General_Data=$C95)*(Year=M$3)*(Month=M$4))</f>
        <v>1390</v>
      </c>
      <c r="N95" s="139" cm="1">
        <f t="array" ref="N95">SUMPRODUCT(General_Data*(Code_General_Data=$C95)*(Year=N$3)*(Month=N$4))</f>
        <v>1390</v>
      </c>
      <c r="O95" s="139" cm="1">
        <f t="array" ref="O95">SUMPRODUCT(General_Data*(Code_General_Data=$C95)*(Year=O$3)*(Month=O$4))</f>
        <v>1400</v>
      </c>
      <c r="P95" s="139" cm="1">
        <f t="array" ref="P95">SUMPRODUCT(General_Data*(Code_General_Data=$C95)*(Year=P$3)*(Month=P$4))</f>
        <v>1415</v>
      </c>
      <c r="Q95" s="139" cm="1">
        <f t="array" ref="Q95">SUMPRODUCT(General_Data*(Code_General_Data=$C95)*(Year=Q$3)*(Month=Q$4))</f>
        <v>1415</v>
      </c>
      <c r="R95" s="140" cm="1">
        <f t="array" ref="R95">SUMPRODUCT(General_Data*(Code_General_Data=$C95)*(Year=R$3)*(Month=R$4))</f>
        <v>1365</v>
      </c>
      <c r="S95" s="139" cm="1">
        <f t="array" ref="S95">SUMPRODUCT(General_Data*(Code_General_Data=$C95)*(Year=S$3)*(Month=S$4))</f>
        <v>1320</v>
      </c>
      <c r="T95" s="139" cm="1">
        <f t="array" ref="T95">SUMPRODUCT(General_Data*(Code_General_Data=$C95)*(Year=T$3)*(Month=T$4))</f>
        <v>1280</v>
      </c>
      <c r="U95" s="139" cm="1">
        <f t="array" ref="U95">SUMPRODUCT(General_Data*(Code_General_Data=$C95)*(Year=U$3)*(Month=U$4))</f>
        <v>1320</v>
      </c>
      <c r="V95" s="139" cm="1">
        <f t="array" ref="V95">SUMPRODUCT(General_Data*(Code_General_Data=$C95)*(Year=V$3)*(Month=V$4))</f>
        <v>1340</v>
      </c>
      <c r="W95" s="139" cm="1">
        <f t="array" ref="W95">SUMPRODUCT(General_Data*(Code_General_Data=$C95)*(Year=W$3)*(Month=W$4))</f>
        <v>1340</v>
      </c>
      <c r="X95" s="139" cm="1">
        <f t="array" ref="X95">SUMPRODUCT(General_Data*(Code_General_Data=$C95)*(Year=X$3)*(Month=X$4))</f>
        <v>1340</v>
      </c>
      <c r="Y95" s="139" cm="1">
        <f t="array" ref="Y95">SUMPRODUCT(General_Data*(Code_General_Data=$C95)*(Year=Y$3)*(Month=Y$4))</f>
        <v>1340</v>
      </c>
      <c r="Z95" s="139" cm="1">
        <f t="array" ref="Z95">SUMPRODUCT(General_Data*(Code_General_Data=$C95)*(Year=Z$3)*(Month=Z$4))</f>
        <v>1310</v>
      </c>
      <c r="AA95" s="139" cm="1">
        <f t="array" ref="AA95">SUMPRODUCT(General_Data*(Code_General_Data=$C95)*(Year=AA$3)*(Month=AA$4))</f>
        <v>1310</v>
      </c>
      <c r="AB95" s="139" cm="1">
        <f t="array" ref="AB95">SUMPRODUCT(General_Data*(Code_General_Data=$C95)*(Year=AB$3)*(Month=AB$4))</f>
        <v>1300</v>
      </c>
      <c r="AC95" s="139" cm="1">
        <f t="array" ref="AC95">SUMPRODUCT(General_Data*(Code_General_Data=$C95)*(Year=AC$3)*(Month=AC$4))</f>
        <v>1290</v>
      </c>
      <c r="AD95" s="140" cm="1">
        <f t="array" ref="AD95">SUMPRODUCT(General_Data*(Code_General_Data=$C95)*(Year=AD$3)*(Month=AD$4))</f>
        <v>1290</v>
      </c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40"/>
    </row>
    <row r="96" spans="1:42" ht="3.65" customHeight="1" x14ac:dyDescent="0.35">
      <c r="D96" s="168"/>
    </row>
    <row r="97" spans="1:42" s="127" customFormat="1" ht="15.65" customHeight="1" x14ac:dyDescent="0.4">
      <c r="A97" s="127" t="s">
        <v>63</v>
      </c>
      <c r="C97" s="131"/>
      <c r="D97" s="160">
        <v>7</v>
      </c>
      <c r="E97" s="130" t="s">
        <v>37</v>
      </c>
      <c r="F97" s="322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319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319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319"/>
    </row>
    <row r="98" spans="1:42" s="148" customFormat="1" ht="13.4" customHeight="1" outlineLevel="1" x14ac:dyDescent="0.4">
      <c r="A98" s="148" t="s">
        <v>63</v>
      </c>
      <c r="B98" s="148" t="s">
        <v>35</v>
      </c>
      <c r="D98" s="161"/>
      <c r="E98" s="149"/>
      <c r="F98" s="323" t="s">
        <v>33</v>
      </c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50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50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50"/>
    </row>
    <row r="99" spans="1:42" s="69" customFormat="1" ht="12" customHeight="1" outlineLevel="1" x14ac:dyDescent="0.35">
      <c r="A99" s="69" t="s">
        <v>63</v>
      </c>
      <c r="B99" s="69" t="s">
        <v>35</v>
      </c>
      <c r="D99" s="162">
        <v>7.1</v>
      </c>
      <c r="E99" s="134"/>
      <c r="F99" s="324" t="s">
        <v>28</v>
      </c>
      <c r="G99" s="135" cm="1">
        <f t="array" ref="G99">INDEX(Price!$L$11:$AM$182,MATCH(1,(Price!$A$11:$A$182=$A99)*(Price!$B$11:$B$182=$B99)*(Price!$D$11:$D$182="gb"),0),MATCH(1,(Price!$L$3:$AM$3=G$3)*(Price!$L$4:$AM$4=G$4),0))</f>
        <v>0</v>
      </c>
      <c r="H99" s="135" cm="1">
        <f t="array" ref="H99">INDEX(Price!$L$11:$AM$182,MATCH(1,(Price!$A$11:$A$182=$A99)*(Price!$B$11:$B$182=$B99)*(Price!$D$11:$D$182="gb"),0),MATCH(1,(Price!$L$3:$AM$3=H$3)*(Price!$L$4:$AM$4=H$4),0))</f>
        <v>0</v>
      </c>
      <c r="I99" s="135" cm="1">
        <f t="array" ref="I99">INDEX(Price!$L$11:$AM$182,MATCH(1,(Price!$A$11:$A$182=$A99)*(Price!$B$11:$B$182=$B99)*(Price!$D$11:$D$182="gb"),0),MATCH(1,(Price!$L$3:$AM$3=I$3)*(Price!$L$4:$AM$4=I$4),0))</f>
        <v>0</v>
      </c>
      <c r="J99" s="135" cm="1">
        <f t="array" ref="J99">INDEX(Price!$L$11:$AM$182,MATCH(1,(Price!$A$11:$A$182=$A99)*(Price!$B$11:$B$182=$B99)*(Price!$D$11:$D$182="gb"),0),MATCH(1,(Price!$L$3:$AM$3=J$3)*(Price!$L$4:$AM$4=J$4),0))</f>
        <v>0</v>
      </c>
      <c r="K99" s="135" cm="1">
        <f t="array" ref="K99">INDEX(Price!$L$11:$AM$182,MATCH(1,(Price!$A$11:$A$182=$A99)*(Price!$B$11:$B$182=$B99)*(Price!$D$11:$D$182="gb"),0),MATCH(1,(Price!$L$3:$AM$3=K$3)*(Price!$L$4:$AM$4=K$4),0))</f>
        <v>0</v>
      </c>
      <c r="L99" s="135" cm="1">
        <f t="array" ref="L99">INDEX(Price!$L$11:$AM$182,MATCH(1,(Price!$A$11:$A$182=$A99)*(Price!$B$11:$B$182=$B99)*(Price!$D$11:$D$182="gb"),0),MATCH(1,(Price!$L$3:$AM$3=L$3)*(Price!$L$4:$AM$4=L$4),0))</f>
        <v>0</v>
      </c>
      <c r="M99" s="135" cm="1">
        <f t="array" ref="M99">INDEX(Price!$L$11:$AM$182,MATCH(1,(Price!$A$11:$A$182=$A99)*(Price!$B$11:$B$182=$B99)*(Price!$D$11:$D$182="gb"),0),MATCH(1,(Price!$L$3:$AM$3=M$3)*(Price!$L$4:$AM$4=M$4),0))</f>
        <v>0</v>
      </c>
      <c r="N99" s="135" cm="1">
        <f t="array" ref="N99">INDEX(Price!$L$11:$AM$182,MATCH(1,(Price!$A$11:$A$182=$A99)*(Price!$B$11:$B$182=$B99)*(Price!$D$11:$D$182="gb"),0),MATCH(1,(Price!$L$3:$AM$3=N$3)*(Price!$L$4:$AM$4=N$4),0))</f>
        <v>0</v>
      </c>
      <c r="O99" s="135" cm="1">
        <f t="array" ref="O99">INDEX(Price!$L$11:$AM$182,MATCH(1,(Price!$A$11:$A$182=$A99)*(Price!$B$11:$B$182=$B99)*(Price!$D$11:$D$182="gb"),0),MATCH(1,(Price!$L$3:$AM$3=O$3)*(Price!$L$4:$AM$4=O$4),0))</f>
        <v>0</v>
      </c>
      <c r="P99" s="135" cm="1">
        <f t="array" ref="P99">INDEX(Price!$L$11:$AM$182,MATCH(1,(Price!$A$11:$A$182=$A99)*(Price!$B$11:$B$182=$B99)*(Price!$D$11:$D$182="gb"),0),MATCH(1,(Price!$L$3:$AM$3=P$3)*(Price!$L$4:$AM$4=P$4),0))</f>
        <v>1320</v>
      </c>
      <c r="Q99" s="135" cm="1">
        <f t="array" ref="Q99">INDEX(Price!$L$11:$AM$182,MATCH(1,(Price!$A$11:$A$182=$A99)*(Price!$B$11:$B$182=$B99)*(Price!$D$11:$D$182="gb"),0),MATCH(1,(Price!$L$3:$AM$3=Q$3)*(Price!$L$4:$AM$4=Q$4),0))</f>
        <v>1320</v>
      </c>
      <c r="R99" s="136" cm="1">
        <f t="array" ref="R99">INDEX(Price!$L$11:$AM$182,MATCH(1,(Price!$A$11:$A$182=$A99)*(Price!$B$11:$B$182=$B99)*(Price!$D$11:$D$182="gb"),0),MATCH(1,(Price!$L$3:$AM$3=R$3)*(Price!$L$4:$AM$4=R$4),0))</f>
        <v>1320</v>
      </c>
      <c r="S99" s="135" cm="1">
        <f t="array" ref="S99">INDEX(Price!$L$11:$AM$182,MATCH(1,(Price!$A$11:$A$182=$A99)*(Price!$B$11:$B$182=$B99)*(Price!$D$11:$D$182="gb"),0),MATCH(1,(Price!$L$3:$AM$3=S$3)*(Price!$L$4:$AM$4=S$4),0))</f>
        <v>0</v>
      </c>
      <c r="T99" s="135" cm="1">
        <f t="array" ref="T99">INDEX(Price!$L$11:$AM$182,MATCH(1,(Price!$A$11:$A$182=$A99)*(Price!$B$11:$B$182=$B99)*(Price!$D$11:$D$182="gb"),0),MATCH(1,(Price!$L$3:$AM$3=T$3)*(Price!$L$4:$AM$4=T$4),0))</f>
        <v>0</v>
      </c>
      <c r="U99" s="135" cm="1">
        <f t="array" ref="U99">INDEX(Price!$L$11:$AM$182,MATCH(1,(Price!$A$11:$A$182=$A99)*(Price!$B$11:$B$182=$B99)*(Price!$D$11:$D$182="gb"),0),MATCH(1,(Price!$L$3:$AM$3=U$3)*(Price!$L$4:$AM$4=U$4),0))</f>
        <v>0</v>
      </c>
      <c r="V99" s="135" cm="1">
        <f t="array" ref="V99">INDEX(Price!$L$11:$AM$182,MATCH(1,(Price!$A$11:$A$182=$A99)*(Price!$B$11:$B$182=$B99)*(Price!$D$11:$D$182="gb"),0),MATCH(1,(Price!$L$3:$AM$3=V$3)*(Price!$L$4:$AM$4=V$4),0))</f>
        <v>0</v>
      </c>
      <c r="W99" s="135" cm="1">
        <f t="array" ref="W99">INDEX(Price!$L$11:$AM$182,MATCH(1,(Price!$A$11:$A$182=$A99)*(Price!$B$11:$B$182=$B99)*(Price!$D$11:$D$182="gb"),0),MATCH(1,(Price!$L$3:$AM$3=W$3)*(Price!$L$4:$AM$4=W$4),0))</f>
        <v>0</v>
      </c>
      <c r="X99" s="135" cm="1">
        <f t="array" ref="X99">INDEX(Price!$L$11:$AM$182,MATCH(1,(Price!$A$11:$A$182=$A99)*(Price!$B$11:$B$182=$B99)*(Price!$D$11:$D$182="gb"),0),MATCH(1,(Price!$L$3:$AM$3=X$3)*(Price!$L$4:$AM$4=X$4),0))</f>
        <v>0</v>
      </c>
      <c r="Y99" s="135" cm="1">
        <f t="array" ref="Y99">INDEX(Price!$L$11:$AM$182,MATCH(1,(Price!$A$11:$A$182=$A99)*(Price!$B$11:$B$182=$B99)*(Price!$D$11:$D$182="gb"),0),MATCH(1,(Price!$L$3:$AM$3=Y$3)*(Price!$L$4:$AM$4=Y$4),0))</f>
        <v>0</v>
      </c>
      <c r="Z99" s="135" cm="1">
        <f t="array" ref="Z99">INDEX(Price!$L$11:$AM$182,MATCH(1,(Price!$A$11:$A$182=$A99)*(Price!$B$11:$B$182=$B99)*(Price!$D$11:$D$182="gb"),0),MATCH(1,(Price!$L$3:$AM$3=Z$3)*(Price!$L$4:$AM$4=Z$4),0))</f>
        <v>0</v>
      </c>
      <c r="AA99" s="135" cm="1">
        <f t="array" ref="AA99">INDEX(Price!$L$11:$AM$182,MATCH(1,(Price!$A$11:$A$182=$A99)*(Price!$B$11:$B$182=$B99)*(Price!$D$11:$D$182="gb"),0),MATCH(1,(Price!$L$3:$AM$3=AA$3)*(Price!$L$4:$AM$4=AA$4),0))</f>
        <v>0</v>
      </c>
      <c r="AB99" s="135" cm="1">
        <f t="array" ref="AB99">INDEX(Price!$L$11:$AM$182,MATCH(1,(Price!$A$11:$A$182=$A99)*(Price!$B$11:$B$182=$B99)*(Price!$D$11:$D$182="gb"),0),MATCH(1,(Price!$L$3:$AM$3=AB$3)*(Price!$L$4:$AM$4=AB$4),0))</f>
        <v>0</v>
      </c>
      <c r="AC99" s="135" cm="1">
        <f t="array" ref="AC99">INDEX(Price!$L$11:$AM$182,MATCH(1,(Price!$A$11:$A$182=$A99)*(Price!$B$11:$B$182=$B99)*(Price!$D$11:$D$182="gb"),0),MATCH(1,(Price!$L$3:$AM$3=AC$3)*(Price!$L$4:$AM$4=AC$4),0))</f>
        <v>0</v>
      </c>
      <c r="AD99" s="136" cm="1">
        <f t="array" ref="AD99">INDEX(Price!$L$11:$AM$182,MATCH(1,(Price!$A$11:$A$182=$A99)*(Price!$B$11:$B$182=$B99)*(Price!$D$11:$D$182="gb"),0),MATCH(1,(Price!$L$3:$AM$3=AD$3)*(Price!$L$4:$AM$4=AD$4),0))</f>
        <v>0</v>
      </c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6"/>
    </row>
    <row r="100" spans="1:42" s="1" customFormat="1" ht="12" customHeight="1" outlineLevel="1" x14ac:dyDescent="0.35">
      <c r="A100" s="1" t="s">
        <v>63</v>
      </c>
      <c r="B100" s="1" t="s">
        <v>35</v>
      </c>
      <c r="C100" s="143" t="s">
        <v>322</v>
      </c>
      <c r="D100" s="163">
        <v>7.2</v>
      </c>
      <c r="E100" s="144"/>
      <c r="F100" s="325" t="s">
        <v>8</v>
      </c>
      <c r="G100" s="145" cm="1">
        <f t="array" ref="G100">INDEX(Price!$L$11:$AM$182,MATCH(1,(Price!$A$11:$A$182=$A100)*(Price!$B$11:$B$182=$B100)*(Price!$D$11:$D$182="exw"),0),MATCH(1,(Price!$L$3:$AM$3=G$3)*(Price!$L$4:$AM$4=G$4),0))</f>
        <v>0</v>
      </c>
      <c r="H100" s="145" cm="1">
        <f t="array" ref="H100">INDEX(Price!$L$11:$AM$182,MATCH(1,(Price!$A$11:$A$182=$A100)*(Price!$B$11:$B$182=$B100)*(Price!$D$11:$D$182="exw"),0),MATCH(1,(Price!$L$3:$AM$3=H$3)*(Price!$L$4:$AM$4=H$4),0))</f>
        <v>0</v>
      </c>
      <c r="I100" s="145" cm="1">
        <f t="array" ref="I100">INDEX(Price!$L$11:$AM$182,MATCH(1,(Price!$A$11:$A$182=$A100)*(Price!$B$11:$B$182=$B100)*(Price!$D$11:$D$182="exw"),0),MATCH(1,(Price!$L$3:$AM$3=I$3)*(Price!$L$4:$AM$4=I$4),0))</f>
        <v>0</v>
      </c>
      <c r="J100" s="145" cm="1">
        <f t="array" ref="J100">INDEX(Price!$L$11:$AM$182,MATCH(1,(Price!$A$11:$A$182=$A100)*(Price!$B$11:$B$182=$B100)*(Price!$D$11:$D$182="exw"),0),MATCH(1,(Price!$L$3:$AM$3=J$3)*(Price!$L$4:$AM$4=J$4),0))</f>
        <v>0</v>
      </c>
      <c r="K100" s="145" cm="1">
        <f t="array" ref="K100">INDEX(Price!$L$11:$AM$182,MATCH(1,(Price!$A$11:$A$182=$A100)*(Price!$B$11:$B$182=$B100)*(Price!$D$11:$D$182="exw"),0),MATCH(1,(Price!$L$3:$AM$3=K$3)*(Price!$L$4:$AM$4=K$4),0))</f>
        <v>0</v>
      </c>
      <c r="L100" s="145" cm="1">
        <f t="array" ref="L100">INDEX(Price!$L$11:$AM$182,MATCH(1,(Price!$A$11:$A$182=$A100)*(Price!$B$11:$B$182=$B100)*(Price!$D$11:$D$182="exw"),0),MATCH(1,(Price!$L$3:$AM$3=L$3)*(Price!$L$4:$AM$4=L$4),0))</f>
        <v>0</v>
      </c>
      <c r="M100" s="145" cm="1">
        <f t="array" ref="M100">INDEX(Price!$L$11:$AM$182,MATCH(1,(Price!$A$11:$A$182=$A100)*(Price!$B$11:$B$182=$B100)*(Price!$D$11:$D$182="exw"),0),MATCH(1,(Price!$L$3:$AM$3=M$3)*(Price!$L$4:$AM$4=M$4),0))</f>
        <v>0</v>
      </c>
      <c r="N100" s="145" cm="1">
        <f t="array" ref="N100">INDEX(Price!$L$11:$AM$182,MATCH(1,(Price!$A$11:$A$182=$A100)*(Price!$B$11:$B$182=$B100)*(Price!$D$11:$D$182="exw"),0),MATCH(1,(Price!$L$3:$AM$3=N$3)*(Price!$L$4:$AM$4=N$4),0))</f>
        <v>0</v>
      </c>
      <c r="O100" s="145" cm="1">
        <f t="array" ref="O100">INDEX(Price!$L$11:$AM$182,MATCH(1,(Price!$A$11:$A$182=$A100)*(Price!$B$11:$B$182=$B100)*(Price!$D$11:$D$182="exw"),0),MATCH(1,(Price!$L$3:$AM$3=O$3)*(Price!$L$4:$AM$4=O$4),0))</f>
        <v>0</v>
      </c>
      <c r="P100" s="145" cm="1">
        <f t="array" ref="P100">INDEX(Price!$L$11:$AM$182,MATCH(1,(Price!$A$11:$A$182=$A100)*(Price!$B$11:$B$182=$B100)*(Price!$D$11:$D$182="exw"),0),MATCH(1,(Price!$L$3:$AM$3=P$3)*(Price!$L$4:$AM$4=P$4),0))</f>
        <v>1310</v>
      </c>
      <c r="Q100" s="145" cm="1">
        <f t="array" ref="Q100">INDEX(Price!$L$11:$AM$182,MATCH(1,(Price!$A$11:$A$182=$A100)*(Price!$B$11:$B$182=$B100)*(Price!$D$11:$D$182="exw"),0),MATCH(1,(Price!$L$3:$AM$3=Q$3)*(Price!$L$4:$AM$4=Q$4),0))</f>
        <v>1310</v>
      </c>
      <c r="R100" s="146" cm="1">
        <f t="array" ref="R100">INDEX(Price!$L$11:$AM$182,MATCH(1,(Price!$A$11:$A$182=$A100)*(Price!$B$11:$B$182=$B100)*(Price!$D$11:$D$182="exw"),0),MATCH(1,(Price!$L$3:$AM$3=R$3)*(Price!$L$4:$AM$4=R$4),0))</f>
        <v>1310</v>
      </c>
      <c r="S100" s="145" cm="1">
        <f t="array" ref="S100">INDEX(Price!$L$11:$AM$182,MATCH(1,(Price!$A$11:$A$182=$A100)*(Price!$B$11:$B$182=$B100)*(Price!$D$11:$D$182="exw"),0),MATCH(1,(Price!$L$3:$AM$3=S$3)*(Price!$L$4:$AM$4=S$4),0))</f>
        <v>0</v>
      </c>
      <c r="T100" s="145" cm="1">
        <f t="array" ref="T100">INDEX(Price!$L$11:$AM$182,MATCH(1,(Price!$A$11:$A$182=$A100)*(Price!$B$11:$B$182=$B100)*(Price!$D$11:$D$182="exw"),0),MATCH(1,(Price!$L$3:$AM$3=T$3)*(Price!$L$4:$AM$4=T$4),0))</f>
        <v>0</v>
      </c>
      <c r="U100" s="145" cm="1">
        <f t="array" ref="U100">INDEX(Price!$L$11:$AM$182,MATCH(1,(Price!$A$11:$A$182=$A100)*(Price!$B$11:$B$182=$B100)*(Price!$D$11:$D$182="exw"),0),MATCH(1,(Price!$L$3:$AM$3=U$3)*(Price!$L$4:$AM$4=U$4),0))</f>
        <v>0</v>
      </c>
      <c r="V100" s="145" cm="1">
        <f t="array" ref="V100">INDEX(Price!$L$11:$AM$182,MATCH(1,(Price!$A$11:$A$182=$A100)*(Price!$B$11:$B$182=$B100)*(Price!$D$11:$D$182="exw"),0),MATCH(1,(Price!$L$3:$AM$3=V$3)*(Price!$L$4:$AM$4=V$4),0))</f>
        <v>0</v>
      </c>
      <c r="W100" s="145" cm="1">
        <f t="array" ref="W100">INDEX(Price!$L$11:$AM$182,MATCH(1,(Price!$A$11:$A$182=$A100)*(Price!$B$11:$B$182=$B100)*(Price!$D$11:$D$182="exw"),0),MATCH(1,(Price!$L$3:$AM$3=W$3)*(Price!$L$4:$AM$4=W$4),0))</f>
        <v>0</v>
      </c>
      <c r="X100" s="145" cm="1">
        <f t="array" ref="X100">INDEX(Price!$L$11:$AM$182,MATCH(1,(Price!$A$11:$A$182=$A100)*(Price!$B$11:$B$182=$B100)*(Price!$D$11:$D$182="exw"),0),MATCH(1,(Price!$L$3:$AM$3=X$3)*(Price!$L$4:$AM$4=X$4),0))</f>
        <v>0</v>
      </c>
      <c r="Y100" s="145" cm="1">
        <f t="array" ref="Y100">INDEX(Price!$L$11:$AM$182,MATCH(1,(Price!$A$11:$A$182=$A100)*(Price!$B$11:$B$182=$B100)*(Price!$D$11:$D$182="exw"),0),MATCH(1,(Price!$L$3:$AM$3=Y$3)*(Price!$L$4:$AM$4=Y$4),0))</f>
        <v>0</v>
      </c>
      <c r="Z100" s="145" cm="1">
        <f t="array" ref="Z100">INDEX(Price!$L$11:$AM$182,MATCH(1,(Price!$A$11:$A$182=$A100)*(Price!$B$11:$B$182=$B100)*(Price!$D$11:$D$182="exw"),0),MATCH(1,(Price!$L$3:$AM$3=Z$3)*(Price!$L$4:$AM$4=Z$4),0))</f>
        <v>0</v>
      </c>
      <c r="AA100" s="145" cm="1">
        <f t="array" ref="AA100">INDEX(Price!$L$11:$AM$182,MATCH(1,(Price!$A$11:$A$182=$A100)*(Price!$B$11:$B$182=$B100)*(Price!$D$11:$D$182="exw"),0),MATCH(1,(Price!$L$3:$AM$3=AA$3)*(Price!$L$4:$AM$4=AA$4),0))</f>
        <v>0</v>
      </c>
      <c r="AB100" s="145" cm="1">
        <f t="array" ref="AB100">INDEX(Price!$L$11:$AM$182,MATCH(1,(Price!$A$11:$A$182=$A100)*(Price!$B$11:$B$182=$B100)*(Price!$D$11:$D$182="exw"),0),MATCH(1,(Price!$L$3:$AM$3=AB$3)*(Price!$L$4:$AM$4=AB$4),0))</f>
        <v>0</v>
      </c>
      <c r="AC100" s="145" cm="1">
        <f t="array" ref="AC100">INDEX(Price!$L$11:$AM$182,MATCH(1,(Price!$A$11:$A$182=$A100)*(Price!$B$11:$B$182=$B100)*(Price!$D$11:$D$182="exw"),0),MATCH(1,(Price!$L$3:$AM$3=AC$3)*(Price!$L$4:$AM$4=AC$4),0))</f>
        <v>0</v>
      </c>
      <c r="AD100" s="146" cm="1">
        <f t="array" ref="AD100">INDEX(Price!$L$11:$AM$182,MATCH(1,(Price!$A$11:$A$182=$A100)*(Price!$B$11:$B$182=$B100)*(Price!$D$11:$D$182="exw"),0),MATCH(1,(Price!$L$3:$AM$3=AD$3)*(Price!$L$4:$AM$4=AD$4),0))</f>
        <v>0</v>
      </c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6"/>
    </row>
    <row r="101" spans="1:42" ht="12" customHeight="1" outlineLevel="1" x14ac:dyDescent="0.35">
      <c r="A101" t="s">
        <v>63</v>
      </c>
      <c r="B101" t="s">
        <v>35</v>
      </c>
      <c r="C101" s="14" t="s">
        <v>9</v>
      </c>
      <c r="D101" s="164">
        <v>7.3</v>
      </c>
      <c r="E101" s="8"/>
      <c r="F101" s="326" t="s">
        <v>11</v>
      </c>
      <c r="G101" s="320"/>
      <c r="H101" s="132"/>
      <c r="I101" s="132"/>
      <c r="J101" s="132"/>
      <c r="K101" s="132"/>
      <c r="L101" s="132"/>
      <c r="M101" s="132"/>
      <c r="N101" s="132"/>
      <c r="O101" s="132"/>
      <c r="P101" s="132" cm="1">
        <f t="array" ref="P101">SUMPRODUCT(General_Data*(Code_General_Data=$C101)*(Year=P$3)*(Month=P$4))</f>
        <v>862.5</v>
      </c>
      <c r="Q101" s="132" cm="1">
        <f t="array" ref="Q101">SUMPRODUCT(General_Data*(Code_General_Data=$C101)*(Year=Q$3)*(Month=Q$4))</f>
        <v>852</v>
      </c>
      <c r="R101" s="133" cm="1">
        <f t="array" ref="R101">SUMPRODUCT(General_Data*(Code_General_Data=$C101)*(Year=R$3)*(Month=R$4))</f>
        <v>830</v>
      </c>
      <c r="S101" s="132" cm="1">
        <f t="array" ref="S101">SUMPRODUCT(General_Data*(Code_General_Data=$C101)*(Year=S$3)*(Month=S$4))</f>
        <v>828</v>
      </c>
      <c r="T101" s="132" cm="1">
        <f t="array" ref="T101">SUMPRODUCT(General_Data*(Code_General_Data=$C101)*(Year=T$3)*(Month=T$4))</f>
        <v>840</v>
      </c>
      <c r="U101" s="132" cm="1">
        <f t="array" ref="U101">SUMPRODUCT(General_Data*(Code_General_Data=$C101)*(Year=U$3)*(Month=U$4))</f>
        <v>823</v>
      </c>
      <c r="V101" s="132" cm="1">
        <f t="array" ref="V101">SUMPRODUCT(General_Data*(Code_General_Data=$C101)*(Year=V$3)*(Month=V$4))</f>
        <v>765</v>
      </c>
      <c r="W101" s="132" cm="1">
        <f t="array" ref="W101">SUMPRODUCT(General_Data*(Code_General_Data=$C101)*(Year=W$3)*(Month=W$4))</f>
        <v>782</v>
      </c>
      <c r="X101" s="132" cm="1">
        <f t="array" ref="X101">SUMPRODUCT(General_Data*(Code_General_Data=$C101)*(Year=X$3)*(Month=X$4))</f>
        <v>807.5</v>
      </c>
      <c r="Y101" s="132" cm="1">
        <f t="array" ref="Y101">SUMPRODUCT(General_Data*(Code_General_Data=$C101)*(Year=Y$3)*(Month=Y$4))</f>
        <v>802</v>
      </c>
      <c r="Z101" s="132" cm="1">
        <f t="array" ref="Z101">SUMPRODUCT(General_Data*(Code_General_Data=$C101)*(Year=Z$3)*(Month=Z$4))</f>
        <v>795</v>
      </c>
      <c r="AA101" s="132" cm="1">
        <f t="array" ref="AA101">SUMPRODUCT(General_Data*(Code_General_Data=$C101)*(Year=AA$3)*(Month=AA$4))</f>
        <v>783</v>
      </c>
      <c r="AB101" s="132" cm="1">
        <f t="array" ref="AB101">SUMPRODUCT(General_Data*(Code_General_Data=$C101)*(Year=AB$3)*(Month=AB$4))</f>
        <v>772</v>
      </c>
      <c r="AC101" s="132" cm="1">
        <f t="array" ref="AC101">SUMPRODUCT(General_Data*(Code_General_Data=$C101)*(Year=AC$3)*(Month=AC$4))</f>
        <v>770</v>
      </c>
      <c r="AD101" s="133" cm="1">
        <f t="array" ref="AD101">SUMPRODUCT(General_Data*(Code_General_Data=$C101)*(Year=AD$3)*(Month=AD$4))</f>
        <v>770</v>
      </c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3"/>
    </row>
    <row r="102" spans="1:42" s="152" customFormat="1" ht="12" customHeight="1" outlineLevel="1" x14ac:dyDescent="0.35">
      <c r="A102" s="152" t="s">
        <v>63</v>
      </c>
      <c r="B102" s="152" t="s">
        <v>35</v>
      </c>
      <c r="D102" s="165">
        <v>7.4</v>
      </c>
      <c r="E102" s="153"/>
      <c r="F102" s="327" t="s">
        <v>430</v>
      </c>
      <c r="G102" s="154"/>
      <c r="H102" s="154"/>
      <c r="I102" s="154"/>
      <c r="J102" s="154"/>
      <c r="K102" s="154"/>
      <c r="L102" s="154"/>
      <c r="M102" s="154"/>
      <c r="N102" s="154"/>
      <c r="O102" s="154"/>
      <c r="P102" s="154">
        <f>IF(P99*P100*P101&lt;&gt;0,P100-P101,0)</f>
        <v>447.5</v>
      </c>
      <c r="Q102" s="154">
        <f>IF(Q99*Q100*Q101&lt;&gt;0,Q100-Q101,0)</f>
        <v>458</v>
      </c>
      <c r="R102" s="155">
        <f>IF(R99*R100*R101&lt;&gt;0,R100-R101,0)</f>
        <v>480</v>
      </c>
      <c r="S102" s="154">
        <f t="shared" ref="S102:AD102" si="26">IF(S99*S100*S101&lt;&gt;0,S100-S101,0)</f>
        <v>0</v>
      </c>
      <c r="T102" s="154">
        <f t="shared" si="26"/>
        <v>0</v>
      </c>
      <c r="U102" s="154">
        <f t="shared" si="26"/>
        <v>0</v>
      </c>
      <c r="V102" s="154">
        <f t="shared" si="26"/>
        <v>0</v>
      </c>
      <c r="W102" s="154">
        <f t="shared" si="26"/>
        <v>0</v>
      </c>
      <c r="X102" s="154">
        <f t="shared" si="26"/>
        <v>0</v>
      </c>
      <c r="Y102" s="154">
        <f t="shared" si="26"/>
        <v>0</v>
      </c>
      <c r="Z102" s="154">
        <f t="shared" si="26"/>
        <v>0</v>
      </c>
      <c r="AA102" s="154">
        <f t="shared" si="26"/>
        <v>0</v>
      </c>
      <c r="AB102" s="154">
        <f t="shared" si="26"/>
        <v>0</v>
      </c>
      <c r="AC102" s="154">
        <f t="shared" si="26"/>
        <v>0</v>
      </c>
      <c r="AD102" s="155">
        <f t="shared" si="26"/>
        <v>0</v>
      </c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5"/>
    </row>
    <row r="103" spans="1:42" s="156" customFormat="1" ht="12" customHeight="1" outlineLevel="1" x14ac:dyDescent="0.35">
      <c r="A103" s="156" t="s">
        <v>63</v>
      </c>
      <c r="B103" s="156" t="s">
        <v>35</v>
      </c>
      <c r="D103" s="166">
        <v>7.5</v>
      </c>
      <c r="E103" s="157"/>
      <c r="F103" s="328" t="s">
        <v>14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>
        <f>IFERROR(P102/P101,0)</f>
        <v>0.51884057971014497</v>
      </c>
      <c r="Q103" s="158">
        <f>IFERROR(Q102/Q101,0)</f>
        <v>0.53755868544600938</v>
      </c>
      <c r="R103" s="159">
        <f>IFERROR(R102/R101,0)</f>
        <v>0.57831325301204817</v>
      </c>
      <c r="S103" s="158">
        <f t="shared" ref="S103:AD103" si="27">IFERROR(S102/S101,0)</f>
        <v>0</v>
      </c>
      <c r="T103" s="158">
        <f t="shared" si="27"/>
        <v>0</v>
      </c>
      <c r="U103" s="158">
        <f t="shared" si="27"/>
        <v>0</v>
      </c>
      <c r="V103" s="158">
        <f t="shared" si="27"/>
        <v>0</v>
      </c>
      <c r="W103" s="158">
        <f t="shared" si="27"/>
        <v>0</v>
      </c>
      <c r="X103" s="158">
        <f t="shared" si="27"/>
        <v>0</v>
      </c>
      <c r="Y103" s="158">
        <f t="shared" si="27"/>
        <v>0</v>
      </c>
      <c r="Z103" s="158">
        <f t="shared" si="27"/>
        <v>0</v>
      </c>
      <c r="AA103" s="158">
        <f t="shared" si="27"/>
        <v>0</v>
      </c>
      <c r="AB103" s="158">
        <f t="shared" si="27"/>
        <v>0</v>
      </c>
      <c r="AC103" s="158">
        <f t="shared" si="27"/>
        <v>0</v>
      </c>
      <c r="AD103" s="159">
        <f t="shared" si="27"/>
        <v>0</v>
      </c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9"/>
    </row>
    <row r="104" spans="1:42" s="137" customFormat="1" ht="12" customHeight="1" outlineLevel="1" x14ac:dyDescent="0.35">
      <c r="A104" s="137" t="s">
        <v>63</v>
      </c>
      <c r="B104" s="137" t="s">
        <v>35</v>
      </c>
      <c r="C104" s="137" t="s">
        <v>35</v>
      </c>
      <c r="D104" s="167">
        <v>7.6</v>
      </c>
      <c r="E104" s="138"/>
      <c r="F104" s="329" t="s">
        <v>203</v>
      </c>
      <c r="G104" s="139"/>
      <c r="H104" s="139"/>
      <c r="I104" s="139"/>
      <c r="J104" s="139"/>
      <c r="K104" s="139"/>
      <c r="L104" s="139"/>
      <c r="M104" s="139"/>
      <c r="N104" s="139"/>
      <c r="O104" s="139"/>
      <c r="P104" s="139" cm="1">
        <f t="array" ref="P104">SUMPRODUCT(General_Data*(Code_General_Data=$C104)*(Year=P$3)*(Month=P$4))</f>
        <v>1325</v>
      </c>
      <c r="Q104" s="139" cm="1">
        <f t="array" ref="Q104">SUMPRODUCT(General_Data*(Code_General_Data=$C104)*(Year=Q$3)*(Month=Q$4))</f>
        <v>1325</v>
      </c>
      <c r="R104" s="140" cm="1">
        <f t="array" ref="R104">SUMPRODUCT(General_Data*(Code_General_Data=$C104)*(Year=R$3)*(Month=R$4))</f>
        <v>1275</v>
      </c>
      <c r="S104" s="139" cm="1">
        <f t="array" ref="S104">SUMPRODUCT(General_Data*(Code_General_Data=$C104)*(Year=S$3)*(Month=S$4))</f>
        <v>1230</v>
      </c>
      <c r="T104" s="139" cm="1">
        <f t="array" ref="T104">SUMPRODUCT(General_Data*(Code_General_Data=$C104)*(Year=T$3)*(Month=T$4))</f>
        <v>1230</v>
      </c>
      <c r="U104" s="139" cm="1">
        <f t="array" ref="U104">SUMPRODUCT(General_Data*(Code_General_Data=$C104)*(Year=U$3)*(Month=U$4))</f>
        <v>1230</v>
      </c>
      <c r="V104" s="139" cm="1">
        <f t="array" ref="V104">SUMPRODUCT(General_Data*(Code_General_Data=$C104)*(Year=V$3)*(Month=V$4))</f>
        <v>1250</v>
      </c>
      <c r="W104" s="139" cm="1">
        <f t="array" ref="W104">SUMPRODUCT(General_Data*(Code_General_Data=$C104)*(Year=W$3)*(Month=W$4))</f>
        <v>1250</v>
      </c>
      <c r="X104" s="139" cm="1">
        <f t="array" ref="X104">SUMPRODUCT(General_Data*(Code_General_Data=$C104)*(Year=X$3)*(Month=X$4))</f>
        <v>1250</v>
      </c>
      <c r="Y104" s="139" cm="1">
        <f t="array" ref="Y104">SUMPRODUCT(General_Data*(Code_General_Data=$C104)*(Year=Y$3)*(Month=Y$4))</f>
        <v>1250</v>
      </c>
      <c r="Z104" s="139" cm="1">
        <f t="array" ref="Z104">SUMPRODUCT(General_Data*(Code_General_Data=$C104)*(Year=Z$3)*(Month=Z$4))</f>
        <v>1220</v>
      </c>
      <c r="AA104" s="139" cm="1">
        <f t="array" ref="AA104">SUMPRODUCT(General_Data*(Code_General_Data=$C104)*(Year=AA$3)*(Month=AA$4))</f>
        <v>1220</v>
      </c>
      <c r="AB104" s="139" cm="1">
        <f t="array" ref="AB104">SUMPRODUCT(General_Data*(Code_General_Data=$C104)*(Year=AB$3)*(Month=AB$4))</f>
        <v>1210</v>
      </c>
      <c r="AC104" s="139" cm="1">
        <f t="array" ref="AC104">SUMPRODUCT(General_Data*(Code_General_Data=$C104)*(Year=AC$3)*(Month=AC$4))</f>
        <v>1200</v>
      </c>
      <c r="AD104" s="140" cm="1">
        <f t="array" ref="AD104">SUMPRODUCT(General_Data*(Code_General_Data=$C104)*(Year=AD$3)*(Month=AD$4))</f>
        <v>1200</v>
      </c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40"/>
    </row>
  </sheetData>
  <mergeCells count="2">
    <mergeCell ref="E8:F9"/>
    <mergeCell ref="D8:D9"/>
  </mergeCells>
  <printOptions horizontalCentered="1"/>
  <pageMargins left="0.2" right="0.2" top="0.2" bottom="0.2" header="0" footer="0.05"/>
  <pageSetup paperSize="9" fitToHeight="0" orientation="landscape" horizontalDpi="300" verticalDpi="300" r:id="rId1"/>
  <headerFooter>
    <oddFooter>&amp;CTrang &amp;P/&amp;N</oddFooter>
  </headerFooter>
  <rowBreaks count="1" manualBreakCount="1">
    <brk id="96" min="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F0D-A836-4713-A12B-371CD554EE1B}">
  <sheetPr>
    <tabColor theme="7" tint="-0.249977111117893"/>
  </sheetPr>
  <dimension ref="A1:AX382"/>
  <sheetViews>
    <sheetView showGridLines="0" zoomScale="85" zoomScaleNormal="85" workbookViewId="0">
      <pane xSplit="11" ySplit="10" topLeftCell="AD71" activePane="bottomRight" state="frozen"/>
      <selection activeCell="R42" sqref="R42"/>
      <selection pane="topRight" activeCell="R42" sqref="R42"/>
      <selection pane="bottomLeft" activeCell="R42" sqref="R42"/>
      <selection pane="bottomRight" activeCell="A70" sqref="A70:XFD74"/>
    </sheetView>
  </sheetViews>
  <sheetFormatPr defaultRowHeight="14.5" outlineLevelRow="1" outlineLevelCol="1" x14ac:dyDescent="0.35"/>
  <cols>
    <col min="1" max="1" width="8.83203125" style="93" hidden="1" customWidth="1" outlineLevel="1"/>
    <col min="2" max="2" width="13.33203125" style="93" hidden="1" customWidth="1" outlineLevel="1"/>
    <col min="3" max="3" width="8.83203125" style="93" hidden="1" customWidth="1" outlineLevel="1"/>
    <col min="4" max="4" width="4.75" style="92" hidden="1" customWidth="1" outlineLevel="1"/>
    <col min="5" max="5" width="2.33203125" style="93" hidden="1" customWidth="1" outlineLevel="1"/>
    <col min="6" max="6" width="5.08203125" style="168" customWidth="1" collapsed="1"/>
    <col min="7" max="7" width="0.58203125" customWidth="1"/>
    <col min="8" max="8" width="2.75" customWidth="1"/>
    <col min="9" max="9" width="0.58203125" customWidth="1"/>
    <col min="10" max="10" width="32.33203125" customWidth="1"/>
    <col min="11" max="11" width="0.33203125" customWidth="1"/>
    <col min="12" max="14" width="12.33203125" hidden="1" customWidth="1"/>
    <col min="15" max="15" width="8.25" style="47" customWidth="1"/>
    <col min="16" max="25" width="8.25" customWidth="1"/>
    <col min="26" max="26" width="8.25" style="48" customWidth="1"/>
    <col min="27" max="37" width="8.25" customWidth="1"/>
    <col min="38" max="38" width="8.25" style="48" customWidth="1"/>
    <col min="39" max="49" width="8.25" customWidth="1"/>
    <col min="50" max="50" width="8.25" style="48" customWidth="1"/>
  </cols>
  <sheetData>
    <row r="1" spans="1:50" s="21" customFormat="1" hidden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9"/>
    </row>
    <row r="2" spans="1:50" s="21" customFormat="1" hidden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9"/>
    </row>
    <row r="3" spans="1:50" s="21" customFormat="1" hidden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  <c r="AX3" s="73"/>
    </row>
    <row r="4" spans="1:50" s="21" customFormat="1" hidden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  <c r="AX4" s="73"/>
    </row>
    <row r="5" spans="1:50" s="21" customFormat="1" ht="2.25" customHeight="1" collapsed="1" x14ac:dyDescent="0.35">
      <c r="A5" s="92"/>
      <c r="B5" s="92"/>
      <c r="C5" s="92"/>
      <c r="D5" s="92"/>
      <c r="E5" s="92"/>
      <c r="F5" s="246"/>
      <c r="O5" s="72"/>
      <c r="Z5" s="73"/>
      <c r="AL5" s="73"/>
      <c r="AX5" s="73"/>
    </row>
    <row r="6" spans="1:50" s="420" customFormat="1" ht="28.5" x14ac:dyDescent="0.65">
      <c r="F6" s="421"/>
      <c r="I6" s="419"/>
      <c r="J6" s="422"/>
      <c r="O6" s="423" t="s">
        <v>347</v>
      </c>
      <c r="AA6" s="423" t="s">
        <v>347</v>
      </c>
      <c r="AM6" s="423" t="s">
        <v>347</v>
      </c>
    </row>
    <row r="7" spans="1:50" ht="3" customHeight="1" x14ac:dyDescent="0.35">
      <c r="O7" s="363"/>
      <c r="Z7"/>
      <c r="AL7"/>
      <c r="AX7"/>
    </row>
    <row r="8" spans="1:50" s="28" customFormat="1" ht="17" x14ac:dyDescent="0.35">
      <c r="A8" s="94"/>
      <c r="B8" s="94"/>
      <c r="C8" s="94"/>
      <c r="D8" s="95"/>
      <c r="E8" s="94"/>
      <c r="F8" s="522" t="s">
        <v>0</v>
      </c>
      <c r="G8" s="521" t="s">
        <v>39</v>
      </c>
      <c r="H8" s="521"/>
      <c r="I8" s="521"/>
      <c r="J8" s="523"/>
      <c r="L8" s="39">
        <v>2023</v>
      </c>
      <c r="M8" s="40"/>
      <c r="N8" s="40"/>
      <c r="O8" s="29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  <c r="AM8" s="464">
        <v>2026</v>
      </c>
      <c r="AN8" s="464"/>
      <c r="AO8" s="464"/>
      <c r="AP8" s="464"/>
      <c r="AQ8" s="464"/>
      <c r="AR8" s="464"/>
      <c r="AS8" s="464"/>
      <c r="AT8" s="464"/>
      <c r="AU8" s="464"/>
      <c r="AV8" s="464"/>
      <c r="AW8" s="464"/>
      <c r="AX8" s="465"/>
    </row>
    <row r="9" spans="1:50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522"/>
      <c r="G9" s="521"/>
      <c r="H9" s="521"/>
      <c r="I9" s="521"/>
      <c r="J9" s="523"/>
      <c r="L9" s="38">
        <v>10</v>
      </c>
      <c r="M9" s="38">
        <v>11</v>
      </c>
      <c r="N9" s="38">
        <v>12</v>
      </c>
      <c r="O9" s="31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  <c r="AM9" s="466">
        <v>1</v>
      </c>
      <c r="AN9" s="466">
        <v>2</v>
      </c>
      <c r="AO9" s="466">
        <v>3</v>
      </c>
      <c r="AP9" s="466">
        <v>4</v>
      </c>
      <c r="AQ9" s="466">
        <v>5</v>
      </c>
      <c r="AR9" s="466">
        <v>6</v>
      </c>
      <c r="AS9" s="466">
        <v>7</v>
      </c>
      <c r="AT9" s="466">
        <v>8</v>
      </c>
      <c r="AU9" s="466">
        <v>9</v>
      </c>
      <c r="AV9" s="466">
        <v>10</v>
      </c>
      <c r="AW9" s="466">
        <v>11</v>
      </c>
      <c r="AX9" s="467">
        <v>12</v>
      </c>
    </row>
    <row r="10" spans="1:50" ht="3.75" customHeight="1" x14ac:dyDescent="0.35">
      <c r="J10" s="321"/>
      <c r="O10"/>
    </row>
    <row r="11" spans="1:50" s="336" customFormat="1" ht="17" x14ac:dyDescent="0.35">
      <c r="A11" s="336" t="s">
        <v>52</v>
      </c>
      <c r="F11" s="337">
        <v>1</v>
      </c>
      <c r="G11" s="364" t="s">
        <v>3</v>
      </c>
      <c r="H11" s="364"/>
      <c r="I11" s="364"/>
      <c r="J11" s="365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9"/>
      <c r="AA11" s="340"/>
      <c r="AB11" s="338"/>
      <c r="AC11" s="340"/>
      <c r="AD11" s="340"/>
      <c r="AE11" s="340"/>
      <c r="AF11" s="340"/>
      <c r="AG11" s="340"/>
      <c r="AH11" s="340"/>
      <c r="AI11" s="340"/>
      <c r="AJ11" s="340"/>
      <c r="AK11" s="340"/>
      <c r="AL11" s="339"/>
      <c r="AM11" s="340"/>
      <c r="AN11" s="338"/>
      <c r="AO11" s="340"/>
      <c r="AP11" s="340"/>
      <c r="AQ11" s="340"/>
      <c r="AR11" s="340"/>
      <c r="AS11" s="340"/>
      <c r="AT11" s="340"/>
      <c r="AU11" s="340"/>
      <c r="AV11" s="340"/>
      <c r="AW11" s="340"/>
      <c r="AX11" s="339"/>
    </row>
    <row r="12" spans="1:50" s="330" customFormat="1" ht="16" x14ac:dyDescent="0.35">
      <c r="A12" s="330" t="s">
        <v>52</v>
      </c>
      <c r="B12" s="330" t="s">
        <v>15</v>
      </c>
      <c r="D12" s="330" t="s">
        <v>322</v>
      </c>
      <c r="F12" s="331">
        <v>1.1000000000000001</v>
      </c>
      <c r="G12" s="332"/>
      <c r="H12" s="332" t="s">
        <v>206</v>
      </c>
      <c r="I12" s="332"/>
      <c r="J12" s="366"/>
      <c r="L12" s="332"/>
      <c r="M12" s="332"/>
      <c r="N12" s="332"/>
      <c r="O12" s="334">
        <f t="shared" ref="O12:AB12" si="2">MIN(MAX(SUM(O13:O14),O20),O19)</f>
        <v>1200</v>
      </c>
      <c r="P12" s="334">
        <f t="shared" si="2"/>
        <v>1200</v>
      </c>
      <c r="Q12" s="334">
        <f t="shared" si="2"/>
        <v>1200</v>
      </c>
      <c r="R12" s="334">
        <f t="shared" si="2"/>
        <v>1200</v>
      </c>
      <c r="S12" s="334">
        <f t="shared" si="2"/>
        <v>1200</v>
      </c>
      <c r="T12" s="334">
        <f t="shared" si="2"/>
        <v>1200.8999999999999</v>
      </c>
      <c r="U12" s="334">
        <f t="shared" si="2"/>
        <v>1214.3999999999999</v>
      </c>
      <c r="V12" s="334">
        <f t="shared" si="2"/>
        <v>1226.0999999999999</v>
      </c>
      <c r="W12" s="334">
        <f t="shared" si="2"/>
        <v>1242.6000000000001</v>
      </c>
      <c r="X12" s="334">
        <f t="shared" si="2"/>
        <v>1261.3499999999999</v>
      </c>
      <c r="Y12" s="334">
        <f t="shared" si="2"/>
        <v>1281.75</v>
      </c>
      <c r="Z12" s="335">
        <f t="shared" si="2"/>
        <v>1290.75</v>
      </c>
      <c r="AA12" s="334">
        <f t="shared" si="2"/>
        <v>1288.875</v>
      </c>
      <c r="AB12" s="334">
        <f t="shared" si="2"/>
        <v>1264.3749999999991</v>
      </c>
      <c r="AC12" s="334">
        <f>MIN(MAX(SUM(AC13:AC14),AC20),AC19)</f>
        <v>1238.8749999999991</v>
      </c>
      <c r="AD12" s="334">
        <f>MIN(MAX(SUM(AD13:AD14),AD20),AD19)-0.619999999998981</f>
        <v>1219.8800000000001</v>
      </c>
      <c r="AE12" s="334">
        <f t="shared" ref="AE12:AH12" si="3">MIN(MAX(SUM(AE13:AE14),AE20),AE19)</f>
        <v>1221</v>
      </c>
      <c r="AF12" s="334">
        <f t="shared" si="3"/>
        <v>1224</v>
      </c>
      <c r="AG12" s="334">
        <f t="shared" si="3"/>
        <v>1224</v>
      </c>
      <c r="AH12" s="334">
        <f t="shared" si="3"/>
        <v>1213.2</v>
      </c>
      <c r="AI12" s="334">
        <f>MIN(MAX(SUM(AI13:AI14),AI20),AI19)</f>
        <v>1200</v>
      </c>
      <c r="AJ12" s="334">
        <f>MIN(MAX(SUM(AJ13:AJ14),AJ20),AJ19)</f>
        <v>1200</v>
      </c>
      <c r="AK12" s="334">
        <f>MIN(MAX(SUM(AK13:AK14),AK20),AK19)</f>
        <v>1200</v>
      </c>
      <c r="AL12" s="335">
        <f>MIN(MAX(SUM(AL13:AL14),AL20),AL19)</f>
        <v>1200</v>
      </c>
      <c r="AM12" s="334"/>
      <c r="AN12" s="334"/>
      <c r="AO12" s="334"/>
      <c r="AP12" s="334"/>
      <c r="AQ12" s="334"/>
      <c r="AR12" s="334"/>
      <c r="AS12" s="334"/>
      <c r="AT12" s="334"/>
      <c r="AU12" s="334"/>
      <c r="AV12" s="334"/>
      <c r="AW12" s="334"/>
      <c r="AX12" s="335"/>
    </row>
    <row r="13" spans="1:50" s="345" customFormat="1" outlineLevel="1" x14ac:dyDescent="0.35">
      <c r="A13" s="345" t="s">
        <v>52</v>
      </c>
      <c r="B13" s="345" t="s">
        <v>15</v>
      </c>
      <c r="F13" s="346" t="s">
        <v>325</v>
      </c>
      <c r="G13" s="347"/>
      <c r="H13" s="347" t="s">
        <v>41</v>
      </c>
      <c r="I13" s="347" t="s">
        <v>339</v>
      </c>
      <c r="J13" s="367"/>
      <c r="K13" s="348"/>
      <c r="L13" s="347"/>
      <c r="M13" s="347"/>
      <c r="N13" s="347"/>
      <c r="O13" s="350">
        <f>AVERAGE(L17:N17)</f>
        <v>1296.0416666666667</v>
      </c>
      <c r="P13" s="350">
        <f t="shared" ref="P13:AH13" si="4">AVERAGE(M17:O17)</f>
        <v>1305</v>
      </c>
      <c r="Q13" s="350">
        <f t="shared" si="4"/>
        <v>1313.3333333333333</v>
      </c>
      <c r="R13" s="350">
        <f t="shared" si="4"/>
        <v>1320</v>
      </c>
      <c r="S13" s="350">
        <f t="shared" si="4"/>
        <v>1326</v>
      </c>
      <c r="T13" s="350">
        <f t="shared" si="4"/>
        <v>1334.3333333333333</v>
      </c>
      <c r="U13" s="350">
        <f t="shared" si="4"/>
        <v>1349.3333333333333</v>
      </c>
      <c r="V13" s="350">
        <f t="shared" si="4"/>
        <v>1362.3333333333333</v>
      </c>
      <c r="W13" s="350">
        <f t="shared" si="4"/>
        <v>1380.6666666666667</v>
      </c>
      <c r="X13" s="350">
        <f t="shared" si="4"/>
        <v>1401.5</v>
      </c>
      <c r="Y13" s="350">
        <f t="shared" si="4"/>
        <v>1424.1666666666667</v>
      </c>
      <c r="Z13" s="351">
        <f t="shared" si="4"/>
        <v>1434.1666666666667</v>
      </c>
      <c r="AA13" s="350">
        <f t="shared" si="4"/>
        <v>1432.0833333333333</v>
      </c>
      <c r="AB13" s="350">
        <f t="shared" si="4"/>
        <v>1404.8611111111102</v>
      </c>
      <c r="AC13" s="350">
        <f t="shared" si="4"/>
        <v>1376.5277777777767</v>
      </c>
      <c r="AD13" s="350">
        <f t="shared" si="4"/>
        <v>1356.1111111111102</v>
      </c>
      <c r="AE13" s="350">
        <f t="shared" si="4"/>
        <v>1356.6666666666667</v>
      </c>
      <c r="AF13" s="350">
        <f t="shared" si="4"/>
        <v>1360</v>
      </c>
      <c r="AG13" s="350">
        <f t="shared" si="4"/>
        <v>1360</v>
      </c>
      <c r="AH13" s="350">
        <f t="shared" si="4"/>
        <v>1348</v>
      </c>
      <c r="AI13" s="350">
        <f>AVERAGE(AF17:AH17)</f>
        <v>1326.3333333333333</v>
      </c>
      <c r="AJ13" s="350">
        <f>AVERAGE(AG17:AI17)</f>
        <v>1295.6666666666667</v>
      </c>
      <c r="AK13" s="350">
        <f>AVERAGE(AH17:AJ17)</f>
        <v>1271</v>
      </c>
      <c r="AL13" s="351">
        <f>AVERAGE(AI17:AK17)</f>
        <v>1253.9166666666667</v>
      </c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1"/>
    </row>
    <row r="14" spans="1:50" s="345" customFormat="1" outlineLevel="1" x14ac:dyDescent="0.35">
      <c r="A14" s="345" t="s">
        <v>52</v>
      </c>
      <c r="B14" s="345" t="s">
        <v>15</v>
      </c>
      <c r="F14" s="346" t="s">
        <v>326</v>
      </c>
      <c r="G14" s="347"/>
      <c r="H14" s="347" t="s">
        <v>41</v>
      </c>
      <c r="I14" s="347" t="s">
        <v>336</v>
      </c>
      <c r="J14" s="368"/>
      <c r="K14" s="348"/>
      <c r="L14" s="347"/>
      <c r="M14" s="347"/>
      <c r="N14" s="347"/>
      <c r="O14" s="350">
        <f>-O13*O18</f>
        <v>-129.60416666666669</v>
      </c>
      <c r="P14" s="350">
        <f t="shared" ref="P14:AB14" si="5">-P13*P18</f>
        <v>-130.5</v>
      </c>
      <c r="Q14" s="350">
        <f t="shared" si="5"/>
        <v>-131.33333333333334</v>
      </c>
      <c r="R14" s="350">
        <f t="shared" si="5"/>
        <v>-132</v>
      </c>
      <c r="S14" s="350">
        <f t="shared" si="5"/>
        <v>-132.6</v>
      </c>
      <c r="T14" s="350">
        <f t="shared" si="5"/>
        <v>-133.43333333333334</v>
      </c>
      <c r="U14" s="350">
        <f t="shared" si="5"/>
        <v>-134.93333333333334</v>
      </c>
      <c r="V14" s="350">
        <f t="shared" si="5"/>
        <v>-136.23333333333332</v>
      </c>
      <c r="W14" s="350">
        <f t="shared" si="5"/>
        <v>-138.06666666666669</v>
      </c>
      <c r="X14" s="350">
        <f t="shared" si="5"/>
        <v>-140.15</v>
      </c>
      <c r="Y14" s="350">
        <f t="shared" si="5"/>
        <v>-142.41666666666669</v>
      </c>
      <c r="Z14" s="351">
        <f t="shared" si="5"/>
        <v>-143.41666666666669</v>
      </c>
      <c r="AA14" s="350">
        <f t="shared" si="5"/>
        <v>-143.20833333333334</v>
      </c>
      <c r="AB14" s="350">
        <f t="shared" si="5"/>
        <v>-140.48611111111103</v>
      </c>
      <c r="AC14" s="350">
        <f t="shared" ref="AC14:AH14" si="6">-AC13*AC18</f>
        <v>-137.65277777777769</v>
      </c>
      <c r="AD14" s="350">
        <f t="shared" si="6"/>
        <v>-135.61111111111103</v>
      </c>
      <c r="AE14" s="350">
        <f t="shared" si="6"/>
        <v>-135.66666666666669</v>
      </c>
      <c r="AF14" s="350">
        <f t="shared" si="6"/>
        <v>-136</v>
      </c>
      <c r="AG14" s="350">
        <f t="shared" si="6"/>
        <v>-136</v>
      </c>
      <c r="AH14" s="350">
        <f t="shared" si="6"/>
        <v>-134.80000000000001</v>
      </c>
      <c r="AI14" s="350">
        <f>-AI13*AI18</f>
        <v>-132.63333333333333</v>
      </c>
      <c r="AJ14" s="350">
        <f>-AJ13*AJ18</f>
        <v>-129.56666666666669</v>
      </c>
      <c r="AK14" s="350">
        <f>-AK13*AK18</f>
        <v>-127.10000000000001</v>
      </c>
      <c r="AL14" s="351">
        <f>-AL13*AL18</f>
        <v>-125.39166666666668</v>
      </c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1"/>
    </row>
    <row r="15" spans="1:50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201</v>
      </c>
      <c r="G15" s="232"/>
      <c r="H15" s="232"/>
      <c r="I15" s="232" t="s">
        <v>8</v>
      </c>
      <c r="J15" s="369"/>
      <c r="K15" s="2"/>
      <c r="L15" s="232"/>
      <c r="M15" s="232"/>
      <c r="N15" s="232"/>
      <c r="O15" s="234">
        <f>O12-O16</f>
        <v>1180</v>
      </c>
      <c r="P15" s="234">
        <f t="shared" ref="P15:AB15" si="7">P12-P16</f>
        <v>1180</v>
      </c>
      <c r="Q15" s="234">
        <f t="shared" si="7"/>
        <v>1180</v>
      </c>
      <c r="R15" s="234">
        <f t="shared" si="7"/>
        <v>1180</v>
      </c>
      <c r="S15" s="234">
        <f t="shared" si="7"/>
        <v>1180</v>
      </c>
      <c r="T15" s="234">
        <f t="shared" si="7"/>
        <v>1180.8999999999999</v>
      </c>
      <c r="U15" s="234">
        <f t="shared" si="7"/>
        <v>1194.3999999999999</v>
      </c>
      <c r="V15" s="234">
        <f t="shared" si="7"/>
        <v>1206.0999999999999</v>
      </c>
      <c r="W15" s="234">
        <f t="shared" si="7"/>
        <v>1222.6000000000001</v>
      </c>
      <c r="X15" s="234">
        <f t="shared" si="7"/>
        <v>1241.3499999999999</v>
      </c>
      <c r="Y15" s="234">
        <f t="shared" si="7"/>
        <v>1261.75</v>
      </c>
      <c r="Z15" s="235">
        <f t="shared" si="7"/>
        <v>1270.75</v>
      </c>
      <c r="AA15" s="234">
        <f t="shared" si="7"/>
        <v>1268.875</v>
      </c>
      <c r="AB15" s="234">
        <f t="shared" si="7"/>
        <v>1244.3749999999991</v>
      </c>
      <c r="AC15" s="234">
        <f t="shared" ref="AC15:AH15" si="8">AC12-AC16</f>
        <v>1218.8749999999991</v>
      </c>
      <c r="AD15" s="234">
        <f t="shared" si="8"/>
        <v>1197.8800000000001</v>
      </c>
      <c r="AE15" s="234">
        <f t="shared" si="8"/>
        <v>1199</v>
      </c>
      <c r="AF15" s="234">
        <f t="shared" si="8"/>
        <v>1202</v>
      </c>
      <c r="AG15" s="234">
        <f t="shared" si="8"/>
        <v>1202</v>
      </c>
      <c r="AH15" s="234">
        <f t="shared" si="8"/>
        <v>1193.2</v>
      </c>
      <c r="AI15" s="234">
        <f>AI12-AI16</f>
        <v>1180</v>
      </c>
      <c r="AJ15" s="234">
        <f>AJ12-AJ16</f>
        <v>1180</v>
      </c>
      <c r="AK15" s="234">
        <f>AK12-AK16</f>
        <v>1180</v>
      </c>
      <c r="AL15" s="235">
        <f>AL12-AL16</f>
        <v>1180</v>
      </c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5"/>
    </row>
    <row r="16" spans="1:50" s="184" customFormat="1" x14ac:dyDescent="0.35">
      <c r="A16" s="184" t="s">
        <v>52</v>
      </c>
      <c r="B16" s="184" t="s">
        <v>15</v>
      </c>
      <c r="F16" s="222"/>
      <c r="G16" s="191"/>
      <c r="H16" s="191"/>
      <c r="I16" s="191" t="s">
        <v>50</v>
      </c>
      <c r="J16" s="370"/>
      <c r="K16" s="185"/>
      <c r="L16" s="210"/>
      <c r="M16" s="210"/>
      <c r="N16" s="210"/>
      <c r="O16" s="210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>
        <v>20</v>
      </c>
      <c r="AD16" s="210">
        <v>22</v>
      </c>
      <c r="AE16" s="210">
        <v>22</v>
      </c>
      <c r="AF16" s="210">
        <v>22</v>
      </c>
      <c r="AG16" s="210">
        <v>22</v>
      </c>
      <c r="AH16" s="210">
        <v>20</v>
      </c>
      <c r="AI16" s="210">
        <v>20</v>
      </c>
      <c r="AJ16" s="210">
        <v>20</v>
      </c>
      <c r="AK16" s="210">
        <v>20</v>
      </c>
      <c r="AL16" s="212">
        <v>20</v>
      </c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2"/>
    </row>
    <row r="17" spans="1:50" s="186" customFormat="1" x14ac:dyDescent="0.35">
      <c r="A17" s="186" t="s">
        <v>52</v>
      </c>
      <c r="B17" s="186" t="s">
        <v>15</v>
      </c>
      <c r="C17" s="186" t="s">
        <v>44</v>
      </c>
      <c r="F17" s="223"/>
      <c r="G17" s="192"/>
      <c r="H17" s="192"/>
      <c r="I17" s="192"/>
      <c r="J17" s="371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4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 cm="1">
        <f t="array" ref="AC17">SUMPRODUCT(General_Data*(Year=AC$3)*(Month=AC$4)*(Code_General_Data=$C17))</f>
        <v>1360</v>
      </c>
      <c r="AD17" s="204" cm="1">
        <f t="array" ref="AD17">SUMPRODUCT(General_Data*(Year=AD$3)*(Month=AD$4)*(Code_General_Data=$C17))</f>
        <v>1360</v>
      </c>
      <c r="AE17" s="204" cm="1">
        <f t="array" ref="AE17">SUMPRODUCT(General_Data*(Year=AE$3)*(Month=AE$4)*(Code_General_Data=$C17))</f>
        <v>1360</v>
      </c>
      <c r="AF17" s="204" cm="1">
        <f t="array" ref="AF17">SUMPRODUCT(General_Data*(Year=AF$3)*(Month=AF$4)*(Code_General_Data=$C17))</f>
        <v>1360</v>
      </c>
      <c r="AG17" s="204" cm="1">
        <f t="array" ref="AG17">SUMPRODUCT(General_Data*(Year=AG$3)*(Month=AG$4)*(Code_General_Data=$C17))</f>
        <v>1324</v>
      </c>
      <c r="AH17" s="204" cm="1">
        <f t="array" ref="AH17">SUMPRODUCT(General_Data*(Year=AH$3)*(Month=AH$4)*(Code_General_Data=$C17))</f>
        <v>1295</v>
      </c>
      <c r="AI17" s="204" cm="1">
        <f t="array" ref="AI17">SUMPRODUCT(General_Data*(Year=AI$3)*(Month=AI$4)*(Code_General_Data=$C17))</f>
        <v>1268</v>
      </c>
      <c r="AJ17" s="204" cm="1">
        <f t="array" ref="AJ17">SUMPRODUCT(General_Data*(Year=AJ$3)*(Month=AJ$4)*(Code_General_Data=$C17))</f>
        <v>1250</v>
      </c>
      <c r="AK17" s="204" cm="1">
        <f t="array" ref="AK17">SUMPRODUCT(General_Data*(Year=AK$3)*(Month=AK$4)*(Code_General_Data=$C17))</f>
        <v>1243.75</v>
      </c>
      <c r="AL17" s="206" cm="1">
        <f t="array" ref="AL17">SUMPRODUCT(General_Data*(Year=AL$3)*(Month=AL$4)*(Code_General_Data=$C17))</f>
        <v>0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6"/>
    </row>
    <row r="18" spans="1:50" s="98" customFormat="1" x14ac:dyDescent="0.35">
      <c r="A18" s="98" t="s">
        <v>52</v>
      </c>
      <c r="B18" s="98" t="s">
        <v>15</v>
      </c>
      <c r="F18" s="224"/>
      <c r="G18" s="35"/>
      <c r="H18" s="35"/>
      <c r="I18" s="35"/>
      <c r="J18" s="372" t="s">
        <v>54</v>
      </c>
      <c r="K18" s="34"/>
      <c r="L18" s="35"/>
      <c r="M18" s="35"/>
      <c r="N18" s="35"/>
      <c r="O18" s="208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208">
        <v>0.1</v>
      </c>
      <c r="AD18" s="208">
        <v>0.1</v>
      </c>
      <c r="AE18" s="208">
        <v>0.1</v>
      </c>
      <c r="AF18" s="208">
        <v>0.1</v>
      </c>
      <c r="AG18" s="208">
        <v>0.1</v>
      </c>
      <c r="AH18" s="208">
        <v>0.1</v>
      </c>
      <c r="AI18" s="208">
        <v>0.1</v>
      </c>
      <c r="AJ18" s="208">
        <v>0.1</v>
      </c>
      <c r="AK18" s="208">
        <v>0.1</v>
      </c>
      <c r="AL18" s="209">
        <v>0.1</v>
      </c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194"/>
    </row>
    <row r="19" spans="1:50" s="97" customFormat="1" outlineLevel="1" x14ac:dyDescent="0.35">
      <c r="A19" s="97" t="s">
        <v>52</v>
      </c>
      <c r="B19" s="97" t="s">
        <v>15</v>
      </c>
      <c r="F19" s="196" t="s">
        <v>202</v>
      </c>
      <c r="G19" s="107"/>
      <c r="H19" s="107"/>
      <c r="I19" s="107"/>
      <c r="J19" s="373" t="s">
        <v>47</v>
      </c>
      <c r="K19" s="109"/>
      <c r="L19" s="199"/>
      <c r="M19" s="199"/>
      <c r="N19" s="199"/>
      <c r="O19" s="313" cm="1">
        <f t="array" ref="O19">INDEX(Note!$J$3:$J$101,MATCH(1,(Note!$A$3:$A$101=$A19)*(Note!$C$3:$C$101=$B19)*(Note!$E$3:$E$101&lt;=O$1)*(Note!$F$3:$F$101&gt;=O$2),0))</f>
        <v>1600</v>
      </c>
      <c r="P19" s="313" cm="1">
        <f t="array" ref="P19">INDEX(Note!$J$3:$J$101,MATCH(1,(Note!$A$3:$A$101=$A19)*(Note!$C$3:$C$101=$B19)*(Note!$E$3:$E$101&lt;=P$1)*(Note!$F$3:$F$101&gt;=P$2),0))</f>
        <v>1600</v>
      </c>
      <c r="Q19" s="313" cm="1">
        <f t="array" ref="Q19">INDEX(Note!$J$3:$J$101,MATCH(1,(Note!$A$3:$A$101=$A19)*(Note!$C$3:$C$101=$B19)*(Note!$E$3:$E$101&lt;=Q$1)*(Note!$F$3:$F$101&gt;=Q$2),0))</f>
        <v>1600</v>
      </c>
      <c r="R19" s="313" cm="1">
        <f t="array" ref="R19">INDEX(Note!$J$3:$J$101,MATCH(1,(Note!$A$3:$A$101=$A19)*(Note!$C$3:$C$101=$B19)*(Note!$E$3:$E$101&lt;=R$1)*(Note!$F$3:$F$101&gt;=R$2),0))</f>
        <v>1600</v>
      </c>
      <c r="S19" s="313" cm="1">
        <f t="array" ref="S19">INDEX(Note!$J$3:$J$101,MATCH(1,(Note!$A$3:$A$101=$A19)*(Note!$C$3:$C$101=$B19)*(Note!$E$3:$E$101&lt;=S$1)*(Note!$F$3:$F$101&gt;=S$2),0))</f>
        <v>1600</v>
      </c>
      <c r="T19" s="313" cm="1">
        <f t="array" ref="T19">INDEX(Note!$J$3:$J$101,MATCH(1,(Note!$A$3:$A$101=$A19)*(Note!$C$3:$C$101=$B19)*(Note!$E$3:$E$101&lt;=T$1)*(Note!$F$3:$F$101&gt;=T$2),0))</f>
        <v>1600</v>
      </c>
      <c r="U19" s="313" cm="1">
        <f t="array" ref="U19">INDEX(Note!$J$3:$J$101,MATCH(1,(Note!$A$3:$A$101=$A19)*(Note!$C$3:$C$101=$B19)*(Note!$E$3:$E$101&lt;=U$1)*(Note!$F$3:$F$101&gt;=U$2),0))</f>
        <v>1600</v>
      </c>
      <c r="V19" s="313" cm="1">
        <f t="array" ref="V19">INDEX(Note!$J$3:$J$101,MATCH(1,(Note!$A$3:$A$101=$A19)*(Note!$C$3:$C$101=$B19)*(Note!$E$3:$E$101&lt;=V$1)*(Note!$F$3:$F$101&gt;=V$2),0))</f>
        <v>1600</v>
      </c>
      <c r="W19" s="313" cm="1">
        <f t="array" ref="W19">INDEX(Note!$J$3:$J$101,MATCH(1,(Note!$A$3:$A$101=$A19)*(Note!$C$3:$C$101=$B19)*(Note!$E$3:$E$101&lt;=W$1)*(Note!$F$3:$F$101&gt;=W$2),0))</f>
        <v>1600</v>
      </c>
      <c r="X19" s="313" cm="1">
        <f t="array" ref="X19">INDEX(Note!$J$3:$J$101,MATCH(1,(Note!$A$3:$A$101=$A19)*(Note!$C$3:$C$101=$B19)*(Note!$E$3:$E$101&lt;=X$1)*(Note!$F$3:$F$101&gt;=X$2),0))</f>
        <v>1600</v>
      </c>
      <c r="Y19" s="313" cm="1">
        <f t="array" ref="Y19">INDEX(Note!$J$3:$J$101,MATCH(1,(Note!$A$3:$A$101=$A19)*(Note!$C$3:$C$101=$B19)*(Note!$E$3:$E$101&lt;=Y$1)*(Note!$F$3:$F$101&gt;=Y$2),0))</f>
        <v>1600</v>
      </c>
      <c r="Z19" s="314" cm="1">
        <f t="array" ref="Z19">INDEX(Note!$J$3:$J$101,MATCH(1,(Note!$A$3:$A$101=$A19)*(Note!$C$3:$C$101=$B19)*(Note!$E$3:$E$101&lt;=Z$1)*(Note!$F$3:$F$101&gt;=Z$2),0))</f>
        <v>1600</v>
      </c>
      <c r="AA19" s="313" cm="1">
        <f t="array" ref="AA19">INDEX(Note!$J$3:$J$101,MATCH(1,(Note!$A$3:$A$101=$A19)*(Note!$C$3:$C$101=$B19)*(Note!$E$3:$E$101&lt;=AA$1)*(Note!$F$3:$F$101&gt;=AA$2),0))</f>
        <v>1600</v>
      </c>
      <c r="AB19" s="313" cm="1">
        <f t="array" ref="AB19">INDEX(Note!$J$3:$J$101,MATCH(1,(Note!$A$3:$A$101=$A19)*(Note!$C$3:$C$101=$B19)*(Note!$E$3:$E$101&lt;=AB$1)*(Note!$F$3:$F$101&gt;=AB$2),0))</f>
        <v>1600</v>
      </c>
      <c r="AC19" s="313" cm="1">
        <f t="array" ref="AC19">INDEX(Note!$J$3:$J$101,MATCH(1,(Note!$A$3:$A$101=$A19)*(Note!$C$3:$C$101=$B19)*(Note!$E$3:$E$101&lt;=AC$1)*(Note!$F$3:$F$101&gt;=AC$2),0))</f>
        <v>1600</v>
      </c>
      <c r="AD19" s="313" cm="1">
        <f t="array" ref="AD19">INDEX(Note!$J$3:$J$101,MATCH(1,(Note!$A$3:$A$101=$A19)*(Note!$C$3:$C$101=$B19)*(Note!$E$3:$E$101&lt;=AD$1)*(Note!$F$3:$F$101&gt;=AD$2),0))</f>
        <v>1600</v>
      </c>
      <c r="AE19" s="313" cm="1">
        <f t="array" ref="AE19">INDEX(Note!$J$3:$J$101,MATCH(1,(Note!$A$3:$A$101=$A19)*(Note!$C$3:$C$101=$B19)*(Note!$E$3:$E$101&lt;=AE$1)*(Note!$F$3:$F$101&gt;=AE$2),0))</f>
        <v>1600</v>
      </c>
      <c r="AF19" s="313" cm="1">
        <f t="array" ref="AF19">INDEX(Note!$J$3:$J$101,MATCH(1,(Note!$A$3:$A$101=$A19)*(Note!$C$3:$C$101=$B19)*(Note!$E$3:$E$101&lt;=AF$1)*(Note!$F$3:$F$101&gt;=AF$2),0))</f>
        <v>1600</v>
      </c>
      <c r="AG19" s="313" cm="1">
        <f t="array" ref="AG19">INDEX(Note!$J$3:$J$101,MATCH(1,(Note!$A$3:$A$101=$A19)*(Note!$C$3:$C$101=$B19)*(Note!$E$3:$E$101&lt;=AG$1)*(Note!$F$3:$F$101&gt;=AG$2),0))</f>
        <v>1600</v>
      </c>
      <c r="AH19" s="313" cm="1">
        <f t="array" ref="AH19">INDEX(Note!$J$3:$J$101,MATCH(1,(Note!$A$3:$A$101=$A19)*(Note!$C$3:$C$101=$B19)*(Note!$E$3:$E$101&lt;=AH$1)*(Note!$F$3:$F$101&gt;=AH$2),0))</f>
        <v>1600</v>
      </c>
      <c r="AI19" s="313" cm="1">
        <f t="array" ref="AI19">INDEX(Note!$J$3:$J$101,MATCH(1,(Note!$A$3:$A$101=$A19)*(Note!$C$3:$C$101=$B19)*(Note!$E$3:$E$101&lt;=AI$1)*(Note!$F$3:$F$101&gt;=AI$2),0))</f>
        <v>1600</v>
      </c>
      <c r="AJ19" s="313" cm="1">
        <f t="array" ref="AJ19">INDEX(Note!$J$3:$J$101,MATCH(1,(Note!$A$3:$A$101=$A19)*(Note!$C$3:$C$101=$B19)*(Note!$E$3:$E$101&lt;=AJ$1)*(Note!$F$3:$F$101&gt;=AJ$2),0))</f>
        <v>1600</v>
      </c>
      <c r="AK19" s="313" cm="1">
        <f t="array" ref="AK19">INDEX(Note!$J$3:$J$101,MATCH(1,(Note!$A$3:$A$101=$A19)*(Note!$C$3:$C$101=$B19)*(Note!$E$3:$E$101&lt;=AK$1)*(Note!$F$3:$F$101&gt;=AK$2),0))</f>
        <v>1600</v>
      </c>
      <c r="AL19" s="314" cm="1">
        <f t="array" ref="AL19">INDEX(Note!$J$3:$J$101,MATCH(1,(Note!$A$3:$A$101=$A19)*(Note!$C$3:$C$101=$B19)*(Note!$E$3:$E$101&lt;=AL$1)*(Note!$F$3:$F$101&gt;=AL$2),0))</f>
        <v>1600</v>
      </c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4"/>
    </row>
    <row r="20" spans="1:50" s="97" customFormat="1" outlineLevel="1" x14ac:dyDescent="0.35">
      <c r="A20" s="97" t="s">
        <v>52</v>
      </c>
      <c r="B20" s="97" t="s">
        <v>15</v>
      </c>
      <c r="F20" s="196" t="s">
        <v>217</v>
      </c>
      <c r="G20" s="107"/>
      <c r="H20" s="107"/>
      <c r="I20" s="107"/>
      <c r="J20" s="373" t="s">
        <v>48</v>
      </c>
      <c r="K20" s="109"/>
      <c r="L20" s="199"/>
      <c r="M20" s="199"/>
      <c r="N20" s="199"/>
      <c r="O20" s="313" cm="1">
        <f t="array" ref="O20">INDEX(Note!$K$3:$K$101,MATCH(1,(Note!$A$3:$A$101=$A20)*(Note!$C$3:$C$101=$B20)*(Note!$E$3:$E$101&lt;=O$1)*(Note!$F$3:$F$101&gt;=O$2),0))</f>
        <v>1200</v>
      </c>
      <c r="P20" s="313" cm="1">
        <f t="array" ref="P20">INDEX(Note!$K$3:$K$101,MATCH(1,(Note!$A$3:$A$101=$A20)*(Note!$C$3:$C$101=$B20)*(Note!$E$3:$E$101&lt;=P$1)*(Note!$F$3:$F$101&gt;=P$2),0))</f>
        <v>1200</v>
      </c>
      <c r="Q20" s="313" cm="1">
        <f t="array" ref="Q20">INDEX(Note!$K$3:$K$101,MATCH(1,(Note!$A$3:$A$101=$A20)*(Note!$C$3:$C$101=$B20)*(Note!$E$3:$E$101&lt;=Q$1)*(Note!$F$3:$F$101&gt;=Q$2),0))</f>
        <v>1200</v>
      </c>
      <c r="R20" s="313" cm="1">
        <f t="array" ref="R20">INDEX(Note!$K$3:$K$101,MATCH(1,(Note!$A$3:$A$101=$A20)*(Note!$C$3:$C$101=$B20)*(Note!$E$3:$E$101&lt;=R$1)*(Note!$F$3:$F$101&gt;=R$2),0))</f>
        <v>1200</v>
      </c>
      <c r="S20" s="313" cm="1">
        <f t="array" ref="S20">INDEX(Note!$K$3:$K$101,MATCH(1,(Note!$A$3:$A$101=$A20)*(Note!$C$3:$C$101=$B20)*(Note!$E$3:$E$101&lt;=S$1)*(Note!$F$3:$F$101&gt;=S$2),0))</f>
        <v>1200</v>
      </c>
      <c r="T20" s="313" cm="1">
        <f t="array" ref="T20">INDEX(Note!$K$3:$K$101,MATCH(1,(Note!$A$3:$A$101=$A20)*(Note!$C$3:$C$101=$B20)*(Note!$E$3:$E$101&lt;=T$1)*(Note!$F$3:$F$101&gt;=T$2),0))</f>
        <v>1200</v>
      </c>
      <c r="U20" s="313" cm="1">
        <f t="array" ref="U20">INDEX(Note!$K$3:$K$101,MATCH(1,(Note!$A$3:$A$101=$A20)*(Note!$C$3:$C$101=$B20)*(Note!$E$3:$E$101&lt;=U$1)*(Note!$F$3:$F$101&gt;=U$2),0))</f>
        <v>1200</v>
      </c>
      <c r="V20" s="313" cm="1">
        <f t="array" ref="V20">INDEX(Note!$K$3:$K$101,MATCH(1,(Note!$A$3:$A$101=$A20)*(Note!$C$3:$C$101=$B20)*(Note!$E$3:$E$101&lt;=V$1)*(Note!$F$3:$F$101&gt;=V$2),0))</f>
        <v>1200</v>
      </c>
      <c r="W20" s="313" cm="1">
        <f t="array" ref="W20">INDEX(Note!$K$3:$K$101,MATCH(1,(Note!$A$3:$A$101=$A20)*(Note!$C$3:$C$101=$B20)*(Note!$E$3:$E$101&lt;=W$1)*(Note!$F$3:$F$101&gt;=W$2),0))</f>
        <v>1200</v>
      </c>
      <c r="X20" s="313" cm="1">
        <f t="array" ref="X20">INDEX(Note!$K$3:$K$101,MATCH(1,(Note!$A$3:$A$101=$A20)*(Note!$C$3:$C$101=$B20)*(Note!$E$3:$E$101&lt;=X$1)*(Note!$F$3:$F$101&gt;=X$2),0))</f>
        <v>1200</v>
      </c>
      <c r="Y20" s="313" cm="1">
        <f t="array" ref="Y20">INDEX(Note!$K$3:$K$101,MATCH(1,(Note!$A$3:$A$101=$A20)*(Note!$C$3:$C$101=$B20)*(Note!$E$3:$E$101&lt;=Y$1)*(Note!$F$3:$F$101&gt;=Y$2),0))</f>
        <v>1200</v>
      </c>
      <c r="Z20" s="314" cm="1">
        <f t="array" ref="Z20">INDEX(Note!$K$3:$K$101,MATCH(1,(Note!$A$3:$A$101=$A20)*(Note!$C$3:$C$101=$B20)*(Note!$E$3:$E$101&lt;=Z$1)*(Note!$F$3:$F$101&gt;=Z$2),0))</f>
        <v>1200</v>
      </c>
      <c r="AA20" s="313" cm="1">
        <f t="array" ref="AA20">INDEX(Note!$K$3:$K$101,MATCH(1,(Note!$A$3:$A$101=$A20)*(Note!$C$3:$C$101=$B20)*(Note!$E$3:$E$101&lt;=AA$1)*(Note!$F$3:$F$101&gt;=AA$2),0))</f>
        <v>1200</v>
      </c>
      <c r="AB20" s="313" cm="1">
        <f t="array" ref="AB20">INDEX(Note!$K$3:$K$101,MATCH(1,(Note!$A$3:$A$101=$A20)*(Note!$C$3:$C$101=$B20)*(Note!$E$3:$E$101&lt;=AB$1)*(Note!$F$3:$F$101&gt;=AB$2),0))</f>
        <v>1200</v>
      </c>
      <c r="AC20" s="313" cm="1">
        <f t="array" ref="AC20">INDEX(Note!$K$3:$K$101,MATCH(1,(Note!$A$3:$A$101=$A20)*(Note!$C$3:$C$101=$B20)*(Note!$E$3:$E$101&lt;=AC$1)*(Note!$F$3:$F$101&gt;=AC$2),0))</f>
        <v>1200</v>
      </c>
      <c r="AD20" s="313" cm="1">
        <f t="array" ref="AD20">INDEX(Note!$K$3:$K$101,MATCH(1,(Note!$A$3:$A$101=$A20)*(Note!$C$3:$C$101=$B20)*(Note!$E$3:$E$101&lt;=AD$1)*(Note!$F$3:$F$101&gt;=AD$2),0))</f>
        <v>1200</v>
      </c>
      <c r="AE20" s="313" cm="1">
        <f t="array" ref="AE20">INDEX(Note!$K$3:$K$101,MATCH(1,(Note!$A$3:$A$101=$A20)*(Note!$C$3:$C$101=$B20)*(Note!$E$3:$E$101&lt;=AE$1)*(Note!$F$3:$F$101&gt;=AE$2),0))</f>
        <v>1200</v>
      </c>
      <c r="AF20" s="313" cm="1">
        <f t="array" ref="AF20">INDEX(Note!$K$3:$K$101,MATCH(1,(Note!$A$3:$A$101=$A20)*(Note!$C$3:$C$101=$B20)*(Note!$E$3:$E$101&lt;=AF$1)*(Note!$F$3:$F$101&gt;=AF$2),0))</f>
        <v>1200</v>
      </c>
      <c r="AG20" s="313" cm="1">
        <f t="array" ref="AG20">INDEX(Note!$K$3:$K$101,MATCH(1,(Note!$A$3:$A$101=$A20)*(Note!$C$3:$C$101=$B20)*(Note!$E$3:$E$101&lt;=AG$1)*(Note!$F$3:$F$101&gt;=AG$2),0))</f>
        <v>1200</v>
      </c>
      <c r="AH20" s="313" cm="1">
        <f t="array" ref="AH20">INDEX(Note!$K$3:$K$101,MATCH(1,(Note!$A$3:$A$101=$A20)*(Note!$C$3:$C$101=$B20)*(Note!$E$3:$E$101&lt;=AH$1)*(Note!$F$3:$F$101&gt;=AH$2),0))</f>
        <v>1200</v>
      </c>
      <c r="AI20" s="313" cm="1">
        <f t="array" ref="AI20">INDEX(Note!$K$3:$K$101,MATCH(1,(Note!$A$3:$A$101=$A20)*(Note!$C$3:$C$101=$B20)*(Note!$E$3:$E$101&lt;=AI$1)*(Note!$F$3:$F$101&gt;=AI$2),0))</f>
        <v>1200</v>
      </c>
      <c r="AJ20" s="313" cm="1">
        <f t="array" ref="AJ20">INDEX(Note!$K$3:$K$101,MATCH(1,(Note!$A$3:$A$101=$A20)*(Note!$C$3:$C$101=$B20)*(Note!$E$3:$E$101&lt;=AJ$1)*(Note!$F$3:$F$101&gt;=AJ$2),0))</f>
        <v>1200</v>
      </c>
      <c r="AK20" s="313" cm="1">
        <f t="array" ref="AK20">INDEX(Note!$K$3:$K$101,MATCH(1,(Note!$A$3:$A$101=$A20)*(Note!$C$3:$C$101=$B20)*(Note!$E$3:$E$101&lt;=AK$1)*(Note!$F$3:$F$101&gt;=AK$2),0))</f>
        <v>1200</v>
      </c>
      <c r="AL20" s="314" cm="1">
        <f t="array" ref="AL20">INDEX(Note!$K$3:$K$101,MATCH(1,(Note!$A$3:$A$101=$A20)*(Note!$C$3:$C$101=$B20)*(Note!$E$3:$E$101&lt;=AL$1)*(Note!$F$3:$F$101&gt;=AL$2),0))</f>
        <v>1200</v>
      </c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4"/>
    </row>
    <row r="21" spans="1:50" s="188" customFormat="1" outlineLevel="1" x14ac:dyDescent="0.35">
      <c r="A21" s="188" t="s">
        <v>52</v>
      </c>
      <c r="B21" s="188" t="s">
        <v>15</v>
      </c>
      <c r="F21" s="225" t="s">
        <v>218</v>
      </c>
      <c r="G21" s="193"/>
      <c r="H21" s="193"/>
      <c r="I21" s="193"/>
      <c r="J21" s="374" t="s">
        <v>203</v>
      </c>
      <c r="K21" s="189"/>
      <c r="L21" s="202"/>
      <c r="M21" s="202"/>
      <c r="N21" s="202"/>
      <c r="O21" s="315" cm="1">
        <f t="array" ref="O21">SUMPRODUCT(General_Data*(Year=O$3)*(Month=O$4)*(Code_General_Data=$B21))</f>
        <v>1250</v>
      </c>
      <c r="P21" s="315" cm="1">
        <f t="array" ref="P21">SUMPRODUCT(General_Data*(Year=P$3)*(Month=P$4)*(Code_General_Data=$B21))</f>
        <v>1250</v>
      </c>
      <c r="Q21" s="315" cm="1">
        <f t="array" ref="Q21">SUMPRODUCT(General_Data*(Year=Q$3)*(Month=Q$4)*(Code_General_Data=$B21))</f>
        <v>1250</v>
      </c>
      <c r="R21" s="315" cm="1">
        <f t="array" ref="R21">SUMPRODUCT(General_Data*(Year=R$3)*(Month=R$4)*(Code_General_Data=$B21))</f>
        <v>1250</v>
      </c>
      <c r="S21" s="315" cm="1">
        <f t="array" ref="S21">SUMPRODUCT(General_Data*(Year=S$3)*(Month=S$4)*(Code_General_Data=$B21))</f>
        <v>1300</v>
      </c>
      <c r="T21" s="315" cm="1">
        <f t="array" ref="T21">SUMPRODUCT(General_Data*(Year=T$3)*(Month=T$4)*(Code_General_Data=$B21))</f>
        <v>1300</v>
      </c>
      <c r="U21" s="315" cm="1">
        <f t="array" ref="U21">SUMPRODUCT(General_Data*(Year=U$3)*(Month=U$4)*(Code_General_Data=$B21))</f>
        <v>1300</v>
      </c>
      <c r="V21" s="315" cm="1">
        <f t="array" ref="V21">SUMPRODUCT(General_Data*(Year=V$3)*(Month=V$4)*(Code_General_Data=$B21))</f>
        <v>1300</v>
      </c>
      <c r="W21" s="315" cm="1">
        <f t="array" ref="W21">SUMPRODUCT(General_Data*(Year=W$3)*(Month=W$4)*(Code_General_Data=$B21))</f>
        <v>1310</v>
      </c>
      <c r="X21" s="315" cm="1">
        <f t="array" ref="X21">SUMPRODUCT(General_Data*(Year=X$3)*(Month=X$4)*(Code_General_Data=$B21))</f>
        <v>1325</v>
      </c>
      <c r="Y21" s="315" cm="1">
        <f t="array" ref="Y21">SUMPRODUCT(General_Data*(Year=Y$3)*(Month=Y$4)*(Code_General_Data=$B21))</f>
        <v>1325</v>
      </c>
      <c r="Z21" s="316" cm="1">
        <f t="array" ref="Z21">SUMPRODUCT(General_Data*(Year=Z$3)*(Month=Z$4)*(Code_General_Data=$B21))</f>
        <v>1275</v>
      </c>
      <c r="AA21" s="315" cm="1">
        <f t="array" ref="AA21">SUMPRODUCT(General_Data*(Year=AA$3)*(Month=AA$4)*(Code_General_Data=$B21))</f>
        <v>1230</v>
      </c>
      <c r="AB21" s="315" cm="1">
        <f t="array" ref="AB21">SUMPRODUCT(General_Data*(Year=AB$3)*(Month=AB$4)*(Code_General_Data=$B21))</f>
        <v>1230</v>
      </c>
      <c r="AC21" s="315" cm="1">
        <f t="array" ref="AC21">SUMPRODUCT(General_Data*(Year=AC$3)*(Month=AC$4)*(Code_General_Data=$B21))</f>
        <v>1230</v>
      </c>
      <c r="AD21" s="315" cm="1">
        <f t="array" ref="AD21">SUMPRODUCT(General_Data*(Year=AD$3)*(Month=AD$4)*(Code_General_Data=$B21))</f>
        <v>1250</v>
      </c>
      <c r="AE21" s="315" cm="1">
        <f t="array" ref="AE21">SUMPRODUCT(General_Data*(Year=AE$3)*(Month=AE$4)*(Code_General_Data=$B21))</f>
        <v>1250</v>
      </c>
      <c r="AF21" s="315" cm="1">
        <f t="array" ref="AF21">SUMPRODUCT(General_Data*(Year=AF$3)*(Month=AF$4)*(Code_General_Data=$B21))</f>
        <v>1250</v>
      </c>
      <c r="AG21" s="315" cm="1">
        <f t="array" ref="AG21">SUMPRODUCT(General_Data*(Year=AG$3)*(Month=AG$4)*(Code_General_Data=$B21))</f>
        <v>1250</v>
      </c>
      <c r="AH21" s="315" cm="1">
        <f t="array" ref="AH21">SUMPRODUCT(General_Data*(Year=AH$3)*(Month=AH$4)*(Code_General_Data=$B21))</f>
        <v>1220</v>
      </c>
      <c r="AI21" s="315" cm="1">
        <f t="array" ref="AI21">SUMPRODUCT(General_Data*(Year=AI$3)*(Month=AI$4)*(Code_General_Data=$B21))</f>
        <v>1220</v>
      </c>
      <c r="AJ21" s="315" cm="1">
        <f t="array" ref="AJ21">SUMPRODUCT(General_Data*(Year=AJ$3)*(Month=AJ$4)*(Code_General_Data=$B21))</f>
        <v>1210</v>
      </c>
      <c r="AK21" s="315" cm="1">
        <f t="array" ref="AK21">SUMPRODUCT(General_Data*(Year=AK$3)*(Month=AK$4)*(Code_General_Data=$B21))</f>
        <v>1200</v>
      </c>
      <c r="AL21" s="316" cm="1">
        <f t="array" ref="AL21">SUMPRODUCT(General_Data*(Year=AL$3)*(Month=AL$4)*(Code_General_Data=$B21))</f>
        <v>1200</v>
      </c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6"/>
    </row>
    <row r="22" spans="1:50" s="97" customFormat="1" outlineLevel="1" x14ac:dyDescent="0.35">
      <c r="F22" s="196"/>
      <c r="G22" s="107"/>
      <c r="H22" s="107"/>
      <c r="I22" s="107"/>
      <c r="J22" s="373" t="s">
        <v>431</v>
      </c>
      <c r="K22" s="109"/>
      <c r="L22" s="199"/>
      <c r="M22" s="199"/>
      <c r="N22" s="199"/>
      <c r="O22" s="313">
        <f>O19-O16</f>
        <v>1580</v>
      </c>
      <c r="P22" s="313">
        <f t="shared" ref="P22:AG22" si="9">P19-P16</f>
        <v>1580</v>
      </c>
      <c r="Q22" s="313">
        <f t="shared" si="9"/>
        <v>1580</v>
      </c>
      <c r="R22" s="313">
        <f t="shared" si="9"/>
        <v>1580</v>
      </c>
      <c r="S22" s="313">
        <f t="shared" si="9"/>
        <v>1580</v>
      </c>
      <c r="T22" s="313">
        <f t="shared" si="9"/>
        <v>1580</v>
      </c>
      <c r="U22" s="313">
        <f t="shared" si="9"/>
        <v>1580</v>
      </c>
      <c r="V22" s="313">
        <f t="shared" si="9"/>
        <v>1580</v>
      </c>
      <c r="W22" s="313">
        <f t="shared" si="9"/>
        <v>1580</v>
      </c>
      <c r="X22" s="313">
        <f t="shared" si="9"/>
        <v>1580</v>
      </c>
      <c r="Y22" s="313">
        <f t="shared" si="9"/>
        <v>1580</v>
      </c>
      <c r="Z22" s="314">
        <f t="shared" si="9"/>
        <v>1580</v>
      </c>
      <c r="AA22" s="313">
        <f t="shared" si="9"/>
        <v>1580</v>
      </c>
      <c r="AB22" s="313">
        <f t="shared" si="9"/>
        <v>1580</v>
      </c>
      <c r="AC22" s="313">
        <f t="shared" si="9"/>
        <v>1580</v>
      </c>
      <c r="AD22" s="313">
        <f t="shared" si="9"/>
        <v>1578</v>
      </c>
      <c r="AE22" s="313">
        <f t="shared" si="9"/>
        <v>1578</v>
      </c>
      <c r="AF22" s="313">
        <f t="shared" si="9"/>
        <v>1578</v>
      </c>
      <c r="AG22" s="313">
        <f t="shared" si="9"/>
        <v>1578</v>
      </c>
      <c r="AH22" s="313">
        <f t="shared" ref="AH22" si="10">AH19-AH16</f>
        <v>1580</v>
      </c>
      <c r="AI22" s="313">
        <f>AI19-AI16</f>
        <v>1580</v>
      </c>
      <c r="AJ22" s="313">
        <f>AJ19-AJ16</f>
        <v>1580</v>
      </c>
      <c r="AK22" s="313">
        <f>AK19-AK16</f>
        <v>1580</v>
      </c>
      <c r="AL22" s="314">
        <f>AL19-AL16</f>
        <v>1580</v>
      </c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4"/>
    </row>
    <row r="23" spans="1:50" s="97" customFormat="1" outlineLevel="1" x14ac:dyDescent="0.35">
      <c r="F23" s="196"/>
      <c r="G23" s="107"/>
      <c r="H23" s="107"/>
      <c r="I23" s="107"/>
      <c r="J23" s="373" t="s">
        <v>432</v>
      </c>
      <c r="K23" s="109"/>
      <c r="L23" s="199"/>
      <c r="M23" s="199"/>
      <c r="N23" s="199"/>
      <c r="O23" s="313">
        <f>O20-O16</f>
        <v>1180</v>
      </c>
      <c r="P23" s="313">
        <f t="shared" ref="P23:AG23" si="11">P20-P16</f>
        <v>1180</v>
      </c>
      <c r="Q23" s="313">
        <f t="shared" si="11"/>
        <v>1180</v>
      </c>
      <c r="R23" s="313">
        <f t="shared" si="11"/>
        <v>1180</v>
      </c>
      <c r="S23" s="313">
        <f t="shared" si="11"/>
        <v>1180</v>
      </c>
      <c r="T23" s="313">
        <f t="shared" si="11"/>
        <v>1180</v>
      </c>
      <c r="U23" s="313">
        <f t="shared" si="11"/>
        <v>1180</v>
      </c>
      <c r="V23" s="313">
        <f t="shared" si="11"/>
        <v>1180</v>
      </c>
      <c r="W23" s="313">
        <f t="shared" si="11"/>
        <v>1180</v>
      </c>
      <c r="X23" s="313">
        <f t="shared" si="11"/>
        <v>1180</v>
      </c>
      <c r="Y23" s="313">
        <f t="shared" si="11"/>
        <v>1180</v>
      </c>
      <c r="Z23" s="314">
        <f t="shared" si="11"/>
        <v>1180</v>
      </c>
      <c r="AA23" s="313">
        <f t="shared" si="11"/>
        <v>1180</v>
      </c>
      <c r="AB23" s="313">
        <f t="shared" si="11"/>
        <v>1180</v>
      </c>
      <c r="AC23" s="313">
        <f t="shared" si="11"/>
        <v>1180</v>
      </c>
      <c r="AD23" s="313">
        <f t="shared" si="11"/>
        <v>1178</v>
      </c>
      <c r="AE23" s="313">
        <f t="shared" si="11"/>
        <v>1178</v>
      </c>
      <c r="AF23" s="313">
        <f t="shared" si="11"/>
        <v>1178</v>
      </c>
      <c r="AG23" s="313">
        <f t="shared" si="11"/>
        <v>1178</v>
      </c>
      <c r="AH23" s="313">
        <f t="shared" ref="AH23" si="12">AH20-AH16</f>
        <v>1180</v>
      </c>
      <c r="AI23" s="313">
        <f>AI20-AI16</f>
        <v>1180</v>
      </c>
      <c r="AJ23" s="313">
        <f>AJ20-AJ16</f>
        <v>1180</v>
      </c>
      <c r="AK23" s="313">
        <f>AK20-AK16</f>
        <v>1180</v>
      </c>
      <c r="AL23" s="314">
        <f>AL20-AL16</f>
        <v>1180</v>
      </c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4"/>
    </row>
    <row r="24" spans="1:50" s="93" customFormat="1" x14ac:dyDescent="0.35">
      <c r="D24" s="92"/>
      <c r="F24" s="168"/>
      <c r="G24"/>
      <c r="H24"/>
      <c r="I24"/>
      <c r="J24" s="32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48"/>
      <c r="AA24"/>
      <c r="AB24"/>
      <c r="AC24"/>
      <c r="AD24"/>
      <c r="AE24"/>
      <c r="AF24"/>
      <c r="AG24"/>
      <c r="AH24"/>
      <c r="AI24"/>
      <c r="AJ24"/>
      <c r="AK24"/>
      <c r="AL24" s="48"/>
      <c r="AM24"/>
      <c r="AN24"/>
      <c r="AO24"/>
      <c r="AP24"/>
      <c r="AQ24"/>
      <c r="AR24"/>
      <c r="AS24"/>
      <c r="AT24"/>
      <c r="AU24"/>
      <c r="AV24"/>
      <c r="AW24"/>
      <c r="AX24" s="48"/>
    </row>
    <row r="25" spans="1:50" s="336" customFormat="1" ht="17" x14ac:dyDescent="0.35">
      <c r="A25" s="404" t="s">
        <v>362</v>
      </c>
      <c r="F25" s="337">
        <v>2</v>
      </c>
      <c r="G25" s="364" t="s">
        <v>360</v>
      </c>
      <c r="H25" s="364"/>
      <c r="I25" s="364"/>
      <c r="J25" s="365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9"/>
      <c r="AA25" s="340"/>
      <c r="AB25" s="338"/>
      <c r="AC25" s="340"/>
      <c r="AD25" s="340"/>
      <c r="AE25" s="340"/>
      <c r="AF25" s="340"/>
      <c r="AG25" s="340"/>
      <c r="AH25" s="340"/>
      <c r="AI25" s="340"/>
      <c r="AJ25" s="340"/>
      <c r="AK25" s="340"/>
      <c r="AL25" s="339"/>
      <c r="AM25" s="340"/>
      <c r="AN25" s="338"/>
      <c r="AO25" s="340"/>
      <c r="AP25" s="340"/>
      <c r="AQ25" s="340"/>
      <c r="AR25" s="340"/>
      <c r="AS25" s="340"/>
      <c r="AT25" s="340"/>
      <c r="AU25" s="340"/>
      <c r="AV25" s="340"/>
      <c r="AW25" s="340"/>
      <c r="AX25" s="339"/>
    </row>
    <row r="26" spans="1:50" s="330" customFormat="1" ht="16" x14ac:dyDescent="0.35">
      <c r="A26" s="405" t="s">
        <v>362</v>
      </c>
      <c r="B26" s="330" t="s">
        <v>31</v>
      </c>
      <c r="D26" s="330" t="s">
        <v>322</v>
      </c>
      <c r="F26" s="343">
        <v>2.1</v>
      </c>
      <c r="G26" s="344"/>
      <c r="H26" s="344" t="s">
        <v>361</v>
      </c>
      <c r="I26" s="344"/>
      <c r="J26" s="379"/>
      <c r="L26" s="344"/>
      <c r="M26" s="344"/>
      <c r="N26" s="34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5"/>
      <c r="AA26" s="333">
        <v>1250</v>
      </c>
      <c r="AB26" s="334">
        <v>1250</v>
      </c>
      <c r="AC26" s="334">
        <v>1250</v>
      </c>
      <c r="AD26" s="334">
        <v>1250</v>
      </c>
      <c r="AE26" s="334">
        <v>1250</v>
      </c>
      <c r="AF26" s="334">
        <v>1250</v>
      </c>
      <c r="AG26" s="334">
        <v>1250</v>
      </c>
      <c r="AH26" s="334">
        <v>1250</v>
      </c>
      <c r="AI26" s="334">
        <v>1250</v>
      </c>
      <c r="AJ26" s="334">
        <v>1250</v>
      </c>
      <c r="AK26" s="334">
        <v>1250</v>
      </c>
      <c r="AL26" s="335">
        <v>1250</v>
      </c>
      <c r="AM26" s="333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5"/>
    </row>
    <row r="27" spans="1:50" s="94" customFormat="1" outlineLevel="1" x14ac:dyDescent="0.35">
      <c r="A27" s="300" t="s">
        <v>362</v>
      </c>
      <c r="B27" s="300" t="s">
        <v>31</v>
      </c>
      <c r="D27" s="95" t="s">
        <v>162</v>
      </c>
      <c r="F27" s="278" t="s">
        <v>210</v>
      </c>
      <c r="G27" s="279"/>
      <c r="H27" s="279"/>
      <c r="I27" s="279" t="s">
        <v>8</v>
      </c>
      <c r="J27" s="381"/>
      <c r="K27" s="2"/>
      <c r="L27" s="279"/>
      <c r="M27" s="279"/>
      <c r="N27" s="27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30"/>
      <c r="AA27" s="229">
        <f>AA26-AA28</f>
        <v>1230</v>
      </c>
      <c r="AB27" s="229">
        <f>AB26-AB28</f>
        <v>1230</v>
      </c>
      <c r="AC27" s="229">
        <f>AC26-AC28</f>
        <v>1230</v>
      </c>
      <c r="AD27" s="229">
        <f>AD26-AD28</f>
        <v>1228</v>
      </c>
      <c r="AE27" s="229">
        <v>1228</v>
      </c>
      <c r="AF27" s="229">
        <v>1228</v>
      </c>
      <c r="AG27" s="229">
        <v>1228</v>
      </c>
      <c r="AH27" s="229">
        <v>1228</v>
      </c>
      <c r="AI27" s="229">
        <v>1228</v>
      </c>
      <c r="AJ27" s="229">
        <v>1228</v>
      </c>
      <c r="AK27" s="229">
        <v>1228</v>
      </c>
      <c r="AL27" s="230">
        <v>1228</v>
      </c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30"/>
    </row>
    <row r="28" spans="1:50" s="184" customFormat="1" outlineLevel="1" x14ac:dyDescent="0.35">
      <c r="A28" s="406" t="s">
        <v>362</v>
      </c>
      <c r="B28" s="184" t="s">
        <v>31</v>
      </c>
      <c r="F28" s="222" t="s">
        <v>211</v>
      </c>
      <c r="G28" s="191"/>
      <c r="H28" s="191"/>
      <c r="I28" s="191" t="s">
        <v>50</v>
      </c>
      <c r="J28" s="370"/>
      <c r="K28" s="185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2"/>
      <c r="AA28" s="210">
        <v>20</v>
      </c>
      <c r="AB28" s="210">
        <v>20</v>
      </c>
      <c r="AC28" s="210">
        <v>20</v>
      </c>
      <c r="AD28" s="210">
        <v>22</v>
      </c>
      <c r="AE28" s="210">
        <v>22</v>
      </c>
      <c r="AF28" s="210">
        <v>22</v>
      </c>
      <c r="AG28" s="210">
        <v>22</v>
      </c>
      <c r="AH28" s="210">
        <v>20</v>
      </c>
      <c r="AI28" s="210">
        <v>20</v>
      </c>
      <c r="AJ28" s="210">
        <v>20</v>
      </c>
      <c r="AK28" s="210">
        <v>20</v>
      </c>
      <c r="AL28" s="212">
        <v>20</v>
      </c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2"/>
    </row>
    <row r="29" spans="1:50" s="188" customFormat="1" outlineLevel="1" x14ac:dyDescent="0.35">
      <c r="A29" s="303" t="s">
        <v>362</v>
      </c>
      <c r="B29" s="303" t="s">
        <v>31</v>
      </c>
      <c r="F29" s="286" t="s">
        <v>212</v>
      </c>
      <c r="G29" s="287"/>
      <c r="H29" s="287"/>
      <c r="I29" s="287"/>
      <c r="J29" s="383" t="s">
        <v>203</v>
      </c>
      <c r="K29" s="189"/>
      <c r="L29" s="295"/>
      <c r="M29" s="295"/>
      <c r="N29" s="29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6"/>
      <c r="AA29" s="315" cm="1">
        <f t="array" ref="AA29">SUMPRODUCT(General_Data*(Year=AA$3)*(Month=AA$4)*(Code_General_Data=$B29))</f>
        <v>1260</v>
      </c>
      <c r="AB29" s="315" cm="1">
        <f t="array" ref="AB29">SUMPRODUCT(General_Data*(Year=AB$3)*(Month=AB$4)*(Code_General_Data=$B29))</f>
        <v>1260</v>
      </c>
      <c r="AC29" s="315" cm="1">
        <f t="array" ref="AC29">SUMPRODUCT(General_Data*(Year=AC$3)*(Month=AC$4)*(Code_General_Data=$B29))</f>
        <v>1260</v>
      </c>
      <c r="AD29" s="315" cm="1">
        <f t="array" ref="AD29">SUMPRODUCT(General_Data*(Year=AD$3)*(Month=AD$4)*(Code_General_Data=$B29))</f>
        <v>1280</v>
      </c>
      <c r="AE29" s="315" cm="1">
        <f t="array" ref="AE29">SUMPRODUCT(General_Data*(Year=AE$3)*(Month=AE$4)*(Code_General_Data=$B29))</f>
        <v>1280</v>
      </c>
      <c r="AF29" s="315" cm="1">
        <f t="array" ref="AF29">SUMPRODUCT(General_Data*(Year=AF$3)*(Month=AF$4)*(Code_General_Data=$B29))</f>
        <v>1280</v>
      </c>
      <c r="AG29" s="315" cm="1">
        <f t="array" ref="AG29">SUMPRODUCT(General_Data*(Year=AG$3)*(Month=AG$4)*(Code_General_Data=$B29))</f>
        <v>1280</v>
      </c>
      <c r="AH29" s="315" cm="1">
        <f t="array" ref="AH29">SUMPRODUCT(General_Data*(Year=AH$3)*(Month=AH$4)*(Code_General_Data=$B29))</f>
        <v>1250</v>
      </c>
      <c r="AI29" s="315" cm="1">
        <f t="array" ref="AI29">SUMPRODUCT(General_Data*(Year=AI$3)*(Month=AI$4)*(Code_General_Data=$B29))</f>
        <v>1250</v>
      </c>
      <c r="AJ29" s="315" cm="1">
        <f t="array" ref="AJ29">SUMPRODUCT(General_Data*(Year=AJ$3)*(Month=AJ$4)*(Code_General_Data=$B29))</f>
        <v>1240</v>
      </c>
      <c r="AK29" s="315" cm="1">
        <f t="array" ref="AK29">SUMPRODUCT(General_Data*(Year=AK$3)*(Month=AK$4)*(Code_General_Data=$B29))</f>
        <v>1230</v>
      </c>
      <c r="AL29" s="316" cm="1">
        <f t="array" ref="AL29">SUMPRODUCT(General_Data*(Year=AL$3)*(Month=AL$4)*(Code_General_Data=$B29))</f>
        <v>1230</v>
      </c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6"/>
    </row>
    <row r="30" spans="1:50" s="93" customFormat="1" x14ac:dyDescent="0.35">
      <c r="D30" s="92"/>
      <c r="F30" s="168"/>
      <c r="G30"/>
      <c r="H30"/>
      <c r="I30"/>
      <c r="J30" s="32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s="48"/>
      <c r="AA30"/>
      <c r="AB30"/>
      <c r="AC30"/>
      <c r="AD30"/>
      <c r="AE30"/>
      <c r="AF30"/>
      <c r="AG30"/>
      <c r="AH30"/>
      <c r="AI30"/>
      <c r="AJ30"/>
      <c r="AK30"/>
      <c r="AL30" s="48"/>
      <c r="AM30"/>
      <c r="AN30"/>
      <c r="AO30"/>
      <c r="AP30"/>
      <c r="AQ30"/>
      <c r="AR30"/>
      <c r="AS30"/>
      <c r="AT30"/>
      <c r="AU30"/>
      <c r="AV30"/>
      <c r="AW30"/>
      <c r="AX30" s="48"/>
    </row>
    <row r="31" spans="1:50" s="336" customFormat="1" ht="17" x14ac:dyDescent="0.35">
      <c r="A31" s="336" t="s">
        <v>64</v>
      </c>
      <c r="F31" s="337">
        <v>3</v>
      </c>
      <c r="G31" s="364" t="s">
        <v>207</v>
      </c>
      <c r="H31" s="364"/>
      <c r="I31" s="364"/>
      <c r="J31" s="365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9"/>
      <c r="AA31" s="340"/>
      <c r="AB31" s="338"/>
      <c r="AC31" s="340"/>
      <c r="AD31" s="340"/>
      <c r="AE31" s="340"/>
      <c r="AF31" s="340"/>
      <c r="AG31" s="340"/>
      <c r="AH31" s="340"/>
      <c r="AI31" s="340"/>
      <c r="AJ31" s="340"/>
      <c r="AK31" s="340"/>
      <c r="AL31" s="339"/>
      <c r="AM31" s="340"/>
      <c r="AN31" s="338"/>
      <c r="AO31" s="340"/>
      <c r="AP31" s="340"/>
      <c r="AQ31" s="340"/>
      <c r="AR31" s="340"/>
      <c r="AS31" s="340"/>
      <c r="AT31" s="340"/>
      <c r="AU31" s="340"/>
      <c r="AV31" s="340"/>
      <c r="AW31" s="340"/>
      <c r="AX31" s="339"/>
    </row>
    <row r="32" spans="1:50" s="330" customFormat="1" ht="16" x14ac:dyDescent="0.35">
      <c r="A32" s="330" t="s">
        <v>64</v>
      </c>
      <c r="B32" s="330" t="s">
        <v>15</v>
      </c>
      <c r="D32" s="330" t="s">
        <v>322</v>
      </c>
      <c r="F32" s="331">
        <v>3.1</v>
      </c>
      <c r="G32" s="332"/>
      <c r="H32" s="332" t="s">
        <v>208</v>
      </c>
      <c r="I32" s="332"/>
      <c r="J32" s="366"/>
      <c r="L32" s="332"/>
      <c r="M32" s="332"/>
      <c r="N32" s="332"/>
      <c r="O32" s="334">
        <f>ROUND(SUM(O33:O38),-2)+O39</f>
        <v>1320</v>
      </c>
      <c r="P32" s="334">
        <f t="shared" ref="P32:W32" si="13">ROUND(SUM(P33:P38),-2)+P39</f>
        <v>1320</v>
      </c>
      <c r="Q32" s="334">
        <f t="shared" si="13"/>
        <v>1320</v>
      </c>
      <c r="R32" s="334">
        <f t="shared" si="13"/>
        <v>1320</v>
      </c>
      <c r="S32" s="334">
        <f t="shared" si="13"/>
        <v>1320</v>
      </c>
      <c r="T32" s="334">
        <f t="shared" si="13"/>
        <v>1320</v>
      </c>
      <c r="U32" s="334">
        <f t="shared" si="13"/>
        <v>1320</v>
      </c>
      <c r="V32" s="334">
        <f t="shared" si="13"/>
        <v>1320</v>
      </c>
      <c r="W32" s="334">
        <f t="shared" si="13"/>
        <v>1320</v>
      </c>
      <c r="X32" s="334">
        <f>ROUND(SUM(X33:X38),-1)+X39</f>
        <v>1300</v>
      </c>
      <c r="Y32" s="334">
        <f>ROUND(SUM(Y33:Y38),-1)+Y39</f>
        <v>1300</v>
      </c>
      <c r="Z32" s="335">
        <f>ROUND(SUM(Z33:Z38),-1)+Z39</f>
        <v>1300</v>
      </c>
      <c r="AA32" s="333">
        <f t="shared" ref="AA32:AL32" si="14">ROUND(SUM(AA33:AA38),-1)+AA39</f>
        <v>1300</v>
      </c>
      <c r="AB32" s="334">
        <f t="shared" si="14"/>
        <v>1300</v>
      </c>
      <c r="AC32" s="334">
        <f t="shared" si="14"/>
        <v>1300</v>
      </c>
      <c r="AD32" s="334">
        <f>ROUND(SUM(AD33:AD38),-1)+AD39</f>
        <v>1250</v>
      </c>
      <c r="AE32" s="334">
        <f t="shared" si="14"/>
        <v>1250</v>
      </c>
      <c r="AF32" s="334">
        <f t="shared" si="14"/>
        <v>1250</v>
      </c>
      <c r="AG32" s="334">
        <f t="shared" si="14"/>
        <v>1280</v>
      </c>
      <c r="AH32" s="334">
        <f t="shared" si="14"/>
        <v>1280</v>
      </c>
      <c r="AI32" s="334">
        <f t="shared" si="14"/>
        <v>1280</v>
      </c>
      <c r="AJ32" s="334">
        <f t="shared" si="14"/>
        <v>1280</v>
      </c>
      <c r="AK32" s="334">
        <f t="shared" si="14"/>
        <v>1280</v>
      </c>
      <c r="AL32" s="335">
        <f t="shared" si="14"/>
        <v>1280</v>
      </c>
      <c r="AM32" s="333"/>
      <c r="AN32" s="334"/>
      <c r="AO32" s="334"/>
      <c r="AP32" s="334"/>
      <c r="AQ32" s="334"/>
      <c r="AR32" s="334"/>
      <c r="AS32" s="334"/>
      <c r="AT32" s="334"/>
      <c r="AU32" s="334"/>
      <c r="AV32" s="334"/>
      <c r="AW32" s="334"/>
      <c r="AX32" s="335"/>
    </row>
    <row r="33" spans="1:50" s="345" customFormat="1" outlineLevel="1" x14ac:dyDescent="0.35">
      <c r="A33" s="345" t="s">
        <v>64</v>
      </c>
      <c r="B33" s="345" t="s">
        <v>15</v>
      </c>
      <c r="F33" s="346" t="s">
        <v>327</v>
      </c>
      <c r="G33" s="347"/>
      <c r="H33" s="347" t="s">
        <v>41</v>
      </c>
      <c r="I33" s="347" t="s">
        <v>55</v>
      </c>
      <c r="J33" s="367"/>
      <c r="K33" s="348"/>
      <c r="L33" s="347"/>
      <c r="M33" s="347"/>
      <c r="N33" s="347"/>
      <c r="O33" s="350">
        <f>16500/O$40*10^3</f>
        <v>673.46938775510205</v>
      </c>
      <c r="P33" s="350">
        <f t="shared" ref="P33:AC33" si="15">16500/P$40*10^3</f>
        <v>673.46938775510205</v>
      </c>
      <c r="Q33" s="350">
        <f t="shared" si="15"/>
        <v>673.46938775510205</v>
      </c>
      <c r="R33" s="350">
        <f t="shared" si="15"/>
        <v>673.46938775510205</v>
      </c>
      <c r="S33" s="350">
        <f t="shared" si="15"/>
        <v>673.46938775510205</v>
      </c>
      <c r="T33" s="350">
        <f t="shared" si="15"/>
        <v>673.46938775510205</v>
      </c>
      <c r="U33" s="350">
        <f t="shared" si="15"/>
        <v>660</v>
      </c>
      <c r="V33" s="350">
        <f t="shared" si="15"/>
        <v>660</v>
      </c>
      <c r="W33" s="350">
        <f t="shared" si="15"/>
        <v>660</v>
      </c>
      <c r="X33" s="350">
        <f t="shared" si="15"/>
        <v>660</v>
      </c>
      <c r="Y33" s="350">
        <f t="shared" si="15"/>
        <v>660</v>
      </c>
      <c r="Z33" s="351">
        <f t="shared" si="15"/>
        <v>660</v>
      </c>
      <c r="AA33" s="349">
        <f t="shared" si="15"/>
        <v>660</v>
      </c>
      <c r="AB33" s="350">
        <f t="shared" si="15"/>
        <v>660</v>
      </c>
      <c r="AC33" s="350">
        <f t="shared" si="15"/>
        <v>660</v>
      </c>
      <c r="AD33" s="350">
        <f>16800/AD$40*10^3</f>
        <v>672</v>
      </c>
      <c r="AE33" s="350">
        <f>16800/AE$40*10^3</f>
        <v>672</v>
      </c>
      <c r="AF33" s="350">
        <f>16800/AF$40*10^3</f>
        <v>672</v>
      </c>
      <c r="AG33" s="350">
        <f t="shared" ref="AG33:AL33" si="16">16800/AG$40*10^3</f>
        <v>672</v>
      </c>
      <c r="AH33" s="350">
        <f t="shared" si="16"/>
        <v>672</v>
      </c>
      <c r="AI33" s="350">
        <f t="shared" si="16"/>
        <v>672</v>
      </c>
      <c r="AJ33" s="350">
        <f t="shared" si="16"/>
        <v>672</v>
      </c>
      <c r="AK33" s="350">
        <f t="shared" si="16"/>
        <v>672</v>
      </c>
      <c r="AL33" s="351">
        <f t="shared" si="16"/>
        <v>672</v>
      </c>
      <c r="AM33" s="349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1"/>
    </row>
    <row r="34" spans="1:50" s="345" customFormat="1" outlineLevel="1" x14ac:dyDescent="0.35">
      <c r="A34" s="345" t="s">
        <v>64</v>
      </c>
      <c r="B34" s="345" t="s">
        <v>15</v>
      </c>
      <c r="F34" s="346" t="s">
        <v>330</v>
      </c>
      <c r="G34" s="347"/>
      <c r="H34" s="347" t="s">
        <v>41</v>
      </c>
      <c r="I34" s="347" t="s">
        <v>337</v>
      </c>
      <c r="J34" s="368"/>
      <c r="K34" s="348"/>
      <c r="L34" s="347"/>
      <c r="M34" s="347"/>
      <c r="N34" s="347"/>
      <c r="O34" s="350">
        <f t="shared" ref="O34:AE34" si="17">O33*O41</f>
        <v>202.0408163265306</v>
      </c>
      <c r="P34" s="350">
        <f t="shared" si="17"/>
        <v>202.0408163265306</v>
      </c>
      <c r="Q34" s="350">
        <f t="shared" si="17"/>
        <v>202.0408163265306</v>
      </c>
      <c r="R34" s="350">
        <f t="shared" si="17"/>
        <v>202.0408163265306</v>
      </c>
      <c r="S34" s="350">
        <f t="shared" si="17"/>
        <v>202.0408163265306</v>
      </c>
      <c r="T34" s="350">
        <f t="shared" si="17"/>
        <v>202.0408163265306</v>
      </c>
      <c r="U34" s="350">
        <f t="shared" si="17"/>
        <v>198</v>
      </c>
      <c r="V34" s="350">
        <f t="shared" si="17"/>
        <v>198</v>
      </c>
      <c r="W34" s="350">
        <f t="shared" si="17"/>
        <v>198</v>
      </c>
      <c r="X34" s="350">
        <f t="shared" si="17"/>
        <v>198</v>
      </c>
      <c r="Y34" s="350">
        <f t="shared" si="17"/>
        <v>198</v>
      </c>
      <c r="Z34" s="351">
        <f t="shared" si="17"/>
        <v>198</v>
      </c>
      <c r="AA34" s="349">
        <f t="shared" si="17"/>
        <v>198</v>
      </c>
      <c r="AB34" s="350">
        <f t="shared" si="17"/>
        <v>198</v>
      </c>
      <c r="AC34" s="350">
        <f t="shared" si="17"/>
        <v>198</v>
      </c>
      <c r="AD34" s="350">
        <f t="shared" si="17"/>
        <v>201.6</v>
      </c>
      <c r="AE34" s="350">
        <f t="shared" si="17"/>
        <v>201.6</v>
      </c>
      <c r="AF34" s="350">
        <f t="shared" ref="AF34:AL34" si="18">AF33*AF41</f>
        <v>201.6</v>
      </c>
      <c r="AG34" s="350">
        <f t="shared" si="18"/>
        <v>201.6</v>
      </c>
      <c r="AH34" s="350">
        <f t="shared" si="18"/>
        <v>201.6</v>
      </c>
      <c r="AI34" s="350">
        <f t="shared" si="18"/>
        <v>201.6</v>
      </c>
      <c r="AJ34" s="350">
        <f t="shared" si="18"/>
        <v>201.6</v>
      </c>
      <c r="AK34" s="350">
        <f t="shared" si="18"/>
        <v>201.6</v>
      </c>
      <c r="AL34" s="351">
        <f t="shared" si="18"/>
        <v>201.6</v>
      </c>
      <c r="AM34" s="349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1"/>
    </row>
    <row r="35" spans="1:50" s="345" customFormat="1" outlineLevel="1" x14ac:dyDescent="0.35">
      <c r="A35" s="345" t="s">
        <v>64</v>
      </c>
      <c r="B35" s="345" t="s">
        <v>15</v>
      </c>
      <c r="F35" s="346" t="s">
        <v>331</v>
      </c>
      <c r="G35" s="347"/>
      <c r="H35" s="347" t="s">
        <v>41</v>
      </c>
      <c r="I35" s="347" t="s">
        <v>57</v>
      </c>
      <c r="J35" s="367"/>
      <c r="K35" s="348"/>
      <c r="L35" s="347"/>
      <c r="M35" s="347"/>
      <c r="N35" s="347"/>
      <c r="O35" s="350">
        <f>9193.7/O40*10^3</f>
        <v>375.25306122448984</v>
      </c>
      <c r="P35" s="350">
        <f t="shared" ref="P35:Z35" si="19">9193.7/P40*10^3</f>
        <v>375.25306122448984</v>
      </c>
      <c r="Q35" s="350">
        <f t="shared" si="19"/>
        <v>375.25306122448984</v>
      </c>
      <c r="R35" s="350">
        <f t="shared" si="19"/>
        <v>375.25306122448984</v>
      </c>
      <c r="S35" s="350">
        <f t="shared" si="19"/>
        <v>375.25306122448984</v>
      </c>
      <c r="T35" s="350">
        <f t="shared" si="19"/>
        <v>375.25306122448984</v>
      </c>
      <c r="U35" s="350">
        <f t="shared" si="19"/>
        <v>367.74800000000005</v>
      </c>
      <c r="V35" s="350">
        <f t="shared" si="19"/>
        <v>367.74800000000005</v>
      </c>
      <c r="W35" s="350">
        <f t="shared" si="19"/>
        <v>367.74800000000005</v>
      </c>
      <c r="X35" s="350">
        <f t="shared" si="19"/>
        <v>367.74800000000005</v>
      </c>
      <c r="Y35" s="350">
        <f t="shared" si="19"/>
        <v>367.74800000000005</v>
      </c>
      <c r="Z35" s="351">
        <f t="shared" si="19"/>
        <v>367.74800000000005</v>
      </c>
      <c r="AA35" s="349">
        <f>9193.7/AA40*10^3</f>
        <v>367.74800000000005</v>
      </c>
      <c r="AB35" s="350">
        <f>9193.7/AB40*10^3</f>
        <v>367.74800000000005</v>
      </c>
      <c r="AC35" s="350">
        <f>9193.7/AC40*10^3</f>
        <v>367.74800000000005</v>
      </c>
      <c r="AD35" s="350">
        <f>9377.55821/AD40*10^3</f>
        <v>375.10232839999998</v>
      </c>
      <c r="AE35" s="350">
        <f>9377.55821/AE40*10^3</f>
        <v>375.10232839999998</v>
      </c>
      <c r="AF35" s="350">
        <f>9377.55821/AF40*10^3</f>
        <v>375.10232839999998</v>
      </c>
      <c r="AG35" s="350">
        <f t="shared" ref="AG35:AL35" si="20">9377.55821/AG40*10^3</f>
        <v>375.10232839999998</v>
      </c>
      <c r="AH35" s="350">
        <f t="shared" si="20"/>
        <v>375.10232839999998</v>
      </c>
      <c r="AI35" s="350">
        <f t="shared" si="20"/>
        <v>375.10232839999998</v>
      </c>
      <c r="AJ35" s="350">
        <f t="shared" si="20"/>
        <v>375.10232839999998</v>
      </c>
      <c r="AK35" s="350">
        <f t="shared" si="20"/>
        <v>375.10232839999998</v>
      </c>
      <c r="AL35" s="351">
        <f t="shared" si="20"/>
        <v>375.10232839999998</v>
      </c>
      <c r="AM35" s="349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1"/>
    </row>
    <row r="36" spans="1:50" s="345" customFormat="1" outlineLevel="1" x14ac:dyDescent="0.35">
      <c r="A36" s="345" t="s">
        <v>64</v>
      </c>
      <c r="B36" s="345" t="s">
        <v>15</v>
      </c>
      <c r="F36" s="346" t="s">
        <v>332</v>
      </c>
      <c r="G36" s="347"/>
      <c r="H36" s="347" t="s">
        <v>41</v>
      </c>
      <c r="I36" s="347" t="s">
        <v>50</v>
      </c>
      <c r="J36" s="367"/>
      <c r="K36" s="348"/>
      <c r="L36" s="347"/>
      <c r="M36" s="347"/>
      <c r="N36" s="347"/>
      <c r="O36" s="350">
        <f>299/O40*10^3</f>
        <v>12.204081632653061</v>
      </c>
      <c r="P36" s="350">
        <f t="shared" ref="P36:Z36" si="21">299/P40*10^3</f>
        <v>12.204081632653061</v>
      </c>
      <c r="Q36" s="350">
        <f t="shared" si="21"/>
        <v>12.204081632653061</v>
      </c>
      <c r="R36" s="350">
        <f t="shared" si="21"/>
        <v>12.204081632653061</v>
      </c>
      <c r="S36" s="350">
        <f t="shared" si="21"/>
        <v>12.204081632653061</v>
      </c>
      <c r="T36" s="350">
        <f t="shared" si="21"/>
        <v>12.204081632653061</v>
      </c>
      <c r="U36" s="350">
        <f t="shared" si="21"/>
        <v>11.96</v>
      </c>
      <c r="V36" s="350">
        <f t="shared" si="21"/>
        <v>11.96</v>
      </c>
      <c r="W36" s="350">
        <f t="shared" si="21"/>
        <v>11.96</v>
      </c>
      <c r="X36" s="350">
        <f t="shared" si="21"/>
        <v>11.96</v>
      </c>
      <c r="Y36" s="350">
        <f t="shared" si="21"/>
        <v>11.96</v>
      </c>
      <c r="Z36" s="351">
        <f t="shared" si="21"/>
        <v>11.96</v>
      </c>
      <c r="AA36" s="349">
        <f t="shared" ref="AA36:AF36" si="22">299/AA40*10^3</f>
        <v>11.96</v>
      </c>
      <c r="AB36" s="350">
        <f t="shared" si="22"/>
        <v>11.96</v>
      </c>
      <c r="AC36" s="350">
        <f t="shared" si="22"/>
        <v>11.96</v>
      </c>
      <c r="AD36" s="350">
        <f t="shared" si="22"/>
        <v>11.96</v>
      </c>
      <c r="AE36" s="350">
        <f t="shared" si="22"/>
        <v>11.96</v>
      </c>
      <c r="AF36" s="350">
        <f t="shared" si="22"/>
        <v>11.96</v>
      </c>
      <c r="AG36" s="350">
        <f t="shared" ref="AG36:AL36" si="23">299/AG40*10^3</f>
        <v>11.96</v>
      </c>
      <c r="AH36" s="350">
        <f t="shared" si="23"/>
        <v>11.96</v>
      </c>
      <c r="AI36" s="350">
        <f t="shared" si="23"/>
        <v>11.96</v>
      </c>
      <c r="AJ36" s="350">
        <f t="shared" si="23"/>
        <v>11.96</v>
      </c>
      <c r="AK36" s="350">
        <f t="shared" si="23"/>
        <v>11.96</v>
      </c>
      <c r="AL36" s="351">
        <f t="shared" si="23"/>
        <v>11.96</v>
      </c>
      <c r="AM36" s="349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1"/>
    </row>
    <row r="37" spans="1:50" s="345" customFormat="1" outlineLevel="1" x14ac:dyDescent="0.35">
      <c r="A37" s="345" t="s">
        <v>64</v>
      </c>
      <c r="B37" s="345" t="s">
        <v>15</v>
      </c>
      <c r="F37" s="346" t="s">
        <v>363</v>
      </c>
      <c r="G37" s="347"/>
      <c r="H37" s="347" t="s">
        <v>41</v>
      </c>
      <c r="I37" s="347" t="s">
        <v>58</v>
      </c>
      <c r="J37" s="367"/>
      <c r="K37" s="348"/>
      <c r="L37" s="347"/>
      <c r="M37" s="347"/>
      <c r="N37" s="347"/>
      <c r="O37" s="350">
        <f>3295/O40*10^3</f>
        <v>134.48979591836735</v>
      </c>
      <c r="P37" s="350">
        <f t="shared" ref="P37:Z37" si="24">3295/P40*10^3</f>
        <v>134.48979591836735</v>
      </c>
      <c r="Q37" s="350">
        <f t="shared" si="24"/>
        <v>134.48979591836735</v>
      </c>
      <c r="R37" s="350">
        <f t="shared" si="24"/>
        <v>134.48979591836735</v>
      </c>
      <c r="S37" s="350">
        <f t="shared" si="24"/>
        <v>134.48979591836735</v>
      </c>
      <c r="T37" s="350">
        <f t="shared" si="24"/>
        <v>134.48979591836735</v>
      </c>
      <c r="U37" s="350">
        <f t="shared" si="24"/>
        <v>131.80000000000001</v>
      </c>
      <c r="V37" s="350">
        <f t="shared" si="24"/>
        <v>131.80000000000001</v>
      </c>
      <c r="W37" s="350">
        <f t="shared" si="24"/>
        <v>131.80000000000001</v>
      </c>
      <c r="X37" s="350">
        <f t="shared" si="24"/>
        <v>131.80000000000001</v>
      </c>
      <c r="Y37" s="350">
        <f t="shared" si="24"/>
        <v>131.80000000000001</v>
      </c>
      <c r="Z37" s="351">
        <f t="shared" si="24"/>
        <v>131.80000000000001</v>
      </c>
      <c r="AA37" s="349">
        <f t="shared" ref="AA37:AF37" si="25">3295/AA40*10^3</f>
        <v>131.80000000000001</v>
      </c>
      <c r="AB37" s="350">
        <f t="shared" si="25"/>
        <v>131.80000000000001</v>
      </c>
      <c r="AC37" s="350">
        <f t="shared" si="25"/>
        <v>131.80000000000001</v>
      </c>
      <c r="AD37" s="350">
        <f t="shared" si="25"/>
        <v>131.80000000000001</v>
      </c>
      <c r="AE37" s="350">
        <f t="shared" si="25"/>
        <v>131.80000000000001</v>
      </c>
      <c r="AF37" s="350">
        <f t="shared" si="25"/>
        <v>131.80000000000001</v>
      </c>
      <c r="AG37" s="350">
        <f t="shared" ref="AG37:AL37" si="26">3295/AG40*10^3</f>
        <v>131.80000000000001</v>
      </c>
      <c r="AH37" s="350">
        <f t="shared" si="26"/>
        <v>131.80000000000001</v>
      </c>
      <c r="AI37" s="350">
        <f t="shared" si="26"/>
        <v>131.80000000000001</v>
      </c>
      <c r="AJ37" s="350">
        <f t="shared" si="26"/>
        <v>131.80000000000001</v>
      </c>
      <c r="AK37" s="350">
        <f t="shared" si="26"/>
        <v>131.80000000000001</v>
      </c>
      <c r="AL37" s="351">
        <f t="shared" si="26"/>
        <v>131.80000000000001</v>
      </c>
      <c r="AM37" s="349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1"/>
    </row>
    <row r="38" spans="1:50" s="345" customFormat="1" outlineLevel="1" x14ac:dyDescent="0.35">
      <c r="A38" s="345" t="s">
        <v>64</v>
      </c>
      <c r="B38" s="345" t="s">
        <v>15</v>
      </c>
      <c r="F38" s="346" t="s">
        <v>364</v>
      </c>
      <c r="G38" s="347"/>
      <c r="H38" s="347" t="s">
        <v>41</v>
      </c>
      <c r="I38" s="347" t="s">
        <v>59</v>
      </c>
      <c r="J38" s="367"/>
      <c r="K38" s="348"/>
      <c r="L38" s="347"/>
      <c r="M38" s="347"/>
      <c r="N38" s="347"/>
      <c r="O38" s="350">
        <f t="shared" ref="O38:AE38" si="27">8%/12*SUM(O33:O37)</f>
        <v>9.3163809523809533</v>
      </c>
      <c r="P38" s="350">
        <f t="shared" si="27"/>
        <v>9.3163809523809533</v>
      </c>
      <c r="Q38" s="350">
        <f t="shared" si="27"/>
        <v>9.3163809523809533</v>
      </c>
      <c r="R38" s="350">
        <f t="shared" si="27"/>
        <v>9.3163809523809533</v>
      </c>
      <c r="S38" s="350">
        <f t="shared" si="27"/>
        <v>9.3163809523809533</v>
      </c>
      <c r="T38" s="350">
        <f t="shared" si="27"/>
        <v>9.3163809523809533</v>
      </c>
      <c r="U38" s="350">
        <f t="shared" si="27"/>
        <v>9.1300533333333345</v>
      </c>
      <c r="V38" s="350">
        <f t="shared" si="27"/>
        <v>9.1300533333333345</v>
      </c>
      <c r="W38" s="350">
        <f t="shared" si="27"/>
        <v>9.1300533333333345</v>
      </c>
      <c r="X38" s="350">
        <f t="shared" si="27"/>
        <v>9.1300533333333345</v>
      </c>
      <c r="Y38" s="350">
        <f t="shared" si="27"/>
        <v>9.1300533333333345</v>
      </c>
      <c r="Z38" s="351">
        <f t="shared" si="27"/>
        <v>9.1300533333333345</v>
      </c>
      <c r="AA38" s="349">
        <f t="shared" si="27"/>
        <v>9.1300533333333345</v>
      </c>
      <c r="AB38" s="350">
        <f t="shared" si="27"/>
        <v>9.1300533333333345</v>
      </c>
      <c r="AC38" s="350">
        <f t="shared" si="27"/>
        <v>9.1300533333333345</v>
      </c>
      <c r="AD38" s="350">
        <f t="shared" si="27"/>
        <v>9.2830821893333333</v>
      </c>
      <c r="AE38" s="350">
        <f t="shared" si="27"/>
        <v>9.2830821893333333</v>
      </c>
      <c r="AF38" s="350">
        <f t="shared" ref="AF38:AL38" si="28">8%/12*SUM(AF33:AF37)</f>
        <v>9.2830821893333333</v>
      </c>
      <c r="AG38" s="350">
        <f t="shared" si="28"/>
        <v>9.2830821893333333</v>
      </c>
      <c r="AH38" s="350">
        <f t="shared" si="28"/>
        <v>9.2830821893333333</v>
      </c>
      <c r="AI38" s="350">
        <f t="shared" si="28"/>
        <v>9.2830821893333333</v>
      </c>
      <c r="AJ38" s="350">
        <f t="shared" si="28"/>
        <v>9.2830821893333333</v>
      </c>
      <c r="AK38" s="350">
        <f t="shared" si="28"/>
        <v>9.2830821893333333</v>
      </c>
      <c r="AL38" s="351">
        <f t="shared" si="28"/>
        <v>9.2830821893333333</v>
      </c>
      <c r="AM38" s="349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1"/>
    </row>
    <row r="39" spans="1:50" s="345" customFormat="1" outlineLevel="1" x14ac:dyDescent="0.35">
      <c r="A39" s="345" t="s">
        <v>64</v>
      </c>
      <c r="B39" s="345" t="s">
        <v>15</v>
      </c>
      <c r="F39" s="346" t="s">
        <v>365</v>
      </c>
      <c r="G39" s="347"/>
      <c r="H39" s="347" t="s">
        <v>41</v>
      </c>
      <c r="I39" s="347" t="s">
        <v>53</v>
      </c>
      <c r="J39" s="367"/>
      <c r="K39" s="348"/>
      <c r="L39" s="347"/>
      <c r="M39" s="347"/>
      <c r="N39" s="347"/>
      <c r="O39" s="350">
        <v>-80</v>
      </c>
      <c r="P39" s="350">
        <v>-80</v>
      </c>
      <c r="Q39" s="350">
        <v>-80</v>
      </c>
      <c r="R39" s="350">
        <v>-80</v>
      </c>
      <c r="S39" s="350">
        <v>-80</v>
      </c>
      <c r="T39" s="350">
        <v>-80</v>
      </c>
      <c r="U39" s="350">
        <v>-80</v>
      </c>
      <c r="V39" s="350">
        <v>-80</v>
      </c>
      <c r="W39" s="350">
        <v>-80</v>
      </c>
      <c r="X39" s="350">
        <v>-80</v>
      </c>
      <c r="Y39" s="350">
        <v>-80</v>
      </c>
      <c r="Z39" s="351">
        <v>-80</v>
      </c>
      <c r="AA39" s="349">
        <v>-80</v>
      </c>
      <c r="AB39" s="350">
        <v>-80</v>
      </c>
      <c r="AC39" s="350">
        <v>-80</v>
      </c>
      <c r="AD39" s="350">
        <v>-150</v>
      </c>
      <c r="AE39" s="350">
        <v>-150</v>
      </c>
      <c r="AF39" s="350">
        <v>-150</v>
      </c>
      <c r="AG39" s="350">
        <v>-120</v>
      </c>
      <c r="AH39" s="350">
        <v>-120</v>
      </c>
      <c r="AI39" s="350">
        <v>-120</v>
      </c>
      <c r="AJ39" s="350">
        <v>-120</v>
      </c>
      <c r="AK39" s="350">
        <v>-120</v>
      </c>
      <c r="AL39" s="351">
        <v>-120</v>
      </c>
      <c r="AM39" s="349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1"/>
    </row>
    <row r="40" spans="1:50" s="237" customFormat="1" x14ac:dyDescent="0.35">
      <c r="A40" s="237" t="s">
        <v>64</v>
      </c>
      <c r="B40" s="237" t="s">
        <v>15</v>
      </c>
      <c r="F40" s="247"/>
      <c r="G40" s="238"/>
      <c r="H40" s="238"/>
      <c r="I40" s="238"/>
      <c r="J40" s="375" t="s">
        <v>60</v>
      </c>
      <c r="K40" s="239"/>
      <c r="L40" s="238"/>
      <c r="M40" s="238"/>
      <c r="N40" s="238"/>
      <c r="O40" s="241">
        <v>24500</v>
      </c>
      <c r="P40" s="241">
        <v>24500</v>
      </c>
      <c r="Q40" s="241">
        <v>24500</v>
      </c>
      <c r="R40" s="241">
        <v>24500</v>
      </c>
      <c r="S40" s="241">
        <v>24500</v>
      </c>
      <c r="T40" s="241">
        <v>24500</v>
      </c>
      <c r="U40" s="241">
        <v>25000</v>
      </c>
      <c r="V40" s="241">
        <v>25000</v>
      </c>
      <c r="W40" s="241">
        <v>25000</v>
      </c>
      <c r="X40" s="241">
        <v>25000</v>
      </c>
      <c r="Y40" s="241">
        <v>25000</v>
      </c>
      <c r="Z40" s="242">
        <v>25000</v>
      </c>
      <c r="AA40" s="240">
        <v>25000</v>
      </c>
      <c r="AB40" s="241">
        <v>25000</v>
      </c>
      <c r="AC40" s="241">
        <v>25000</v>
      </c>
      <c r="AD40" s="241">
        <v>25000</v>
      </c>
      <c r="AE40" s="241">
        <v>25000</v>
      </c>
      <c r="AF40" s="241">
        <v>25000</v>
      </c>
      <c r="AG40" s="241">
        <v>25000</v>
      </c>
      <c r="AH40" s="241">
        <v>25000</v>
      </c>
      <c r="AI40" s="241">
        <v>25000</v>
      </c>
      <c r="AJ40" s="241">
        <v>25000</v>
      </c>
      <c r="AK40" s="241">
        <v>25000</v>
      </c>
      <c r="AL40" s="242">
        <v>25000</v>
      </c>
      <c r="AM40" s="240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2"/>
    </row>
    <row r="41" spans="1:50" s="237" customFormat="1" x14ac:dyDescent="0.35">
      <c r="A41" s="237" t="s">
        <v>64</v>
      </c>
      <c r="B41" s="237" t="s">
        <v>15</v>
      </c>
      <c r="F41" s="247"/>
      <c r="G41" s="238"/>
      <c r="H41" s="238"/>
      <c r="I41" s="238"/>
      <c r="J41" s="375" t="s">
        <v>61</v>
      </c>
      <c r="K41" s="239"/>
      <c r="L41" s="238"/>
      <c r="M41" s="238"/>
      <c r="N41" s="238"/>
      <c r="O41" s="244">
        <v>0.3</v>
      </c>
      <c r="P41" s="244">
        <v>0.3</v>
      </c>
      <c r="Q41" s="244">
        <v>0.3</v>
      </c>
      <c r="R41" s="244">
        <v>0.3</v>
      </c>
      <c r="S41" s="244">
        <v>0.3</v>
      </c>
      <c r="T41" s="244">
        <v>0.3</v>
      </c>
      <c r="U41" s="244">
        <v>0.3</v>
      </c>
      <c r="V41" s="244">
        <v>0.3</v>
      </c>
      <c r="W41" s="244">
        <v>0.3</v>
      </c>
      <c r="X41" s="244">
        <v>0.3</v>
      </c>
      <c r="Y41" s="244">
        <v>0.3</v>
      </c>
      <c r="Z41" s="245">
        <v>0.3</v>
      </c>
      <c r="AA41" s="243">
        <v>0.3</v>
      </c>
      <c r="AB41" s="244">
        <v>0.3</v>
      </c>
      <c r="AC41" s="244">
        <v>0.3</v>
      </c>
      <c r="AD41" s="244">
        <v>0.3</v>
      </c>
      <c r="AE41" s="244">
        <v>0.3</v>
      </c>
      <c r="AF41" s="244">
        <v>0.3</v>
      </c>
      <c r="AG41" s="244">
        <v>0.3</v>
      </c>
      <c r="AH41" s="244">
        <v>0.3</v>
      </c>
      <c r="AI41" s="244">
        <v>0.3</v>
      </c>
      <c r="AJ41" s="244">
        <v>0.3</v>
      </c>
      <c r="AK41" s="244">
        <v>0.3</v>
      </c>
      <c r="AL41" s="245">
        <v>0.3</v>
      </c>
      <c r="AM41" s="243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5"/>
    </row>
    <row r="42" spans="1:50" s="94" customFormat="1" outlineLevel="1" x14ac:dyDescent="0.35">
      <c r="A42" s="94" t="s">
        <v>64</v>
      </c>
      <c r="B42" s="94" t="s">
        <v>15</v>
      </c>
      <c r="D42" s="95" t="s">
        <v>162</v>
      </c>
      <c r="F42" s="226" t="s">
        <v>271</v>
      </c>
      <c r="G42" s="227"/>
      <c r="H42" s="227"/>
      <c r="I42" s="227" t="s">
        <v>8</v>
      </c>
      <c r="J42" s="376"/>
      <c r="K42" s="2"/>
      <c r="L42" s="227"/>
      <c r="M42" s="227"/>
      <c r="N42" s="227"/>
      <c r="O42" s="229">
        <f>O32-O36</f>
        <v>1307.795918367347</v>
      </c>
      <c r="P42" s="229">
        <f t="shared" ref="P42:AL42" si="29">P32-P36</f>
        <v>1307.795918367347</v>
      </c>
      <c r="Q42" s="229">
        <f t="shared" si="29"/>
        <v>1307.795918367347</v>
      </c>
      <c r="R42" s="229">
        <f t="shared" si="29"/>
        <v>1307.795918367347</v>
      </c>
      <c r="S42" s="229">
        <f t="shared" si="29"/>
        <v>1307.795918367347</v>
      </c>
      <c r="T42" s="229">
        <f t="shared" si="29"/>
        <v>1307.795918367347</v>
      </c>
      <c r="U42" s="229">
        <f t="shared" si="29"/>
        <v>1308.04</v>
      </c>
      <c r="V42" s="229">
        <f t="shared" si="29"/>
        <v>1308.04</v>
      </c>
      <c r="W42" s="229">
        <f t="shared" si="29"/>
        <v>1308.04</v>
      </c>
      <c r="X42" s="229">
        <f t="shared" si="29"/>
        <v>1288.04</v>
      </c>
      <c r="Y42" s="229">
        <f t="shared" si="29"/>
        <v>1288.04</v>
      </c>
      <c r="Z42" s="230">
        <f t="shared" si="29"/>
        <v>1288.04</v>
      </c>
      <c r="AA42" s="229">
        <f t="shared" si="29"/>
        <v>1288.04</v>
      </c>
      <c r="AB42" s="229">
        <f t="shared" si="29"/>
        <v>1288.04</v>
      </c>
      <c r="AC42" s="229">
        <f t="shared" si="29"/>
        <v>1288.04</v>
      </c>
      <c r="AD42" s="229">
        <f t="shared" si="29"/>
        <v>1238.04</v>
      </c>
      <c r="AE42" s="229">
        <f t="shared" si="29"/>
        <v>1238.04</v>
      </c>
      <c r="AF42" s="229">
        <f t="shared" si="29"/>
        <v>1238.04</v>
      </c>
      <c r="AG42" s="229">
        <f t="shared" si="29"/>
        <v>1268.04</v>
      </c>
      <c r="AH42" s="229">
        <f t="shared" si="29"/>
        <v>1268.04</v>
      </c>
      <c r="AI42" s="229">
        <f t="shared" si="29"/>
        <v>1268.04</v>
      </c>
      <c r="AJ42" s="229">
        <f t="shared" si="29"/>
        <v>1268.04</v>
      </c>
      <c r="AK42" s="229">
        <f t="shared" si="29"/>
        <v>1268.04</v>
      </c>
      <c r="AL42" s="230">
        <f t="shared" si="29"/>
        <v>1268.04</v>
      </c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30"/>
    </row>
    <row r="43" spans="1:50" s="188" customFormat="1" outlineLevel="1" x14ac:dyDescent="0.35">
      <c r="A43" s="188" t="s">
        <v>64</v>
      </c>
      <c r="B43" s="188" t="s">
        <v>15</v>
      </c>
      <c r="F43" s="225" t="s">
        <v>272</v>
      </c>
      <c r="G43" s="193"/>
      <c r="H43" s="193"/>
      <c r="I43" s="193"/>
      <c r="J43" s="374" t="s">
        <v>203</v>
      </c>
      <c r="K43" s="189"/>
      <c r="L43" s="202"/>
      <c r="M43" s="202"/>
      <c r="N43" s="202"/>
      <c r="O43" s="315" cm="1">
        <f t="array" ref="O43">SUMPRODUCT(General_Data*(Year=O$3)*(Month=O$4)*(Code_General_Data=$B43))</f>
        <v>1250</v>
      </c>
      <c r="P43" s="315" cm="1">
        <f t="array" ref="P43">SUMPRODUCT(General_Data*(Year=P$3)*(Month=P$4)*(Code_General_Data=$B43))</f>
        <v>1250</v>
      </c>
      <c r="Q43" s="315" cm="1">
        <f t="array" ref="Q43">SUMPRODUCT(General_Data*(Year=Q$3)*(Month=Q$4)*(Code_General_Data=$B43))</f>
        <v>1250</v>
      </c>
      <c r="R43" s="315" cm="1">
        <f t="array" ref="R43">SUMPRODUCT(General_Data*(Year=R$3)*(Month=R$4)*(Code_General_Data=$B43))</f>
        <v>1250</v>
      </c>
      <c r="S43" s="315" cm="1">
        <f t="array" ref="S43">SUMPRODUCT(General_Data*(Year=S$3)*(Month=S$4)*(Code_General_Data=$B43))</f>
        <v>1300</v>
      </c>
      <c r="T43" s="315" cm="1">
        <f t="array" ref="T43">SUMPRODUCT(General_Data*(Year=T$3)*(Month=T$4)*(Code_General_Data=$B43))</f>
        <v>1300</v>
      </c>
      <c r="U43" s="315" cm="1">
        <f t="array" ref="U43">SUMPRODUCT(General_Data*(Year=U$3)*(Month=U$4)*(Code_General_Data=$B43))</f>
        <v>1300</v>
      </c>
      <c r="V43" s="315" cm="1">
        <f t="array" ref="V43">SUMPRODUCT(General_Data*(Year=V$3)*(Month=V$4)*(Code_General_Data=$B43))</f>
        <v>1300</v>
      </c>
      <c r="W43" s="315" cm="1">
        <f t="array" ref="W43">SUMPRODUCT(General_Data*(Year=W$3)*(Month=W$4)*(Code_General_Data=$B43))</f>
        <v>1310</v>
      </c>
      <c r="X43" s="315" cm="1">
        <f t="array" ref="X43">SUMPRODUCT(General_Data*(Year=X$3)*(Month=X$4)*(Code_General_Data=$B43))</f>
        <v>1325</v>
      </c>
      <c r="Y43" s="315" cm="1">
        <f t="array" ref="Y43">SUMPRODUCT(General_Data*(Year=Y$3)*(Month=Y$4)*(Code_General_Data=$B43))</f>
        <v>1325</v>
      </c>
      <c r="Z43" s="316" cm="1">
        <f t="array" ref="Z43">SUMPRODUCT(General_Data*(Year=Z$3)*(Month=Z$4)*(Code_General_Data=$B43))</f>
        <v>1275</v>
      </c>
      <c r="AA43" s="315" cm="1">
        <f t="array" ref="AA43">SUMPRODUCT(General_Data*(Year=AA$3)*(Month=AA$4)*(Code_General_Data=$B43))</f>
        <v>1230</v>
      </c>
      <c r="AB43" s="315" cm="1">
        <f t="array" ref="AB43">SUMPRODUCT(General_Data*(Year=AB$3)*(Month=AB$4)*(Code_General_Data=$B43))</f>
        <v>1230</v>
      </c>
      <c r="AC43" s="315" cm="1">
        <f t="array" ref="AC43">SUMPRODUCT(General_Data*(Year=AC$3)*(Month=AC$4)*(Code_General_Data=$B43))</f>
        <v>1230</v>
      </c>
      <c r="AD43" s="315" cm="1">
        <f t="array" ref="AD43">SUMPRODUCT(General_Data*(Year=AD$3)*(Month=AD$4)*(Code_General_Data=$B43))</f>
        <v>1250</v>
      </c>
      <c r="AE43" s="315" cm="1">
        <f t="array" ref="AE43">SUMPRODUCT(General_Data*(Year=AE$3)*(Month=AE$4)*(Code_General_Data=$B43))</f>
        <v>1250</v>
      </c>
      <c r="AF43" s="315" cm="1">
        <f t="array" ref="AF43">SUMPRODUCT(General_Data*(Year=AF$3)*(Month=AF$4)*(Code_General_Data=$B43))</f>
        <v>1250</v>
      </c>
      <c r="AG43" s="315" cm="1">
        <f t="array" ref="AG43">SUMPRODUCT(General_Data*(Year=AG$3)*(Month=AG$4)*(Code_General_Data=$B43))</f>
        <v>1250</v>
      </c>
      <c r="AH43" s="315" cm="1">
        <f t="array" ref="AH43">SUMPRODUCT(General_Data*(Year=AH$3)*(Month=AH$4)*(Code_General_Data=$B43))</f>
        <v>1220</v>
      </c>
      <c r="AI43" s="315" cm="1">
        <f t="array" ref="AI43">SUMPRODUCT(General_Data*(Year=AI$3)*(Month=AI$4)*(Code_General_Data=$B43))</f>
        <v>1220</v>
      </c>
      <c r="AJ43" s="315" cm="1">
        <f t="array" ref="AJ43">SUMPRODUCT(General_Data*(Year=AJ$3)*(Month=AJ$4)*(Code_General_Data=$B43))</f>
        <v>1210</v>
      </c>
      <c r="AK43" s="315" cm="1">
        <f t="array" ref="AK43">SUMPRODUCT(General_Data*(Year=AK$3)*(Month=AK$4)*(Code_General_Data=$B43))</f>
        <v>1200</v>
      </c>
      <c r="AL43" s="316" cm="1">
        <f t="array" ref="AL43">SUMPRODUCT(General_Data*(Year=AL$3)*(Month=AL$4)*(Code_General_Data=$B43))</f>
        <v>1200</v>
      </c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6"/>
    </row>
    <row r="44" spans="1:50" s="188" customFormat="1" ht="6.65" customHeight="1" x14ac:dyDescent="0.35">
      <c r="F44" s="310"/>
      <c r="G44" s="189"/>
      <c r="H44" s="189"/>
      <c r="I44" s="189"/>
      <c r="J44" s="377"/>
      <c r="K44" s="189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2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2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2"/>
    </row>
    <row r="45" spans="1:50" s="330" customFormat="1" ht="16" x14ac:dyDescent="0.35">
      <c r="A45" s="330" t="s">
        <v>64</v>
      </c>
      <c r="B45" s="330" t="s">
        <v>24</v>
      </c>
      <c r="D45" s="330" t="s">
        <v>322</v>
      </c>
      <c r="F45" s="331">
        <v>3.2</v>
      </c>
      <c r="G45" s="332"/>
      <c r="H45" s="332" t="s">
        <v>209</v>
      </c>
      <c r="I45" s="332"/>
      <c r="J45" s="366"/>
      <c r="L45" s="332"/>
      <c r="M45" s="332"/>
      <c r="N45" s="332"/>
      <c r="O45" s="334">
        <f>ROUND(SUM(O46:O52),-1)</f>
        <v>1500</v>
      </c>
      <c r="P45" s="334">
        <f>ROUND(SUM(P46:P52),-1)</f>
        <v>1500</v>
      </c>
      <c r="Q45" s="334">
        <f>ROUND(SUM(Q46:Q52),-1)</f>
        <v>1500</v>
      </c>
      <c r="R45" s="334">
        <f t="shared" ref="R45:AL45" si="30">ROUND(SUM(R46:R52),-1)</f>
        <v>1430</v>
      </c>
      <c r="S45" s="334">
        <f t="shared" si="30"/>
        <v>1430</v>
      </c>
      <c r="T45" s="334">
        <f t="shared" si="30"/>
        <v>1430</v>
      </c>
      <c r="U45" s="334">
        <f t="shared" si="30"/>
        <v>1430</v>
      </c>
      <c r="V45" s="334">
        <f t="shared" si="30"/>
        <v>1430</v>
      </c>
      <c r="W45" s="334">
        <f t="shared" si="30"/>
        <v>1430</v>
      </c>
      <c r="X45" s="334">
        <f t="shared" si="30"/>
        <v>1430</v>
      </c>
      <c r="Y45" s="334">
        <f t="shared" si="30"/>
        <v>1430</v>
      </c>
      <c r="Z45" s="335">
        <f t="shared" si="30"/>
        <v>1430</v>
      </c>
      <c r="AA45" s="333">
        <f t="shared" si="30"/>
        <v>1400</v>
      </c>
      <c r="AB45" s="334">
        <f t="shared" si="30"/>
        <v>1400</v>
      </c>
      <c r="AC45" s="334">
        <f t="shared" si="30"/>
        <v>1400</v>
      </c>
      <c r="AD45" s="334">
        <f t="shared" si="30"/>
        <v>1350</v>
      </c>
      <c r="AE45" s="334">
        <f t="shared" si="30"/>
        <v>1350</v>
      </c>
      <c r="AF45" s="334">
        <f t="shared" si="30"/>
        <v>1350</v>
      </c>
      <c r="AG45" s="334">
        <f t="shared" si="30"/>
        <v>1380</v>
      </c>
      <c r="AH45" s="334">
        <f t="shared" si="30"/>
        <v>1380</v>
      </c>
      <c r="AI45" s="334">
        <f t="shared" si="30"/>
        <v>1380</v>
      </c>
      <c r="AJ45" s="334">
        <f t="shared" si="30"/>
        <v>1380</v>
      </c>
      <c r="AK45" s="334">
        <f t="shared" si="30"/>
        <v>1380</v>
      </c>
      <c r="AL45" s="335">
        <f t="shared" si="30"/>
        <v>1380</v>
      </c>
      <c r="AM45" s="333"/>
      <c r="AN45" s="334"/>
      <c r="AO45" s="334"/>
      <c r="AP45" s="334"/>
      <c r="AQ45" s="334"/>
      <c r="AR45" s="334"/>
      <c r="AS45" s="334"/>
      <c r="AT45" s="334"/>
      <c r="AU45" s="334"/>
      <c r="AV45" s="334"/>
      <c r="AW45" s="334"/>
      <c r="AX45" s="335"/>
    </row>
    <row r="46" spans="1:50" s="345" customFormat="1" outlineLevel="1" x14ac:dyDescent="0.35">
      <c r="A46" s="345" t="s">
        <v>64</v>
      </c>
      <c r="B46" s="345" t="s">
        <v>24</v>
      </c>
      <c r="F46" s="346" t="s">
        <v>333</v>
      </c>
      <c r="G46" s="347"/>
      <c r="H46" s="347" t="s">
        <v>41</v>
      </c>
      <c r="I46" s="347" t="s">
        <v>55</v>
      </c>
      <c r="J46" s="367"/>
      <c r="K46" s="348"/>
      <c r="L46" s="347"/>
      <c r="M46" s="347"/>
      <c r="N46" s="347"/>
      <c r="O46" s="350">
        <f>22500/O53*10^3</f>
        <v>918.36734693877554</v>
      </c>
      <c r="P46" s="350">
        <f>22500/P53*10^3</f>
        <v>918.36734693877554</v>
      </c>
      <c r="Q46" s="350">
        <f>22500/Q53*10^3</f>
        <v>918.36734693877554</v>
      </c>
      <c r="R46" s="350">
        <f t="shared" ref="R46:Z46" si="31">21000/R53*10^3</f>
        <v>857.14285714285711</v>
      </c>
      <c r="S46" s="350">
        <f t="shared" si="31"/>
        <v>857.14285714285711</v>
      </c>
      <c r="T46" s="350">
        <f t="shared" si="31"/>
        <v>857.14285714285711</v>
      </c>
      <c r="U46" s="350">
        <f t="shared" si="31"/>
        <v>840</v>
      </c>
      <c r="V46" s="350">
        <f t="shared" si="31"/>
        <v>840</v>
      </c>
      <c r="W46" s="350">
        <f t="shared" si="31"/>
        <v>840</v>
      </c>
      <c r="X46" s="350">
        <f t="shared" si="31"/>
        <v>840</v>
      </c>
      <c r="Y46" s="350">
        <f t="shared" si="31"/>
        <v>840</v>
      </c>
      <c r="Z46" s="351">
        <f t="shared" si="31"/>
        <v>840</v>
      </c>
      <c r="AA46" s="349">
        <f t="shared" ref="AA46:AL46" si="32">21000/AA53*10^3</f>
        <v>840</v>
      </c>
      <c r="AB46" s="350">
        <f t="shared" si="32"/>
        <v>840</v>
      </c>
      <c r="AC46" s="350">
        <f t="shared" si="32"/>
        <v>840</v>
      </c>
      <c r="AD46" s="350">
        <f>(21500*75%+24500*25%)/AD53*10^3</f>
        <v>890</v>
      </c>
      <c r="AE46" s="350">
        <f>(21500*75%+24500*25%)/AE53*10^3</f>
        <v>890</v>
      </c>
      <c r="AF46" s="350">
        <f>(21500*75%+24500*25%)/AF53*10^3</f>
        <v>890</v>
      </c>
      <c r="AG46" s="350">
        <f t="shared" si="32"/>
        <v>840</v>
      </c>
      <c r="AH46" s="350">
        <f t="shared" si="32"/>
        <v>840</v>
      </c>
      <c r="AI46" s="350">
        <f t="shared" si="32"/>
        <v>840</v>
      </c>
      <c r="AJ46" s="350">
        <f t="shared" si="32"/>
        <v>840</v>
      </c>
      <c r="AK46" s="350">
        <f t="shared" si="32"/>
        <v>840</v>
      </c>
      <c r="AL46" s="351">
        <f t="shared" si="32"/>
        <v>840</v>
      </c>
      <c r="AM46" s="349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1"/>
    </row>
    <row r="47" spans="1:50" s="345" customFormat="1" outlineLevel="1" x14ac:dyDescent="0.35">
      <c r="A47" s="345" t="s">
        <v>64</v>
      </c>
      <c r="B47" s="345" t="s">
        <v>24</v>
      </c>
      <c r="F47" s="346" t="s">
        <v>328</v>
      </c>
      <c r="G47" s="347"/>
      <c r="H47" s="347" t="s">
        <v>41</v>
      </c>
      <c r="I47" s="347" t="s">
        <v>338</v>
      </c>
      <c r="J47" s="378"/>
      <c r="K47" s="348"/>
      <c r="L47" s="347"/>
      <c r="M47" s="347"/>
      <c r="N47" s="347"/>
      <c r="O47" s="350">
        <f t="shared" ref="O47:AL47" si="33">O46*O54</f>
        <v>195.33673469387756</v>
      </c>
      <c r="P47" s="350">
        <f t="shared" si="33"/>
        <v>195.33673469387756</v>
      </c>
      <c r="Q47" s="350">
        <f t="shared" si="33"/>
        <v>195.33673469387756</v>
      </c>
      <c r="R47" s="350">
        <f t="shared" si="33"/>
        <v>182.31428571428572</v>
      </c>
      <c r="S47" s="350">
        <f t="shared" si="33"/>
        <v>182.31428571428572</v>
      </c>
      <c r="T47" s="350">
        <f t="shared" si="33"/>
        <v>182.31428571428572</v>
      </c>
      <c r="U47" s="350">
        <f t="shared" si="33"/>
        <v>178.66800000000001</v>
      </c>
      <c r="V47" s="350">
        <f t="shared" si="33"/>
        <v>178.66800000000001</v>
      </c>
      <c r="W47" s="350">
        <f t="shared" si="33"/>
        <v>178.66800000000001</v>
      </c>
      <c r="X47" s="350">
        <f t="shared" si="33"/>
        <v>178.66800000000001</v>
      </c>
      <c r="Y47" s="350">
        <f t="shared" si="33"/>
        <v>178.66800000000001</v>
      </c>
      <c r="Z47" s="351">
        <f t="shared" si="33"/>
        <v>178.66800000000001</v>
      </c>
      <c r="AA47" s="349">
        <f t="shared" si="33"/>
        <v>178.66800000000001</v>
      </c>
      <c r="AB47" s="350">
        <f t="shared" si="33"/>
        <v>178.66800000000001</v>
      </c>
      <c r="AC47" s="350">
        <f t="shared" si="33"/>
        <v>178.66800000000001</v>
      </c>
      <c r="AD47" s="350">
        <f t="shared" si="33"/>
        <v>189.303</v>
      </c>
      <c r="AE47" s="350">
        <f t="shared" si="33"/>
        <v>189.303</v>
      </c>
      <c r="AF47" s="350">
        <f t="shared" si="33"/>
        <v>189.303</v>
      </c>
      <c r="AG47" s="350">
        <f t="shared" si="33"/>
        <v>178.66800000000001</v>
      </c>
      <c r="AH47" s="350">
        <f t="shared" si="33"/>
        <v>178.66800000000001</v>
      </c>
      <c r="AI47" s="350">
        <f t="shared" si="33"/>
        <v>178.66800000000001</v>
      </c>
      <c r="AJ47" s="350">
        <f t="shared" si="33"/>
        <v>178.66800000000001</v>
      </c>
      <c r="AK47" s="350">
        <f t="shared" si="33"/>
        <v>178.66800000000001</v>
      </c>
      <c r="AL47" s="351">
        <f t="shared" si="33"/>
        <v>178.66800000000001</v>
      </c>
      <c r="AM47" s="349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1"/>
    </row>
    <row r="48" spans="1:50" s="345" customFormat="1" outlineLevel="1" x14ac:dyDescent="0.35">
      <c r="A48" s="345" t="s">
        <v>64</v>
      </c>
      <c r="B48" s="345" t="s">
        <v>24</v>
      </c>
      <c r="F48" s="346" t="s">
        <v>329</v>
      </c>
      <c r="G48" s="347"/>
      <c r="H48" s="347" t="s">
        <v>41</v>
      </c>
      <c r="I48" s="347" t="s">
        <v>57</v>
      </c>
      <c r="J48" s="367"/>
      <c r="K48" s="348"/>
      <c r="L48" s="347"/>
      <c r="M48" s="347"/>
      <c r="N48" s="347"/>
      <c r="O48" s="350">
        <f>8720.586/O53*10^3</f>
        <v>355.94228571428573</v>
      </c>
      <c r="P48" s="350">
        <f t="shared" ref="P48:W48" si="34">8720.586/P53*10^3</f>
        <v>355.94228571428573</v>
      </c>
      <c r="Q48" s="350">
        <f t="shared" si="34"/>
        <v>355.94228571428573</v>
      </c>
      <c r="R48" s="350">
        <f t="shared" si="34"/>
        <v>355.94228571428573</v>
      </c>
      <c r="S48" s="350">
        <f t="shared" si="34"/>
        <v>355.94228571428573</v>
      </c>
      <c r="T48" s="350">
        <f t="shared" si="34"/>
        <v>355.94228571428573</v>
      </c>
      <c r="U48" s="350">
        <f t="shared" si="34"/>
        <v>348.82344000000001</v>
      </c>
      <c r="V48" s="350">
        <f t="shared" si="34"/>
        <v>348.82344000000001</v>
      </c>
      <c r="W48" s="350">
        <f t="shared" si="34"/>
        <v>348.82344000000001</v>
      </c>
      <c r="X48" s="350">
        <f>8720.586/X53*10^3</f>
        <v>348.82344000000001</v>
      </c>
      <c r="Y48" s="350">
        <f>8720.586/Y53*10^3</f>
        <v>348.82344000000001</v>
      </c>
      <c r="Z48" s="351">
        <f>8720.586/Z53*10^3</f>
        <v>348.82344000000001</v>
      </c>
      <c r="AA48" s="349">
        <f t="shared" ref="AA48:AL48" si="35">8720.586/AA53*10^3</f>
        <v>348.82344000000001</v>
      </c>
      <c r="AB48" s="350">
        <f t="shared" si="35"/>
        <v>348.82344000000001</v>
      </c>
      <c r="AC48" s="350">
        <f t="shared" si="35"/>
        <v>348.82344000000001</v>
      </c>
      <c r="AD48" s="350">
        <f>9127.69249949/AD53*10^3</f>
        <v>365.1076999796</v>
      </c>
      <c r="AE48" s="350">
        <f>9127.69249949/AE53*10^3</f>
        <v>365.1076999796</v>
      </c>
      <c r="AF48" s="350">
        <f>9127.69249949/AF53*10^3</f>
        <v>365.1076999796</v>
      </c>
      <c r="AG48" s="350">
        <f t="shared" si="35"/>
        <v>348.82344000000001</v>
      </c>
      <c r="AH48" s="350">
        <f t="shared" si="35"/>
        <v>348.82344000000001</v>
      </c>
      <c r="AI48" s="350">
        <f t="shared" si="35"/>
        <v>348.82344000000001</v>
      </c>
      <c r="AJ48" s="350">
        <f t="shared" si="35"/>
        <v>348.82344000000001</v>
      </c>
      <c r="AK48" s="350">
        <f t="shared" si="35"/>
        <v>348.82344000000001</v>
      </c>
      <c r="AL48" s="351">
        <f t="shared" si="35"/>
        <v>348.82344000000001</v>
      </c>
      <c r="AM48" s="349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1"/>
    </row>
    <row r="49" spans="1:50" s="345" customFormat="1" outlineLevel="1" x14ac:dyDescent="0.35">
      <c r="A49" s="345" t="s">
        <v>64</v>
      </c>
      <c r="B49" s="345" t="s">
        <v>24</v>
      </c>
      <c r="F49" s="346" t="s">
        <v>334</v>
      </c>
      <c r="G49" s="347"/>
      <c r="H49" s="347" t="s">
        <v>41</v>
      </c>
      <c r="I49" s="347" t="s">
        <v>50</v>
      </c>
      <c r="J49" s="367"/>
      <c r="K49" s="348"/>
      <c r="L49" s="347"/>
      <c r="M49" s="347"/>
      <c r="N49" s="347"/>
      <c r="O49" s="350">
        <f>299/O53*10^3</f>
        <v>12.204081632653061</v>
      </c>
      <c r="P49" s="350">
        <f t="shared" ref="P49:W49" si="36">299/P53*10^3</f>
        <v>12.204081632653061</v>
      </c>
      <c r="Q49" s="350">
        <f t="shared" si="36"/>
        <v>12.204081632653061</v>
      </c>
      <c r="R49" s="350">
        <f t="shared" si="36"/>
        <v>12.204081632653061</v>
      </c>
      <c r="S49" s="350">
        <f t="shared" si="36"/>
        <v>12.204081632653061</v>
      </c>
      <c r="T49" s="350">
        <f t="shared" si="36"/>
        <v>12.204081632653061</v>
      </c>
      <c r="U49" s="350">
        <f t="shared" si="36"/>
        <v>11.96</v>
      </c>
      <c r="V49" s="350">
        <f t="shared" si="36"/>
        <v>11.96</v>
      </c>
      <c r="W49" s="350">
        <f t="shared" si="36"/>
        <v>11.96</v>
      </c>
      <c r="X49" s="350">
        <f>299/X53*10^3</f>
        <v>11.96</v>
      </c>
      <c r="Y49" s="350">
        <f>299/Y53*10^3</f>
        <v>11.96</v>
      </c>
      <c r="Z49" s="351">
        <f>299/Z53*10^3</f>
        <v>11.96</v>
      </c>
      <c r="AA49" s="349">
        <f t="shared" ref="AA49:AL49" si="37">299/AA53*10^3</f>
        <v>11.96</v>
      </c>
      <c r="AB49" s="350">
        <f t="shared" si="37"/>
        <v>11.96</v>
      </c>
      <c r="AC49" s="350">
        <f t="shared" si="37"/>
        <v>11.96</v>
      </c>
      <c r="AD49" s="350">
        <f t="shared" si="37"/>
        <v>11.96</v>
      </c>
      <c r="AE49" s="350">
        <f>299/AE53*10^3</f>
        <v>11.96</v>
      </c>
      <c r="AF49" s="350">
        <f>299/AF53*10^3</f>
        <v>11.96</v>
      </c>
      <c r="AG49" s="350">
        <f t="shared" si="37"/>
        <v>11.96</v>
      </c>
      <c r="AH49" s="350">
        <f t="shared" si="37"/>
        <v>11.96</v>
      </c>
      <c r="AI49" s="350">
        <f t="shared" si="37"/>
        <v>11.96</v>
      </c>
      <c r="AJ49" s="350">
        <f t="shared" si="37"/>
        <v>11.96</v>
      </c>
      <c r="AK49" s="350">
        <f t="shared" si="37"/>
        <v>11.96</v>
      </c>
      <c r="AL49" s="351">
        <f t="shared" si="37"/>
        <v>11.96</v>
      </c>
      <c r="AM49" s="349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1"/>
    </row>
    <row r="50" spans="1:50" s="345" customFormat="1" outlineLevel="1" x14ac:dyDescent="0.35">
      <c r="A50" s="345" t="s">
        <v>64</v>
      </c>
      <c r="B50" s="345" t="s">
        <v>24</v>
      </c>
      <c r="F50" s="346" t="s">
        <v>366</v>
      </c>
      <c r="G50" s="347"/>
      <c r="H50" s="347" t="s">
        <v>41</v>
      </c>
      <c r="I50" s="347" t="s">
        <v>58</v>
      </c>
      <c r="J50" s="367"/>
      <c r="K50" s="348"/>
      <c r="L50" s="347"/>
      <c r="M50" s="347"/>
      <c r="N50" s="347"/>
      <c r="O50" s="350">
        <f>1248/O53*10^3</f>
        <v>50.938775510204081</v>
      </c>
      <c r="P50" s="350">
        <f t="shared" ref="P50:W50" si="38">1248/P53*10^3</f>
        <v>50.938775510204081</v>
      </c>
      <c r="Q50" s="350">
        <f t="shared" si="38"/>
        <v>50.938775510204081</v>
      </c>
      <c r="R50" s="350">
        <f t="shared" si="38"/>
        <v>50.938775510204081</v>
      </c>
      <c r="S50" s="350">
        <f t="shared" si="38"/>
        <v>50.938775510204081</v>
      </c>
      <c r="T50" s="350">
        <f t="shared" si="38"/>
        <v>50.938775510204081</v>
      </c>
      <c r="U50" s="350">
        <f t="shared" si="38"/>
        <v>49.92</v>
      </c>
      <c r="V50" s="350">
        <f t="shared" si="38"/>
        <v>49.92</v>
      </c>
      <c r="W50" s="350">
        <f t="shared" si="38"/>
        <v>49.92</v>
      </c>
      <c r="X50" s="350">
        <f>1248/X53*10^3</f>
        <v>49.92</v>
      </c>
      <c r="Y50" s="350">
        <f>1248/Y53*10^3</f>
        <v>49.92</v>
      </c>
      <c r="Z50" s="351">
        <f>1248/Z53*10^3</f>
        <v>49.92</v>
      </c>
      <c r="AA50" s="349">
        <f t="shared" ref="AA50:AL50" si="39">1248/AA53*10^3</f>
        <v>49.92</v>
      </c>
      <c r="AB50" s="350">
        <f t="shared" si="39"/>
        <v>49.92</v>
      </c>
      <c r="AC50" s="350">
        <f t="shared" si="39"/>
        <v>49.92</v>
      </c>
      <c r="AD50" s="350">
        <f t="shared" si="39"/>
        <v>49.92</v>
      </c>
      <c r="AE50" s="350">
        <f>1248/AE53*10^3</f>
        <v>49.92</v>
      </c>
      <c r="AF50" s="350">
        <f>1248/AF53*10^3</f>
        <v>49.92</v>
      </c>
      <c r="AG50" s="350">
        <f t="shared" si="39"/>
        <v>49.92</v>
      </c>
      <c r="AH50" s="350">
        <f t="shared" si="39"/>
        <v>49.92</v>
      </c>
      <c r="AI50" s="350">
        <f t="shared" si="39"/>
        <v>49.92</v>
      </c>
      <c r="AJ50" s="350">
        <f t="shared" si="39"/>
        <v>49.92</v>
      </c>
      <c r="AK50" s="350">
        <f t="shared" si="39"/>
        <v>49.92</v>
      </c>
      <c r="AL50" s="351">
        <f t="shared" si="39"/>
        <v>49.92</v>
      </c>
      <c r="AM50" s="349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1"/>
    </row>
    <row r="51" spans="1:50" s="345" customFormat="1" outlineLevel="1" x14ac:dyDescent="0.35">
      <c r="A51" s="345" t="s">
        <v>64</v>
      </c>
      <c r="B51" s="345" t="s">
        <v>24</v>
      </c>
      <c r="F51" s="346" t="s">
        <v>367</v>
      </c>
      <c r="G51" s="347"/>
      <c r="H51" s="347" t="s">
        <v>41</v>
      </c>
      <c r="I51" s="347" t="s">
        <v>59</v>
      </c>
      <c r="J51" s="367"/>
      <c r="K51" s="348"/>
      <c r="L51" s="347"/>
      <c r="M51" s="347"/>
      <c r="N51" s="347"/>
      <c r="O51" s="350">
        <f t="shared" ref="O51:AL51" si="40">8%*SUM(O46:O50)*2/12</f>
        <v>20.437189659863947</v>
      </c>
      <c r="P51" s="350">
        <f t="shared" si="40"/>
        <v>20.437189659863947</v>
      </c>
      <c r="Q51" s="350">
        <f t="shared" si="40"/>
        <v>20.437189659863947</v>
      </c>
      <c r="R51" s="350">
        <f t="shared" si="40"/>
        <v>19.447230476190473</v>
      </c>
      <c r="S51" s="350">
        <f t="shared" si="40"/>
        <v>19.447230476190473</v>
      </c>
      <c r="T51" s="350">
        <f t="shared" si="40"/>
        <v>19.447230476190473</v>
      </c>
      <c r="U51" s="350">
        <f t="shared" si="40"/>
        <v>19.058285866666669</v>
      </c>
      <c r="V51" s="350">
        <f t="shared" si="40"/>
        <v>19.058285866666669</v>
      </c>
      <c r="W51" s="350">
        <f t="shared" si="40"/>
        <v>19.058285866666669</v>
      </c>
      <c r="X51" s="350">
        <f t="shared" si="40"/>
        <v>19.058285866666669</v>
      </c>
      <c r="Y51" s="350">
        <f t="shared" si="40"/>
        <v>19.058285866666669</v>
      </c>
      <c r="Z51" s="351">
        <f t="shared" si="40"/>
        <v>19.058285866666669</v>
      </c>
      <c r="AA51" s="349">
        <f t="shared" si="40"/>
        <v>19.058285866666669</v>
      </c>
      <c r="AB51" s="350">
        <f t="shared" si="40"/>
        <v>19.058285866666669</v>
      </c>
      <c r="AC51" s="350">
        <f t="shared" si="40"/>
        <v>19.058285866666669</v>
      </c>
      <c r="AD51" s="350">
        <f t="shared" si="40"/>
        <v>20.083875999728001</v>
      </c>
      <c r="AE51" s="350">
        <f t="shared" si="40"/>
        <v>20.083875999728001</v>
      </c>
      <c r="AF51" s="350">
        <f t="shared" si="40"/>
        <v>20.083875999728001</v>
      </c>
      <c r="AG51" s="350">
        <f t="shared" si="40"/>
        <v>19.058285866666669</v>
      </c>
      <c r="AH51" s="350">
        <f t="shared" si="40"/>
        <v>19.058285866666669</v>
      </c>
      <c r="AI51" s="350">
        <f t="shared" si="40"/>
        <v>19.058285866666669</v>
      </c>
      <c r="AJ51" s="350">
        <f t="shared" si="40"/>
        <v>19.058285866666669</v>
      </c>
      <c r="AK51" s="350">
        <f t="shared" si="40"/>
        <v>19.058285866666669</v>
      </c>
      <c r="AL51" s="351">
        <f t="shared" si="40"/>
        <v>19.058285866666669</v>
      </c>
      <c r="AM51" s="349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1"/>
    </row>
    <row r="52" spans="1:50" s="345" customFormat="1" outlineLevel="1" x14ac:dyDescent="0.35">
      <c r="A52" s="345" t="s">
        <v>64</v>
      </c>
      <c r="B52" s="345" t="s">
        <v>24</v>
      </c>
      <c r="F52" s="346" t="s">
        <v>368</v>
      </c>
      <c r="G52" s="347"/>
      <c r="H52" s="347" t="s">
        <v>41</v>
      </c>
      <c r="I52" s="347" t="s">
        <v>53</v>
      </c>
      <c r="J52" s="367"/>
      <c r="K52" s="348"/>
      <c r="L52" s="347"/>
      <c r="M52" s="347"/>
      <c r="N52" s="347"/>
      <c r="O52" s="350">
        <v>-50</v>
      </c>
      <c r="P52" s="350">
        <v>-50</v>
      </c>
      <c r="Q52" s="350">
        <v>-50</v>
      </c>
      <c r="R52" s="350">
        <v>-50</v>
      </c>
      <c r="S52" s="350">
        <v>-50</v>
      </c>
      <c r="T52" s="350">
        <v>-50</v>
      </c>
      <c r="U52" s="350">
        <v>-20</v>
      </c>
      <c r="V52" s="350">
        <v>-20</v>
      </c>
      <c r="W52" s="350">
        <v>-20</v>
      </c>
      <c r="X52" s="350">
        <v>-20</v>
      </c>
      <c r="Y52" s="350">
        <v>-20</v>
      </c>
      <c r="Z52" s="351">
        <v>-20</v>
      </c>
      <c r="AA52" s="349">
        <v>-50</v>
      </c>
      <c r="AB52" s="350">
        <v>-50</v>
      </c>
      <c r="AC52" s="350">
        <v>-50</v>
      </c>
      <c r="AD52" s="350">
        <v>-180</v>
      </c>
      <c r="AE52" s="350">
        <v>-180</v>
      </c>
      <c r="AF52" s="350">
        <v>-180</v>
      </c>
      <c r="AG52" s="350">
        <v>-70</v>
      </c>
      <c r="AH52" s="350">
        <v>-70</v>
      </c>
      <c r="AI52" s="350">
        <v>-70</v>
      </c>
      <c r="AJ52" s="350">
        <v>-70</v>
      </c>
      <c r="AK52" s="350">
        <v>-70</v>
      </c>
      <c r="AL52" s="351">
        <v>-70</v>
      </c>
      <c r="AM52" s="349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  <c r="AX52" s="351"/>
    </row>
    <row r="53" spans="1:50" s="237" customFormat="1" x14ac:dyDescent="0.35">
      <c r="A53" s="237" t="s">
        <v>64</v>
      </c>
      <c r="B53" s="237" t="s">
        <v>24</v>
      </c>
      <c r="F53" s="247"/>
      <c r="G53" s="238"/>
      <c r="H53" s="238"/>
      <c r="I53" s="238"/>
      <c r="J53" s="375" t="s">
        <v>60</v>
      </c>
      <c r="K53" s="239"/>
      <c r="L53" s="238"/>
      <c r="M53" s="238"/>
      <c r="N53" s="238"/>
      <c r="O53" s="241">
        <v>24500</v>
      </c>
      <c r="P53" s="241">
        <v>24500</v>
      </c>
      <c r="Q53" s="241">
        <v>24500</v>
      </c>
      <c r="R53" s="241">
        <v>24500</v>
      </c>
      <c r="S53" s="241">
        <v>24500</v>
      </c>
      <c r="T53" s="241">
        <v>24500</v>
      </c>
      <c r="U53" s="241">
        <v>25000</v>
      </c>
      <c r="V53" s="241">
        <v>25000</v>
      </c>
      <c r="W53" s="241">
        <v>25000</v>
      </c>
      <c r="X53" s="241">
        <v>25000</v>
      </c>
      <c r="Y53" s="241">
        <v>25000</v>
      </c>
      <c r="Z53" s="242">
        <v>25000</v>
      </c>
      <c r="AA53" s="240">
        <v>25000</v>
      </c>
      <c r="AB53" s="241">
        <v>25000</v>
      </c>
      <c r="AC53" s="241">
        <v>25000</v>
      </c>
      <c r="AD53" s="241">
        <v>25000</v>
      </c>
      <c r="AE53" s="241">
        <v>25000</v>
      </c>
      <c r="AF53" s="241">
        <v>25000</v>
      </c>
      <c r="AG53" s="241">
        <v>25000</v>
      </c>
      <c r="AH53" s="241">
        <v>25000</v>
      </c>
      <c r="AI53" s="241">
        <v>25000</v>
      </c>
      <c r="AJ53" s="241">
        <v>25000</v>
      </c>
      <c r="AK53" s="241">
        <v>25000</v>
      </c>
      <c r="AL53" s="242">
        <v>25000</v>
      </c>
      <c r="AM53" s="240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2"/>
    </row>
    <row r="54" spans="1:50" s="237" customFormat="1" x14ac:dyDescent="0.35">
      <c r="A54" s="237" t="s">
        <v>64</v>
      </c>
      <c r="B54" s="237" t="s">
        <v>24</v>
      </c>
      <c r="F54" s="247"/>
      <c r="G54" s="238"/>
      <c r="H54" s="238"/>
      <c r="I54" s="238"/>
      <c r="J54" s="375" t="s">
        <v>61</v>
      </c>
      <c r="K54" s="239"/>
      <c r="L54" s="238"/>
      <c r="M54" s="238"/>
      <c r="N54" s="238"/>
      <c r="O54" s="244">
        <v>0.2127</v>
      </c>
      <c r="P54" s="244">
        <v>0.2127</v>
      </c>
      <c r="Q54" s="244">
        <v>0.2127</v>
      </c>
      <c r="R54" s="244">
        <v>0.2127</v>
      </c>
      <c r="S54" s="244">
        <v>0.2127</v>
      </c>
      <c r="T54" s="244">
        <v>0.2127</v>
      </c>
      <c r="U54" s="244">
        <v>0.2127</v>
      </c>
      <c r="V54" s="244">
        <v>0.2127</v>
      </c>
      <c r="W54" s="244">
        <v>0.2127</v>
      </c>
      <c r="X54" s="244">
        <v>0.2127</v>
      </c>
      <c r="Y54" s="244">
        <v>0.2127</v>
      </c>
      <c r="Z54" s="245">
        <v>0.2127</v>
      </c>
      <c r="AA54" s="243">
        <v>0.2127</v>
      </c>
      <c r="AB54" s="244">
        <v>0.2127</v>
      </c>
      <c r="AC54" s="244">
        <v>0.2127</v>
      </c>
      <c r="AD54" s="244">
        <v>0.2127</v>
      </c>
      <c r="AE54" s="244">
        <v>0.2127</v>
      </c>
      <c r="AF54" s="244">
        <v>0.2127</v>
      </c>
      <c r="AG54" s="244">
        <v>0.2127</v>
      </c>
      <c r="AH54" s="244">
        <v>0.2127</v>
      </c>
      <c r="AI54" s="244">
        <v>0.2127</v>
      </c>
      <c r="AJ54" s="244">
        <v>0.2127</v>
      </c>
      <c r="AK54" s="244">
        <v>0.2127</v>
      </c>
      <c r="AL54" s="245">
        <v>0.2127</v>
      </c>
      <c r="AM54" s="243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5"/>
    </row>
    <row r="55" spans="1:50" s="94" customFormat="1" outlineLevel="1" x14ac:dyDescent="0.35">
      <c r="A55" s="94" t="s">
        <v>64</v>
      </c>
      <c r="B55" s="94" t="s">
        <v>24</v>
      </c>
      <c r="D55" s="95" t="s">
        <v>162</v>
      </c>
      <c r="F55" s="226" t="s">
        <v>283</v>
      </c>
      <c r="G55" s="227"/>
      <c r="H55" s="227"/>
      <c r="I55" s="227" t="s">
        <v>8</v>
      </c>
      <c r="J55" s="376"/>
      <c r="K55" s="2"/>
      <c r="L55" s="227"/>
      <c r="M55" s="227"/>
      <c r="N55" s="227"/>
      <c r="O55" s="229">
        <f>O45-O49</f>
        <v>1487.795918367347</v>
      </c>
      <c r="P55" s="229">
        <f t="shared" ref="P55:AL55" si="41">P45-P49</f>
        <v>1487.795918367347</v>
      </c>
      <c r="Q55" s="229">
        <f t="shared" si="41"/>
        <v>1487.795918367347</v>
      </c>
      <c r="R55" s="229">
        <f t="shared" si="41"/>
        <v>1417.795918367347</v>
      </c>
      <c r="S55" s="229">
        <f t="shared" si="41"/>
        <v>1417.795918367347</v>
      </c>
      <c r="T55" s="229">
        <f t="shared" si="41"/>
        <v>1417.795918367347</v>
      </c>
      <c r="U55" s="229">
        <f t="shared" si="41"/>
        <v>1418.04</v>
      </c>
      <c r="V55" s="229">
        <f t="shared" si="41"/>
        <v>1418.04</v>
      </c>
      <c r="W55" s="229">
        <f t="shared" si="41"/>
        <v>1418.04</v>
      </c>
      <c r="X55" s="229">
        <f t="shared" si="41"/>
        <v>1418.04</v>
      </c>
      <c r="Y55" s="229">
        <f t="shared" si="41"/>
        <v>1418.04</v>
      </c>
      <c r="Z55" s="230">
        <f t="shared" si="41"/>
        <v>1418.04</v>
      </c>
      <c r="AA55" s="229">
        <f t="shared" si="41"/>
        <v>1388.04</v>
      </c>
      <c r="AB55" s="229">
        <f t="shared" si="41"/>
        <v>1388.04</v>
      </c>
      <c r="AC55" s="229">
        <f t="shared" si="41"/>
        <v>1388.04</v>
      </c>
      <c r="AD55" s="229">
        <f t="shared" si="41"/>
        <v>1338.04</v>
      </c>
      <c r="AE55" s="229">
        <f t="shared" si="41"/>
        <v>1338.04</v>
      </c>
      <c r="AF55" s="229">
        <f t="shared" si="41"/>
        <v>1338.04</v>
      </c>
      <c r="AG55" s="229">
        <f t="shared" si="41"/>
        <v>1368.04</v>
      </c>
      <c r="AH55" s="229">
        <f t="shared" si="41"/>
        <v>1368.04</v>
      </c>
      <c r="AI55" s="229">
        <f t="shared" si="41"/>
        <v>1368.04</v>
      </c>
      <c r="AJ55" s="229">
        <f t="shared" si="41"/>
        <v>1368.04</v>
      </c>
      <c r="AK55" s="229">
        <f t="shared" si="41"/>
        <v>1368.04</v>
      </c>
      <c r="AL55" s="230">
        <f t="shared" si="41"/>
        <v>1368.04</v>
      </c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30"/>
    </row>
    <row r="56" spans="1:50" s="188" customFormat="1" outlineLevel="1" x14ac:dyDescent="0.35">
      <c r="A56" s="188" t="s">
        <v>64</v>
      </c>
      <c r="B56" s="188" t="s">
        <v>24</v>
      </c>
      <c r="F56" s="225" t="s">
        <v>284</v>
      </c>
      <c r="G56" s="193"/>
      <c r="H56" s="193"/>
      <c r="I56" s="193"/>
      <c r="J56" s="374" t="s">
        <v>203</v>
      </c>
      <c r="K56" s="189"/>
      <c r="L56" s="202"/>
      <c r="M56" s="202"/>
      <c r="N56" s="202"/>
      <c r="O56" s="315" cm="1">
        <f t="array" ref="O56">SUMPRODUCT(General_Data*(Year=O$3)*(Month=O$4)*(Code_General_Data=$B56))</f>
        <v>1350</v>
      </c>
      <c r="P56" s="315" cm="1">
        <f t="array" ref="P56">SUMPRODUCT(General_Data*(Year=P$3)*(Month=P$4)*(Code_General_Data=$B56))</f>
        <v>1350</v>
      </c>
      <c r="Q56" s="315" cm="1">
        <f t="array" ref="Q56">SUMPRODUCT(General_Data*(Year=Q$3)*(Month=Q$4)*(Code_General_Data=$B56))</f>
        <v>1350</v>
      </c>
      <c r="R56" s="315" cm="1">
        <f t="array" ref="R56">SUMPRODUCT(General_Data*(Year=R$3)*(Month=R$4)*(Code_General_Data=$B56))</f>
        <v>1350</v>
      </c>
      <c r="S56" s="315" cm="1">
        <f t="array" ref="S56">SUMPRODUCT(General_Data*(Year=S$3)*(Month=S$4)*(Code_General_Data=$B56))</f>
        <v>1350</v>
      </c>
      <c r="T56" s="315" cm="1">
        <f t="array" ref="T56">SUMPRODUCT(General_Data*(Year=T$3)*(Month=T$4)*(Code_General_Data=$B56))</f>
        <v>1350</v>
      </c>
      <c r="U56" s="315" cm="1">
        <f t="array" ref="U56">SUMPRODUCT(General_Data*(Year=U$3)*(Month=U$4)*(Code_General_Data=$B56))</f>
        <v>1350</v>
      </c>
      <c r="V56" s="315" cm="1">
        <f t="array" ref="V56">SUMPRODUCT(General_Data*(Year=V$3)*(Month=V$4)*(Code_General_Data=$B56))</f>
        <v>1350</v>
      </c>
      <c r="W56" s="315" cm="1">
        <f t="array" ref="W56">SUMPRODUCT(General_Data*(Year=W$3)*(Month=W$4)*(Code_General_Data=$B56))</f>
        <v>1350</v>
      </c>
      <c r="X56" s="315" cm="1">
        <f t="array" ref="X56">SUMPRODUCT(General_Data*(Year=X$3)*(Month=X$4)*(Code_General_Data=$B56))</f>
        <v>1350</v>
      </c>
      <c r="Y56" s="315" cm="1">
        <f t="array" ref="Y56">SUMPRODUCT(General_Data*(Year=Y$3)*(Month=Y$4)*(Code_General_Data=$B56))</f>
        <v>1350</v>
      </c>
      <c r="Z56" s="316" cm="1">
        <f t="array" ref="Z56">SUMPRODUCT(General_Data*(Year=Z$3)*(Month=Z$4)*(Code_General_Data=$B56))</f>
        <v>1350</v>
      </c>
      <c r="AA56" s="315" cm="1">
        <f t="array" ref="AA56">SUMPRODUCT(General_Data*(Year=AA$3)*(Month=AA$4)*(Code_General_Data=$B56))</f>
        <v>1350</v>
      </c>
      <c r="AB56" s="315" cm="1">
        <f t="array" ref="AB56">SUMPRODUCT(General_Data*(Year=AB$3)*(Month=AB$4)*(Code_General_Data=$B56))</f>
        <v>1300</v>
      </c>
      <c r="AC56" s="315" cm="1">
        <f t="array" ref="AC56">SUMPRODUCT(General_Data*(Year=AC$3)*(Month=AC$4)*(Code_General_Data=$B56))</f>
        <v>1250</v>
      </c>
      <c r="AD56" s="315" cm="1">
        <f t="array" ref="AD56">SUMPRODUCT(General_Data*(Year=AD$3)*(Month=AD$4)*(Code_General_Data=$B56))</f>
        <v>1250</v>
      </c>
      <c r="AE56" s="315" cm="1">
        <f t="array" ref="AE56">SUMPRODUCT(General_Data*(Year=AE$3)*(Month=AE$4)*(Code_General_Data=$B56))</f>
        <v>1250</v>
      </c>
      <c r="AF56" s="315" cm="1">
        <f t="array" ref="AF56">SUMPRODUCT(General_Data*(Year=AF$3)*(Month=AF$4)*(Code_General_Data=$B56))</f>
        <v>1250</v>
      </c>
      <c r="AG56" s="315" cm="1">
        <f t="array" ref="AG56">SUMPRODUCT(General_Data*(Year=AG$3)*(Month=AG$4)*(Code_General_Data=$B56))</f>
        <v>1250</v>
      </c>
      <c r="AH56" s="315" cm="1">
        <f t="array" ref="AH56">SUMPRODUCT(General_Data*(Year=AH$3)*(Month=AH$4)*(Code_General_Data=$B56))</f>
        <v>1230</v>
      </c>
      <c r="AI56" s="315" cm="1">
        <f t="array" ref="AI56">SUMPRODUCT(General_Data*(Year=AI$3)*(Month=AI$4)*(Code_General_Data=$B56))</f>
        <v>1210</v>
      </c>
      <c r="AJ56" s="315" cm="1">
        <f t="array" ref="AJ56">SUMPRODUCT(General_Data*(Year=AJ$3)*(Month=AJ$4)*(Code_General_Data=$B56))</f>
        <v>1210</v>
      </c>
      <c r="AK56" s="315" cm="1">
        <f t="array" ref="AK56">SUMPRODUCT(General_Data*(Year=AK$3)*(Month=AK$4)*(Code_General_Data=$B56))</f>
        <v>1200</v>
      </c>
      <c r="AL56" s="316" cm="1">
        <f t="array" ref="AL56">SUMPRODUCT(General_Data*(Year=AL$3)*(Month=AL$4)*(Code_General_Data=$B56))</f>
        <v>1200</v>
      </c>
      <c r="AM56" s="315"/>
      <c r="AN56" s="315"/>
      <c r="AO56" s="315"/>
      <c r="AP56" s="315"/>
      <c r="AQ56" s="315"/>
      <c r="AR56" s="315"/>
      <c r="AS56" s="315"/>
      <c r="AT56" s="315"/>
      <c r="AU56" s="315"/>
      <c r="AV56" s="315"/>
      <c r="AW56" s="315"/>
      <c r="AX56" s="316"/>
    </row>
    <row r="57" spans="1:50" s="188" customFormat="1" ht="6.65" customHeight="1" x14ac:dyDescent="0.35">
      <c r="F57" s="310"/>
      <c r="G57" s="189"/>
      <c r="H57" s="189"/>
      <c r="I57" s="189"/>
      <c r="J57" s="377"/>
      <c r="K57" s="189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2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2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2"/>
    </row>
    <row r="58" spans="1:50" s="330" customFormat="1" ht="16" x14ac:dyDescent="0.35">
      <c r="A58" s="330" t="s">
        <v>64</v>
      </c>
      <c r="B58" s="330" t="s">
        <v>22</v>
      </c>
      <c r="D58" s="330" t="s">
        <v>322</v>
      </c>
      <c r="F58" s="331">
        <v>3.3</v>
      </c>
      <c r="G58" s="332"/>
      <c r="H58" s="332" t="s">
        <v>245</v>
      </c>
      <c r="I58" s="332"/>
      <c r="J58" s="366"/>
      <c r="L58" s="332"/>
      <c r="M58" s="332"/>
      <c r="N58" s="332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2"/>
      <c r="AA58" s="333">
        <f>AA59</f>
        <v>1400</v>
      </c>
      <c r="AB58" s="334">
        <f t="shared" ref="AB58:AL58" si="42">AB59</f>
        <v>1400</v>
      </c>
      <c r="AC58" s="334">
        <f t="shared" si="42"/>
        <v>1400</v>
      </c>
      <c r="AD58" s="334">
        <f t="shared" si="42"/>
        <v>1350</v>
      </c>
      <c r="AE58" s="334">
        <f t="shared" si="42"/>
        <v>1350</v>
      </c>
      <c r="AF58" s="334">
        <f t="shared" si="42"/>
        <v>1350</v>
      </c>
      <c r="AG58" s="334">
        <f t="shared" si="42"/>
        <v>1380</v>
      </c>
      <c r="AH58" s="334">
        <f t="shared" si="42"/>
        <v>1380</v>
      </c>
      <c r="AI58" s="334">
        <f t="shared" si="42"/>
        <v>1380</v>
      </c>
      <c r="AJ58" s="334">
        <f t="shared" si="42"/>
        <v>1380</v>
      </c>
      <c r="AK58" s="334">
        <f t="shared" si="42"/>
        <v>1380</v>
      </c>
      <c r="AL58" s="335">
        <f t="shared" si="42"/>
        <v>1380</v>
      </c>
      <c r="AM58" s="333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5"/>
    </row>
    <row r="59" spans="1:50" s="345" customFormat="1" outlineLevel="1" x14ac:dyDescent="0.35">
      <c r="A59" s="345" t="s">
        <v>64</v>
      </c>
      <c r="B59" s="345" t="s">
        <v>22</v>
      </c>
      <c r="F59" s="346" t="s">
        <v>369</v>
      </c>
      <c r="G59" s="347"/>
      <c r="H59" s="347" t="s">
        <v>41</v>
      </c>
      <c r="I59" s="347" t="s">
        <v>246</v>
      </c>
      <c r="J59" s="367"/>
      <c r="K59" s="348"/>
      <c r="L59" s="347"/>
      <c r="M59" s="347"/>
      <c r="N59" s="347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3"/>
      <c r="AA59" s="349">
        <f t="shared" ref="AA59:AL59" si="43">AA45</f>
        <v>1400</v>
      </c>
      <c r="AB59" s="350">
        <f t="shared" si="43"/>
        <v>1400</v>
      </c>
      <c r="AC59" s="350">
        <f t="shared" si="43"/>
        <v>1400</v>
      </c>
      <c r="AD59" s="350">
        <f t="shared" si="43"/>
        <v>1350</v>
      </c>
      <c r="AE59" s="350">
        <f t="shared" si="43"/>
        <v>1350</v>
      </c>
      <c r="AF59" s="350">
        <f t="shared" si="43"/>
        <v>1350</v>
      </c>
      <c r="AG59" s="350">
        <f t="shared" si="43"/>
        <v>1380</v>
      </c>
      <c r="AH59" s="350">
        <f t="shared" si="43"/>
        <v>1380</v>
      </c>
      <c r="AI59" s="350">
        <f t="shared" si="43"/>
        <v>1380</v>
      </c>
      <c r="AJ59" s="350">
        <f t="shared" si="43"/>
        <v>1380</v>
      </c>
      <c r="AK59" s="350">
        <f t="shared" si="43"/>
        <v>1380</v>
      </c>
      <c r="AL59" s="351">
        <f t="shared" si="43"/>
        <v>1380</v>
      </c>
      <c r="AM59" s="349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1"/>
    </row>
    <row r="60" spans="1:50" s="94" customFormat="1" outlineLevel="1" x14ac:dyDescent="0.35">
      <c r="A60" s="94" t="s">
        <v>64</v>
      </c>
      <c r="B60" s="94" t="s">
        <v>22</v>
      </c>
      <c r="D60" s="95" t="s">
        <v>162</v>
      </c>
      <c r="F60" s="226" t="s">
        <v>370</v>
      </c>
      <c r="G60" s="227"/>
      <c r="H60" s="227"/>
      <c r="I60" s="227" t="s">
        <v>8</v>
      </c>
      <c r="J60" s="376"/>
      <c r="K60" s="2"/>
      <c r="L60" s="227"/>
      <c r="M60" s="227"/>
      <c r="N60" s="227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30"/>
      <c r="AA60" s="229">
        <f t="shared" ref="AA60:AL60" si="44">AA55</f>
        <v>1388.04</v>
      </c>
      <c r="AB60" s="229">
        <f t="shared" si="44"/>
        <v>1388.04</v>
      </c>
      <c r="AC60" s="229">
        <f t="shared" si="44"/>
        <v>1388.04</v>
      </c>
      <c r="AD60" s="229">
        <f t="shared" si="44"/>
        <v>1338.04</v>
      </c>
      <c r="AE60" s="229">
        <f t="shared" si="44"/>
        <v>1338.04</v>
      </c>
      <c r="AF60" s="229">
        <f t="shared" si="44"/>
        <v>1338.04</v>
      </c>
      <c r="AG60" s="229">
        <f t="shared" si="44"/>
        <v>1368.04</v>
      </c>
      <c r="AH60" s="229">
        <f t="shared" si="44"/>
        <v>1368.04</v>
      </c>
      <c r="AI60" s="229">
        <f t="shared" si="44"/>
        <v>1368.04</v>
      </c>
      <c r="AJ60" s="229">
        <f t="shared" si="44"/>
        <v>1368.04</v>
      </c>
      <c r="AK60" s="229">
        <f t="shared" si="44"/>
        <v>1368.04</v>
      </c>
      <c r="AL60" s="230">
        <f t="shared" si="44"/>
        <v>1368.04</v>
      </c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30"/>
    </row>
    <row r="61" spans="1:50" s="188" customFormat="1" outlineLevel="1" x14ac:dyDescent="0.35">
      <c r="A61" s="188" t="s">
        <v>64</v>
      </c>
      <c r="B61" s="188" t="s">
        <v>22</v>
      </c>
      <c r="F61" s="225" t="s">
        <v>371</v>
      </c>
      <c r="G61" s="193"/>
      <c r="H61" s="193"/>
      <c r="I61" s="193"/>
      <c r="J61" s="374" t="s">
        <v>203</v>
      </c>
      <c r="K61" s="189"/>
      <c r="L61" s="202"/>
      <c r="M61" s="202"/>
      <c r="N61" s="202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8"/>
      <c r="AA61" s="315" cm="1">
        <f t="array" ref="AA61">SUMPRODUCT(General_Data*(Year=AA$3)*(Month=AA$4)*(Code_General_Data=$B61))</f>
        <v>1400</v>
      </c>
      <c r="AB61" s="315" cm="1">
        <f t="array" ref="AB61">SUMPRODUCT(General_Data*(Year=AB$3)*(Month=AB$4)*(Code_General_Data=$B61))</f>
        <v>1400</v>
      </c>
      <c r="AC61" s="315" cm="1">
        <f t="array" ref="AC61">SUMPRODUCT(General_Data*(Year=AC$3)*(Month=AC$4)*(Code_General_Data=$B61))</f>
        <v>1350</v>
      </c>
      <c r="AD61" s="315" cm="1">
        <f t="array" ref="AD61">SUMPRODUCT(General_Data*(Year=AD$3)*(Month=AD$4)*(Code_General_Data=$B61))</f>
        <v>1350</v>
      </c>
      <c r="AE61" s="315" cm="1">
        <f t="array" ref="AE61">SUMPRODUCT(General_Data*(Year=AE$3)*(Month=AE$4)*(Code_General_Data=$B61))</f>
        <v>1350</v>
      </c>
      <c r="AF61" s="315" cm="1">
        <f t="array" ref="AF61">SUMPRODUCT(General_Data*(Year=AF$3)*(Month=AF$4)*(Code_General_Data=$B61))</f>
        <v>1350</v>
      </c>
      <c r="AG61" s="315" cm="1">
        <f t="array" ref="AG61">SUMPRODUCT(General_Data*(Year=AG$3)*(Month=AG$4)*(Code_General_Data=$B61))</f>
        <v>1350</v>
      </c>
      <c r="AH61" s="315" cm="1">
        <f t="array" ref="AH61">SUMPRODUCT(General_Data*(Year=AH$3)*(Month=AH$4)*(Code_General_Data=$B61))</f>
        <v>1330</v>
      </c>
      <c r="AI61" s="315" cm="1">
        <f t="array" ref="AI61">SUMPRODUCT(General_Data*(Year=AI$3)*(Month=AI$4)*(Code_General_Data=$B61))</f>
        <v>1310</v>
      </c>
      <c r="AJ61" s="315" cm="1">
        <f t="array" ref="AJ61">SUMPRODUCT(General_Data*(Year=AJ$3)*(Month=AJ$4)*(Code_General_Data=$B61))</f>
        <v>1310</v>
      </c>
      <c r="AK61" s="315" cm="1">
        <f t="array" ref="AK61">SUMPRODUCT(General_Data*(Year=AK$3)*(Month=AK$4)*(Code_General_Data=$B61))</f>
        <v>1300</v>
      </c>
      <c r="AL61" s="316" cm="1">
        <f t="array" ref="AL61">SUMPRODUCT(General_Data*(Year=AL$3)*(Month=AL$4)*(Code_General_Data=$B61))</f>
        <v>1300</v>
      </c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6"/>
    </row>
    <row r="62" spans="1:50" s="188" customFormat="1" ht="6.65" customHeight="1" x14ac:dyDescent="0.35">
      <c r="F62" s="310"/>
      <c r="G62" s="189"/>
      <c r="H62" s="189"/>
      <c r="I62" s="189"/>
      <c r="J62" s="377"/>
      <c r="K62" s="189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2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2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2"/>
    </row>
    <row r="63" spans="1:50" s="330" customFormat="1" ht="16" x14ac:dyDescent="0.35">
      <c r="A63" s="330" t="s">
        <v>64</v>
      </c>
      <c r="B63" s="330" t="s">
        <v>65</v>
      </c>
      <c r="D63" s="330" t="s">
        <v>322</v>
      </c>
      <c r="F63" s="331">
        <v>3.4</v>
      </c>
      <c r="G63" s="332"/>
      <c r="H63" s="332" t="s">
        <v>428</v>
      </c>
      <c r="I63" s="332"/>
      <c r="J63" s="366"/>
      <c r="L63" s="332"/>
      <c r="M63" s="332"/>
      <c r="N63" s="332"/>
      <c r="O63" s="334">
        <f t="shared" ref="O63:Z63" si="45">ROUND(SUM(O64:O65),-1)</f>
        <v>1450</v>
      </c>
      <c r="P63" s="334">
        <f t="shared" si="45"/>
        <v>1450</v>
      </c>
      <c r="Q63" s="334">
        <f t="shared" si="45"/>
        <v>1450</v>
      </c>
      <c r="R63" s="334">
        <f t="shared" si="45"/>
        <v>1380</v>
      </c>
      <c r="S63" s="334">
        <f t="shared" si="45"/>
        <v>1380</v>
      </c>
      <c r="T63" s="334">
        <f t="shared" si="45"/>
        <v>1380</v>
      </c>
      <c r="U63" s="334">
        <f t="shared" si="45"/>
        <v>1380</v>
      </c>
      <c r="V63" s="334">
        <f t="shared" si="45"/>
        <v>1380</v>
      </c>
      <c r="W63" s="334">
        <f t="shared" si="45"/>
        <v>1380</v>
      </c>
      <c r="X63" s="334">
        <f t="shared" si="45"/>
        <v>1380</v>
      </c>
      <c r="Y63" s="334">
        <f t="shared" si="45"/>
        <v>1380</v>
      </c>
      <c r="Z63" s="335">
        <f t="shared" si="45"/>
        <v>1380</v>
      </c>
      <c r="AA63" s="333">
        <f t="shared" ref="AA63:AL63" si="46">ROUND(SUM(AA64:AA65),-1)</f>
        <v>1350</v>
      </c>
      <c r="AB63" s="334">
        <f t="shared" si="46"/>
        <v>1350</v>
      </c>
      <c r="AC63" s="334">
        <f t="shared" si="46"/>
        <v>1350</v>
      </c>
      <c r="AD63" s="334">
        <f t="shared" si="46"/>
        <v>1300</v>
      </c>
      <c r="AE63" s="334">
        <f t="shared" si="46"/>
        <v>1300</v>
      </c>
      <c r="AF63" s="334">
        <f t="shared" si="46"/>
        <v>1300</v>
      </c>
      <c r="AG63" s="334">
        <f t="shared" si="46"/>
        <v>1330</v>
      </c>
      <c r="AH63" s="334">
        <f t="shared" si="46"/>
        <v>1330</v>
      </c>
      <c r="AI63" s="334">
        <f t="shared" si="46"/>
        <v>1330</v>
      </c>
      <c r="AJ63" s="334">
        <f t="shared" si="46"/>
        <v>1330</v>
      </c>
      <c r="AK63" s="334">
        <f t="shared" si="46"/>
        <v>1330</v>
      </c>
      <c r="AL63" s="335">
        <f t="shared" si="46"/>
        <v>1330</v>
      </c>
      <c r="AM63" s="333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5"/>
    </row>
    <row r="64" spans="1:50" s="345" customFormat="1" outlineLevel="1" x14ac:dyDescent="0.35">
      <c r="A64" s="345" t="s">
        <v>64</v>
      </c>
      <c r="B64" s="345" t="s">
        <v>65</v>
      </c>
      <c r="F64" s="346" t="s">
        <v>372</v>
      </c>
      <c r="G64" s="347"/>
      <c r="H64" s="347" t="s">
        <v>41</v>
      </c>
      <c r="I64" s="347" t="s">
        <v>254</v>
      </c>
      <c r="J64" s="367"/>
      <c r="K64" s="348"/>
      <c r="L64" s="347"/>
      <c r="M64" s="347"/>
      <c r="N64" s="347"/>
      <c r="O64" s="350">
        <f t="shared" ref="O64:Z64" si="47">O45</f>
        <v>1500</v>
      </c>
      <c r="P64" s="350">
        <f t="shared" si="47"/>
        <v>1500</v>
      </c>
      <c r="Q64" s="350">
        <f t="shared" si="47"/>
        <v>1500</v>
      </c>
      <c r="R64" s="350">
        <f t="shared" si="47"/>
        <v>1430</v>
      </c>
      <c r="S64" s="350">
        <f t="shared" si="47"/>
        <v>1430</v>
      </c>
      <c r="T64" s="350">
        <f t="shared" si="47"/>
        <v>1430</v>
      </c>
      <c r="U64" s="350">
        <f t="shared" si="47"/>
        <v>1430</v>
      </c>
      <c r="V64" s="350">
        <f t="shared" si="47"/>
        <v>1430</v>
      </c>
      <c r="W64" s="350">
        <f t="shared" si="47"/>
        <v>1430</v>
      </c>
      <c r="X64" s="350">
        <f t="shared" si="47"/>
        <v>1430</v>
      </c>
      <c r="Y64" s="350">
        <f t="shared" si="47"/>
        <v>1430</v>
      </c>
      <c r="Z64" s="351">
        <f t="shared" si="47"/>
        <v>1430</v>
      </c>
      <c r="AA64" s="349">
        <f t="shared" ref="AA64:AL64" si="48">AA58</f>
        <v>1400</v>
      </c>
      <c r="AB64" s="350">
        <f t="shared" si="48"/>
        <v>1400</v>
      </c>
      <c r="AC64" s="350">
        <f t="shared" si="48"/>
        <v>1400</v>
      </c>
      <c r="AD64" s="350">
        <f t="shared" si="48"/>
        <v>1350</v>
      </c>
      <c r="AE64" s="350">
        <f t="shared" si="48"/>
        <v>1350</v>
      </c>
      <c r="AF64" s="350">
        <f t="shared" si="48"/>
        <v>1350</v>
      </c>
      <c r="AG64" s="350">
        <f t="shared" si="48"/>
        <v>1380</v>
      </c>
      <c r="AH64" s="350">
        <f t="shared" si="48"/>
        <v>1380</v>
      </c>
      <c r="AI64" s="350">
        <f t="shared" si="48"/>
        <v>1380</v>
      </c>
      <c r="AJ64" s="350">
        <f t="shared" si="48"/>
        <v>1380</v>
      </c>
      <c r="AK64" s="350">
        <f t="shared" si="48"/>
        <v>1380</v>
      </c>
      <c r="AL64" s="351">
        <f t="shared" si="48"/>
        <v>1380</v>
      </c>
      <c r="AM64" s="349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1"/>
    </row>
    <row r="65" spans="1:50" s="345" customFormat="1" outlineLevel="1" x14ac:dyDescent="0.35">
      <c r="A65" s="345" t="s">
        <v>64</v>
      </c>
      <c r="B65" s="345" t="s">
        <v>65</v>
      </c>
      <c r="F65" s="346" t="s">
        <v>373</v>
      </c>
      <c r="G65" s="347"/>
      <c r="H65" s="347" t="s">
        <v>41</v>
      </c>
      <c r="I65" s="347" t="s">
        <v>53</v>
      </c>
      <c r="J65" s="367"/>
      <c r="K65" s="348"/>
      <c r="L65" s="347"/>
      <c r="M65" s="347"/>
      <c r="N65" s="347"/>
      <c r="O65" s="350">
        <v>-50</v>
      </c>
      <c r="P65" s="350">
        <v>-50</v>
      </c>
      <c r="Q65" s="350">
        <v>-50</v>
      </c>
      <c r="R65" s="350">
        <v>-50</v>
      </c>
      <c r="S65" s="350">
        <v>-50</v>
      </c>
      <c r="T65" s="350">
        <v>-50</v>
      </c>
      <c r="U65" s="350">
        <v>-50</v>
      </c>
      <c r="V65" s="350">
        <v>-50</v>
      </c>
      <c r="W65" s="350">
        <v>-50</v>
      </c>
      <c r="X65" s="350">
        <v>-50</v>
      </c>
      <c r="Y65" s="350">
        <v>-50</v>
      </c>
      <c r="Z65" s="351">
        <v>-50</v>
      </c>
      <c r="AA65" s="349">
        <v>-50</v>
      </c>
      <c r="AB65" s="350">
        <v>-50</v>
      </c>
      <c r="AC65" s="350">
        <v>-50</v>
      </c>
      <c r="AD65" s="350">
        <v>-50</v>
      </c>
      <c r="AE65" s="350">
        <v>-50</v>
      </c>
      <c r="AF65" s="350">
        <v>-50</v>
      </c>
      <c r="AG65" s="350">
        <v>-50</v>
      </c>
      <c r="AH65" s="350">
        <v>-50</v>
      </c>
      <c r="AI65" s="350">
        <v>-50</v>
      </c>
      <c r="AJ65" s="350">
        <v>-50</v>
      </c>
      <c r="AK65" s="350">
        <v>-50</v>
      </c>
      <c r="AL65" s="351">
        <v>-50</v>
      </c>
      <c r="AM65" s="349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1"/>
    </row>
    <row r="66" spans="1:50" s="94" customFormat="1" outlineLevel="1" x14ac:dyDescent="0.35">
      <c r="A66" s="94" t="s">
        <v>64</v>
      </c>
      <c r="B66" s="94" t="s">
        <v>65</v>
      </c>
      <c r="D66" s="95" t="s">
        <v>162</v>
      </c>
      <c r="F66" s="226" t="s">
        <v>374</v>
      </c>
      <c r="G66" s="227"/>
      <c r="H66" s="227"/>
      <c r="I66" s="227" t="s">
        <v>8</v>
      </c>
      <c r="J66" s="376"/>
      <c r="K66" s="2"/>
      <c r="L66" s="227"/>
      <c r="M66" s="227"/>
      <c r="N66" s="227"/>
      <c r="O66" s="229">
        <f t="shared" ref="O66:AL66" si="49">O63-O49</f>
        <v>1437.795918367347</v>
      </c>
      <c r="P66" s="229">
        <f t="shared" si="49"/>
        <v>1437.795918367347</v>
      </c>
      <c r="Q66" s="229">
        <f t="shared" si="49"/>
        <v>1437.795918367347</v>
      </c>
      <c r="R66" s="229">
        <f t="shared" si="49"/>
        <v>1367.795918367347</v>
      </c>
      <c r="S66" s="229">
        <f t="shared" si="49"/>
        <v>1367.795918367347</v>
      </c>
      <c r="T66" s="229">
        <f t="shared" si="49"/>
        <v>1367.795918367347</v>
      </c>
      <c r="U66" s="229">
        <f t="shared" si="49"/>
        <v>1368.04</v>
      </c>
      <c r="V66" s="229">
        <f t="shared" si="49"/>
        <v>1368.04</v>
      </c>
      <c r="W66" s="229">
        <f t="shared" si="49"/>
        <v>1368.04</v>
      </c>
      <c r="X66" s="229">
        <f t="shared" si="49"/>
        <v>1368.04</v>
      </c>
      <c r="Y66" s="229">
        <f t="shared" si="49"/>
        <v>1368.04</v>
      </c>
      <c r="Z66" s="230">
        <f t="shared" si="49"/>
        <v>1368.04</v>
      </c>
      <c r="AA66" s="229">
        <f t="shared" si="49"/>
        <v>1338.04</v>
      </c>
      <c r="AB66" s="229">
        <f t="shared" si="49"/>
        <v>1338.04</v>
      </c>
      <c r="AC66" s="229">
        <f t="shared" si="49"/>
        <v>1338.04</v>
      </c>
      <c r="AD66" s="229">
        <f t="shared" si="49"/>
        <v>1288.04</v>
      </c>
      <c r="AE66" s="229">
        <f t="shared" si="49"/>
        <v>1288.04</v>
      </c>
      <c r="AF66" s="229">
        <f t="shared" si="49"/>
        <v>1288.04</v>
      </c>
      <c r="AG66" s="229">
        <f t="shared" si="49"/>
        <v>1318.04</v>
      </c>
      <c r="AH66" s="229">
        <f t="shared" si="49"/>
        <v>1318.04</v>
      </c>
      <c r="AI66" s="229">
        <f t="shared" si="49"/>
        <v>1318.04</v>
      </c>
      <c r="AJ66" s="229">
        <f t="shared" si="49"/>
        <v>1318.04</v>
      </c>
      <c r="AK66" s="229">
        <f t="shared" si="49"/>
        <v>1318.04</v>
      </c>
      <c r="AL66" s="230">
        <f t="shared" si="49"/>
        <v>1318.04</v>
      </c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30"/>
    </row>
    <row r="67" spans="1:50" s="188" customFormat="1" outlineLevel="1" x14ac:dyDescent="0.35">
      <c r="A67" s="188" t="s">
        <v>64</v>
      </c>
      <c r="B67" s="188" t="s">
        <v>65</v>
      </c>
      <c r="F67" s="225" t="s">
        <v>375</v>
      </c>
      <c r="G67" s="193"/>
      <c r="H67" s="193"/>
      <c r="I67" s="193"/>
      <c r="J67" s="374" t="s">
        <v>203</v>
      </c>
      <c r="K67" s="189"/>
      <c r="L67" s="202"/>
      <c r="M67" s="202"/>
      <c r="N67" s="202"/>
      <c r="O67" s="315" cm="1">
        <f t="array" ref="O67">SUMPRODUCT(General_Data*(Year=O$3)*(Month=O$4)*(Code_General_Data=$B67))</f>
        <v>1350</v>
      </c>
      <c r="P67" s="315" cm="1">
        <f t="array" ref="P67">SUMPRODUCT(General_Data*(Year=P$3)*(Month=P$4)*(Code_General_Data=$B67))</f>
        <v>1350</v>
      </c>
      <c r="Q67" s="315" cm="1">
        <f t="array" ref="Q67">SUMPRODUCT(General_Data*(Year=Q$3)*(Month=Q$4)*(Code_General_Data=$B67))</f>
        <v>1350</v>
      </c>
      <c r="R67" s="315" cm="1">
        <f t="array" ref="R67">SUMPRODUCT(General_Data*(Year=R$3)*(Month=R$4)*(Code_General_Data=$B67))</f>
        <v>1350</v>
      </c>
      <c r="S67" s="315" cm="1">
        <f t="array" ref="S67">SUMPRODUCT(General_Data*(Year=S$3)*(Month=S$4)*(Code_General_Data=$B67))</f>
        <v>1350</v>
      </c>
      <c r="T67" s="315" cm="1">
        <f t="array" ref="T67">SUMPRODUCT(General_Data*(Year=T$3)*(Month=T$4)*(Code_General_Data=$B67))</f>
        <v>1350</v>
      </c>
      <c r="U67" s="315" cm="1">
        <f t="array" ref="U67">SUMPRODUCT(General_Data*(Year=U$3)*(Month=U$4)*(Code_General_Data=$B67))</f>
        <v>1350</v>
      </c>
      <c r="V67" s="315" cm="1">
        <f t="array" ref="V67">SUMPRODUCT(General_Data*(Year=V$3)*(Month=V$4)*(Code_General_Data=$B67))</f>
        <v>1350</v>
      </c>
      <c r="W67" s="315" cm="1">
        <f t="array" ref="W67">SUMPRODUCT(General_Data*(Year=W$3)*(Month=W$4)*(Code_General_Data=$B67))</f>
        <v>1350</v>
      </c>
      <c r="X67" s="315" cm="1">
        <f t="array" ref="X67">SUMPRODUCT(General_Data*(Year=X$3)*(Month=X$4)*(Code_General_Data=$B67))</f>
        <v>1350</v>
      </c>
      <c r="Y67" s="315" cm="1">
        <f t="array" ref="Y67">SUMPRODUCT(General_Data*(Year=Y$3)*(Month=Y$4)*(Code_General_Data=$B67))</f>
        <v>1350</v>
      </c>
      <c r="Z67" s="316" cm="1">
        <f t="array" ref="Z67">SUMPRODUCT(General_Data*(Year=Z$3)*(Month=Z$4)*(Code_General_Data=$B67))</f>
        <v>1350</v>
      </c>
      <c r="AA67" s="315" cm="1">
        <f t="array" ref="AA67">SUMPRODUCT(General_Data*(Year=AA$3)*(Month=AA$4)*(Code_General_Data=$B67))</f>
        <v>1350</v>
      </c>
      <c r="AB67" s="315" cm="1">
        <f t="array" ref="AB67">SUMPRODUCT(General_Data*(Year=AB$3)*(Month=AB$4)*(Code_General_Data=$B67))</f>
        <v>1350</v>
      </c>
      <c r="AC67" s="315" cm="1">
        <f t="array" ref="AC67">SUMPRODUCT(General_Data*(Year=AC$3)*(Month=AC$4)*(Code_General_Data=$B67))</f>
        <v>1300</v>
      </c>
      <c r="AD67" s="315" cm="1">
        <f t="array" ref="AD67">SUMPRODUCT(General_Data*(Year=AD$3)*(Month=AD$4)*(Code_General_Data=$B67))</f>
        <v>1300</v>
      </c>
      <c r="AE67" s="315" cm="1">
        <f t="array" ref="AE67">SUMPRODUCT(General_Data*(Year=AE$3)*(Month=AE$4)*(Code_General_Data=$B67))</f>
        <v>1300</v>
      </c>
      <c r="AF67" s="315" cm="1">
        <f t="array" ref="AF67">SUMPRODUCT(General_Data*(Year=AF$3)*(Month=AF$4)*(Code_General_Data=$B67))</f>
        <v>1300</v>
      </c>
      <c r="AG67" s="315" cm="1">
        <f t="array" ref="AG67">SUMPRODUCT(General_Data*(Year=AG$3)*(Month=AG$4)*(Code_General_Data=$B67))</f>
        <v>1300</v>
      </c>
      <c r="AH67" s="315" cm="1">
        <f t="array" ref="AH67">SUMPRODUCT(General_Data*(Year=AH$3)*(Month=AH$4)*(Code_General_Data=$B67))</f>
        <v>1280</v>
      </c>
      <c r="AI67" s="315" cm="1">
        <f t="array" ref="AI67">SUMPRODUCT(General_Data*(Year=AI$3)*(Month=AI$4)*(Code_General_Data=$B67))</f>
        <v>1260</v>
      </c>
      <c r="AJ67" s="315" cm="1">
        <f t="array" ref="AJ67">SUMPRODUCT(General_Data*(Year=AJ$3)*(Month=AJ$4)*(Code_General_Data=$B67))</f>
        <v>1260</v>
      </c>
      <c r="AK67" s="315" cm="1">
        <f t="array" ref="AK67">SUMPRODUCT(General_Data*(Year=AK$3)*(Month=AK$4)*(Code_General_Data=$B67))</f>
        <v>1250</v>
      </c>
      <c r="AL67" s="316" cm="1">
        <f t="array" ref="AL67">SUMPRODUCT(General_Data*(Year=AL$3)*(Month=AL$4)*(Code_General_Data=$B67))</f>
        <v>1250</v>
      </c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6"/>
    </row>
    <row r="68" spans="1:50" s="93" customFormat="1" x14ac:dyDescent="0.35">
      <c r="D68" s="92"/>
      <c r="F68" s="168"/>
      <c r="G68"/>
      <c r="H68"/>
      <c r="I68"/>
      <c r="J68" s="32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48"/>
      <c r="AA68"/>
      <c r="AB68"/>
      <c r="AC68"/>
      <c r="AD68"/>
      <c r="AE68"/>
      <c r="AF68"/>
      <c r="AG68"/>
      <c r="AH68"/>
      <c r="AI68"/>
      <c r="AJ68"/>
      <c r="AK68"/>
      <c r="AL68" s="48"/>
      <c r="AM68"/>
      <c r="AN68"/>
      <c r="AO68"/>
      <c r="AP68"/>
      <c r="AQ68"/>
      <c r="AR68"/>
      <c r="AS68"/>
      <c r="AT68"/>
      <c r="AU68"/>
      <c r="AV68"/>
      <c r="AW68"/>
      <c r="AX68" s="48"/>
    </row>
    <row r="69" spans="1:50" s="336" customFormat="1" ht="17" x14ac:dyDescent="0.35">
      <c r="A69" s="336" t="s">
        <v>40</v>
      </c>
      <c r="F69" s="337">
        <v>4</v>
      </c>
      <c r="G69" s="364" t="s">
        <v>324</v>
      </c>
      <c r="H69" s="364"/>
      <c r="I69" s="364"/>
      <c r="J69" s="365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9"/>
      <c r="AA69" s="340"/>
      <c r="AB69" s="338"/>
      <c r="AC69" s="340"/>
      <c r="AD69" s="340"/>
      <c r="AE69" s="340"/>
      <c r="AF69" s="340"/>
      <c r="AG69" s="340"/>
      <c r="AH69" s="340"/>
      <c r="AI69" s="340"/>
      <c r="AJ69" s="340"/>
      <c r="AK69" s="340"/>
      <c r="AL69" s="339"/>
      <c r="AM69" s="340"/>
      <c r="AN69" s="338"/>
      <c r="AO69" s="340"/>
      <c r="AP69" s="340"/>
      <c r="AQ69" s="340"/>
      <c r="AR69" s="340"/>
      <c r="AS69" s="340"/>
      <c r="AT69" s="340"/>
      <c r="AU69" s="340"/>
      <c r="AV69" s="340"/>
      <c r="AW69" s="340"/>
      <c r="AX69" s="339"/>
    </row>
    <row r="70" spans="1:50" s="330" customFormat="1" ht="16" x14ac:dyDescent="0.35">
      <c r="A70" s="330" t="s">
        <v>40</v>
      </c>
      <c r="B70" s="330" t="s">
        <v>29</v>
      </c>
      <c r="D70" s="330" t="s">
        <v>322</v>
      </c>
      <c r="F70" s="343">
        <v>4.0999999999999996</v>
      </c>
      <c r="G70" s="344"/>
      <c r="H70" s="344" t="s">
        <v>261</v>
      </c>
      <c r="I70" s="344"/>
      <c r="J70" s="379"/>
      <c r="L70" s="344"/>
      <c r="M70" s="344"/>
      <c r="N70" s="344"/>
      <c r="O70" s="334">
        <f>SUM(O71:O74)</f>
        <v>1366.5</v>
      </c>
      <c r="P70" s="334">
        <f t="shared" ref="P70:Z70" si="50">SUM(P71:P74)</f>
        <v>1374</v>
      </c>
      <c r="Q70" s="334">
        <f t="shared" si="50"/>
        <v>1386.5</v>
      </c>
      <c r="R70" s="334">
        <f t="shared" si="50"/>
        <v>1389</v>
      </c>
      <c r="S70" s="334">
        <f t="shared" si="50"/>
        <v>1393</v>
      </c>
      <c r="T70" s="334">
        <f t="shared" si="50"/>
        <v>1408</v>
      </c>
      <c r="U70" s="334">
        <f t="shared" si="50"/>
        <v>1424</v>
      </c>
      <c r="V70" s="334">
        <f t="shared" si="50"/>
        <v>1435</v>
      </c>
      <c r="W70" s="334">
        <f t="shared" si="50"/>
        <v>1455</v>
      </c>
      <c r="X70" s="334">
        <f t="shared" si="50"/>
        <v>1482.75</v>
      </c>
      <c r="Y70" s="334">
        <f t="shared" si="50"/>
        <v>1500.25</v>
      </c>
      <c r="Z70" s="335">
        <f t="shared" si="50"/>
        <v>1504</v>
      </c>
      <c r="AA70" s="333">
        <f t="shared" ref="AA70:AF70" si="51">MIN(MAX(SUM(AA71,AA72),AA78),AA77)+AA73+AA74</f>
        <v>1452.903125</v>
      </c>
      <c r="AB70" s="334">
        <f t="shared" si="51"/>
        <v>1415.1447916666652</v>
      </c>
      <c r="AC70" s="334">
        <f t="shared" si="51"/>
        <v>1380.0541666666652</v>
      </c>
      <c r="AD70" s="334">
        <f t="shared" si="51"/>
        <v>1380.875</v>
      </c>
      <c r="AE70" s="334">
        <f t="shared" si="51"/>
        <v>1385.8</v>
      </c>
      <c r="AF70" s="334">
        <f t="shared" si="51"/>
        <v>1385.8</v>
      </c>
      <c r="AG70" s="334">
        <f t="shared" ref="AG70:AL70" si="52">MIN(MAX(SUM(AG71,AG72),AG78),AG77)+AG73+AG74</f>
        <v>1385.8</v>
      </c>
      <c r="AH70" s="334">
        <f t="shared" si="52"/>
        <v>1368.07</v>
      </c>
      <c r="AI70" s="334">
        <f t="shared" si="52"/>
        <v>1336.5574999999999</v>
      </c>
      <c r="AJ70" s="334">
        <f t="shared" si="52"/>
        <v>1336.9775</v>
      </c>
      <c r="AK70" s="334">
        <f t="shared" si="52"/>
        <v>1337.3150000000001</v>
      </c>
      <c r="AL70" s="334">
        <f t="shared" si="52"/>
        <v>1337.496875</v>
      </c>
      <c r="AM70" s="333"/>
      <c r="AN70" s="334"/>
      <c r="AO70" s="334"/>
      <c r="AP70" s="334"/>
      <c r="AQ70" s="334"/>
      <c r="AR70" s="334"/>
      <c r="AS70" s="334"/>
      <c r="AT70" s="334"/>
      <c r="AU70" s="334"/>
      <c r="AV70" s="334"/>
      <c r="AW70" s="334"/>
      <c r="AX70" s="335"/>
    </row>
    <row r="71" spans="1:50" s="354" customFormat="1" outlineLevel="1" x14ac:dyDescent="0.35">
      <c r="A71" s="354" t="s">
        <v>40</v>
      </c>
      <c r="B71" s="354" t="s">
        <v>29</v>
      </c>
      <c r="F71" s="355" t="s">
        <v>376</v>
      </c>
      <c r="G71" s="356"/>
      <c r="H71" s="356" t="s">
        <v>41</v>
      </c>
      <c r="I71" s="356" t="s">
        <v>341</v>
      </c>
      <c r="J71" s="380"/>
      <c r="K71" s="357"/>
      <c r="L71" s="356"/>
      <c r="M71" s="356"/>
      <c r="N71" s="356"/>
      <c r="O71" s="350">
        <f>(M76+N76)/2</f>
        <v>1300</v>
      </c>
      <c r="P71" s="350">
        <f t="shared" ref="P71:Z71" si="53">(N76+O76)/2</f>
        <v>1307.5</v>
      </c>
      <c r="Q71" s="350">
        <f t="shared" si="53"/>
        <v>1320</v>
      </c>
      <c r="R71" s="350">
        <f t="shared" si="53"/>
        <v>1322.5</v>
      </c>
      <c r="S71" s="350">
        <f t="shared" si="53"/>
        <v>1326.5</v>
      </c>
      <c r="T71" s="350">
        <f t="shared" si="53"/>
        <v>1341.5</v>
      </c>
      <c r="U71" s="350">
        <f t="shared" si="53"/>
        <v>1357.5</v>
      </c>
      <c r="V71" s="350">
        <f t="shared" si="53"/>
        <v>1368.5</v>
      </c>
      <c r="W71" s="350">
        <f t="shared" si="53"/>
        <v>1388.5</v>
      </c>
      <c r="X71" s="350">
        <f t="shared" si="53"/>
        <v>1416.25</v>
      </c>
      <c r="Y71" s="350">
        <f t="shared" si="53"/>
        <v>1433.75</v>
      </c>
      <c r="Z71" s="351">
        <f t="shared" si="53"/>
        <v>1437.5</v>
      </c>
      <c r="AA71" s="349">
        <f t="shared" ref="AA71:AL71" si="54">(Y76+Z76)/2</f>
        <v>1428.125</v>
      </c>
      <c r="AB71" s="350">
        <f t="shared" si="54"/>
        <v>1389.7916666666652</v>
      </c>
      <c r="AC71" s="350">
        <f t="shared" si="54"/>
        <v>1354.1666666666652</v>
      </c>
      <c r="AD71" s="350">
        <f t="shared" si="54"/>
        <v>1355</v>
      </c>
      <c r="AE71" s="350">
        <f t="shared" si="54"/>
        <v>1360</v>
      </c>
      <c r="AF71" s="350">
        <f t="shared" si="54"/>
        <v>1360</v>
      </c>
      <c r="AG71" s="350">
        <f t="shared" si="54"/>
        <v>1360</v>
      </c>
      <c r="AH71" s="350">
        <f t="shared" si="54"/>
        <v>1342</v>
      </c>
      <c r="AI71" s="350">
        <f t="shared" si="54"/>
        <v>1309.5</v>
      </c>
      <c r="AJ71" s="350">
        <f t="shared" si="54"/>
        <v>1281.5</v>
      </c>
      <c r="AK71" s="350">
        <f t="shared" si="54"/>
        <v>1259</v>
      </c>
      <c r="AL71" s="350">
        <f t="shared" si="54"/>
        <v>1246.875</v>
      </c>
      <c r="AM71" s="349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1"/>
    </row>
    <row r="72" spans="1:50" s="354" customFormat="1" outlineLevel="1" x14ac:dyDescent="0.35">
      <c r="A72" s="354" t="s">
        <v>40</v>
      </c>
      <c r="B72" s="354" t="s">
        <v>29</v>
      </c>
      <c r="F72" s="355" t="s">
        <v>377</v>
      </c>
      <c r="G72" s="356"/>
      <c r="H72" s="356" t="s">
        <v>41</v>
      </c>
      <c r="I72" s="356" t="s">
        <v>268</v>
      </c>
      <c r="J72" s="380"/>
      <c r="K72" s="357"/>
      <c r="L72" s="356"/>
      <c r="M72" s="356"/>
      <c r="N72" s="356"/>
      <c r="O72" s="350">
        <v>50</v>
      </c>
      <c r="P72" s="350">
        <v>50</v>
      </c>
      <c r="Q72" s="350">
        <v>50</v>
      </c>
      <c r="R72" s="350">
        <v>50</v>
      </c>
      <c r="S72" s="350">
        <v>50</v>
      </c>
      <c r="T72" s="350">
        <v>50</v>
      </c>
      <c r="U72" s="350">
        <v>50</v>
      </c>
      <c r="V72" s="350">
        <v>50</v>
      </c>
      <c r="W72" s="350">
        <v>50</v>
      </c>
      <c r="X72" s="350">
        <v>50</v>
      </c>
      <c r="Y72" s="350">
        <v>50</v>
      </c>
      <c r="Z72" s="351">
        <v>50</v>
      </c>
      <c r="AA72" s="349">
        <v>20</v>
      </c>
      <c r="AB72" s="350">
        <v>20</v>
      </c>
      <c r="AC72" s="350">
        <v>20</v>
      </c>
      <c r="AD72" s="350">
        <v>20</v>
      </c>
      <c r="AE72" s="350">
        <v>20</v>
      </c>
      <c r="AF72" s="350">
        <v>20</v>
      </c>
      <c r="AG72" s="350">
        <v>20</v>
      </c>
      <c r="AH72" s="350">
        <v>20</v>
      </c>
      <c r="AI72" s="350">
        <v>20</v>
      </c>
      <c r="AJ72" s="350">
        <v>20</v>
      </c>
      <c r="AK72" s="350">
        <v>20</v>
      </c>
      <c r="AL72" s="350">
        <v>20</v>
      </c>
      <c r="AM72" s="349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1"/>
    </row>
    <row r="73" spans="1:50" s="354" customFormat="1" outlineLevel="1" x14ac:dyDescent="0.35">
      <c r="A73" s="354" t="s">
        <v>40</v>
      </c>
      <c r="B73" s="354" t="s">
        <v>29</v>
      </c>
      <c r="F73" s="355" t="s">
        <v>378</v>
      </c>
      <c r="G73" s="356"/>
      <c r="H73" s="356" t="s">
        <v>41</v>
      </c>
      <c r="I73" s="358" t="s">
        <v>340</v>
      </c>
      <c r="J73" s="380"/>
      <c r="K73" s="357"/>
      <c r="L73" s="356"/>
      <c r="M73" s="356"/>
      <c r="N73" s="356"/>
      <c r="O73" s="350">
        <f>-IF('Rebate-Suntory'!$E$14="/tấn",'Rebate-Suntory'!$D$14,IF('Rebate-Suntory'!$E$14="giá trị",'Rebate-Suntory'!$D$14*(O71+O72+O74),0))</f>
        <v>-10</v>
      </c>
      <c r="P73" s="350">
        <f>-IF('Rebate-Suntory'!$E$14="/tấn",'Rebate-Suntory'!$D$14,IF('Rebate-Suntory'!$E$14="giá trị",'Rebate-Suntory'!$D$14*(P71+P72+P74),0))</f>
        <v>-10</v>
      </c>
      <c r="Q73" s="350">
        <f>-IF('Rebate-Suntory'!$E$14="/tấn",'Rebate-Suntory'!$D$14,IF('Rebate-Suntory'!$E$14="giá trị",'Rebate-Suntory'!$D$14*(Q71+Q72+Q74),0))</f>
        <v>-10</v>
      </c>
      <c r="R73" s="350">
        <f>-IF('Rebate-Suntory'!$E$14="/tấn",'Rebate-Suntory'!$D$14,IF('Rebate-Suntory'!$E$14="giá trị",'Rebate-Suntory'!$D$14*(R71+R72+R74),0))</f>
        <v>-10</v>
      </c>
      <c r="S73" s="350">
        <f>-IF('Rebate-Suntory'!$E$14="/tấn",'Rebate-Suntory'!$D$14,IF('Rebate-Suntory'!$E$14="giá trị",'Rebate-Suntory'!$D$14*(S71+S72+S74),0))</f>
        <v>-10</v>
      </c>
      <c r="T73" s="350">
        <f>-IF('Rebate-Suntory'!$E$14="/tấn",'Rebate-Suntory'!$D$14,IF('Rebate-Suntory'!$E$14="giá trị",'Rebate-Suntory'!$D$14*(T71+T72+T74),0))</f>
        <v>-10</v>
      </c>
      <c r="U73" s="350">
        <f>-IF('Rebate-Suntory'!$E$14="/tấn",'Rebate-Suntory'!$D$14,IF('Rebate-Suntory'!$E$14="giá trị",'Rebate-Suntory'!$D$14*(U71+U72+U74),0))</f>
        <v>-10</v>
      </c>
      <c r="V73" s="350">
        <f>-IF('Rebate-Suntory'!$E$14="/tấn",'Rebate-Suntory'!$D$14,IF('Rebate-Suntory'!$E$14="giá trị",'Rebate-Suntory'!$D$14*(V71+V72+V74),0))</f>
        <v>-10</v>
      </c>
      <c r="W73" s="350">
        <f>-IF('Rebate-Suntory'!$E$14="/tấn",'Rebate-Suntory'!$D$14,IF('Rebate-Suntory'!$E$14="giá trị",'Rebate-Suntory'!$D$14*(W71+W72+W74),0))</f>
        <v>-10</v>
      </c>
      <c r="X73" s="350">
        <f>-IF('Rebate-Suntory'!$E$14="/tấn",'Rebate-Suntory'!$D$14,IF('Rebate-Suntory'!$E$14="giá trị",'Rebate-Suntory'!$D$14*(X71+X72+X74),0))</f>
        <v>-10</v>
      </c>
      <c r="Y73" s="350">
        <f>-IF('Rebate-Suntory'!$E$14="/tấn",'Rebate-Suntory'!$D$14,IF('Rebate-Suntory'!$E$14="giá trị",'Rebate-Suntory'!$D$14*(Y71+Y72+Y74),0))</f>
        <v>-10</v>
      </c>
      <c r="Z73" s="351">
        <f>-IF('Rebate-Suntory'!$E$14="/tấn",'Rebate-Suntory'!$D$14,IF('Rebate-Suntory'!$E$14="giá trị",'Rebate-Suntory'!$D$14*(Z71+Z72+Z74),0))</f>
        <v>-10</v>
      </c>
      <c r="AA73" s="349">
        <f>-IF('Rebate-Suntory'!$J$14="/tấn",'Rebate-Suntory'!$I$14,IF('Rebate-Suntory'!$J$14="giá trị",'Rebate-Suntory'!$I$14*(AA71+AA72),0))</f>
        <v>-21.721875000000001</v>
      </c>
      <c r="AB73" s="350">
        <f>-IF('Rebate-Suntory'!$J$14="/tấn",'Rebate-Suntory'!$I$14,IF('Rebate-Suntory'!$J$14="giá trị",'Rebate-Suntory'!$I$14*(AB71+AB72),0))</f>
        <v>-21.146874999999977</v>
      </c>
      <c r="AC73" s="350">
        <f>-IF('Rebate-Suntory'!$J$14="/tấn",'Rebate-Suntory'!$I$14,IF('Rebate-Suntory'!$J$14="giá trị",'Rebate-Suntory'!$I$14*(AC71+AC72),0))</f>
        <v>-20.612499999999976</v>
      </c>
      <c r="AD73" s="350">
        <f>-IF('Rebate-Suntory'!$J$14="/tấn",'Rebate-Suntory'!$I$14,IF('Rebate-Suntory'!$J$14="giá trị",'Rebate-Suntory'!$I$14*(AD71+AD72),0))</f>
        <v>-20.625</v>
      </c>
      <c r="AE73" s="350">
        <f>-IF('Rebate-Suntory'!$J$14="/tấn",'Rebate-Suntory'!$I$14,IF('Rebate-Suntory'!$J$14="giá trị",'Rebate-Suntory'!$I$14*(AE71+AE72),0))</f>
        <v>-20.7</v>
      </c>
      <c r="AF73" s="350">
        <f>-IF('Rebate-Suntory'!$J$14="/tấn",'Rebate-Suntory'!$I$14,IF('Rebate-Suntory'!$J$14="giá trị",'Rebate-Suntory'!$I$14*(AF71+AF72),0))</f>
        <v>-20.7</v>
      </c>
      <c r="AG73" s="350">
        <f>-IF('Rebate-Suntory'!$J$14="/tấn",'Rebate-Suntory'!$I$14,IF('Rebate-Suntory'!$J$14="giá trị",'Rebate-Suntory'!$I$14*(AG71+AG72),0))</f>
        <v>-20.7</v>
      </c>
      <c r="AH73" s="350">
        <f>-IF('Rebate-Suntory'!$J$14="/tấn",'Rebate-Suntory'!$I$14,IF('Rebate-Suntory'!$J$14="giá trị",'Rebate-Suntory'!$I$14*(AH71+AH72),0))</f>
        <v>-20.43</v>
      </c>
      <c r="AI73" s="350">
        <f>-IF('Rebate-Suntory'!$J$14="/tấn",'Rebate-Suntory'!$I$14,IF('Rebate-Suntory'!$J$14="giá trị",'Rebate-Suntory'!$I$14*(AI71+AI72),0))</f>
        <v>-19.942499999999999</v>
      </c>
      <c r="AJ73" s="350">
        <f>-IF('Rebate-Suntory'!$J$14="/tấn",'Rebate-Suntory'!$I$14,IF('Rebate-Suntory'!$J$14="giá trị",'Rebate-Suntory'!$I$14*(AJ71+AJ72),0))</f>
        <v>-19.522500000000001</v>
      </c>
      <c r="AK73" s="350">
        <f>-IF('Rebate-Suntory'!$J$14="/tấn",'Rebate-Suntory'!$I$14,IF('Rebate-Suntory'!$J$14="giá trị",'Rebate-Suntory'!$I$14*(AK71+AK72),0))</f>
        <v>-19.184999999999999</v>
      </c>
      <c r="AL73" s="468">
        <f>-IF('Rebate-Suntory'!$J$14="/tấn",'Rebate-Suntory'!$I$14,IF('Rebate-Suntory'!$J$14="giá trị",'Rebate-Suntory'!$I$14*(AL71+AL72),0))</f>
        <v>-19.003125000000001</v>
      </c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1"/>
    </row>
    <row r="74" spans="1:50" s="354" customFormat="1" outlineLevel="1" x14ac:dyDescent="0.35">
      <c r="A74" s="354" t="s">
        <v>40</v>
      </c>
      <c r="B74" s="354" t="s">
        <v>29</v>
      </c>
      <c r="F74" s="355" t="s">
        <v>379</v>
      </c>
      <c r="G74" s="356"/>
      <c r="H74" s="356" t="s">
        <v>41</v>
      </c>
      <c r="I74" s="356" t="s">
        <v>42</v>
      </c>
      <c r="J74" s="380"/>
      <c r="K74" s="357"/>
      <c r="L74" s="356"/>
      <c r="M74" s="356"/>
      <c r="N74" s="356"/>
      <c r="O74" s="350">
        <v>26.5</v>
      </c>
      <c r="P74" s="350">
        <v>26.5</v>
      </c>
      <c r="Q74" s="350">
        <v>26.5</v>
      </c>
      <c r="R74" s="350">
        <v>26.5</v>
      </c>
      <c r="S74" s="350">
        <v>26.5</v>
      </c>
      <c r="T74" s="350">
        <v>26.5</v>
      </c>
      <c r="U74" s="350">
        <v>26.5</v>
      </c>
      <c r="V74" s="350">
        <v>26.5</v>
      </c>
      <c r="W74" s="350">
        <v>26.5</v>
      </c>
      <c r="X74" s="350">
        <v>26.5</v>
      </c>
      <c r="Y74" s="350">
        <v>26.5</v>
      </c>
      <c r="Z74" s="351">
        <v>26.5</v>
      </c>
      <c r="AA74" s="349">
        <v>26.5</v>
      </c>
      <c r="AB74" s="350">
        <v>26.5</v>
      </c>
      <c r="AC74" s="350">
        <v>26.5</v>
      </c>
      <c r="AD74" s="359">
        <v>26.5</v>
      </c>
      <c r="AE74" s="359">
        <v>26.5</v>
      </c>
      <c r="AF74" s="359">
        <v>26.5</v>
      </c>
      <c r="AG74" s="359">
        <v>26.5</v>
      </c>
      <c r="AH74" s="359">
        <v>26.5</v>
      </c>
      <c r="AI74" s="359">
        <v>26.5</v>
      </c>
      <c r="AJ74" s="359">
        <v>26.5</v>
      </c>
      <c r="AK74" s="359">
        <v>26.5</v>
      </c>
      <c r="AL74" s="469">
        <v>26.5</v>
      </c>
      <c r="AM74" s="350"/>
      <c r="AN74" s="350"/>
      <c r="AO74" s="350"/>
      <c r="AP74" s="359"/>
      <c r="AQ74" s="359"/>
      <c r="AR74" s="359"/>
      <c r="AS74" s="359"/>
      <c r="AT74" s="359"/>
      <c r="AU74" s="359"/>
      <c r="AV74" s="359"/>
      <c r="AW74" s="359"/>
      <c r="AX74" s="360"/>
    </row>
    <row r="75" spans="1:50" s="94" customFormat="1" outlineLevel="1" x14ac:dyDescent="0.35">
      <c r="A75" s="94" t="s">
        <v>40</v>
      </c>
      <c r="B75" s="94" t="s">
        <v>29</v>
      </c>
      <c r="D75" s="95" t="s">
        <v>162</v>
      </c>
      <c r="F75" s="278" t="s">
        <v>306</v>
      </c>
      <c r="G75" s="279"/>
      <c r="H75" s="279"/>
      <c r="I75" s="279" t="s">
        <v>8</v>
      </c>
      <c r="J75" s="381"/>
      <c r="K75" s="2"/>
      <c r="L75" s="279"/>
      <c r="M75" s="279"/>
      <c r="N75" s="279"/>
      <c r="O75" s="229">
        <f>O70-O74</f>
        <v>1340</v>
      </c>
      <c r="P75" s="229">
        <f t="shared" ref="P75:AB75" si="55">P70-P74</f>
        <v>1347.5</v>
      </c>
      <c r="Q75" s="229">
        <f t="shared" si="55"/>
        <v>1360</v>
      </c>
      <c r="R75" s="229">
        <f t="shared" si="55"/>
        <v>1362.5</v>
      </c>
      <c r="S75" s="229">
        <f t="shared" si="55"/>
        <v>1366.5</v>
      </c>
      <c r="T75" s="229">
        <f t="shared" si="55"/>
        <v>1381.5</v>
      </c>
      <c r="U75" s="229">
        <f t="shared" si="55"/>
        <v>1397.5</v>
      </c>
      <c r="V75" s="229">
        <f t="shared" si="55"/>
        <v>1408.5</v>
      </c>
      <c r="W75" s="229">
        <f t="shared" si="55"/>
        <v>1428.5</v>
      </c>
      <c r="X75" s="229">
        <f t="shared" si="55"/>
        <v>1456.25</v>
      </c>
      <c r="Y75" s="229">
        <f t="shared" si="55"/>
        <v>1473.75</v>
      </c>
      <c r="Z75" s="230">
        <f t="shared" si="55"/>
        <v>1477.5</v>
      </c>
      <c r="AA75" s="229">
        <f>AA70-AA74</f>
        <v>1426.403125</v>
      </c>
      <c r="AB75" s="229">
        <f t="shared" si="55"/>
        <v>1388.6447916666652</v>
      </c>
      <c r="AC75" s="229">
        <f t="shared" ref="AC75:AH75" si="56">AC70-AC74</f>
        <v>1353.5541666666652</v>
      </c>
      <c r="AD75" s="229">
        <f t="shared" si="56"/>
        <v>1354.375</v>
      </c>
      <c r="AE75" s="229">
        <f t="shared" si="56"/>
        <v>1359.3</v>
      </c>
      <c r="AF75" s="229">
        <f t="shared" si="56"/>
        <v>1359.3</v>
      </c>
      <c r="AG75" s="229">
        <f t="shared" si="56"/>
        <v>1359.3</v>
      </c>
      <c r="AH75" s="229">
        <f t="shared" si="56"/>
        <v>1341.57</v>
      </c>
      <c r="AI75" s="229">
        <f t="shared" ref="AI75:AJ75" si="57">AI70-AI74</f>
        <v>1310.0574999999999</v>
      </c>
      <c r="AJ75" s="229">
        <f t="shared" si="57"/>
        <v>1310.4775</v>
      </c>
      <c r="AK75" s="229">
        <f t="shared" ref="AK75:AL75" si="58">AK70-AK74</f>
        <v>1310.8150000000001</v>
      </c>
      <c r="AL75" s="470">
        <f t="shared" si="58"/>
        <v>1310.996875</v>
      </c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30"/>
    </row>
    <row r="76" spans="1:50" s="186" customFormat="1" x14ac:dyDescent="0.35">
      <c r="A76" s="186" t="s">
        <v>40</v>
      </c>
      <c r="B76" s="186" t="s">
        <v>29</v>
      </c>
      <c r="C76" s="186" t="s">
        <v>44</v>
      </c>
      <c r="F76" s="280"/>
      <c r="G76" s="281"/>
      <c r="H76" s="281"/>
      <c r="I76" s="281"/>
      <c r="J76" s="382" t="s">
        <v>75</v>
      </c>
      <c r="K76" s="187"/>
      <c r="L76" s="291" cm="1">
        <f t="array" ref="L76">SUMPRODUCT(General_Data*(Year=L$3)*(Month=L$4)*(Code_General_Data=$C76))</f>
        <v>1288.125</v>
      </c>
      <c r="M76" s="291" cm="1">
        <f t="array" ref="M76">SUMPRODUCT(General_Data*(Year=M$3)*(Month=M$4)*(Code_General_Data=$C76))</f>
        <v>1300</v>
      </c>
      <c r="N76" s="291" cm="1">
        <f t="array" ref="N76">SUMPRODUCT(General_Data*(Year=N$3)*(Month=N$4)*(Code_General_Data=$C76))</f>
        <v>1300</v>
      </c>
      <c r="O76" s="204" cm="1">
        <f t="array" ref="O76">SUMPRODUCT(General_Data*(Year=O$3)*(Month=O$4)*(Code_General_Data=$C76))</f>
        <v>1315</v>
      </c>
      <c r="P76" s="204" cm="1">
        <f t="array" ref="P76">SUMPRODUCT(General_Data*(Year=P$3)*(Month=P$4)*(Code_General_Data=$C76))</f>
        <v>1325</v>
      </c>
      <c r="Q76" s="204" cm="1">
        <f t="array" ref="Q76">SUMPRODUCT(General_Data*(Year=Q$3)*(Month=Q$4)*(Code_General_Data=$C76))</f>
        <v>1320</v>
      </c>
      <c r="R76" s="204" cm="1">
        <f t="array" ref="R76">SUMPRODUCT(General_Data*(Year=R$3)*(Month=R$4)*(Code_General_Data=$C76))</f>
        <v>1333</v>
      </c>
      <c r="S76" s="204" cm="1">
        <f t="array" ref="S76">SUMPRODUCT(General_Data*(Year=S$3)*(Month=S$4)*(Code_General_Data=$C76))</f>
        <v>1350</v>
      </c>
      <c r="T76" s="204" cm="1">
        <f t="array" ref="T76">SUMPRODUCT(General_Data*(Year=T$3)*(Month=T$4)*(Code_General_Data=$C76))</f>
        <v>1365</v>
      </c>
      <c r="U76" s="204" cm="1">
        <f t="array" ref="U76">SUMPRODUCT(General_Data*(Year=U$3)*(Month=U$4)*(Code_General_Data=$C76))</f>
        <v>1372</v>
      </c>
      <c r="V76" s="204" cm="1">
        <f t="array" ref="V76">SUMPRODUCT(General_Data*(Year=V$3)*(Month=V$4)*(Code_General_Data=$C76))</f>
        <v>1405</v>
      </c>
      <c r="W76" s="204" cm="1">
        <f t="array" ref="W76">SUMPRODUCT(General_Data*(Year=W$3)*(Month=W$4)*(Code_General_Data=$C76))</f>
        <v>1427.5</v>
      </c>
      <c r="X76" s="204" cm="1">
        <f t="array" ref="X76">SUMPRODUCT(General_Data*(Year=X$3)*(Month=X$4)*(Code_General_Data=$C76))</f>
        <v>1440</v>
      </c>
      <c r="Y76" s="204" cm="1">
        <f t="array" ref="Y76">SUMPRODUCT(General_Data*(Year=Y$3)*(Month=Y$4)*(Code_General_Data=$C76))</f>
        <v>1435</v>
      </c>
      <c r="Z76" s="206" cm="1">
        <f t="array" ref="Z76">SUMPRODUCT(General_Data*(Year=Z$3)*(Month=Z$4)*(Code_General_Data=$C76))</f>
        <v>1421.25</v>
      </c>
      <c r="AA76" s="204" cm="1">
        <f t="array" ref="AA76">SUMPRODUCT(General_Data*(Year=AA$3)*(Month=AA$4)*(Code_General_Data=$C76))</f>
        <v>1358.3333333333301</v>
      </c>
      <c r="AB76" s="204" cm="1">
        <f t="array" ref="AB76">SUMPRODUCT(General_Data*(Year=AB$3)*(Month=AB$4)*(Code_General_Data=$C76))</f>
        <v>1350</v>
      </c>
      <c r="AC76" s="204" cm="1">
        <f t="array" ref="AC76">SUMPRODUCT(General_Data*(Year=AC$3)*(Month=AC$4)*(Code_General_Data=$C76))</f>
        <v>1360</v>
      </c>
      <c r="AD76" s="204" cm="1">
        <f t="array" ref="AD76">SUMPRODUCT(General_Data*(Year=AD$3)*(Month=AD$4)*(Code_General_Data=$C76))</f>
        <v>1360</v>
      </c>
      <c r="AE76" s="204" cm="1">
        <f t="array" ref="AE76">SUMPRODUCT(General_Data*(Year=AE$3)*(Month=AE$4)*(Code_General_Data=$C76))</f>
        <v>1360</v>
      </c>
      <c r="AF76" s="204" cm="1">
        <f t="array" ref="AF76">SUMPRODUCT(General_Data*(Year=AF$3)*(Month=AF$4)*(Code_General_Data=$C76))</f>
        <v>1360</v>
      </c>
      <c r="AG76" s="204" cm="1">
        <f t="array" ref="AG76">SUMPRODUCT(General_Data*(Year=AG$3)*(Month=AG$4)*(Code_General_Data=$C76))</f>
        <v>1324</v>
      </c>
      <c r="AH76" s="204" cm="1">
        <f t="array" ref="AH76">SUMPRODUCT(General_Data*(Year=AH$3)*(Month=AH$4)*(Code_General_Data=$C76))</f>
        <v>1295</v>
      </c>
      <c r="AI76" s="204" cm="1">
        <f t="array" ref="AI76">SUMPRODUCT(General_Data*(Year=AI$3)*(Month=AI$4)*(Code_General_Data=$C76))</f>
        <v>1268</v>
      </c>
      <c r="AJ76" s="204" cm="1">
        <f t="array" ref="AJ76">SUMPRODUCT(General_Data*(Year=AJ$3)*(Month=AJ$4)*(Code_General_Data=$C76))</f>
        <v>1250</v>
      </c>
      <c r="AK76" s="204" cm="1">
        <f t="array" ref="AK76">SUMPRODUCT(General_Data*(Year=AK$3)*(Month=AK$4)*(Code_General_Data=$C76))</f>
        <v>1243.75</v>
      </c>
      <c r="AL76" s="471" cm="1">
        <f t="array" ref="AL76">SUMPRODUCT(General_Data*(Year=AL$3)*(Month=AL$4)*(Code_General_Data=$C76))</f>
        <v>0</v>
      </c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6"/>
    </row>
    <row r="77" spans="1:50" s="97" customFormat="1" outlineLevel="1" x14ac:dyDescent="0.35">
      <c r="A77" s="97" t="s">
        <v>40</v>
      </c>
      <c r="B77" s="97" t="s">
        <v>29</v>
      </c>
      <c r="F77" s="196" t="s">
        <v>307</v>
      </c>
      <c r="G77" s="107"/>
      <c r="H77" s="107"/>
      <c r="I77" s="107"/>
      <c r="J77" s="373" t="s">
        <v>47</v>
      </c>
      <c r="K77" s="109"/>
      <c r="L77" s="199"/>
      <c r="M77" s="199"/>
      <c r="N77" s="199"/>
      <c r="O77" s="313" cm="1">
        <f t="array" ref="O77">INDEX(Note!$J$3:$J$101,MATCH(1,(Note!$A$3:$A$101=$A77)*(Note!$C$3:$C$101=$B77)*(Note!$E$3:$E$101&lt;=O$1)*(Note!$F$3:$F$101&gt;=O$2),0))</f>
        <v>0</v>
      </c>
      <c r="P77" s="313" cm="1">
        <f t="array" ref="P77">INDEX(Note!$J$3:$J$101,MATCH(1,(Note!$A$3:$A$101=$A77)*(Note!$C$3:$C$101=$B77)*(Note!$E$3:$E$101&lt;=P$1)*(Note!$F$3:$F$101&gt;=P$2),0))</f>
        <v>0</v>
      </c>
      <c r="Q77" s="313" cm="1">
        <f t="array" ref="Q77">INDEX(Note!$J$3:$J$101,MATCH(1,(Note!$A$3:$A$101=$A77)*(Note!$C$3:$C$101=$B77)*(Note!$E$3:$E$101&lt;=Q$1)*(Note!$F$3:$F$101&gt;=Q$2),0))</f>
        <v>0</v>
      </c>
      <c r="R77" s="313" cm="1">
        <f t="array" ref="R77">INDEX(Note!$J$3:$J$101,MATCH(1,(Note!$A$3:$A$101=$A77)*(Note!$C$3:$C$101=$B77)*(Note!$E$3:$E$101&lt;=R$1)*(Note!$F$3:$F$101&gt;=R$2),0))</f>
        <v>0</v>
      </c>
      <c r="S77" s="313" cm="1">
        <f t="array" ref="S77">INDEX(Note!$J$3:$J$101,MATCH(1,(Note!$A$3:$A$101=$A77)*(Note!$C$3:$C$101=$B77)*(Note!$E$3:$E$101&lt;=S$1)*(Note!$F$3:$F$101&gt;=S$2),0))</f>
        <v>0</v>
      </c>
      <c r="T77" s="313" cm="1">
        <f t="array" ref="T77">INDEX(Note!$J$3:$J$101,MATCH(1,(Note!$A$3:$A$101=$A77)*(Note!$C$3:$C$101=$B77)*(Note!$E$3:$E$101&lt;=T$1)*(Note!$F$3:$F$101&gt;=T$2),0))</f>
        <v>0</v>
      </c>
      <c r="U77" s="313" cm="1">
        <f t="array" ref="U77">INDEX(Note!$J$3:$J$101,MATCH(1,(Note!$A$3:$A$101=$A77)*(Note!$C$3:$C$101=$B77)*(Note!$E$3:$E$101&lt;=U$1)*(Note!$F$3:$F$101&gt;=U$2),0))</f>
        <v>0</v>
      </c>
      <c r="V77" s="313" cm="1">
        <f t="array" ref="V77">INDEX(Note!$J$3:$J$101,MATCH(1,(Note!$A$3:$A$101=$A77)*(Note!$C$3:$C$101=$B77)*(Note!$E$3:$E$101&lt;=V$1)*(Note!$F$3:$F$101&gt;=V$2),0))</f>
        <v>0</v>
      </c>
      <c r="W77" s="313" cm="1">
        <f t="array" ref="W77">INDEX(Note!$J$3:$J$101,MATCH(1,(Note!$A$3:$A$101=$A77)*(Note!$C$3:$C$101=$B77)*(Note!$E$3:$E$101&lt;=W$1)*(Note!$F$3:$F$101&gt;=W$2),0))</f>
        <v>0</v>
      </c>
      <c r="X77" s="313" cm="1">
        <f t="array" ref="X77">INDEX(Note!$J$3:$J$101,MATCH(1,(Note!$A$3:$A$101=$A77)*(Note!$C$3:$C$101=$B77)*(Note!$E$3:$E$101&lt;=X$1)*(Note!$F$3:$F$101&gt;=X$2),0))</f>
        <v>0</v>
      </c>
      <c r="Y77" s="313" cm="1">
        <f t="array" ref="Y77">INDEX(Note!$J$3:$J$101,MATCH(1,(Note!$A$3:$A$101=$A77)*(Note!$C$3:$C$101=$B77)*(Note!$E$3:$E$101&lt;=Y$1)*(Note!$F$3:$F$101&gt;=Y$2),0))</f>
        <v>0</v>
      </c>
      <c r="Z77" s="314" cm="1">
        <f t="array" ref="Z77">INDEX(Note!$J$3:$J$101,MATCH(1,(Note!$A$3:$A$101=$A77)*(Note!$C$3:$C$101=$B77)*(Note!$E$3:$E$101&lt;=Z$1)*(Note!$F$3:$F$101&gt;=Z$2),0))</f>
        <v>0</v>
      </c>
      <c r="AA77" s="313" cm="1">
        <f t="array" ref="AA77">INDEX(Note!$J$3:$J$101,MATCH(1,(Note!$A$3:$A$101=$A77)*(Note!$C$3:$C$101=$B77)*(Note!$E$3:$E$101&lt;=AA$1)*(Note!$F$3:$F$101&gt;=AA$2),0))</f>
        <v>1550</v>
      </c>
      <c r="AB77" s="313" cm="1">
        <f t="array" ref="AB77">INDEX(Note!$J$3:$J$101,MATCH(1,(Note!$A$3:$A$101=$A77)*(Note!$C$3:$C$101=$B77)*(Note!$E$3:$E$101&lt;=AB$1)*(Note!$F$3:$F$101&gt;=AB$2),0))</f>
        <v>1550</v>
      </c>
      <c r="AC77" s="313" cm="1">
        <f t="array" ref="AC77">INDEX(Note!$J$3:$J$101,MATCH(1,(Note!$A$3:$A$101=$A77)*(Note!$C$3:$C$101=$B77)*(Note!$E$3:$E$101&lt;=AC$1)*(Note!$F$3:$F$101&gt;=AC$2),0))</f>
        <v>1550</v>
      </c>
      <c r="AD77" s="313" cm="1">
        <f t="array" ref="AD77">INDEX(Note!$J$3:$J$101,MATCH(1,(Note!$A$3:$A$101=$A77)*(Note!$C$3:$C$101=$B77)*(Note!$E$3:$E$101&lt;=AD$1)*(Note!$F$3:$F$101&gt;=AD$2),0))</f>
        <v>1550</v>
      </c>
      <c r="AE77" s="313" cm="1">
        <f t="array" ref="AE77">INDEX(Note!$J$3:$J$101,MATCH(1,(Note!$A$3:$A$101=$A77)*(Note!$C$3:$C$101=$B77)*(Note!$E$3:$E$101&lt;=AE$1)*(Note!$F$3:$F$101&gt;=AE$2),0))</f>
        <v>1550</v>
      </c>
      <c r="AF77" s="313" cm="1">
        <f t="array" ref="AF77">INDEX(Note!$J$3:$J$101,MATCH(1,(Note!$A$3:$A$101=$A77)*(Note!$C$3:$C$101=$B77)*(Note!$E$3:$E$101&lt;=AF$1)*(Note!$F$3:$F$101&gt;=AF$2),0))</f>
        <v>1550</v>
      </c>
      <c r="AG77" s="313" cm="1">
        <f t="array" ref="AG77">INDEX(Note!$J$3:$J$101,MATCH(1,(Note!$A$3:$A$101=$A77)*(Note!$C$3:$C$101=$B77)*(Note!$E$3:$E$101&lt;=AG$1)*(Note!$F$3:$F$101&gt;=AG$2),0))</f>
        <v>1550</v>
      </c>
      <c r="AH77" s="313" cm="1">
        <f t="array" ref="AH77">INDEX(Note!$J$3:$J$101,MATCH(1,(Note!$A$3:$A$101=$A77)*(Note!$C$3:$C$101=$B77)*(Note!$E$3:$E$101&lt;=AH$1)*(Note!$F$3:$F$101&gt;=AH$2),0))</f>
        <v>1550</v>
      </c>
      <c r="AI77" s="313" cm="1">
        <f t="array" ref="AI77">INDEX(Note!$J$3:$J$101,MATCH(1,(Note!$A$3:$A$101=$A77)*(Note!$C$3:$C$101=$B77)*(Note!$E$3:$E$101&lt;=AI$1)*(Note!$F$3:$F$101&gt;=AI$2),0))</f>
        <v>1550</v>
      </c>
      <c r="AJ77" s="313" cm="1">
        <f t="array" ref="AJ77">INDEX(Note!$J$3:$J$101,MATCH(1,(Note!$A$3:$A$101=$A77)*(Note!$C$3:$C$101=$B77)*(Note!$E$3:$E$101&lt;=AJ$1)*(Note!$F$3:$F$101&gt;=AJ$2),0))</f>
        <v>1550</v>
      </c>
      <c r="AK77" s="313" cm="1">
        <f t="array" ref="AK77">INDEX(Note!$J$3:$J$101,MATCH(1,(Note!$A$3:$A$101=$A77)*(Note!$C$3:$C$101=$B77)*(Note!$E$3:$E$101&lt;=AK$1)*(Note!$F$3:$F$101&gt;=AK$2),0))</f>
        <v>1550</v>
      </c>
      <c r="AL77" s="472" cm="1">
        <f t="array" ref="AL77">INDEX(Note!$J$3:$J$101,MATCH(1,(Note!$A$3:$A$101=$A77)*(Note!$C$3:$C$101=$B77)*(Note!$E$3:$E$101&lt;=AL$1)*(Note!$F$3:$F$101&gt;=AL$2),0))</f>
        <v>1550</v>
      </c>
      <c r="AM77" s="313"/>
      <c r="AN77" s="313"/>
      <c r="AO77" s="313"/>
      <c r="AP77" s="313"/>
      <c r="AQ77" s="313"/>
      <c r="AR77" s="313"/>
      <c r="AS77" s="313"/>
      <c r="AT77" s="313"/>
      <c r="AU77" s="313"/>
      <c r="AV77" s="313"/>
      <c r="AW77" s="313"/>
      <c r="AX77" s="314"/>
    </row>
    <row r="78" spans="1:50" s="97" customFormat="1" outlineLevel="1" x14ac:dyDescent="0.35">
      <c r="A78" s="97" t="s">
        <v>40</v>
      </c>
      <c r="B78" s="97" t="s">
        <v>29</v>
      </c>
      <c r="F78" s="196" t="s">
        <v>308</v>
      </c>
      <c r="G78" s="107"/>
      <c r="H78" s="107"/>
      <c r="I78" s="107"/>
      <c r="J78" s="373" t="s">
        <v>48</v>
      </c>
      <c r="K78" s="109"/>
      <c r="L78" s="199"/>
      <c r="M78" s="199"/>
      <c r="N78" s="199"/>
      <c r="O78" s="313" cm="1">
        <f t="array" ref="O78">INDEX(Note!$K$3:$K$101,MATCH(1,(Note!$A$3:$A$101=$A78)*(Note!$C$3:$C$101=$B78)*(Note!$E$3:$E$101&lt;=O$1)*(Note!$F$3:$F$101&gt;=O$2),0))</f>
        <v>0</v>
      </c>
      <c r="P78" s="313" cm="1">
        <f t="array" ref="P78">INDEX(Note!$K$3:$K$101,MATCH(1,(Note!$A$3:$A$101=$A78)*(Note!$C$3:$C$101=$B78)*(Note!$E$3:$E$101&lt;=P$1)*(Note!$F$3:$F$101&gt;=P$2),0))</f>
        <v>0</v>
      </c>
      <c r="Q78" s="313" cm="1">
        <f t="array" ref="Q78">INDEX(Note!$K$3:$K$101,MATCH(1,(Note!$A$3:$A$101=$A78)*(Note!$C$3:$C$101=$B78)*(Note!$E$3:$E$101&lt;=Q$1)*(Note!$F$3:$F$101&gt;=Q$2),0))</f>
        <v>0</v>
      </c>
      <c r="R78" s="313" cm="1">
        <f t="array" ref="R78">INDEX(Note!$K$3:$K$101,MATCH(1,(Note!$A$3:$A$101=$A78)*(Note!$C$3:$C$101=$B78)*(Note!$E$3:$E$101&lt;=R$1)*(Note!$F$3:$F$101&gt;=R$2),0))</f>
        <v>0</v>
      </c>
      <c r="S78" s="313" cm="1">
        <f t="array" ref="S78">INDEX(Note!$K$3:$K$101,MATCH(1,(Note!$A$3:$A$101=$A78)*(Note!$C$3:$C$101=$B78)*(Note!$E$3:$E$101&lt;=S$1)*(Note!$F$3:$F$101&gt;=S$2),0))</f>
        <v>0</v>
      </c>
      <c r="T78" s="313" cm="1">
        <f t="array" ref="T78">INDEX(Note!$K$3:$K$101,MATCH(1,(Note!$A$3:$A$101=$A78)*(Note!$C$3:$C$101=$B78)*(Note!$E$3:$E$101&lt;=T$1)*(Note!$F$3:$F$101&gt;=T$2),0))</f>
        <v>0</v>
      </c>
      <c r="U78" s="313" cm="1">
        <f t="array" ref="U78">INDEX(Note!$K$3:$K$101,MATCH(1,(Note!$A$3:$A$101=$A78)*(Note!$C$3:$C$101=$B78)*(Note!$E$3:$E$101&lt;=U$1)*(Note!$F$3:$F$101&gt;=U$2),0))</f>
        <v>0</v>
      </c>
      <c r="V78" s="313" cm="1">
        <f t="array" ref="V78">INDEX(Note!$K$3:$K$101,MATCH(1,(Note!$A$3:$A$101=$A78)*(Note!$C$3:$C$101=$B78)*(Note!$E$3:$E$101&lt;=V$1)*(Note!$F$3:$F$101&gt;=V$2),0))</f>
        <v>0</v>
      </c>
      <c r="W78" s="313" cm="1">
        <f t="array" ref="W78">INDEX(Note!$K$3:$K$101,MATCH(1,(Note!$A$3:$A$101=$A78)*(Note!$C$3:$C$101=$B78)*(Note!$E$3:$E$101&lt;=W$1)*(Note!$F$3:$F$101&gt;=W$2),0))</f>
        <v>0</v>
      </c>
      <c r="X78" s="313" cm="1">
        <f t="array" ref="X78">INDEX(Note!$K$3:$K$101,MATCH(1,(Note!$A$3:$A$101=$A78)*(Note!$C$3:$C$101=$B78)*(Note!$E$3:$E$101&lt;=X$1)*(Note!$F$3:$F$101&gt;=X$2),0))</f>
        <v>0</v>
      </c>
      <c r="Y78" s="313" cm="1">
        <f t="array" ref="Y78">INDEX(Note!$K$3:$K$101,MATCH(1,(Note!$A$3:$A$101=$A78)*(Note!$C$3:$C$101=$B78)*(Note!$E$3:$E$101&lt;=Y$1)*(Note!$F$3:$F$101&gt;=Y$2),0))</f>
        <v>0</v>
      </c>
      <c r="Z78" s="314" cm="1">
        <f t="array" ref="Z78">INDEX(Note!$K$3:$K$101,MATCH(1,(Note!$A$3:$A$101=$A78)*(Note!$C$3:$C$101=$B78)*(Note!$E$3:$E$101&lt;=Z$1)*(Note!$F$3:$F$101&gt;=Z$2),0))</f>
        <v>0</v>
      </c>
      <c r="AA78" s="313" cm="1">
        <f t="array" ref="AA78">INDEX(Note!$K$3:$K$101,MATCH(1,(Note!$A$3:$A$101=$A78)*(Note!$C$3:$C$101=$B78)*(Note!$E$3:$E$101&lt;=AA$1)*(Note!$F$3:$F$101&gt;=AA$2),0))</f>
        <v>1330</v>
      </c>
      <c r="AB78" s="313" cm="1">
        <f t="array" ref="AB78">INDEX(Note!$K$3:$K$101,MATCH(1,(Note!$A$3:$A$101=$A78)*(Note!$C$3:$C$101=$B78)*(Note!$E$3:$E$101&lt;=AB$1)*(Note!$F$3:$F$101&gt;=AB$2),0))</f>
        <v>1330</v>
      </c>
      <c r="AC78" s="313" cm="1">
        <f t="array" ref="AC78">INDEX(Note!$K$3:$K$101,MATCH(1,(Note!$A$3:$A$101=$A78)*(Note!$C$3:$C$101=$B78)*(Note!$E$3:$E$101&lt;=AC$1)*(Note!$F$3:$F$101&gt;=AC$2),0))</f>
        <v>1330</v>
      </c>
      <c r="AD78" s="313" cm="1">
        <f t="array" ref="AD78">INDEX(Note!$K$3:$K$101,MATCH(1,(Note!$A$3:$A$101=$A78)*(Note!$C$3:$C$101=$B78)*(Note!$E$3:$E$101&lt;=AD$1)*(Note!$F$3:$F$101&gt;=AD$2),0))</f>
        <v>1330</v>
      </c>
      <c r="AE78" s="313" cm="1">
        <f t="array" ref="AE78">INDEX(Note!$K$3:$K$101,MATCH(1,(Note!$A$3:$A$101=$A78)*(Note!$C$3:$C$101=$B78)*(Note!$E$3:$E$101&lt;=AE$1)*(Note!$F$3:$F$101&gt;=AE$2),0))</f>
        <v>1330</v>
      </c>
      <c r="AF78" s="313" cm="1">
        <f t="array" ref="AF78">INDEX(Note!$K$3:$K$101,MATCH(1,(Note!$A$3:$A$101=$A78)*(Note!$C$3:$C$101=$B78)*(Note!$E$3:$E$101&lt;=AF$1)*(Note!$F$3:$F$101&gt;=AF$2),0))</f>
        <v>1330</v>
      </c>
      <c r="AG78" s="313" cm="1">
        <f t="array" ref="AG78">INDEX(Note!$K$3:$K$101,MATCH(1,(Note!$A$3:$A$101=$A78)*(Note!$C$3:$C$101=$B78)*(Note!$E$3:$E$101&lt;=AG$1)*(Note!$F$3:$F$101&gt;=AG$2),0))</f>
        <v>1330</v>
      </c>
      <c r="AH78" s="313" cm="1">
        <f t="array" ref="AH78">INDEX(Note!$K$3:$K$101,MATCH(1,(Note!$A$3:$A$101=$A78)*(Note!$C$3:$C$101=$B78)*(Note!$E$3:$E$101&lt;=AH$1)*(Note!$F$3:$F$101&gt;=AH$2),0))</f>
        <v>1330</v>
      </c>
      <c r="AI78" s="313" cm="1">
        <f t="array" ref="AI78">INDEX(Note!$K$3:$K$101,MATCH(1,(Note!$A$3:$A$101=$A78)*(Note!$C$3:$C$101=$B78)*(Note!$E$3:$E$101&lt;=AI$1)*(Note!$F$3:$F$101&gt;=AI$2),0))</f>
        <v>1330</v>
      </c>
      <c r="AJ78" s="313" cm="1">
        <f t="array" ref="AJ78">INDEX(Note!$K$3:$K$101,MATCH(1,(Note!$A$3:$A$101=$A78)*(Note!$C$3:$C$101=$B78)*(Note!$E$3:$E$101&lt;=AJ$1)*(Note!$F$3:$F$101&gt;=AJ$2),0))</f>
        <v>1330</v>
      </c>
      <c r="AK78" s="313" cm="1">
        <f t="array" ref="AK78">INDEX(Note!$K$3:$K$101,MATCH(1,(Note!$A$3:$A$101=$A78)*(Note!$C$3:$C$101=$B78)*(Note!$E$3:$E$101&lt;=AK$1)*(Note!$F$3:$F$101&gt;=AK$2),0))</f>
        <v>1330</v>
      </c>
      <c r="AL78" s="472" cm="1">
        <f t="array" ref="AL78">INDEX(Note!$K$3:$K$101,MATCH(1,(Note!$A$3:$A$101=$A78)*(Note!$C$3:$C$101=$B78)*(Note!$E$3:$E$101&lt;=AL$1)*(Note!$F$3:$F$101&gt;=AL$2),0))</f>
        <v>1330</v>
      </c>
      <c r="AM78" s="313"/>
      <c r="AN78" s="313"/>
      <c r="AO78" s="313"/>
      <c r="AP78" s="313"/>
      <c r="AQ78" s="313"/>
      <c r="AR78" s="313"/>
      <c r="AS78" s="313"/>
      <c r="AT78" s="313"/>
      <c r="AU78" s="313"/>
      <c r="AV78" s="313"/>
      <c r="AW78" s="313"/>
      <c r="AX78" s="314"/>
    </row>
    <row r="79" spans="1:50" s="188" customFormat="1" outlineLevel="1" x14ac:dyDescent="0.35">
      <c r="A79" s="188" t="s">
        <v>40</v>
      </c>
      <c r="B79" s="188" t="s">
        <v>29</v>
      </c>
      <c r="F79" s="286" t="s">
        <v>309</v>
      </c>
      <c r="G79" s="287"/>
      <c r="H79" s="287"/>
      <c r="I79" s="287"/>
      <c r="J79" s="383" t="s">
        <v>203</v>
      </c>
      <c r="K79" s="189"/>
      <c r="L79" s="295"/>
      <c r="M79" s="295"/>
      <c r="N79" s="295"/>
      <c r="O79" s="315" cm="1">
        <f t="array" ref="O79">SUMPRODUCT(General_Data*(Year=O$3)*(Month=O$4)*(Code_General_Data=$B79))</f>
        <v>1340</v>
      </c>
      <c r="P79" s="315" cm="1">
        <f t="array" ref="P79">SUMPRODUCT(General_Data*(Year=P$3)*(Month=P$4)*(Code_General_Data=$B79))</f>
        <v>1340</v>
      </c>
      <c r="Q79" s="315" cm="1">
        <f t="array" ref="Q79">SUMPRODUCT(General_Data*(Year=Q$3)*(Month=Q$4)*(Code_General_Data=$B79))</f>
        <v>1340</v>
      </c>
      <c r="R79" s="315" cm="1">
        <f t="array" ref="R79">SUMPRODUCT(General_Data*(Year=R$3)*(Month=R$4)*(Code_General_Data=$B79))</f>
        <v>1340</v>
      </c>
      <c r="S79" s="315" cm="1">
        <f t="array" ref="S79">SUMPRODUCT(General_Data*(Year=S$3)*(Month=S$4)*(Code_General_Data=$B79))</f>
        <v>1390</v>
      </c>
      <c r="T79" s="315" cm="1">
        <f t="array" ref="T79">SUMPRODUCT(General_Data*(Year=T$3)*(Month=T$4)*(Code_General_Data=$B79))</f>
        <v>1390</v>
      </c>
      <c r="U79" s="315" cm="1">
        <f t="array" ref="U79">SUMPRODUCT(General_Data*(Year=U$3)*(Month=U$4)*(Code_General_Data=$B79))</f>
        <v>1390</v>
      </c>
      <c r="V79" s="315" cm="1">
        <f t="array" ref="V79">SUMPRODUCT(General_Data*(Year=V$3)*(Month=V$4)*(Code_General_Data=$B79))</f>
        <v>1390</v>
      </c>
      <c r="W79" s="315" cm="1">
        <f t="array" ref="W79">SUMPRODUCT(General_Data*(Year=W$3)*(Month=W$4)*(Code_General_Data=$B79))</f>
        <v>1400</v>
      </c>
      <c r="X79" s="315" cm="1">
        <f t="array" ref="X79">SUMPRODUCT(General_Data*(Year=X$3)*(Month=X$4)*(Code_General_Data=$B79))</f>
        <v>1415</v>
      </c>
      <c r="Y79" s="315" cm="1">
        <f t="array" ref="Y79">SUMPRODUCT(General_Data*(Year=Y$3)*(Month=Y$4)*(Code_General_Data=$B79))</f>
        <v>1415</v>
      </c>
      <c r="Z79" s="316" cm="1">
        <f t="array" ref="Z79">SUMPRODUCT(General_Data*(Year=Z$3)*(Month=Z$4)*(Code_General_Data=$B79))</f>
        <v>1365</v>
      </c>
      <c r="AA79" s="315" cm="1">
        <f t="array" ref="AA79">SUMPRODUCT(General_Data*(Year=AA$3)*(Month=AA$4)*(Code_General_Data=$B79))</f>
        <v>1320</v>
      </c>
      <c r="AB79" s="315" cm="1">
        <f t="array" ref="AB79">SUMPRODUCT(General_Data*(Year=AB$3)*(Month=AB$4)*(Code_General_Data=$B79))</f>
        <v>1280</v>
      </c>
      <c r="AC79" s="315" cm="1">
        <f t="array" ref="AC79">SUMPRODUCT(General_Data*(Year=AC$3)*(Month=AC$4)*(Code_General_Data=$B79))</f>
        <v>1320</v>
      </c>
      <c r="AD79" s="315" cm="1">
        <f t="array" ref="AD79">SUMPRODUCT(General_Data*(Year=AD$3)*(Month=AD$4)*(Code_General_Data=$B79))</f>
        <v>1340</v>
      </c>
      <c r="AE79" s="315" cm="1">
        <f t="array" ref="AE79">SUMPRODUCT(General_Data*(Year=AE$3)*(Month=AE$4)*(Code_General_Data=$B79))</f>
        <v>1340</v>
      </c>
      <c r="AF79" s="315" cm="1">
        <f t="array" ref="AF79">SUMPRODUCT(General_Data*(Year=AF$3)*(Month=AF$4)*(Code_General_Data=$B79))</f>
        <v>1340</v>
      </c>
      <c r="AG79" s="315" cm="1">
        <f t="array" ref="AG79">SUMPRODUCT(General_Data*(Year=AG$3)*(Month=AG$4)*(Code_General_Data=$B79))</f>
        <v>1340</v>
      </c>
      <c r="AH79" s="315" cm="1">
        <f t="array" ref="AH79">SUMPRODUCT(General_Data*(Year=AH$3)*(Month=AH$4)*(Code_General_Data=$B79))</f>
        <v>1310</v>
      </c>
      <c r="AI79" s="315" cm="1">
        <f t="array" ref="AI79">SUMPRODUCT(General_Data*(Year=AI$3)*(Month=AI$4)*(Code_General_Data=$B79))</f>
        <v>1310</v>
      </c>
      <c r="AJ79" s="315" cm="1">
        <f t="array" ref="AJ79">SUMPRODUCT(General_Data*(Year=AJ$3)*(Month=AJ$4)*(Code_General_Data=$B79))</f>
        <v>1300</v>
      </c>
      <c r="AK79" s="315" cm="1">
        <f t="array" ref="AK79">SUMPRODUCT(General_Data*(Year=AK$3)*(Month=AK$4)*(Code_General_Data=$B79))</f>
        <v>1290</v>
      </c>
      <c r="AL79" s="473" cm="1">
        <f t="array" ref="AL79">SUMPRODUCT(General_Data*(Year=AL$3)*(Month=AL$4)*(Code_General_Data=$B79))</f>
        <v>1290</v>
      </c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6"/>
    </row>
    <row r="80" spans="1:50" s="97" customFormat="1" outlineLevel="1" x14ac:dyDescent="0.35">
      <c r="F80" s="196"/>
      <c r="G80" s="107"/>
      <c r="H80" s="107"/>
      <c r="I80" s="107"/>
      <c r="J80" s="373" t="s">
        <v>431</v>
      </c>
      <c r="K80" s="109"/>
      <c r="L80" s="199"/>
      <c r="M80" s="199"/>
      <c r="N80" s="199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4"/>
      <c r="AA80" s="313">
        <f>AA77+AA73</f>
        <v>1528.278125</v>
      </c>
      <c r="AB80" s="313">
        <f t="shared" ref="AB80:AG80" si="59">AB77+AB73</f>
        <v>1528.8531250000001</v>
      </c>
      <c r="AC80" s="313">
        <f t="shared" si="59"/>
        <v>1529.3875</v>
      </c>
      <c r="AD80" s="313">
        <f t="shared" si="59"/>
        <v>1529.375</v>
      </c>
      <c r="AE80" s="313">
        <f t="shared" si="59"/>
        <v>1529.3</v>
      </c>
      <c r="AF80" s="313">
        <f t="shared" si="59"/>
        <v>1529.3</v>
      </c>
      <c r="AG80" s="313">
        <f t="shared" si="59"/>
        <v>1529.3</v>
      </c>
      <c r="AH80" s="313">
        <f t="shared" ref="AH80:AI80" si="60">AH77+AH73</f>
        <v>1529.57</v>
      </c>
      <c r="AI80" s="313">
        <f t="shared" si="60"/>
        <v>1530.0574999999999</v>
      </c>
      <c r="AJ80" s="313">
        <f t="shared" ref="AJ80:AK80" si="61">AJ77+AJ73</f>
        <v>1530.4775</v>
      </c>
      <c r="AK80" s="313">
        <f t="shared" si="61"/>
        <v>1530.8150000000001</v>
      </c>
      <c r="AL80" s="472">
        <f t="shared" ref="AL80" si="62">AL77+AL73</f>
        <v>1530.996875</v>
      </c>
      <c r="AM80" s="313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4"/>
    </row>
    <row r="81" spans="1:50" s="97" customFormat="1" outlineLevel="1" x14ac:dyDescent="0.35">
      <c r="F81" s="196"/>
      <c r="G81" s="107"/>
      <c r="H81" s="107"/>
      <c r="I81" s="107"/>
      <c r="J81" s="373" t="s">
        <v>432</v>
      </c>
      <c r="K81" s="109"/>
      <c r="L81" s="199"/>
      <c r="M81" s="199"/>
      <c r="N81" s="199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4"/>
      <c r="AA81" s="313">
        <f>AA78+AA73</f>
        <v>1308.278125</v>
      </c>
      <c r="AB81" s="313">
        <f t="shared" ref="AB81:AG81" si="63">AB78+AB73</f>
        <v>1308.8531250000001</v>
      </c>
      <c r="AC81" s="313">
        <f t="shared" si="63"/>
        <v>1309.3875</v>
      </c>
      <c r="AD81" s="313">
        <f t="shared" si="63"/>
        <v>1309.375</v>
      </c>
      <c r="AE81" s="313">
        <f t="shared" si="63"/>
        <v>1309.3</v>
      </c>
      <c r="AF81" s="313">
        <f t="shared" si="63"/>
        <v>1309.3</v>
      </c>
      <c r="AG81" s="313">
        <f t="shared" si="63"/>
        <v>1309.3</v>
      </c>
      <c r="AH81" s="313">
        <f t="shared" ref="AH81:AI81" si="64">AH78+AH73</f>
        <v>1309.57</v>
      </c>
      <c r="AI81" s="313">
        <f t="shared" si="64"/>
        <v>1310.0574999999999</v>
      </c>
      <c r="AJ81" s="313">
        <f t="shared" ref="AJ81:AK81" si="65">AJ78+AJ73</f>
        <v>1310.4775</v>
      </c>
      <c r="AK81" s="313">
        <f t="shared" si="65"/>
        <v>1310.8150000000001</v>
      </c>
      <c r="AL81" s="472">
        <f t="shared" ref="AL81" si="66">AL78+AL73</f>
        <v>1310.996875</v>
      </c>
      <c r="AM81" s="313"/>
      <c r="AN81" s="313"/>
      <c r="AO81" s="313"/>
      <c r="AP81" s="313"/>
      <c r="AQ81" s="313"/>
      <c r="AR81" s="313"/>
      <c r="AS81" s="313"/>
      <c r="AT81" s="313"/>
      <c r="AU81" s="313"/>
      <c r="AV81" s="313"/>
      <c r="AW81" s="313"/>
      <c r="AX81" s="314"/>
    </row>
    <row r="82" spans="1:50" s="188" customFormat="1" ht="6.65" customHeight="1" x14ac:dyDescent="0.35">
      <c r="F82" s="310"/>
      <c r="G82" s="189"/>
      <c r="H82" s="189"/>
      <c r="I82" s="189"/>
      <c r="J82" s="377"/>
      <c r="K82" s="189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2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474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311"/>
      <c r="AX82" s="312"/>
    </row>
    <row r="83" spans="1:50" s="330" customFormat="1" ht="16" x14ac:dyDescent="0.35">
      <c r="A83" s="330" t="s">
        <v>40</v>
      </c>
      <c r="B83" s="330" t="s">
        <v>31</v>
      </c>
      <c r="D83" s="330" t="s">
        <v>322</v>
      </c>
      <c r="F83" s="343">
        <v>4.2</v>
      </c>
      <c r="G83" s="344"/>
      <c r="H83" s="344" t="s">
        <v>270</v>
      </c>
      <c r="I83" s="344"/>
      <c r="J83" s="379"/>
      <c r="L83" s="344"/>
      <c r="M83" s="344"/>
      <c r="N83" s="344"/>
      <c r="O83" s="334">
        <f t="shared" ref="O83:Z83" si="67">SUM(O84:O87)</f>
        <v>1346.5</v>
      </c>
      <c r="P83" s="334">
        <f t="shared" si="67"/>
        <v>1354</v>
      </c>
      <c r="Q83" s="334">
        <f t="shared" si="67"/>
        <v>1366.5</v>
      </c>
      <c r="R83" s="334">
        <f t="shared" si="67"/>
        <v>1369</v>
      </c>
      <c r="S83" s="334">
        <f t="shared" si="67"/>
        <v>1373</v>
      </c>
      <c r="T83" s="334">
        <f t="shared" si="67"/>
        <v>1388</v>
      </c>
      <c r="U83" s="334">
        <f t="shared" si="67"/>
        <v>1404</v>
      </c>
      <c r="V83" s="334">
        <f t="shared" si="67"/>
        <v>1415</v>
      </c>
      <c r="W83" s="334">
        <f t="shared" si="67"/>
        <v>1435</v>
      </c>
      <c r="X83" s="334">
        <f t="shared" si="67"/>
        <v>1462.75</v>
      </c>
      <c r="Y83" s="334">
        <f t="shared" si="67"/>
        <v>1480.25</v>
      </c>
      <c r="Z83" s="335">
        <f t="shared" si="67"/>
        <v>1484</v>
      </c>
      <c r="AA83" s="333">
        <f t="shared" ref="AA83:AF83" si="68">MIN(MAX(SUM(AA84,AA85),AA91),AA90)+AA86+AA87</f>
        <v>1452.903125</v>
      </c>
      <c r="AB83" s="334">
        <f t="shared" si="68"/>
        <v>1415.1447916666652</v>
      </c>
      <c r="AC83" s="334">
        <f t="shared" si="68"/>
        <v>1380.0541666666652</v>
      </c>
      <c r="AD83" s="334">
        <f t="shared" si="68"/>
        <v>1380.875</v>
      </c>
      <c r="AE83" s="334">
        <f t="shared" si="68"/>
        <v>1385.8</v>
      </c>
      <c r="AF83" s="334">
        <f t="shared" si="68"/>
        <v>1385.8</v>
      </c>
      <c r="AG83" s="334">
        <f t="shared" ref="AG83:AH83" si="69">MIN(MAX(SUM(AG84,AG85),AG91),AG90)+AG86+AG87</f>
        <v>1385.8</v>
      </c>
      <c r="AH83" s="334">
        <f t="shared" si="69"/>
        <v>1368.07</v>
      </c>
      <c r="AI83" s="334">
        <f t="shared" ref="AI83:AJ83" si="70">MIN(MAX(SUM(AI84,AI85),AI91),AI90)+AI86+AI87</f>
        <v>1336.5574999999999</v>
      </c>
      <c r="AJ83" s="334">
        <f t="shared" si="70"/>
        <v>1336.9775</v>
      </c>
      <c r="AK83" s="334">
        <f t="shared" ref="AK83:AL83" si="71">MIN(MAX(SUM(AK84,AK85),AK91),AK90)+AK86+AK87</f>
        <v>1337.3150000000001</v>
      </c>
      <c r="AL83" s="475">
        <f t="shared" si="71"/>
        <v>1337.496875</v>
      </c>
      <c r="AM83" s="334"/>
      <c r="AN83" s="334"/>
      <c r="AO83" s="334"/>
      <c r="AP83" s="334"/>
      <c r="AQ83" s="334"/>
      <c r="AR83" s="334"/>
      <c r="AS83" s="334"/>
      <c r="AT83" s="334"/>
      <c r="AU83" s="334"/>
      <c r="AV83" s="334"/>
      <c r="AW83" s="334"/>
      <c r="AX83" s="335"/>
    </row>
    <row r="84" spans="1:50" s="354" customFormat="1" outlineLevel="1" x14ac:dyDescent="0.35">
      <c r="A84" s="354" t="s">
        <v>40</v>
      </c>
      <c r="B84" s="354" t="s">
        <v>31</v>
      </c>
      <c r="F84" s="355" t="s">
        <v>380</v>
      </c>
      <c r="G84" s="356"/>
      <c r="H84" s="356" t="s">
        <v>41</v>
      </c>
      <c r="I84" s="356" t="s">
        <v>341</v>
      </c>
      <c r="J84" s="380"/>
      <c r="K84" s="357"/>
      <c r="L84" s="356"/>
      <c r="M84" s="356"/>
      <c r="N84" s="356"/>
      <c r="O84" s="350">
        <f t="shared" ref="O84:AL84" si="72">(M89+N89)/2</f>
        <v>1300</v>
      </c>
      <c r="P84" s="350">
        <f t="shared" si="72"/>
        <v>1307.5</v>
      </c>
      <c r="Q84" s="350">
        <f t="shared" si="72"/>
        <v>1320</v>
      </c>
      <c r="R84" s="350">
        <f t="shared" si="72"/>
        <v>1322.5</v>
      </c>
      <c r="S84" s="350">
        <f t="shared" si="72"/>
        <v>1326.5</v>
      </c>
      <c r="T84" s="350">
        <f t="shared" si="72"/>
        <v>1341.5</v>
      </c>
      <c r="U84" s="350">
        <f t="shared" si="72"/>
        <v>1357.5</v>
      </c>
      <c r="V84" s="350">
        <f t="shared" si="72"/>
        <v>1368.5</v>
      </c>
      <c r="W84" s="350">
        <f t="shared" si="72"/>
        <v>1388.5</v>
      </c>
      <c r="X84" s="350">
        <f t="shared" si="72"/>
        <v>1416.25</v>
      </c>
      <c r="Y84" s="350">
        <f t="shared" si="72"/>
        <v>1433.75</v>
      </c>
      <c r="Z84" s="351">
        <f t="shared" si="72"/>
        <v>1437.5</v>
      </c>
      <c r="AA84" s="349">
        <f t="shared" si="72"/>
        <v>1428.125</v>
      </c>
      <c r="AB84" s="350">
        <f t="shared" si="72"/>
        <v>1389.7916666666652</v>
      </c>
      <c r="AC84" s="350">
        <f t="shared" si="72"/>
        <v>1354.1666666666652</v>
      </c>
      <c r="AD84" s="350">
        <f t="shared" si="72"/>
        <v>1355</v>
      </c>
      <c r="AE84" s="350">
        <f t="shared" si="72"/>
        <v>1360</v>
      </c>
      <c r="AF84" s="350">
        <f t="shared" si="72"/>
        <v>1360</v>
      </c>
      <c r="AG84" s="350">
        <f t="shared" si="72"/>
        <v>1360</v>
      </c>
      <c r="AH84" s="350">
        <f t="shared" si="72"/>
        <v>1342</v>
      </c>
      <c r="AI84" s="350">
        <f t="shared" si="72"/>
        <v>1309.5</v>
      </c>
      <c r="AJ84" s="350">
        <f t="shared" si="72"/>
        <v>1281.5</v>
      </c>
      <c r="AK84" s="350">
        <f t="shared" si="72"/>
        <v>1259</v>
      </c>
      <c r="AL84" s="468">
        <f t="shared" si="72"/>
        <v>1246.875</v>
      </c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1"/>
    </row>
    <row r="85" spans="1:50" s="354" customFormat="1" outlineLevel="1" x14ac:dyDescent="0.35">
      <c r="A85" s="354" t="s">
        <v>40</v>
      </c>
      <c r="B85" s="354" t="s">
        <v>31</v>
      </c>
      <c r="F85" s="355" t="s">
        <v>381</v>
      </c>
      <c r="G85" s="356"/>
      <c r="H85" s="356" t="s">
        <v>41</v>
      </c>
      <c r="I85" s="356" t="s">
        <v>269</v>
      </c>
      <c r="J85" s="380"/>
      <c r="K85" s="357"/>
      <c r="L85" s="356"/>
      <c r="M85" s="356"/>
      <c r="N85" s="356"/>
      <c r="O85" s="350">
        <v>30</v>
      </c>
      <c r="P85" s="350">
        <v>30</v>
      </c>
      <c r="Q85" s="350">
        <v>30</v>
      </c>
      <c r="R85" s="350">
        <v>30</v>
      </c>
      <c r="S85" s="350">
        <v>30</v>
      </c>
      <c r="T85" s="350">
        <v>30</v>
      </c>
      <c r="U85" s="350">
        <v>30</v>
      </c>
      <c r="V85" s="350">
        <v>30</v>
      </c>
      <c r="W85" s="350">
        <v>30</v>
      </c>
      <c r="X85" s="350">
        <v>30</v>
      </c>
      <c r="Y85" s="350">
        <v>30</v>
      </c>
      <c r="Z85" s="351">
        <v>30</v>
      </c>
      <c r="AA85" s="349">
        <v>20</v>
      </c>
      <c r="AB85" s="350">
        <v>20</v>
      </c>
      <c r="AC85" s="350">
        <v>20</v>
      </c>
      <c r="AD85" s="350">
        <v>20</v>
      </c>
      <c r="AE85" s="350">
        <v>20</v>
      </c>
      <c r="AF85" s="350">
        <v>20</v>
      </c>
      <c r="AG85" s="350">
        <v>20</v>
      </c>
      <c r="AH85" s="350">
        <v>20</v>
      </c>
      <c r="AI85" s="350">
        <v>20</v>
      </c>
      <c r="AJ85" s="350">
        <v>20</v>
      </c>
      <c r="AK85" s="350">
        <v>20</v>
      </c>
      <c r="AL85" s="468">
        <v>20</v>
      </c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1"/>
    </row>
    <row r="86" spans="1:50" s="354" customFormat="1" outlineLevel="1" x14ac:dyDescent="0.35">
      <c r="A86" s="354" t="s">
        <v>40</v>
      </c>
      <c r="B86" s="354" t="s">
        <v>31</v>
      </c>
      <c r="F86" s="355" t="s">
        <v>382</v>
      </c>
      <c r="G86" s="356"/>
      <c r="H86" s="356" t="s">
        <v>41</v>
      </c>
      <c r="I86" s="358" t="s">
        <v>340</v>
      </c>
      <c r="J86" s="380"/>
      <c r="K86" s="357"/>
      <c r="L86" s="356"/>
      <c r="M86" s="356"/>
      <c r="N86" s="356"/>
      <c r="O86" s="350">
        <f>-IF('Rebate-Suntory'!$E$14="/tấn",'Rebate-Suntory'!$D$14,IF('Rebate-Suntory'!$E$14="giá trị",'Rebate-Suntory'!$D$14*(O84+O85+O87),0))</f>
        <v>-10</v>
      </c>
      <c r="P86" s="350">
        <f>-IF('Rebate-Suntory'!$E$14="/tấn",'Rebate-Suntory'!$D$14,IF('Rebate-Suntory'!$E$14="giá trị",'Rebate-Suntory'!$D$14*(P84+P85+P87),0))</f>
        <v>-10</v>
      </c>
      <c r="Q86" s="350">
        <f>-IF('Rebate-Suntory'!$E$14="/tấn",'Rebate-Suntory'!$D$14,IF('Rebate-Suntory'!$E$14="giá trị",'Rebate-Suntory'!$D$14*(Q84+Q85+Q87),0))</f>
        <v>-10</v>
      </c>
      <c r="R86" s="350">
        <f>-IF('Rebate-Suntory'!$E$14="/tấn",'Rebate-Suntory'!$D$14,IF('Rebate-Suntory'!$E$14="giá trị",'Rebate-Suntory'!$D$14*(R84+R85+R87),0))</f>
        <v>-10</v>
      </c>
      <c r="S86" s="350">
        <f>-IF('Rebate-Suntory'!$E$14="/tấn",'Rebate-Suntory'!$D$14,IF('Rebate-Suntory'!$E$14="giá trị",'Rebate-Suntory'!$D$14*(S84+S85+S87),0))</f>
        <v>-10</v>
      </c>
      <c r="T86" s="350">
        <f>-IF('Rebate-Suntory'!$E$14="/tấn",'Rebate-Suntory'!$D$14,IF('Rebate-Suntory'!$E$14="giá trị",'Rebate-Suntory'!$D$14*(T84+T85+T87),0))</f>
        <v>-10</v>
      </c>
      <c r="U86" s="350">
        <f>-IF('Rebate-Suntory'!$E$14="/tấn",'Rebate-Suntory'!$D$14,IF('Rebate-Suntory'!$E$14="giá trị",'Rebate-Suntory'!$D$14*(U84+U85+U87),0))</f>
        <v>-10</v>
      </c>
      <c r="V86" s="350">
        <f>-IF('Rebate-Suntory'!$E$14="/tấn",'Rebate-Suntory'!$D$14,IF('Rebate-Suntory'!$E$14="giá trị",'Rebate-Suntory'!$D$14*(V84+V85+V87),0))</f>
        <v>-10</v>
      </c>
      <c r="W86" s="350">
        <f>-IF('Rebate-Suntory'!$E$14="/tấn",'Rebate-Suntory'!$D$14,IF('Rebate-Suntory'!$E$14="giá trị",'Rebate-Suntory'!$D$14*(W84+W85+W87),0))</f>
        <v>-10</v>
      </c>
      <c r="X86" s="350">
        <f>-IF('Rebate-Suntory'!$E$14="/tấn",'Rebate-Suntory'!$D$14,IF('Rebate-Suntory'!$E$14="giá trị",'Rebate-Suntory'!$D$14*(X84+X85+X87),0))</f>
        <v>-10</v>
      </c>
      <c r="Y86" s="350">
        <f>-IF('Rebate-Suntory'!$E$14="/tấn",'Rebate-Suntory'!$D$14,IF('Rebate-Suntory'!$E$14="giá trị",'Rebate-Suntory'!$D$14*(Y84+Y85+Y87),0))</f>
        <v>-10</v>
      </c>
      <c r="Z86" s="351">
        <f>-IF('Rebate-Suntory'!$E$14="/tấn",'Rebate-Suntory'!$D$14,IF('Rebate-Suntory'!$E$14="giá trị",'Rebate-Suntory'!$D$14*(Z84+Z85+Z87),0))</f>
        <v>-10</v>
      </c>
      <c r="AA86" s="349">
        <f>-IF('Rebate-Suntory'!$J$14="/tấn",'Rebate-Suntory'!$I$14,IF('Rebate-Suntory'!$J$14="giá trị",'Rebate-Suntory'!$I$14*(AA84+AA85),0))</f>
        <v>-21.721875000000001</v>
      </c>
      <c r="AB86" s="350">
        <f>-IF('Rebate-Suntory'!$J$14="/tấn",'Rebate-Suntory'!$I$14,IF('Rebate-Suntory'!$J$14="giá trị",'Rebate-Suntory'!$I$14*(AB84+AB85),0))</f>
        <v>-21.146874999999977</v>
      </c>
      <c r="AC86" s="350">
        <f>-IF('Rebate-Suntory'!$J$14="/tấn",'Rebate-Suntory'!$I$14,IF('Rebate-Suntory'!$J$14="giá trị",'Rebate-Suntory'!$I$14*(AC84+AC85),0))</f>
        <v>-20.612499999999976</v>
      </c>
      <c r="AD86" s="350">
        <f>-IF('Rebate-Suntory'!$J$14="/tấn",'Rebate-Suntory'!$I$14,IF('Rebate-Suntory'!$J$14="giá trị",'Rebate-Suntory'!$I$14*(AD84+AD85),0))</f>
        <v>-20.625</v>
      </c>
      <c r="AE86" s="350">
        <f>-IF('Rebate-Suntory'!$J$14="/tấn",'Rebate-Suntory'!$I$14,IF('Rebate-Suntory'!$J$14="giá trị",'Rebate-Suntory'!$I$14*(AE84+AE85),0))</f>
        <v>-20.7</v>
      </c>
      <c r="AF86" s="350">
        <f>-IF('Rebate-Suntory'!$J$14="/tấn",'Rebate-Suntory'!$I$14,IF('Rebate-Suntory'!$J$14="giá trị",'Rebate-Suntory'!$I$14*(AF84+AF85),0))</f>
        <v>-20.7</v>
      </c>
      <c r="AG86" s="350">
        <f>-IF('Rebate-Suntory'!$J$14="/tấn",'Rebate-Suntory'!$I$14,IF('Rebate-Suntory'!$J$14="giá trị",'Rebate-Suntory'!$I$14*(AG84+AG85),0))</f>
        <v>-20.7</v>
      </c>
      <c r="AH86" s="350">
        <f>-IF('Rebate-Suntory'!$J$14="/tấn",'Rebate-Suntory'!$I$14,IF('Rebate-Suntory'!$J$14="giá trị",'Rebate-Suntory'!$I$14*(AH84+AH85),0))</f>
        <v>-20.43</v>
      </c>
      <c r="AI86" s="350">
        <f>-IF('Rebate-Suntory'!$J$14="/tấn",'Rebate-Suntory'!$I$14,IF('Rebate-Suntory'!$J$14="giá trị",'Rebate-Suntory'!$I$14*(AI84+AI85),0))</f>
        <v>-19.942499999999999</v>
      </c>
      <c r="AJ86" s="350">
        <f>-IF('Rebate-Suntory'!$J$14="/tấn",'Rebate-Suntory'!$I$14,IF('Rebate-Suntory'!$J$14="giá trị",'Rebate-Suntory'!$I$14*(AJ84+AJ85),0))</f>
        <v>-19.522500000000001</v>
      </c>
      <c r="AK86" s="350">
        <f>-IF('Rebate-Suntory'!$J$14="/tấn",'Rebate-Suntory'!$I$14,IF('Rebate-Suntory'!$J$14="giá trị",'Rebate-Suntory'!$I$14*(AK84+AK85),0))</f>
        <v>-19.184999999999999</v>
      </c>
      <c r="AL86" s="468">
        <f>-IF('Rebate-Suntory'!$J$14="/tấn",'Rebate-Suntory'!$I$14,IF('Rebate-Suntory'!$J$14="giá trị",'Rebate-Suntory'!$I$14*(AL84+AL85),0))</f>
        <v>-19.003125000000001</v>
      </c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1"/>
    </row>
    <row r="87" spans="1:50" s="354" customFormat="1" outlineLevel="1" x14ac:dyDescent="0.35">
      <c r="A87" s="354" t="s">
        <v>40</v>
      </c>
      <c r="B87" s="354" t="s">
        <v>31</v>
      </c>
      <c r="F87" s="355" t="s">
        <v>383</v>
      </c>
      <c r="G87" s="356"/>
      <c r="H87" s="356" t="s">
        <v>41</v>
      </c>
      <c r="I87" s="356" t="s">
        <v>42</v>
      </c>
      <c r="J87" s="380"/>
      <c r="K87" s="357"/>
      <c r="L87" s="356"/>
      <c r="M87" s="356"/>
      <c r="N87" s="356"/>
      <c r="O87" s="350">
        <v>26.5</v>
      </c>
      <c r="P87" s="350">
        <v>26.5</v>
      </c>
      <c r="Q87" s="350">
        <v>26.5</v>
      </c>
      <c r="R87" s="350">
        <v>26.5</v>
      </c>
      <c r="S87" s="350">
        <v>26.5</v>
      </c>
      <c r="T87" s="350">
        <v>26.5</v>
      </c>
      <c r="U87" s="350">
        <v>26.5</v>
      </c>
      <c r="V87" s="350">
        <v>26.5</v>
      </c>
      <c r="W87" s="350">
        <v>26.5</v>
      </c>
      <c r="X87" s="350">
        <v>26.5</v>
      </c>
      <c r="Y87" s="350">
        <v>26.5</v>
      </c>
      <c r="Z87" s="351">
        <v>26.5</v>
      </c>
      <c r="AA87" s="349">
        <v>26.5</v>
      </c>
      <c r="AB87" s="350">
        <v>26.5</v>
      </c>
      <c r="AC87" s="350">
        <v>26.5</v>
      </c>
      <c r="AD87" s="361">
        <v>26.5</v>
      </c>
      <c r="AE87" s="361">
        <v>26.5</v>
      </c>
      <c r="AF87" s="361">
        <v>26.5</v>
      </c>
      <c r="AG87" s="361">
        <v>26.5</v>
      </c>
      <c r="AH87" s="361">
        <v>26.5</v>
      </c>
      <c r="AI87" s="361">
        <v>26.5</v>
      </c>
      <c r="AJ87" s="361">
        <v>26.5</v>
      </c>
      <c r="AK87" s="361">
        <v>26.5</v>
      </c>
      <c r="AL87" s="476">
        <v>26.5</v>
      </c>
      <c r="AM87" s="350"/>
      <c r="AN87" s="350"/>
      <c r="AO87" s="350"/>
      <c r="AP87" s="361"/>
      <c r="AQ87" s="361"/>
      <c r="AR87" s="361"/>
      <c r="AS87" s="361"/>
      <c r="AT87" s="361"/>
      <c r="AU87" s="361"/>
      <c r="AV87" s="361"/>
      <c r="AW87" s="361"/>
      <c r="AX87" s="362"/>
    </row>
    <row r="88" spans="1:50" s="94" customFormat="1" outlineLevel="1" x14ac:dyDescent="0.35">
      <c r="A88" s="94" t="s">
        <v>40</v>
      </c>
      <c r="B88" s="94" t="s">
        <v>31</v>
      </c>
      <c r="D88" s="95" t="s">
        <v>162</v>
      </c>
      <c r="F88" s="278" t="s">
        <v>384</v>
      </c>
      <c r="G88" s="279"/>
      <c r="H88" s="279"/>
      <c r="I88" s="279" t="s">
        <v>8</v>
      </c>
      <c r="J88" s="381"/>
      <c r="K88" s="2"/>
      <c r="L88" s="279"/>
      <c r="M88" s="279"/>
      <c r="N88" s="279"/>
      <c r="O88" s="229">
        <f t="shared" ref="O88:AE88" si="73">O83-O87</f>
        <v>1320</v>
      </c>
      <c r="P88" s="229">
        <f t="shared" si="73"/>
        <v>1327.5</v>
      </c>
      <c r="Q88" s="229">
        <f t="shared" si="73"/>
        <v>1340</v>
      </c>
      <c r="R88" s="229">
        <f t="shared" si="73"/>
        <v>1342.5</v>
      </c>
      <c r="S88" s="229">
        <f t="shared" si="73"/>
        <v>1346.5</v>
      </c>
      <c r="T88" s="229">
        <f t="shared" si="73"/>
        <v>1361.5</v>
      </c>
      <c r="U88" s="229">
        <f t="shared" si="73"/>
        <v>1377.5</v>
      </c>
      <c r="V88" s="229">
        <f t="shared" si="73"/>
        <v>1388.5</v>
      </c>
      <c r="W88" s="229">
        <f t="shared" si="73"/>
        <v>1408.5</v>
      </c>
      <c r="X88" s="229">
        <f t="shared" si="73"/>
        <v>1436.25</v>
      </c>
      <c r="Y88" s="229">
        <f t="shared" si="73"/>
        <v>1453.75</v>
      </c>
      <c r="Z88" s="230">
        <f t="shared" si="73"/>
        <v>1457.5</v>
      </c>
      <c r="AA88" s="229">
        <f t="shared" si="73"/>
        <v>1426.403125</v>
      </c>
      <c r="AB88" s="229">
        <f t="shared" si="73"/>
        <v>1388.6447916666652</v>
      </c>
      <c r="AC88" s="229">
        <f t="shared" si="73"/>
        <v>1353.5541666666652</v>
      </c>
      <c r="AD88" s="229">
        <f t="shared" si="73"/>
        <v>1354.375</v>
      </c>
      <c r="AE88" s="229">
        <f t="shared" si="73"/>
        <v>1359.3</v>
      </c>
      <c r="AF88" s="229">
        <f t="shared" ref="AF88:AG88" si="74">AF83-AF87</f>
        <v>1359.3</v>
      </c>
      <c r="AG88" s="229">
        <f t="shared" si="74"/>
        <v>1359.3</v>
      </c>
      <c r="AH88" s="229">
        <f t="shared" ref="AH88:AI88" si="75">AH83-AH87</f>
        <v>1341.57</v>
      </c>
      <c r="AI88" s="229">
        <f t="shared" si="75"/>
        <v>1310.0574999999999</v>
      </c>
      <c r="AJ88" s="229">
        <f t="shared" ref="AJ88:AK88" si="76">AJ83-AJ87</f>
        <v>1310.4775</v>
      </c>
      <c r="AK88" s="229">
        <f t="shared" si="76"/>
        <v>1310.8150000000001</v>
      </c>
      <c r="AL88" s="470">
        <f t="shared" ref="AL88" si="77">AL83-AL87</f>
        <v>1310.996875</v>
      </c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30"/>
    </row>
    <row r="89" spans="1:50" s="186" customFormat="1" x14ac:dyDescent="0.35">
      <c r="A89" s="186" t="s">
        <v>40</v>
      </c>
      <c r="B89" s="186" t="s">
        <v>31</v>
      </c>
      <c r="C89" s="186" t="s">
        <v>44</v>
      </c>
      <c r="F89" s="280"/>
      <c r="G89" s="281"/>
      <c r="H89" s="281"/>
      <c r="I89" s="281"/>
      <c r="J89" s="382" t="s">
        <v>75</v>
      </c>
      <c r="K89" s="187"/>
      <c r="L89" s="291" cm="1">
        <f t="array" ref="L89">SUMPRODUCT(General_Data*(Year=L$3)*(Month=L$4)*(Code_General_Data=$C89))</f>
        <v>1288.125</v>
      </c>
      <c r="M89" s="291" cm="1">
        <f t="array" ref="M89">SUMPRODUCT(General_Data*(Year=M$3)*(Month=M$4)*(Code_General_Data=$C89))</f>
        <v>1300</v>
      </c>
      <c r="N89" s="291" cm="1">
        <f t="array" ref="N89">SUMPRODUCT(General_Data*(Year=N$3)*(Month=N$4)*(Code_General_Data=$C89))</f>
        <v>1300</v>
      </c>
      <c r="O89" s="204" cm="1">
        <f t="array" ref="O89">SUMPRODUCT(General_Data*(Year=O$3)*(Month=O$4)*(Code_General_Data=$C89))</f>
        <v>1315</v>
      </c>
      <c r="P89" s="204" cm="1">
        <f t="array" ref="P89">SUMPRODUCT(General_Data*(Year=P$3)*(Month=P$4)*(Code_General_Data=$C89))</f>
        <v>1325</v>
      </c>
      <c r="Q89" s="204" cm="1">
        <f t="array" ref="Q89">SUMPRODUCT(General_Data*(Year=Q$3)*(Month=Q$4)*(Code_General_Data=$C89))</f>
        <v>1320</v>
      </c>
      <c r="R89" s="204" cm="1">
        <f t="array" ref="R89">SUMPRODUCT(General_Data*(Year=R$3)*(Month=R$4)*(Code_General_Data=$C89))</f>
        <v>1333</v>
      </c>
      <c r="S89" s="204" cm="1">
        <f t="array" ref="S89">SUMPRODUCT(General_Data*(Year=S$3)*(Month=S$4)*(Code_General_Data=$C89))</f>
        <v>1350</v>
      </c>
      <c r="T89" s="204" cm="1">
        <f t="array" ref="T89">SUMPRODUCT(General_Data*(Year=T$3)*(Month=T$4)*(Code_General_Data=$C89))</f>
        <v>1365</v>
      </c>
      <c r="U89" s="204" cm="1">
        <f t="array" ref="U89">SUMPRODUCT(General_Data*(Year=U$3)*(Month=U$4)*(Code_General_Data=$C89))</f>
        <v>1372</v>
      </c>
      <c r="V89" s="204" cm="1">
        <f t="array" ref="V89">SUMPRODUCT(General_Data*(Year=V$3)*(Month=V$4)*(Code_General_Data=$C89))</f>
        <v>1405</v>
      </c>
      <c r="W89" s="204" cm="1">
        <f t="array" ref="W89">SUMPRODUCT(General_Data*(Year=W$3)*(Month=W$4)*(Code_General_Data=$C89))</f>
        <v>1427.5</v>
      </c>
      <c r="X89" s="204" cm="1">
        <f t="array" ref="X89">SUMPRODUCT(General_Data*(Year=X$3)*(Month=X$4)*(Code_General_Data=$C89))</f>
        <v>1440</v>
      </c>
      <c r="Y89" s="204" cm="1">
        <f t="array" ref="Y89">SUMPRODUCT(General_Data*(Year=Y$3)*(Month=Y$4)*(Code_General_Data=$C89))</f>
        <v>1435</v>
      </c>
      <c r="Z89" s="206" cm="1">
        <f t="array" ref="Z89">SUMPRODUCT(General_Data*(Year=Z$3)*(Month=Z$4)*(Code_General_Data=$C89))</f>
        <v>1421.25</v>
      </c>
      <c r="AA89" s="204" cm="1">
        <f t="array" ref="AA89">SUMPRODUCT(General_Data*(Year=AA$3)*(Month=AA$4)*(Code_General_Data=$C89))</f>
        <v>1358.3333333333301</v>
      </c>
      <c r="AB89" s="204" cm="1">
        <f t="array" ref="AB89">SUMPRODUCT(General_Data*(Year=AB$3)*(Month=AB$4)*(Code_General_Data=$C89))</f>
        <v>1350</v>
      </c>
      <c r="AC89" s="204" cm="1">
        <f t="array" ref="AC89">SUMPRODUCT(General_Data*(Year=AC$3)*(Month=AC$4)*(Code_General_Data=$C89))</f>
        <v>1360</v>
      </c>
      <c r="AD89" s="204" cm="1">
        <f t="array" ref="AD89">SUMPRODUCT(General_Data*(Year=AD$3)*(Month=AD$4)*(Code_General_Data=$C89))</f>
        <v>1360</v>
      </c>
      <c r="AE89" s="204" cm="1">
        <f t="array" ref="AE89">SUMPRODUCT(General_Data*(Year=AE$3)*(Month=AE$4)*(Code_General_Data=$C89))</f>
        <v>1360</v>
      </c>
      <c r="AF89" s="204" cm="1">
        <f t="array" ref="AF89">SUMPRODUCT(General_Data*(Year=AF$3)*(Month=AF$4)*(Code_General_Data=$C89))</f>
        <v>1360</v>
      </c>
      <c r="AG89" s="204" cm="1">
        <f t="array" ref="AG89">SUMPRODUCT(General_Data*(Year=AG$3)*(Month=AG$4)*(Code_General_Data=$C89))</f>
        <v>1324</v>
      </c>
      <c r="AH89" s="204" cm="1">
        <f t="array" ref="AH89">SUMPRODUCT(General_Data*(Year=AH$3)*(Month=AH$4)*(Code_General_Data=$C89))</f>
        <v>1295</v>
      </c>
      <c r="AI89" s="204" cm="1">
        <f t="array" ref="AI89">SUMPRODUCT(General_Data*(Year=AI$3)*(Month=AI$4)*(Code_General_Data=$C89))</f>
        <v>1268</v>
      </c>
      <c r="AJ89" s="204" cm="1">
        <f t="array" ref="AJ89">SUMPRODUCT(General_Data*(Year=AJ$3)*(Month=AJ$4)*(Code_General_Data=$C89))</f>
        <v>1250</v>
      </c>
      <c r="AK89" s="204" cm="1">
        <f t="array" ref="AK89">SUMPRODUCT(General_Data*(Year=AK$3)*(Month=AK$4)*(Code_General_Data=$C89))</f>
        <v>1243.75</v>
      </c>
      <c r="AL89" s="471" cm="1">
        <f t="array" ref="AL89">SUMPRODUCT(General_Data*(Year=AL$3)*(Month=AL$4)*(Code_General_Data=$C89))</f>
        <v>0</v>
      </c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6"/>
    </row>
    <row r="90" spans="1:50" s="97" customFormat="1" outlineLevel="1" x14ac:dyDescent="0.35">
      <c r="A90" s="97" t="s">
        <v>40</v>
      </c>
      <c r="B90" s="97" t="s">
        <v>31</v>
      </c>
      <c r="F90" s="196" t="s">
        <v>385</v>
      </c>
      <c r="G90" s="107"/>
      <c r="H90" s="107"/>
      <c r="I90" s="107"/>
      <c r="J90" s="373" t="s">
        <v>47</v>
      </c>
      <c r="K90" s="109"/>
      <c r="L90" s="199"/>
      <c r="M90" s="199"/>
      <c r="N90" s="199"/>
      <c r="O90" s="313" cm="1">
        <f t="array" ref="O90">INDEX(Note!$J$3:$J$101,MATCH(1,(Note!$A$3:$A$101=$A90)*(Note!$C$3:$C$101=$B90)*(Note!$E$3:$E$101&lt;=O$1)*(Note!$F$3:$F$101&gt;=O$2),0))</f>
        <v>0</v>
      </c>
      <c r="P90" s="313" cm="1">
        <f t="array" ref="P90">INDEX(Note!$J$3:$J$101,MATCH(1,(Note!$A$3:$A$101=$A90)*(Note!$C$3:$C$101=$B90)*(Note!$E$3:$E$101&lt;=P$1)*(Note!$F$3:$F$101&gt;=P$2),0))</f>
        <v>0</v>
      </c>
      <c r="Q90" s="313" cm="1">
        <f t="array" ref="Q90">INDEX(Note!$J$3:$J$101,MATCH(1,(Note!$A$3:$A$101=$A90)*(Note!$C$3:$C$101=$B90)*(Note!$E$3:$E$101&lt;=Q$1)*(Note!$F$3:$F$101&gt;=Q$2),0))</f>
        <v>0</v>
      </c>
      <c r="R90" s="313" cm="1">
        <f t="array" ref="R90">INDEX(Note!$J$3:$J$101,MATCH(1,(Note!$A$3:$A$101=$A90)*(Note!$C$3:$C$101=$B90)*(Note!$E$3:$E$101&lt;=R$1)*(Note!$F$3:$F$101&gt;=R$2),0))</f>
        <v>0</v>
      </c>
      <c r="S90" s="313" cm="1">
        <f t="array" ref="S90">INDEX(Note!$J$3:$J$101,MATCH(1,(Note!$A$3:$A$101=$A90)*(Note!$C$3:$C$101=$B90)*(Note!$E$3:$E$101&lt;=S$1)*(Note!$F$3:$F$101&gt;=S$2),0))</f>
        <v>0</v>
      </c>
      <c r="T90" s="313" cm="1">
        <f t="array" ref="T90">INDEX(Note!$J$3:$J$101,MATCH(1,(Note!$A$3:$A$101=$A90)*(Note!$C$3:$C$101=$B90)*(Note!$E$3:$E$101&lt;=T$1)*(Note!$F$3:$F$101&gt;=T$2),0))</f>
        <v>0</v>
      </c>
      <c r="U90" s="313" cm="1">
        <f t="array" ref="U90">INDEX(Note!$J$3:$J$101,MATCH(1,(Note!$A$3:$A$101=$A90)*(Note!$C$3:$C$101=$B90)*(Note!$E$3:$E$101&lt;=U$1)*(Note!$F$3:$F$101&gt;=U$2),0))</f>
        <v>0</v>
      </c>
      <c r="V90" s="313" cm="1">
        <f t="array" ref="V90">INDEX(Note!$J$3:$J$101,MATCH(1,(Note!$A$3:$A$101=$A90)*(Note!$C$3:$C$101=$B90)*(Note!$E$3:$E$101&lt;=V$1)*(Note!$F$3:$F$101&gt;=V$2),0))</f>
        <v>0</v>
      </c>
      <c r="W90" s="313" cm="1">
        <f t="array" ref="W90">INDEX(Note!$J$3:$J$101,MATCH(1,(Note!$A$3:$A$101=$A90)*(Note!$C$3:$C$101=$B90)*(Note!$E$3:$E$101&lt;=W$1)*(Note!$F$3:$F$101&gt;=W$2),0))</f>
        <v>0</v>
      </c>
      <c r="X90" s="313" cm="1">
        <f t="array" ref="X90">INDEX(Note!$J$3:$J$101,MATCH(1,(Note!$A$3:$A$101=$A90)*(Note!$C$3:$C$101=$B90)*(Note!$E$3:$E$101&lt;=X$1)*(Note!$F$3:$F$101&gt;=X$2),0))</f>
        <v>0</v>
      </c>
      <c r="Y90" s="313" cm="1">
        <f t="array" ref="Y90">INDEX(Note!$J$3:$J$101,MATCH(1,(Note!$A$3:$A$101=$A90)*(Note!$C$3:$C$101=$B90)*(Note!$E$3:$E$101&lt;=Y$1)*(Note!$F$3:$F$101&gt;=Y$2),0))</f>
        <v>0</v>
      </c>
      <c r="Z90" s="314" cm="1">
        <f t="array" ref="Z90">INDEX(Note!$J$3:$J$101,MATCH(1,(Note!$A$3:$A$101=$A90)*(Note!$C$3:$C$101=$B90)*(Note!$E$3:$E$101&lt;=Z$1)*(Note!$F$3:$F$101&gt;=Z$2),0))</f>
        <v>0</v>
      </c>
      <c r="AA90" s="313" cm="1">
        <f t="array" ref="AA90">INDEX(Note!$J$3:$J$101,MATCH(1,(Note!$A$3:$A$101=$A90)*(Note!$C$3:$C$101=$B90)*(Note!$E$3:$E$101&lt;=AA$1)*(Note!$F$3:$F$101&gt;=AA$2),0))</f>
        <v>1550</v>
      </c>
      <c r="AB90" s="313" cm="1">
        <f t="array" ref="AB90">INDEX(Note!$J$3:$J$101,MATCH(1,(Note!$A$3:$A$101=$A90)*(Note!$C$3:$C$101=$B90)*(Note!$E$3:$E$101&lt;=AB$1)*(Note!$F$3:$F$101&gt;=AB$2),0))</f>
        <v>1550</v>
      </c>
      <c r="AC90" s="313" cm="1">
        <f t="array" ref="AC90">INDEX(Note!$J$3:$J$101,MATCH(1,(Note!$A$3:$A$101=$A90)*(Note!$C$3:$C$101=$B90)*(Note!$E$3:$E$101&lt;=AC$1)*(Note!$F$3:$F$101&gt;=AC$2),0))</f>
        <v>1550</v>
      </c>
      <c r="AD90" s="313" cm="1">
        <f t="array" ref="AD90">INDEX(Note!$J$3:$J$101,MATCH(1,(Note!$A$3:$A$101=$A90)*(Note!$C$3:$C$101=$B90)*(Note!$E$3:$E$101&lt;=AD$1)*(Note!$F$3:$F$101&gt;=AD$2),0))</f>
        <v>1550</v>
      </c>
      <c r="AE90" s="313" cm="1">
        <f t="array" ref="AE90">INDEX(Note!$J$3:$J$101,MATCH(1,(Note!$A$3:$A$101=$A90)*(Note!$C$3:$C$101=$B90)*(Note!$E$3:$E$101&lt;=AE$1)*(Note!$F$3:$F$101&gt;=AE$2),0))</f>
        <v>1550</v>
      </c>
      <c r="AF90" s="313" cm="1">
        <f t="array" ref="AF90">INDEX(Note!$J$3:$J$101,MATCH(1,(Note!$A$3:$A$101=$A90)*(Note!$C$3:$C$101=$B90)*(Note!$E$3:$E$101&lt;=AF$1)*(Note!$F$3:$F$101&gt;=AF$2),0))</f>
        <v>1550</v>
      </c>
      <c r="AG90" s="313" cm="1">
        <f t="array" ref="AG90">INDEX(Note!$J$3:$J$101,MATCH(1,(Note!$A$3:$A$101=$A90)*(Note!$C$3:$C$101=$B90)*(Note!$E$3:$E$101&lt;=AG$1)*(Note!$F$3:$F$101&gt;=AG$2),0))</f>
        <v>1550</v>
      </c>
      <c r="AH90" s="313" cm="1">
        <f t="array" ref="AH90">INDEX(Note!$J$3:$J$101,MATCH(1,(Note!$A$3:$A$101=$A90)*(Note!$C$3:$C$101=$B90)*(Note!$E$3:$E$101&lt;=AH$1)*(Note!$F$3:$F$101&gt;=AH$2),0))</f>
        <v>1550</v>
      </c>
      <c r="AI90" s="313" cm="1">
        <f t="array" ref="AI90">INDEX(Note!$J$3:$J$101,MATCH(1,(Note!$A$3:$A$101=$A90)*(Note!$C$3:$C$101=$B90)*(Note!$E$3:$E$101&lt;=AI$1)*(Note!$F$3:$F$101&gt;=AI$2),0))</f>
        <v>1550</v>
      </c>
      <c r="AJ90" s="313" cm="1">
        <f t="array" ref="AJ90">INDEX(Note!$J$3:$J$101,MATCH(1,(Note!$A$3:$A$101=$A90)*(Note!$C$3:$C$101=$B90)*(Note!$E$3:$E$101&lt;=AJ$1)*(Note!$F$3:$F$101&gt;=AJ$2),0))</f>
        <v>1550</v>
      </c>
      <c r="AK90" s="313" cm="1">
        <f t="array" ref="AK90">INDEX(Note!$J$3:$J$101,MATCH(1,(Note!$A$3:$A$101=$A90)*(Note!$C$3:$C$101=$B90)*(Note!$E$3:$E$101&lt;=AK$1)*(Note!$F$3:$F$101&gt;=AK$2),0))</f>
        <v>1550</v>
      </c>
      <c r="AL90" s="472" cm="1">
        <f t="array" ref="AL90">INDEX(Note!$J$3:$J$101,MATCH(1,(Note!$A$3:$A$101=$A90)*(Note!$C$3:$C$101=$B90)*(Note!$E$3:$E$101&lt;=AL$1)*(Note!$F$3:$F$101&gt;=AL$2),0))</f>
        <v>1550</v>
      </c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4"/>
    </row>
    <row r="91" spans="1:50" s="97" customFormat="1" outlineLevel="1" x14ac:dyDescent="0.35">
      <c r="A91" s="97" t="s">
        <v>40</v>
      </c>
      <c r="B91" s="97" t="s">
        <v>31</v>
      </c>
      <c r="F91" s="196" t="s">
        <v>386</v>
      </c>
      <c r="G91" s="107"/>
      <c r="H91" s="107"/>
      <c r="I91" s="107"/>
      <c r="J91" s="373" t="s">
        <v>48</v>
      </c>
      <c r="K91" s="109"/>
      <c r="L91" s="199"/>
      <c r="M91" s="199"/>
      <c r="N91" s="199"/>
      <c r="O91" s="313" cm="1">
        <f t="array" ref="O91">INDEX(Note!$K$3:$K$101,MATCH(1,(Note!$A$3:$A$101=$A91)*(Note!$C$3:$C$101=$B91)*(Note!$E$3:$E$101&lt;=O$1)*(Note!$F$3:$F$101&gt;=O$2),0))</f>
        <v>0</v>
      </c>
      <c r="P91" s="313" cm="1">
        <f t="array" ref="P91">INDEX(Note!$K$3:$K$101,MATCH(1,(Note!$A$3:$A$101=$A91)*(Note!$C$3:$C$101=$B91)*(Note!$E$3:$E$101&lt;=P$1)*(Note!$F$3:$F$101&gt;=P$2),0))</f>
        <v>0</v>
      </c>
      <c r="Q91" s="313" cm="1">
        <f t="array" ref="Q91">INDEX(Note!$K$3:$K$101,MATCH(1,(Note!$A$3:$A$101=$A91)*(Note!$C$3:$C$101=$B91)*(Note!$E$3:$E$101&lt;=Q$1)*(Note!$F$3:$F$101&gt;=Q$2),0))</f>
        <v>0</v>
      </c>
      <c r="R91" s="313" cm="1">
        <f t="array" ref="R91">INDEX(Note!$K$3:$K$101,MATCH(1,(Note!$A$3:$A$101=$A91)*(Note!$C$3:$C$101=$B91)*(Note!$E$3:$E$101&lt;=R$1)*(Note!$F$3:$F$101&gt;=R$2),0))</f>
        <v>0</v>
      </c>
      <c r="S91" s="313" cm="1">
        <f t="array" ref="S91">INDEX(Note!$K$3:$K$101,MATCH(1,(Note!$A$3:$A$101=$A91)*(Note!$C$3:$C$101=$B91)*(Note!$E$3:$E$101&lt;=S$1)*(Note!$F$3:$F$101&gt;=S$2),0))</f>
        <v>0</v>
      </c>
      <c r="T91" s="313" cm="1">
        <f t="array" ref="T91">INDEX(Note!$K$3:$K$101,MATCH(1,(Note!$A$3:$A$101=$A91)*(Note!$C$3:$C$101=$B91)*(Note!$E$3:$E$101&lt;=T$1)*(Note!$F$3:$F$101&gt;=T$2),0))</f>
        <v>0</v>
      </c>
      <c r="U91" s="313" cm="1">
        <f t="array" ref="U91">INDEX(Note!$K$3:$K$101,MATCH(1,(Note!$A$3:$A$101=$A91)*(Note!$C$3:$C$101=$B91)*(Note!$E$3:$E$101&lt;=U$1)*(Note!$F$3:$F$101&gt;=U$2),0))</f>
        <v>0</v>
      </c>
      <c r="V91" s="313" cm="1">
        <f t="array" ref="V91">INDEX(Note!$K$3:$K$101,MATCH(1,(Note!$A$3:$A$101=$A91)*(Note!$C$3:$C$101=$B91)*(Note!$E$3:$E$101&lt;=V$1)*(Note!$F$3:$F$101&gt;=V$2),0))</f>
        <v>0</v>
      </c>
      <c r="W91" s="313" cm="1">
        <f t="array" ref="W91">INDEX(Note!$K$3:$K$101,MATCH(1,(Note!$A$3:$A$101=$A91)*(Note!$C$3:$C$101=$B91)*(Note!$E$3:$E$101&lt;=W$1)*(Note!$F$3:$F$101&gt;=W$2),0))</f>
        <v>0</v>
      </c>
      <c r="X91" s="313" cm="1">
        <f t="array" ref="X91">INDEX(Note!$K$3:$K$101,MATCH(1,(Note!$A$3:$A$101=$A91)*(Note!$C$3:$C$101=$B91)*(Note!$E$3:$E$101&lt;=X$1)*(Note!$F$3:$F$101&gt;=X$2),0))</f>
        <v>0</v>
      </c>
      <c r="Y91" s="313" cm="1">
        <f t="array" ref="Y91">INDEX(Note!$K$3:$K$101,MATCH(1,(Note!$A$3:$A$101=$A91)*(Note!$C$3:$C$101=$B91)*(Note!$E$3:$E$101&lt;=Y$1)*(Note!$F$3:$F$101&gt;=Y$2),0))</f>
        <v>0</v>
      </c>
      <c r="Z91" s="314" cm="1">
        <f t="array" ref="Z91">INDEX(Note!$K$3:$K$101,MATCH(1,(Note!$A$3:$A$101=$A91)*(Note!$C$3:$C$101=$B91)*(Note!$E$3:$E$101&lt;=Z$1)*(Note!$F$3:$F$101&gt;=Z$2),0))</f>
        <v>0</v>
      </c>
      <c r="AA91" s="313" cm="1">
        <f t="array" ref="AA91">INDEX(Note!$K$3:$K$101,MATCH(1,(Note!$A$3:$A$101=$A91)*(Note!$C$3:$C$101=$B91)*(Note!$E$3:$E$101&lt;=AA$1)*(Note!$F$3:$F$101&gt;=AA$2),0))</f>
        <v>1330</v>
      </c>
      <c r="AB91" s="313" cm="1">
        <f t="array" ref="AB91">INDEX(Note!$K$3:$K$101,MATCH(1,(Note!$A$3:$A$101=$A91)*(Note!$C$3:$C$101=$B91)*(Note!$E$3:$E$101&lt;=AB$1)*(Note!$F$3:$F$101&gt;=AB$2),0))</f>
        <v>1330</v>
      </c>
      <c r="AC91" s="313" cm="1">
        <f t="array" ref="AC91">INDEX(Note!$K$3:$K$101,MATCH(1,(Note!$A$3:$A$101=$A91)*(Note!$C$3:$C$101=$B91)*(Note!$E$3:$E$101&lt;=AC$1)*(Note!$F$3:$F$101&gt;=AC$2),0))</f>
        <v>1330</v>
      </c>
      <c r="AD91" s="313" cm="1">
        <f t="array" ref="AD91">INDEX(Note!$K$3:$K$101,MATCH(1,(Note!$A$3:$A$101=$A91)*(Note!$C$3:$C$101=$B91)*(Note!$E$3:$E$101&lt;=AD$1)*(Note!$F$3:$F$101&gt;=AD$2),0))</f>
        <v>1330</v>
      </c>
      <c r="AE91" s="313" cm="1">
        <f t="array" ref="AE91">INDEX(Note!$K$3:$K$101,MATCH(1,(Note!$A$3:$A$101=$A91)*(Note!$C$3:$C$101=$B91)*(Note!$E$3:$E$101&lt;=AE$1)*(Note!$F$3:$F$101&gt;=AE$2),0))</f>
        <v>1330</v>
      </c>
      <c r="AF91" s="313" cm="1">
        <f t="array" ref="AF91">INDEX(Note!$K$3:$K$101,MATCH(1,(Note!$A$3:$A$101=$A91)*(Note!$C$3:$C$101=$B91)*(Note!$E$3:$E$101&lt;=AF$1)*(Note!$F$3:$F$101&gt;=AF$2),0))</f>
        <v>1330</v>
      </c>
      <c r="AG91" s="313" cm="1">
        <f t="array" ref="AG91">INDEX(Note!$K$3:$K$101,MATCH(1,(Note!$A$3:$A$101=$A91)*(Note!$C$3:$C$101=$B91)*(Note!$E$3:$E$101&lt;=AG$1)*(Note!$F$3:$F$101&gt;=AG$2),0))</f>
        <v>1330</v>
      </c>
      <c r="AH91" s="313" cm="1">
        <f t="array" ref="AH91">INDEX(Note!$K$3:$K$101,MATCH(1,(Note!$A$3:$A$101=$A91)*(Note!$C$3:$C$101=$B91)*(Note!$E$3:$E$101&lt;=AH$1)*(Note!$F$3:$F$101&gt;=AH$2),0))</f>
        <v>1330</v>
      </c>
      <c r="AI91" s="313" cm="1">
        <f t="array" ref="AI91">INDEX(Note!$K$3:$K$101,MATCH(1,(Note!$A$3:$A$101=$A91)*(Note!$C$3:$C$101=$B91)*(Note!$E$3:$E$101&lt;=AI$1)*(Note!$F$3:$F$101&gt;=AI$2),0))</f>
        <v>1330</v>
      </c>
      <c r="AJ91" s="313" cm="1">
        <f t="array" ref="AJ91">INDEX(Note!$K$3:$K$101,MATCH(1,(Note!$A$3:$A$101=$A91)*(Note!$C$3:$C$101=$B91)*(Note!$E$3:$E$101&lt;=AJ$1)*(Note!$F$3:$F$101&gt;=AJ$2),0))</f>
        <v>1330</v>
      </c>
      <c r="AK91" s="313" cm="1">
        <f t="array" ref="AK91">INDEX(Note!$K$3:$K$101,MATCH(1,(Note!$A$3:$A$101=$A91)*(Note!$C$3:$C$101=$B91)*(Note!$E$3:$E$101&lt;=AK$1)*(Note!$F$3:$F$101&gt;=AK$2),0))</f>
        <v>1330</v>
      </c>
      <c r="AL91" s="472" cm="1">
        <f t="array" ref="AL91">INDEX(Note!$K$3:$K$101,MATCH(1,(Note!$A$3:$A$101=$A91)*(Note!$C$3:$C$101=$B91)*(Note!$E$3:$E$101&lt;=AL$1)*(Note!$F$3:$F$101&gt;=AL$2),0))</f>
        <v>1330</v>
      </c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4"/>
    </row>
    <row r="92" spans="1:50" s="188" customFormat="1" outlineLevel="1" x14ac:dyDescent="0.35">
      <c r="A92" s="188" t="s">
        <v>40</v>
      </c>
      <c r="B92" s="188" t="s">
        <v>31</v>
      </c>
      <c r="F92" s="286" t="s">
        <v>387</v>
      </c>
      <c r="G92" s="287"/>
      <c r="H92" s="287"/>
      <c r="I92" s="287"/>
      <c r="J92" s="383" t="s">
        <v>203</v>
      </c>
      <c r="K92" s="189"/>
      <c r="L92" s="295"/>
      <c r="M92" s="295"/>
      <c r="N92" s="295"/>
      <c r="O92" s="315" cm="1">
        <f t="array" ref="O92">SUMPRODUCT(General_Data*(Year=O$3)*(Month=O$4)*(Code_General_Data=$B92))</f>
        <v>1280</v>
      </c>
      <c r="P92" s="315" cm="1">
        <f t="array" ref="P92">SUMPRODUCT(General_Data*(Year=P$3)*(Month=P$4)*(Code_General_Data=$B92))</f>
        <v>1280</v>
      </c>
      <c r="Q92" s="315" cm="1">
        <f t="array" ref="Q92">SUMPRODUCT(General_Data*(Year=Q$3)*(Month=Q$4)*(Code_General_Data=$B92))</f>
        <v>1280</v>
      </c>
      <c r="R92" s="315" cm="1">
        <f t="array" ref="R92">SUMPRODUCT(General_Data*(Year=R$3)*(Month=R$4)*(Code_General_Data=$B92))</f>
        <v>1280</v>
      </c>
      <c r="S92" s="315" cm="1">
        <f t="array" ref="S92">SUMPRODUCT(General_Data*(Year=S$3)*(Month=S$4)*(Code_General_Data=$B92))</f>
        <v>1330</v>
      </c>
      <c r="T92" s="315" cm="1">
        <f t="array" ref="T92">SUMPRODUCT(General_Data*(Year=T$3)*(Month=T$4)*(Code_General_Data=$B92))</f>
        <v>1330</v>
      </c>
      <c r="U92" s="315" cm="1">
        <f t="array" ref="U92">SUMPRODUCT(General_Data*(Year=U$3)*(Month=U$4)*(Code_General_Data=$B92))</f>
        <v>1330</v>
      </c>
      <c r="V92" s="315" cm="1">
        <f t="array" ref="V92">SUMPRODUCT(General_Data*(Year=V$3)*(Month=V$4)*(Code_General_Data=$B92))</f>
        <v>1330</v>
      </c>
      <c r="W92" s="315" cm="1">
        <f t="array" ref="W92">SUMPRODUCT(General_Data*(Year=W$3)*(Month=W$4)*(Code_General_Data=$B92))</f>
        <v>1340</v>
      </c>
      <c r="X92" s="315" cm="1">
        <f t="array" ref="X92">SUMPRODUCT(General_Data*(Year=X$3)*(Month=X$4)*(Code_General_Data=$B92))</f>
        <v>1355</v>
      </c>
      <c r="Y92" s="315" cm="1">
        <f t="array" ref="Y92">SUMPRODUCT(General_Data*(Year=Y$3)*(Month=Y$4)*(Code_General_Data=$B92))</f>
        <v>1355</v>
      </c>
      <c r="Z92" s="316" cm="1">
        <f t="array" ref="Z92">SUMPRODUCT(General_Data*(Year=Z$3)*(Month=Z$4)*(Code_General_Data=$B92))</f>
        <v>1305</v>
      </c>
      <c r="AA92" s="315" cm="1">
        <f t="array" ref="AA92">SUMPRODUCT(General_Data*(Year=AA$3)*(Month=AA$4)*(Code_General_Data=$B92))</f>
        <v>1260</v>
      </c>
      <c r="AB92" s="315" cm="1">
        <f t="array" ref="AB92">SUMPRODUCT(General_Data*(Year=AB$3)*(Month=AB$4)*(Code_General_Data=$B92))</f>
        <v>1260</v>
      </c>
      <c r="AC92" s="315" cm="1">
        <f t="array" ref="AC92">SUMPRODUCT(General_Data*(Year=AC$3)*(Month=AC$4)*(Code_General_Data=$B92))</f>
        <v>1260</v>
      </c>
      <c r="AD92" s="315" cm="1">
        <f t="array" ref="AD92">SUMPRODUCT(General_Data*(Year=AD$3)*(Month=AD$4)*(Code_General_Data=$B92))</f>
        <v>1280</v>
      </c>
      <c r="AE92" s="315" cm="1">
        <f t="array" ref="AE92">SUMPRODUCT(General_Data*(Year=AE$3)*(Month=AE$4)*(Code_General_Data=$B92))</f>
        <v>1280</v>
      </c>
      <c r="AF92" s="315" cm="1">
        <f t="array" ref="AF92">SUMPRODUCT(General_Data*(Year=AF$3)*(Month=AF$4)*(Code_General_Data=$B92))</f>
        <v>1280</v>
      </c>
      <c r="AG92" s="315" cm="1">
        <f t="array" ref="AG92">SUMPRODUCT(General_Data*(Year=AG$3)*(Month=AG$4)*(Code_General_Data=$B92))</f>
        <v>1280</v>
      </c>
      <c r="AH92" s="315" cm="1">
        <f t="array" ref="AH92">SUMPRODUCT(General_Data*(Year=AH$3)*(Month=AH$4)*(Code_General_Data=$B92))</f>
        <v>1250</v>
      </c>
      <c r="AI92" s="315" cm="1">
        <f t="array" ref="AI92">SUMPRODUCT(General_Data*(Year=AI$3)*(Month=AI$4)*(Code_General_Data=$B92))</f>
        <v>1250</v>
      </c>
      <c r="AJ92" s="315" cm="1">
        <f t="array" ref="AJ92">SUMPRODUCT(General_Data*(Year=AJ$3)*(Month=AJ$4)*(Code_General_Data=$B92))</f>
        <v>1240</v>
      </c>
      <c r="AK92" s="315" cm="1">
        <f t="array" ref="AK92">SUMPRODUCT(General_Data*(Year=AK$3)*(Month=AK$4)*(Code_General_Data=$B92))</f>
        <v>1230</v>
      </c>
      <c r="AL92" s="473" cm="1">
        <f t="array" ref="AL92">SUMPRODUCT(General_Data*(Year=AL$3)*(Month=AL$4)*(Code_General_Data=$B92))</f>
        <v>1230</v>
      </c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6"/>
    </row>
    <row r="93" spans="1:50" s="97" customFormat="1" outlineLevel="1" x14ac:dyDescent="0.35">
      <c r="F93" s="196"/>
      <c r="G93" s="107"/>
      <c r="H93" s="107"/>
      <c r="I93" s="107"/>
      <c r="J93" s="373" t="s">
        <v>431</v>
      </c>
      <c r="K93" s="109"/>
      <c r="L93" s="199"/>
      <c r="M93" s="199"/>
      <c r="N93" s="199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4"/>
      <c r="AA93" s="313">
        <f>AA90+AA86</f>
        <v>1528.278125</v>
      </c>
      <c r="AB93" s="313">
        <f t="shared" ref="AB93:AG93" si="78">AB90+AB86</f>
        <v>1528.8531250000001</v>
      </c>
      <c r="AC93" s="313">
        <f t="shared" si="78"/>
        <v>1529.3875</v>
      </c>
      <c r="AD93" s="313">
        <f t="shared" si="78"/>
        <v>1529.375</v>
      </c>
      <c r="AE93" s="313">
        <f t="shared" si="78"/>
        <v>1529.3</v>
      </c>
      <c r="AF93" s="313">
        <f t="shared" si="78"/>
        <v>1529.3</v>
      </c>
      <c r="AG93" s="313">
        <f t="shared" si="78"/>
        <v>1529.3</v>
      </c>
      <c r="AH93" s="313">
        <f t="shared" ref="AH93:AI93" si="79">AH90+AH86</f>
        <v>1529.57</v>
      </c>
      <c r="AI93" s="313">
        <f t="shared" si="79"/>
        <v>1530.0574999999999</v>
      </c>
      <c r="AJ93" s="313">
        <f t="shared" ref="AJ93:AK93" si="80">AJ90+AJ86</f>
        <v>1530.4775</v>
      </c>
      <c r="AK93" s="313">
        <f t="shared" si="80"/>
        <v>1530.8150000000001</v>
      </c>
      <c r="AL93" s="472">
        <f t="shared" ref="AL93" si="81">AL90+AL86</f>
        <v>1530.996875</v>
      </c>
      <c r="AM93" s="313"/>
      <c r="AN93" s="313"/>
      <c r="AO93" s="313"/>
      <c r="AP93" s="313"/>
      <c r="AQ93" s="313"/>
      <c r="AR93" s="313"/>
      <c r="AS93" s="313"/>
      <c r="AT93" s="313"/>
      <c r="AU93" s="313"/>
      <c r="AV93" s="313"/>
      <c r="AW93" s="313"/>
      <c r="AX93" s="314"/>
    </row>
    <row r="94" spans="1:50" s="97" customFormat="1" outlineLevel="1" x14ac:dyDescent="0.35">
      <c r="F94" s="196"/>
      <c r="G94" s="107"/>
      <c r="H94" s="107"/>
      <c r="I94" s="107"/>
      <c r="J94" s="373" t="s">
        <v>432</v>
      </c>
      <c r="K94" s="109"/>
      <c r="L94" s="199"/>
      <c r="M94" s="199"/>
      <c r="N94" s="199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4"/>
      <c r="AA94" s="313">
        <f>AA91+AA86</f>
        <v>1308.278125</v>
      </c>
      <c r="AB94" s="313">
        <f t="shared" ref="AB94:AG94" si="82">AB91+AB86</f>
        <v>1308.8531250000001</v>
      </c>
      <c r="AC94" s="313">
        <f t="shared" si="82"/>
        <v>1309.3875</v>
      </c>
      <c r="AD94" s="313">
        <f t="shared" si="82"/>
        <v>1309.375</v>
      </c>
      <c r="AE94" s="313">
        <f t="shared" si="82"/>
        <v>1309.3</v>
      </c>
      <c r="AF94" s="313">
        <f t="shared" si="82"/>
        <v>1309.3</v>
      </c>
      <c r="AG94" s="313">
        <f t="shared" si="82"/>
        <v>1309.3</v>
      </c>
      <c r="AH94" s="313">
        <f t="shared" ref="AH94:AI94" si="83">AH91+AH86</f>
        <v>1309.57</v>
      </c>
      <c r="AI94" s="313">
        <f t="shared" si="83"/>
        <v>1310.0574999999999</v>
      </c>
      <c r="AJ94" s="313">
        <f t="shared" ref="AJ94:AK94" si="84">AJ91+AJ86</f>
        <v>1310.4775</v>
      </c>
      <c r="AK94" s="313">
        <f t="shared" si="84"/>
        <v>1310.8150000000001</v>
      </c>
      <c r="AL94" s="472">
        <f t="shared" ref="AL94" si="85">AL91+AL86</f>
        <v>1310.996875</v>
      </c>
      <c r="AM94" s="313"/>
      <c r="AN94" s="313"/>
      <c r="AO94" s="313"/>
      <c r="AP94" s="313"/>
      <c r="AQ94" s="313"/>
      <c r="AR94" s="313"/>
      <c r="AS94" s="313"/>
      <c r="AT94" s="313"/>
      <c r="AU94" s="313"/>
      <c r="AV94" s="313"/>
      <c r="AW94" s="313"/>
      <c r="AX94" s="314"/>
    </row>
    <row r="95" spans="1:50" s="93" customFormat="1" x14ac:dyDescent="0.35">
      <c r="D95" s="92"/>
      <c r="F95" s="168"/>
      <c r="G95"/>
      <c r="H95"/>
      <c r="I95"/>
      <c r="J95" s="32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s="48"/>
      <c r="AA95"/>
      <c r="AB95"/>
      <c r="AC95"/>
      <c r="AD95"/>
      <c r="AE95"/>
      <c r="AF95"/>
      <c r="AG95"/>
      <c r="AH95"/>
      <c r="AI95"/>
      <c r="AJ95"/>
      <c r="AK95"/>
      <c r="AL95" s="477"/>
      <c r="AM95"/>
      <c r="AN95"/>
      <c r="AO95"/>
      <c r="AP95"/>
      <c r="AQ95"/>
      <c r="AR95"/>
      <c r="AS95"/>
      <c r="AT95"/>
      <c r="AU95"/>
      <c r="AV95"/>
      <c r="AW95"/>
      <c r="AX95" s="48"/>
    </row>
    <row r="96" spans="1:50" s="336" customFormat="1" ht="17" x14ac:dyDescent="0.35">
      <c r="A96" s="336" t="s">
        <v>62</v>
      </c>
      <c r="F96" s="337">
        <v>5</v>
      </c>
      <c r="G96" s="364" t="s">
        <v>295</v>
      </c>
      <c r="H96" s="364"/>
      <c r="I96" s="364"/>
      <c r="J96" s="365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9"/>
      <c r="AA96" s="340"/>
      <c r="AB96" s="338"/>
      <c r="AC96" s="340"/>
      <c r="AD96" s="340"/>
      <c r="AE96" s="340"/>
      <c r="AF96" s="340"/>
      <c r="AG96" s="340"/>
      <c r="AH96" s="340"/>
      <c r="AI96" s="340"/>
      <c r="AJ96" s="340"/>
      <c r="AK96" s="340"/>
      <c r="AL96" s="478"/>
      <c r="AM96" s="340"/>
      <c r="AN96" s="338"/>
      <c r="AO96" s="340"/>
      <c r="AP96" s="340"/>
      <c r="AQ96" s="340"/>
      <c r="AR96" s="340"/>
      <c r="AS96" s="340"/>
      <c r="AT96" s="340"/>
      <c r="AU96" s="340"/>
      <c r="AV96" s="340"/>
      <c r="AW96" s="340"/>
      <c r="AX96" s="339"/>
    </row>
    <row r="97" spans="1:50" s="330" customFormat="1" ht="16" x14ac:dyDescent="0.35">
      <c r="A97" s="330" t="s">
        <v>62</v>
      </c>
      <c r="B97" s="330" t="s">
        <v>35</v>
      </c>
      <c r="D97" s="330" t="s">
        <v>322</v>
      </c>
      <c r="F97" s="343">
        <v>5.0999999999999996</v>
      </c>
      <c r="G97" s="344"/>
      <c r="H97" s="344" t="s">
        <v>297</v>
      </c>
      <c r="I97" s="344"/>
      <c r="J97" s="379"/>
      <c r="L97" s="344"/>
      <c r="M97" s="344"/>
      <c r="N97" s="344"/>
      <c r="O97" s="334">
        <v>1250</v>
      </c>
      <c r="P97" s="334">
        <v>1250</v>
      </c>
      <c r="Q97" s="334">
        <v>1250</v>
      </c>
      <c r="R97" s="334">
        <v>1250</v>
      </c>
      <c r="S97" s="334">
        <v>1250</v>
      </c>
      <c r="T97" s="334">
        <v>1250</v>
      </c>
      <c r="U97" s="334">
        <v>1330</v>
      </c>
      <c r="V97" s="334">
        <v>1330</v>
      </c>
      <c r="W97" s="334">
        <v>1330</v>
      </c>
      <c r="X97" s="334">
        <v>1330</v>
      </c>
      <c r="Y97" s="334">
        <v>1330</v>
      </c>
      <c r="Z97" s="335">
        <v>1330</v>
      </c>
      <c r="AA97" s="333">
        <v>1250</v>
      </c>
      <c r="AB97" s="334">
        <v>1250</v>
      </c>
      <c r="AC97" s="334">
        <v>1250</v>
      </c>
      <c r="AD97" s="334">
        <v>1250</v>
      </c>
      <c r="AE97" s="334">
        <v>1250</v>
      </c>
      <c r="AF97" s="334">
        <v>1250</v>
      </c>
      <c r="AG97" s="334"/>
      <c r="AH97" s="334">
        <f>34382.04/26.37</f>
        <v>1303.8316268486917</v>
      </c>
      <c r="AI97" s="334">
        <f t="shared" ref="AI97:AL97" si="86">34382.04/26.37</f>
        <v>1303.8316268486917</v>
      </c>
      <c r="AJ97" s="334">
        <f t="shared" si="86"/>
        <v>1303.8316268486917</v>
      </c>
      <c r="AK97" s="334">
        <f t="shared" si="86"/>
        <v>1303.8316268486917</v>
      </c>
      <c r="AL97" s="475">
        <f t="shared" si="86"/>
        <v>1303.8316268486917</v>
      </c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5"/>
    </row>
    <row r="98" spans="1:50" s="94" customFormat="1" outlineLevel="1" x14ac:dyDescent="0.35">
      <c r="A98" s="94" t="s">
        <v>62</v>
      </c>
      <c r="B98" s="300" t="s">
        <v>35</v>
      </c>
      <c r="D98" s="95" t="s">
        <v>162</v>
      </c>
      <c r="F98" s="278" t="s">
        <v>299</v>
      </c>
      <c r="G98" s="279"/>
      <c r="H98" s="279"/>
      <c r="I98" s="279" t="s">
        <v>8</v>
      </c>
      <c r="J98" s="381"/>
      <c r="K98" s="2"/>
      <c r="L98" s="279"/>
      <c r="M98" s="279"/>
      <c r="N98" s="279"/>
      <c r="O98" s="229">
        <f>O97</f>
        <v>1250</v>
      </c>
      <c r="P98" s="229">
        <f t="shared" ref="P98:AF98" si="87">P97</f>
        <v>1250</v>
      </c>
      <c r="Q98" s="229">
        <f t="shared" si="87"/>
        <v>1250</v>
      </c>
      <c r="R98" s="229">
        <f t="shared" si="87"/>
        <v>1250</v>
      </c>
      <c r="S98" s="229">
        <f t="shared" si="87"/>
        <v>1250</v>
      </c>
      <c r="T98" s="229">
        <f t="shared" si="87"/>
        <v>1250</v>
      </c>
      <c r="U98" s="229">
        <f t="shared" si="87"/>
        <v>1330</v>
      </c>
      <c r="V98" s="229">
        <f t="shared" si="87"/>
        <v>1330</v>
      </c>
      <c r="W98" s="229">
        <f t="shared" si="87"/>
        <v>1330</v>
      </c>
      <c r="X98" s="229">
        <f t="shared" si="87"/>
        <v>1330</v>
      </c>
      <c r="Y98" s="229">
        <f t="shared" si="87"/>
        <v>1330</v>
      </c>
      <c r="Z98" s="230">
        <f t="shared" si="87"/>
        <v>1330</v>
      </c>
      <c r="AA98" s="229">
        <f t="shared" si="87"/>
        <v>1250</v>
      </c>
      <c r="AB98" s="229">
        <f t="shared" si="87"/>
        <v>1250</v>
      </c>
      <c r="AC98" s="229">
        <f t="shared" si="87"/>
        <v>1250</v>
      </c>
      <c r="AD98" s="229">
        <f t="shared" si="87"/>
        <v>1250</v>
      </c>
      <c r="AE98" s="229">
        <f t="shared" si="87"/>
        <v>1250</v>
      </c>
      <c r="AF98" s="229">
        <f t="shared" si="87"/>
        <v>1250</v>
      </c>
      <c r="AG98" s="229"/>
      <c r="AH98" s="229">
        <f>34382.04/26.37</f>
        <v>1303.8316268486917</v>
      </c>
      <c r="AI98" s="229">
        <f>34382.04/26.37</f>
        <v>1303.8316268486917</v>
      </c>
      <c r="AJ98" s="229">
        <f t="shared" ref="AJ98:AL98" si="88">34382.04/26.37</f>
        <v>1303.8316268486917</v>
      </c>
      <c r="AK98" s="229">
        <f t="shared" si="88"/>
        <v>1303.8316268486917</v>
      </c>
      <c r="AL98" s="470">
        <f t="shared" si="88"/>
        <v>1303.8316268486917</v>
      </c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30"/>
    </row>
    <row r="99" spans="1:50" s="188" customFormat="1" outlineLevel="1" x14ac:dyDescent="0.35">
      <c r="A99" s="188" t="s">
        <v>62</v>
      </c>
      <c r="B99" s="303" t="s">
        <v>35</v>
      </c>
      <c r="F99" s="286" t="s">
        <v>300</v>
      </c>
      <c r="G99" s="287"/>
      <c r="H99" s="287"/>
      <c r="I99" s="287"/>
      <c r="J99" s="383" t="s">
        <v>203</v>
      </c>
      <c r="K99" s="189"/>
      <c r="L99" s="295"/>
      <c r="M99" s="295"/>
      <c r="N99" s="295"/>
      <c r="O99" s="315" cm="1">
        <f t="array" ref="O99">SUMPRODUCT(General_Data*(Year=O$3)*(Month=O$4)*(Code_General_Data=$B99))</f>
        <v>1250</v>
      </c>
      <c r="P99" s="315" cm="1">
        <f t="array" ref="P99">SUMPRODUCT(General_Data*(Year=P$3)*(Month=P$4)*(Code_General_Data=$B99))</f>
        <v>1250</v>
      </c>
      <c r="Q99" s="315" cm="1">
        <f t="array" ref="Q99">SUMPRODUCT(General_Data*(Year=Q$3)*(Month=Q$4)*(Code_General_Data=$B99))</f>
        <v>1250</v>
      </c>
      <c r="R99" s="315" cm="1">
        <f t="array" ref="R99">SUMPRODUCT(General_Data*(Year=R$3)*(Month=R$4)*(Code_General_Data=$B99))</f>
        <v>1250</v>
      </c>
      <c r="S99" s="315" cm="1">
        <f t="array" ref="S99">SUMPRODUCT(General_Data*(Year=S$3)*(Month=S$4)*(Code_General_Data=$B99))</f>
        <v>1300</v>
      </c>
      <c r="T99" s="315" cm="1">
        <f t="array" ref="T99">SUMPRODUCT(General_Data*(Year=T$3)*(Month=T$4)*(Code_General_Data=$B99))</f>
        <v>1300</v>
      </c>
      <c r="U99" s="315" cm="1">
        <f t="array" ref="U99">SUMPRODUCT(General_Data*(Year=U$3)*(Month=U$4)*(Code_General_Data=$B99))</f>
        <v>1300</v>
      </c>
      <c r="V99" s="315" cm="1">
        <f t="array" ref="V99">SUMPRODUCT(General_Data*(Year=V$3)*(Month=V$4)*(Code_General_Data=$B99))</f>
        <v>1300</v>
      </c>
      <c r="W99" s="315" cm="1">
        <f t="array" ref="W99">SUMPRODUCT(General_Data*(Year=W$3)*(Month=W$4)*(Code_General_Data=$B99))</f>
        <v>1310</v>
      </c>
      <c r="X99" s="315" cm="1">
        <f t="array" ref="X99">SUMPRODUCT(General_Data*(Year=X$3)*(Month=X$4)*(Code_General_Data=$B99))</f>
        <v>1325</v>
      </c>
      <c r="Y99" s="315" cm="1">
        <f t="array" ref="Y99">SUMPRODUCT(General_Data*(Year=Y$3)*(Month=Y$4)*(Code_General_Data=$B99))</f>
        <v>1325</v>
      </c>
      <c r="Z99" s="316" cm="1">
        <f t="array" ref="Z99">SUMPRODUCT(General_Data*(Year=Z$3)*(Month=Z$4)*(Code_General_Data=$B99))</f>
        <v>1275</v>
      </c>
      <c r="AA99" s="315" cm="1">
        <f t="array" ref="AA99">SUMPRODUCT(General_Data*(Year=AA$3)*(Month=AA$4)*(Code_General_Data=$B99))</f>
        <v>1230</v>
      </c>
      <c r="AB99" s="315" cm="1">
        <f t="array" ref="AB99">SUMPRODUCT(General_Data*(Year=AB$3)*(Month=AB$4)*(Code_General_Data=$B99))</f>
        <v>1230</v>
      </c>
      <c r="AC99" s="315" cm="1">
        <f t="array" ref="AC99">SUMPRODUCT(General_Data*(Year=AC$3)*(Month=AC$4)*(Code_General_Data=$B99))</f>
        <v>1230</v>
      </c>
      <c r="AD99" s="315" cm="1">
        <f t="array" ref="AD99">SUMPRODUCT(General_Data*(Year=AD$3)*(Month=AD$4)*(Code_General_Data=$B99))</f>
        <v>1250</v>
      </c>
      <c r="AE99" s="315" cm="1">
        <f t="array" ref="AE99">SUMPRODUCT(General_Data*(Year=AE$3)*(Month=AE$4)*(Code_General_Data=$B99))</f>
        <v>1250</v>
      </c>
      <c r="AF99" s="315" cm="1">
        <f t="array" ref="AF99">SUMPRODUCT(General_Data*(Year=AF$3)*(Month=AF$4)*(Code_General_Data=$B99))</f>
        <v>1250</v>
      </c>
      <c r="AG99" s="315" cm="1">
        <f t="array" ref="AG99">SUMPRODUCT(General_Data*(Year=AG$3)*(Month=AG$4)*(Code_General_Data=$B99))</f>
        <v>1250</v>
      </c>
      <c r="AH99" s="315" cm="1">
        <f t="array" ref="AH99">SUMPRODUCT(General_Data*(Year=AH$3)*(Month=AH$4)*(Code_General_Data=$B99))</f>
        <v>1220</v>
      </c>
      <c r="AI99" s="315" cm="1">
        <f t="array" ref="AI99">SUMPRODUCT(General_Data*(Year=AI$3)*(Month=AI$4)*(Code_General_Data=$B99))</f>
        <v>1220</v>
      </c>
      <c r="AJ99" s="315" cm="1">
        <f t="array" ref="AJ99">SUMPRODUCT(General_Data*(Year=AJ$3)*(Month=AJ$4)*(Code_General_Data=$B99))</f>
        <v>1210</v>
      </c>
      <c r="AK99" s="315" cm="1">
        <f t="array" ref="AK99">SUMPRODUCT(General_Data*(Year=AK$3)*(Month=AK$4)*(Code_General_Data=$B99))</f>
        <v>1200</v>
      </c>
      <c r="AL99" s="473" cm="1">
        <f t="array" ref="AL99">SUMPRODUCT(General_Data*(Year=AL$3)*(Month=AL$4)*(Code_General_Data=$B99))</f>
        <v>1200</v>
      </c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6"/>
    </row>
    <row r="100" spans="1:50" s="93" customFormat="1" x14ac:dyDescent="0.35">
      <c r="D100" s="92"/>
      <c r="F100" s="168"/>
      <c r="G100"/>
      <c r="H100"/>
      <c r="I100"/>
      <c r="J100" s="32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s="48"/>
      <c r="AA100"/>
      <c r="AB100"/>
      <c r="AC100"/>
      <c r="AD100"/>
      <c r="AE100"/>
      <c r="AF100"/>
      <c r="AG100"/>
      <c r="AH100"/>
      <c r="AI100"/>
      <c r="AJ100"/>
      <c r="AK100"/>
      <c r="AL100" s="477"/>
      <c r="AM100"/>
      <c r="AN100"/>
      <c r="AO100"/>
      <c r="AP100"/>
      <c r="AQ100"/>
      <c r="AR100"/>
      <c r="AS100"/>
      <c r="AT100"/>
      <c r="AU100"/>
      <c r="AV100"/>
      <c r="AW100"/>
      <c r="AX100" s="48"/>
    </row>
    <row r="101" spans="1:50" s="336" customFormat="1" ht="17" x14ac:dyDescent="0.35">
      <c r="A101" s="336" t="s">
        <v>49</v>
      </c>
      <c r="F101" s="337">
        <v>6</v>
      </c>
      <c r="G101" s="364" t="s">
        <v>298</v>
      </c>
      <c r="H101" s="364"/>
      <c r="I101" s="364"/>
      <c r="J101" s="365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9"/>
      <c r="AA101" s="340"/>
      <c r="AB101" s="338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478"/>
      <c r="AM101" s="340"/>
      <c r="AN101" s="338"/>
      <c r="AO101" s="340"/>
      <c r="AP101" s="340"/>
      <c r="AQ101" s="340"/>
      <c r="AR101" s="340"/>
      <c r="AS101" s="340"/>
      <c r="AT101" s="340"/>
      <c r="AU101" s="340"/>
      <c r="AV101" s="340"/>
      <c r="AW101" s="340"/>
      <c r="AX101" s="339"/>
    </row>
    <row r="102" spans="1:50" s="330" customFormat="1" ht="16" x14ac:dyDescent="0.35">
      <c r="A102" s="330" t="s">
        <v>49</v>
      </c>
      <c r="B102" s="330" t="s">
        <v>29</v>
      </c>
      <c r="D102" s="330" t="s">
        <v>322</v>
      </c>
      <c r="F102" s="343">
        <v>6.1</v>
      </c>
      <c r="G102" s="344"/>
      <c r="H102" s="344" t="s">
        <v>261</v>
      </c>
      <c r="I102" s="344"/>
      <c r="J102" s="379"/>
      <c r="L102" s="344"/>
      <c r="M102" s="344"/>
      <c r="N102" s="344"/>
      <c r="O102" s="334">
        <v>1325</v>
      </c>
      <c r="P102" s="334">
        <v>1325</v>
      </c>
      <c r="Q102" s="334">
        <v>1325</v>
      </c>
      <c r="R102" s="334">
        <v>1325</v>
      </c>
      <c r="S102" s="334">
        <v>1325</v>
      </c>
      <c r="T102" s="334">
        <v>1325</v>
      </c>
      <c r="U102" s="334">
        <v>1325</v>
      </c>
      <c r="V102" s="334">
        <v>1325</v>
      </c>
      <c r="W102" s="334">
        <v>1325</v>
      </c>
      <c r="X102" s="334">
        <v>1325</v>
      </c>
      <c r="Y102" s="334">
        <v>1325</v>
      </c>
      <c r="Z102" s="335">
        <v>1325</v>
      </c>
      <c r="AA102" s="333">
        <v>1400</v>
      </c>
      <c r="AB102" s="334">
        <v>1400</v>
      </c>
      <c r="AC102" s="334">
        <v>1400</v>
      </c>
      <c r="AD102" s="334">
        <v>1400</v>
      </c>
      <c r="AE102" s="334">
        <v>1400</v>
      </c>
      <c r="AF102" s="334">
        <v>1400</v>
      </c>
      <c r="AG102" s="334">
        <v>1400</v>
      </c>
      <c r="AH102" s="334">
        <v>1400</v>
      </c>
      <c r="AI102" s="334">
        <v>1400</v>
      </c>
      <c r="AJ102" s="334">
        <v>1400</v>
      </c>
      <c r="AK102" s="334">
        <v>1400</v>
      </c>
      <c r="AL102" s="475">
        <v>1400</v>
      </c>
      <c r="AM102" s="334"/>
      <c r="AN102" s="334"/>
      <c r="AO102" s="334"/>
      <c r="AP102" s="334"/>
      <c r="AQ102" s="334"/>
      <c r="AR102" s="334"/>
      <c r="AS102" s="334"/>
      <c r="AT102" s="334"/>
      <c r="AU102" s="334"/>
      <c r="AV102" s="334"/>
      <c r="AW102" s="334"/>
      <c r="AX102" s="335"/>
    </row>
    <row r="103" spans="1:50" s="94" customFormat="1" outlineLevel="1" x14ac:dyDescent="0.35">
      <c r="A103" s="94" t="s">
        <v>49</v>
      </c>
      <c r="B103" s="300" t="s">
        <v>29</v>
      </c>
      <c r="D103" s="95" t="s">
        <v>162</v>
      </c>
      <c r="F103" s="278" t="s">
        <v>312</v>
      </c>
      <c r="G103" s="279"/>
      <c r="H103" s="279"/>
      <c r="I103" s="279" t="s">
        <v>8</v>
      </c>
      <c r="J103" s="381"/>
      <c r="K103" s="2"/>
      <c r="L103" s="279"/>
      <c r="M103" s="279"/>
      <c r="N103" s="279"/>
      <c r="O103" s="229">
        <f>O102-O104-O105</f>
        <v>1315</v>
      </c>
      <c r="P103" s="229">
        <f t="shared" ref="P103:AL103" si="89">P102-P104-P105</f>
        <v>1315</v>
      </c>
      <c r="Q103" s="229">
        <f t="shared" si="89"/>
        <v>1315</v>
      </c>
      <c r="R103" s="229">
        <f t="shared" si="89"/>
        <v>1315</v>
      </c>
      <c r="S103" s="229">
        <f t="shared" si="89"/>
        <v>1315</v>
      </c>
      <c r="T103" s="229">
        <f t="shared" si="89"/>
        <v>1315</v>
      </c>
      <c r="U103" s="229">
        <f t="shared" si="89"/>
        <v>1315</v>
      </c>
      <c r="V103" s="229">
        <f t="shared" si="89"/>
        <v>1315</v>
      </c>
      <c r="W103" s="229">
        <f t="shared" si="89"/>
        <v>1315</v>
      </c>
      <c r="X103" s="229">
        <f t="shared" si="89"/>
        <v>1315</v>
      </c>
      <c r="Y103" s="229">
        <f t="shared" si="89"/>
        <v>1315</v>
      </c>
      <c r="Z103" s="230">
        <f t="shared" si="89"/>
        <v>1315</v>
      </c>
      <c r="AA103" s="229">
        <f t="shared" si="89"/>
        <v>1348.3</v>
      </c>
      <c r="AB103" s="229">
        <f t="shared" si="89"/>
        <v>1348.3</v>
      </c>
      <c r="AC103" s="229">
        <f t="shared" si="89"/>
        <v>1348.3</v>
      </c>
      <c r="AD103" s="229">
        <f t="shared" si="89"/>
        <v>1348.3</v>
      </c>
      <c r="AE103" s="229">
        <f t="shared" si="89"/>
        <v>1348.3</v>
      </c>
      <c r="AF103" s="229">
        <f t="shared" si="89"/>
        <v>1348.3</v>
      </c>
      <c r="AG103" s="229">
        <f t="shared" si="89"/>
        <v>1348.3</v>
      </c>
      <c r="AH103" s="229">
        <f t="shared" si="89"/>
        <v>1348.3</v>
      </c>
      <c r="AI103" s="229">
        <f t="shared" si="89"/>
        <v>1348.3</v>
      </c>
      <c r="AJ103" s="229">
        <f t="shared" si="89"/>
        <v>1348.3</v>
      </c>
      <c r="AK103" s="229">
        <f t="shared" si="89"/>
        <v>1348.3</v>
      </c>
      <c r="AL103" s="470">
        <f t="shared" si="89"/>
        <v>1348.3</v>
      </c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30"/>
    </row>
    <row r="104" spans="1:50" s="184" customFormat="1" outlineLevel="1" x14ac:dyDescent="0.35">
      <c r="A104" s="184" t="s">
        <v>49</v>
      </c>
      <c r="B104" s="184" t="s">
        <v>29</v>
      </c>
      <c r="F104" s="222" t="s">
        <v>313</v>
      </c>
      <c r="G104" s="191"/>
      <c r="H104" s="191"/>
      <c r="I104" s="191" t="s">
        <v>350</v>
      </c>
      <c r="J104" s="370"/>
      <c r="K104" s="185"/>
      <c r="L104" s="210"/>
      <c r="M104" s="210"/>
      <c r="N104" s="210"/>
      <c r="O104" s="210">
        <v>10</v>
      </c>
      <c r="P104" s="210">
        <v>10</v>
      </c>
      <c r="Q104" s="210">
        <v>10</v>
      </c>
      <c r="R104" s="210">
        <v>10</v>
      </c>
      <c r="S104" s="210">
        <v>10</v>
      </c>
      <c r="T104" s="210">
        <v>10</v>
      </c>
      <c r="U104" s="210">
        <v>10</v>
      </c>
      <c r="V104" s="210">
        <v>10</v>
      </c>
      <c r="W104" s="210">
        <v>10</v>
      </c>
      <c r="X104" s="210">
        <v>10</v>
      </c>
      <c r="Y104" s="210">
        <v>10</v>
      </c>
      <c r="Z104" s="212">
        <v>10</v>
      </c>
      <c r="AA104" s="210">
        <v>10</v>
      </c>
      <c r="AB104" s="210">
        <v>10</v>
      </c>
      <c r="AC104" s="210">
        <v>10</v>
      </c>
      <c r="AD104" s="210">
        <v>10</v>
      </c>
      <c r="AE104" s="210">
        <v>10</v>
      </c>
      <c r="AF104" s="210">
        <v>10</v>
      </c>
      <c r="AG104" s="210">
        <v>10</v>
      </c>
      <c r="AH104" s="210">
        <v>10</v>
      </c>
      <c r="AI104" s="210">
        <v>10</v>
      </c>
      <c r="AJ104" s="210">
        <v>10</v>
      </c>
      <c r="AK104" s="210">
        <v>10</v>
      </c>
      <c r="AL104" s="479">
        <v>10</v>
      </c>
      <c r="AM104" s="210"/>
      <c r="AN104" s="210"/>
      <c r="AO104" s="210"/>
      <c r="AP104" s="210"/>
      <c r="AQ104" s="210"/>
      <c r="AR104" s="210"/>
      <c r="AS104" s="210"/>
      <c r="AT104" s="210"/>
      <c r="AU104" s="210"/>
      <c r="AV104" s="210"/>
      <c r="AW104" s="210"/>
      <c r="AX104" s="212"/>
    </row>
    <row r="105" spans="1:50" s="184" customFormat="1" outlineLevel="1" x14ac:dyDescent="0.35">
      <c r="A105" s="184" t="s">
        <v>49</v>
      </c>
      <c r="B105" s="184" t="s">
        <v>29</v>
      </c>
      <c r="F105" s="222" t="s">
        <v>314</v>
      </c>
      <c r="G105" s="191"/>
      <c r="H105" s="191"/>
      <c r="I105" s="191" t="s">
        <v>351</v>
      </c>
      <c r="J105" s="370"/>
      <c r="K105" s="185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2"/>
      <c r="AA105" s="210">
        <f>(AA102-AA104)*3%</f>
        <v>41.699999999999996</v>
      </c>
      <c r="AB105" s="210">
        <f t="shared" ref="AB105:AL105" si="90">(AB102-AB104)*3%</f>
        <v>41.699999999999996</v>
      </c>
      <c r="AC105" s="210">
        <f t="shared" si="90"/>
        <v>41.699999999999996</v>
      </c>
      <c r="AD105" s="210">
        <f t="shared" si="90"/>
        <v>41.699999999999996</v>
      </c>
      <c r="AE105" s="210">
        <f t="shared" si="90"/>
        <v>41.699999999999996</v>
      </c>
      <c r="AF105" s="210">
        <f t="shared" si="90"/>
        <v>41.699999999999996</v>
      </c>
      <c r="AG105" s="210">
        <f t="shared" si="90"/>
        <v>41.699999999999996</v>
      </c>
      <c r="AH105" s="210">
        <f t="shared" si="90"/>
        <v>41.699999999999996</v>
      </c>
      <c r="AI105" s="210">
        <f t="shared" si="90"/>
        <v>41.699999999999996</v>
      </c>
      <c r="AJ105" s="210">
        <f t="shared" si="90"/>
        <v>41.699999999999996</v>
      </c>
      <c r="AK105" s="210">
        <f t="shared" si="90"/>
        <v>41.699999999999996</v>
      </c>
      <c r="AL105" s="479">
        <f t="shared" si="90"/>
        <v>41.699999999999996</v>
      </c>
      <c r="AM105" s="210"/>
      <c r="AN105" s="210"/>
      <c r="AO105" s="210"/>
      <c r="AP105" s="210"/>
      <c r="AQ105" s="210"/>
      <c r="AR105" s="210"/>
      <c r="AS105" s="210"/>
      <c r="AT105" s="210"/>
      <c r="AU105" s="210"/>
      <c r="AV105" s="210"/>
      <c r="AW105" s="210"/>
      <c r="AX105" s="212"/>
    </row>
    <row r="106" spans="1:50" s="188" customFormat="1" outlineLevel="1" x14ac:dyDescent="0.35">
      <c r="A106" s="188" t="s">
        <v>49</v>
      </c>
      <c r="B106" s="303" t="s">
        <v>29</v>
      </c>
      <c r="F106" s="286" t="s">
        <v>315</v>
      </c>
      <c r="G106" s="287"/>
      <c r="H106" s="287"/>
      <c r="I106" s="287"/>
      <c r="J106" s="383" t="s">
        <v>203</v>
      </c>
      <c r="K106" s="189"/>
      <c r="L106" s="295"/>
      <c r="M106" s="295"/>
      <c r="N106" s="295"/>
      <c r="O106" s="315" cm="1">
        <f t="array" ref="O106">SUMPRODUCT(General_Data*(Year=O$3)*(Month=O$4)*(Code_General_Data=$B106))</f>
        <v>1340</v>
      </c>
      <c r="P106" s="315" cm="1">
        <f t="array" ref="P106">SUMPRODUCT(General_Data*(Year=P$3)*(Month=P$4)*(Code_General_Data=$B106))</f>
        <v>1340</v>
      </c>
      <c r="Q106" s="315" cm="1">
        <f t="array" ref="Q106">SUMPRODUCT(General_Data*(Year=Q$3)*(Month=Q$4)*(Code_General_Data=$B106))</f>
        <v>1340</v>
      </c>
      <c r="R106" s="315" cm="1">
        <f t="array" ref="R106">SUMPRODUCT(General_Data*(Year=R$3)*(Month=R$4)*(Code_General_Data=$B106))</f>
        <v>1340</v>
      </c>
      <c r="S106" s="315" cm="1">
        <f t="array" ref="S106">SUMPRODUCT(General_Data*(Year=S$3)*(Month=S$4)*(Code_General_Data=$B106))</f>
        <v>1390</v>
      </c>
      <c r="T106" s="315" cm="1">
        <f t="array" ref="T106">SUMPRODUCT(General_Data*(Year=T$3)*(Month=T$4)*(Code_General_Data=$B106))</f>
        <v>1390</v>
      </c>
      <c r="U106" s="315" cm="1">
        <f t="array" ref="U106">SUMPRODUCT(General_Data*(Year=U$3)*(Month=U$4)*(Code_General_Data=$B106))</f>
        <v>1390</v>
      </c>
      <c r="V106" s="315" cm="1">
        <f t="array" ref="V106">SUMPRODUCT(General_Data*(Year=V$3)*(Month=V$4)*(Code_General_Data=$B106))</f>
        <v>1390</v>
      </c>
      <c r="W106" s="315" cm="1">
        <f t="array" ref="W106">SUMPRODUCT(General_Data*(Year=W$3)*(Month=W$4)*(Code_General_Data=$B106))</f>
        <v>1400</v>
      </c>
      <c r="X106" s="315" cm="1">
        <f t="array" ref="X106">SUMPRODUCT(General_Data*(Year=X$3)*(Month=X$4)*(Code_General_Data=$B106))</f>
        <v>1415</v>
      </c>
      <c r="Y106" s="315" cm="1">
        <f t="array" ref="Y106">SUMPRODUCT(General_Data*(Year=Y$3)*(Month=Y$4)*(Code_General_Data=$B106))</f>
        <v>1415</v>
      </c>
      <c r="Z106" s="316" cm="1">
        <f t="array" ref="Z106">SUMPRODUCT(General_Data*(Year=Z$3)*(Month=Z$4)*(Code_General_Data=$B106))</f>
        <v>1365</v>
      </c>
      <c r="AA106" s="315" cm="1">
        <f t="array" ref="AA106">SUMPRODUCT(General_Data*(Year=AA$3)*(Month=AA$4)*(Code_General_Data=$B106))</f>
        <v>1320</v>
      </c>
      <c r="AB106" s="315" cm="1">
        <f t="array" ref="AB106">SUMPRODUCT(General_Data*(Year=AB$3)*(Month=AB$4)*(Code_General_Data=$B106))</f>
        <v>1280</v>
      </c>
      <c r="AC106" s="315" cm="1">
        <f t="array" ref="AC106">SUMPRODUCT(General_Data*(Year=AC$3)*(Month=AC$4)*(Code_General_Data=$B106))</f>
        <v>1320</v>
      </c>
      <c r="AD106" s="315" cm="1">
        <f t="array" ref="AD106">SUMPRODUCT(General_Data*(Year=AD$3)*(Month=AD$4)*(Code_General_Data=$B106))</f>
        <v>1340</v>
      </c>
      <c r="AE106" s="315" cm="1">
        <f t="array" ref="AE106">SUMPRODUCT(General_Data*(Year=AE$3)*(Month=AE$4)*(Code_General_Data=$B106))</f>
        <v>1340</v>
      </c>
      <c r="AF106" s="315" cm="1">
        <f t="array" ref="AF106">SUMPRODUCT(General_Data*(Year=AF$3)*(Month=AF$4)*(Code_General_Data=$B106))</f>
        <v>1340</v>
      </c>
      <c r="AG106" s="315" cm="1">
        <f t="array" ref="AG106">SUMPRODUCT(General_Data*(Year=AG$3)*(Month=AG$4)*(Code_General_Data=$B106))</f>
        <v>1340</v>
      </c>
      <c r="AH106" s="315" cm="1">
        <f t="array" ref="AH106">SUMPRODUCT(General_Data*(Year=AH$3)*(Month=AH$4)*(Code_General_Data=$B106))</f>
        <v>1310</v>
      </c>
      <c r="AI106" s="315" cm="1">
        <f t="array" ref="AI106">SUMPRODUCT(General_Data*(Year=AI$3)*(Month=AI$4)*(Code_General_Data=$B106))</f>
        <v>1310</v>
      </c>
      <c r="AJ106" s="315" cm="1">
        <f t="array" ref="AJ106">SUMPRODUCT(General_Data*(Year=AJ$3)*(Month=AJ$4)*(Code_General_Data=$B106))</f>
        <v>1300</v>
      </c>
      <c r="AK106" s="315" cm="1">
        <f t="array" ref="AK106">SUMPRODUCT(General_Data*(Year=AK$3)*(Month=AK$4)*(Code_General_Data=$B106))</f>
        <v>1290</v>
      </c>
      <c r="AL106" s="473" cm="1">
        <f t="array" ref="AL106">SUMPRODUCT(General_Data*(Year=AL$3)*(Month=AL$4)*(Code_General_Data=$B106))</f>
        <v>1290</v>
      </c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6"/>
    </row>
    <row r="107" spans="1:50" s="93" customFormat="1" x14ac:dyDescent="0.35">
      <c r="D107" s="92"/>
      <c r="F107" s="168"/>
      <c r="G107"/>
      <c r="H107"/>
      <c r="I107"/>
      <c r="J107" s="32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48"/>
      <c r="AA107"/>
      <c r="AB107"/>
      <c r="AC107"/>
      <c r="AD107"/>
      <c r="AE107"/>
      <c r="AF107"/>
      <c r="AG107"/>
      <c r="AH107"/>
      <c r="AI107"/>
      <c r="AJ107"/>
      <c r="AK107"/>
      <c r="AL107" s="48"/>
      <c r="AM107"/>
      <c r="AN107"/>
      <c r="AO107"/>
      <c r="AP107"/>
      <c r="AQ107"/>
      <c r="AR107"/>
      <c r="AS107"/>
      <c r="AT107"/>
      <c r="AU107"/>
      <c r="AV107"/>
      <c r="AW107"/>
      <c r="AX107" s="48"/>
    </row>
    <row r="108" spans="1:50" s="336" customFormat="1" ht="17" x14ac:dyDescent="0.35">
      <c r="A108" s="336" t="s">
        <v>63</v>
      </c>
      <c r="F108" s="337">
        <v>7</v>
      </c>
      <c r="G108" s="364" t="s">
        <v>311</v>
      </c>
      <c r="H108" s="364"/>
      <c r="I108" s="364"/>
      <c r="J108" s="365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9"/>
      <c r="AA108" s="340"/>
      <c r="AB108" s="338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39"/>
      <c r="AM108" s="340"/>
      <c r="AN108" s="338"/>
      <c r="AO108" s="340"/>
      <c r="AP108" s="340"/>
      <c r="AQ108" s="340"/>
      <c r="AR108" s="340"/>
      <c r="AS108" s="340"/>
      <c r="AT108" s="340"/>
      <c r="AU108" s="340"/>
      <c r="AV108" s="340"/>
      <c r="AW108" s="340"/>
      <c r="AX108" s="339"/>
    </row>
    <row r="109" spans="1:50" s="330" customFormat="1" ht="16" x14ac:dyDescent="0.35">
      <c r="A109" s="330" t="s">
        <v>63</v>
      </c>
      <c r="B109" s="330" t="s">
        <v>35</v>
      </c>
      <c r="D109" s="330" t="s">
        <v>322</v>
      </c>
      <c r="F109" s="343">
        <v>7.1</v>
      </c>
      <c r="G109" s="344"/>
      <c r="H109" s="344" t="s">
        <v>296</v>
      </c>
      <c r="I109" s="344"/>
      <c r="J109" s="379"/>
      <c r="L109" s="344"/>
      <c r="M109" s="344"/>
      <c r="N109" s="34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>
        <v>1320</v>
      </c>
      <c r="Y109" s="334">
        <v>1320</v>
      </c>
      <c r="Z109" s="335">
        <v>1320</v>
      </c>
      <c r="AA109" s="333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5"/>
      <c r="AM109" s="333"/>
      <c r="AN109" s="334"/>
      <c r="AO109" s="334"/>
      <c r="AP109" s="334"/>
      <c r="AQ109" s="334"/>
      <c r="AR109" s="334"/>
      <c r="AS109" s="334"/>
      <c r="AT109" s="334"/>
      <c r="AU109" s="334"/>
      <c r="AV109" s="334"/>
      <c r="AW109" s="334"/>
      <c r="AX109" s="335"/>
    </row>
    <row r="110" spans="1:50" s="94" customFormat="1" outlineLevel="1" x14ac:dyDescent="0.35">
      <c r="A110" s="94" t="s">
        <v>63</v>
      </c>
      <c r="B110" s="300" t="s">
        <v>35</v>
      </c>
      <c r="D110" s="95" t="s">
        <v>162</v>
      </c>
      <c r="F110" s="278" t="s">
        <v>388</v>
      </c>
      <c r="G110" s="279"/>
      <c r="H110" s="279"/>
      <c r="I110" s="279" t="s">
        <v>8</v>
      </c>
      <c r="J110" s="381"/>
      <c r="K110" s="2"/>
      <c r="L110" s="279"/>
      <c r="M110" s="279"/>
      <c r="N110" s="27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>
        <f>X109-X111</f>
        <v>1310</v>
      </c>
      <c r="Y110" s="229">
        <f>Y109-Y111</f>
        <v>1310</v>
      </c>
      <c r="Z110" s="230">
        <f>Z109-Z111</f>
        <v>1310</v>
      </c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30"/>
      <c r="AM110" s="229"/>
      <c r="AN110" s="229"/>
      <c r="AO110" s="229"/>
      <c r="AP110" s="229"/>
      <c r="AQ110" s="229"/>
      <c r="AR110" s="229"/>
      <c r="AS110" s="229"/>
      <c r="AT110" s="229"/>
      <c r="AU110" s="229"/>
      <c r="AV110" s="229"/>
      <c r="AW110" s="229"/>
      <c r="AX110" s="230"/>
    </row>
    <row r="111" spans="1:50" s="184" customFormat="1" outlineLevel="1" x14ac:dyDescent="0.35">
      <c r="A111" s="184" t="s">
        <v>63</v>
      </c>
      <c r="B111" s="184" t="s">
        <v>35</v>
      </c>
      <c r="F111" s="222" t="s">
        <v>389</v>
      </c>
      <c r="G111" s="191"/>
      <c r="H111" s="191"/>
      <c r="I111" s="191" t="s">
        <v>50</v>
      </c>
      <c r="J111" s="370"/>
      <c r="K111" s="185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>
        <v>10</v>
      </c>
      <c r="Y111" s="210">
        <v>10</v>
      </c>
      <c r="Z111" s="212">
        <v>10</v>
      </c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2"/>
      <c r="AM111" s="210"/>
      <c r="AN111" s="210"/>
      <c r="AO111" s="210"/>
      <c r="AP111" s="210"/>
      <c r="AQ111" s="210"/>
      <c r="AR111" s="210"/>
      <c r="AS111" s="210"/>
      <c r="AT111" s="210"/>
      <c r="AU111" s="210"/>
      <c r="AV111" s="210"/>
      <c r="AW111" s="210"/>
      <c r="AX111" s="212"/>
    </row>
    <row r="112" spans="1:50" s="188" customFormat="1" outlineLevel="1" x14ac:dyDescent="0.35">
      <c r="A112" s="188" t="s">
        <v>63</v>
      </c>
      <c r="B112" s="303" t="s">
        <v>35</v>
      </c>
      <c r="F112" s="286" t="s">
        <v>390</v>
      </c>
      <c r="G112" s="287"/>
      <c r="H112" s="287"/>
      <c r="I112" s="287"/>
      <c r="J112" s="383" t="s">
        <v>203</v>
      </c>
      <c r="K112" s="189"/>
      <c r="L112" s="295"/>
      <c r="M112" s="295"/>
      <c r="N112" s="29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 cm="1">
        <f t="array" ref="X112">SUMPRODUCT(General_Data*(Year=X$3)*(Month=X$4)*(Code_General_Data=$B112))</f>
        <v>1325</v>
      </c>
      <c r="Y112" s="315" cm="1">
        <f t="array" ref="Y112">SUMPRODUCT(General_Data*(Year=Y$3)*(Month=Y$4)*(Code_General_Data=$B112))</f>
        <v>1325</v>
      </c>
      <c r="Z112" s="316" cm="1">
        <f t="array" ref="Z112">SUMPRODUCT(General_Data*(Year=Z$3)*(Month=Z$4)*(Code_General_Data=$B112))</f>
        <v>1275</v>
      </c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6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6"/>
    </row>
    <row r="113" spans="1:50" s="93" customFormat="1" x14ac:dyDescent="0.35">
      <c r="D113" s="92"/>
      <c r="F113" s="168"/>
      <c r="G113"/>
      <c r="H113"/>
      <c r="I113"/>
      <c r="J113" s="32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48"/>
      <c r="AA113"/>
      <c r="AB113"/>
      <c r="AC113"/>
      <c r="AD113"/>
      <c r="AE113"/>
      <c r="AF113"/>
      <c r="AG113"/>
      <c r="AH113"/>
      <c r="AI113"/>
      <c r="AJ113"/>
      <c r="AK113"/>
      <c r="AL113" s="48"/>
      <c r="AM113"/>
      <c r="AN113"/>
      <c r="AO113"/>
      <c r="AP113"/>
      <c r="AQ113"/>
      <c r="AR113"/>
      <c r="AS113"/>
      <c r="AT113"/>
      <c r="AU113"/>
      <c r="AV113"/>
      <c r="AW113"/>
      <c r="AX113" s="48"/>
    </row>
    <row r="114" spans="1:50" s="93" customFormat="1" x14ac:dyDescent="0.35">
      <c r="D114" s="92"/>
      <c r="F114" s="168"/>
      <c r="G114"/>
      <c r="H114"/>
      <c r="I114"/>
      <c r="J114" s="32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48"/>
      <c r="AA114"/>
      <c r="AB114"/>
      <c r="AC114"/>
      <c r="AD114"/>
      <c r="AE114"/>
      <c r="AF114"/>
      <c r="AG114"/>
      <c r="AH114"/>
      <c r="AI114"/>
      <c r="AJ114"/>
      <c r="AK114"/>
      <c r="AL114" s="48"/>
      <c r="AM114"/>
      <c r="AN114"/>
      <c r="AO114"/>
      <c r="AP114"/>
      <c r="AQ114"/>
      <c r="AR114"/>
      <c r="AS114"/>
      <c r="AT114"/>
      <c r="AU114"/>
      <c r="AV114"/>
      <c r="AW114"/>
      <c r="AX114" s="48"/>
    </row>
    <row r="115" spans="1:50" s="93" customFormat="1" x14ac:dyDescent="0.35">
      <c r="D115" s="92"/>
      <c r="F115" s="168"/>
      <c r="G115"/>
      <c r="H115"/>
      <c r="I115"/>
      <c r="J115" s="32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48"/>
      <c r="AA115"/>
      <c r="AB115"/>
      <c r="AC115"/>
      <c r="AD115"/>
      <c r="AE115"/>
      <c r="AF115"/>
      <c r="AG115"/>
      <c r="AH115"/>
      <c r="AI115"/>
      <c r="AJ115"/>
      <c r="AK115"/>
      <c r="AL115" s="48"/>
      <c r="AM115"/>
      <c r="AN115"/>
      <c r="AO115"/>
      <c r="AP115"/>
      <c r="AQ115"/>
      <c r="AR115"/>
      <c r="AS115"/>
      <c r="AT115"/>
      <c r="AU115"/>
      <c r="AV115"/>
      <c r="AW115"/>
      <c r="AX115" s="48"/>
    </row>
    <row r="116" spans="1:50" s="93" customFormat="1" x14ac:dyDescent="0.35">
      <c r="D116" s="92"/>
      <c r="F116" s="168"/>
      <c r="G116"/>
      <c r="H116"/>
      <c r="I116"/>
      <c r="J116" s="32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48"/>
      <c r="AA116"/>
      <c r="AB116"/>
      <c r="AC116"/>
      <c r="AD116"/>
      <c r="AE116"/>
      <c r="AF116"/>
      <c r="AG116"/>
      <c r="AH116"/>
      <c r="AI116"/>
      <c r="AJ116"/>
      <c r="AK116"/>
      <c r="AL116" s="48"/>
      <c r="AM116"/>
      <c r="AN116"/>
      <c r="AO116"/>
      <c r="AP116"/>
      <c r="AQ116"/>
      <c r="AR116"/>
      <c r="AS116"/>
      <c r="AT116"/>
      <c r="AU116"/>
      <c r="AV116"/>
      <c r="AW116"/>
      <c r="AX116" s="48"/>
    </row>
    <row r="117" spans="1:50" s="93" customFormat="1" x14ac:dyDescent="0.35">
      <c r="D117" s="92"/>
      <c r="F117" s="168"/>
      <c r="G117"/>
      <c r="H117"/>
      <c r="I117"/>
      <c r="J117" s="32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8"/>
      <c r="AA117"/>
      <c r="AB117"/>
      <c r="AC117"/>
      <c r="AD117"/>
      <c r="AE117"/>
      <c r="AF117"/>
      <c r="AG117"/>
      <c r="AH117"/>
      <c r="AI117"/>
      <c r="AJ117"/>
      <c r="AK117"/>
      <c r="AL117" s="48"/>
      <c r="AM117"/>
      <c r="AN117"/>
      <c r="AO117"/>
      <c r="AP117"/>
      <c r="AQ117"/>
      <c r="AR117"/>
      <c r="AS117"/>
      <c r="AT117"/>
      <c r="AU117"/>
      <c r="AV117"/>
      <c r="AW117"/>
      <c r="AX117" s="48"/>
    </row>
    <row r="118" spans="1:50" x14ac:dyDescent="0.35">
      <c r="J118" s="321"/>
      <c r="O118"/>
    </row>
    <row r="119" spans="1:50" x14ac:dyDescent="0.35">
      <c r="J119" s="321"/>
      <c r="O119"/>
    </row>
    <row r="120" spans="1:50" x14ac:dyDescent="0.35">
      <c r="J120" s="321"/>
      <c r="O120"/>
    </row>
    <row r="121" spans="1:50" x14ac:dyDescent="0.35">
      <c r="J121" s="321"/>
      <c r="O121"/>
    </row>
    <row r="122" spans="1:50" x14ac:dyDescent="0.35">
      <c r="J122" s="321"/>
      <c r="O122"/>
    </row>
    <row r="123" spans="1:50" x14ac:dyDescent="0.35">
      <c r="J123" s="321"/>
      <c r="O123"/>
    </row>
    <row r="124" spans="1:50" x14ac:dyDescent="0.35">
      <c r="J124" s="321"/>
      <c r="O124"/>
    </row>
    <row r="125" spans="1:50" x14ac:dyDescent="0.35">
      <c r="J125" s="321"/>
      <c r="O125"/>
    </row>
    <row r="126" spans="1:50" ht="15" thickBot="1" x14ac:dyDescent="0.4">
      <c r="J126" s="321"/>
      <c r="O126"/>
    </row>
    <row r="127" spans="1:50" s="7" customFormat="1" x14ac:dyDescent="0.35">
      <c r="A127" s="99"/>
      <c r="B127" s="99"/>
      <c r="C127" s="99"/>
      <c r="D127" s="100"/>
      <c r="E127" s="99"/>
      <c r="F127" s="248"/>
      <c r="J127" s="384"/>
      <c r="Z127" s="91"/>
      <c r="AL127" s="91"/>
      <c r="AX127" s="91"/>
    </row>
    <row r="128" spans="1:50" x14ac:dyDescent="0.35">
      <c r="J128" s="321"/>
      <c r="O128"/>
    </row>
    <row r="129" spans="4:50" x14ac:dyDescent="0.35">
      <c r="J129" s="321"/>
      <c r="O129"/>
    </row>
    <row r="130" spans="4:50" x14ac:dyDescent="0.35">
      <c r="J130" s="321"/>
      <c r="O130"/>
    </row>
    <row r="131" spans="4:50" x14ac:dyDescent="0.35">
      <c r="J131" s="321"/>
      <c r="O131"/>
    </row>
    <row r="132" spans="4:50" x14ac:dyDescent="0.35">
      <c r="J132" s="321"/>
      <c r="O132"/>
    </row>
    <row r="133" spans="4:50" x14ac:dyDescent="0.35">
      <c r="J133" s="321"/>
      <c r="O133"/>
    </row>
    <row r="134" spans="4:50" s="93" customFormat="1" x14ac:dyDescent="0.35">
      <c r="D134" s="92"/>
      <c r="F134" s="168"/>
      <c r="G134"/>
      <c r="H134"/>
      <c r="I134"/>
      <c r="J134" s="321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  <c r="AM134"/>
      <c r="AN134"/>
      <c r="AO134"/>
      <c r="AP134"/>
      <c r="AQ134"/>
      <c r="AR134"/>
      <c r="AS134"/>
      <c r="AT134"/>
      <c r="AU134"/>
      <c r="AV134"/>
      <c r="AW134"/>
      <c r="AX134" s="48"/>
    </row>
    <row r="135" spans="4:50" s="93" customFormat="1" x14ac:dyDescent="0.35">
      <c r="D135" s="92"/>
      <c r="F135" s="168"/>
      <c r="G135"/>
      <c r="H135"/>
      <c r="I135"/>
      <c r="J135" s="321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  <c r="AM135"/>
      <c r="AN135"/>
      <c r="AO135"/>
      <c r="AP135"/>
      <c r="AQ135"/>
      <c r="AR135"/>
      <c r="AS135"/>
      <c r="AT135"/>
      <c r="AU135"/>
      <c r="AV135"/>
      <c r="AW135"/>
      <c r="AX135" s="48"/>
    </row>
    <row r="136" spans="4:50" s="93" customFormat="1" x14ac:dyDescent="0.35">
      <c r="D136" s="92"/>
      <c r="F136" s="168"/>
      <c r="G136"/>
      <c r="H136"/>
      <c r="I136"/>
      <c r="J136" s="321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48"/>
      <c r="AA136"/>
      <c r="AB136"/>
      <c r="AC136"/>
      <c r="AD136"/>
      <c r="AE136"/>
      <c r="AF136"/>
      <c r="AG136"/>
      <c r="AH136"/>
      <c r="AI136"/>
      <c r="AJ136"/>
      <c r="AK136"/>
      <c r="AL136" s="48"/>
      <c r="AM136"/>
      <c r="AN136"/>
      <c r="AO136"/>
      <c r="AP136"/>
      <c r="AQ136"/>
      <c r="AR136"/>
      <c r="AS136"/>
      <c r="AT136"/>
      <c r="AU136"/>
      <c r="AV136"/>
      <c r="AW136"/>
      <c r="AX136" s="48"/>
    </row>
    <row r="137" spans="4:50" s="93" customFormat="1" x14ac:dyDescent="0.35">
      <c r="D137" s="92"/>
      <c r="F137" s="168"/>
      <c r="G137"/>
      <c r="H137"/>
      <c r="I137"/>
      <c r="J137" s="321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s="48"/>
      <c r="AA137"/>
      <c r="AB137"/>
      <c r="AC137"/>
      <c r="AD137"/>
      <c r="AE137"/>
      <c r="AF137"/>
      <c r="AG137"/>
      <c r="AH137"/>
      <c r="AI137"/>
      <c r="AJ137"/>
      <c r="AK137"/>
      <c r="AL137" s="48"/>
      <c r="AM137"/>
      <c r="AN137"/>
      <c r="AO137"/>
      <c r="AP137"/>
      <c r="AQ137"/>
      <c r="AR137"/>
      <c r="AS137"/>
      <c r="AT137"/>
      <c r="AU137"/>
      <c r="AV137"/>
      <c r="AW137"/>
      <c r="AX137" s="48"/>
    </row>
    <row r="138" spans="4:50" s="93" customFormat="1" x14ac:dyDescent="0.35">
      <c r="D138" s="92"/>
      <c r="F138" s="168"/>
      <c r="G138"/>
      <c r="H138"/>
      <c r="I138"/>
      <c r="J138" s="321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s="48"/>
      <c r="AA138"/>
      <c r="AB138"/>
      <c r="AC138"/>
      <c r="AD138"/>
      <c r="AE138"/>
      <c r="AF138"/>
      <c r="AG138"/>
      <c r="AH138"/>
      <c r="AI138"/>
      <c r="AJ138"/>
      <c r="AK138"/>
      <c r="AL138" s="48"/>
      <c r="AM138"/>
      <c r="AN138"/>
      <c r="AO138"/>
      <c r="AP138"/>
      <c r="AQ138"/>
      <c r="AR138"/>
      <c r="AS138"/>
      <c r="AT138"/>
      <c r="AU138"/>
      <c r="AV138"/>
      <c r="AW138"/>
      <c r="AX138" s="48"/>
    </row>
    <row r="139" spans="4:50" s="93" customFormat="1" x14ac:dyDescent="0.35">
      <c r="D139" s="92"/>
      <c r="F139" s="168"/>
      <c r="G139"/>
      <c r="H139"/>
      <c r="I139"/>
      <c r="J139" s="321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s="48"/>
      <c r="AA139"/>
      <c r="AB139"/>
      <c r="AC139"/>
      <c r="AD139"/>
      <c r="AE139"/>
      <c r="AF139"/>
      <c r="AG139"/>
      <c r="AH139"/>
      <c r="AI139"/>
      <c r="AJ139"/>
      <c r="AK139"/>
      <c r="AL139" s="48"/>
      <c r="AM139"/>
      <c r="AN139"/>
      <c r="AO139"/>
      <c r="AP139"/>
      <c r="AQ139"/>
      <c r="AR139"/>
      <c r="AS139"/>
      <c r="AT139"/>
      <c r="AU139"/>
      <c r="AV139"/>
      <c r="AW139"/>
      <c r="AX139" s="48"/>
    </row>
    <row r="140" spans="4:50" s="93" customFormat="1" x14ac:dyDescent="0.35">
      <c r="D140" s="92"/>
      <c r="F140" s="168"/>
      <c r="G140"/>
      <c r="H140"/>
      <c r="I140"/>
      <c r="J140" s="321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s="48"/>
      <c r="AA140"/>
      <c r="AB140"/>
      <c r="AC140"/>
      <c r="AD140"/>
      <c r="AE140"/>
      <c r="AF140"/>
      <c r="AG140"/>
      <c r="AH140"/>
      <c r="AI140"/>
      <c r="AJ140"/>
      <c r="AK140"/>
      <c r="AL140" s="48"/>
      <c r="AM140"/>
      <c r="AN140"/>
      <c r="AO140"/>
      <c r="AP140"/>
      <c r="AQ140"/>
      <c r="AR140"/>
      <c r="AS140"/>
      <c r="AT140"/>
      <c r="AU140"/>
      <c r="AV140"/>
      <c r="AW140"/>
      <c r="AX140" s="48"/>
    </row>
    <row r="141" spans="4:50" s="93" customFormat="1" x14ac:dyDescent="0.35">
      <c r="D141" s="92"/>
      <c r="F141" s="168"/>
      <c r="G141"/>
      <c r="H141"/>
      <c r="I141"/>
      <c r="J141" s="32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48"/>
      <c r="AA141"/>
      <c r="AB141"/>
      <c r="AC141"/>
      <c r="AD141"/>
      <c r="AE141"/>
      <c r="AF141"/>
      <c r="AG141"/>
      <c r="AH141"/>
      <c r="AI141"/>
      <c r="AJ141"/>
      <c r="AK141"/>
      <c r="AL141" s="48"/>
      <c r="AM141"/>
      <c r="AN141"/>
      <c r="AO141"/>
      <c r="AP141"/>
      <c r="AQ141"/>
      <c r="AR141"/>
      <c r="AS141"/>
      <c r="AT141"/>
      <c r="AU141"/>
      <c r="AV141"/>
      <c r="AW141"/>
      <c r="AX141" s="48"/>
    </row>
    <row r="142" spans="4:50" s="93" customFormat="1" x14ac:dyDescent="0.35">
      <c r="D142" s="92"/>
      <c r="F142" s="168"/>
      <c r="G142"/>
      <c r="H142"/>
      <c r="I142"/>
      <c r="J142" s="321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48"/>
      <c r="AA142"/>
      <c r="AB142"/>
      <c r="AC142"/>
      <c r="AD142"/>
      <c r="AE142"/>
      <c r="AF142"/>
      <c r="AG142"/>
      <c r="AH142"/>
      <c r="AI142"/>
      <c r="AJ142"/>
      <c r="AK142"/>
      <c r="AL142" s="48"/>
      <c r="AM142"/>
      <c r="AN142"/>
      <c r="AO142"/>
      <c r="AP142"/>
      <c r="AQ142"/>
      <c r="AR142"/>
      <c r="AS142"/>
      <c r="AT142"/>
      <c r="AU142"/>
      <c r="AV142"/>
      <c r="AW142"/>
      <c r="AX142" s="48"/>
    </row>
    <row r="143" spans="4:50" s="93" customFormat="1" x14ac:dyDescent="0.35">
      <c r="D143" s="92"/>
      <c r="F143" s="168"/>
      <c r="G143"/>
      <c r="H143"/>
      <c r="I143"/>
      <c r="J143" s="321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48"/>
      <c r="AA143"/>
      <c r="AB143"/>
      <c r="AC143"/>
      <c r="AD143"/>
      <c r="AE143"/>
      <c r="AF143"/>
      <c r="AG143"/>
      <c r="AH143"/>
      <c r="AI143"/>
      <c r="AJ143"/>
      <c r="AK143"/>
      <c r="AL143" s="48"/>
      <c r="AM143"/>
      <c r="AN143"/>
      <c r="AO143"/>
      <c r="AP143"/>
      <c r="AQ143"/>
      <c r="AR143"/>
      <c r="AS143"/>
      <c r="AT143"/>
      <c r="AU143"/>
      <c r="AV143"/>
      <c r="AW143"/>
      <c r="AX143" s="48"/>
    </row>
    <row r="144" spans="4:50" s="93" customFormat="1" x14ac:dyDescent="0.35">
      <c r="D144" s="92"/>
      <c r="F144" s="168"/>
      <c r="G144"/>
      <c r="H144"/>
      <c r="I144"/>
      <c r="J144" s="321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48"/>
      <c r="AA144"/>
      <c r="AB144"/>
      <c r="AC144"/>
      <c r="AD144"/>
      <c r="AE144"/>
      <c r="AF144"/>
      <c r="AG144"/>
      <c r="AH144"/>
      <c r="AI144"/>
      <c r="AJ144"/>
      <c r="AK144"/>
      <c r="AL144" s="48"/>
      <c r="AM144"/>
      <c r="AN144"/>
      <c r="AO144"/>
      <c r="AP144"/>
      <c r="AQ144"/>
      <c r="AR144"/>
      <c r="AS144"/>
      <c r="AT144"/>
      <c r="AU144"/>
      <c r="AV144"/>
      <c r="AW144"/>
      <c r="AX144" s="48"/>
    </row>
    <row r="145" spans="4:50" s="93" customFormat="1" x14ac:dyDescent="0.35">
      <c r="D145" s="92"/>
      <c r="F145" s="168"/>
      <c r="G145"/>
      <c r="H145"/>
      <c r="I145"/>
      <c r="J145" s="321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48"/>
      <c r="AA145"/>
      <c r="AB145"/>
      <c r="AC145"/>
      <c r="AD145"/>
      <c r="AE145"/>
      <c r="AF145"/>
      <c r="AG145"/>
      <c r="AH145"/>
      <c r="AI145"/>
      <c r="AJ145"/>
      <c r="AK145"/>
      <c r="AL145" s="48"/>
      <c r="AM145"/>
      <c r="AN145"/>
      <c r="AO145"/>
      <c r="AP145"/>
      <c r="AQ145"/>
      <c r="AR145"/>
      <c r="AS145"/>
      <c r="AT145"/>
      <c r="AU145"/>
      <c r="AV145"/>
      <c r="AW145"/>
      <c r="AX145" s="48"/>
    </row>
    <row r="146" spans="4:50" s="93" customFormat="1" x14ac:dyDescent="0.35">
      <c r="D146" s="92"/>
      <c r="F146" s="168"/>
      <c r="G146"/>
      <c r="H146"/>
      <c r="I146"/>
      <c r="J146" s="321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s="48"/>
      <c r="AA146"/>
      <c r="AB146"/>
      <c r="AC146"/>
      <c r="AD146"/>
      <c r="AE146"/>
      <c r="AF146"/>
      <c r="AG146"/>
      <c r="AH146"/>
      <c r="AI146"/>
      <c r="AJ146"/>
      <c r="AK146"/>
      <c r="AL146" s="48"/>
      <c r="AM146"/>
      <c r="AN146"/>
      <c r="AO146"/>
      <c r="AP146"/>
      <c r="AQ146"/>
      <c r="AR146"/>
      <c r="AS146"/>
      <c r="AT146"/>
      <c r="AU146"/>
      <c r="AV146"/>
      <c r="AW146"/>
      <c r="AX146" s="48"/>
    </row>
    <row r="147" spans="4:50" s="93" customFormat="1" x14ac:dyDescent="0.35">
      <c r="D147" s="92"/>
      <c r="F147" s="168"/>
      <c r="G147"/>
      <c r="H147"/>
      <c r="I147"/>
      <c r="J147" s="321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48"/>
      <c r="AA147"/>
      <c r="AB147"/>
      <c r="AC147"/>
      <c r="AD147"/>
      <c r="AE147"/>
      <c r="AF147"/>
      <c r="AG147"/>
      <c r="AH147"/>
      <c r="AI147"/>
      <c r="AJ147"/>
      <c r="AK147"/>
      <c r="AL147" s="48"/>
      <c r="AM147"/>
      <c r="AN147"/>
      <c r="AO147"/>
      <c r="AP147"/>
      <c r="AQ147"/>
      <c r="AR147"/>
      <c r="AS147"/>
      <c r="AT147"/>
      <c r="AU147"/>
      <c r="AV147"/>
      <c r="AW147"/>
      <c r="AX147" s="48"/>
    </row>
    <row r="148" spans="4:50" s="93" customFormat="1" x14ac:dyDescent="0.35">
      <c r="D148" s="92"/>
      <c r="F148" s="168"/>
      <c r="G148"/>
      <c r="H148"/>
      <c r="I148"/>
      <c r="J148" s="321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48"/>
      <c r="AA148"/>
      <c r="AB148"/>
      <c r="AC148"/>
      <c r="AD148"/>
      <c r="AE148"/>
      <c r="AF148"/>
      <c r="AG148"/>
      <c r="AH148"/>
      <c r="AI148"/>
      <c r="AJ148"/>
      <c r="AK148"/>
      <c r="AL148" s="48"/>
      <c r="AM148"/>
      <c r="AN148"/>
      <c r="AO148"/>
      <c r="AP148"/>
      <c r="AQ148"/>
      <c r="AR148"/>
      <c r="AS148"/>
      <c r="AT148"/>
      <c r="AU148"/>
      <c r="AV148"/>
      <c r="AW148"/>
      <c r="AX148" s="48"/>
    </row>
    <row r="149" spans="4:50" s="93" customFormat="1" x14ac:dyDescent="0.35">
      <c r="D149" s="92"/>
      <c r="F149" s="168"/>
      <c r="G149"/>
      <c r="H149"/>
      <c r="I149"/>
      <c r="J149" s="321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48"/>
      <c r="AA149"/>
      <c r="AB149"/>
      <c r="AC149"/>
      <c r="AD149"/>
      <c r="AE149"/>
      <c r="AF149"/>
      <c r="AG149"/>
      <c r="AH149"/>
      <c r="AI149"/>
      <c r="AJ149"/>
      <c r="AK149"/>
      <c r="AL149" s="48"/>
      <c r="AM149"/>
      <c r="AN149"/>
      <c r="AO149"/>
      <c r="AP149"/>
      <c r="AQ149"/>
      <c r="AR149"/>
      <c r="AS149"/>
      <c r="AT149"/>
      <c r="AU149"/>
      <c r="AV149"/>
      <c r="AW149"/>
      <c r="AX149" s="48"/>
    </row>
    <row r="150" spans="4:50" s="93" customFormat="1" x14ac:dyDescent="0.35">
      <c r="D150" s="92"/>
      <c r="F150" s="168"/>
      <c r="G150"/>
      <c r="H150"/>
      <c r="I150"/>
      <c r="J150" s="321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48"/>
      <c r="AA150"/>
      <c r="AB150"/>
      <c r="AC150"/>
      <c r="AD150"/>
      <c r="AE150"/>
      <c r="AF150"/>
      <c r="AG150"/>
      <c r="AH150"/>
      <c r="AI150"/>
      <c r="AJ150"/>
      <c r="AK150"/>
      <c r="AL150" s="48"/>
      <c r="AM150"/>
      <c r="AN150"/>
      <c r="AO150"/>
      <c r="AP150"/>
      <c r="AQ150"/>
      <c r="AR150"/>
      <c r="AS150"/>
      <c r="AT150"/>
      <c r="AU150"/>
      <c r="AV150"/>
      <c r="AW150"/>
      <c r="AX150" s="48"/>
    </row>
    <row r="151" spans="4:50" s="93" customFormat="1" x14ac:dyDescent="0.35">
      <c r="D151" s="92"/>
      <c r="F151" s="168"/>
      <c r="G151"/>
      <c r="H151"/>
      <c r="I151"/>
      <c r="J151" s="32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s="48"/>
      <c r="AA151"/>
      <c r="AB151"/>
      <c r="AC151"/>
      <c r="AD151"/>
      <c r="AE151"/>
      <c r="AF151"/>
      <c r="AG151"/>
      <c r="AH151"/>
      <c r="AI151"/>
      <c r="AJ151"/>
      <c r="AK151"/>
      <c r="AL151" s="48"/>
      <c r="AM151"/>
      <c r="AN151"/>
      <c r="AO151"/>
      <c r="AP151"/>
      <c r="AQ151"/>
      <c r="AR151"/>
      <c r="AS151"/>
      <c r="AT151"/>
      <c r="AU151"/>
      <c r="AV151"/>
      <c r="AW151"/>
      <c r="AX151" s="48"/>
    </row>
    <row r="152" spans="4:50" s="93" customFormat="1" x14ac:dyDescent="0.35">
      <c r="D152" s="92"/>
      <c r="F152" s="168"/>
      <c r="G152"/>
      <c r="H152"/>
      <c r="I152"/>
      <c r="J152" s="321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  <c r="AM152"/>
      <c r="AN152"/>
      <c r="AO152"/>
      <c r="AP152"/>
      <c r="AQ152"/>
      <c r="AR152"/>
      <c r="AS152"/>
      <c r="AT152"/>
      <c r="AU152"/>
      <c r="AV152"/>
      <c r="AW152"/>
      <c r="AX152" s="48"/>
    </row>
    <row r="153" spans="4:50" s="93" customFormat="1" x14ac:dyDescent="0.35">
      <c r="D153" s="92"/>
      <c r="F153" s="168"/>
      <c r="G153"/>
      <c r="H153"/>
      <c r="I153"/>
      <c r="J153" s="321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  <c r="AM153"/>
      <c r="AN153"/>
      <c r="AO153"/>
      <c r="AP153"/>
      <c r="AQ153"/>
      <c r="AR153"/>
      <c r="AS153"/>
      <c r="AT153"/>
      <c r="AU153"/>
      <c r="AV153"/>
      <c r="AW153"/>
      <c r="AX153" s="48"/>
    </row>
    <row r="154" spans="4:50" s="93" customFormat="1" x14ac:dyDescent="0.35">
      <c r="D154" s="92"/>
      <c r="F154" s="168"/>
      <c r="G154"/>
      <c r="H154"/>
      <c r="I154"/>
      <c r="J154" s="321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  <c r="AM154"/>
      <c r="AN154"/>
      <c r="AO154"/>
      <c r="AP154"/>
      <c r="AQ154"/>
      <c r="AR154"/>
      <c r="AS154"/>
      <c r="AT154"/>
      <c r="AU154"/>
      <c r="AV154"/>
      <c r="AW154"/>
      <c r="AX154" s="48"/>
    </row>
    <row r="155" spans="4:50" s="93" customFormat="1" x14ac:dyDescent="0.35">
      <c r="D155" s="92"/>
      <c r="F155" s="168"/>
      <c r="G155"/>
      <c r="H155"/>
      <c r="I155"/>
      <c r="J155" s="321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  <c r="AM155"/>
      <c r="AN155"/>
      <c r="AO155"/>
      <c r="AP155"/>
      <c r="AQ155"/>
      <c r="AR155"/>
      <c r="AS155"/>
      <c r="AT155"/>
      <c r="AU155"/>
      <c r="AV155"/>
      <c r="AW155"/>
      <c r="AX155" s="48"/>
    </row>
    <row r="156" spans="4:50" s="93" customFormat="1" x14ac:dyDescent="0.35">
      <c r="D156" s="92"/>
      <c r="F156" s="168"/>
      <c r="G156"/>
      <c r="H156"/>
      <c r="I156"/>
      <c r="J156" s="321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  <c r="AM156"/>
      <c r="AN156"/>
      <c r="AO156"/>
      <c r="AP156"/>
      <c r="AQ156"/>
      <c r="AR156"/>
      <c r="AS156"/>
      <c r="AT156"/>
      <c r="AU156"/>
      <c r="AV156"/>
      <c r="AW156"/>
      <c r="AX156" s="48"/>
    </row>
    <row r="157" spans="4:50" s="93" customFormat="1" x14ac:dyDescent="0.35">
      <c r="D157" s="92"/>
      <c r="F157" s="168"/>
      <c r="G157"/>
      <c r="H157"/>
      <c r="I157"/>
      <c r="J157" s="321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  <c r="AM157"/>
      <c r="AN157"/>
      <c r="AO157"/>
      <c r="AP157"/>
      <c r="AQ157"/>
      <c r="AR157"/>
      <c r="AS157"/>
      <c r="AT157"/>
      <c r="AU157"/>
      <c r="AV157"/>
      <c r="AW157"/>
      <c r="AX157" s="48"/>
    </row>
    <row r="158" spans="4:50" s="93" customFormat="1" x14ac:dyDescent="0.35">
      <c r="D158" s="92"/>
      <c r="F158" s="168"/>
      <c r="G158"/>
      <c r="H158"/>
      <c r="I158"/>
      <c r="J158" s="321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  <c r="AM158"/>
      <c r="AN158"/>
      <c r="AO158"/>
      <c r="AP158"/>
      <c r="AQ158"/>
      <c r="AR158"/>
      <c r="AS158"/>
      <c r="AT158"/>
      <c r="AU158"/>
      <c r="AV158"/>
      <c r="AW158"/>
      <c r="AX158" s="48"/>
    </row>
    <row r="159" spans="4:50" s="93" customFormat="1" x14ac:dyDescent="0.35">
      <c r="D159" s="92"/>
      <c r="F159" s="168"/>
      <c r="G159"/>
      <c r="H159"/>
      <c r="I159"/>
      <c r="J159" s="321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  <c r="AM159"/>
      <c r="AN159"/>
      <c r="AO159"/>
      <c r="AP159"/>
      <c r="AQ159"/>
      <c r="AR159"/>
      <c r="AS159"/>
      <c r="AT159"/>
      <c r="AU159"/>
      <c r="AV159"/>
      <c r="AW159"/>
      <c r="AX159" s="48"/>
    </row>
    <row r="160" spans="4:50" s="93" customFormat="1" x14ac:dyDescent="0.35">
      <c r="D160" s="92"/>
      <c r="F160" s="168"/>
      <c r="G160"/>
      <c r="H160"/>
      <c r="I160"/>
      <c r="J160" s="321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  <c r="AM160"/>
      <c r="AN160"/>
      <c r="AO160"/>
      <c r="AP160"/>
      <c r="AQ160"/>
      <c r="AR160"/>
      <c r="AS160"/>
      <c r="AT160"/>
      <c r="AU160"/>
      <c r="AV160"/>
      <c r="AW160"/>
      <c r="AX160" s="48"/>
    </row>
    <row r="161" spans="4:50" s="93" customFormat="1" x14ac:dyDescent="0.35">
      <c r="D161" s="92"/>
      <c r="F161" s="168"/>
      <c r="G161"/>
      <c r="H161"/>
      <c r="I161"/>
      <c r="J161" s="32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  <c r="AM161"/>
      <c r="AN161"/>
      <c r="AO161"/>
      <c r="AP161"/>
      <c r="AQ161"/>
      <c r="AR161"/>
      <c r="AS161"/>
      <c r="AT161"/>
      <c r="AU161"/>
      <c r="AV161"/>
      <c r="AW161"/>
      <c r="AX161" s="48"/>
    </row>
    <row r="162" spans="4:50" s="93" customFormat="1" x14ac:dyDescent="0.35">
      <c r="D162" s="92"/>
      <c r="F162" s="168"/>
      <c r="G162"/>
      <c r="H162"/>
      <c r="I162"/>
      <c r="J162" s="321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  <c r="AM162"/>
      <c r="AN162"/>
      <c r="AO162"/>
      <c r="AP162"/>
      <c r="AQ162"/>
      <c r="AR162"/>
      <c r="AS162"/>
      <c r="AT162"/>
      <c r="AU162"/>
      <c r="AV162"/>
      <c r="AW162"/>
      <c r="AX162" s="48"/>
    </row>
    <row r="163" spans="4:50" s="93" customFormat="1" x14ac:dyDescent="0.35">
      <c r="D163" s="92"/>
      <c r="F163" s="168"/>
      <c r="G163"/>
      <c r="H163"/>
      <c r="I163"/>
      <c r="J163" s="321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  <c r="AM163"/>
      <c r="AN163"/>
      <c r="AO163"/>
      <c r="AP163"/>
      <c r="AQ163"/>
      <c r="AR163"/>
      <c r="AS163"/>
      <c r="AT163"/>
      <c r="AU163"/>
      <c r="AV163"/>
      <c r="AW163"/>
      <c r="AX163" s="48"/>
    </row>
    <row r="164" spans="4:50" s="93" customFormat="1" x14ac:dyDescent="0.35">
      <c r="D164" s="92"/>
      <c r="F164" s="168"/>
      <c r="G164"/>
      <c r="H164"/>
      <c r="I164"/>
      <c r="J164" s="321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  <c r="AM164"/>
      <c r="AN164"/>
      <c r="AO164"/>
      <c r="AP164"/>
      <c r="AQ164"/>
      <c r="AR164"/>
      <c r="AS164"/>
      <c r="AT164"/>
      <c r="AU164"/>
      <c r="AV164"/>
      <c r="AW164"/>
      <c r="AX164" s="48"/>
    </row>
    <row r="165" spans="4:50" s="93" customFormat="1" x14ac:dyDescent="0.35">
      <c r="D165" s="92"/>
      <c r="F165" s="168"/>
      <c r="G165"/>
      <c r="H165"/>
      <c r="I165"/>
      <c r="J165" s="321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  <c r="AM165"/>
      <c r="AN165"/>
      <c r="AO165"/>
      <c r="AP165"/>
      <c r="AQ165"/>
      <c r="AR165"/>
      <c r="AS165"/>
      <c r="AT165"/>
      <c r="AU165"/>
      <c r="AV165"/>
      <c r="AW165"/>
      <c r="AX165" s="48"/>
    </row>
    <row r="166" spans="4:50" s="93" customFormat="1" x14ac:dyDescent="0.35">
      <c r="D166" s="92"/>
      <c r="F166" s="168"/>
      <c r="G166"/>
      <c r="H166"/>
      <c r="I166"/>
      <c r="J166" s="321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  <c r="AM166"/>
      <c r="AN166"/>
      <c r="AO166"/>
      <c r="AP166"/>
      <c r="AQ166"/>
      <c r="AR166"/>
      <c r="AS166"/>
      <c r="AT166"/>
      <c r="AU166"/>
      <c r="AV166"/>
      <c r="AW166"/>
      <c r="AX166" s="48"/>
    </row>
    <row r="167" spans="4:50" s="93" customFormat="1" x14ac:dyDescent="0.35">
      <c r="D167" s="92"/>
      <c r="F167" s="168"/>
      <c r="G167"/>
      <c r="H167"/>
      <c r="I167"/>
      <c r="J167" s="321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  <c r="AM167"/>
      <c r="AN167"/>
      <c r="AO167"/>
      <c r="AP167"/>
      <c r="AQ167"/>
      <c r="AR167"/>
      <c r="AS167"/>
      <c r="AT167"/>
      <c r="AU167"/>
      <c r="AV167"/>
      <c r="AW167"/>
      <c r="AX167" s="48"/>
    </row>
    <row r="168" spans="4:50" s="93" customFormat="1" x14ac:dyDescent="0.35">
      <c r="D168" s="92"/>
      <c r="F168" s="168"/>
      <c r="G168"/>
      <c r="H168"/>
      <c r="I168"/>
      <c r="J168" s="321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  <c r="AM168"/>
      <c r="AN168"/>
      <c r="AO168"/>
      <c r="AP168"/>
      <c r="AQ168"/>
      <c r="AR168"/>
      <c r="AS168"/>
      <c r="AT168"/>
      <c r="AU168"/>
      <c r="AV168"/>
      <c r="AW168"/>
      <c r="AX168" s="48"/>
    </row>
    <row r="169" spans="4:50" s="93" customFormat="1" x14ac:dyDescent="0.35">
      <c r="D169" s="92"/>
      <c r="F169" s="168"/>
      <c r="G169"/>
      <c r="H169"/>
      <c r="I169"/>
      <c r="J169" s="321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  <c r="AM169"/>
      <c r="AN169"/>
      <c r="AO169"/>
      <c r="AP169"/>
      <c r="AQ169"/>
      <c r="AR169"/>
      <c r="AS169"/>
      <c r="AT169"/>
      <c r="AU169"/>
      <c r="AV169"/>
      <c r="AW169"/>
      <c r="AX169" s="48"/>
    </row>
    <row r="170" spans="4:50" s="93" customFormat="1" x14ac:dyDescent="0.35">
      <c r="D170" s="92"/>
      <c r="F170" s="168"/>
      <c r="G170"/>
      <c r="H170"/>
      <c r="I170"/>
      <c r="J170" s="321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  <c r="AM170"/>
      <c r="AN170"/>
      <c r="AO170"/>
      <c r="AP170"/>
      <c r="AQ170"/>
      <c r="AR170"/>
      <c r="AS170"/>
      <c r="AT170"/>
      <c r="AU170"/>
      <c r="AV170"/>
      <c r="AW170"/>
      <c r="AX170" s="48"/>
    </row>
    <row r="171" spans="4:50" s="93" customFormat="1" x14ac:dyDescent="0.35">
      <c r="D171" s="92"/>
      <c r="F171" s="168"/>
      <c r="G171"/>
      <c r="H171"/>
      <c r="I171"/>
      <c r="J171" s="32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  <c r="AM171"/>
      <c r="AN171"/>
      <c r="AO171"/>
      <c r="AP171"/>
      <c r="AQ171"/>
      <c r="AR171"/>
      <c r="AS171"/>
      <c r="AT171"/>
      <c r="AU171"/>
      <c r="AV171"/>
      <c r="AW171"/>
      <c r="AX171" s="48"/>
    </row>
    <row r="172" spans="4:50" s="93" customFormat="1" x14ac:dyDescent="0.35">
      <c r="D172" s="92"/>
      <c r="F172" s="168"/>
      <c r="G172"/>
      <c r="H172"/>
      <c r="I172"/>
      <c r="J172" s="321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  <c r="AM172"/>
      <c r="AN172"/>
      <c r="AO172"/>
      <c r="AP172"/>
      <c r="AQ172"/>
      <c r="AR172"/>
      <c r="AS172"/>
      <c r="AT172"/>
      <c r="AU172"/>
      <c r="AV172"/>
      <c r="AW172"/>
      <c r="AX172" s="48"/>
    </row>
    <row r="173" spans="4:50" s="93" customFormat="1" x14ac:dyDescent="0.35">
      <c r="D173" s="92"/>
      <c r="F173" s="168"/>
      <c r="G173"/>
      <c r="H173"/>
      <c r="I173"/>
      <c r="J173" s="321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  <c r="AM173"/>
      <c r="AN173"/>
      <c r="AO173"/>
      <c r="AP173"/>
      <c r="AQ173"/>
      <c r="AR173"/>
      <c r="AS173"/>
      <c r="AT173"/>
      <c r="AU173"/>
      <c r="AV173"/>
      <c r="AW173"/>
      <c r="AX173" s="48"/>
    </row>
    <row r="174" spans="4:50" s="93" customFormat="1" x14ac:dyDescent="0.35">
      <c r="D174" s="92"/>
      <c r="F174" s="168"/>
      <c r="G174"/>
      <c r="H174"/>
      <c r="I174"/>
      <c r="J174" s="321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  <c r="AM174"/>
      <c r="AN174"/>
      <c r="AO174"/>
      <c r="AP174"/>
      <c r="AQ174"/>
      <c r="AR174"/>
      <c r="AS174"/>
      <c r="AT174"/>
      <c r="AU174"/>
      <c r="AV174"/>
      <c r="AW174"/>
      <c r="AX174" s="48"/>
    </row>
    <row r="175" spans="4:50" s="93" customFormat="1" x14ac:dyDescent="0.35">
      <c r="D175" s="92"/>
      <c r="F175" s="168"/>
      <c r="G175"/>
      <c r="H175"/>
      <c r="I175"/>
      <c r="J175" s="321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  <c r="AM175"/>
      <c r="AN175"/>
      <c r="AO175"/>
      <c r="AP175"/>
      <c r="AQ175"/>
      <c r="AR175"/>
      <c r="AS175"/>
      <c r="AT175"/>
      <c r="AU175"/>
      <c r="AV175"/>
      <c r="AW175"/>
      <c r="AX175" s="48"/>
    </row>
    <row r="176" spans="4:50" s="93" customFormat="1" x14ac:dyDescent="0.35">
      <c r="D176" s="92"/>
      <c r="F176" s="168"/>
      <c r="G176"/>
      <c r="H176"/>
      <c r="I176"/>
      <c r="J176" s="321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  <c r="AM176"/>
      <c r="AN176"/>
      <c r="AO176"/>
      <c r="AP176"/>
      <c r="AQ176"/>
      <c r="AR176"/>
      <c r="AS176"/>
      <c r="AT176"/>
      <c r="AU176"/>
      <c r="AV176"/>
      <c r="AW176"/>
      <c r="AX176" s="48"/>
    </row>
    <row r="177" spans="4:50" s="93" customFormat="1" x14ac:dyDescent="0.35">
      <c r="D177" s="92"/>
      <c r="F177" s="168"/>
      <c r="G177"/>
      <c r="H177"/>
      <c r="I177"/>
      <c r="J177" s="321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  <c r="AM177"/>
      <c r="AN177"/>
      <c r="AO177"/>
      <c r="AP177"/>
      <c r="AQ177"/>
      <c r="AR177"/>
      <c r="AS177"/>
      <c r="AT177"/>
      <c r="AU177"/>
      <c r="AV177"/>
      <c r="AW177"/>
      <c r="AX177" s="48"/>
    </row>
    <row r="178" spans="4:50" s="93" customFormat="1" x14ac:dyDescent="0.35">
      <c r="D178" s="92"/>
      <c r="F178" s="168"/>
      <c r="G178"/>
      <c r="H178"/>
      <c r="I178"/>
      <c r="J178" s="321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  <c r="AM178"/>
      <c r="AN178"/>
      <c r="AO178"/>
      <c r="AP178"/>
      <c r="AQ178"/>
      <c r="AR178"/>
      <c r="AS178"/>
      <c r="AT178"/>
      <c r="AU178"/>
      <c r="AV178"/>
      <c r="AW178"/>
      <c r="AX178" s="48"/>
    </row>
    <row r="179" spans="4:50" s="93" customFormat="1" x14ac:dyDescent="0.35">
      <c r="D179" s="92"/>
      <c r="F179" s="168"/>
      <c r="G179"/>
      <c r="H179"/>
      <c r="I179"/>
      <c r="J179" s="321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  <c r="AM179"/>
      <c r="AN179"/>
      <c r="AO179"/>
      <c r="AP179"/>
      <c r="AQ179"/>
      <c r="AR179"/>
      <c r="AS179"/>
      <c r="AT179"/>
      <c r="AU179"/>
      <c r="AV179"/>
      <c r="AW179"/>
      <c r="AX179" s="48"/>
    </row>
    <row r="180" spans="4:50" s="93" customFormat="1" x14ac:dyDescent="0.35">
      <c r="D180" s="92"/>
      <c r="F180" s="168"/>
      <c r="G180"/>
      <c r="H180"/>
      <c r="I180"/>
      <c r="J180" s="321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  <c r="AM180"/>
      <c r="AN180"/>
      <c r="AO180"/>
      <c r="AP180"/>
      <c r="AQ180"/>
      <c r="AR180"/>
      <c r="AS180"/>
      <c r="AT180"/>
      <c r="AU180"/>
      <c r="AV180"/>
      <c r="AW180"/>
      <c r="AX180" s="48"/>
    </row>
    <row r="181" spans="4:50" s="93" customFormat="1" x14ac:dyDescent="0.35">
      <c r="D181" s="92"/>
      <c r="F181" s="168"/>
      <c r="G181"/>
      <c r="H181"/>
      <c r="I181"/>
      <c r="J181" s="32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  <c r="AM181"/>
      <c r="AN181"/>
      <c r="AO181"/>
      <c r="AP181"/>
      <c r="AQ181"/>
      <c r="AR181"/>
      <c r="AS181"/>
      <c r="AT181"/>
      <c r="AU181"/>
      <c r="AV181"/>
      <c r="AW181"/>
      <c r="AX181" s="48"/>
    </row>
    <row r="182" spans="4:50" s="93" customFormat="1" ht="15" thickBot="1" x14ac:dyDescent="0.4">
      <c r="D182" s="92"/>
      <c r="F182" s="168"/>
      <c r="G182"/>
      <c r="H182"/>
      <c r="I182"/>
      <c r="J182" s="321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  <c r="AM182"/>
      <c r="AN182"/>
      <c r="AO182"/>
      <c r="AP182"/>
      <c r="AQ182"/>
      <c r="AR182"/>
      <c r="AS182"/>
      <c r="AT182"/>
      <c r="AU182"/>
      <c r="AV182"/>
      <c r="AW182"/>
      <c r="AX182" s="48"/>
    </row>
    <row r="183" spans="4:50" s="99" customFormat="1" x14ac:dyDescent="0.35">
      <c r="D183" s="100"/>
      <c r="F183" s="248"/>
      <c r="G183" s="7"/>
      <c r="H183" s="7"/>
      <c r="I183" s="7"/>
      <c r="J183" s="38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91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91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91"/>
    </row>
    <row r="184" spans="4:50" s="93" customFormat="1" x14ac:dyDescent="0.35">
      <c r="D184" s="92"/>
      <c r="F184" s="168"/>
      <c r="G184"/>
      <c r="H184"/>
      <c r="I184"/>
      <c r="J184" s="321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  <c r="AM184"/>
      <c r="AN184"/>
      <c r="AO184"/>
      <c r="AP184"/>
      <c r="AQ184"/>
      <c r="AR184"/>
      <c r="AS184"/>
      <c r="AT184"/>
      <c r="AU184"/>
      <c r="AV184"/>
      <c r="AW184"/>
      <c r="AX184" s="48"/>
    </row>
    <row r="185" spans="4:50" s="93" customFormat="1" x14ac:dyDescent="0.35">
      <c r="D185" s="92"/>
      <c r="F185" s="168"/>
      <c r="G185"/>
      <c r="H185"/>
      <c r="I185"/>
      <c r="J185" s="321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  <c r="AM185"/>
      <c r="AN185"/>
      <c r="AO185"/>
      <c r="AP185"/>
      <c r="AQ185"/>
      <c r="AR185"/>
      <c r="AS185"/>
      <c r="AT185"/>
      <c r="AU185"/>
      <c r="AV185"/>
      <c r="AW185"/>
      <c r="AX185" s="48"/>
    </row>
    <row r="186" spans="4:50" s="93" customFormat="1" x14ac:dyDescent="0.35">
      <c r="D186" s="92"/>
      <c r="F186" s="168"/>
      <c r="G186"/>
      <c r="H186"/>
      <c r="I186"/>
      <c r="J186" s="321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  <c r="AM186"/>
      <c r="AN186"/>
      <c r="AO186"/>
      <c r="AP186"/>
      <c r="AQ186"/>
      <c r="AR186"/>
      <c r="AS186"/>
      <c r="AT186"/>
      <c r="AU186"/>
      <c r="AV186"/>
      <c r="AW186"/>
      <c r="AX186" s="48"/>
    </row>
    <row r="187" spans="4:50" s="93" customFormat="1" x14ac:dyDescent="0.35">
      <c r="D187" s="92"/>
      <c r="F187" s="168"/>
      <c r="G187"/>
      <c r="H187"/>
      <c r="I187"/>
      <c r="J187" s="321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  <c r="AM187"/>
      <c r="AN187"/>
      <c r="AO187"/>
      <c r="AP187"/>
      <c r="AQ187"/>
      <c r="AR187"/>
      <c r="AS187"/>
      <c r="AT187"/>
      <c r="AU187"/>
      <c r="AV187"/>
      <c r="AW187"/>
      <c r="AX187" s="48"/>
    </row>
    <row r="188" spans="4:50" s="93" customFormat="1" x14ac:dyDescent="0.35">
      <c r="D188" s="92"/>
      <c r="F188" s="168"/>
      <c r="G188"/>
      <c r="H188"/>
      <c r="I188"/>
      <c r="J188" s="321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  <c r="AM188"/>
      <c r="AN188"/>
      <c r="AO188"/>
      <c r="AP188"/>
      <c r="AQ188"/>
      <c r="AR188"/>
      <c r="AS188"/>
      <c r="AT188"/>
      <c r="AU188"/>
      <c r="AV188"/>
      <c r="AW188"/>
      <c r="AX188" s="48"/>
    </row>
    <row r="189" spans="4:50" s="93" customFormat="1" x14ac:dyDescent="0.35">
      <c r="D189" s="92"/>
      <c r="F189" s="168"/>
      <c r="G189"/>
      <c r="H189"/>
      <c r="I189"/>
      <c r="J189" s="321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  <c r="AM189"/>
      <c r="AN189"/>
      <c r="AO189"/>
      <c r="AP189"/>
      <c r="AQ189"/>
      <c r="AR189"/>
      <c r="AS189"/>
      <c r="AT189"/>
      <c r="AU189"/>
      <c r="AV189"/>
      <c r="AW189"/>
      <c r="AX189" s="48"/>
    </row>
    <row r="190" spans="4:50" s="93" customFormat="1" x14ac:dyDescent="0.35">
      <c r="D190" s="92"/>
      <c r="F190" s="168"/>
      <c r="G190"/>
      <c r="H190"/>
      <c r="I190"/>
      <c r="J190" s="321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  <c r="AM190"/>
      <c r="AN190"/>
      <c r="AO190"/>
      <c r="AP190"/>
      <c r="AQ190"/>
      <c r="AR190"/>
      <c r="AS190"/>
      <c r="AT190"/>
      <c r="AU190"/>
      <c r="AV190"/>
      <c r="AW190"/>
      <c r="AX190" s="48"/>
    </row>
    <row r="191" spans="4:50" s="93" customFormat="1" x14ac:dyDescent="0.35">
      <c r="D191" s="92"/>
      <c r="F191" s="168"/>
      <c r="G191"/>
      <c r="H191"/>
      <c r="I191"/>
      <c r="J191" s="32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  <c r="AM191"/>
      <c r="AN191"/>
      <c r="AO191"/>
      <c r="AP191"/>
      <c r="AQ191"/>
      <c r="AR191"/>
      <c r="AS191"/>
      <c r="AT191"/>
      <c r="AU191"/>
      <c r="AV191"/>
      <c r="AW191"/>
      <c r="AX191" s="48"/>
    </row>
    <row r="192" spans="4:50" s="93" customFormat="1" x14ac:dyDescent="0.35">
      <c r="D192" s="92"/>
      <c r="F192" s="168"/>
      <c r="G192"/>
      <c r="H192"/>
      <c r="I192"/>
      <c r="J192" s="321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  <c r="AM192"/>
      <c r="AN192"/>
      <c r="AO192"/>
      <c r="AP192"/>
      <c r="AQ192"/>
      <c r="AR192"/>
      <c r="AS192"/>
      <c r="AT192"/>
      <c r="AU192"/>
      <c r="AV192"/>
      <c r="AW192"/>
      <c r="AX192" s="48"/>
    </row>
    <row r="193" spans="4:50" s="93" customFormat="1" x14ac:dyDescent="0.35">
      <c r="D193" s="92"/>
      <c r="F193" s="168"/>
      <c r="G193"/>
      <c r="H193"/>
      <c r="I193"/>
      <c r="J193" s="321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  <c r="AM193"/>
      <c r="AN193"/>
      <c r="AO193"/>
      <c r="AP193"/>
      <c r="AQ193"/>
      <c r="AR193"/>
      <c r="AS193"/>
      <c r="AT193"/>
      <c r="AU193"/>
      <c r="AV193"/>
      <c r="AW193"/>
      <c r="AX193" s="48"/>
    </row>
    <row r="194" spans="4:50" s="93" customFormat="1" x14ac:dyDescent="0.35">
      <c r="D194" s="92"/>
      <c r="F194" s="168"/>
      <c r="G194"/>
      <c r="H194"/>
      <c r="I194"/>
      <c r="J194" s="321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  <c r="AM194"/>
      <c r="AN194"/>
      <c r="AO194"/>
      <c r="AP194"/>
      <c r="AQ194"/>
      <c r="AR194"/>
      <c r="AS194"/>
      <c r="AT194"/>
      <c r="AU194"/>
      <c r="AV194"/>
      <c r="AW194"/>
      <c r="AX194" s="48"/>
    </row>
    <row r="195" spans="4:50" s="93" customFormat="1" x14ac:dyDescent="0.35">
      <c r="D195" s="92"/>
      <c r="F195" s="168"/>
      <c r="G195"/>
      <c r="H195"/>
      <c r="I195"/>
      <c r="J195" s="321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  <c r="AM195"/>
      <c r="AN195"/>
      <c r="AO195"/>
      <c r="AP195"/>
      <c r="AQ195"/>
      <c r="AR195"/>
      <c r="AS195"/>
      <c r="AT195"/>
      <c r="AU195"/>
      <c r="AV195"/>
      <c r="AW195"/>
      <c r="AX195" s="48"/>
    </row>
    <row r="196" spans="4:50" s="93" customFormat="1" x14ac:dyDescent="0.35">
      <c r="D196" s="92"/>
      <c r="F196" s="168"/>
      <c r="G196"/>
      <c r="H196"/>
      <c r="I196"/>
      <c r="J196" s="321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  <c r="AM196"/>
      <c r="AN196"/>
      <c r="AO196"/>
      <c r="AP196"/>
      <c r="AQ196"/>
      <c r="AR196"/>
      <c r="AS196"/>
      <c r="AT196"/>
      <c r="AU196"/>
      <c r="AV196"/>
      <c r="AW196"/>
      <c r="AX196" s="48"/>
    </row>
    <row r="197" spans="4:50" s="93" customFormat="1" x14ac:dyDescent="0.35">
      <c r="D197" s="92"/>
      <c r="F197" s="168"/>
      <c r="G197"/>
      <c r="H197"/>
      <c r="I197"/>
      <c r="J197" s="321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  <c r="AM197"/>
      <c r="AN197"/>
      <c r="AO197"/>
      <c r="AP197"/>
      <c r="AQ197"/>
      <c r="AR197"/>
      <c r="AS197"/>
      <c r="AT197"/>
      <c r="AU197"/>
      <c r="AV197"/>
      <c r="AW197"/>
      <c r="AX197" s="48"/>
    </row>
    <row r="198" spans="4:50" s="93" customFormat="1" x14ac:dyDescent="0.35">
      <c r="D198" s="92"/>
      <c r="F198" s="168"/>
      <c r="G198"/>
      <c r="H198"/>
      <c r="I198"/>
      <c r="J198" s="321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  <c r="AM198"/>
      <c r="AN198"/>
      <c r="AO198"/>
      <c r="AP198"/>
      <c r="AQ198"/>
      <c r="AR198"/>
      <c r="AS198"/>
      <c r="AT198"/>
      <c r="AU198"/>
      <c r="AV198"/>
      <c r="AW198"/>
      <c r="AX198" s="48"/>
    </row>
    <row r="199" spans="4:50" s="93" customFormat="1" x14ac:dyDescent="0.35">
      <c r="D199" s="92"/>
      <c r="F199" s="168"/>
      <c r="G199"/>
      <c r="H199"/>
      <c r="I199"/>
      <c r="J199" s="321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  <c r="AM199"/>
      <c r="AN199"/>
      <c r="AO199"/>
      <c r="AP199"/>
      <c r="AQ199"/>
      <c r="AR199"/>
      <c r="AS199"/>
      <c r="AT199"/>
      <c r="AU199"/>
      <c r="AV199"/>
      <c r="AW199"/>
      <c r="AX199" s="48"/>
    </row>
    <row r="200" spans="4:50" s="93" customFormat="1" x14ac:dyDescent="0.35">
      <c r="D200" s="92"/>
      <c r="F200" s="168"/>
      <c r="G200"/>
      <c r="H200"/>
      <c r="I200"/>
      <c r="J200" s="321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  <c r="AM200"/>
      <c r="AN200"/>
      <c r="AO200"/>
      <c r="AP200"/>
      <c r="AQ200"/>
      <c r="AR200"/>
      <c r="AS200"/>
      <c r="AT200"/>
      <c r="AU200"/>
      <c r="AV200"/>
      <c r="AW200"/>
      <c r="AX200" s="48"/>
    </row>
    <row r="201" spans="4:50" s="93" customFormat="1" x14ac:dyDescent="0.35">
      <c r="D201" s="92"/>
      <c r="F201" s="168"/>
      <c r="G201"/>
      <c r="H201"/>
      <c r="I201"/>
      <c r="J201" s="32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48"/>
      <c r="AA201"/>
      <c r="AB201"/>
      <c r="AC201"/>
      <c r="AD201"/>
      <c r="AE201"/>
      <c r="AF201"/>
      <c r="AG201"/>
      <c r="AH201"/>
      <c r="AI201"/>
      <c r="AJ201"/>
      <c r="AK201"/>
      <c r="AL201" s="48"/>
      <c r="AM201"/>
      <c r="AN201"/>
      <c r="AO201"/>
      <c r="AP201"/>
      <c r="AQ201"/>
      <c r="AR201"/>
      <c r="AS201"/>
      <c r="AT201"/>
      <c r="AU201"/>
      <c r="AV201"/>
      <c r="AW201"/>
      <c r="AX201" s="48"/>
    </row>
    <row r="202" spans="4:50" s="93" customFormat="1" x14ac:dyDescent="0.35">
      <c r="D202" s="92"/>
      <c r="F202" s="168"/>
      <c r="G202"/>
      <c r="H202"/>
      <c r="I202"/>
      <c r="J202" s="321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  <c r="AM202"/>
      <c r="AN202"/>
      <c r="AO202"/>
      <c r="AP202"/>
      <c r="AQ202"/>
      <c r="AR202"/>
      <c r="AS202"/>
      <c r="AT202"/>
      <c r="AU202"/>
      <c r="AV202"/>
      <c r="AW202"/>
      <c r="AX202" s="48"/>
    </row>
    <row r="203" spans="4:50" s="93" customFormat="1" x14ac:dyDescent="0.35">
      <c r="D203" s="92"/>
      <c r="F203" s="168"/>
      <c r="G203"/>
      <c r="H203"/>
      <c r="I203"/>
      <c r="J203" s="321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  <c r="AM203"/>
      <c r="AN203"/>
      <c r="AO203"/>
      <c r="AP203"/>
      <c r="AQ203"/>
      <c r="AR203"/>
      <c r="AS203"/>
      <c r="AT203"/>
      <c r="AU203"/>
      <c r="AV203"/>
      <c r="AW203"/>
      <c r="AX203" s="48"/>
    </row>
    <row r="204" spans="4:50" s="93" customFormat="1" x14ac:dyDescent="0.35">
      <c r="D204" s="92"/>
      <c r="F204" s="168"/>
      <c r="G204"/>
      <c r="H204"/>
      <c r="I204"/>
      <c r="J204" s="321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  <c r="AM204"/>
      <c r="AN204"/>
      <c r="AO204"/>
      <c r="AP204"/>
      <c r="AQ204"/>
      <c r="AR204"/>
      <c r="AS204"/>
      <c r="AT204"/>
      <c r="AU204"/>
      <c r="AV204"/>
      <c r="AW204"/>
      <c r="AX204" s="48"/>
    </row>
    <row r="205" spans="4:50" s="93" customFormat="1" x14ac:dyDescent="0.35">
      <c r="D205" s="92"/>
      <c r="F205" s="168"/>
      <c r="G205"/>
      <c r="H205"/>
      <c r="I205"/>
      <c r="J205" s="321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  <c r="AM205"/>
      <c r="AN205"/>
      <c r="AO205"/>
      <c r="AP205"/>
      <c r="AQ205"/>
      <c r="AR205"/>
      <c r="AS205"/>
      <c r="AT205"/>
      <c r="AU205"/>
      <c r="AV205"/>
      <c r="AW205"/>
      <c r="AX205" s="48"/>
    </row>
    <row r="206" spans="4:50" s="93" customFormat="1" x14ac:dyDescent="0.35">
      <c r="D206" s="92"/>
      <c r="F206" s="168"/>
      <c r="G206"/>
      <c r="H206"/>
      <c r="I206"/>
      <c r="J206" s="321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  <c r="AM206"/>
      <c r="AN206"/>
      <c r="AO206"/>
      <c r="AP206"/>
      <c r="AQ206"/>
      <c r="AR206"/>
      <c r="AS206"/>
      <c r="AT206"/>
      <c r="AU206"/>
      <c r="AV206"/>
      <c r="AW206"/>
      <c r="AX206" s="48"/>
    </row>
    <row r="207" spans="4:50" s="93" customFormat="1" x14ac:dyDescent="0.35">
      <c r="D207" s="92"/>
      <c r="F207" s="168"/>
      <c r="G207"/>
      <c r="H207"/>
      <c r="I207"/>
      <c r="J207" s="321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  <c r="AM207"/>
      <c r="AN207"/>
      <c r="AO207"/>
      <c r="AP207"/>
      <c r="AQ207"/>
      <c r="AR207"/>
      <c r="AS207"/>
      <c r="AT207"/>
      <c r="AU207"/>
      <c r="AV207"/>
      <c r="AW207"/>
      <c r="AX207" s="48"/>
    </row>
    <row r="208" spans="4:50" s="93" customFormat="1" x14ac:dyDescent="0.35">
      <c r="D208" s="92"/>
      <c r="F208" s="168"/>
      <c r="G208"/>
      <c r="H208"/>
      <c r="I208"/>
      <c r="J208" s="321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  <c r="AM208"/>
      <c r="AN208"/>
      <c r="AO208"/>
      <c r="AP208"/>
      <c r="AQ208"/>
      <c r="AR208"/>
      <c r="AS208"/>
      <c r="AT208"/>
      <c r="AU208"/>
      <c r="AV208"/>
      <c r="AW208"/>
      <c r="AX208" s="48"/>
    </row>
    <row r="209" spans="4:50" s="93" customFormat="1" x14ac:dyDescent="0.35">
      <c r="D209" s="92"/>
      <c r="F209" s="168"/>
      <c r="G209"/>
      <c r="H209"/>
      <c r="I209"/>
      <c r="J209" s="321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  <c r="AM209"/>
      <c r="AN209"/>
      <c r="AO209"/>
      <c r="AP209"/>
      <c r="AQ209"/>
      <c r="AR209"/>
      <c r="AS209"/>
      <c r="AT209"/>
      <c r="AU209"/>
      <c r="AV209"/>
      <c r="AW209"/>
      <c r="AX209" s="48"/>
    </row>
    <row r="210" spans="4:50" s="93" customFormat="1" x14ac:dyDescent="0.35">
      <c r="D210" s="92"/>
      <c r="F210" s="168"/>
      <c r="G210"/>
      <c r="H210"/>
      <c r="I210"/>
      <c r="J210" s="321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  <c r="AM210"/>
      <c r="AN210"/>
      <c r="AO210"/>
      <c r="AP210"/>
      <c r="AQ210"/>
      <c r="AR210"/>
      <c r="AS210"/>
      <c r="AT210"/>
      <c r="AU210"/>
      <c r="AV210"/>
      <c r="AW210"/>
      <c r="AX210" s="48"/>
    </row>
    <row r="211" spans="4:50" s="93" customFormat="1" x14ac:dyDescent="0.35">
      <c r="D211" s="92"/>
      <c r="F211" s="168"/>
      <c r="G211"/>
      <c r="H211"/>
      <c r="I211"/>
      <c r="J211" s="32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  <c r="AM211"/>
      <c r="AN211"/>
      <c r="AO211"/>
      <c r="AP211"/>
      <c r="AQ211"/>
      <c r="AR211"/>
      <c r="AS211"/>
      <c r="AT211"/>
      <c r="AU211"/>
      <c r="AV211"/>
      <c r="AW211"/>
      <c r="AX211" s="48"/>
    </row>
    <row r="212" spans="4:50" s="93" customFormat="1" x14ac:dyDescent="0.35">
      <c r="D212" s="92"/>
      <c r="F212" s="168"/>
      <c r="G212"/>
      <c r="H212"/>
      <c r="I212"/>
      <c r="J212" s="321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  <c r="AM212"/>
      <c r="AN212"/>
      <c r="AO212"/>
      <c r="AP212"/>
      <c r="AQ212"/>
      <c r="AR212"/>
      <c r="AS212"/>
      <c r="AT212"/>
      <c r="AU212"/>
      <c r="AV212"/>
      <c r="AW212"/>
      <c r="AX212" s="48"/>
    </row>
    <row r="213" spans="4:50" s="93" customFormat="1" x14ac:dyDescent="0.35">
      <c r="D213" s="92"/>
      <c r="F213" s="168"/>
      <c r="G213"/>
      <c r="H213"/>
      <c r="I213"/>
      <c r="J213" s="321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  <c r="AM213"/>
      <c r="AN213"/>
      <c r="AO213"/>
      <c r="AP213"/>
      <c r="AQ213"/>
      <c r="AR213"/>
      <c r="AS213"/>
      <c r="AT213"/>
      <c r="AU213"/>
      <c r="AV213"/>
      <c r="AW213"/>
      <c r="AX213" s="48"/>
    </row>
    <row r="214" spans="4:50" s="93" customFormat="1" x14ac:dyDescent="0.35">
      <c r="D214" s="92"/>
      <c r="F214" s="168"/>
      <c r="G214"/>
      <c r="H214"/>
      <c r="I214"/>
      <c r="J214" s="321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  <c r="AM214"/>
      <c r="AN214"/>
      <c r="AO214"/>
      <c r="AP214"/>
      <c r="AQ214"/>
      <c r="AR214"/>
      <c r="AS214"/>
      <c r="AT214"/>
      <c r="AU214"/>
      <c r="AV214"/>
      <c r="AW214"/>
      <c r="AX214" s="48"/>
    </row>
    <row r="215" spans="4:50" s="93" customFormat="1" x14ac:dyDescent="0.35">
      <c r="D215" s="92"/>
      <c r="F215" s="168"/>
      <c r="G215"/>
      <c r="H215"/>
      <c r="I215"/>
      <c r="J215" s="321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  <c r="AM215"/>
      <c r="AN215"/>
      <c r="AO215"/>
      <c r="AP215"/>
      <c r="AQ215"/>
      <c r="AR215"/>
      <c r="AS215"/>
      <c r="AT215"/>
      <c r="AU215"/>
      <c r="AV215"/>
      <c r="AW215"/>
      <c r="AX215" s="48"/>
    </row>
    <row r="216" spans="4:50" s="93" customFormat="1" x14ac:dyDescent="0.35">
      <c r="D216" s="92"/>
      <c r="F216" s="168"/>
      <c r="G216"/>
      <c r="H216"/>
      <c r="I216"/>
      <c r="J216" s="321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  <c r="AM216"/>
      <c r="AN216"/>
      <c r="AO216"/>
      <c r="AP216"/>
      <c r="AQ216"/>
      <c r="AR216"/>
      <c r="AS216"/>
      <c r="AT216"/>
      <c r="AU216"/>
      <c r="AV216"/>
      <c r="AW216"/>
      <c r="AX216" s="48"/>
    </row>
    <row r="217" spans="4:50" s="93" customFormat="1" x14ac:dyDescent="0.35">
      <c r="D217" s="92"/>
      <c r="F217" s="168"/>
      <c r="G217"/>
      <c r="H217"/>
      <c r="I217"/>
      <c r="J217" s="321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  <c r="AM217"/>
      <c r="AN217"/>
      <c r="AO217"/>
      <c r="AP217"/>
      <c r="AQ217"/>
      <c r="AR217"/>
      <c r="AS217"/>
      <c r="AT217"/>
      <c r="AU217"/>
      <c r="AV217"/>
      <c r="AW217"/>
      <c r="AX217" s="48"/>
    </row>
    <row r="218" spans="4:50" s="93" customFormat="1" x14ac:dyDescent="0.35">
      <c r="D218" s="92"/>
      <c r="F218" s="168"/>
      <c r="G218"/>
      <c r="H218"/>
      <c r="I218"/>
      <c r="J218" s="321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  <c r="AM218"/>
      <c r="AN218"/>
      <c r="AO218"/>
      <c r="AP218"/>
      <c r="AQ218"/>
      <c r="AR218"/>
      <c r="AS218"/>
      <c r="AT218"/>
      <c r="AU218"/>
      <c r="AV218"/>
      <c r="AW218"/>
      <c r="AX218" s="48"/>
    </row>
    <row r="219" spans="4:50" s="93" customFormat="1" x14ac:dyDescent="0.35">
      <c r="D219" s="92"/>
      <c r="F219" s="168"/>
      <c r="G219"/>
      <c r="H219"/>
      <c r="I219"/>
      <c r="J219" s="321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  <c r="AM219"/>
      <c r="AN219"/>
      <c r="AO219"/>
      <c r="AP219"/>
      <c r="AQ219"/>
      <c r="AR219"/>
      <c r="AS219"/>
      <c r="AT219"/>
      <c r="AU219"/>
      <c r="AV219"/>
      <c r="AW219"/>
      <c r="AX219" s="48"/>
    </row>
    <row r="220" spans="4:50" s="93" customFormat="1" x14ac:dyDescent="0.35">
      <c r="D220" s="92"/>
      <c r="F220" s="168"/>
      <c r="G220"/>
      <c r="H220"/>
      <c r="I220"/>
      <c r="J220" s="321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  <c r="AM220"/>
      <c r="AN220"/>
      <c r="AO220"/>
      <c r="AP220"/>
      <c r="AQ220"/>
      <c r="AR220"/>
      <c r="AS220"/>
      <c r="AT220"/>
      <c r="AU220"/>
      <c r="AV220"/>
      <c r="AW220"/>
      <c r="AX220" s="48"/>
    </row>
    <row r="221" spans="4:50" s="93" customFormat="1" x14ac:dyDescent="0.35">
      <c r="D221" s="92"/>
      <c r="F221" s="168"/>
      <c r="G221"/>
      <c r="H221"/>
      <c r="I221"/>
      <c r="J221" s="3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  <c r="AM221"/>
      <c r="AN221"/>
      <c r="AO221"/>
      <c r="AP221"/>
      <c r="AQ221"/>
      <c r="AR221"/>
      <c r="AS221"/>
      <c r="AT221"/>
      <c r="AU221"/>
      <c r="AV221"/>
      <c r="AW221"/>
      <c r="AX221" s="48"/>
    </row>
    <row r="222" spans="4:50" s="93" customFormat="1" x14ac:dyDescent="0.35">
      <c r="D222" s="92"/>
      <c r="F222" s="168"/>
      <c r="G222"/>
      <c r="H222"/>
      <c r="I222"/>
      <c r="J222" s="321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  <c r="AM222"/>
      <c r="AN222"/>
      <c r="AO222"/>
      <c r="AP222"/>
      <c r="AQ222"/>
      <c r="AR222"/>
      <c r="AS222"/>
      <c r="AT222"/>
      <c r="AU222"/>
      <c r="AV222"/>
      <c r="AW222"/>
      <c r="AX222" s="48"/>
    </row>
    <row r="223" spans="4:50" s="93" customFormat="1" x14ac:dyDescent="0.35">
      <c r="D223" s="92"/>
      <c r="F223" s="168"/>
      <c r="G223"/>
      <c r="H223"/>
      <c r="I223"/>
      <c r="J223" s="321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  <c r="AM223"/>
      <c r="AN223"/>
      <c r="AO223"/>
      <c r="AP223"/>
      <c r="AQ223"/>
      <c r="AR223"/>
      <c r="AS223"/>
      <c r="AT223"/>
      <c r="AU223"/>
      <c r="AV223"/>
      <c r="AW223"/>
      <c r="AX223" s="48"/>
    </row>
    <row r="224" spans="4:50" s="93" customFormat="1" x14ac:dyDescent="0.35">
      <c r="D224" s="92"/>
      <c r="F224" s="168"/>
      <c r="G224"/>
      <c r="H224"/>
      <c r="I224"/>
      <c r="J224" s="321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  <c r="AM224"/>
      <c r="AN224"/>
      <c r="AO224"/>
      <c r="AP224"/>
      <c r="AQ224"/>
      <c r="AR224"/>
      <c r="AS224"/>
      <c r="AT224"/>
      <c r="AU224"/>
      <c r="AV224"/>
      <c r="AW224"/>
      <c r="AX224" s="48"/>
    </row>
    <row r="225" spans="4:50" s="93" customFormat="1" x14ac:dyDescent="0.35">
      <c r="D225" s="92"/>
      <c r="F225" s="168"/>
      <c r="G225"/>
      <c r="H225"/>
      <c r="I225"/>
      <c r="J225" s="321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  <c r="AM225"/>
      <c r="AN225"/>
      <c r="AO225"/>
      <c r="AP225"/>
      <c r="AQ225"/>
      <c r="AR225"/>
      <c r="AS225"/>
      <c r="AT225"/>
      <c r="AU225"/>
      <c r="AV225"/>
      <c r="AW225"/>
      <c r="AX225" s="48"/>
    </row>
    <row r="226" spans="4:50" s="93" customFormat="1" x14ac:dyDescent="0.35">
      <c r="D226" s="92"/>
      <c r="F226" s="168"/>
      <c r="G226"/>
      <c r="H226"/>
      <c r="I226"/>
      <c r="J226" s="321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  <c r="AM226"/>
      <c r="AN226"/>
      <c r="AO226"/>
      <c r="AP226"/>
      <c r="AQ226"/>
      <c r="AR226"/>
      <c r="AS226"/>
      <c r="AT226"/>
      <c r="AU226"/>
      <c r="AV226"/>
      <c r="AW226"/>
      <c r="AX226" s="48"/>
    </row>
    <row r="227" spans="4:50" s="93" customFormat="1" x14ac:dyDescent="0.35">
      <c r="D227" s="92"/>
      <c r="F227" s="168"/>
      <c r="G227"/>
      <c r="H227"/>
      <c r="I227"/>
      <c r="J227" s="321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  <c r="AM227"/>
      <c r="AN227"/>
      <c r="AO227"/>
      <c r="AP227"/>
      <c r="AQ227"/>
      <c r="AR227"/>
      <c r="AS227"/>
      <c r="AT227"/>
      <c r="AU227"/>
      <c r="AV227"/>
      <c r="AW227"/>
      <c r="AX227" s="48"/>
    </row>
    <row r="228" spans="4:50" s="93" customFormat="1" x14ac:dyDescent="0.35">
      <c r="D228" s="92"/>
      <c r="F228" s="168"/>
      <c r="G228"/>
      <c r="H228"/>
      <c r="I228"/>
      <c r="J228" s="321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  <c r="AM228"/>
      <c r="AN228"/>
      <c r="AO228"/>
      <c r="AP228"/>
      <c r="AQ228"/>
      <c r="AR228"/>
      <c r="AS228"/>
      <c r="AT228"/>
      <c r="AU228"/>
      <c r="AV228"/>
      <c r="AW228"/>
      <c r="AX228" s="48"/>
    </row>
    <row r="229" spans="4:50" s="93" customFormat="1" x14ac:dyDescent="0.35">
      <c r="D229" s="92"/>
      <c r="F229" s="168"/>
      <c r="G229"/>
      <c r="H229"/>
      <c r="I229"/>
      <c r="J229" s="321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  <c r="AM229"/>
      <c r="AN229"/>
      <c r="AO229"/>
      <c r="AP229"/>
      <c r="AQ229"/>
      <c r="AR229"/>
      <c r="AS229"/>
      <c r="AT229"/>
      <c r="AU229"/>
      <c r="AV229"/>
      <c r="AW229"/>
      <c r="AX229" s="48"/>
    </row>
    <row r="230" spans="4:50" s="93" customFormat="1" x14ac:dyDescent="0.35">
      <c r="D230" s="92"/>
      <c r="F230" s="168"/>
      <c r="G230"/>
      <c r="H230"/>
      <c r="I230"/>
      <c r="J230" s="321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  <c r="AM230"/>
      <c r="AN230"/>
      <c r="AO230"/>
      <c r="AP230"/>
      <c r="AQ230"/>
      <c r="AR230"/>
      <c r="AS230"/>
      <c r="AT230"/>
      <c r="AU230"/>
      <c r="AV230"/>
      <c r="AW230"/>
      <c r="AX230" s="48"/>
    </row>
    <row r="231" spans="4:50" x14ac:dyDescent="0.35">
      <c r="J231" s="321"/>
      <c r="O231"/>
    </row>
    <row r="232" spans="4:50" x14ac:dyDescent="0.35">
      <c r="J232" s="321"/>
      <c r="O232"/>
    </row>
    <row r="233" spans="4:50" x14ac:dyDescent="0.35">
      <c r="J233" s="321"/>
      <c r="O233"/>
    </row>
    <row r="234" spans="4:50" x14ac:dyDescent="0.35">
      <c r="J234" s="321"/>
      <c r="O234"/>
    </row>
    <row r="235" spans="4:50" x14ac:dyDescent="0.35">
      <c r="J235" s="321"/>
      <c r="O235"/>
    </row>
    <row r="236" spans="4:50" x14ac:dyDescent="0.35">
      <c r="J236" s="321"/>
      <c r="O236"/>
    </row>
    <row r="237" spans="4:50" x14ac:dyDescent="0.35">
      <c r="J237" s="321"/>
      <c r="O237"/>
    </row>
    <row r="238" spans="4:50" x14ac:dyDescent="0.35">
      <c r="J238" s="321"/>
      <c r="O238"/>
    </row>
    <row r="239" spans="4:50" x14ac:dyDescent="0.35">
      <c r="J239" s="321"/>
      <c r="O239"/>
    </row>
    <row r="240" spans="4:50" x14ac:dyDescent="0.35">
      <c r="J240" s="321"/>
      <c r="O240"/>
    </row>
    <row r="241" spans="10:15" x14ac:dyDescent="0.35">
      <c r="J241" s="321"/>
      <c r="O241"/>
    </row>
    <row r="242" spans="10:15" x14ac:dyDescent="0.35">
      <c r="J242" s="321"/>
      <c r="O242"/>
    </row>
    <row r="243" spans="10:15" x14ac:dyDescent="0.35">
      <c r="J243" s="321"/>
      <c r="O243"/>
    </row>
    <row r="244" spans="10:15" x14ac:dyDescent="0.35">
      <c r="J244" s="321"/>
      <c r="O244"/>
    </row>
    <row r="245" spans="10:15" x14ac:dyDescent="0.35">
      <c r="J245" s="321"/>
      <c r="O245"/>
    </row>
    <row r="246" spans="10:15" x14ac:dyDescent="0.35">
      <c r="J246" s="321"/>
      <c r="O246"/>
    </row>
    <row r="247" spans="10:15" x14ac:dyDescent="0.35">
      <c r="J247" s="321"/>
      <c r="O247"/>
    </row>
    <row r="248" spans="10:15" x14ac:dyDescent="0.35">
      <c r="J248" s="321"/>
      <c r="O248"/>
    </row>
    <row r="249" spans="10:15" x14ac:dyDescent="0.35">
      <c r="J249" s="321"/>
      <c r="O249"/>
    </row>
    <row r="250" spans="10:15" x14ac:dyDescent="0.35">
      <c r="J250" s="321"/>
      <c r="O250"/>
    </row>
    <row r="251" spans="10:15" x14ac:dyDescent="0.35">
      <c r="J251" s="321"/>
      <c r="O251"/>
    </row>
    <row r="252" spans="10:15" x14ac:dyDescent="0.35">
      <c r="J252" s="321"/>
      <c r="O252"/>
    </row>
    <row r="253" spans="10:15" x14ac:dyDescent="0.35">
      <c r="J253" s="321"/>
      <c r="O253"/>
    </row>
    <row r="254" spans="10:15" x14ac:dyDescent="0.35">
      <c r="J254" s="321"/>
      <c r="O254"/>
    </row>
    <row r="255" spans="10:15" x14ac:dyDescent="0.35">
      <c r="J255" s="321"/>
      <c r="O255"/>
    </row>
    <row r="256" spans="10:15" x14ac:dyDescent="0.35">
      <c r="J256" s="321"/>
      <c r="O256"/>
    </row>
    <row r="257" spans="10:15" x14ac:dyDescent="0.35">
      <c r="J257" s="321"/>
      <c r="O257"/>
    </row>
    <row r="258" spans="10:15" x14ac:dyDescent="0.35">
      <c r="J258" s="321"/>
      <c r="O258"/>
    </row>
    <row r="259" spans="10:15" x14ac:dyDescent="0.35">
      <c r="J259" s="321"/>
      <c r="O259"/>
    </row>
    <row r="260" spans="10:15" x14ac:dyDescent="0.35">
      <c r="J260" s="321"/>
      <c r="O260"/>
    </row>
    <row r="261" spans="10:15" x14ac:dyDescent="0.35">
      <c r="J261" s="321"/>
      <c r="O261"/>
    </row>
    <row r="262" spans="10:15" x14ac:dyDescent="0.35">
      <c r="J262" s="321"/>
      <c r="O262"/>
    </row>
    <row r="263" spans="10:15" x14ac:dyDescent="0.35">
      <c r="J263" s="321"/>
      <c r="O263"/>
    </row>
    <row r="264" spans="10:15" x14ac:dyDescent="0.35">
      <c r="J264" s="321"/>
      <c r="O264"/>
    </row>
    <row r="265" spans="10:15" x14ac:dyDescent="0.35">
      <c r="J265" s="321"/>
      <c r="O265"/>
    </row>
    <row r="266" spans="10:15" x14ac:dyDescent="0.35">
      <c r="J266" s="321"/>
      <c r="O266"/>
    </row>
    <row r="267" spans="10:15" x14ac:dyDescent="0.35">
      <c r="J267" s="321"/>
      <c r="O267"/>
    </row>
    <row r="268" spans="10:15" x14ac:dyDescent="0.35">
      <c r="J268" s="321"/>
      <c r="O268"/>
    </row>
    <row r="269" spans="10:15" x14ac:dyDescent="0.35">
      <c r="J269" s="321"/>
      <c r="O269"/>
    </row>
    <row r="270" spans="10:15" x14ac:dyDescent="0.35">
      <c r="J270" s="321"/>
      <c r="O270"/>
    </row>
    <row r="271" spans="10:15" x14ac:dyDescent="0.35">
      <c r="J271" s="321"/>
      <c r="O271"/>
    </row>
    <row r="272" spans="10:15" x14ac:dyDescent="0.35">
      <c r="J272" s="321"/>
      <c r="O272"/>
    </row>
    <row r="273" spans="10:15" x14ac:dyDescent="0.35">
      <c r="J273" s="321"/>
      <c r="O273"/>
    </row>
    <row r="274" spans="10:15" x14ac:dyDescent="0.35">
      <c r="J274" s="321"/>
      <c r="O274"/>
    </row>
    <row r="275" spans="10:15" x14ac:dyDescent="0.35">
      <c r="J275" s="321"/>
      <c r="O275"/>
    </row>
    <row r="276" spans="10:15" x14ac:dyDescent="0.35">
      <c r="J276" s="321"/>
      <c r="O276"/>
    </row>
    <row r="277" spans="10:15" x14ac:dyDescent="0.35">
      <c r="J277" s="321"/>
      <c r="O277"/>
    </row>
    <row r="278" spans="10:15" x14ac:dyDescent="0.35">
      <c r="J278" s="321"/>
      <c r="O278"/>
    </row>
    <row r="279" spans="10:15" x14ac:dyDescent="0.35">
      <c r="J279" s="321"/>
      <c r="O279"/>
    </row>
    <row r="280" spans="10:15" x14ac:dyDescent="0.35">
      <c r="J280" s="321"/>
      <c r="O280"/>
    </row>
    <row r="281" spans="10:15" x14ac:dyDescent="0.35">
      <c r="J281" s="321"/>
      <c r="O281"/>
    </row>
    <row r="282" spans="10:15" x14ac:dyDescent="0.35">
      <c r="J282" s="321"/>
      <c r="O282"/>
    </row>
    <row r="283" spans="10:15" x14ac:dyDescent="0.35">
      <c r="J283" s="321"/>
      <c r="O283"/>
    </row>
    <row r="284" spans="10:15" x14ac:dyDescent="0.35">
      <c r="J284" s="321"/>
      <c r="O284"/>
    </row>
    <row r="285" spans="10:15" x14ac:dyDescent="0.35">
      <c r="J285" s="321"/>
      <c r="O285"/>
    </row>
    <row r="286" spans="10:15" x14ac:dyDescent="0.35">
      <c r="J286" s="321"/>
      <c r="O286"/>
    </row>
    <row r="287" spans="10:15" x14ac:dyDescent="0.35">
      <c r="J287" s="321"/>
      <c r="O287"/>
    </row>
    <row r="288" spans="10:15" x14ac:dyDescent="0.35">
      <c r="J288" s="321"/>
      <c r="O288"/>
    </row>
    <row r="289" spans="10:15" x14ac:dyDescent="0.35">
      <c r="J289" s="321"/>
      <c r="O289"/>
    </row>
    <row r="290" spans="10:15" x14ac:dyDescent="0.35">
      <c r="J290" s="321"/>
      <c r="O290"/>
    </row>
    <row r="291" spans="10:15" x14ac:dyDescent="0.35">
      <c r="J291" s="321"/>
      <c r="O291"/>
    </row>
    <row r="292" spans="10:15" x14ac:dyDescent="0.35">
      <c r="J292" s="321"/>
      <c r="O292"/>
    </row>
    <row r="293" spans="10:15" x14ac:dyDescent="0.35">
      <c r="J293" s="321"/>
      <c r="O293"/>
    </row>
    <row r="294" spans="10:15" x14ac:dyDescent="0.35">
      <c r="J294" s="321"/>
      <c r="O294"/>
    </row>
    <row r="295" spans="10:15" x14ac:dyDescent="0.35">
      <c r="J295" s="321"/>
      <c r="O295"/>
    </row>
    <row r="296" spans="10:15" x14ac:dyDescent="0.35">
      <c r="J296" s="321"/>
      <c r="O296"/>
    </row>
    <row r="297" spans="10:15" x14ac:dyDescent="0.35">
      <c r="J297" s="321"/>
      <c r="O297"/>
    </row>
    <row r="298" spans="10:15" x14ac:dyDescent="0.35">
      <c r="J298" s="321"/>
      <c r="O298"/>
    </row>
    <row r="299" spans="10:15" x14ac:dyDescent="0.35">
      <c r="J299" s="321"/>
      <c r="O299"/>
    </row>
    <row r="300" spans="10:15" x14ac:dyDescent="0.35">
      <c r="J300" s="321"/>
      <c r="O300"/>
    </row>
    <row r="301" spans="10:15" x14ac:dyDescent="0.35">
      <c r="J301" s="321"/>
      <c r="O301"/>
    </row>
    <row r="302" spans="10:15" x14ac:dyDescent="0.35">
      <c r="J302" s="321"/>
      <c r="O302"/>
    </row>
    <row r="303" spans="10:15" x14ac:dyDescent="0.35">
      <c r="J303" s="321"/>
      <c r="O303"/>
    </row>
    <row r="304" spans="10:15" x14ac:dyDescent="0.35">
      <c r="J304" s="321"/>
      <c r="O304"/>
    </row>
    <row r="305" spans="10:15" x14ac:dyDescent="0.35">
      <c r="J305" s="321"/>
      <c r="O305"/>
    </row>
    <row r="306" spans="10:15" x14ac:dyDescent="0.35">
      <c r="J306" s="321"/>
      <c r="O306"/>
    </row>
    <row r="307" spans="10:15" x14ac:dyDescent="0.35">
      <c r="J307" s="321"/>
      <c r="O307"/>
    </row>
    <row r="308" spans="10:15" x14ac:dyDescent="0.35">
      <c r="J308" s="321"/>
      <c r="O308"/>
    </row>
    <row r="309" spans="10:15" x14ac:dyDescent="0.35">
      <c r="J309" s="321"/>
      <c r="O309"/>
    </row>
    <row r="310" spans="10:15" x14ac:dyDescent="0.35">
      <c r="J310" s="321"/>
      <c r="O310"/>
    </row>
    <row r="311" spans="10:15" x14ac:dyDescent="0.35">
      <c r="J311" s="321"/>
      <c r="O311"/>
    </row>
    <row r="312" spans="10:15" x14ac:dyDescent="0.35">
      <c r="J312" s="321"/>
      <c r="O312"/>
    </row>
    <row r="313" spans="10:15" x14ac:dyDescent="0.35">
      <c r="J313" s="321"/>
      <c r="O313"/>
    </row>
    <row r="314" spans="10:15" x14ac:dyDescent="0.35">
      <c r="J314" s="321"/>
      <c r="O314"/>
    </row>
    <row r="315" spans="10:15" x14ac:dyDescent="0.35">
      <c r="J315" s="321"/>
      <c r="O315"/>
    </row>
    <row r="316" spans="10:15" x14ac:dyDescent="0.35">
      <c r="J316" s="321"/>
      <c r="O316"/>
    </row>
    <row r="317" spans="10:15" x14ac:dyDescent="0.35">
      <c r="J317" s="321"/>
      <c r="O317"/>
    </row>
    <row r="318" spans="10:15" x14ac:dyDescent="0.35">
      <c r="J318" s="321"/>
      <c r="O318"/>
    </row>
    <row r="319" spans="10:15" x14ac:dyDescent="0.35">
      <c r="J319" s="321"/>
      <c r="O319"/>
    </row>
    <row r="320" spans="10:15" x14ac:dyDescent="0.35">
      <c r="J320" s="321"/>
      <c r="O320"/>
    </row>
    <row r="321" spans="10:15" x14ac:dyDescent="0.35">
      <c r="J321" s="321"/>
      <c r="O321"/>
    </row>
    <row r="322" spans="10:15" x14ac:dyDescent="0.35">
      <c r="J322" s="321"/>
      <c r="O322"/>
    </row>
    <row r="323" spans="10:15" x14ac:dyDescent="0.35">
      <c r="J323" s="321"/>
      <c r="O323"/>
    </row>
    <row r="324" spans="10:15" x14ac:dyDescent="0.35">
      <c r="J324" s="321"/>
      <c r="O324"/>
    </row>
    <row r="325" spans="10:15" x14ac:dyDescent="0.35">
      <c r="J325" s="321"/>
      <c r="O325"/>
    </row>
    <row r="326" spans="10:15" x14ac:dyDescent="0.35">
      <c r="J326" s="321"/>
      <c r="O326"/>
    </row>
    <row r="327" spans="10:15" x14ac:dyDescent="0.35">
      <c r="J327" s="321"/>
      <c r="O327"/>
    </row>
    <row r="328" spans="10:15" x14ac:dyDescent="0.35">
      <c r="J328" s="321"/>
      <c r="O328"/>
    </row>
    <row r="329" spans="10:15" x14ac:dyDescent="0.35">
      <c r="J329" s="321"/>
      <c r="O329"/>
    </row>
    <row r="330" spans="10:15" x14ac:dyDescent="0.35">
      <c r="J330" s="321"/>
      <c r="O330"/>
    </row>
    <row r="331" spans="10:15" x14ac:dyDescent="0.35">
      <c r="J331" s="321"/>
      <c r="O331"/>
    </row>
    <row r="332" spans="10:15" x14ac:dyDescent="0.35">
      <c r="J332" s="321"/>
      <c r="O332"/>
    </row>
    <row r="333" spans="10:15" x14ac:dyDescent="0.35">
      <c r="J333" s="321"/>
      <c r="O333"/>
    </row>
    <row r="334" spans="10:15" x14ac:dyDescent="0.35">
      <c r="J334" s="321"/>
      <c r="O334"/>
    </row>
    <row r="335" spans="10:15" x14ac:dyDescent="0.35">
      <c r="J335" s="321"/>
      <c r="O335"/>
    </row>
    <row r="336" spans="10:15" x14ac:dyDescent="0.35">
      <c r="J336" s="321"/>
      <c r="O336"/>
    </row>
    <row r="337" spans="10:15" x14ac:dyDescent="0.35">
      <c r="J337" s="321"/>
      <c r="O337"/>
    </row>
    <row r="338" spans="10:15" x14ac:dyDescent="0.35">
      <c r="J338" s="321"/>
      <c r="O338"/>
    </row>
    <row r="339" spans="10:15" x14ac:dyDescent="0.35">
      <c r="J339" s="321"/>
      <c r="O339"/>
    </row>
    <row r="340" spans="10:15" x14ac:dyDescent="0.35">
      <c r="J340" s="321"/>
      <c r="O340"/>
    </row>
    <row r="341" spans="10:15" x14ac:dyDescent="0.35">
      <c r="J341" s="321"/>
      <c r="O341"/>
    </row>
    <row r="342" spans="10:15" x14ac:dyDescent="0.35">
      <c r="J342" s="321"/>
      <c r="O342"/>
    </row>
    <row r="343" spans="10:15" x14ac:dyDescent="0.35">
      <c r="J343" s="321"/>
      <c r="O343"/>
    </row>
    <row r="344" spans="10:15" x14ac:dyDescent="0.35">
      <c r="J344" s="321"/>
      <c r="O344"/>
    </row>
    <row r="345" spans="10:15" x14ac:dyDescent="0.35">
      <c r="J345" s="321"/>
      <c r="O345"/>
    </row>
    <row r="346" spans="10:15" x14ac:dyDescent="0.35">
      <c r="J346" s="321"/>
      <c r="O346"/>
    </row>
    <row r="347" spans="10:15" x14ac:dyDescent="0.35">
      <c r="J347" s="321"/>
      <c r="O347"/>
    </row>
    <row r="348" spans="10:15" x14ac:dyDescent="0.35">
      <c r="J348" s="321"/>
      <c r="O348"/>
    </row>
    <row r="349" spans="10:15" x14ac:dyDescent="0.35">
      <c r="J349" s="321"/>
      <c r="O349"/>
    </row>
    <row r="350" spans="10:15" x14ac:dyDescent="0.35">
      <c r="J350" s="321"/>
      <c r="O350"/>
    </row>
    <row r="351" spans="10:15" x14ac:dyDescent="0.35">
      <c r="J351" s="321"/>
      <c r="O351"/>
    </row>
    <row r="352" spans="10:15" x14ac:dyDescent="0.35">
      <c r="J352" s="321"/>
      <c r="O352"/>
    </row>
    <row r="353" spans="10:15" x14ac:dyDescent="0.35">
      <c r="J353" s="321"/>
      <c r="O353"/>
    </row>
    <row r="354" spans="10:15" x14ac:dyDescent="0.35">
      <c r="J354" s="321"/>
      <c r="O354"/>
    </row>
    <row r="355" spans="10:15" x14ac:dyDescent="0.35">
      <c r="J355" s="321"/>
      <c r="O355"/>
    </row>
    <row r="356" spans="10:15" x14ac:dyDescent="0.35">
      <c r="J356" s="321"/>
      <c r="O356"/>
    </row>
    <row r="357" spans="10:15" x14ac:dyDescent="0.35">
      <c r="J357" s="321"/>
      <c r="O357"/>
    </row>
    <row r="358" spans="10:15" x14ac:dyDescent="0.35">
      <c r="J358" s="321"/>
      <c r="O358"/>
    </row>
    <row r="359" spans="10:15" x14ac:dyDescent="0.35">
      <c r="J359" s="321"/>
      <c r="O359"/>
    </row>
    <row r="360" spans="10:15" x14ac:dyDescent="0.35">
      <c r="J360" s="321"/>
      <c r="O360"/>
    </row>
    <row r="361" spans="10:15" x14ac:dyDescent="0.35">
      <c r="J361" s="321"/>
      <c r="O361"/>
    </row>
    <row r="362" spans="10:15" x14ac:dyDescent="0.35">
      <c r="J362" s="321"/>
      <c r="O362"/>
    </row>
    <row r="363" spans="10:15" x14ac:dyDescent="0.35">
      <c r="J363" s="321"/>
      <c r="O363"/>
    </row>
    <row r="364" spans="10:15" x14ac:dyDescent="0.35">
      <c r="J364" s="321"/>
      <c r="O364"/>
    </row>
    <row r="365" spans="10:15" x14ac:dyDescent="0.35">
      <c r="J365" s="321"/>
      <c r="O365"/>
    </row>
    <row r="366" spans="10:15" x14ac:dyDescent="0.35">
      <c r="J366" s="321"/>
      <c r="O366"/>
    </row>
    <row r="367" spans="10:15" x14ac:dyDescent="0.35">
      <c r="J367" s="321"/>
      <c r="O367"/>
    </row>
    <row r="368" spans="10:15" x14ac:dyDescent="0.35">
      <c r="J368" s="321"/>
      <c r="O368"/>
    </row>
    <row r="369" spans="10:15" x14ac:dyDescent="0.35">
      <c r="J369" s="321"/>
      <c r="O369"/>
    </row>
    <row r="370" spans="10:15" x14ac:dyDescent="0.35">
      <c r="J370" s="321"/>
      <c r="O370"/>
    </row>
    <row r="371" spans="10:15" x14ac:dyDescent="0.35">
      <c r="J371" s="321"/>
      <c r="O371"/>
    </row>
    <row r="372" spans="10:15" x14ac:dyDescent="0.35">
      <c r="J372" s="321"/>
      <c r="O372"/>
    </row>
    <row r="373" spans="10:15" x14ac:dyDescent="0.35">
      <c r="J373" s="321"/>
      <c r="O373"/>
    </row>
    <row r="374" spans="10:15" x14ac:dyDescent="0.35">
      <c r="J374" s="321"/>
      <c r="O374"/>
    </row>
    <row r="375" spans="10:15" x14ac:dyDescent="0.35">
      <c r="J375" s="321"/>
      <c r="O375"/>
    </row>
    <row r="376" spans="10:15" x14ac:dyDescent="0.35">
      <c r="J376" s="321"/>
      <c r="O376"/>
    </row>
    <row r="377" spans="10:15" x14ac:dyDescent="0.35">
      <c r="J377" s="321"/>
      <c r="O377"/>
    </row>
    <row r="378" spans="10:15" x14ac:dyDescent="0.35">
      <c r="J378" s="321"/>
      <c r="O378"/>
    </row>
    <row r="379" spans="10:15" x14ac:dyDescent="0.35">
      <c r="J379" s="321"/>
      <c r="O379"/>
    </row>
    <row r="380" spans="10:15" x14ac:dyDescent="0.35">
      <c r="J380" s="321"/>
      <c r="O380"/>
    </row>
    <row r="381" spans="10:15" x14ac:dyDescent="0.35">
      <c r="J381" s="321"/>
      <c r="O381"/>
    </row>
    <row r="382" spans="10:15" x14ac:dyDescent="0.35">
      <c r="J382" s="321"/>
      <c r="O382"/>
    </row>
  </sheetData>
  <mergeCells count="2">
    <mergeCell ref="F8:F9"/>
    <mergeCell ref="G8:J9"/>
  </mergeCells>
  <hyperlinks>
    <hyperlink ref="I73" location="'Rebate-Suntory'!I14" display="Rebate (2025: sản lượng dự tính 6000-7000 tấn)" xr:uid="{45472794-BECC-4B70-B3EB-785A9F247E3F}"/>
  </hyperlinks>
  <printOptions horizontalCentered="1"/>
  <pageMargins left="0.2" right="0.2" top="0.2" bottom="0.2" header="0.05" footer="0.05"/>
  <pageSetup paperSize="9" fitToHeight="0" orientation="landscape" horizontalDpi="300" verticalDpi="300" r:id="rId1"/>
  <headerFooter>
    <oddFooter>&amp;CTrang &amp;P/&amp;N</oddFooter>
  </headerFooter>
  <rowBreaks count="3" manualBreakCount="3">
    <brk id="44" max="16383" man="1"/>
    <brk id="68" max="16383" man="1"/>
    <brk id="95" min="5" max="3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B199-204A-4183-940E-C8F61E98EBC0}">
  <sheetPr>
    <tabColor rgb="FF8E2641"/>
  </sheetPr>
  <dimension ref="C1:AI141"/>
  <sheetViews>
    <sheetView showGridLines="0" topLeftCell="N61" zoomScale="70" zoomScaleNormal="70" workbookViewId="0">
      <selection activeCell="AH98" sqref="AH98"/>
    </sheetView>
  </sheetViews>
  <sheetFormatPr defaultRowHeight="14.5" x14ac:dyDescent="0.35"/>
  <cols>
    <col min="2" max="2" width="12.5" customWidth="1"/>
  </cols>
  <sheetData>
    <row r="1" spans="3:3" s="12" customFormat="1" ht="31.15" customHeight="1" x14ac:dyDescent="0.35">
      <c r="C1" s="407" t="s">
        <v>408</v>
      </c>
    </row>
    <row r="36" spans="3:3" s="12" customFormat="1" ht="31.15" customHeight="1" x14ac:dyDescent="0.35">
      <c r="C36" s="407" t="s">
        <v>408</v>
      </c>
    </row>
    <row r="71" spans="3:3" s="12" customFormat="1" ht="31.15" customHeight="1" x14ac:dyDescent="0.35">
      <c r="C71" s="407" t="s">
        <v>408</v>
      </c>
    </row>
    <row r="106" spans="3:3" s="12" customFormat="1" ht="31.15" customHeight="1" x14ac:dyDescent="0.35">
      <c r="C106" s="407" t="s">
        <v>408</v>
      </c>
    </row>
    <row r="140" spans="3:35" x14ac:dyDescent="0.35">
      <c r="AI140" s="12"/>
    </row>
    <row r="141" spans="3:35" s="12" customFormat="1" ht="31.15" customHeight="1" x14ac:dyDescent="0.35">
      <c r="C141" s="407" t="s">
        <v>408</v>
      </c>
    </row>
  </sheetData>
  <printOptions horizontalCentered="1"/>
  <pageMargins left="0.2" right="0.2" top="0" bottom="0.2" header="0.05" footer="0.05"/>
  <pageSetup paperSize="9" orientation="landscape" r:id="rId1"/>
  <headerFooter>
    <oddFooter>&amp;CTrang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BA1-FB91-4275-837B-3ADACBB2CB7D}">
  <dimension ref="A1:AO91"/>
  <sheetViews>
    <sheetView showGridLines="0" zoomScale="85" zoomScaleNormal="85" workbookViewId="0">
      <pane xSplit="4" ySplit="4" topLeftCell="X7" activePane="bottomRight" state="frozen"/>
      <selection activeCell="AE69" sqref="AE69"/>
      <selection pane="topRight" activeCell="AE69" sqref="AE69"/>
      <selection pane="bottomLeft" activeCell="AE69" sqref="AE69"/>
      <selection pane="bottomRight" activeCell="AE69" sqref="AE69"/>
    </sheetView>
  </sheetViews>
  <sheetFormatPr defaultRowHeight="14.5" x14ac:dyDescent="0.35"/>
  <cols>
    <col min="1" max="1" width="5.75" style="14" customWidth="1"/>
    <col min="2" max="2" width="8.83203125" style="14"/>
    <col min="3" max="3" width="13.08203125" bestFit="1" customWidth="1"/>
    <col min="4" max="4" width="31.5" customWidth="1"/>
    <col min="5" max="5" width="10.5" bestFit="1" customWidth="1"/>
    <col min="41" max="41" width="15.25" bestFit="1" customWidth="1"/>
  </cols>
  <sheetData>
    <row r="1" spans="1:41" s="14" customFormat="1" x14ac:dyDescent="0.35">
      <c r="E1" s="14">
        <v>2024</v>
      </c>
      <c r="F1" s="14">
        <v>2024</v>
      </c>
      <c r="G1" s="14">
        <v>2024</v>
      </c>
      <c r="H1" s="14">
        <v>2024</v>
      </c>
      <c r="I1" s="14">
        <v>2024</v>
      </c>
      <c r="J1" s="14">
        <v>2024</v>
      </c>
      <c r="K1" s="14">
        <v>2024</v>
      </c>
      <c r="L1" s="14">
        <v>2024</v>
      </c>
      <c r="M1" s="14">
        <v>2024</v>
      </c>
      <c r="N1" s="14">
        <v>2024</v>
      </c>
      <c r="O1" s="14">
        <v>2024</v>
      </c>
      <c r="P1" s="14">
        <v>2024</v>
      </c>
      <c r="Q1" s="14">
        <v>2025</v>
      </c>
      <c r="R1" s="14">
        <v>2025</v>
      </c>
      <c r="S1" s="14">
        <v>2025</v>
      </c>
      <c r="T1" s="14">
        <v>2025</v>
      </c>
      <c r="U1" s="14">
        <v>2025</v>
      </c>
      <c r="V1" s="14">
        <v>2025</v>
      </c>
      <c r="W1" s="14">
        <v>2025</v>
      </c>
      <c r="X1" s="14">
        <v>2025</v>
      </c>
      <c r="Y1" s="14">
        <v>2025</v>
      </c>
      <c r="Z1" s="14">
        <v>2025</v>
      </c>
      <c r="AA1" s="14">
        <v>2025</v>
      </c>
      <c r="AB1" s="14">
        <v>2025</v>
      </c>
      <c r="AC1" s="14">
        <v>2026</v>
      </c>
      <c r="AD1" s="14">
        <v>2026</v>
      </c>
      <c r="AE1" s="14">
        <v>2026</v>
      </c>
      <c r="AF1" s="14">
        <v>2026</v>
      </c>
      <c r="AG1" s="14">
        <v>2026</v>
      </c>
      <c r="AH1" s="14">
        <v>2026</v>
      </c>
      <c r="AI1" s="14">
        <v>2026</v>
      </c>
      <c r="AJ1" s="14">
        <v>2026</v>
      </c>
      <c r="AK1" s="14">
        <v>2026</v>
      </c>
      <c r="AL1" s="14">
        <v>2026</v>
      </c>
      <c r="AM1" s="14">
        <v>2026</v>
      </c>
      <c r="AN1" s="14">
        <v>2026</v>
      </c>
    </row>
    <row r="2" spans="1:41" s="14" customFormat="1" x14ac:dyDescent="0.35"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</v>
      </c>
      <c r="R2" s="14">
        <v>2</v>
      </c>
      <c r="S2" s="14">
        <v>3</v>
      </c>
      <c r="T2" s="14">
        <v>4</v>
      </c>
      <c r="U2" s="14">
        <v>5</v>
      </c>
      <c r="V2" s="14">
        <v>6</v>
      </c>
      <c r="W2" s="14">
        <v>7</v>
      </c>
      <c r="X2" s="14">
        <v>8</v>
      </c>
      <c r="Y2" s="14">
        <v>9</v>
      </c>
      <c r="Z2" s="14">
        <v>10</v>
      </c>
      <c r="AA2" s="14">
        <v>11</v>
      </c>
      <c r="AB2" s="14">
        <v>12</v>
      </c>
      <c r="AC2" s="14">
        <v>1</v>
      </c>
      <c r="AD2" s="14">
        <v>2</v>
      </c>
      <c r="AE2" s="14">
        <v>3</v>
      </c>
      <c r="AF2" s="14">
        <v>4</v>
      </c>
      <c r="AG2" s="14">
        <v>5</v>
      </c>
      <c r="AH2" s="14">
        <v>6</v>
      </c>
      <c r="AI2" s="14">
        <v>7</v>
      </c>
      <c r="AJ2" s="14">
        <v>8</v>
      </c>
      <c r="AK2" s="14">
        <v>9</v>
      </c>
      <c r="AL2" s="14">
        <v>10</v>
      </c>
      <c r="AM2" s="14">
        <v>11</v>
      </c>
      <c r="AN2" s="14">
        <v>12</v>
      </c>
    </row>
    <row r="3" spans="1:41" s="14" customFormat="1" x14ac:dyDescent="0.35">
      <c r="D3" s="126" t="s">
        <v>415</v>
      </c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 t="s">
        <v>414</v>
      </c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</row>
    <row r="4" spans="1:41" x14ac:dyDescent="0.35">
      <c r="A4" s="14" t="s">
        <v>358</v>
      </c>
      <c r="B4" s="14" t="s">
        <v>359</v>
      </c>
    </row>
    <row r="5" spans="1:41" ht="17" x14ac:dyDescent="0.4">
      <c r="C5" s="399" t="s">
        <v>15</v>
      </c>
      <c r="D5" s="399" t="s">
        <v>4</v>
      </c>
    </row>
    <row r="6" spans="1:41" x14ac:dyDescent="0.35">
      <c r="C6" s="41"/>
      <c r="D6" s="41"/>
      <c r="E6" s="41">
        <v>2024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>
        <v>2025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1" x14ac:dyDescent="0.35">
      <c r="C7" s="41"/>
      <c r="D7" s="41"/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</v>
      </c>
      <c r="R7" s="41">
        <v>2</v>
      </c>
      <c r="S7" s="41">
        <v>3</v>
      </c>
      <c r="T7" s="41">
        <v>4</v>
      </c>
      <c r="U7" s="41">
        <v>5</v>
      </c>
      <c r="V7" s="41">
        <v>6</v>
      </c>
      <c r="W7" s="41">
        <v>7</v>
      </c>
      <c r="X7" s="41">
        <v>8</v>
      </c>
      <c r="Y7" s="41">
        <v>9</v>
      </c>
      <c r="Z7" s="41">
        <v>10</v>
      </c>
      <c r="AA7" s="41">
        <v>11</v>
      </c>
      <c r="AB7" s="41">
        <v>12</v>
      </c>
      <c r="AC7" s="41">
        <v>1</v>
      </c>
      <c r="AD7" s="41">
        <v>2</v>
      </c>
      <c r="AE7" s="41">
        <v>3</v>
      </c>
      <c r="AF7" s="41">
        <v>4</v>
      </c>
      <c r="AG7" s="41">
        <v>5</v>
      </c>
      <c r="AH7" s="41">
        <v>6</v>
      </c>
      <c r="AI7" s="41">
        <v>7</v>
      </c>
      <c r="AJ7" s="41">
        <v>8</v>
      </c>
      <c r="AK7" s="41">
        <v>9</v>
      </c>
      <c r="AL7" s="41">
        <v>10</v>
      </c>
      <c r="AM7" s="41">
        <v>11</v>
      </c>
      <c r="AN7" s="41">
        <v>12</v>
      </c>
      <c r="AO7" s="41" t="s">
        <v>409</v>
      </c>
    </row>
    <row r="8" spans="1:41" x14ac:dyDescent="0.35">
      <c r="B8" s="14" t="s">
        <v>52</v>
      </c>
      <c r="C8" t="s">
        <v>15</v>
      </c>
      <c r="D8" t="s">
        <v>354</v>
      </c>
      <c r="E8" s="400" cm="1">
        <f t="array" ref="E8">IF(SUMPRODUCT('Giá công thức'!$G$11:$AD$106*('Giá công thức'!$A$11:$A$106=$B8)*('Giá công thức'!$B$11:$B$106=$C8)*('Giá công thức'!$C$11:$C$106="GB")*('Giá công thức'!$G$3:$AD$3=E$1)*('Giá công thức'!$G$4:$AD$4=E$2))=0,NA(),SUMPRODUCT('Giá công thức'!$G$11:$AD$106*('Giá công thức'!$A$11:$A$106=$B8)*('Giá công thức'!$B$11:$B$106=$C8)*('Giá công thức'!$C$11:$C$106="GB")*('Giá công thức'!$G$3:$AD$3=E$1)*('Giá công thức'!$G$4:$AD$4=E$2)))</f>
        <v>1180</v>
      </c>
      <c r="F8" s="400" cm="1">
        <f t="array" ref="F8">IF(SUMPRODUCT('Giá công thức'!$G$11:$AD$106*('Giá công thức'!$A$11:$A$106=$B8)*('Giá công thức'!$B$11:$B$106=$C8)*('Giá công thức'!$C$11:$C$106="GB")*('Giá công thức'!$G$3:$AD$3=F$1)*('Giá công thức'!$G$4:$AD$4=F$2))=0,NA(),SUMPRODUCT('Giá công thức'!$G$11:$AD$106*('Giá công thức'!$A$11:$A$106=$B8)*('Giá công thức'!$B$11:$B$106=$C8)*('Giá công thức'!$C$11:$C$106="GB")*('Giá công thức'!$G$3:$AD$3=F$1)*('Giá công thức'!$G$4:$AD$4=F$2)))</f>
        <v>1180</v>
      </c>
      <c r="G8" s="400" cm="1">
        <f t="array" ref="G8">IF(SUMPRODUCT('Giá công thức'!$G$11:$AD$106*('Giá công thức'!$A$11:$A$106=$B8)*('Giá công thức'!$B$11:$B$106=$C8)*('Giá công thức'!$C$11:$C$106="GB")*('Giá công thức'!$G$3:$AD$3=G$1)*('Giá công thức'!$G$4:$AD$4=G$2))=0,NA(),SUMPRODUCT('Giá công thức'!$G$11:$AD$106*('Giá công thức'!$A$11:$A$106=$B8)*('Giá công thức'!$B$11:$B$106=$C8)*('Giá công thức'!$C$11:$C$106="GB")*('Giá công thức'!$G$3:$AD$3=G$1)*('Giá công thức'!$G$4:$AD$4=G$2)))</f>
        <v>1180</v>
      </c>
      <c r="H8" s="400" cm="1">
        <f t="array" ref="H8">IF(SUMPRODUCT('Giá công thức'!$G$11:$AD$106*('Giá công thức'!$A$11:$A$106=$B8)*('Giá công thức'!$B$11:$B$106=$C8)*('Giá công thức'!$C$11:$C$106="GB")*('Giá công thức'!$G$3:$AD$3=H$1)*('Giá công thức'!$G$4:$AD$4=H$2))=0,NA(),SUMPRODUCT('Giá công thức'!$G$11:$AD$106*('Giá công thức'!$A$11:$A$106=$B8)*('Giá công thức'!$B$11:$B$106=$C8)*('Giá công thức'!$C$11:$C$106="GB")*('Giá công thức'!$G$3:$AD$3=H$1)*('Giá công thức'!$G$4:$AD$4=H$2)))</f>
        <v>1180</v>
      </c>
      <c r="I8" s="400" cm="1">
        <f t="array" ref="I8">IF(SUMPRODUCT('Giá công thức'!$G$11:$AD$106*('Giá công thức'!$A$11:$A$106=$B8)*('Giá công thức'!$B$11:$B$106=$C8)*('Giá công thức'!$C$11:$C$106="GB")*('Giá công thức'!$G$3:$AD$3=I$1)*('Giá công thức'!$G$4:$AD$4=I$2))=0,NA(),SUMPRODUCT('Giá công thức'!$G$11:$AD$106*('Giá công thức'!$A$11:$A$106=$B8)*('Giá công thức'!$B$11:$B$106=$C8)*('Giá công thức'!$C$11:$C$106="GB")*('Giá công thức'!$G$3:$AD$3=I$1)*('Giá công thức'!$G$4:$AD$4=I$2)))</f>
        <v>1180</v>
      </c>
      <c r="J8" s="400" cm="1">
        <f t="array" ref="J8">IF(SUMPRODUCT('Giá công thức'!$G$11:$AD$106*('Giá công thức'!$A$11:$A$106=$B8)*('Giá công thức'!$B$11:$B$106=$C8)*('Giá công thức'!$C$11:$C$106="GB")*('Giá công thức'!$G$3:$AD$3=J$1)*('Giá công thức'!$G$4:$AD$4=J$2))=0,NA(),SUMPRODUCT('Giá công thức'!$G$11:$AD$106*('Giá công thức'!$A$11:$A$106=$B8)*('Giá công thức'!$B$11:$B$106=$C8)*('Giá công thức'!$C$11:$C$106="GB")*('Giá công thức'!$G$3:$AD$3=J$1)*('Giá công thức'!$G$4:$AD$4=J$2)))</f>
        <v>1180.8999999999999</v>
      </c>
      <c r="K8" s="400" cm="1">
        <f t="array" ref="K8">IF(SUMPRODUCT('Giá công thức'!$G$11:$AD$106*('Giá công thức'!$A$11:$A$106=$B8)*('Giá công thức'!$B$11:$B$106=$C8)*('Giá công thức'!$C$11:$C$106="GB")*('Giá công thức'!$G$3:$AD$3=K$1)*('Giá công thức'!$G$4:$AD$4=K$2))=0,NA(),SUMPRODUCT('Giá công thức'!$G$11:$AD$106*('Giá công thức'!$A$11:$A$106=$B8)*('Giá công thức'!$B$11:$B$106=$C8)*('Giá công thức'!$C$11:$C$106="GB")*('Giá công thức'!$G$3:$AD$3=K$1)*('Giá công thức'!$G$4:$AD$4=K$2)))</f>
        <v>1194.3999999999999</v>
      </c>
      <c r="L8" s="400" cm="1">
        <f t="array" ref="L8">IF(SUMPRODUCT('Giá công thức'!$G$11:$AD$106*('Giá công thức'!$A$11:$A$106=$B8)*('Giá công thức'!$B$11:$B$106=$C8)*('Giá công thức'!$C$11:$C$106="GB")*('Giá công thức'!$G$3:$AD$3=L$1)*('Giá công thức'!$G$4:$AD$4=L$2))=0,NA(),SUMPRODUCT('Giá công thức'!$G$11:$AD$106*('Giá công thức'!$A$11:$A$106=$B8)*('Giá công thức'!$B$11:$B$106=$C8)*('Giá công thức'!$C$11:$C$106="GB")*('Giá công thức'!$G$3:$AD$3=L$1)*('Giá công thức'!$G$4:$AD$4=L$2)))</f>
        <v>1206.0999999999999</v>
      </c>
      <c r="M8" s="400" cm="1">
        <f t="array" ref="M8">IF(SUMPRODUCT('Giá công thức'!$G$11:$AD$106*('Giá công thức'!$A$11:$A$106=$B8)*('Giá công thức'!$B$11:$B$106=$C8)*('Giá công thức'!$C$11:$C$106="GB")*('Giá công thức'!$G$3:$AD$3=M$1)*('Giá công thức'!$G$4:$AD$4=M$2))=0,NA(),SUMPRODUCT('Giá công thức'!$G$11:$AD$106*('Giá công thức'!$A$11:$A$106=$B8)*('Giá công thức'!$B$11:$B$106=$C8)*('Giá công thức'!$C$11:$C$106="GB")*('Giá công thức'!$G$3:$AD$3=M$1)*('Giá công thức'!$G$4:$AD$4=M$2)))</f>
        <v>1222.6000000000001</v>
      </c>
      <c r="N8" s="400" cm="1">
        <f t="array" ref="N8">IF(SUMPRODUCT('Giá công thức'!$G$11:$AD$106*('Giá công thức'!$A$11:$A$106=$B8)*('Giá công thức'!$B$11:$B$106=$C8)*('Giá công thức'!$C$11:$C$106="GB")*('Giá công thức'!$G$3:$AD$3=N$1)*('Giá công thức'!$G$4:$AD$4=N$2))=0,NA(),SUMPRODUCT('Giá công thức'!$G$11:$AD$106*('Giá công thức'!$A$11:$A$106=$B8)*('Giá công thức'!$B$11:$B$106=$C8)*('Giá công thức'!$C$11:$C$106="GB")*('Giá công thức'!$G$3:$AD$3=N$1)*('Giá công thức'!$G$4:$AD$4=N$2)))</f>
        <v>1241.3499999999999</v>
      </c>
      <c r="O8" s="400" cm="1">
        <f t="array" ref="O8">IF(SUMPRODUCT('Giá công thức'!$G$11:$AD$106*('Giá công thức'!$A$11:$A$106=$B8)*('Giá công thức'!$B$11:$B$106=$C8)*('Giá công thức'!$C$11:$C$106="GB")*('Giá công thức'!$G$3:$AD$3=O$1)*('Giá công thức'!$G$4:$AD$4=O$2))=0,NA(),SUMPRODUCT('Giá công thức'!$G$11:$AD$106*('Giá công thức'!$A$11:$A$106=$B8)*('Giá công thức'!$B$11:$B$106=$C8)*('Giá công thức'!$C$11:$C$106="GB")*('Giá công thức'!$G$3:$AD$3=O$1)*('Giá công thức'!$G$4:$AD$4=O$2)))</f>
        <v>1261.75</v>
      </c>
      <c r="P8" s="400" cm="1">
        <f t="array" ref="P8">IF(SUMPRODUCT('Giá công thức'!$G$11:$AD$106*('Giá công thức'!$A$11:$A$106=$B8)*('Giá công thức'!$B$11:$B$106=$C8)*('Giá công thức'!$C$11:$C$106="GB")*('Giá công thức'!$G$3:$AD$3=P$1)*('Giá công thức'!$G$4:$AD$4=P$2))=0,NA(),SUMPRODUCT('Giá công thức'!$G$11:$AD$106*('Giá công thức'!$A$11:$A$106=$B8)*('Giá công thức'!$B$11:$B$106=$C8)*('Giá công thức'!$C$11:$C$106="GB")*('Giá công thức'!$G$3:$AD$3=P$1)*('Giá công thức'!$G$4:$AD$4=P$2)))</f>
        <v>1270.75</v>
      </c>
      <c r="Q8" s="400" cm="1">
        <f t="array" ref="Q8">IF(SUMPRODUCT('Giá công thức'!$G$11:$AD$106*('Giá công thức'!$A$11:$A$106=$B8)*('Giá công thức'!$B$11:$B$106=$C8)*('Giá công thức'!$C$11:$C$106="GB")*('Giá công thức'!$G$3:$AD$3=Q$1)*('Giá công thức'!$G$4:$AD$4=Q$2))=0,NA(),SUMPRODUCT('Giá công thức'!$G$11:$AD$106*('Giá công thức'!$A$11:$A$106=$B8)*('Giá công thức'!$B$11:$B$106=$C8)*('Giá công thức'!$C$11:$C$106="GB")*('Giá công thức'!$G$3:$AD$3=Q$1)*('Giá công thức'!$G$4:$AD$4=Q$2)))</f>
        <v>1268.875</v>
      </c>
      <c r="R8" s="400" cm="1">
        <f t="array" ref="R8">IF(SUMPRODUCT('Giá công thức'!$G$11:$AD$106*('Giá công thức'!$A$11:$A$106=$B8)*('Giá công thức'!$B$11:$B$106=$C8)*('Giá công thức'!$C$11:$C$106="GB")*('Giá công thức'!$G$3:$AD$3=R$1)*('Giá công thức'!$G$4:$AD$4=R$2))=0,NA(),SUMPRODUCT('Giá công thức'!$G$11:$AD$106*('Giá công thức'!$A$11:$A$106=$B8)*('Giá công thức'!$B$11:$B$106=$C8)*('Giá công thức'!$C$11:$C$106="GB")*('Giá công thức'!$G$3:$AD$3=R$1)*('Giá công thức'!$G$4:$AD$4=R$2)))</f>
        <v>1244.3749999999991</v>
      </c>
      <c r="S8" s="400" cm="1">
        <f t="array" ref="S8">IF(SUMPRODUCT('Giá công thức'!$G$11:$AD$106*('Giá công thức'!$A$11:$A$106=$B8)*('Giá công thức'!$B$11:$B$106=$C8)*('Giá công thức'!$C$11:$C$106="GB")*('Giá công thức'!$G$3:$AD$3=S$1)*('Giá công thức'!$G$4:$AD$4=S$2))=0,NA(),SUMPRODUCT('Giá công thức'!$G$11:$AD$106*('Giá công thức'!$A$11:$A$106=$B8)*('Giá công thức'!$B$11:$B$106=$C8)*('Giá công thức'!$C$11:$C$106="GB")*('Giá công thức'!$G$3:$AD$3=S$1)*('Giá công thức'!$G$4:$AD$4=S$2)))</f>
        <v>1218.8749999999991</v>
      </c>
      <c r="T8" s="400" cm="1">
        <f t="array" ref="T8">IF(SUMPRODUCT('Giá công thức'!$G$11:$AD$106*('Giá công thức'!$A$11:$A$106=$B8)*('Giá công thức'!$B$11:$B$106=$C8)*('Giá công thức'!$C$11:$C$106="GB")*('Giá công thức'!$G$3:$AD$3=T$1)*('Giá công thức'!$G$4:$AD$4=T$2))=0,NA(),SUMPRODUCT('Giá công thức'!$G$11:$AD$106*('Giá công thức'!$A$11:$A$106=$B8)*('Giá công thức'!$B$11:$B$106=$C8)*('Giá công thức'!$C$11:$C$106="GB")*('Giá công thức'!$G$3:$AD$3=T$1)*('Giá công thức'!$G$4:$AD$4=T$2)))</f>
        <v>1197.8800000000001</v>
      </c>
      <c r="U8" s="400" cm="1">
        <f t="array" ref="U8">IF(SUMPRODUCT('Giá công thức'!$G$11:$AD$106*('Giá công thức'!$A$11:$A$106=$B8)*('Giá công thức'!$B$11:$B$106=$C8)*('Giá công thức'!$C$11:$C$106="GB")*('Giá công thức'!$G$3:$AD$3=U$1)*('Giá công thức'!$G$4:$AD$4=U$2))=0,NA(),SUMPRODUCT('Giá công thức'!$G$11:$AD$106*('Giá công thức'!$A$11:$A$106=$B8)*('Giá công thức'!$B$11:$B$106=$C8)*('Giá công thức'!$C$11:$C$106="GB")*('Giá công thức'!$G$3:$AD$3=U$1)*('Giá công thức'!$G$4:$AD$4=U$2)))</f>
        <v>1199</v>
      </c>
      <c r="V8" s="400" cm="1">
        <f t="array" ref="V8">IF(SUMPRODUCT('Giá công thức'!$G$11:$AD$106*('Giá công thức'!$A$11:$A$106=$B8)*('Giá công thức'!$B$11:$B$106=$C8)*('Giá công thức'!$C$11:$C$106="GB")*('Giá công thức'!$G$3:$AD$3=V$1)*('Giá công thức'!$G$4:$AD$4=V$2))=0,NA(),SUMPRODUCT('Giá công thức'!$G$11:$AD$106*('Giá công thức'!$A$11:$A$106=$B8)*('Giá công thức'!$B$11:$B$106=$C8)*('Giá công thức'!$C$11:$C$106="GB")*('Giá công thức'!$G$3:$AD$3=V$1)*('Giá công thức'!$G$4:$AD$4=V$2)))</f>
        <v>1202</v>
      </c>
      <c r="W8" s="400" cm="1">
        <f t="array" ref="W8">IF(SUMPRODUCT('Giá công thức'!$G$11:$AD$106*('Giá công thức'!$A$11:$A$106=$B8)*('Giá công thức'!$B$11:$B$106=$C8)*('Giá công thức'!$C$11:$C$106="GB")*('Giá công thức'!$G$3:$AD$3=W$1)*('Giá công thức'!$G$4:$AD$4=W$2))=0,NA(),SUMPRODUCT('Giá công thức'!$G$11:$AD$106*('Giá công thức'!$A$11:$A$106=$B8)*('Giá công thức'!$B$11:$B$106=$C8)*('Giá công thức'!$C$11:$C$106="GB")*('Giá công thức'!$G$3:$AD$3=W$1)*('Giá công thức'!$G$4:$AD$4=W$2)))</f>
        <v>1202</v>
      </c>
      <c r="X8" s="400" cm="1">
        <f t="array" ref="X8">IF(SUMPRODUCT('Giá công thức'!$G$11:$AD$106*('Giá công thức'!$A$11:$A$106=$B8)*('Giá công thức'!$B$11:$B$106=$C8)*('Giá công thức'!$C$11:$C$106="GB")*('Giá công thức'!$G$3:$AD$3=X$1)*('Giá công thức'!$G$4:$AD$4=X$2))=0,NA(),SUMPRODUCT('Giá công thức'!$G$11:$AD$106*('Giá công thức'!$A$11:$A$106=$B8)*('Giá công thức'!$B$11:$B$106=$C8)*('Giá công thức'!$C$11:$C$106="GB")*('Giá công thức'!$G$3:$AD$3=X$1)*('Giá công thức'!$G$4:$AD$4=X$2)))</f>
        <v>1193.2</v>
      </c>
      <c r="Y8" s="400" cm="1">
        <f t="array" ref="Y8">IF(SUMPRODUCT('Giá công thức'!$G$11:$AD$106*('Giá công thức'!$A$11:$A$106=$B8)*('Giá công thức'!$B$11:$B$106=$C8)*('Giá công thức'!$C$11:$C$106="GB")*('Giá công thức'!$G$3:$AD$3=Y$1)*('Giá công thức'!$G$4:$AD$4=Y$2))=0,NA(),SUMPRODUCT('Giá công thức'!$G$11:$AD$106*('Giá công thức'!$A$11:$A$106=$B8)*('Giá công thức'!$B$11:$B$106=$C8)*('Giá công thức'!$C$11:$C$106="GB")*('Giá công thức'!$G$3:$AD$3=Y$1)*('Giá công thức'!$G$4:$AD$4=Y$2)))</f>
        <v>1180</v>
      </c>
      <c r="Z8" s="400" cm="1">
        <f t="array" ref="Z8">IF(SUMPRODUCT('Giá công thức'!$G$11:$AD$106*('Giá công thức'!$A$11:$A$106=$B8)*('Giá công thức'!$B$11:$B$106=$C8)*('Giá công thức'!$C$11:$C$106="GB")*('Giá công thức'!$G$3:$AD$3=Z$1)*('Giá công thức'!$G$4:$AD$4=Z$2))=0,NA(),SUMPRODUCT('Giá công thức'!$G$11:$AD$106*('Giá công thức'!$A$11:$A$106=$B8)*('Giá công thức'!$B$11:$B$106=$C8)*('Giá công thức'!$C$11:$C$106="GB")*('Giá công thức'!$G$3:$AD$3=Z$1)*('Giá công thức'!$G$4:$AD$4=Z$2)))</f>
        <v>1180</v>
      </c>
      <c r="AA8" s="400" cm="1">
        <f t="array" ref="AA8">IF(SUMPRODUCT('Giá công thức'!$G$11:$AD$106*('Giá công thức'!$A$11:$A$106=$B8)*('Giá công thức'!$B$11:$B$106=$C8)*('Giá công thức'!$C$11:$C$106="GB")*('Giá công thức'!$G$3:$AD$3=AA$1)*('Giá công thức'!$G$4:$AD$4=AA$2))=0,NA(),SUMPRODUCT('Giá công thức'!$G$11:$AD$106*('Giá công thức'!$A$11:$A$106=$B8)*('Giá công thức'!$B$11:$B$106=$C8)*('Giá công thức'!$C$11:$C$106="GB")*('Giá công thức'!$G$3:$AD$3=AA$1)*('Giá công thức'!$G$4:$AD$4=AA$2)))</f>
        <v>1180</v>
      </c>
      <c r="AB8" s="400" cm="1">
        <f t="array" ref="AB8">IF(SUMPRODUCT('Giá công thức'!$G$11:$AD$106*('Giá công thức'!$A$11:$A$106=$B8)*('Giá công thức'!$B$11:$B$106=$C8)*('Giá công thức'!$C$11:$C$106="GB")*('Giá công thức'!$G$3:$AD$3=AB$1)*('Giá công thức'!$G$4:$AD$4=AB$2))=0,NA(),SUMPRODUCT('Giá công thức'!$G$11:$AD$106*('Giá công thức'!$A$11:$A$106=$B8)*('Giá công thức'!$B$11:$B$106=$C8)*('Giá công thức'!$C$11:$C$106="GB")*('Giá công thức'!$G$3:$AD$3=AB$1)*('Giá công thức'!$G$4:$AD$4=AB$2)))</f>
        <v>1180</v>
      </c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>
        <f>INDEX($E8:$AB8,MATCH("X",$E$3:$AB$3,0))</f>
        <v>1180</v>
      </c>
    </row>
    <row r="9" spans="1:41" x14ac:dyDescent="0.35">
      <c r="B9" s="14" t="s">
        <v>64</v>
      </c>
      <c r="C9" t="s">
        <v>15</v>
      </c>
      <c r="D9" t="s">
        <v>355</v>
      </c>
      <c r="E9" s="400" cm="1">
        <f t="array" ref="E9">IF(SUMPRODUCT('Giá công thức'!$G$11:$AD$106*('Giá công thức'!$A$11:$A$106=$B9)*('Giá công thức'!$B$11:$B$106=$C9)*('Giá công thức'!$C$11:$C$106="GB")*('Giá công thức'!$G$3:$AD$3=E$1)*('Giá công thức'!$G$4:$AD$4=E$2))=0,NA(),SUMPRODUCT('Giá công thức'!$G$11:$AD$106*('Giá công thức'!$A$11:$A$106=$B9)*('Giá công thức'!$B$11:$B$106=$C9)*('Giá công thức'!$C$11:$C$106="GB")*('Giá công thức'!$G$3:$AD$3=E$1)*('Giá công thức'!$G$4:$AD$4=E$2)))</f>
        <v>1307.795918367347</v>
      </c>
      <c r="F9" s="400" cm="1">
        <f t="array" ref="F9">IF(SUMPRODUCT('Giá công thức'!$G$11:$AD$106*('Giá công thức'!$A$11:$A$106=$B9)*('Giá công thức'!$B$11:$B$106=$C9)*('Giá công thức'!$C$11:$C$106="GB")*('Giá công thức'!$G$3:$AD$3=F$1)*('Giá công thức'!$G$4:$AD$4=F$2))=0,NA(),SUMPRODUCT('Giá công thức'!$G$11:$AD$106*('Giá công thức'!$A$11:$A$106=$B9)*('Giá công thức'!$B$11:$B$106=$C9)*('Giá công thức'!$C$11:$C$106="GB")*('Giá công thức'!$G$3:$AD$3=F$1)*('Giá công thức'!$G$4:$AD$4=F$2)))</f>
        <v>1307.795918367347</v>
      </c>
      <c r="G9" s="400" cm="1">
        <f t="array" ref="G9">IF(SUMPRODUCT('Giá công thức'!$G$11:$AD$106*('Giá công thức'!$A$11:$A$106=$B9)*('Giá công thức'!$B$11:$B$106=$C9)*('Giá công thức'!$C$11:$C$106="GB")*('Giá công thức'!$G$3:$AD$3=G$1)*('Giá công thức'!$G$4:$AD$4=G$2))=0,NA(),SUMPRODUCT('Giá công thức'!$G$11:$AD$106*('Giá công thức'!$A$11:$A$106=$B9)*('Giá công thức'!$B$11:$B$106=$C9)*('Giá công thức'!$C$11:$C$106="GB")*('Giá công thức'!$G$3:$AD$3=G$1)*('Giá công thức'!$G$4:$AD$4=G$2)))</f>
        <v>1307.795918367347</v>
      </c>
      <c r="H9" s="400" cm="1">
        <f t="array" ref="H9">IF(SUMPRODUCT('Giá công thức'!$G$11:$AD$106*('Giá công thức'!$A$11:$A$106=$B9)*('Giá công thức'!$B$11:$B$106=$C9)*('Giá công thức'!$C$11:$C$106="GB")*('Giá công thức'!$G$3:$AD$3=H$1)*('Giá công thức'!$G$4:$AD$4=H$2))=0,NA(),SUMPRODUCT('Giá công thức'!$G$11:$AD$106*('Giá công thức'!$A$11:$A$106=$B9)*('Giá công thức'!$B$11:$B$106=$C9)*('Giá công thức'!$C$11:$C$106="GB")*('Giá công thức'!$G$3:$AD$3=H$1)*('Giá công thức'!$G$4:$AD$4=H$2)))</f>
        <v>1307.795918367347</v>
      </c>
      <c r="I9" s="400" cm="1">
        <f t="array" ref="I9">IF(SUMPRODUCT('Giá công thức'!$G$11:$AD$106*('Giá công thức'!$A$11:$A$106=$B9)*('Giá công thức'!$B$11:$B$106=$C9)*('Giá công thức'!$C$11:$C$106="GB")*('Giá công thức'!$G$3:$AD$3=I$1)*('Giá công thức'!$G$4:$AD$4=I$2))=0,NA(),SUMPRODUCT('Giá công thức'!$G$11:$AD$106*('Giá công thức'!$A$11:$A$106=$B9)*('Giá công thức'!$B$11:$B$106=$C9)*('Giá công thức'!$C$11:$C$106="GB")*('Giá công thức'!$G$3:$AD$3=I$1)*('Giá công thức'!$G$4:$AD$4=I$2)))</f>
        <v>1307.795918367347</v>
      </c>
      <c r="J9" s="400" cm="1">
        <f t="array" ref="J9">IF(SUMPRODUCT('Giá công thức'!$G$11:$AD$106*('Giá công thức'!$A$11:$A$106=$B9)*('Giá công thức'!$B$11:$B$106=$C9)*('Giá công thức'!$C$11:$C$106="GB")*('Giá công thức'!$G$3:$AD$3=J$1)*('Giá công thức'!$G$4:$AD$4=J$2))=0,NA(),SUMPRODUCT('Giá công thức'!$G$11:$AD$106*('Giá công thức'!$A$11:$A$106=$B9)*('Giá công thức'!$B$11:$B$106=$C9)*('Giá công thức'!$C$11:$C$106="GB")*('Giá công thức'!$G$3:$AD$3=J$1)*('Giá công thức'!$G$4:$AD$4=J$2)))</f>
        <v>1307.795918367347</v>
      </c>
      <c r="K9" s="400" cm="1">
        <f t="array" ref="K9">IF(SUMPRODUCT('Giá công thức'!$G$11:$AD$106*('Giá công thức'!$A$11:$A$106=$B9)*('Giá công thức'!$B$11:$B$106=$C9)*('Giá công thức'!$C$11:$C$106="GB")*('Giá công thức'!$G$3:$AD$3=K$1)*('Giá công thức'!$G$4:$AD$4=K$2))=0,NA(),SUMPRODUCT('Giá công thức'!$G$11:$AD$106*('Giá công thức'!$A$11:$A$106=$B9)*('Giá công thức'!$B$11:$B$106=$C9)*('Giá công thức'!$C$11:$C$106="GB")*('Giá công thức'!$G$3:$AD$3=K$1)*('Giá công thức'!$G$4:$AD$4=K$2)))</f>
        <v>1308.04</v>
      </c>
      <c r="L9" s="400" cm="1">
        <f t="array" ref="L9">IF(SUMPRODUCT('Giá công thức'!$G$11:$AD$106*('Giá công thức'!$A$11:$A$106=$B9)*('Giá công thức'!$B$11:$B$106=$C9)*('Giá công thức'!$C$11:$C$106="GB")*('Giá công thức'!$G$3:$AD$3=L$1)*('Giá công thức'!$G$4:$AD$4=L$2))=0,NA(),SUMPRODUCT('Giá công thức'!$G$11:$AD$106*('Giá công thức'!$A$11:$A$106=$B9)*('Giá công thức'!$B$11:$B$106=$C9)*('Giá công thức'!$C$11:$C$106="GB")*('Giá công thức'!$G$3:$AD$3=L$1)*('Giá công thức'!$G$4:$AD$4=L$2)))</f>
        <v>1308.04</v>
      </c>
      <c r="M9" s="400" cm="1">
        <f t="array" ref="M9">IF(SUMPRODUCT('Giá công thức'!$G$11:$AD$106*('Giá công thức'!$A$11:$A$106=$B9)*('Giá công thức'!$B$11:$B$106=$C9)*('Giá công thức'!$C$11:$C$106="GB")*('Giá công thức'!$G$3:$AD$3=M$1)*('Giá công thức'!$G$4:$AD$4=M$2))=0,NA(),SUMPRODUCT('Giá công thức'!$G$11:$AD$106*('Giá công thức'!$A$11:$A$106=$B9)*('Giá công thức'!$B$11:$B$106=$C9)*('Giá công thức'!$C$11:$C$106="GB")*('Giá công thức'!$G$3:$AD$3=M$1)*('Giá công thức'!$G$4:$AD$4=M$2)))</f>
        <v>1308.04</v>
      </c>
      <c r="N9" s="400" cm="1">
        <f t="array" ref="N9">IF(SUMPRODUCT('Giá công thức'!$G$11:$AD$106*('Giá công thức'!$A$11:$A$106=$B9)*('Giá công thức'!$B$11:$B$106=$C9)*('Giá công thức'!$C$11:$C$106="GB")*('Giá công thức'!$G$3:$AD$3=N$1)*('Giá công thức'!$G$4:$AD$4=N$2))=0,NA(),SUMPRODUCT('Giá công thức'!$G$11:$AD$106*('Giá công thức'!$A$11:$A$106=$B9)*('Giá công thức'!$B$11:$B$106=$C9)*('Giá công thức'!$C$11:$C$106="GB")*('Giá công thức'!$G$3:$AD$3=N$1)*('Giá công thức'!$G$4:$AD$4=N$2)))</f>
        <v>1288.04</v>
      </c>
      <c r="O9" s="400" cm="1">
        <f t="array" ref="O9">IF(SUMPRODUCT('Giá công thức'!$G$11:$AD$106*('Giá công thức'!$A$11:$A$106=$B9)*('Giá công thức'!$B$11:$B$106=$C9)*('Giá công thức'!$C$11:$C$106="GB")*('Giá công thức'!$G$3:$AD$3=O$1)*('Giá công thức'!$G$4:$AD$4=O$2))=0,NA(),SUMPRODUCT('Giá công thức'!$G$11:$AD$106*('Giá công thức'!$A$11:$A$106=$B9)*('Giá công thức'!$B$11:$B$106=$C9)*('Giá công thức'!$C$11:$C$106="GB")*('Giá công thức'!$G$3:$AD$3=O$1)*('Giá công thức'!$G$4:$AD$4=O$2)))</f>
        <v>1288.04</v>
      </c>
      <c r="P9" s="400" cm="1">
        <f t="array" ref="P9">IF(SUMPRODUCT('Giá công thức'!$G$11:$AD$106*('Giá công thức'!$A$11:$A$106=$B9)*('Giá công thức'!$B$11:$B$106=$C9)*('Giá công thức'!$C$11:$C$106="GB")*('Giá công thức'!$G$3:$AD$3=P$1)*('Giá công thức'!$G$4:$AD$4=P$2))=0,NA(),SUMPRODUCT('Giá công thức'!$G$11:$AD$106*('Giá công thức'!$A$11:$A$106=$B9)*('Giá công thức'!$B$11:$B$106=$C9)*('Giá công thức'!$C$11:$C$106="GB")*('Giá công thức'!$G$3:$AD$3=P$1)*('Giá công thức'!$G$4:$AD$4=P$2)))</f>
        <v>1288.04</v>
      </c>
      <c r="Q9" s="400" cm="1">
        <f t="array" ref="Q9">IF(SUMPRODUCT('Giá công thức'!$G$11:$AD$106*('Giá công thức'!$A$11:$A$106=$B9)*('Giá công thức'!$B$11:$B$106=$C9)*('Giá công thức'!$C$11:$C$106="GB")*('Giá công thức'!$G$3:$AD$3=Q$1)*('Giá công thức'!$G$4:$AD$4=Q$2))=0,NA(),SUMPRODUCT('Giá công thức'!$G$11:$AD$106*('Giá công thức'!$A$11:$A$106=$B9)*('Giá công thức'!$B$11:$B$106=$C9)*('Giá công thức'!$C$11:$C$106="GB")*('Giá công thức'!$G$3:$AD$3=Q$1)*('Giá công thức'!$G$4:$AD$4=Q$2)))</f>
        <v>1288.04</v>
      </c>
      <c r="R9" s="400" cm="1">
        <f t="array" ref="R9">IF(SUMPRODUCT('Giá công thức'!$G$11:$AD$106*('Giá công thức'!$A$11:$A$106=$B9)*('Giá công thức'!$B$11:$B$106=$C9)*('Giá công thức'!$C$11:$C$106="GB")*('Giá công thức'!$G$3:$AD$3=R$1)*('Giá công thức'!$G$4:$AD$4=R$2))=0,NA(),SUMPRODUCT('Giá công thức'!$G$11:$AD$106*('Giá công thức'!$A$11:$A$106=$B9)*('Giá công thức'!$B$11:$B$106=$C9)*('Giá công thức'!$C$11:$C$106="GB")*('Giá công thức'!$G$3:$AD$3=R$1)*('Giá công thức'!$G$4:$AD$4=R$2)))</f>
        <v>1288.04</v>
      </c>
      <c r="S9" s="400" cm="1">
        <f t="array" ref="S9">IF(SUMPRODUCT('Giá công thức'!$G$11:$AD$106*('Giá công thức'!$A$11:$A$106=$B9)*('Giá công thức'!$B$11:$B$106=$C9)*('Giá công thức'!$C$11:$C$106="GB")*('Giá công thức'!$G$3:$AD$3=S$1)*('Giá công thức'!$G$4:$AD$4=S$2))=0,NA(),SUMPRODUCT('Giá công thức'!$G$11:$AD$106*('Giá công thức'!$A$11:$A$106=$B9)*('Giá công thức'!$B$11:$B$106=$C9)*('Giá công thức'!$C$11:$C$106="GB")*('Giá công thức'!$G$3:$AD$3=S$1)*('Giá công thức'!$G$4:$AD$4=S$2)))</f>
        <v>1288.04</v>
      </c>
      <c r="T9" s="400" cm="1">
        <f t="array" ref="T9">IF(SUMPRODUCT('Giá công thức'!$G$11:$AD$106*('Giá công thức'!$A$11:$A$106=$B9)*('Giá công thức'!$B$11:$B$106=$C9)*('Giá công thức'!$C$11:$C$106="GB")*('Giá công thức'!$G$3:$AD$3=T$1)*('Giá công thức'!$G$4:$AD$4=T$2))=0,NA(),SUMPRODUCT('Giá công thức'!$G$11:$AD$106*('Giá công thức'!$A$11:$A$106=$B9)*('Giá công thức'!$B$11:$B$106=$C9)*('Giá công thức'!$C$11:$C$106="GB")*('Giá công thức'!$G$3:$AD$3=T$1)*('Giá công thức'!$G$4:$AD$4=T$2)))</f>
        <v>1238.04</v>
      </c>
      <c r="U9" s="400" cm="1">
        <f t="array" ref="U9">IF(SUMPRODUCT('Giá công thức'!$G$11:$AD$106*('Giá công thức'!$A$11:$A$106=$B9)*('Giá công thức'!$B$11:$B$106=$C9)*('Giá công thức'!$C$11:$C$106="GB")*('Giá công thức'!$G$3:$AD$3=U$1)*('Giá công thức'!$G$4:$AD$4=U$2))=0,NA(),SUMPRODUCT('Giá công thức'!$G$11:$AD$106*('Giá công thức'!$A$11:$A$106=$B9)*('Giá công thức'!$B$11:$B$106=$C9)*('Giá công thức'!$C$11:$C$106="GB")*('Giá công thức'!$G$3:$AD$3=U$1)*('Giá công thức'!$G$4:$AD$4=U$2)))</f>
        <v>1238.04</v>
      </c>
      <c r="V9" s="400" cm="1">
        <f t="array" ref="V9">IF(SUMPRODUCT('Giá công thức'!$G$11:$AD$106*('Giá công thức'!$A$11:$A$106=$B9)*('Giá công thức'!$B$11:$B$106=$C9)*('Giá công thức'!$C$11:$C$106="GB")*('Giá công thức'!$G$3:$AD$3=V$1)*('Giá công thức'!$G$4:$AD$4=V$2))=0,NA(),SUMPRODUCT('Giá công thức'!$G$11:$AD$106*('Giá công thức'!$A$11:$A$106=$B9)*('Giá công thức'!$B$11:$B$106=$C9)*('Giá công thức'!$C$11:$C$106="GB")*('Giá công thức'!$G$3:$AD$3=V$1)*('Giá công thức'!$G$4:$AD$4=V$2)))</f>
        <v>1238.04</v>
      </c>
      <c r="W9" s="400" cm="1">
        <f t="array" ref="W9">IF(SUMPRODUCT('Giá công thức'!$G$11:$AD$106*('Giá công thức'!$A$11:$A$106=$B9)*('Giá công thức'!$B$11:$B$106=$C9)*('Giá công thức'!$C$11:$C$106="GB")*('Giá công thức'!$G$3:$AD$3=W$1)*('Giá công thức'!$G$4:$AD$4=W$2))=0,NA(),SUMPRODUCT('Giá công thức'!$G$11:$AD$106*('Giá công thức'!$A$11:$A$106=$B9)*('Giá công thức'!$B$11:$B$106=$C9)*('Giá công thức'!$C$11:$C$106="GB")*('Giá công thức'!$G$3:$AD$3=W$1)*('Giá công thức'!$G$4:$AD$4=W$2)))</f>
        <v>1268.04</v>
      </c>
      <c r="X9" s="400" cm="1">
        <f t="array" ref="X9">IF(SUMPRODUCT('Giá công thức'!$G$11:$AD$106*('Giá công thức'!$A$11:$A$106=$B9)*('Giá công thức'!$B$11:$B$106=$C9)*('Giá công thức'!$C$11:$C$106="GB")*('Giá công thức'!$G$3:$AD$3=X$1)*('Giá công thức'!$G$4:$AD$4=X$2))=0,NA(),SUMPRODUCT('Giá công thức'!$G$11:$AD$106*('Giá công thức'!$A$11:$A$106=$B9)*('Giá công thức'!$B$11:$B$106=$C9)*('Giá công thức'!$C$11:$C$106="GB")*('Giá công thức'!$G$3:$AD$3=X$1)*('Giá công thức'!$G$4:$AD$4=X$2)))</f>
        <v>1268.04</v>
      </c>
      <c r="Y9" s="400" cm="1">
        <f t="array" ref="Y9">IF(SUMPRODUCT('Giá công thức'!$G$11:$AD$106*('Giá công thức'!$A$11:$A$106=$B9)*('Giá công thức'!$B$11:$B$106=$C9)*('Giá công thức'!$C$11:$C$106="GB")*('Giá công thức'!$G$3:$AD$3=Y$1)*('Giá công thức'!$G$4:$AD$4=Y$2))=0,NA(),SUMPRODUCT('Giá công thức'!$G$11:$AD$106*('Giá công thức'!$A$11:$A$106=$B9)*('Giá công thức'!$B$11:$B$106=$C9)*('Giá công thức'!$C$11:$C$106="GB")*('Giá công thức'!$G$3:$AD$3=Y$1)*('Giá công thức'!$G$4:$AD$4=Y$2)))</f>
        <v>1268.04</v>
      </c>
      <c r="Z9" s="400" cm="1">
        <f t="array" ref="Z9">IF(SUMPRODUCT('Giá công thức'!$G$11:$AD$106*('Giá công thức'!$A$11:$A$106=$B9)*('Giá công thức'!$B$11:$B$106=$C9)*('Giá công thức'!$C$11:$C$106="GB")*('Giá công thức'!$G$3:$AD$3=Z$1)*('Giá công thức'!$G$4:$AD$4=Z$2))=0,NA(),SUMPRODUCT('Giá công thức'!$G$11:$AD$106*('Giá công thức'!$A$11:$A$106=$B9)*('Giá công thức'!$B$11:$B$106=$C9)*('Giá công thức'!$C$11:$C$106="GB")*('Giá công thức'!$G$3:$AD$3=Z$1)*('Giá công thức'!$G$4:$AD$4=Z$2)))</f>
        <v>1268.04</v>
      </c>
      <c r="AA9" s="400" cm="1">
        <f t="array" ref="AA9">IF(SUMPRODUCT('Giá công thức'!$G$11:$AD$106*('Giá công thức'!$A$11:$A$106=$B9)*('Giá công thức'!$B$11:$B$106=$C9)*('Giá công thức'!$C$11:$C$106="GB")*('Giá công thức'!$G$3:$AD$3=AA$1)*('Giá công thức'!$G$4:$AD$4=AA$2))=0,NA(),SUMPRODUCT('Giá công thức'!$G$11:$AD$106*('Giá công thức'!$A$11:$A$106=$B9)*('Giá công thức'!$B$11:$B$106=$C9)*('Giá công thức'!$C$11:$C$106="GB")*('Giá công thức'!$G$3:$AD$3=AA$1)*('Giá công thức'!$G$4:$AD$4=AA$2)))</f>
        <v>1268.04</v>
      </c>
      <c r="AB9" s="400" cm="1">
        <f t="array" ref="AB9">IF(SUMPRODUCT('Giá công thức'!$G$11:$AD$106*('Giá công thức'!$A$11:$A$106=$B9)*('Giá công thức'!$B$11:$B$106=$C9)*('Giá công thức'!$C$11:$C$106="GB")*('Giá công thức'!$G$3:$AD$3=AB$1)*('Giá công thức'!$G$4:$AD$4=AB$2))=0,NA(),SUMPRODUCT('Giá công thức'!$G$11:$AD$106*('Giá công thức'!$A$11:$A$106=$B9)*('Giá công thức'!$B$11:$B$106=$C9)*('Giá công thức'!$C$11:$C$106="GB")*('Giá công thức'!$G$3:$AD$3=AB$1)*('Giá công thức'!$G$4:$AD$4=AB$2)))</f>
        <v>1268.04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28">
        <f>INDEX($E9:$AB9,MATCH("X",$E$3:$AB$3,0))</f>
        <v>1268.04</v>
      </c>
    </row>
    <row r="10" spans="1:41" x14ac:dyDescent="0.35">
      <c r="B10" s="14" t="s">
        <v>62</v>
      </c>
      <c r="C10" s="441" t="s">
        <v>35</v>
      </c>
      <c r="D10" t="s">
        <v>442</v>
      </c>
      <c r="E10" s="400" cm="1">
        <f t="array" ref="E10">IF(SUMPRODUCT('Giá công thức'!$G$11:$AD$106*('Giá công thức'!$A$11:$A$106=$B10)*('Giá công thức'!$B$11:$B$106=$C10)*('Giá công thức'!$C$11:$C$106="GB")*('Giá công thức'!$G$3:$AD$3=E$1)*('Giá công thức'!$G$4:$AD$4=E$2))=0,NA(),SUMPRODUCT('Giá công thức'!$G$11:$AD$106*('Giá công thức'!$A$11:$A$106=$B10)*('Giá công thức'!$B$11:$B$106=$C10)*('Giá công thức'!$C$11:$C$106="GB")*('Giá công thức'!$G$3:$AD$3=E$1)*('Giá công thức'!$G$4:$AD$4=E$2)))</f>
        <v>1250</v>
      </c>
      <c r="F10" s="400" cm="1">
        <f t="array" ref="F10">IF(SUMPRODUCT('Giá công thức'!$G$11:$AD$106*('Giá công thức'!$A$11:$A$106=$B10)*('Giá công thức'!$B$11:$B$106=$C10)*('Giá công thức'!$C$11:$C$106="GB")*('Giá công thức'!$G$3:$AD$3=F$1)*('Giá công thức'!$G$4:$AD$4=F$2))=0,NA(),SUMPRODUCT('Giá công thức'!$G$11:$AD$106*('Giá công thức'!$A$11:$A$106=$B10)*('Giá công thức'!$B$11:$B$106=$C10)*('Giá công thức'!$C$11:$C$106="GB")*('Giá công thức'!$G$3:$AD$3=F$1)*('Giá công thức'!$G$4:$AD$4=F$2)))</f>
        <v>1250</v>
      </c>
      <c r="G10" s="400" cm="1">
        <f t="array" ref="G10">IF(SUMPRODUCT('Giá công thức'!$G$11:$AD$106*('Giá công thức'!$A$11:$A$106=$B10)*('Giá công thức'!$B$11:$B$106=$C10)*('Giá công thức'!$C$11:$C$106="GB")*('Giá công thức'!$G$3:$AD$3=G$1)*('Giá công thức'!$G$4:$AD$4=G$2))=0,NA(),SUMPRODUCT('Giá công thức'!$G$11:$AD$106*('Giá công thức'!$A$11:$A$106=$B10)*('Giá công thức'!$B$11:$B$106=$C10)*('Giá công thức'!$C$11:$C$106="GB")*('Giá công thức'!$G$3:$AD$3=G$1)*('Giá công thức'!$G$4:$AD$4=G$2)))</f>
        <v>1250</v>
      </c>
      <c r="H10" s="400" cm="1">
        <f t="array" ref="H10">IF(SUMPRODUCT('Giá công thức'!$G$11:$AD$106*('Giá công thức'!$A$11:$A$106=$B10)*('Giá công thức'!$B$11:$B$106=$C10)*('Giá công thức'!$C$11:$C$106="GB")*('Giá công thức'!$G$3:$AD$3=H$1)*('Giá công thức'!$G$4:$AD$4=H$2))=0,NA(),SUMPRODUCT('Giá công thức'!$G$11:$AD$106*('Giá công thức'!$A$11:$A$106=$B10)*('Giá công thức'!$B$11:$B$106=$C10)*('Giá công thức'!$C$11:$C$106="GB")*('Giá công thức'!$G$3:$AD$3=H$1)*('Giá công thức'!$G$4:$AD$4=H$2)))</f>
        <v>1250</v>
      </c>
      <c r="I10" s="400" cm="1">
        <f t="array" ref="I10">IF(SUMPRODUCT('Giá công thức'!$G$11:$AD$106*('Giá công thức'!$A$11:$A$106=$B10)*('Giá công thức'!$B$11:$B$106=$C10)*('Giá công thức'!$C$11:$C$106="GB")*('Giá công thức'!$G$3:$AD$3=I$1)*('Giá công thức'!$G$4:$AD$4=I$2))=0,NA(),SUMPRODUCT('Giá công thức'!$G$11:$AD$106*('Giá công thức'!$A$11:$A$106=$B10)*('Giá công thức'!$B$11:$B$106=$C10)*('Giá công thức'!$C$11:$C$106="GB")*('Giá công thức'!$G$3:$AD$3=I$1)*('Giá công thức'!$G$4:$AD$4=I$2)))</f>
        <v>1250</v>
      </c>
      <c r="J10" s="400" cm="1">
        <f t="array" ref="J10">IF(SUMPRODUCT('Giá công thức'!$G$11:$AD$106*('Giá công thức'!$A$11:$A$106=$B10)*('Giá công thức'!$B$11:$B$106=$C10)*('Giá công thức'!$C$11:$C$106="GB")*('Giá công thức'!$G$3:$AD$3=J$1)*('Giá công thức'!$G$4:$AD$4=J$2))=0,NA(),SUMPRODUCT('Giá công thức'!$G$11:$AD$106*('Giá công thức'!$A$11:$A$106=$B10)*('Giá công thức'!$B$11:$B$106=$C10)*('Giá công thức'!$C$11:$C$106="GB")*('Giá công thức'!$G$3:$AD$3=J$1)*('Giá công thức'!$G$4:$AD$4=J$2)))</f>
        <v>1250</v>
      </c>
      <c r="K10" s="400" cm="1">
        <f t="array" ref="K10">IF(SUMPRODUCT('Giá công thức'!$G$11:$AD$106*('Giá công thức'!$A$11:$A$106=$B10)*('Giá công thức'!$B$11:$B$106=$C10)*('Giá công thức'!$C$11:$C$106="GB")*('Giá công thức'!$G$3:$AD$3=K$1)*('Giá công thức'!$G$4:$AD$4=K$2))=0,NA(),SUMPRODUCT('Giá công thức'!$G$11:$AD$106*('Giá công thức'!$A$11:$A$106=$B10)*('Giá công thức'!$B$11:$B$106=$C10)*('Giá công thức'!$C$11:$C$106="GB")*('Giá công thức'!$G$3:$AD$3=K$1)*('Giá công thức'!$G$4:$AD$4=K$2)))</f>
        <v>1330</v>
      </c>
      <c r="L10" s="400" cm="1">
        <f t="array" ref="L10">IF(SUMPRODUCT('Giá công thức'!$G$11:$AD$106*('Giá công thức'!$A$11:$A$106=$B10)*('Giá công thức'!$B$11:$B$106=$C10)*('Giá công thức'!$C$11:$C$106="GB")*('Giá công thức'!$G$3:$AD$3=L$1)*('Giá công thức'!$G$4:$AD$4=L$2))=0,NA(),SUMPRODUCT('Giá công thức'!$G$11:$AD$106*('Giá công thức'!$A$11:$A$106=$B10)*('Giá công thức'!$B$11:$B$106=$C10)*('Giá công thức'!$C$11:$C$106="GB")*('Giá công thức'!$G$3:$AD$3=L$1)*('Giá công thức'!$G$4:$AD$4=L$2)))</f>
        <v>1330</v>
      </c>
      <c r="M10" s="400" cm="1">
        <f t="array" ref="M10">IF(SUMPRODUCT('Giá công thức'!$G$11:$AD$106*('Giá công thức'!$A$11:$A$106=$B10)*('Giá công thức'!$B$11:$B$106=$C10)*('Giá công thức'!$C$11:$C$106="GB")*('Giá công thức'!$G$3:$AD$3=M$1)*('Giá công thức'!$G$4:$AD$4=M$2))=0,NA(),SUMPRODUCT('Giá công thức'!$G$11:$AD$106*('Giá công thức'!$A$11:$A$106=$B10)*('Giá công thức'!$B$11:$B$106=$C10)*('Giá công thức'!$C$11:$C$106="GB")*('Giá công thức'!$G$3:$AD$3=M$1)*('Giá công thức'!$G$4:$AD$4=M$2)))</f>
        <v>1330</v>
      </c>
      <c r="N10" s="400" cm="1">
        <f t="array" ref="N10">IF(SUMPRODUCT('Giá công thức'!$G$11:$AD$106*('Giá công thức'!$A$11:$A$106=$B10)*('Giá công thức'!$B$11:$B$106=$C10)*('Giá công thức'!$C$11:$C$106="GB")*('Giá công thức'!$G$3:$AD$3=N$1)*('Giá công thức'!$G$4:$AD$4=N$2))=0,NA(),SUMPRODUCT('Giá công thức'!$G$11:$AD$106*('Giá công thức'!$A$11:$A$106=$B10)*('Giá công thức'!$B$11:$B$106=$C10)*('Giá công thức'!$C$11:$C$106="GB")*('Giá công thức'!$G$3:$AD$3=N$1)*('Giá công thức'!$G$4:$AD$4=N$2)))</f>
        <v>1330</v>
      </c>
      <c r="O10" s="400" cm="1">
        <f t="array" ref="O10">IF(SUMPRODUCT('Giá công thức'!$G$11:$AD$106*('Giá công thức'!$A$11:$A$106=$B10)*('Giá công thức'!$B$11:$B$106=$C10)*('Giá công thức'!$C$11:$C$106="GB")*('Giá công thức'!$G$3:$AD$3=O$1)*('Giá công thức'!$G$4:$AD$4=O$2))=0,NA(),SUMPRODUCT('Giá công thức'!$G$11:$AD$106*('Giá công thức'!$A$11:$A$106=$B10)*('Giá công thức'!$B$11:$B$106=$C10)*('Giá công thức'!$C$11:$C$106="GB")*('Giá công thức'!$G$3:$AD$3=O$1)*('Giá công thức'!$G$4:$AD$4=O$2)))</f>
        <v>1330</v>
      </c>
      <c r="P10" s="400" cm="1">
        <f t="array" ref="P10">IF(SUMPRODUCT('Giá công thức'!$G$11:$AD$106*('Giá công thức'!$A$11:$A$106=$B10)*('Giá công thức'!$B$11:$B$106=$C10)*('Giá công thức'!$C$11:$C$106="GB")*('Giá công thức'!$G$3:$AD$3=P$1)*('Giá công thức'!$G$4:$AD$4=P$2))=0,NA(),SUMPRODUCT('Giá công thức'!$G$11:$AD$106*('Giá công thức'!$A$11:$A$106=$B10)*('Giá công thức'!$B$11:$B$106=$C10)*('Giá công thức'!$C$11:$C$106="GB")*('Giá công thức'!$G$3:$AD$3=P$1)*('Giá công thức'!$G$4:$AD$4=P$2)))</f>
        <v>1330</v>
      </c>
      <c r="Q10" s="400" cm="1">
        <f t="array" ref="Q10">IF(SUMPRODUCT('Giá công thức'!$G$11:$AD$106*('Giá công thức'!$A$11:$A$106=$B10)*('Giá công thức'!$B$11:$B$106=$C10)*('Giá công thức'!$C$11:$C$106="GB")*('Giá công thức'!$G$3:$AD$3=Q$1)*('Giá công thức'!$G$4:$AD$4=Q$2))=0,NA(),SUMPRODUCT('Giá công thức'!$G$11:$AD$106*('Giá công thức'!$A$11:$A$106=$B10)*('Giá công thức'!$B$11:$B$106=$C10)*('Giá công thức'!$C$11:$C$106="GB")*('Giá công thức'!$G$3:$AD$3=Q$1)*('Giá công thức'!$G$4:$AD$4=Q$2)))</f>
        <v>1250</v>
      </c>
      <c r="R10" s="400" cm="1">
        <f t="array" ref="R10">IF(SUMPRODUCT('Giá công thức'!$G$11:$AD$106*('Giá công thức'!$A$11:$A$106=$B10)*('Giá công thức'!$B$11:$B$106=$C10)*('Giá công thức'!$C$11:$C$106="GB")*('Giá công thức'!$G$3:$AD$3=R$1)*('Giá công thức'!$G$4:$AD$4=R$2))=0,NA(),SUMPRODUCT('Giá công thức'!$G$11:$AD$106*('Giá công thức'!$A$11:$A$106=$B10)*('Giá công thức'!$B$11:$B$106=$C10)*('Giá công thức'!$C$11:$C$106="GB")*('Giá công thức'!$G$3:$AD$3=R$1)*('Giá công thức'!$G$4:$AD$4=R$2)))</f>
        <v>1250</v>
      </c>
      <c r="S10" s="400" cm="1">
        <f t="array" ref="S10">IF(SUMPRODUCT('Giá công thức'!$G$11:$AD$106*('Giá công thức'!$A$11:$A$106=$B10)*('Giá công thức'!$B$11:$B$106=$C10)*('Giá công thức'!$C$11:$C$106="GB")*('Giá công thức'!$G$3:$AD$3=S$1)*('Giá công thức'!$G$4:$AD$4=S$2))=0,NA(),SUMPRODUCT('Giá công thức'!$G$11:$AD$106*('Giá công thức'!$A$11:$A$106=$B10)*('Giá công thức'!$B$11:$B$106=$C10)*('Giá công thức'!$C$11:$C$106="GB")*('Giá công thức'!$G$3:$AD$3=S$1)*('Giá công thức'!$G$4:$AD$4=S$2)))</f>
        <v>1250</v>
      </c>
      <c r="T10" s="400" cm="1">
        <f t="array" ref="T10">IF(SUMPRODUCT('Giá công thức'!$G$11:$AD$106*('Giá công thức'!$A$11:$A$106=$B10)*('Giá công thức'!$B$11:$B$106=$C10)*('Giá công thức'!$C$11:$C$106="GB")*('Giá công thức'!$G$3:$AD$3=T$1)*('Giá công thức'!$G$4:$AD$4=T$2))=0,NA(),SUMPRODUCT('Giá công thức'!$G$11:$AD$106*('Giá công thức'!$A$11:$A$106=$B10)*('Giá công thức'!$B$11:$B$106=$C10)*('Giá công thức'!$C$11:$C$106="GB")*('Giá công thức'!$G$3:$AD$3=T$1)*('Giá công thức'!$G$4:$AD$4=T$2)))</f>
        <v>1250</v>
      </c>
      <c r="U10" s="400" cm="1">
        <f t="array" ref="U10">IF(SUMPRODUCT('Giá công thức'!$G$11:$AD$106*('Giá công thức'!$A$11:$A$106=$B10)*('Giá công thức'!$B$11:$B$106=$C10)*('Giá công thức'!$C$11:$C$106="GB")*('Giá công thức'!$G$3:$AD$3=U$1)*('Giá công thức'!$G$4:$AD$4=U$2))=0,NA(),SUMPRODUCT('Giá công thức'!$G$11:$AD$106*('Giá công thức'!$A$11:$A$106=$B10)*('Giá công thức'!$B$11:$B$106=$C10)*('Giá công thức'!$C$11:$C$106="GB")*('Giá công thức'!$G$3:$AD$3=U$1)*('Giá công thức'!$G$4:$AD$4=U$2)))</f>
        <v>1250</v>
      </c>
      <c r="V10" s="400" cm="1">
        <f t="array" ref="V10">IF(SUMPRODUCT('Giá công thức'!$G$11:$AD$106*('Giá công thức'!$A$11:$A$106=$B10)*('Giá công thức'!$B$11:$B$106=$C10)*('Giá công thức'!$C$11:$C$106="GB")*('Giá công thức'!$G$3:$AD$3=V$1)*('Giá công thức'!$G$4:$AD$4=V$2))=0,NA(),SUMPRODUCT('Giá công thức'!$G$11:$AD$106*('Giá công thức'!$A$11:$A$106=$B10)*('Giá công thức'!$B$11:$B$106=$C10)*('Giá công thức'!$C$11:$C$106="GB")*('Giá công thức'!$G$3:$AD$3=V$1)*('Giá công thức'!$G$4:$AD$4=V$2)))</f>
        <v>1250</v>
      </c>
      <c r="W10" s="400" t="e" cm="1">
        <f t="array" ref="W10">IF(SUMPRODUCT('Giá công thức'!$G$11:$AD$106*('Giá công thức'!$A$11:$A$106=$B10)*('Giá công thức'!$B$11:$B$106=$C10)*('Giá công thức'!$C$11:$C$106="GB")*('Giá công thức'!$G$3:$AD$3=W$1)*('Giá công thức'!$G$4:$AD$4=W$2))=0,NA(),SUMPRODUCT('Giá công thức'!$G$11:$AD$106*('Giá công thức'!$A$11:$A$106=$B10)*('Giá công thức'!$B$11:$B$106=$C10)*('Giá công thức'!$C$11:$C$106="GB")*('Giá công thức'!$G$3:$AD$3=W$1)*('Giá công thức'!$G$4:$AD$4=W$2)))</f>
        <v>#N/A</v>
      </c>
      <c r="X10" s="400" cm="1">
        <f t="array" ref="X10">IF(SUMPRODUCT('Giá công thức'!$G$11:$AD$106*('Giá công thức'!$A$11:$A$106=$B10)*('Giá công thức'!$B$11:$B$106=$C10)*('Giá công thức'!$C$11:$C$106="GB")*('Giá công thức'!$G$3:$AD$3=X$1)*('Giá công thức'!$G$4:$AD$4=X$2))=0,NA(),SUMPRODUCT('Giá công thức'!$G$11:$AD$106*('Giá công thức'!$A$11:$A$106=$B10)*('Giá công thức'!$B$11:$B$106=$C10)*('Giá công thức'!$C$11:$C$106="GB")*('Giá công thức'!$G$3:$AD$3=X$1)*('Giá công thức'!$G$4:$AD$4=X$2)))</f>
        <v>1303.8316268486917</v>
      </c>
      <c r="Y10" s="400" cm="1">
        <f t="array" ref="Y10">IF(SUMPRODUCT('Giá công thức'!$G$11:$AD$106*('Giá công thức'!$A$11:$A$106=$B10)*('Giá công thức'!$B$11:$B$106=$C10)*('Giá công thức'!$C$11:$C$106="GB")*('Giá công thức'!$G$3:$AD$3=Y$1)*('Giá công thức'!$G$4:$AD$4=Y$2))=0,NA(),SUMPRODUCT('Giá công thức'!$G$11:$AD$106*('Giá công thức'!$A$11:$A$106=$B10)*('Giá công thức'!$B$11:$B$106=$C10)*('Giá công thức'!$C$11:$C$106="GB")*('Giá công thức'!$G$3:$AD$3=Y$1)*('Giá công thức'!$G$4:$AD$4=Y$2)))</f>
        <v>1303.8316268486917</v>
      </c>
      <c r="Z10" s="400" cm="1">
        <f t="array" ref="Z10">IF(SUMPRODUCT('Giá công thức'!$G$11:$AD$106*('Giá công thức'!$A$11:$A$106=$B10)*('Giá công thức'!$B$11:$B$106=$C10)*('Giá công thức'!$C$11:$C$106="GB")*('Giá công thức'!$G$3:$AD$3=Z$1)*('Giá công thức'!$G$4:$AD$4=Z$2))=0,NA(),SUMPRODUCT('Giá công thức'!$G$11:$AD$106*('Giá công thức'!$A$11:$A$106=$B10)*('Giá công thức'!$B$11:$B$106=$C10)*('Giá công thức'!$C$11:$C$106="GB")*('Giá công thức'!$G$3:$AD$3=Z$1)*('Giá công thức'!$G$4:$AD$4=Z$2)))</f>
        <v>1303.8316268486917</v>
      </c>
      <c r="AA10" s="400" cm="1">
        <f t="array" ref="AA10">IF(SUMPRODUCT('Giá công thức'!$G$11:$AD$106*('Giá công thức'!$A$11:$A$106=$B10)*('Giá công thức'!$B$11:$B$106=$C10)*('Giá công thức'!$C$11:$C$106="GB")*('Giá công thức'!$G$3:$AD$3=AA$1)*('Giá công thức'!$G$4:$AD$4=AA$2))=0,NA(),SUMPRODUCT('Giá công thức'!$G$11:$AD$106*('Giá công thức'!$A$11:$A$106=$B10)*('Giá công thức'!$B$11:$B$106=$C10)*('Giá công thức'!$C$11:$C$106="GB")*('Giá công thức'!$G$3:$AD$3=AA$1)*('Giá công thức'!$G$4:$AD$4=AA$2)))</f>
        <v>1303.8316268486917</v>
      </c>
      <c r="AB10" s="400" cm="1">
        <f t="array" ref="AB10">IF(SUMPRODUCT('Giá công thức'!$G$11:$AD$106*('Giá công thức'!$A$11:$A$106=$B10)*('Giá công thức'!$B$11:$B$106=$C10)*('Giá công thức'!$C$11:$C$106="GB")*('Giá công thức'!$G$3:$AD$3=AB$1)*('Giá công thức'!$G$4:$AD$4=AB$2))=0,NA(),SUMPRODUCT('Giá công thức'!$G$11:$AD$106*('Giá công thức'!$A$11:$A$106=$B10)*('Giá công thức'!$B$11:$B$106=$C10)*('Giá công thức'!$C$11:$C$106="GB")*('Giá công thức'!$G$3:$AD$3=AB$1)*('Giá công thức'!$G$4:$AD$4=AB$2)))</f>
        <v>1303.8316268486917</v>
      </c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28">
        <f>INDEX($E10:$AB10,MATCH("X",$E$3:$AB$3,0))</f>
        <v>1303.8316268486917</v>
      </c>
    </row>
    <row r="11" spans="1:41" s="137" customFormat="1" x14ac:dyDescent="0.35">
      <c r="A11" s="137" t="s">
        <v>15</v>
      </c>
      <c r="C11" s="137" t="s">
        <v>15</v>
      </c>
      <c r="D11" s="137" t="s">
        <v>17</v>
      </c>
      <c r="E11" s="403" cm="1">
        <f t="array" ref="E11">SUMPRODUCT(General_Data*(Code_General_Data=$A11)*(Year=E$1)*(Month=E$2))</f>
        <v>1250</v>
      </c>
      <c r="F11" s="403" cm="1">
        <f t="array" ref="F11">SUMPRODUCT(General_Data*(Code_General_Data=$A11)*(Year=F$1)*(Month=F$2))</f>
        <v>1250</v>
      </c>
      <c r="G11" s="403" cm="1">
        <f t="array" ref="G11">SUMPRODUCT(General_Data*(Code_General_Data=$A11)*(Year=G$1)*(Month=G$2))</f>
        <v>1250</v>
      </c>
      <c r="H11" s="403" cm="1">
        <f t="array" ref="H11">SUMPRODUCT(General_Data*(Code_General_Data=$A11)*(Year=H$1)*(Month=H$2))</f>
        <v>1250</v>
      </c>
      <c r="I11" s="403" cm="1">
        <f t="array" ref="I11">SUMPRODUCT(General_Data*(Code_General_Data=$A11)*(Year=I$1)*(Month=I$2))</f>
        <v>1300</v>
      </c>
      <c r="J11" s="403" cm="1">
        <f t="array" ref="J11">SUMPRODUCT(General_Data*(Code_General_Data=$A11)*(Year=J$1)*(Month=J$2))</f>
        <v>1300</v>
      </c>
      <c r="K11" s="403" cm="1">
        <f t="array" ref="K11">SUMPRODUCT(General_Data*(Code_General_Data=$A11)*(Year=K$1)*(Month=K$2))</f>
        <v>1300</v>
      </c>
      <c r="L11" s="403" cm="1">
        <f t="array" ref="L11">SUMPRODUCT(General_Data*(Code_General_Data=$A11)*(Year=L$1)*(Month=L$2))</f>
        <v>1300</v>
      </c>
      <c r="M11" s="403" cm="1">
        <f t="array" ref="M11">SUMPRODUCT(General_Data*(Code_General_Data=$A11)*(Year=M$1)*(Month=M$2))</f>
        <v>1310</v>
      </c>
      <c r="N11" s="403" cm="1">
        <f t="array" ref="N11">SUMPRODUCT(General_Data*(Code_General_Data=$A11)*(Year=N$1)*(Month=N$2))</f>
        <v>1325</v>
      </c>
      <c r="O11" s="403" cm="1">
        <f t="array" ref="O11">SUMPRODUCT(General_Data*(Code_General_Data=$A11)*(Year=O$1)*(Month=O$2))</f>
        <v>1325</v>
      </c>
      <c r="P11" s="403" cm="1">
        <f t="array" ref="P11">SUMPRODUCT(General_Data*(Code_General_Data=$A11)*(Year=P$1)*(Month=P$2))</f>
        <v>1275</v>
      </c>
      <c r="Q11" s="403" cm="1">
        <f t="array" ref="Q11">SUMPRODUCT(General_Data*(Code_General_Data=$A11)*(Year=Q$1)*(Month=Q$2))</f>
        <v>1230</v>
      </c>
      <c r="R11" s="403" cm="1">
        <f t="array" ref="R11">SUMPRODUCT(General_Data*(Code_General_Data=$A11)*(Year=R$1)*(Month=R$2))</f>
        <v>1230</v>
      </c>
      <c r="S11" s="403" cm="1">
        <f t="array" ref="S11">SUMPRODUCT(General_Data*(Code_General_Data=$A11)*(Year=S$1)*(Month=S$2))</f>
        <v>1230</v>
      </c>
      <c r="T11" s="403" cm="1">
        <f t="array" ref="T11">SUMPRODUCT(General_Data*(Code_General_Data=$A11)*(Year=T$1)*(Month=T$2))</f>
        <v>1250</v>
      </c>
      <c r="U11" s="403" cm="1">
        <f t="array" ref="U11">SUMPRODUCT(General_Data*(Code_General_Data=$A11)*(Year=U$1)*(Month=U$2))</f>
        <v>1250</v>
      </c>
      <c r="V11" s="403" cm="1">
        <f t="array" ref="V11">SUMPRODUCT(General_Data*(Code_General_Data=$A11)*(Year=V$1)*(Month=V$2))</f>
        <v>1250</v>
      </c>
      <c r="W11" s="403" cm="1">
        <f t="array" ref="W11">SUMPRODUCT(General_Data*(Code_General_Data=$A11)*(Year=W$1)*(Month=W$2))</f>
        <v>1250</v>
      </c>
      <c r="X11" s="403" cm="1">
        <f t="array" ref="X11">SUMPRODUCT(General_Data*(Code_General_Data=$A11)*(Year=X$1)*(Month=X$2))</f>
        <v>1220</v>
      </c>
      <c r="Y11" s="403" cm="1">
        <f t="array" ref="Y11">SUMPRODUCT(General_Data*(Code_General_Data=$A11)*(Year=Y$1)*(Month=Y$2))</f>
        <v>1220</v>
      </c>
      <c r="Z11" s="403" cm="1">
        <f t="array" ref="Z11">SUMPRODUCT(General_Data*(Code_General_Data=$A11)*(Year=Z$1)*(Month=Z$2))</f>
        <v>1210</v>
      </c>
      <c r="AA11" s="403" cm="1">
        <f t="array" ref="AA11">SUMPRODUCT(General_Data*(Code_General_Data=$A11)*(Year=AA$1)*(Month=AA$2))</f>
        <v>1200</v>
      </c>
      <c r="AB11" s="403" cm="1">
        <f t="array" ref="AB11">SUMPRODUCT(General_Data*(Code_General_Data=$A11)*(Year=AB$1)*(Month=AB$2))</f>
        <v>1200</v>
      </c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3"/>
      <c r="AN11" s="403"/>
      <c r="AO11" s="429">
        <f>INDEX($E11:$AB11,MATCH("X",$E$3:$AB$3,0))</f>
        <v>1200</v>
      </c>
    </row>
    <row r="12" spans="1:41" s="401" customFormat="1" x14ac:dyDescent="0.35">
      <c r="A12" s="401" t="s">
        <v>9</v>
      </c>
      <c r="D12" s="401" t="s">
        <v>11</v>
      </c>
      <c r="E12" s="402" cm="1">
        <f t="array" ref="E12">SUMPRODUCT(General_Data*(Code_General_Data=$A12)*(Year=E$1)*(Month=E$2))</f>
        <v>930</v>
      </c>
      <c r="F12" s="402" cm="1">
        <f t="array" ref="F12">SUMPRODUCT(General_Data*(Code_General_Data=$A12)*(Year=F$1)*(Month=F$2))</f>
        <v>943.33333333333337</v>
      </c>
      <c r="G12" s="402" cm="1">
        <f t="array" ref="G12">SUMPRODUCT(General_Data*(Code_General_Data=$A12)*(Year=G$1)*(Month=G$2))</f>
        <v>940</v>
      </c>
      <c r="H12" s="402" cm="1">
        <f t="array" ref="H12">SUMPRODUCT(General_Data*(Code_General_Data=$A12)*(Year=H$1)*(Month=H$2))</f>
        <v>940</v>
      </c>
      <c r="I12" s="402" cm="1">
        <f t="array" ref="I12">SUMPRODUCT(General_Data*(Code_General_Data=$A12)*(Year=I$1)*(Month=I$2))</f>
        <v>942</v>
      </c>
      <c r="J12" s="402" cm="1">
        <f t="array" ref="J12">SUMPRODUCT(General_Data*(Code_General_Data=$A12)*(Year=J$1)*(Month=J$2))</f>
        <v>950</v>
      </c>
      <c r="K12" s="402" cm="1">
        <f t="array" ref="K12">SUMPRODUCT(General_Data*(Code_General_Data=$A12)*(Year=K$1)*(Month=K$2))</f>
        <v>947.5</v>
      </c>
      <c r="L12" s="402" cm="1">
        <f t="array" ref="L12">SUMPRODUCT(General_Data*(Code_General_Data=$A12)*(Year=L$1)*(Month=L$2))</f>
        <v>930</v>
      </c>
      <c r="M12" s="402" cm="1">
        <f t="array" ref="M12">SUMPRODUCT(General_Data*(Code_General_Data=$A12)*(Year=M$1)*(Month=M$2))</f>
        <v>880</v>
      </c>
      <c r="N12" s="402" cm="1">
        <f t="array" ref="N12">SUMPRODUCT(General_Data*(Code_General_Data=$A12)*(Year=N$1)*(Month=N$2))</f>
        <v>862.5</v>
      </c>
      <c r="O12" s="402" cm="1">
        <f t="array" ref="O12">SUMPRODUCT(General_Data*(Code_General_Data=$A12)*(Year=O$1)*(Month=O$2))</f>
        <v>852</v>
      </c>
      <c r="P12" s="402" cm="1">
        <f t="array" ref="P12">SUMPRODUCT(General_Data*(Code_General_Data=$A12)*(Year=P$1)*(Month=P$2))</f>
        <v>830</v>
      </c>
      <c r="Q12" s="402" cm="1">
        <f t="array" ref="Q12">SUMPRODUCT(General_Data*(Code_General_Data=$A12)*(Year=Q$1)*(Month=Q$2))</f>
        <v>828</v>
      </c>
      <c r="R12" s="402" cm="1">
        <f t="array" ref="R12">SUMPRODUCT(General_Data*(Code_General_Data=$A12)*(Year=R$1)*(Month=R$2))</f>
        <v>840</v>
      </c>
      <c r="S12" s="402" cm="1">
        <f t="array" ref="S12">SUMPRODUCT(General_Data*(Code_General_Data=$A12)*(Year=S$1)*(Month=S$2))</f>
        <v>823</v>
      </c>
      <c r="T12" s="402" cm="1">
        <f t="array" ref="T12">SUMPRODUCT(General_Data*(Code_General_Data=$A12)*(Year=T$1)*(Month=T$2))</f>
        <v>765</v>
      </c>
      <c r="U12" s="402" cm="1">
        <f t="array" ref="U12">SUMPRODUCT(General_Data*(Code_General_Data=$A12)*(Year=U$1)*(Month=U$2))</f>
        <v>782</v>
      </c>
      <c r="V12" s="402" cm="1">
        <f t="array" ref="V12">SUMPRODUCT(General_Data*(Code_General_Data=$A12)*(Year=V$1)*(Month=V$2))</f>
        <v>807.5</v>
      </c>
      <c r="W12" s="402" cm="1">
        <f t="array" ref="W12">SUMPRODUCT(General_Data*(Code_General_Data=$A12)*(Year=W$1)*(Month=W$2))</f>
        <v>802</v>
      </c>
      <c r="X12" s="402" cm="1">
        <f t="array" ref="X12">SUMPRODUCT(General_Data*(Code_General_Data=$A12)*(Year=X$1)*(Month=X$2))</f>
        <v>795</v>
      </c>
      <c r="Y12" s="402" cm="1">
        <f t="array" ref="Y12">SUMPRODUCT(General_Data*(Code_General_Data=$A12)*(Year=Y$1)*(Month=Y$2))</f>
        <v>783</v>
      </c>
      <c r="Z12" s="402" cm="1">
        <f t="array" ref="Z12">SUMPRODUCT(General_Data*(Code_General_Data=$A12)*(Year=Z$1)*(Month=Z$2))</f>
        <v>772</v>
      </c>
      <c r="AA12" s="402" cm="1">
        <f t="array" ref="AA12">SUMPRODUCT(General_Data*(Code_General_Data=$A12)*(Year=AA$1)*(Month=AA$2))</f>
        <v>770</v>
      </c>
      <c r="AB12" s="402" cm="1">
        <f t="array" ref="AB12">SUMPRODUCT(General_Data*(Code_General_Data=$A12)*(Year=AB$1)*(Month=AB$2))</f>
        <v>770</v>
      </c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30">
        <f>INDEX($E12:$AB12,MATCH("X",$E$3:$AB$3,0))</f>
        <v>770</v>
      </c>
    </row>
    <row r="13" spans="1:41" s="408" customFormat="1" x14ac:dyDescent="0.35">
      <c r="D13" s="408" t="s">
        <v>416</v>
      </c>
      <c r="E13" s="409">
        <f>E11-E12</f>
        <v>320</v>
      </c>
      <c r="F13" s="409">
        <f t="shared" ref="F13:AB13" si="0">F11-F12</f>
        <v>306.66666666666663</v>
      </c>
      <c r="G13" s="409">
        <f t="shared" si="0"/>
        <v>310</v>
      </c>
      <c r="H13" s="409">
        <f t="shared" si="0"/>
        <v>310</v>
      </c>
      <c r="I13" s="409">
        <f t="shared" si="0"/>
        <v>358</v>
      </c>
      <c r="J13" s="409">
        <f t="shared" si="0"/>
        <v>350</v>
      </c>
      <c r="K13" s="409">
        <f t="shared" si="0"/>
        <v>352.5</v>
      </c>
      <c r="L13" s="409">
        <f t="shared" si="0"/>
        <v>370</v>
      </c>
      <c r="M13" s="409">
        <f t="shared" si="0"/>
        <v>430</v>
      </c>
      <c r="N13" s="409">
        <f t="shared" si="0"/>
        <v>462.5</v>
      </c>
      <c r="O13" s="409">
        <f t="shared" si="0"/>
        <v>473</v>
      </c>
      <c r="P13" s="409">
        <f t="shared" si="0"/>
        <v>445</v>
      </c>
      <c r="Q13" s="409">
        <f t="shared" si="0"/>
        <v>402</v>
      </c>
      <c r="R13" s="409">
        <f t="shared" si="0"/>
        <v>390</v>
      </c>
      <c r="S13" s="409">
        <f t="shared" si="0"/>
        <v>407</v>
      </c>
      <c r="T13" s="409">
        <f t="shared" si="0"/>
        <v>485</v>
      </c>
      <c r="U13" s="409">
        <f t="shared" si="0"/>
        <v>468</v>
      </c>
      <c r="V13" s="409">
        <f t="shared" si="0"/>
        <v>442.5</v>
      </c>
      <c r="W13" s="409">
        <f t="shared" si="0"/>
        <v>448</v>
      </c>
      <c r="X13" s="409">
        <f t="shared" si="0"/>
        <v>425</v>
      </c>
      <c r="Y13" s="409">
        <f t="shared" si="0"/>
        <v>437</v>
      </c>
      <c r="Z13" s="409">
        <f t="shared" si="0"/>
        <v>438</v>
      </c>
      <c r="AA13" s="409">
        <f t="shared" si="0"/>
        <v>430</v>
      </c>
      <c r="AB13" s="409">
        <f t="shared" si="0"/>
        <v>430</v>
      </c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  <c r="AO13" s="431"/>
    </row>
    <row r="14" spans="1:41" s="410" customFormat="1" x14ac:dyDescent="0.35">
      <c r="D14" s="410" t="s">
        <v>394</v>
      </c>
      <c r="E14" s="411">
        <f t="shared" ref="E14:AO14" si="1">IFERROR(E13/E12,0)</f>
        <v>0.34408602150537637</v>
      </c>
      <c r="F14" s="411">
        <f t="shared" si="1"/>
        <v>0.32508833922261476</v>
      </c>
      <c r="G14" s="411">
        <f t="shared" si="1"/>
        <v>0.32978723404255317</v>
      </c>
      <c r="H14" s="411">
        <f t="shared" si="1"/>
        <v>0.32978723404255317</v>
      </c>
      <c r="I14" s="411">
        <f t="shared" si="1"/>
        <v>0.38004246284501064</v>
      </c>
      <c r="J14" s="411">
        <f t="shared" si="1"/>
        <v>0.36842105263157893</v>
      </c>
      <c r="K14" s="411">
        <f t="shared" si="1"/>
        <v>0.37203166226912932</v>
      </c>
      <c r="L14" s="411">
        <f t="shared" si="1"/>
        <v>0.39784946236559138</v>
      </c>
      <c r="M14" s="411">
        <f t="shared" si="1"/>
        <v>0.48863636363636365</v>
      </c>
      <c r="N14" s="411">
        <f t="shared" si="1"/>
        <v>0.53623188405797106</v>
      </c>
      <c r="O14" s="411">
        <f t="shared" si="1"/>
        <v>0.55516431924882625</v>
      </c>
      <c r="P14" s="411">
        <f t="shared" si="1"/>
        <v>0.53614457831325302</v>
      </c>
      <c r="Q14" s="411">
        <f t="shared" si="1"/>
        <v>0.48550724637681159</v>
      </c>
      <c r="R14" s="411">
        <f t="shared" si="1"/>
        <v>0.4642857142857143</v>
      </c>
      <c r="S14" s="411">
        <f t="shared" si="1"/>
        <v>0.49453219927095993</v>
      </c>
      <c r="T14" s="411">
        <f t="shared" si="1"/>
        <v>0.63398692810457513</v>
      </c>
      <c r="U14" s="411">
        <f t="shared" si="1"/>
        <v>0.59846547314578002</v>
      </c>
      <c r="V14" s="411">
        <f t="shared" si="1"/>
        <v>0.54798761609907121</v>
      </c>
      <c r="W14" s="411">
        <f t="shared" si="1"/>
        <v>0.55860349127182041</v>
      </c>
      <c r="X14" s="411">
        <f t="shared" si="1"/>
        <v>0.53459119496855345</v>
      </c>
      <c r="Y14" s="411">
        <f t="shared" si="1"/>
        <v>0.55810983397190295</v>
      </c>
      <c r="Z14" s="411">
        <f t="shared" si="1"/>
        <v>0.56735751295336789</v>
      </c>
      <c r="AA14" s="411">
        <f t="shared" si="1"/>
        <v>0.55844155844155841</v>
      </c>
      <c r="AB14" s="411">
        <f t="shared" si="1"/>
        <v>0.55844155844155841</v>
      </c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32">
        <f t="shared" si="1"/>
        <v>0</v>
      </c>
    </row>
    <row r="15" spans="1:41" s="426" customFormat="1" x14ac:dyDescent="0.35">
      <c r="D15" s="426" t="s">
        <v>419</v>
      </c>
      <c r="E15" s="427">
        <f>E11</f>
        <v>1250</v>
      </c>
      <c r="F15" s="427">
        <f t="shared" ref="F15:AB15" si="2">F11</f>
        <v>1250</v>
      </c>
      <c r="G15" s="427">
        <f t="shared" si="2"/>
        <v>1250</v>
      </c>
      <c r="H15" s="427">
        <f t="shared" si="2"/>
        <v>1250</v>
      </c>
      <c r="I15" s="427">
        <f t="shared" si="2"/>
        <v>1300</v>
      </c>
      <c r="J15" s="427">
        <f t="shared" si="2"/>
        <v>1300</v>
      </c>
      <c r="K15" s="427">
        <f t="shared" si="2"/>
        <v>1300</v>
      </c>
      <c r="L15" s="427">
        <f t="shared" si="2"/>
        <v>1300</v>
      </c>
      <c r="M15" s="427">
        <f t="shared" si="2"/>
        <v>1310</v>
      </c>
      <c r="N15" s="427">
        <f t="shared" si="2"/>
        <v>1325</v>
      </c>
      <c r="O15" s="427">
        <f t="shared" si="2"/>
        <v>1325</v>
      </c>
      <c r="P15" s="427">
        <f t="shared" si="2"/>
        <v>1275</v>
      </c>
      <c r="Q15" s="427">
        <f t="shared" si="2"/>
        <v>1230</v>
      </c>
      <c r="R15" s="427">
        <f t="shared" si="2"/>
        <v>1230</v>
      </c>
      <c r="S15" s="427">
        <f t="shared" si="2"/>
        <v>1230</v>
      </c>
      <c r="T15" s="427">
        <f t="shared" si="2"/>
        <v>1250</v>
      </c>
      <c r="U15" s="427">
        <f t="shared" si="2"/>
        <v>1250</v>
      </c>
      <c r="V15" s="427">
        <f t="shared" si="2"/>
        <v>1250</v>
      </c>
      <c r="W15" s="427">
        <f t="shared" si="2"/>
        <v>1250</v>
      </c>
      <c r="X15" s="427">
        <f t="shared" si="2"/>
        <v>1220</v>
      </c>
      <c r="Y15" s="427">
        <f t="shared" si="2"/>
        <v>1220</v>
      </c>
      <c r="Z15" s="427">
        <f t="shared" si="2"/>
        <v>1210</v>
      </c>
      <c r="AA15" s="427">
        <f t="shared" si="2"/>
        <v>1200</v>
      </c>
      <c r="AB15" s="427">
        <f t="shared" si="2"/>
        <v>1200</v>
      </c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37"/>
    </row>
    <row r="16" spans="1:41" s="426" customFormat="1" x14ac:dyDescent="0.35">
      <c r="D16" s="426" t="s">
        <v>420</v>
      </c>
      <c r="E16" s="427">
        <f>E12+E13/2</f>
        <v>1090</v>
      </c>
      <c r="F16" s="427">
        <f t="shared" ref="F16:AB16" si="3">F12+F13/2</f>
        <v>1096.6666666666667</v>
      </c>
      <c r="G16" s="427">
        <f t="shared" si="3"/>
        <v>1095</v>
      </c>
      <c r="H16" s="427">
        <f t="shared" si="3"/>
        <v>1095</v>
      </c>
      <c r="I16" s="427">
        <f t="shared" si="3"/>
        <v>1121</v>
      </c>
      <c r="J16" s="427">
        <f t="shared" si="3"/>
        <v>1125</v>
      </c>
      <c r="K16" s="427">
        <f t="shared" si="3"/>
        <v>1123.75</v>
      </c>
      <c r="L16" s="427">
        <f t="shared" si="3"/>
        <v>1115</v>
      </c>
      <c r="M16" s="427">
        <f t="shared" si="3"/>
        <v>1095</v>
      </c>
      <c r="N16" s="427">
        <f t="shared" si="3"/>
        <v>1093.75</v>
      </c>
      <c r="O16" s="427">
        <f t="shared" si="3"/>
        <v>1088.5</v>
      </c>
      <c r="P16" s="427">
        <f t="shared" si="3"/>
        <v>1052.5</v>
      </c>
      <c r="Q16" s="427">
        <f t="shared" si="3"/>
        <v>1029</v>
      </c>
      <c r="R16" s="427">
        <f t="shared" si="3"/>
        <v>1035</v>
      </c>
      <c r="S16" s="427">
        <f t="shared" si="3"/>
        <v>1026.5</v>
      </c>
      <c r="T16" s="427">
        <f t="shared" si="3"/>
        <v>1007.5</v>
      </c>
      <c r="U16" s="427">
        <f t="shared" si="3"/>
        <v>1016</v>
      </c>
      <c r="V16" s="427">
        <f t="shared" si="3"/>
        <v>1028.75</v>
      </c>
      <c r="W16" s="427">
        <f t="shared" si="3"/>
        <v>1026</v>
      </c>
      <c r="X16" s="427">
        <f t="shared" si="3"/>
        <v>1007.5</v>
      </c>
      <c r="Y16" s="427">
        <f t="shared" si="3"/>
        <v>1001.5</v>
      </c>
      <c r="Z16" s="427">
        <f t="shared" si="3"/>
        <v>991</v>
      </c>
      <c r="AA16" s="427">
        <f t="shared" si="3"/>
        <v>985</v>
      </c>
      <c r="AB16" s="427">
        <f t="shared" si="3"/>
        <v>985</v>
      </c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37"/>
    </row>
    <row r="17" spans="1:41" s="434" customFormat="1" x14ac:dyDescent="0.35">
      <c r="D17" s="434" t="s">
        <v>417</v>
      </c>
      <c r="E17" s="435">
        <f>E11</f>
        <v>1250</v>
      </c>
      <c r="F17" s="435">
        <f t="shared" ref="F17:AB18" si="4">F11</f>
        <v>1250</v>
      </c>
      <c r="G17" s="435">
        <f t="shared" si="4"/>
        <v>1250</v>
      </c>
      <c r="H17" s="435">
        <f t="shared" si="4"/>
        <v>1250</v>
      </c>
      <c r="I17" s="435">
        <f t="shared" si="4"/>
        <v>1300</v>
      </c>
      <c r="J17" s="435">
        <f t="shared" si="4"/>
        <v>1300</v>
      </c>
      <c r="K17" s="435">
        <f t="shared" si="4"/>
        <v>1300</v>
      </c>
      <c r="L17" s="435">
        <f t="shared" si="4"/>
        <v>1300</v>
      </c>
      <c r="M17" s="435">
        <f t="shared" si="4"/>
        <v>1310</v>
      </c>
      <c r="N17" s="435">
        <f t="shared" si="4"/>
        <v>1325</v>
      </c>
      <c r="O17" s="435">
        <f t="shared" si="4"/>
        <v>1325</v>
      </c>
      <c r="P17" s="435">
        <f t="shared" si="4"/>
        <v>1275</v>
      </c>
      <c r="Q17" s="435">
        <f t="shared" si="4"/>
        <v>1230</v>
      </c>
      <c r="R17" s="435">
        <f t="shared" si="4"/>
        <v>1230</v>
      </c>
      <c r="S17" s="435">
        <f t="shared" si="4"/>
        <v>1230</v>
      </c>
      <c r="T17" s="435">
        <f t="shared" si="4"/>
        <v>1250</v>
      </c>
      <c r="U17" s="435">
        <f t="shared" si="4"/>
        <v>1250</v>
      </c>
      <c r="V17" s="435">
        <f t="shared" si="4"/>
        <v>1250</v>
      </c>
      <c r="W17" s="435">
        <f t="shared" si="4"/>
        <v>1250</v>
      </c>
      <c r="X17" s="435">
        <f t="shared" si="4"/>
        <v>1220</v>
      </c>
      <c r="Y17" s="435">
        <f t="shared" si="4"/>
        <v>1220</v>
      </c>
      <c r="Z17" s="435">
        <f t="shared" si="4"/>
        <v>1210</v>
      </c>
      <c r="AA17" s="435">
        <f t="shared" si="4"/>
        <v>1200</v>
      </c>
      <c r="AB17" s="435">
        <f t="shared" si="4"/>
        <v>1200</v>
      </c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6"/>
    </row>
    <row r="18" spans="1:41" s="434" customFormat="1" x14ac:dyDescent="0.35">
      <c r="D18" s="434" t="s">
        <v>418</v>
      </c>
      <c r="E18" s="435">
        <f>E12</f>
        <v>930</v>
      </c>
      <c r="F18" s="435">
        <f t="shared" si="4"/>
        <v>943.33333333333337</v>
      </c>
      <c r="G18" s="435">
        <f t="shared" si="4"/>
        <v>940</v>
      </c>
      <c r="H18" s="435">
        <f t="shared" si="4"/>
        <v>940</v>
      </c>
      <c r="I18" s="435">
        <f t="shared" si="4"/>
        <v>942</v>
      </c>
      <c r="J18" s="435">
        <f t="shared" si="4"/>
        <v>950</v>
      </c>
      <c r="K18" s="435">
        <f t="shared" si="4"/>
        <v>947.5</v>
      </c>
      <c r="L18" s="435">
        <f t="shared" si="4"/>
        <v>930</v>
      </c>
      <c r="M18" s="435">
        <f t="shared" si="4"/>
        <v>880</v>
      </c>
      <c r="N18" s="435">
        <f t="shared" si="4"/>
        <v>862.5</v>
      </c>
      <c r="O18" s="435">
        <f t="shared" si="4"/>
        <v>852</v>
      </c>
      <c r="P18" s="435">
        <f t="shared" si="4"/>
        <v>830</v>
      </c>
      <c r="Q18" s="435">
        <f t="shared" si="4"/>
        <v>828</v>
      </c>
      <c r="R18" s="435">
        <f t="shared" si="4"/>
        <v>840</v>
      </c>
      <c r="S18" s="435">
        <f t="shared" si="4"/>
        <v>823</v>
      </c>
      <c r="T18" s="435">
        <f t="shared" si="4"/>
        <v>765</v>
      </c>
      <c r="U18" s="435">
        <f t="shared" si="4"/>
        <v>782</v>
      </c>
      <c r="V18" s="435">
        <f t="shared" si="4"/>
        <v>807.5</v>
      </c>
      <c r="W18" s="435">
        <f t="shared" si="4"/>
        <v>802</v>
      </c>
      <c r="X18" s="435">
        <f t="shared" si="4"/>
        <v>795</v>
      </c>
      <c r="Y18" s="435">
        <f t="shared" si="4"/>
        <v>783</v>
      </c>
      <c r="Z18" s="435">
        <f t="shared" si="4"/>
        <v>772</v>
      </c>
      <c r="AA18" s="435">
        <f t="shared" si="4"/>
        <v>770</v>
      </c>
      <c r="AB18" s="435">
        <f t="shared" si="4"/>
        <v>770</v>
      </c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6"/>
    </row>
    <row r="19" spans="1:41" x14ac:dyDescent="0.35">
      <c r="C19" s="424"/>
      <c r="D19" s="424" t="s">
        <v>410</v>
      </c>
      <c r="E19" s="438">
        <f>IFERROR(E8,0)</f>
        <v>1180</v>
      </c>
      <c r="F19" s="438">
        <f t="shared" ref="F19:Z19" si="5">IFERROR(F8,0)</f>
        <v>1180</v>
      </c>
      <c r="G19" s="438">
        <f t="shared" si="5"/>
        <v>1180</v>
      </c>
      <c r="H19" s="438">
        <f t="shared" si="5"/>
        <v>1180</v>
      </c>
      <c r="I19" s="438">
        <f t="shared" si="5"/>
        <v>1180</v>
      </c>
      <c r="J19" s="438">
        <f t="shared" si="5"/>
        <v>1180.8999999999999</v>
      </c>
      <c r="K19" s="438">
        <f t="shared" si="5"/>
        <v>1194.3999999999999</v>
      </c>
      <c r="L19" s="438">
        <f t="shared" si="5"/>
        <v>1206.0999999999999</v>
      </c>
      <c r="M19" s="438">
        <f t="shared" si="5"/>
        <v>1222.6000000000001</v>
      </c>
      <c r="N19" s="438">
        <f t="shared" si="5"/>
        <v>1241.3499999999999</v>
      </c>
      <c r="O19" s="438">
        <f t="shared" si="5"/>
        <v>1261.75</v>
      </c>
      <c r="P19" s="438">
        <f t="shared" si="5"/>
        <v>1270.75</v>
      </c>
      <c r="Q19" s="438">
        <f t="shared" si="5"/>
        <v>1268.875</v>
      </c>
      <c r="R19" s="438">
        <f t="shared" si="5"/>
        <v>1244.3749999999991</v>
      </c>
      <c r="S19" s="438">
        <f t="shared" si="5"/>
        <v>1218.8749999999991</v>
      </c>
      <c r="T19" s="438">
        <f t="shared" si="5"/>
        <v>1197.8800000000001</v>
      </c>
      <c r="U19" s="438">
        <f t="shared" si="5"/>
        <v>1199</v>
      </c>
      <c r="V19" s="438">
        <f t="shared" si="5"/>
        <v>1202</v>
      </c>
      <c r="W19" s="438">
        <f t="shared" si="5"/>
        <v>1202</v>
      </c>
      <c r="X19" s="438">
        <f t="shared" si="5"/>
        <v>1193.2</v>
      </c>
      <c r="Y19" s="438">
        <f t="shared" si="5"/>
        <v>1180</v>
      </c>
      <c r="Z19" s="438">
        <f t="shared" si="5"/>
        <v>1180</v>
      </c>
      <c r="AA19" s="438">
        <f t="shared" ref="AA19:AB19" si="6">IFERROR(AA8,0)</f>
        <v>1180</v>
      </c>
      <c r="AB19" s="438">
        <f t="shared" si="6"/>
        <v>1180</v>
      </c>
      <c r="AC19" s="438"/>
      <c r="AD19" s="438"/>
      <c r="AE19" s="438"/>
      <c r="AF19" s="438"/>
      <c r="AG19" s="438"/>
      <c r="AH19" s="438"/>
      <c r="AI19" s="438"/>
      <c r="AJ19" s="438"/>
      <c r="AK19" s="438"/>
      <c r="AL19" s="438"/>
      <c r="AM19" s="438"/>
      <c r="AN19" s="438"/>
      <c r="AO19" s="433" t="s">
        <v>3</v>
      </c>
    </row>
    <row r="20" spans="1:41" x14ac:dyDescent="0.35">
      <c r="C20" s="424"/>
      <c r="D20" s="424" t="s">
        <v>411</v>
      </c>
      <c r="E20" s="438">
        <f t="shared" ref="E20:Z21" si="7">IFERROR(E9,0)</f>
        <v>1307.795918367347</v>
      </c>
      <c r="F20" s="438">
        <f t="shared" si="7"/>
        <v>1307.795918367347</v>
      </c>
      <c r="G20" s="438">
        <f t="shared" si="7"/>
        <v>1307.795918367347</v>
      </c>
      <c r="H20" s="438">
        <f t="shared" si="7"/>
        <v>1307.795918367347</v>
      </c>
      <c r="I20" s="438">
        <f t="shared" si="7"/>
        <v>1307.795918367347</v>
      </c>
      <c r="J20" s="438">
        <f t="shared" si="7"/>
        <v>1307.795918367347</v>
      </c>
      <c r="K20" s="438">
        <f t="shared" si="7"/>
        <v>1308.04</v>
      </c>
      <c r="L20" s="438">
        <f t="shared" si="7"/>
        <v>1308.04</v>
      </c>
      <c r="M20" s="438">
        <f t="shared" si="7"/>
        <v>1308.04</v>
      </c>
      <c r="N20" s="438">
        <f t="shared" si="7"/>
        <v>1288.04</v>
      </c>
      <c r="O20" s="438">
        <f t="shared" si="7"/>
        <v>1288.04</v>
      </c>
      <c r="P20" s="438">
        <f t="shared" si="7"/>
        <v>1288.04</v>
      </c>
      <c r="Q20" s="438">
        <f t="shared" si="7"/>
        <v>1288.04</v>
      </c>
      <c r="R20" s="438">
        <f t="shared" si="7"/>
        <v>1288.04</v>
      </c>
      <c r="S20" s="438">
        <f t="shared" si="7"/>
        <v>1288.04</v>
      </c>
      <c r="T20" s="438">
        <f t="shared" si="7"/>
        <v>1238.04</v>
      </c>
      <c r="U20" s="438">
        <f t="shared" si="7"/>
        <v>1238.04</v>
      </c>
      <c r="V20" s="438">
        <f t="shared" si="7"/>
        <v>1238.04</v>
      </c>
      <c r="W20" s="438">
        <f t="shared" si="7"/>
        <v>1268.04</v>
      </c>
      <c r="X20" s="438">
        <f t="shared" si="7"/>
        <v>1268.04</v>
      </c>
      <c r="Y20" s="438">
        <f t="shared" si="7"/>
        <v>1268.04</v>
      </c>
      <c r="Z20" s="438">
        <f t="shared" si="7"/>
        <v>1268.04</v>
      </c>
      <c r="AA20" s="438">
        <f t="shared" ref="AA20:AB20" si="8">IFERROR(AA9,0)</f>
        <v>1268.04</v>
      </c>
      <c r="AB20" s="438">
        <f t="shared" si="8"/>
        <v>1268.04</v>
      </c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38"/>
      <c r="AO20" s="433" t="s">
        <v>421</v>
      </c>
    </row>
    <row r="21" spans="1:41" x14ac:dyDescent="0.35">
      <c r="C21" s="424"/>
      <c r="D21" s="424" t="s">
        <v>443</v>
      </c>
      <c r="E21" s="438">
        <f t="shared" si="7"/>
        <v>1250</v>
      </c>
      <c r="F21" s="438">
        <f t="shared" si="7"/>
        <v>1250</v>
      </c>
      <c r="G21" s="438">
        <f t="shared" si="7"/>
        <v>1250</v>
      </c>
      <c r="H21" s="438">
        <f t="shared" si="7"/>
        <v>1250</v>
      </c>
      <c r="I21" s="438">
        <f t="shared" si="7"/>
        <v>1250</v>
      </c>
      <c r="J21" s="438">
        <f t="shared" si="7"/>
        <v>1250</v>
      </c>
      <c r="K21" s="438">
        <f t="shared" si="7"/>
        <v>1330</v>
      </c>
      <c r="L21" s="438">
        <f t="shared" si="7"/>
        <v>1330</v>
      </c>
      <c r="M21" s="438">
        <f t="shared" si="7"/>
        <v>1330</v>
      </c>
      <c r="N21" s="438">
        <f t="shared" si="7"/>
        <v>1330</v>
      </c>
      <c r="O21" s="438">
        <f t="shared" si="7"/>
        <v>1330</v>
      </c>
      <c r="P21" s="438">
        <f t="shared" si="7"/>
        <v>1330</v>
      </c>
      <c r="Q21" s="438">
        <f t="shared" si="7"/>
        <v>1250</v>
      </c>
      <c r="R21" s="438">
        <f t="shared" si="7"/>
        <v>1250</v>
      </c>
      <c r="S21" s="438">
        <f t="shared" si="7"/>
        <v>1250</v>
      </c>
      <c r="T21" s="438">
        <f t="shared" si="7"/>
        <v>1250</v>
      </c>
      <c r="U21" s="438">
        <f t="shared" si="7"/>
        <v>1250</v>
      </c>
      <c r="V21" s="438">
        <f t="shared" si="7"/>
        <v>1250</v>
      </c>
      <c r="W21" s="438">
        <f t="shared" si="7"/>
        <v>0</v>
      </c>
      <c r="X21" s="438">
        <f t="shared" si="7"/>
        <v>1303.8316268486917</v>
      </c>
      <c r="Y21" s="438">
        <f t="shared" si="7"/>
        <v>1303.8316268486917</v>
      </c>
      <c r="Z21" s="438">
        <f t="shared" si="7"/>
        <v>1303.8316268486917</v>
      </c>
      <c r="AA21" s="438">
        <f t="shared" ref="AA21:AB21" si="9">IFERROR(AA10,0)</f>
        <v>1303.8316268486917</v>
      </c>
      <c r="AB21" s="438">
        <f t="shared" si="9"/>
        <v>1303.8316268486917</v>
      </c>
      <c r="AC21" s="438"/>
      <c r="AD21" s="438"/>
      <c r="AE21" s="438"/>
      <c r="AF21" s="438"/>
      <c r="AG21" s="438"/>
      <c r="AH21" s="438"/>
      <c r="AI21" s="438"/>
      <c r="AJ21" s="438"/>
      <c r="AK21" s="438"/>
      <c r="AL21" s="438"/>
      <c r="AM21" s="438"/>
      <c r="AN21" s="438"/>
      <c r="AO21" s="433" t="s">
        <v>444</v>
      </c>
    </row>
    <row r="22" spans="1:41" x14ac:dyDescent="0.35">
      <c r="C22" s="424"/>
      <c r="D22" s="424" t="s">
        <v>412</v>
      </c>
      <c r="E22" s="438">
        <f t="shared" ref="E22:Z22" si="10">IFERROR(E11,0)</f>
        <v>1250</v>
      </c>
      <c r="F22" s="438">
        <f t="shared" si="10"/>
        <v>1250</v>
      </c>
      <c r="G22" s="438">
        <f t="shared" si="10"/>
        <v>1250</v>
      </c>
      <c r="H22" s="438">
        <f t="shared" si="10"/>
        <v>1250</v>
      </c>
      <c r="I22" s="438">
        <f t="shared" si="10"/>
        <v>1300</v>
      </c>
      <c r="J22" s="438">
        <f t="shared" si="10"/>
        <v>1300</v>
      </c>
      <c r="K22" s="438">
        <f t="shared" si="10"/>
        <v>1300</v>
      </c>
      <c r="L22" s="438">
        <f t="shared" si="10"/>
        <v>1300</v>
      </c>
      <c r="M22" s="438">
        <f t="shared" si="10"/>
        <v>1310</v>
      </c>
      <c r="N22" s="438">
        <f t="shared" si="10"/>
        <v>1325</v>
      </c>
      <c r="O22" s="438">
        <f t="shared" si="10"/>
        <v>1325</v>
      </c>
      <c r="P22" s="438">
        <f t="shared" si="10"/>
        <v>1275</v>
      </c>
      <c r="Q22" s="438">
        <f t="shared" si="10"/>
        <v>1230</v>
      </c>
      <c r="R22" s="438">
        <f t="shared" si="10"/>
        <v>1230</v>
      </c>
      <c r="S22" s="438">
        <f t="shared" si="10"/>
        <v>1230</v>
      </c>
      <c r="T22" s="438">
        <f t="shared" si="10"/>
        <v>1250</v>
      </c>
      <c r="U22" s="438">
        <f t="shared" si="10"/>
        <v>1250</v>
      </c>
      <c r="V22" s="438">
        <f t="shared" si="10"/>
        <v>1250</v>
      </c>
      <c r="W22" s="438">
        <f t="shared" si="10"/>
        <v>1250</v>
      </c>
      <c r="X22" s="438">
        <f t="shared" si="10"/>
        <v>1220</v>
      </c>
      <c r="Y22" s="438">
        <f t="shared" si="10"/>
        <v>1220</v>
      </c>
      <c r="Z22" s="438">
        <f t="shared" si="10"/>
        <v>1210</v>
      </c>
      <c r="AA22" s="438">
        <f t="shared" ref="AA22:AB22" si="11">IFERROR(AA11,0)</f>
        <v>1200</v>
      </c>
      <c r="AB22" s="438">
        <f t="shared" si="11"/>
        <v>1200</v>
      </c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38"/>
      <c r="AO22" s="433" t="s">
        <v>17</v>
      </c>
    </row>
    <row r="23" spans="1:41" x14ac:dyDescent="0.35">
      <c r="C23" s="424"/>
      <c r="D23" s="424" t="s">
        <v>413</v>
      </c>
      <c r="E23" s="438">
        <f t="shared" ref="E23:Z23" si="12">IFERROR(E12,0)</f>
        <v>930</v>
      </c>
      <c r="F23" s="438">
        <f t="shared" si="12"/>
        <v>943.33333333333337</v>
      </c>
      <c r="G23" s="438">
        <f t="shared" si="12"/>
        <v>940</v>
      </c>
      <c r="H23" s="438">
        <f t="shared" si="12"/>
        <v>940</v>
      </c>
      <c r="I23" s="438">
        <f t="shared" si="12"/>
        <v>942</v>
      </c>
      <c r="J23" s="438">
        <f t="shared" si="12"/>
        <v>950</v>
      </c>
      <c r="K23" s="438">
        <f t="shared" si="12"/>
        <v>947.5</v>
      </c>
      <c r="L23" s="438">
        <f t="shared" si="12"/>
        <v>930</v>
      </c>
      <c r="M23" s="438">
        <f t="shared" si="12"/>
        <v>880</v>
      </c>
      <c r="N23" s="438">
        <f t="shared" si="12"/>
        <v>862.5</v>
      </c>
      <c r="O23" s="438">
        <f t="shared" si="12"/>
        <v>852</v>
      </c>
      <c r="P23" s="438">
        <f t="shared" si="12"/>
        <v>830</v>
      </c>
      <c r="Q23" s="438">
        <f t="shared" si="12"/>
        <v>828</v>
      </c>
      <c r="R23" s="438">
        <f t="shared" si="12"/>
        <v>840</v>
      </c>
      <c r="S23" s="438">
        <f t="shared" si="12"/>
        <v>823</v>
      </c>
      <c r="T23" s="438">
        <f t="shared" si="12"/>
        <v>765</v>
      </c>
      <c r="U23" s="438">
        <f t="shared" si="12"/>
        <v>782</v>
      </c>
      <c r="V23" s="438">
        <f t="shared" si="12"/>
        <v>807.5</v>
      </c>
      <c r="W23" s="438">
        <f t="shared" si="12"/>
        <v>802</v>
      </c>
      <c r="X23" s="438">
        <f t="shared" si="12"/>
        <v>795</v>
      </c>
      <c r="Y23" s="438">
        <f t="shared" si="12"/>
        <v>783</v>
      </c>
      <c r="Z23" s="438">
        <f t="shared" si="12"/>
        <v>772</v>
      </c>
      <c r="AA23" s="438">
        <f t="shared" ref="AA23:AB23" si="13">IFERROR(AA12,0)</f>
        <v>770</v>
      </c>
      <c r="AB23" s="438">
        <f t="shared" si="13"/>
        <v>770</v>
      </c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3" t="s">
        <v>11</v>
      </c>
    </row>
    <row r="25" spans="1:41" ht="17" x14ac:dyDescent="0.4">
      <c r="C25" s="399" t="s">
        <v>31</v>
      </c>
      <c r="D25" s="399" t="s">
        <v>30</v>
      </c>
    </row>
    <row r="26" spans="1:41" x14ac:dyDescent="0.35">
      <c r="C26" s="41"/>
      <c r="D26" s="41"/>
      <c r="E26" s="41">
        <v>2024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>
        <v>2025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35">
      <c r="C27" s="41"/>
      <c r="D27" s="41"/>
      <c r="E27" s="41">
        <v>1</v>
      </c>
      <c r="F27" s="41">
        <v>2</v>
      </c>
      <c r="G27" s="41">
        <v>3</v>
      </c>
      <c r="H27" s="41">
        <v>4</v>
      </c>
      <c r="I27" s="41">
        <v>5</v>
      </c>
      <c r="J27" s="41">
        <v>6</v>
      </c>
      <c r="K27" s="41">
        <v>7</v>
      </c>
      <c r="L27" s="41">
        <v>8</v>
      </c>
      <c r="M27" s="41">
        <v>9</v>
      </c>
      <c r="N27" s="41">
        <v>10</v>
      </c>
      <c r="O27" s="41">
        <v>11</v>
      </c>
      <c r="P27" s="41">
        <v>12</v>
      </c>
      <c r="Q27" s="41">
        <v>1</v>
      </c>
      <c r="R27" s="41">
        <v>2</v>
      </c>
      <c r="S27" s="41">
        <v>3</v>
      </c>
      <c r="T27" s="41">
        <v>4</v>
      </c>
      <c r="U27" s="41">
        <v>5</v>
      </c>
      <c r="V27" s="41">
        <v>6</v>
      </c>
      <c r="W27" s="41">
        <v>7</v>
      </c>
      <c r="X27" s="41">
        <v>8</v>
      </c>
      <c r="Y27" s="41">
        <v>9</v>
      </c>
      <c r="Z27" s="41">
        <v>10</v>
      </c>
      <c r="AA27" s="41">
        <v>11</v>
      </c>
      <c r="AB27" s="41">
        <v>12</v>
      </c>
      <c r="AC27" s="41">
        <v>1</v>
      </c>
      <c r="AD27" s="41">
        <v>2</v>
      </c>
      <c r="AE27" s="41">
        <v>3</v>
      </c>
      <c r="AF27" s="41">
        <v>4</v>
      </c>
      <c r="AG27" s="41">
        <v>5</v>
      </c>
      <c r="AH27" s="41">
        <v>6</v>
      </c>
      <c r="AI27" s="41">
        <v>7</v>
      </c>
      <c r="AJ27" s="41">
        <v>8</v>
      </c>
      <c r="AK27" s="41">
        <v>9</v>
      </c>
      <c r="AL27" s="41">
        <v>10</v>
      </c>
      <c r="AM27" s="41">
        <v>11</v>
      </c>
      <c r="AN27" s="41">
        <v>12</v>
      </c>
      <c r="AO27" s="41" t="s">
        <v>409</v>
      </c>
    </row>
    <row r="28" spans="1:41" x14ac:dyDescent="0.35">
      <c r="B28" s="14" t="s">
        <v>362</v>
      </c>
      <c r="C28" t="s">
        <v>31</v>
      </c>
      <c r="D28" t="s">
        <v>360</v>
      </c>
      <c r="E28" s="400" t="e" cm="1">
        <f t="array" ref="E28">IF(SUMPRODUCT('Giá công thức'!$G$11:$AD$106*('Giá công thức'!$A$11:$A$106=$B28)*('Giá công thức'!$B$11:$B$106=$C28)*('Giá công thức'!$C$11:$C$106="GB")*('Giá công thức'!$G$3:$AD$3=E$1)*('Giá công thức'!$G$4:$AD$4=E$2))=0,NA(),SUMPRODUCT('Giá công thức'!$G$11:$AD$106*('Giá công thức'!$A$11:$A$106=$B28)*('Giá công thức'!$B$11:$B$106=$C28)*('Giá công thức'!$C$11:$C$106="GB")*('Giá công thức'!$G$3:$AD$3=E$1)*('Giá công thức'!$G$4:$AD$4=E$2)))</f>
        <v>#N/A</v>
      </c>
      <c r="F28" s="400" t="e" cm="1">
        <f t="array" ref="F28">IF(SUMPRODUCT('Giá công thức'!$G$11:$AD$106*('Giá công thức'!$A$11:$A$106=$B28)*('Giá công thức'!$B$11:$B$106=$C28)*('Giá công thức'!$C$11:$C$106="GB")*('Giá công thức'!$G$3:$AD$3=F$1)*('Giá công thức'!$G$4:$AD$4=F$2))=0,NA(),SUMPRODUCT('Giá công thức'!$G$11:$AD$106*('Giá công thức'!$A$11:$A$106=$B28)*('Giá công thức'!$B$11:$B$106=$C28)*('Giá công thức'!$C$11:$C$106="GB")*('Giá công thức'!$G$3:$AD$3=F$1)*('Giá công thức'!$G$4:$AD$4=F$2)))</f>
        <v>#N/A</v>
      </c>
      <c r="G28" s="400" t="e" cm="1">
        <f t="array" ref="G28">IF(SUMPRODUCT('Giá công thức'!$G$11:$AD$106*('Giá công thức'!$A$11:$A$106=$B28)*('Giá công thức'!$B$11:$B$106=$C28)*('Giá công thức'!$C$11:$C$106="GB")*('Giá công thức'!$G$3:$AD$3=G$1)*('Giá công thức'!$G$4:$AD$4=G$2))=0,NA(),SUMPRODUCT('Giá công thức'!$G$11:$AD$106*('Giá công thức'!$A$11:$A$106=$B28)*('Giá công thức'!$B$11:$B$106=$C28)*('Giá công thức'!$C$11:$C$106="GB")*('Giá công thức'!$G$3:$AD$3=G$1)*('Giá công thức'!$G$4:$AD$4=G$2)))</f>
        <v>#N/A</v>
      </c>
      <c r="H28" s="400" t="e" cm="1">
        <f t="array" ref="H28">IF(SUMPRODUCT('Giá công thức'!$G$11:$AD$106*('Giá công thức'!$A$11:$A$106=$B28)*('Giá công thức'!$B$11:$B$106=$C28)*('Giá công thức'!$C$11:$C$106="GB")*('Giá công thức'!$G$3:$AD$3=H$1)*('Giá công thức'!$G$4:$AD$4=H$2))=0,NA(),SUMPRODUCT('Giá công thức'!$G$11:$AD$106*('Giá công thức'!$A$11:$A$106=$B28)*('Giá công thức'!$B$11:$B$106=$C28)*('Giá công thức'!$C$11:$C$106="GB")*('Giá công thức'!$G$3:$AD$3=H$1)*('Giá công thức'!$G$4:$AD$4=H$2)))</f>
        <v>#N/A</v>
      </c>
      <c r="I28" s="400" t="e" cm="1">
        <f t="array" ref="I28">IF(SUMPRODUCT('Giá công thức'!$G$11:$AD$106*('Giá công thức'!$A$11:$A$106=$B28)*('Giá công thức'!$B$11:$B$106=$C28)*('Giá công thức'!$C$11:$C$106="GB")*('Giá công thức'!$G$3:$AD$3=I$1)*('Giá công thức'!$G$4:$AD$4=I$2))=0,NA(),SUMPRODUCT('Giá công thức'!$G$11:$AD$106*('Giá công thức'!$A$11:$A$106=$B28)*('Giá công thức'!$B$11:$B$106=$C28)*('Giá công thức'!$C$11:$C$106="GB")*('Giá công thức'!$G$3:$AD$3=I$1)*('Giá công thức'!$G$4:$AD$4=I$2)))</f>
        <v>#N/A</v>
      </c>
      <c r="J28" s="400" t="e" cm="1">
        <f t="array" ref="J28">IF(SUMPRODUCT('Giá công thức'!$G$11:$AD$106*('Giá công thức'!$A$11:$A$106=$B28)*('Giá công thức'!$B$11:$B$106=$C28)*('Giá công thức'!$C$11:$C$106="GB")*('Giá công thức'!$G$3:$AD$3=J$1)*('Giá công thức'!$G$4:$AD$4=J$2))=0,NA(),SUMPRODUCT('Giá công thức'!$G$11:$AD$106*('Giá công thức'!$A$11:$A$106=$B28)*('Giá công thức'!$B$11:$B$106=$C28)*('Giá công thức'!$C$11:$C$106="GB")*('Giá công thức'!$G$3:$AD$3=J$1)*('Giá công thức'!$G$4:$AD$4=J$2)))</f>
        <v>#N/A</v>
      </c>
      <c r="K28" s="400" t="e" cm="1">
        <f t="array" ref="K28">IF(SUMPRODUCT('Giá công thức'!$G$11:$AD$106*('Giá công thức'!$A$11:$A$106=$B28)*('Giá công thức'!$B$11:$B$106=$C28)*('Giá công thức'!$C$11:$C$106="GB")*('Giá công thức'!$G$3:$AD$3=K$1)*('Giá công thức'!$G$4:$AD$4=K$2))=0,NA(),SUMPRODUCT('Giá công thức'!$G$11:$AD$106*('Giá công thức'!$A$11:$A$106=$B28)*('Giá công thức'!$B$11:$B$106=$C28)*('Giá công thức'!$C$11:$C$106="GB")*('Giá công thức'!$G$3:$AD$3=K$1)*('Giá công thức'!$G$4:$AD$4=K$2)))</f>
        <v>#N/A</v>
      </c>
      <c r="L28" s="400" t="e" cm="1">
        <f t="array" ref="L28">IF(SUMPRODUCT('Giá công thức'!$G$11:$AD$106*('Giá công thức'!$A$11:$A$106=$B28)*('Giá công thức'!$B$11:$B$106=$C28)*('Giá công thức'!$C$11:$C$106="GB")*('Giá công thức'!$G$3:$AD$3=L$1)*('Giá công thức'!$G$4:$AD$4=L$2))=0,NA(),SUMPRODUCT('Giá công thức'!$G$11:$AD$106*('Giá công thức'!$A$11:$A$106=$B28)*('Giá công thức'!$B$11:$B$106=$C28)*('Giá công thức'!$C$11:$C$106="GB")*('Giá công thức'!$G$3:$AD$3=L$1)*('Giá công thức'!$G$4:$AD$4=L$2)))</f>
        <v>#N/A</v>
      </c>
      <c r="M28" s="400" t="e" cm="1">
        <f t="array" ref="M28">IF(SUMPRODUCT('Giá công thức'!$G$11:$AD$106*('Giá công thức'!$A$11:$A$106=$B28)*('Giá công thức'!$B$11:$B$106=$C28)*('Giá công thức'!$C$11:$C$106="GB")*('Giá công thức'!$G$3:$AD$3=M$1)*('Giá công thức'!$G$4:$AD$4=M$2))=0,NA(),SUMPRODUCT('Giá công thức'!$G$11:$AD$106*('Giá công thức'!$A$11:$A$106=$B28)*('Giá công thức'!$B$11:$B$106=$C28)*('Giá công thức'!$C$11:$C$106="GB")*('Giá công thức'!$G$3:$AD$3=M$1)*('Giá công thức'!$G$4:$AD$4=M$2)))</f>
        <v>#N/A</v>
      </c>
      <c r="N28" s="400" t="e" cm="1">
        <f t="array" ref="N28">IF(SUMPRODUCT('Giá công thức'!$G$11:$AD$106*('Giá công thức'!$A$11:$A$106=$B28)*('Giá công thức'!$B$11:$B$106=$C28)*('Giá công thức'!$C$11:$C$106="GB")*('Giá công thức'!$G$3:$AD$3=N$1)*('Giá công thức'!$G$4:$AD$4=N$2))=0,NA(),SUMPRODUCT('Giá công thức'!$G$11:$AD$106*('Giá công thức'!$A$11:$A$106=$B28)*('Giá công thức'!$B$11:$B$106=$C28)*('Giá công thức'!$C$11:$C$106="GB")*('Giá công thức'!$G$3:$AD$3=N$1)*('Giá công thức'!$G$4:$AD$4=N$2)))</f>
        <v>#N/A</v>
      </c>
      <c r="O28" s="400" t="e" cm="1">
        <f t="array" ref="O28">IF(SUMPRODUCT('Giá công thức'!$G$11:$AD$106*('Giá công thức'!$A$11:$A$106=$B28)*('Giá công thức'!$B$11:$B$106=$C28)*('Giá công thức'!$C$11:$C$106="GB")*('Giá công thức'!$G$3:$AD$3=O$1)*('Giá công thức'!$G$4:$AD$4=O$2))=0,NA(),SUMPRODUCT('Giá công thức'!$G$11:$AD$106*('Giá công thức'!$A$11:$A$106=$B28)*('Giá công thức'!$B$11:$B$106=$C28)*('Giá công thức'!$C$11:$C$106="GB")*('Giá công thức'!$G$3:$AD$3=O$1)*('Giá công thức'!$G$4:$AD$4=O$2)))</f>
        <v>#N/A</v>
      </c>
      <c r="P28" s="400" t="e" cm="1">
        <f t="array" ref="P28">IF(SUMPRODUCT('Giá công thức'!$G$11:$AD$106*('Giá công thức'!$A$11:$A$106=$B28)*('Giá công thức'!$B$11:$B$106=$C28)*('Giá công thức'!$C$11:$C$106="GB")*('Giá công thức'!$G$3:$AD$3=P$1)*('Giá công thức'!$G$4:$AD$4=P$2))=0,NA(),SUMPRODUCT('Giá công thức'!$G$11:$AD$106*('Giá công thức'!$A$11:$A$106=$B28)*('Giá công thức'!$B$11:$B$106=$C28)*('Giá công thức'!$C$11:$C$106="GB")*('Giá công thức'!$G$3:$AD$3=P$1)*('Giá công thức'!$G$4:$AD$4=P$2)))</f>
        <v>#N/A</v>
      </c>
      <c r="Q28" s="400" cm="1">
        <f t="array" ref="Q28">IF(SUMPRODUCT('Giá công thức'!$G$11:$AD$106*('Giá công thức'!$A$11:$A$106=$B28)*('Giá công thức'!$B$11:$B$106=$C28)*('Giá công thức'!$C$11:$C$106="GB")*('Giá công thức'!$G$3:$AD$3=Q$1)*('Giá công thức'!$G$4:$AD$4=Q$2))=0,NA(),SUMPRODUCT('Giá công thức'!$G$11:$AD$106*('Giá công thức'!$A$11:$A$106=$B28)*('Giá công thức'!$B$11:$B$106=$C28)*('Giá công thức'!$C$11:$C$106="GB")*('Giá công thức'!$G$3:$AD$3=Q$1)*('Giá công thức'!$G$4:$AD$4=Q$2)))</f>
        <v>1230</v>
      </c>
      <c r="R28" s="400" cm="1">
        <f t="array" ref="R28">IF(SUMPRODUCT('Giá công thức'!$G$11:$AD$106*('Giá công thức'!$A$11:$A$106=$B28)*('Giá công thức'!$B$11:$B$106=$C28)*('Giá công thức'!$C$11:$C$106="GB")*('Giá công thức'!$G$3:$AD$3=R$1)*('Giá công thức'!$G$4:$AD$4=R$2))=0,NA(),SUMPRODUCT('Giá công thức'!$G$11:$AD$106*('Giá công thức'!$A$11:$A$106=$B28)*('Giá công thức'!$B$11:$B$106=$C28)*('Giá công thức'!$C$11:$C$106="GB")*('Giá công thức'!$G$3:$AD$3=R$1)*('Giá công thức'!$G$4:$AD$4=R$2)))</f>
        <v>1230</v>
      </c>
      <c r="S28" s="400" cm="1">
        <f t="array" ref="S28">IF(SUMPRODUCT('Giá công thức'!$G$11:$AD$106*('Giá công thức'!$A$11:$A$106=$B28)*('Giá công thức'!$B$11:$B$106=$C28)*('Giá công thức'!$C$11:$C$106="GB")*('Giá công thức'!$G$3:$AD$3=S$1)*('Giá công thức'!$G$4:$AD$4=S$2))=0,NA(),SUMPRODUCT('Giá công thức'!$G$11:$AD$106*('Giá công thức'!$A$11:$A$106=$B28)*('Giá công thức'!$B$11:$B$106=$C28)*('Giá công thức'!$C$11:$C$106="GB")*('Giá công thức'!$G$3:$AD$3=S$1)*('Giá công thức'!$G$4:$AD$4=S$2)))</f>
        <v>1230</v>
      </c>
      <c r="T28" s="400" cm="1">
        <f t="array" ref="T28">IF(SUMPRODUCT('Giá công thức'!$G$11:$AD$106*('Giá công thức'!$A$11:$A$106=$B28)*('Giá công thức'!$B$11:$B$106=$C28)*('Giá công thức'!$C$11:$C$106="GB")*('Giá công thức'!$G$3:$AD$3=T$1)*('Giá công thức'!$G$4:$AD$4=T$2))=0,NA(),SUMPRODUCT('Giá công thức'!$G$11:$AD$106*('Giá công thức'!$A$11:$A$106=$B28)*('Giá công thức'!$B$11:$B$106=$C28)*('Giá công thức'!$C$11:$C$106="GB")*('Giá công thức'!$G$3:$AD$3=T$1)*('Giá công thức'!$G$4:$AD$4=T$2)))</f>
        <v>1228</v>
      </c>
      <c r="U28" s="400" cm="1">
        <f t="array" ref="U28">IF(SUMPRODUCT('Giá công thức'!$G$11:$AD$106*('Giá công thức'!$A$11:$A$106=$B28)*('Giá công thức'!$B$11:$B$106=$C28)*('Giá công thức'!$C$11:$C$106="GB")*('Giá công thức'!$G$3:$AD$3=U$1)*('Giá công thức'!$G$4:$AD$4=U$2))=0,NA(),SUMPRODUCT('Giá công thức'!$G$11:$AD$106*('Giá công thức'!$A$11:$A$106=$B28)*('Giá công thức'!$B$11:$B$106=$C28)*('Giá công thức'!$C$11:$C$106="GB")*('Giá công thức'!$G$3:$AD$3=U$1)*('Giá công thức'!$G$4:$AD$4=U$2)))</f>
        <v>1228</v>
      </c>
      <c r="V28" s="400" cm="1">
        <f t="array" ref="V28">IF(SUMPRODUCT('Giá công thức'!$G$11:$AD$106*('Giá công thức'!$A$11:$A$106=$B28)*('Giá công thức'!$B$11:$B$106=$C28)*('Giá công thức'!$C$11:$C$106="GB")*('Giá công thức'!$G$3:$AD$3=V$1)*('Giá công thức'!$G$4:$AD$4=V$2))=0,NA(),SUMPRODUCT('Giá công thức'!$G$11:$AD$106*('Giá công thức'!$A$11:$A$106=$B28)*('Giá công thức'!$B$11:$B$106=$C28)*('Giá công thức'!$C$11:$C$106="GB")*('Giá công thức'!$G$3:$AD$3=V$1)*('Giá công thức'!$G$4:$AD$4=V$2)))</f>
        <v>1228</v>
      </c>
      <c r="W28" s="400" cm="1">
        <f t="array" ref="W28">IF(SUMPRODUCT('Giá công thức'!$G$11:$AD$106*('Giá công thức'!$A$11:$A$106=$B28)*('Giá công thức'!$B$11:$B$106=$C28)*('Giá công thức'!$C$11:$C$106="GB")*('Giá công thức'!$G$3:$AD$3=W$1)*('Giá công thức'!$G$4:$AD$4=W$2))=0,NA(),SUMPRODUCT('Giá công thức'!$G$11:$AD$106*('Giá công thức'!$A$11:$A$106=$B28)*('Giá công thức'!$B$11:$B$106=$C28)*('Giá công thức'!$C$11:$C$106="GB")*('Giá công thức'!$G$3:$AD$3=W$1)*('Giá công thức'!$G$4:$AD$4=W$2)))</f>
        <v>1228</v>
      </c>
      <c r="X28" s="400" cm="1">
        <f t="array" ref="X28">IF(SUMPRODUCT('Giá công thức'!$G$11:$AD$106*('Giá công thức'!$A$11:$A$106=$B28)*('Giá công thức'!$B$11:$B$106=$C28)*('Giá công thức'!$C$11:$C$106="GB")*('Giá công thức'!$G$3:$AD$3=X$1)*('Giá công thức'!$G$4:$AD$4=X$2))=0,NA(),SUMPRODUCT('Giá công thức'!$G$11:$AD$106*('Giá công thức'!$A$11:$A$106=$B28)*('Giá công thức'!$B$11:$B$106=$C28)*('Giá công thức'!$C$11:$C$106="GB")*('Giá công thức'!$G$3:$AD$3=X$1)*('Giá công thức'!$G$4:$AD$4=X$2)))</f>
        <v>1228</v>
      </c>
      <c r="Y28" s="400" cm="1">
        <f t="array" ref="Y28">IF(SUMPRODUCT('Giá công thức'!$G$11:$AD$106*('Giá công thức'!$A$11:$A$106=$B28)*('Giá công thức'!$B$11:$B$106=$C28)*('Giá công thức'!$C$11:$C$106="GB")*('Giá công thức'!$G$3:$AD$3=Y$1)*('Giá công thức'!$G$4:$AD$4=Y$2))=0,NA(),SUMPRODUCT('Giá công thức'!$G$11:$AD$106*('Giá công thức'!$A$11:$A$106=$B28)*('Giá công thức'!$B$11:$B$106=$C28)*('Giá công thức'!$C$11:$C$106="GB")*('Giá công thức'!$G$3:$AD$3=Y$1)*('Giá công thức'!$G$4:$AD$4=Y$2)))</f>
        <v>1228</v>
      </c>
      <c r="Z28" s="400" cm="1">
        <f t="array" ref="Z28">IF(SUMPRODUCT('Giá công thức'!$G$11:$AD$106*('Giá công thức'!$A$11:$A$106=$B28)*('Giá công thức'!$B$11:$B$106=$C28)*('Giá công thức'!$C$11:$C$106="GB")*('Giá công thức'!$G$3:$AD$3=Z$1)*('Giá công thức'!$G$4:$AD$4=Z$2))=0,NA(),SUMPRODUCT('Giá công thức'!$G$11:$AD$106*('Giá công thức'!$A$11:$A$106=$B28)*('Giá công thức'!$B$11:$B$106=$C28)*('Giá công thức'!$C$11:$C$106="GB")*('Giá công thức'!$G$3:$AD$3=Z$1)*('Giá công thức'!$G$4:$AD$4=Z$2)))</f>
        <v>1228</v>
      </c>
      <c r="AA28" s="400" cm="1">
        <f t="array" ref="AA28">IF(SUMPRODUCT('Giá công thức'!$G$11:$AD$106*('Giá công thức'!$A$11:$A$106=$B28)*('Giá công thức'!$B$11:$B$106=$C28)*('Giá công thức'!$C$11:$C$106="GB")*('Giá công thức'!$G$3:$AD$3=AA$1)*('Giá công thức'!$G$4:$AD$4=AA$2))=0,NA(),SUMPRODUCT('Giá công thức'!$G$11:$AD$106*('Giá công thức'!$A$11:$A$106=$B28)*('Giá công thức'!$B$11:$B$106=$C28)*('Giá công thức'!$C$11:$C$106="GB")*('Giá công thức'!$G$3:$AD$3=AA$1)*('Giá công thức'!$G$4:$AD$4=AA$2)))</f>
        <v>1228</v>
      </c>
      <c r="AB28" s="400" cm="1">
        <f t="array" ref="AB28">IF(SUMPRODUCT('Giá công thức'!$G$11:$AD$106*('Giá công thức'!$A$11:$A$106=$B28)*('Giá công thức'!$B$11:$B$106=$C28)*('Giá công thức'!$C$11:$C$106="GB")*('Giá công thức'!$G$3:$AD$3=AB$1)*('Giá công thức'!$G$4:$AD$4=AB$2))=0,NA(),SUMPRODUCT('Giá công thức'!$G$11:$AD$106*('Giá công thức'!$A$11:$A$106=$B28)*('Giá công thức'!$B$11:$B$106=$C28)*('Giá công thức'!$C$11:$C$106="GB")*('Giá công thức'!$G$3:$AD$3=AB$1)*('Giá công thức'!$G$4:$AD$4=AB$2)))</f>
        <v>1228</v>
      </c>
      <c r="AC28" s="400"/>
      <c r="AD28" s="400"/>
      <c r="AE28" s="400"/>
      <c r="AF28" s="400"/>
      <c r="AG28" s="400"/>
      <c r="AH28" s="400"/>
      <c r="AI28" s="400"/>
      <c r="AJ28" s="400"/>
      <c r="AK28" s="400"/>
      <c r="AL28" s="400"/>
      <c r="AM28" s="400"/>
      <c r="AN28" s="400"/>
      <c r="AO28" s="400">
        <f>INDEX($E28:$AB28,MATCH("X",$E$3:$AB$3,0))</f>
        <v>1228</v>
      </c>
    </row>
    <row r="29" spans="1:41" x14ac:dyDescent="0.35">
      <c r="B29" s="14" t="s">
        <v>40</v>
      </c>
      <c r="C29" t="s">
        <v>31</v>
      </c>
      <c r="D29" t="s">
        <v>26</v>
      </c>
      <c r="E29" s="400" cm="1">
        <f t="array" ref="E29">IF(SUMPRODUCT('Giá công thức'!$G$11:$AD$106*('Giá công thức'!$A$11:$A$106=$B29)*('Giá công thức'!$B$11:$B$106=$C29)*('Giá công thức'!$C$11:$C$106="GB")*('Giá công thức'!$G$3:$AD$3=E$1)*('Giá công thức'!$G$4:$AD$4=E$2))=0,NA(),SUMPRODUCT('Giá công thức'!$G$11:$AD$106*('Giá công thức'!$A$11:$A$106=$B29)*('Giá công thức'!$B$11:$B$106=$C29)*('Giá công thức'!$C$11:$C$106="GB")*('Giá công thức'!$G$3:$AD$3=E$1)*('Giá công thức'!$G$4:$AD$4=E$2)))</f>
        <v>1320</v>
      </c>
      <c r="F29" s="400" cm="1">
        <f t="array" ref="F29">IF(SUMPRODUCT('Giá công thức'!$G$11:$AD$106*('Giá công thức'!$A$11:$A$106=$B29)*('Giá công thức'!$B$11:$B$106=$C29)*('Giá công thức'!$C$11:$C$106="GB")*('Giá công thức'!$G$3:$AD$3=F$1)*('Giá công thức'!$G$4:$AD$4=F$2))=0,NA(),SUMPRODUCT('Giá công thức'!$G$11:$AD$106*('Giá công thức'!$A$11:$A$106=$B29)*('Giá công thức'!$B$11:$B$106=$C29)*('Giá công thức'!$C$11:$C$106="GB")*('Giá công thức'!$G$3:$AD$3=F$1)*('Giá công thức'!$G$4:$AD$4=F$2)))</f>
        <v>1327.5</v>
      </c>
      <c r="G29" s="400" cm="1">
        <f t="array" ref="G29">IF(SUMPRODUCT('Giá công thức'!$G$11:$AD$106*('Giá công thức'!$A$11:$A$106=$B29)*('Giá công thức'!$B$11:$B$106=$C29)*('Giá công thức'!$C$11:$C$106="GB")*('Giá công thức'!$G$3:$AD$3=G$1)*('Giá công thức'!$G$4:$AD$4=G$2))=0,NA(),SUMPRODUCT('Giá công thức'!$G$11:$AD$106*('Giá công thức'!$A$11:$A$106=$B29)*('Giá công thức'!$B$11:$B$106=$C29)*('Giá công thức'!$C$11:$C$106="GB")*('Giá công thức'!$G$3:$AD$3=G$1)*('Giá công thức'!$G$4:$AD$4=G$2)))</f>
        <v>1340</v>
      </c>
      <c r="H29" s="400" cm="1">
        <f t="array" ref="H29">IF(SUMPRODUCT('Giá công thức'!$G$11:$AD$106*('Giá công thức'!$A$11:$A$106=$B29)*('Giá công thức'!$B$11:$B$106=$C29)*('Giá công thức'!$C$11:$C$106="GB")*('Giá công thức'!$G$3:$AD$3=H$1)*('Giá công thức'!$G$4:$AD$4=H$2))=0,NA(),SUMPRODUCT('Giá công thức'!$G$11:$AD$106*('Giá công thức'!$A$11:$A$106=$B29)*('Giá công thức'!$B$11:$B$106=$C29)*('Giá công thức'!$C$11:$C$106="GB")*('Giá công thức'!$G$3:$AD$3=H$1)*('Giá công thức'!$G$4:$AD$4=H$2)))</f>
        <v>1342.5</v>
      </c>
      <c r="I29" s="400" cm="1">
        <f t="array" ref="I29">IF(SUMPRODUCT('Giá công thức'!$G$11:$AD$106*('Giá công thức'!$A$11:$A$106=$B29)*('Giá công thức'!$B$11:$B$106=$C29)*('Giá công thức'!$C$11:$C$106="GB")*('Giá công thức'!$G$3:$AD$3=I$1)*('Giá công thức'!$G$4:$AD$4=I$2))=0,NA(),SUMPRODUCT('Giá công thức'!$G$11:$AD$106*('Giá công thức'!$A$11:$A$106=$B29)*('Giá công thức'!$B$11:$B$106=$C29)*('Giá công thức'!$C$11:$C$106="GB")*('Giá công thức'!$G$3:$AD$3=I$1)*('Giá công thức'!$G$4:$AD$4=I$2)))</f>
        <v>1346.5</v>
      </c>
      <c r="J29" s="400" cm="1">
        <f t="array" ref="J29">IF(SUMPRODUCT('Giá công thức'!$G$11:$AD$106*('Giá công thức'!$A$11:$A$106=$B29)*('Giá công thức'!$B$11:$B$106=$C29)*('Giá công thức'!$C$11:$C$106="GB")*('Giá công thức'!$G$3:$AD$3=J$1)*('Giá công thức'!$G$4:$AD$4=J$2))=0,NA(),SUMPRODUCT('Giá công thức'!$G$11:$AD$106*('Giá công thức'!$A$11:$A$106=$B29)*('Giá công thức'!$B$11:$B$106=$C29)*('Giá công thức'!$C$11:$C$106="GB")*('Giá công thức'!$G$3:$AD$3=J$1)*('Giá công thức'!$G$4:$AD$4=J$2)))</f>
        <v>1361.5</v>
      </c>
      <c r="K29" s="400" cm="1">
        <f t="array" ref="K29">IF(SUMPRODUCT('Giá công thức'!$G$11:$AD$106*('Giá công thức'!$A$11:$A$106=$B29)*('Giá công thức'!$B$11:$B$106=$C29)*('Giá công thức'!$C$11:$C$106="GB")*('Giá công thức'!$G$3:$AD$3=K$1)*('Giá công thức'!$G$4:$AD$4=K$2))=0,NA(),SUMPRODUCT('Giá công thức'!$G$11:$AD$106*('Giá công thức'!$A$11:$A$106=$B29)*('Giá công thức'!$B$11:$B$106=$C29)*('Giá công thức'!$C$11:$C$106="GB")*('Giá công thức'!$G$3:$AD$3=K$1)*('Giá công thức'!$G$4:$AD$4=K$2)))</f>
        <v>1377.5</v>
      </c>
      <c r="L29" s="400" cm="1">
        <f t="array" ref="L29">IF(SUMPRODUCT('Giá công thức'!$G$11:$AD$106*('Giá công thức'!$A$11:$A$106=$B29)*('Giá công thức'!$B$11:$B$106=$C29)*('Giá công thức'!$C$11:$C$106="GB")*('Giá công thức'!$G$3:$AD$3=L$1)*('Giá công thức'!$G$4:$AD$4=L$2))=0,NA(),SUMPRODUCT('Giá công thức'!$G$11:$AD$106*('Giá công thức'!$A$11:$A$106=$B29)*('Giá công thức'!$B$11:$B$106=$C29)*('Giá công thức'!$C$11:$C$106="GB")*('Giá công thức'!$G$3:$AD$3=L$1)*('Giá công thức'!$G$4:$AD$4=L$2)))</f>
        <v>1388.5</v>
      </c>
      <c r="M29" s="400" cm="1">
        <f t="array" ref="M29">IF(SUMPRODUCT('Giá công thức'!$G$11:$AD$106*('Giá công thức'!$A$11:$A$106=$B29)*('Giá công thức'!$B$11:$B$106=$C29)*('Giá công thức'!$C$11:$C$106="GB")*('Giá công thức'!$G$3:$AD$3=M$1)*('Giá công thức'!$G$4:$AD$4=M$2))=0,NA(),SUMPRODUCT('Giá công thức'!$G$11:$AD$106*('Giá công thức'!$A$11:$A$106=$B29)*('Giá công thức'!$B$11:$B$106=$C29)*('Giá công thức'!$C$11:$C$106="GB")*('Giá công thức'!$G$3:$AD$3=M$1)*('Giá công thức'!$G$4:$AD$4=M$2)))</f>
        <v>1408.5</v>
      </c>
      <c r="N29" s="400" cm="1">
        <f t="array" ref="N29">IF(SUMPRODUCT('Giá công thức'!$G$11:$AD$106*('Giá công thức'!$A$11:$A$106=$B29)*('Giá công thức'!$B$11:$B$106=$C29)*('Giá công thức'!$C$11:$C$106="GB")*('Giá công thức'!$G$3:$AD$3=N$1)*('Giá công thức'!$G$4:$AD$4=N$2))=0,NA(),SUMPRODUCT('Giá công thức'!$G$11:$AD$106*('Giá công thức'!$A$11:$A$106=$B29)*('Giá công thức'!$B$11:$B$106=$C29)*('Giá công thức'!$C$11:$C$106="GB")*('Giá công thức'!$G$3:$AD$3=N$1)*('Giá công thức'!$G$4:$AD$4=N$2)))</f>
        <v>1436.25</v>
      </c>
      <c r="O29" s="400" cm="1">
        <f t="array" ref="O29">IF(SUMPRODUCT('Giá công thức'!$G$11:$AD$106*('Giá công thức'!$A$11:$A$106=$B29)*('Giá công thức'!$B$11:$B$106=$C29)*('Giá công thức'!$C$11:$C$106="GB")*('Giá công thức'!$G$3:$AD$3=O$1)*('Giá công thức'!$G$4:$AD$4=O$2))=0,NA(),SUMPRODUCT('Giá công thức'!$G$11:$AD$106*('Giá công thức'!$A$11:$A$106=$B29)*('Giá công thức'!$B$11:$B$106=$C29)*('Giá công thức'!$C$11:$C$106="GB")*('Giá công thức'!$G$3:$AD$3=O$1)*('Giá công thức'!$G$4:$AD$4=O$2)))</f>
        <v>1453.75</v>
      </c>
      <c r="P29" s="400" cm="1">
        <f t="array" ref="P29">IF(SUMPRODUCT('Giá công thức'!$G$11:$AD$106*('Giá công thức'!$A$11:$A$106=$B29)*('Giá công thức'!$B$11:$B$106=$C29)*('Giá công thức'!$C$11:$C$106="GB")*('Giá công thức'!$G$3:$AD$3=P$1)*('Giá công thức'!$G$4:$AD$4=P$2))=0,NA(),SUMPRODUCT('Giá công thức'!$G$11:$AD$106*('Giá công thức'!$A$11:$A$106=$B29)*('Giá công thức'!$B$11:$B$106=$C29)*('Giá công thức'!$C$11:$C$106="GB")*('Giá công thức'!$G$3:$AD$3=P$1)*('Giá công thức'!$G$4:$AD$4=P$2)))</f>
        <v>1457.5</v>
      </c>
      <c r="Q29" s="400" cm="1">
        <f t="array" ref="Q29">IF(SUMPRODUCT('Giá công thức'!$G$11:$AD$106*('Giá công thức'!$A$11:$A$106=$B29)*('Giá công thức'!$B$11:$B$106=$C29)*('Giá công thức'!$C$11:$C$106="GB")*('Giá công thức'!$G$3:$AD$3=Q$1)*('Giá công thức'!$G$4:$AD$4=Q$2))=0,NA(),SUMPRODUCT('Giá công thức'!$G$11:$AD$106*('Giá công thức'!$A$11:$A$106=$B29)*('Giá công thức'!$B$11:$B$106=$C29)*('Giá công thức'!$C$11:$C$106="GB")*('Giá công thức'!$G$3:$AD$3=Q$1)*('Giá công thức'!$G$4:$AD$4=Q$2)))</f>
        <v>1426.403125</v>
      </c>
      <c r="R29" s="400" cm="1">
        <f t="array" ref="R29">IF(SUMPRODUCT('Giá công thức'!$G$11:$AD$106*('Giá công thức'!$A$11:$A$106=$B29)*('Giá công thức'!$B$11:$B$106=$C29)*('Giá công thức'!$C$11:$C$106="GB")*('Giá công thức'!$G$3:$AD$3=R$1)*('Giá công thức'!$G$4:$AD$4=R$2))=0,NA(),SUMPRODUCT('Giá công thức'!$G$11:$AD$106*('Giá công thức'!$A$11:$A$106=$B29)*('Giá công thức'!$B$11:$B$106=$C29)*('Giá công thức'!$C$11:$C$106="GB")*('Giá công thức'!$G$3:$AD$3=R$1)*('Giá công thức'!$G$4:$AD$4=R$2)))</f>
        <v>1388.6447916666652</v>
      </c>
      <c r="S29" s="400" cm="1">
        <f t="array" ref="S29">IF(SUMPRODUCT('Giá công thức'!$G$11:$AD$106*('Giá công thức'!$A$11:$A$106=$B29)*('Giá công thức'!$B$11:$B$106=$C29)*('Giá công thức'!$C$11:$C$106="GB")*('Giá công thức'!$G$3:$AD$3=S$1)*('Giá công thức'!$G$4:$AD$4=S$2))=0,NA(),SUMPRODUCT('Giá công thức'!$G$11:$AD$106*('Giá công thức'!$A$11:$A$106=$B29)*('Giá công thức'!$B$11:$B$106=$C29)*('Giá công thức'!$C$11:$C$106="GB")*('Giá công thức'!$G$3:$AD$3=S$1)*('Giá công thức'!$G$4:$AD$4=S$2)))</f>
        <v>1353.5541666666652</v>
      </c>
      <c r="T29" s="400" cm="1">
        <f t="array" ref="T29">IF(SUMPRODUCT('Giá công thức'!$G$11:$AD$106*('Giá công thức'!$A$11:$A$106=$B29)*('Giá công thức'!$B$11:$B$106=$C29)*('Giá công thức'!$C$11:$C$106="GB")*('Giá công thức'!$G$3:$AD$3=T$1)*('Giá công thức'!$G$4:$AD$4=T$2))=0,NA(),SUMPRODUCT('Giá công thức'!$G$11:$AD$106*('Giá công thức'!$A$11:$A$106=$B29)*('Giá công thức'!$B$11:$B$106=$C29)*('Giá công thức'!$C$11:$C$106="GB")*('Giá công thức'!$G$3:$AD$3=T$1)*('Giá công thức'!$G$4:$AD$4=T$2)))</f>
        <v>1354.375</v>
      </c>
      <c r="U29" s="400" cm="1">
        <f t="array" ref="U29">IF(SUMPRODUCT('Giá công thức'!$G$11:$AD$106*('Giá công thức'!$A$11:$A$106=$B29)*('Giá công thức'!$B$11:$B$106=$C29)*('Giá công thức'!$C$11:$C$106="GB")*('Giá công thức'!$G$3:$AD$3=U$1)*('Giá công thức'!$G$4:$AD$4=U$2))=0,NA(),SUMPRODUCT('Giá công thức'!$G$11:$AD$106*('Giá công thức'!$A$11:$A$106=$B29)*('Giá công thức'!$B$11:$B$106=$C29)*('Giá công thức'!$C$11:$C$106="GB")*('Giá công thức'!$G$3:$AD$3=U$1)*('Giá công thức'!$G$4:$AD$4=U$2)))</f>
        <v>1359.3</v>
      </c>
      <c r="V29" s="400" cm="1">
        <f t="array" ref="V29">IF(SUMPRODUCT('Giá công thức'!$G$11:$AD$106*('Giá công thức'!$A$11:$A$106=$B29)*('Giá công thức'!$B$11:$B$106=$C29)*('Giá công thức'!$C$11:$C$106="GB")*('Giá công thức'!$G$3:$AD$3=V$1)*('Giá công thức'!$G$4:$AD$4=V$2))=0,NA(),SUMPRODUCT('Giá công thức'!$G$11:$AD$106*('Giá công thức'!$A$11:$A$106=$B29)*('Giá công thức'!$B$11:$B$106=$C29)*('Giá công thức'!$C$11:$C$106="GB")*('Giá công thức'!$G$3:$AD$3=V$1)*('Giá công thức'!$G$4:$AD$4=V$2)))</f>
        <v>1359.3</v>
      </c>
      <c r="W29" s="400" cm="1">
        <f t="array" ref="W29">IF(SUMPRODUCT('Giá công thức'!$G$11:$AD$106*('Giá công thức'!$A$11:$A$106=$B29)*('Giá công thức'!$B$11:$B$106=$C29)*('Giá công thức'!$C$11:$C$106="GB")*('Giá công thức'!$G$3:$AD$3=W$1)*('Giá công thức'!$G$4:$AD$4=W$2))=0,NA(),SUMPRODUCT('Giá công thức'!$G$11:$AD$106*('Giá công thức'!$A$11:$A$106=$B29)*('Giá công thức'!$B$11:$B$106=$C29)*('Giá công thức'!$C$11:$C$106="GB")*('Giá công thức'!$G$3:$AD$3=W$1)*('Giá công thức'!$G$4:$AD$4=W$2)))</f>
        <v>1359.3</v>
      </c>
      <c r="X29" s="400" cm="1">
        <f t="array" ref="X29">IF(SUMPRODUCT('Giá công thức'!$G$11:$AD$106*('Giá công thức'!$A$11:$A$106=$B29)*('Giá công thức'!$B$11:$B$106=$C29)*('Giá công thức'!$C$11:$C$106="GB")*('Giá công thức'!$G$3:$AD$3=X$1)*('Giá công thức'!$G$4:$AD$4=X$2))=0,NA(),SUMPRODUCT('Giá công thức'!$G$11:$AD$106*('Giá công thức'!$A$11:$A$106=$B29)*('Giá công thức'!$B$11:$B$106=$C29)*('Giá công thức'!$C$11:$C$106="GB")*('Giá công thức'!$G$3:$AD$3=X$1)*('Giá công thức'!$G$4:$AD$4=X$2)))</f>
        <v>1341.57</v>
      </c>
      <c r="Y29" s="400" cm="1">
        <f t="array" ref="Y29">IF(SUMPRODUCT('Giá công thức'!$G$11:$AD$106*('Giá công thức'!$A$11:$A$106=$B29)*('Giá công thức'!$B$11:$B$106=$C29)*('Giá công thức'!$C$11:$C$106="GB")*('Giá công thức'!$G$3:$AD$3=Y$1)*('Giá công thức'!$G$4:$AD$4=Y$2))=0,NA(),SUMPRODUCT('Giá công thức'!$G$11:$AD$106*('Giá công thức'!$A$11:$A$106=$B29)*('Giá công thức'!$B$11:$B$106=$C29)*('Giá công thức'!$C$11:$C$106="GB")*('Giá công thức'!$G$3:$AD$3=Y$1)*('Giá công thức'!$G$4:$AD$4=Y$2)))</f>
        <v>1310.0574999999999</v>
      </c>
      <c r="Z29" s="400" cm="1">
        <f t="array" ref="Z29">IF(SUMPRODUCT('Giá công thức'!$G$11:$AD$106*('Giá công thức'!$A$11:$A$106=$B29)*('Giá công thức'!$B$11:$B$106=$C29)*('Giá công thức'!$C$11:$C$106="GB")*('Giá công thức'!$G$3:$AD$3=Z$1)*('Giá công thức'!$G$4:$AD$4=Z$2))=0,NA(),SUMPRODUCT('Giá công thức'!$G$11:$AD$106*('Giá công thức'!$A$11:$A$106=$B29)*('Giá công thức'!$B$11:$B$106=$C29)*('Giá công thức'!$C$11:$C$106="GB")*('Giá công thức'!$G$3:$AD$3=Z$1)*('Giá công thức'!$G$4:$AD$4=Z$2)))</f>
        <v>1310.4775</v>
      </c>
      <c r="AA29" s="400" cm="1">
        <f t="array" ref="AA29">IF(SUMPRODUCT('Giá công thức'!$G$11:$AD$106*('Giá công thức'!$A$11:$A$106=$B29)*('Giá công thức'!$B$11:$B$106=$C29)*('Giá công thức'!$C$11:$C$106="GB")*('Giá công thức'!$G$3:$AD$3=AA$1)*('Giá công thức'!$G$4:$AD$4=AA$2))=0,NA(),SUMPRODUCT('Giá công thức'!$G$11:$AD$106*('Giá công thức'!$A$11:$A$106=$B29)*('Giá công thức'!$B$11:$B$106=$C29)*('Giá công thức'!$C$11:$C$106="GB")*('Giá công thức'!$G$3:$AD$3=AA$1)*('Giá công thức'!$G$4:$AD$4=AA$2)))</f>
        <v>1310.8150000000001</v>
      </c>
      <c r="AB29" s="400" cm="1">
        <f t="array" ref="AB29">IF(SUMPRODUCT('Giá công thức'!$G$11:$AD$106*('Giá công thức'!$A$11:$A$106=$B29)*('Giá công thức'!$B$11:$B$106=$C29)*('Giá công thức'!$C$11:$C$106="GB")*('Giá công thức'!$G$3:$AD$3=AB$1)*('Giá công thức'!$G$4:$AD$4=AB$2))=0,NA(),SUMPRODUCT('Giá công thức'!$G$11:$AD$106*('Giá công thức'!$A$11:$A$106=$B29)*('Giá công thức'!$B$11:$B$106=$C29)*('Giá công thức'!$C$11:$C$106="GB")*('Giá công thức'!$G$3:$AD$3=AB$1)*('Giá công thức'!$G$4:$AD$4=AB$2)))</f>
        <v>1310.996875</v>
      </c>
      <c r="AC29" s="400"/>
      <c r="AD29" s="400"/>
      <c r="AE29" s="400"/>
      <c r="AF29" s="400"/>
      <c r="AG29" s="400"/>
      <c r="AH29" s="400"/>
      <c r="AI29" s="400"/>
      <c r="AJ29" s="400"/>
      <c r="AK29" s="400"/>
      <c r="AL29" s="400"/>
      <c r="AM29" s="400"/>
      <c r="AN29" s="400"/>
      <c r="AO29" s="400">
        <f t="shared" ref="AO29:AO31" si="14">INDEX($E29:$AB29,MATCH("X",$E$3:$AB$3,0))</f>
        <v>1310.996875</v>
      </c>
    </row>
    <row r="30" spans="1:41" s="137" customFormat="1" x14ac:dyDescent="0.35">
      <c r="A30" s="137" t="s">
        <v>31</v>
      </c>
      <c r="C30" s="137" t="s">
        <v>31</v>
      </c>
      <c r="D30" s="137" t="s">
        <v>17</v>
      </c>
      <c r="E30" s="403" cm="1">
        <f t="array" ref="E30">SUMPRODUCT(General_Data*(Code_General_Data=$A30)*(Year=E$1)*(Month=E$2))</f>
        <v>1280</v>
      </c>
      <c r="F30" s="403" cm="1">
        <f t="array" ref="F30">SUMPRODUCT(General_Data*(Code_General_Data=$A30)*(Year=F$1)*(Month=F$2))</f>
        <v>1280</v>
      </c>
      <c r="G30" s="403" cm="1">
        <f t="array" ref="G30">SUMPRODUCT(General_Data*(Code_General_Data=$A30)*(Year=G$1)*(Month=G$2))</f>
        <v>1280</v>
      </c>
      <c r="H30" s="403" cm="1">
        <f t="array" ref="H30">SUMPRODUCT(General_Data*(Code_General_Data=$A30)*(Year=H$1)*(Month=H$2))</f>
        <v>1280</v>
      </c>
      <c r="I30" s="403" cm="1">
        <f t="array" ref="I30">SUMPRODUCT(General_Data*(Code_General_Data=$A30)*(Year=I$1)*(Month=I$2))</f>
        <v>1330</v>
      </c>
      <c r="J30" s="403" cm="1">
        <f t="array" ref="J30">SUMPRODUCT(General_Data*(Code_General_Data=$A30)*(Year=J$1)*(Month=J$2))</f>
        <v>1330</v>
      </c>
      <c r="K30" s="403" cm="1">
        <f t="array" ref="K30">SUMPRODUCT(General_Data*(Code_General_Data=$A30)*(Year=K$1)*(Month=K$2))</f>
        <v>1330</v>
      </c>
      <c r="L30" s="403" cm="1">
        <f t="array" ref="L30">SUMPRODUCT(General_Data*(Code_General_Data=$A30)*(Year=L$1)*(Month=L$2))</f>
        <v>1330</v>
      </c>
      <c r="M30" s="403" cm="1">
        <f t="array" ref="M30">SUMPRODUCT(General_Data*(Code_General_Data=$A30)*(Year=M$1)*(Month=M$2))</f>
        <v>1340</v>
      </c>
      <c r="N30" s="403" cm="1">
        <f t="array" ref="N30">SUMPRODUCT(General_Data*(Code_General_Data=$A30)*(Year=N$1)*(Month=N$2))</f>
        <v>1355</v>
      </c>
      <c r="O30" s="403" cm="1">
        <f t="array" ref="O30">SUMPRODUCT(General_Data*(Code_General_Data=$A30)*(Year=O$1)*(Month=O$2))</f>
        <v>1355</v>
      </c>
      <c r="P30" s="403" cm="1">
        <f t="array" ref="P30">SUMPRODUCT(General_Data*(Code_General_Data=$A30)*(Year=P$1)*(Month=P$2))</f>
        <v>1305</v>
      </c>
      <c r="Q30" s="403" cm="1">
        <f t="array" ref="Q30">SUMPRODUCT(General_Data*(Code_General_Data=$A30)*(Year=Q$1)*(Month=Q$2))</f>
        <v>1260</v>
      </c>
      <c r="R30" s="403" cm="1">
        <f t="array" ref="R30">SUMPRODUCT(General_Data*(Code_General_Data=$A30)*(Year=R$1)*(Month=R$2))</f>
        <v>1260</v>
      </c>
      <c r="S30" s="403" cm="1">
        <f t="array" ref="S30">SUMPRODUCT(General_Data*(Code_General_Data=$A30)*(Year=S$1)*(Month=S$2))</f>
        <v>1260</v>
      </c>
      <c r="T30" s="403" cm="1">
        <f t="array" ref="T30">SUMPRODUCT(General_Data*(Code_General_Data=$A30)*(Year=T$1)*(Month=T$2))</f>
        <v>1280</v>
      </c>
      <c r="U30" s="403" cm="1">
        <f t="array" ref="U30">SUMPRODUCT(General_Data*(Code_General_Data=$A30)*(Year=U$1)*(Month=U$2))</f>
        <v>1280</v>
      </c>
      <c r="V30" s="403" cm="1">
        <f t="array" ref="V30">SUMPRODUCT(General_Data*(Code_General_Data=$A30)*(Year=V$1)*(Month=V$2))</f>
        <v>1280</v>
      </c>
      <c r="W30" s="403" cm="1">
        <f t="array" ref="W30">SUMPRODUCT(General_Data*(Code_General_Data=$A30)*(Year=W$1)*(Month=W$2))</f>
        <v>1280</v>
      </c>
      <c r="X30" s="403" cm="1">
        <f t="array" ref="X30">SUMPRODUCT(General_Data*(Code_General_Data=$A30)*(Year=X$1)*(Month=X$2))</f>
        <v>1250</v>
      </c>
      <c r="Y30" s="403" cm="1">
        <f t="array" ref="Y30">SUMPRODUCT(General_Data*(Code_General_Data=$A30)*(Year=Y$1)*(Month=Y$2))</f>
        <v>1250</v>
      </c>
      <c r="Z30" s="403" cm="1">
        <f t="array" ref="Z30">SUMPRODUCT(General_Data*(Code_General_Data=$A30)*(Year=Z$1)*(Month=Z$2))</f>
        <v>1240</v>
      </c>
      <c r="AA30" s="403" cm="1">
        <f t="array" ref="AA30">SUMPRODUCT(General_Data*(Code_General_Data=$A30)*(Year=AA$1)*(Month=AA$2))</f>
        <v>1230</v>
      </c>
      <c r="AB30" s="403" cm="1">
        <f t="array" ref="AB30">SUMPRODUCT(General_Data*(Code_General_Data=$A30)*(Year=AB$1)*(Month=AB$2))</f>
        <v>1230</v>
      </c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3">
        <f t="shared" si="14"/>
        <v>1230</v>
      </c>
    </row>
    <row r="31" spans="1:41" s="401" customFormat="1" x14ac:dyDescent="0.35">
      <c r="A31" s="401" t="s">
        <v>9</v>
      </c>
      <c r="D31" s="401" t="s">
        <v>11</v>
      </c>
      <c r="E31" s="402" cm="1">
        <f t="array" ref="E31">SUMPRODUCT(General_Data*(Code_General_Data=$A31)*(Year=E$1)*(Month=E$2))</f>
        <v>930</v>
      </c>
      <c r="F31" s="402" cm="1">
        <f t="array" ref="F31">SUMPRODUCT(General_Data*(Code_General_Data=$A31)*(Year=F$1)*(Month=F$2))</f>
        <v>943.33333333333337</v>
      </c>
      <c r="G31" s="402" cm="1">
        <f t="array" ref="G31">SUMPRODUCT(General_Data*(Code_General_Data=$A31)*(Year=G$1)*(Month=G$2))</f>
        <v>940</v>
      </c>
      <c r="H31" s="402" cm="1">
        <f t="array" ref="H31">SUMPRODUCT(General_Data*(Code_General_Data=$A31)*(Year=H$1)*(Month=H$2))</f>
        <v>940</v>
      </c>
      <c r="I31" s="402" cm="1">
        <f t="array" ref="I31">SUMPRODUCT(General_Data*(Code_General_Data=$A31)*(Year=I$1)*(Month=I$2))</f>
        <v>942</v>
      </c>
      <c r="J31" s="402" cm="1">
        <f t="array" ref="J31">SUMPRODUCT(General_Data*(Code_General_Data=$A31)*(Year=J$1)*(Month=J$2))</f>
        <v>950</v>
      </c>
      <c r="K31" s="402" cm="1">
        <f t="array" ref="K31">SUMPRODUCT(General_Data*(Code_General_Data=$A31)*(Year=K$1)*(Month=K$2))</f>
        <v>947.5</v>
      </c>
      <c r="L31" s="402" cm="1">
        <f t="array" ref="L31">SUMPRODUCT(General_Data*(Code_General_Data=$A31)*(Year=L$1)*(Month=L$2))</f>
        <v>930</v>
      </c>
      <c r="M31" s="402" cm="1">
        <f t="array" ref="M31">SUMPRODUCT(General_Data*(Code_General_Data=$A31)*(Year=M$1)*(Month=M$2))</f>
        <v>880</v>
      </c>
      <c r="N31" s="402" cm="1">
        <f t="array" ref="N31">SUMPRODUCT(General_Data*(Code_General_Data=$A31)*(Year=N$1)*(Month=N$2))</f>
        <v>862.5</v>
      </c>
      <c r="O31" s="402" cm="1">
        <f t="array" ref="O31">SUMPRODUCT(General_Data*(Code_General_Data=$A31)*(Year=O$1)*(Month=O$2))</f>
        <v>852</v>
      </c>
      <c r="P31" s="402" cm="1">
        <f t="array" ref="P31">SUMPRODUCT(General_Data*(Code_General_Data=$A31)*(Year=P$1)*(Month=P$2))</f>
        <v>830</v>
      </c>
      <c r="Q31" s="402" cm="1">
        <f t="array" ref="Q31">SUMPRODUCT(General_Data*(Code_General_Data=$A31)*(Year=Q$1)*(Month=Q$2))</f>
        <v>828</v>
      </c>
      <c r="R31" s="402" cm="1">
        <f t="array" ref="R31">SUMPRODUCT(General_Data*(Code_General_Data=$A31)*(Year=R$1)*(Month=R$2))</f>
        <v>840</v>
      </c>
      <c r="S31" s="402" cm="1">
        <f t="array" ref="S31">SUMPRODUCT(General_Data*(Code_General_Data=$A31)*(Year=S$1)*(Month=S$2))</f>
        <v>823</v>
      </c>
      <c r="T31" s="402" cm="1">
        <f t="array" ref="T31">SUMPRODUCT(General_Data*(Code_General_Data=$A31)*(Year=T$1)*(Month=T$2))</f>
        <v>765</v>
      </c>
      <c r="U31" s="402" cm="1">
        <f t="array" ref="U31">SUMPRODUCT(General_Data*(Code_General_Data=$A31)*(Year=U$1)*(Month=U$2))</f>
        <v>782</v>
      </c>
      <c r="V31" s="402" cm="1">
        <f t="array" ref="V31">SUMPRODUCT(General_Data*(Code_General_Data=$A31)*(Year=V$1)*(Month=V$2))</f>
        <v>807.5</v>
      </c>
      <c r="W31" s="402" cm="1">
        <f t="array" ref="W31">SUMPRODUCT(General_Data*(Code_General_Data=$A31)*(Year=W$1)*(Month=W$2))</f>
        <v>802</v>
      </c>
      <c r="X31" s="402" cm="1">
        <f t="array" ref="X31">SUMPRODUCT(General_Data*(Code_General_Data=$A31)*(Year=X$1)*(Month=X$2))</f>
        <v>795</v>
      </c>
      <c r="Y31" s="402" cm="1">
        <f t="array" ref="Y31">SUMPRODUCT(General_Data*(Code_General_Data=$A31)*(Year=Y$1)*(Month=Y$2))</f>
        <v>783</v>
      </c>
      <c r="Z31" s="402" cm="1">
        <f t="array" ref="Z31">SUMPRODUCT(General_Data*(Code_General_Data=$A31)*(Year=Z$1)*(Month=Z$2))</f>
        <v>772</v>
      </c>
      <c r="AA31" s="402" cm="1">
        <f t="array" ref="AA31">SUMPRODUCT(General_Data*(Code_General_Data=$A31)*(Year=AA$1)*(Month=AA$2))</f>
        <v>770</v>
      </c>
      <c r="AB31" s="402" cm="1">
        <f t="array" ref="AB31">SUMPRODUCT(General_Data*(Code_General_Data=$A31)*(Year=AB$1)*(Month=AB$2))</f>
        <v>770</v>
      </c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>
        <f t="shared" si="14"/>
        <v>770</v>
      </c>
    </row>
    <row r="32" spans="1:41" s="408" customFormat="1" x14ac:dyDescent="0.35">
      <c r="D32" s="408" t="s">
        <v>416</v>
      </c>
      <c r="E32" s="409">
        <f t="shared" ref="E32:AA32" si="15">E30-E31</f>
        <v>350</v>
      </c>
      <c r="F32" s="409">
        <f t="shared" si="15"/>
        <v>336.66666666666663</v>
      </c>
      <c r="G32" s="409">
        <f t="shared" si="15"/>
        <v>340</v>
      </c>
      <c r="H32" s="409">
        <f t="shared" si="15"/>
        <v>340</v>
      </c>
      <c r="I32" s="409">
        <f t="shared" si="15"/>
        <v>388</v>
      </c>
      <c r="J32" s="409">
        <f t="shared" si="15"/>
        <v>380</v>
      </c>
      <c r="K32" s="409">
        <f t="shared" si="15"/>
        <v>382.5</v>
      </c>
      <c r="L32" s="409">
        <f t="shared" si="15"/>
        <v>400</v>
      </c>
      <c r="M32" s="409">
        <f t="shared" si="15"/>
        <v>460</v>
      </c>
      <c r="N32" s="409">
        <f t="shared" si="15"/>
        <v>492.5</v>
      </c>
      <c r="O32" s="409">
        <f t="shared" si="15"/>
        <v>503</v>
      </c>
      <c r="P32" s="409">
        <f t="shared" si="15"/>
        <v>475</v>
      </c>
      <c r="Q32" s="409">
        <f t="shared" si="15"/>
        <v>432</v>
      </c>
      <c r="R32" s="409">
        <f t="shared" si="15"/>
        <v>420</v>
      </c>
      <c r="S32" s="409">
        <f t="shared" si="15"/>
        <v>437</v>
      </c>
      <c r="T32" s="409">
        <f t="shared" si="15"/>
        <v>515</v>
      </c>
      <c r="U32" s="409">
        <f t="shared" si="15"/>
        <v>498</v>
      </c>
      <c r="V32" s="409">
        <f t="shared" si="15"/>
        <v>472.5</v>
      </c>
      <c r="W32" s="409">
        <f t="shared" si="15"/>
        <v>478</v>
      </c>
      <c r="X32" s="409">
        <f t="shared" si="15"/>
        <v>455</v>
      </c>
      <c r="Y32" s="409">
        <f t="shared" si="15"/>
        <v>467</v>
      </c>
      <c r="Z32" s="409">
        <f t="shared" si="15"/>
        <v>468</v>
      </c>
      <c r="AA32" s="409">
        <f t="shared" si="15"/>
        <v>460</v>
      </c>
      <c r="AB32" s="409">
        <f t="shared" ref="AB32" si="16">AB30-AB31</f>
        <v>460</v>
      </c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09"/>
    </row>
    <row r="33" spans="1:41" s="410" customFormat="1" x14ac:dyDescent="0.35">
      <c r="D33" s="410" t="s">
        <v>394</v>
      </c>
      <c r="E33" s="411">
        <f t="shared" ref="E33:AA33" si="17">IFERROR(E32/E31,0)</f>
        <v>0.37634408602150538</v>
      </c>
      <c r="F33" s="411">
        <f t="shared" si="17"/>
        <v>0.35689045936395752</v>
      </c>
      <c r="G33" s="411">
        <f t="shared" si="17"/>
        <v>0.36170212765957449</v>
      </c>
      <c r="H33" s="411">
        <f t="shared" si="17"/>
        <v>0.36170212765957449</v>
      </c>
      <c r="I33" s="411">
        <f t="shared" si="17"/>
        <v>0.41188959660297242</v>
      </c>
      <c r="J33" s="411">
        <f t="shared" si="17"/>
        <v>0.4</v>
      </c>
      <c r="K33" s="411">
        <f t="shared" si="17"/>
        <v>0.40369393139841686</v>
      </c>
      <c r="L33" s="411">
        <f t="shared" si="17"/>
        <v>0.43010752688172044</v>
      </c>
      <c r="M33" s="411">
        <f t="shared" si="17"/>
        <v>0.52272727272727271</v>
      </c>
      <c r="N33" s="411">
        <f t="shared" si="17"/>
        <v>0.57101449275362315</v>
      </c>
      <c r="O33" s="411">
        <f t="shared" si="17"/>
        <v>0.59037558685446012</v>
      </c>
      <c r="P33" s="411">
        <f t="shared" si="17"/>
        <v>0.57228915662650603</v>
      </c>
      <c r="Q33" s="411">
        <f t="shared" si="17"/>
        <v>0.52173913043478259</v>
      </c>
      <c r="R33" s="411">
        <f t="shared" si="17"/>
        <v>0.5</v>
      </c>
      <c r="S33" s="411">
        <f t="shared" si="17"/>
        <v>0.53098420413122727</v>
      </c>
      <c r="T33" s="411">
        <f t="shared" si="17"/>
        <v>0.67320261437908502</v>
      </c>
      <c r="U33" s="411">
        <f t="shared" si="17"/>
        <v>0.63682864450127874</v>
      </c>
      <c r="V33" s="411">
        <f t="shared" si="17"/>
        <v>0.5851393188854489</v>
      </c>
      <c r="W33" s="411">
        <f t="shared" si="17"/>
        <v>0.5960099750623441</v>
      </c>
      <c r="X33" s="411">
        <f t="shared" si="17"/>
        <v>0.57232704402515722</v>
      </c>
      <c r="Y33" s="411">
        <f t="shared" si="17"/>
        <v>0.59642401021711366</v>
      </c>
      <c r="Z33" s="411">
        <f t="shared" si="17"/>
        <v>0.60621761658031093</v>
      </c>
      <c r="AA33" s="411">
        <f t="shared" si="17"/>
        <v>0.59740259740259738</v>
      </c>
      <c r="AB33" s="411">
        <f t="shared" ref="AB33" si="18">IFERROR(AB32/AB31,0)</f>
        <v>0.59740259740259738</v>
      </c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</row>
    <row r="34" spans="1:41" s="426" customFormat="1" x14ac:dyDescent="0.35">
      <c r="D34" s="426" t="s">
        <v>419</v>
      </c>
      <c r="E34" s="427">
        <f>E30</f>
        <v>1280</v>
      </c>
      <c r="F34" s="427">
        <f t="shared" ref="F34:AB34" si="19">F30</f>
        <v>1280</v>
      </c>
      <c r="G34" s="427">
        <f t="shared" si="19"/>
        <v>1280</v>
      </c>
      <c r="H34" s="427">
        <f t="shared" si="19"/>
        <v>1280</v>
      </c>
      <c r="I34" s="427">
        <f t="shared" si="19"/>
        <v>1330</v>
      </c>
      <c r="J34" s="427">
        <f t="shared" si="19"/>
        <v>1330</v>
      </c>
      <c r="K34" s="427">
        <f t="shared" si="19"/>
        <v>1330</v>
      </c>
      <c r="L34" s="427">
        <f t="shared" si="19"/>
        <v>1330</v>
      </c>
      <c r="M34" s="427">
        <f t="shared" si="19"/>
        <v>1340</v>
      </c>
      <c r="N34" s="427">
        <f t="shared" si="19"/>
        <v>1355</v>
      </c>
      <c r="O34" s="427">
        <f t="shared" si="19"/>
        <v>1355</v>
      </c>
      <c r="P34" s="427">
        <f t="shared" si="19"/>
        <v>1305</v>
      </c>
      <c r="Q34" s="427">
        <f t="shared" si="19"/>
        <v>1260</v>
      </c>
      <c r="R34" s="427">
        <f t="shared" si="19"/>
        <v>1260</v>
      </c>
      <c r="S34" s="427">
        <f t="shared" si="19"/>
        <v>1260</v>
      </c>
      <c r="T34" s="427">
        <f t="shared" si="19"/>
        <v>1280</v>
      </c>
      <c r="U34" s="427">
        <f t="shared" si="19"/>
        <v>1280</v>
      </c>
      <c r="V34" s="427">
        <f t="shared" si="19"/>
        <v>1280</v>
      </c>
      <c r="W34" s="427">
        <f t="shared" si="19"/>
        <v>1280</v>
      </c>
      <c r="X34" s="427">
        <f t="shared" si="19"/>
        <v>1250</v>
      </c>
      <c r="Y34" s="427">
        <f t="shared" si="19"/>
        <v>1250</v>
      </c>
      <c r="Z34" s="427">
        <f t="shared" si="19"/>
        <v>1240</v>
      </c>
      <c r="AA34" s="427">
        <f t="shared" si="19"/>
        <v>1230</v>
      </c>
      <c r="AB34" s="427">
        <f t="shared" si="19"/>
        <v>1230</v>
      </c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37"/>
    </row>
    <row r="35" spans="1:41" s="426" customFormat="1" x14ac:dyDescent="0.35">
      <c r="D35" s="426" t="s">
        <v>420</v>
      </c>
      <c r="E35" s="427">
        <f>E31+E32/2</f>
        <v>1105</v>
      </c>
      <c r="F35" s="427">
        <f t="shared" ref="F35:AB35" si="20">F31+F32/2</f>
        <v>1111.6666666666667</v>
      </c>
      <c r="G35" s="427">
        <f t="shared" si="20"/>
        <v>1110</v>
      </c>
      <c r="H35" s="427">
        <f t="shared" si="20"/>
        <v>1110</v>
      </c>
      <c r="I35" s="427">
        <f t="shared" si="20"/>
        <v>1136</v>
      </c>
      <c r="J35" s="427">
        <f t="shared" si="20"/>
        <v>1140</v>
      </c>
      <c r="K35" s="427">
        <f t="shared" si="20"/>
        <v>1138.75</v>
      </c>
      <c r="L35" s="427">
        <f t="shared" si="20"/>
        <v>1130</v>
      </c>
      <c r="M35" s="427">
        <f t="shared" si="20"/>
        <v>1110</v>
      </c>
      <c r="N35" s="427">
        <f t="shared" si="20"/>
        <v>1108.75</v>
      </c>
      <c r="O35" s="427">
        <f t="shared" si="20"/>
        <v>1103.5</v>
      </c>
      <c r="P35" s="427">
        <f t="shared" si="20"/>
        <v>1067.5</v>
      </c>
      <c r="Q35" s="427">
        <f t="shared" si="20"/>
        <v>1044</v>
      </c>
      <c r="R35" s="427">
        <f t="shared" si="20"/>
        <v>1050</v>
      </c>
      <c r="S35" s="427">
        <f t="shared" si="20"/>
        <v>1041.5</v>
      </c>
      <c r="T35" s="427">
        <f t="shared" si="20"/>
        <v>1022.5</v>
      </c>
      <c r="U35" s="427">
        <f t="shared" si="20"/>
        <v>1031</v>
      </c>
      <c r="V35" s="427">
        <f t="shared" si="20"/>
        <v>1043.75</v>
      </c>
      <c r="W35" s="427">
        <f t="shared" si="20"/>
        <v>1041</v>
      </c>
      <c r="X35" s="427">
        <f t="shared" si="20"/>
        <v>1022.5</v>
      </c>
      <c r="Y35" s="427">
        <f t="shared" si="20"/>
        <v>1016.5</v>
      </c>
      <c r="Z35" s="427">
        <f t="shared" si="20"/>
        <v>1006</v>
      </c>
      <c r="AA35" s="427">
        <f t="shared" si="20"/>
        <v>1000</v>
      </c>
      <c r="AB35" s="427">
        <f t="shared" si="20"/>
        <v>1000</v>
      </c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37"/>
    </row>
    <row r="36" spans="1:41" s="434" customFormat="1" x14ac:dyDescent="0.35">
      <c r="D36" s="434" t="s">
        <v>417</v>
      </c>
      <c r="E36" s="435">
        <f>E30</f>
        <v>1280</v>
      </c>
      <c r="F36" s="435">
        <f t="shared" ref="F36:AB36" si="21">F30</f>
        <v>1280</v>
      </c>
      <c r="G36" s="435">
        <f t="shared" si="21"/>
        <v>1280</v>
      </c>
      <c r="H36" s="435">
        <f t="shared" si="21"/>
        <v>1280</v>
      </c>
      <c r="I36" s="435">
        <f t="shared" si="21"/>
        <v>1330</v>
      </c>
      <c r="J36" s="435">
        <f t="shared" si="21"/>
        <v>1330</v>
      </c>
      <c r="K36" s="435">
        <f t="shared" si="21"/>
        <v>1330</v>
      </c>
      <c r="L36" s="435">
        <f t="shared" si="21"/>
        <v>1330</v>
      </c>
      <c r="M36" s="435">
        <f t="shared" si="21"/>
        <v>1340</v>
      </c>
      <c r="N36" s="435">
        <f t="shared" si="21"/>
        <v>1355</v>
      </c>
      <c r="O36" s="435">
        <f t="shared" si="21"/>
        <v>1355</v>
      </c>
      <c r="P36" s="435">
        <f t="shared" si="21"/>
        <v>1305</v>
      </c>
      <c r="Q36" s="435">
        <f t="shared" si="21"/>
        <v>1260</v>
      </c>
      <c r="R36" s="435">
        <f t="shared" si="21"/>
        <v>1260</v>
      </c>
      <c r="S36" s="435">
        <f t="shared" si="21"/>
        <v>1260</v>
      </c>
      <c r="T36" s="435">
        <f t="shared" si="21"/>
        <v>1280</v>
      </c>
      <c r="U36" s="435">
        <f t="shared" si="21"/>
        <v>1280</v>
      </c>
      <c r="V36" s="435">
        <f t="shared" si="21"/>
        <v>1280</v>
      </c>
      <c r="W36" s="435">
        <f t="shared" si="21"/>
        <v>1280</v>
      </c>
      <c r="X36" s="435">
        <f t="shared" si="21"/>
        <v>1250</v>
      </c>
      <c r="Y36" s="435">
        <f t="shared" si="21"/>
        <v>1250</v>
      </c>
      <c r="Z36" s="435">
        <f t="shared" si="21"/>
        <v>1240</v>
      </c>
      <c r="AA36" s="435">
        <f t="shared" si="21"/>
        <v>1230</v>
      </c>
      <c r="AB36" s="435">
        <f t="shared" si="21"/>
        <v>1230</v>
      </c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</row>
    <row r="37" spans="1:41" s="434" customFormat="1" x14ac:dyDescent="0.35">
      <c r="D37" s="434" t="s">
        <v>418</v>
      </c>
      <c r="E37" s="435">
        <f>E31</f>
        <v>930</v>
      </c>
      <c r="F37" s="435">
        <f t="shared" ref="F37:AB37" si="22">F31</f>
        <v>943.33333333333337</v>
      </c>
      <c r="G37" s="435">
        <f t="shared" si="22"/>
        <v>940</v>
      </c>
      <c r="H37" s="435">
        <f t="shared" si="22"/>
        <v>940</v>
      </c>
      <c r="I37" s="435">
        <f t="shared" si="22"/>
        <v>942</v>
      </c>
      <c r="J37" s="435">
        <f t="shared" si="22"/>
        <v>950</v>
      </c>
      <c r="K37" s="435">
        <f t="shared" si="22"/>
        <v>947.5</v>
      </c>
      <c r="L37" s="435">
        <f t="shared" si="22"/>
        <v>930</v>
      </c>
      <c r="M37" s="435">
        <f t="shared" si="22"/>
        <v>880</v>
      </c>
      <c r="N37" s="435">
        <f t="shared" si="22"/>
        <v>862.5</v>
      </c>
      <c r="O37" s="435">
        <f t="shared" si="22"/>
        <v>852</v>
      </c>
      <c r="P37" s="435">
        <f t="shared" si="22"/>
        <v>830</v>
      </c>
      <c r="Q37" s="435">
        <f t="shared" si="22"/>
        <v>828</v>
      </c>
      <c r="R37" s="435">
        <f t="shared" si="22"/>
        <v>840</v>
      </c>
      <c r="S37" s="435">
        <f t="shared" si="22"/>
        <v>823</v>
      </c>
      <c r="T37" s="435">
        <f t="shared" si="22"/>
        <v>765</v>
      </c>
      <c r="U37" s="435">
        <f t="shared" si="22"/>
        <v>782</v>
      </c>
      <c r="V37" s="435">
        <f t="shared" si="22"/>
        <v>807.5</v>
      </c>
      <c r="W37" s="435">
        <f t="shared" si="22"/>
        <v>802</v>
      </c>
      <c r="X37" s="435">
        <f t="shared" si="22"/>
        <v>795</v>
      </c>
      <c r="Y37" s="435">
        <f t="shared" si="22"/>
        <v>783</v>
      </c>
      <c r="Z37" s="435">
        <f t="shared" si="22"/>
        <v>772</v>
      </c>
      <c r="AA37" s="435">
        <f t="shared" si="22"/>
        <v>770</v>
      </c>
      <c r="AB37" s="435">
        <f t="shared" si="22"/>
        <v>770</v>
      </c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6"/>
    </row>
    <row r="38" spans="1:41" x14ac:dyDescent="0.35">
      <c r="C38" s="424"/>
      <c r="D38" s="424" t="s">
        <v>423</v>
      </c>
      <c r="E38" s="438">
        <f>IFERROR(E28,0)</f>
        <v>0</v>
      </c>
      <c r="F38" s="438">
        <f t="shared" ref="F38:AB38" si="23">IFERROR(F28,0)</f>
        <v>0</v>
      </c>
      <c r="G38" s="438">
        <f t="shared" si="23"/>
        <v>0</v>
      </c>
      <c r="H38" s="438">
        <f t="shared" si="23"/>
        <v>0</v>
      </c>
      <c r="I38" s="438">
        <f t="shared" si="23"/>
        <v>0</v>
      </c>
      <c r="J38" s="438">
        <f t="shared" si="23"/>
        <v>0</v>
      </c>
      <c r="K38" s="438">
        <f t="shared" si="23"/>
        <v>0</v>
      </c>
      <c r="L38" s="438">
        <f t="shared" si="23"/>
        <v>0</v>
      </c>
      <c r="M38" s="438">
        <f t="shared" si="23"/>
        <v>0</v>
      </c>
      <c r="N38" s="438">
        <f t="shared" si="23"/>
        <v>0</v>
      </c>
      <c r="O38" s="438">
        <f t="shared" si="23"/>
        <v>0</v>
      </c>
      <c r="P38" s="438">
        <f t="shared" si="23"/>
        <v>0</v>
      </c>
      <c r="Q38" s="438">
        <f t="shared" si="23"/>
        <v>1230</v>
      </c>
      <c r="R38" s="438">
        <f t="shared" si="23"/>
        <v>1230</v>
      </c>
      <c r="S38" s="438">
        <f t="shared" si="23"/>
        <v>1230</v>
      </c>
      <c r="T38" s="438">
        <f t="shared" si="23"/>
        <v>1228</v>
      </c>
      <c r="U38" s="438">
        <f t="shared" si="23"/>
        <v>1228</v>
      </c>
      <c r="V38" s="438">
        <f t="shared" si="23"/>
        <v>1228</v>
      </c>
      <c r="W38" s="438">
        <f t="shared" si="23"/>
        <v>1228</v>
      </c>
      <c r="X38" s="438">
        <f t="shared" si="23"/>
        <v>1228</v>
      </c>
      <c r="Y38" s="438">
        <f t="shared" si="23"/>
        <v>1228</v>
      </c>
      <c r="Z38" s="438">
        <f t="shared" si="23"/>
        <v>1228</v>
      </c>
      <c r="AA38" s="438">
        <f t="shared" si="23"/>
        <v>1228</v>
      </c>
      <c r="AB38" s="438">
        <f t="shared" si="23"/>
        <v>1228</v>
      </c>
      <c r="AC38" s="438"/>
      <c r="AD38" s="438"/>
      <c r="AE38" s="438"/>
      <c r="AF38" s="438"/>
      <c r="AG38" s="438"/>
      <c r="AH38" s="438"/>
      <c r="AI38" s="438"/>
      <c r="AJ38" s="438"/>
      <c r="AK38" s="438"/>
      <c r="AL38" s="438"/>
      <c r="AM38" s="438"/>
      <c r="AN38" s="438"/>
      <c r="AO38" s="433" t="s">
        <v>360</v>
      </c>
    </row>
    <row r="39" spans="1:41" x14ac:dyDescent="0.35">
      <c r="C39" s="424"/>
      <c r="D39" s="424" t="s">
        <v>424</v>
      </c>
      <c r="E39" s="438">
        <f t="shared" ref="E39:AB39" si="24">IFERROR(E29,0)</f>
        <v>1320</v>
      </c>
      <c r="F39" s="438">
        <f t="shared" si="24"/>
        <v>1327.5</v>
      </c>
      <c r="G39" s="438">
        <f t="shared" si="24"/>
        <v>1340</v>
      </c>
      <c r="H39" s="438">
        <f t="shared" si="24"/>
        <v>1342.5</v>
      </c>
      <c r="I39" s="438">
        <f t="shared" si="24"/>
        <v>1346.5</v>
      </c>
      <c r="J39" s="438">
        <f t="shared" si="24"/>
        <v>1361.5</v>
      </c>
      <c r="K39" s="438">
        <f t="shared" si="24"/>
        <v>1377.5</v>
      </c>
      <c r="L39" s="438">
        <f t="shared" si="24"/>
        <v>1388.5</v>
      </c>
      <c r="M39" s="438">
        <f t="shared" si="24"/>
        <v>1408.5</v>
      </c>
      <c r="N39" s="438">
        <f t="shared" si="24"/>
        <v>1436.25</v>
      </c>
      <c r="O39" s="438">
        <f t="shared" si="24"/>
        <v>1453.75</v>
      </c>
      <c r="P39" s="438">
        <f t="shared" si="24"/>
        <v>1457.5</v>
      </c>
      <c r="Q39" s="438">
        <f t="shared" si="24"/>
        <v>1426.403125</v>
      </c>
      <c r="R39" s="438">
        <f t="shared" si="24"/>
        <v>1388.6447916666652</v>
      </c>
      <c r="S39" s="438">
        <f t="shared" si="24"/>
        <v>1353.5541666666652</v>
      </c>
      <c r="T39" s="438">
        <f t="shared" si="24"/>
        <v>1354.375</v>
      </c>
      <c r="U39" s="438">
        <f t="shared" si="24"/>
        <v>1359.3</v>
      </c>
      <c r="V39" s="438">
        <f t="shared" si="24"/>
        <v>1359.3</v>
      </c>
      <c r="W39" s="438">
        <f t="shared" si="24"/>
        <v>1359.3</v>
      </c>
      <c r="X39" s="438">
        <f t="shared" si="24"/>
        <v>1341.57</v>
      </c>
      <c r="Y39" s="438">
        <f t="shared" si="24"/>
        <v>1310.0574999999999</v>
      </c>
      <c r="Z39" s="438">
        <f t="shared" si="24"/>
        <v>1310.4775</v>
      </c>
      <c r="AA39" s="438">
        <f t="shared" si="24"/>
        <v>1310.8150000000001</v>
      </c>
      <c r="AB39" s="438">
        <f t="shared" si="24"/>
        <v>1310.996875</v>
      </c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3" t="s">
        <v>422</v>
      </c>
    </row>
    <row r="40" spans="1:41" x14ac:dyDescent="0.35">
      <c r="C40" s="424"/>
      <c r="D40" s="424" t="s">
        <v>412</v>
      </c>
      <c r="E40" s="438">
        <f t="shared" ref="E40:AB40" si="25">IFERROR(E30,0)</f>
        <v>1280</v>
      </c>
      <c r="F40" s="438">
        <f t="shared" si="25"/>
        <v>1280</v>
      </c>
      <c r="G40" s="438">
        <f t="shared" si="25"/>
        <v>1280</v>
      </c>
      <c r="H40" s="438">
        <f t="shared" si="25"/>
        <v>1280</v>
      </c>
      <c r="I40" s="438">
        <f t="shared" si="25"/>
        <v>1330</v>
      </c>
      <c r="J40" s="438">
        <f t="shared" si="25"/>
        <v>1330</v>
      </c>
      <c r="K40" s="438">
        <f t="shared" si="25"/>
        <v>1330</v>
      </c>
      <c r="L40" s="438">
        <f t="shared" si="25"/>
        <v>1330</v>
      </c>
      <c r="M40" s="438">
        <f t="shared" si="25"/>
        <v>1340</v>
      </c>
      <c r="N40" s="438">
        <f t="shared" si="25"/>
        <v>1355</v>
      </c>
      <c r="O40" s="438">
        <f t="shared" si="25"/>
        <v>1355</v>
      </c>
      <c r="P40" s="438">
        <f t="shared" si="25"/>
        <v>1305</v>
      </c>
      <c r="Q40" s="438">
        <f t="shared" si="25"/>
        <v>1260</v>
      </c>
      <c r="R40" s="438">
        <f t="shared" si="25"/>
        <v>1260</v>
      </c>
      <c r="S40" s="438">
        <f t="shared" si="25"/>
        <v>1260</v>
      </c>
      <c r="T40" s="438">
        <f t="shared" si="25"/>
        <v>1280</v>
      </c>
      <c r="U40" s="438">
        <f t="shared" si="25"/>
        <v>1280</v>
      </c>
      <c r="V40" s="438">
        <f t="shared" si="25"/>
        <v>1280</v>
      </c>
      <c r="W40" s="438">
        <f t="shared" si="25"/>
        <v>1280</v>
      </c>
      <c r="X40" s="438">
        <f t="shared" si="25"/>
        <v>1250</v>
      </c>
      <c r="Y40" s="438">
        <f t="shared" si="25"/>
        <v>1250</v>
      </c>
      <c r="Z40" s="438">
        <f t="shared" si="25"/>
        <v>1240</v>
      </c>
      <c r="AA40" s="438">
        <f t="shared" si="25"/>
        <v>1230</v>
      </c>
      <c r="AB40" s="438">
        <f t="shared" si="25"/>
        <v>1230</v>
      </c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3" t="s">
        <v>17</v>
      </c>
    </row>
    <row r="41" spans="1:41" x14ac:dyDescent="0.35">
      <c r="C41" s="424"/>
      <c r="D41" s="424" t="s">
        <v>413</v>
      </c>
      <c r="E41" s="438">
        <f t="shared" ref="E41:AB41" si="26">IFERROR(E31,0)</f>
        <v>930</v>
      </c>
      <c r="F41" s="438">
        <f t="shared" si="26"/>
        <v>943.33333333333337</v>
      </c>
      <c r="G41" s="438">
        <f t="shared" si="26"/>
        <v>940</v>
      </c>
      <c r="H41" s="438">
        <f t="shared" si="26"/>
        <v>940</v>
      </c>
      <c r="I41" s="438">
        <f t="shared" si="26"/>
        <v>942</v>
      </c>
      <c r="J41" s="438">
        <f t="shared" si="26"/>
        <v>950</v>
      </c>
      <c r="K41" s="438">
        <f t="shared" si="26"/>
        <v>947.5</v>
      </c>
      <c r="L41" s="438">
        <f t="shared" si="26"/>
        <v>930</v>
      </c>
      <c r="M41" s="438">
        <f t="shared" si="26"/>
        <v>880</v>
      </c>
      <c r="N41" s="438">
        <f t="shared" si="26"/>
        <v>862.5</v>
      </c>
      <c r="O41" s="438">
        <f t="shared" si="26"/>
        <v>852</v>
      </c>
      <c r="P41" s="438">
        <f t="shared" si="26"/>
        <v>830</v>
      </c>
      <c r="Q41" s="438">
        <f t="shared" si="26"/>
        <v>828</v>
      </c>
      <c r="R41" s="438">
        <f t="shared" si="26"/>
        <v>840</v>
      </c>
      <c r="S41" s="438">
        <f t="shared" si="26"/>
        <v>823</v>
      </c>
      <c r="T41" s="438">
        <f t="shared" si="26"/>
        <v>765</v>
      </c>
      <c r="U41" s="438">
        <f t="shared" si="26"/>
        <v>782</v>
      </c>
      <c r="V41" s="438">
        <f t="shared" si="26"/>
        <v>807.5</v>
      </c>
      <c r="W41" s="438">
        <f t="shared" si="26"/>
        <v>802</v>
      </c>
      <c r="X41" s="438">
        <f t="shared" si="26"/>
        <v>795</v>
      </c>
      <c r="Y41" s="438">
        <f t="shared" si="26"/>
        <v>783</v>
      </c>
      <c r="Z41" s="438">
        <f t="shared" si="26"/>
        <v>772</v>
      </c>
      <c r="AA41" s="438">
        <f t="shared" si="26"/>
        <v>770</v>
      </c>
      <c r="AB41" s="438">
        <f t="shared" si="26"/>
        <v>770</v>
      </c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3" t="s">
        <v>11</v>
      </c>
    </row>
    <row r="43" spans="1:41" ht="17" x14ac:dyDescent="0.4">
      <c r="C43" s="399" t="s">
        <v>29</v>
      </c>
      <c r="D43" s="399" t="s">
        <v>27</v>
      </c>
    </row>
    <row r="44" spans="1:41" x14ac:dyDescent="0.35">
      <c r="C44" s="41"/>
      <c r="D44" s="41"/>
      <c r="E44" s="41">
        <v>2024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>
        <v>2025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1:41" x14ac:dyDescent="0.35">
      <c r="C45" s="41"/>
      <c r="D45" s="41"/>
      <c r="E45" s="41">
        <v>1</v>
      </c>
      <c r="F45" s="41">
        <v>2</v>
      </c>
      <c r="G45" s="41">
        <v>3</v>
      </c>
      <c r="H45" s="41">
        <v>4</v>
      </c>
      <c r="I45" s="41">
        <v>5</v>
      </c>
      <c r="J45" s="41">
        <v>6</v>
      </c>
      <c r="K45" s="41">
        <v>7</v>
      </c>
      <c r="L45" s="41">
        <v>8</v>
      </c>
      <c r="M45" s="41">
        <v>9</v>
      </c>
      <c r="N45" s="41">
        <v>10</v>
      </c>
      <c r="O45" s="41">
        <v>11</v>
      </c>
      <c r="P45" s="41">
        <v>12</v>
      </c>
      <c r="Q45" s="41">
        <v>1</v>
      </c>
      <c r="R45" s="41">
        <v>2</v>
      </c>
      <c r="S45" s="41">
        <v>3</v>
      </c>
      <c r="T45" s="41">
        <v>4</v>
      </c>
      <c r="U45" s="41">
        <v>5</v>
      </c>
      <c r="V45" s="41">
        <v>6</v>
      </c>
      <c r="W45" s="41">
        <v>7</v>
      </c>
      <c r="X45" s="41">
        <v>8</v>
      </c>
      <c r="Y45" s="41">
        <v>9</v>
      </c>
      <c r="Z45" s="41">
        <v>10</v>
      </c>
      <c r="AA45" s="41">
        <v>11</v>
      </c>
      <c r="AB45" s="41">
        <v>12</v>
      </c>
      <c r="AC45" s="41">
        <v>1</v>
      </c>
      <c r="AD45" s="41">
        <v>2</v>
      </c>
      <c r="AE45" s="41">
        <v>3</v>
      </c>
      <c r="AF45" s="41">
        <v>4</v>
      </c>
      <c r="AG45" s="41">
        <v>5</v>
      </c>
      <c r="AH45" s="41">
        <v>6</v>
      </c>
      <c r="AI45" s="41">
        <v>7</v>
      </c>
      <c r="AJ45" s="41">
        <v>8</v>
      </c>
      <c r="AK45" s="41">
        <v>9</v>
      </c>
      <c r="AL45" s="41">
        <v>10</v>
      </c>
      <c r="AM45" s="41">
        <v>11</v>
      </c>
      <c r="AN45" s="41">
        <v>12</v>
      </c>
      <c r="AO45" s="41" t="s">
        <v>409</v>
      </c>
    </row>
    <row r="46" spans="1:41" x14ac:dyDescent="0.35">
      <c r="B46" s="14" t="s">
        <v>49</v>
      </c>
      <c r="C46" t="s">
        <v>29</v>
      </c>
      <c r="D46" t="s">
        <v>36</v>
      </c>
      <c r="E46" s="400" cm="1">
        <f t="array" ref="E46">IF(SUMPRODUCT('Giá công thức'!$G$11:$AD$106*('Giá công thức'!$A$11:$A$106=$B46)*('Giá công thức'!$B$11:$B$106=$C46)*('Giá công thức'!$C$11:$C$106="GB")*('Giá công thức'!$G$3:$AD$3=E$1)*('Giá công thức'!$G$4:$AD$4=E$2))=0,NA(),SUMPRODUCT('Giá công thức'!$G$11:$AD$106*('Giá công thức'!$A$11:$A$106=$B46)*('Giá công thức'!$B$11:$B$106=$C46)*('Giá công thức'!$C$11:$C$106="GB")*('Giá công thức'!$G$3:$AD$3=E$1)*('Giá công thức'!$G$4:$AD$4=E$2)))</f>
        <v>1315</v>
      </c>
      <c r="F46" s="400" cm="1">
        <f t="array" ref="F46">IF(SUMPRODUCT('Giá công thức'!$G$11:$AD$106*('Giá công thức'!$A$11:$A$106=$B46)*('Giá công thức'!$B$11:$B$106=$C46)*('Giá công thức'!$C$11:$C$106="GB")*('Giá công thức'!$G$3:$AD$3=F$1)*('Giá công thức'!$G$4:$AD$4=F$2))=0,NA(),SUMPRODUCT('Giá công thức'!$G$11:$AD$106*('Giá công thức'!$A$11:$A$106=$B46)*('Giá công thức'!$B$11:$B$106=$C46)*('Giá công thức'!$C$11:$C$106="GB")*('Giá công thức'!$G$3:$AD$3=F$1)*('Giá công thức'!$G$4:$AD$4=F$2)))</f>
        <v>1315</v>
      </c>
      <c r="G46" s="400" cm="1">
        <f t="array" ref="G46">IF(SUMPRODUCT('Giá công thức'!$G$11:$AD$106*('Giá công thức'!$A$11:$A$106=$B46)*('Giá công thức'!$B$11:$B$106=$C46)*('Giá công thức'!$C$11:$C$106="GB")*('Giá công thức'!$G$3:$AD$3=G$1)*('Giá công thức'!$G$4:$AD$4=G$2))=0,NA(),SUMPRODUCT('Giá công thức'!$G$11:$AD$106*('Giá công thức'!$A$11:$A$106=$B46)*('Giá công thức'!$B$11:$B$106=$C46)*('Giá công thức'!$C$11:$C$106="GB")*('Giá công thức'!$G$3:$AD$3=G$1)*('Giá công thức'!$G$4:$AD$4=G$2)))</f>
        <v>1315</v>
      </c>
      <c r="H46" s="400" cm="1">
        <f t="array" ref="H46">IF(SUMPRODUCT('Giá công thức'!$G$11:$AD$106*('Giá công thức'!$A$11:$A$106=$B46)*('Giá công thức'!$B$11:$B$106=$C46)*('Giá công thức'!$C$11:$C$106="GB")*('Giá công thức'!$G$3:$AD$3=H$1)*('Giá công thức'!$G$4:$AD$4=H$2))=0,NA(),SUMPRODUCT('Giá công thức'!$G$11:$AD$106*('Giá công thức'!$A$11:$A$106=$B46)*('Giá công thức'!$B$11:$B$106=$C46)*('Giá công thức'!$C$11:$C$106="GB")*('Giá công thức'!$G$3:$AD$3=H$1)*('Giá công thức'!$G$4:$AD$4=H$2)))</f>
        <v>1315</v>
      </c>
      <c r="I46" s="400" cm="1">
        <f t="array" ref="I46">IF(SUMPRODUCT('Giá công thức'!$G$11:$AD$106*('Giá công thức'!$A$11:$A$106=$B46)*('Giá công thức'!$B$11:$B$106=$C46)*('Giá công thức'!$C$11:$C$106="GB")*('Giá công thức'!$G$3:$AD$3=I$1)*('Giá công thức'!$G$4:$AD$4=I$2))=0,NA(),SUMPRODUCT('Giá công thức'!$G$11:$AD$106*('Giá công thức'!$A$11:$A$106=$B46)*('Giá công thức'!$B$11:$B$106=$C46)*('Giá công thức'!$C$11:$C$106="GB")*('Giá công thức'!$G$3:$AD$3=I$1)*('Giá công thức'!$G$4:$AD$4=I$2)))</f>
        <v>1315</v>
      </c>
      <c r="J46" s="400" cm="1">
        <f t="array" ref="J46">IF(SUMPRODUCT('Giá công thức'!$G$11:$AD$106*('Giá công thức'!$A$11:$A$106=$B46)*('Giá công thức'!$B$11:$B$106=$C46)*('Giá công thức'!$C$11:$C$106="GB")*('Giá công thức'!$G$3:$AD$3=J$1)*('Giá công thức'!$G$4:$AD$4=J$2))=0,NA(),SUMPRODUCT('Giá công thức'!$G$11:$AD$106*('Giá công thức'!$A$11:$A$106=$B46)*('Giá công thức'!$B$11:$B$106=$C46)*('Giá công thức'!$C$11:$C$106="GB")*('Giá công thức'!$G$3:$AD$3=J$1)*('Giá công thức'!$G$4:$AD$4=J$2)))</f>
        <v>1315</v>
      </c>
      <c r="K46" s="400" cm="1">
        <f t="array" ref="K46">IF(SUMPRODUCT('Giá công thức'!$G$11:$AD$106*('Giá công thức'!$A$11:$A$106=$B46)*('Giá công thức'!$B$11:$B$106=$C46)*('Giá công thức'!$C$11:$C$106="GB")*('Giá công thức'!$G$3:$AD$3=K$1)*('Giá công thức'!$G$4:$AD$4=K$2))=0,NA(),SUMPRODUCT('Giá công thức'!$G$11:$AD$106*('Giá công thức'!$A$11:$A$106=$B46)*('Giá công thức'!$B$11:$B$106=$C46)*('Giá công thức'!$C$11:$C$106="GB")*('Giá công thức'!$G$3:$AD$3=K$1)*('Giá công thức'!$G$4:$AD$4=K$2)))</f>
        <v>1315</v>
      </c>
      <c r="L46" s="400" cm="1">
        <f t="array" ref="L46">IF(SUMPRODUCT('Giá công thức'!$G$11:$AD$106*('Giá công thức'!$A$11:$A$106=$B46)*('Giá công thức'!$B$11:$B$106=$C46)*('Giá công thức'!$C$11:$C$106="GB")*('Giá công thức'!$G$3:$AD$3=L$1)*('Giá công thức'!$G$4:$AD$4=L$2))=0,NA(),SUMPRODUCT('Giá công thức'!$G$11:$AD$106*('Giá công thức'!$A$11:$A$106=$B46)*('Giá công thức'!$B$11:$B$106=$C46)*('Giá công thức'!$C$11:$C$106="GB")*('Giá công thức'!$G$3:$AD$3=L$1)*('Giá công thức'!$G$4:$AD$4=L$2)))</f>
        <v>1315</v>
      </c>
      <c r="M46" s="400" cm="1">
        <f t="array" ref="M46">IF(SUMPRODUCT('Giá công thức'!$G$11:$AD$106*('Giá công thức'!$A$11:$A$106=$B46)*('Giá công thức'!$B$11:$B$106=$C46)*('Giá công thức'!$C$11:$C$106="GB")*('Giá công thức'!$G$3:$AD$3=M$1)*('Giá công thức'!$G$4:$AD$4=M$2))=0,NA(),SUMPRODUCT('Giá công thức'!$G$11:$AD$106*('Giá công thức'!$A$11:$A$106=$B46)*('Giá công thức'!$B$11:$B$106=$C46)*('Giá công thức'!$C$11:$C$106="GB")*('Giá công thức'!$G$3:$AD$3=M$1)*('Giá công thức'!$G$4:$AD$4=M$2)))</f>
        <v>1315</v>
      </c>
      <c r="N46" s="400" cm="1">
        <f t="array" ref="N46">IF(SUMPRODUCT('Giá công thức'!$G$11:$AD$106*('Giá công thức'!$A$11:$A$106=$B46)*('Giá công thức'!$B$11:$B$106=$C46)*('Giá công thức'!$C$11:$C$106="GB")*('Giá công thức'!$G$3:$AD$3=N$1)*('Giá công thức'!$G$4:$AD$4=N$2))=0,NA(),SUMPRODUCT('Giá công thức'!$G$11:$AD$106*('Giá công thức'!$A$11:$A$106=$B46)*('Giá công thức'!$B$11:$B$106=$C46)*('Giá công thức'!$C$11:$C$106="GB")*('Giá công thức'!$G$3:$AD$3=N$1)*('Giá công thức'!$G$4:$AD$4=N$2)))</f>
        <v>1315</v>
      </c>
      <c r="O46" s="400" cm="1">
        <f t="array" ref="O46">IF(SUMPRODUCT('Giá công thức'!$G$11:$AD$106*('Giá công thức'!$A$11:$A$106=$B46)*('Giá công thức'!$B$11:$B$106=$C46)*('Giá công thức'!$C$11:$C$106="GB")*('Giá công thức'!$G$3:$AD$3=O$1)*('Giá công thức'!$G$4:$AD$4=O$2))=0,NA(),SUMPRODUCT('Giá công thức'!$G$11:$AD$106*('Giá công thức'!$A$11:$A$106=$B46)*('Giá công thức'!$B$11:$B$106=$C46)*('Giá công thức'!$C$11:$C$106="GB")*('Giá công thức'!$G$3:$AD$3=O$1)*('Giá công thức'!$G$4:$AD$4=O$2)))</f>
        <v>1315</v>
      </c>
      <c r="P46" s="400" cm="1">
        <f t="array" ref="P46">IF(SUMPRODUCT('Giá công thức'!$G$11:$AD$106*('Giá công thức'!$A$11:$A$106=$B46)*('Giá công thức'!$B$11:$B$106=$C46)*('Giá công thức'!$C$11:$C$106="GB")*('Giá công thức'!$G$3:$AD$3=P$1)*('Giá công thức'!$G$4:$AD$4=P$2))=0,NA(),SUMPRODUCT('Giá công thức'!$G$11:$AD$106*('Giá công thức'!$A$11:$A$106=$B46)*('Giá công thức'!$B$11:$B$106=$C46)*('Giá công thức'!$C$11:$C$106="GB")*('Giá công thức'!$G$3:$AD$3=P$1)*('Giá công thức'!$G$4:$AD$4=P$2)))</f>
        <v>1315</v>
      </c>
      <c r="Q46" s="400" cm="1">
        <f t="array" ref="Q46">IF(SUMPRODUCT('Giá công thức'!$G$11:$AD$106*('Giá công thức'!$A$11:$A$106=$B46)*('Giá công thức'!$B$11:$B$106=$C46)*('Giá công thức'!$C$11:$C$106="GB")*('Giá công thức'!$G$3:$AD$3=Q$1)*('Giá công thức'!$G$4:$AD$4=Q$2))=0,NA(),SUMPRODUCT('Giá công thức'!$G$11:$AD$106*('Giá công thức'!$A$11:$A$106=$B46)*('Giá công thức'!$B$11:$B$106=$C46)*('Giá công thức'!$C$11:$C$106="GB")*('Giá công thức'!$G$3:$AD$3=Q$1)*('Giá công thức'!$G$4:$AD$4=Q$2)))</f>
        <v>1348.3</v>
      </c>
      <c r="R46" s="400" cm="1">
        <f t="array" ref="R46">IF(SUMPRODUCT('Giá công thức'!$G$11:$AD$106*('Giá công thức'!$A$11:$A$106=$B46)*('Giá công thức'!$B$11:$B$106=$C46)*('Giá công thức'!$C$11:$C$106="GB")*('Giá công thức'!$G$3:$AD$3=R$1)*('Giá công thức'!$G$4:$AD$4=R$2))=0,NA(),SUMPRODUCT('Giá công thức'!$G$11:$AD$106*('Giá công thức'!$A$11:$A$106=$B46)*('Giá công thức'!$B$11:$B$106=$C46)*('Giá công thức'!$C$11:$C$106="GB")*('Giá công thức'!$G$3:$AD$3=R$1)*('Giá công thức'!$G$4:$AD$4=R$2)))</f>
        <v>1348.3</v>
      </c>
      <c r="S46" s="400" cm="1">
        <f t="array" ref="S46">IF(SUMPRODUCT('Giá công thức'!$G$11:$AD$106*('Giá công thức'!$A$11:$A$106=$B46)*('Giá công thức'!$B$11:$B$106=$C46)*('Giá công thức'!$C$11:$C$106="GB")*('Giá công thức'!$G$3:$AD$3=S$1)*('Giá công thức'!$G$4:$AD$4=S$2))=0,NA(),SUMPRODUCT('Giá công thức'!$G$11:$AD$106*('Giá công thức'!$A$11:$A$106=$B46)*('Giá công thức'!$B$11:$B$106=$C46)*('Giá công thức'!$C$11:$C$106="GB")*('Giá công thức'!$G$3:$AD$3=S$1)*('Giá công thức'!$G$4:$AD$4=S$2)))</f>
        <v>1348.3</v>
      </c>
      <c r="T46" s="400" cm="1">
        <f t="array" ref="T46">IF(SUMPRODUCT('Giá công thức'!$G$11:$AD$106*('Giá công thức'!$A$11:$A$106=$B46)*('Giá công thức'!$B$11:$B$106=$C46)*('Giá công thức'!$C$11:$C$106="GB")*('Giá công thức'!$G$3:$AD$3=T$1)*('Giá công thức'!$G$4:$AD$4=T$2))=0,NA(),SUMPRODUCT('Giá công thức'!$G$11:$AD$106*('Giá công thức'!$A$11:$A$106=$B46)*('Giá công thức'!$B$11:$B$106=$C46)*('Giá công thức'!$C$11:$C$106="GB")*('Giá công thức'!$G$3:$AD$3=T$1)*('Giá công thức'!$G$4:$AD$4=T$2)))</f>
        <v>1348.3</v>
      </c>
      <c r="U46" s="400" cm="1">
        <f t="array" ref="U46">IF(SUMPRODUCT('Giá công thức'!$G$11:$AD$106*('Giá công thức'!$A$11:$A$106=$B46)*('Giá công thức'!$B$11:$B$106=$C46)*('Giá công thức'!$C$11:$C$106="GB")*('Giá công thức'!$G$3:$AD$3=U$1)*('Giá công thức'!$G$4:$AD$4=U$2))=0,NA(),SUMPRODUCT('Giá công thức'!$G$11:$AD$106*('Giá công thức'!$A$11:$A$106=$B46)*('Giá công thức'!$B$11:$B$106=$C46)*('Giá công thức'!$C$11:$C$106="GB")*('Giá công thức'!$G$3:$AD$3=U$1)*('Giá công thức'!$G$4:$AD$4=U$2)))</f>
        <v>1348.3</v>
      </c>
      <c r="V46" s="400" cm="1">
        <f t="array" ref="V46">IF(SUMPRODUCT('Giá công thức'!$G$11:$AD$106*('Giá công thức'!$A$11:$A$106=$B46)*('Giá công thức'!$B$11:$B$106=$C46)*('Giá công thức'!$C$11:$C$106="GB")*('Giá công thức'!$G$3:$AD$3=V$1)*('Giá công thức'!$G$4:$AD$4=V$2))=0,NA(),SUMPRODUCT('Giá công thức'!$G$11:$AD$106*('Giá công thức'!$A$11:$A$106=$B46)*('Giá công thức'!$B$11:$B$106=$C46)*('Giá công thức'!$C$11:$C$106="GB")*('Giá công thức'!$G$3:$AD$3=V$1)*('Giá công thức'!$G$4:$AD$4=V$2)))</f>
        <v>1348.3</v>
      </c>
      <c r="W46" s="400" cm="1">
        <f t="array" ref="W46">IF(SUMPRODUCT('Giá công thức'!$G$11:$AD$106*('Giá công thức'!$A$11:$A$106=$B46)*('Giá công thức'!$B$11:$B$106=$C46)*('Giá công thức'!$C$11:$C$106="GB")*('Giá công thức'!$G$3:$AD$3=W$1)*('Giá công thức'!$G$4:$AD$4=W$2))=0,NA(),SUMPRODUCT('Giá công thức'!$G$11:$AD$106*('Giá công thức'!$A$11:$A$106=$B46)*('Giá công thức'!$B$11:$B$106=$C46)*('Giá công thức'!$C$11:$C$106="GB")*('Giá công thức'!$G$3:$AD$3=W$1)*('Giá công thức'!$G$4:$AD$4=W$2)))</f>
        <v>1348.3</v>
      </c>
      <c r="X46" s="400" cm="1">
        <f t="array" ref="X46">IF(SUMPRODUCT('Giá công thức'!$G$11:$AD$106*('Giá công thức'!$A$11:$A$106=$B46)*('Giá công thức'!$B$11:$B$106=$C46)*('Giá công thức'!$C$11:$C$106="GB")*('Giá công thức'!$G$3:$AD$3=X$1)*('Giá công thức'!$G$4:$AD$4=X$2))=0,NA(),SUMPRODUCT('Giá công thức'!$G$11:$AD$106*('Giá công thức'!$A$11:$A$106=$B46)*('Giá công thức'!$B$11:$B$106=$C46)*('Giá công thức'!$C$11:$C$106="GB")*('Giá công thức'!$G$3:$AD$3=X$1)*('Giá công thức'!$G$4:$AD$4=X$2)))</f>
        <v>1348.3</v>
      </c>
      <c r="Y46" s="400" cm="1">
        <f t="array" ref="Y46">IF(SUMPRODUCT('Giá công thức'!$G$11:$AD$106*('Giá công thức'!$A$11:$A$106=$B46)*('Giá công thức'!$B$11:$B$106=$C46)*('Giá công thức'!$C$11:$C$106="GB")*('Giá công thức'!$G$3:$AD$3=Y$1)*('Giá công thức'!$G$4:$AD$4=Y$2))=0,NA(),SUMPRODUCT('Giá công thức'!$G$11:$AD$106*('Giá công thức'!$A$11:$A$106=$B46)*('Giá công thức'!$B$11:$B$106=$C46)*('Giá công thức'!$C$11:$C$106="GB")*('Giá công thức'!$G$3:$AD$3=Y$1)*('Giá công thức'!$G$4:$AD$4=Y$2)))</f>
        <v>1348.3</v>
      </c>
      <c r="Z46" s="400" cm="1">
        <f t="array" ref="Z46">IF(SUMPRODUCT('Giá công thức'!$G$11:$AD$106*('Giá công thức'!$A$11:$A$106=$B46)*('Giá công thức'!$B$11:$B$106=$C46)*('Giá công thức'!$C$11:$C$106="GB")*('Giá công thức'!$G$3:$AD$3=Z$1)*('Giá công thức'!$G$4:$AD$4=Z$2))=0,NA(),SUMPRODUCT('Giá công thức'!$G$11:$AD$106*('Giá công thức'!$A$11:$A$106=$B46)*('Giá công thức'!$B$11:$B$106=$C46)*('Giá công thức'!$C$11:$C$106="GB")*('Giá công thức'!$G$3:$AD$3=Z$1)*('Giá công thức'!$G$4:$AD$4=Z$2)))</f>
        <v>1348.3</v>
      </c>
      <c r="AA46" s="400" cm="1">
        <f t="array" ref="AA46">IF(SUMPRODUCT('Giá công thức'!$G$11:$AD$106*('Giá công thức'!$A$11:$A$106=$B46)*('Giá công thức'!$B$11:$B$106=$C46)*('Giá công thức'!$C$11:$C$106="GB")*('Giá công thức'!$G$3:$AD$3=AA$1)*('Giá công thức'!$G$4:$AD$4=AA$2))=0,NA(),SUMPRODUCT('Giá công thức'!$G$11:$AD$106*('Giá công thức'!$A$11:$A$106=$B46)*('Giá công thức'!$B$11:$B$106=$C46)*('Giá công thức'!$C$11:$C$106="GB")*('Giá công thức'!$G$3:$AD$3=AA$1)*('Giá công thức'!$G$4:$AD$4=AA$2)))</f>
        <v>1348.3</v>
      </c>
      <c r="AB46" s="400" cm="1">
        <f t="array" ref="AB46">IF(SUMPRODUCT('Giá công thức'!$G$11:$AD$106*('Giá công thức'!$A$11:$A$106=$B46)*('Giá công thức'!$B$11:$B$106=$C46)*('Giá công thức'!$C$11:$C$106="GB")*('Giá công thức'!$G$3:$AD$3=AB$1)*('Giá công thức'!$G$4:$AD$4=AB$2))=0,NA(),SUMPRODUCT('Giá công thức'!$G$11:$AD$106*('Giá công thức'!$A$11:$A$106=$B46)*('Giá công thức'!$B$11:$B$106=$C46)*('Giá công thức'!$C$11:$C$106="GB")*('Giá công thức'!$G$3:$AD$3=AB$1)*('Giá công thức'!$G$4:$AD$4=AB$2)))</f>
        <v>1348.3</v>
      </c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>
        <f t="shared" ref="AO46:AO49" si="27">INDEX($E46:$AB46,MATCH("X",$E$3:$AB$3,0))</f>
        <v>1348.3</v>
      </c>
    </row>
    <row r="47" spans="1:41" x14ac:dyDescent="0.35">
      <c r="B47" s="14" t="s">
        <v>40</v>
      </c>
      <c r="C47" t="s">
        <v>29</v>
      </c>
      <c r="D47" t="s">
        <v>26</v>
      </c>
      <c r="E47" s="400" cm="1">
        <f t="array" ref="E47">IF(SUMPRODUCT('Giá công thức'!$G$11:$AD$106*('Giá công thức'!$A$11:$A$106=$B47)*('Giá công thức'!$B$11:$B$106=$C47)*('Giá công thức'!$C$11:$C$106="GB")*('Giá công thức'!$G$3:$AD$3=E$1)*('Giá công thức'!$G$4:$AD$4=E$2))=0,NA(),SUMPRODUCT('Giá công thức'!$G$11:$AD$106*('Giá công thức'!$A$11:$A$106=$B47)*('Giá công thức'!$B$11:$B$106=$C47)*('Giá công thức'!$C$11:$C$106="GB")*('Giá công thức'!$G$3:$AD$3=E$1)*('Giá công thức'!$G$4:$AD$4=E$2)))</f>
        <v>1340</v>
      </c>
      <c r="F47" s="400" cm="1">
        <f t="array" ref="F47">IF(SUMPRODUCT('Giá công thức'!$G$11:$AD$106*('Giá công thức'!$A$11:$A$106=$B47)*('Giá công thức'!$B$11:$B$106=$C47)*('Giá công thức'!$C$11:$C$106="GB")*('Giá công thức'!$G$3:$AD$3=F$1)*('Giá công thức'!$G$4:$AD$4=F$2))=0,NA(),SUMPRODUCT('Giá công thức'!$G$11:$AD$106*('Giá công thức'!$A$11:$A$106=$B47)*('Giá công thức'!$B$11:$B$106=$C47)*('Giá công thức'!$C$11:$C$106="GB")*('Giá công thức'!$G$3:$AD$3=F$1)*('Giá công thức'!$G$4:$AD$4=F$2)))</f>
        <v>1347.5</v>
      </c>
      <c r="G47" s="400" cm="1">
        <f t="array" ref="G47">IF(SUMPRODUCT('Giá công thức'!$G$11:$AD$106*('Giá công thức'!$A$11:$A$106=$B47)*('Giá công thức'!$B$11:$B$106=$C47)*('Giá công thức'!$C$11:$C$106="GB")*('Giá công thức'!$G$3:$AD$3=G$1)*('Giá công thức'!$G$4:$AD$4=G$2))=0,NA(),SUMPRODUCT('Giá công thức'!$G$11:$AD$106*('Giá công thức'!$A$11:$A$106=$B47)*('Giá công thức'!$B$11:$B$106=$C47)*('Giá công thức'!$C$11:$C$106="GB")*('Giá công thức'!$G$3:$AD$3=G$1)*('Giá công thức'!$G$4:$AD$4=G$2)))</f>
        <v>1360</v>
      </c>
      <c r="H47" s="400" cm="1">
        <f t="array" ref="H47">IF(SUMPRODUCT('Giá công thức'!$G$11:$AD$106*('Giá công thức'!$A$11:$A$106=$B47)*('Giá công thức'!$B$11:$B$106=$C47)*('Giá công thức'!$C$11:$C$106="GB")*('Giá công thức'!$G$3:$AD$3=H$1)*('Giá công thức'!$G$4:$AD$4=H$2))=0,NA(),SUMPRODUCT('Giá công thức'!$G$11:$AD$106*('Giá công thức'!$A$11:$A$106=$B47)*('Giá công thức'!$B$11:$B$106=$C47)*('Giá công thức'!$C$11:$C$106="GB")*('Giá công thức'!$G$3:$AD$3=H$1)*('Giá công thức'!$G$4:$AD$4=H$2)))</f>
        <v>1362.5</v>
      </c>
      <c r="I47" s="400" cm="1">
        <f t="array" ref="I47">IF(SUMPRODUCT('Giá công thức'!$G$11:$AD$106*('Giá công thức'!$A$11:$A$106=$B47)*('Giá công thức'!$B$11:$B$106=$C47)*('Giá công thức'!$C$11:$C$106="GB")*('Giá công thức'!$G$3:$AD$3=I$1)*('Giá công thức'!$G$4:$AD$4=I$2))=0,NA(),SUMPRODUCT('Giá công thức'!$G$11:$AD$106*('Giá công thức'!$A$11:$A$106=$B47)*('Giá công thức'!$B$11:$B$106=$C47)*('Giá công thức'!$C$11:$C$106="GB")*('Giá công thức'!$G$3:$AD$3=I$1)*('Giá công thức'!$G$4:$AD$4=I$2)))</f>
        <v>1366.5</v>
      </c>
      <c r="J47" s="400" cm="1">
        <f t="array" ref="J47">IF(SUMPRODUCT('Giá công thức'!$G$11:$AD$106*('Giá công thức'!$A$11:$A$106=$B47)*('Giá công thức'!$B$11:$B$106=$C47)*('Giá công thức'!$C$11:$C$106="GB")*('Giá công thức'!$G$3:$AD$3=J$1)*('Giá công thức'!$G$4:$AD$4=J$2))=0,NA(),SUMPRODUCT('Giá công thức'!$G$11:$AD$106*('Giá công thức'!$A$11:$A$106=$B47)*('Giá công thức'!$B$11:$B$106=$C47)*('Giá công thức'!$C$11:$C$106="GB")*('Giá công thức'!$G$3:$AD$3=J$1)*('Giá công thức'!$G$4:$AD$4=J$2)))</f>
        <v>1381.5</v>
      </c>
      <c r="K47" s="400" cm="1">
        <f t="array" ref="K47">IF(SUMPRODUCT('Giá công thức'!$G$11:$AD$106*('Giá công thức'!$A$11:$A$106=$B47)*('Giá công thức'!$B$11:$B$106=$C47)*('Giá công thức'!$C$11:$C$106="GB")*('Giá công thức'!$G$3:$AD$3=K$1)*('Giá công thức'!$G$4:$AD$4=K$2))=0,NA(),SUMPRODUCT('Giá công thức'!$G$11:$AD$106*('Giá công thức'!$A$11:$A$106=$B47)*('Giá công thức'!$B$11:$B$106=$C47)*('Giá công thức'!$C$11:$C$106="GB")*('Giá công thức'!$G$3:$AD$3=K$1)*('Giá công thức'!$G$4:$AD$4=K$2)))</f>
        <v>1397.5</v>
      </c>
      <c r="L47" s="400" cm="1">
        <f t="array" ref="L47">IF(SUMPRODUCT('Giá công thức'!$G$11:$AD$106*('Giá công thức'!$A$11:$A$106=$B47)*('Giá công thức'!$B$11:$B$106=$C47)*('Giá công thức'!$C$11:$C$106="GB")*('Giá công thức'!$G$3:$AD$3=L$1)*('Giá công thức'!$G$4:$AD$4=L$2))=0,NA(),SUMPRODUCT('Giá công thức'!$G$11:$AD$106*('Giá công thức'!$A$11:$A$106=$B47)*('Giá công thức'!$B$11:$B$106=$C47)*('Giá công thức'!$C$11:$C$106="GB")*('Giá công thức'!$G$3:$AD$3=L$1)*('Giá công thức'!$G$4:$AD$4=L$2)))</f>
        <v>1408.5</v>
      </c>
      <c r="M47" s="400" cm="1">
        <f t="array" ref="M47">IF(SUMPRODUCT('Giá công thức'!$G$11:$AD$106*('Giá công thức'!$A$11:$A$106=$B47)*('Giá công thức'!$B$11:$B$106=$C47)*('Giá công thức'!$C$11:$C$106="GB")*('Giá công thức'!$G$3:$AD$3=M$1)*('Giá công thức'!$G$4:$AD$4=M$2))=0,NA(),SUMPRODUCT('Giá công thức'!$G$11:$AD$106*('Giá công thức'!$A$11:$A$106=$B47)*('Giá công thức'!$B$11:$B$106=$C47)*('Giá công thức'!$C$11:$C$106="GB")*('Giá công thức'!$G$3:$AD$3=M$1)*('Giá công thức'!$G$4:$AD$4=M$2)))</f>
        <v>1428.5</v>
      </c>
      <c r="N47" s="400" cm="1">
        <f t="array" ref="N47">IF(SUMPRODUCT('Giá công thức'!$G$11:$AD$106*('Giá công thức'!$A$11:$A$106=$B47)*('Giá công thức'!$B$11:$B$106=$C47)*('Giá công thức'!$C$11:$C$106="GB")*('Giá công thức'!$G$3:$AD$3=N$1)*('Giá công thức'!$G$4:$AD$4=N$2))=0,NA(),SUMPRODUCT('Giá công thức'!$G$11:$AD$106*('Giá công thức'!$A$11:$A$106=$B47)*('Giá công thức'!$B$11:$B$106=$C47)*('Giá công thức'!$C$11:$C$106="GB")*('Giá công thức'!$G$3:$AD$3=N$1)*('Giá công thức'!$G$4:$AD$4=N$2)))</f>
        <v>1456.25</v>
      </c>
      <c r="O47" s="400" cm="1">
        <f t="array" ref="O47">IF(SUMPRODUCT('Giá công thức'!$G$11:$AD$106*('Giá công thức'!$A$11:$A$106=$B47)*('Giá công thức'!$B$11:$B$106=$C47)*('Giá công thức'!$C$11:$C$106="GB")*('Giá công thức'!$G$3:$AD$3=O$1)*('Giá công thức'!$G$4:$AD$4=O$2))=0,NA(),SUMPRODUCT('Giá công thức'!$G$11:$AD$106*('Giá công thức'!$A$11:$A$106=$B47)*('Giá công thức'!$B$11:$B$106=$C47)*('Giá công thức'!$C$11:$C$106="GB")*('Giá công thức'!$G$3:$AD$3=O$1)*('Giá công thức'!$G$4:$AD$4=O$2)))</f>
        <v>1473.75</v>
      </c>
      <c r="P47" s="400" cm="1">
        <f t="array" ref="P47">IF(SUMPRODUCT('Giá công thức'!$G$11:$AD$106*('Giá công thức'!$A$11:$A$106=$B47)*('Giá công thức'!$B$11:$B$106=$C47)*('Giá công thức'!$C$11:$C$106="GB")*('Giá công thức'!$G$3:$AD$3=P$1)*('Giá công thức'!$G$4:$AD$4=P$2))=0,NA(),SUMPRODUCT('Giá công thức'!$G$11:$AD$106*('Giá công thức'!$A$11:$A$106=$B47)*('Giá công thức'!$B$11:$B$106=$C47)*('Giá công thức'!$C$11:$C$106="GB")*('Giá công thức'!$G$3:$AD$3=P$1)*('Giá công thức'!$G$4:$AD$4=P$2)))</f>
        <v>1477.5</v>
      </c>
      <c r="Q47" s="400" cm="1">
        <f t="array" ref="Q47">IF(SUMPRODUCT('Giá công thức'!$G$11:$AD$106*('Giá công thức'!$A$11:$A$106=$B47)*('Giá công thức'!$B$11:$B$106=$C47)*('Giá công thức'!$C$11:$C$106="GB")*('Giá công thức'!$G$3:$AD$3=Q$1)*('Giá công thức'!$G$4:$AD$4=Q$2))=0,NA(),SUMPRODUCT('Giá công thức'!$G$11:$AD$106*('Giá công thức'!$A$11:$A$106=$B47)*('Giá công thức'!$B$11:$B$106=$C47)*('Giá công thức'!$C$11:$C$106="GB")*('Giá công thức'!$G$3:$AD$3=Q$1)*('Giá công thức'!$G$4:$AD$4=Q$2)))</f>
        <v>1426.403125</v>
      </c>
      <c r="R47" s="400" cm="1">
        <f t="array" ref="R47">IF(SUMPRODUCT('Giá công thức'!$G$11:$AD$106*('Giá công thức'!$A$11:$A$106=$B47)*('Giá công thức'!$B$11:$B$106=$C47)*('Giá công thức'!$C$11:$C$106="GB")*('Giá công thức'!$G$3:$AD$3=R$1)*('Giá công thức'!$G$4:$AD$4=R$2))=0,NA(),SUMPRODUCT('Giá công thức'!$G$11:$AD$106*('Giá công thức'!$A$11:$A$106=$B47)*('Giá công thức'!$B$11:$B$106=$C47)*('Giá công thức'!$C$11:$C$106="GB")*('Giá công thức'!$G$3:$AD$3=R$1)*('Giá công thức'!$G$4:$AD$4=R$2)))</f>
        <v>1388.6447916666652</v>
      </c>
      <c r="S47" s="400" cm="1">
        <f t="array" ref="S47">IF(SUMPRODUCT('Giá công thức'!$G$11:$AD$106*('Giá công thức'!$A$11:$A$106=$B47)*('Giá công thức'!$B$11:$B$106=$C47)*('Giá công thức'!$C$11:$C$106="GB")*('Giá công thức'!$G$3:$AD$3=S$1)*('Giá công thức'!$G$4:$AD$4=S$2))=0,NA(),SUMPRODUCT('Giá công thức'!$G$11:$AD$106*('Giá công thức'!$A$11:$A$106=$B47)*('Giá công thức'!$B$11:$B$106=$C47)*('Giá công thức'!$C$11:$C$106="GB")*('Giá công thức'!$G$3:$AD$3=S$1)*('Giá công thức'!$G$4:$AD$4=S$2)))</f>
        <v>1353.5541666666652</v>
      </c>
      <c r="T47" s="400" cm="1">
        <f t="array" ref="T47">IF(SUMPRODUCT('Giá công thức'!$G$11:$AD$106*('Giá công thức'!$A$11:$A$106=$B47)*('Giá công thức'!$B$11:$B$106=$C47)*('Giá công thức'!$C$11:$C$106="GB")*('Giá công thức'!$G$3:$AD$3=T$1)*('Giá công thức'!$G$4:$AD$4=T$2))=0,NA(),SUMPRODUCT('Giá công thức'!$G$11:$AD$106*('Giá công thức'!$A$11:$A$106=$B47)*('Giá công thức'!$B$11:$B$106=$C47)*('Giá công thức'!$C$11:$C$106="GB")*('Giá công thức'!$G$3:$AD$3=T$1)*('Giá công thức'!$G$4:$AD$4=T$2)))</f>
        <v>1354.375</v>
      </c>
      <c r="U47" s="400" cm="1">
        <f t="array" ref="U47">IF(SUMPRODUCT('Giá công thức'!$G$11:$AD$106*('Giá công thức'!$A$11:$A$106=$B47)*('Giá công thức'!$B$11:$B$106=$C47)*('Giá công thức'!$C$11:$C$106="GB")*('Giá công thức'!$G$3:$AD$3=U$1)*('Giá công thức'!$G$4:$AD$4=U$2))=0,NA(),SUMPRODUCT('Giá công thức'!$G$11:$AD$106*('Giá công thức'!$A$11:$A$106=$B47)*('Giá công thức'!$B$11:$B$106=$C47)*('Giá công thức'!$C$11:$C$106="GB")*('Giá công thức'!$G$3:$AD$3=U$1)*('Giá công thức'!$G$4:$AD$4=U$2)))</f>
        <v>1359.3</v>
      </c>
      <c r="V47" s="400" cm="1">
        <f t="array" ref="V47">IF(SUMPRODUCT('Giá công thức'!$G$11:$AD$106*('Giá công thức'!$A$11:$A$106=$B47)*('Giá công thức'!$B$11:$B$106=$C47)*('Giá công thức'!$C$11:$C$106="GB")*('Giá công thức'!$G$3:$AD$3=V$1)*('Giá công thức'!$G$4:$AD$4=V$2))=0,NA(),SUMPRODUCT('Giá công thức'!$G$11:$AD$106*('Giá công thức'!$A$11:$A$106=$B47)*('Giá công thức'!$B$11:$B$106=$C47)*('Giá công thức'!$C$11:$C$106="GB")*('Giá công thức'!$G$3:$AD$3=V$1)*('Giá công thức'!$G$4:$AD$4=V$2)))</f>
        <v>1359.3</v>
      </c>
      <c r="W47" s="400" cm="1">
        <f t="array" ref="W47">IF(SUMPRODUCT('Giá công thức'!$G$11:$AD$106*('Giá công thức'!$A$11:$A$106=$B47)*('Giá công thức'!$B$11:$B$106=$C47)*('Giá công thức'!$C$11:$C$106="GB")*('Giá công thức'!$G$3:$AD$3=W$1)*('Giá công thức'!$G$4:$AD$4=W$2))=0,NA(),SUMPRODUCT('Giá công thức'!$G$11:$AD$106*('Giá công thức'!$A$11:$A$106=$B47)*('Giá công thức'!$B$11:$B$106=$C47)*('Giá công thức'!$C$11:$C$106="GB")*('Giá công thức'!$G$3:$AD$3=W$1)*('Giá công thức'!$G$4:$AD$4=W$2)))</f>
        <v>1359.3</v>
      </c>
      <c r="X47" s="400" cm="1">
        <f t="array" ref="X47">IF(SUMPRODUCT('Giá công thức'!$G$11:$AD$106*('Giá công thức'!$A$11:$A$106=$B47)*('Giá công thức'!$B$11:$B$106=$C47)*('Giá công thức'!$C$11:$C$106="GB")*('Giá công thức'!$G$3:$AD$3=X$1)*('Giá công thức'!$G$4:$AD$4=X$2))=0,NA(),SUMPRODUCT('Giá công thức'!$G$11:$AD$106*('Giá công thức'!$A$11:$A$106=$B47)*('Giá công thức'!$B$11:$B$106=$C47)*('Giá công thức'!$C$11:$C$106="GB")*('Giá công thức'!$G$3:$AD$3=X$1)*('Giá công thức'!$G$4:$AD$4=X$2)))</f>
        <v>1341.57</v>
      </c>
      <c r="Y47" s="400" cm="1">
        <f t="array" ref="Y47">IF(SUMPRODUCT('Giá công thức'!$G$11:$AD$106*('Giá công thức'!$A$11:$A$106=$B47)*('Giá công thức'!$B$11:$B$106=$C47)*('Giá công thức'!$C$11:$C$106="GB")*('Giá công thức'!$G$3:$AD$3=Y$1)*('Giá công thức'!$G$4:$AD$4=Y$2))=0,NA(),SUMPRODUCT('Giá công thức'!$G$11:$AD$106*('Giá công thức'!$A$11:$A$106=$B47)*('Giá công thức'!$B$11:$B$106=$C47)*('Giá công thức'!$C$11:$C$106="GB")*('Giá công thức'!$G$3:$AD$3=Y$1)*('Giá công thức'!$G$4:$AD$4=Y$2)))</f>
        <v>1310.0574999999999</v>
      </c>
      <c r="Z47" s="400" cm="1">
        <f t="array" ref="Z47">IF(SUMPRODUCT('Giá công thức'!$G$11:$AD$106*('Giá công thức'!$A$11:$A$106=$B47)*('Giá công thức'!$B$11:$B$106=$C47)*('Giá công thức'!$C$11:$C$106="GB")*('Giá công thức'!$G$3:$AD$3=Z$1)*('Giá công thức'!$G$4:$AD$4=Z$2))=0,NA(),SUMPRODUCT('Giá công thức'!$G$11:$AD$106*('Giá công thức'!$A$11:$A$106=$B47)*('Giá công thức'!$B$11:$B$106=$C47)*('Giá công thức'!$C$11:$C$106="GB")*('Giá công thức'!$G$3:$AD$3=Z$1)*('Giá công thức'!$G$4:$AD$4=Z$2)))</f>
        <v>1310.4775</v>
      </c>
      <c r="AA47" s="400" cm="1">
        <f t="array" ref="AA47">IF(SUMPRODUCT('Giá công thức'!$G$11:$AD$106*('Giá công thức'!$A$11:$A$106=$B47)*('Giá công thức'!$B$11:$B$106=$C47)*('Giá công thức'!$C$11:$C$106="GB")*('Giá công thức'!$G$3:$AD$3=AA$1)*('Giá công thức'!$G$4:$AD$4=AA$2))=0,NA(),SUMPRODUCT('Giá công thức'!$G$11:$AD$106*('Giá công thức'!$A$11:$A$106=$B47)*('Giá công thức'!$B$11:$B$106=$C47)*('Giá công thức'!$C$11:$C$106="GB")*('Giá công thức'!$G$3:$AD$3=AA$1)*('Giá công thức'!$G$4:$AD$4=AA$2)))</f>
        <v>1310.8150000000001</v>
      </c>
      <c r="AB47" s="400" cm="1">
        <f t="array" ref="AB47">IF(SUMPRODUCT('Giá công thức'!$G$11:$AD$106*('Giá công thức'!$A$11:$A$106=$B47)*('Giá công thức'!$B$11:$B$106=$C47)*('Giá công thức'!$C$11:$C$106="GB")*('Giá công thức'!$G$3:$AD$3=AB$1)*('Giá công thức'!$G$4:$AD$4=AB$2))=0,NA(),SUMPRODUCT('Giá công thức'!$G$11:$AD$106*('Giá công thức'!$A$11:$A$106=$B47)*('Giá công thức'!$B$11:$B$106=$C47)*('Giá công thức'!$C$11:$C$106="GB")*('Giá công thức'!$G$3:$AD$3=AB$1)*('Giá công thức'!$G$4:$AD$4=AB$2)))</f>
        <v>1310.996875</v>
      </c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>
        <f t="shared" si="27"/>
        <v>1310.996875</v>
      </c>
    </row>
    <row r="48" spans="1:41" s="137" customFormat="1" x14ac:dyDescent="0.35">
      <c r="A48" s="137" t="s">
        <v>29</v>
      </c>
      <c r="C48" s="137" t="s">
        <v>29</v>
      </c>
      <c r="D48" s="137" t="s">
        <v>17</v>
      </c>
      <c r="E48" s="403" cm="1">
        <f t="array" ref="E48">SUMPRODUCT(General_Data*(Code_General_Data=$A48)*(Year=E$1)*(Month=E$2))</f>
        <v>1340</v>
      </c>
      <c r="F48" s="403" cm="1">
        <f t="array" ref="F48">SUMPRODUCT(General_Data*(Code_General_Data=$A48)*(Year=F$1)*(Month=F$2))</f>
        <v>1340</v>
      </c>
      <c r="G48" s="403" cm="1">
        <f t="array" ref="G48">SUMPRODUCT(General_Data*(Code_General_Data=$A48)*(Year=G$1)*(Month=G$2))</f>
        <v>1340</v>
      </c>
      <c r="H48" s="403" cm="1">
        <f t="array" ref="H48">SUMPRODUCT(General_Data*(Code_General_Data=$A48)*(Year=H$1)*(Month=H$2))</f>
        <v>1340</v>
      </c>
      <c r="I48" s="403" cm="1">
        <f t="array" ref="I48">SUMPRODUCT(General_Data*(Code_General_Data=$A48)*(Year=I$1)*(Month=I$2))</f>
        <v>1390</v>
      </c>
      <c r="J48" s="403" cm="1">
        <f t="array" ref="J48">SUMPRODUCT(General_Data*(Code_General_Data=$A48)*(Year=J$1)*(Month=J$2))</f>
        <v>1390</v>
      </c>
      <c r="K48" s="403" cm="1">
        <f t="array" ref="K48">SUMPRODUCT(General_Data*(Code_General_Data=$A48)*(Year=K$1)*(Month=K$2))</f>
        <v>1390</v>
      </c>
      <c r="L48" s="403" cm="1">
        <f t="array" ref="L48">SUMPRODUCT(General_Data*(Code_General_Data=$A48)*(Year=L$1)*(Month=L$2))</f>
        <v>1390</v>
      </c>
      <c r="M48" s="403" cm="1">
        <f t="array" ref="M48">SUMPRODUCT(General_Data*(Code_General_Data=$A48)*(Year=M$1)*(Month=M$2))</f>
        <v>1400</v>
      </c>
      <c r="N48" s="403" cm="1">
        <f t="array" ref="N48">SUMPRODUCT(General_Data*(Code_General_Data=$A48)*(Year=N$1)*(Month=N$2))</f>
        <v>1415</v>
      </c>
      <c r="O48" s="403" cm="1">
        <f t="array" ref="O48">SUMPRODUCT(General_Data*(Code_General_Data=$A48)*(Year=O$1)*(Month=O$2))</f>
        <v>1415</v>
      </c>
      <c r="P48" s="403" cm="1">
        <f t="array" ref="P48">SUMPRODUCT(General_Data*(Code_General_Data=$A48)*(Year=P$1)*(Month=P$2))</f>
        <v>1365</v>
      </c>
      <c r="Q48" s="403" cm="1">
        <f t="array" ref="Q48">SUMPRODUCT(General_Data*(Code_General_Data=$A48)*(Year=Q$1)*(Month=Q$2))</f>
        <v>1320</v>
      </c>
      <c r="R48" s="403" cm="1">
        <f t="array" ref="R48">SUMPRODUCT(General_Data*(Code_General_Data=$A48)*(Year=R$1)*(Month=R$2))</f>
        <v>1280</v>
      </c>
      <c r="S48" s="403" cm="1">
        <f t="array" ref="S48">SUMPRODUCT(General_Data*(Code_General_Data=$A48)*(Year=S$1)*(Month=S$2))</f>
        <v>1320</v>
      </c>
      <c r="T48" s="403" cm="1">
        <f t="array" ref="T48">SUMPRODUCT(General_Data*(Code_General_Data=$A48)*(Year=T$1)*(Month=T$2))</f>
        <v>1340</v>
      </c>
      <c r="U48" s="403" cm="1">
        <f t="array" ref="U48">SUMPRODUCT(General_Data*(Code_General_Data=$A48)*(Year=U$1)*(Month=U$2))</f>
        <v>1340</v>
      </c>
      <c r="V48" s="403" cm="1">
        <f t="array" ref="V48">SUMPRODUCT(General_Data*(Code_General_Data=$A48)*(Year=V$1)*(Month=V$2))</f>
        <v>1340</v>
      </c>
      <c r="W48" s="403" cm="1">
        <f t="array" ref="W48">SUMPRODUCT(General_Data*(Code_General_Data=$A48)*(Year=W$1)*(Month=W$2))</f>
        <v>1340</v>
      </c>
      <c r="X48" s="403" cm="1">
        <f t="array" ref="X48">SUMPRODUCT(General_Data*(Code_General_Data=$A48)*(Year=X$1)*(Month=X$2))</f>
        <v>1310</v>
      </c>
      <c r="Y48" s="403" cm="1">
        <f t="array" ref="Y48">SUMPRODUCT(General_Data*(Code_General_Data=$A48)*(Year=Y$1)*(Month=Y$2))</f>
        <v>1310</v>
      </c>
      <c r="Z48" s="403" cm="1">
        <f t="array" ref="Z48">SUMPRODUCT(General_Data*(Code_General_Data=$A48)*(Year=Z$1)*(Month=Z$2))</f>
        <v>1300</v>
      </c>
      <c r="AA48" s="403" cm="1">
        <f t="array" ref="AA48">SUMPRODUCT(General_Data*(Code_General_Data=$A48)*(Year=AA$1)*(Month=AA$2))</f>
        <v>1290</v>
      </c>
      <c r="AB48" s="403" cm="1">
        <f t="array" ref="AB48">SUMPRODUCT(General_Data*(Code_General_Data=$A48)*(Year=AB$1)*(Month=AB$2))</f>
        <v>1290</v>
      </c>
      <c r="AC48" s="403"/>
      <c r="AD48" s="403"/>
      <c r="AE48" s="403"/>
      <c r="AF48" s="403"/>
      <c r="AG48" s="403"/>
      <c r="AH48" s="403"/>
      <c r="AI48" s="403"/>
      <c r="AJ48" s="403"/>
      <c r="AK48" s="403"/>
      <c r="AL48" s="403"/>
      <c r="AM48" s="403"/>
      <c r="AN48" s="403"/>
      <c r="AO48" s="403">
        <f t="shared" si="27"/>
        <v>1290</v>
      </c>
    </row>
    <row r="49" spans="1:41" s="401" customFormat="1" x14ac:dyDescent="0.35">
      <c r="A49" s="401" t="s">
        <v>9</v>
      </c>
      <c r="D49" s="401" t="s">
        <v>11</v>
      </c>
      <c r="E49" s="402" cm="1">
        <f t="array" ref="E49">SUMPRODUCT(General_Data*(Code_General_Data=$A49)*(Year=E$1)*(Month=E$2))</f>
        <v>930</v>
      </c>
      <c r="F49" s="402" cm="1">
        <f t="array" ref="F49">SUMPRODUCT(General_Data*(Code_General_Data=$A49)*(Year=F$1)*(Month=F$2))</f>
        <v>943.33333333333337</v>
      </c>
      <c r="G49" s="402" cm="1">
        <f t="array" ref="G49">SUMPRODUCT(General_Data*(Code_General_Data=$A49)*(Year=G$1)*(Month=G$2))</f>
        <v>940</v>
      </c>
      <c r="H49" s="402" cm="1">
        <f t="array" ref="H49">SUMPRODUCT(General_Data*(Code_General_Data=$A49)*(Year=H$1)*(Month=H$2))</f>
        <v>940</v>
      </c>
      <c r="I49" s="402" cm="1">
        <f t="array" ref="I49">SUMPRODUCT(General_Data*(Code_General_Data=$A49)*(Year=I$1)*(Month=I$2))</f>
        <v>942</v>
      </c>
      <c r="J49" s="402" cm="1">
        <f t="array" ref="J49">SUMPRODUCT(General_Data*(Code_General_Data=$A49)*(Year=J$1)*(Month=J$2))</f>
        <v>950</v>
      </c>
      <c r="K49" s="402" cm="1">
        <f t="array" ref="K49">SUMPRODUCT(General_Data*(Code_General_Data=$A49)*(Year=K$1)*(Month=K$2))</f>
        <v>947.5</v>
      </c>
      <c r="L49" s="402" cm="1">
        <f t="array" ref="L49">SUMPRODUCT(General_Data*(Code_General_Data=$A49)*(Year=L$1)*(Month=L$2))</f>
        <v>930</v>
      </c>
      <c r="M49" s="402" cm="1">
        <f t="array" ref="M49">SUMPRODUCT(General_Data*(Code_General_Data=$A49)*(Year=M$1)*(Month=M$2))</f>
        <v>880</v>
      </c>
      <c r="N49" s="402" cm="1">
        <f t="array" ref="N49">SUMPRODUCT(General_Data*(Code_General_Data=$A49)*(Year=N$1)*(Month=N$2))</f>
        <v>862.5</v>
      </c>
      <c r="O49" s="402" cm="1">
        <f t="array" ref="O49">SUMPRODUCT(General_Data*(Code_General_Data=$A49)*(Year=O$1)*(Month=O$2))</f>
        <v>852</v>
      </c>
      <c r="P49" s="402" cm="1">
        <f t="array" ref="P49">SUMPRODUCT(General_Data*(Code_General_Data=$A49)*(Year=P$1)*(Month=P$2))</f>
        <v>830</v>
      </c>
      <c r="Q49" s="402" cm="1">
        <f t="array" ref="Q49">SUMPRODUCT(General_Data*(Code_General_Data=$A49)*(Year=Q$1)*(Month=Q$2))</f>
        <v>828</v>
      </c>
      <c r="R49" s="402" cm="1">
        <f t="array" ref="R49">SUMPRODUCT(General_Data*(Code_General_Data=$A49)*(Year=R$1)*(Month=R$2))</f>
        <v>840</v>
      </c>
      <c r="S49" s="402" cm="1">
        <f t="array" ref="S49">SUMPRODUCT(General_Data*(Code_General_Data=$A49)*(Year=S$1)*(Month=S$2))</f>
        <v>823</v>
      </c>
      <c r="T49" s="402" cm="1">
        <f t="array" ref="T49">SUMPRODUCT(General_Data*(Code_General_Data=$A49)*(Year=T$1)*(Month=T$2))</f>
        <v>765</v>
      </c>
      <c r="U49" s="402" cm="1">
        <f t="array" ref="U49">SUMPRODUCT(General_Data*(Code_General_Data=$A49)*(Year=U$1)*(Month=U$2))</f>
        <v>782</v>
      </c>
      <c r="V49" s="402" cm="1">
        <f t="array" ref="V49">SUMPRODUCT(General_Data*(Code_General_Data=$A49)*(Year=V$1)*(Month=V$2))</f>
        <v>807.5</v>
      </c>
      <c r="W49" s="402" cm="1">
        <f t="array" ref="W49">SUMPRODUCT(General_Data*(Code_General_Data=$A49)*(Year=W$1)*(Month=W$2))</f>
        <v>802</v>
      </c>
      <c r="X49" s="402" cm="1">
        <f t="array" ref="X49">SUMPRODUCT(General_Data*(Code_General_Data=$A49)*(Year=X$1)*(Month=X$2))</f>
        <v>795</v>
      </c>
      <c r="Y49" s="402" cm="1">
        <f t="array" ref="Y49">SUMPRODUCT(General_Data*(Code_General_Data=$A49)*(Year=Y$1)*(Month=Y$2))</f>
        <v>783</v>
      </c>
      <c r="Z49" s="402" cm="1">
        <f t="array" ref="Z49">SUMPRODUCT(General_Data*(Code_General_Data=$A49)*(Year=Z$1)*(Month=Z$2))</f>
        <v>772</v>
      </c>
      <c r="AA49" s="402" cm="1">
        <f t="array" ref="AA49">SUMPRODUCT(General_Data*(Code_General_Data=$A49)*(Year=AA$1)*(Month=AA$2))</f>
        <v>770</v>
      </c>
      <c r="AB49" s="402" cm="1">
        <f t="array" ref="AB49">SUMPRODUCT(General_Data*(Code_General_Data=$A49)*(Year=AB$1)*(Month=AB$2))</f>
        <v>770</v>
      </c>
      <c r="AC49" s="402"/>
      <c r="AD49" s="402"/>
      <c r="AE49" s="402"/>
      <c r="AF49" s="402"/>
      <c r="AG49" s="402"/>
      <c r="AH49" s="402"/>
      <c r="AI49" s="402"/>
      <c r="AJ49" s="402"/>
      <c r="AK49" s="402"/>
      <c r="AL49" s="402"/>
      <c r="AM49" s="402"/>
      <c r="AN49" s="402"/>
      <c r="AO49" s="402">
        <f t="shared" si="27"/>
        <v>770</v>
      </c>
    </row>
    <row r="50" spans="1:41" s="408" customFormat="1" x14ac:dyDescent="0.35">
      <c r="D50" s="408" t="s">
        <v>395</v>
      </c>
      <c r="E50" s="409">
        <f t="shared" ref="E50" si="28">E48-E49</f>
        <v>410</v>
      </c>
      <c r="F50" s="409">
        <f t="shared" ref="F50" si="29">F48-F49</f>
        <v>396.66666666666663</v>
      </c>
      <c r="G50" s="409">
        <f t="shared" ref="G50" si="30">G48-G49</f>
        <v>400</v>
      </c>
      <c r="H50" s="409">
        <f t="shared" ref="H50" si="31">H48-H49</f>
        <v>400</v>
      </c>
      <c r="I50" s="409">
        <f t="shared" ref="I50" si="32">I48-I49</f>
        <v>448</v>
      </c>
      <c r="J50" s="409">
        <f t="shared" ref="J50" si="33">J48-J49</f>
        <v>440</v>
      </c>
      <c r="K50" s="409">
        <f t="shared" ref="K50" si="34">K48-K49</f>
        <v>442.5</v>
      </c>
      <c r="L50" s="409">
        <f t="shared" ref="L50" si="35">L48-L49</f>
        <v>460</v>
      </c>
      <c r="M50" s="409">
        <f t="shared" ref="M50" si="36">M48-M49</f>
        <v>520</v>
      </c>
      <c r="N50" s="409">
        <f t="shared" ref="N50" si="37">N48-N49</f>
        <v>552.5</v>
      </c>
      <c r="O50" s="409">
        <f t="shared" ref="O50" si="38">O48-O49</f>
        <v>563</v>
      </c>
      <c r="P50" s="409">
        <f t="shared" ref="P50" si="39">P48-P49</f>
        <v>535</v>
      </c>
      <c r="Q50" s="409">
        <f t="shared" ref="Q50" si="40">Q48-Q49</f>
        <v>492</v>
      </c>
      <c r="R50" s="409">
        <f t="shared" ref="R50" si="41">R48-R49</f>
        <v>440</v>
      </c>
      <c r="S50" s="409">
        <f t="shared" ref="S50" si="42">S48-S49</f>
        <v>497</v>
      </c>
      <c r="T50" s="409">
        <f t="shared" ref="T50" si="43">T48-T49</f>
        <v>575</v>
      </c>
      <c r="U50" s="409">
        <f t="shared" ref="U50" si="44">U48-U49</f>
        <v>558</v>
      </c>
      <c r="V50" s="409">
        <f t="shared" ref="V50" si="45">V48-V49</f>
        <v>532.5</v>
      </c>
      <c r="W50" s="409">
        <f t="shared" ref="W50" si="46">W48-W49</f>
        <v>538</v>
      </c>
      <c r="X50" s="409">
        <f t="shared" ref="X50" si="47">X48-X49</f>
        <v>515</v>
      </c>
      <c r="Y50" s="409">
        <f t="shared" ref="Y50" si="48">Y48-Y49</f>
        <v>527</v>
      </c>
      <c r="Z50" s="409">
        <f t="shared" ref="Z50" si="49">Z48-Z49</f>
        <v>528</v>
      </c>
      <c r="AA50" s="409">
        <f t="shared" ref="AA50:AB50" si="50">AA48-AA49</f>
        <v>520</v>
      </c>
      <c r="AB50" s="409">
        <f t="shared" si="50"/>
        <v>520</v>
      </c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</row>
    <row r="51" spans="1:41" s="410" customFormat="1" x14ac:dyDescent="0.35">
      <c r="D51" s="410" t="s">
        <v>394</v>
      </c>
      <c r="E51" s="411">
        <f t="shared" ref="E51:AA51" si="51">IFERROR(E50/E49,0)</f>
        <v>0.44086021505376344</v>
      </c>
      <c r="F51" s="411">
        <f t="shared" si="51"/>
        <v>0.42049469964664304</v>
      </c>
      <c r="G51" s="411">
        <f t="shared" si="51"/>
        <v>0.42553191489361702</v>
      </c>
      <c r="H51" s="411">
        <f t="shared" si="51"/>
        <v>0.42553191489361702</v>
      </c>
      <c r="I51" s="411">
        <f t="shared" si="51"/>
        <v>0.47558386411889597</v>
      </c>
      <c r="J51" s="411">
        <f t="shared" si="51"/>
        <v>0.4631578947368421</v>
      </c>
      <c r="K51" s="411">
        <f t="shared" si="51"/>
        <v>0.46701846965699206</v>
      </c>
      <c r="L51" s="411">
        <f t="shared" si="51"/>
        <v>0.4946236559139785</v>
      </c>
      <c r="M51" s="411">
        <f t="shared" si="51"/>
        <v>0.59090909090909094</v>
      </c>
      <c r="N51" s="411">
        <f t="shared" si="51"/>
        <v>0.64057971014492754</v>
      </c>
      <c r="O51" s="411">
        <f t="shared" si="51"/>
        <v>0.66079812206572774</v>
      </c>
      <c r="P51" s="411">
        <f t="shared" si="51"/>
        <v>0.64457831325301207</v>
      </c>
      <c r="Q51" s="411">
        <f t="shared" si="51"/>
        <v>0.59420289855072461</v>
      </c>
      <c r="R51" s="411">
        <f t="shared" si="51"/>
        <v>0.52380952380952384</v>
      </c>
      <c r="S51" s="411">
        <f t="shared" si="51"/>
        <v>0.60388821385176183</v>
      </c>
      <c r="T51" s="411">
        <f t="shared" si="51"/>
        <v>0.75163398692810457</v>
      </c>
      <c r="U51" s="411">
        <f t="shared" si="51"/>
        <v>0.71355498721227617</v>
      </c>
      <c r="V51" s="411">
        <f t="shared" si="51"/>
        <v>0.65944272445820429</v>
      </c>
      <c r="W51" s="411">
        <f t="shared" si="51"/>
        <v>0.67082294264339148</v>
      </c>
      <c r="X51" s="411">
        <f t="shared" si="51"/>
        <v>0.64779874213836475</v>
      </c>
      <c r="Y51" s="411">
        <f t="shared" si="51"/>
        <v>0.6730523627075351</v>
      </c>
      <c r="Z51" s="411">
        <f t="shared" si="51"/>
        <v>0.68393782383419688</v>
      </c>
      <c r="AA51" s="411">
        <f t="shared" si="51"/>
        <v>0.67532467532467533</v>
      </c>
      <c r="AB51" s="411">
        <f t="shared" ref="AB51" si="52">IFERROR(AB50/AB49,0)</f>
        <v>0.67532467532467533</v>
      </c>
      <c r="AC51" s="411"/>
      <c r="AD51" s="411"/>
      <c r="AE51" s="411"/>
      <c r="AF51" s="411"/>
      <c r="AG51" s="411"/>
      <c r="AH51" s="411"/>
      <c r="AI51" s="411"/>
      <c r="AJ51" s="411"/>
      <c r="AK51" s="411"/>
      <c r="AL51" s="411"/>
      <c r="AM51" s="411"/>
      <c r="AN51" s="411"/>
      <c r="AO51" s="411"/>
    </row>
    <row r="52" spans="1:41" s="426" customFormat="1" x14ac:dyDescent="0.35">
      <c r="D52" s="426" t="s">
        <v>419</v>
      </c>
      <c r="E52" s="427">
        <f>E48</f>
        <v>1340</v>
      </c>
      <c r="F52" s="427">
        <f t="shared" ref="F52:AB52" si="53">F48</f>
        <v>1340</v>
      </c>
      <c r="G52" s="427">
        <f t="shared" si="53"/>
        <v>1340</v>
      </c>
      <c r="H52" s="427">
        <f t="shared" si="53"/>
        <v>1340</v>
      </c>
      <c r="I52" s="427">
        <f t="shared" si="53"/>
        <v>1390</v>
      </c>
      <c r="J52" s="427">
        <f t="shared" si="53"/>
        <v>1390</v>
      </c>
      <c r="K52" s="427">
        <f t="shared" si="53"/>
        <v>1390</v>
      </c>
      <c r="L52" s="427">
        <f t="shared" si="53"/>
        <v>1390</v>
      </c>
      <c r="M52" s="427">
        <f t="shared" si="53"/>
        <v>1400</v>
      </c>
      <c r="N52" s="427">
        <f t="shared" si="53"/>
        <v>1415</v>
      </c>
      <c r="O52" s="427">
        <f t="shared" si="53"/>
        <v>1415</v>
      </c>
      <c r="P52" s="427">
        <f t="shared" si="53"/>
        <v>1365</v>
      </c>
      <c r="Q52" s="427">
        <f t="shared" si="53"/>
        <v>1320</v>
      </c>
      <c r="R52" s="427">
        <f t="shared" si="53"/>
        <v>1280</v>
      </c>
      <c r="S52" s="427">
        <f t="shared" si="53"/>
        <v>1320</v>
      </c>
      <c r="T52" s="427">
        <f t="shared" si="53"/>
        <v>1340</v>
      </c>
      <c r="U52" s="427">
        <f t="shared" si="53"/>
        <v>1340</v>
      </c>
      <c r="V52" s="427">
        <f t="shared" si="53"/>
        <v>1340</v>
      </c>
      <c r="W52" s="427">
        <f t="shared" si="53"/>
        <v>1340</v>
      </c>
      <c r="X52" s="427">
        <f t="shared" si="53"/>
        <v>1310</v>
      </c>
      <c r="Y52" s="427">
        <f t="shared" si="53"/>
        <v>1310</v>
      </c>
      <c r="Z52" s="427">
        <f t="shared" si="53"/>
        <v>1300</v>
      </c>
      <c r="AA52" s="427">
        <f t="shared" si="53"/>
        <v>1290</v>
      </c>
      <c r="AB52" s="427">
        <f t="shared" si="53"/>
        <v>1290</v>
      </c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37"/>
    </row>
    <row r="53" spans="1:41" s="426" customFormat="1" x14ac:dyDescent="0.35">
      <c r="D53" s="426" t="s">
        <v>420</v>
      </c>
      <c r="E53" s="427">
        <f>E49+E50/2</f>
        <v>1135</v>
      </c>
      <c r="F53" s="427">
        <f t="shared" ref="F53:AB53" si="54">F49+F50/2</f>
        <v>1141.6666666666667</v>
      </c>
      <c r="G53" s="427">
        <f t="shared" si="54"/>
        <v>1140</v>
      </c>
      <c r="H53" s="427">
        <f t="shared" si="54"/>
        <v>1140</v>
      </c>
      <c r="I53" s="427">
        <f t="shared" si="54"/>
        <v>1166</v>
      </c>
      <c r="J53" s="427">
        <f t="shared" si="54"/>
        <v>1170</v>
      </c>
      <c r="K53" s="427">
        <f t="shared" si="54"/>
        <v>1168.75</v>
      </c>
      <c r="L53" s="427">
        <f t="shared" si="54"/>
        <v>1160</v>
      </c>
      <c r="M53" s="427">
        <f t="shared" si="54"/>
        <v>1140</v>
      </c>
      <c r="N53" s="427">
        <f t="shared" si="54"/>
        <v>1138.75</v>
      </c>
      <c r="O53" s="427">
        <f t="shared" si="54"/>
        <v>1133.5</v>
      </c>
      <c r="P53" s="427">
        <f t="shared" si="54"/>
        <v>1097.5</v>
      </c>
      <c r="Q53" s="427">
        <f t="shared" si="54"/>
        <v>1074</v>
      </c>
      <c r="R53" s="427">
        <f t="shared" si="54"/>
        <v>1060</v>
      </c>
      <c r="S53" s="427">
        <f t="shared" si="54"/>
        <v>1071.5</v>
      </c>
      <c r="T53" s="427">
        <f t="shared" si="54"/>
        <v>1052.5</v>
      </c>
      <c r="U53" s="427">
        <f t="shared" si="54"/>
        <v>1061</v>
      </c>
      <c r="V53" s="427">
        <f t="shared" si="54"/>
        <v>1073.75</v>
      </c>
      <c r="W53" s="427">
        <f t="shared" si="54"/>
        <v>1071</v>
      </c>
      <c r="X53" s="427">
        <f t="shared" si="54"/>
        <v>1052.5</v>
      </c>
      <c r="Y53" s="427">
        <f t="shared" si="54"/>
        <v>1046.5</v>
      </c>
      <c r="Z53" s="427">
        <f t="shared" si="54"/>
        <v>1036</v>
      </c>
      <c r="AA53" s="427">
        <f t="shared" si="54"/>
        <v>1030</v>
      </c>
      <c r="AB53" s="427">
        <f t="shared" si="54"/>
        <v>1030</v>
      </c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37"/>
    </row>
    <row r="54" spans="1:41" s="434" customFormat="1" x14ac:dyDescent="0.35">
      <c r="D54" s="434" t="s">
        <v>417</v>
      </c>
      <c r="E54" s="435">
        <f>E48</f>
        <v>1340</v>
      </c>
      <c r="F54" s="435">
        <f t="shared" ref="F54:AB54" si="55">F48</f>
        <v>1340</v>
      </c>
      <c r="G54" s="435">
        <f t="shared" si="55"/>
        <v>1340</v>
      </c>
      <c r="H54" s="435">
        <f t="shared" si="55"/>
        <v>1340</v>
      </c>
      <c r="I54" s="435">
        <f t="shared" si="55"/>
        <v>1390</v>
      </c>
      <c r="J54" s="435">
        <f t="shared" si="55"/>
        <v>1390</v>
      </c>
      <c r="K54" s="435">
        <f t="shared" si="55"/>
        <v>1390</v>
      </c>
      <c r="L54" s="435">
        <f t="shared" si="55"/>
        <v>1390</v>
      </c>
      <c r="M54" s="435">
        <f t="shared" si="55"/>
        <v>1400</v>
      </c>
      <c r="N54" s="435">
        <f t="shared" si="55"/>
        <v>1415</v>
      </c>
      <c r="O54" s="435">
        <f t="shared" si="55"/>
        <v>1415</v>
      </c>
      <c r="P54" s="435">
        <f t="shared" si="55"/>
        <v>1365</v>
      </c>
      <c r="Q54" s="435">
        <f t="shared" si="55"/>
        <v>1320</v>
      </c>
      <c r="R54" s="435">
        <f t="shared" si="55"/>
        <v>1280</v>
      </c>
      <c r="S54" s="435">
        <f t="shared" si="55"/>
        <v>1320</v>
      </c>
      <c r="T54" s="435">
        <f t="shared" si="55"/>
        <v>1340</v>
      </c>
      <c r="U54" s="435">
        <f t="shared" si="55"/>
        <v>1340</v>
      </c>
      <c r="V54" s="435">
        <f t="shared" si="55"/>
        <v>1340</v>
      </c>
      <c r="W54" s="435">
        <f t="shared" si="55"/>
        <v>1340</v>
      </c>
      <c r="X54" s="435">
        <f t="shared" si="55"/>
        <v>1310</v>
      </c>
      <c r="Y54" s="435">
        <f t="shared" si="55"/>
        <v>1310</v>
      </c>
      <c r="Z54" s="435">
        <f t="shared" si="55"/>
        <v>1300</v>
      </c>
      <c r="AA54" s="435">
        <f t="shared" si="55"/>
        <v>1290</v>
      </c>
      <c r="AB54" s="435">
        <f t="shared" si="55"/>
        <v>1290</v>
      </c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6"/>
    </row>
    <row r="55" spans="1:41" s="434" customFormat="1" x14ac:dyDescent="0.35">
      <c r="D55" s="434" t="s">
        <v>418</v>
      </c>
      <c r="E55" s="435">
        <f>E49</f>
        <v>930</v>
      </c>
      <c r="F55" s="435">
        <f t="shared" ref="F55:AB55" si="56">F49</f>
        <v>943.33333333333337</v>
      </c>
      <c r="G55" s="435">
        <f t="shared" si="56"/>
        <v>940</v>
      </c>
      <c r="H55" s="435">
        <f t="shared" si="56"/>
        <v>940</v>
      </c>
      <c r="I55" s="435">
        <f t="shared" si="56"/>
        <v>942</v>
      </c>
      <c r="J55" s="435">
        <f t="shared" si="56"/>
        <v>950</v>
      </c>
      <c r="K55" s="435">
        <f t="shared" si="56"/>
        <v>947.5</v>
      </c>
      <c r="L55" s="435">
        <f t="shared" si="56"/>
        <v>930</v>
      </c>
      <c r="M55" s="435">
        <f t="shared" si="56"/>
        <v>880</v>
      </c>
      <c r="N55" s="435">
        <f t="shared" si="56"/>
        <v>862.5</v>
      </c>
      <c r="O55" s="435">
        <f t="shared" si="56"/>
        <v>852</v>
      </c>
      <c r="P55" s="435">
        <f t="shared" si="56"/>
        <v>830</v>
      </c>
      <c r="Q55" s="435">
        <f t="shared" si="56"/>
        <v>828</v>
      </c>
      <c r="R55" s="435">
        <f t="shared" si="56"/>
        <v>840</v>
      </c>
      <c r="S55" s="435">
        <f t="shared" si="56"/>
        <v>823</v>
      </c>
      <c r="T55" s="435">
        <f t="shared" si="56"/>
        <v>765</v>
      </c>
      <c r="U55" s="435">
        <f t="shared" si="56"/>
        <v>782</v>
      </c>
      <c r="V55" s="435">
        <f t="shared" si="56"/>
        <v>807.5</v>
      </c>
      <c r="W55" s="435">
        <f t="shared" si="56"/>
        <v>802</v>
      </c>
      <c r="X55" s="435">
        <f t="shared" si="56"/>
        <v>795</v>
      </c>
      <c r="Y55" s="435">
        <f t="shared" si="56"/>
        <v>783</v>
      </c>
      <c r="Z55" s="435">
        <f t="shared" si="56"/>
        <v>772</v>
      </c>
      <c r="AA55" s="435">
        <f t="shared" si="56"/>
        <v>770</v>
      </c>
      <c r="AB55" s="435">
        <f t="shared" si="56"/>
        <v>770</v>
      </c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</row>
    <row r="56" spans="1:41" x14ac:dyDescent="0.35">
      <c r="C56" s="424"/>
      <c r="D56" s="424" t="s">
        <v>425</v>
      </c>
      <c r="E56" s="438">
        <f>IFERROR(E46,0)</f>
        <v>1315</v>
      </c>
      <c r="F56" s="438">
        <f t="shared" ref="F56:AB56" si="57">IFERROR(F46,0)</f>
        <v>1315</v>
      </c>
      <c r="G56" s="438">
        <f t="shared" si="57"/>
        <v>1315</v>
      </c>
      <c r="H56" s="438">
        <f t="shared" si="57"/>
        <v>1315</v>
      </c>
      <c r="I56" s="438">
        <f t="shared" si="57"/>
        <v>1315</v>
      </c>
      <c r="J56" s="438">
        <f t="shared" si="57"/>
        <v>1315</v>
      </c>
      <c r="K56" s="438">
        <f t="shared" si="57"/>
        <v>1315</v>
      </c>
      <c r="L56" s="438">
        <f t="shared" si="57"/>
        <v>1315</v>
      </c>
      <c r="M56" s="438">
        <f t="shared" si="57"/>
        <v>1315</v>
      </c>
      <c r="N56" s="438">
        <f t="shared" si="57"/>
        <v>1315</v>
      </c>
      <c r="O56" s="438">
        <f t="shared" si="57"/>
        <v>1315</v>
      </c>
      <c r="P56" s="438">
        <f t="shared" si="57"/>
        <v>1315</v>
      </c>
      <c r="Q56" s="438">
        <f t="shared" si="57"/>
        <v>1348.3</v>
      </c>
      <c r="R56" s="438">
        <f t="shared" si="57"/>
        <v>1348.3</v>
      </c>
      <c r="S56" s="438">
        <f t="shared" si="57"/>
        <v>1348.3</v>
      </c>
      <c r="T56" s="438">
        <f t="shared" si="57"/>
        <v>1348.3</v>
      </c>
      <c r="U56" s="438">
        <f t="shared" si="57"/>
        <v>1348.3</v>
      </c>
      <c r="V56" s="438">
        <f t="shared" si="57"/>
        <v>1348.3</v>
      </c>
      <c r="W56" s="438">
        <f t="shared" si="57"/>
        <v>1348.3</v>
      </c>
      <c r="X56" s="438">
        <f t="shared" si="57"/>
        <v>1348.3</v>
      </c>
      <c r="Y56" s="438">
        <f t="shared" si="57"/>
        <v>1348.3</v>
      </c>
      <c r="Z56" s="438">
        <f t="shared" si="57"/>
        <v>1348.3</v>
      </c>
      <c r="AA56" s="438">
        <f t="shared" si="57"/>
        <v>1348.3</v>
      </c>
      <c r="AB56" s="438">
        <f t="shared" si="57"/>
        <v>1348.3</v>
      </c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3" t="s">
        <v>426</v>
      </c>
    </row>
    <row r="57" spans="1:41" x14ac:dyDescent="0.35">
      <c r="C57" s="424"/>
      <c r="D57" s="424" t="s">
        <v>424</v>
      </c>
      <c r="E57" s="438">
        <f t="shared" ref="E57:AB57" si="58">IFERROR(E47,0)</f>
        <v>1340</v>
      </c>
      <c r="F57" s="438">
        <f t="shared" si="58"/>
        <v>1347.5</v>
      </c>
      <c r="G57" s="438">
        <f t="shared" si="58"/>
        <v>1360</v>
      </c>
      <c r="H57" s="438">
        <f t="shared" si="58"/>
        <v>1362.5</v>
      </c>
      <c r="I57" s="438">
        <f t="shared" si="58"/>
        <v>1366.5</v>
      </c>
      <c r="J57" s="438">
        <f t="shared" si="58"/>
        <v>1381.5</v>
      </c>
      <c r="K57" s="438">
        <f t="shared" si="58"/>
        <v>1397.5</v>
      </c>
      <c r="L57" s="438">
        <f t="shared" si="58"/>
        <v>1408.5</v>
      </c>
      <c r="M57" s="438">
        <f t="shared" si="58"/>
        <v>1428.5</v>
      </c>
      <c r="N57" s="438">
        <f t="shared" si="58"/>
        <v>1456.25</v>
      </c>
      <c r="O57" s="438">
        <f t="shared" si="58"/>
        <v>1473.75</v>
      </c>
      <c r="P57" s="438">
        <f t="shared" si="58"/>
        <v>1477.5</v>
      </c>
      <c r="Q57" s="438">
        <f t="shared" si="58"/>
        <v>1426.403125</v>
      </c>
      <c r="R57" s="438">
        <f t="shared" si="58"/>
        <v>1388.6447916666652</v>
      </c>
      <c r="S57" s="438">
        <f t="shared" si="58"/>
        <v>1353.5541666666652</v>
      </c>
      <c r="T57" s="438">
        <f t="shared" si="58"/>
        <v>1354.375</v>
      </c>
      <c r="U57" s="438">
        <f t="shared" si="58"/>
        <v>1359.3</v>
      </c>
      <c r="V57" s="438">
        <f t="shared" si="58"/>
        <v>1359.3</v>
      </c>
      <c r="W57" s="438">
        <f t="shared" si="58"/>
        <v>1359.3</v>
      </c>
      <c r="X57" s="438">
        <f t="shared" si="58"/>
        <v>1341.57</v>
      </c>
      <c r="Y57" s="438">
        <f t="shared" si="58"/>
        <v>1310.0574999999999</v>
      </c>
      <c r="Z57" s="438">
        <f t="shared" si="58"/>
        <v>1310.4775</v>
      </c>
      <c r="AA57" s="438">
        <f t="shared" si="58"/>
        <v>1310.8150000000001</v>
      </c>
      <c r="AB57" s="438">
        <f t="shared" si="58"/>
        <v>1310.996875</v>
      </c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3" t="s">
        <v>422</v>
      </c>
    </row>
    <row r="58" spans="1:41" x14ac:dyDescent="0.35">
      <c r="C58" s="424"/>
      <c r="D58" s="424" t="s">
        <v>412</v>
      </c>
      <c r="E58" s="438">
        <f t="shared" ref="E58:AB58" si="59">IFERROR(E48,0)</f>
        <v>1340</v>
      </c>
      <c r="F58" s="438">
        <f t="shared" si="59"/>
        <v>1340</v>
      </c>
      <c r="G58" s="438">
        <f t="shared" si="59"/>
        <v>1340</v>
      </c>
      <c r="H58" s="438">
        <f t="shared" si="59"/>
        <v>1340</v>
      </c>
      <c r="I58" s="438">
        <f t="shared" si="59"/>
        <v>1390</v>
      </c>
      <c r="J58" s="438">
        <f t="shared" si="59"/>
        <v>1390</v>
      </c>
      <c r="K58" s="438">
        <f t="shared" si="59"/>
        <v>1390</v>
      </c>
      <c r="L58" s="438">
        <f t="shared" si="59"/>
        <v>1390</v>
      </c>
      <c r="M58" s="438">
        <f t="shared" si="59"/>
        <v>1400</v>
      </c>
      <c r="N58" s="438">
        <f t="shared" si="59"/>
        <v>1415</v>
      </c>
      <c r="O58" s="438">
        <f t="shared" si="59"/>
        <v>1415</v>
      </c>
      <c r="P58" s="438">
        <f t="shared" si="59"/>
        <v>1365</v>
      </c>
      <c r="Q58" s="438">
        <f t="shared" si="59"/>
        <v>1320</v>
      </c>
      <c r="R58" s="438">
        <f t="shared" si="59"/>
        <v>1280</v>
      </c>
      <c r="S58" s="438">
        <f t="shared" si="59"/>
        <v>1320</v>
      </c>
      <c r="T58" s="438">
        <f t="shared" si="59"/>
        <v>1340</v>
      </c>
      <c r="U58" s="438">
        <f t="shared" si="59"/>
        <v>1340</v>
      </c>
      <c r="V58" s="438">
        <f t="shared" si="59"/>
        <v>1340</v>
      </c>
      <c r="W58" s="438">
        <f t="shared" si="59"/>
        <v>1340</v>
      </c>
      <c r="X58" s="438">
        <f t="shared" si="59"/>
        <v>1310</v>
      </c>
      <c r="Y58" s="438">
        <f t="shared" si="59"/>
        <v>1310</v>
      </c>
      <c r="Z58" s="438">
        <f t="shared" si="59"/>
        <v>1300</v>
      </c>
      <c r="AA58" s="438">
        <f t="shared" si="59"/>
        <v>1290</v>
      </c>
      <c r="AB58" s="438">
        <f t="shared" si="59"/>
        <v>1290</v>
      </c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3" t="s">
        <v>17</v>
      </c>
    </row>
    <row r="59" spans="1:41" x14ac:dyDescent="0.35">
      <c r="C59" s="424"/>
      <c r="D59" s="424" t="s">
        <v>413</v>
      </c>
      <c r="E59" s="438">
        <f t="shared" ref="E59:AB59" si="60">IFERROR(E49,0)</f>
        <v>930</v>
      </c>
      <c r="F59" s="438">
        <f t="shared" si="60"/>
        <v>943.33333333333337</v>
      </c>
      <c r="G59" s="438">
        <f t="shared" si="60"/>
        <v>940</v>
      </c>
      <c r="H59" s="438">
        <f t="shared" si="60"/>
        <v>940</v>
      </c>
      <c r="I59" s="438">
        <f t="shared" si="60"/>
        <v>942</v>
      </c>
      <c r="J59" s="438">
        <f t="shared" si="60"/>
        <v>950</v>
      </c>
      <c r="K59" s="438">
        <f t="shared" si="60"/>
        <v>947.5</v>
      </c>
      <c r="L59" s="438">
        <f t="shared" si="60"/>
        <v>930</v>
      </c>
      <c r="M59" s="438">
        <f t="shared" si="60"/>
        <v>880</v>
      </c>
      <c r="N59" s="438">
        <f t="shared" si="60"/>
        <v>862.5</v>
      </c>
      <c r="O59" s="438">
        <f t="shared" si="60"/>
        <v>852</v>
      </c>
      <c r="P59" s="438">
        <f t="shared" si="60"/>
        <v>830</v>
      </c>
      <c r="Q59" s="438">
        <f t="shared" si="60"/>
        <v>828</v>
      </c>
      <c r="R59" s="438">
        <f t="shared" si="60"/>
        <v>840</v>
      </c>
      <c r="S59" s="438">
        <f t="shared" si="60"/>
        <v>823</v>
      </c>
      <c r="T59" s="438">
        <f t="shared" si="60"/>
        <v>765</v>
      </c>
      <c r="U59" s="438">
        <f t="shared" si="60"/>
        <v>782</v>
      </c>
      <c r="V59" s="438">
        <f t="shared" si="60"/>
        <v>807.5</v>
      </c>
      <c r="W59" s="438">
        <f t="shared" si="60"/>
        <v>802</v>
      </c>
      <c r="X59" s="438">
        <f t="shared" si="60"/>
        <v>795</v>
      </c>
      <c r="Y59" s="438">
        <f t="shared" si="60"/>
        <v>783</v>
      </c>
      <c r="Z59" s="438">
        <f t="shared" si="60"/>
        <v>772</v>
      </c>
      <c r="AA59" s="438">
        <f t="shared" si="60"/>
        <v>770</v>
      </c>
      <c r="AB59" s="438">
        <f t="shared" si="60"/>
        <v>770</v>
      </c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3" t="s">
        <v>11</v>
      </c>
    </row>
    <row r="61" spans="1:41" ht="17" x14ac:dyDescent="0.4">
      <c r="C61" s="399" t="s">
        <v>22</v>
      </c>
      <c r="D61" s="399" t="s">
        <v>20</v>
      </c>
    </row>
    <row r="62" spans="1:41" x14ac:dyDescent="0.35">
      <c r="C62" s="41"/>
      <c r="D62" s="41"/>
      <c r="E62" s="41">
        <v>2024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>
        <v>2025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:41" x14ac:dyDescent="0.35">
      <c r="C63" s="41"/>
      <c r="D63" s="41"/>
      <c r="E63" s="41">
        <v>1</v>
      </c>
      <c r="F63" s="41">
        <v>2</v>
      </c>
      <c r="G63" s="41">
        <v>3</v>
      </c>
      <c r="H63" s="41">
        <v>4</v>
      </c>
      <c r="I63" s="41">
        <v>5</v>
      </c>
      <c r="J63" s="41">
        <v>6</v>
      </c>
      <c r="K63" s="41">
        <v>7</v>
      </c>
      <c r="L63" s="41">
        <v>8</v>
      </c>
      <c r="M63" s="41">
        <v>9</v>
      </c>
      <c r="N63" s="41">
        <v>10</v>
      </c>
      <c r="O63" s="41">
        <v>11</v>
      </c>
      <c r="P63" s="41">
        <v>12</v>
      </c>
      <c r="Q63" s="41">
        <v>1</v>
      </c>
      <c r="R63" s="41">
        <v>2</v>
      </c>
      <c r="S63" s="41">
        <v>3</v>
      </c>
      <c r="T63" s="41">
        <v>4</v>
      </c>
      <c r="U63" s="41">
        <v>5</v>
      </c>
      <c r="V63" s="41">
        <v>6</v>
      </c>
      <c r="W63" s="41">
        <v>7</v>
      </c>
      <c r="X63" s="41">
        <v>8</v>
      </c>
      <c r="Y63" s="41">
        <v>9</v>
      </c>
      <c r="Z63" s="41">
        <v>10</v>
      </c>
      <c r="AA63" s="41">
        <v>11</v>
      </c>
      <c r="AB63" s="41">
        <v>12</v>
      </c>
      <c r="AC63" s="41">
        <v>1</v>
      </c>
      <c r="AD63" s="41">
        <v>2</v>
      </c>
      <c r="AE63" s="41">
        <v>3</v>
      </c>
      <c r="AF63" s="41">
        <v>4</v>
      </c>
      <c r="AG63" s="41">
        <v>5</v>
      </c>
      <c r="AH63" s="41">
        <v>6</v>
      </c>
      <c r="AI63" s="41">
        <v>7</v>
      </c>
      <c r="AJ63" s="41">
        <v>8</v>
      </c>
      <c r="AK63" s="41">
        <v>9</v>
      </c>
      <c r="AL63" s="41">
        <v>10</v>
      </c>
      <c r="AM63" s="41">
        <v>11</v>
      </c>
      <c r="AN63" s="41">
        <v>12</v>
      </c>
      <c r="AO63" s="41" t="s">
        <v>409</v>
      </c>
    </row>
    <row r="64" spans="1:41" x14ac:dyDescent="0.35">
      <c r="B64" s="14" t="s">
        <v>64</v>
      </c>
      <c r="C64" t="s">
        <v>22</v>
      </c>
      <c r="D64" t="s">
        <v>355</v>
      </c>
      <c r="E64" s="400" t="e" cm="1">
        <f t="array" ref="E64">IF(SUMPRODUCT('Giá công thức'!$G$11:$AD$106*('Giá công thức'!$A$11:$A$106=$B64)*('Giá công thức'!$B$11:$B$106=$C64)*('Giá công thức'!$C$11:$C$106="GB")*('Giá công thức'!$G$3:$AD$3=E$1)*('Giá công thức'!$G$4:$AD$4=E$2))=0,NA(),SUMPRODUCT('Giá công thức'!$G$11:$AD$106*('Giá công thức'!$A$11:$A$106=$B64)*('Giá công thức'!$B$11:$B$106=$C64)*('Giá công thức'!$C$11:$C$106="GB")*('Giá công thức'!$G$3:$AD$3=E$1)*('Giá công thức'!$G$4:$AD$4=E$2)))</f>
        <v>#N/A</v>
      </c>
      <c r="F64" s="400" t="e" cm="1">
        <f t="array" ref="F64">IF(SUMPRODUCT('Giá công thức'!$G$11:$AD$106*('Giá công thức'!$A$11:$A$106=$B64)*('Giá công thức'!$B$11:$B$106=$C64)*('Giá công thức'!$C$11:$C$106="GB")*('Giá công thức'!$G$3:$AD$3=F$1)*('Giá công thức'!$G$4:$AD$4=F$2))=0,NA(),SUMPRODUCT('Giá công thức'!$G$11:$AD$106*('Giá công thức'!$A$11:$A$106=$B64)*('Giá công thức'!$B$11:$B$106=$C64)*('Giá công thức'!$C$11:$C$106="GB")*('Giá công thức'!$G$3:$AD$3=F$1)*('Giá công thức'!$G$4:$AD$4=F$2)))</f>
        <v>#N/A</v>
      </c>
      <c r="G64" s="400" t="e" cm="1">
        <f t="array" ref="G64">IF(SUMPRODUCT('Giá công thức'!$G$11:$AD$106*('Giá công thức'!$A$11:$A$106=$B64)*('Giá công thức'!$B$11:$B$106=$C64)*('Giá công thức'!$C$11:$C$106="GB")*('Giá công thức'!$G$3:$AD$3=G$1)*('Giá công thức'!$G$4:$AD$4=G$2))=0,NA(),SUMPRODUCT('Giá công thức'!$G$11:$AD$106*('Giá công thức'!$A$11:$A$106=$B64)*('Giá công thức'!$B$11:$B$106=$C64)*('Giá công thức'!$C$11:$C$106="GB")*('Giá công thức'!$G$3:$AD$3=G$1)*('Giá công thức'!$G$4:$AD$4=G$2)))</f>
        <v>#N/A</v>
      </c>
      <c r="H64" s="400" t="e" cm="1">
        <f t="array" ref="H64">IF(SUMPRODUCT('Giá công thức'!$G$11:$AD$106*('Giá công thức'!$A$11:$A$106=$B64)*('Giá công thức'!$B$11:$B$106=$C64)*('Giá công thức'!$C$11:$C$106="GB")*('Giá công thức'!$G$3:$AD$3=H$1)*('Giá công thức'!$G$4:$AD$4=H$2))=0,NA(),SUMPRODUCT('Giá công thức'!$G$11:$AD$106*('Giá công thức'!$A$11:$A$106=$B64)*('Giá công thức'!$B$11:$B$106=$C64)*('Giá công thức'!$C$11:$C$106="GB")*('Giá công thức'!$G$3:$AD$3=H$1)*('Giá công thức'!$G$4:$AD$4=H$2)))</f>
        <v>#N/A</v>
      </c>
      <c r="I64" s="400" t="e" cm="1">
        <f t="array" ref="I64">IF(SUMPRODUCT('Giá công thức'!$G$11:$AD$106*('Giá công thức'!$A$11:$A$106=$B64)*('Giá công thức'!$B$11:$B$106=$C64)*('Giá công thức'!$C$11:$C$106="GB")*('Giá công thức'!$G$3:$AD$3=I$1)*('Giá công thức'!$G$4:$AD$4=I$2))=0,NA(),SUMPRODUCT('Giá công thức'!$G$11:$AD$106*('Giá công thức'!$A$11:$A$106=$B64)*('Giá công thức'!$B$11:$B$106=$C64)*('Giá công thức'!$C$11:$C$106="GB")*('Giá công thức'!$G$3:$AD$3=I$1)*('Giá công thức'!$G$4:$AD$4=I$2)))</f>
        <v>#N/A</v>
      </c>
      <c r="J64" s="400" t="e" cm="1">
        <f t="array" ref="J64">IF(SUMPRODUCT('Giá công thức'!$G$11:$AD$106*('Giá công thức'!$A$11:$A$106=$B64)*('Giá công thức'!$B$11:$B$106=$C64)*('Giá công thức'!$C$11:$C$106="GB")*('Giá công thức'!$G$3:$AD$3=J$1)*('Giá công thức'!$G$4:$AD$4=J$2))=0,NA(),SUMPRODUCT('Giá công thức'!$G$11:$AD$106*('Giá công thức'!$A$11:$A$106=$B64)*('Giá công thức'!$B$11:$B$106=$C64)*('Giá công thức'!$C$11:$C$106="GB")*('Giá công thức'!$G$3:$AD$3=J$1)*('Giá công thức'!$G$4:$AD$4=J$2)))</f>
        <v>#N/A</v>
      </c>
      <c r="K64" s="400" t="e" cm="1">
        <f t="array" ref="K64">IF(SUMPRODUCT('Giá công thức'!$G$11:$AD$106*('Giá công thức'!$A$11:$A$106=$B64)*('Giá công thức'!$B$11:$B$106=$C64)*('Giá công thức'!$C$11:$C$106="GB")*('Giá công thức'!$G$3:$AD$3=K$1)*('Giá công thức'!$G$4:$AD$4=K$2))=0,NA(),SUMPRODUCT('Giá công thức'!$G$11:$AD$106*('Giá công thức'!$A$11:$A$106=$B64)*('Giá công thức'!$B$11:$B$106=$C64)*('Giá công thức'!$C$11:$C$106="GB")*('Giá công thức'!$G$3:$AD$3=K$1)*('Giá công thức'!$G$4:$AD$4=K$2)))</f>
        <v>#N/A</v>
      </c>
      <c r="L64" s="400" t="e" cm="1">
        <f t="array" ref="L64">IF(SUMPRODUCT('Giá công thức'!$G$11:$AD$106*('Giá công thức'!$A$11:$A$106=$B64)*('Giá công thức'!$B$11:$B$106=$C64)*('Giá công thức'!$C$11:$C$106="GB")*('Giá công thức'!$G$3:$AD$3=L$1)*('Giá công thức'!$G$4:$AD$4=L$2))=0,NA(),SUMPRODUCT('Giá công thức'!$G$11:$AD$106*('Giá công thức'!$A$11:$A$106=$B64)*('Giá công thức'!$B$11:$B$106=$C64)*('Giá công thức'!$C$11:$C$106="GB")*('Giá công thức'!$G$3:$AD$3=L$1)*('Giá công thức'!$G$4:$AD$4=L$2)))</f>
        <v>#N/A</v>
      </c>
      <c r="M64" s="400" t="e" cm="1">
        <f t="array" ref="M64">IF(SUMPRODUCT('Giá công thức'!$G$11:$AD$106*('Giá công thức'!$A$11:$A$106=$B64)*('Giá công thức'!$B$11:$B$106=$C64)*('Giá công thức'!$C$11:$C$106="GB")*('Giá công thức'!$G$3:$AD$3=M$1)*('Giá công thức'!$G$4:$AD$4=M$2))=0,NA(),SUMPRODUCT('Giá công thức'!$G$11:$AD$106*('Giá công thức'!$A$11:$A$106=$B64)*('Giá công thức'!$B$11:$B$106=$C64)*('Giá công thức'!$C$11:$C$106="GB")*('Giá công thức'!$G$3:$AD$3=M$1)*('Giá công thức'!$G$4:$AD$4=M$2)))</f>
        <v>#N/A</v>
      </c>
      <c r="N64" s="400" t="e" cm="1">
        <f t="array" ref="N64">IF(SUMPRODUCT('Giá công thức'!$G$11:$AD$106*('Giá công thức'!$A$11:$A$106=$B64)*('Giá công thức'!$B$11:$B$106=$C64)*('Giá công thức'!$C$11:$C$106="GB")*('Giá công thức'!$G$3:$AD$3=N$1)*('Giá công thức'!$G$4:$AD$4=N$2))=0,NA(),SUMPRODUCT('Giá công thức'!$G$11:$AD$106*('Giá công thức'!$A$11:$A$106=$B64)*('Giá công thức'!$B$11:$B$106=$C64)*('Giá công thức'!$C$11:$C$106="GB")*('Giá công thức'!$G$3:$AD$3=N$1)*('Giá công thức'!$G$4:$AD$4=N$2)))</f>
        <v>#N/A</v>
      </c>
      <c r="O64" s="400" t="e" cm="1">
        <f t="array" ref="O64">IF(SUMPRODUCT('Giá công thức'!$G$11:$AD$106*('Giá công thức'!$A$11:$A$106=$B64)*('Giá công thức'!$B$11:$B$106=$C64)*('Giá công thức'!$C$11:$C$106="GB")*('Giá công thức'!$G$3:$AD$3=O$1)*('Giá công thức'!$G$4:$AD$4=O$2))=0,NA(),SUMPRODUCT('Giá công thức'!$G$11:$AD$106*('Giá công thức'!$A$11:$A$106=$B64)*('Giá công thức'!$B$11:$B$106=$C64)*('Giá công thức'!$C$11:$C$106="GB")*('Giá công thức'!$G$3:$AD$3=O$1)*('Giá công thức'!$G$4:$AD$4=O$2)))</f>
        <v>#N/A</v>
      </c>
      <c r="P64" s="400" t="e" cm="1">
        <f t="array" ref="P64">IF(SUMPRODUCT('Giá công thức'!$G$11:$AD$106*('Giá công thức'!$A$11:$A$106=$B64)*('Giá công thức'!$B$11:$B$106=$C64)*('Giá công thức'!$C$11:$C$106="GB")*('Giá công thức'!$G$3:$AD$3=P$1)*('Giá công thức'!$G$4:$AD$4=P$2))=0,NA(),SUMPRODUCT('Giá công thức'!$G$11:$AD$106*('Giá công thức'!$A$11:$A$106=$B64)*('Giá công thức'!$B$11:$B$106=$C64)*('Giá công thức'!$C$11:$C$106="GB")*('Giá công thức'!$G$3:$AD$3=P$1)*('Giá công thức'!$G$4:$AD$4=P$2)))</f>
        <v>#N/A</v>
      </c>
      <c r="Q64" s="400" cm="1">
        <f t="array" ref="Q64">IF(SUMPRODUCT('Giá công thức'!$G$11:$AD$106*('Giá công thức'!$A$11:$A$106=$B64)*('Giá công thức'!$B$11:$B$106=$C64)*('Giá công thức'!$C$11:$C$106="GB")*('Giá công thức'!$G$3:$AD$3=Q$1)*('Giá công thức'!$G$4:$AD$4=Q$2))=0,NA(),SUMPRODUCT('Giá công thức'!$G$11:$AD$106*('Giá công thức'!$A$11:$A$106=$B64)*('Giá công thức'!$B$11:$B$106=$C64)*('Giá công thức'!$C$11:$C$106="GB")*('Giá công thức'!$G$3:$AD$3=Q$1)*('Giá công thức'!$G$4:$AD$4=Q$2)))</f>
        <v>1388.04</v>
      </c>
      <c r="R64" s="400" cm="1">
        <f t="array" ref="R64">IF(SUMPRODUCT('Giá công thức'!$G$11:$AD$106*('Giá công thức'!$A$11:$A$106=$B64)*('Giá công thức'!$B$11:$B$106=$C64)*('Giá công thức'!$C$11:$C$106="GB")*('Giá công thức'!$G$3:$AD$3=R$1)*('Giá công thức'!$G$4:$AD$4=R$2))=0,NA(),SUMPRODUCT('Giá công thức'!$G$11:$AD$106*('Giá công thức'!$A$11:$A$106=$B64)*('Giá công thức'!$B$11:$B$106=$C64)*('Giá công thức'!$C$11:$C$106="GB")*('Giá công thức'!$G$3:$AD$3=R$1)*('Giá công thức'!$G$4:$AD$4=R$2)))</f>
        <v>1388.04</v>
      </c>
      <c r="S64" s="400" cm="1">
        <f t="array" ref="S64">IF(SUMPRODUCT('Giá công thức'!$G$11:$AD$106*('Giá công thức'!$A$11:$A$106=$B64)*('Giá công thức'!$B$11:$B$106=$C64)*('Giá công thức'!$C$11:$C$106="GB")*('Giá công thức'!$G$3:$AD$3=S$1)*('Giá công thức'!$G$4:$AD$4=S$2))=0,NA(),SUMPRODUCT('Giá công thức'!$G$11:$AD$106*('Giá công thức'!$A$11:$A$106=$B64)*('Giá công thức'!$B$11:$B$106=$C64)*('Giá công thức'!$C$11:$C$106="GB")*('Giá công thức'!$G$3:$AD$3=S$1)*('Giá công thức'!$G$4:$AD$4=S$2)))</f>
        <v>1388.04</v>
      </c>
      <c r="T64" s="400" cm="1">
        <f t="array" ref="T64">IF(SUMPRODUCT('Giá công thức'!$G$11:$AD$106*('Giá công thức'!$A$11:$A$106=$B64)*('Giá công thức'!$B$11:$B$106=$C64)*('Giá công thức'!$C$11:$C$106="GB")*('Giá công thức'!$G$3:$AD$3=T$1)*('Giá công thức'!$G$4:$AD$4=T$2))=0,NA(),SUMPRODUCT('Giá công thức'!$G$11:$AD$106*('Giá công thức'!$A$11:$A$106=$B64)*('Giá công thức'!$B$11:$B$106=$C64)*('Giá công thức'!$C$11:$C$106="GB")*('Giá công thức'!$G$3:$AD$3=T$1)*('Giá công thức'!$G$4:$AD$4=T$2)))</f>
        <v>1338.04</v>
      </c>
      <c r="U64" s="400" cm="1">
        <f t="array" ref="U64">IF(SUMPRODUCT('Giá công thức'!$G$11:$AD$106*('Giá công thức'!$A$11:$A$106=$B64)*('Giá công thức'!$B$11:$B$106=$C64)*('Giá công thức'!$C$11:$C$106="GB")*('Giá công thức'!$G$3:$AD$3=U$1)*('Giá công thức'!$G$4:$AD$4=U$2))=0,NA(),SUMPRODUCT('Giá công thức'!$G$11:$AD$106*('Giá công thức'!$A$11:$A$106=$B64)*('Giá công thức'!$B$11:$B$106=$C64)*('Giá công thức'!$C$11:$C$106="GB")*('Giá công thức'!$G$3:$AD$3=U$1)*('Giá công thức'!$G$4:$AD$4=U$2)))</f>
        <v>1338.04</v>
      </c>
      <c r="V64" s="400" cm="1">
        <f t="array" ref="V64">IF(SUMPRODUCT('Giá công thức'!$G$11:$AD$106*('Giá công thức'!$A$11:$A$106=$B64)*('Giá công thức'!$B$11:$B$106=$C64)*('Giá công thức'!$C$11:$C$106="GB")*('Giá công thức'!$G$3:$AD$3=V$1)*('Giá công thức'!$G$4:$AD$4=V$2))=0,NA(),SUMPRODUCT('Giá công thức'!$G$11:$AD$106*('Giá công thức'!$A$11:$A$106=$B64)*('Giá công thức'!$B$11:$B$106=$C64)*('Giá công thức'!$C$11:$C$106="GB")*('Giá công thức'!$G$3:$AD$3=V$1)*('Giá công thức'!$G$4:$AD$4=V$2)))</f>
        <v>1338.04</v>
      </c>
      <c r="W64" s="400" cm="1">
        <f t="array" ref="W64">IF(SUMPRODUCT('Giá công thức'!$G$11:$AD$106*('Giá công thức'!$A$11:$A$106=$B64)*('Giá công thức'!$B$11:$B$106=$C64)*('Giá công thức'!$C$11:$C$106="GB")*('Giá công thức'!$G$3:$AD$3=W$1)*('Giá công thức'!$G$4:$AD$4=W$2))=0,NA(),SUMPRODUCT('Giá công thức'!$G$11:$AD$106*('Giá công thức'!$A$11:$A$106=$B64)*('Giá công thức'!$B$11:$B$106=$C64)*('Giá công thức'!$C$11:$C$106="GB")*('Giá công thức'!$G$3:$AD$3=W$1)*('Giá công thức'!$G$4:$AD$4=W$2)))</f>
        <v>1368.04</v>
      </c>
      <c r="X64" s="400" cm="1">
        <f t="array" ref="X64">IF(SUMPRODUCT('Giá công thức'!$G$11:$AD$106*('Giá công thức'!$A$11:$A$106=$B64)*('Giá công thức'!$B$11:$B$106=$C64)*('Giá công thức'!$C$11:$C$106="GB")*('Giá công thức'!$G$3:$AD$3=X$1)*('Giá công thức'!$G$4:$AD$4=X$2))=0,NA(),SUMPRODUCT('Giá công thức'!$G$11:$AD$106*('Giá công thức'!$A$11:$A$106=$B64)*('Giá công thức'!$B$11:$B$106=$C64)*('Giá công thức'!$C$11:$C$106="GB")*('Giá công thức'!$G$3:$AD$3=X$1)*('Giá công thức'!$G$4:$AD$4=X$2)))</f>
        <v>1368.04</v>
      </c>
      <c r="Y64" s="400" cm="1">
        <f t="array" ref="Y64">IF(SUMPRODUCT('Giá công thức'!$G$11:$AD$106*('Giá công thức'!$A$11:$A$106=$B64)*('Giá công thức'!$B$11:$B$106=$C64)*('Giá công thức'!$C$11:$C$106="GB")*('Giá công thức'!$G$3:$AD$3=Y$1)*('Giá công thức'!$G$4:$AD$4=Y$2))=0,NA(),SUMPRODUCT('Giá công thức'!$G$11:$AD$106*('Giá công thức'!$A$11:$A$106=$B64)*('Giá công thức'!$B$11:$B$106=$C64)*('Giá công thức'!$C$11:$C$106="GB")*('Giá công thức'!$G$3:$AD$3=Y$1)*('Giá công thức'!$G$4:$AD$4=Y$2)))</f>
        <v>1368.04</v>
      </c>
      <c r="Z64" s="400" cm="1">
        <f t="array" ref="Z64">IF(SUMPRODUCT('Giá công thức'!$G$11:$AD$106*('Giá công thức'!$A$11:$A$106=$B64)*('Giá công thức'!$B$11:$B$106=$C64)*('Giá công thức'!$C$11:$C$106="GB")*('Giá công thức'!$G$3:$AD$3=Z$1)*('Giá công thức'!$G$4:$AD$4=Z$2))=0,NA(),SUMPRODUCT('Giá công thức'!$G$11:$AD$106*('Giá công thức'!$A$11:$A$106=$B64)*('Giá công thức'!$B$11:$B$106=$C64)*('Giá công thức'!$C$11:$C$106="GB")*('Giá công thức'!$G$3:$AD$3=Z$1)*('Giá công thức'!$G$4:$AD$4=Z$2)))</f>
        <v>1368.04</v>
      </c>
      <c r="AA64" s="400" cm="1">
        <f t="array" ref="AA64">IF(SUMPRODUCT('Giá công thức'!$G$11:$AD$106*('Giá công thức'!$A$11:$A$106=$B64)*('Giá công thức'!$B$11:$B$106=$C64)*('Giá công thức'!$C$11:$C$106="GB")*('Giá công thức'!$G$3:$AD$3=AA$1)*('Giá công thức'!$G$4:$AD$4=AA$2))=0,NA(),SUMPRODUCT('Giá công thức'!$G$11:$AD$106*('Giá công thức'!$A$11:$A$106=$B64)*('Giá công thức'!$B$11:$B$106=$C64)*('Giá công thức'!$C$11:$C$106="GB")*('Giá công thức'!$G$3:$AD$3=AA$1)*('Giá công thức'!$G$4:$AD$4=AA$2)))</f>
        <v>1368.04</v>
      </c>
      <c r="AB64" s="400" cm="1">
        <f t="array" ref="AB64">IF(SUMPRODUCT('Giá công thức'!$G$11:$AD$106*('Giá công thức'!$A$11:$A$106=$B64)*('Giá công thức'!$B$11:$B$106=$C64)*('Giá công thức'!$C$11:$C$106="GB")*('Giá công thức'!$G$3:$AD$3=AB$1)*('Giá công thức'!$G$4:$AD$4=AB$2))=0,NA(),SUMPRODUCT('Giá công thức'!$G$11:$AD$106*('Giá công thức'!$A$11:$A$106=$B64)*('Giá công thức'!$B$11:$B$106=$C64)*('Giá công thức'!$C$11:$C$106="GB")*('Giá công thức'!$G$3:$AD$3=AB$1)*('Giá công thức'!$G$4:$AD$4=AB$2)))</f>
        <v>1368.04</v>
      </c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>
        <f>INDEX($E64:$AB64,MATCH("X",$E$3:$AB$3,0))</f>
        <v>1368.04</v>
      </c>
    </row>
    <row r="65" spans="1:41" s="137" customFormat="1" x14ac:dyDescent="0.35">
      <c r="A65" s="137" t="s">
        <v>22</v>
      </c>
      <c r="C65" s="137" t="s">
        <v>22</v>
      </c>
      <c r="D65" s="137" t="s">
        <v>17</v>
      </c>
      <c r="E65" s="403" t="e" cm="1">
        <f t="array" ref="E65">IF(SUMPRODUCT(General_Data*(Code_General_Data=$A65)*(Year=E$1)*(Month=E$2))=0,NA(),SUMPRODUCT(General_Data*(Code_General_Data=$A65)*(Year=E$1)*(Month=E$2)))</f>
        <v>#N/A</v>
      </c>
      <c r="F65" s="403" t="e" cm="1">
        <f t="array" ref="F65">IF(SUMPRODUCT(General_Data*(Code_General_Data=$A65)*(Year=F$1)*(Month=F$2))=0,NA(),SUMPRODUCT(General_Data*(Code_General_Data=$A65)*(Year=F$1)*(Month=F$2)))</f>
        <v>#N/A</v>
      </c>
      <c r="G65" s="403" t="e" cm="1">
        <f t="array" ref="G65">IF(SUMPRODUCT(General_Data*(Code_General_Data=$A65)*(Year=G$1)*(Month=G$2))=0,NA(),SUMPRODUCT(General_Data*(Code_General_Data=$A65)*(Year=G$1)*(Month=G$2)))</f>
        <v>#N/A</v>
      </c>
      <c r="H65" s="403" t="e" cm="1">
        <f t="array" ref="H65">IF(SUMPRODUCT(General_Data*(Code_General_Data=$A65)*(Year=H$1)*(Month=H$2))=0,NA(),SUMPRODUCT(General_Data*(Code_General_Data=$A65)*(Year=H$1)*(Month=H$2)))</f>
        <v>#N/A</v>
      </c>
      <c r="I65" s="403" t="e" cm="1">
        <f t="array" ref="I65">IF(SUMPRODUCT(General_Data*(Code_General_Data=$A65)*(Year=I$1)*(Month=I$2))=0,NA(),SUMPRODUCT(General_Data*(Code_General_Data=$A65)*(Year=I$1)*(Month=I$2)))</f>
        <v>#N/A</v>
      </c>
      <c r="J65" s="403" t="e" cm="1">
        <f t="array" ref="J65">IF(SUMPRODUCT(General_Data*(Code_General_Data=$A65)*(Year=J$1)*(Month=J$2))=0,NA(),SUMPRODUCT(General_Data*(Code_General_Data=$A65)*(Year=J$1)*(Month=J$2)))</f>
        <v>#N/A</v>
      </c>
      <c r="K65" s="403" t="e" cm="1">
        <f t="array" ref="K65">IF(SUMPRODUCT(General_Data*(Code_General_Data=$A65)*(Year=K$1)*(Month=K$2))=0,NA(),SUMPRODUCT(General_Data*(Code_General_Data=$A65)*(Year=K$1)*(Month=K$2)))</f>
        <v>#N/A</v>
      </c>
      <c r="L65" s="403" t="e" cm="1">
        <f t="array" ref="L65">IF(SUMPRODUCT(General_Data*(Code_General_Data=$A65)*(Year=L$1)*(Month=L$2))=0,NA(),SUMPRODUCT(General_Data*(Code_General_Data=$A65)*(Year=L$1)*(Month=L$2)))</f>
        <v>#N/A</v>
      </c>
      <c r="M65" s="403" t="e" cm="1">
        <f t="array" ref="M65">IF(SUMPRODUCT(General_Data*(Code_General_Data=$A65)*(Year=M$1)*(Month=M$2))=0,NA(),SUMPRODUCT(General_Data*(Code_General_Data=$A65)*(Year=M$1)*(Month=M$2)))</f>
        <v>#N/A</v>
      </c>
      <c r="N65" s="403" t="e" cm="1">
        <f t="array" ref="N65">IF(SUMPRODUCT(General_Data*(Code_General_Data=$A65)*(Year=N$1)*(Month=N$2))=0,NA(),SUMPRODUCT(General_Data*(Code_General_Data=$A65)*(Year=N$1)*(Month=N$2)))</f>
        <v>#N/A</v>
      </c>
      <c r="O65" s="403" t="e" cm="1">
        <f t="array" ref="O65">IF(SUMPRODUCT(General_Data*(Code_General_Data=$A65)*(Year=O$1)*(Month=O$2))=0,NA(),SUMPRODUCT(General_Data*(Code_General_Data=$A65)*(Year=O$1)*(Month=O$2)))</f>
        <v>#N/A</v>
      </c>
      <c r="P65" s="403" t="e" cm="1">
        <f t="array" ref="P65">IF(SUMPRODUCT(General_Data*(Code_General_Data=$A65)*(Year=P$1)*(Month=P$2))=0,NA(),SUMPRODUCT(General_Data*(Code_General_Data=$A65)*(Year=P$1)*(Month=P$2)))</f>
        <v>#N/A</v>
      </c>
      <c r="Q65" s="403" cm="1">
        <f t="array" ref="Q65">IF(SUMPRODUCT(General_Data*(Code_General_Data=$A65)*(Year=Q$1)*(Month=Q$2))=0,NA(),SUMPRODUCT(General_Data*(Code_General_Data=$A65)*(Year=Q$1)*(Month=Q$2)))</f>
        <v>1400</v>
      </c>
      <c r="R65" s="403" cm="1">
        <f t="array" ref="R65">IF(SUMPRODUCT(General_Data*(Code_General_Data=$A65)*(Year=R$1)*(Month=R$2))=0,NA(),SUMPRODUCT(General_Data*(Code_General_Data=$A65)*(Year=R$1)*(Month=R$2)))</f>
        <v>1400</v>
      </c>
      <c r="S65" s="403" cm="1">
        <f t="array" ref="S65">IF(SUMPRODUCT(General_Data*(Code_General_Data=$A65)*(Year=S$1)*(Month=S$2))=0,NA(),SUMPRODUCT(General_Data*(Code_General_Data=$A65)*(Year=S$1)*(Month=S$2)))</f>
        <v>1350</v>
      </c>
      <c r="T65" s="403" cm="1">
        <f t="array" ref="T65">IF(SUMPRODUCT(General_Data*(Code_General_Data=$A65)*(Year=T$1)*(Month=T$2))=0,NA(),SUMPRODUCT(General_Data*(Code_General_Data=$A65)*(Year=T$1)*(Month=T$2)))</f>
        <v>1350</v>
      </c>
      <c r="U65" s="403" cm="1">
        <f t="array" ref="U65">IF(SUMPRODUCT(General_Data*(Code_General_Data=$A65)*(Year=U$1)*(Month=U$2))=0,NA(),SUMPRODUCT(General_Data*(Code_General_Data=$A65)*(Year=U$1)*(Month=U$2)))</f>
        <v>1350</v>
      </c>
      <c r="V65" s="403" cm="1">
        <f t="array" ref="V65">IF(SUMPRODUCT(General_Data*(Code_General_Data=$A65)*(Year=V$1)*(Month=V$2))=0,NA(),SUMPRODUCT(General_Data*(Code_General_Data=$A65)*(Year=V$1)*(Month=V$2)))</f>
        <v>1350</v>
      </c>
      <c r="W65" s="403" cm="1">
        <f t="array" ref="W65">IF(SUMPRODUCT(General_Data*(Code_General_Data=$A65)*(Year=W$1)*(Month=W$2))=0,NA(),SUMPRODUCT(General_Data*(Code_General_Data=$A65)*(Year=W$1)*(Month=W$2)))</f>
        <v>1350</v>
      </c>
      <c r="X65" s="403" cm="1">
        <f t="array" ref="X65">IF(SUMPRODUCT(General_Data*(Code_General_Data=$A65)*(Year=X$1)*(Month=X$2))=0,NA(),SUMPRODUCT(General_Data*(Code_General_Data=$A65)*(Year=X$1)*(Month=X$2)))</f>
        <v>1330</v>
      </c>
      <c r="Y65" s="403" cm="1">
        <f t="array" ref="Y65">IF(SUMPRODUCT(General_Data*(Code_General_Data=$A65)*(Year=Y$1)*(Month=Y$2))=0,NA(),SUMPRODUCT(General_Data*(Code_General_Data=$A65)*(Year=Y$1)*(Month=Y$2)))</f>
        <v>1310</v>
      </c>
      <c r="Z65" s="403" cm="1">
        <f t="array" ref="Z65">IF(SUMPRODUCT(General_Data*(Code_General_Data=$A65)*(Year=Z$1)*(Month=Z$2))=0,NA(),SUMPRODUCT(General_Data*(Code_General_Data=$A65)*(Year=Z$1)*(Month=Z$2)))</f>
        <v>1310</v>
      </c>
      <c r="AA65" s="403" cm="1">
        <f t="array" ref="AA65">IF(SUMPRODUCT(General_Data*(Code_General_Data=$A65)*(Year=AA$1)*(Month=AA$2))=0,NA(),SUMPRODUCT(General_Data*(Code_General_Data=$A65)*(Year=AA$1)*(Month=AA$2)))</f>
        <v>1300</v>
      </c>
      <c r="AB65" s="403" cm="1">
        <f t="array" ref="AB65">IF(SUMPRODUCT(General_Data*(Code_General_Data=$A65)*(Year=AB$1)*(Month=AB$2))=0,NA(),SUMPRODUCT(General_Data*(Code_General_Data=$A65)*(Year=AB$1)*(Month=AB$2)))</f>
        <v>1300</v>
      </c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>
        <f t="shared" ref="AO65:AO66" si="61">INDEX($E65:$AB65,MATCH("X",$E$3:$AB$3,0))</f>
        <v>1300</v>
      </c>
    </row>
    <row r="66" spans="1:41" s="401" customFormat="1" x14ac:dyDescent="0.35">
      <c r="A66" s="401" t="s">
        <v>21</v>
      </c>
      <c r="D66" s="401" t="s">
        <v>11</v>
      </c>
      <c r="E66" s="402" cm="1">
        <f t="array" ref="E66">SUMPRODUCT(General_Data*(Code_General_Data=$A66)*(Year=E$1)*(Month=E$2))</f>
        <v>940</v>
      </c>
      <c r="F66" s="402" cm="1">
        <f t="array" ref="F66">SUMPRODUCT(General_Data*(Code_General_Data=$A66)*(Year=F$1)*(Month=F$2))</f>
        <v>993.33333333333337</v>
      </c>
      <c r="G66" s="402" cm="1">
        <f t="array" ref="G66">SUMPRODUCT(General_Data*(Code_General_Data=$A66)*(Year=G$1)*(Month=G$2))</f>
        <v>985</v>
      </c>
      <c r="H66" s="402" cm="1">
        <f t="array" ref="H66">SUMPRODUCT(General_Data*(Code_General_Data=$A66)*(Year=H$1)*(Month=H$2))</f>
        <v>962.5</v>
      </c>
      <c r="I66" s="402" cm="1">
        <f t="array" ref="I66">SUMPRODUCT(General_Data*(Code_General_Data=$A66)*(Year=I$1)*(Month=I$2))</f>
        <v>982</v>
      </c>
      <c r="J66" s="402" cm="1">
        <f t="array" ref="J66">SUMPRODUCT(General_Data*(Code_General_Data=$A66)*(Year=J$1)*(Month=J$2))</f>
        <v>1000</v>
      </c>
      <c r="K66" s="402" cm="1">
        <f t="array" ref="K66">SUMPRODUCT(General_Data*(Code_General_Data=$A66)*(Year=K$1)*(Month=K$2))</f>
        <v>1000</v>
      </c>
      <c r="L66" s="402" cm="1">
        <f t="array" ref="L66">SUMPRODUCT(General_Data*(Code_General_Data=$A66)*(Year=L$1)*(Month=L$2))</f>
        <v>984</v>
      </c>
      <c r="M66" s="402" cm="1">
        <f t="array" ref="M66">SUMPRODUCT(General_Data*(Code_General_Data=$A66)*(Year=M$1)*(Month=M$2))</f>
        <v>967.5</v>
      </c>
      <c r="N66" s="402" cm="1">
        <f t="array" ref="N66">SUMPRODUCT(General_Data*(Code_General_Data=$A66)*(Year=N$1)*(Month=N$2))</f>
        <v>965</v>
      </c>
      <c r="O66" s="402" cm="1">
        <f t="array" ref="O66">SUMPRODUCT(General_Data*(Code_General_Data=$A66)*(Year=O$1)*(Month=O$2))</f>
        <v>974</v>
      </c>
      <c r="P66" s="402" cm="1">
        <f t="array" ref="P66">SUMPRODUCT(General_Data*(Code_General_Data=$A66)*(Year=P$1)*(Month=P$2))</f>
        <v>956</v>
      </c>
      <c r="Q66" s="402" cm="1">
        <f t="array" ref="Q66">SUMPRODUCT(General_Data*(Code_General_Data=$A66)*(Year=Q$1)*(Month=Q$2))</f>
        <v>940</v>
      </c>
      <c r="R66" s="402" cm="1">
        <f t="array" ref="R66">SUMPRODUCT(General_Data*(Code_General_Data=$A66)*(Year=R$1)*(Month=R$2))</f>
        <v>918</v>
      </c>
      <c r="S66" s="402" cm="1">
        <f t="array" ref="S66">SUMPRODUCT(General_Data*(Code_General_Data=$A66)*(Year=S$1)*(Month=S$2))</f>
        <v>896</v>
      </c>
      <c r="T66" s="402" cm="1">
        <f t="array" ref="T66">SUMPRODUCT(General_Data*(Code_General_Data=$A66)*(Year=T$1)*(Month=T$2))</f>
        <v>891.5</v>
      </c>
      <c r="U66" s="402" cm="1">
        <f t="array" ref="U66">SUMPRODUCT(General_Data*(Code_General_Data=$A66)*(Year=U$1)*(Month=U$2))</f>
        <v>864</v>
      </c>
      <c r="V66" s="402" cm="1">
        <f t="array" ref="V66">SUMPRODUCT(General_Data*(Code_General_Data=$A66)*(Year=V$1)*(Month=V$2))</f>
        <v>833</v>
      </c>
      <c r="W66" s="402" cm="1">
        <f t="array" ref="W66">SUMPRODUCT(General_Data*(Code_General_Data=$A66)*(Year=W$1)*(Month=W$2))</f>
        <v>833</v>
      </c>
      <c r="X66" s="402" cm="1">
        <f t="array" ref="X66">SUMPRODUCT(General_Data*(Code_General_Data=$A66)*(Year=X$1)*(Month=X$2))</f>
        <v>815</v>
      </c>
      <c r="Y66" s="402" cm="1">
        <f t="array" ref="Y66">SUMPRODUCT(General_Data*(Code_General_Data=$A66)*(Year=Y$1)*(Month=Y$2))</f>
        <v>813</v>
      </c>
      <c r="Z66" s="402" cm="1">
        <f t="array" ref="Z66">SUMPRODUCT(General_Data*(Code_General_Data=$A66)*(Year=Z$1)*(Month=Z$2))</f>
        <v>805</v>
      </c>
      <c r="AA66" s="402" cm="1">
        <f t="array" ref="AA66">SUMPRODUCT(General_Data*(Code_General_Data=$A66)*(Year=AA$1)*(Month=AA$2))</f>
        <v>805</v>
      </c>
      <c r="AB66" s="402" cm="1">
        <f t="array" ref="AB66">SUMPRODUCT(General_Data*(Code_General_Data=$A66)*(Year=AB$1)*(Month=AB$2))</f>
        <v>805</v>
      </c>
      <c r="AC66" s="402"/>
      <c r="AD66" s="402"/>
      <c r="AE66" s="402"/>
      <c r="AF66" s="402"/>
      <c r="AG66" s="402"/>
      <c r="AH66" s="402"/>
      <c r="AI66" s="402"/>
      <c r="AJ66" s="402"/>
      <c r="AK66" s="402"/>
      <c r="AL66" s="402"/>
      <c r="AM66" s="402"/>
      <c r="AN66" s="402"/>
      <c r="AO66" s="402">
        <f t="shared" si="61"/>
        <v>805</v>
      </c>
    </row>
    <row r="67" spans="1:41" s="408" customFormat="1" x14ac:dyDescent="0.35">
      <c r="D67" s="408" t="s">
        <v>395</v>
      </c>
      <c r="E67" s="409" t="e">
        <f t="shared" ref="E67:AA67" si="62">E65-E66</f>
        <v>#N/A</v>
      </c>
      <c r="F67" s="409" t="e">
        <f t="shared" si="62"/>
        <v>#N/A</v>
      </c>
      <c r="G67" s="409" t="e">
        <f t="shared" si="62"/>
        <v>#N/A</v>
      </c>
      <c r="H67" s="409" t="e">
        <f t="shared" si="62"/>
        <v>#N/A</v>
      </c>
      <c r="I67" s="409" t="e">
        <f t="shared" si="62"/>
        <v>#N/A</v>
      </c>
      <c r="J67" s="409" t="e">
        <f t="shared" si="62"/>
        <v>#N/A</v>
      </c>
      <c r="K67" s="409" t="e">
        <f t="shared" si="62"/>
        <v>#N/A</v>
      </c>
      <c r="L67" s="409" t="e">
        <f t="shared" si="62"/>
        <v>#N/A</v>
      </c>
      <c r="M67" s="409" t="e">
        <f t="shared" si="62"/>
        <v>#N/A</v>
      </c>
      <c r="N67" s="409" t="e">
        <f t="shared" si="62"/>
        <v>#N/A</v>
      </c>
      <c r="O67" s="409" t="e">
        <f t="shared" si="62"/>
        <v>#N/A</v>
      </c>
      <c r="P67" s="409" t="e">
        <f t="shared" si="62"/>
        <v>#N/A</v>
      </c>
      <c r="Q67" s="409">
        <f t="shared" si="62"/>
        <v>460</v>
      </c>
      <c r="R67" s="409">
        <f t="shared" si="62"/>
        <v>482</v>
      </c>
      <c r="S67" s="409">
        <f t="shared" si="62"/>
        <v>454</v>
      </c>
      <c r="T67" s="409">
        <f t="shared" si="62"/>
        <v>458.5</v>
      </c>
      <c r="U67" s="409">
        <f t="shared" si="62"/>
        <v>486</v>
      </c>
      <c r="V67" s="409">
        <f t="shared" si="62"/>
        <v>517</v>
      </c>
      <c r="W67" s="409">
        <f t="shared" si="62"/>
        <v>517</v>
      </c>
      <c r="X67" s="409">
        <f t="shared" si="62"/>
        <v>515</v>
      </c>
      <c r="Y67" s="409">
        <f t="shared" si="62"/>
        <v>497</v>
      </c>
      <c r="Z67" s="409">
        <f t="shared" si="62"/>
        <v>505</v>
      </c>
      <c r="AA67" s="409">
        <f t="shared" si="62"/>
        <v>495</v>
      </c>
      <c r="AB67" s="409">
        <f t="shared" ref="AB67" si="63">AB65-AB66</f>
        <v>495</v>
      </c>
      <c r="AC67" s="409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2"/>
    </row>
    <row r="68" spans="1:41" s="410" customFormat="1" x14ac:dyDescent="0.35">
      <c r="D68" s="410" t="s">
        <v>394</v>
      </c>
      <c r="E68" s="411">
        <f t="shared" ref="E68:AA68" si="64">IFERROR(E67/E66,0)</f>
        <v>0</v>
      </c>
      <c r="F68" s="411">
        <f t="shared" si="64"/>
        <v>0</v>
      </c>
      <c r="G68" s="411">
        <f t="shared" si="64"/>
        <v>0</v>
      </c>
      <c r="H68" s="411">
        <f t="shared" si="64"/>
        <v>0</v>
      </c>
      <c r="I68" s="411">
        <f t="shared" si="64"/>
        <v>0</v>
      </c>
      <c r="J68" s="411">
        <f t="shared" si="64"/>
        <v>0</v>
      </c>
      <c r="K68" s="411">
        <f t="shared" si="64"/>
        <v>0</v>
      </c>
      <c r="L68" s="411">
        <f t="shared" si="64"/>
        <v>0</v>
      </c>
      <c r="M68" s="411">
        <f t="shared" si="64"/>
        <v>0</v>
      </c>
      <c r="N68" s="411">
        <f t="shared" si="64"/>
        <v>0</v>
      </c>
      <c r="O68" s="411">
        <f t="shared" si="64"/>
        <v>0</v>
      </c>
      <c r="P68" s="411">
        <f t="shared" si="64"/>
        <v>0</v>
      </c>
      <c r="Q68" s="411">
        <f t="shared" si="64"/>
        <v>0.48936170212765956</v>
      </c>
      <c r="R68" s="411">
        <f t="shared" si="64"/>
        <v>0.52505446623093677</v>
      </c>
      <c r="S68" s="411">
        <f t="shared" si="64"/>
        <v>0.5066964285714286</v>
      </c>
      <c r="T68" s="411">
        <f t="shared" si="64"/>
        <v>0.51430173864273698</v>
      </c>
      <c r="U68" s="411">
        <f t="shared" si="64"/>
        <v>0.5625</v>
      </c>
      <c r="V68" s="411">
        <f t="shared" si="64"/>
        <v>0.62064825930372147</v>
      </c>
      <c r="W68" s="411">
        <f t="shared" si="64"/>
        <v>0.62064825930372147</v>
      </c>
      <c r="X68" s="411">
        <f t="shared" si="64"/>
        <v>0.63190184049079756</v>
      </c>
      <c r="Y68" s="411">
        <f t="shared" si="64"/>
        <v>0.61131611316113166</v>
      </c>
      <c r="Z68" s="411">
        <f t="shared" si="64"/>
        <v>0.62732919254658381</v>
      </c>
      <c r="AA68" s="411">
        <f t="shared" si="64"/>
        <v>0.6149068322981367</v>
      </c>
      <c r="AB68" s="411">
        <f t="shared" ref="AB68" si="65">IFERROR(AB67/AB66,0)</f>
        <v>0.6149068322981367</v>
      </c>
      <c r="AC68" s="411"/>
      <c r="AD68" s="411"/>
      <c r="AE68" s="411"/>
      <c r="AF68" s="411"/>
      <c r="AG68" s="411"/>
      <c r="AH68" s="411"/>
      <c r="AI68" s="411"/>
      <c r="AJ68" s="411"/>
      <c r="AK68" s="411"/>
      <c r="AL68" s="411"/>
      <c r="AM68" s="411"/>
      <c r="AN68" s="411"/>
      <c r="AO68" s="409"/>
    </row>
    <row r="69" spans="1:41" s="426" customFormat="1" x14ac:dyDescent="0.35">
      <c r="D69" s="426" t="s">
        <v>419</v>
      </c>
      <c r="E69" s="427" t="e">
        <f>E65</f>
        <v>#N/A</v>
      </c>
      <c r="F69" s="427" t="e">
        <f t="shared" ref="F69:AB69" si="66">F65</f>
        <v>#N/A</v>
      </c>
      <c r="G69" s="427" t="e">
        <f t="shared" si="66"/>
        <v>#N/A</v>
      </c>
      <c r="H69" s="427" t="e">
        <f t="shared" si="66"/>
        <v>#N/A</v>
      </c>
      <c r="I69" s="427" t="e">
        <f t="shared" si="66"/>
        <v>#N/A</v>
      </c>
      <c r="J69" s="427" t="e">
        <f t="shared" si="66"/>
        <v>#N/A</v>
      </c>
      <c r="K69" s="427" t="e">
        <f t="shared" si="66"/>
        <v>#N/A</v>
      </c>
      <c r="L69" s="427" t="e">
        <f t="shared" si="66"/>
        <v>#N/A</v>
      </c>
      <c r="M69" s="427" t="e">
        <f t="shared" si="66"/>
        <v>#N/A</v>
      </c>
      <c r="N69" s="427" t="e">
        <f t="shared" si="66"/>
        <v>#N/A</v>
      </c>
      <c r="O69" s="427" t="e">
        <f t="shared" si="66"/>
        <v>#N/A</v>
      </c>
      <c r="P69" s="427" t="e">
        <f t="shared" si="66"/>
        <v>#N/A</v>
      </c>
      <c r="Q69" s="427">
        <f t="shared" si="66"/>
        <v>1400</v>
      </c>
      <c r="R69" s="427">
        <f t="shared" si="66"/>
        <v>1400</v>
      </c>
      <c r="S69" s="427">
        <f t="shared" si="66"/>
        <v>1350</v>
      </c>
      <c r="T69" s="427">
        <f t="shared" si="66"/>
        <v>1350</v>
      </c>
      <c r="U69" s="427">
        <f t="shared" si="66"/>
        <v>1350</v>
      </c>
      <c r="V69" s="427">
        <f t="shared" si="66"/>
        <v>1350</v>
      </c>
      <c r="W69" s="427">
        <f t="shared" si="66"/>
        <v>1350</v>
      </c>
      <c r="X69" s="427">
        <f t="shared" si="66"/>
        <v>1330</v>
      </c>
      <c r="Y69" s="427">
        <f t="shared" si="66"/>
        <v>1310</v>
      </c>
      <c r="Z69" s="427">
        <f t="shared" si="66"/>
        <v>1310</v>
      </c>
      <c r="AA69" s="427">
        <f t="shared" si="66"/>
        <v>1300</v>
      </c>
      <c r="AB69" s="427">
        <f t="shared" si="66"/>
        <v>1300</v>
      </c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37"/>
    </row>
    <row r="70" spans="1:41" s="426" customFormat="1" x14ac:dyDescent="0.35">
      <c r="D70" s="426" t="s">
        <v>420</v>
      </c>
      <c r="E70" s="427" t="e">
        <f>E66+E67/2</f>
        <v>#N/A</v>
      </c>
      <c r="F70" s="427" t="e">
        <f t="shared" ref="F70:AB70" si="67">F66+F67/2</f>
        <v>#N/A</v>
      </c>
      <c r="G70" s="427" t="e">
        <f t="shared" si="67"/>
        <v>#N/A</v>
      </c>
      <c r="H70" s="427" t="e">
        <f t="shared" si="67"/>
        <v>#N/A</v>
      </c>
      <c r="I70" s="427" t="e">
        <f t="shared" si="67"/>
        <v>#N/A</v>
      </c>
      <c r="J70" s="427" t="e">
        <f t="shared" si="67"/>
        <v>#N/A</v>
      </c>
      <c r="K70" s="427" t="e">
        <f t="shared" si="67"/>
        <v>#N/A</v>
      </c>
      <c r="L70" s="427" t="e">
        <f t="shared" si="67"/>
        <v>#N/A</v>
      </c>
      <c r="M70" s="427" t="e">
        <f t="shared" si="67"/>
        <v>#N/A</v>
      </c>
      <c r="N70" s="427" t="e">
        <f t="shared" si="67"/>
        <v>#N/A</v>
      </c>
      <c r="O70" s="427" t="e">
        <f t="shared" si="67"/>
        <v>#N/A</v>
      </c>
      <c r="P70" s="427" t="e">
        <f t="shared" si="67"/>
        <v>#N/A</v>
      </c>
      <c r="Q70" s="427">
        <f t="shared" si="67"/>
        <v>1170</v>
      </c>
      <c r="R70" s="427">
        <f t="shared" si="67"/>
        <v>1159</v>
      </c>
      <c r="S70" s="427">
        <f t="shared" si="67"/>
        <v>1123</v>
      </c>
      <c r="T70" s="427">
        <f t="shared" si="67"/>
        <v>1120.75</v>
      </c>
      <c r="U70" s="427">
        <f t="shared" si="67"/>
        <v>1107</v>
      </c>
      <c r="V70" s="427">
        <f t="shared" si="67"/>
        <v>1091.5</v>
      </c>
      <c r="W70" s="427">
        <f t="shared" si="67"/>
        <v>1091.5</v>
      </c>
      <c r="X70" s="427">
        <f t="shared" si="67"/>
        <v>1072.5</v>
      </c>
      <c r="Y70" s="427">
        <f t="shared" si="67"/>
        <v>1061.5</v>
      </c>
      <c r="Z70" s="427">
        <f t="shared" si="67"/>
        <v>1057.5</v>
      </c>
      <c r="AA70" s="427">
        <f t="shared" si="67"/>
        <v>1052.5</v>
      </c>
      <c r="AB70" s="427">
        <f t="shared" si="67"/>
        <v>1052.5</v>
      </c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37"/>
    </row>
    <row r="71" spans="1:41" s="434" customFormat="1" x14ac:dyDescent="0.35">
      <c r="D71" s="434" t="s">
        <v>417</v>
      </c>
      <c r="E71" s="435" t="e">
        <f>E65</f>
        <v>#N/A</v>
      </c>
      <c r="F71" s="435" t="e">
        <f t="shared" ref="F71:AB71" si="68">F65</f>
        <v>#N/A</v>
      </c>
      <c r="G71" s="435" t="e">
        <f t="shared" si="68"/>
        <v>#N/A</v>
      </c>
      <c r="H71" s="435" t="e">
        <f t="shared" si="68"/>
        <v>#N/A</v>
      </c>
      <c r="I71" s="435" t="e">
        <f t="shared" si="68"/>
        <v>#N/A</v>
      </c>
      <c r="J71" s="435" t="e">
        <f t="shared" si="68"/>
        <v>#N/A</v>
      </c>
      <c r="K71" s="435" t="e">
        <f t="shared" si="68"/>
        <v>#N/A</v>
      </c>
      <c r="L71" s="435" t="e">
        <f t="shared" si="68"/>
        <v>#N/A</v>
      </c>
      <c r="M71" s="435" t="e">
        <f t="shared" si="68"/>
        <v>#N/A</v>
      </c>
      <c r="N71" s="435" t="e">
        <f t="shared" si="68"/>
        <v>#N/A</v>
      </c>
      <c r="O71" s="435" t="e">
        <f t="shared" si="68"/>
        <v>#N/A</v>
      </c>
      <c r="P71" s="435" t="e">
        <f t="shared" si="68"/>
        <v>#N/A</v>
      </c>
      <c r="Q71" s="435">
        <f t="shared" si="68"/>
        <v>1400</v>
      </c>
      <c r="R71" s="435">
        <f t="shared" si="68"/>
        <v>1400</v>
      </c>
      <c r="S71" s="435">
        <f t="shared" si="68"/>
        <v>1350</v>
      </c>
      <c r="T71" s="435">
        <f t="shared" si="68"/>
        <v>1350</v>
      </c>
      <c r="U71" s="435">
        <f t="shared" si="68"/>
        <v>1350</v>
      </c>
      <c r="V71" s="435">
        <f t="shared" si="68"/>
        <v>1350</v>
      </c>
      <c r="W71" s="435">
        <f t="shared" si="68"/>
        <v>1350</v>
      </c>
      <c r="X71" s="435">
        <f t="shared" si="68"/>
        <v>1330</v>
      </c>
      <c r="Y71" s="435">
        <f t="shared" si="68"/>
        <v>1310</v>
      </c>
      <c r="Z71" s="435">
        <f t="shared" si="68"/>
        <v>1310</v>
      </c>
      <c r="AA71" s="435">
        <f t="shared" si="68"/>
        <v>1300</v>
      </c>
      <c r="AB71" s="435">
        <f t="shared" si="68"/>
        <v>1300</v>
      </c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6"/>
    </row>
    <row r="72" spans="1:41" s="434" customFormat="1" x14ac:dyDescent="0.35">
      <c r="D72" s="434" t="s">
        <v>418</v>
      </c>
      <c r="E72" s="435">
        <f>E66</f>
        <v>940</v>
      </c>
      <c r="F72" s="435">
        <f t="shared" ref="F72:AB72" si="69">F66</f>
        <v>993.33333333333337</v>
      </c>
      <c r="G72" s="435">
        <f t="shared" si="69"/>
        <v>985</v>
      </c>
      <c r="H72" s="435">
        <f t="shared" si="69"/>
        <v>962.5</v>
      </c>
      <c r="I72" s="435">
        <f t="shared" si="69"/>
        <v>982</v>
      </c>
      <c r="J72" s="435">
        <f t="shared" si="69"/>
        <v>1000</v>
      </c>
      <c r="K72" s="435">
        <f t="shared" si="69"/>
        <v>1000</v>
      </c>
      <c r="L72" s="435">
        <f t="shared" si="69"/>
        <v>984</v>
      </c>
      <c r="M72" s="435">
        <f t="shared" si="69"/>
        <v>967.5</v>
      </c>
      <c r="N72" s="435">
        <f t="shared" si="69"/>
        <v>965</v>
      </c>
      <c r="O72" s="435">
        <f t="shared" si="69"/>
        <v>974</v>
      </c>
      <c r="P72" s="435">
        <f t="shared" si="69"/>
        <v>956</v>
      </c>
      <c r="Q72" s="435">
        <f t="shared" si="69"/>
        <v>940</v>
      </c>
      <c r="R72" s="435">
        <f t="shared" si="69"/>
        <v>918</v>
      </c>
      <c r="S72" s="435">
        <f t="shared" si="69"/>
        <v>896</v>
      </c>
      <c r="T72" s="435">
        <f t="shared" si="69"/>
        <v>891.5</v>
      </c>
      <c r="U72" s="435">
        <f t="shared" si="69"/>
        <v>864</v>
      </c>
      <c r="V72" s="435">
        <f t="shared" si="69"/>
        <v>833</v>
      </c>
      <c r="W72" s="435">
        <f t="shared" si="69"/>
        <v>833</v>
      </c>
      <c r="X72" s="435">
        <f t="shared" si="69"/>
        <v>815</v>
      </c>
      <c r="Y72" s="435">
        <f t="shared" si="69"/>
        <v>813</v>
      </c>
      <c r="Z72" s="435">
        <f t="shared" si="69"/>
        <v>805</v>
      </c>
      <c r="AA72" s="435">
        <f t="shared" si="69"/>
        <v>805</v>
      </c>
      <c r="AB72" s="435">
        <f t="shared" si="69"/>
        <v>805</v>
      </c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6"/>
    </row>
    <row r="73" spans="1:41" x14ac:dyDescent="0.35">
      <c r="C73" s="424"/>
      <c r="D73" s="424" t="s">
        <v>411</v>
      </c>
      <c r="E73" s="438">
        <f>IFERROR(E64,0)</f>
        <v>0</v>
      </c>
      <c r="F73" s="438">
        <f t="shared" ref="F73:AB73" si="70">IFERROR(F64,0)</f>
        <v>0</v>
      </c>
      <c r="G73" s="438">
        <f t="shared" si="70"/>
        <v>0</v>
      </c>
      <c r="H73" s="438">
        <f t="shared" si="70"/>
        <v>0</v>
      </c>
      <c r="I73" s="438">
        <f t="shared" si="70"/>
        <v>0</v>
      </c>
      <c r="J73" s="438">
        <f t="shared" si="70"/>
        <v>0</v>
      </c>
      <c r="K73" s="438">
        <f t="shared" si="70"/>
        <v>0</v>
      </c>
      <c r="L73" s="438">
        <f t="shared" si="70"/>
        <v>0</v>
      </c>
      <c r="M73" s="438">
        <f t="shared" si="70"/>
        <v>0</v>
      </c>
      <c r="N73" s="438">
        <f t="shared" si="70"/>
        <v>0</v>
      </c>
      <c r="O73" s="438">
        <f t="shared" si="70"/>
        <v>0</v>
      </c>
      <c r="P73" s="438">
        <f t="shared" si="70"/>
        <v>0</v>
      </c>
      <c r="Q73" s="438">
        <f t="shared" si="70"/>
        <v>1388.04</v>
      </c>
      <c r="R73" s="438">
        <f t="shared" si="70"/>
        <v>1388.04</v>
      </c>
      <c r="S73" s="438">
        <f t="shared" si="70"/>
        <v>1388.04</v>
      </c>
      <c r="T73" s="438">
        <f t="shared" si="70"/>
        <v>1338.04</v>
      </c>
      <c r="U73" s="438">
        <f t="shared" si="70"/>
        <v>1338.04</v>
      </c>
      <c r="V73" s="438">
        <f t="shared" si="70"/>
        <v>1338.04</v>
      </c>
      <c r="W73" s="438">
        <f t="shared" si="70"/>
        <v>1368.04</v>
      </c>
      <c r="X73" s="438">
        <f t="shared" si="70"/>
        <v>1368.04</v>
      </c>
      <c r="Y73" s="438">
        <f t="shared" si="70"/>
        <v>1368.04</v>
      </c>
      <c r="Z73" s="438">
        <f t="shared" si="70"/>
        <v>1368.04</v>
      </c>
      <c r="AA73" s="438">
        <f t="shared" si="70"/>
        <v>1368.04</v>
      </c>
      <c r="AB73" s="438">
        <f t="shared" si="70"/>
        <v>1368.04</v>
      </c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3" t="s">
        <v>427</v>
      </c>
    </row>
    <row r="74" spans="1:41" x14ac:dyDescent="0.35">
      <c r="C74" s="424"/>
      <c r="D74" s="424" t="s">
        <v>412</v>
      </c>
      <c r="E74" s="438">
        <f t="shared" ref="E74:AB74" si="71">IFERROR(E65,0)</f>
        <v>0</v>
      </c>
      <c r="F74" s="438">
        <f t="shared" si="71"/>
        <v>0</v>
      </c>
      <c r="G74" s="438">
        <f t="shared" si="71"/>
        <v>0</v>
      </c>
      <c r="H74" s="438">
        <f t="shared" si="71"/>
        <v>0</v>
      </c>
      <c r="I74" s="438">
        <f t="shared" si="71"/>
        <v>0</v>
      </c>
      <c r="J74" s="438">
        <f t="shared" si="71"/>
        <v>0</v>
      </c>
      <c r="K74" s="438">
        <f t="shared" si="71"/>
        <v>0</v>
      </c>
      <c r="L74" s="438">
        <f t="shared" si="71"/>
        <v>0</v>
      </c>
      <c r="M74" s="438">
        <f t="shared" si="71"/>
        <v>0</v>
      </c>
      <c r="N74" s="438">
        <f t="shared" si="71"/>
        <v>0</v>
      </c>
      <c r="O74" s="438">
        <f t="shared" si="71"/>
        <v>0</v>
      </c>
      <c r="P74" s="438">
        <f t="shared" si="71"/>
        <v>0</v>
      </c>
      <c r="Q74" s="438">
        <f t="shared" si="71"/>
        <v>1400</v>
      </c>
      <c r="R74" s="438">
        <f t="shared" si="71"/>
        <v>1400</v>
      </c>
      <c r="S74" s="438">
        <f t="shared" si="71"/>
        <v>1350</v>
      </c>
      <c r="T74" s="438">
        <f t="shared" si="71"/>
        <v>1350</v>
      </c>
      <c r="U74" s="438">
        <f t="shared" si="71"/>
        <v>1350</v>
      </c>
      <c r="V74" s="438">
        <f t="shared" si="71"/>
        <v>1350</v>
      </c>
      <c r="W74" s="438">
        <f t="shared" si="71"/>
        <v>1350</v>
      </c>
      <c r="X74" s="438">
        <f t="shared" si="71"/>
        <v>1330</v>
      </c>
      <c r="Y74" s="438">
        <f t="shared" si="71"/>
        <v>1310</v>
      </c>
      <c r="Z74" s="438">
        <f t="shared" si="71"/>
        <v>1310</v>
      </c>
      <c r="AA74" s="438">
        <f t="shared" si="71"/>
        <v>1300</v>
      </c>
      <c r="AB74" s="438">
        <f t="shared" si="71"/>
        <v>1300</v>
      </c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3" t="s">
        <v>17</v>
      </c>
    </row>
    <row r="75" spans="1:41" x14ac:dyDescent="0.35">
      <c r="C75" s="424"/>
      <c r="D75" s="424" t="s">
        <v>413</v>
      </c>
      <c r="E75" s="438">
        <f t="shared" ref="E75:AB75" si="72">IFERROR(E66,0)</f>
        <v>940</v>
      </c>
      <c r="F75" s="438">
        <f t="shared" si="72"/>
        <v>993.33333333333337</v>
      </c>
      <c r="G75" s="438">
        <f t="shared" si="72"/>
        <v>985</v>
      </c>
      <c r="H75" s="438">
        <f t="shared" si="72"/>
        <v>962.5</v>
      </c>
      <c r="I75" s="438">
        <f t="shared" si="72"/>
        <v>982</v>
      </c>
      <c r="J75" s="438">
        <f t="shared" si="72"/>
        <v>1000</v>
      </c>
      <c r="K75" s="438">
        <f t="shared" si="72"/>
        <v>1000</v>
      </c>
      <c r="L75" s="438">
        <f t="shared" si="72"/>
        <v>984</v>
      </c>
      <c r="M75" s="438">
        <f t="shared" si="72"/>
        <v>967.5</v>
      </c>
      <c r="N75" s="438">
        <f t="shared" si="72"/>
        <v>965</v>
      </c>
      <c r="O75" s="438">
        <f t="shared" si="72"/>
        <v>974</v>
      </c>
      <c r="P75" s="438">
        <f t="shared" si="72"/>
        <v>956</v>
      </c>
      <c r="Q75" s="438">
        <f t="shared" si="72"/>
        <v>940</v>
      </c>
      <c r="R75" s="438">
        <f t="shared" si="72"/>
        <v>918</v>
      </c>
      <c r="S75" s="438">
        <f t="shared" si="72"/>
        <v>896</v>
      </c>
      <c r="T75" s="438">
        <f t="shared" si="72"/>
        <v>891.5</v>
      </c>
      <c r="U75" s="438">
        <f t="shared" si="72"/>
        <v>864</v>
      </c>
      <c r="V75" s="438">
        <f t="shared" si="72"/>
        <v>833</v>
      </c>
      <c r="W75" s="438">
        <f t="shared" si="72"/>
        <v>833</v>
      </c>
      <c r="X75" s="438">
        <f t="shared" si="72"/>
        <v>815</v>
      </c>
      <c r="Y75" s="438">
        <f t="shared" si="72"/>
        <v>813</v>
      </c>
      <c r="Z75" s="438">
        <f t="shared" si="72"/>
        <v>805</v>
      </c>
      <c r="AA75" s="438">
        <f t="shared" si="72"/>
        <v>805</v>
      </c>
      <c r="AB75" s="438">
        <f t="shared" si="72"/>
        <v>805</v>
      </c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3" t="s">
        <v>11</v>
      </c>
    </row>
    <row r="76" spans="1:41" x14ac:dyDescent="0.35">
      <c r="C76" s="424"/>
      <c r="D76" s="424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3"/>
    </row>
    <row r="77" spans="1:41" ht="17" x14ac:dyDescent="0.4">
      <c r="C77" s="399" t="s">
        <v>24</v>
      </c>
      <c r="D77" s="399" t="s">
        <v>23</v>
      </c>
    </row>
    <row r="78" spans="1:41" x14ac:dyDescent="0.35">
      <c r="C78" s="41"/>
      <c r="D78" s="41"/>
      <c r="E78" s="41">
        <v>2024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>
        <v>2025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x14ac:dyDescent="0.35">
      <c r="C79" s="41"/>
      <c r="D79" s="41"/>
      <c r="E79" s="41">
        <v>1</v>
      </c>
      <c r="F79" s="41">
        <v>2</v>
      </c>
      <c r="G79" s="41">
        <v>3</v>
      </c>
      <c r="H79" s="41">
        <v>4</v>
      </c>
      <c r="I79" s="41">
        <v>5</v>
      </c>
      <c r="J79" s="41">
        <v>6</v>
      </c>
      <c r="K79" s="41">
        <v>7</v>
      </c>
      <c r="L79" s="41">
        <v>8</v>
      </c>
      <c r="M79" s="41">
        <v>9</v>
      </c>
      <c r="N79" s="41">
        <v>10</v>
      </c>
      <c r="O79" s="41">
        <v>11</v>
      </c>
      <c r="P79" s="41">
        <v>12</v>
      </c>
      <c r="Q79" s="41">
        <v>1</v>
      </c>
      <c r="R79" s="41">
        <v>2</v>
      </c>
      <c r="S79" s="41">
        <v>3</v>
      </c>
      <c r="T79" s="41">
        <v>4</v>
      </c>
      <c r="U79" s="41">
        <v>5</v>
      </c>
      <c r="V79" s="41">
        <v>6</v>
      </c>
      <c r="W79" s="41">
        <v>7</v>
      </c>
      <c r="X79" s="41">
        <v>8</v>
      </c>
      <c r="Y79" s="41">
        <v>9</v>
      </c>
      <c r="Z79" s="41">
        <v>10</v>
      </c>
      <c r="AA79" s="41">
        <v>11</v>
      </c>
      <c r="AB79" s="41">
        <v>12</v>
      </c>
      <c r="AC79" s="41">
        <v>1</v>
      </c>
      <c r="AD79" s="41">
        <v>2</v>
      </c>
      <c r="AE79" s="41">
        <v>3</v>
      </c>
      <c r="AF79" s="41">
        <v>4</v>
      </c>
      <c r="AG79" s="41">
        <v>5</v>
      </c>
      <c r="AH79" s="41">
        <v>6</v>
      </c>
      <c r="AI79" s="41">
        <v>7</v>
      </c>
      <c r="AJ79" s="41">
        <v>8</v>
      </c>
      <c r="AK79" s="41">
        <v>9</v>
      </c>
      <c r="AL79" s="41">
        <v>10</v>
      </c>
      <c r="AM79" s="41">
        <v>11</v>
      </c>
      <c r="AN79" s="41">
        <v>12</v>
      </c>
      <c r="AO79" s="41" t="s">
        <v>409</v>
      </c>
    </row>
    <row r="80" spans="1:41" x14ac:dyDescent="0.35">
      <c r="B80" s="14" t="s">
        <v>64</v>
      </c>
      <c r="C80" t="s">
        <v>24</v>
      </c>
      <c r="D80" t="s">
        <v>355</v>
      </c>
      <c r="E80" s="400" cm="1">
        <f t="array" ref="E80">IF(SUMPRODUCT('Giá công thức'!$G$11:$AD$106*('Giá công thức'!$A$11:$A$106=$B80)*('Giá công thức'!$B$11:$B$106=$C80)*('Giá công thức'!$C$11:$C$106="GB")*('Giá công thức'!$G$3:$AD$3=E$1)*('Giá công thức'!$G$4:$AD$4=E$2))=0,NA(),SUMPRODUCT('Giá công thức'!$G$11:$AD$106*('Giá công thức'!$A$11:$A$106=$B80)*('Giá công thức'!$B$11:$B$106=$C80)*('Giá công thức'!$C$11:$C$106="GB")*('Giá công thức'!$G$3:$AD$3=E$1)*('Giá công thức'!$G$4:$AD$4=E$2)))</f>
        <v>1487.795918367347</v>
      </c>
      <c r="F80" s="400" cm="1">
        <f t="array" ref="F80">IF(SUMPRODUCT('Giá công thức'!$G$11:$AD$106*('Giá công thức'!$A$11:$A$106=$B80)*('Giá công thức'!$B$11:$B$106=$C80)*('Giá công thức'!$C$11:$C$106="GB")*('Giá công thức'!$G$3:$AD$3=F$1)*('Giá công thức'!$G$4:$AD$4=F$2))=0,NA(),SUMPRODUCT('Giá công thức'!$G$11:$AD$106*('Giá công thức'!$A$11:$A$106=$B80)*('Giá công thức'!$B$11:$B$106=$C80)*('Giá công thức'!$C$11:$C$106="GB")*('Giá công thức'!$G$3:$AD$3=F$1)*('Giá công thức'!$G$4:$AD$4=F$2)))</f>
        <v>1487.795918367347</v>
      </c>
      <c r="G80" s="400" cm="1">
        <f t="array" ref="G80">IF(SUMPRODUCT('Giá công thức'!$G$11:$AD$106*('Giá công thức'!$A$11:$A$106=$B80)*('Giá công thức'!$B$11:$B$106=$C80)*('Giá công thức'!$C$11:$C$106="GB")*('Giá công thức'!$G$3:$AD$3=G$1)*('Giá công thức'!$G$4:$AD$4=G$2))=0,NA(),SUMPRODUCT('Giá công thức'!$G$11:$AD$106*('Giá công thức'!$A$11:$A$106=$B80)*('Giá công thức'!$B$11:$B$106=$C80)*('Giá công thức'!$C$11:$C$106="GB")*('Giá công thức'!$G$3:$AD$3=G$1)*('Giá công thức'!$G$4:$AD$4=G$2)))</f>
        <v>1487.795918367347</v>
      </c>
      <c r="H80" s="400" cm="1">
        <f t="array" ref="H80">IF(SUMPRODUCT('Giá công thức'!$G$11:$AD$106*('Giá công thức'!$A$11:$A$106=$B80)*('Giá công thức'!$B$11:$B$106=$C80)*('Giá công thức'!$C$11:$C$106="GB")*('Giá công thức'!$G$3:$AD$3=H$1)*('Giá công thức'!$G$4:$AD$4=H$2))=0,NA(),SUMPRODUCT('Giá công thức'!$G$11:$AD$106*('Giá công thức'!$A$11:$A$106=$B80)*('Giá công thức'!$B$11:$B$106=$C80)*('Giá công thức'!$C$11:$C$106="GB")*('Giá công thức'!$G$3:$AD$3=H$1)*('Giá công thức'!$G$4:$AD$4=H$2)))</f>
        <v>1417.795918367347</v>
      </c>
      <c r="I80" s="400" cm="1">
        <f t="array" ref="I80">IF(SUMPRODUCT('Giá công thức'!$G$11:$AD$106*('Giá công thức'!$A$11:$A$106=$B80)*('Giá công thức'!$B$11:$B$106=$C80)*('Giá công thức'!$C$11:$C$106="GB")*('Giá công thức'!$G$3:$AD$3=I$1)*('Giá công thức'!$G$4:$AD$4=I$2))=0,NA(),SUMPRODUCT('Giá công thức'!$G$11:$AD$106*('Giá công thức'!$A$11:$A$106=$B80)*('Giá công thức'!$B$11:$B$106=$C80)*('Giá công thức'!$C$11:$C$106="GB")*('Giá công thức'!$G$3:$AD$3=I$1)*('Giá công thức'!$G$4:$AD$4=I$2)))</f>
        <v>1417.795918367347</v>
      </c>
      <c r="J80" s="400" cm="1">
        <f t="array" ref="J80">IF(SUMPRODUCT('Giá công thức'!$G$11:$AD$106*('Giá công thức'!$A$11:$A$106=$B80)*('Giá công thức'!$B$11:$B$106=$C80)*('Giá công thức'!$C$11:$C$106="GB")*('Giá công thức'!$G$3:$AD$3=J$1)*('Giá công thức'!$G$4:$AD$4=J$2))=0,NA(),SUMPRODUCT('Giá công thức'!$G$11:$AD$106*('Giá công thức'!$A$11:$A$106=$B80)*('Giá công thức'!$B$11:$B$106=$C80)*('Giá công thức'!$C$11:$C$106="GB")*('Giá công thức'!$G$3:$AD$3=J$1)*('Giá công thức'!$G$4:$AD$4=J$2)))</f>
        <v>1417.795918367347</v>
      </c>
      <c r="K80" s="400" cm="1">
        <f t="array" ref="K80">IF(SUMPRODUCT('Giá công thức'!$G$11:$AD$106*('Giá công thức'!$A$11:$A$106=$B80)*('Giá công thức'!$B$11:$B$106=$C80)*('Giá công thức'!$C$11:$C$106="GB")*('Giá công thức'!$G$3:$AD$3=K$1)*('Giá công thức'!$G$4:$AD$4=K$2))=0,NA(),SUMPRODUCT('Giá công thức'!$G$11:$AD$106*('Giá công thức'!$A$11:$A$106=$B80)*('Giá công thức'!$B$11:$B$106=$C80)*('Giá công thức'!$C$11:$C$106="GB")*('Giá công thức'!$G$3:$AD$3=K$1)*('Giá công thức'!$G$4:$AD$4=K$2)))</f>
        <v>1418.04</v>
      </c>
      <c r="L80" s="400" cm="1">
        <f t="array" ref="L80">IF(SUMPRODUCT('Giá công thức'!$G$11:$AD$106*('Giá công thức'!$A$11:$A$106=$B80)*('Giá công thức'!$B$11:$B$106=$C80)*('Giá công thức'!$C$11:$C$106="GB")*('Giá công thức'!$G$3:$AD$3=L$1)*('Giá công thức'!$G$4:$AD$4=L$2))=0,NA(),SUMPRODUCT('Giá công thức'!$G$11:$AD$106*('Giá công thức'!$A$11:$A$106=$B80)*('Giá công thức'!$B$11:$B$106=$C80)*('Giá công thức'!$C$11:$C$106="GB")*('Giá công thức'!$G$3:$AD$3=L$1)*('Giá công thức'!$G$4:$AD$4=L$2)))</f>
        <v>1418.04</v>
      </c>
      <c r="M80" s="400" cm="1">
        <f t="array" ref="M80">IF(SUMPRODUCT('Giá công thức'!$G$11:$AD$106*('Giá công thức'!$A$11:$A$106=$B80)*('Giá công thức'!$B$11:$B$106=$C80)*('Giá công thức'!$C$11:$C$106="GB")*('Giá công thức'!$G$3:$AD$3=M$1)*('Giá công thức'!$G$4:$AD$4=M$2))=0,NA(),SUMPRODUCT('Giá công thức'!$G$11:$AD$106*('Giá công thức'!$A$11:$A$106=$B80)*('Giá công thức'!$B$11:$B$106=$C80)*('Giá công thức'!$C$11:$C$106="GB")*('Giá công thức'!$G$3:$AD$3=M$1)*('Giá công thức'!$G$4:$AD$4=M$2)))</f>
        <v>1418.04</v>
      </c>
      <c r="N80" s="400" cm="1">
        <f t="array" ref="N80">IF(SUMPRODUCT('Giá công thức'!$G$11:$AD$106*('Giá công thức'!$A$11:$A$106=$B80)*('Giá công thức'!$B$11:$B$106=$C80)*('Giá công thức'!$C$11:$C$106="GB")*('Giá công thức'!$G$3:$AD$3=N$1)*('Giá công thức'!$G$4:$AD$4=N$2))=0,NA(),SUMPRODUCT('Giá công thức'!$G$11:$AD$106*('Giá công thức'!$A$11:$A$106=$B80)*('Giá công thức'!$B$11:$B$106=$C80)*('Giá công thức'!$C$11:$C$106="GB")*('Giá công thức'!$G$3:$AD$3=N$1)*('Giá công thức'!$G$4:$AD$4=N$2)))</f>
        <v>1418.04</v>
      </c>
      <c r="O80" s="400" cm="1">
        <f t="array" ref="O80">IF(SUMPRODUCT('Giá công thức'!$G$11:$AD$106*('Giá công thức'!$A$11:$A$106=$B80)*('Giá công thức'!$B$11:$B$106=$C80)*('Giá công thức'!$C$11:$C$106="GB")*('Giá công thức'!$G$3:$AD$3=O$1)*('Giá công thức'!$G$4:$AD$4=O$2))=0,NA(),SUMPRODUCT('Giá công thức'!$G$11:$AD$106*('Giá công thức'!$A$11:$A$106=$B80)*('Giá công thức'!$B$11:$B$106=$C80)*('Giá công thức'!$C$11:$C$106="GB")*('Giá công thức'!$G$3:$AD$3=O$1)*('Giá công thức'!$G$4:$AD$4=O$2)))</f>
        <v>1418.04</v>
      </c>
      <c r="P80" s="400" cm="1">
        <f t="array" ref="P80">IF(SUMPRODUCT('Giá công thức'!$G$11:$AD$106*('Giá công thức'!$A$11:$A$106=$B80)*('Giá công thức'!$B$11:$B$106=$C80)*('Giá công thức'!$C$11:$C$106="GB")*('Giá công thức'!$G$3:$AD$3=P$1)*('Giá công thức'!$G$4:$AD$4=P$2))=0,NA(),SUMPRODUCT('Giá công thức'!$G$11:$AD$106*('Giá công thức'!$A$11:$A$106=$B80)*('Giá công thức'!$B$11:$B$106=$C80)*('Giá công thức'!$C$11:$C$106="GB")*('Giá công thức'!$G$3:$AD$3=P$1)*('Giá công thức'!$G$4:$AD$4=P$2)))</f>
        <v>1418.04</v>
      </c>
      <c r="Q80" s="400" cm="1">
        <f t="array" ref="Q80">IF(SUMPRODUCT('Giá công thức'!$G$11:$AD$106*('Giá công thức'!$A$11:$A$106=$B80)*('Giá công thức'!$B$11:$B$106=$C80)*('Giá công thức'!$C$11:$C$106="GB")*('Giá công thức'!$G$3:$AD$3=Q$1)*('Giá công thức'!$G$4:$AD$4=Q$2))=0,NA(),SUMPRODUCT('Giá công thức'!$G$11:$AD$106*('Giá công thức'!$A$11:$A$106=$B80)*('Giá công thức'!$B$11:$B$106=$C80)*('Giá công thức'!$C$11:$C$106="GB")*('Giá công thức'!$G$3:$AD$3=Q$1)*('Giá công thức'!$G$4:$AD$4=Q$2)))</f>
        <v>1388.04</v>
      </c>
      <c r="R80" s="400" cm="1">
        <f t="array" ref="R80">IF(SUMPRODUCT('Giá công thức'!$G$11:$AD$106*('Giá công thức'!$A$11:$A$106=$B80)*('Giá công thức'!$B$11:$B$106=$C80)*('Giá công thức'!$C$11:$C$106="GB")*('Giá công thức'!$G$3:$AD$3=R$1)*('Giá công thức'!$G$4:$AD$4=R$2))=0,NA(),SUMPRODUCT('Giá công thức'!$G$11:$AD$106*('Giá công thức'!$A$11:$A$106=$B80)*('Giá công thức'!$B$11:$B$106=$C80)*('Giá công thức'!$C$11:$C$106="GB")*('Giá công thức'!$G$3:$AD$3=R$1)*('Giá công thức'!$G$4:$AD$4=R$2)))</f>
        <v>1388.04</v>
      </c>
      <c r="S80" s="400" cm="1">
        <f t="array" ref="S80">IF(SUMPRODUCT('Giá công thức'!$G$11:$AD$106*('Giá công thức'!$A$11:$A$106=$B80)*('Giá công thức'!$B$11:$B$106=$C80)*('Giá công thức'!$C$11:$C$106="GB")*('Giá công thức'!$G$3:$AD$3=S$1)*('Giá công thức'!$G$4:$AD$4=S$2))=0,NA(),SUMPRODUCT('Giá công thức'!$G$11:$AD$106*('Giá công thức'!$A$11:$A$106=$B80)*('Giá công thức'!$B$11:$B$106=$C80)*('Giá công thức'!$C$11:$C$106="GB")*('Giá công thức'!$G$3:$AD$3=S$1)*('Giá công thức'!$G$4:$AD$4=S$2)))</f>
        <v>1388.04</v>
      </c>
      <c r="T80" s="400" cm="1">
        <f t="array" ref="T80">IF(SUMPRODUCT('Giá công thức'!$G$11:$AD$106*('Giá công thức'!$A$11:$A$106=$B80)*('Giá công thức'!$B$11:$B$106=$C80)*('Giá công thức'!$C$11:$C$106="GB")*('Giá công thức'!$G$3:$AD$3=T$1)*('Giá công thức'!$G$4:$AD$4=T$2))=0,NA(),SUMPRODUCT('Giá công thức'!$G$11:$AD$106*('Giá công thức'!$A$11:$A$106=$B80)*('Giá công thức'!$B$11:$B$106=$C80)*('Giá công thức'!$C$11:$C$106="GB")*('Giá công thức'!$G$3:$AD$3=T$1)*('Giá công thức'!$G$4:$AD$4=T$2)))</f>
        <v>1338.04</v>
      </c>
      <c r="U80" s="400" cm="1">
        <f t="array" ref="U80">IF(SUMPRODUCT('Giá công thức'!$G$11:$AD$106*('Giá công thức'!$A$11:$A$106=$B80)*('Giá công thức'!$B$11:$B$106=$C80)*('Giá công thức'!$C$11:$C$106="GB")*('Giá công thức'!$G$3:$AD$3=U$1)*('Giá công thức'!$G$4:$AD$4=U$2))=0,NA(),SUMPRODUCT('Giá công thức'!$G$11:$AD$106*('Giá công thức'!$A$11:$A$106=$B80)*('Giá công thức'!$B$11:$B$106=$C80)*('Giá công thức'!$C$11:$C$106="GB")*('Giá công thức'!$G$3:$AD$3=U$1)*('Giá công thức'!$G$4:$AD$4=U$2)))</f>
        <v>1338.04</v>
      </c>
      <c r="V80" s="400" cm="1">
        <f t="array" ref="V80">IF(SUMPRODUCT('Giá công thức'!$G$11:$AD$106*('Giá công thức'!$A$11:$A$106=$B80)*('Giá công thức'!$B$11:$B$106=$C80)*('Giá công thức'!$C$11:$C$106="GB")*('Giá công thức'!$G$3:$AD$3=V$1)*('Giá công thức'!$G$4:$AD$4=V$2))=0,NA(),SUMPRODUCT('Giá công thức'!$G$11:$AD$106*('Giá công thức'!$A$11:$A$106=$B80)*('Giá công thức'!$B$11:$B$106=$C80)*('Giá công thức'!$C$11:$C$106="GB")*('Giá công thức'!$G$3:$AD$3=V$1)*('Giá công thức'!$G$4:$AD$4=V$2)))</f>
        <v>1338.04</v>
      </c>
      <c r="W80" s="400" cm="1">
        <f t="array" ref="W80">IF(SUMPRODUCT('Giá công thức'!$G$11:$AD$106*('Giá công thức'!$A$11:$A$106=$B80)*('Giá công thức'!$B$11:$B$106=$C80)*('Giá công thức'!$C$11:$C$106="GB")*('Giá công thức'!$G$3:$AD$3=W$1)*('Giá công thức'!$G$4:$AD$4=W$2))=0,NA(),SUMPRODUCT('Giá công thức'!$G$11:$AD$106*('Giá công thức'!$A$11:$A$106=$B80)*('Giá công thức'!$B$11:$B$106=$C80)*('Giá công thức'!$C$11:$C$106="GB")*('Giá công thức'!$G$3:$AD$3=W$1)*('Giá công thức'!$G$4:$AD$4=W$2)))</f>
        <v>1368.04</v>
      </c>
      <c r="X80" s="400" cm="1">
        <f t="array" ref="X80">IF(SUMPRODUCT('Giá công thức'!$G$11:$AD$106*('Giá công thức'!$A$11:$A$106=$B80)*('Giá công thức'!$B$11:$B$106=$C80)*('Giá công thức'!$C$11:$C$106="GB")*('Giá công thức'!$G$3:$AD$3=X$1)*('Giá công thức'!$G$4:$AD$4=X$2))=0,NA(),SUMPRODUCT('Giá công thức'!$G$11:$AD$106*('Giá công thức'!$A$11:$A$106=$B80)*('Giá công thức'!$B$11:$B$106=$C80)*('Giá công thức'!$C$11:$C$106="GB")*('Giá công thức'!$G$3:$AD$3=X$1)*('Giá công thức'!$G$4:$AD$4=X$2)))</f>
        <v>1368.04</v>
      </c>
      <c r="Y80" s="400" cm="1">
        <f t="array" ref="Y80">IF(SUMPRODUCT('Giá công thức'!$G$11:$AD$106*('Giá công thức'!$A$11:$A$106=$B80)*('Giá công thức'!$B$11:$B$106=$C80)*('Giá công thức'!$C$11:$C$106="GB")*('Giá công thức'!$G$3:$AD$3=Y$1)*('Giá công thức'!$G$4:$AD$4=Y$2))=0,NA(),SUMPRODUCT('Giá công thức'!$G$11:$AD$106*('Giá công thức'!$A$11:$A$106=$B80)*('Giá công thức'!$B$11:$B$106=$C80)*('Giá công thức'!$C$11:$C$106="GB")*('Giá công thức'!$G$3:$AD$3=Y$1)*('Giá công thức'!$G$4:$AD$4=Y$2)))</f>
        <v>1368.04</v>
      </c>
      <c r="Z80" s="400" cm="1">
        <f t="array" ref="Z80">IF(SUMPRODUCT('Giá công thức'!$G$11:$AD$106*('Giá công thức'!$A$11:$A$106=$B80)*('Giá công thức'!$B$11:$B$106=$C80)*('Giá công thức'!$C$11:$C$106="GB")*('Giá công thức'!$G$3:$AD$3=Z$1)*('Giá công thức'!$G$4:$AD$4=Z$2))=0,NA(),SUMPRODUCT('Giá công thức'!$G$11:$AD$106*('Giá công thức'!$A$11:$A$106=$B80)*('Giá công thức'!$B$11:$B$106=$C80)*('Giá công thức'!$C$11:$C$106="GB")*('Giá công thức'!$G$3:$AD$3=Z$1)*('Giá công thức'!$G$4:$AD$4=Z$2)))</f>
        <v>1368.04</v>
      </c>
      <c r="AA80" s="400" cm="1">
        <f t="array" ref="AA80">IF(SUMPRODUCT('Giá công thức'!$G$11:$AD$106*('Giá công thức'!$A$11:$A$106=$B80)*('Giá công thức'!$B$11:$B$106=$C80)*('Giá công thức'!$C$11:$C$106="GB")*('Giá công thức'!$G$3:$AD$3=AA$1)*('Giá công thức'!$G$4:$AD$4=AA$2))=0,NA(),SUMPRODUCT('Giá công thức'!$G$11:$AD$106*('Giá công thức'!$A$11:$A$106=$B80)*('Giá công thức'!$B$11:$B$106=$C80)*('Giá công thức'!$C$11:$C$106="GB")*('Giá công thức'!$G$3:$AD$3=AA$1)*('Giá công thức'!$G$4:$AD$4=AA$2)))</f>
        <v>1368.04</v>
      </c>
      <c r="AB80" s="400" cm="1">
        <f t="array" ref="AB80">IF(SUMPRODUCT('Giá công thức'!$G$11:$AD$106*('Giá công thức'!$A$11:$A$106=$B80)*('Giá công thức'!$B$11:$B$106=$C80)*('Giá công thức'!$C$11:$C$106="GB")*('Giá công thức'!$G$3:$AD$3=AB$1)*('Giá công thức'!$G$4:$AD$4=AB$2))=0,NA(),SUMPRODUCT('Giá công thức'!$G$11:$AD$106*('Giá công thức'!$A$11:$A$106=$B80)*('Giá công thức'!$B$11:$B$106=$C80)*('Giá công thức'!$C$11:$C$106="GB")*('Giá công thức'!$G$3:$AD$3=AB$1)*('Giá công thức'!$G$4:$AD$4=AB$2)))</f>
        <v>1368.04</v>
      </c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>
        <f>INDEX($E80:$AB80,MATCH("X",$E$3:$AB$3,0))</f>
        <v>1368.04</v>
      </c>
    </row>
    <row r="81" spans="1:41" s="137" customFormat="1" x14ac:dyDescent="0.35">
      <c r="A81" s="137" t="s">
        <v>24</v>
      </c>
      <c r="C81" s="137" t="s">
        <v>24</v>
      </c>
      <c r="D81" s="137" t="s">
        <v>17</v>
      </c>
      <c r="E81" s="403" cm="1">
        <f t="array" ref="E81">IF(SUMPRODUCT(General_Data*(Code_General_Data=$A81)*(Year=E$1)*(Month=E$2))=0,NA(),SUMPRODUCT(General_Data*(Code_General_Data=$A81)*(Year=E$1)*(Month=E$2)))</f>
        <v>1350</v>
      </c>
      <c r="F81" s="403" cm="1">
        <f t="array" ref="F81">IF(SUMPRODUCT(General_Data*(Code_General_Data=$A81)*(Year=F$1)*(Month=F$2))=0,NA(),SUMPRODUCT(General_Data*(Code_General_Data=$A81)*(Year=F$1)*(Month=F$2)))</f>
        <v>1350</v>
      </c>
      <c r="G81" s="403" cm="1">
        <f t="array" ref="G81">IF(SUMPRODUCT(General_Data*(Code_General_Data=$A81)*(Year=G$1)*(Month=G$2))=0,NA(),SUMPRODUCT(General_Data*(Code_General_Data=$A81)*(Year=G$1)*(Month=G$2)))</f>
        <v>1350</v>
      </c>
      <c r="H81" s="403" cm="1">
        <f t="array" ref="H81">IF(SUMPRODUCT(General_Data*(Code_General_Data=$A81)*(Year=H$1)*(Month=H$2))=0,NA(),SUMPRODUCT(General_Data*(Code_General_Data=$A81)*(Year=H$1)*(Month=H$2)))</f>
        <v>1350</v>
      </c>
      <c r="I81" s="403" cm="1">
        <f t="array" ref="I81">IF(SUMPRODUCT(General_Data*(Code_General_Data=$A81)*(Year=I$1)*(Month=I$2))=0,NA(),SUMPRODUCT(General_Data*(Code_General_Data=$A81)*(Year=I$1)*(Month=I$2)))</f>
        <v>1350</v>
      </c>
      <c r="J81" s="403" cm="1">
        <f t="array" ref="J81">IF(SUMPRODUCT(General_Data*(Code_General_Data=$A81)*(Year=J$1)*(Month=J$2))=0,NA(),SUMPRODUCT(General_Data*(Code_General_Data=$A81)*(Year=J$1)*(Month=J$2)))</f>
        <v>1350</v>
      </c>
      <c r="K81" s="403" cm="1">
        <f t="array" ref="K81">IF(SUMPRODUCT(General_Data*(Code_General_Data=$A81)*(Year=K$1)*(Month=K$2))=0,NA(),SUMPRODUCT(General_Data*(Code_General_Data=$A81)*(Year=K$1)*(Month=K$2)))</f>
        <v>1350</v>
      </c>
      <c r="L81" s="403" cm="1">
        <f t="array" ref="L81">IF(SUMPRODUCT(General_Data*(Code_General_Data=$A81)*(Year=L$1)*(Month=L$2))=0,NA(),SUMPRODUCT(General_Data*(Code_General_Data=$A81)*(Year=L$1)*(Month=L$2)))</f>
        <v>1350</v>
      </c>
      <c r="M81" s="403" cm="1">
        <f t="array" ref="M81">IF(SUMPRODUCT(General_Data*(Code_General_Data=$A81)*(Year=M$1)*(Month=M$2))=0,NA(),SUMPRODUCT(General_Data*(Code_General_Data=$A81)*(Year=M$1)*(Month=M$2)))</f>
        <v>1350</v>
      </c>
      <c r="N81" s="403" cm="1">
        <f t="array" ref="N81">IF(SUMPRODUCT(General_Data*(Code_General_Data=$A81)*(Year=N$1)*(Month=N$2))=0,NA(),SUMPRODUCT(General_Data*(Code_General_Data=$A81)*(Year=N$1)*(Month=N$2)))</f>
        <v>1350</v>
      </c>
      <c r="O81" s="403" cm="1">
        <f t="array" ref="O81">IF(SUMPRODUCT(General_Data*(Code_General_Data=$A81)*(Year=O$1)*(Month=O$2))=0,NA(),SUMPRODUCT(General_Data*(Code_General_Data=$A81)*(Year=O$1)*(Month=O$2)))</f>
        <v>1350</v>
      </c>
      <c r="P81" s="403" cm="1">
        <f t="array" ref="P81">IF(SUMPRODUCT(General_Data*(Code_General_Data=$A81)*(Year=P$1)*(Month=P$2))=0,NA(),SUMPRODUCT(General_Data*(Code_General_Data=$A81)*(Year=P$1)*(Month=P$2)))</f>
        <v>1350</v>
      </c>
      <c r="Q81" s="403" cm="1">
        <f t="array" ref="Q81">IF(SUMPRODUCT(General_Data*(Code_General_Data=$A81)*(Year=Q$1)*(Month=Q$2))=0,NA(),SUMPRODUCT(General_Data*(Code_General_Data=$A81)*(Year=Q$1)*(Month=Q$2)))</f>
        <v>1350</v>
      </c>
      <c r="R81" s="403" cm="1">
        <f t="array" ref="R81">IF(SUMPRODUCT(General_Data*(Code_General_Data=$A81)*(Year=R$1)*(Month=R$2))=0,NA(),SUMPRODUCT(General_Data*(Code_General_Data=$A81)*(Year=R$1)*(Month=R$2)))</f>
        <v>1300</v>
      </c>
      <c r="S81" s="403" cm="1">
        <f t="array" ref="S81">IF(SUMPRODUCT(General_Data*(Code_General_Data=$A81)*(Year=S$1)*(Month=S$2))=0,NA(),SUMPRODUCT(General_Data*(Code_General_Data=$A81)*(Year=S$1)*(Month=S$2)))</f>
        <v>1250</v>
      </c>
      <c r="T81" s="403" cm="1">
        <f t="array" ref="T81">IF(SUMPRODUCT(General_Data*(Code_General_Data=$A81)*(Year=T$1)*(Month=T$2))=0,NA(),SUMPRODUCT(General_Data*(Code_General_Data=$A81)*(Year=T$1)*(Month=T$2)))</f>
        <v>1250</v>
      </c>
      <c r="U81" s="403" cm="1">
        <f t="array" ref="U81">IF(SUMPRODUCT(General_Data*(Code_General_Data=$A81)*(Year=U$1)*(Month=U$2))=0,NA(),SUMPRODUCT(General_Data*(Code_General_Data=$A81)*(Year=U$1)*(Month=U$2)))</f>
        <v>1250</v>
      </c>
      <c r="V81" s="403" cm="1">
        <f t="array" ref="V81">IF(SUMPRODUCT(General_Data*(Code_General_Data=$A81)*(Year=V$1)*(Month=V$2))=0,NA(),SUMPRODUCT(General_Data*(Code_General_Data=$A81)*(Year=V$1)*(Month=V$2)))</f>
        <v>1250</v>
      </c>
      <c r="W81" s="403" cm="1">
        <f t="array" ref="W81">IF(SUMPRODUCT(General_Data*(Code_General_Data=$A81)*(Year=W$1)*(Month=W$2))=0,NA(),SUMPRODUCT(General_Data*(Code_General_Data=$A81)*(Year=W$1)*(Month=W$2)))</f>
        <v>1250</v>
      </c>
      <c r="X81" s="403" cm="1">
        <f t="array" ref="X81">IF(SUMPRODUCT(General_Data*(Code_General_Data=$A81)*(Year=X$1)*(Month=X$2))=0,NA(),SUMPRODUCT(General_Data*(Code_General_Data=$A81)*(Year=X$1)*(Month=X$2)))</f>
        <v>1230</v>
      </c>
      <c r="Y81" s="403" cm="1">
        <f t="array" ref="Y81">IF(SUMPRODUCT(General_Data*(Code_General_Data=$A81)*(Year=Y$1)*(Month=Y$2))=0,NA(),SUMPRODUCT(General_Data*(Code_General_Data=$A81)*(Year=Y$1)*(Month=Y$2)))</f>
        <v>1210</v>
      </c>
      <c r="Z81" s="403" cm="1">
        <f t="array" ref="Z81">IF(SUMPRODUCT(General_Data*(Code_General_Data=$A81)*(Year=Z$1)*(Month=Z$2))=0,NA(),SUMPRODUCT(General_Data*(Code_General_Data=$A81)*(Year=Z$1)*(Month=Z$2)))</f>
        <v>1210</v>
      </c>
      <c r="AA81" s="403" cm="1">
        <f t="array" ref="AA81">IF(SUMPRODUCT(General_Data*(Code_General_Data=$A81)*(Year=AA$1)*(Month=AA$2))=0,NA(),SUMPRODUCT(General_Data*(Code_General_Data=$A81)*(Year=AA$1)*(Month=AA$2)))</f>
        <v>1200</v>
      </c>
      <c r="AB81" s="403" cm="1">
        <f t="array" ref="AB81">IF(SUMPRODUCT(General_Data*(Code_General_Data=$A81)*(Year=AB$1)*(Month=AB$2))=0,NA(),SUMPRODUCT(General_Data*(Code_General_Data=$A81)*(Year=AB$1)*(Month=AB$2)))</f>
        <v>1200</v>
      </c>
      <c r="AC81" s="403"/>
      <c r="AD81" s="403"/>
      <c r="AE81" s="403"/>
      <c r="AF81" s="403"/>
      <c r="AG81" s="403"/>
      <c r="AH81" s="403"/>
      <c r="AI81" s="403"/>
      <c r="AJ81" s="403"/>
      <c r="AK81" s="403"/>
      <c r="AL81" s="403"/>
      <c r="AM81" s="403"/>
      <c r="AN81" s="403"/>
      <c r="AO81" s="403">
        <f t="shared" ref="AO81:AO82" si="73">INDEX($E81:$AB81,MATCH("X",$E$3:$AB$3,0))</f>
        <v>1200</v>
      </c>
    </row>
    <row r="82" spans="1:41" s="401" customFormat="1" x14ac:dyDescent="0.35">
      <c r="A82" s="401" t="s">
        <v>21</v>
      </c>
      <c r="D82" s="401" t="s">
        <v>11</v>
      </c>
      <c r="E82" s="402" cm="1">
        <f t="array" ref="E82">SUMPRODUCT(General_Data*(Code_General_Data=$A82)*(Year=E$1)*(Month=E$2))</f>
        <v>940</v>
      </c>
      <c r="F82" s="402" cm="1">
        <f t="array" ref="F82">SUMPRODUCT(General_Data*(Code_General_Data=$A82)*(Year=F$1)*(Month=F$2))</f>
        <v>993.33333333333337</v>
      </c>
      <c r="G82" s="402" cm="1">
        <f t="array" ref="G82">SUMPRODUCT(General_Data*(Code_General_Data=$A82)*(Year=G$1)*(Month=G$2))</f>
        <v>985</v>
      </c>
      <c r="H82" s="402" cm="1">
        <f t="array" ref="H82">SUMPRODUCT(General_Data*(Code_General_Data=$A82)*(Year=H$1)*(Month=H$2))</f>
        <v>962.5</v>
      </c>
      <c r="I82" s="402" cm="1">
        <f t="array" ref="I82">SUMPRODUCT(General_Data*(Code_General_Data=$A82)*(Year=I$1)*(Month=I$2))</f>
        <v>982</v>
      </c>
      <c r="J82" s="402" cm="1">
        <f t="array" ref="J82">SUMPRODUCT(General_Data*(Code_General_Data=$A82)*(Year=J$1)*(Month=J$2))</f>
        <v>1000</v>
      </c>
      <c r="K82" s="402" cm="1">
        <f t="array" ref="K82">SUMPRODUCT(General_Data*(Code_General_Data=$A82)*(Year=K$1)*(Month=K$2))</f>
        <v>1000</v>
      </c>
      <c r="L82" s="402" cm="1">
        <f t="array" ref="L82">SUMPRODUCT(General_Data*(Code_General_Data=$A82)*(Year=L$1)*(Month=L$2))</f>
        <v>984</v>
      </c>
      <c r="M82" s="402" cm="1">
        <f t="array" ref="M82">SUMPRODUCT(General_Data*(Code_General_Data=$A82)*(Year=M$1)*(Month=M$2))</f>
        <v>967.5</v>
      </c>
      <c r="N82" s="402" cm="1">
        <f t="array" ref="N82">SUMPRODUCT(General_Data*(Code_General_Data=$A82)*(Year=N$1)*(Month=N$2))</f>
        <v>965</v>
      </c>
      <c r="O82" s="402" cm="1">
        <f t="array" ref="O82">SUMPRODUCT(General_Data*(Code_General_Data=$A82)*(Year=O$1)*(Month=O$2))</f>
        <v>974</v>
      </c>
      <c r="P82" s="402" cm="1">
        <f t="array" ref="P82">SUMPRODUCT(General_Data*(Code_General_Data=$A82)*(Year=P$1)*(Month=P$2))</f>
        <v>956</v>
      </c>
      <c r="Q82" s="402" cm="1">
        <f t="array" ref="Q82">SUMPRODUCT(General_Data*(Code_General_Data=$A82)*(Year=Q$1)*(Month=Q$2))</f>
        <v>940</v>
      </c>
      <c r="R82" s="402" cm="1">
        <f t="array" ref="R82">SUMPRODUCT(General_Data*(Code_General_Data=$A82)*(Year=R$1)*(Month=R$2))</f>
        <v>918</v>
      </c>
      <c r="S82" s="402" cm="1">
        <f t="array" ref="S82">SUMPRODUCT(General_Data*(Code_General_Data=$A82)*(Year=S$1)*(Month=S$2))</f>
        <v>896</v>
      </c>
      <c r="T82" s="402" cm="1">
        <f t="array" ref="T82">SUMPRODUCT(General_Data*(Code_General_Data=$A82)*(Year=T$1)*(Month=T$2))</f>
        <v>891.5</v>
      </c>
      <c r="U82" s="402" cm="1">
        <f t="array" ref="U82">SUMPRODUCT(General_Data*(Code_General_Data=$A82)*(Year=U$1)*(Month=U$2))</f>
        <v>864</v>
      </c>
      <c r="V82" s="402" cm="1">
        <f t="array" ref="V82">SUMPRODUCT(General_Data*(Code_General_Data=$A82)*(Year=V$1)*(Month=V$2))</f>
        <v>833</v>
      </c>
      <c r="W82" s="402" cm="1">
        <f t="array" ref="W82">SUMPRODUCT(General_Data*(Code_General_Data=$A82)*(Year=W$1)*(Month=W$2))</f>
        <v>833</v>
      </c>
      <c r="X82" s="402" cm="1">
        <f t="array" ref="X82">SUMPRODUCT(General_Data*(Code_General_Data=$A82)*(Year=X$1)*(Month=X$2))</f>
        <v>815</v>
      </c>
      <c r="Y82" s="402" cm="1">
        <f t="array" ref="Y82">SUMPRODUCT(General_Data*(Code_General_Data=$A82)*(Year=Y$1)*(Month=Y$2))</f>
        <v>813</v>
      </c>
      <c r="Z82" s="402" cm="1">
        <f t="array" ref="Z82">SUMPRODUCT(General_Data*(Code_General_Data=$A82)*(Year=Z$1)*(Month=Z$2))</f>
        <v>805</v>
      </c>
      <c r="AA82" s="402" cm="1">
        <f t="array" ref="AA82">SUMPRODUCT(General_Data*(Code_General_Data=$A82)*(Year=AA$1)*(Month=AA$2))</f>
        <v>805</v>
      </c>
      <c r="AB82" s="402" cm="1">
        <f t="array" ref="AB82">SUMPRODUCT(General_Data*(Code_General_Data=$A82)*(Year=AB$1)*(Month=AB$2))</f>
        <v>805</v>
      </c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>
        <f t="shared" si="73"/>
        <v>805</v>
      </c>
    </row>
    <row r="83" spans="1:41" s="408" customFormat="1" x14ac:dyDescent="0.35">
      <c r="D83" s="408" t="s">
        <v>395</v>
      </c>
      <c r="E83" s="409">
        <f t="shared" ref="E83:AA83" si="74">E81-E82</f>
        <v>410</v>
      </c>
      <c r="F83" s="409">
        <f t="shared" si="74"/>
        <v>356.66666666666663</v>
      </c>
      <c r="G83" s="409">
        <f t="shared" si="74"/>
        <v>365</v>
      </c>
      <c r="H83" s="409">
        <f t="shared" si="74"/>
        <v>387.5</v>
      </c>
      <c r="I83" s="409">
        <f t="shared" si="74"/>
        <v>368</v>
      </c>
      <c r="J83" s="409">
        <f t="shared" si="74"/>
        <v>350</v>
      </c>
      <c r="K83" s="409">
        <f t="shared" si="74"/>
        <v>350</v>
      </c>
      <c r="L83" s="409">
        <f t="shared" si="74"/>
        <v>366</v>
      </c>
      <c r="M83" s="409">
        <f t="shared" si="74"/>
        <v>382.5</v>
      </c>
      <c r="N83" s="409">
        <f t="shared" si="74"/>
        <v>385</v>
      </c>
      <c r="O83" s="409">
        <f t="shared" si="74"/>
        <v>376</v>
      </c>
      <c r="P83" s="409">
        <f t="shared" si="74"/>
        <v>394</v>
      </c>
      <c r="Q83" s="409">
        <f t="shared" si="74"/>
        <v>410</v>
      </c>
      <c r="R83" s="409">
        <f t="shared" si="74"/>
        <v>382</v>
      </c>
      <c r="S83" s="409">
        <f t="shared" si="74"/>
        <v>354</v>
      </c>
      <c r="T83" s="409">
        <f t="shared" si="74"/>
        <v>358.5</v>
      </c>
      <c r="U83" s="409">
        <f t="shared" si="74"/>
        <v>386</v>
      </c>
      <c r="V83" s="409">
        <f t="shared" si="74"/>
        <v>417</v>
      </c>
      <c r="W83" s="409">
        <f t="shared" si="74"/>
        <v>417</v>
      </c>
      <c r="X83" s="409">
        <f t="shared" si="74"/>
        <v>415</v>
      </c>
      <c r="Y83" s="409">
        <f t="shared" si="74"/>
        <v>397</v>
      </c>
      <c r="Z83" s="409">
        <f t="shared" si="74"/>
        <v>405</v>
      </c>
      <c r="AA83" s="409">
        <f t="shared" si="74"/>
        <v>395</v>
      </c>
      <c r="AB83" s="409">
        <f t="shared" ref="AB83" si="75">AB81-AB82</f>
        <v>395</v>
      </c>
      <c r="AC83" s="409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2"/>
    </row>
    <row r="84" spans="1:41" s="410" customFormat="1" x14ac:dyDescent="0.35">
      <c r="D84" s="410" t="s">
        <v>394</v>
      </c>
      <c r="E84" s="411">
        <f t="shared" ref="E84:AA84" si="76">IFERROR(E83/E82,0)</f>
        <v>0.43617021276595747</v>
      </c>
      <c r="F84" s="411">
        <f t="shared" si="76"/>
        <v>0.35906040268456368</v>
      </c>
      <c r="G84" s="411">
        <f t="shared" si="76"/>
        <v>0.37055837563451777</v>
      </c>
      <c r="H84" s="411">
        <f t="shared" si="76"/>
        <v>0.40259740259740262</v>
      </c>
      <c r="I84" s="411">
        <f t="shared" si="76"/>
        <v>0.37474541751527496</v>
      </c>
      <c r="J84" s="411">
        <f t="shared" si="76"/>
        <v>0.35</v>
      </c>
      <c r="K84" s="411">
        <f t="shared" si="76"/>
        <v>0.35</v>
      </c>
      <c r="L84" s="411">
        <f t="shared" si="76"/>
        <v>0.37195121951219512</v>
      </c>
      <c r="M84" s="411">
        <f t="shared" si="76"/>
        <v>0.39534883720930231</v>
      </c>
      <c r="N84" s="411">
        <f t="shared" si="76"/>
        <v>0.39896373056994816</v>
      </c>
      <c r="O84" s="411">
        <f t="shared" si="76"/>
        <v>0.38603696098562629</v>
      </c>
      <c r="P84" s="411">
        <f t="shared" si="76"/>
        <v>0.41213389121338911</v>
      </c>
      <c r="Q84" s="411">
        <f t="shared" si="76"/>
        <v>0.43617021276595747</v>
      </c>
      <c r="R84" s="411">
        <f t="shared" si="76"/>
        <v>0.41612200435729846</v>
      </c>
      <c r="S84" s="411">
        <f t="shared" si="76"/>
        <v>0.3950892857142857</v>
      </c>
      <c r="T84" s="411">
        <f t="shared" si="76"/>
        <v>0.40213123948401569</v>
      </c>
      <c r="U84" s="411">
        <f t="shared" si="76"/>
        <v>0.44675925925925924</v>
      </c>
      <c r="V84" s="411">
        <f t="shared" si="76"/>
        <v>0.50060024009603843</v>
      </c>
      <c r="W84" s="411">
        <f t="shared" si="76"/>
        <v>0.50060024009603843</v>
      </c>
      <c r="X84" s="411">
        <f t="shared" si="76"/>
        <v>0.50920245398773001</v>
      </c>
      <c r="Y84" s="411">
        <f t="shared" si="76"/>
        <v>0.48831488314883148</v>
      </c>
      <c r="Z84" s="411">
        <f t="shared" si="76"/>
        <v>0.50310559006211175</v>
      </c>
      <c r="AA84" s="411">
        <f t="shared" si="76"/>
        <v>0.49068322981366458</v>
      </c>
      <c r="AB84" s="411">
        <f t="shared" ref="AB84" si="77">IFERROR(AB83/AB82,0)</f>
        <v>0.49068322981366458</v>
      </c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09"/>
    </row>
    <row r="85" spans="1:41" s="426" customFormat="1" x14ac:dyDescent="0.35">
      <c r="D85" s="426" t="s">
        <v>419</v>
      </c>
      <c r="E85" s="427">
        <f>E81</f>
        <v>1350</v>
      </c>
      <c r="F85" s="427">
        <f t="shared" ref="F85:AB85" si="78">F81</f>
        <v>1350</v>
      </c>
      <c r="G85" s="427">
        <f t="shared" si="78"/>
        <v>1350</v>
      </c>
      <c r="H85" s="427">
        <f t="shared" si="78"/>
        <v>1350</v>
      </c>
      <c r="I85" s="427">
        <f t="shared" si="78"/>
        <v>1350</v>
      </c>
      <c r="J85" s="427">
        <f t="shared" si="78"/>
        <v>1350</v>
      </c>
      <c r="K85" s="427">
        <f t="shared" si="78"/>
        <v>1350</v>
      </c>
      <c r="L85" s="427">
        <f t="shared" si="78"/>
        <v>1350</v>
      </c>
      <c r="M85" s="427">
        <f t="shared" si="78"/>
        <v>1350</v>
      </c>
      <c r="N85" s="427">
        <f t="shared" si="78"/>
        <v>1350</v>
      </c>
      <c r="O85" s="427">
        <f t="shared" si="78"/>
        <v>1350</v>
      </c>
      <c r="P85" s="427">
        <f t="shared" si="78"/>
        <v>1350</v>
      </c>
      <c r="Q85" s="427">
        <f t="shared" si="78"/>
        <v>1350</v>
      </c>
      <c r="R85" s="427">
        <f t="shared" si="78"/>
        <v>1300</v>
      </c>
      <c r="S85" s="427">
        <f t="shared" si="78"/>
        <v>1250</v>
      </c>
      <c r="T85" s="427">
        <f t="shared" si="78"/>
        <v>1250</v>
      </c>
      <c r="U85" s="427">
        <f t="shared" si="78"/>
        <v>1250</v>
      </c>
      <c r="V85" s="427">
        <f t="shared" si="78"/>
        <v>1250</v>
      </c>
      <c r="W85" s="427">
        <f t="shared" si="78"/>
        <v>1250</v>
      </c>
      <c r="X85" s="427">
        <f t="shared" si="78"/>
        <v>1230</v>
      </c>
      <c r="Y85" s="427">
        <f t="shared" si="78"/>
        <v>1210</v>
      </c>
      <c r="Z85" s="427">
        <f t="shared" si="78"/>
        <v>1210</v>
      </c>
      <c r="AA85" s="427">
        <f t="shared" si="78"/>
        <v>1200</v>
      </c>
      <c r="AB85" s="427">
        <f t="shared" si="78"/>
        <v>1200</v>
      </c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37"/>
    </row>
    <row r="86" spans="1:41" s="426" customFormat="1" x14ac:dyDescent="0.35">
      <c r="D86" s="426" t="s">
        <v>420</v>
      </c>
      <c r="E86" s="427">
        <f>E82+E83/2</f>
        <v>1145</v>
      </c>
      <c r="F86" s="427">
        <f t="shared" ref="F86:AB86" si="79">F82+F83/2</f>
        <v>1171.6666666666667</v>
      </c>
      <c r="G86" s="427">
        <f t="shared" si="79"/>
        <v>1167.5</v>
      </c>
      <c r="H86" s="427">
        <f t="shared" si="79"/>
        <v>1156.25</v>
      </c>
      <c r="I86" s="427">
        <f t="shared" si="79"/>
        <v>1166</v>
      </c>
      <c r="J86" s="427">
        <f t="shared" si="79"/>
        <v>1175</v>
      </c>
      <c r="K86" s="427">
        <f t="shared" si="79"/>
        <v>1175</v>
      </c>
      <c r="L86" s="427">
        <f t="shared" si="79"/>
        <v>1167</v>
      </c>
      <c r="M86" s="427">
        <f t="shared" si="79"/>
        <v>1158.75</v>
      </c>
      <c r="N86" s="427">
        <f t="shared" si="79"/>
        <v>1157.5</v>
      </c>
      <c r="O86" s="427">
        <f t="shared" si="79"/>
        <v>1162</v>
      </c>
      <c r="P86" s="427">
        <f t="shared" si="79"/>
        <v>1153</v>
      </c>
      <c r="Q86" s="427">
        <f t="shared" si="79"/>
        <v>1145</v>
      </c>
      <c r="R86" s="427">
        <f t="shared" si="79"/>
        <v>1109</v>
      </c>
      <c r="S86" s="427">
        <f t="shared" si="79"/>
        <v>1073</v>
      </c>
      <c r="T86" s="427">
        <f t="shared" si="79"/>
        <v>1070.75</v>
      </c>
      <c r="U86" s="427">
        <f t="shared" si="79"/>
        <v>1057</v>
      </c>
      <c r="V86" s="427">
        <f t="shared" si="79"/>
        <v>1041.5</v>
      </c>
      <c r="W86" s="427">
        <f t="shared" si="79"/>
        <v>1041.5</v>
      </c>
      <c r="X86" s="427">
        <f t="shared" si="79"/>
        <v>1022.5</v>
      </c>
      <c r="Y86" s="427">
        <f t="shared" si="79"/>
        <v>1011.5</v>
      </c>
      <c r="Z86" s="427">
        <f t="shared" si="79"/>
        <v>1007.5</v>
      </c>
      <c r="AA86" s="427">
        <f t="shared" si="79"/>
        <v>1002.5</v>
      </c>
      <c r="AB86" s="427">
        <f t="shared" si="79"/>
        <v>1002.5</v>
      </c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37"/>
    </row>
    <row r="87" spans="1:41" s="434" customFormat="1" x14ac:dyDescent="0.35">
      <c r="D87" s="434" t="s">
        <v>417</v>
      </c>
      <c r="E87" s="435">
        <f>E81</f>
        <v>1350</v>
      </c>
      <c r="F87" s="435">
        <f t="shared" ref="F87:AB87" si="80">F81</f>
        <v>1350</v>
      </c>
      <c r="G87" s="435">
        <f t="shared" si="80"/>
        <v>1350</v>
      </c>
      <c r="H87" s="435">
        <f t="shared" si="80"/>
        <v>1350</v>
      </c>
      <c r="I87" s="435">
        <f t="shared" si="80"/>
        <v>1350</v>
      </c>
      <c r="J87" s="435">
        <f t="shared" si="80"/>
        <v>1350</v>
      </c>
      <c r="K87" s="435">
        <f t="shared" si="80"/>
        <v>1350</v>
      </c>
      <c r="L87" s="435">
        <f t="shared" si="80"/>
        <v>1350</v>
      </c>
      <c r="M87" s="435">
        <f t="shared" si="80"/>
        <v>1350</v>
      </c>
      <c r="N87" s="435">
        <f t="shared" si="80"/>
        <v>1350</v>
      </c>
      <c r="O87" s="435">
        <f t="shared" si="80"/>
        <v>1350</v>
      </c>
      <c r="P87" s="435">
        <f t="shared" si="80"/>
        <v>1350</v>
      </c>
      <c r="Q87" s="435">
        <f t="shared" si="80"/>
        <v>1350</v>
      </c>
      <c r="R87" s="435">
        <f t="shared" si="80"/>
        <v>1300</v>
      </c>
      <c r="S87" s="435">
        <f t="shared" si="80"/>
        <v>1250</v>
      </c>
      <c r="T87" s="435">
        <f t="shared" si="80"/>
        <v>1250</v>
      </c>
      <c r="U87" s="435">
        <f t="shared" si="80"/>
        <v>1250</v>
      </c>
      <c r="V87" s="435">
        <f t="shared" si="80"/>
        <v>1250</v>
      </c>
      <c r="W87" s="435">
        <f t="shared" si="80"/>
        <v>1250</v>
      </c>
      <c r="X87" s="435">
        <f t="shared" si="80"/>
        <v>1230</v>
      </c>
      <c r="Y87" s="435">
        <f t="shared" si="80"/>
        <v>1210</v>
      </c>
      <c r="Z87" s="435">
        <f t="shared" si="80"/>
        <v>1210</v>
      </c>
      <c r="AA87" s="435">
        <f t="shared" si="80"/>
        <v>1200</v>
      </c>
      <c r="AB87" s="435">
        <f t="shared" si="80"/>
        <v>1200</v>
      </c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6"/>
    </row>
    <row r="88" spans="1:41" s="434" customFormat="1" x14ac:dyDescent="0.35">
      <c r="D88" s="434" t="s">
        <v>418</v>
      </c>
      <c r="E88" s="435">
        <f>E82</f>
        <v>940</v>
      </c>
      <c r="F88" s="435">
        <f t="shared" ref="F88:AB88" si="81">F82</f>
        <v>993.33333333333337</v>
      </c>
      <c r="G88" s="435">
        <f t="shared" si="81"/>
        <v>985</v>
      </c>
      <c r="H88" s="435">
        <f t="shared" si="81"/>
        <v>962.5</v>
      </c>
      <c r="I88" s="435">
        <f t="shared" si="81"/>
        <v>982</v>
      </c>
      <c r="J88" s="435">
        <f t="shared" si="81"/>
        <v>1000</v>
      </c>
      <c r="K88" s="435">
        <f t="shared" si="81"/>
        <v>1000</v>
      </c>
      <c r="L88" s="435">
        <f t="shared" si="81"/>
        <v>984</v>
      </c>
      <c r="M88" s="435">
        <f t="shared" si="81"/>
        <v>967.5</v>
      </c>
      <c r="N88" s="435">
        <f t="shared" si="81"/>
        <v>965</v>
      </c>
      <c r="O88" s="435">
        <f t="shared" si="81"/>
        <v>974</v>
      </c>
      <c r="P88" s="435">
        <f t="shared" si="81"/>
        <v>956</v>
      </c>
      <c r="Q88" s="435">
        <f t="shared" si="81"/>
        <v>940</v>
      </c>
      <c r="R88" s="435">
        <f t="shared" si="81"/>
        <v>918</v>
      </c>
      <c r="S88" s="435">
        <f t="shared" si="81"/>
        <v>896</v>
      </c>
      <c r="T88" s="435">
        <f t="shared" si="81"/>
        <v>891.5</v>
      </c>
      <c r="U88" s="435">
        <f t="shared" si="81"/>
        <v>864</v>
      </c>
      <c r="V88" s="435">
        <f t="shared" si="81"/>
        <v>833</v>
      </c>
      <c r="W88" s="435">
        <f t="shared" si="81"/>
        <v>833</v>
      </c>
      <c r="X88" s="435">
        <f t="shared" si="81"/>
        <v>815</v>
      </c>
      <c r="Y88" s="435">
        <f t="shared" si="81"/>
        <v>813</v>
      </c>
      <c r="Z88" s="435">
        <f t="shared" si="81"/>
        <v>805</v>
      </c>
      <c r="AA88" s="435">
        <f t="shared" si="81"/>
        <v>805</v>
      </c>
      <c r="AB88" s="435">
        <f t="shared" si="81"/>
        <v>805</v>
      </c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6"/>
    </row>
    <row r="89" spans="1:41" x14ac:dyDescent="0.35">
      <c r="C89" s="424"/>
      <c r="D89" s="424" t="s">
        <v>411</v>
      </c>
      <c r="E89" s="438">
        <f>IFERROR(E80,0)</f>
        <v>1487.795918367347</v>
      </c>
      <c r="F89" s="438">
        <f t="shared" ref="F89:AB89" si="82">IFERROR(F80,0)</f>
        <v>1487.795918367347</v>
      </c>
      <c r="G89" s="438">
        <f t="shared" si="82"/>
        <v>1487.795918367347</v>
      </c>
      <c r="H89" s="438">
        <f t="shared" si="82"/>
        <v>1417.795918367347</v>
      </c>
      <c r="I89" s="438">
        <f t="shared" si="82"/>
        <v>1417.795918367347</v>
      </c>
      <c r="J89" s="438">
        <f t="shared" si="82"/>
        <v>1417.795918367347</v>
      </c>
      <c r="K89" s="438">
        <f t="shared" si="82"/>
        <v>1418.04</v>
      </c>
      <c r="L89" s="438">
        <f t="shared" si="82"/>
        <v>1418.04</v>
      </c>
      <c r="M89" s="438">
        <f t="shared" si="82"/>
        <v>1418.04</v>
      </c>
      <c r="N89" s="438">
        <f t="shared" si="82"/>
        <v>1418.04</v>
      </c>
      <c r="O89" s="438">
        <f t="shared" si="82"/>
        <v>1418.04</v>
      </c>
      <c r="P89" s="438">
        <f t="shared" si="82"/>
        <v>1418.04</v>
      </c>
      <c r="Q89" s="438">
        <f t="shared" si="82"/>
        <v>1388.04</v>
      </c>
      <c r="R89" s="438">
        <f t="shared" si="82"/>
        <v>1388.04</v>
      </c>
      <c r="S89" s="438">
        <f t="shared" si="82"/>
        <v>1388.04</v>
      </c>
      <c r="T89" s="438">
        <f t="shared" si="82"/>
        <v>1338.04</v>
      </c>
      <c r="U89" s="438">
        <f t="shared" si="82"/>
        <v>1338.04</v>
      </c>
      <c r="V89" s="438">
        <f t="shared" si="82"/>
        <v>1338.04</v>
      </c>
      <c r="W89" s="438">
        <f t="shared" si="82"/>
        <v>1368.04</v>
      </c>
      <c r="X89" s="438">
        <f t="shared" si="82"/>
        <v>1368.04</v>
      </c>
      <c r="Y89" s="438">
        <f t="shared" si="82"/>
        <v>1368.04</v>
      </c>
      <c r="Z89" s="438">
        <f t="shared" si="82"/>
        <v>1368.04</v>
      </c>
      <c r="AA89" s="438">
        <f t="shared" si="82"/>
        <v>1368.04</v>
      </c>
      <c r="AB89" s="438">
        <f t="shared" si="82"/>
        <v>1368.04</v>
      </c>
      <c r="AC89" s="438"/>
      <c r="AD89" s="438"/>
      <c r="AE89" s="438"/>
      <c r="AF89" s="438"/>
      <c r="AG89" s="438"/>
      <c r="AH89" s="438"/>
      <c r="AI89" s="438"/>
      <c r="AJ89" s="438"/>
      <c r="AK89" s="438"/>
      <c r="AL89" s="438"/>
      <c r="AM89" s="438"/>
      <c r="AN89" s="438"/>
      <c r="AO89" s="433" t="s">
        <v>427</v>
      </c>
    </row>
    <row r="90" spans="1:41" x14ac:dyDescent="0.35">
      <c r="C90" s="424"/>
      <c r="D90" s="424" t="s">
        <v>412</v>
      </c>
      <c r="E90" s="438">
        <f t="shared" ref="E90:AB90" si="83">IFERROR(E81,0)</f>
        <v>1350</v>
      </c>
      <c r="F90" s="438">
        <f t="shared" si="83"/>
        <v>1350</v>
      </c>
      <c r="G90" s="438">
        <f t="shared" si="83"/>
        <v>1350</v>
      </c>
      <c r="H90" s="438">
        <f t="shared" si="83"/>
        <v>1350</v>
      </c>
      <c r="I90" s="438">
        <f t="shared" si="83"/>
        <v>1350</v>
      </c>
      <c r="J90" s="438">
        <f t="shared" si="83"/>
        <v>1350</v>
      </c>
      <c r="K90" s="438">
        <f t="shared" si="83"/>
        <v>1350</v>
      </c>
      <c r="L90" s="438">
        <f t="shared" si="83"/>
        <v>1350</v>
      </c>
      <c r="M90" s="438">
        <f t="shared" si="83"/>
        <v>1350</v>
      </c>
      <c r="N90" s="438">
        <f t="shared" si="83"/>
        <v>1350</v>
      </c>
      <c r="O90" s="438">
        <f t="shared" si="83"/>
        <v>1350</v>
      </c>
      <c r="P90" s="438">
        <f t="shared" si="83"/>
        <v>1350</v>
      </c>
      <c r="Q90" s="438">
        <f t="shared" si="83"/>
        <v>1350</v>
      </c>
      <c r="R90" s="438">
        <f t="shared" si="83"/>
        <v>1300</v>
      </c>
      <c r="S90" s="438">
        <f t="shared" si="83"/>
        <v>1250</v>
      </c>
      <c r="T90" s="438">
        <f t="shared" si="83"/>
        <v>1250</v>
      </c>
      <c r="U90" s="438">
        <f t="shared" si="83"/>
        <v>1250</v>
      </c>
      <c r="V90" s="438">
        <f t="shared" si="83"/>
        <v>1250</v>
      </c>
      <c r="W90" s="438">
        <f t="shared" si="83"/>
        <v>1250</v>
      </c>
      <c r="X90" s="438">
        <f t="shared" si="83"/>
        <v>1230</v>
      </c>
      <c r="Y90" s="438">
        <f t="shared" si="83"/>
        <v>1210</v>
      </c>
      <c r="Z90" s="438">
        <f t="shared" si="83"/>
        <v>1210</v>
      </c>
      <c r="AA90" s="438">
        <f t="shared" si="83"/>
        <v>1200</v>
      </c>
      <c r="AB90" s="438">
        <f t="shared" si="83"/>
        <v>1200</v>
      </c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3" t="s">
        <v>17</v>
      </c>
    </row>
    <row r="91" spans="1:41" x14ac:dyDescent="0.35">
      <c r="C91" s="424"/>
      <c r="D91" s="424" t="s">
        <v>413</v>
      </c>
      <c r="E91" s="438">
        <f t="shared" ref="E91:AB91" si="84">IFERROR(E82,0)</f>
        <v>940</v>
      </c>
      <c r="F91" s="438">
        <f t="shared" si="84"/>
        <v>993.33333333333337</v>
      </c>
      <c r="G91" s="438">
        <f t="shared" si="84"/>
        <v>985</v>
      </c>
      <c r="H91" s="438">
        <f t="shared" si="84"/>
        <v>962.5</v>
      </c>
      <c r="I91" s="438">
        <f t="shared" si="84"/>
        <v>982</v>
      </c>
      <c r="J91" s="438">
        <f t="shared" si="84"/>
        <v>1000</v>
      </c>
      <c r="K91" s="438">
        <f t="shared" si="84"/>
        <v>1000</v>
      </c>
      <c r="L91" s="438">
        <f t="shared" si="84"/>
        <v>984</v>
      </c>
      <c r="M91" s="438">
        <f t="shared" si="84"/>
        <v>967.5</v>
      </c>
      <c r="N91" s="438">
        <f t="shared" si="84"/>
        <v>965</v>
      </c>
      <c r="O91" s="438">
        <f t="shared" si="84"/>
        <v>974</v>
      </c>
      <c r="P91" s="438">
        <f t="shared" si="84"/>
        <v>956</v>
      </c>
      <c r="Q91" s="438">
        <f t="shared" si="84"/>
        <v>940</v>
      </c>
      <c r="R91" s="438">
        <f t="shared" si="84"/>
        <v>918</v>
      </c>
      <c r="S91" s="438">
        <f t="shared" si="84"/>
        <v>896</v>
      </c>
      <c r="T91" s="438">
        <f t="shared" si="84"/>
        <v>891.5</v>
      </c>
      <c r="U91" s="438">
        <f t="shared" si="84"/>
        <v>864</v>
      </c>
      <c r="V91" s="438">
        <f t="shared" si="84"/>
        <v>833</v>
      </c>
      <c r="W91" s="438">
        <f t="shared" si="84"/>
        <v>833</v>
      </c>
      <c r="X91" s="438">
        <f t="shared" si="84"/>
        <v>815</v>
      </c>
      <c r="Y91" s="438">
        <f t="shared" si="84"/>
        <v>813</v>
      </c>
      <c r="Z91" s="438">
        <f t="shared" si="84"/>
        <v>805</v>
      </c>
      <c r="AA91" s="438">
        <f t="shared" si="84"/>
        <v>805</v>
      </c>
      <c r="AB91" s="438">
        <f t="shared" si="84"/>
        <v>805</v>
      </c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3" t="s">
        <v>11</v>
      </c>
    </row>
  </sheetData>
  <conditionalFormatting sqref="E3:AO3">
    <cfRule type="cellIs" dxfId="1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48E-B508-484B-88E6-3E3C4C44B02F}">
  <sheetPr>
    <tabColor theme="7" tint="-0.249977111117893"/>
  </sheetPr>
  <dimension ref="A1:AL370"/>
  <sheetViews>
    <sheetView showGridLines="0" zoomScale="85" zoomScaleNormal="85" workbookViewId="0">
      <pane xSplit="11" ySplit="10" topLeftCell="Y51" activePane="bottomRight" state="frozen"/>
      <selection pane="topRight" activeCell="L1" sqref="L1"/>
      <selection pane="bottomLeft" activeCell="A11" sqref="A11"/>
      <selection pane="bottomRight" activeCell="AB19" sqref="AB19"/>
    </sheetView>
  </sheetViews>
  <sheetFormatPr defaultRowHeight="14.5" zeroHeight="1" outlineLevelRow="1" outlineLevelCol="1" x14ac:dyDescent="0.35"/>
  <cols>
    <col min="1" max="1" width="8.83203125" style="93" hidden="1" customWidth="1" outlineLevel="1"/>
    <col min="2" max="2" width="13.33203125" style="93" hidden="1" customWidth="1" outlineLevel="1"/>
    <col min="3" max="3" width="8.83203125" style="93" hidden="1" customWidth="1" outlineLevel="1"/>
    <col min="4" max="4" width="4.75" style="92" hidden="1" customWidth="1" outlineLevel="1"/>
    <col min="5" max="5" width="2.33203125" style="93" hidden="1" customWidth="1" outlineLevel="1"/>
    <col min="6" max="6" width="9.33203125" style="168" customWidth="1" collapsed="1"/>
    <col min="7" max="7" width="1.83203125" customWidth="1"/>
    <col min="8" max="8" width="3.33203125" customWidth="1"/>
    <col min="9" max="9" width="5.08203125" customWidth="1"/>
    <col min="10" max="10" width="43.33203125" customWidth="1"/>
    <col min="11" max="11" width="0.58203125" customWidth="1"/>
    <col min="12" max="14" width="12.33203125" customWidth="1"/>
    <col min="15" max="15" width="20.33203125" style="47" customWidth="1"/>
    <col min="16" max="25" width="20.33203125" customWidth="1"/>
    <col min="26" max="26" width="20.33203125" style="48" customWidth="1"/>
    <col min="27" max="27" width="20.33203125" customWidth="1"/>
    <col min="28" max="28" width="21" customWidth="1"/>
    <col min="29" max="37" width="17.75" customWidth="1"/>
    <col min="38" max="38" width="17.75" style="48" customWidth="1"/>
  </cols>
  <sheetData>
    <row r="1" spans="1:38" s="21" customFormat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</row>
    <row r="2" spans="1:38" s="21" customFormat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</row>
    <row r="3" spans="1:38" s="21" customFormat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</row>
    <row r="4" spans="1:38" s="21" customFormat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</row>
    <row r="5" spans="1:38" s="21" customFormat="1" ht="2.25" customHeight="1" x14ac:dyDescent="0.35">
      <c r="A5" s="92"/>
      <c r="B5" s="92"/>
      <c r="C5" s="92"/>
      <c r="D5" s="92"/>
      <c r="E5" s="92"/>
      <c r="F5" s="246"/>
      <c r="O5" s="72"/>
      <c r="Z5" s="73"/>
      <c r="AL5" s="73"/>
    </row>
    <row r="6" spans="1:38" s="249" customFormat="1" ht="22" x14ac:dyDescent="0.5">
      <c r="D6" s="250"/>
      <c r="F6" s="251" t="s">
        <v>38</v>
      </c>
      <c r="O6" s="252"/>
      <c r="Z6" s="253"/>
      <c r="AL6" s="253"/>
    </row>
    <row r="7" spans="1:38" x14ac:dyDescent="0.35">
      <c r="O7" s="83"/>
    </row>
    <row r="8" spans="1:38" s="28" customFormat="1" ht="17" x14ac:dyDescent="0.35">
      <c r="A8" s="94"/>
      <c r="B8" s="94"/>
      <c r="C8" s="94"/>
      <c r="D8" s="95"/>
      <c r="E8" s="94"/>
      <c r="F8" s="522" t="s">
        <v>0</v>
      </c>
      <c r="G8" s="521" t="s">
        <v>39</v>
      </c>
      <c r="H8" s="521"/>
      <c r="I8" s="521"/>
      <c r="J8" s="521"/>
      <c r="L8" s="39">
        <v>2023</v>
      </c>
      <c r="M8" s="40"/>
      <c r="N8" s="40"/>
      <c r="O8" s="84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</row>
    <row r="9" spans="1:38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522"/>
      <c r="G9" s="521"/>
      <c r="H9" s="521"/>
      <c r="I9" s="521"/>
      <c r="J9" s="521"/>
      <c r="L9" s="38">
        <v>10</v>
      </c>
      <c r="M9" s="38">
        <v>11</v>
      </c>
      <c r="N9" s="38">
        <v>12</v>
      </c>
      <c r="O9" s="86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</row>
    <row r="10" spans="1:38" ht="3.75" customHeight="1" x14ac:dyDescent="0.35"/>
    <row r="11" spans="1:38" s="178" customFormat="1" ht="19.5" x14ac:dyDescent="0.35">
      <c r="A11" s="176" t="s">
        <v>52</v>
      </c>
      <c r="B11" s="176"/>
      <c r="C11" s="176"/>
      <c r="D11" s="176"/>
      <c r="E11" s="176"/>
      <c r="F11" s="219">
        <v>1</v>
      </c>
      <c r="G11" s="177" t="s">
        <v>3</v>
      </c>
      <c r="H11" s="177"/>
      <c r="I11" s="177"/>
      <c r="J11" s="177"/>
      <c r="L11" s="180"/>
      <c r="M11" s="180"/>
      <c r="N11" s="180"/>
      <c r="O11" s="179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1"/>
      <c r="AA11" s="182"/>
      <c r="AB11" s="180"/>
      <c r="AC11" s="182"/>
      <c r="AD11" s="182"/>
      <c r="AE11" s="182"/>
      <c r="AF11" s="182"/>
      <c r="AG11" s="182"/>
      <c r="AH11" s="182"/>
      <c r="AI11" s="182"/>
      <c r="AJ11" s="182"/>
      <c r="AK11" s="182"/>
      <c r="AL11" s="181"/>
    </row>
    <row r="12" spans="1:38" s="183" customFormat="1" ht="17" x14ac:dyDescent="0.35">
      <c r="A12" s="183" t="s">
        <v>52</v>
      </c>
      <c r="B12" s="183" t="s">
        <v>15</v>
      </c>
      <c r="D12" s="183" t="s">
        <v>322</v>
      </c>
      <c r="F12" s="220">
        <v>1.1000000000000001</v>
      </c>
      <c r="G12" s="190"/>
      <c r="H12" s="190" t="s">
        <v>206</v>
      </c>
      <c r="I12" s="190"/>
      <c r="J12" s="190"/>
      <c r="L12" s="190"/>
      <c r="M12" s="190"/>
      <c r="N12" s="190"/>
      <c r="O12" s="216">
        <f t="shared" ref="O12:AB12" si="2">MIN(MAX(SUM(O13:O14),O23),O22)</f>
        <v>1200</v>
      </c>
      <c r="P12" s="217">
        <f t="shared" si="2"/>
        <v>1200</v>
      </c>
      <c r="Q12" s="217">
        <f t="shared" si="2"/>
        <v>1200</v>
      </c>
      <c r="R12" s="217">
        <f t="shared" si="2"/>
        <v>1200</v>
      </c>
      <c r="S12" s="217">
        <f t="shared" si="2"/>
        <v>1200</v>
      </c>
      <c r="T12" s="217">
        <f t="shared" si="2"/>
        <v>1200.8999999999999</v>
      </c>
      <c r="U12" s="217">
        <f t="shared" si="2"/>
        <v>1214.3999999999999</v>
      </c>
      <c r="V12" s="217">
        <f t="shared" si="2"/>
        <v>1226.0999999999999</v>
      </c>
      <c r="W12" s="217">
        <f t="shared" si="2"/>
        <v>1242.6000000000001</v>
      </c>
      <c r="X12" s="217">
        <f t="shared" si="2"/>
        <v>1261.3499999999999</v>
      </c>
      <c r="Y12" s="217">
        <f t="shared" si="2"/>
        <v>1281.75</v>
      </c>
      <c r="Z12" s="218">
        <f t="shared" si="2"/>
        <v>1290.75</v>
      </c>
      <c r="AA12" s="217">
        <f t="shared" si="2"/>
        <v>1288.875</v>
      </c>
      <c r="AB12" s="217">
        <f t="shared" si="2"/>
        <v>1264.3749999999991</v>
      </c>
      <c r="AC12" s="217"/>
      <c r="AD12" s="217"/>
      <c r="AE12" s="217"/>
      <c r="AF12" s="217"/>
      <c r="AG12" s="217"/>
      <c r="AH12" s="217"/>
      <c r="AI12" s="217"/>
      <c r="AJ12" s="217"/>
      <c r="AK12" s="217"/>
      <c r="AL12" s="218"/>
    </row>
    <row r="13" spans="1:38" s="96" customFormat="1" outlineLevel="1" x14ac:dyDescent="0.35">
      <c r="A13" s="96" t="s">
        <v>52</v>
      </c>
      <c r="B13" s="96" t="s">
        <v>15</v>
      </c>
      <c r="D13" s="97"/>
      <c r="F13" s="221" t="s">
        <v>201</v>
      </c>
      <c r="G13" s="26"/>
      <c r="H13" s="26" t="s">
        <v>41</v>
      </c>
      <c r="I13" s="26" t="s">
        <v>204</v>
      </c>
      <c r="J13" s="26"/>
      <c r="K13" s="12"/>
      <c r="L13" s="26"/>
      <c r="M13" s="26"/>
      <c r="N13" s="26"/>
      <c r="O13" s="213">
        <f>AVERAGE(L17:N17)</f>
        <v>1296.0416666666667</v>
      </c>
      <c r="P13" s="214">
        <f t="shared" ref="P13:AB13" si="3">AVERAGE(M17:O17)</f>
        <v>1305</v>
      </c>
      <c r="Q13" s="214">
        <f t="shared" si="3"/>
        <v>1313.3333333333333</v>
      </c>
      <c r="R13" s="214">
        <f t="shared" si="3"/>
        <v>1320</v>
      </c>
      <c r="S13" s="214">
        <f t="shared" si="3"/>
        <v>1326</v>
      </c>
      <c r="T13" s="214">
        <f t="shared" si="3"/>
        <v>1334.3333333333333</v>
      </c>
      <c r="U13" s="214">
        <f t="shared" si="3"/>
        <v>1349.3333333333333</v>
      </c>
      <c r="V13" s="214">
        <f t="shared" si="3"/>
        <v>1362.3333333333333</v>
      </c>
      <c r="W13" s="214">
        <f t="shared" si="3"/>
        <v>1380.6666666666667</v>
      </c>
      <c r="X13" s="214">
        <f t="shared" si="3"/>
        <v>1401.5</v>
      </c>
      <c r="Y13" s="214">
        <f t="shared" si="3"/>
        <v>1424.1666666666667</v>
      </c>
      <c r="Z13" s="215">
        <f t="shared" si="3"/>
        <v>1434.1666666666667</v>
      </c>
      <c r="AA13" s="214">
        <f t="shared" si="3"/>
        <v>1432.0833333333333</v>
      </c>
      <c r="AB13" s="214">
        <f t="shared" si="3"/>
        <v>1404.8611111111102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5"/>
    </row>
    <row r="14" spans="1:38" s="96" customFormat="1" outlineLevel="1" x14ac:dyDescent="0.35">
      <c r="A14" s="96" t="s">
        <v>52</v>
      </c>
      <c r="B14" s="96" t="s">
        <v>15</v>
      </c>
      <c r="D14" s="97"/>
      <c r="F14" s="221" t="s">
        <v>202</v>
      </c>
      <c r="G14" s="26"/>
      <c r="H14" s="26" t="s">
        <v>41</v>
      </c>
      <c r="I14" s="26" t="s">
        <v>205</v>
      </c>
      <c r="J14" s="26"/>
      <c r="K14" s="12"/>
      <c r="L14" s="26"/>
      <c r="M14" s="26"/>
      <c r="N14" s="26"/>
      <c r="O14" s="213">
        <f>-O13*O18</f>
        <v>-129.60416666666669</v>
      </c>
      <c r="P14" s="214">
        <f t="shared" ref="P14:AB14" si="4">-P13*P18</f>
        <v>-130.5</v>
      </c>
      <c r="Q14" s="214">
        <f t="shared" si="4"/>
        <v>-131.33333333333334</v>
      </c>
      <c r="R14" s="214">
        <f t="shared" si="4"/>
        <v>-132</v>
      </c>
      <c r="S14" s="214">
        <f t="shared" si="4"/>
        <v>-132.6</v>
      </c>
      <c r="T14" s="214">
        <f t="shared" si="4"/>
        <v>-133.43333333333334</v>
      </c>
      <c r="U14" s="214">
        <f t="shared" si="4"/>
        <v>-134.93333333333334</v>
      </c>
      <c r="V14" s="214">
        <f t="shared" si="4"/>
        <v>-136.23333333333332</v>
      </c>
      <c r="W14" s="214">
        <f t="shared" si="4"/>
        <v>-138.06666666666669</v>
      </c>
      <c r="X14" s="214">
        <f t="shared" si="4"/>
        <v>-140.15</v>
      </c>
      <c r="Y14" s="214">
        <f t="shared" si="4"/>
        <v>-142.41666666666669</v>
      </c>
      <c r="Z14" s="215">
        <f t="shared" si="4"/>
        <v>-143.41666666666669</v>
      </c>
      <c r="AA14" s="214">
        <f t="shared" si="4"/>
        <v>-143.20833333333334</v>
      </c>
      <c r="AB14" s="214">
        <f t="shared" si="4"/>
        <v>-140.48611111111103</v>
      </c>
      <c r="AC14" s="214"/>
      <c r="AD14" s="214"/>
      <c r="AE14" s="214"/>
      <c r="AF14" s="214"/>
      <c r="AG14" s="214"/>
      <c r="AH14" s="214"/>
      <c r="AI14" s="214"/>
      <c r="AJ14" s="214"/>
      <c r="AK14" s="214"/>
      <c r="AL14" s="215"/>
    </row>
    <row r="15" spans="1:38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217</v>
      </c>
      <c r="G15" s="232"/>
      <c r="H15" s="232"/>
      <c r="I15" s="232" t="s">
        <v>8</v>
      </c>
      <c r="J15" s="232"/>
      <c r="K15" s="2"/>
      <c r="L15" s="232"/>
      <c r="M15" s="232"/>
      <c r="N15" s="232"/>
      <c r="O15" s="233">
        <f>O12-O16</f>
        <v>1180</v>
      </c>
      <c r="P15" s="234">
        <f t="shared" ref="P15:AB15" si="5">P12-P16</f>
        <v>1180</v>
      </c>
      <c r="Q15" s="234">
        <f t="shared" si="5"/>
        <v>1180</v>
      </c>
      <c r="R15" s="234">
        <f t="shared" si="5"/>
        <v>1180</v>
      </c>
      <c r="S15" s="234">
        <f t="shared" si="5"/>
        <v>1180</v>
      </c>
      <c r="T15" s="234">
        <f t="shared" si="5"/>
        <v>1180.8999999999999</v>
      </c>
      <c r="U15" s="234">
        <f t="shared" si="5"/>
        <v>1194.3999999999999</v>
      </c>
      <c r="V15" s="234">
        <f t="shared" si="5"/>
        <v>1206.0999999999999</v>
      </c>
      <c r="W15" s="234">
        <f t="shared" si="5"/>
        <v>1222.6000000000001</v>
      </c>
      <c r="X15" s="234">
        <f t="shared" si="5"/>
        <v>1241.3499999999999</v>
      </c>
      <c r="Y15" s="234">
        <f t="shared" si="5"/>
        <v>1261.75</v>
      </c>
      <c r="Z15" s="235">
        <f t="shared" si="5"/>
        <v>1270.75</v>
      </c>
      <c r="AA15" s="234">
        <f t="shared" si="5"/>
        <v>1268.875</v>
      </c>
      <c r="AB15" s="234">
        <f t="shared" si="5"/>
        <v>1244.3749999999991</v>
      </c>
      <c r="AC15" s="234"/>
      <c r="AD15" s="234"/>
      <c r="AE15" s="234"/>
      <c r="AF15" s="234"/>
      <c r="AG15" s="234"/>
      <c r="AH15" s="234"/>
      <c r="AI15" s="234"/>
      <c r="AJ15" s="234"/>
      <c r="AK15" s="234"/>
      <c r="AL15" s="235"/>
    </row>
    <row r="16" spans="1:38" s="184" customFormat="1" outlineLevel="1" x14ac:dyDescent="0.35">
      <c r="A16" s="184" t="s">
        <v>52</v>
      </c>
      <c r="B16" s="184" t="s">
        <v>15</v>
      </c>
      <c r="F16" s="222" t="s">
        <v>218</v>
      </c>
      <c r="G16" s="191"/>
      <c r="H16" s="191"/>
      <c r="I16" s="191" t="s">
        <v>50</v>
      </c>
      <c r="J16" s="191"/>
      <c r="K16" s="185"/>
      <c r="L16" s="210"/>
      <c r="M16" s="210"/>
      <c r="N16" s="210"/>
      <c r="O16" s="211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/>
      <c r="AD16" s="210"/>
      <c r="AE16" s="210"/>
      <c r="AF16" s="210"/>
      <c r="AG16" s="210"/>
      <c r="AH16" s="210"/>
      <c r="AI16" s="210"/>
      <c r="AJ16" s="210"/>
      <c r="AK16" s="210"/>
      <c r="AL16" s="212"/>
    </row>
    <row r="17" spans="1:38" s="186" customFormat="1" outlineLevel="1" x14ac:dyDescent="0.35">
      <c r="A17" s="186" t="s">
        <v>52</v>
      </c>
      <c r="B17" s="186" t="s">
        <v>15</v>
      </c>
      <c r="C17" s="186" t="s">
        <v>44</v>
      </c>
      <c r="F17" s="223" t="s">
        <v>219</v>
      </c>
      <c r="G17" s="192"/>
      <c r="H17" s="192"/>
      <c r="I17" s="192"/>
      <c r="J17" s="192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5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/>
      <c r="AD17" s="204"/>
      <c r="AE17" s="204"/>
      <c r="AF17" s="204"/>
      <c r="AG17" s="204"/>
      <c r="AH17" s="204"/>
      <c r="AI17" s="204"/>
      <c r="AJ17" s="204"/>
      <c r="AK17" s="204"/>
      <c r="AL17" s="206"/>
    </row>
    <row r="18" spans="1:38" s="98" customFormat="1" outlineLevel="1" x14ac:dyDescent="0.35">
      <c r="A18" s="98" t="s">
        <v>52</v>
      </c>
      <c r="B18" s="98" t="s">
        <v>15</v>
      </c>
      <c r="F18" s="224" t="s">
        <v>220</v>
      </c>
      <c r="G18" s="35"/>
      <c r="H18" s="35"/>
      <c r="I18" s="35"/>
      <c r="J18" s="35" t="s">
        <v>54</v>
      </c>
      <c r="K18" s="34"/>
      <c r="L18" s="35"/>
      <c r="M18" s="35"/>
      <c r="N18" s="35"/>
      <c r="O18" s="207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194"/>
    </row>
    <row r="19" spans="1:38" s="96" customFormat="1" ht="74.5" customHeight="1" outlineLevel="1" x14ac:dyDescent="0.35">
      <c r="A19" s="96" t="s">
        <v>52</v>
      </c>
      <c r="B19" s="96" t="s">
        <v>15</v>
      </c>
      <c r="D19" s="97"/>
      <c r="F19" s="221" t="s">
        <v>221</v>
      </c>
      <c r="G19" s="26"/>
      <c r="H19" s="26"/>
      <c r="I19" s="26"/>
      <c r="J19" s="26" t="s">
        <v>45</v>
      </c>
      <c r="K19" s="12"/>
      <c r="L19" s="195"/>
      <c r="M19" s="195"/>
      <c r="N19" s="195"/>
      <c r="O19" s="88" t="str" cm="1">
        <f t="array" ref="O19">INDEX(Note!$G$3:$G$101,MATCH(1,(Note!$A$3:$A$101=$A19)*(Note!$C$3:$C$101=$B19)*(Note!$E$3:$E$101&lt;=O$1)*(Note!$F$3:$F$101&gt;=O$2),0))</f>
        <v>Giá ICIS rPET ĐNA trung bình 3 tháng trước đó với chiết khấu 10%. Giá trần $1,600; giá sàn $1,200</v>
      </c>
      <c r="P19" s="27" t="str" cm="1">
        <f t="array" ref="P19">INDEX(Note!$G$3:$G$101,MATCH(1,(Note!$A$3:$A$101=$A19)*(Note!$C$3:$C$101=$B19)*(Note!$E$3:$E$101&lt;=P$1)*(Note!$F$3:$F$101&gt;=P$2),0))</f>
        <v>Giá ICIS rPET ĐNA trung bình 3 tháng trước đó với chiết khấu 10%. Giá trần $1,600; giá sàn $1,200</v>
      </c>
      <c r="Q19" s="27" t="str" cm="1">
        <f t="array" ref="Q19">INDEX(Note!$G$3:$G$101,MATCH(1,(Note!$A$3:$A$101=$A19)*(Note!$C$3:$C$101=$B19)*(Note!$E$3:$E$101&lt;=Q$1)*(Note!$F$3:$F$101&gt;=Q$2),0))</f>
        <v>Giá ICIS rPET ĐNA trung bình 3 tháng trước đó với chiết khấu 10%. Giá trần $1,600; giá sàn $1,200</v>
      </c>
      <c r="R19" s="27" t="str" cm="1">
        <f t="array" ref="R19">INDEX(Note!$G$3:$G$101,MATCH(1,(Note!$A$3:$A$101=$A19)*(Note!$C$3:$C$101=$B19)*(Note!$E$3:$E$101&lt;=R$1)*(Note!$F$3:$F$101&gt;=R$2),0))</f>
        <v>Giá ICIS rPET ĐNA trung bình 3 tháng trước đó với chiết khấu 10%. Giá trần $1,600; giá sàn $1,200</v>
      </c>
      <c r="S19" s="27" t="str" cm="1">
        <f t="array" ref="S19">INDEX(Note!$G$3:$G$101,MATCH(1,(Note!$A$3:$A$101=$A19)*(Note!$C$3:$C$101=$B19)*(Note!$E$3:$E$101&lt;=S$1)*(Note!$F$3:$F$101&gt;=S$2),0))</f>
        <v>Giá ICIS rPET ĐNA trung bình 3 tháng trước đó với chiết khấu 10%. Giá trần $1,600; giá sàn $1,200</v>
      </c>
      <c r="T19" s="27" t="str" cm="1">
        <f t="array" ref="T19">INDEX(Note!$G$3:$G$101,MATCH(1,(Note!$A$3:$A$101=$A19)*(Note!$C$3:$C$101=$B19)*(Note!$E$3:$E$101&lt;=T$1)*(Note!$F$3:$F$101&gt;=T$2),0))</f>
        <v>Giá ICIS rPET ĐNA trung bình 3 tháng trước đó với chiết khấu 10%. Giá trần $1,600; giá sàn $1,200</v>
      </c>
      <c r="U19" s="27" t="str" cm="1">
        <f t="array" ref="U19">INDEX(Note!$G$3:$G$101,MATCH(1,(Note!$A$3:$A$101=$A19)*(Note!$C$3:$C$101=$B19)*(Note!$E$3:$E$101&lt;=U$1)*(Note!$F$3:$F$101&gt;=U$2),0))</f>
        <v>Giá ICIS rPET ĐNA trung bình 3 tháng trước đó với chiết khấu 10%. Giá trần $1,600; giá sàn $1,200</v>
      </c>
      <c r="V19" s="27" t="str" cm="1">
        <f t="array" ref="V19">INDEX(Note!$G$3:$G$101,MATCH(1,(Note!$A$3:$A$101=$A19)*(Note!$C$3:$C$101=$B19)*(Note!$E$3:$E$101&lt;=V$1)*(Note!$F$3:$F$101&gt;=V$2),0))</f>
        <v>Giá ICIS rPET ĐNA trung bình 3 tháng trước đó với chiết khấu 10%. Giá trần $1,600; giá sàn $1,200</v>
      </c>
      <c r="W19" s="27" t="str" cm="1">
        <f t="array" ref="W19">INDEX(Note!$G$3:$G$101,MATCH(1,(Note!$A$3:$A$101=$A19)*(Note!$C$3:$C$101=$B19)*(Note!$E$3:$E$101&lt;=W$1)*(Note!$F$3:$F$101&gt;=W$2),0))</f>
        <v>Giá ICIS rPET ĐNA trung bình 3 tháng trước đó với chiết khấu 10%. Giá trần $1,600; giá sàn $1,200</v>
      </c>
      <c r="X19" s="27" t="str" cm="1">
        <f t="array" ref="X19">INDEX(Note!$G$3:$G$101,MATCH(1,(Note!$A$3:$A$101=$A19)*(Note!$C$3:$C$101=$B19)*(Note!$E$3:$E$101&lt;=X$1)*(Note!$F$3:$F$101&gt;=X$2),0))</f>
        <v>Giá ICIS rPET ĐNA trung bình 3 tháng trước đó với chiết khấu 10%. Giá trần $1,600; giá sàn $1,200</v>
      </c>
      <c r="Y19" s="27" t="str" cm="1">
        <f t="array" ref="Y19">INDEX(Note!$G$3:$G$101,MATCH(1,(Note!$A$3:$A$101=$A19)*(Note!$C$3:$C$101=$B19)*(Note!$E$3:$E$101&lt;=Y$1)*(Note!$F$3:$F$101&gt;=Y$2),0))</f>
        <v>Giá ICIS rPET ĐNA trung bình 3 tháng trước đó với chiết khấu 10%. Giá trần $1,600; giá sàn $1,200</v>
      </c>
      <c r="Z19" s="89" t="str" cm="1">
        <f t="array" ref="Z19">INDEX(Note!$G$3:$G$101,MATCH(1,(Note!$A$3:$A$101=$A19)*(Note!$C$3:$C$101=$B19)*(Note!$E$3:$E$101&lt;=Z$1)*(Note!$F$3:$F$101&gt;=Z$2),0))</f>
        <v>Giá ICIS rPET ĐNA trung bình 3 tháng trước đó với chiết khấu 10%. Giá trần $1,600; giá sàn $1,200</v>
      </c>
      <c r="AA19" s="27" t="str" cm="1">
        <f t="array" ref="AA19">INDEX(Note!$G$3:$G$101,MATCH(1,(Note!$A$3:$A$101=$A19)*(Note!$C$3:$C$101=$B19)*(Note!$E$3:$E$101&lt;=AA$1)*(Note!$F$3:$F$101&gt;=AA$2),0))</f>
        <v>Giá ICIS rPET ĐNA trung bình 3 tháng trước đó với chiết khấu 10%. Giá trần $1,600; giá sàn $1,200</v>
      </c>
      <c r="AB19" s="27" t="str" cm="1">
        <f t="array" ref="AB19">INDEX(Note!$G$3:$G$101,MATCH(1,(Note!$A$3:$A$101=$A19)*(Note!$C$3:$C$101=$B19)*(Note!$E$3:$E$101&lt;=AB$1)*(Note!$F$3:$F$101&gt;=AB$2),0))</f>
        <v>Giá ICIS rPET ĐNA trung bình 3 tháng trước đó với chiết khấu 10%. Giá trần $1,600; giá sàn $1,200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89"/>
    </row>
    <row r="20" spans="1:38" s="96" customFormat="1" outlineLevel="1" x14ac:dyDescent="0.35">
      <c r="A20" s="96" t="s">
        <v>52</v>
      </c>
      <c r="B20" s="96" t="s">
        <v>15</v>
      </c>
      <c r="D20" s="97"/>
      <c r="F20" s="221" t="s">
        <v>222</v>
      </c>
      <c r="G20" s="26"/>
      <c r="H20" s="26"/>
      <c r="I20" s="26"/>
      <c r="J20" s="26" t="s">
        <v>43</v>
      </c>
      <c r="K20" s="12"/>
      <c r="L20" s="195"/>
      <c r="M20" s="195"/>
      <c r="N20" s="195"/>
      <c r="O20" s="88" t="str" cm="1">
        <f t="array" ref="O20">INDEX(Note!$H$3:$H$101,MATCH(1,(Note!$A$3:$A$101=$A20)*(Note!$C$3:$C$101=$B20)*(Note!$E$3:$E$101&lt;=O$1)*(Note!$F$3:$F$101&gt;=O$2),0))</f>
        <v>FOB</v>
      </c>
      <c r="P20" s="27" t="str" cm="1">
        <f t="array" ref="P20">INDEX(Note!$H$3:$H$101,MATCH(1,(Note!$A$3:$A$101=$A20)*(Note!$C$3:$C$101=$B20)*(Note!$E$3:$E$101&lt;=P$1)*(Note!$F$3:$F$101&gt;=P$2),0))</f>
        <v>FOB</v>
      </c>
      <c r="Q20" s="27" t="str" cm="1">
        <f t="array" ref="Q20">INDEX(Note!$H$3:$H$101,MATCH(1,(Note!$A$3:$A$101=$A20)*(Note!$C$3:$C$101=$B20)*(Note!$E$3:$E$101&lt;=Q$1)*(Note!$F$3:$F$101&gt;=Q$2),0))</f>
        <v>FOB</v>
      </c>
      <c r="R20" s="27" t="str" cm="1">
        <f t="array" ref="R20">INDEX(Note!$H$3:$H$101,MATCH(1,(Note!$A$3:$A$101=$A20)*(Note!$C$3:$C$101=$B20)*(Note!$E$3:$E$101&lt;=R$1)*(Note!$F$3:$F$101&gt;=R$2),0))</f>
        <v>FOB</v>
      </c>
      <c r="S20" s="27" t="str" cm="1">
        <f t="array" ref="S20">INDEX(Note!$H$3:$H$101,MATCH(1,(Note!$A$3:$A$101=$A20)*(Note!$C$3:$C$101=$B20)*(Note!$E$3:$E$101&lt;=S$1)*(Note!$F$3:$F$101&gt;=S$2),0))</f>
        <v>FOB</v>
      </c>
      <c r="T20" s="27" t="str" cm="1">
        <f t="array" ref="T20">INDEX(Note!$H$3:$H$101,MATCH(1,(Note!$A$3:$A$101=$A20)*(Note!$C$3:$C$101=$B20)*(Note!$E$3:$E$101&lt;=T$1)*(Note!$F$3:$F$101&gt;=T$2),0))</f>
        <v>FOB</v>
      </c>
      <c r="U20" s="27" t="str" cm="1">
        <f t="array" ref="U20">INDEX(Note!$H$3:$H$101,MATCH(1,(Note!$A$3:$A$101=$A20)*(Note!$C$3:$C$101=$B20)*(Note!$E$3:$E$101&lt;=U$1)*(Note!$F$3:$F$101&gt;=U$2),0))</f>
        <v>FOB</v>
      </c>
      <c r="V20" s="27" t="str" cm="1">
        <f t="array" ref="V20">INDEX(Note!$H$3:$H$101,MATCH(1,(Note!$A$3:$A$101=$A20)*(Note!$C$3:$C$101=$B20)*(Note!$E$3:$E$101&lt;=V$1)*(Note!$F$3:$F$101&gt;=V$2),0))</f>
        <v>FOB</v>
      </c>
      <c r="W20" s="27" t="str" cm="1">
        <f t="array" ref="W20">INDEX(Note!$H$3:$H$101,MATCH(1,(Note!$A$3:$A$101=$A20)*(Note!$C$3:$C$101=$B20)*(Note!$E$3:$E$101&lt;=W$1)*(Note!$F$3:$F$101&gt;=W$2),0))</f>
        <v>FOB</v>
      </c>
      <c r="X20" s="27" t="str" cm="1">
        <f t="array" ref="X20">INDEX(Note!$H$3:$H$101,MATCH(1,(Note!$A$3:$A$101=$A20)*(Note!$C$3:$C$101=$B20)*(Note!$E$3:$E$101&lt;=X$1)*(Note!$F$3:$F$101&gt;=X$2),0))</f>
        <v>FOB</v>
      </c>
      <c r="Y20" s="27" t="str" cm="1">
        <f t="array" ref="Y20">INDEX(Note!$H$3:$H$101,MATCH(1,(Note!$A$3:$A$101=$A20)*(Note!$C$3:$C$101=$B20)*(Note!$E$3:$E$101&lt;=Y$1)*(Note!$F$3:$F$101&gt;=Y$2),0))</f>
        <v>FOB</v>
      </c>
      <c r="Z20" s="89" t="str" cm="1">
        <f t="array" ref="Z20">INDEX(Note!$H$3:$H$101,MATCH(1,(Note!$A$3:$A$101=$A20)*(Note!$C$3:$C$101=$B20)*(Note!$E$3:$E$101&lt;=Z$1)*(Note!$F$3:$F$101&gt;=Z$2),0))</f>
        <v>FOB</v>
      </c>
      <c r="AA20" s="27" t="str" cm="1">
        <f t="array" ref="AA20">INDEX(Note!$H$3:$H$101,MATCH(1,(Note!$A$3:$A$101=$A20)*(Note!$C$3:$C$101=$B20)*(Note!$E$3:$E$101&lt;=AA$1)*(Note!$F$3:$F$101&gt;=AA$2),0))</f>
        <v>FOB</v>
      </c>
      <c r="AB20" s="27" t="str" cm="1">
        <f t="array" ref="AB20">INDEX(Note!$H$3:$H$101,MATCH(1,(Note!$A$3:$A$101=$A20)*(Note!$C$3:$C$101=$B20)*(Note!$E$3:$E$101&lt;=AB$1)*(Note!$F$3:$F$101&gt;=AB$2),0))</f>
        <v>FOB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89"/>
    </row>
    <row r="21" spans="1:38" s="97" customFormat="1" outlineLevel="1" x14ac:dyDescent="0.35">
      <c r="A21" s="97" t="s">
        <v>52</v>
      </c>
      <c r="B21" s="97" t="s">
        <v>15</v>
      </c>
      <c r="F21" s="196" t="s">
        <v>223</v>
      </c>
      <c r="G21" s="107"/>
      <c r="H21" s="107"/>
      <c r="I21" s="107"/>
      <c r="J21" s="107" t="s">
        <v>46</v>
      </c>
      <c r="K21" s="109"/>
      <c r="L21" s="196"/>
      <c r="M21" s="196"/>
      <c r="N21" s="196"/>
      <c r="O21" s="108" t="str" cm="1">
        <f t="array" ref="O21">INDEX(Note!$I$3:$I$101,MATCH(1,(Note!$A$3:$A$101=$A21)*(Note!$C$3:$C$101=$B21)*(Note!$E$3:$E$101&lt;=O$1)*(Note!$F$3:$F$101&gt;=O$2),0))</f>
        <v>Tháng</v>
      </c>
      <c r="P21" s="196" t="str" cm="1">
        <f t="array" ref="P21">INDEX(Note!$I$3:$I$101,MATCH(1,(Note!$A$3:$A$101=$A21)*(Note!$C$3:$C$101=$B21)*(Note!$E$3:$E$101&lt;=P$1)*(Note!$F$3:$F$101&gt;=P$2),0))</f>
        <v>Tháng</v>
      </c>
      <c r="Q21" s="196" t="str" cm="1">
        <f t="array" ref="Q21">INDEX(Note!$I$3:$I$101,MATCH(1,(Note!$A$3:$A$101=$A21)*(Note!$C$3:$C$101=$B21)*(Note!$E$3:$E$101&lt;=Q$1)*(Note!$F$3:$F$101&gt;=Q$2),0))</f>
        <v>Tháng</v>
      </c>
      <c r="R21" s="196" t="str" cm="1">
        <f t="array" ref="R21">INDEX(Note!$I$3:$I$101,MATCH(1,(Note!$A$3:$A$101=$A21)*(Note!$C$3:$C$101=$B21)*(Note!$E$3:$E$101&lt;=R$1)*(Note!$F$3:$F$101&gt;=R$2),0))</f>
        <v>Tháng</v>
      </c>
      <c r="S21" s="196" t="str" cm="1">
        <f t="array" ref="S21">INDEX(Note!$I$3:$I$101,MATCH(1,(Note!$A$3:$A$101=$A21)*(Note!$C$3:$C$101=$B21)*(Note!$E$3:$E$101&lt;=S$1)*(Note!$F$3:$F$101&gt;=S$2),0))</f>
        <v>Tháng</v>
      </c>
      <c r="T21" s="196" t="str" cm="1">
        <f t="array" ref="T21">INDEX(Note!$I$3:$I$101,MATCH(1,(Note!$A$3:$A$101=$A21)*(Note!$C$3:$C$101=$B21)*(Note!$E$3:$E$101&lt;=T$1)*(Note!$F$3:$F$101&gt;=T$2),0))</f>
        <v>Tháng</v>
      </c>
      <c r="U21" s="196" t="str" cm="1">
        <f t="array" ref="U21">INDEX(Note!$I$3:$I$101,MATCH(1,(Note!$A$3:$A$101=$A21)*(Note!$C$3:$C$101=$B21)*(Note!$E$3:$E$101&lt;=U$1)*(Note!$F$3:$F$101&gt;=U$2),0))</f>
        <v>Tháng</v>
      </c>
      <c r="V21" s="196" t="str" cm="1">
        <f t="array" ref="V21">INDEX(Note!$I$3:$I$101,MATCH(1,(Note!$A$3:$A$101=$A21)*(Note!$C$3:$C$101=$B21)*(Note!$E$3:$E$101&lt;=V$1)*(Note!$F$3:$F$101&gt;=V$2),0))</f>
        <v>Tháng</v>
      </c>
      <c r="W21" s="196" t="str" cm="1">
        <f t="array" ref="W21">INDEX(Note!$I$3:$I$101,MATCH(1,(Note!$A$3:$A$101=$A21)*(Note!$C$3:$C$101=$B21)*(Note!$E$3:$E$101&lt;=W$1)*(Note!$F$3:$F$101&gt;=W$2),0))</f>
        <v>Tháng</v>
      </c>
      <c r="X21" s="196" t="str" cm="1">
        <f t="array" ref="X21">INDEX(Note!$I$3:$I$101,MATCH(1,(Note!$A$3:$A$101=$A21)*(Note!$C$3:$C$101=$B21)*(Note!$E$3:$E$101&lt;=X$1)*(Note!$F$3:$F$101&gt;=X$2),0))</f>
        <v>Tháng</v>
      </c>
      <c r="Y21" s="196" t="str" cm="1">
        <f t="array" ref="Y21">INDEX(Note!$I$3:$I$101,MATCH(1,(Note!$A$3:$A$101=$A21)*(Note!$C$3:$C$101=$B21)*(Note!$E$3:$E$101&lt;=Y$1)*(Note!$F$3:$F$101&gt;=Y$2),0))</f>
        <v>Tháng</v>
      </c>
      <c r="Z21" s="197" t="str" cm="1">
        <f t="array" ref="Z21">INDEX(Note!$I$3:$I$101,MATCH(1,(Note!$A$3:$A$101=$A21)*(Note!$C$3:$C$101=$B21)*(Note!$E$3:$E$101&lt;=Z$1)*(Note!$F$3:$F$101&gt;=Z$2),0))</f>
        <v>Tháng</v>
      </c>
      <c r="AA21" s="196" t="str" cm="1">
        <f t="array" ref="AA21">INDEX(Note!$I$3:$I$101,MATCH(1,(Note!$A$3:$A$101=$A21)*(Note!$C$3:$C$101=$B21)*(Note!$E$3:$E$101&lt;=AA$1)*(Note!$F$3:$F$101&gt;=AA$2),0))</f>
        <v>Tháng</v>
      </c>
      <c r="AB21" s="196" t="str" cm="1">
        <f t="array" ref="AB21">INDEX(Note!$I$3:$I$101,MATCH(1,(Note!$A$3:$A$101=$A21)*(Note!$C$3:$C$101=$B21)*(Note!$E$3:$E$101&lt;=AB$1)*(Note!$F$3:$F$101&gt;=AB$2),0))</f>
        <v>Tháng</v>
      </c>
      <c r="AC21" s="196"/>
      <c r="AD21" s="196"/>
      <c r="AE21" s="196"/>
      <c r="AF21" s="196"/>
      <c r="AG21" s="196"/>
      <c r="AH21" s="196"/>
      <c r="AI21" s="196"/>
      <c r="AJ21" s="196"/>
      <c r="AK21" s="196"/>
      <c r="AL21" s="197"/>
    </row>
    <row r="22" spans="1:38" s="97" customFormat="1" outlineLevel="1" x14ac:dyDescent="0.35">
      <c r="A22" s="97" t="s">
        <v>52</v>
      </c>
      <c r="B22" s="97" t="s">
        <v>15</v>
      </c>
      <c r="F22" s="196" t="s">
        <v>224</v>
      </c>
      <c r="G22" s="107"/>
      <c r="H22" s="107"/>
      <c r="I22" s="107"/>
      <c r="J22" s="107" t="s">
        <v>47</v>
      </c>
      <c r="K22" s="109"/>
      <c r="L22" s="199"/>
      <c r="M22" s="199"/>
      <c r="N22" s="199"/>
      <c r="O22" s="198" cm="1">
        <f t="array" ref="O22">INDEX(Note!$J$3:$J$101,MATCH(1,(Note!$A$3:$A$101=$A22)*(Note!$C$3:$C$101=$B22)*(Note!$E$3:$E$101&lt;=O$1)*(Note!$F$3:$F$101&gt;=O$2),0))</f>
        <v>1600</v>
      </c>
      <c r="P22" s="199" cm="1">
        <f t="array" ref="P22">INDEX(Note!$J$3:$J$101,MATCH(1,(Note!$A$3:$A$101=$A22)*(Note!$C$3:$C$101=$B22)*(Note!$E$3:$E$101&lt;=P$1)*(Note!$F$3:$F$101&gt;=P$2),0))</f>
        <v>1600</v>
      </c>
      <c r="Q22" s="199" cm="1">
        <f t="array" ref="Q22">INDEX(Note!$J$3:$J$101,MATCH(1,(Note!$A$3:$A$101=$A22)*(Note!$C$3:$C$101=$B22)*(Note!$E$3:$E$101&lt;=Q$1)*(Note!$F$3:$F$101&gt;=Q$2),0))</f>
        <v>1600</v>
      </c>
      <c r="R22" s="199" cm="1">
        <f t="array" ref="R22">INDEX(Note!$J$3:$J$101,MATCH(1,(Note!$A$3:$A$101=$A22)*(Note!$C$3:$C$101=$B22)*(Note!$E$3:$E$101&lt;=R$1)*(Note!$F$3:$F$101&gt;=R$2),0))</f>
        <v>1600</v>
      </c>
      <c r="S22" s="199" cm="1">
        <f t="array" ref="S22">INDEX(Note!$J$3:$J$101,MATCH(1,(Note!$A$3:$A$101=$A22)*(Note!$C$3:$C$101=$B22)*(Note!$E$3:$E$101&lt;=S$1)*(Note!$F$3:$F$101&gt;=S$2),0))</f>
        <v>1600</v>
      </c>
      <c r="T22" s="199" cm="1">
        <f t="array" ref="T22">INDEX(Note!$J$3:$J$101,MATCH(1,(Note!$A$3:$A$101=$A22)*(Note!$C$3:$C$101=$B22)*(Note!$E$3:$E$101&lt;=T$1)*(Note!$F$3:$F$101&gt;=T$2),0))</f>
        <v>1600</v>
      </c>
      <c r="U22" s="199" cm="1">
        <f t="array" ref="U22">INDEX(Note!$J$3:$J$101,MATCH(1,(Note!$A$3:$A$101=$A22)*(Note!$C$3:$C$101=$B22)*(Note!$E$3:$E$101&lt;=U$1)*(Note!$F$3:$F$101&gt;=U$2),0))</f>
        <v>1600</v>
      </c>
      <c r="V22" s="199" cm="1">
        <f t="array" ref="V22">INDEX(Note!$J$3:$J$101,MATCH(1,(Note!$A$3:$A$101=$A22)*(Note!$C$3:$C$101=$B22)*(Note!$E$3:$E$101&lt;=V$1)*(Note!$F$3:$F$101&gt;=V$2),0))</f>
        <v>1600</v>
      </c>
      <c r="W22" s="199" cm="1">
        <f t="array" ref="W22">INDEX(Note!$J$3:$J$101,MATCH(1,(Note!$A$3:$A$101=$A22)*(Note!$C$3:$C$101=$B22)*(Note!$E$3:$E$101&lt;=W$1)*(Note!$F$3:$F$101&gt;=W$2),0))</f>
        <v>1600</v>
      </c>
      <c r="X22" s="199" cm="1">
        <f t="array" ref="X22">INDEX(Note!$J$3:$J$101,MATCH(1,(Note!$A$3:$A$101=$A22)*(Note!$C$3:$C$101=$B22)*(Note!$E$3:$E$101&lt;=X$1)*(Note!$F$3:$F$101&gt;=X$2),0))</f>
        <v>1600</v>
      </c>
      <c r="Y22" s="199" cm="1">
        <f t="array" ref="Y22">INDEX(Note!$J$3:$J$101,MATCH(1,(Note!$A$3:$A$101=$A22)*(Note!$C$3:$C$101=$B22)*(Note!$E$3:$E$101&lt;=Y$1)*(Note!$F$3:$F$101&gt;=Y$2),0))</f>
        <v>1600</v>
      </c>
      <c r="Z22" s="200" cm="1">
        <f t="array" ref="Z22">INDEX(Note!$J$3:$J$101,MATCH(1,(Note!$A$3:$A$101=$A22)*(Note!$C$3:$C$101=$B22)*(Note!$E$3:$E$101&lt;=Z$1)*(Note!$F$3:$F$101&gt;=Z$2),0))</f>
        <v>1600</v>
      </c>
      <c r="AA22" s="199" cm="1">
        <f t="array" ref="AA22">INDEX(Note!$J$3:$J$101,MATCH(1,(Note!$A$3:$A$101=$A22)*(Note!$C$3:$C$101=$B22)*(Note!$E$3:$E$101&lt;=AA$1)*(Note!$F$3:$F$101&gt;=AA$2),0))</f>
        <v>1600</v>
      </c>
      <c r="AB22" s="199" cm="1">
        <f t="array" ref="AB22">INDEX(Note!$J$3:$J$101,MATCH(1,(Note!$A$3:$A$101=$A22)*(Note!$C$3:$C$101=$B22)*(Note!$E$3:$E$101&lt;=AB$1)*(Note!$F$3:$F$101&gt;=AB$2),0))</f>
        <v>1600</v>
      </c>
      <c r="AC22" s="199"/>
      <c r="AD22" s="199"/>
      <c r="AE22" s="199"/>
      <c r="AF22" s="199"/>
      <c r="AG22" s="199"/>
      <c r="AH22" s="199"/>
      <c r="AI22" s="199"/>
      <c r="AJ22" s="199"/>
      <c r="AK22" s="199"/>
      <c r="AL22" s="200"/>
    </row>
    <row r="23" spans="1:38" s="97" customFormat="1" outlineLevel="1" x14ac:dyDescent="0.35">
      <c r="A23" s="97" t="s">
        <v>52</v>
      </c>
      <c r="B23" s="97" t="s">
        <v>15</v>
      </c>
      <c r="F23" s="196" t="s">
        <v>225</v>
      </c>
      <c r="G23" s="107"/>
      <c r="H23" s="107"/>
      <c r="I23" s="107"/>
      <c r="J23" s="107" t="s">
        <v>48</v>
      </c>
      <c r="K23" s="109"/>
      <c r="L23" s="199"/>
      <c r="M23" s="199"/>
      <c r="N23" s="199"/>
      <c r="O23" s="198" cm="1">
        <f t="array" ref="O23">INDEX(Note!$K$3:$K$101,MATCH(1,(Note!$A$3:$A$101=$A23)*(Note!$C$3:$C$101=$B23)*(Note!$E$3:$E$101&lt;=O$1)*(Note!$F$3:$F$101&gt;=O$2),0))</f>
        <v>1200</v>
      </c>
      <c r="P23" s="199" cm="1">
        <f t="array" ref="P23">INDEX(Note!$K$3:$K$101,MATCH(1,(Note!$A$3:$A$101=$A23)*(Note!$C$3:$C$101=$B23)*(Note!$E$3:$E$101&lt;=P$1)*(Note!$F$3:$F$101&gt;=P$2),0))</f>
        <v>1200</v>
      </c>
      <c r="Q23" s="199" cm="1">
        <f t="array" ref="Q23">INDEX(Note!$K$3:$K$101,MATCH(1,(Note!$A$3:$A$101=$A23)*(Note!$C$3:$C$101=$B23)*(Note!$E$3:$E$101&lt;=Q$1)*(Note!$F$3:$F$101&gt;=Q$2),0))</f>
        <v>1200</v>
      </c>
      <c r="R23" s="199" cm="1">
        <f t="array" ref="R23">INDEX(Note!$K$3:$K$101,MATCH(1,(Note!$A$3:$A$101=$A23)*(Note!$C$3:$C$101=$B23)*(Note!$E$3:$E$101&lt;=R$1)*(Note!$F$3:$F$101&gt;=R$2),0))</f>
        <v>1200</v>
      </c>
      <c r="S23" s="199" cm="1">
        <f t="array" ref="S23">INDEX(Note!$K$3:$K$101,MATCH(1,(Note!$A$3:$A$101=$A23)*(Note!$C$3:$C$101=$B23)*(Note!$E$3:$E$101&lt;=S$1)*(Note!$F$3:$F$101&gt;=S$2),0))</f>
        <v>1200</v>
      </c>
      <c r="T23" s="199" cm="1">
        <f t="array" ref="T23">INDEX(Note!$K$3:$K$101,MATCH(1,(Note!$A$3:$A$101=$A23)*(Note!$C$3:$C$101=$B23)*(Note!$E$3:$E$101&lt;=T$1)*(Note!$F$3:$F$101&gt;=T$2),0))</f>
        <v>1200</v>
      </c>
      <c r="U23" s="199" cm="1">
        <f t="array" ref="U23">INDEX(Note!$K$3:$K$101,MATCH(1,(Note!$A$3:$A$101=$A23)*(Note!$C$3:$C$101=$B23)*(Note!$E$3:$E$101&lt;=U$1)*(Note!$F$3:$F$101&gt;=U$2),0))</f>
        <v>1200</v>
      </c>
      <c r="V23" s="199" cm="1">
        <f t="array" ref="V23">INDEX(Note!$K$3:$K$101,MATCH(1,(Note!$A$3:$A$101=$A23)*(Note!$C$3:$C$101=$B23)*(Note!$E$3:$E$101&lt;=V$1)*(Note!$F$3:$F$101&gt;=V$2),0))</f>
        <v>1200</v>
      </c>
      <c r="W23" s="199" cm="1">
        <f t="array" ref="W23">INDEX(Note!$K$3:$K$101,MATCH(1,(Note!$A$3:$A$101=$A23)*(Note!$C$3:$C$101=$B23)*(Note!$E$3:$E$101&lt;=W$1)*(Note!$F$3:$F$101&gt;=W$2),0))</f>
        <v>1200</v>
      </c>
      <c r="X23" s="199" cm="1">
        <f t="array" ref="X23">INDEX(Note!$K$3:$K$101,MATCH(1,(Note!$A$3:$A$101=$A23)*(Note!$C$3:$C$101=$B23)*(Note!$E$3:$E$101&lt;=X$1)*(Note!$F$3:$F$101&gt;=X$2),0))</f>
        <v>1200</v>
      </c>
      <c r="Y23" s="199" cm="1">
        <f t="array" ref="Y23">INDEX(Note!$K$3:$K$101,MATCH(1,(Note!$A$3:$A$101=$A23)*(Note!$C$3:$C$101=$B23)*(Note!$E$3:$E$101&lt;=Y$1)*(Note!$F$3:$F$101&gt;=Y$2),0))</f>
        <v>1200</v>
      </c>
      <c r="Z23" s="200" cm="1">
        <f t="array" ref="Z23">INDEX(Note!$K$3:$K$101,MATCH(1,(Note!$A$3:$A$101=$A23)*(Note!$C$3:$C$101=$B23)*(Note!$E$3:$E$101&lt;=Z$1)*(Note!$F$3:$F$101&gt;=Z$2),0))</f>
        <v>1200</v>
      </c>
      <c r="AA23" s="199" cm="1">
        <f t="array" ref="AA23">INDEX(Note!$K$3:$K$101,MATCH(1,(Note!$A$3:$A$101=$A23)*(Note!$C$3:$C$101=$B23)*(Note!$E$3:$E$101&lt;=AA$1)*(Note!$F$3:$F$101&gt;=AA$2),0))</f>
        <v>1200</v>
      </c>
      <c r="AB23" s="199" cm="1">
        <f t="array" ref="AB23">INDEX(Note!$K$3:$K$101,MATCH(1,(Note!$A$3:$A$101=$A23)*(Note!$C$3:$C$101=$B23)*(Note!$E$3:$E$101&lt;=AB$1)*(Note!$F$3:$F$101&gt;=AB$2),0))</f>
        <v>1200</v>
      </c>
      <c r="AC23" s="199"/>
      <c r="AD23" s="199"/>
      <c r="AE23" s="199"/>
      <c r="AF23" s="199"/>
      <c r="AG23" s="199"/>
      <c r="AH23" s="199"/>
      <c r="AI23" s="199"/>
      <c r="AJ23" s="199"/>
      <c r="AK23" s="199"/>
      <c r="AL23" s="200"/>
    </row>
    <row r="24" spans="1:38" s="188" customFormat="1" outlineLevel="1" x14ac:dyDescent="0.35">
      <c r="A24" s="188" t="s">
        <v>52</v>
      </c>
      <c r="B24" s="188" t="s">
        <v>15</v>
      </c>
      <c r="F24" s="225" t="s">
        <v>262</v>
      </c>
      <c r="G24" s="193"/>
      <c r="H24" s="193"/>
      <c r="I24" s="193"/>
      <c r="J24" s="193" t="s">
        <v>203</v>
      </c>
      <c r="K24" s="189"/>
      <c r="L24" s="202"/>
      <c r="M24" s="202"/>
      <c r="N24" s="202"/>
      <c r="O24" s="201" cm="1">
        <f t="array" ref="O24">SUMPRODUCT(General_Data*(Year=O$3)*(Month=O$4)*(Code_General_Data=$B24))</f>
        <v>1250</v>
      </c>
      <c r="P24" s="202" cm="1">
        <f t="array" ref="P24">SUMPRODUCT(General_Data*(Year=P$3)*(Month=P$4)*(Code_General_Data=$B24))</f>
        <v>1250</v>
      </c>
      <c r="Q24" s="202" cm="1">
        <f t="array" ref="Q24">SUMPRODUCT(General_Data*(Year=Q$3)*(Month=Q$4)*(Code_General_Data=$B24))</f>
        <v>1250</v>
      </c>
      <c r="R24" s="202" cm="1">
        <f t="array" ref="R24">SUMPRODUCT(General_Data*(Year=R$3)*(Month=R$4)*(Code_General_Data=$B24))</f>
        <v>1250</v>
      </c>
      <c r="S24" s="202" cm="1">
        <f t="array" ref="S24">SUMPRODUCT(General_Data*(Year=S$3)*(Month=S$4)*(Code_General_Data=$B24))</f>
        <v>1300</v>
      </c>
      <c r="T24" s="202" cm="1">
        <f t="array" ref="T24">SUMPRODUCT(General_Data*(Year=T$3)*(Month=T$4)*(Code_General_Data=$B24))</f>
        <v>1300</v>
      </c>
      <c r="U24" s="202" cm="1">
        <f t="array" ref="U24">SUMPRODUCT(General_Data*(Year=U$3)*(Month=U$4)*(Code_General_Data=$B24))</f>
        <v>1300</v>
      </c>
      <c r="V24" s="202" cm="1">
        <f t="array" ref="V24">SUMPRODUCT(General_Data*(Year=V$3)*(Month=V$4)*(Code_General_Data=$B24))</f>
        <v>1300</v>
      </c>
      <c r="W24" s="202" cm="1">
        <f t="array" ref="W24">SUMPRODUCT(General_Data*(Year=W$3)*(Month=W$4)*(Code_General_Data=$B24))</f>
        <v>1310</v>
      </c>
      <c r="X24" s="202" cm="1">
        <f t="array" ref="X24">SUMPRODUCT(General_Data*(Year=X$3)*(Month=X$4)*(Code_General_Data=$B24))</f>
        <v>1325</v>
      </c>
      <c r="Y24" s="202" cm="1">
        <f t="array" ref="Y24">SUMPRODUCT(General_Data*(Year=Y$3)*(Month=Y$4)*(Code_General_Data=$B24))</f>
        <v>1325</v>
      </c>
      <c r="Z24" s="203" cm="1">
        <f t="array" ref="Z24">SUMPRODUCT(General_Data*(Year=Z$3)*(Month=Z$4)*(Code_General_Data=$B24))</f>
        <v>1275</v>
      </c>
      <c r="AA24" s="202" cm="1">
        <f t="array" ref="AA24">SUMPRODUCT(General_Data*(Year=AA$3)*(Month=AA$4)*(Code_General_Data=$B24))</f>
        <v>1230</v>
      </c>
      <c r="AB24" s="202" cm="1">
        <f t="array" ref="AB24">SUMPRODUCT(General_Data*(Year=AB$3)*(Month=AB$4)*(Code_General_Data=$B24))</f>
        <v>1230</v>
      </c>
      <c r="AC24" s="202" cm="1">
        <f t="array" ref="AC24">SUMPRODUCT(General_Data*(Year=AC$3)*(Month=AC$4)*(Code_General_Data=$B24))</f>
        <v>1230</v>
      </c>
      <c r="AD24" s="202"/>
      <c r="AE24" s="202"/>
      <c r="AF24" s="202"/>
      <c r="AG24" s="202"/>
      <c r="AH24" s="202"/>
      <c r="AI24" s="202"/>
      <c r="AJ24" s="202"/>
      <c r="AK24" s="202"/>
      <c r="AL24" s="203"/>
    </row>
    <row r="25" spans="1:38" s="93" customFormat="1" x14ac:dyDescent="0.35">
      <c r="D25" s="92"/>
      <c r="F25" s="168"/>
      <c r="G25"/>
      <c r="H25"/>
      <c r="I25"/>
      <c r="J25"/>
      <c r="K25"/>
      <c r="L25"/>
      <c r="M25"/>
      <c r="N25"/>
      <c r="O25" s="47"/>
      <c r="P25"/>
      <c r="Q25"/>
      <c r="R25"/>
      <c r="S25"/>
      <c r="T25"/>
      <c r="U25"/>
      <c r="V25"/>
      <c r="W25"/>
      <c r="X25"/>
      <c r="Y25"/>
      <c r="Z25" s="48"/>
      <c r="AA25"/>
      <c r="AB25"/>
      <c r="AC25"/>
      <c r="AD25"/>
      <c r="AE25"/>
      <c r="AF25"/>
      <c r="AG25"/>
      <c r="AH25"/>
      <c r="AI25"/>
      <c r="AJ25"/>
      <c r="AK25"/>
      <c r="AL25" s="48"/>
    </row>
    <row r="26" spans="1:38" s="178" customFormat="1" ht="19.5" x14ac:dyDescent="0.35">
      <c r="A26" s="176" t="s">
        <v>64</v>
      </c>
      <c r="B26" s="176"/>
      <c r="C26" s="176"/>
      <c r="D26" s="176"/>
      <c r="E26" s="176"/>
      <c r="F26" s="219">
        <v>2</v>
      </c>
      <c r="G26" s="177" t="s">
        <v>207</v>
      </c>
      <c r="H26" s="177"/>
      <c r="I26" s="177"/>
      <c r="J26" s="177"/>
      <c r="L26" s="180"/>
      <c r="M26" s="180"/>
      <c r="N26" s="180"/>
      <c r="O26" s="179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1"/>
      <c r="AA26" s="182"/>
      <c r="AB26" s="180"/>
      <c r="AC26" s="182"/>
      <c r="AD26" s="182"/>
      <c r="AE26" s="182"/>
      <c r="AF26" s="182"/>
      <c r="AG26" s="182"/>
      <c r="AH26" s="182"/>
      <c r="AI26" s="182"/>
      <c r="AJ26" s="182"/>
      <c r="AK26" s="182"/>
      <c r="AL26" s="181"/>
    </row>
    <row r="27" spans="1:38" s="183" customFormat="1" ht="17" x14ac:dyDescent="0.35">
      <c r="A27" s="183" t="s">
        <v>64</v>
      </c>
      <c r="B27" s="183" t="s">
        <v>15</v>
      </c>
      <c r="D27" s="183" t="s">
        <v>322</v>
      </c>
      <c r="F27" s="220">
        <v>2.1</v>
      </c>
      <c r="G27" s="190"/>
      <c r="H27" s="190" t="s">
        <v>208</v>
      </c>
      <c r="I27" s="190"/>
      <c r="J27" s="190"/>
      <c r="L27" s="190"/>
      <c r="M27" s="190"/>
      <c r="N27" s="190"/>
      <c r="O27" s="216">
        <f>ROUND(SUM(O28:O33),-2)+O34</f>
        <v>1320</v>
      </c>
      <c r="P27" s="217">
        <f t="shared" ref="P27:W27" si="6">ROUND(SUM(P28:P33),-2)+P34</f>
        <v>1320</v>
      </c>
      <c r="Q27" s="217">
        <f t="shared" si="6"/>
        <v>1320</v>
      </c>
      <c r="R27" s="217">
        <f t="shared" si="6"/>
        <v>1320</v>
      </c>
      <c r="S27" s="217">
        <f t="shared" si="6"/>
        <v>1320</v>
      </c>
      <c r="T27" s="217">
        <f t="shared" si="6"/>
        <v>1320</v>
      </c>
      <c r="U27" s="217">
        <f t="shared" si="6"/>
        <v>1320</v>
      </c>
      <c r="V27" s="217">
        <f t="shared" si="6"/>
        <v>1320</v>
      </c>
      <c r="W27" s="217">
        <f t="shared" si="6"/>
        <v>1320</v>
      </c>
      <c r="X27" s="217">
        <f t="shared" ref="X27:AL27" si="7">ROUND(SUM(X28:X33),-1)+X34</f>
        <v>1300</v>
      </c>
      <c r="Y27" s="217">
        <f t="shared" si="7"/>
        <v>1300</v>
      </c>
      <c r="Z27" s="218">
        <f t="shared" si="7"/>
        <v>1300</v>
      </c>
      <c r="AA27" s="216">
        <f t="shared" si="7"/>
        <v>1300</v>
      </c>
      <c r="AB27" s="217">
        <f t="shared" si="7"/>
        <v>1300</v>
      </c>
      <c r="AC27" s="217">
        <f t="shared" si="7"/>
        <v>1300</v>
      </c>
      <c r="AD27" s="217">
        <f t="shared" si="7"/>
        <v>1300</v>
      </c>
      <c r="AE27" s="217">
        <f t="shared" si="7"/>
        <v>1300</v>
      </c>
      <c r="AF27" s="217">
        <f t="shared" si="7"/>
        <v>1300</v>
      </c>
      <c r="AG27" s="217">
        <f t="shared" si="7"/>
        <v>1350</v>
      </c>
      <c r="AH27" s="217">
        <f t="shared" si="7"/>
        <v>1350</v>
      </c>
      <c r="AI27" s="217">
        <f t="shared" si="7"/>
        <v>1350</v>
      </c>
      <c r="AJ27" s="217">
        <f t="shared" si="7"/>
        <v>1350</v>
      </c>
      <c r="AK27" s="217">
        <f t="shared" si="7"/>
        <v>1350</v>
      </c>
      <c r="AL27" s="218">
        <f t="shared" si="7"/>
        <v>1350</v>
      </c>
    </row>
    <row r="28" spans="1:38" s="96" customFormat="1" outlineLevel="1" x14ac:dyDescent="0.35">
      <c r="A28" s="96" t="s">
        <v>64</v>
      </c>
      <c r="B28" s="96" t="s">
        <v>15</v>
      </c>
      <c r="D28" s="97"/>
      <c r="F28" s="221" t="s">
        <v>210</v>
      </c>
      <c r="G28" s="26"/>
      <c r="H28" s="26" t="s">
        <v>41</v>
      </c>
      <c r="I28" s="26" t="s">
        <v>55</v>
      </c>
      <c r="J28" s="26"/>
      <c r="K28" s="12"/>
      <c r="L28" s="26"/>
      <c r="M28" s="26"/>
      <c r="N28" s="26"/>
      <c r="O28" s="213">
        <f>16500/O$35*10^3</f>
        <v>673.46938775510205</v>
      </c>
      <c r="P28" s="214">
        <f t="shared" ref="P28:AL28" si="8">16500/P$35*10^3</f>
        <v>673.46938775510205</v>
      </c>
      <c r="Q28" s="214">
        <f t="shared" si="8"/>
        <v>673.46938775510205</v>
      </c>
      <c r="R28" s="214">
        <f t="shared" si="8"/>
        <v>673.46938775510205</v>
      </c>
      <c r="S28" s="214">
        <f t="shared" si="8"/>
        <v>673.46938775510205</v>
      </c>
      <c r="T28" s="214">
        <f t="shared" si="8"/>
        <v>673.46938775510205</v>
      </c>
      <c r="U28" s="214">
        <f t="shared" si="8"/>
        <v>660</v>
      </c>
      <c r="V28" s="214">
        <f t="shared" si="8"/>
        <v>660</v>
      </c>
      <c r="W28" s="214">
        <f t="shared" si="8"/>
        <v>660</v>
      </c>
      <c r="X28" s="214">
        <f t="shared" si="8"/>
        <v>660</v>
      </c>
      <c r="Y28" s="214">
        <f t="shared" si="8"/>
        <v>660</v>
      </c>
      <c r="Z28" s="215">
        <f t="shared" si="8"/>
        <v>660</v>
      </c>
      <c r="AA28" s="213">
        <f t="shared" si="8"/>
        <v>660</v>
      </c>
      <c r="AB28" s="214">
        <f t="shared" si="8"/>
        <v>660</v>
      </c>
      <c r="AC28" s="214">
        <f t="shared" si="8"/>
        <v>660</v>
      </c>
      <c r="AD28" s="214">
        <f t="shared" si="8"/>
        <v>660</v>
      </c>
      <c r="AE28" s="214">
        <f t="shared" si="8"/>
        <v>660</v>
      </c>
      <c r="AF28" s="214">
        <f t="shared" si="8"/>
        <v>660</v>
      </c>
      <c r="AG28" s="214">
        <f t="shared" si="8"/>
        <v>660</v>
      </c>
      <c r="AH28" s="214">
        <f t="shared" si="8"/>
        <v>660</v>
      </c>
      <c r="AI28" s="214">
        <f t="shared" si="8"/>
        <v>660</v>
      </c>
      <c r="AJ28" s="214">
        <f t="shared" si="8"/>
        <v>660</v>
      </c>
      <c r="AK28" s="214">
        <f t="shared" si="8"/>
        <v>660</v>
      </c>
      <c r="AL28" s="215">
        <f t="shared" si="8"/>
        <v>660</v>
      </c>
    </row>
    <row r="29" spans="1:38" s="96" customFormat="1" outlineLevel="1" x14ac:dyDescent="0.35">
      <c r="A29" s="96" t="s">
        <v>64</v>
      </c>
      <c r="B29" s="96" t="s">
        <v>15</v>
      </c>
      <c r="D29" s="97"/>
      <c r="F29" s="221" t="s">
        <v>211</v>
      </c>
      <c r="G29" s="26"/>
      <c r="H29" s="26" t="s">
        <v>41</v>
      </c>
      <c r="I29" s="26" t="s">
        <v>56</v>
      </c>
      <c r="J29" s="26"/>
      <c r="K29" s="12"/>
      <c r="L29" s="26"/>
      <c r="M29" s="26"/>
      <c r="N29" s="26"/>
      <c r="O29" s="213">
        <f>O28*O36</f>
        <v>202.0408163265306</v>
      </c>
      <c r="P29" s="214">
        <f t="shared" ref="P29:AL29" si="9">P28*P36</f>
        <v>202.0408163265306</v>
      </c>
      <c r="Q29" s="214">
        <f t="shared" si="9"/>
        <v>202.0408163265306</v>
      </c>
      <c r="R29" s="214">
        <f t="shared" si="9"/>
        <v>202.0408163265306</v>
      </c>
      <c r="S29" s="214">
        <f t="shared" si="9"/>
        <v>202.0408163265306</v>
      </c>
      <c r="T29" s="214">
        <f t="shared" si="9"/>
        <v>202.0408163265306</v>
      </c>
      <c r="U29" s="214">
        <f t="shared" si="9"/>
        <v>198</v>
      </c>
      <c r="V29" s="214">
        <f t="shared" si="9"/>
        <v>198</v>
      </c>
      <c r="W29" s="214">
        <f t="shared" si="9"/>
        <v>198</v>
      </c>
      <c r="X29" s="214">
        <f t="shared" si="9"/>
        <v>198</v>
      </c>
      <c r="Y29" s="214">
        <f t="shared" si="9"/>
        <v>198</v>
      </c>
      <c r="Z29" s="215">
        <f t="shared" si="9"/>
        <v>198</v>
      </c>
      <c r="AA29" s="213">
        <f t="shared" si="9"/>
        <v>198</v>
      </c>
      <c r="AB29" s="214">
        <f t="shared" si="9"/>
        <v>198</v>
      </c>
      <c r="AC29" s="214">
        <f t="shared" si="9"/>
        <v>198</v>
      </c>
      <c r="AD29" s="214">
        <f t="shared" si="9"/>
        <v>198</v>
      </c>
      <c r="AE29" s="214">
        <f t="shared" si="9"/>
        <v>198</v>
      </c>
      <c r="AF29" s="214">
        <f t="shared" si="9"/>
        <v>198</v>
      </c>
      <c r="AG29" s="214">
        <f t="shared" si="9"/>
        <v>198</v>
      </c>
      <c r="AH29" s="214">
        <f t="shared" si="9"/>
        <v>198</v>
      </c>
      <c r="AI29" s="214">
        <f t="shared" si="9"/>
        <v>198</v>
      </c>
      <c r="AJ29" s="214">
        <f t="shared" si="9"/>
        <v>198</v>
      </c>
      <c r="AK29" s="214">
        <f t="shared" si="9"/>
        <v>198</v>
      </c>
      <c r="AL29" s="215">
        <f t="shared" si="9"/>
        <v>198</v>
      </c>
    </row>
    <row r="30" spans="1:38" s="96" customFormat="1" outlineLevel="1" x14ac:dyDescent="0.35">
      <c r="A30" s="96" t="s">
        <v>64</v>
      </c>
      <c r="B30" s="96" t="s">
        <v>15</v>
      </c>
      <c r="D30" s="97"/>
      <c r="F30" s="221" t="s">
        <v>212</v>
      </c>
      <c r="G30" s="26"/>
      <c r="H30" s="26" t="s">
        <v>41</v>
      </c>
      <c r="I30" s="26" t="s">
        <v>57</v>
      </c>
      <c r="J30" s="26"/>
      <c r="K30" s="12"/>
      <c r="L30" s="26"/>
      <c r="M30" s="26"/>
      <c r="N30" s="26"/>
      <c r="O30" s="213">
        <f>9193.7/O35*10^3</f>
        <v>375.25306122448984</v>
      </c>
      <c r="P30" s="214">
        <f t="shared" ref="P30:AL30" si="10">9193.7/P35*10^3</f>
        <v>375.25306122448984</v>
      </c>
      <c r="Q30" s="214">
        <f t="shared" si="10"/>
        <v>375.25306122448984</v>
      </c>
      <c r="R30" s="214">
        <f t="shared" si="10"/>
        <v>375.25306122448984</v>
      </c>
      <c r="S30" s="214">
        <f t="shared" si="10"/>
        <v>375.25306122448984</v>
      </c>
      <c r="T30" s="214">
        <f t="shared" si="10"/>
        <v>375.25306122448984</v>
      </c>
      <c r="U30" s="214">
        <f t="shared" si="10"/>
        <v>367.74800000000005</v>
      </c>
      <c r="V30" s="214">
        <f t="shared" si="10"/>
        <v>367.74800000000005</v>
      </c>
      <c r="W30" s="214">
        <f t="shared" si="10"/>
        <v>367.74800000000005</v>
      </c>
      <c r="X30" s="214">
        <f t="shared" si="10"/>
        <v>367.74800000000005</v>
      </c>
      <c r="Y30" s="214">
        <f t="shared" si="10"/>
        <v>367.74800000000005</v>
      </c>
      <c r="Z30" s="215">
        <f t="shared" si="10"/>
        <v>367.74800000000005</v>
      </c>
      <c r="AA30" s="213">
        <f t="shared" si="10"/>
        <v>367.74800000000005</v>
      </c>
      <c r="AB30" s="214">
        <f t="shared" si="10"/>
        <v>367.74800000000005</v>
      </c>
      <c r="AC30" s="214">
        <f t="shared" si="10"/>
        <v>367.74800000000005</v>
      </c>
      <c r="AD30" s="214">
        <f t="shared" si="10"/>
        <v>367.74800000000005</v>
      </c>
      <c r="AE30" s="214">
        <f t="shared" si="10"/>
        <v>367.74800000000005</v>
      </c>
      <c r="AF30" s="214">
        <f t="shared" si="10"/>
        <v>367.74800000000005</v>
      </c>
      <c r="AG30" s="214">
        <f t="shared" si="10"/>
        <v>367.74800000000005</v>
      </c>
      <c r="AH30" s="214">
        <f t="shared" si="10"/>
        <v>367.74800000000005</v>
      </c>
      <c r="AI30" s="214">
        <f t="shared" si="10"/>
        <v>367.74800000000005</v>
      </c>
      <c r="AJ30" s="214">
        <f t="shared" si="10"/>
        <v>367.74800000000005</v>
      </c>
      <c r="AK30" s="214">
        <f t="shared" si="10"/>
        <v>367.74800000000005</v>
      </c>
      <c r="AL30" s="215">
        <f t="shared" si="10"/>
        <v>367.74800000000005</v>
      </c>
    </row>
    <row r="31" spans="1:38" s="96" customFormat="1" outlineLevel="1" x14ac:dyDescent="0.35">
      <c r="A31" s="96" t="s">
        <v>64</v>
      </c>
      <c r="B31" s="96" t="s">
        <v>15</v>
      </c>
      <c r="D31" s="97"/>
      <c r="F31" s="221" t="s">
        <v>213</v>
      </c>
      <c r="G31" s="26"/>
      <c r="H31" s="26" t="s">
        <v>41</v>
      </c>
      <c r="I31" s="26" t="s">
        <v>50</v>
      </c>
      <c r="J31" s="26"/>
      <c r="K31" s="12"/>
      <c r="L31" s="26"/>
      <c r="M31" s="26"/>
      <c r="N31" s="26"/>
      <c r="O31" s="213">
        <f>299/O35*10^3</f>
        <v>12.204081632653061</v>
      </c>
      <c r="P31" s="214">
        <f t="shared" ref="P31:AL31" si="11">299/P35*10^3</f>
        <v>12.204081632653061</v>
      </c>
      <c r="Q31" s="214">
        <f t="shared" si="11"/>
        <v>12.204081632653061</v>
      </c>
      <c r="R31" s="214">
        <f t="shared" si="11"/>
        <v>12.204081632653061</v>
      </c>
      <c r="S31" s="214">
        <f t="shared" si="11"/>
        <v>12.204081632653061</v>
      </c>
      <c r="T31" s="214">
        <f t="shared" si="11"/>
        <v>12.204081632653061</v>
      </c>
      <c r="U31" s="214">
        <f t="shared" si="11"/>
        <v>11.96</v>
      </c>
      <c r="V31" s="214">
        <f t="shared" si="11"/>
        <v>11.96</v>
      </c>
      <c r="W31" s="214">
        <f t="shared" si="11"/>
        <v>11.96</v>
      </c>
      <c r="X31" s="214">
        <f t="shared" si="11"/>
        <v>11.96</v>
      </c>
      <c r="Y31" s="214">
        <f t="shared" si="11"/>
        <v>11.96</v>
      </c>
      <c r="Z31" s="215">
        <f t="shared" si="11"/>
        <v>11.96</v>
      </c>
      <c r="AA31" s="213">
        <f t="shared" si="11"/>
        <v>11.96</v>
      </c>
      <c r="AB31" s="214">
        <f t="shared" si="11"/>
        <v>11.96</v>
      </c>
      <c r="AC31" s="214">
        <f t="shared" si="11"/>
        <v>11.96</v>
      </c>
      <c r="AD31" s="214">
        <f t="shared" si="11"/>
        <v>11.96</v>
      </c>
      <c r="AE31" s="214">
        <f t="shared" si="11"/>
        <v>11.96</v>
      </c>
      <c r="AF31" s="214">
        <f t="shared" si="11"/>
        <v>11.96</v>
      </c>
      <c r="AG31" s="214">
        <f t="shared" si="11"/>
        <v>11.96</v>
      </c>
      <c r="AH31" s="214">
        <f t="shared" si="11"/>
        <v>11.96</v>
      </c>
      <c r="AI31" s="214">
        <f t="shared" si="11"/>
        <v>11.96</v>
      </c>
      <c r="AJ31" s="214">
        <f t="shared" si="11"/>
        <v>11.96</v>
      </c>
      <c r="AK31" s="214">
        <f t="shared" si="11"/>
        <v>11.96</v>
      </c>
      <c r="AL31" s="215">
        <f t="shared" si="11"/>
        <v>11.96</v>
      </c>
    </row>
    <row r="32" spans="1:38" s="96" customFormat="1" outlineLevel="1" x14ac:dyDescent="0.35">
      <c r="A32" s="96" t="s">
        <v>64</v>
      </c>
      <c r="B32" s="96" t="s">
        <v>15</v>
      </c>
      <c r="D32" s="97"/>
      <c r="F32" s="221" t="s">
        <v>214</v>
      </c>
      <c r="G32" s="26"/>
      <c r="H32" s="26" t="s">
        <v>41</v>
      </c>
      <c r="I32" s="26" t="s">
        <v>58</v>
      </c>
      <c r="J32" s="26"/>
      <c r="K32" s="12"/>
      <c r="L32" s="26"/>
      <c r="M32" s="26"/>
      <c r="N32" s="26"/>
      <c r="O32" s="213">
        <f>3295/O35*10^3</f>
        <v>134.48979591836735</v>
      </c>
      <c r="P32" s="214">
        <f t="shared" ref="P32:AL32" si="12">3295/P35*10^3</f>
        <v>134.48979591836735</v>
      </c>
      <c r="Q32" s="214">
        <f t="shared" si="12"/>
        <v>134.48979591836735</v>
      </c>
      <c r="R32" s="214">
        <f t="shared" si="12"/>
        <v>134.48979591836735</v>
      </c>
      <c r="S32" s="214">
        <f t="shared" si="12"/>
        <v>134.48979591836735</v>
      </c>
      <c r="T32" s="214">
        <f t="shared" si="12"/>
        <v>134.48979591836735</v>
      </c>
      <c r="U32" s="214">
        <f t="shared" si="12"/>
        <v>131.80000000000001</v>
      </c>
      <c r="V32" s="214">
        <f t="shared" si="12"/>
        <v>131.80000000000001</v>
      </c>
      <c r="W32" s="214">
        <f t="shared" si="12"/>
        <v>131.80000000000001</v>
      </c>
      <c r="X32" s="214">
        <f t="shared" si="12"/>
        <v>131.80000000000001</v>
      </c>
      <c r="Y32" s="214">
        <f t="shared" si="12"/>
        <v>131.80000000000001</v>
      </c>
      <c r="Z32" s="215">
        <f t="shared" si="12"/>
        <v>131.80000000000001</v>
      </c>
      <c r="AA32" s="213">
        <f t="shared" si="12"/>
        <v>131.80000000000001</v>
      </c>
      <c r="AB32" s="214">
        <f t="shared" si="12"/>
        <v>131.80000000000001</v>
      </c>
      <c r="AC32" s="214">
        <f t="shared" si="12"/>
        <v>131.80000000000001</v>
      </c>
      <c r="AD32" s="214">
        <f t="shared" si="12"/>
        <v>131.80000000000001</v>
      </c>
      <c r="AE32" s="214">
        <f t="shared" si="12"/>
        <v>131.80000000000001</v>
      </c>
      <c r="AF32" s="214">
        <f t="shared" si="12"/>
        <v>131.80000000000001</v>
      </c>
      <c r="AG32" s="214">
        <f t="shared" si="12"/>
        <v>131.80000000000001</v>
      </c>
      <c r="AH32" s="214">
        <f t="shared" si="12"/>
        <v>131.80000000000001</v>
      </c>
      <c r="AI32" s="214">
        <f t="shared" si="12"/>
        <v>131.80000000000001</v>
      </c>
      <c r="AJ32" s="214">
        <f t="shared" si="12"/>
        <v>131.80000000000001</v>
      </c>
      <c r="AK32" s="214">
        <f t="shared" si="12"/>
        <v>131.80000000000001</v>
      </c>
      <c r="AL32" s="215">
        <f t="shared" si="12"/>
        <v>131.80000000000001</v>
      </c>
    </row>
    <row r="33" spans="1:38" s="96" customFormat="1" outlineLevel="1" x14ac:dyDescent="0.35">
      <c r="A33" s="96" t="s">
        <v>64</v>
      </c>
      <c r="B33" s="96" t="s">
        <v>15</v>
      </c>
      <c r="D33" s="97"/>
      <c r="F33" s="221" t="s">
        <v>215</v>
      </c>
      <c r="G33" s="26"/>
      <c r="H33" s="26" t="s">
        <v>41</v>
      </c>
      <c r="I33" s="26" t="s">
        <v>59</v>
      </c>
      <c r="J33" s="26"/>
      <c r="K33" s="12"/>
      <c r="L33" s="26"/>
      <c r="M33" s="26"/>
      <c r="N33" s="26"/>
      <c r="O33" s="213">
        <f>8%/12*SUM(O28:O32)</f>
        <v>9.3163809523809533</v>
      </c>
      <c r="P33" s="214">
        <f>8%/12*SUM(P28:P32)</f>
        <v>9.3163809523809533</v>
      </c>
      <c r="Q33" s="214">
        <f>8%/12*SUM(Q28:Q32)</f>
        <v>9.3163809523809533</v>
      </c>
      <c r="R33" s="214">
        <f t="shared" ref="R33:AL33" si="13">8%/12*SUM(R28:R32)</f>
        <v>9.3163809523809533</v>
      </c>
      <c r="S33" s="214">
        <f t="shared" si="13"/>
        <v>9.3163809523809533</v>
      </c>
      <c r="T33" s="214">
        <f t="shared" si="13"/>
        <v>9.3163809523809533</v>
      </c>
      <c r="U33" s="214">
        <f t="shared" si="13"/>
        <v>9.1300533333333345</v>
      </c>
      <c r="V33" s="214">
        <f t="shared" si="13"/>
        <v>9.1300533333333345</v>
      </c>
      <c r="W33" s="214">
        <f t="shared" si="13"/>
        <v>9.1300533333333345</v>
      </c>
      <c r="X33" s="214">
        <f t="shared" si="13"/>
        <v>9.1300533333333345</v>
      </c>
      <c r="Y33" s="214">
        <f t="shared" si="13"/>
        <v>9.1300533333333345</v>
      </c>
      <c r="Z33" s="215">
        <f t="shared" si="13"/>
        <v>9.1300533333333345</v>
      </c>
      <c r="AA33" s="213">
        <f t="shared" si="13"/>
        <v>9.1300533333333345</v>
      </c>
      <c r="AB33" s="214">
        <f t="shared" si="13"/>
        <v>9.1300533333333345</v>
      </c>
      <c r="AC33" s="214">
        <f t="shared" si="13"/>
        <v>9.1300533333333345</v>
      </c>
      <c r="AD33" s="214">
        <f t="shared" si="13"/>
        <v>9.1300533333333345</v>
      </c>
      <c r="AE33" s="214">
        <f t="shared" si="13"/>
        <v>9.1300533333333345</v>
      </c>
      <c r="AF33" s="214">
        <f t="shared" si="13"/>
        <v>9.1300533333333345</v>
      </c>
      <c r="AG33" s="214">
        <f t="shared" si="13"/>
        <v>9.1300533333333345</v>
      </c>
      <c r="AH33" s="214">
        <f t="shared" si="13"/>
        <v>9.1300533333333345</v>
      </c>
      <c r="AI33" s="214">
        <f t="shared" si="13"/>
        <v>9.1300533333333345</v>
      </c>
      <c r="AJ33" s="214">
        <f t="shared" si="13"/>
        <v>9.1300533333333345</v>
      </c>
      <c r="AK33" s="214">
        <f t="shared" si="13"/>
        <v>9.1300533333333345</v>
      </c>
      <c r="AL33" s="215">
        <f t="shared" si="13"/>
        <v>9.1300533333333345</v>
      </c>
    </row>
    <row r="34" spans="1:38" s="96" customFormat="1" outlineLevel="1" x14ac:dyDescent="0.35">
      <c r="A34" s="96" t="s">
        <v>64</v>
      </c>
      <c r="B34" s="96" t="s">
        <v>15</v>
      </c>
      <c r="D34" s="97"/>
      <c r="F34" s="221" t="s">
        <v>216</v>
      </c>
      <c r="G34" s="26"/>
      <c r="H34" s="26" t="s">
        <v>41</v>
      </c>
      <c r="I34" s="26" t="s">
        <v>53</v>
      </c>
      <c r="J34" s="26"/>
      <c r="K34" s="12"/>
      <c r="L34" s="26"/>
      <c r="M34" s="26"/>
      <c r="N34" s="26"/>
      <c r="O34" s="213">
        <v>-80</v>
      </c>
      <c r="P34" s="214">
        <v>-80</v>
      </c>
      <c r="Q34" s="214">
        <v>-80</v>
      </c>
      <c r="R34" s="214">
        <v>-80</v>
      </c>
      <c r="S34" s="214">
        <v>-80</v>
      </c>
      <c r="T34" s="214">
        <v>-80</v>
      </c>
      <c r="U34" s="214">
        <v>-80</v>
      </c>
      <c r="V34" s="214">
        <v>-80</v>
      </c>
      <c r="W34" s="214">
        <v>-80</v>
      </c>
      <c r="X34" s="214">
        <v>-80</v>
      </c>
      <c r="Y34" s="214">
        <v>-80</v>
      </c>
      <c r="Z34" s="215">
        <v>-80</v>
      </c>
      <c r="AA34" s="213">
        <v>-80</v>
      </c>
      <c r="AB34" s="214">
        <v>-80</v>
      </c>
      <c r="AC34" s="214">
        <v>-80</v>
      </c>
      <c r="AD34" s="214">
        <v>-80</v>
      </c>
      <c r="AE34" s="214">
        <v>-80</v>
      </c>
      <c r="AF34" s="214">
        <v>-80</v>
      </c>
      <c r="AG34" s="214">
        <v>-30</v>
      </c>
      <c r="AH34" s="214">
        <v>-30</v>
      </c>
      <c r="AI34" s="214">
        <v>-30</v>
      </c>
      <c r="AJ34" s="214">
        <v>-30</v>
      </c>
      <c r="AK34" s="214">
        <v>-30</v>
      </c>
      <c r="AL34" s="215">
        <v>-30</v>
      </c>
    </row>
    <row r="35" spans="1:38" s="237" customFormat="1" outlineLevel="1" x14ac:dyDescent="0.35">
      <c r="A35" s="237" t="s">
        <v>64</v>
      </c>
      <c r="B35" s="237" t="s">
        <v>15</v>
      </c>
      <c r="F35" s="247" t="s">
        <v>226</v>
      </c>
      <c r="G35" s="238"/>
      <c r="H35" s="238"/>
      <c r="I35" s="238"/>
      <c r="J35" s="238" t="s">
        <v>60</v>
      </c>
      <c r="K35" s="239"/>
      <c r="L35" s="238"/>
      <c r="M35" s="238"/>
      <c r="N35" s="238"/>
      <c r="O35" s="240">
        <v>24500</v>
      </c>
      <c r="P35" s="241">
        <v>24500</v>
      </c>
      <c r="Q35" s="241">
        <v>24500</v>
      </c>
      <c r="R35" s="241">
        <v>24500</v>
      </c>
      <c r="S35" s="241">
        <v>24500</v>
      </c>
      <c r="T35" s="241">
        <v>24500</v>
      </c>
      <c r="U35" s="241">
        <v>25000</v>
      </c>
      <c r="V35" s="241">
        <v>25000</v>
      </c>
      <c r="W35" s="241">
        <v>25000</v>
      </c>
      <c r="X35" s="241">
        <v>25000</v>
      </c>
      <c r="Y35" s="241">
        <v>25000</v>
      </c>
      <c r="Z35" s="242">
        <v>25000</v>
      </c>
      <c r="AA35" s="240">
        <v>25000</v>
      </c>
      <c r="AB35" s="241">
        <v>25000</v>
      </c>
      <c r="AC35" s="241">
        <v>25000</v>
      </c>
      <c r="AD35" s="241">
        <v>25000</v>
      </c>
      <c r="AE35" s="241">
        <v>25000</v>
      </c>
      <c r="AF35" s="241">
        <v>25000</v>
      </c>
      <c r="AG35" s="241">
        <v>25000</v>
      </c>
      <c r="AH35" s="241">
        <v>25000</v>
      </c>
      <c r="AI35" s="241">
        <v>25000</v>
      </c>
      <c r="AJ35" s="241">
        <v>25000</v>
      </c>
      <c r="AK35" s="241">
        <v>25000</v>
      </c>
      <c r="AL35" s="242">
        <v>25000</v>
      </c>
    </row>
    <row r="36" spans="1:38" s="237" customFormat="1" outlineLevel="1" x14ac:dyDescent="0.35">
      <c r="A36" s="237" t="s">
        <v>64</v>
      </c>
      <c r="B36" s="237" t="s">
        <v>15</v>
      </c>
      <c r="F36" s="247" t="s">
        <v>227</v>
      </c>
      <c r="G36" s="238"/>
      <c r="H36" s="238"/>
      <c r="I36" s="238"/>
      <c r="J36" s="238" t="s">
        <v>61</v>
      </c>
      <c r="K36" s="239"/>
      <c r="L36" s="238"/>
      <c r="M36" s="238"/>
      <c r="N36" s="238"/>
      <c r="O36" s="243">
        <v>0.3</v>
      </c>
      <c r="P36" s="244">
        <v>0.3</v>
      </c>
      <c r="Q36" s="244">
        <v>0.3</v>
      </c>
      <c r="R36" s="244">
        <v>0.3</v>
      </c>
      <c r="S36" s="244">
        <v>0.3</v>
      </c>
      <c r="T36" s="244">
        <v>0.3</v>
      </c>
      <c r="U36" s="244">
        <v>0.3</v>
      </c>
      <c r="V36" s="244">
        <v>0.3</v>
      </c>
      <c r="W36" s="244">
        <v>0.3</v>
      </c>
      <c r="X36" s="244">
        <v>0.3</v>
      </c>
      <c r="Y36" s="244">
        <v>0.3</v>
      </c>
      <c r="Z36" s="245">
        <v>0.3</v>
      </c>
      <c r="AA36" s="243">
        <v>0.3</v>
      </c>
      <c r="AB36" s="244">
        <v>0.3</v>
      </c>
      <c r="AC36" s="244">
        <v>0.3</v>
      </c>
      <c r="AD36" s="244">
        <v>0.3</v>
      </c>
      <c r="AE36" s="244">
        <v>0.3</v>
      </c>
      <c r="AF36" s="244">
        <v>0.3</v>
      </c>
      <c r="AG36" s="244">
        <v>0.3</v>
      </c>
      <c r="AH36" s="244">
        <v>0.3</v>
      </c>
      <c r="AI36" s="244">
        <v>0.3</v>
      </c>
      <c r="AJ36" s="244">
        <v>0.3</v>
      </c>
      <c r="AK36" s="244">
        <v>0.3</v>
      </c>
      <c r="AL36" s="245">
        <v>0.3</v>
      </c>
    </row>
    <row r="37" spans="1:38" s="94" customFormat="1" outlineLevel="1" x14ac:dyDescent="0.35">
      <c r="A37" s="94" t="s">
        <v>64</v>
      </c>
      <c r="B37" s="94" t="s">
        <v>15</v>
      </c>
      <c r="D37" s="95" t="s">
        <v>162</v>
      </c>
      <c r="F37" s="226" t="s">
        <v>228</v>
      </c>
      <c r="G37" s="227"/>
      <c r="H37" s="227"/>
      <c r="I37" s="227" t="s">
        <v>8</v>
      </c>
      <c r="J37" s="227"/>
      <c r="K37" s="2"/>
      <c r="L37" s="227"/>
      <c r="M37" s="227"/>
      <c r="N37" s="227"/>
      <c r="O37" s="228">
        <f>O27-O31</f>
        <v>1307.795918367347</v>
      </c>
      <c r="P37" s="229">
        <f t="shared" ref="P37:AL37" si="14">P27-P31</f>
        <v>1307.795918367347</v>
      </c>
      <c r="Q37" s="229">
        <f t="shared" si="14"/>
        <v>1307.795918367347</v>
      </c>
      <c r="R37" s="229">
        <f t="shared" si="14"/>
        <v>1307.795918367347</v>
      </c>
      <c r="S37" s="229">
        <f t="shared" si="14"/>
        <v>1307.795918367347</v>
      </c>
      <c r="T37" s="229">
        <f t="shared" si="14"/>
        <v>1307.795918367347</v>
      </c>
      <c r="U37" s="229">
        <f t="shared" si="14"/>
        <v>1308.04</v>
      </c>
      <c r="V37" s="229">
        <f t="shared" si="14"/>
        <v>1308.04</v>
      </c>
      <c r="W37" s="229">
        <f t="shared" si="14"/>
        <v>1308.04</v>
      </c>
      <c r="X37" s="229">
        <f t="shared" si="14"/>
        <v>1288.04</v>
      </c>
      <c r="Y37" s="229">
        <f t="shared" si="14"/>
        <v>1288.04</v>
      </c>
      <c r="Z37" s="230">
        <f t="shared" si="14"/>
        <v>1288.04</v>
      </c>
      <c r="AA37" s="229">
        <f t="shared" si="14"/>
        <v>1288.04</v>
      </c>
      <c r="AB37" s="229">
        <f t="shared" si="14"/>
        <v>1288.04</v>
      </c>
      <c r="AC37" s="229">
        <f t="shared" si="14"/>
        <v>1288.04</v>
      </c>
      <c r="AD37" s="229">
        <f t="shared" si="14"/>
        <v>1288.04</v>
      </c>
      <c r="AE37" s="229">
        <f t="shared" si="14"/>
        <v>1288.04</v>
      </c>
      <c r="AF37" s="229">
        <f t="shared" si="14"/>
        <v>1288.04</v>
      </c>
      <c r="AG37" s="229">
        <f t="shared" si="14"/>
        <v>1338.04</v>
      </c>
      <c r="AH37" s="229">
        <f t="shared" si="14"/>
        <v>1338.04</v>
      </c>
      <c r="AI37" s="229">
        <f t="shared" si="14"/>
        <v>1338.04</v>
      </c>
      <c r="AJ37" s="229">
        <f t="shared" si="14"/>
        <v>1338.04</v>
      </c>
      <c r="AK37" s="229">
        <f t="shared" si="14"/>
        <v>1338.04</v>
      </c>
      <c r="AL37" s="230">
        <f t="shared" si="14"/>
        <v>1338.04</v>
      </c>
    </row>
    <row r="38" spans="1:38" s="96" customFormat="1" ht="79.400000000000006" customHeight="1" outlineLevel="1" x14ac:dyDescent="0.35">
      <c r="A38" s="96" t="s">
        <v>64</v>
      </c>
      <c r="B38" s="96" t="s">
        <v>15</v>
      </c>
      <c r="D38" s="97"/>
      <c r="F38" s="221" t="s">
        <v>229</v>
      </c>
      <c r="G38" s="26"/>
      <c r="H38" s="26"/>
      <c r="I38" s="26"/>
      <c r="J38" s="26" t="s">
        <v>45</v>
      </c>
      <c r="K38" s="12"/>
      <c r="L38" s="26"/>
      <c r="M38" s="26"/>
      <c r="N38" s="26"/>
      <c r="O38" s="88" t="str" cm="1">
        <f t="array" ref="O38">INDEX(Note!$G$3:$G$101,MATCH(1,(Note!$A$3:$A$101=$A38)*(Note!$C$3:$C$101=$B38)*(Note!$E$3:$E$101&lt;=O$1)*(Note!$F$3:$F$101&gt;=O$2),0))</f>
        <v>Giá Bales DTR +% Hao Hụt + Conversion cost</v>
      </c>
      <c r="P38" s="27" t="str" cm="1">
        <f t="array" ref="P38">INDEX(Note!$G$3:$G$101,MATCH(1,(Note!$A$3:$A$101=$A38)*(Note!$C$3:$C$101=$B38)*(Note!$E$3:$E$101&lt;=P$1)*(Note!$F$3:$F$101&gt;=P$2),0))</f>
        <v>Giá Bales DTR +% Hao Hụt + Conversion cost</v>
      </c>
      <c r="Q38" s="27" t="str" cm="1">
        <f t="array" ref="Q38">INDEX(Note!$G$3:$G$101,MATCH(1,(Note!$A$3:$A$101=$A38)*(Note!$C$3:$C$101=$B38)*(Note!$E$3:$E$101&lt;=Q$1)*(Note!$F$3:$F$101&gt;=Q$2),0))</f>
        <v>Giá Bales DTR +% Hao Hụt + Conversion cost</v>
      </c>
      <c r="R38" s="27" t="str" cm="1">
        <f t="array" ref="R38">INDEX(Note!$G$3:$G$101,MATCH(1,(Note!$A$3:$A$101=$A38)*(Note!$C$3:$C$101=$B38)*(Note!$E$3:$E$101&lt;=R$1)*(Note!$F$3:$F$101&gt;=R$2),0))</f>
        <v>Giá Bales DTR +% Hao Hụt + Conversion cost</v>
      </c>
      <c r="S38" s="27" t="str" cm="1">
        <f t="array" ref="S38">INDEX(Note!$G$3:$G$101,MATCH(1,(Note!$A$3:$A$101=$A38)*(Note!$C$3:$C$101=$B38)*(Note!$E$3:$E$101&lt;=S$1)*(Note!$F$3:$F$101&gt;=S$2),0))</f>
        <v>Giá Bales DTR +% Hao Hụt + Conversion cost</v>
      </c>
      <c r="T38" s="27" t="str" cm="1">
        <f t="array" ref="T38">INDEX(Note!$G$3:$G$101,MATCH(1,(Note!$A$3:$A$101=$A38)*(Note!$C$3:$C$101=$B38)*(Note!$E$3:$E$101&lt;=T$1)*(Note!$F$3:$F$101&gt;=T$2),0))</f>
        <v>Giá Bales DTR +% Hao Hụt + Conversion cost</v>
      </c>
      <c r="U38" s="27" t="str" cm="1">
        <f t="array" ref="U38">INDEX(Note!$G$3:$G$101,MATCH(1,(Note!$A$3:$A$101=$A38)*(Note!$C$3:$C$101=$B38)*(Note!$E$3:$E$101&lt;=U$1)*(Note!$F$3:$F$101&gt;=U$2),0))</f>
        <v>Giá Bales DTR +% Hao Hụt + Conversion cost</v>
      </c>
      <c r="V38" s="27" t="str" cm="1">
        <f t="array" ref="V38">INDEX(Note!$G$3:$G$101,MATCH(1,(Note!$A$3:$A$101=$A38)*(Note!$C$3:$C$101=$B38)*(Note!$E$3:$E$101&lt;=V$1)*(Note!$F$3:$F$101&gt;=V$2),0))</f>
        <v>Giá Bales DTR +% Hao Hụt + Conversion cost</v>
      </c>
      <c r="W38" s="27" t="str" cm="1">
        <f t="array" ref="W38">INDEX(Note!$G$3:$G$101,MATCH(1,(Note!$A$3:$A$101=$A38)*(Note!$C$3:$C$101=$B38)*(Note!$E$3:$E$101&lt;=W$1)*(Note!$F$3:$F$101&gt;=W$2),0))</f>
        <v>Giá Bales DTR +% Hao Hụt + Conversion cost</v>
      </c>
      <c r="X38" s="27" t="str" cm="1">
        <f t="array" ref="X38">INDEX(Note!$G$3:$G$101,MATCH(1,(Note!$A$3:$A$101=$A38)*(Note!$C$3:$C$101=$B38)*(Note!$E$3:$E$101&lt;=X$1)*(Note!$F$3:$F$101&gt;=X$2),0))</f>
        <v>Giá Bales DTR +% Hao Hụt + Conversion cost</v>
      </c>
      <c r="Y38" s="27" t="str" cm="1">
        <f t="array" ref="Y38">INDEX(Note!$G$3:$G$101,MATCH(1,(Note!$A$3:$A$101=$A38)*(Note!$C$3:$C$101=$B38)*(Note!$E$3:$E$101&lt;=Y$1)*(Note!$F$3:$F$101&gt;=Y$2),0))</f>
        <v>Giá Bales DTR +% Hao Hụt + Conversion cost</v>
      </c>
      <c r="Z38" s="89" t="str" cm="1">
        <f t="array" ref="Z38">INDEX(Note!$G$3:$G$101,MATCH(1,(Note!$A$3:$A$101=$A38)*(Note!$C$3:$C$101=$B38)*(Note!$E$3:$E$101&lt;=Z$1)*(Note!$F$3:$F$101&gt;=Z$2),0))</f>
        <v>Giá Bales DTR +% Hao Hụt + Conversion cost</v>
      </c>
      <c r="AA38" s="27" t="str" cm="1">
        <f t="array" ref="AA38">INDEX(Note!$G$3:$G$101,MATCH(1,(Note!$A$3:$A$101=$A38)*(Note!$C$3:$C$101=$B38)*(Note!$E$3:$E$101&lt;=AA$1)*(Note!$F$3:$F$101&gt;=AA$2),0))</f>
        <v>Giá cố định (KD đề xuất)</v>
      </c>
      <c r="AB38" s="27" t="str" cm="1">
        <f t="array" ref="AB38">INDEX(Note!$G$3:$G$101,MATCH(1,(Note!$A$3:$A$101=$A38)*(Note!$C$3:$C$101=$B38)*(Note!$E$3:$E$101&lt;=AB$1)*(Note!$F$3:$F$101&gt;=AB$2),0))</f>
        <v>Giá cố định (KD đề xuất)</v>
      </c>
      <c r="AC38" s="27" t="str" cm="1">
        <f t="array" ref="AC38">INDEX(Note!$G$3:$G$101,MATCH(1,(Note!$A$3:$A$101=$A38)*(Note!$C$3:$C$101=$B38)*(Note!$E$3:$E$101&lt;=AC$1)*(Note!$F$3:$F$101&gt;=AC$2),0))</f>
        <v>Giá cố định (KD đề xuất)</v>
      </c>
      <c r="AD38" s="27" t="str" cm="1">
        <f t="array" ref="AD38">INDEX(Note!$G$3:$G$101,MATCH(1,(Note!$A$3:$A$101=$A38)*(Note!$C$3:$C$101=$B38)*(Note!$E$3:$E$101&lt;=AD$1)*(Note!$F$3:$F$101&gt;=AD$2),0))</f>
        <v>Giá cố định (KD đề xuất)</v>
      </c>
      <c r="AE38" s="27" t="str" cm="1">
        <f t="array" ref="AE38">INDEX(Note!$G$3:$G$101,MATCH(1,(Note!$A$3:$A$101=$A38)*(Note!$C$3:$C$101=$B38)*(Note!$E$3:$E$101&lt;=AE$1)*(Note!$F$3:$F$101&gt;=AE$2),0))</f>
        <v>Giá cố định (KD đề xuất)</v>
      </c>
      <c r="AF38" s="27" t="str" cm="1">
        <f t="array" ref="AF38">INDEX(Note!$G$3:$G$101,MATCH(1,(Note!$A$3:$A$101=$A38)*(Note!$C$3:$C$101=$B38)*(Note!$E$3:$E$101&lt;=AF$1)*(Note!$F$3:$F$101&gt;=AF$2),0))</f>
        <v>Giá cố định (KD đề xuất)</v>
      </c>
      <c r="AG38" s="27" t="str" cm="1">
        <f t="array" ref="AG38">INDEX(Note!$G$3:$G$101,MATCH(1,(Note!$A$3:$A$101=$A38)*(Note!$C$3:$C$101=$B38)*(Note!$E$3:$E$101&lt;=AG$1)*(Note!$F$3:$F$101&gt;=AG$2),0))</f>
        <v>Giá cố định (KD đề xuất)</v>
      </c>
      <c r="AH38" s="27" t="str" cm="1">
        <f t="array" ref="AH38">INDEX(Note!$G$3:$G$101,MATCH(1,(Note!$A$3:$A$101=$A38)*(Note!$C$3:$C$101=$B38)*(Note!$E$3:$E$101&lt;=AH$1)*(Note!$F$3:$F$101&gt;=AH$2),0))</f>
        <v>Giá cố định (KD đề xuất)</v>
      </c>
      <c r="AI38" s="27" t="str" cm="1">
        <f t="array" ref="AI38">INDEX(Note!$G$3:$G$101,MATCH(1,(Note!$A$3:$A$101=$A38)*(Note!$C$3:$C$101=$B38)*(Note!$E$3:$E$101&lt;=AI$1)*(Note!$F$3:$F$101&gt;=AI$2),0))</f>
        <v>Giá cố định (KD đề xuất)</v>
      </c>
      <c r="AJ38" s="27" t="str" cm="1">
        <f t="array" ref="AJ38">INDEX(Note!$G$3:$G$101,MATCH(1,(Note!$A$3:$A$101=$A38)*(Note!$C$3:$C$101=$B38)*(Note!$E$3:$E$101&lt;=AJ$1)*(Note!$F$3:$F$101&gt;=AJ$2),0))</f>
        <v>Giá cố định (KD đề xuất)</v>
      </c>
      <c r="AK38" s="27" t="str" cm="1">
        <f t="array" ref="AK38">INDEX(Note!$G$3:$G$101,MATCH(1,(Note!$A$3:$A$101=$A38)*(Note!$C$3:$C$101=$B38)*(Note!$E$3:$E$101&lt;=AK$1)*(Note!$F$3:$F$101&gt;=AK$2),0))</f>
        <v>Giá cố định (KD đề xuất)</v>
      </c>
      <c r="AL38" s="89" t="str" cm="1">
        <f t="array" ref="AL38">INDEX(Note!$G$3:$G$101,MATCH(1,(Note!$A$3:$A$101=$A38)*(Note!$C$3:$C$101=$B38)*(Note!$E$3:$E$101&lt;=AL$1)*(Note!$F$3:$F$101&gt;=AL$2),0))</f>
        <v>Giá cố định (KD đề xuất)</v>
      </c>
    </row>
    <row r="39" spans="1:38" s="96" customFormat="1" outlineLevel="1" x14ac:dyDescent="0.35">
      <c r="A39" s="96" t="s">
        <v>64</v>
      </c>
      <c r="B39" s="96" t="s">
        <v>15</v>
      </c>
      <c r="D39" s="97"/>
      <c r="F39" s="221" t="s">
        <v>230</v>
      </c>
      <c r="G39" s="26"/>
      <c r="H39" s="26"/>
      <c r="I39" s="26"/>
      <c r="J39" s="26" t="s">
        <v>43</v>
      </c>
      <c r="K39" s="12"/>
      <c r="L39" s="26"/>
      <c r="M39" s="26"/>
      <c r="N39" s="26"/>
      <c r="O39" s="88" t="str" cm="1">
        <f t="array" ref="O39">INDEX(Note!$H$3:$H$101,MATCH(1,(Note!$A$3:$A$101=$A39)*(Note!$C$3:$C$101=$B39)*(Note!$E$3:$E$101&lt;=O$1)*(Note!$F$3:$F$101&gt;=O$2),0))</f>
        <v>DDP</v>
      </c>
      <c r="P39" s="27" t="str" cm="1">
        <f t="array" ref="P39">INDEX(Note!$H$3:$H$101,MATCH(1,(Note!$A$3:$A$101=$A39)*(Note!$C$3:$C$101=$B39)*(Note!$E$3:$E$101&lt;=P$1)*(Note!$F$3:$F$101&gt;=P$2),0))</f>
        <v>DDP</v>
      </c>
      <c r="Q39" s="27" t="str" cm="1">
        <f t="array" ref="Q39">INDEX(Note!$H$3:$H$101,MATCH(1,(Note!$A$3:$A$101=$A39)*(Note!$C$3:$C$101=$B39)*(Note!$E$3:$E$101&lt;=Q$1)*(Note!$F$3:$F$101&gt;=Q$2),0))</f>
        <v>DDP</v>
      </c>
      <c r="R39" s="27" t="str" cm="1">
        <f t="array" ref="R39">INDEX(Note!$H$3:$H$101,MATCH(1,(Note!$A$3:$A$101=$A39)*(Note!$C$3:$C$101=$B39)*(Note!$E$3:$E$101&lt;=R$1)*(Note!$F$3:$F$101&gt;=R$2),0))</f>
        <v>DDP</v>
      </c>
      <c r="S39" s="27" t="str" cm="1">
        <f t="array" ref="S39">INDEX(Note!$H$3:$H$101,MATCH(1,(Note!$A$3:$A$101=$A39)*(Note!$C$3:$C$101=$B39)*(Note!$E$3:$E$101&lt;=S$1)*(Note!$F$3:$F$101&gt;=S$2),0))</f>
        <v>DDP</v>
      </c>
      <c r="T39" s="27" t="str" cm="1">
        <f t="array" ref="T39">INDEX(Note!$H$3:$H$101,MATCH(1,(Note!$A$3:$A$101=$A39)*(Note!$C$3:$C$101=$B39)*(Note!$E$3:$E$101&lt;=T$1)*(Note!$F$3:$F$101&gt;=T$2),0))</f>
        <v>DDP</v>
      </c>
      <c r="U39" s="27" t="str" cm="1">
        <f t="array" ref="U39">INDEX(Note!$H$3:$H$101,MATCH(1,(Note!$A$3:$A$101=$A39)*(Note!$C$3:$C$101=$B39)*(Note!$E$3:$E$101&lt;=U$1)*(Note!$F$3:$F$101&gt;=U$2),0))</f>
        <v>DDP</v>
      </c>
      <c r="V39" s="27" t="str" cm="1">
        <f t="array" ref="V39">INDEX(Note!$H$3:$H$101,MATCH(1,(Note!$A$3:$A$101=$A39)*(Note!$C$3:$C$101=$B39)*(Note!$E$3:$E$101&lt;=V$1)*(Note!$F$3:$F$101&gt;=V$2),0))</f>
        <v>DDP</v>
      </c>
      <c r="W39" s="27" t="str" cm="1">
        <f t="array" ref="W39">INDEX(Note!$H$3:$H$101,MATCH(1,(Note!$A$3:$A$101=$A39)*(Note!$C$3:$C$101=$B39)*(Note!$E$3:$E$101&lt;=W$1)*(Note!$F$3:$F$101&gt;=W$2),0))</f>
        <v>DDP</v>
      </c>
      <c r="X39" s="27" t="str" cm="1">
        <f t="array" ref="X39">INDEX(Note!$H$3:$H$101,MATCH(1,(Note!$A$3:$A$101=$A39)*(Note!$C$3:$C$101=$B39)*(Note!$E$3:$E$101&lt;=X$1)*(Note!$F$3:$F$101&gt;=X$2),0))</f>
        <v>DDP</v>
      </c>
      <c r="Y39" s="27" t="str" cm="1">
        <f t="array" ref="Y39">INDEX(Note!$H$3:$H$101,MATCH(1,(Note!$A$3:$A$101=$A39)*(Note!$C$3:$C$101=$B39)*(Note!$E$3:$E$101&lt;=Y$1)*(Note!$F$3:$F$101&gt;=Y$2),0))</f>
        <v>DDP</v>
      </c>
      <c r="Z39" s="89" t="str" cm="1">
        <f t="array" ref="Z39">INDEX(Note!$H$3:$H$101,MATCH(1,(Note!$A$3:$A$101=$A39)*(Note!$C$3:$C$101=$B39)*(Note!$E$3:$E$101&lt;=Z$1)*(Note!$F$3:$F$101&gt;=Z$2),0))</f>
        <v>DDP</v>
      </c>
      <c r="AA39" s="27" t="str" cm="1">
        <f t="array" ref="AA39">INDEX(Note!$H$3:$H$101,MATCH(1,(Note!$A$3:$A$101=$A39)*(Note!$C$3:$C$101=$B39)*(Note!$E$3:$E$101&lt;=AA$1)*(Note!$F$3:$F$101&gt;=AA$2),0))</f>
        <v>DDP</v>
      </c>
      <c r="AB39" s="27" t="str" cm="1">
        <f t="array" ref="AB39">INDEX(Note!$H$3:$H$101,MATCH(1,(Note!$A$3:$A$101=$A39)*(Note!$C$3:$C$101=$B39)*(Note!$E$3:$E$101&lt;=AB$1)*(Note!$F$3:$F$101&gt;=AB$2),0))</f>
        <v>DDP</v>
      </c>
      <c r="AC39" s="27" t="str" cm="1">
        <f t="array" ref="AC39">INDEX(Note!$H$3:$H$101,MATCH(1,(Note!$A$3:$A$101=$A39)*(Note!$C$3:$C$101=$B39)*(Note!$E$3:$E$101&lt;=AC$1)*(Note!$F$3:$F$101&gt;=AC$2),0))</f>
        <v>DDP</v>
      </c>
      <c r="AD39" s="27" t="str" cm="1">
        <f t="array" ref="AD39">INDEX(Note!$H$3:$H$101,MATCH(1,(Note!$A$3:$A$101=$A39)*(Note!$C$3:$C$101=$B39)*(Note!$E$3:$E$101&lt;=AD$1)*(Note!$F$3:$F$101&gt;=AD$2),0))</f>
        <v>DDP</v>
      </c>
      <c r="AE39" s="27" t="str" cm="1">
        <f t="array" ref="AE39">INDEX(Note!$H$3:$H$101,MATCH(1,(Note!$A$3:$A$101=$A39)*(Note!$C$3:$C$101=$B39)*(Note!$E$3:$E$101&lt;=AE$1)*(Note!$F$3:$F$101&gt;=AE$2),0))</f>
        <v>DDP</v>
      </c>
      <c r="AF39" s="27" t="str" cm="1">
        <f t="array" ref="AF39">INDEX(Note!$H$3:$H$101,MATCH(1,(Note!$A$3:$A$101=$A39)*(Note!$C$3:$C$101=$B39)*(Note!$E$3:$E$101&lt;=AF$1)*(Note!$F$3:$F$101&gt;=AF$2),0))</f>
        <v>DDP</v>
      </c>
      <c r="AG39" s="27" t="str" cm="1">
        <f t="array" ref="AG39">INDEX(Note!$H$3:$H$101,MATCH(1,(Note!$A$3:$A$101=$A39)*(Note!$C$3:$C$101=$B39)*(Note!$E$3:$E$101&lt;=AG$1)*(Note!$F$3:$F$101&gt;=AG$2),0))</f>
        <v>DDP</v>
      </c>
      <c r="AH39" s="27" t="str" cm="1">
        <f t="array" ref="AH39">INDEX(Note!$H$3:$H$101,MATCH(1,(Note!$A$3:$A$101=$A39)*(Note!$C$3:$C$101=$B39)*(Note!$E$3:$E$101&lt;=AH$1)*(Note!$F$3:$F$101&gt;=AH$2),0))</f>
        <v>DDP</v>
      </c>
      <c r="AI39" s="27" t="str" cm="1">
        <f t="array" ref="AI39">INDEX(Note!$H$3:$H$101,MATCH(1,(Note!$A$3:$A$101=$A39)*(Note!$C$3:$C$101=$B39)*(Note!$E$3:$E$101&lt;=AI$1)*(Note!$F$3:$F$101&gt;=AI$2),0))</f>
        <v>DDP</v>
      </c>
      <c r="AJ39" s="27" t="str" cm="1">
        <f t="array" ref="AJ39">INDEX(Note!$H$3:$H$101,MATCH(1,(Note!$A$3:$A$101=$A39)*(Note!$C$3:$C$101=$B39)*(Note!$E$3:$E$101&lt;=AJ$1)*(Note!$F$3:$F$101&gt;=AJ$2),0))</f>
        <v>DDP</v>
      </c>
      <c r="AK39" s="27" t="str" cm="1">
        <f t="array" ref="AK39">INDEX(Note!$H$3:$H$101,MATCH(1,(Note!$A$3:$A$101=$A39)*(Note!$C$3:$C$101=$B39)*(Note!$E$3:$E$101&lt;=AK$1)*(Note!$F$3:$F$101&gt;=AK$2),0))</f>
        <v>DDP</v>
      </c>
      <c r="AL39" s="89" t="str" cm="1">
        <f t="array" ref="AL39">INDEX(Note!$H$3:$H$101,MATCH(1,(Note!$A$3:$A$101=$A39)*(Note!$C$3:$C$101=$B39)*(Note!$E$3:$E$101&lt;=AL$1)*(Note!$F$3:$F$101&gt;=AL$2),0))</f>
        <v>DDP</v>
      </c>
    </row>
    <row r="40" spans="1:38" s="97" customFormat="1" outlineLevel="1" x14ac:dyDescent="0.35">
      <c r="A40" s="97" t="s">
        <v>64</v>
      </c>
      <c r="B40" s="97" t="s">
        <v>15</v>
      </c>
      <c r="F40" s="196" t="s">
        <v>231</v>
      </c>
      <c r="G40" s="107"/>
      <c r="H40" s="107"/>
      <c r="I40" s="107"/>
      <c r="J40" s="107" t="s">
        <v>46</v>
      </c>
      <c r="K40" s="109"/>
      <c r="L40" s="107"/>
      <c r="M40" s="107"/>
      <c r="N40" s="107"/>
      <c r="O40" s="236" t="str" cm="1">
        <f t="array" ref="O40">INDEX(Note!$I$3:$I$101,MATCH(1,(Note!$A$3:$A$101=$A40)*(Note!$C$3:$C$101=$B40)*(Note!$E$3:$E$101&lt;=O$1)*(Note!$F$3:$F$101&gt;=O$2),0))</f>
        <v>Quý</v>
      </c>
      <c r="P40" s="196" t="str" cm="1">
        <f t="array" ref="P40">INDEX(Note!$I$3:$I$101,MATCH(1,(Note!$A$3:$A$101=$A40)*(Note!$C$3:$C$101=$B40)*(Note!$E$3:$E$101&lt;=P$1)*(Note!$F$3:$F$101&gt;=P$2),0))</f>
        <v>Quý</v>
      </c>
      <c r="Q40" s="196" t="str" cm="1">
        <f t="array" ref="Q40">INDEX(Note!$I$3:$I$101,MATCH(1,(Note!$A$3:$A$101=$A40)*(Note!$C$3:$C$101=$B40)*(Note!$E$3:$E$101&lt;=Q$1)*(Note!$F$3:$F$101&gt;=Q$2),0))</f>
        <v>Quý</v>
      </c>
      <c r="R40" s="196" t="str" cm="1">
        <f t="array" ref="R40">INDEX(Note!$I$3:$I$101,MATCH(1,(Note!$A$3:$A$101=$A40)*(Note!$C$3:$C$101=$B40)*(Note!$E$3:$E$101&lt;=R$1)*(Note!$F$3:$F$101&gt;=R$2),0))</f>
        <v>Quý</v>
      </c>
      <c r="S40" s="196" t="str" cm="1">
        <f t="array" ref="S40">INDEX(Note!$I$3:$I$101,MATCH(1,(Note!$A$3:$A$101=$A40)*(Note!$C$3:$C$101=$B40)*(Note!$E$3:$E$101&lt;=S$1)*(Note!$F$3:$F$101&gt;=S$2),0))</f>
        <v>Quý</v>
      </c>
      <c r="T40" s="196" t="str" cm="1">
        <f t="array" ref="T40">INDEX(Note!$I$3:$I$101,MATCH(1,(Note!$A$3:$A$101=$A40)*(Note!$C$3:$C$101=$B40)*(Note!$E$3:$E$101&lt;=T$1)*(Note!$F$3:$F$101&gt;=T$2),0))</f>
        <v>Quý</v>
      </c>
      <c r="U40" s="196" t="str" cm="1">
        <f t="array" ref="U40">INDEX(Note!$I$3:$I$101,MATCH(1,(Note!$A$3:$A$101=$A40)*(Note!$C$3:$C$101=$B40)*(Note!$E$3:$E$101&lt;=U$1)*(Note!$F$3:$F$101&gt;=U$2),0))</f>
        <v>Quý</v>
      </c>
      <c r="V40" s="196" t="str" cm="1">
        <f t="array" ref="V40">INDEX(Note!$I$3:$I$101,MATCH(1,(Note!$A$3:$A$101=$A40)*(Note!$C$3:$C$101=$B40)*(Note!$E$3:$E$101&lt;=V$1)*(Note!$F$3:$F$101&gt;=V$2),0))</f>
        <v>Quý</v>
      </c>
      <c r="W40" s="196" t="str" cm="1">
        <f t="array" ref="W40">INDEX(Note!$I$3:$I$101,MATCH(1,(Note!$A$3:$A$101=$A40)*(Note!$C$3:$C$101=$B40)*(Note!$E$3:$E$101&lt;=W$1)*(Note!$F$3:$F$101&gt;=W$2),0))</f>
        <v>Quý</v>
      </c>
      <c r="X40" s="196" t="str" cm="1">
        <f t="array" ref="X40">INDEX(Note!$I$3:$I$101,MATCH(1,(Note!$A$3:$A$101=$A40)*(Note!$C$3:$C$101=$B40)*(Note!$E$3:$E$101&lt;=X$1)*(Note!$F$3:$F$101&gt;=X$2),0))</f>
        <v>Quý</v>
      </c>
      <c r="Y40" s="196" t="str" cm="1">
        <f t="array" ref="Y40">INDEX(Note!$I$3:$I$101,MATCH(1,(Note!$A$3:$A$101=$A40)*(Note!$C$3:$C$101=$B40)*(Note!$E$3:$E$101&lt;=Y$1)*(Note!$F$3:$F$101&gt;=Y$2),0))</f>
        <v>Quý</v>
      </c>
      <c r="Z40" s="197" t="str" cm="1">
        <f t="array" ref="Z40">INDEX(Note!$I$3:$I$101,MATCH(1,(Note!$A$3:$A$101=$A40)*(Note!$C$3:$C$101=$B40)*(Note!$E$3:$E$101&lt;=Z$1)*(Note!$F$3:$F$101&gt;=Z$2),0))</f>
        <v>Quý</v>
      </c>
      <c r="AA40" s="196" t="str" cm="1">
        <f t="array" ref="AA40">INDEX(Note!$I$3:$I$101,MATCH(1,(Note!$A$3:$A$101=$A40)*(Note!$C$3:$C$101=$B40)*(Note!$E$3:$E$101&lt;=AA$1)*(Note!$F$3:$F$101&gt;=AA$2),0))</f>
        <v>Năm</v>
      </c>
      <c r="AB40" s="196" t="str" cm="1">
        <f t="array" ref="AB40">INDEX(Note!$I$3:$I$101,MATCH(1,(Note!$A$3:$A$101=$A40)*(Note!$C$3:$C$101=$B40)*(Note!$E$3:$E$101&lt;=AB$1)*(Note!$F$3:$F$101&gt;=AB$2),0))</f>
        <v>Năm</v>
      </c>
      <c r="AC40" s="196" t="str" cm="1">
        <f t="array" ref="AC40">INDEX(Note!$I$3:$I$101,MATCH(1,(Note!$A$3:$A$101=$A40)*(Note!$C$3:$C$101=$B40)*(Note!$E$3:$E$101&lt;=AC$1)*(Note!$F$3:$F$101&gt;=AC$2),0))</f>
        <v>Năm</v>
      </c>
      <c r="AD40" s="196" t="str" cm="1">
        <f t="array" ref="AD40">INDEX(Note!$I$3:$I$101,MATCH(1,(Note!$A$3:$A$101=$A40)*(Note!$C$3:$C$101=$B40)*(Note!$E$3:$E$101&lt;=AD$1)*(Note!$F$3:$F$101&gt;=AD$2),0))</f>
        <v>Năm</v>
      </c>
      <c r="AE40" s="196" t="str" cm="1">
        <f t="array" ref="AE40">INDEX(Note!$I$3:$I$101,MATCH(1,(Note!$A$3:$A$101=$A40)*(Note!$C$3:$C$101=$B40)*(Note!$E$3:$E$101&lt;=AE$1)*(Note!$F$3:$F$101&gt;=AE$2),0))</f>
        <v>Năm</v>
      </c>
      <c r="AF40" s="196" t="str" cm="1">
        <f t="array" ref="AF40">INDEX(Note!$I$3:$I$101,MATCH(1,(Note!$A$3:$A$101=$A40)*(Note!$C$3:$C$101=$B40)*(Note!$E$3:$E$101&lt;=AF$1)*(Note!$F$3:$F$101&gt;=AF$2),0))</f>
        <v>Năm</v>
      </c>
      <c r="AG40" s="196" t="str" cm="1">
        <f t="array" ref="AG40">INDEX(Note!$I$3:$I$101,MATCH(1,(Note!$A$3:$A$101=$A40)*(Note!$C$3:$C$101=$B40)*(Note!$E$3:$E$101&lt;=AG$1)*(Note!$F$3:$F$101&gt;=AG$2),0))</f>
        <v>Năm</v>
      </c>
      <c r="AH40" s="196" t="str" cm="1">
        <f t="array" ref="AH40">INDEX(Note!$I$3:$I$101,MATCH(1,(Note!$A$3:$A$101=$A40)*(Note!$C$3:$C$101=$B40)*(Note!$E$3:$E$101&lt;=AH$1)*(Note!$F$3:$F$101&gt;=AH$2),0))</f>
        <v>Năm</v>
      </c>
      <c r="AI40" s="196" t="str" cm="1">
        <f t="array" ref="AI40">INDEX(Note!$I$3:$I$101,MATCH(1,(Note!$A$3:$A$101=$A40)*(Note!$C$3:$C$101=$B40)*(Note!$E$3:$E$101&lt;=AI$1)*(Note!$F$3:$F$101&gt;=AI$2),0))</f>
        <v>Năm</v>
      </c>
      <c r="AJ40" s="196" t="str" cm="1">
        <f t="array" ref="AJ40">INDEX(Note!$I$3:$I$101,MATCH(1,(Note!$A$3:$A$101=$A40)*(Note!$C$3:$C$101=$B40)*(Note!$E$3:$E$101&lt;=AJ$1)*(Note!$F$3:$F$101&gt;=AJ$2),0))</f>
        <v>Năm</v>
      </c>
      <c r="AK40" s="196" t="str" cm="1">
        <f t="array" ref="AK40">INDEX(Note!$I$3:$I$101,MATCH(1,(Note!$A$3:$A$101=$A40)*(Note!$C$3:$C$101=$B40)*(Note!$E$3:$E$101&lt;=AK$1)*(Note!$F$3:$F$101&gt;=AK$2),0))</f>
        <v>Năm</v>
      </c>
      <c r="AL40" s="197" t="str" cm="1">
        <f t="array" ref="AL40">INDEX(Note!$I$3:$I$101,MATCH(1,(Note!$A$3:$A$101=$A40)*(Note!$C$3:$C$101=$B40)*(Note!$E$3:$E$101&lt;=AL$1)*(Note!$F$3:$F$101&gt;=AL$2),0))</f>
        <v>Năm</v>
      </c>
    </row>
    <row r="41" spans="1:38" s="188" customFormat="1" outlineLevel="1" x14ac:dyDescent="0.35">
      <c r="A41" s="188" t="s">
        <v>64</v>
      </c>
      <c r="B41" s="188" t="s">
        <v>15</v>
      </c>
      <c r="F41" s="225" t="s">
        <v>263</v>
      </c>
      <c r="G41" s="193"/>
      <c r="H41" s="193"/>
      <c r="I41" s="193"/>
      <c r="J41" s="193" t="s">
        <v>203</v>
      </c>
      <c r="K41" s="189"/>
      <c r="L41" s="202"/>
      <c r="M41" s="202"/>
      <c r="N41" s="202"/>
      <c r="O41" s="201" cm="1">
        <f t="array" ref="O41">SUMPRODUCT(General_Data*(Year=O$3)*(Month=O$4)*(Code_General_Data=$B41))</f>
        <v>1250</v>
      </c>
      <c r="P41" s="202" cm="1">
        <f t="array" ref="P41">SUMPRODUCT(General_Data*(Year=P$3)*(Month=P$4)*(Code_General_Data=$B41))</f>
        <v>1250</v>
      </c>
      <c r="Q41" s="202" cm="1">
        <f t="array" ref="Q41">SUMPRODUCT(General_Data*(Year=Q$3)*(Month=Q$4)*(Code_General_Data=$B41))</f>
        <v>1250</v>
      </c>
      <c r="R41" s="202" cm="1">
        <f t="array" ref="R41">SUMPRODUCT(General_Data*(Year=R$3)*(Month=R$4)*(Code_General_Data=$B41))</f>
        <v>1250</v>
      </c>
      <c r="S41" s="202" cm="1">
        <f t="array" ref="S41">SUMPRODUCT(General_Data*(Year=S$3)*(Month=S$4)*(Code_General_Data=$B41))</f>
        <v>1300</v>
      </c>
      <c r="T41" s="202" cm="1">
        <f t="array" ref="T41">SUMPRODUCT(General_Data*(Year=T$3)*(Month=T$4)*(Code_General_Data=$B41))</f>
        <v>1300</v>
      </c>
      <c r="U41" s="202" cm="1">
        <f t="array" ref="U41">SUMPRODUCT(General_Data*(Year=U$3)*(Month=U$4)*(Code_General_Data=$B41))</f>
        <v>1300</v>
      </c>
      <c r="V41" s="202" cm="1">
        <f t="array" ref="V41">SUMPRODUCT(General_Data*(Year=V$3)*(Month=V$4)*(Code_General_Data=$B41))</f>
        <v>1300</v>
      </c>
      <c r="W41" s="202" cm="1">
        <f t="array" ref="W41">SUMPRODUCT(General_Data*(Year=W$3)*(Month=W$4)*(Code_General_Data=$B41))</f>
        <v>1310</v>
      </c>
      <c r="X41" s="202" cm="1">
        <f t="array" ref="X41">SUMPRODUCT(General_Data*(Year=X$3)*(Month=X$4)*(Code_General_Data=$B41))</f>
        <v>1325</v>
      </c>
      <c r="Y41" s="202" cm="1">
        <f t="array" ref="Y41">SUMPRODUCT(General_Data*(Year=Y$3)*(Month=Y$4)*(Code_General_Data=$B41))</f>
        <v>1325</v>
      </c>
      <c r="Z41" s="203" cm="1">
        <f t="array" ref="Z41">SUMPRODUCT(General_Data*(Year=Z$3)*(Month=Z$4)*(Code_General_Data=$B41))</f>
        <v>1275</v>
      </c>
      <c r="AA41" s="202" cm="1">
        <f t="array" ref="AA41">SUMPRODUCT(General_Data*(Year=AA$3)*(Month=AA$4)*(Code_General_Data=$B41))</f>
        <v>1230</v>
      </c>
      <c r="AB41" s="202" cm="1">
        <f t="array" ref="AB41">SUMPRODUCT(General_Data*(Year=AB$3)*(Month=AB$4)*(Code_General_Data=$B41))</f>
        <v>1230</v>
      </c>
      <c r="AC41" s="202" cm="1">
        <f t="array" ref="AC41">SUMPRODUCT(General_Data*(Year=AC$3)*(Month=AC$4)*(Code_General_Data=$B41))</f>
        <v>1230</v>
      </c>
      <c r="AD41" s="202"/>
      <c r="AE41" s="202"/>
      <c r="AF41" s="202"/>
      <c r="AG41" s="202"/>
      <c r="AH41" s="202"/>
      <c r="AI41" s="202"/>
      <c r="AJ41" s="202"/>
      <c r="AK41" s="202"/>
      <c r="AL41" s="203"/>
    </row>
    <row r="42" spans="1:38" s="188" customFormat="1" ht="6.65" customHeight="1" x14ac:dyDescent="0.35">
      <c r="F42" s="304"/>
      <c r="G42" s="305"/>
      <c r="H42" s="305"/>
      <c r="I42" s="305"/>
      <c r="J42" s="305"/>
      <c r="K42" s="189"/>
      <c r="L42" s="306"/>
      <c r="M42" s="306"/>
      <c r="N42" s="306"/>
      <c r="O42" s="307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8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8"/>
    </row>
    <row r="43" spans="1:38" s="183" customFormat="1" ht="17" x14ac:dyDescent="0.35">
      <c r="A43" s="183" t="s">
        <v>64</v>
      </c>
      <c r="B43" s="183" t="s">
        <v>24</v>
      </c>
      <c r="D43" s="183" t="s">
        <v>322</v>
      </c>
      <c r="F43" s="220">
        <v>2.2000000000000002</v>
      </c>
      <c r="G43" s="190"/>
      <c r="H43" s="190" t="s">
        <v>209</v>
      </c>
      <c r="I43" s="190"/>
      <c r="J43" s="190"/>
      <c r="L43" s="190"/>
      <c r="M43" s="190"/>
      <c r="N43" s="190"/>
      <c r="O43" s="216">
        <f>ROUND(SUM(O44:O50),-1)</f>
        <v>1500</v>
      </c>
      <c r="P43" s="217">
        <f>ROUND(SUM(P44:P50),-1)</f>
        <v>1500</v>
      </c>
      <c r="Q43" s="217">
        <f>ROUND(SUM(Q44:Q50),-1)</f>
        <v>1500</v>
      </c>
      <c r="R43" s="217">
        <f t="shared" ref="R43:AL43" si="15">ROUND(SUM(R44:R50),-1)</f>
        <v>1430</v>
      </c>
      <c r="S43" s="217">
        <f t="shared" si="15"/>
        <v>1430</v>
      </c>
      <c r="T43" s="217">
        <f t="shared" si="15"/>
        <v>1430</v>
      </c>
      <c r="U43" s="217">
        <f t="shared" si="15"/>
        <v>1430</v>
      </c>
      <c r="V43" s="217">
        <f t="shared" si="15"/>
        <v>1430</v>
      </c>
      <c r="W43" s="217">
        <f t="shared" si="15"/>
        <v>1430</v>
      </c>
      <c r="X43" s="217">
        <f t="shared" si="15"/>
        <v>1430</v>
      </c>
      <c r="Y43" s="217">
        <f t="shared" si="15"/>
        <v>1430</v>
      </c>
      <c r="Z43" s="218">
        <f t="shared" si="15"/>
        <v>1430</v>
      </c>
      <c r="AA43" s="216">
        <f t="shared" si="15"/>
        <v>1400</v>
      </c>
      <c r="AB43" s="217">
        <f t="shared" si="15"/>
        <v>1400</v>
      </c>
      <c r="AC43" s="217">
        <f t="shared" si="15"/>
        <v>1400</v>
      </c>
      <c r="AD43" s="217">
        <f t="shared" si="15"/>
        <v>1400</v>
      </c>
      <c r="AE43" s="217">
        <f t="shared" si="15"/>
        <v>1400</v>
      </c>
      <c r="AF43" s="217">
        <f t="shared" si="15"/>
        <v>1400</v>
      </c>
      <c r="AG43" s="217">
        <f t="shared" si="15"/>
        <v>1400</v>
      </c>
      <c r="AH43" s="217">
        <f t="shared" si="15"/>
        <v>1400</v>
      </c>
      <c r="AI43" s="217">
        <f t="shared" si="15"/>
        <v>1400</v>
      </c>
      <c r="AJ43" s="217">
        <f t="shared" si="15"/>
        <v>1400</v>
      </c>
      <c r="AK43" s="217">
        <f t="shared" si="15"/>
        <v>1400</v>
      </c>
      <c r="AL43" s="218">
        <f t="shared" si="15"/>
        <v>1400</v>
      </c>
    </row>
    <row r="44" spans="1:38" s="96" customFormat="1" outlineLevel="1" x14ac:dyDescent="0.35">
      <c r="A44" s="96" t="s">
        <v>64</v>
      </c>
      <c r="B44" s="96" t="s">
        <v>24</v>
      </c>
      <c r="D44" s="97"/>
      <c r="F44" s="221" t="s">
        <v>232</v>
      </c>
      <c r="G44" s="26"/>
      <c r="H44" s="26" t="s">
        <v>41</v>
      </c>
      <c r="I44" s="26" t="s">
        <v>55</v>
      </c>
      <c r="J44" s="26"/>
      <c r="K44" s="12"/>
      <c r="L44" s="26"/>
      <c r="M44" s="26"/>
      <c r="N44" s="26"/>
      <c r="O44" s="213">
        <f>22500/O51*10^3</f>
        <v>918.36734693877554</v>
      </c>
      <c r="P44" s="214">
        <f>22500/P51*10^3</f>
        <v>918.36734693877554</v>
      </c>
      <c r="Q44" s="214">
        <f>22500/Q51*10^3</f>
        <v>918.36734693877554</v>
      </c>
      <c r="R44" s="214">
        <f>21000/R51*10^3</f>
        <v>857.14285714285711</v>
      </c>
      <c r="S44" s="214">
        <f t="shared" ref="S44:AL44" si="16">21000/S51*10^3</f>
        <v>857.14285714285711</v>
      </c>
      <c r="T44" s="214">
        <f t="shared" si="16"/>
        <v>857.14285714285711</v>
      </c>
      <c r="U44" s="214">
        <f t="shared" si="16"/>
        <v>840</v>
      </c>
      <c r="V44" s="214">
        <f t="shared" si="16"/>
        <v>840</v>
      </c>
      <c r="W44" s="214">
        <f t="shared" si="16"/>
        <v>840</v>
      </c>
      <c r="X44" s="214">
        <f t="shared" si="16"/>
        <v>840</v>
      </c>
      <c r="Y44" s="214">
        <f t="shared" si="16"/>
        <v>840</v>
      </c>
      <c r="Z44" s="215">
        <f t="shared" si="16"/>
        <v>840</v>
      </c>
      <c r="AA44" s="213">
        <f t="shared" si="16"/>
        <v>840</v>
      </c>
      <c r="AB44" s="214">
        <f t="shared" si="16"/>
        <v>840</v>
      </c>
      <c r="AC44" s="214">
        <f t="shared" si="16"/>
        <v>840</v>
      </c>
      <c r="AD44" s="214">
        <f t="shared" si="16"/>
        <v>840</v>
      </c>
      <c r="AE44" s="214">
        <f t="shared" si="16"/>
        <v>840</v>
      </c>
      <c r="AF44" s="214">
        <f t="shared" si="16"/>
        <v>840</v>
      </c>
      <c r="AG44" s="214">
        <f t="shared" si="16"/>
        <v>840</v>
      </c>
      <c r="AH44" s="214">
        <f t="shared" si="16"/>
        <v>840</v>
      </c>
      <c r="AI44" s="214">
        <f t="shared" si="16"/>
        <v>840</v>
      </c>
      <c r="AJ44" s="214">
        <f t="shared" si="16"/>
        <v>840</v>
      </c>
      <c r="AK44" s="214">
        <f t="shared" si="16"/>
        <v>840</v>
      </c>
      <c r="AL44" s="215">
        <f t="shared" si="16"/>
        <v>840</v>
      </c>
    </row>
    <row r="45" spans="1:38" s="96" customFormat="1" outlineLevel="1" x14ac:dyDescent="0.35">
      <c r="A45" s="96" t="s">
        <v>64</v>
      </c>
      <c r="B45" s="96" t="s">
        <v>24</v>
      </c>
      <c r="D45" s="97"/>
      <c r="F45" s="221" t="s">
        <v>233</v>
      </c>
      <c r="G45" s="26"/>
      <c r="H45" s="26" t="s">
        <v>41</v>
      </c>
      <c r="I45" s="26" t="s">
        <v>56</v>
      </c>
      <c r="J45" s="26"/>
      <c r="K45" s="12"/>
      <c r="L45" s="26"/>
      <c r="M45" s="26"/>
      <c r="N45" s="26"/>
      <c r="O45" s="213">
        <f>O44*O52</f>
        <v>195.33673469387756</v>
      </c>
      <c r="P45" s="214">
        <f t="shared" ref="P45:AL45" si="17">P44*P52</f>
        <v>195.33673469387756</v>
      </c>
      <c r="Q45" s="214">
        <f t="shared" si="17"/>
        <v>195.33673469387756</v>
      </c>
      <c r="R45" s="214">
        <f t="shared" si="17"/>
        <v>182.31428571428572</v>
      </c>
      <c r="S45" s="214">
        <f t="shared" si="17"/>
        <v>182.31428571428572</v>
      </c>
      <c r="T45" s="214">
        <f t="shared" si="17"/>
        <v>182.31428571428572</v>
      </c>
      <c r="U45" s="214">
        <f t="shared" si="17"/>
        <v>178.66800000000001</v>
      </c>
      <c r="V45" s="214">
        <f t="shared" si="17"/>
        <v>178.66800000000001</v>
      </c>
      <c r="W45" s="214">
        <f t="shared" si="17"/>
        <v>178.66800000000001</v>
      </c>
      <c r="X45" s="214">
        <f t="shared" si="17"/>
        <v>178.66800000000001</v>
      </c>
      <c r="Y45" s="214">
        <f t="shared" si="17"/>
        <v>178.66800000000001</v>
      </c>
      <c r="Z45" s="215">
        <f t="shared" si="17"/>
        <v>178.66800000000001</v>
      </c>
      <c r="AA45" s="213">
        <f t="shared" si="17"/>
        <v>178.66800000000001</v>
      </c>
      <c r="AB45" s="214">
        <f t="shared" si="17"/>
        <v>178.66800000000001</v>
      </c>
      <c r="AC45" s="214">
        <f t="shared" si="17"/>
        <v>178.66800000000001</v>
      </c>
      <c r="AD45" s="214">
        <f t="shared" si="17"/>
        <v>178.66800000000001</v>
      </c>
      <c r="AE45" s="214">
        <f t="shared" si="17"/>
        <v>178.66800000000001</v>
      </c>
      <c r="AF45" s="214">
        <f t="shared" si="17"/>
        <v>178.66800000000001</v>
      </c>
      <c r="AG45" s="214">
        <f t="shared" si="17"/>
        <v>178.66800000000001</v>
      </c>
      <c r="AH45" s="214">
        <f t="shared" si="17"/>
        <v>178.66800000000001</v>
      </c>
      <c r="AI45" s="214">
        <f t="shared" si="17"/>
        <v>178.66800000000001</v>
      </c>
      <c r="AJ45" s="214">
        <f t="shared" si="17"/>
        <v>178.66800000000001</v>
      </c>
      <c r="AK45" s="214">
        <f t="shared" si="17"/>
        <v>178.66800000000001</v>
      </c>
      <c r="AL45" s="215">
        <f t="shared" si="17"/>
        <v>178.66800000000001</v>
      </c>
    </row>
    <row r="46" spans="1:38" s="96" customFormat="1" outlineLevel="1" x14ac:dyDescent="0.35">
      <c r="A46" s="96" t="s">
        <v>64</v>
      </c>
      <c r="B46" s="96" t="s">
        <v>24</v>
      </c>
      <c r="D46" s="97"/>
      <c r="F46" s="221" t="s">
        <v>234</v>
      </c>
      <c r="G46" s="26"/>
      <c r="H46" s="26" t="s">
        <v>41</v>
      </c>
      <c r="I46" s="26" t="s">
        <v>57</v>
      </c>
      <c r="J46" s="26"/>
      <c r="K46" s="12"/>
      <c r="L46" s="26"/>
      <c r="M46" s="26"/>
      <c r="N46" s="26"/>
      <c r="O46" s="213">
        <f>8720.586/O51*10^3</f>
        <v>355.94228571428573</v>
      </c>
      <c r="P46" s="214">
        <f t="shared" ref="P46:AL46" si="18">8720.586/P51*10^3</f>
        <v>355.94228571428573</v>
      </c>
      <c r="Q46" s="214">
        <f t="shared" si="18"/>
        <v>355.94228571428573</v>
      </c>
      <c r="R46" s="214">
        <f t="shared" si="18"/>
        <v>355.94228571428573</v>
      </c>
      <c r="S46" s="214">
        <f t="shared" si="18"/>
        <v>355.94228571428573</v>
      </c>
      <c r="T46" s="214">
        <f t="shared" si="18"/>
        <v>355.94228571428573</v>
      </c>
      <c r="U46" s="214">
        <f t="shared" si="18"/>
        <v>348.82344000000001</v>
      </c>
      <c r="V46" s="214">
        <f t="shared" si="18"/>
        <v>348.82344000000001</v>
      </c>
      <c r="W46" s="214">
        <f t="shared" si="18"/>
        <v>348.82344000000001</v>
      </c>
      <c r="X46" s="214">
        <f t="shared" si="18"/>
        <v>348.82344000000001</v>
      </c>
      <c r="Y46" s="214">
        <f t="shared" si="18"/>
        <v>348.82344000000001</v>
      </c>
      <c r="Z46" s="215">
        <f t="shared" si="18"/>
        <v>348.82344000000001</v>
      </c>
      <c r="AA46" s="213">
        <f t="shared" si="18"/>
        <v>348.82344000000001</v>
      </c>
      <c r="AB46" s="214">
        <f t="shared" si="18"/>
        <v>348.82344000000001</v>
      </c>
      <c r="AC46" s="214">
        <f t="shared" si="18"/>
        <v>348.82344000000001</v>
      </c>
      <c r="AD46" s="214">
        <f t="shared" si="18"/>
        <v>348.82344000000001</v>
      </c>
      <c r="AE46" s="214">
        <f t="shared" si="18"/>
        <v>348.82344000000001</v>
      </c>
      <c r="AF46" s="214">
        <f t="shared" si="18"/>
        <v>348.82344000000001</v>
      </c>
      <c r="AG46" s="214">
        <f t="shared" si="18"/>
        <v>348.82344000000001</v>
      </c>
      <c r="AH46" s="214">
        <f t="shared" si="18"/>
        <v>348.82344000000001</v>
      </c>
      <c r="AI46" s="214">
        <f t="shared" si="18"/>
        <v>348.82344000000001</v>
      </c>
      <c r="AJ46" s="214">
        <f t="shared" si="18"/>
        <v>348.82344000000001</v>
      </c>
      <c r="AK46" s="214">
        <f t="shared" si="18"/>
        <v>348.82344000000001</v>
      </c>
      <c r="AL46" s="215">
        <f t="shared" si="18"/>
        <v>348.82344000000001</v>
      </c>
    </row>
    <row r="47" spans="1:38" s="96" customFormat="1" outlineLevel="1" x14ac:dyDescent="0.35">
      <c r="A47" s="96" t="s">
        <v>64</v>
      </c>
      <c r="B47" s="96" t="s">
        <v>24</v>
      </c>
      <c r="D47" s="97"/>
      <c r="F47" s="221" t="s">
        <v>235</v>
      </c>
      <c r="G47" s="26"/>
      <c r="H47" s="26" t="s">
        <v>41</v>
      </c>
      <c r="I47" s="26" t="s">
        <v>50</v>
      </c>
      <c r="J47" s="26"/>
      <c r="K47" s="12"/>
      <c r="L47" s="26"/>
      <c r="M47" s="26"/>
      <c r="N47" s="26"/>
      <c r="O47" s="213">
        <f>299/O51*10^3</f>
        <v>12.204081632653061</v>
      </c>
      <c r="P47" s="214">
        <f t="shared" ref="P47:AL47" si="19">299/P51*10^3</f>
        <v>12.204081632653061</v>
      </c>
      <c r="Q47" s="214">
        <f t="shared" si="19"/>
        <v>12.204081632653061</v>
      </c>
      <c r="R47" s="214">
        <f t="shared" si="19"/>
        <v>12.204081632653061</v>
      </c>
      <c r="S47" s="214">
        <f t="shared" si="19"/>
        <v>12.204081632653061</v>
      </c>
      <c r="T47" s="214">
        <f t="shared" si="19"/>
        <v>12.204081632653061</v>
      </c>
      <c r="U47" s="214">
        <f t="shared" si="19"/>
        <v>11.96</v>
      </c>
      <c r="V47" s="214">
        <f t="shared" si="19"/>
        <v>11.96</v>
      </c>
      <c r="W47" s="214">
        <f t="shared" si="19"/>
        <v>11.96</v>
      </c>
      <c r="X47" s="214">
        <f t="shared" si="19"/>
        <v>11.96</v>
      </c>
      <c r="Y47" s="214">
        <f t="shared" si="19"/>
        <v>11.96</v>
      </c>
      <c r="Z47" s="215">
        <f t="shared" si="19"/>
        <v>11.96</v>
      </c>
      <c r="AA47" s="213">
        <f t="shared" si="19"/>
        <v>11.96</v>
      </c>
      <c r="AB47" s="214">
        <f t="shared" si="19"/>
        <v>11.96</v>
      </c>
      <c r="AC47" s="214">
        <f t="shared" si="19"/>
        <v>11.96</v>
      </c>
      <c r="AD47" s="214">
        <f t="shared" si="19"/>
        <v>11.96</v>
      </c>
      <c r="AE47" s="214">
        <f t="shared" si="19"/>
        <v>11.96</v>
      </c>
      <c r="AF47" s="214">
        <f t="shared" si="19"/>
        <v>11.96</v>
      </c>
      <c r="AG47" s="214">
        <f t="shared" si="19"/>
        <v>11.96</v>
      </c>
      <c r="AH47" s="214">
        <f t="shared" si="19"/>
        <v>11.96</v>
      </c>
      <c r="AI47" s="214">
        <f t="shared" si="19"/>
        <v>11.96</v>
      </c>
      <c r="AJ47" s="214">
        <f t="shared" si="19"/>
        <v>11.96</v>
      </c>
      <c r="AK47" s="214">
        <f t="shared" si="19"/>
        <v>11.96</v>
      </c>
      <c r="AL47" s="215">
        <f t="shared" si="19"/>
        <v>11.96</v>
      </c>
    </row>
    <row r="48" spans="1:38" s="96" customFormat="1" outlineLevel="1" x14ac:dyDescent="0.35">
      <c r="A48" s="96" t="s">
        <v>64</v>
      </c>
      <c r="B48" s="96" t="s">
        <v>24</v>
      </c>
      <c r="D48" s="97"/>
      <c r="F48" s="221" t="s">
        <v>236</v>
      </c>
      <c r="G48" s="26"/>
      <c r="H48" s="26" t="s">
        <v>41</v>
      </c>
      <c r="I48" s="26" t="s">
        <v>58</v>
      </c>
      <c r="J48" s="26"/>
      <c r="K48" s="12"/>
      <c r="L48" s="26"/>
      <c r="M48" s="26"/>
      <c r="N48" s="26"/>
      <c r="O48" s="213">
        <f>1248/O51*10^3</f>
        <v>50.938775510204081</v>
      </c>
      <c r="P48" s="214">
        <f t="shared" ref="P48:AL48" si="20">1248/P51*10^3</f>
        <v>50.938775510204081</v>
      </c>
      <c r="Q48" s="214">
        <f t="shared" si="20"/>
        <v>50.938775510204081</v>
      </c>
      <c r="R48" s="214">
        <f t="shared" si="20"/>
        <v>50.938775510204081</v>
      </c>
      <c r="S48" s="214">
        <f t="shared" si="20"/>
        <v>50.938775510204081</v>
      </c>
      <c r="T48" s="214">
        <f t="shared" si="20"/>
        <v>50.938775510204081</v>
      </c>
      <c r="U48" s="214">
        <f t="shared" si="20"/>
        <v>49.92</v>
      </c>
      <c r="V48" s="214">
        <f t="shared" si="20"/>
        <v>49.92</v>
      </c>
      <c r="W48" s="214">
        <f t="shared" si="20"/>
        <v>49.92</v>
      </c>
      <c r="X48" s="214">
        <f t="shared" si="20"/>
        <v>49.92</v>
      </c>
      <c r="Y48" s="214">
        <f t="shared" si="20"/>
        <v>49.92</v>
      </c>
      <c r="Z48" s="215">
        <f t="shared" si="20"/>
        <v>49.92</v>
      </c>
      <c r="AA48" s="213">
        <f t="shared" si="20"/>
        <v>49.92</v>
      </c>
      <c r="AB48" s="214">
        <f t="shared" si="20"/>
        <v>49.92</v>
      </c>
      <c r="AC48" s="214">
        <f t="shared" si="20"/>
        <v>49.92</v>
      </c>
      <c r="AD48" s="214">
        <f t="shared" si="20"/>
        <v>49.92</v>
      </c>
      <c r="AE48" s="214">
        <f t="shared" si="20"/>
        <v>49.92</v>
      </c>
      <c r="AF48" s="214">
        <f t="shared" si="20"/>
        <v>49.92</v>
      </c>
      <c r="AG48" s="214">
        <f t="shared" si="20"/>
        <v>49.92</v>
      </c>
      <c r="AH48" s="214">
        <f t="shared" si="20"/>
        <v>49.92</v>
      </c>
      <c r="AI48" s="214">
        <f t="shared" si="20"/>
        <v>49.92</v>
      </c>
      <c r="AJ48" s="214">
        <f t="shared" si="20"/>
        <v>49.92</v>
      </c>
      <c r="AK48" s="214">
        <f t="shared" si="20"/>
        <v>49.92</v>
      </c>
      <c r="AL48" s="215">
        <f t="shared" si="20"/>
        <v>49.92</v>
      </c>
    </row>
    <row r="49" spans="1:38" s="96" customFormat="1" outlineLevel="1" x14ac:dyDescent="0.35">
      <c r="A49" s="96" t="s">
        <v>64</v>
      </c>
      <c r="B49" s="96" t="s">
        <v>24</v>
      </c>
      <c r="D49" s="97"/>
      <c r="F49" s="221" t="s">
        <v>237</v>
      </c>
      <c r="G49" s="26"/>
      <c r="H49" s="26" t="s">
        <v>41</v>
      </c>
      <c r="I49" s="26" t="s">
        <v>59</v>
      </c>
      <c r="J49" s="26"/>
      <c r="K49" s="12"/>
      <c r="L49" s="26"/>
      <c r="M49" s="26"/>
      <c r="N49" s="26"/>
      <c r="O49" s="213">
        <f>8%*SUM(O44:O48)*2/12</f>
        <v>20.437189659863947</v>
      </c>
      <c r="P49" s="214">
        <f>8%*SUM(P44:P48)*2/12</f>
        <v>20.437189659863947</v>
      </c>
      <c r="Q49" s="214">
        <f>8%*SUM(Q44:Q48)*2/12</f>
        <v>20.437189659863947</v>
      </c>
      <c r="R49" s="214">
        <f t="shared" ref="R49:AL49" si="21">8%*SUM(R44:R48)*2/12</f>
        <v>19.447230476190473</v>
      </c>
      <c r="S49" s="214">
        <f t="shared" si="21"/>
        <v>19.447230476190473</v>
      </c>
      <c r="T49" s="214">
        <f t="shared" si="21"/>
        <v>19.447230476190473</v>
      </c>
      <c r="U49" s="214">
        <f t="shared" si="21"/>
        <v>19.058285866666669</v>
      </c>
      <c r="V49" s="214">
        <f t="shared" si="21"/>
        <v>19.058285866666669</v>
      </c>
      <c r="W49" s="214">
        <f t="shared" si="21"/>
        <v>19.058285866666669</v>
      </c>
      <c r="X49" s="214">
        <f t="shared" si="21"/>
        <v>19.058285866666669</v>
      </c>
      <c r="Y49" s="214">
        <f t="shared" si="21"/>
        <v>19.058285866666669</v>
      </c>
      <c r="Z49" s="215">
        <f t="shared" si="21"/>
        <v>19.058285866666669</v>
      </c>
      <c r="AA49" s="213">
        <f t="shared" si="21"/>
        <v>19.058285866666669</v>
      </c>
      <c r="AB49" s="214">
        <f t="shared" si="21"/>
        <v>19.058285866666669</v>
      </c>
      <c r="AC49" s="214">
        <f t="shared" si="21"/>
        <v>19.058285866666669</v>
      </c>
      <c r="AD49" s="214">
        <f t="shared" si="21"/>
        <v>19.058285866666669</v>
      </c>
      <c r="AE49" s="214">
        <f t="shared" si="21"/>
        <v>19.058285866666669</v>
      </c>
      <c r="AF49" s="214">
        <f t="shared" si="21"/>
        <v>19.058285866666669</v>
      </c>
      <c r="AG49" s="214">
        <f t="shared" si="21"/>
        <v>19.058285866666669</v>
      </c>
      <c r="AH49" s="214">
        <f t="shared" si="21"/>
        <v>19.058285866666669</v>
      </c>
      <c r="AI49" s="214">
        <f t="shared" si="21"/>
        <v>19.058285866666669</v>
      </c>
      <c r="AJ49" s="214">
        <f t="shared" si="21"/>
        <v>19.058285866666669</v>
      </c>
      <c r="AK49" s="214">
        <f t="shared" si="21"/>
        <v>19.058285866666669</v>
      </c>
      <c r="AL49" s="215">
        <f t="shared" si="21"/>
        <v>19.058285866666669</v>
      </c>
    </row>
    <row r="50" spans="1:38" s="96" customFormat="1" outlineLevel="1" x14ac:dyDescent="0.35">
      <c r="A50" s="96" t="s">
        <v>64</v>
      </c>
      <c r="B50" s="96" t="s">
        <v>24</v>
      </c>
      <c r="D50" s="97"/>
      <c r="F50" s="221" t="s">
        <v>238</v>
      </c>
      <c r="G50" s="26"/>
      <c r="H50" s="26" t="s">
        <v>41</v>
      </c>
      <c r="I50" s="26" t="s">
        <v>53</v>
      </c>
      <c r="J50" s="26"/>
      <c r="K50" s="12"/>
      <c r="L50" s="26"/>
      <c r="M50" s="26"/>
      <c r="N50" s="26"/>
      <c r="O50" s="213">
        <v>-50</v>
      </c>
      <c r="P50" s="214">
        <v>-50</v>
      </c>
      <c r="Q50" s="214">
        <v>-50</v>
      </c>
      <c r="R50" s="214">
        <v>-50</v>
      </c>
      <c r="S50" s="214">
        <v>-50</v>
      </c>
      <c r="T50" s="214">
        <v>-50</v>
      </c>
      <c r="U50" s="214">
        <v>-20</v>
      </c>
      <c r="V50" s="214">
        <v>-20</v>
      </c>
      <c r="W50" s="214">
        <v>-20</v>
      </c>
      <c r="X50" s="214">
        <v>-20</v>
      </c>
      <c r="Y50" s="214">
        <v>-20</v>
      </c>
      <c r="Z50" s="215">
        <v>-20</v>
      </c>
      <c r="AA50" s="213">
        <v>-50</v>
      </c>
      <c r="AB50" s="214">
        <v>-50</v>
      </c>
      <c r="AC50" s="214">
        <v>-50</v>
      </c>
      <c r="AD50" s="214">
        <v>-50</v>
      </c>
      <c r="AE50" s="214">
        <v>-50</v>
      </c>
      <c r="AF50" s="214">
        <v>-50</v>
      </c>
      <c r="AG50" s="214">
        <v>-50</v>
      </c>
      <c r="AH50" s="214">
        <v>-50</v>
      </c>
      <c r="AI50" s="214">
        <v>-50</v>
      </c>
      <c r="AJ50" s="214">
        <v>-50</v>
      </c>
      <c r="AK50" s="214">
        <v>-50</v>
      </c>
      <c r="AL50" s="215">
        <v>-50</v>
      </c>
    </row>
    <row r="51" spans="1:38" s="237" customFormat="1" outlineLevel="1" x14ac:dyDescent="0.35">
      <c r="A51" s="237" t="s">
        <v>64</v>
      </c>
      <c r="B51" s="237" t="s">
        <v>24</v>
      </c>
      <c r="F51" s="247" t="s">
        <v>239</v>
      </c>
      <c r="G51" s="238"/>
      <c r="H51" s="238"/>
      <c r="I51" s="238"/>
      <c r="J51" s="238" t="s">
        <v>60</v>
      </c>
      <c r="K51" s="239"/>
      <c r="L51" s="238"/>
      <c r="M51" s="238"/>
      <c r="N51" s="238"/>
      <c r="O51" s="240">
        <v>24500</v>
      </c>
      <c r="P51" s="241">
        <v>24500</v>
      </c>
      <c r="Q51" s="241">
        <v>24500</v>
      </c>
      <c r="R51" s="241">
        <v>24500</v>
      </c>
      <c r="S51" s="241">
        <v>24500</v>
      </c>
      <c r="T51" s="241">
        <v>24500</v>
      </c>
      <c r="U51" s="241">
        <v>25000</v>
      </c>
      <c r="V51" s="241">
        <v>25000</v>
      </c>
      <c r="W51" s="241">
        <v>25000</v>
      </c>
      <c r="X51" s="241">
        <v>25000</v>
      </c>
      <c r="Y51" s="241">
        <v>25000</v>
      </c>
      <c r="Z51" s="242">
        <v>25000</v>
      </c>
      <c r="AA51" s="240">
        <v>25000</v>
      </c>
      <c r="AB51" s="241">
        <v>25000</v>
      </c>
      <c r="AC51" s="241">
        <v>25000</v>
      </c>
      <c r="AD51" s="241">
        <v>25000</v>
      </c>
      <c r="AE51" s="241">
        <v>25000</v>
      </c>
      <c r="AF51" s="241">
        <v>25000</v>
      </c>
      <c r="AG51" s="241">
        <v>25000</v>
      </c>
      <c r="AH51" s="241">
        <v>25000</v>
      </c>
      <c r="AI51" s="241">
        <v>25000</v>
      </c>
      <c r="AJ51" s="241">
        <v>25000</v>
      </c>
      <c r="AK51" s="241">
        <v>25000</v>
      </c>
      <c r="AL51" s="242">
        <v>25000</v>
      </c>
    </row>
    <row r="52" spans="1:38" s="237" customFormat="1" outlineLevel="1" x14ac:dyDescent="0.35">
      <c r="A52" s="237" t="s">
        <v>64</v>
      </c>
      <c r="B52" s="237" t="s">
        <v>24</v>
      </c>
      <c r="F52" s="247" t="s">
        <v>240</v>
      </c>
      <c r="G52" s="238"/>
      <c r="H52" s="238"/>
      <c r="I52" s="238"/>
      <c r="J52" s="238" t="s">
        <v>61</v>
      </c>
      <c r="K52" s="239"/>
      <c r="L52" s="238"/>
      <c r="M52" s="238"/>
      <c r="N52" s="238"/>
      <c r="O52" s="243">
        <v>0.2127</v>
      </c>
      <c r="P52" s="244">
        <v>0.2127</v>
      </c>
      <c r="Q52" s="244">
        <v>0.2127</v>
      </c>
      <c r="R52" s="244">
        <v>0.2127</v>
      </c>
      <c r="S52" s="244">
        <v>0.2127</v>
      </c>
      <c r="T52" s="244">
        <v>0.2127</v>
      </c>
      <c r="U52" s="244">
        <v>0.2127</v>
      </c>
      <c r="V52" s="244">
        <v>0.2127</v>
      </c>
      <c r="W52" s="244">
        <v>0.2127</v>
      </c>
      <c r="X52" s="244">
        <v>0.2127</v>
      </c>
      <c r="Y52" s="244">
        <v>0.2127</v>
      </c>
      <c r="Z52" s="245">
        <v>0.2127</v>
      </c>
      <c r="AA52" s="243">
        <v>0.2127</v>
      </c>
      <c r="AB52" s="244">
        <v>0.2127</v>
      </c>
      <c r="AC52" s="244">
        <v>0.2127</v>
      </c>
      <c r="AD52" s="244">
        <v>0.2127</v>
      </c>
      <c r="AE52" s="244">
        <v>0.2127</v>
      </c>
      <c r="AF52" s="244">
        <v>0.2127</v>
      </c>
      <c r="AG52" s="244">
        <v>0.2127</v>
      </c>
      <c r="AH52" s="244">
        <v>0.2127</v>
      </c>
      <c r="AI52" s="244">
        <v>0.2127</v>
      </c>
      <c r="AJ52" s="244">
        <v>0.2127</v>
      </c>
      <c r="AK52" s="244">
        <v>0.2127</v>
      </c>
      <c r="AL52" s="245">
        <v>0.2127</v>
      </c>
    </row>
    <row r="53" spans="1:38" s="94" customFormat="1" outlineLevel="1" x14ac:dyDescent="0.35">
      <c r="A53" s="94" t="s">
        <v>64</v>
      </c>
      <c r="B53" s="94" t="s">
        <v>24</v>
      </c>
      <c r="D53" s="95" t="s">
        <v>162</v>
      </c>
      <c r="F53" s="226" t="s">
        <v>241</v>
      </c>
      <c r="G53" s="227"/>
      <c r="H53" s="227"/>
      <c r="I53" s="227" t="s">
        <v>8</v>
      </c>
      <c r="J53" s="227"/>
      <c r="K53" s="2"/>
      <c r="L53" s="227"/>
      <c r="M53" s="227"/>
      <c r="N53" s="227"/>
      <c r="O53" s="228">
        <f>O43-O47</f>
        <v>1487.795918367347</v>
      </c>
      <c r="P53" s="229">
        <f t="shared" ref="P53:AL53" si="22">P43-P47</f>
        <v>1487.795918367347</v>
      </c>
      <c r="Q53" s="229">
        <f t="shared" si="22"/>
        <v>1487.795918367347</v>
      </c>
      <c r="R53" s="229">
        <f t="shared" si="22"/>
        <v>1417.795918367347</v>
      </c>
      <c r="S53" s="229">
        <f t="shared" si="22"/>
        <v>1417.795918367347</v>
      </c>
      <c r="T53" s="229">
        <f t="shared" si="22"/>
        <v>1417.795918367347</v>
      </c>
      <c r="U53" s="229">
        <f t="shared" si="22"/>
        <v>1418.04</v>
      </c>
      <c r="V53" s="229">
        <f t="shared" si="22"/>
        <v>1418.04</v>
      </c>
      <c r="W53" s="229">
        <f t="shared" si="22"/>
        <v>1418.04</v>
      </c>
      <c r="X53" s="229">
        <f t="shared" si="22"/>
        <v>1418.04</v>
      </c>
      <c r="Y53" s="229">
        <f t="shared" si="22"/>
        <v>1418.04</v>
      </c>
      <c r="Z53" s="230">
        <f t="shared" si="22"/>
        <v>1418.04</v>
      </c>
      <c r="AA53" s="229">
        <f t="shared" si="22"/>
        <v>1388.04</v>
      </c>
      <c r="AB53" s="229">
        <f t="shared" si="22"/>
        <v>1388.04</v>
      </c>
      <c r="AC53" s="229">
        <f t="shared" si="22"/>
        <v>1388.04</v>
      </c>
      <c r="AD53" s="229">
        <f t="shared" si="22"/>
        <v>1388.04</v>
      </c>
      <c r="AE53" s="229">
        <f t="shared" si="22"/>
        <v>1388.04</v>
      </c>
      <c r="AF53" s="229">
        <f t="shared" si="22"/>
        <v>1388.04</v>
      </c>
      <c r="AG53" s="229">
        <f t="shared" si="22"/>
        <v>1388.04</v>
      </c>
      <c r="AH53" s="229">
        <f t="shared" si="22"/>
        <v>1388.04</v>
      </c>
      <c r="AI53" s="229">
        <f t="shared" si="22"/>
        <v>1388.04</v>
      </c>
      <c r="AJ53" s="229">
        <f t="shared" si="22"/>
        <v>1388.04</v>
      </c>
      <c r="AK53" s="229">
        <f t="shared" si="22"/>
        <v>1388.04</v>
      </c>
      <c r="AL53" s="230">
        <f t="shared" si="22"/>
        <v>1388.04</v>
      </c>
    </row>
    <row r="54" spans="1:38" s="96" customFormat="1" ht="79.400000000000006" customHeight="1" outlineLevel="1" x14ac:dyDescent="0.35">
      <c r="A54" s="96" t="s">
        <v>64</v>
      </c>
      <c r="B54" s="96" t="s">
        <v>24</v>
      </c>
      <c r="D54" s="97"/>
      <c r="F54" s="221" t="s">
        <v>242</v>
      </c>
      <c r="G54" s="26"/>
      <c r="H54" s="26"/>
      <c r="I54" s="26"/>
      <c r="J54" s="26" t="s">
        <v>45</v>
      </c>
      <c r="K54" s="12"/>
      <c r="L54" s="26"/>
      <c r="M54" s="26"/>
      <c r="N54" s="26"/>
      <c r="O54" s="88" t="str" cm="1">
        <f t="array" ref="O54">INDEX(Note!$G$3:$G$101,MATCH(1,(Note!$A$3:$A$101=$A54)*(Note!$C$3:$C$101=$B54)*(Note!$E$3:$E$101&lt;=O$1)*(Note!$F$3:$F$101&gt;=O$2),0))</f>
        <v>Giá Bales DTR Mua +% Hao Hụt + Conversion cost</v>
      </c>
      <c r="P54" s="27" t="str" cm="1">
        <f t="array" ref="P54">INDEX(Note!$G$3:$G$101,MATCH(1,(Note!$A$3:$A$101=$A54)*(Note!$C$3:$C$101=$B54)*(Note!$E$3:$E$101&lt;=P$1)*(Note!$F$3:$F$101&gt;=P$2),0))</f>
        <v>Giá Bales DTR Mua +% Hao Hụt + Conversion cost</v>
      </c>
      <c r="Q54" s="27" t="str" cm="1">
        <f t="array" ref="Q54">INDEX(Note!$G$3:$G$101,MATCH(1,(Note!$A$3:$A$101=$A54)*(Note!$C$3:$C$101=$B54)*(Note!$E$3:$E$101&lt;=Q$1)*(Note!$F$3:$F$101&gt;=Q$2),0))</f>
        <v>Giá Bales DTR Mua +% Hao Hụt + Conversion cost</v>
      </c>
      <c r="R54" s="27" t="str" cm="1">
        <f t="array" ref="R54">INDEX(Note!$G$3:$G$101,MATCH(1,(Note!$A$3:$A$101=$A54)*(Note!$C$3:$C$101=$B54)*(Note!$E$3:$E$101&lt;=R$1)*(Note!$F$3:$F$101&gt;=R$2),0))</f>
        <v>Giá Bales DTR Mua +% Hao Hụt + Conversion cost</v>
      </c>
      <c r="S54" s="27" t="str" cm="1">
        <f t="array" ref="S54">INDEX(Note!$G$3:$G$101,MATCH(1,(Note!$A$3:$A$101=$A54)*(Note!$C$3:$C$101=$B54)*(Note!$E$3:$E$101&lt;=S$1)*(Note!$F$3:$F$101&gt;=S$2),0))</f>
        <v>Giá Bales DTR Mua +% Hao Hụt + Conversion cost</v>
      </c>
      <c r="T54" s="27" t="str" cm="1">
        <f t="array" ref="T54">INDEX(Note!$G$3:$G$101,MATCH(1,(Note!$A$3:$A$101=$A54)*(Note!$C$3:$C$101=$B54)*(Note!$E$3:$E$101&lt;=T$1)*(Note!$F$3:$F$101&gt;=T$2),0))</f>
        <v>Giá Bales DTR Mua +% Hao Hụt + Conversion cost</v>
      </c>
      <c r="U54" s="27" t="str" cm="1">
        <f t="array" ref="U54">INDEX(Note!$G$3:$G$101,MATCH(1,(Note!$A$3:$A$101=$A54)*(Note!$C$3:$C$101=$B54)*(Note!$E$3:$E$101&lt;=U$1)*(Note!$F$3:$F$101&gt;=U$2),0))</f>
        <v>Giá Bales DTR Mua +% Hao Hụt + Conversion cost</v>
      </c>
      <c r="V54" s="27" t="str" cm="1">
        <f t="array" ref="V54">INDEX(Note!$G$3:$G$101,MATCH(1,(Note!$A$3:$A$101=$A54)*(Note!$C$3:$C$101=$B54)*(Note!$E$3:$E$101&lt;=V$1)*(Note!$F$3:$F$101&gt;=V$2),0))</f>
        <v>Giá Bales DTR Mua +% Hao Hụt + Conversion cost</v>
      </c>
      <c r="W54" s="27" t="str" cm="1">
        <f t="array" ref="W54">INDEX(Note!$G$3:$G$101,MATCH(1,(Note!$A$3:$A$101=$A54)*(Note!$C$3:$C$101=$B54)*(Note!$E$3:$E$101&lt;=W$1)*(Note!$F$3:$F$101&gt;=W$2),0))</f>
        <v>Giá Bales DTR Mua +% Hao Hụt + Conversion cost</v>
      </c>
      <c r="X54" s="27" t="str" cm="1">
        <f t="array" ref="X54">INDEX(Note!$G$3:$G$101,MATCH(1,(Note!$A$3:$A$101=$A54)*(Note!$C$3:$C$101=$B54)*(Note!$E$3:$E$101&lt;=X$1)*(Note!$F$3:$F$101&gt;=X$2),0))</f>
        <v>Giá Bales DTR Mua +% Hao Hụt + Conversion cost</v>
      </c>
      <c r="Y54" s="27" t="str" cm="1">
        <f t="array" ref="Y54">INDEX(Note!$G$3:$G$101,MATCH(1,(Note!$A$3:$A$101=$A54)*(Note!$C$3:$C$101=$B54)*(Note!$E$3:$E$101&lt;=Y$1)*(Note!$F$3:$F$101&gt;=Y$2),0))</f>
        <v>Giá Bales DTR Mua +% Hao Hụt + Conversion cost</v>
      </c>
      <c r="Z54" s="89" t="str" cm="1">
        <f t="array" ref="Z54">INDEX(Note!$G$3:$G$101,MATCH(1,(Note!$A$3:$A$101=$A54)*(Note!$C$3:$C$101=$B54)*(Note!$E$3:$E$101&lt;=Z$1)*(Note!$F$3:$F$101&gt;=Z$2),0))</f>
        <v>Giá Bales DTR Mua +% Hao Hụt + Conversion cost</v>
      </c>
      <c r="AA54" s="27" t="str" cm="1">
        <f t="array" ref="AA54">INDEX(Note!$G$3:$G$101,MATCH(1,(Note!$A$3:$A$101=$A54)*(Note!$C$3:$C$101=$B54)*(Note!$E$3:$E$101&lt;=AA$1)*(Note!$F$3:$F$101&gt;=AA$2),0))</f>
        <v>Giá cố định (KD đề xuất)</v>
      </c>
      <c r="AB54" s="27" t="str" cm="1">
        <f t="array" ref="AB54">INDEX(Note!$G$3:$G$101,MATCH(1,(Note!$A$3:$A$101=$A54)*(Note!$C$3:$C$101=$B54)*(Note!$E$3:$E$101&lt;=AB$1)*(Note!$F$3:$F$101&gt;=AB$2),0))</f>
        <v>Giá cố định (KD đề xuất)</v>
      </c>
      <c r="AC54" s="27" t="str" cm="1">
        <f t="array" ref="AC54">INDEX(Note!$G$3:$G$101,MATCH(1,(Note!$A$3:$A$101=$A54)*(Note!$C$3:$C$101=$B54)*(Note!$E$3:$E$101&lt;=AC$1)*(Note!$F$3:$F$101&gt;=AC$2),0))</f>
        <v>Giá cố định (KD đề xuất)</v>
      </c>
      <c r="AD54" s="27" t="str" cm="1">
        <f t="array" ref="AD54">INDEX(Note!$G$3:$G$101,MATCH(1,(Note!$A$3:$A$101=$A54)*(Note!$C$3:$C$101=$B54)*(Note!$E$3:$E$101&lt;=AD$1)*(Note!$F$3:$F$101&gt;=AD$2),0))</f>
        <v>Giá cố định (KD đề xuất)</v>
      </c>
      <c r="AE54" s="27" t="str" cm="1">
        <f t="array" ref="AE54">INDEX(Note!$G$3:$G$101,MATCH(1,(Note!$A$3:$A$101=$A54)*(Note!$C$3:$C$101=$B54)*(Note!$E$3:$E$101&lt;=AE$1)*(Note!$F$3:$F$101&gt;=AE$2),0))</f>
        <v>Giá cố định (KD đề xuất)</v>
      </c>
      <c r="AF54" s="27" t="str" cm="1">
        <f t="array" ref="AF54">INDEX(Note!$G$3:$G$101,MATCH(1,(Note!$A$3:$A$101=$A54)*(Note!$C$3:$C$101=$B54)*(Note!$E$3:$E$101&lt;=AF$1)*(Note!$F$3:$F$101&gt;=AF$2),0))</f>
        <v>Giá cố định (KD đề xuất)</v>
      </c>
      <c r="AG54" s="27" t="str" cm="1">
        <f t="array" ref="AG54">INDEX(Note!$G$3:$G$101,MATCH(1,(Note!$A$3:$A$101=$A54)*(Note!$C$3:$C$101=$B54)*(Note!$E$3:$E$101&lt;=AG$1)*(Note!$F$3:$F$101&gt;=AG$2),0))</f>
        <v>Giá cố định (KD đề xuất)</v>
      </c>
      <c r="AH54" s="27" t="str" cm="1">
        <f t="array" ref="AH54">INDEX(Note!$G$3:$G$101,MATCH(1,(Note!$A$3:$A$101=$A54)*(Note!$C$3:$C$101=$B54)*(Note!$E$3:$E$101&lt;=AH$1)*(Note!$F$3:$F$101&gt;=AH$2),0))</f>
        <v>Giá cố định (KD đề xuất)</v>
      </c>
      <c r="AI54" s="27" t="str" cm="1">
        <f t="array" ref="AI54">INDEX(Note!$G$3:$G$101,MATCH(1,(Note!$A$3:$A$101=$A54)*(Note!$C$3:$C$101=$B54)*(Note!$E$3:$E$101&lt;=AI$1)*(Note!$F$3:$F$101&gt;=AI$2),0))</f>
        <v>Giá cố định (KD đề xuất)</v>
      </c>
      <c r="AJ54" s="27" t="str" cm="1">
        <f t="array" ref="AJ54">INDEX(Note!$G$3:$G$101,MATCH(1,(Note!$A$3:$A$101=$A54)*(Note!$C$3:$C$101=$B54)*(Note!$E$3:$E$101&lt;=AJ$1)*(Note!$F$3:$F$101&gt;=AJ$2),0))</f>
        <v>Giá cố định (KD đề xuất)</v>
      </c>
      <c r="AK54" s="27" t="str" cm="1">
        <f t="array" ref="AK54">INDEX(Note!$G$3:$G$101,MATCH(1,(Note!$A$3:$A$101=$A54)*(Note!$C$3:$C$101=$B54)*(Note!$E$3:$E$101&lt;=AK$1)*(Note!$F$3:$F$101&gt;=AK$2),0))</f>
        <v>Giá cố định (KD đề xuất)</v>
      </c>
      <c r="AL54" s="89" t="str" cm="1">
        <f t="array" ref="AL54">INDEX(Note!$G$3:$G$101,MATCH(1,(Note!$A$3:$A$101=$A54)*(Note!$C$3:$C$101=$B54)*(Note!$E$3:$E$101&lt;=AL$1)*(Note!$F$3:$F$101&gt;=AL$2),0))</f>
        <v>Giá cố định (KD đề xuất)</v>
      </c>
    </row>
    <row r="55" spans="1:38" s="96" customFormat="1" outlineLevel="1" x14ac:dyDescent="0.35">
      <c r="A55" s="96" t="s">
        <v>64</v>
      </c>
      <c r="B55" s="96" t="s">
        <v>24</v>
      </c>
      <c r="D55" s="97"/>
      <c r="F55" s="221" t="s">
        <v>243</v>
      </c>
      <c r="G55" s="26"/>
      <c r="H55" s="26"/>
      <c r="I55" s="26"/>
      <c r="J55" s="26" t="s">
        <v>43</v>
      </c>
      <c r="K55" s="12"/>
      <c r="L55" s="26"/>
      <c r="M55" s="26"/>
      <c r="N55" s="26"/>
      <c r="O55" s="88" t="str" cm="1">
        <f t="array" ref="O55">INDEX(Note!$H$3:$H$101,MATCH(1,(Note!$A$3:$A$101=$A55)*(Note!$C$3:$C$101=$B55)*(Note!$E$3:$E$101&lt;=O$1)*(Note!$F$3:$F$101&gt;=O$2),0))</f>
        <v>DDP</v>
      </c>
      <c r="P55" s="27" t="str" cm="1">
        <f t="array" ref="P55">INDEX(Note!$H$3:$H$101,MATCH(1,(Note!$A$3:$A$101=$A55)*(Note!$C$3:$C$101=$B55)*(Note!$E$3:$E$101&lt;=P$1)*(Note!$F$3:$F$101&gt;=P$2),0))</f>
        <v>DDP</v>
      </c>
      <c r="Q55" s="27" t="str" cm="1">
        <f t="array" ref="Q55">INDEX(Note!$H$3:$H$101,MATCH(1,(Note!$A$3:$A$101=$A55)*(Note!$C$3:$C$101=$B55)*(Note!$E$3:$E$101&lt;=Q$1)*(Note!$F$3:$F$101&gt;=Q$2),0))</f>
        <v>DDP</v>
      </c>
      <c r="R55" s="27" t="str" cm="1">
        <f t="array" ref="R55">INDEX(Note!$H$3:$H$101,MATCH(1,(Note!$A$3:$A$101=$A55)*(Note!$C$3:$C$101=$B55)*(Note!$E$3:$E$101&lt;=R$1)*(Note!$F$3:$F$101&gt;=R$2),0))</f>
        <v>DDP</v>
      </c>
      <c r="S55" s="27" t="str" cm="1">
        <f t="array" ref="S55">INDEX(Note!$H$3:$H$101,MATCH(1,(Note!$A$3:$A$101=$A55)*(Note!$C$3:$C$101=$B55)*(Note!$E$3:$E$101&lt;=S$1)*(Note!$F$3:$F$101&gt;=S$2),0))</f>
        <v>DDP</v>
      </c>
      <c r="T55" s="27" t="str" cm="1">
        <f t="array" ref="T55">INDEX(Note!$H$3:$H$101,MATCH(1,(Note!$A$3:$A$101=$A55)*(Note!$C$3:$C$101=$B55)*(Note!$E$3:$E$101&lt;=T$1)*(Note!$F$3:$F$101&gt;=T$2),0))</f>
        <v>DDP</v>
      </c>
      <c r="U55" s="27" t="str" cm="1">
        <f t="array" ref="U55">INDEX(Note!$H$3:$H$101,MATCH(1,(Note!$A$3:$A$101=$A55)*(Note!$C$3:$C$101=$B55)*(Note!$E$3:$E$101&lt;=U$1)*(Note!$F$3:$F$101&gt;=U$2),0))</f>
        <v>DDP</v>
      </c>
      <c r="V55" s="27" t="str" cm="1">
        <f t="array" ref="V55">INDEX(Note!$H$3:$H$101,MATCH(1,(Note!$A$3:$A$101=$A55)*(Note!$C$3:$C$101=$B55)*(Note!$E$3:$E$101&lt;=V$1)*(Note!$F$3:$F$101&gt;=V$2),0))</f>
        <v>DDP</v>
      </c>
      <c r="W55" s="27" t="str" cm="1">
        <f t="array" ref="W55">INDEX(Note!$H$3:$H$101,MATCH(1,(Note!$A$3:$A$101=$A55)*(Note!$C$3:$C$101=$B55)*(Note!$E$3:$E$101&lt;=W$1)*(Note!$F$3:$F$101&gt;=W$2),0))</f>
        <v>DDP</v>
      </c>
      <c r="X55" s="27" t="str" cm="1">
        <f t="array" ref="X55">INDEX(Note!$H$3:$H$101,MATCH(1,(Note!$A$3:$A$101=$A55)*(Note!$C$3:$C$101=$B55)*(Note!$E$3:$E$101&lt;=X$1)*(Note!$F$3:$F$101&gt;=X$2),0))</f>
        <v>DDP</v>
      </c>
      <c r="Y55" s="27" t="str" cm="1">
        <f t="array" ref="Y55">INDEX(Note!$H$3:$H$101,MATCH(1,(Note!$A$3:$A$101=$A55)*(Note!$C$3:$C$101=$B55)*(Note!$E$3:$E$101&lt;=Y$1)*(Note!$F$3:$F$101&gt;=Y$2),0))</f>
        <v>DDP</v>
      </c>
      <c r="Z55" s="89" t="str" cm="1">
        <f t="array" ref="Z55">INDEX(Note!$H$3:$H$101,MATCH(1,(Note!$A$3:$A$101=$A55)*(Note!$C$3:$C$101=$B55)*(Note!$E$3:$E$101&lt;=Z$1)*(Note!$F$3:$F$101&gt;=Z$2),0))</f>
        <v>DDP</v>
      </c>
      <c r="AA55" s="27" t="str" cm="1">
        <f t="array" ref="AA55">INDEX(Note!$H$3:$H$101,MATCH(1,(Note!$A$3:$A$101=$A55)*(Note!$C$3:$C$101=$B55)*(Note!$E$3:$E$101&lt;=AA$1)*(Note!$F$3:$F$101&gt;=AA$2),0))</f>
        <v>DDP</v>
      </c>
      <c r="AB55" s="27" t="str" cm="1">
        <f t="array" ref="AB55">INDEX(Note!$H$3:$H$101,MATCH(1,(Note!$A$3:$A$101=$A55)*(Note!$C$3:$C$101=$B55)*(Note!$E$3:$E$101&lt;=AB$1)*(Note!$F$3:$F$101&gt;=AB$2),0))</f>
        <v>DDP</v>
      </c>
      <c r="AC55" s="27" t="str" cm="1">
        <f t="array" ref="AC55">INDEX(Note!$H$3:$H$101,MATCH(1,(Note!$A$3:$A$101=$A55)*(Note!$C$3:$C$101=$B55)*(Note!$E$3:$E$101&lt;=AC$1)*(Note!$F$3:$F$101&gt;=AC$2),0))</f>
        <v>DDP</v>
      </c>
      <c r="AD55" s="27" t="str" cm="1">
        <f t="array" ref="AD55">INDEX(Note!$H$3:$H$101,MATCH(1,(Note!$A$3:$A$101=$A55)*(Note!$C$3:$C$101=$B55)*(Note!$E$3:$E$101&lt;=AD$1)*(Note!$F$3:$F$101&gt;=AD$2),0))</f>
        <v>DDP</v>
      </c>
      <c r="AE55" s="27" t="str" cm="1">
        <f t="array" ref="AE55">INDEX(Note!$H$3:$H$101,MATCH(1,(Note!$A$3:$A$101=$A55)*(Note!$C$3:$C$101=$B55)*(Note!$E$3:$E$101&lt;=AE$1)*(Note!$F$3:$F$101&gt;=AE$2),0))</f>
        <v>DDP</v>
      </c>
      <c r="AF55" s="27" t="str" cm="1">
        <f t="array" ref="AF55">INDEX(Note!$H$3:$H$101,MATCH(1,(Note!$A$3:$A$101=$A55)*(Note!$C$3:$C$101=$B55)*(Note!$E$3:$E$101&lt;=AF$1)*(Note!$F$3:$F$101&gt;=AF$2),0))</f>
        <v>DDP</v>
      </c>
      <c r="AG55" s="27" t="str" cm="1">
        <f t="array" ref="AG55">INDEX(Note!$H$3:$H$101,MATCH(1,(Note!$A$3:$A$101=$A55)*(Note!$C$3:$C$101=$B55)*(Note!$E$3:$E$101&lt;=AG$1)*(Note!$F$3:$F$101&gt;=AG$2),0))</f>
        <v>DDP</v>
      </c>
      <c r="AH55" s="27" t="str" cm="1">
        <f t="array" ref="AH55">INDEX(Note!$H$3:$H$101,MATCH(1,(Note!$A$3:$A$101=$A55)*(Note!$C$3:$C$101=$B55)*(Note!$E$3:$E$101&lt;=AH$1)*(Note!$F$3:$F$101&gt;=AH$2),0))</f>
        <v>DDP</v>
      </c>
      <c r="AI55" s="27" t="str" cm="1">
        <f t="array" ref="AI55">INDEX(Note!$H$3:$H$101,MATCH(1,(Note!$A$3:$A$101=$A55)*(Note!$C$3:$C$101=$B55)*(Note!$E$3:$E$101&lt;=AI$1)*(Note!$F$3:$F$101&gt;=AI$2),0))</f>
        <v>DDP</v>
      </c>
      <c r="AJ55" s="27" t="str" cm="1">
        <f t="array" ref="AJ55">INDEX(Note!$H$3:$H$101,MATCH(1,(Note!$A$3:$A$101=$A55)*(Note!$C$3:$C$101=$B55)*(Note!$E$3:$E$101&lt;=AJ$1)*(Note!$F$3:$F$101&gt;=AJ$2),0))</f>
        <v>DDP</v>
      </c>
      <c r="AK55" s="27" t="str" cm="1">
        <f t="array" ref="AK55">INDEX(Note!$H$3:$H$101,MATCH(1,(Note!$A$3:$A$101=$A55)*(Note!$C$3:$C$101=$B55)*(Note!$E$3:$E$101&lt;=AK$1)*(Note!$F$3:$F$101&gt;=AK$2),0))</f>
        <v>DDP</v>
      </c>
      <c r="AL55" s="89" t="str" cm="1">
        <f t="array" ref="AL55">INDEX(Note!$H$3:$H$101,MATCH(1,(Note!$A$3:$A$101=$A55)*(Note!$C$3:$C$101=$B55)*(Note!$E$3:$E$101&lt;=AL$1)*(Note!$F$3:$F$101&gt;=AL$2),0))</f>
        <v>DDP</v>
      </c>
    </row>
    <row r="56" spans="1:38" s="97" customFormat="1" outlineLevel="1" x14ac:dyDescent="0.35">
      <c r="A56" s="97" t="s">
        <v>64</v>
      </c>
      <c r="B56" s="97" t="s">
        <v>24</v>
      </c>
      <c r="F56" s="196" t="s">
        <v>244</v>
      </c>
      <c r="G56" s="107"/>
      <c r="H56" s="107"/>
      <c r="I56" s="107"/>
      <c r="J56" s="107" t="s">
        <v>46</v>
      </c>
      <c r="K56" s="109"/>
      <c r="L56" s="107"/>
      <c r="M56" s="107"/>
      <c r="N56" s="107"/>
      <c r="O56" s="236" t="str" cm="1">
        <f t="array" ref="O56">INDEX(Note!$I$3:$I$101,MATCH(1,(Note!$A$3:$A$101=$A56)*(Note!$C$3:$C$101=$B56)*(Note!$E$3:$E$101&lt;=O$1)*(Note!$F$3:$F$101&gt;=O$2),0))</f>
        <v>Quý</v>
      </c>
      <c r="P56" s="196" t="str" cm="1">
        <f t="array" ref="P56">INDEX(Note!$I$3:$I$101,MATCH(1,(Note!$A$3:$A$101=$A56)*(Note!$C$3:$C$101=$B56)*(Note!$E$3:$E$101&lt;=P$1)*(Note!$F$3:$F$101&gt;=P$2),0))</f>
        <v>Quý</v>
      </c>
      <c r="Q56" s="196" t="str" cm="1">
        <f t="array" ref="Q56">INDEX(Note!$I$3:$I$101,MATCH(1,(Note!$A$3:$A$101=$A56)*(Note!$C$3:$C$101=$B56)*(Note!$E$3:$E$101&lt;=Q$1)*(Note!$F$3:$F$101&gt;=Q$2),0))</f>
        <v>Quý</v>
      </c>
      <c r="R56" s="196" t="str" cm="1">
        <f t="array" ref="R56">INDEX(Note!$I$3:$I$101,MATCH(1,(Note!$A$3:$A$101=$A56)*(Note!$C$3:$C$101=$B56)*(Note!$E$3:$E$101&lt;=R$1)*(Note!$F$3:$F$101&gt;=R$2),0))</f>
        <v>Quý</v>
      </c>
      <c r="S56" s="196" t="str" cm="1">
        <f t="array" ref="S56">INDEX(Note!$I$3:$I$101,MATCH(1,(Note!$A$3:$A$101=$A56)*(Note!$C$3:$C$101=$B56)*(Note!$E$3:$E$101&lt;=S$1)*(Note!$F$3:$F$101&gt;=S$2),0))</f>
        <v>Quý</v>
      </c>
      <c r="T56" s="196" t="str" cm="1">
        <f t="array" ref="T56">INDEX(Note!$I$3:$I$101,MATCH(1,(Note!$A$3:$A$101=$A56)*(Note!$C$3:$C$101=$B56)*(Note!$E$3:$E$101&lt;=T$1)*(Note!$F$3:$F$101&gt;=T$2),0))</f>
        <v>Quý</v>
      </c>
      <c r="U56" s="196" t="str" cm="1">
        <f t="array" ref="U56">INDEX(Note!$I$3:$I$101,MATCH(1,(Note!$A$3:$A$101=$A56)*(Note!$C$3:$C$101=$B56)*(Note!$E$3:$E$101&lt;=U$1)*(Note!$F$3:$F$101&gt;=U$2),0))</f>
        <v>Quý</v>
      </c>
      <c r="V56" s="196" t="str" cm="1">
        <f t="array" ref="V56">INDEX(Note!$I$3:$I$101,MATCH(1,(Note!$A$3:$A$101=$A56)*(Note!$C$3:$C$101=$B56)*(Note!$E$3:$E$101&lt;=V$1)*(Note!$F$3:$F$101&gt;=V$2),0))</f>
        <v>Quý</v>
      </c>
      <c r="W56" s="196" t="str" cm="1">
        <f t="array" ref="W56">INDEX(Note!$I$3:$I$101,MATCH(1,(Note!$A$3:$A$101=$A56)*(Note!$C$3:$C$101=$B56)*(Note!$E$3:$E$101&lt;=W$1)*(Note!$F$3:$F$101&gt;=W$2),0))</f>
        <v>Quý</v>
      </c>
      <c r="X56" s="196" t="str" cm="1">
        <f t="array" ref="X56">INDEX(Note!$I$3:$I$101,MATCH(1,(Note!$A$3:$A$101=$A56)*(Note!$C$3:$C$101=$B56)*(Note!$E$3:$E$101&lt;=X$1)*(Note!$F$3:$F$101&gt;=X$2),0))</f>
        <v>Quý</v>
      </c>
      <c r="Y56" s="196" t="str" cm="1">
        <f t="array" ref="Y56">INDEX(Note!$I$3:$I$101,MATCH(1,(Note!$A$3:$A$101=$A56)*(Note!$C$3:$C$101=$B56)*(Note!$E$3:$E$101&lt;=Y$1)*(Note!$F$3:$F$101&gt;=Y$2),0))</f>
        <v>Quý</v>
      </c>
      <c r="Z56" s="197" t="str" cm="1">
        <f t="array" ref="Z56">INDEX(Note!$I$3:$I$101,MATCH(1,(Note!$A$3:$A$101=$A56)*(Note!$C$3:$C$101=$B56)*(Note!$E$3:$E$101&lt;=Z$1)*(Note!$F$3:$F$101&gt;=Z$2),0))</f>
        <v>Quý</v>
      </c>
      <c r="AA56" s="196" t="str" cm="1">
        <f t="array" ref="AA56">INDEX(Note!$I$3:$I$101,MATCH(1,(Note!$A$3:$A$101=$A56)*(Note!$C$3:$C$101=$B56)*(Note!$E$3:$E$101&lt;=AA$1)*(Note!$F$3:$F$101&gt;=AA$2),0))</f>
        <v>Năm</v>
      </c>
      <c r="AB56" s="196" t="str" cm="1">
        <f t="array" ref="AB56">INDEX(Note!$I$3:$I$101,MATCH(1,(Note!$A$3:$A$101=$A56)*(Note!$C$3:$C$101=$B56)*(Note!$E$3:$E$101&lt;=AB$1)*(Note!$F$3:$F$101&gt;=AB$2),0))</f>
        <v>Năm</v>
      </c>
      <c r="AC56" s="196" t="str" cm="1">
        <f t="array" ref="AC56">INDEX(Note!$I$3:$I$101,MATCH(1,(Note!$A$3:$A$101=$A56)*(Note!$C$3:$C$101=$B56)*(Note!$E$3:$E$101&lt;=AC$1)*(Note!$F$3:$F$101&gt;=AC$2),0))</f>
        <v>Năm</v>
      </c>
      <c r="AD56" s="196" t="str" cm="1">
        <f t="array" ref="AD56">INDEX(Note!$I$3:$I$101,MATCH(1,(Note!$A$3:$A$101=$A56)*(Note!$C$3:$C$101=$B56)*(Note!$E$3:$E$101&lt;=AD$1)*(Note!$F$3:$F$101&gt;=AD$2),0))</f>
        <v>Năm</v>
      </c>
      <c r="AE56" s="196" t="str" cm="1">
        <f t="array" ref="AE56">INDEX(Note!$I$3:$I$101,MATCH(1,(Note!$A$3:$A$101=$A56)*(Note!$C$3:$C$101=$B56)*(Note!$E$3:$E$101&lt;=AE$1)*(Note!$F$3:$F$101&gt;=AE$2),0))</f>
        <v>Năm</v>
      </c>
      <c r="AF56" s="196" t="str" cm="1">
        <f t="array" ref="AF56">INDEX(Note!$I$3:$I$101,MATCH(1,(Note!$A$3:$A$101=$A56)*(Note!$C$3:$C$101=$B56)*(Note!$E$3:$E$101&lt;=AF$1)*(Note!$F$3:$F$101&gt;=AF$2),0))</f>
        <v>Năm</v>
      </c>
      <c r="AG56" s="196" t="str" cm="1">
        <f t="array" ref="AG56">INDEX(Note!$I$3:$I$101,MATCH(1,(Note!$A$3:$A$101=$A56)*(Note!$C$3:$C$101=$B56)*(Note!$E$3:$E$101&lt;=AG$1)*(Note!$F$3:$F$101&gt;=AG$2),0))</f>
        <v>Năm</v>
      </c>
      <c r="AH56" s="196" t="str" cm="1">
        <f t="array" ref="AH56">INDEX(Note!$I$3:$I$101,MATCH(1,(Note!$A$3:$A$101=$A56)*(Note!$C$3:$C$101=$B56)*(Note!$E$3:$E$101&lt;=AH$1)*(Note!$F$3:$F$101&gt;=AH$2),0))</f>
        <v>Năm</v>
      </c>
      <c r="AI56" s="196" t="str" cm="1">
        <f t="array" ref="AI56">INDEX(Note!$I$3:$I$101,MATCH(1,(Note!$A$3:$A$101=$A56)*(Note!$C$3:$C$101=$B56)*(Note!$E$3:$E$101&lt;=AI$1)*(Note!$F$3:$F$101&gt;=AI$2),0))</f>
        <v>Năm</v>
      </c>
      <c r="AJ56" s="196" t="str" cm="1">
        <f t="array" ref="AJ56">INDEX(Note!$I$3:$I$101,MATCH(1,(Note!$A$3:$A$101=$A56)*(Note!$C$3:$C$101=$B56)*(Note!$E$3:$E$101&lt;=AJ$1)*(Note!$F$3:$F$101&gt;=AJ$2),0))</f>
        <v>Năm</v>
      </c>
      <c r="AK56" s="196" t="str" cm="1">
        <f t="array" ref="AK56">INDEX(Note!$I$3:$I$101,MATCH(1,(Note!$A$3:$A$101=$A56)*(Note!$C$3:$C$101=$B56)*(Note!$E$3:$E$101&lt;=AK$1)*(Note!$F$3:$F$101&gt;=AK$2),0))</f>
        <v>Năm</v>
      </c>
      <c r="AL56" s="197" t="str" cm="1">
        <f t="array" ref="AL56">INDEX(Note!$I$3:$I$101,MATCH(1,(Note!$A$3:$A$101=$A56)*(Note!$C$3:$C$101=$B56)*(Note!$E$3:$E$101&lt;=AL$1)*(Note!$F$3:$F$101&gt;=AL$2),0))</f>
        <v>Năm</v>
      </c>
    </row>
    <row r="57" spans="1:38" s="188" customFormat="1" outlineLevel="1" x14ac:dyDescent="0.35">
      <c r="A57" s="188" t="s">
        <v>64</v>
      </c>
      <c r="B57" s="188" t="s">
        <v>24</v>
      </c>
      <c r="F57" s="225" t="s">
        <v>265</v>
      </c>
      <c r="G57" s="193"/>
      <c r="H57" s="193"/>
      <c r="I57" s="193"/>
      <c r="J57" s="193" t="s">
        <v>203</v>
      </c>
      <c r="K57" s="189"/>
      <c r="L57" s="202"/>
      <c r="M57" s="202"/>
      <c r="N57" s="202"/>
      <c r="O57" s="201" cm="1">
        <f t="array" ref="O57">SUMPRODUCT(General_Data*(Year=O$3)*(Month=O$4)*(Code_General_Data=$B57))</f>
        <v>1350</v>
      </c>
      <c r="P57" s="202" cm="1">
        <f t="array" ref="P57">SUMPRODUCT(General_Data*(Year=P$3)*(Month=P$4)*(Code_General_Data=$B57))</f>
        <v>1350</v>
      </c>
      <c r="Q57" s="202" cm="1">
        <f t="array" ref="Q57">SUMPRODUCT(General_Data*(Year=Q$3)*(Month=Q$4)*(Code_General_Data=$B57))</f>
        <v>1350</v>
      </c>
      <c r="R57" s="202" cm="1">
        <f t="array" ref="R57">SUMPRODUCT(General_Data*(Year=R$3)*(Month=R$4)*(Code_General_Data=$B57))</f>
        <v>1350</v>
      </c>
      <c r="S57" s="202" cm="1">
        <f t="array" ref="S57">SUMPRODUCT(General_Data*(Year=S$3)*(Month=S$4)*(Code_General_Data=$B57))</f>
        <v>1350</v>
      </c>
      <c r="T57" s="202" cm="1">
        <f t="array" ref="T57">SUMPRODUCT(General_Data*(Year=T$3)*(Month=T$4)*(Code_General_Data=$B57))</f>
        <v>1350</v>
      </c>
      <c r="U57" s="202" cm="1">
        <f t="array" ref="U57">SUMPRODUCT(General_Data*(Year=U$3)*(Month=U$4)*(Code_General_Data=$B57))</f>
        <v>1350</v>
      </c>
      <c r="V57" s="202" cm="1">
        <f t="array" ref="V57">SUMPRODUCT(General_Data*(Year=V$3)*(Month=V$4)*(Code_General_Data=$B57))</f>
        <v>1350</v>
      </c>
      <c r="W57" s="202" cm="1">
        <f t="array" ref="W57">SUMPRODUCT(General_Data*(Year=W$3)*(Month=W$4)*(Code_General_Data=$B57))</f>
        <v>1350</v>
      </c>
      <c r="X57" s="202" cm="1">
        <f t="array" ref="X57">SUMPRODUCT(General_Data*(Year=X$3)*(Month=X$4)*(Code_General_Data=$B57))</f>
        <v>1350</v>
      </c>
      <c r="Y57" s="202" cm="1">
        <f t="array" ref="Y57">SUMPRODUCT(General_Data*(Year=Y$3)*(Month=Y$4)*(Code_General_Data=$B57))</f>
        <v>1350</v>
      </c>
      <c r="Z57" s="203" cm="1">
        <f t="array" ref="Z57">SUMPRODUCT(General_Data*(Year=Z$3)*(Month=Z$4)*(Code_General_Data=$B57))</f>
        <v>1350</v>
      </c>
      <c r="AA57" s="202" cm="1">
        <f t="array" ref="AA57">SUMPRODUCT(General_Data*(Year=AA$3)*(Month=AA$4)*(Code_General_Data=$B57))</f>
        <v>1350</v>
      </c>
      <c r="AB57" s="202" cm="1">
        <f t="array" ref="AB57">SUMPRODUCT(General_Data*(Year=AB$3)*(Month=AB$4)*(Code_General_Data=$B57))</f>
        <v>1300</v>
      </c>
      <c r="AC57" s="202" cm="1">
        <f t="array" ref="AC57">SUMPRODUCT(General_Data*(Year=AC$3)*(Month=AC$4)*(Code_General_Data=$B57))</f>
        <v>1250</v>
      </c>
      <c r="AD57" s="202"/>
      <c r="AE57" s="202"/>
      <c r="AF57" s="202"/>
      <c r="AG57" s="202"/>
      <c r="AH57" s="202"/>
      <c r="AI57" s="202"/>
      <c r="AJ57" s="202"/>
      <c r="AK57" s="202"/>
      <c r="AL57" s="203"/>
    </row>
    <row r="58" spans="1:38" s="188" customFormat="1" ht="6.65" customHeight="1" x14ac:dyDescent="0.35">
      <c r="F58" s="304"/>
      <c r="G58" s="305"/>
      <c r="H58" s="305"/>
      <c r="I58" s="305"/>
      <c r="J58" s="305"/>
      <c r="K58" s="189"/>
      <c r="L58" s="306"/>
      <c r="M58" s="306"/>
      <c r="N58" s="306"/>
      <c r="O58" s="307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8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8"/>
    </row>
    <row r="59" spans="1:38" s="183" customFormat="1" ht="17" x14ac:dyDescent="0.35">
      <c r="A59" s="183" t="s">
        <v>64</v>
      </c>
      <c r="B59" s="183" t="s">
        <v>22</v>
      </c>
      <c r="D59" s="183" t="s">
        <v>322</v>
      </c>
      <c r="F59" s="220">
        <v>2.2999999999999998</v>
      </c>
      <c r="G59" s="190"/>
      <c r="H59" s="190" t="s">
        <v>245</v>
      </c>
      <c r="I59" s="190"/>
      <c r="J59" s="190"/>
      <c r="L59" s="190"/>
      <c r="M59" s="190"/>
      <c r="N59" s="190"/>
      <c r="O59" s="254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6"/>
      <c r="AA59" s="216">
        <f>AA60</f>
        <v>1400</v>
      </c>
      <c r="AB59" s="217">
        <f t="shared" ref="AB59:AL59" si="23">AB60</f>
        <v>1400</v>
      </c>
      <c r="AC59" s="217">
        <f t="shared" si="23"/>
        <v>1400</v>
      </c>
      <c r="AD59" s="217">
        <f t="shared" si="23"/>
        <v>1400</v>
      </c>
      <c r="AE59" s="217">
        <f t="shared" si="23"/>
        <v>1400</v>
      </c>
      <c r="AF59" s="217">
        <f t="shared" si="23"/>
        <v>1400</v>
      </c>
      <c r="AG59" s="217">
        <f t="shared" si="23"/>
        <v>1400</v>
      </c>
      <c r="AH59" s="217">
        <f t="shared" si="23"/>
        <v>1400</v>
      </c>
      <c r="AI59" s="217">
        <f t="shared" si="23"/>
        <v>1400</v>
      </c>
      <c r="AJ59" s="217">
        <f t="shared" si="23"/>
        <v>1400</v>
      </c>
      <c r="AK59" s="217">
        <f t="shared" si="23"/>
        <v>1400</v>
      </c>
      <c r="AL59" s="218">
        <f t="shared" si="23"/>
        <v>1400</v>
      </c>
    </row>
    <row r="60" spans="1:38" s="96" customFormat="1" outlineLevel="1" x14ac:dyDescent="0.35">
      <c r="A60" s="96" t="s">
        <v>64</v>
      </c>
      <c r="B60" s="96" t="s">
        <v>22</v>
      </c>
      <c r="D60" s="97"/>
      <c r="F60" s="221" t="s">
        <v>247</v>
      </c>
      <c r="G60" s="26"/>
      <c r="H60" s="26" t="s">
        <v>41</v>
      </c>
      <c r="I60" s="26" t="s">
        <v>246</v>
      </c>
      <c r="J60" s="26"/>
      <c r="K60" s="12"/>
      <c r="L60" s="26"/>
      <c r="M60" s="26"/>
      <c r="N60" s="26"/>
      <c r="O60" s="257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9"/>
      <c r="AA60" s="213">
        <f t="shared" ref="AA60:AL60" si="24">AA43</f>
        <v>1400</v>
      </c>
      <c r="AB60" s="214">
        <f t="shared" si="24"/>
        <v>1400</v>
      </c>
      <c r="AC60" s="214">
        <f t="shared" si="24"/>
        <v>1400</v>
      </c>
      <c r="AD60" s="214">
        <f t="shared" si="24"/>
        <v>1400</v>
      </c>
      <c r="AE60" s="214">
        <f t="shared" si="24"/>
        <v>1400</v>
      </c>
      <c r="AF60" s="214">
        <f t="shared" si="24"/>
        <v>1400</v>
      </c>
      <c r="AG60" s="214">
        <f t="shared" si="24"/>
        <v>1400</v>
      </c>
      <c r="AH60" s="214">
        <f t="shared" si="24"/>
        <v>1400</v>
      </c>
      <c r="AI60" s="214">
        <f t="shared" si="24"/>
        <v>1400</v>
      </c>
      <c r="AJ60" s="214">
        <f t="shared" si="24"/>
        <v>1400</v>
      </c>
      <c r="AK60" s="214">
        <f t="shared" si="24"/>
        <v>1400</v>
      </c>
      <c r="AL60" s="215">
        <f t="shared" si="24"/>
        <v>1400</v>
      </c>
    </row>
    <row r="61" spans="1:38" s="94" customFormat="1" outlineLevel="1" x14ac:dyDescent="0.35">
      <c r="A61" s="94" t="s">
        <v>64</v>
      </c>
      <c r="B61" s="94" t="s">
        <v>22</v>
      </c>
      <c r="D61" s="95" t="s">
        <v>162</v>
      </c>
      <c r="F61" s="226" t="s">
        <v>248</v>
      </c>
      <c r="G61" s="227"/>
      <c r="H61" s="227"/>
      <c r="I61" s="227" t="s">
        <v>8</v>
      </c>
      <c r="J61" s="227"/>
      <c r="K61" s="2"/>
      <c r="L61" s="227"/>
      <c r="M61" s="227"/>
      <c r="N61" s="227"/>
      <c r="O61" s="260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2"/>
      <c r="AA61" s="229">
        <f t="shared" ref="AA61:AL61" si="25">AA53</f>
        <v>1388.04</v>
      </c>
      <c r="AB61" s="229">
        <f t="shared" si="25"/>
        <v>1388.04</v>
      </c>
      <c r="AC61" s="229">
        <f t="shared" si="25"/>
        <v>1388.04</v>
      </c>
      <c r="AD61" s="229">
        <f t="shared" si="25"/>
        <v>1388.04</v>
      </c>
      <c r="AE61" s="229">
        <f t="shared" si="25"/>
        <v>1388.04</v>
      </c>
      <c r="AF61" s="229">
        <f t="shared" si="25"/>
        <v>1388.04</v>
      </c>
      <c r="AG61" s="229">
        <f t="shared" si="25"/>
        <v>1388.04</v>
      </c>
      <c r="AH61" s="229">
        <f t="shared" si="25"/>
        <v>1388.04</v>
      </c>
      <c r="AI61" s="229">
        <f t="shared" si="25"/>
        <v>1388.04</v>
      </c>
      <c r="AJ61" s="229">
        <f t="shared" si="25"/>
        <v>1388.04</v>
      </c>
      <c r="AK61" s="229">
        <f t="shared" si="25"/>
        <v>1388.04</v>
      </c>
      <c r="AL61" s="230">
        <f t="shared" si="25"/>
        <v>1388.04</v>
      </c>
    </row>
    <row r="62" spans="1:38" s="96" customFormat="1" ht="79.400000000000006" customHeight="1" outlineLevel="1" x14ac:dyDescent="0.35">
      <c r="A62" s="96" t="s">
        <v>64</v>
      </c>
      <c r="B62" s="96" t="s">
        <v>22</v>
      </c>
      <c r="D62" s="97"/>
      <c r="F62" s="221" t="s">
        <v>249</v>
      </c>
      <c r="G62" s="26"/>
      <c r="H62" s="26"/>
      <c r="I62" s="26"/>
      <c r="J62" s="26" t="s">
        <v>45</v>
      </c>
      <c r="K62" s="12"/>
      <c r="L62" s="26"/>
      <c r="M62" s="26"/>
      <c r="N62" s="26"/>
      <c r="O62" s="263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5"/>
      <c r="AA62" s="27" t="str" cm="1">
        <f t="array" ref="AA62">INDEX(Note!$G$3:$G$101,MATCH(1,(Note!$A$3:$A$101=$A62)*(Note!$C$3:$C$101=$B62)*(Note!$E$3:$E$101&lt;=AA$1)*(Note!$F$3:$F$101&gt;=AA$2),0))</f>
        <v>Bằng giá MBF01 (KD đề xuất)</v>
      </c>
      <c r="AB62" s="27" t="str" cm="1">
        <f t="array" ref="AB62">INDEX(Note!$G$3:$G$101,MATCH(1,(Note!$A$3:$A$101=$A62)*(Note!$C$3:$C$101=$B62)*(Note!$E$3:$E$101&lt;=AB$1)*(Note!$F$3:$F$101&gt;=AB$2),0))</f>
        <v>Bằng giá MBF01 (KD đề xuất)</v>
      </c>
      <c r="AC62" s="27" t="str" cm="1">
        <f t="array" ref="AC62">INDEX(Note!$G$3:$G$101,MATCH(1,(Note!$A$3:$A$101=$A62)*(Note!$C$3:$C$101=$B62)*(Note!$E$3:$E$101&lt;=AC$1)*(Note!$F$3:$F$101&gt;=AC$2),0))</f>
        <v>Bằng giá MBF01 (KD đề xuất)</v>
      </c>
      <c r="AD62" s="27" t="str" cm="1">
        <f t="array" ref="AD62">INDEX(Note!$G$3:$G$101,MATCH(1,(Note!$A$3:$A$101=$A62)*(Note!$C$3:$C$101=$B62)*(Note!$E$3:$E$101&lt;=AD$1)*(Note!$F$3:$F$101&gt;=AD$2),0))</f>
        <v>Bằng giá MBF01 (KD đề xuất)</v>
      </c>
      <c r="AE62" s="27" t="str" cm="1">
        <f t="array" ref="AE62">INDEX(Note!$G$3:$G$101,MATCH(1,(Note!$A$3:$A$101=$A62)*(Note!$C$3:$C$101=$B62)*(Note!$E$3:$E$101&lt;=AE$1)*(Note!$F$3:$F$101&gt;=AE$2),0))</f>
        <v>Bằng giá MBF01 (KD đề xuất)</v>
      </c>
      <c r="AF62" s="27" t="str" cm="1">
        <f t="array" ref="AF62">INDEX(Note!$G$3:$G$101,MATCH(1,(Note!$A$3:$A$101=$A62)*(Note!$C$3:$C$101=$B62)*(Note!$E$3:$E$101&lt;=AF$1)*(Note!$F$3:$F$101&gt;=AF$2),0))</f>
        <v>Bằng giá MBF01 (KD đề xuất)</v>
      </c>
      <c r="AG62" s="27" t="str" cm="1">
        <f t="array" ref="AG62">INDEX(Note!$G$3:$G$101,MATCH(1,(Note!$A$3:$A$101=$A62)*(Note!$C$3:$C$101=$B62)*(Note!$E$3:$E$101&lt;=AG$1)*(Note!$F$3:$F$101&gt;=AG$2),0))</f>
        <v>Bằng giá MBF01 (KD đề xuất)</v>
      </c>
      <c r="AH62" s="27" t="str" cm="1">
        <f t="array" ref="AH62">INDEX(Note!$G$3:$G$101,MATCH(1,(Note!$A$3:$A$101=$A62)*(Note!$C$3:$C$101=$B62)*(Note!$E$3:$E$101&lt;=AH$1)*(Note!$F$3:$F$101&gt;=AH$2),0))</f>
        <v>Bằng giá MBF01 (KD đề xuất)</v>
      </c>
      <c r="AI62" s="27" t="str" cm="1">
        <f t="array" ref="AI62">INDEX(Note!$G$3:$G$101,MATCH(1,(Note!$A$3:$A$101=$A62)*(Note!$C$3:$C$101=$B62)*(Note!$E$3:$E$101&lt;=AI$1)*(Note!$F$3:$F$101&gt;=AI$2),0))</f>
        <v>Bằng giá MBF01 (KD đề xuất)</v>
      </c>
      <c r="AJ62" s="27" t="str" cm="1">
        <f t="array" ref="AJ62">INDEX(Note!$G$3:$G$101,MATCH(1,(Note!$A$3:$A$101=$A62)*(Note!$C$3:$C$101=$B62)*(Note!$E$3:$E$101&lt;=AJ$1)*(Note!$F$3:$F$101&gt;=AJ$2),0))</f>
        <v>Bằng giá MBF01 (KD đề xuất)</v>
      </c>
      <c r="AK62" s="27" t="str" cm="1">
        <f t="array" ref="AK62">INDEX(Note!$G$3:$G$101,MATCH(1,(Note!$A$3:$A$101=$A62)*(Note!$C$3:$C$101=$B62)*(Note!$E$3:$E$101&lt;=AK$1)*(Note!$F$3:$F$101&gt;=AK$2),0))</f>
        <v>Bằng giá MBF01 (KD đề xuất)</v>
      </c>
      <c r="AL62" s="89" t="str" cm="1">
        <f t="array" ref="AL62">INDEX(Note!$G$3:$G$101,MATCH(1,(Note!$A$3:$A$101=$A62)*(Note!$C$3:$C$101=$B62)*(Note!$E$3:$E$101&lt;=AL$1)*(Note!$F$3:$F$101&gt;=AL$2),0))</f>
        <v>Bằng giá MBF01 (KD đề xuất)</v>
      </c>
    </row>
    <row r="63" spans="1:38" s="96" customFormat="1" outlineLevel="1" x14ac:dyDescent="0.35">
      <c r="A63" s="96" t="s">
        <v>64</v>
      </c>
      <c r="B63" s="96" t="s">
        <v>22</v>
      </c>
      <c r="D63" s="97"/>
      <c r="F63" s="221" t="s">
        <v>250</v>
      </c>
      <c r="G63" s="26"/>
      <c r="H63" s="26"/>
      <c r="I63" s="26"/>
      <c r="J63" s="26" t="s">
        <v>43</v>
      </c>
      <c r="K63" s="12"/>
      <c r="L63" s="26"/>
      <c r="M63" s="26"/>
      <c r="N63" s="26"/>
      <c r="O63" s="263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5"/>
      <c r="AA63" s="27" t="str" cm="1">
        <f t="array" ref="AA63">INDEX(Note!$H$3:$H$101,MATCH(1,(Note!$A$3:$A$101=$A63)*(Note!$C$3:$C$101=$B63)*(Note!$E$3:$E$101&lt;=AA$1)*(Note!$F$3:$F$101&gt;AA$2),0))</f>
        <v>DDP</v>
      </c>
      <c r="AB63" s="27" t="str" cm="1">
        <f t="array" ref="AB63">INDEX(Note!$H$3:$H$101,MATCH(1,(Note!$A$3:$A$101=$A63)*(Note!$C$3:$C$101=$B63)*(Note!$E$3:$E$101&lt;=AB$1)*(Note!$F$3:$F$101&gt;AB$2),0))</f>
        <v>DDP</v>
      </c>
      <c r="AC63" s="27" t="str" cm="1">
        <f t="array" ref="AC63">INDEX(Note!$H$3:$H$101,MATCH(1,(Note!$A$3:$A$101=$A63)*(Note!$C$3:$C$101=$B63)*(Note!$E$3:$E$101&lt;=AC$1)*(Note!$F$3:$F$101&gt;AC$2),0))</f>
        <v>DDP</v>
      </c>
      <c r="AD63" s="27" t="str" cm="1">
        <f t="array" ref="AD63">INDEX(Note!$H$3:$H$101,MATCH(1,(Note!$A$3:$A$101=$A63)*(Note!$C$3:$C$101=$B63)*(Note!$E$3:$E$101&lt;=AD$1)*(Note!$F$3:$F$101&gt;AD$2),0))</f>
        <v>DDP</v>
      </c>
      <c r="AE63" s="27" t="str" cm="1">
        <f t="array" ref="AE63">INDEX(Note!$H$3:$H$101,MATCH(1,(Note!$A$3:$A$101=$A63)*(Note!$C$3:$C$101=$B63)*(Note!$E$3:$E$101&lt;=AE$1)*(Note!$F$3:$F$101&gt;AE$2),0))</f>
        <v>DDP</v>
      </c>
      <c r="AF63" s="27" t="str" cm="1">
        <f t="array" ref="AF63">INDEX(Note!$H$3:$H$101,MATCH(1,(Note!$A$3:$A$101=$A63)*(Note!$C$3:$C$101=$B63)*(Note!$E$3:$E$101&lt;=AF$1)*(Note!$F$3:$F$101&gt;AF$2),0))</f>
        <v>DDP</v>
      </c>
      <c r="AG63" s="27" t="str" cm="1">
        <f t="array" ref="AG63">INDEX(Note!$H$3:$H$101,MATCH(1,(Note!$A$3:$A$101=$A63)*(Note!$C$3:$C$101=$B63)*(Note!$E$3:$E$101&lt;=AG$1)*(Note!$F$3:$F$101&gt;AG$2),0))</f>
        <v>DDP</v>
      </c>
      <c r="AH63" s="27" t="str" cm="1">
        <f t="array" ref="AH63">INDEX(Note!$H$3:$H$101,MATCH(1,(Note!$A$3:$A$101=$A63)*(Note!$C$3:$C$101=$B63)*(Note!$E$3:$E$101&lt;=AH$1)*(Note!$F$3:$F$101&gt;AH$2),0))</f>
        <v>DDP</v>
      </c>
      <c r="AI63" s="27" t="str" cm="1">
        <f t="array" ref="AI63">INDEX(Note!$H$3:$H$101,MATCH(1,(Note!$A$3:$A$101=$A63)*(Note!$C$3:$C$101=$B63)*(Note!$E$3:$E$101&lt;=AI$1)*(Note!$F$3:$F$101&gt;AI$2),0))</f>
        <v>DDP</v>
      </c>
      <c r="AJ63" s="27" t="str" cm="1">
        <f t="array" ref="AJ63">INDEX(Note!$H$3:$H$101,MATCH(1,(Note!$A$3:$A$101=$A63)*(Note!$C$3:$C$101=$B63)*(Note!$E$3:$E$101&lt;=AJ$1)*(Note!$F$3:$F$101&gt;AJ$2),0))</f>
        <v>DDP</v>
      </c>
      <c r="AK63" s="27" t="str" cm="1">
        <f t="array" ref="AK63">INDEX(Note!$H$3:$H$101,MATCH(1,(Note!$A$3:$A$101=$A63)*(Note!$C$3:$C$101=$B63)*(Note!$E$3:$E$101&lt;=AK$1)*(Note!$F$3:$F$101&gt;AK$2),0))</f>
        <v>DDP</v>
      </c>
      <c r="AL63" s="89" t="str" cm="1">
        <f t="array" ref="AL63">INDEX(Note!$H$3:$H$101,MATCH(1,(Note!$A$3:$A$101=$A63)*(Note!$C$3:$C$101=$B63)*(Note!$E$3:$E$101&lt;=AL$1)*(Note!$F$3:$F$101&gt;AL$2),0))</f>
        <v>DDP</v>
      </c>
    </row>
    <row r="64" spans="1:38" s="97" customFormat="1" outlineLevel="1" x14ac:dyDescent="0.35">
      <c r="A64" s="97" t="s">
        <v>64</v>
      </c>
      <c r="B64" s="97" t="s">
        <v>22</v>
      </c>
      <c r="F64" s="196" t="s">
        <v>251</v>
      </c>
      <c r="G64" s="107"/>
      <c r="H64" s="107"/>
      <c r="I64" s="107"/>
      <c r="J64" s="107" t="s">
        <v>46</v>
      </c>
      <c r="K64" s="109"/>
      <c r="L64" s="107"/>
      <c r="M64" s="107"/>
      <c r="N64" s="107"/>
      <c r="O64" s="266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8"/>
      <c r="AA64" s="196" t="str" cm="1">
        <f t="array" ref="AA64">INDEX(Note!$I$3:$I$101,MATCH(1,(Note!$A$3:$A$101=$A64)*(Note!$C$3:$C$101=$B64)*(Note!$E$3:$E$101&lt;=AA$1)*(Note!$F$3:$F$101&gt;=AA$2),0))</f>
        <v>Năm</v>
      </c>
      <c r="AB64" s="196" t="str" cm="1">
        <f t="array" ref="AB64">INDEX(Note!$I$3:$I$101,MATCH(1,(Note!$A$3:$A$101=$A64)*(Note!$C$3:$C$101=$B64)*(Note!$E$3:$E$101&lt;=AB$1)*(Note!$F$3:$F$101&gt;=AB$2),0))</f>
        <v>Năm</v>
      </c>
      <c r="AC64" s="196" t="str" cm="1">
        <f t="array" ref="AC64">INDEX(Note!$I$3:$I$101,MATCH(1,(Note!$A$3:$A$101=$A64)*(Note!$C$3:$C$101=$B64)*(Note!$E$3:$E$101&lt;=AC$1)*(Note!$F$3:$F$101&gt;=AC$2),0))</f>
        <v>Năm</v>
      </c>
      <c r="AD64" s="196" t="str" cm="1">
        <f t="array" ref="AD64">INDEX(Note!$I$3:$I$101,MATCH(1,(Note!$A$3:$A$101=$A64)*(Note!$C$3:$C$101=$B64)*(Note!$E$3:$E$101&lt;=AD$1)*(Note!$F$3:$F$101&gt;=AD$2),0))</f>
        <v>Năm</v>
      </c>
      <c r="AE64" s="196" t="str" cm="1">
        <f t="array" ref="AE64">INDEX(Note!$I$3:$I$101,MATCH(1,(Note!$A$3:$A$101=$A64)*(Note!$C$3:$C$101=$B64)*(Note!$E$3:$E$101&lt;=AE$1)*(Note!$F$3:$F$101&gt;=AE$2),0))</f>
        <v>Năm</v>
      </c>
      <c r="AF64" s="196" t="str" cm="1">
        <f t="array" ref="AF64">INDEX(Note!$I$3:$I$101,MATCH(1,(Note!$A$3:$A$101=$A64)*(Note!$C$3:$C$101=$B64)*(Note!$E$3:$E$101&lt;=AF$1)*(Note!$F$3:$F$101&gt;=AF$2),0))</f>
        <v>Năm</v>
      </c>
      <c r="AG64" s="196" t="str" cm="1">
        <f t="array" ref="AG64">INDEX(Note!$I$3:$I$101,MATCH(1,(Note!$A$3:$A$101=$A64)*(Note!$C$3:$C$101=$B64)*(Note!$E$3:$E$101&lt;=AG$1)*(Note!$F$3:$F$101&gt;=AG$2),0))</f>
        <v>Năm</v>
      </c>
      <c r="AH64" s="196" t="str" cm="1">
        <f t="array" ref="AH64">INDEX(Note!$I$3:$I$101,MATCH(1,(Note!$A$3:$A$101=$A64)*(Note!$C$3:$C$101=$B64)*(Note!$E$3:$E$101&lt;=AH$1)*(Note!$F$3:$F$101&gt;=AH$2),0))</f>
        <v>Năm</v>
      </c>
      <c r="AI64" s="196" t="str" cm="1">
        <f t="array" ref="AI64">INDEX(Note!$I$3:$I$101,MATCH(1,(Note!$A$3:$A$101=$A64)*(Note!$C$3:$C$101=$B64)*(Note!$E$3:$E$101&lt;=AI$1)*(Note!$F$3:$F$101&gt;=AI$2),0))</f>
        <v>Năm</v>
      </c>
      <c r="AJ64" s="196" t="str" cm="1">
        <f t="array" ref="AJ64">INDEX(Note!$I$3:$I$101,MATCH(1,(Note!$A$3:$A$101=$A64)*(Note!$C$3:$C$101=$B64)*(Note!$E$3:$E$101&lt;=AJ$1)*(Note!$F$3:$F$101&gt;=AJ$2),0))</f>
        <v>Năm</v>
      </c>
      <c r="AK64" s="196" t="str" cm="1">
        <f t="array" ref="AK64">INDEX(Note!$I$3:$I$101,MATCH(1,(Note!$A$3:$A$101=$A64)*(Note!$C$3:$C$101=$B64)*(Note!$E$3:$E$101&lt;=AK$1)*(Note!$F$3:$F$101&gt;=AK$2),0))</f>
        <v>Năm</v>
      </c>
      <c r="AL64" s="197" t="str" cm="1">
        <f t="array" ref="AL64">INDEX(Note!$I$3:$I$101,MATCH(1,(Note!$A$3:$A$101=$A64)*(Note!$C$3:$C$101=$B64)*(Note!$E$3:$E$101&lt;=AL$1)*(Note!$F$3:$F$101&gt;=AL$2),0))</f>
        <v>Năm</v>
      </c>
    </row>
    <row r="65" spans="1:38" s="188" customFormat="1" outlineLevel="1" x14ac:dyDescent="0.35">
      <c r="A65" s="188" t="s">
        <v>64</v>
      </c>
      <c r="B65" s="188" t="s">
        <v>22</v>
      </c>
      <c r="F65" s="225" t="s">
        <v>264</v>
      </c>
      <c r="G65" s="193"/>
      <c r="H65" s="193"/>
      <c r="I65" s="193"/>
      <c r="J65" s="193" t="s">
        <v>203</v>
      </c>
      <c r="K65" s="189"/>
      <c r="L65" s="202"/>
      <c r="M65" s="202"/>
      <c r="N65" s="202"/>
      <c r="O65" s="269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1"/>
      <c r="AA65" s="202" cm="1">
        <f t="array" ref="AA65">SUMPRODUCT(General_Data*(Year=AA$3)*(Month=AA$4)*(Code_General_Data=$B65))</f>
        <v>1400</v>
      </c>
      <c r="AB65" s="202" cm="1">
        <f t="array" ref="AB65">SUMPRODUCT(General_Data*(Year=AB$3)*(Month=AB$4)*(Code_General_Data=$B65))</f>
        <v>1400</v>
      </c>
      <c r="AC65" s="202" cm="1">
        <f t="array" ref="AC65">SUMPRODUCT(General_Data*(Year=AC$3)*(Month=AC$4)*(Code_General_Data=$B65))</f>
        <v>1350</v>
      </c>
      <c r="AD65" s="202"/>
      <c r="AE65" s="202"/>
      <c r="AF65" s="202"/>
      <c r="AG65" s="202"/>
      <c r="AH65" s="202"/>
      <c r="AI65" s="202"/>
      <c r="AJ65" s="202"/>
      <c r="AK65" s="202"/>
      <c r="AL65" s="203"/>
    </row>
    <row r="66" spans="1:38" s="188" customFormat="1" ht="6.65" customHeight="1" x14ac:dyDescent="0.35">
      <c r="F66" s="304"/>
      <c r="G66" s="305"/>
      <c r="H66" s="305"/>
      <c r="I66" s="305"/>
      <c r="J66" s="305"/>
      <c r="K66" s="189"/>
      <c r="L66" s="306"/>
      <c r="M66" s="306"/>
      <c r="N66" s="306"/>
      <c r="O66" s="307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8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8"/>
    </row>
    <row r="67" spans="1:38" s="183" customFormat="1" ht="17" x14ac:dyDescent="0.35">
      <c r="A67" s="183" t="s">
        <v>64</v>
      </c>
      <c r="B67" s="183" t="s">
        <v>65</v>
      </c>
      <c r="D67" s="183" t="s">
        <v>322</v>
      </c>
      <c r="F67" s="220">
        <v>2.4</v>
      </c>
      <c r="G67" s="190"/>
      <c r="H67" s="190" t="s">
        <v>252</v>
      </c>
      <c r="I67" s="190"/>
      <c r="J67" s="190"/>
      <c r="L67" s="190"/>
      <c r="M67" s="190"/>
      <c r="N67" s="190"/>
      <c r="O67" s="216">
        <f t="shared" ref="O67:Z67" si="26">ROUND(SUM(O68:O69),-1)</f>
        <v>1450</v>
      </c>
      <c r="P67" s="217">
        <f t="shared" si="26"/>
        <v>1450</v>
      </c>
      <c r="Q67" s="217">
        <f t="shared" si="26"/>
        <v>1450</v>
      </c>
      <c r="R67" s="217">
        <f t="shared" si="26"/>
        <v>1380</v>
      </c>
      <c r="S67" s="217">
        <f t="shared" si="26"/>
        <v>1380</v>
      </c>
      <c r="T67" s="217">
        <f t="shared" si="26"/>
        <v>1380</v>
      </c>
      <c r="U67" s="217">
        <f t="shared" si="26"/>
        <v>1380</v>
      </c>
      <c r="V67" s="217">
        <f t="shared" si="26"/>
        <v>1380</v>
      </c>
      <c r="W67" s="217">
        <f t="shared" si="26"/>
        <v>1380</v>
      </c>
      <c r="X67" s="217">
        <f t="shared" si="26"/>
        <v>1380</v>
      </c>
      <c r="Y67" s="217">
        <f t="shared" si="26"/>
        <v>1380</v>
      </c>
      <c r="Z67" s="218">
        <f t="shared" si="26"/>
        <v>1380</v>
      </c>
      <c r="AA67" s="216">
        <f t="shared" ref="AA67:AL67" si="27">ROUND(SUM(AA68:AA69),-1)</f>
        <v>1350</v>
      </c>
      <c r="AB67" s="217">
        <f t="shared" si="27"/>
        <v>1350</v>
      </c>
      <c r="AC67" s="217">
        <f t="shared" si="27"/>
        <v>1350</v>
      </c>
      <c r="AD67" s="217">
        <f t="shared" si="27"/>
        <v>1350</v>
      </c>
      <c r="AE67" s="217">
        <f t="shared" si="27"/>
        <v>1350</v>
      </c>
      <c r="AF67" s="217">
        <f t="shared" si="27"/>
        <v>1350</v>
      </c>
      <c r="AG67" s="217">
        <f t="shared" si="27"/>
        <v>1350</v>
      </c>
      <c r="AH67" s="217">
        <f t="shared" si="27"/>
        <v>1350</v>
      </c>
      <c r="AI67" s="217">
        <f t="shared" si="27"/>
        <v>1350</v>
      </c>
      <c r="AJ67" s="217">
        <f t="shared" si="27"/>
        <v>1350</v>
      </c>
      <c r="AK67" s="217">
        <f t="shared" si="27"/>
        <v>1350</v>
      </c>
      <c r="AL67" s="218">
        <f t="shared" si="27"/>
        <v>1350</v>
      </c>
    </row>
    <row r="68" spans="1:38" s="96" customFormat="1" outlineLevel="1" x14ac:dyDescent="0.35">
      <c r="A68" s="96" t="s">
        <v>64</v>
      </c>
      <c r="B68" s="96" t="s">
        <v>65</v>
      </c>
      <c r="D68" s="97"/>
      <c r="F68" s="221" t="s">
        <v>255</v>
      </c>
      <c r="G68" s="26"/>
      <c r="H68" s="26" t="s">
        <v>41</v>
      </c>
      <c r="I68" s="26" t="s">
        <v>254</v>
      </c>
      <c r="J68" s="26"/>
      <c r="K68" s="12"/>
      <c r="L68" s="26"/>
      <c r="M68" s="26"/>
      <c r="N68" s="26"/>
      <c r="O68" s="213">
        <f t="shared" ref="O68:Z68" si="28">O43</f>
        <v>1500</v>
      </c>
      <c r="P68" s="214">
        <f t="shared" si="28"/>
        <v>1500</v>
      </c>
      <c r="Q68" s="214">
        <f t="shared" si="28"/>
        <v>1500</v>
      </c>
      <c r="R68" s="214">
        <f t="shared" si="28"/>
        <v>1430</v>
      </c>
      <c r="S68" s="214">
        <f t="shared" si="28"/>
        <v>1430</v>
      </c>
      <c r="T68" s="214">
        <f t="shared" si="28"/>
        <v>1430</v>
      </c>
      <c r="U68" s="214">
        <f t="shared" si="28"/>
        <v>1430</v>
      </c>
      <c r="V68" s="214">
        <f t="shared" si="28"/>
        <v>1430</v>
      </c>
      <c r="W68" s="214">
        <f t="shared" si="28"/>
        <v>1430</v>
      </c>
      <c r="X68" s="214">
        <f t="shared" si="28"/>
        <v>1430</v>
      </c>
      <c r="Y68" s="214">
        <f t="shared" si="28"/>
        <v>1430</v>
      </c>
      <c r="Z68" s="215">
        <f t="shared" si="28"/>
        <v>1430</v>
      </c>
      <c r="AA68" s="213">
        <f t="shared" ref="AA68:AL68" si="29">AA59</f>
        <v>1400</v>
      </c>
      <c r="AB68" s="214">
        <f t="shared" si="29"/>
        <v>1400</v>
      </c>
      <c r="AC68" s="214">
        <f t="shared" si="29"/>
        <v>1400</v>
      </c>
      <c r="AD68" s="214">
        <f t="shared" si="29"/>
        <v>1400</v>
      </c>
      <c r="AE68" s="214">
        <f t="shared" si="29"/>
        <v>1400</v>
      </c>
      <c r="AF68" s="214">
        <f t="shared" si="29"/>
        <v>1400</v>
      </c>
      <c r="AG68" s="214">
        <f t="shared" si="29"/>
        <v>1400</v>
      </c>
      <c r="AH68" s="214">
        <f t="shared" si="29"/>
        <v>1400</v>
      </c>
      <c r="AI68" s="214">
        <f t="shared" si="29"/>
        <v>1400</v>
      </c>
      <c r="AJ68" s="214">
        <f t="shared" si="29"/>
        <v>1400</v>
      </c>
      <c r="AK68" s="214">
        <f t="shared" si="29"/>
        <v>1400</v>
      </c>
      <c r="AL68" s="215">
        <f t="shared" si="29"/>
        <v>1400</v>
      </c>
    </row>
    <row r="69" spans="1:38" s="96" customFormat="1" outlineLevel="1" x14ac:dyDescent="0.35">
      <c r="A69" s="96" t="s">
        <v>64</v>
      </c>
      <c r="B69" s="96" t="s">
        <v>65</v>
      </c>
      <c r="D69" s="97"/>
      <c r="F69" s="221" t="s">
        <v>256</v>
      </c>
      <c r="G69" s="26"/>
      <c r="H69" s="26" t="s">
        <v>41</v>
      </c>
      <c r="I69" s="26" t="s">
        <v>53</v>
      </c>
      <c r="J69" s="26"/>
      <c r="K69" s="12"/>
      <c r="L69" s="26"/>
      <c r="M69" s="26"/>
      <c r="N69" s="26"/>
      <c r="O69" s="213">
        <v>-50</v>
      </c>
      <c r="P69" s="214">
        <v>-50</v>
      </c>
      <c r="Q69" s="214">
        <v>-50</v>
      </c>
      <c r="R69" s="214">
        <v>-50</v>
      </c>
      <c r="S69" s="214">
        <v>-50</v>
      </c>
      <c r="T69" s="214">
        <v>-50</v>
      </c>
      <c r="U69" s="214">
        <v>-50</v>
      </c>
      <c r="V69" s="214">
        <v>-50</v>
      </c>
      <c r="W69" s="214">
        <v>-50</v>
      </c>
      <c r="X69" s="214">
        <v>-50</v>
      </c>
      <c r="Y69" s="214">
        <v>-50</v>
      </c>
      <c r="Z69" s="215">
        <v>-50</v>
      </c>
      <c r="AA69" s="213">
        <v>-50</v>
      </c>
      <c r="AB69" s="214">
        <v>-50</v>
      </c>
      <c r="AC69" s="214">
        <v>-50</v>
      </c>
      <c r="AD69" s="214">
        <v>-50</v>
      </c>
      <c r="AE69" s="214">
        <v>-50</v>
      </c>
      <c r="AF69" s="214">
        <v>-50</v>
      </c>
      <c r="AG69" s="214">
        <v>-50</v>
      </c>
      <c r="AH69" s="214">
        <v>-50</v>
      </c>
      <c r="AI69" s="214">
        <v>-50</v>
      </c>
      <c r="AJ69" s="214">
        <v>-50</v>
      </c>
      <c r="AK69" s="214">
        <v>-50</v>
      </c>
      <c r="AL69" s="215">
        <v>-50</v>
      </c>
    </row>
    <row r="70" spans="1:38" s="94" customFormat="1" outlineLevel="1" x14ac:dyDescent="0.35">
      <c r="A70" s="94" t="s">
        <v>64</v>
      </c>
      <c r="B70" s="94" t="s">
        <v>65</v>
      </c>
      <c r="D70" s="95" t="s">
        <v>162</v>
      </c>
      <c r="F70" s="226" t="s">
        <v>257</v>
      </c>
      <c r="G70" s="227"/>
      <c r="H70" s="227"/>
      <c r="I70" s="227" t="s">
        <v>8</v>
      </c>
      <c r="J70" s="227"/>
      <c r="K70" s="2"/>
      <c r="L70" s="227"/>
      <c r="M70" s="227"/>
      <c r="N70" s="227"/>
      <c r="O70" s="228">
        <f t="shared" ref="O70:AL70" si="30">O67-O47</f>
        <v>1437.795918367347</v>
      </c>
      <c r="P70" s="229">
        <f t="shared" si="30"/>
        <v>1437.795918367347</v>
      </c>
      <c r="Q70" s="229">
        <f t="shared" si="30"/>
        <v>1437.795918367347</v>
      </c>
      <c r="R70" s="229">
        <f t="shared" si="30"/>
        <v>1367.795918367347</v>
      </c>
      <c r="S70" s="229">
        <f t="shared" si="30"/>
        <v>1367.795918367347</v>
      </c>
      <c r="T70" s="229">
        <f t="shared" si="30"/>
        <v>1367.795918367347</v>
      </c>
      <c r="U70" s="229">
        <f t="shared" si="30"/>
        <v>1368.04</v>
      </c>
      <c r="V70" s="229">
        <f t="shared" si="30"/>
        <v>1368.04</v>
      </c>
      <c r="W70" s="229">
        <f t="shared" si="30"/>
        <v>1368.04</v>
      </c>
      <c r="X70" s="229">
        <f t="shared" si="30"/>
        <v>1368.04</v>
      </c>
      <c r="Y70" s="229">
        <f t="shared" si="30"/>
        <v>1368.04</v>
      </c>
      <c r="Z70" s="230">
        <f t="shared" si="30"/>
        <v>1368.04</v>
      </c>
      <c r="AA70" s="229">
        <f t="shared" si="30"/>
        <v>1338.04</v>
      </c>
      <c r="AB70" s="229">
        <f t="shared" si="30"/>
        <v>1338.04</v>
      </c>
      <c r="AC70" s="229">
        <f t="shared" si="30"/>
        <v>1338.04</v>
      </c>
      <c r="AD70" s="229">
        <f t="shared" si="30"/>
        <v>1338.04</v>
      </c>
      <c r="AE70" s="229">
        <f t="shared" si="30"/>
        <v>1338.04</v>
      </c>
      <c r="AF70" s="229">
        <f t="shared" si="30"/>
        <v>1338.04</v>
      </c>
      <c r="AG70" s="229">
        <f t="shared" si="30"/>
        <v>1338.04</v>
      </c>
      <c r="AH70" s="229">
        <f t="shared" si="30"/>
        <v>1338.04</v>
      </c>
      <c r="AI70" s="229">
        <f t="shared" si="30"/>
        <v>1338.04</v>
      </c>
      <c r="AJ70" s="229">
        <f t="shared" si="30"/>
        <v>1338.04</v>
      </c>
      <c r="AK70" s="229">
        <f t="shared" si="30"/>
        <v>1338.04</v>
      </c>
      <c r="AL70" s="230">
        <f t="shared" si="30"/>
        <v>1338.04</v>
      </c>
    </row>
    <row r="71" spans="1:38" s="96" customFormat="1" ht="79.400000000000006" customHeight="1" outlineLevel="1" x14ac:dyDescent="0.35">
      <c r="A71" s="96" t="s">
        <v>64</v>
      </c>
      <c r="B71" s="96" t="s">
        <v>65</v>
      </c>
      <c r="D71" s="97"/>
      <c r="F71" s="221" t="s">
        <v>258</v>
      </c>
      <c r="G71" s="26"/>
      <c r="H71" s="26"/>
      <c r="I71" s="26"/>
      <c r="J71" s="26" t="s">
        <v>45</v>
      </c>
      <c r="K71" s="12"/>
      <c r="L71" s="26"/>
      <c r="M71" s="26"/>
      <c r="N71" s="26"/>
      <c r="O71" s="88" t="str" cm="1">
        <f t="array" ref="O71">INDEX(Note!$G$3:$G$101,MATCH(1,(Note!$A$3:$A$101=$A71)*(Note!$C$3:$C$101=$B71)*(Note!$E$3:$E$101&lt;=O$1)*(Note!$F$3:$F$101&gt;=O$2),0))</f>
        <v>Giá MBF01 trừ $50</v>
      </c>
      <c r="P71" s="27" t="str" cm="1">
        <f t="array" ref="P71">INDEX(Note!$G$3:$G$101,MATCH(1,(Note!$A$3:$A$101=$A71)*(Note!$C$3:$C$101=$B71)*(Note!$E$3:$E$101&lt;=P$1)*(Note!$F$3:$F$101&gt;=P$2),0))</f>
        <v>Giá MBF01 trừ $50</v>
      </c>
      <c r="Q71" s="27" t="str" cm="1">
        <f t="array" ref="Q71">INDEX(Note!$G$3:$G$101,MATCH(1,(Note!$A$3:$A$101=$A71)*(Note!$C$3:$C$101=$B71)*(Note!$E$3:$E$101&lt;=Q$1)*(Note!$F$3:$F$101&gt;=Q$2),0))</f>
        <v>Giá MBF01 trừ $50</v>
      </c>
      <c r="R71" s="27" t="str" cm="1">
        <f t="array" ref="R71">INDEX(Note!$G$3:$G$101,MATCH(1,(Note!$A$3:$A$101=$A71)*(Note!$C$3:$C$101=$B71)*(Note!$E$3:$E$101&lt;=R$1)*(Note!$F$3:$F$101&gt;=R$2),0))</f>
        <v>Giá MBF01 trừ $50</v>
      </c>
      <c r="S71" s="27" t="str" cm="1">
        <f t="array" ref="S71">INDEX(Note!$G$3:$G$101,MATCH(1,(Note!$A$3:$A$101=$A71)*(Note!$C$3:$C$101=$B71)*(Note!$E$3:$E$101&lt;=S$1)*(Note!$F$3:$F$101&gt;=S$2),0))</f>
        <v>Giá MBF01 trừ $50</v>
      </c>
      <c r="T71" s="27" t="str" cm="1">
        <f t="array" ref="T71">INDEX(Note!$G$3:$G$101,MATCH(1,(Note!$A$3:$A$101=$A71)*(Note!$C$3:$C$101=$B71)*(Note!$E$3:$E$101&lt;=T$1)*(Note!$F$3:$F$101&gt;=T$2),0))</f>
        <v>Giá MBF01 trừ $50</v>
      </c>
      <c r="U71" s="27" t="str" cm="1">
        <f t="array" ref="U71">INDEX(Note!$G$3:$G$101,MATCH(1,(Note!$A$3:$A$101=$A71)*(Note!$C$3:$C$101=$B71)*(Note!$E$3:$E$101&lt;=U$1)*(Note!$F$3:$F$101&gt;=U$2),0))</f>
        <v>Giá MBF01 trừ $50</v>
      </c>
      <c r="V71" s="27" t="str" cm="1">
        <f t="array" ref="V71">INDEX(Note!$G$3:$G$101,MATCH(1,(Note!$A$3:$A$101=$A71)*(Note!$C$3:$C$101=$B71)*(Note!$E$3:$E$101&lt;=V$1)*(Note!$F$3:$F$101&gt;=V$2),0))</f>
        <v>Giá MBF01 trừ $50</v>
      </c>
      <c r="W71" s="27" t="str" cm="1">
        <f t="array" ref="W71">INDEX(Note!$G$3:$G$101,MATCH(1,(Note!$A$3:$A$101=$A71)*(Note!$C$3:$C$101=$B71)*(Note!$E$3:$E$101&lt;=W$1)*(Note!$F$3:$F$101&gt;=W$2),0))</f>
        <v>Giá MBF01 trừ $50</v>
      </c>
      <c r="X71" s="27" t="str" cm="1">
        <f t="array" ref="X71">INDEX(Note!$G$3:$G$101,MATCH(1,(Note!$A$3:$A$101=$A71)*(Note!$C$3:$C$101=$B71)*(Note!$E$3:$E$101&lt;=X$1)*(Note!$F$3:$F$101&gt;=X$2),0))</f>
        <v>Giá MBF01 trừ $50</v>
      </c>
      <c r="Y71" s="27" t="str" cm="1">
        <f t="array" ref="Y71">INDEX(Note!$G$3:$G$101,MATCH(1,(Note!$A$3:$A$101=$A71)*(Note!$C$3:$C$101=$B71)*(Note!$E$3:$E$101&lt;=Y$1)*(Note!$F$3:$F$101&gt;=Y$2),0))</f>
        <v>Giá MBF01 trừ $50</v>
      </c>
      <c r="Z71" s="89" t="str" cm="1">
        <f t="array" ref="Z71">INDEX(Note!$G$3:$G$101,MATCH(1,(Note!$A$3:$A$101=$A71)*(Note!$C$3:$C$101=$B71)*(Note!$E$3:$E$101&lt;=Z$1)*(Note!$F$3:$F$101&gt;=Z$2),0))</f>
        <v>Giá MBF01 trừ $50</v>
      </c>
      <c r="AA71" s="27" t="str" cm="1">
        <f t="array" ref="AA71">INDEX(Note!$G$3:$G$101,MATCH(1,(Note!$A$3:$A$101=$A71)*(Note!$C$3:$C$101=$B71)*(Note!$E$3:$E$101&lt;=AA$1)*(Note!$F$3:$F$101&gt;=AA$2),0))</f>
        <v>Giá PCF01 trừ $50</v>
      </c>
      <c r="AB71" s="27" t="str" cm="1">
        <f t="array" ref="AB71">INDEX(Note!$G$3:$G$101,MATCH(1,(Note!$A$3:$A$101=$A71)*(Note!$C$3:$C$101=$B71)*(Note!$E$3:$E$101&lt;=AB$1)*(Note!$F$3:$F$101&gt;=AB$2),0))</f>
        <v>Giá PCF01 trừ $50</v>
      </c>
      <c r="AC71" s="27" t="str" cm="1">
        <f t="array" ref="AC71">INDEX(Note!$G$3:$G$101,MATCH(1,(Note!$A$3:$A$101=$A71)*(Note!$C$3:$C$101=$B71)*(Note!$E$3:$E$101&lt;=AC$1)*(Note!$F$3:$F$101&gt;=AC$2),0))</f>
        <v>Giá PCF01 trừ $50</v>
      </c>
      <c r="AD71" s="27" t="str" cm="1">
        <f t="array" ref="AD71">INDEX(Note!$G$3:$G$101,MATCH(1,(Note!$A$3:$A$101=$A71)*(Note!$C$3:$C$101=$B71)*(Note!$E$3:$E$101&lt;=AD$1)*(Note!$F$3:$F$101&gt;=AD$2),0))</f>
        <v>Giá PCF01 trừ $50</v>
      </c>
      <c r="AE71" s="27" t="str" cm="1">
        <f t="array" ref="AE71">INDEX(Note!$G$3:$G$101,MATCH(1,(Note!$A$3:$A$101=$A71)*(Note!$C$3:$C$101=$B71)*(Note!$E$3:$E$101&lt;=AE$1)*(Note!$F$3:$F$101&gt;=AE$2),0))</f>
        <v>Giá PCF01 trừ $50</v>
      </c>
      <c r="AF71" s="27" t="str" cm="1">
        <f t="array" ref="AF71">INDEX(Note!$G$3:$G$101,MATCH(1,(Note!$A$3:$A$101=$A71)*(Note!$C$3:$C$101=$B71)*(Note!$E$3:$E$101&lt;=AF$1)*(Note!$F$3:$F$101&gt;=AF$2),0))</f>
        <v>Giá PCF01 trừ $50</v>
      </c>
      <c r="AG71" s="27" t="str" cm="1">
        <f t="array" ref="AG71">INDEX(Note!$G$3:$G$101,MATCH(1,(Note!$A$3:$A$101=$A71)*(Note!$C$3:$C$101=$B71)*(Note!$E$3:$E$101&lt;=AG$1)*(Note!$F$3:$F$101&gt;=AG$2),0))</f>
        <v>Giá PCF01 trừ $50</v>
      </c>
      <c r="AH71" s="27" t="str" cm="1">
        <f t="array" ref="AH71">INDEX(Note!$G$3:$G$101,MATCH(1,(Note!$A$3:$A$101=$A71)*(Note!$C$3:$C$101=$B71)*(Note!$E$3:$E$101&lt;=AH$1)*(Note!$F$3:$F$101&gt;=AH$2),0))</f>
        <v>Giá PCF01 trừ $50</v>
      </c>
      <c r="AI71" s="27" t="str" cm="1">
        <f t="array" ref="AI71">INDEX(Note!$G$3:$G$101,MATCH(1,(Note!$A$3:$A$101=$A71)*(Note!$C$3:$C$101=$B71)*(Note!$E$3:$E$101&lt;=AI$1)*(Note!$F$3:$F$101&gt;=AI$2),0))</f>
        <v>Giá PCF01 trừ $50</v>
      </c>
      <c r="AJ71" s="27" t="str" cm="1">
        <f t="array" ref="AJ71">INDEX(Note!$G$3:$G$101,MATCH(1,(Note!$A$3:$A$101=$A71)*(Note!$C$3:$C$101=$B71)*(Note!$E$3:$E$101&lt;=AJ$1)*(Note!$F$3:$F$101&gt;=AJ$2),0))</f>
        <v>Giá PCF01 trừ $50</v>
      </c>
      <c r="AK71" s="27" t="str" cm="1">
        <f t="array" ref="AK71">INDEX(Note!$G$3:$G$101,MATCH(1,(Note!$A$3:$A$101=$A71)*(Note!$C$3:$C$101=$B71)*(Note!$E$3:$E$101&lt;=AK$1)*(Note!$F$3:$F$101&gt;=AK$2),0))</f>
        <v>Giá PCF01 trừ $50</v>
      </c>
      <c r="AL71" s="89" t="str" cm="1">
        <f t="array" ref="AL71">INDEX(Note!$G$3:$G$101,MATCH(1,(Note!$A$3:$A$101=$A71)*(Note!$C$3:$C$101=$B71)*(Note!$E$3:$E$101&lt;=AL$1)*(Note!$F$3:$F$101&gt;=AL$2),0))</f>
        <v>Giá PCF01 trừ $50</v>
      </c>
    </row>
    <row r="72" spans="1:38" s="96" customFormat="1" outlineLevel="1" x14ac:dyDescent="0.35">
      <c r="A72" s="96" t="s">
        <v>64</v>
      </c>
      <c r="B72" s="96" t="s">
        <v>65</v>
      </c>
      <c r="D72" s="97"/>
      <c r="F72" s="221" t="s">
        <v>259</v>
      </c>
      <c r="G72" s="26"/>
      <c r="H72" s="26"/>
      <c r="I72" s="26"/>
      <c r="J72" s="26" t="s">
        <v>43</v>
      </c>
      <c r="K72" s="12"/>
      <c r="L72" s="26"/>
      <c r="M72" s="26"/>
      <c r="N72" s="26"/>
      <c r="O72" s="88" t="str" cm="1">
        <f t="array" ref="O72">INDEX(Note!$H$3:$H$101,MATCH(1,(Note!$A$3:$A$101=$A72)*(Note!$C$3:$C$101=$B72)*(Note!$E$3:$E$101&lt;=O$1)*(Note!$F$3:$F$101&gt;=O$2),0))</f>
        <v>DDP</v>
      </c>
      <c r="P72" s="27" t="str" cm="1">
        <f t="array" ref="P72">INDEX(Note!$H$3:$H$101,MATCH(1,(Note!$A$3:$A$101=$A72)*(Note!$C$3:$C$101=$B72)*(Note!$E$3:$E$101&lt;=P$1)*(Note!$F$3:$F$101&gt;=P$2),0))</f>
        <v>DDP</v>
      </c>
      <c r="Q72" s="27" t="str" cm="1">
        <f t="array" ref="Q72">INDEX(Note!$H$3:$H$101,MATCH(1,(Note!$A$3:$A$101=$A72)*(Note!$C$3:$C$101=$B72)*(Note!$E$3:$E$101&lt;=Q$1)*(Note!$F$3:$F$101&gt;=Q$2),0))</f>
        <v>DDP</v>
      </c>
      <c r="R72" s="27" t="str" cm="1">
        <f t="array" ref="R72">INDEX(Note!$H$3:$H$101,MATCH(1,(Note!$A$3:$A$101=$A72)*(Note!$C$3:$C$101=$B72)*(Note!$E$3:$E$101&lt;=R$1)*(Note!$F$3:$F$101&gt;=R$2),0))</f>
        <v>DDP</v>
      </c>
      <c r="S72" s="27" t="str" cm="1">
        <f t="array" ref="S72">INDEX(Note!$H$3:$H$101,MATCH(1,(Note!$A$3:$A$101=$A72)*(Note!$C$3:$C$101=$B72)*(Note!$E$3:$E$101&lt;=S$1)*(Note!$F$3:$F$101&gt;=S$2),0))</f>
        <v>DDP</v>
      </c>
      <c r="T72" s="27" t="str" cm="1">
        <f t="array" ref="T72">INDEX(Note!$H$3:$H$101,MATCH(1,(Note!$A$3:$A$101=$A72)*(Note!$C$3:$C$101=$B72)*(Note!$E$3:$E$101&lt;=T$1)*(Note!$F$3:$F$101&gt;=T$2),0))</f>
        <v>DDP</v>
      </c>
      <c r="U72" s="27" t="str" cm="1">
        <f t="array" ref="U72">INDEX(Note!$H$3:$H$101,MATCH(1,(Note!$A$3:$A$101=$A72)*(Note!$C$3:$C$101=$B72)*(Note!$E$3:$E$101&lt;=U$1)*(Note!$F$3:$F$101&gt;=U$2),0))</f>
        <v>DDP</v>
      </c>
      <c r="V72" s="27" t="str" cm="1">
        <f t="array" ref="V72">INDEX(Note!$H$3:$H$101,MATCH(1,(Note!$A$3:$A$101=$A72)*(Note!$C$3:$C$101=$B72)*(Note!$E$3:$E$101&lt;=V$1)*(Note!$F$3:$F$101&gt;=V$2),0))</f>
        <v>DDP</v>
      </c>
      <c r="W72" s="27" t="str" cm="1">
        <f t="array" ref="W72">INDEX(Note!$H$3:$H$101,MATCH(1,(Note!$A$3:$A$101=$A72)*(Note!$C$3:$C$101=$B72)*(Note!$E$3:$E$101&lt;=W$1)*(Note!$F$3:$F$101&gt;=W$2),0))</f>
        <v>DDP</v>
      </c>
      <c r="X72" s="27" t="str" cm="1">
        <f t="array" ref="X72">INDEX(Note!$H$3:$H$101,MATCH(1,(Note!$A$3:$A$101=$A72)*(Note!$C$3:$C$101=$B72)*(Note!$E$3:$E$101&lt;=X$1)*(Note!$F$3:$F$101&gt;=X$2),0))</f>
        <v>DDP</v>
      </c>
      <c r="Y72" s="27" t="str" cm="1">
        <f t="array" ref="Y72">INDEX(Note!$H$3:$H$101,MATCH(1,(Note!$A$3:$A$101=$A72)*(Note!$C$3:$C$101=$B72)*(Note!$E$3:$E$101&lt;=Y$1)*(Note!$F$3:$F$101&gt;=Y$2),0))</f>
        <v>DDP</v>
      </c>
      <c r="Z72" s="89" t="str" cm="1">
        <f t="array" ref="Z72">INDEX(Note!$H$3:$H$101,MATCH(1,(Note!$A$3:$A$101=$A72)*(Note!$C$3:$C$101=$B72)*(Note!$E$3:$E$101&lt;=Z$1)*(Note!$F$3:$F$101&gt;=Z$2),0))</f>
        <v>DDP</v>
      </c>
      <c r="AA72" s="27" t="str" cm="1">
        <f t="array" ref="AA72">INDEX(Note!$H$3:$H$101,MATCH(1,(Note!$A$3:$A$101=$A72)*(Note!$C$3:$C$101=$B72)*(Note!$E$3:$E$101&lt;=AA$1)*(Note!$F$3:$F$101&gt;=AA$2),0))</f>
        <v>DDP</v>
      </c>
      <c r="AB72" s="27" t="str" cm="1">
        <f t="array" ref="AB72">INDEX(Note!$H$3:$H$101,MATCH(1,(Note!$A$3:$A$101=$A72)*(Note!$C$3:$C$101=$B72)*(Note!$E$3:$E$101&lt;=AB$1)*(Note!$F$3:$F$101&gt;=AB$2),0))</f>
        <v>DDP</v>
      </c>
      <c r="AC72" s="27" t="str" cm="1">
        <f t="array" ref="AC72">INDEX(Note!$H$3:$H$101,MATCH(1,(Note!$A$3:$A$101=$A72)*(Note!$C$3:$C$101=$B72)*(Note!$E$3:$E$101&lt;=AC$1)*(Note!$F$3:$F$101&gt;=AC$2),0))</f>
        <v>DDP</v>
      </c>
      <c r="AD72" s="27" t="str" cm="1">
        <f t="array" ref="AD72">INDEX(Note!$H$3:$H$101,MATCH(1,(Note!$A$3:$A$101=$A72)*(Note!$C$3:$C$101=$B72)*(Note!$E$3:$E$101&lt;=AD$1)*(Note!$F$3:$F$101&gt;=AD$2),0))</f>
        <v>DDP</v>
      </c>
      <c r="AE72" s="27" t="str" cm="1">
        <f t="array" ref="AE72">INDEX(Note!$H$3:$H$101,MATCH(1,(Note!$A$3:$A$101=$A72)*(Note!$C$3:$C$101=$B72)*(Note!$E$3:$E$101&lt;=AE$1)*(Note!$F$3:$F$101&gt;=AE$2),0))</f>
        <v>DDP</v>
      </c>
      <c r="AF72" s="27" t="str" cm="1">
        <f t="array" ref="AF72">INDEX(Note!$H$3:$H$101,MATCH(1,(Note!$A$3:$A$101=$A72)*(Note!$C$3:$C$101=$B72)*(Note!$E$3:$E$101&lt;=AF$1)*(Note!$F$3:$F$101&gt;=AF$2),0))</f>
        <v>DDP</v>
      </c>
      <c r="AG72" s="27" t="str" cm="1">
        <f t="array" ref="AG72">INDEX(Note!$H$3:$H$101,MATCH(1,(Note!$A$3:$A$101=$A72)*(Note!$C$3:$C$101=$B72)*(Note!$E$3:$E$101&lt;=AG$1)*(Note!$F$3:$F$101&gt;=AG$2),0))</f>
        <v>DDP</v>
      </c>
      <c r="AH72" s="27" t="str" cm="1">
        <f t="array" ref="AH72">INDEX(Note!$H$3:$H$101,MATCH(1,(Note!$A$3:$A$101=$A72)*(Note!$C$3:$C$101=$B72)*(Note!$E$3:$E$101&lt;=AH$1)*(Note!$F$3:$F$101&gt;=AH$2),0))</f>
        <v>DDP</v>
      </c>
      <c r="AI72" s="27" t="str" cm="1">
        <f t="array" ref="AI72">INDEX(Note!$H$3:$H$101,MATCH(1,(Note!$A$3:$A$101=$A72)*(Note!$C$3:$C$101=$B72)*(Note!$E$3:$E$101&lt;=AI$1)*(Note!$F$3:$F$101&gt;=AI$2),0))</f>
        <v>DDP</v>
      </c>
      <c r="AJ72" s="27" t="str" cm="1">
        <f t="array" ref="AJ72">INDEX(Note!$H$3:$H$101,MATCH(1,(Note!$A$3:$A$101=$A72)*(Note!$C$3:$C$101=$B72)*(Note!$E$3:$E$101&lt;=AJ$1)*(Note!$F$3:$F$101&gt;=AJ$2),0))</f>
        <v>DDP</v>
      </c>
      <c r="AK72" s="27" t="str" cm="1">
        <f t="array" ref="AK72">INDEX(Note!$H$3:$H$101,MATCH(1,(Note!$A$3:$A$101=$A72)*(Note!$C$3:$C$101=$B72)*(Note!$E$3:$E$101&lt;=AK$1)*(Note!$F$3:$F$101&gt;=AK$2),0))</f>
        <v>DDP</v>
      </c>
      <c r="AL72" s="89" t="str" cm="1">
        <f t="array" ref="AL72">INDEX(Note!$H$3:$H$101,MATCH(1,(Note!$A$3:$A$101=$A72)*(Note!$C$3:$C$101=$B72)*(Note!$E$3:$E$101&lt;=AL$1)*(Note!$F$3:$F$101&gt;=AL$2),0))</f>
        <v>DDP</v>
      </c>
    </row>
    <row r="73" spans="1:38" s="97" customFormat="1" outlineLevel="1" x14ac:dyDescent="0.35">
      <c r="A73" s="97" t="s">
        <v>64</v>
      </c>
      <c r="B73" s="97" t="s">
        <v>65</v>
      </c>
      <c r="F73" s="196" t="s">
        <v>260</v>
      </c>
      <c r="G73" s="107"/>
      <c r="H73" s="107"/>
      <c r="I73" s="107"/>
      <c r="J73" s="107" t="s">
        <v>46</v>
      </c>
      <c r="K73" s="109"/>
      <c r="L73" s="107"/>
      <c r="M73" s="107"/>
      <c r="N73" s="107"/>
      <c r="O73" s="236" t="str" cm="1">
        <f t="array" ref="O73">INDEX(Note!$I$3:$I$101,MATCH(1,(Note!$A$3:$A$101=$A73)*(Note!$C$3:$C$101=$B73)*(Note!$E$3:$E$101&lt;=O$1)*(Note!$F$3:$F$101&gt;=O$2),0))</f>
        <v>Quý</v>
      </c>
      <c r="P73" s="196" t="str" cm="1">
        <f t="array" ref="P73">INDEX(Note!$I$3:$I$101,MATCH(1,(Note!$A$3:$A$101=$A73)*(Note!$C$3:$C$101=$B73)*(Note!$E$3:$E$101&lt;=P$1)*(Note!$F$3:$F$101&gt;=P$2),0))</f>
        <v>Quý</v>
      </c>
      <c r="Q73" s="196" t="str" cm="1">
        <f t="array" ref="Q73">INDEX(Note!$I$3:$I$101,MATCH(1,(Note!$A$3:$A$101=$A73)*(Note!$C$3:$C$101=$B73)*(Note!$E$3:$E$101&lt;=Q$1)*(Note!$F$3:$F$101&gt;=Q$2),0))</f>
        <v>Quý</v>
      </c>
      <c r="R73" s="196" t="str" cm="1">
        <f t="array" ref="R73">INDEX(Note!$I$3:$I$101,MATCH(1,(Note!$A$3:$A$101=$A73)*(Note!$C$3:$C$101=$B73)*(Note!$E$3:$E$101&lt;=R$1)*(Note!$F$3:$F$101&gt;=R$2),0))</f>
        <v>Quý</v>
      </c>
      <c r="S73" s="196" t="str" cm="1">
        <f t="array" ref="S73">INDEX(Note!$I$3:$I$101,MATCH(1,(Note!$A$3:$A$101=$A73)*(Note!$C$3:$C$101=$B73)*(Note!$E$3:$E$101&lt;=S$1)*(Note!$F$3:$F$101&gt;=S$2),0))</f>
        <v>Quý</v>
      </c>
      <c r="T73" s="196" t="str" cm="1">
        <f t="array" ref="T73">INDEX(Note!$I$3:$I$101,MATCH(1,(Note!$A$3:$A$101=$A73)*(Note!$C$3:$C$101=$B73)*(Note!$E$3:$E$101&lt;=T$1)*(Note!$F$3:$F$101&gt;=T$2),0))</f>
        <v>Quý</v>
      </c>
      <c r="U73" s="196" t="str" cm="1">
        <f t="array" ref="U73">INDEX(Note!$I$3:$I$101,MATCH(1,(Note!$A$3:$A$101=$A73)*(Note!$C$3:$C$101=$B73)*(Note!$E$3:$E$101&lt;=U$1)*(Note!$F$3:$F$101&gt;=U$2),0))</f>
        <v>Quý</v>
      </c>
      <c r="V73" s="196" t="str" cm="1">
        <f t="array" ref="V73">INDEX(Note!$I$3:$I$101,MATCH(1,(Note!$A$3:$A$101=$A73)*(Note!$C$3:$C$101=$B73)*(Note!$E$3:$E$101&lt;=V$1)*(Note!$F$3:$F$101&gt;=V$2),0))</f>
        <v>Quý</v>
      </c>
      <c r="W73" s="196" t="str" cm="1">
        <f t="array" ref="W73">INDEX(Note!$I$3:$I$101,MATCH(1,(Note!$A$3:$A$101=$A73)*(Note!$C$3:$C$101=$B73)*(Note!$E$3:$E$101&lt;=W$1)*(Note!$F$3:$F$101&gt;=W$2),0))</f>
        <v>Quý</v>
      </c>
      <c r="X73" s="196" t="str" cm="1">
        <f t="array" ref="X73">INDEX(Note!$I$3:$I$101,MATCH(1,(Note!$A$3:$A$101=$A73)*(Note!$C$3:$C$101=$B73)*(Note!$E$3:$E$101&lt;=X$1)*(Note!$F$3:$F$101&gt;=X$2),0))</f>
        <v>Quý</v>
      </c>
      <c r="Y73" s="196" t="str" cm="1">
        <f t="array" ref="Y73">INDEX(Note!$I$3:$I$101,MATCH(1,(Note!$A$3:$A$101=$A73)*(Note!$C$3:$C$101=$B73)*(Note!$E$3:$E$101&lt;=Y$1)*(Note!$F$3:$F$101&gt;=Y$2),0))</f>
        <v>Quý</v>
      </c>
      <c r="Z73" s="197" t="str" cm="1">
        <f t="array" ref="Z73">INDEX(Note!$I$3:$I$101,MATCH(1,(Note!$A$3:$A$101=$A73)*(Note!$C$3:$C$101=$B73)*(Note!$E$3:$E$101&lt;=Z$1)*(Note!$F$3:$F$101&gt;=Z$2),0))</f>
        <v>Quý</v>
      </c>
      <c r="AA73" s="196" t="str" cm="1">
        <f t="array" ref="AA73">INDEX(Note!$I$3:$I$101,MATCH(1,(Note!$A$3:$A$101=$A73)*(Note!$C$3:$C$101=$B73)*(Note!$E$3:$E$101&lt;=AA$1)*(Note!$F$3:$F$101&gt;=AA$2),0))</f>
        <v>Năm</v>
      </c>
      <c r="AB73" s="196" t="str" cm="1">
        <f t="array" ref="AB73">INDEX(Note!$I$3:$I$101,MATCH(1,(Note!$A$3:$A$101=$A73)*(Note!$C$3:$C$101=$B73)*(Note!$E$3:$E$101&lt;=AB$1)*(Note!$F$3:$F$101&gt;=AB$2),0))</f>
        <v>Năm</v>
      </c>
      <c r="AC73" s="196" t="str" cm="1">
        <f t="array" ref="AC73">INDEX(Note!$I$3:$I$101,MATCH(1,(Note!$A$3:$A$101=$A73)*(Note!$C$3:$C$101=$B73)*(Note!$E$3:$E$101&lt;=AC$1)*(Note!$F$3:$F$101&gt;=AC$2),0))</f>
        <v>Năm</v>
      </c>
      <c r="AD73" s="196" t="str" cm="1">
        <f t="array" ref="AD73">INDEX(Note!$I$3:$I$101,MATCH(1,(Note!$A$3:$A$101=$A73)*(Note!$C$3:$C$101=$B73)*(Note!$E$3:$E$101&lt;=AD$1)*(Note!$F$3:$F$101&gt;=AD$2),0))</f>
        <v>Năm</v>
      </c>
      <c r="AE73" s="196" t="str" cm="1">
        <f t="array" ref="AE73">INDEX(Note!$I$3:$I$101,MATCH(1,(Note!$A$3:$A$101=$A73)*(Note!$C$3:$C$101=$B73)*(Note!$E$3:$E$101&lt;=AE$1)*(Note!$F$3:$F$101&gt;=AE$2),0))</f>
        <v>Năm</v>
      </c>
      <c r="AF73" s="196" t="str" cm="1">
        <f t="array" ref="AF73">INDEX(Note!$I$3:$I$101,MATCH(1,(Note!$A$3:$A$101=$A73)*(Note!$C$3:$C$101=$B73)*(Note!$E$3:$E$101&lt;=AF$1)*(Note!$F$3:$F$101&gt;=AF$2),0))</f>
        <v>Năm</v>
      </c>
      <c r="AG73" s="196" t="str" cm="1">
        <f t="array" ref="AG73">INDEX(Note!$I$3:$I$101,MATCH(1,(Note!$A$3:$A$101=$A73)*(Note!$C$3:$C$101=$B73)*(Note!$E$3:$E$101&lt;=AG$1)*(Note!$F$3:$F$101&gt;=AG$2),0))</f>
        <v>Năm</v>
      </c>
      <c r="AH73" s="196" t="str" cm="1">
        <f t="array" ref="AH73">INDEX(Note!$I$3:$I$101,MATCH(1,(Note!$A$3:$A$101=$A73)*(Note!$C$3:$C$101=$B73)*(Note!$E$3:$E$101&lt;=AH$1)*(Note!$F$3:$F$101&gt;=AH$2),0))</f>
        <v>Năm</v>
      </c>
      <c r="AI73" s="196" t="str" cm="1">
        <f t="array" ref="AI73">INDEX(Note!$I$3:$I$101,MATCH(1,(Note!$A$3:$A$101=$A73)*(Note!$C$3:$C$101=$B73)*(Note!$E$3:$E$101&lt;=AI$1)*(Note!$F$3:$F$101&gt;=AI$2),0))</f>
        <v>Năm</v>
      </c>
      <c r="AJ73" s="196" t="str" cm="1">
        <f t="array" ref="AJ73">INDEX(Note!$I$3:$I$101,MATCH(1,(Note!$A$3:$A$101=$A73)*(Note!$C$3:$C$101=$B73)*(Note!$E$3:$E$101&lt;=AJ$1)*(Note!$F$3:$F$101&gt;=AJ$2),0))</f>
        <v>Năm</v>
      </c>
      <c r="AK73" s="196" t="str" cm="1">
        <f t="array" ref="AK73">INDEX(Note!$I$3:$I$101,MATCH(1,(Note!$A$3:$A$101=$A73)*(Note!$C$3:$C$101=$B73)*(Note!$E$3:$E$101&lt;=AK$1)*(Note!$F$3:$F$101&gt;=AK$2),0))</f>
        <v>Năm</v>
      </c>
      <c r="AL73" s="197" t="str" cm="1">
        <f t="array" ref="AL73">INDEX(Note!$I$3:$I$101,MATCH(1,(Note!$A$3:$A$101=$A73)*(Note!$C$3:$C$101=$B73)*(Note!$E$3:$E$101&lt;=AL$1)*(Note!$F$3:$F$101&gt;=AL$2),0))</f>
        <v>Năm</v>
      </c>
    </row>
    <row r="74" spans="1:38" s="188" customFormat="1" outlineLevel="1" x14ac:dyDescent="0.35">
      <c r="A74" s="188" t="s">
        <v>64</v>
      </c>
      <c r="B74" s="188" t="s">
        <v>65</v>
      </c>
      <c r="F74" s="225" t="s">
        <v>266</v>
      </c>
      <c r="G74" s="193"/>
      <c r="H74" s="193"/>
      <c r="I74" s="193"/>
      <c r="J74" s="193" t="s">
        <v>203</v>
      </c>
      <c r="K74" s="189"/>
      <c r="L74" s="202"/>
      <c r="M74" s="202"/>
      <c r="N74" s="202"/>
      <c r="O74" s="201" cm="1">
        <f t="array" ref="O74">SUMPRODUCT(General_Data*(Year=O$3)*(Month=O$4)*(Code_General_Data=$B74))</f>
        <v>1350</v>
      </c>
      <c r="P74" s="202" cm="1">
        <f t="array" ref="P74">SUMPRODUCT(General_Data*(Year=P$3)*(Month=P$4)*(Code_General_Data=$B74))</f>
        <v>1350</v>
      </c>
      <c r="Q74" s="202" cm="1">
        <f t="array" ref="Q74">SUMPRODUCT(General_Data*(Year=Q$3)*(Month=Q$4)*(Code_General_Data=$B74))</f>
        <v>1350</v>
      </c>
      <c r="R74" s="202" cm="1">
        <f t="array" ref="R74">SUMPRODUCT(General_Data*(Year=R$3)*(Month=R$4)*(Code_General_Data=$B74))</f>
        <v>1350</v>
      </c>
      <c r="S74" s="202" cm="1">
        <f t="array" ref="S74">SUMPRODUCT(General_Data*(Year=S$3)*(Month=S$4)*(Code_General_Data=$B74))</f>
        <v>1350</v>
      </c>
      <c r="T74" s="202" cm="1">
        <f t="array" ref="T74">SUMPRODUCT(General_Data*(Year=T$3)*(Month=T$4)*(Code_General_Data=$B74))</f>
        <v>1350</v>
      </c>
      <c r="U74" s="202" cm="1">
        <f t="array" ref="U74">SUMPRODUCT(General_Data*(Year=U$3)*(Month=U$4)*(Code_General_Data=$B74))</f>
        <v>1350</v>
      </c>
      <c r="V74" s="202" cm="1">
        <f t="array" ref="V74">SUMPRODUCT(General_Data*(Year=V$3)*(Month=V$4)*(Code_General_Data=$B74))</f>
        <v>1350</v>
      </c>
      <c r="W74" s="202" cm="1">
        <f t="array" ref="W74">SUMPRODUCT(General_Data*(Year=W$3)*(Month=W$4)*(Code_General_Data=$B74))</f>
        <v>1350</v>
      </c>
      <c r="X74" s="202" cm="1">
        <f t="array" ref="X74">SUMPRODUCT(General_Data*(Year=X$3)*(Month=X$4)*(Code_General_Data=$B74))</f>
        <v>1350</v>
      </c>
      <c r="Y74" s="202" cm="1">
        <f t="array" ref="Y74">SUMPRODUCT(General_Data*(Year=Y$3)*(Month=Y$4)*(Code_General_Data=$B74))</f>
        <v>1350</v>
      </c>
      <c r="Z74" s="203" cm="1">
        <f t="array" ref="Z74">SUMPRODUCT(General_Data*(Year=Z$3)*(Month=Z$4)*(Code_General_Data=$B74))</f>
        <v>1350</v>
      </c>
      <c r="AA74" s="202" cm="1">
        <f t="array" ref="AA74">SUMPRODUCT(General_Data*(Year=AA$3)*(Month=AA$4)*(Code_General_Data=$B74))</f>
        <v>1350</v>
      </c>
      <c r="AB74" s="202" cm="1">
        <f t="array" ref="AB74">SUMPRODUCT(General_Data*(Year=AB$3)*(Month=AB$4)*(Code_General_Data=$B74))</f>
        <v>1350</v>
      </c>
      <c r="AC74" s="202" cm="1">
        <f t="array" ref="AC74">SUMPRODUCT(General_Data*(Year=AC$3)*(Month=AC$4)*(Code_General_Data=$B74))</f>
        <v>1300</v>
      </c>
      <c r="AD74" s="202"/>
      <c r="AE74" s="202"/>
      <c r="AF74" s="202"/>
      <c r="AG74" s="202"/>
      <c r="AH74" s="202"/>
      <c r="AI74" s="202"/>
      <c r="AJ74" s="202"/>
      <c r="AK74" s="202"/>
      <c r="AL74" s="203"/>
    </row>
    <row r="75" spans="1:38" s="93" customFormat="1" x14ac:dyDescent="0.35">
      <c r="D75" s="92"/>
      <c r="F75" s="168"/>
      <c r="G75"/>
      <c r="H75"/>
      <c r="I75"/>
      <c r="J75"/>
      <c r="K75"/>
      <c r="L75"/>
      <c r="M75"/>
      <c r="N75"/>
      <c r="O75" s="47"/>
      <c r="P75"/>
      <c r="Q75"/>
      <c r="R75"/>
      <c r="S75"/>
      <c r="T75"/>
      <c r="U75"/>
      <c r="V75"/>
      <c r="W75"/>
      <c r="X75"/>
      <c r="Y75"/>
      <c r="Z75" s="48"/>
      <c r="AA75"/>
      <c r="AB75"/>
      <c r="AC75"/>
      <c r="AD75"/>
      <c r="AE75"/>
      <c r="AF75"/>
      <c r="AG75"/>
      <c r="AH75"/>
      <c r="AI75"/>
      <c r="AJ75"/>
      <c r="AK75"/>
      <c r="AL75" s="48"/>
    </row>
    <row r="76" spans="1:38" s="178" customFormat="1" ht="19.5" x14ac:dyDescent="0.35">
      <c r="A76" s="176" t="s">
        <v>40</v>
      </c>
      <c r="B76" s="176"/>
      <c r="C76" s="176"/>
      <c r="D76" s="176"/>
      <c r="E76" s="176"/>
      <c r="F76" s="219">
        <v>3</v>
      </c>
      <c r="G76" s="177" t="s">
        <v>324</v>
      </c>
      <c r="H76" s="177"/>
      <c r="I76" s="177"/>
      <c r="J76" s="177"/>
      <c r="L76" s="180"/>
      <c r="M76" s="180"/>
      <c r="N76" s="180"/>
      <c r="O76" s="179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1"/>
      <c r="AA76" s="182">
        <f>AA82-AA80</f>
        <v>1448.125</v>
      </c>
      <c r="AB76" s="180">
        <f>AB82-AB80</f>
        <v>1409.7916666666652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1"/>
    </row>
    <row r="77" spans="1:38" s="183" customFormat="1" ht="17" x14ac:dyDescent="0.35">
      <c r="A77" s="183" t="s">
        <v>40</v>
      </c>
      <c r="B77" s="183" t="s">
        <v>29</v>
      </c>
      <c r="D77" s="183" t="s">
        <v>322</v>
      </c>
      <c r="F77" s="273">
        <v>3.1</v>
      </c>
      <c r="G77" s="274"/>
      <c r="H77" s="274" t="s">
        <v>261</v>
      </c>
      <c r="I77" s="274"/>
      <c r="J77" s="274"/>
      <c r="L77" s="274"/>
      <c r="M77" s="274"/>
      <c r="N77" s="288"/>
      <c r="O77" s="216">
        <f>SUM(O78:O81)</f>
        <v>1366.5</v>
      </c>
      <c r="P77" s="217">
        <f t="shared" ref="P77:Z77" si="31">SUM(P78:P81)</f>
        <v>1374</v>
      </c>
      <c r="Q77" s="217">
        <f t="shared" si="31"/>
        <v>1386.5</v>
      </c>
      <c r="R77" s="217">
        <f t="shared" si="31"/>
        <v>1389</v>
      </c>
      <c r="S77" s="217">
        <f t="shared" si="31"/>
        <v>1393</v>
      </c>
      <c r="T77" s="217">
        <f t="shared" si="31"/>
        <v>1408</v>
      </c>
      <c r="U77" s="217">
        <f t="shared" si="31"/>
        <v>1424</v>
      </c>
      <c r="V77" s="217">
        <f t="shared" si="31"/>
        <v>1435</v>
      </c>
      <c r="W77" s="217">
        <f t="shared" si="31"/>
        <v>1455</v>
      </c>
      <c r="X77" s="217">
        <f t="shared" si="31"/>
        <v>1482.75</v>
      </c>
      <c r="Y77" s="217">
        <f t="shared" si="31"/>
        <v>1500.25</v>
      </c>
      <c r="Z77" s="218">
        <f t="shared" si="31"/>
        <v>1504</v>
      </c>
      <c r="AA77" s="216">
        <f>MIN(MAX(SUM(AA78,AA79),AA88),AA87)+AA80+AA81</f>
        <v>1452.903125</v>
      </c>
      <c r="AB77" s="217">
        <f>MIN(MAX(SUM(AB78,AB79),AB88),AB87)+AB80+AB81</f>
        <v>1415.1447916666652</v>
      </c>
      <c r="AC77" s="217"/>
      <c r="AD77" s="217"/>
      <c r="AE77" s="217"/>
      <c r="AF77" s="217"/>
      <c r="AG77" s="217"/>
      <c r="AH77" s="217"/>
      <c r="AI77" s="217"/>
      <c r="AJ77" s="217"/>
      <c r="AK77" s="217"/>
      <c r="AL77" s="218"/>
    </row>
    <row r="78" spans="1:38" s="93" customFormat="1" outlineLevel="1" x14ac:dyDescent="0.35">
      <c r="A78" s="93" t="s">
        <v>40</v>
      </c>
      <c r="B78" s="93" t="s">
        <v>29</v>
      </c>
      <c r="D78" s="92"/>
      <c r="F78" s="275" t="s">
        <v>271</v>
      </c>
      <c r="G78" s="276"/>
      <c r="H78" s="276" t="s">
        <v>41</v>
      </c>
      <c r="I78" s="276" t="s">
        <v>267</v>
      </c>
      <c r="J78" s="276"/>
      <c r="K78"/>
      <c r="L78" s="276"/>
      <c r="M78" s="276"/>
      <c r="N78" s="289"/>
      <c r="O78" s="213">
        <f>(M83+N83)/2</f>
        <v>1300</v>
      </c>
      <c r="P78" s="214">
        <f t="shared" ref="P78:Z78" si="32">(N83+O83)/2</f>
        <v>1307.5</v>
      </c>
      <c r="Q78" s="214">
        <f t="shared" si="32"/>
        <v>1320</v>
      </c>
      <c r="R78" s="214">
        <f t="shared" si="32"/>
        <v>1322.5</v>
      </c>
      <c r="S78" s="214">
        <f t="shared" si="32"/>
        <v>1326.5</v>
      </c>
      <c r="T78" s="214">
        <f t="shared" si="32"/>
        <v>1341.5</v>
      </c>
      <c r="U78" s="214">
        <f t="shared" si="32"/>
        <v>1357.5</v>
      </c>
      <c r="V78" s="214">
        <f t="shared" si="32"/>
        <v>1368.5</v>
      </c>
      <c r="W78" s="214">
        <f t="shared" si="32"/>
        <v>1388.5</v>
      </c>
      <c r="X78" s="214">
        <f t="shared" si="32"/>
        <v>1416.25</v>
      </c>
      <c r="Y78" s="214">
        <f t="shared" si="32"/>
        <v>1433.75</v>
      </c>
      <c r="Z78" s="215">
        <f t="shared" si="32"/>
        <v>1437.5</v>
      </c>
      <c r="AA78" s="213">
        <f>(Y83+Z83)/2</f>
        <v>1428.125</v>
      </c>
      <c r="AB78" s="214">
        <f>(Z83+AA83)/2</f>
        <v>1389.7916666666652</v>
      </c>
      <c r="AC78" s="214"/>
      <c r="AD78" s="214"/>
      <c r="AE78" s="214"/>
      <c r="AF78" s="214"/>
      <c r="AG78" s="214"/>
      <c r="AH78" s="214"/>
      <c r="AI78" s="214"/>
      <c r="AJ78" s="214"/>
      <c r="AK78" s="214"/>
      <c r="AL78" s="215"/>
    </row>
    <row r="79" spans="1:38" s="93" customFormat="1" outlineLevel="1" x14ac:dyDescent="0.35">
      <c r="A79" s="93" t="s">
        <v>40</v>
      </c>
      <c r="B79" s="93" t="s">
        <v>29</v>
      </c>
      <c r="D79" s="92"/>
      <c r="F79" s="275" t="s">
        <v>272</v>
      </c>
      <c r="G79" s="276"/>
      <c r="H79" s="276" t="s">
        <v>41</v>
      </c>
      <c r="I79" s="276" t="s">
        <v>268</v>
      </c>
      <c r="J79" s="276"/>
      <c r="K79"/>
      <c r="L79" s="276"/>
      <c r="M79" s="276"/>
      <c r="N79" s="289"/>
      <c r="O79" s="213">
        <v>50</v>
      </c>
      <c r="P79" s="214">
        <v>50</v>
      </c>
      <c r="Q79" s="214">
        <v>50</v>
      </c>
      <c r="R79" s="214">
        <v>50</v>
      </c>
      <c r="S79" s="214">
        <v>50</v>
      </c>
      <c r="T79" s="214">
        <v>50</v>
      </c>
      <c r="U79" s="214">
        <v>50</v>
      </c>
      <c r="V79" s="214">
        <v>50</v>
      </c>
      <c r="W79" s="214">
        <v>50</v>
      </c>
      <c r="X79" s="214">
        <v>50</v>
      </c>
      <c r="Y79" s="214">
        <v>50</v>
      </c>
      <c r="Z79" s="215">
        <v>50</v>
      </c>
      <c r="AA79" s="213">
        <v>20</v>
      </c>
      <c r="AB79" s="214">
        <v>20</v>
      </c>
      <c r="AC79" s="214"/>
      <c r="AD79" s="214"/>
      <c r="AE79" s="214"/>
      <c r="AF79" s="214"/>
      <c r="AG79" s="214"/>
      <c r="AH79" s="214"/>
      <c r="AI79" s="214"/>
      <c r="AJ79" s="214"/>
      <c r="AK79" s="214"/>
      <c r="AL79" s="215"/>
    </row>
    <row r="80" spans="1:38" s="93" customFormat="1" outlineLevel="1" x14ac:dyDescent="0.35">
      <c r="A80" s="93" t="s">
        <v>40</v>
      </c>
      <c r="B80" s="93" t="s">
        <v>29</v>
      </c>
      <c r="D80" s="92"/>
      <c r="F80" s="275" t="s">
        <v>273</v>
      </c>
      <c r="G80" s="276"/>
      <c r="H80" s="276" t="s">
        <v>41</v>
      </c>
      <c r="I80" s="277" t="s">
        <v>323</v>
      </c>
      <c r="J80" s="276"/>
      <c r="K80"/>
      <c r="L80" s="276"/>
      <c r="M80" s="276"/>
      <c r="N80" s="289"/>
      <c r="O80" s="213">
        <f>-IF('Rebate-Suntory'!$E$14="/tấn",'Rebate-Suntory'!$D$14,IF('Rebate-Suntory'!$E$14="giá trị",'Rebate-Suntory'!$D$14*(O78+O79+O81),0))</f>
        <v>-10</v>
      </c>
      <c r="P80" s="214">
        <f>-IF('Rebate-Suntory'!$E$14="/tấn",'Rebate-Suntory'!$D$14,IF('Rebate-Suntory'!$E$14="giá trị",'Rebate-Suntory'!$D$14*(P78+P79+P81),0))</f>
        <v>-10</v>
      </c>
      <c r="Q80" s="214">
        <f>-IF('Rebate-Suntory'!$E$14="/tấn",'Rebate-Suntory'!$D$14,IF('Rebate-Suntory'!$E$14="giá trị",'Rebate-Suntory'!$D$14*(Q78+Q79+Q81),0))</f>
        <v>-10</v>
      </c>
      <c r="R80" s="214">
        <f>-IF('Rebate-Suntory'!$E$14="/tấn",'Rebate-Suntory'!$D$14,IF('Rebate-Suntory'!$E$14="giá trị",'Rebate-Suntory'!$D$14*(R78+R79+R81),0))</f>
        <v>-10</v>
      </c>
      <c r="S80" s="214">
        <f>-IF('Rebate-Suntory'!$E$14="/tấn",'Rebate-Suntory'!$D$14,IF('Rebate-Suntory'!$E$14="giá trị",'Rebate-Suntory'!$D$14*(S78+S79+S81),0))</f>
        <v>-10</v>
      </c>
      <c r="T80" s="214">
        <f>-IF('Rebate-Suntory'!$E$14="/tấn",'Rebate-Suntory'!$D$14,IF('Rebate-Suntory'!$E$14="giá trị",'Rebate-Suntory'!$D$14*(T78+T79+T81),0))</f>
        <v>-10</v>
      </c>
      <c r="U80" s="214">
        <f>-IF('Rebate-Suntory'!$E$14="/tấn",'Rebate-Suntory'!$D$14,IF('Rebate-Suntory'!$E$14="giá trị",'Rebate-Suntory'!$D$14*(U78+U79+U81),0))</f>
        <v>-10</v>
      </c>
      <c r="V80" s="214">
        <f>-IF('Rebate-Suntory'!$E$14="/tấn",'Rebate-Suntory'!$D$14,IF('Rebate-Suntory'!$E$14="giá trị",'Rebate-Suntory'!$D$14*(V78+V79+V81),0))</f>
        <v>-10</v>
      </c>
      <c r="W80" s="214">
        <f>-IF('Rebate-Suntory'!$E$14="/tấn",'Rebate-Suntory'!$D$14,IF('Rebate-Suntory'!$E$14="giá trị",'Rebate-Suntory'!$D$14*(W78+W79+W81),0))</f>
        <v>-10</v>
      </c>
      <c r="X80" s="214">
        <f>-IF('Rebate-Suntory'!$E$14="/tấn",'Rebate-Suntory'!$D$14,IF('Rebate-Suntory'!$E$14="giá trị",'Rebate-Suntory'!$D$14*(X78+X79+X81),0))</f>
        <v>-10</v>
      </c>
      <c r="Y80" s="214">
        <f>-IF('Rebate-Suntory'!$E$14="/tấn",'Rebate-Suntory'!$D$14,IF('Rebate-Suntory'!$E$14="giá trị",'Rebate-Suntory'!$D$14*(Y78+Y79+Y81),0))</f>
        <v>-10</v>
      </c>
      <c r="Z80" s="215">
        <f>-IF('Rebate-Suntory'!$E$14="/tấn",'Rebate-Suntory'!$D$14,IF('Rebate-Suntory'!$E$14="giá trị",'Rebate-Suntory'!$D$14*(Z78+Z79+Z81),0))</f>
        <v>-10</v>
      </c>
      <c r="AA80" s="213">
        <f>-IF('Rebate-Suntory'!$J$14="/tấn",'Rebate-Suntory'!$I$14,IF('Rebate-Suntory'!$J$14="giá trị",'Rebate-Suntory'!$I$14*(AA78+AA79),0))</f>
        <v>-21.721875000000001</v>
      </c>
      <c r="AB80" s="214">
        <f>-IF('Rebate-Suntory'!$J$14="/tấn",'Rebate-Suntory'!$I$14,IF('Rebate-Suntory'!$J$14="giá trị",'Rebate-Suntory'!$I$14*(AB78+AB79),0))</f>
        <v>-21.146874999999977</v>
      </c>
      <c r="AC80" s="214"/>
      <c r="AD80" s="214"/>
      <c r="AE80" s="214"/>
      <c r="AF80" s="214"/>
      <c r="AG80" s="214"/>
      <c r="AH80" s="214"/>
      <c r="AI80" s="214"/>
      <c r="AJ80" s="214"/>
      <c r="AK80" s="214"/>
      <c r="AL80" s="215"/>
    </row>
    <row r="81" spans="1:38" s="93" customFormat="1" outlineLevel="1" x14ac:dyDescent="0.35">
      <c r="A81" s="93" t="s">
        <v>40</v>
      </c>
      <c r="B81" s="93" t="s">
        <v>29</v>
      </c>
      <c r="D81" s="92"/>
      <c r="F81" s="275" t="s">
        <v>274</v>
      </c>
      <c r="G81" s="276"/>
      <c r="H81" s="276" t="s">
        <v>41</v>
      </c>
      <c r="I81" s="276" t="s">
        <v>42</v>
      </c>
      <c r="J81" s="276"/>
      <c r="K81"/>
      <c r="L81" s="276"/>
      <c r="M81" s="276"/>
      <c r="N81" s="289"/>
      <c r="O81" s="297">
        <v>26.5</v>
      </c>
      <c r="P81" s="298">
        <v>26.5</v>
      </c>
      <c r="Q81" s="298">
        <v>26.5</v>
      </c>
      <c r="R81" s="298">
        <v>26.5</v>
      </c>
      <c r="S81" s="298">
        <v>26.5</v>
      </c>
      <c r="T81" s="298">
        <v>26.5</v>
      </c>
      <c r="U81" s="298">
        <v>26.5</v>
      </c>
      <c r="V81" s="298">
        <v>26.5</v>
      </c>
      <c r="W81" s="298">
        <v>26.5</v>
      </c>
      <c r="X81" s="298">
        <v>26.5</v>
      </c>
      <c r="Y81" s="298">
        <v>26.5</v>
      </c>
      <c r="Z81" s="299">
        <v>26.5</v>
      </c>
      <c r="AA81" s="297">
        <v>26.5</v>
      </c>
      <c r="AB81" s="298">
        <v>26.5</v>
      </c>
      <c r="AC81" s="8"/>
      <c r="AD81" s="8"/>
      <c r="AE81" s="8"/>
      <c r="AF81" s="8"/>
      <c r="AG81" s="8"/>
      <c r="AH81" s="8"/>
      <c r="AI81" s="8"/>
      <c r="AJ81" s="8"/>
      <c r="AK81" s="8"/>
      <c r="AL81" s="56"/>
    </row>
    <row r="82" spans="1:38" s="94" customFormat="1" outlineLevel="1" x14ac:dyDescent="0.35">
      <c r="A82" s="94" t="s">
        <v>40</v>
      </c>
      <c r="B82" s="94" t="s">
        <v>29</v>
      </c>
      <c r="D82" s="95" t="s">
        <v>162</v>
      </c>
      <c r="F82" s="278" t="s">
        <v>275</v>
      </c>
      <c r="G82" s="279"/>
      <c r="H82" s="279"/>
      <c r="I82" s="279" t="s">
        <v>8</v>
      </c>
      <c r="J82" s="279"/>
      <c r="K82" s="2"/>
      <c r="L82" s="279"/>
      <c r="M82" s="279"/>
      <c r="N82" s="290"/>
      <c r="O82" s="228">
        <f>O77-O81</f>
        <v>1340</v>
      </c>
      <c r="P82" s="229">
        <f t="shared" ref="P82:AB82" si="33">P77-P81</f>
        <v>1347.5</v>
      </c>
      <c r="Q82" s="229">
        <f t="shared" si="33"/>
        <v>1360</v>
      </c>
      <c r="R82" s="229">
        <f t="shared" si="33"/>
        <v>1362.5</v>
      </c>
      <c r="S82" s="229">
        <f t="shared" si="33"/>
        <v>1366.5</v>
      </c>
      <c r="T82" s="229">
        <f t="shared" si="33"/>
        <v>1381.5</v>
      </c>
      <c r="U82" s="229">
        <f t="shared" si="33"/>
        <v>1397.5</v>
      </c>
      <c r="V82" s="229">
        <f t="shared" si="33"/>
        <v>1408.5</v>
      </c>
      <c r="W82" s="229">
        <f t="shared" si="33"/>
        <v>1428.5</v>
      </c>
      <c r="X82" s="229">
        <f t="shared" si="33"/>
        <v>1456.25</v>
      </c>
      <c r="Y82" s="229">
        <f t="shared" si="33"/>
        <v>1473.75</v>
      </c>
      <c r="Z82" s="230">
        <f t="shared" si="33"/>
        <v>1477.5</v>
      </c>
      <c r="AA82" s="229">
        <f>AA77-AA81</f>
        <v>1426.403125</v>
      </c>
      <c r="AB82" s="229">
        <f t="shared" si="33"/>
        <v>1388.6447916666652</v>
      </c>
      <c r="AC82" s="229"/>
      <c r="AD82" s="229"/>
      <c r="AE82" s="229"/>
      <c r="AF82" s="229"/>
      <c r="AG82" s="229"/>
      <c r="AH82" s="229"/>
      <c r="AI82" s="229"/>
      <c r="AJ82" s="229"/>
      <c r="AK82" s="229"/>
      <c r="AL82" s="230"/>
    </row>
    <row r="83" spans="1:38" s="186" customFormat="1" outlineLevel="1" x14ac:dyDescent="0.35">
      <c r="A83" s="186" t="s">
        <v>40</v>
      </c>
      <c r="B83" s="186" t="s">
        <v>29</v>
      </c>
      <c r="C83" s="186" t="s">
        <v>44</v>
      </c>
      <c r="F83" s="280" t="s">
        <v>276</v>
      </c>
      <c r="G83" s="281"/>
      <c r="H83" s="281"/>
      <c r="I83" s="281"/>
      <c r="J83" s="281" t="s">
        <v>75</v>
      </c>
      <c r="K83" s="187"/>
      <c r="L83" s="291" cm="1">
        <f t="array" ref="L83">SUMPRODUCT(General_Data*(Year=L$3)*(Month=L$4)*(Code_General_Data=$C83))</f>
        <v>1288.125</v>
      </c>
      <c r="M83" s="291" cm="1">
        <f t="array" ref="M83">SUMPRODUCT(General_Data*(Year=M$3)*(Month=M$4)*(Code_General_Data=$C83))</f>
        <v>1300</v>
      </c>
      <c r="N83" s="292" cm="1">
        <f t="array" ref="N83">SUMPRODUCT(General_Data*(Year=N$3)*(Month=N$4)*(Code_General_Data=$C83))</f>
        <v>1300</v>
      </c>
      <c r="O83" s="205" cm="1">
        <f t="array" ref="O83">SUMPRODUCT(General_Data*(Year=O$3)*(Month=O$4)*(Code_General_Data=$C83))</f>
        <v>1315</v>
      </c>
      <c r="P83" s="204" cm="1">
        <f t="array" ref="P83">SUMPRODUCT(General_Data*(Year=P$3)*(Month=P$4)*(Code_General_Data=$C83))</f>
        <v>1325</v>
      </c>
      <c r="Q83" s="204" cm="1">
        <f t="array" ref="Q83">SUMPRODUCT(General_Data*(Year=Q$3)*(Month=Q$4)*(Code_General_Data=$C83))</f>
        <v>1320</v>
      </c>
      <c r="R83" s="204" cm="1">
        <f t="array" ref="R83">SUMPRODUCT(General_Data*(Year=R$3)*(Month=R$4)*(Code_General_Data=$C83))</f>
        <v>1333</v>
      </c>
      <c r="S83" s="204" cm="1">
        <f t="array" ref="S83">SUMPRODUCT(General_Data*(Year=S$3)*(Month=S$4)*(Code_General_Data=$C83))</f>
        <v>1350</v>
      </c>
      <c r="T83" s="204" cm="1">
        <f t="array" ref="T83">SUMPRODUCT(General_Data*(Year=T$3)*(Month=T$4)*(Code_General_Data=$C83))</f>
        <v>1365</v>
      </c>
      <c r="U83" s="204" cm="1">
        <f t="array" ref="U83">SUMPRODUCT(General_Data*(Year=U$3)*(Month=U$4)*(Code_General_Data=$C83))</f>
        <v>1372</v>
      </c>
      <c r="V83" s="204" cm="1">
        <f t="array" ref="V83">SUMPRODUCT(General_Data*(Year=V$3)*(Month=V$4)*(Code_General_Data=$C83))</f>
        <v>1405</v>
      </c>
      <c r="W83" s="204" cm="1">
        <f t="array" ref="W83">SUMPRODUCT(General_Data*(Year=W$3)*(Month=W$4)*(Code_General_Data=$C83))</f>
        <v>1427.5</v>
      </c>
      <c r="X83" s="204" cm="1">
        <f t="array" ref="X83">SUMPRODUCT(General_Data*(Year=X$3)*(Month=X$4)*(Code_General_Data=$C83))</f>
        <v>1440</v>
      </c>
      <c r="Y83" s="204" cm="1">
        <f t="array" ref="Y83">SUMPRODUCT(General_Data*(Year=Y$3)*(Month=Y$4)*(Code_General_Data=$C83))</f>
        <v>1435</v>
      </c>
      <c r="Z83" s="206" cm="1">
        <f t="array" ref="Z83">SUMPRODUCT(General_Data*(Year=Z$3)*(Month=Z$4)*(Code_General_Data=$C83))</f>
        <v>1421.25</v>
      </c>
      <c r="AA83" s="204" cm="1">
        <f t="array" ref="AA83">SUMPRODUCT(General_Data*(Year=AA$3)*(Month=AA$4)*(Code_General_Data=$C83))</f>
        <v>1358.3333333333301</v>
      </c>
      <c r="AB83" s="204" cm="1">
        <f t="array" ref="AB83">SUMPRODUCT(General_Data*(Year=AB$3)*(Month=AB$4)*(Code_General_Data=$C83))</f>
        <v>1350</v>
      </c>
      <c r="AC83" s="204"/>
      <c r="AD83" s="204"/>
      <c r="AE83" s="204"/>
      <c r="AF83" s="204"/>
      <c r="AG83" s="204"/>
      <c r="AH83" s="204"/>
      <c r="AI83" s="204"/>
      <c r="AJ83" s="204"/>
      <c r="AK83" s="204"/>
      <c r="AL83" s="206"/>
    </row>
    <row r="84" spans="1:38" s="96" customFormat="1" ht="114.65" customHeight="1" outlineLevel="1" x14ac:dyDescent="0.35">
      <c r="A84" s="96" t="s">
        <v>40</v>
      </c>
      <c r="B84" s="96" t="s">
        <v>29</v>
      </c>
      <c r="D84" s="97"/>
      <c r="F84" s="282" t="s">
        <v>277</v>
      </c>
      <c r="G84" s="283"/>
      <c r="H84" s="283"/>
      <c r="I84" s="283"/>
      <c r="J84" s="283" t="s">
        <v>45</v>
      </c>
      <c r="K84" s="12"/>
      <c r="L84" s="283"/>
      <c r="M84" s="283"/>
      <c r="N84" s="293"/>
      <c r="O84" s="88" t="str" cm="1">
        <f t="array" ref="O84">INDEX(Note!$G$3:$G$101,MATCH(1,(Note!$A$3:$A$101=$A84)*(Note!$C$3:$C$101=$B84)*(Note!$E$3:$E$101&lt;=O$1)*(Note!$F$3:$F$101&gt;=O$2),0))</f>
        <v>Giá ICIS rPET ĐNA trung bình từ ngày 16 tháng (X-2) đến ngày 15 tháng (X-1) +Premium ( Chi phí tăng IV ) - REBATE + Cp vận chuyển</v>
      </c>
      <c r="P84" s="27" t="str" cm="1">
        <f t="array" ref="P84">INDEX(Note!$G$3:$G$101,MATCH(1,(Note!$A$3:$A$101=$A84)*(Note!$C$3:$C$101=$B84)*(Note!$E$3:$E$101&lt;=P$1)*(Note!$F$3:$F$101&gt;=P$2),0))</f>
        <v>Giá ICIS rPET ĐNA trung bình từ ngày 16 tháng (X-2) đến ngày 15 tháng (X-1) +Premium ( Chi phí tăng IV ) - REBATE + Cp vận chuyển</v>
      </c>
      <c r="Q84" s="27" t="str" cm="1">
        <f t="array" ref="Q84">INDEX(Note!$G$3:$G$101,MATCH(1,(Note!$A$3:$A$101=$A84)*(Note!$C$3:$C$101=$B84)*(Note!$E$3:$E$101&lt;=Q$1)*(Note!$F$3:$F$101&gt;=Q$2),0))</f>
        <v>Giá ICIS rPET ĐNA trung bình từ ngày 16 tháng (X-2) đến ngày 15 tháng (X-1) +Premium ( Chi phí tăng IV ) - REBATE + Cp vận chuyển</v>
      </c>
      <c r="R84" s="27" t="str" cm="1">
        <f t="array" ref="R84">INDEX(Note!$G$3:$G$101,MATCH(1,(Note!$A$3:$A$101=$A84)*(Note!$C$3:$C$101=$B84)*(Note!$E$3:$E$101&lt;=R$1)*(Note!$F$3:$F$101&gt;=R$2),0))</f>
        <v>Giá ICIS rPET ĐNA trung bình từ ngày 16 tháng (X-2) đến ngày 15 tháng (X-1) +Premium ( Chi phí tăng IV ) - REBATE + Cp vận chuyển</v>
      </c>
      <c r="S84" s="27" t="str" cm="1">
        <f t="array" ref="S84">INDEX(Note!$G$3:$G$101,MATCH(1,(Note!$A$3:$A$101=$A84)*(Note!$C$3:$C$101=$B84)*(Note!$E$3:$E$101&lt;=S$1)*(Note!$F$3:$F$101&gt;=S$2),0))</f>
        <v>Giá ICIS rPET ĐNA trung bình từ ngày 16 tháng (X-2) đến ngày 15 tháng (X-1) +Premium ( Chi phí tăng IV ) - REBATE + Cp vận chuyển</v>
      </c>
      <c r="T84" s="27" t="str" cm="1">
        <f t="array" ref="T84">INDEX(Note!$G$3:$G$101,MATCH(1,(Note!$A$3:$A$101=$A84)*(Note!$C$3:$C$101=$B84)*(Note!$E$3:$E$101&lt;=T$1)*(Note!$F$3:$F$101&gt;=T$2),0))</f>
        <v>Giá ICIS rPET ĐNA trung bình từ ngày 16 tháng (X-2) đến ngày 15 tháng (X-1) +Premium ( Chi phí tăng IV ) - REBATE + Cp vận chuyển</v>
      </c>
      <c r="U84" s="27" t="str" cm="1">
        <f t="array" ref="U84">INDEX(Note!$G$3:$G$101,MATCH(1,(Note!$A$3:$A$101=$A84)*(Note!$C$3:$C$101=$B84)*(Note!$E$3:$E$101&lt;=U$1)*(Note!$F$3:$F$101&gt;=U$2),0))</f>
        <v>Giá ICIS rPET ĐNA trung bình từ ngày 16 tháng (X-2) đến ngày 15 tháng (X-1) +Premium ( Chi phí tăng IV ) - REBATE + Cp vận chuyển</v>
      </c>
      <c r="V84" s="27" t="str" cm="1">
        <f t="array" ref="V84">INDEX(Note!$G$3:$G$101,MATCH(1,(Note!$A$3:$A$101=$A84)*(Note!$C$3:$C$101=$B84)*(Note!$E$3:$E$101&lt;=V$1)*(Note!$F$3:$F$101&gt;=V$2),0))</f>
        <v>Giá ICIS rPET ĐNA trung bình từ ngày 16 tháng (X-2) đến ngày 15 tháng (X-1) +Premium ( Chi phí tăng IV ) - REBATE + Cp vận chuyển</v>
      </c>
      <c r="W84" s="27" t="str" cm="1">
        <f t="array" ref="W84">INDEX(Note!$G$3:$G$101,MATCH(1,(Note!$A$3:$A$101=$A84)*(Note!$C$3:$C$101=$B84)*(Note!$E$3:$E$101&lt;=W$1)*(Note!$F$3:$F$101&gt;=W$2),0))</f>
        <v>Giá ICIS rPET ĐNA trung bình từ ngày 16 tháng (X-2) đến ngày 15 tháng (X-1) +Premium ( Chi phí tăng IV ) - REBATE + Cp vận chuyển</v>
      </c>
      <c r="X84" s="27" t="str" cm="1">
        <f t="array" ref="X84">INDEX(Note!$G$3:$G$101,MATCH(1,(Note!$A$3:$A$101=$A84)*(Note!$C$3:$C$101=$B84)*(Note!$E$3:$E$101&lt;=X$1)*(Note!$F$3:$F$101&gt;=X$2),0))</f>
        <v>Giá ICIS rPET ĐNA trung bình từ ngày 16 tháng (X-2) đến ngày 15 tháng (X-1) +Premium ( Chi phí tăng IV ) - REBATE + Cp vận chuyển</v>
      </c>
      <c r="Y84" s="27" t="str" cm="1">
        <f t="array" ref="Y84">INDEX(Note!$G$3:$G$101,MATCH(1,(Note!$A$3:$A$101=$A84)*(Note!$C$3:$C$101=$B84)*(Note!$E$3:$E$101&lt;=Y$1)*(Note!$F$3:$F$101&gt;=Y$2),0))</f>
        <v>Giá ICIS rPET ĐNA trung bình từ ngày 16 tháng (X-2) đến ngày 15 tháng (X-1) +Premium ( Chi phí tăng IV ) - REBATE + Cp vận chuyển</v>
      </c>
      <c r="Z84" s="89" t="str" cm="1">
        <f t="array" ref="Z84">INDEX(Note!$G$3:$G$101,MATCH(1,(Note!$A$3:$A$101=$A84)*(Note!$C$3:$C$101=$B84)*(Note!$E$3:$E$101&lt;=Z$1)*(Note!$F$3:$F$101&gt;=Z$2),0))</f>
        <v>Giá ICIS rPET ĐNA trung bình từ ngày 16 tháng (X-2) đến ngày 15 tháng (X-1) +Premium ( Chi phí tăng IV ) - REBATE + Cp vận chuyển</v>
      </c>
      <c r="AA84" s="27" t="str" cm="1">
        <f t="array" ref="AA84">INDEX(Note!$G$3:$G$101,MATCH(1,(Note!$A$3:$A$101=$A84)*(Note!$C$3:$C$101=$B84)*(Note!$E$3:$E$101&lt;=AA$1)*(Note!$F$3:$F$101&gt;=AA$2),0))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84" s="27" t="str" cm="1">
        <f t="array" ref="AB84">INDEX(Note!$G$3:$G$101,MATCH(1,(Note!$A$3:$A$101=$A84)*(Note!$C$3:$C$101=$B84)*(Note!$E$3:$E$101&lt;=AB$1)*(Note!$F$3:$F$101&gt;=AB$2),0))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89"/>
    </row>
    <row r="85" spans="1:38" s="96" customFormat="1" outlineLevel="1" x14ac:dyDescent="0.35">
      <c r="A85" s="96" t="s">
        <v>40</v>
      </c>
      <c r="B85" s="96" t="s">
        <v>29</v>
      </c>
      <c r="D85" s="97"/>
      <c r="F85" s="282" t="s">
        <v>278</v>
      </c>
      <c r="G85" s="283"/>
      <c r="H85" s="283"/>
      <c r="I85" s="283"/>
      <c r="J85" s="283" t="s">
        <v>43</v>
      </c>
      <c r="K85" s="12"/>
      <c r="L85" s="283"/>
      <c r="M85" s="283"/>
      <c r="N85" s="293"/>
      <c r="O85" s="88" t="str" cm="1">
        <f t="array" ref="O85">INDEX(Note!$H$3:$H$101,MATCH(1,(Note!$A$3:$A$101=$A85)*(Note!$C$3:$C$101=$B85)*(Note!$E$3:$E$101&lt;=O$1)*(Note!$F$3:$F$101&gt;=O$2),0))</f>
        <v>DDP</v>
      </c>
      <c r="P85" s="27" t="str" cm="1">
        <f t="array" ref="P85">INDEX(Note!$H$3:$H$101,MATCH(1,(Note!$A$3:$A$101=$A85)*(Note!$C$3:$C$101=$B85)*(Note!$E$3:$E$101&lt;=P$1)*(Note!$F$3:$F$101&gt;=P$2),0))</f>
        <v>DDP</v>
      </c>
      <c r="Q85" s="27" t="str" cm="1">
        <f t="array" ref="Q85">INDEX(Note!$H$3:$H$101,MATCH(1,(Note!$A$3:$A$101=$A85)*(Note!$C$3:$C$101=$B85)*(Note!$E$3:$E$101&lt;=Q$1)*(Note!$F$3:$F$101&gt;=Q$2),0))</f>
        <v>DDP</v>
      </c>
      <c r="R85" s="27" t="str" cm="1">
        <f t="array" ref="R85">INDEX(Note!$H$3:$H$101,MATCH(1,(Note!$A$3:$A$101=$A85)*(Note!$C$3:$C$101=$B85)*(Note!$E$3:$E$101&lt;=R$1)*(Note!$F$3:$F$101&gt;=R$2),0))</f>
        <v>DDP</v>
      </c>
      <c r="S85" s="27" t="str" cm="1">
        <f t="array" ref="S85">INDEX(Note!$H$3:$H$101,MATCH(1,(Note!$A$3:$A$101=$A85)*(Note!$C$3:$C$101=$B85)*(Note!$E$3:$E$101&lt;=S$1)*(Note!$F$3:$F$101&gt;=S$2),0))</f>
        <v>DDP</v>
      </c>
      <c r="T85" s="27" t="str" cm="1">
        <f t="array" ref="T85">INDEX(Note!$H$3:$H$101,MATCH(1,(Note!$A$3:$A$101=$A85)*(Note!$C$3:$C$101=$B85)*(Note!$E$3:$E$101&lt;=T$1)*(Note!$F$3:$F$101&gt;=T$2),0))</f>
        <v>DDP</v>
      </c>
      <c r="U85" s="27" t="str" cm="1">
        <f t="array" ref="U85">INDEX(Note!$H$3:$H$101,MATCH(1,(Note!$A$3:$A$101=$A85)*(Note!$C$3:$C$101=$B85)*(Note!$E$3:$E$101&lt;=U$1)*(Note!$F$3:$F$101&gt;=U$2),0))</f>
        <v>DDP</v>
      </c>
      <c r="V85" s="27" t="str" cm="1">
        <f t="array" ref="V85">INDEX(Note!$H$3:$H$101,MATCH(1,(Note!$A$3:$A$101=$A85)*(Note!$C$3:$C$101=$B85)*(Note!$E$3:$E$101&lt;=V$1)*(Note!$F$3:$F$101&gt;=V$2),0))</f>
        <v>DDP</v>
      </c>
      <c r="W85" s="27" t="str" cm="1">
        <f t="array" ref="W85">INDEX(Note!$H$3:$H$101,MATCH(1,(Note!$A$3:$A$101=$A85)*(Note!$C$3:$C$101=$B85)*(Note!$E$3:$E$101&lt;=W$1)*(Note!$F$3:$F$101&gt;=W$2),0))</f>
        <v>DDP</v>
      </c>
      <c r="X85" s="27" t="str" cm="1">
        <f t="array" ref="X85">INDEX(Note!$H$3:$H$101,MATCH(1,(Note!$A$3:$A$101=$A85)*(Note!$C$3:$C$101=$B85)*(Note!$E$3:$E$101&lt;=X$1)*(Note!$F$3:$F$101&gt;=X$2),0))</f>
        <v>DDP</v>
      </c>
      <c r="Y85" s="27" t="str" cm="1">
        <f t="array" ref="Y85">INDEX(Note!$H$3:$H$101,MATCH(1,(Note!$A$3:$A$101=$A85)*(Note!$C$3:$C$101=$B85)*(Note!$E$3:$E$101&lt;=Y$1)*(Note!$F$3:$F$101&gt;=Y$2),0))</f>
        <v>DDP</v>
      </c>
      <c r="Z85" s="89" t="str" cm="1">
        <f t="array" ref="Z85">INDEX(Note!$H$3:$H$101,MATCH(1,(Note!$A$3:$A$101=$A85)*(Note!$C$3:$C$101=$B85)*(Note!$E$3:$E$101&lt;=Z$1)*(Note!$F$3:$F$101&gt;=Z$2),0))</f>
        <v>DDP</v>
      </c>
      <c r="AA85" s="27" t="str" cm="1">
        <f t="array" ref="AA85">INDEX(Note!$H$3:$H$101,MATCH(1,(Note!$A$3:$A$101=$A85)*(Note!$C$3:$C$101=$B85)*(Note!$E$3:$E$101&lt;=AA$1)*(Note!$F$3:$F$101&gt;=AA$2),0))</f>
        <v>DDP</v>
      </c>
      <c r="AB85" s="27" t="str" cm="1">
        <f t="array" ref="AB85">INDEX(Note!$H$3:$H$101,MATCH(1,(Note!$A$3:$A$101=$A85)*(Note!$C$3:$C$101=$B85)*(Note!$E$3:$E$101&lt;=AB$1)*(Note!$F$3:$F$101&gt;=AB$2),0))</f>
        <v>DDP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89"/>
    </row>
    <row r="86" spans="1:38" s="97" customFormat="1" outlineLevel="1" x14ac:dyDescent="0.35">
      <c r="A86" s="97" t="s">
        <v>40</v>
      </c>
      <c r="B86" s="97" t="s">
        <v>29</v>
      </c>
      <c r="F86" s="284" t="s">
        <v>279</v>
      </c>
      <c r="G86" s="285"/>
      <c r="H86" s="285"/>
      <c r="I86" s="285"/>
      <c r="J86" s="285" t="s">
        <v>46</v>
      </c>
      <c r="K86" s="109"/>
      <c r="L86" s="285"/>
      <c r="M86" s="285"/>
      <c r="N86" s="294"/>
      <c r="O86" s="236" t="str" cm="1">
        <f t="array" ref="O86">INDEX(Note!$I$3:$I$101,MATCH(1,(Note!$A$3:$A$101=$A86)*(Note!$C$3:$C$101=$B86)*(Note!$E$3:$E$101&lt;=O$1)*(Note!$F$3:$F$101&gt;=O$2),0))</f>
        <v>Tháng</v>
      </c>
      <c r="P86" s="196" t="str" cm="1">
        <f t="array" ref="P86">INDEX(Note!$I$3:$I$101,MATCH(1,(Note!$A$3:$A$101=$A86)*(Note!$C$3:$C$101=$B86)*(Note!$E$3:$E$101&lt;=P$1)*(Note!$F$3:$F$101&gt;=P$2),0))</f>
        <v>Tháng</v>
      </c>
      <c r="Q86" s="196" t="str" cm="1">
        <f t="array" ref="Q86">INDEX(Note!$I$3:$I$101,MATCH(1,(Note!$A$3:$A$101=$A86)*(Note!$C$3:$C$101=$B86)*(Note!$E$3:$E$101&lt;=Q$1)*(Note!$F$3:$F$101&gt;=Q$2),0))</f>
        <v>Tháng</v>
      </c>
      <c r="R86" s="196" t="str" cm="1">
        <f t="array" ref="R86">INDEX(Note!$I$3:$I$101,MATCH(1,(Note!$A$3:$A$101=$A86)*(Note!$C$3:$C$101=$B86)*(Note!$E$3:$E$101&lt;=R$1)*(Note!$F$3:$F$101&gt;=R$2),0))</f>
        <v>Tháng</v>
      </c>
      <c r="S86" s="196" t="str" cm="1">
        <f t="array" ref="S86">INDEX(Note!$I$3:$I$101,MATCH(1,(Note!$A$3:$A$101=$A86)*(Note!$C$3:$C$101=$B86)*(Note!$E$3:$E$101&lt;=S$1)*(Note!$F$3:$F$101&gt;=S$2),0))</f>
        <v>Tháng</v>
      </c>
      <c r="T86" s="196" t="str" cm="1">
        <f t="array" ref="T86">INDEX(Note!$I$3:$I$101,MATCH(1,(Note!$A$3:$A$101=$A86)*(Note!$C$3:$C$101=$B86)*(Note!$E$3:$E$101&lt;=T$1)*(Note!$F$3:$F$101&gt;=T$2),0))</f>
        <v>Tháng</v>
      </c>
      <c r="U86" s="196" t="str" cm="1">
        <f t="array" ref="U86">INDEX(Note!$I$3:$I$101,MATCH(1,(Note!$A$3:$A$101=$A86)*(Note!$C$3:$C$101=$B86)*(Note!$E$3:$E$101&lt;=U$1)*(Note!$F$3:$F$101&gt;=U$2),0))</f>
        <v>Tháng</v>
      </c>
      <c r="V86" s="196" t="str" cm="1">
        <f t="array" ref="V86">INDEX(Note!$I$3:$I$101,MATCH(1,(Note!$A$3:$A$101=$A86)*(Note!$C$3:$C$101=$B86)*(Note!$E$3:$E$101&lt;=V$1)*(Note!$F$3:$F$101&gt;=V$2),0))</f>
        <v>Tháng</v>
      </c>
      <c r="W86" s="196" t="str" cm="1">
        <f t="array" ref="W86">INDEX(Note!$I$3:$I$101,MATCH(1,(Note!$A$3:$A$101=$A86)*(Note!$C$3:$C$101=$B86)*(Note!$E$3:$E$101&lt;=W$1)*(Note!$F$3:$F$101&gt;=W$2),0))</f>
        <v>Tháng</v>
      </c>
      <c r="X86" s="196" t="str" cm="1">
        <f t="array" ref="X86">INDEX(Note!$I$3:$I$101,MATCH(1,(Note!$A$3:$A$101=$A86)*(Note!$C$3:$C$101=$B86)*(Note!$E$3:$E$101&lt;=X$1)*(Note!$F$3:$F$101&gt;=X$2),0))</f>
        <v>Tháng</v>
      </c>
      <c r="Y86" s="196" t="str" cm="1">
        <f t="array" ref="Y86">INDEX(Note!$I$3:$I$101,MATCH(1,(Note!$A$3:$A$101=$A86)*(Note!$C$3:$C$101=$B86)*(Note!$E$3:$E$101&lt;=Y$1)*(Note!$F$3:$F$101&gt;=Y$2),0))</f>
        <v>Tháng</v>
      </c>
      <c r="Z86" s="197" t="str" cm="1">
        <f t="array" ref="Z86">INDEX(Note!$I$3:$I$101,MATCH(1,(Note!$A$3:$A$101=$A86)*(Note!$C$3:$C$101=$B86)*(Note!$E$3:$E$101&lt;=Z$1)*(Note!$F$3:$F$101&gt;=Z$2),0))</f>
        <v>Tháng</v>
      </c>
      <c r="AA86" s="196" t="str" cm="1">
        <f t="array" ref="AA86">INDEX(Note!$I$3:$I$101,MATCH(1,(Note!$A$3:$A$101=$A86)*(Note!$C$3:$C$101=$B86)*(Note!$E$3:$E$101&lt;=AA$1)*(Note!$F$3:$F$101&gt;=AA$2),0))</f>
        <v>Tháng</v>
      </c>
      <c r="AB86" s="196" t="str" cm="1">
        <f t="array" ref="AB86">INDEX(Note!$I$3:$I$101,MATCH(1,(Note!$A$3:$A$101=$A86)*(Note!$C$3:$C$101=$B86)*(Note!$E$3:$E$101&lt;=AB$1)*(Note!$F$3:$F$101&gt;=AB$2),0))</f>
        <v>Tháng</v>
      </c>
      <c r="AC86" s="196"/>
      <c r="AD86" s="196"/>
      <c r="AE86" s="196"/>
      <c r="AF86" s="196"/>
      <c r="AG86" s="196"/>
      <c r="AH86" s="196"/>
      <c r="AI86" s="196"/>
      <c r="AJ86" s="196"/>
      <c r="AK86" s="196"/>
      <c r="AL86" s="197"/>
    </row>
    <row r="87" spans="1:38" s="97" customFormat="1" outlineLevel="1" x14ac:dyDescent="0.35">
      <c r="A87" s="97" t="s">
        <v>40</v>
      </c>
      <c r="B87" s="97" t="s">
        <v>29</v>
      </c>
      <c r="F87" s="196" t="s">
        <v>280</v>
      </c>
      <c r="G87" s="107"/>
      <c r="H87" s="107"/>
      <c r="I87" s="107"/>
      <c r="J87" s="107" t="s">
        <v>47</v>
      </c>
      <c r="K87" s="109"/>
      <c r="L87" s="199"/>
      <c r="M87" s="199"/>
      <c r="N87" s="199"/>
      <c r="O87" s="198" cm="1">
        <f t="array" ref="O87">INDEX(Note!$J$3:$J$101,MATCH(1,(Note!$A$3:$A$101=$A87)*(Note!$C$3:$C$101=$B87)*(Note!$E$3:$E$101&lt;=O$1)*(Note!$F$3:$F$101&gt;=O$2),0))</f>
        <v>0</v>
      </c>
      <c r="P87" s="199" cm="1">
        <f t="array" ref="P87">INDEX(Note!$J$3:$J$101,MATCH(1,(Note!$A$3:$A$101=$A87)*(Note!$C$3:$C$101=$B87)*(Note!$E$3:$E$101&lt;=P$1)*(Note!$F$3:$F$101&gt;=P$2),0))</f>
        <v>0</v>
      </c>
      <c r="Q87" s="199" cm="1">
        <f t="array" ref="Q87">INDEX(Note!$J$3:$J$101,MATCH(1,(Note!$A$3:$A$101=$A87)*(Note!$C$3:$C$101=$B87)*(Note!$E$3:$E$101&lt;=Q$1)*(Note!$F$3:$F$101&gt;=Q$2),0))</f>
        <v>0</v>
      </c>
      <c r="R87" s="199" cm="1">
        <f t="array" ref="R87">INDEX(Note!$J$3:$J$101,MATCH(1,(Note!$A$3:$A$101=$A87)*(Note!$C$3:$C$101=$B87)*(Note!$E$3:$E$101&lt;=R$1)*(Note!$F$3:$F$101&gt;=R$2),0))</f>
        <v>0</v>
      </c>
      <c r="S87" s="199" cm="1">
        <f t="array" ref="S87">INDEX(Note!$J$3:$J$101,MATCH(1,(Note!$A$3:$A$101=$A87)*(Note!$C$3:$C$101=$B87)*(Note!$E$3:$E$101&lt;=S$1)*(Note!$F$3:$F$101&gt;=S$2),0))</f>
        <v>0</v>
      </c>
      <c r="T87" s="199" cm="1">
        <f t="array" ref="T87">INDEX(Note!$J$3:$J$101,MATCH(1,(Note!$A$3:$A$101=$A87)*(Note!$C$3:$C$101=$B87)*(Note!$E$3:$E$101&lt;=T$1)*(Note!$F$3:$F$101&gt;=T$2),0))</f>
        <v>0</v>
      </c>
      <c r="U87" s="199" cm="1">
        <f t="array" ref="U87">INDEX(Note!$J$3:$J$101,MATCH(1,(Note!$A$3:$A$101=$A87)*(Note!$C$3:$C$101=$B87)*(Note!$E$3:$E$101&lt;=U$1)*(Note!$F$3:$F$101&gt;=U$2),0))</f>
        <v>0</v>
      </c>
      <c r="V87" s="199" cm="1">
        <f t="array" ref="V87">INDEX(Note!$J$3:$J$101,MATCH(1,(Note!$A$3:$A$101=$A87)*(Note!$C$3:$C$101=$B87)*(Note!$E$3:$E$101&lt;=V$1)*(Note!$F$3:$F$101&gt;=V$2),0))</f>
        <v>0</v>
      </c>
      <c r="W87" s="199" cm="1">
        <f t="array" ref="W87">INDEX(Note!$J$3:$J$101,MATCH(1,(Note!$A$3:$A$101=$A87)*(Note!$C$3:$C$101=$B87)*(Note!$E$3:$E$101&lt;=W$1)*(Note!$F$3:$F$101&gt;=W$2),0))</f>
        <v>0</v>
      </c>
      <c r="X87" s="199" cm="1">
        <f t="array" ref="X87">INDEX(Note!$J$3:$J$101,MATCH(1,(Note!$A$3:$A$101=$A87)*(Note!$C$3:$C$101=$B87)*(Note!$E$3:$E$101&lt;=X$1)*(Note!$F$3:$F$101&gt;=X$2),0))</f>
        <v>0</v>
      </c>
      <c r="Y87" s="199" cm="1">
        <f t="array" ref="Y87">INDEX(Note!$J$3:$J$101,MATCH(1,(Note!$A$3:$A$101=$A87)*(Note!$C$3:$C$101=$B87)*(Note!$E$3:$E$101&lt;=Y$1)*(Note!$F$3:$F$101&gt;=Y$2),0))</f>
        <v>0</v>
      </c>
      <c r="Z87" s="200" cm="1">
        <f t="array" ref="Z87">INDEX(Note!$J$3:$J$101,MATCH(1,(Note!$A$3:$A$101=$A87)*(Note!$C$3:$C$101=$B87)*(Note!$E$3:$E$101&lt;=Z$1)*(Note!$F$3:$F$101&gt;=Z$2),0))</f>
        <v>0</v>
      </c>
      <c r="AA87" s="199" cm="1">
        <f t="array" ref="AA87">INDEX(Note!$J$3:$J$101,MATCH(1,(Note!$A$3:$A$101=$A87)*(Note!$C$3:$C$101=$B87)*(Note!$E$3:$E$101&lt;=AA$1)*(Note!$F$3:$F$101&gt;=AA$2),0))</f>
        <v>1550</v>
      </c>
      <c r="AB87" s="199" cm="1">
        <f t="array" ref="AB87">INDEX(Note!$J$3:$J$101,MATCH(1,(Note!$A$3:$A$101=$A87)*(Note!$C$3:$C$101=$B87)*(Note!$E$3:$E$101&lt;=AB$1)*(Note!$F$3:$F$101&gt;=AB$2),0))</f>
        <v>1550</v>
      </c>
      <c r="AC87" s="199"/>
      <c r="AD87" s="199"/>
      <c r="AE87" s="199"/>
      <c r="AF87" s="199"/>
      <c r="AG87" s="199"/>
      <c r="AH87" s="199"/>
      <c r="AI87" s="199"/>
      <c r="AJ87" s="199"/>
      <c r="AK87" s="199"/>
      <c r="AL87" s="200"/>
    </row>
    <row r="88" spans="1:38" s="97" customFormat="1" outlineLevel="1" x14ac:dyDescent="0.35">
      <c r="A88" s="97" t="s">
        <v>40</v>
      </c>
      <c r="B88" s="97" t="s">
        <v>29</v>
      </c>
      <c r="F88" s="196" t="s">
        <v>281</v>
      </c>
      <c r="G88" s="107"/>
      <c r="H88" s="107"/>
      <c r="I88" s="107"/>
      <c r="J88" s="107" t="s">
        <v>48</v>
      </c>
      <c r="K88" s="109"/>
      <c r="L88" s="199"/>
      <c r="M88" s="199"/>
      <c r="N88" s="199"/>
      <c r="O88" s="198" cm="1">
        <f t="array" ref="O88">INDEX(Note!$K$3:$K$101,MATCH(1,(Note!$A$3:$A$101=$A88)*(Note!$C$3:$C$101=$B88)*(Note!$E$3:$E$101&lt;=O$1)*(Note!$F$3:$F$101&gt;=O$2),0))</f>
        <v>0</v>
      </c>
      <c r="P88" s="199" cm="1">
        <f t="array" ref="P88">INDEX(Note!$K$3:$K$101,MATCH(1,(Note!$A$3:$A$101=$A88)*(Note!$C$3:$C$101=$B88)*(Note!$E$3:$E$101&lt;=P$1)*(Note!$F$3:$F$101&gt;=P$2),0))</f>
        <v>0</v>
      </c>
      <c r="Q88" s="199" cm="1">
        <f t="array" ref="Q88">INDEX(Note!$K$3:$K$101,MATCH(1,(Note!$A$3:$A$101=$A88)*(Note!$C$3:$C$101=$B88)*(Note!$E$3:$E$101&lt;=Q$1)*(Note!$F$3:$F$101&gt;=Q$2),0))</f>
        <v>0</v>
      </c>
      <c r="R88" s="199" cm="1">
        <f t="array" ref="R88">INDEX(Note!$K$3:$K$101,MATCH(1,(Note!$A$3:$A$101=$A88)*(Note!$C$3:$C$101=$B88)*(Note!$E$3:$E$101&lt;=R$1)*(Note!$F$3:$F$101&gt;=R$2),0))</f>
        <v>0</v>
      </c>
      <c r="S88" s="199" cm="1">
        <f t="array" ref="S88">INDEX(Note!$K$3:$K$101,MATCH(1,(Note!$A$3:$A$101=$A88)*(Note!$C$3:$C$101=$B88)*(Note!$E$3:$E$101&lt;=S$1)*(Note!$F$3:$F$101&gt;=S$2),0))</f>
        <v>0</v>
      </c>
      <c r="T88" s="199" cm="1">
        <f t="array" ref="T88">INDEX(Note!$K$3:$K$101,MATCH(1,(Note!$A$3:$A$101=$A88)*(Note!$C$3:$C$101=$B88)*(Note!$E$3:$E$101&lt;=T$1)*(Note!$F$3:$F$101&gt;=T$2),0))</f>
        <v>0</v>
      </c>
      <c r="U88" s="199" cm="1">
        <f t="array" ref="U88">INDEX(Note!$K$3:$K$101,MATCH(1,(Note!$A$3:$A$101=$A88)*(Note!$C$3:$C$101=$B88)*(Note!$E$3:$E$101&lt;=U$1)*(Note!$F$3:$F$101&gt;=U$2),0))</f>
        <v>0</v>
      </c>
      <c r="V88" s="199" cm="1">
        <f t="array" ref="V88">INDEX(Note!$K$3:$K$101,MATCH(1,(Note!$A$3:$A$101=$A88)*(Note!$C$3:$C$101=$B88)*(Note!$E$3:$E$101&lt;=V$1)*(Note!$F$3:$F$101&gt;=V$2),0))</f>
        <v>0</v>
      </c>
      <c r="W88" s="199" cm="1">
        <f t="array" ref="W88">INDEX(Note!$K$3:$K$101,MATCH(1,(Note!$A$3:$A$101=$A88)*(Note!$C$3:$C$101=$B88)*(Note!$E$3:$E$101&lt;=W$1)*(Note!$F$3:$F$101&gt;=W$2),0))</f>
        <v>0</v>
      </c>
      <c r="X88" s="199" cm="1">
        <f t="array" ref="X88">INDEX(Note!$K$3:$K$101,MATCH(1,(Note!$A$3:$A$101=$A88)*(Note!$C$3:$C$101=$B88)*(Note!$E$3:$E$101&lt;=X$1)*(Note!$F$3:$F$101&gt;=X$2),0))</f>
        <v>0</v>
      </c>
      <c r="Y88" s="199" cm="1">
        <f t="array" ref="Y88">INDEX(Note!$K$3:$K$101,MATCH(1,(Note!$A$3:$A$101=$A88)*(Note!$C$3:$C$101=$B88)*(Note!$E$3:$E$101&lt;=Y$1)*(Note!$F$3:$F$101&gt;=Y$2),0))</f>
        <v>0</v>
      </c>
      <c r="Z88" s="200" cm="1">
        <f t="array" ref="Z88">INDEX(Note!$K$3:$K$101,MATCH(1,(Note!$A$3:$A$101=$A88)*(Note!$C$3:$C$101=$B88)*(Note!$E$3:$E$101&lt;=Z$1)*(Note!$F$3:$F$101&gt;=Z$2),0))</f>
        <v>0</v>
      </c>
      <c r="AA88" s="199" cm="1">
        <f t="array" ref="AA88">INDEX(Note!$K$3:$K$101,MATCH(1,(Note!$A$3:$A$101=$A88)*(Note!$C$3:$C$101=$B88)*(Note!$E$3:$E$101&lt;=AA$1)*(Note!$F$3:$F$101&gt;=AA$2),0))</f>
        <v>1330</v>
      </c>
      <c r="AB88" s="199" cm="1">
        <f t="array" ref="AB88">INDEX(Note!$K$3:$K$101,MATCH(1,(Note!$A$3:$A$101=$A88)*(Note!$C$3:$C$101=$B88)*(Note!$E$3:$E$101&lt;=AB$1)*(Note!$F$3:$F$101&gt;=AB$2),0))</f>
        <v>1330</v>
      </c>
      <c r="AC88" s="199"/>
      <c r="AD88" s="199"/>
      <c r="AE88" s="199"/>
      <c r="AF88" s="199"/>
      <c r="AG88" s="199"/>
      <c r="AH88" s="199"/>
      <c r="AI88" s="199"/>
      <c r="AJ88" s="199"/>
      <c r="AK88" s="199"/>
      <c r="AL88" s="200"/>
    </row>
    <row r="89" spans="1:38" s="188" customFormat="1" outlineLevel="1" x14ac:dyDescent="0.35">
      <c r="A89" s="188" t="s">
        <v>40</v>
      </c>
      <c r="B89" s="188" t="s">
        <v>29</v>
      </c>
      <c r="F89" s="286" t="s">
        <v>282</v>
      </c>
      <c r="G89" s="287"/>
      <c r="H89" s="287"/>
      <c r="I89" s="287"/>
      <c r="J89" s="287" t="s">
        <v>203</v>
      </c>
      <c r="K89" s="189"/>
      <c r="L89" s="295"/>
      <c r="M89" s="295"/>
      <c r="N89" s="296"/>
      <c r="O89" s="201" cm="1">
        <f t="array" ref="O89">SUMPRODUCT(General_Data*(Year=O$3)*(Month=O$4)*(Code_General_Data=$B89))</f>
        <v>1340</v>
      </c>
      <c r="P89" s="202" cm="1">
        <f t="array" ref="P89">SUMPRODUCT(General_Data*(Year=P$3)*(Month=P$4)*(Code_General_Data=$B89))</f>
        <v>1340</v>
      </c>
      <c r="Q89" s="202" cm="1">
        <f t="array" ref="Q89">SUMPRODUCT(General_Data*(Year=Q$3)*(Month=Q$4)*(Code_General_Data=$B89))</f>
        <v>1340</v>
      </c>
      <c r="R89" s="202" cm="1">
        <f t="array" ref="R89">SUMPRODUCT(General_Data*(Year=R$3)*(Month=R$4)*(Code_General_Data=$B89))</f>
        <v>1340</v>
      </c>
      <c r="S89" s="202" cm="1">
        <f t="array" ref="S89">SUMPRODUCT(General_Data*(Year=S$3)*(Month=S$4)*(Code_General_Data=$B89))</f>
        <v>1390</v>
      </c>
      <c r="T89" s="202" cm="1">
        <f t="array" ref="T89">SUMPRODUCT(General_Data*(Year=T$3)*(Month=T$4)*(Code_General_Data=$B89))</f>
        <v>1390</v>
      </c>
      <c r="U89" s="202" cm="1">
        <f t="array" ref="U89">SUMPRODUCT(General_Data*(Year=U$3)*(Month=U$4)*(Code_General_Data=$B89))</f>
        <v>1390</v>
      </c>
      <c r="V89" s="202" cm="1">
        <f t="array" ref="V89">SUMPRODUCT(General_Data*(Year=V$3)*(Month=V$4)*(Code_General_Data=$B89))</f>
        <v>1390</v>
      </c>
      <c r="W89" s="202" cm="1">
        <f t="array" ref="W89">SUMPRODUCT(General_Data*(Year=W$3)*(Month=W$4)*(Code_General_Data=$B89))</f>
        <v>1400</v>
      </c>
      <c r="X89" s="202" cm="1">
        <f t="array" ref="X89">SUMPRODUCT(General_Data*(Year=X$3)*(Month=X$4)*(Code_General_Data=$B89))</f>
        <v>1415</v>
      </c>
      <c r="Y89" s="202" cm="1">
        <f t="array" ref="Y89">SUMPRODUCT(General_Data*(Year=Y$3)*(Month=Y$4)*(Code_General_Data=$B89))</f>
        <v>1415</v>
      </c>
      <c r="Z89" s="203" cm="1">
        <f t="array" ref="Z89">SUMPRODUCT(General_Data*(Year=Z$3)*(Month=Z$4)*(Code_General_Data=$B89))</f>
        <v>1365</v>
      </c>
      <c r="AA89" s="202" cm="1">
        <f t="array" ref="AA89">SUMPRODUCT(General_Data*(Year=AA$3)*(Month=AA$4)*(Code_General_Data=$B89))</f>
        <v>1320</v>
      </c>
      <c r="AB89" s="202" cm="1">
        <f t="array" ref="AB89">SUMPRODUCT(General_Data*(Year=AB$3)*(Month=AB$4)*(Code_General_Data=$B89))</f>
        <v>1280</v>
      </c>
      <c r="AC89" s="202" cm="1">
        <f t="array" ref="AC89">SUMPRODUCT(General_Data*(Year=AC$3)*(Month=AC$4)*(Code_General_Data=$B89))</f>
        <v>1320</v>
      </c>
      <c r="AD89" s="202"/>
      <c r="AE89" s="202"/>
      <c r="AF89" s="202"/>
      <c r="AG89" s="202"/>
      <c r="AH89" s="202"/>
      <c r="AI89" s="202"/>
      <c r="AJ89" s="202"/>
      <c r="AK89" s="202"/>
      <c r="AL89" s="203"/>
    </row>
    <row r="90" spans="1:38" s="188" customFormat="1" ht="6.65" customHeight="1" x14ac:dyDescent="0.35">
      <c r="F90" s="304"/>
      <c r="G90" s="305"/>
      <c r="H90" s="305"/>
      <c r="I90" s="305"/>
      <c r="J90" s="305"/>
      <c r="K90" s="189"/>
      <c r="L90" s="306"/>
      <c r="M90" s="306"/>
      <c r="N90" s="306"/>
      <c r="O90" s="307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8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8"/>
    </row>
    <row r="91" spans="1:38" s="183" customFormat="1" ht="17" x14ac:dyDescent="0.35">
      <c r="A91" s="183" t="s">
        <v>40</v>
      </c>
      <c r="B91" s="183" t="s">
        <v>31</v>
      </c>
      <c r="D91" s="183" t="s">
        <v>322</v>
      </c>
      <c r="F91" s="273">
        <v>3.2</v>
      </c>
      <c r="G91" s="274"/>
      <c r="H91" s="274" t="s">
        <v>270</v>
      </c>
      <c r="I91" s="274"/>
      <c r="J91" s="274"/>
      <c r="L91" s="274"/>
      <c r="M91" s="274"/>
      <c r="N91" s="288"/>
      <c r="O91" s="216">
        <f>SUM(O92:O95)</f>
        <v>1346.5</v>
      </c>
      <c r="P91" s="217">
        <f t="shared" ref="P91:Z91" si="34">SUM(P92:P95)</f>
        <v>1354</v>
      </c>
      <c r="Q91" s="217">
        <f t="shared" si="34"/>
        <v>1366.5</v>
      </c>
      <c r="R91" s="217">
        <f t="shared" si="34"/>
        <v>1369</v>
      </c>
      <c r="S91" s="217">
        <f t="shared" si="34"/>
        <v>1373</v>
      </c>
      <c r="T91" s="217">
        <f t="shared" si="34"/>
        <v>1388</v>
      </c>
      <c r="U91" s="217">
        <f t="shared" si="34"/>
        <v>1404</v>
      </c>
      <c r="V91" s="217">
        <f t="shared" si="34"/>
        <v>1415</v>
      </c>
      <c r="W91" s="217">
        <f t="shared" si="34"/>
        <v>1435</v>
      </c>
      <c r="X91" s="217">
        <f t="shared" si="34"/>
        <v>1462.75</v>
      </c>
      <c r="Y91" s="217">
        <f t="shared" si="34"/>
        <v>1480.25</v>
      </c>
      <c r="Z91" s="218">
        <f t="shared" si="34"/>
        <v>1484</v>
      </c>
      <c r="AA91" s="216">
        <f>MIN(MAX(SUM(AA92,AA93),AA102),AA101)+AA94+AA95</f>
        <v>1452.903125</v>
      </c>
      <c r="AB91" s="217">
        <f>MIN(MAX(SUM(AB92,AB93),AB102),AB101)+AB94+AB95</f>
        <v>1415.1447916666652</v>
      </c>
      <c r="AC91" s="217"/>
      <c r="AD91" s="217"/>
      <c r="AE91" s="217"/>
      <c r="AF91" s="217"/>
      <c r="AG91" s="217"/>
      <c r="AH91" s="217"/>
      <c r="AI91" s="217"/>
      <c r="AJ91" s="217"/>
      <c r="AK91" s="217"/>
      <c r="AL91" s="218"/>
    </row>
    <row r="92" spans="1:38" s="93" customFormat="1" outlineLevel="1" x14ac:dyDescent="0.35">
      <c r="A92" s="93" t="s">
        <v>40</v>
      </c>
      <c r="B92" s="93" t="s">
        <v>31</v>
      </c>
      <c r="D92" s="92"/>
      <c r="F92" s="275" t="s">
        <v>283</v>
      </c>
      <c r="G92" s="276"/>
      <c r="H92" s="276" t="s">
        <v>41</v>
      </c>
      <c r="I92" s="276" t="s">
        <v>267</v>
      </c>
      <c r="J92" s="276"/>
      <c r="K92"/>
      <c r="L92" s="276"/>
      <c r="M92" s="276"/>
      <c r="N92" s="289"/>
      <c r="O92" s="213">
        <f>(M97+N97)/2</f>
        <v>1300</v>
      </c>
      <c r="P92" s="214">
        <f t="shared" ref="P92:Z92" si="35">(N97+O97)/2</f>
        <v>1307.5</v>
      </c>
      <c r="Q92" s="214">
        <f t="shared" si="35"/>
        <v>1320</v>
      </c>
      <c r="R92" s="214">
        <f t="shared" si="35"/>
        <v>1322.5</v>
      </c>
      <c r="S92" s="214">
        <f t="shared" si="35"/>
        <v>1326.5</v>
      </c>
      <c r="T92" s="214">
        <f t="shared" si="35"/>
        <v>1341.5</v>
      </c>
      <c r="U92" s="214">
        <f t="shared" si="35"/>
        <v>1357.5</v>
      </c>
      <c r="V92" s="214">
        <f t="shared" si="35"/>
        <v>1368.5</v>
      </c>
      <c r="W92" s="214">
        <f t="shared" si="35"/>
        <v>1388.5</v>
      </c>
      <c r="X92" s="214">
        <f t="shared" si="35"/>
        <v>1416.25</v>
      </c>
      <c r="Y92" s="214">
        <f t="shared" si="35"/>
        <v>1433.75</v>
      </c>
      <c r="Z92" s="215">
        <f t="shared" si="35"/>
        <v>1437.5</v>
      </c>
      <c r="AA92" s="213">
        <f>(Y97+Z97)/2</f>
        <v>1428.125</v>
      </c>
      <c r="AB92" s="214">
        <f>(Z97+AA97)/2</f>
        <v>1389.7916666666652</v>
      </c>
      <c r="AC92" s="214"/>
      <c r="AD92" s="214"/>
      <c r="AE92" s="214"/>
      <c r="AF92" s="214"/>
      <c r="AG92" s="214"/>
      <c r="AH92" s="214"/>
      <c r="AI92" s="214"/>
      <c r="AJ92" s="214"/>
      <c r="AK92" s="214"/>
      <c r="AL92" s="215"/>
    </row>
    <row r="93" spans="1:38" s="93" customFormat="1" outlineLevel="1" x14ac:dyDescent="0.35">
      <c r="A93" s="93" t="s">
        <v>40</v>
      </c>
      <c r="B93" s="93" t="s">
        <v>31</v>
      </c>
      <c r="D93" s="92"/>
      <c r="F93" s="275" t="s">
        <v>284</v>
      </c>
      <c r="G93" s="276"/>
      <c r="H93" s="276" t="s">
        <v>41</v>
      </c>
      <c r="I93" s="276" t="s">
        <v>269</v>
      </c>
      <c r="J93" s="276"/>
      <c r="K93"/>
      <c r="L93" s="276"/>
      <c r="M93" s="276"/>
      <c r="N93" s="289"/>
      <c r="O93" s="213">
        <v>30</v>
      </c>
      <c r="P93" s="214">
        <v>30</v>
      </c>
      <c r="Q93" s="214">
        <v>30</v>
      </c>
      <c r="R93" s="214">
        <v>30</v>
      </c>
      <c r="S93" s="214">
        <v>30</v>
      </c>
      <c r="T93" s="214">
        <v>30</v>
      </c>
      <c r="U93" s="214">
        <v>30</v>
      </c>
      <c r="V93" s="214">
        <v>30</v>
      </c>
      <c r="W93" s="214">
        <v>30</v>
      </c>
      <c r="X93" s="214">
        <v>30</v>
      </c>
      <c r="Y93" s="214">
        <v>30</v>
      </c>
      <c r="Z93" s="215">
        <v>30</v>
      </c>
      <c r="AA93" s="213">
        <v>20</v>
      </c>
      <c r="AB93" s="214">
        <v>20</v>
      </c>
      <c r="AC93" s="214"/>
      <c r="AD93" s="214"/>
      <c r="AE93" s="214"/>
      <c r="AF93" s="214"/>
      <c r="AG93" s="214"/>
      <c r="AH93" s="214"/>
      <c r="AI93" s="214"/>
      <c r="AJ93" s="214"/>
      <c r="AK93" s="214"/>
      <c r="AL93" s="215"/>
    </row>
    <row r="94" spans="1:38" s="93" customFormat="1" outlineLevel="1" x14ac:dyDescent="0.35">
      <c r="A94" s="93" t="s">
        <v>40</v>
      </c>
      <c r="B94" s="93" t="s">
        <v>31</v>
      </c>
      <c r="D94" s="92"/>
      <c r="F94" s="275" t="s">
        <v>285</v>
      </c>
      <c r="G94" s="276"/>
      <c r="H94" s="276" t="s">
        <v>41</v>
      </c>
      <c r="I94" s="277" t="s">
        <v>323</v>
      </c>
      <c r="J94" s="276"/>
      <c r="K94"/>
      <c r="L94" s="276"/>
      <c r="M94" s="276"/>
      <c r="N94" s="289"/>
      <c r="O94" s="213">
        <f>-IF('Rebate-Suntory'!$E$14="/tấn",'Rebate-Suntory'!$D$14,IF('Rebate-Suntory'!$E$14="giá trị",'Rebate-Suntory'!$D$14*(O92+O93+O95),0))</f>
        <v>-10</v>
      </c>
      <c r="P94" s="214">
        <f>-IF('Rebate-Suntory'!$E$14="/tấn",'Rebate-Suntory'!$D$14,IF('Rebate-Suntory'!$E$14="giá trị",'Rebate-Suntory'!$D$14*(P92+P93+P95),0))</f>
        <v>-10</v>
      </c>
      <c r="Q94" s="214">
        <f>-IF('Rebate-Suntory'!$E$14="/tấn",'Rebate-Suntory'!$D$14,IF('Rebate-Suntory'!$E$14="giá trị",'Rebate-Suntory'!$D$14*(Q92+Q93+Q95),0))</f>
        <v>-10</v>
      </c>
      <c r="R94" s="214">
        <f>-IF('Rebate-Suntory'!$E$14="/tấn",'Rebate-Suntory'!$D$14,IF('Rebate-Suntory'!$E$14="giá trị",'Rebate-Suntory'!$D$14*(R92+R93+R95),0))</f>
        <v>-10</v>
      </c>
      <c r="S94" s="214">
        <f>-IF('Rebate-Suntory'!$E$14="/tấn",'Rebate-Suntory'!$D$14,IF('Rebate-Suntory'!$E$14="giá trị",'Rebate-Suntory'!$D$14*(S92+S93+S95),0))</f>
        <v>-10</v>
      </c>
      <c r="T94" s="214">
        <f>-IF('Rebate-Suntory'!$E$14="/tấn",'Rebate-Suntory'!$D$14,IF('Rebate-Suntory'!$E$14="giá trị",'Rebate-Suntory'!$D$14*(T92+T93+T95),0))</f>
        <v>-10</v>
      </c>
      <c r="U94" s="214">
        <f>-IF('Rebate-Suntory'!$E$14="/tấn",'Rebate-Suntory'!$D$14,IF('Rebate-Suntory'!$E$14="giá trị",'Rebate-Suntory'!$D$14*(U92+U93+U95),0))</f>
        <v>-10</v>
      </c>
      <c r="V94" s="214">
        <f>-IF('Rebate-Suntory'!$E$14="/tấn",'Rebate-Suntory'!$D$14,IF('Rebate-Suntory'!$E$14="giá trị",'Rebate-Suntory'!$D$14*(V92+V93+V95),0))</f>
        <v>-10</v>
      </c>
      <c r="W94" s="214">
        <f>-IF('Rebate-Suntory'!$E$14="/tấn",'Rebate-Suntory'!$D$14,IF('Rebate-Suntory'!$E$14="giá trị",'Rebate-Suntory'!$D$14*(W92+W93+W95),0))</f>
        <v>-10</v>
      </c>
      <c r="X94" s="214">
        <f>-IF('Rebate-Suntory'!$E$14="/tấn",'Rebate-Suntory'!$D$14,IF('Rebate-Suntory'!$E$14="giá trị",'Rebate-Suntory'!$D$14*(X92+X93+X95),0))</f>
        <v>-10</v>
      </c>
      <c r="Y94" s="214">
        <f>-IF('Rebate-Suntory'!$E$14="/tấn",'Rebate-Suntory'!$D$14,IF('Rebate-Suntory'!$E$14="giá trị",'Rebate-Suntory'!$D$14*(Y92+Y93+Y95),0))</f>
        <v>-10</v>
      </c>
      <c r="Z94" s="215">
        <f>-IF('Rebate-Suntory'!$E$14="/tấn",'Rebate-Suntory'!$D$14,IF('Rebate-Suntory'!$E$14="giá trị",'Rebate-Suntory'!$D$14*(Z92+Z93+Z95),0))</f>
        <v>-10</v>
      </c>
      <c r="AA94" s="213">
        <f>-IF('Rebate-Suntory'!$J$14="/tấn",'Rebate-Suntory'!$I$14,IF('Rebate-Suntory'!$J$14="giá trị",'Rebate-Suntory'!$I$14*(AA92+AA93),0))</f>
        <v>-21.721875000000001</v>
      </c>
      <c r="AB94" s="214">
        <f>-IF('Rebate-Suntory'!$J$14="/tấn",'Rebate-Suntory'!$I$14,IF('Rebate-Suntory'!$J$14="giá trị",'Rebate-Suntory'!$I$14*(AB92+AB93),0))</f>
        <v>-21.146874999999977</v>
      </c>
      <c r="AC94" s="214"/>
      <c r="AD94" s="214"/>
      <c r="AE94" s="214"/>
      <c r="AF94" s="214"/>
      <c r="AG94" s="214"/>
      <c r="AH94" s="214"/>
      <c r="AI94" s="214"/>
      <c r="AJ94" s="214"/>
      <c r="AK94" s="214"/>
      <c r="AL94" s="215"/>
    </row>
    <row r="95" spans="1:38" s="93" customFormat="1" outlineLevel="1" x14ac:dyDescent="0.35">
      <c r="A95" s="93" t="s">
        <v>40</v>
      </c>
      <c r="B95" s="93" t="s">
        <v>31</v>
      </c>
      <c r="D95" s="92"/>
      <c r="F95" s="275" t="s">
        <v>286</v>
      </c>
      <c r="G95" s="276"/>
      <c r="H95" s="276" t="s">
        <v>41</v>
      </c>
      <c r="I95" s="276" t="s">
        <v>42</v>
      </c>
      <c r="J95" s="276"/>
      <c r="K95"/>
      <c r="L95" s="276"/>
      <c r="M95" s="276"/>
      <c r="N95" s="289"/>
      <c r="O95" s="297">
        <v>26.5</v>
      </c>
      <c r="P95" s="298">
        <v>26.5</v>
      </c>
      <c r="Q95" s="298">
        <v>26.5</v>
      </c>
      <c r="R95" s="298">
        <v>26.5</v>
      </c>
      <c r="S95" s="298">
        <v>26.5</v>
      </c>
      <c r="T95" s="298">
        <v>26.5</v>
      </c>
      <c r="U95" s="298">
        <v>26.5</v>
      </c>
      <c r="V95" s="298">
        <v>26.5</v>
      </c>
      <c r="W95" s="298">
        <v>26.5</v>
      </c>
      <c r="X95" s="298">
        <v>26.5</v>
      </c>
      <c r="Y95" s="298">
        <v>26.5</v>
      </c>
      <c r="Z95" s="299">
        <v>26.5</v>
      </c>
      <c r="AA95" s="297">
        <v>26.5</v>
      </c>
      <c r="AB95" s="298">
        <v>26.5</v>
      </c>
      <c r="AC95" s="8"/>
      <c r="AD95" s="8"/>
      <c r="AE95" s="8"/>
      <c r="AF95" s="8"/>
      <c r="AG95" s="8"/>
      <c r="AH95" s="8"/>
      <c r="AI95" s="8"/>
      <c r="AJ95" s="8"/>
      <c r="AK95" s="8"/>
      <c r="AL95" s="56"/>
    </row>
    <row r="96" spans="1:38" s="94" customFormat="1" outlineLevel="1" x14ac:dyDescent="0.35">
      <c r="A96" s="94" t="s">
        <v>40</v>
      </c>
      <c r="B96" s="94" t="s">
        <v>31</v>
      </c>
      <c r="D96" s="95" t="s">
        <v>162</v>
      </c>
      <c r="F96" s="278" t="s">
        <v>287</v>
      </c>
      <c r="G96" s="279"/>
      <c r="H96" s="279"/>
      <c r="I96" s="279" t="s">
        <v>8</v>
      </c>
      <c r="J96" s="279"/>
      <c r="K96" s="2"/>
      <c r="L96" s="279"/>
      <c r="M96" s="279"/>
      <c r="N96" s="290"/>
      <c r="O96" s="228">
        <f>O91-O95</f>
        <v>1320</v>
      </c>
      <c r="P96" s="229">
        <f t="shared" ref="P96:Z96" si="36">P91-P95</f>
        <v>1327.5</v>
      </c>
      <c r="Q96" s="229">
        <f t="shared" si="36"/>
        <v>1340</v>
      </c>
      <c r="R96" s="229">
        <f t="shared" si="36"/>
        <v>1342.5</v>
      </c>
      <c r="S96" s="229">
        <f t="shared" si="36"/>
        <v>1346.5</v>
      </c>
      <c r="T96" s="229">
        <f t="shared" si="36"/>
        <v>1361.5</v>
      </c>
      <c r="U96" s="229">
        <f t="shared" si="36"/>
        <v>1377.5</v>
      </c>
      <c r="V96" s="229">
        <f t="shared" si="36"/>
        <v>1388.5</v>
      </c>
      <c r="W96" s="229">
        <f t="shared" si="36"/>
        <v>1408.5</v>
      </c>
      <c r="X96" s="229">
        <f t="shared" si="36"/>
        <v>1436.25</v>
      </c>
      <c r="Y96" s="229">
        <f t="shared" si="36"/>
        <v>1453.75</v>
      </c>
      <c r="Z96" s="230">
        <f t="shared" si="36"/>
        <v>1457.5</v>
      </c>
      <c r="AA96" s="229">
        <f>AA91-AA95</f>
        <v>1426.403125</v>
      </c>
      <c r="AB96" s="229">
        <f>AB91-AB95</f>
        <v>1388.6447916666652</v>
      </c>
      <c r="AC96" s="229"/>
      <c r="AD96" s="229"/>
      <c r="AE96" s="229"/>
      <c r="AF96" s="229"/>
      <c r="AG96" s="229"/>
      <c r="AH96" s="229"/>
      <c r="AI96" s="229"/>
      <c r="AJ96" s="229"/>
      <c r="AK96" s="229"/>
      <c r="AL96" s="230"/>
    </row>
    <row r="97" spans="1:38" s="186" customFormat="1" outlineLevel="1" x14ac:dyDescent="0.35">
      <c r="A97" s="186" t="s">
        <v>40</v>
      </c>
      <c r="B97" s="186" t="s">
        <v>31</v>
      </c>
      <c r="C97" s="186" t="s">
        <v>44</v>
      </c>
      <c r="F97" s="280" t="s">
        <v>288</v>
      </c>
      <c r="G97" s="281"/>
      <c r="H97" s="281"/>
      <c r="I97" s="281"/>
      <c r="J97" s="281" t="s">
        <v>75</v>
      </c>
      <c r="K97" s="187"/>
      <c r="L97" s="291" cm="1">
        <f t="array" ref="L97">SUMPRODUCT(General_Data*(Year=L$3)*(Month=L$4)*(Code_General_Data=$C97))</f>
        <v>1288.125</v>
      </c>
      <c r="M97" s="291" cm="1">
        <f t="array" ref="M97">SUMPRODUCT(General_Data*(Year=M$3)*(Month=M$4)*(Code_General_Data=$C97))</f>
        <v>1300</v>
      </c>
      <c r="N97" s="292" cm="1">
        <f t="array" ref="N97">SUMPRODUCT(General_Data*(Year=N$3)*(Month=N$4)*(Code_General_Data=$C97))</f>
        <v>1300</v>
      </c>
      <c r="O97" s="205" cm="1">
        <f t="array" ref="O97">SUMPRODUCT(General_Data*(Year=O$3)*(Month=O$4)*(Code_General_Data=$C97))</f>
        <v>1315</v>
      </c>
      <c r="P97" s="204" cm="1">
        <f t="array" ref="P97">SUMPRODUCT(General_Data*(Year=P$3)*(Month=P$4)*(Code_General_Data=$C97))</f>
        <v>1325</v>
      </c>
      <c r="Q97" s="204" cm="1">
        <f t="array" ref="Q97">SUMPRODUCT(General_Data*(Year=Q$3)*(Month=Q$4)*(Code_General_Data=$C97))</f>
        <v>1320</v>
      </c>
      <c r="R97" s="204" cm="1">
        <f t="array" ref="R97">SUMPRODUCT(General_Data*(Year=R$3)*(Month=R$4)*(Code_General_Data=$C97))</f>
        <v>1333</v>
      </c>
      <c r="S97" s="204" cm="1">
        <f t="array" ref="S97">SUMPRODUCT(General_Data*(Year=S$3)*(Month=S$4)*(Code_General_Data=$C97))</f>
        <v>1350</v>
      </c>
      <c r="T97" s="204" cm="1">
        <f t="array" ref="T97">SUMPRODUCT(General_Data*(Year=T$3)*(Month=T$4)*(Code_General_Data=$C97))</f>
        <v>1365</v>
      </c>
      <c r="U97" s="204" cm="1">
        <f t="array" ref="U97">SUMPRODUCT(General_Data*(Year=U$3)*(Month=U$4)*(Code_General_Data=$C97))</f>
        <v>1372</v>
      </c>
      <c r="V97" s="204" cm="1">
        <f t="array" ref="V97">SUMPRODUCT(General_Data*(Year=V$3)*(Month=V$4)*(Code_General_Data=$C97))</f>
        <v>1405</v>
      </c>
      <c r="W97" s="204" cm="1">
        <f t="array" ref="W97">SUMPRODUCT(General_Data*(Year=W$3)*(Month=W$4)*(Code_General_Data=$C97))</f>
        <v>1427.5</v>
      </c>
      <c r="X97" s="204" cm="1">
        <f t="array" ref="X97">SUMPRODUCT(General_Data*(Year=X$3)*(Month=X$4)*(Code_General_Data=$C97))</f>
        <v>1440</v>
      </c>
      <c r="Y97" s="204" cm="1">
        <f t="array" ref="Y97">SUMPRODUCT(General_Data*(Year=Y$3)*(Month=Y$4)*(Code_General_Data=$C97))</f>
        <v>1435</v>
      </c>
      <c r="Z97" s="206" cm="1">
        <f t="array" ref="Z97">SUMPRODUCT(General_Data*(Year=Z$3)*(Month=Z$4)*(Code_General_Data=$C97))</f>
        <v>1421.25</v>
      </c>
      <c r="AA97" s="204" cm="1">
        <f t="array" ref="AA97">SUMPRODUCT(General_Data*(Year=AA$3)*(Month=AA$4)*(Code_General_Data=$C97))</f>
        <v>1358.3333333333301</v>
      </c>
      <c r="AB97" s="204" cm="1">
        <f t="array" ref="AB97">SUMPRODUCT(General_Data*(Year=AB$3)*(Month=AB$4)*(Code_General_Data=$C97))</f>
        <v>1350</v>
      </c>
      <c r="AC97" s="204"/>
      <c r="AD97" s="204"/>
      <c r="AE97" s="204"/>
      <c r="AF97" s="204"/>
      <c r="AG97" s="204"/>
      <c r="AH97" s="204"/>
      <c r="AI97" s="204"/>
      <c r="AJ97" s="204"/>
      <c r="AK97" s="204"/>
      <c r="AL97" s="206"/>
    </row>
    <row r="98" spans="1:38" s="96" customFormat="1" ht="114.65" customHeight="1" outlineLevel="1" x14ac:dyDescent="0.35">
      <c r="A98" s="96" t="s">
        <v>40</v>
      </c>
      <c r="B98" s="96" t="s">
        <v>31</v>
      </c>
      <c r="D98" s="97"/>
      <c r="F98" s="282" t="s">
        <v>289</v>
      </c>
      <c r="G98" s="283"/>
      <c r="H98" s="283"/>
      <c r="I98" s="283"/>
      <c r="J98" s="283" t="s">
        <v>45</v>
      </c>
      <c r="K98" s="12"/>
      <c r="L98" s="283"/>
      <c r="M98" s="283"/>
      <c r="N98" s="293"/>
      <c r="O98" s="88" t="str" cm="1">
        <f t="array" ref="O98">INDEX(Note!$G$3:$G$101,MATCH(1,(Note!$A$3:$A$101=$A98)*(Note!$C$3:$C$101=$B98)*(Note!$E$3:$E$101&lt;=O$1)*(Note!$F$3:$F$101&gt;=O$2),0))</f>
        <v>Giá ICIS rPET ĐNA trung bình từ ngày 16 tháng (X-2) đến ngày 15 tháng (X-1) +Premium ( Chi phí tăng IV ) - REBATE + Cp vận chuyển</v>
      </c>
      <c r="P98" s="27" t="str" cm="1">
        <f t="array" ref="P98">INDEX(Note!$G$3:$G$101,MATCH(1,(Note!$A$3:$A$101=$A98)*(Note!$C$3:$C$101=$B98)*(Note!$E$3:$E$101&lt;=P$1)*(Note!$F$3:$F$101&gt;=P$2),0))</f>
        <v>Giá ICIS rPET ĐNA trung bình từ ngày 16 tháng (X-2) đến ngày 15 tháng (X-1) +Premium ( Chi phí tăng IV ) - REBATE + Cp vận chuyển</v>
      </c>
      <c r="Q98" s="27" t="str" cm="1">
        <f t="array" ref="Q98">INDEX(Note!$G$3:$G$101,MATCH(1,(Note!$A$3:$A$101=$A98)*(Note!$C$3:$C$101=$B98)*(Note!$E$3:$E$101&lt;=Q$1)*(Note!$F$3:$F$101&gt;=Q$2),0))</f>
        <v>Giá ICIS rPET ĐNA trung bình từ ngày 16 tháng (X-2) đến ngày 15 tháng (X-1) +Premium ( Chi phí tăng IV ) - REBATE + Cp vận chuyển</v>
      </c>
      <c r="R98" s="27" t="str" cm="1">
        <f t="array" ref="R98">INDEX(Note!$G$3:$G$101,MATCH(1,(Note!$A$3:$A$101=$A98)*(Note!$C$3:$C$101=$B98)*(Note!$E$3:$E$101&lt;=R$1)*(Note!$F$3:$F$101&gt;=R$2),0))</f>
        <v>Giá ICIS rPET ĐNA trung bình từ ngày 16 tháng (X-2) đến ngày 15 tháng (X-1) +Premium ( Chi phí tăng IV ) - REBATE + Cp vận chuyển</v>
      </c>
      <c r="S98" s="27" t="str" cm="1">
        <f t="array" ref="S98">INDEX(Note!$G$3:$G$101,MATCH(1,(Note!$A$3:$A$101=$A98)*(Note!$C$3:$C$101=$B98)*(Note!$E$3:$E$101&lt;=S$1)*(Note!$F$3:$F$101&gt;=S$2),0))</f>
        <v>Giá ICIS rPET ĐNA trung bình từ ngày 16 tháng (X-2) đến ngày 15 tháng (X-1) +Premium ( Chi phí tăng IV ) - REBATE + Cp vận chuyển</v>
      </c>
      <c r="T98" s="27" t="str" cm="1">
        <f t="array" ref="T98">INDEX(Note!$G$3:$G$101,MATCH(1,(Note!$A$3:$A$101=$A98)*(Note!$C$3:$C$101=$B98)*(Note!$E$3:$E$101&lt;=T$1)*(Note!$F$3:$F$101&gt;=T$2),0))</f>
        <v>Giá ICIS rPET ĐNA trung bình từ ngày 16 tháng (X-2) đến ngày 15 tháng (X-1) +Premium ( Chi phí tăng IV ) - REBATE + Cp vận chuyển</v>
      </c>
      <c r="U98" s="27" t="str" cm="1">
        <f t="array" ref="U98">INDEX(Note!$G$3:$G$101,MATCH(1,(Note!$A$3:$A$101=$A98)*(Note!$C$3:$C$101=$B98)*(Note!$E$3:$E$101&lt;=U$1)*(Note!$F$3:$F$101&gt;=U$2),0))</f>
        <v>Giá ICIS rPET ĐNA trung bình từ ngày 16 tháng (X-2) đến ngày 15 tháng (X-1) +Premium ( Chi phí tăng IV ) - REBATE + Cp vận chuyển</v>
      </c>
      <c r="V98" s="27" t="str" cm="1">
        <f t="array" ref="V98">INDEX(Note!$G$3:$G$101,MATCH(1,(Note!$A$3:$A$101=$A98)*(Note!$C$3:$C$101=$B98)*(Note!$E$3:$E$101&lt;=V$1)*(Note!$F$3:$F$101&gt;=V$2),0))</f>
        <v>Giá ICIS rPET ĐNA trung bình từ ngày 16 tháng (X-2) đến ngày 15 tháng (X-1) +Premium ( Chi phí tăng IV ) - REBATE + Cp vận chuyển</v>
      </c>
      <c r="W98" s="27" t="str" cm="1">
        <f t="array" ref="W98">INDEX(Note!$G$3:$G$101,MATCH(1,(Note!$A$3:$A$101=$A98)*(Note!$C$3:$C$101=$B98)*(Note!$E$3:$E$101&lt;=W$1)*(Note!$F$3:$F$101&gt;=W$2),0))</f>
        <v>Giá ICIS rPET ĐNA trung bình từ ngày 16 tháng (X-2) đến ngày 15 tháng (X-1) +Premium ( Chi phí tăng IV ) - REBATE + Cp vận chuyển</v>
      </c>
      <c r="X98" s="27" t="str" cm="1">
        <f t="array" ref="X98">INDEX(Note!$G$3:$G$101,MATCH(1,(Note!$A$3:$A$101=$A98)*(Note!$C$3:$C$101=$B98)*(Note!$E$3:$E$101&lt;=X$1)*(Note!$F$3:$F$101&gt;=X$2),0))</f>
        <v>Giá ICIS rPET ĐNA trung bình từ ngày 16 tháng (X-2) đến ngày 15 tháng (X-1) +Premium ( Chi phí tăng IV ) - REBATE + Cp vận chuyển</v>
      </c>
      <c r="Y98" s="27" t="str" cm="1">
        <f t="array" ref="Y98">INDEX(Note!$G$3:$G$101,MATCH(1,(Note!$A$3:$A$101=$A98)*(Note!$C$3:$C$101=$B98)*(Note!$E$3:$E$101&lt;=Y$1)*(Note!$F$3:$F$101&gt;=Y$2),0))</f>
        <v>Giá ICIS rPET ĐNA trung bình từ ngày 16 tháng (X-2) đến ngày 15 tháng (X-1) +Premium ( Chi phí tăng IV ) - REBATE + Cp vận chuyển</v>
      </c>
      <c r="Z98" s="89" t="str" cm="1">
        <f t="array" ref="Z98">INDEX(Note!$G$3:$G$101,MATCH(1,(Note!$A$3:$A$101=$A98)*(Note!$C$3:$C$101=$B98)*(Note!$E$3:$E$101&lt;=Z$1)*(Note!$F$3:$F$101&gt;=Z$2),0))</f>
        <v>Giá ICIS rPET ĐNA trung bình từ ngày 16 tháng (X-2) đến ngày 15 tháng (X-1) +Premium ( Chi phí tăng IV ) - REBATE + Cp vận chuyển</v>
      </c>
      <c r="AA98" s="27" t="str" cm="1">
        <f t="array" ref="AA98">INDEX(Note!$G$3:$G$101,MATCH(1,(Note!$A$3:$A$101=$A98)*(Note!$C$3:$C$101=$B98)*(Note!$E$3:$E$101&lt;=AA$1)*(Note!$F$3:$F$101&gt;=AA$2),0))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98" s="27" t="str" cm="1">
        <f t="array" ref="AB98">INDEX(Note!$G$3:$G$101,MATCH(1,(Note!$A$3:$A$101=$A98)*(Note!$C$3:$C$101=$B98)*(Note!$E$3:$E$101&lt;=AB$1)*(Note!$F$3:$F$101&gt;=AB$2),0))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89"/>
    </row>
    <row r="99" spans="1:38" s="96" customFormat="1" outlineLevel="1" x14ac:dyDescent="0.35">
      <c r="A99" s="96" t="s">
        <v>40</v>
      </c>
      <c r="B99" s="96" t="s">
        <v>31</v>
      </c>
      <c r="D99" s="97"/>
      <c r="F99" s="282" t="s">
        <v>290</v>
      </c>
      <c r="G99" s="283"/>
      <c r="H99" s="283"/>
      <c r="I99" s="283"/>
      <c r="J99" s="283" t="s">
        <v>43</v>
      </c>
      <c r="K99" s="12"/>
      <c r="L99" s="283"/>
      <c r="M99" s="283"/>
      <c r="N99" s="293"/>
      <c r="O99" s="88" t="str" cm="1">
        <f t="array" ref="O99">INDEX(Note!$H$3:$H$101,MATCH(1,(Note!$A$3:$A$101=$A99)*(Note!$C$3:$C$101=$B99)*(Note!$E$3:$E$101&lt;=O$1)*(Note!$F$3:$F$101&gt;=O$2),0))</f>
        <v>DDP</v>
      </c>
      <c r="P99" s="27" t="str" cm="1">
        <f t="array" ref="P99">INDEX(Note!$H$3:$H$101,MATCH(1,(Note!$A$3:$A$101=$A99)*(Note!$C$3:$C$101=$B99)*(Note!$E$3:$E$101&lt;=P$1)*(Note!$F$3:$F$101&gt;=P$2),0))</f>
        <v>DDP</v>
      </c>
      <c r="Q99" s="27" t="str" cm="1">
        <f t="array" ref="Q99">INDEX(Note!$H$3:$H$101,MATCH(1,(Note!$A$3:$A$101=$A99)*(Note!$C$3:$C$101=$B99)*(Note!$E$3:$E$101&lt;=Q$1)*(Note!$F$3:$F$101&gt;=Q$2),0))</f>
        <v>DDP</v>
      </c>
      <c r="R99" s="27" t="str" cm="1">
        <f t="array" ref="R99">INDEX(Note!$H$3:$H$101,MATCH(1,(Note!$A$3:$A$101=$A99)*(Note!$C$3:$C$101=$B99)*(Note!$E$3:$E$101&lt;=R$1)*(Note!$F$3:$F$101&gt;=R$2),0))</f>
        <v>DDP</v>
      </c>
      <c r="S99" s="27" t="str" cm="1">
        <f t="array" ref="S99">INDEX(Note!$H$3:$H$101,MATCH(1,(Note!$A$3:$A$101=$A99)*(Note!$C$3:$C$101=$B99)*(Note!$E$3:$E$101&lt;=S$1)*(Note!$F$3:$F$101&gt;=S$2),0))</f>
        <v>DDP</v>
      </c>
      <c r="T99" s="27" t="str" cm="1">
        <f t="array" ref="T99">INDEX(Note!$H$3:$H$101,MATCH(1,(Note!$A$3:$A$101=$A99)*(Note!$C$3:$C$101=$B99)*(Note!$E$3:$E$101&lt;=T$1)*(Note!$F$3:$F$101&gt;=T$2),0))</f>
        <v>DDP</v>
      </c>
      <c r="U99" s="27" t="str" cm="1">
        <f t="array" ref="U99">INDEX(Note!$H$3:$H$101,MATCH(1,(Note!$A$3:$A$101=$A99)*(Note!$C$3:$C$101=$B99)*(Note!$E$3:$E$101&lt;=U$1)*(Note!$F$3:$F$101&gt;=U$2),0))</f>
        <v>DDP</v>
      </c>
      <c r="V99" s="27" t="str" cm="1">
        <f t="array" ref="V99">INDEX(Note!$H$3:$H$101,MATCH(1,(Note!$A$3:$A$101=$A99)*(Note!$C$3:$C$101=$B99)*(Note!$E$3:$E$101&lt;=V$1)*(Note!$F$3:$F$101&gt;=V$2),0))</f>
        <v>DDP</v>
      </c>
      <c r="W99" s="27" t="str" cm="1">
        <f t="array" ref="W99">INDEX(Note!$H$3:$H$101,MATCH(1,(Note!$A$3:$A$101=$A99)*(Note!$C$3:$C$101=$B99)*(Note!$E$3:$E$101&lt;=W$1)*(Note!$F$3:$F$101&gt;=W$2),0))</f>
        <v>DDP</v>
      </c>
      <c r="X99" s="27" t="str" cm="1">
        <f t="array" ref="X99">INDEX(Note!$H$3:$H$101,MATCH(1,(Note!$A$3:$A$101=$A99)*(Note!$C$3:$C$101=$B99)*(Note!$E$3:$E$101&lt;=X$1)*(Note!$F$3:$F$101&gt;=X$2),0))</f>
        <v>DDP</v>
      </c>
      <c r="Y99" s="27" t="str" cm="1">
        <f t="array" ref="Y99">INDEX(Note!$H$3:$H$101,MATCH(1,(Note!$A$3:$A$101=$A99)*(Note!$C$3:$C$101=$B99)*(Note!$E$3:$E$101&lt;=Y$1)*(Note!$F$3:$F$101&gt;=Y$2),0))</f>
        <v>DDP</v>
      </c>
      <c r="Z99" s="89" t="str" cm="1">
        <f t="array" ref="Z99">INDEX(Note!$H$3:$H$101,MATCH(1,(Note!$A$3:$A$101=$A99)*(Note!$C$3:$C$101=$B99)*(Note!$E$3:$E$101&lt;=Z$1)*(Note!$F$3:$F$101&gt;=Z$2),0))</f>
        <v>DDP</v>
      </c>
      <c r="AA99" s="27" t="str" cm="1">
        <f t="array" ref="AA99">INDEX(Note!$H$3:$H$101,MATCH(1,(Note!$A$3:$A$101=$A99)*(Note!$C$3:$C$101=$B99)*(Note!$E$3:$E$101&lt;=AA$1)*(Note!$F$3:$F$101&gt;=AA$2),0))</f>
        <v>DDP</v>
      </c>
      <c r="AB99" s="27" t="str" cm="1">
        <f t="array" ref="AB99">INDEX(Note!$H$3:$H$101,MATCH(1,(Note!$A$3:$A$101=$A99)*(Note!$C$3:$C$101=$B99)*(Note!$E$3:$E$101&lt;=AB$1)*(Note!$F$3:$F$101&gt;=AB$2),0))</f>
        <v>DDP</v>
      </c>
      <c r="AC99" s="27"/>
      <c r="AD99" s="27"/>
      <c r="AE99" s="27"/>
      <c r="AF99" s="27"/>
      <c r="AG99" s="27"/>
      <c r="AH99" s="27"/>
      <c r="AI99" s="27"/>
      <c r="AJ99" s="27"/>
      <c r="AK99" s="27"/>
      <c r="AL99" s="89"/>
    </row>
    <row r="100" spans="1:38" s="97" customFormat="1" outlineLevel="1" x14ac:dyDescent="0.35">
      <c r="A100" s="97" t="s">
        <v>40</v>
      </c>
      <c r="B100" s="97" t="s">
        <v>31</v>
      </c>
      <c r="F100" s="284" t="s">
        <v>291</v>
      </c>
      <c r="G100" s="285"/>
      <c r="H100" s="285"/>
      <c r="I100" s="285"/>
      <c r="J100" s="285" t="s">
        <v>46</v>
      </c>
      <c r="K100" s="109"/>
      <c r="L100" s="285"/>
      <c r="M100" s="285"/>
      <c r="N100" s="294"/>
      <c r="O100" s="236" t="str" cm="1">
        <f t="array" ref="O100">INDEX(Note!$I$3:$I$101,MATCH(1,(Note!$A$3:$A$101=$A100)*(Note!$C$3:$C$101=$B100)*(Note!$E$3:$E$101&lt;=O$1)*(Note!$F$3:$F$101&gt;=O$2),0))</f>
        <v>Tháng</v>
      </c>
      <c r="P100" s="196" t="str" cm="1">
        <f t="array" ref="P100">INDEX(Note!$I$3:$I$101,MATCH(1,(Note!$A$3:$A$101=$A100)*(Note!$C$3:$C$101=$B100)*(Note!$E$3:$E$101&lt;=P$1)*(Note!$F$3:$F$101&gt;=P$2),0))</f>
        <v>Tháng</v>
      </c>
      <c r="Q100" s="196" t="str" cm="1">
        <f t="array" ref="Q100">INDEX(Note!$I$3:$I$101,MATCH(1,(Note!$A$3:$A$101=$A100)*(Note!$C$3:$C$101=$B100)*(Note!$E$3:$E$101&lt;=Q$1)*(Note!$F$3:$F$101&gt;=Q$2),0))</f>
        <v>Tháng</v>
      </c>
      <c r="R100" s="196" t="str" cm="1">
        <f t="array" ref="R100">INDEX(Note!$I$3:$I$101,MATCH(1,(Note!$A$3:$A$101=$A100)*(Note!$C$3:$C$101=$B100)*(Note!$E$3:$E$101&lt;=R$1)*(Note!$F$3:$F$101&gt;=R$2),0))</f>
        <v>Tháng</v>
      </c>
      <c r="S100" s="196" t="str" cm="1">
        <f t="array" ref="S100">INDEX(Note!$I$3:$I$101,MATCH(1,(Note!$A$3:$A$101=$A100)*(Note!$C$3:$C$101=$B100)*(Note!$E$3:$E$101&lt;=S$1)*(Note!$F$3:$F$101&gt;=S$2),0))</f>
        <v>Tháng</v>
      </c>
      <c r="T100" s="196" t="str" cm="1">
        <f t="array" ref="T100">INDEX(Note!$I$3:$I$101,MATCH(1,(Note!$A$3:$A$101=$A100)*(Note!$C$3:$C$101=$B100)*(Note!$E$3:$E$101&lt;=T$1)*(Note!$F$3:$F$101&gt;=T$2),0))</f>
        <v>Tháng</v>
      </c>
      <c r="U100" s="196" t="str" cm="1">
        <f t="array" ref="U100">INDEX(Note!$I$3:$I$101,MATCH(1,(Note!$A$3:$A$101=$A100)*(Note!$C$3:$C$101=$B100)*(Note!$E$3:$E$101&lt;=U$1)*(Note!$F$3:$F$101&gt;=U$2),0))</f>
        <v>Tháng</v>
      </c>
      <c r="V100" s="196" t="str" cm="1">
        <f t="array" ref="V100">INDEX(Note!$I$3:$I$101,MATCH(1,(Note!$A$3:$A$101=$A100)*(Note!$C$3:$C$101=$B100)*(Note!$E$3:$E$101&lt;=V$1)*(Note!$F$3:$F$101&gt;=V$2),0))</f>
        <v>Tháng</v>
      </c>
      <c r="W100" s="196" t="str" cm="1">
        <f t="array" ref="W100">INDEX(Note!$I$3:$I$101,MATCH(1,(Note!$A$3:$A$101=$A100)*(Note!$C$3:$C$101=$B100)*(Note!$E$3:$E$101&lt;=W$1)*(Note!$F$3:$F$101&gt;=W$2),0))</f>
        <v>Tháng</v>
      </c>
      <c r="X100" s="196" t="str" cm="1">
        <f t="array" ref="X100">INDEX(Note!$I$3:$I$101,MATCH(1,(Note!$A$3:$A$101=$A100)*(Note!$C$3:$C$101=$B100)*(Note!$E$3:$E$101&lt;=X$1)*(Note!$F$3:$F$101&gt;=X$2),0))</f>
        <v>Tháng</v>
      </c>
      <c r="Y100" s="196" t="str" cm="1">
        <f t="array" ref="Y100">INDEX(Note!$I$3:$I$101,MATCH(1,(Note!$A$3:$A$101=$A100)*(Note!$C$3:$C$101=$B100)*(Note!$E$3:$E$101&lt;=Y$1)*(Note!$F$3:$F$101&gt;=Y$2),0))</f>
        <v>Tháng</v>
      </c>
      <c r="Z100" s="197" t="str" cm="1">
        <f t="array" ref="Z100">INDEX(Note!$I$3:$I$101,MATCH(1,(Note!$A$3:$A$101=$A100)*(Note!$C$3:$C$101=$B100)*(Note!$E$3:$E$101&lt;=Z$1)*(Note!$F$3:$F$101&gt;=Z$2),0))</f>
        <v>Tháng</v>
      </c>
      <c r="AA100" s="196" t="str" cm="1">
        <f t="array" ref="AA100">INDEX(Note!$I$3:$I$101,MATCH(1,(Note!$A$3:$A$101=$A100)*(Note!$C$3:$C$101=$B100)*(Note!$E$3:$E$101&lt;=AA$1)*(Note!$F$3:$F$101&gt;=AA$2),0))</f>
        <v>Tháng</v>
      </c>
      <c r="AB100" s="196" t="str" cm="1">
        <f t="array" ref="AB100">INDEX(Note!$I$3:$I$101,MATCH(1,(Note!$A$3:$A$101=$A100)*(Note!$C$3:$C$101=$B100)*(Note!$E$3:$E$101&lt;=AB$1)*(Note!$F$3:$F$101&gt;=AB$2),0))</f>
        <v>Tháng</v>
      </c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7"/>
    </row>
    <row r="101" spans="1:38" s="97" customFormat="1" outlineLevel="1" x14ac:dyDescent="0.35">
      <c r="A101" s="97" t="s">
        <v>40</v>
      </c>
      <c r="B101" s="97" t="s">
        <v>31</v>
      </c>
      <c r="F101" s="196" t="s">
        <v>292</v>
      </c>
      <c r="G101" s="107"/>
      <c r="H101" s="107"/>
      <c r="I101" s="107"/>
      <c r="J101" s="107" t="s">
        <v>47</v>
      </c>
      <c r="K101" s="109"/>
      <c r="L101" s="199"/>
      <c r="M101" s="199"/>
      <c r="N101" s="199"/>
      <c r="O101" s="198" cm="1">
        <f t="array" ref="O101">INDEX(Note!$J$3:$J$101,MATCH(1,(Note!$A$3:$A$101=$A101)*(Note!$C$3:$C$101=$B101)*(Note!$E$3:$E$101&lt;=O$1)*(Note!$F$3:$F$101&gt;=O$2),0))</f>
        <v>0</v>
      </c>
      <c r="P101" s="199" cm="1">
        <f t="array" ref="P101">INDEX(Note!$J$3:$J$101,MATCH(1,(Note!$A$3:$A$101=$A101)*(Note!$C$3:$C$101=$B101)*(Note!$E$3:$E$101&lt;=P$1)*(Note!$F$3:$F$101&gt;=P$2),0))</f>
        <v>0</v>
      </c>
      <c r="Q101" s="199" cm="1">
        <f t="array" ref="Q101">INDEX(Note!$J$3:$J$101,MATCH(1,(Note!$A$3:$A$101=$A101)*(Note!$C$3:$C$101=$B101)*(Note!$E$3:$E$101&lt;=Q$1)*(Note!$F$3:$F$101&gt;=Q$2),0))</f>
        <v>0</v>
      </c>
      <c r="R101" s="199" cm="1">
        <f t="array" ref="R101">INDEX(Note!$J$3:$J$101,MATCH(1,(Note!$A$3:$A$101=$A101)*(Note!$C$3:$C$101=$B101)*(Note!$E$3:$E$101&lt;=R$1)*(Note!$F$3:$F$101&gt;=R$2),0))</f>
        <v>0</v>
      </c>
      <c r="S101" s="199" cm="1">
        <f t="array" ref="S101">INDEX(Note!$J$3:$J$101,MATCH(1,(Note!$A$3:$A$101=$A101)*(Note!$C$3:$C$101=$B101)*(Note!$E$3:$E$101&lt;=S$1)*(Note!$F$3:$F$101&gt;=S$2),0))</f>
        <v>0</v>
      </c>
      <c r="T101" s="199" cm="1">
        <f t="array" ref="T101">INDEX(Note!$J$3:$J$101,MATCH(1,(Note!$A$3:$A$101=$A101)*(Note!$C$3:$C$101=$B101)*(Note!$E$3:$E$101&lt;=T$1)*(Note!$F$3:$F$101&gt;=T$2),0))</f>
        <v>0</v>
      </c>
      <c r="U101" s="199" cm="1">
        <f t="array" ref="U101">INDEX(Note!$J$3:$J$101,MATCH(1,(Note!$A$3:$A$101=$A101)*(Note!$C$3:$C$101=$B101)*(Note!$E$3:$E$101&lt;=U$1)*(Note!$F$3:$F$101&gt;=U$2),0))</f>
        <v>0</v>
      </c>
      <c r="V101" s="199" cm="1">
        <f t="array" ref="V101">INDEX(Note!$J$3:$J$101,MATCH(1,(Note!$A$3:$A$101=$A101)*(Note!$C$3:$C$101=$B101)*(Note!$E$3:$E$101&lt;=V$1)*(Note!$F$3:$F$101&gt;=V$2),0))</f>
        <v>0</v>
      </c>
      <c r="W101" s="199" cm="1">
        <f t="array" ref="W101">INDEX(Note!$J$3:$J$101,MATCH(1,(Note!$A$3:$A$101=$A101)*(Note!$C$3:$C$101=$B101)*(Note!$E$3:$E$101&lt;=W$1)*(Note!$F$3:$F$101&gt;=W$2),0))</f>
        <v>0</v>
      </c>
      <c r="X101" s="199" cm="1">
        <f t="array" ref="X101">INDEX(Note!$J$3:$J$101,MATCH(1,(Note!$A$3:$A$101=$A101)*(Note!$C$3:$C$101=$B101)*(Note!$E$3:$E$101&lt;=X$1)*(Note!$F$3:$F$101&gt;=X$2),0))</f>
        <v>0</v>
      </c>
      <c r="Y101" s="199" cm="1">
        <f t="array" ref="Y101">INDEX(Note!$J$3:$J$101,MATCH(1,(Note!$A$3:$A$101=$A101)*(Note!$C$3:$C$101=$B101)*(Note!$E$3:$E$101&lt;=Y$1)*(Note!$F$3:$F$101&gt;=Y$2),0))</f>
        <v>0</v>
      </c>
      <c r="Z101" s="200" cm="1">
        <f t="array" ref="Z101">INDEX(Note!$J$3:$J$101,MATCH(1,(Note!$A$3:$A$101=$A101)*(Note!$C$3:$C$101=$B101)*(Note!$E$3:$E$101&lt;=Z$1)*(Note!$F$3:$F$101&gt;=Z$2),0))</f>
        <v>0</v>
      </c>
      <c r="AA101" s="199" cm="1">
        <f t="array" ref="AA101">INDEX(Note!$J$3:$J$101,MATCH(1,(Note!$A$3:$A$101=$A101)*(Note!$C$3:$C$101=$B101)*(Note!$E$3:$E$101&lt;=AA$1)*(Note!$F$3:$F$101&gt;=AA$2),0))</f>
        <v>1550</v>
      </c>
      <c r="AB101" s="199" cm="1">
        <f t="array" ref="AB101">INDEX(Note!$J$3:$J$101,MATCH(1,(Note!$A$3:$A$101=$A101)*(Note!$C$3:$C$101=$B101)*(Note!$E$3:$E$101&lt;=AB$1)*(Note!$F$3:$F$101&gt;=AB$2),0))</f>
        <v>1550</v>
      </c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200"/>
    </row>
    <row r="102" spans="1:38" s="97" customFormat="1" outlineLevel="1" x14ac:dyDescent="0.35">
      <c r="A102" s="97" t="s">
        <v>40</v>
      </c>
      <c r="B102" s="97" t="s">
        <v>31</v>
      </c>
      <c r="F102" s="196" t="s">
        <v>293</v>
      </c>
      <c r="G102" s="107"/>
      <c r="H102" s="107"/>
      <c r="I102" s="107"/>
      <c r="J102" s="107" t="s">
        <v>48</v>
      </c>
      <c r="K102" s="109"/>
      <c r="L102" s="199"/>
      <c r="M102" s="199"/>
      <c r="N102" s="199"/>
      <c r="O102" s="198" cm="1">
        <f t="array" ref="O102">INDEX(Note!$K$3:$K$101,MATCH(1,(Note!$A$3:$A$101=$A102)*(Note!$C$3:$C$101=$B102)*(Note!$E$3:$E$101&lt;=O$1)*(Note!$F$3:$F$101&gt;=O$2),0))</f>
        <v>0</v>
      </c>
      <c r="P102" s="199" cm="1">
        <f t="array" ref="P102">INDEX(Note!$K$3:$K$101,MATCH(1,(Note!$A$3:$A$101=$A102)*(Note!$C$3:$C$101=$B102)*(Note!$E$3:$E$101&lt;=P$1)*(Note!$F$3:$F$101&gt;=P$2),0))</f>
        <v>0</v>
      </c>
      <c r="Q102" s="199" cm="1">
        <f t="array" ref="Q102">INDEX(Note!$K$3:$K$101,MATCH(1,(Note!$A$3:$A$101=$A102)*(Note!$C$3:$C$101=$B102)*(Note!$E$3:$E$101&lt;=Q$1)*(Note!$F$3:$F$101&gt;=Q$2),0))</f>
        <v>0</v>
      </c>
      <c r="R102" s="199" cm="1">
        <f t="array" ref="R102">INDEX(Note!$K$3:$K$101,MATCH(1,(Note!$A$3:$A$101=$A102)*(Note!$C$3:$C$101=$B102)*(Note!$E$3:$E$101&lt;=R$1)*(Note!$F$3:$F$101&gt;=R$2),0))</f>
        <v>0</v>
      </c>
      <c r="S102" s="199" cm="1">
        <f t="array" ref="S102">INDEX(Note!$K$3:$K$101,MATCH(1,(Note!$A$3:$A$101=$A102)*(Note!$C$3:$C$101=$B102)*(Note!$E$3:$E$101&lt;=S$1)*(Note!$F$3:$F$101&gt;=S$2),0))</f>
        <v>0</v>
      </c>
      <c r="T102" s="199" cm="1">
        <f t="array" ref="T102">INDEX(Note!$K$3:$K$101,MATCH(1,(Note!$A$3:$A$101=$A102)*(Note!$C$3:$C$101=$B102)*(Note!$E$3:$E$101&lt;=T$1)*(Note!$F$3:$F$101&gt;=T$2),0))</f>
        <v>0</v>
      </c>
      <c r="U102" s="199" cm="1">
        <f t="array" ref="U102">INDEX(Note!$K$3:$K$101,MATCH(1,(Note!$A$3:$A$101=$A102)*(Note!$C$3:$C$101=$B102)*(Note!$E$3:$E$101&lt;=U$1)*(Note!$F$3:$F$101&gt;=U$2),0))</f>
        <v>0</v>
      </c>
      <c r="V102" s="199" cm="1">
        <f t="array" ref="V102">INDEX(Note!$K$3:$K$101,MATCH(1,(Note!$A$3:$A$101=$A102)*(Note!$C$3:$C$101=$B102)*(Note!$E$3:$E$101&lt;=V$1)*(Note!$F$3:$F$101&gt;=V$2),0))</f>
        <v>0</v>
      </c>
      <c r="W102" s="199" cm="1">
        <f t="array" ref="W102">INDEX(Note!$K$3:$K$101,MATCH(1,(Note!$A$3:$A$101=$A102)*(Note!$C$3:$C$101=$B102)*(Note!$E$3:$E$101&lt;=W$1)*(Note!$F$3:$F$101&gt;=W$2),0))</f>
        <v>0</v>
      </c>
      <c r="X102" s="199" cm="1">
        <f t="array" ref="X102">INDEX(Note!$K$3:$K$101,MATCH(1,(Note!$A$3:$A$101=$A102)*(Note!$C$3:$C$101=$B102)*(Note!$E$3:$E$101&lt;=X$1)*(Note!$F$3:$F$101&gt;=X$2),0))</f>
        <v>0</v>
      </c>
      <c r="Y102" s="199" cm="1">
        <f t="array" ref="Y102">INDEX(Note!$K$3:$K$101,MATCH(1,(Note!$A$3:$A$101=$A102)*(Note!$C$3:$C$101=$B102)*(Note!$E$3:$E$101&lt;=Y$1)*(Note!$F$3:$F$101&gt;=Y$2),0))</f>
        <v>0</v>
      </c>
      <c r="Z102" s="200" cm="1">
        <f t="array" ref="Z102">INDEX(Note!$K$3:$K$101,MATCH(1,(Note!$A$3:$A$101=$A102)*(Note!$C$3:$C$101=$B102)*(Note!$E$3:$E$101&lt;=Z$1)*(Note!$F$3:$F$101&gt;=Z$2),0))</f>
        <v>0</v>
      </c>
      <c r="AA102" s="199" cm="1">
        <f t="array" ref="AA102">INDEX(Note!$K$3:$K$101,MATCH(1,(Note!$A$3:$A$101=$A102)*(Note!$C$3:$C$101=$B102)*(Note!$E$3:$E$101&lt;=AA$1)*(Note!$F$3:$F$101&gt;=AA$2),0))</f>
        <v>1330</v>
      </c>
      <c r="AB102" s="199" cm="1">
        <f t="array" ref="AB102">INDEX(Note!$K$3:$K$101,MATCH(1,(Note!$A$3:$A$101=$A102)*(Note!$C$3:$C$101=$B102)*(Note!$E$3:$E$101&lt;=AB$1)*(Note!$F$3:$F$101&gt;=AB$2),0))</f>
        <v>1330</v>
      </c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200"/>
    </row>
    <row r="103" spans="1:38" s="188" customFormat="1" outlineLevel="1" x14ac:dyDescent="0.35">
      <c r="A103" s="188" t="s">
        <v>40</v>
      </c>
      <c r="B103" s="188" t="s">
        <v>31</v>
      </c>
      <c r="F103" s="286" t="s">
        <v>294</v>
      </c>
      <c r="G103" s="287"/>
      <c r="H103" s="287"/>
      <c r="I103" s="287"/>
      <c r="J103" s="287" t="s">
        <v>203</v>
      </c>
      <c r="K103" s="189"/>
      <c r="L103" s="295"/>
      <c r="M103" s="295"/>
      <c r="N103" s="296"/>
      <c r="O103" s="201" cm="1">
        <f t="array" ref="O103">SUMPRODUCT(General_Data*(Year=O$3)*(Month=O$4)*(Code_General_Data=$B103))</f>
        <v>1280</v>
      </c>
      <c r="P103" s="202" cm="1">
        <f t="array" ref="P103">SUMPRODUCT(General_Data*(Year=P$3)*(Month=P$4)*(Code_General_Data=$B103))</f>
        <v>1280</v>
      </c>
      <c r="Q103" s="202" cm="1">
        <f t="array" ref="Q103">SUMPRODUCT(General_Data*(Year=Q$3)*(Month=Q$4)*(Code_General_Data=$B103))</f>
        <v>1280</v>
      </c>
      <c r="R103" s="202" cm="1">
        <f t="array" ref="R103">SUMPRODUCT(General_Data*(Year=R$3)*(Month=R$4)*(Code_General_Data=$B103))</f>
        <v>1280</v>
      </c>
      <c r="S103" s="202" cm="1">
        <f t="array" ref="S103">SUMPRODUCT(General_Data*(Year=S$3)*(Month=S$4)*(Code_General_Data=$B103))</f>
        <v>1330</v>
      </c>
      <c r="T103" s="202" cm="1">
        <f t="array" ref="T103">SUMPRODUCT(General_Data*(Year=T$3)*(Month=T$4)*(Code_General_Data=$B103))</f>
        <v>1330</v>
      </c>
      <c r="U103" s="202" cm="1">
        <f t="array" ref="U103">SUMPRODUCT(General_Data*(Year=U$3)*(Month=U$4)*(Code_General_Data=$B103))</f>
        <v>1330</v>
      </c>
      <c r="V103" s="202" cm="1">
        <f t="array" ref="V103">SUMPRODUCT(General_Data*(Year=V$3)*(Month=V$4)*(Code_General_Data=$B103))</f>
        <v>1330</v>
      </c>
      <c r="W103" s="202" cm="1">
        <f t="array" ref="W103">SUMPRODUCT(General_Data*(Year=W$3)*(Month=W$4)*(Code_General_Data=$B103))</f>
        <v>1340</v>
      </c>
      <c r="X103" s="202" cm="1">
        <f t="array" ref="X103">SUMPRODUCT(General_Data*(Year=X$3)*(Month=X$4)*(Code_General_Data=$B103))</f>
        <v>1355</v>
      </c>
      <c r="Y103" s="202" cm="1">
        <f t="array" ref="Y103">SUMPRODUCT(General_Data*(Year=Y$3)*(Month=Y$4)*(Code_General_Data=$B103))</f>
        <v>1355</v>
      </c>
      <c r="Z103" s="203" cm="1">
        <f t="array" ref="Z103">SUMPRODUCT(General_Data*(Year=Z$3)*(Month=Z$4)*(Code_General_Data=$B103))</f>
        <v>1305</v>
      </c>
      <c r="AA103" s="202" cm="1">
        <f t="array" ref="AA103">SUMPRODUCT(General_Data*(Year=AA$3)*(Month=AA$4)*(Code_General_Data=$B103))</f>
        <v>1260</v>
      </c>
      <c r="AB103" s="202" cm="1">
        <f t="array" ref="AB103">SUMPRODUCT(General_Data*(Year=AB$3)*(Month=AB$4)*(Code_General_Data=$B103))</f>
        <v>1260</v>
      </c>
      <c r="AC103" s="202" cm="1">
        <f t="array" ref="AC103">SUMPRODUCT(General_Data*(Year=AC$3)*(Month=AC$4)*(Code_General_Data=$B103))</f>
        <v>1260</v>
      </c>
      <c r="AD103" s="202"/>
      <c r="AE103" s="202"/>
      <c r="AF103" s="202"/>
      <c r="AG103" s="202"/>
      <c r="AH103" s="202"/>
      <c r="AI103" s="202"/>
      <c r="AJ103" s="202"/>
      <c r="AK103" s="202"/>
      <c r="AL103" s="203"/>
    </row>
    <row r="104" spans="1:38" s="93" customFormat="1" x14ac:dyDescent="0.35">
      <c r="D104" s="92"/>
      <c r="F104" s="168"/>
      <c r="G104"/>
      <c r="H104"/>
      <c r="I104"/>
      <c r="J104"/>
      <c r="K104"/>
      <c r="L104"/>
      <c r="M104"/>
      <c r="N104"/>
      <c r="O104" s="47"/>
      <c r="P104"/>
      <c r="Q104"/>
      <c r="R104"/>
      <c r="S104"/>
      <c r="T104"/>
      <c r="U104"/>
      <c r="V104"/>
      <c r="W104"/>
      <c r="X104"/>
      <c r="Y104"/>
      <c r="Z104" s="48"/>
      <c r="AA104"/>
      <c r="AB104"/>
      <c r="AC104"/>
      <c r="AD104"/>
      <c r="AE104"/>
      <c r="AF104"/>
      <c r="AG104"/>
      <c r="AH104"/>
      <c r="AI104"/>
      <c r="AJ104"/>
      <c r="AK104"/>
      <c r="AL104" s="48"/>
    </row>
    <row r="105" spans="1:38" s="178" customFormat="1" ht="19.5" x14ac:dyDescent="0.35">
      <c r="A105" s="176" t="s">
        <v>62</v>
      </c>
      <c r="B105" s="176"/>
      <c r="C105" s="176"/>
      <c r="D105" s="176"/>
      <c r="E105" s="176"/>
      <c r="F105" s="219">
        <v>4</v>
      </c>
      <c r="G105" s="177" t="s">
        <v>295</v>
      </c>
      <c r="H105" s="177"/>
      <c r="I105" s="177"/>
      <c r="J105" s="177"/>
      <c r="L105" s="180"/>
      <c r="M105" s="180"/>
      <c r="N105" s="180"/>
      <c r="O105" s="179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1"/>
      <c r="AA105" s="182"/>
      <c r="AB105" s="180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1"/>
    </row>
    <row r="106" spans="1:38" s="183" customFormat="1" ht="17" x14ac:dyDescent="0.35">
      <c r="A106" s="183" t="s">
        <v>62</v>
      </c>
      <c r="B106" s="183" t="s">
        <v>35</v>
      </c>
      <c r="D106" s="183" t="s">
        <v>322</v>
      </c>
      <c r="F106" s="273">
        <v>4.0999999999999996</v>
      </c>
      <c r="G106" s="274"/>
      <c r="H106" s="274" t="s">
        <v>297</v>
      </c>
      <c r="I106" s="274"/>
      <c r="J106" s="274"/>
      <c r="L106" s="274"/>
      <c r="M106" s="274"/>
      <c r="N106" s="288"/>
      <c r="O106" s="216">
        <v>1250</v>
      </c>
      <c r="P106" s="217">
        <v>1250</v>
      </c>
      <c r="Q106" s="217">
        <v>1250</v>
      </c>
      <c r="R106" s="217">
        <v>1250</v>
      </c>
      <c r="S106" s="217">
        <v>1250</v>
      </c>
      <c r="T106" s="217">
        <v>1250</v>
      </c>
      <c r="U106" s="217">
        <v>1330</v>
      </c>
      <c r="V106" s="217">
        <v>1330</v>
      </c>
      <c r="W106" s="217">
        <v>1330</v>
      </c>
      <c r="X106" s="217">
        <v>1330</v>
      </c>
      <c r="Y106" s="217">
        <v>1330</v>
      </c>
      <c r="Z106" s="218">
        <v>1330</v>
      </c>
      <c r="AA106" s="216">
        <v>1250</v>
      </c>
      <c r="AB106" s="217">
        <v>1250</v>
      </c>
      <c r="AC106" s="217">
        <v>1250</v>
      </c>
      <c r="AD106" s="217">
        <v>1250</v>
      </c>
      <c r="AE106" s="217">
        <v>1250</v>
      </c>
      <c r="AF106" s="217">
        <v>1250</v>
      </c>
      <c r="AG106" s="217"/>
      <c r="AH106" s="217"/>
      <c r="AI106" s="217"/>
      <c r="AJ106" s="217"/>
      <c r="AK106" s="217"/>
      <c r="AL106" s="218"/>
    </row>
    <row r="107" spans="1:38" s="94" customFormat="1" outlineLevel="1" x14ac:dyDescent="0.35">
      <c r="A107" s="94" t="s">
        <v>62</v>
      </c>
      <c r="B107" s="300" t="s">
        <v>35</v>
      </c>
      <c r="D107" s="95" t="s">
        <v>162</v>
      </c>
      <c r="F107" s="278" t="s">
        <v>306</v>
      </c>
      <c r="G107" s="279"/>
      <c r="H107" s="279"/>
      <c r="I107" s="279" t="s">
        <v>8</v>
      </c>
      <c r="J107" s="279"/>
      <c r="K107" s="2"/>
      <c r="L107" s="279"/>
      <c r="M107" s="279"/>
      <c r="N107" s="290"/>
      <c r="O107" s="228">
        <f>O106</f>
        <v>1250</v>
      </c>
      <c r="P107" s="229">
        <f t="shared" ref="P107:AF107" si="37">P106</f>
        <v>1250</v>
      </c>
      <c r="Q107" s="229">
        <f t="shared" si="37"/>
        <v>1250</v>
      </c>
      <c r="R107" s="229">
        <f t="shared" si="37"/>
        <v>1250</v>
      </c>
      <c r="S107" s="229">
        <f t="shared" si="37"/>
        <v>1250</v>
      </c>
      <c r="T107" s="229">
        <f t="shared" si="37"/>
        <v>1250</v>
      </c>
      <c r="U107" s="229">
        <f t="shared" si="37"/>
        <v>1330</v>
      </c>
      <c r="V107" s="229">
        <f t="shared" si="37"/>
        <v>1330</v>
      </c>
      <c r="W107" s="229">
        <f t="shared" si="37"/>
        <v>1330</v>
      </c>
      <c r="X107" s="229">
        <f t="shared" si="37"/>
        <v>1330</v>
      </c>
      <c r="Y107" s="229">
        <f t="shared" si="37"/>
        <v>1330</v>
      </c>
      <c r="Z107" s="230">
        <f t="shared" si="37"/>
        <v>1330</v>
      </c>
      <c r="AA107" s="229">
        <f t="shared" si="37"/>
        <v>1250</v>
      </c>
      <c r="AB107" s="229">
        <f t="shared" si="37"/>
        <v>1250</v>
      </c>
      <c r="AC107" s="229">
        <f t="shared" si="37"/>
        <v>1250</v>
      </c>
      <c r="AD107" s="229">
        <f t="shared" si="37"/>
        <v>1250</v>
      </c>
      <c r="AE107" s="229">
        <f t="shared" si="37"/>
        <v>1250</v>
      </c>
      <c r="AF107" s="229">
        <f t="shared" si="37"/>
        <v>1250</v>
      </c>
      <c r="AG107" s="229"/>
      <c r="AH107" s="229"/>
      <c r="AI107" s="229"/>
      <c r="AJ107" s="229"/>
      <c r="AK107" s="229"/>
      <c r="AL107" s="230"/>
    </row>
    <row r="108" spans="1:38" s="96" customFormat="1" ht="63" customHeight="1" outlineLevel="1" x14ac:dyDescent="0.35">
      <c r="A108" s="96" t="s">
        <v>62</v>
      </c>
      <c r="B108" s="301" t="s">
        <v>35</v>
      </c>
      <c r="D108" s="97"/>
      <c r="F108" s="282" t="s">
        <v>307</v>
      </c>
      <c r="G108" s="283"/>
      <c r="H108" s="283"/>
      <c r="I108" s="283"/>
      <c r="J108" s="283" t="s">
        <v>45</v>
      </c>
      <c r="K108" s="12"/>
      <c r="L108" s="283"/>
      <c r="M108" s="283"/>
      <c r="N108" s="293"/>
      <c r="O108" s="88" t="str" cm="1">
        <f t="array" ref="O108">INDEX(Note!$G$3:$G$101,MATCH(1,(Note!$A$3:$A$101=$A108)*(Note!$C$3:$C$101=$B108)*(Note!$E$3:$E$101&lt;=O$1)*(Note!$F$3:$F$101&gt;=O$2),0))</f>
        <v>Giá cố định</v>
      </c>
      <c r="P108" s="27" t="str" cm="1">
        <f t="array" ref="P108">INDEX(Note!$G$3:$G$101,MATCH(1,(Note!$A$3:$A$101=$A108)*(Note!$C$3:$C$101=$B108)*(Note!$E$3:$E$101&lt;=P$1)*(Note!$F$3:$F$101&gt;=P$2),0))</f>
        <v>Giá cố định</v>
      </c>
      <c r="Q108" s="27" t="str" cm="1">
        <f t="array" ref="Q108">INDEX(Note!$G$3:$G$101,MATCH(1,(Note!$A$3:$A$101=$A108)*(Note!$C$3:$C$101=$B108)*(Note!$E$3:$E$101&lt;=Q$1)*(Note!$F$3:$F$101&gt;=Q$2),0))</f>
        <v>Giá cố định</v>
      </c>
      <c r="R108" s="27" t="str" cm="1">
        <f t="array" ref="R108">INDEX(Note!$G$3:$G$101,MATCH(1,(Note!$A$3:$A$101=$A108)*(Note!$C$3:$C$101=$B108)*(Note!$E$3:$E$101&lt;=R$1)*(Note!$F$3:$F$101&gt;=R$2),0))</f>
        <v>Giá cố định</v>
      </c>
      <c r="S108" s="27" t="str" cm="1">
        <f t="array" ref="S108">INDEX(Note!$G$3:$G$101,MATCH(1,(Note!$A$3:$A$101=$A108)*(Note!$C$3:$C$101=$B108)*(Note!$E$3:$E$101&lt;=S$1)*(Note!$F$3:$F$101&gt;=S$2),0))</f>
        <v>Giá cố định</v>
      </c>
      <c r="T108" s="27" t="str" cm="1">
        <f t="array" ref="T108">INDEX(Note!$G$3:$G$101,MATCH(1,(Note!$A$3:$A$101=$A108)*(Note!$C$3:$C$101=$B108)*(Note!$E$3:$E$101&lt;=T$1)*(Note!$F$3:$F$101&gt;=T$2),0))</f>
        <v>Giá cố định</v>
      </c>
      <c r="U108" s="27" t="str" cm="1">
        <f t="array" ref="U108">INDEX(Note!$G$3:$G$101,MATCH(1,(Note!$A$3:$A$101=$A108)*(Note!$C$3:$C$101=$B108)*(Note!$E$3:$E$101&lt;=U$1)*(Note!$F$3:$F$101&gt;=U$2),0))</f>
        <v>Giá cố định</v>
      </c>
      <c r="V108" s="27" t="str" cm="1">
        <f t="array" ref="V108">INDEX(Note!$G$3:$G$101,MATCH(1,(Note!$A$3:$A$101=$A108)*(Note!$C$3:$C$101=$B108)*(Note!$E$3:$E$101&lt;=V$1)*(Note!$F$3:$F$101&gt;=V$2),0))</f>
        <v>Giá cố định</v>
      </c>
      <c r="W108" s="27" t="str" cm="1">
        <f t="array" ref="W108">INDEX(Note!$G$3:$G$101,MATCH(1,(Note!$A$3:$A$101=$A108)*(Note!$C$3:$C$101=$B108)*(Note!$E$3:$E$101&lt;=W$1)*(Note!$F$3:$F$101&gt;=W$2),0))</f>
        <v>Giá cố định</v>
      </c>
      <c r="X108" s="27" t="str" cm="1">
        <f t="array" ref="X108">INDEX(Note!$G$3:$G$101,MATCH(1,(Note!$A$3:$A$101=$A108)*(Note!$C$3:$C$101=$B108)*(Note!$E$3:$E$101&lt;=X$1)*(Note!$F$3:$F$101&gt;=X$2),0))</f>
        <v>Giá cố định</v>
      </c>
      <c r="Y108" s="27" t="str" cm="1">
        <f t="array" ref="Y108">INDEX(Note!$G$3:$G$101,MATCH(1,(Note!$A$3:$A$101=$A108)*(Note!$C$3:$C$101=$B108)*(Note!$E$3:$E$101&lt;=Y$1)*(Note!$F$3:$F$101&gt;=Y$2),0))</f>
        <v>Giá cố định</v>
      </c>
      <c r="Z108" s="89" t="str" cm="1">
        <f t="array" ref="Z108">INDEX(Note!$G$3:$G$101,MATCH(1,(Note!$A$3:$A$101=$A108)*(Note!$C$3:$C$101=$B108)*(Note!$E$3:$E$101&lt;=Z$1)*(Note!$F$3:$F$101&gt;=Z$2),0))</f>
        <v>Giá cố định</v>
      </c>
      <c r="AA108" s="27" t="str" cm="1">
        <f t="array" ref="AA108">INDEX(Note!$G$3:$G$101,MATCH(1,(Note!$A$3:$A$101=$A108)*(Note!$C$3:$C$101=$B108)*(Note!$E$3:$E$101&lt;=AA$1)*(Note!$F$3:$F$101&gt;=AA$2),0))</f>
        <v>Giá cố định (đã thanh toán 100% trong năm 2024)</v>
      </c>
      <c r="AB108" s="27" t="str" cm="1">
        <f t="array" ref="AB108">INDEX(Note!$G$3:$G$101,MATCH(1,(Note!$A$3:$A$101=$A108)*(Note!$C$3:$C$101=$B108)*(Note!$E$3:$E$101&lt;=AB$1)*(Note!$F$3:$F$101&gt;=AB$2),0))</f>
        <v>Giá cố định (đã thanh toán 100% trong năm 2024)</v>
      </c>
      <c r="AC108" s="27" t="str" cm="1">
        <f t="array" ref="AC108">INDEX(Note!$G$3:$G$101,MATCH(1,(Note!$A$3:$A$101=$A108)*(Note!$C$3:$C$101=$B108)*(Note!$E$3:$E$101&lt;=AC$1)*(Note!$F$3:$F$101&gt;=AC$2),0))</f>
        <v>Giá cố định (đã thanh toán 100% trong năm 2024)</v>
      </c>
      <c r="AD108" s="27" t="str" cm="1">
        <f t="array" ref="AD108">INDEX(Note!$G$3:$G$101,MATCH(1,(Note!$A$3:$A$101=$A108)*(Note!$C$3:$C$101=$B108)*(Note!$E$3:$E$101&lt;=AD$1)*(Note!$F$3:$F$101&gt;=AD$2),0))</f>
        <v>Giá cố định (đã thanh toán 100% trong năm 2024)</v>
      </c>
      <c r="AE108" s="27" t="str" cm="1">
        <f t="array" ref="AE108">INDEX(Note!$G$3:$G$101,MATCH(1,(Note!$A$3:$A$101=$A108)*(Note!$C$3:$C$101=$B108)*(Note!$E$3:$E$101&lt;=AE$1)*(Note!$F$3:$F$101&gt;=AE$2),0))</f>
        <v>Giá cố định (đã thanh toán 100% trong năm 2024)</v>
      </c>
      <c r="AF108" s="27" t="str" cm="1">
        <f t="array" ref="AF108">INDEX(Note!$G$3:$G$101,MATCH(1,(Note!$A$3:$A$101=$A108)*(Note!$C$3:$C$101=$B108)*(Note!$E$3:$E$101&lt;=AF$1)*(Note!$F$3:$F$101&gt;=AF$2),0))</f>
        <v>Giá cố định (đã thanh toán 100% trong năm 2024)</v>
      </c>
      <c r="AG108" s="27"/>
      <c r="AH108" s="27"/>
      <c r="AI108" s="27"/>
      <c r="AJ108" s="27"/>
      <c r="AK108" s="27"/>
      <c r="AL108" s="89"/>
    </row>
    <row r="109" spans="1:38" s="96" customFormat="1" outlineLevel="1" x14ac:dyDescent="0.35">
      <c r="A109" s="96" t="s">
        <v>62</v>
      </c>
      <c r="B109" s="301" t="s">
        <v>35</v>
      </c>
      <c r="D109" s="97"/>
      <c r="F109" s="282" t="s">
        <v>308</v>
      </c>
      <c r="G109" s="283"/>
      <c r="H109" s="283"/>
      <c r="I109" s="283"/>
      <c r="J109" s="283" t="s">
        <v>43</v>
      </c>
      <c r="K109" s="12"/>
      <c r="L109" s="283"/>
      <c r="M109" s="283"/>
      <c r="N109" s="293"/>
      <c r="O109" s="88" t="str" cm="1">
        <f t="array" ref="O109">INDEX(Note!$H$3:$H$101,MATCH(1,(Note!$A$3:$A$101=$A109)*(Note!$C$3:$C$101=$B109)*(Note!$E$3:$E$101&lt;=O$1)*(Note!$F$3:$F$101&gt;=O$2),0))</f>
        <v>EXW</v>
      </c>
      <c r="P109" s="27" t="str" cm="1">
        <f t="array" ref="P109">INDEX(Note!$H$3:$H$101,MATCH(1,(Note!$A$3:$A$101=$A109)*(Note!$C$3:$C$101=$B109)*(Note!$E$3:$E$101&lt;=P$1)*(Note!$F$3:$F$101&gt;=P$2),0))</f>
        <v>EXW</v>
      </c>
      <c r="Q109" s="27" t="str" cm="1">
        <f t="array" ref="Q109">INDEX(Note!$H$3:$H$101,MATCH(1,(Note!$A$3:$A$101=$A109)*(Note!$C$3:$C$101=$B109)*(Note!$E$3:$E$101&lt;=Q$1)*(Note!$F$3:$F$101&gt;=Q$2),0))</f>
        <v>EXW</v>
      </c>
      <c r="R109" s="27" t="str" cm="1">
        <f t="array" ref="R109">INDEX(Note!$H$3:$H$101,MATCH(1,(Note!$A$3:$A$101=$A109)*(Note!$C$3:$C$101=$B109)*(Note!$E$3:$E$101&lt;=R$1)*(Note!$F$3:$F$101&gt;=R$2),0))</f>
        <v>EXW</v>
      </c>
      <c r="S109" s="27" t="str" cm="1">
        <f t="array" ref="S109">INDEX(Note!$H$3:$H$101,MATCH(1,(Note!$A$3:$A$101=$A109)*(Note!$C$3:$C$101=$B109)*(Note!$E$3:$E$101&lt;=S$1)*(Note!$F$3:$F$101&gt;=S$2),0))</f>
        <v>EXW</v>
      </c>
      <c r="T109" s="27" t="str" cm="1">
        <f t="array" ref="T109">INDEX(Note!$H$3:$H$101,MATCH(1,(Note!$A$3:$A$101=$A109)*(Note!$C$3:$C$101=$B109)*(Note!$E$3:$E$101&lt;=T$1)*(Note!$F$3:$F$101&gt;=T$2),0))</f>
        <v>EXW</v>
      </c>
      <c r="U109" s="27" t="str" cm="1">
        <f t="array" ref="U109">INDEX(Note!$H$3:$H$101,MATCH(1,(Note!$A$3:$A$101=$A109)*(Note!$C$3:$C$101=$B109)*(Note!$E$3:$E$101&lt;=U$1)*(Note!$F$3:$F$101&gt;=U$2),0))</f>
        <v>EXW</v>
      </c>
      <c r="V109" s="27" t="str" cm="1">
        <f t="array" ref="V109">INDEX(Note!$H$3:$H$101,MATCH(1,(Note!$A$3:$A$101=$A109)*(Note!$C$3:$C$101=$B109)*(Note!$E$3:$E$101&lt;=V$1)*(Note!$F$3:$F$101&gt;=V$2),0))</f>
        <v>EXW</v>
      </c>
      <c r="W109" s="27" t="str" cm="1">
        <f t="array" ref="W109">INDEX(Note!$H$3:$H$101,MATCH(1,(Note!$A$3:$A$101=$A109)*(Note!$C$3:$C$101=$B109)*(Note!$E$3:$E$101&lt;=W$1)*(Note!$F$3:$F$101&gt;=W$2),0))</f>
        <v>EXW</v>
      </c>
      <c r="X109" s="27" t="str" cm="1">
        <f t="array" ref="X109">INDEX(Note!$H$3:$H$101,MATCH(1,(Note!$A$3:$A$101=$A109)*(Note!$C$3:$C$101=$B109)*(Note!$E$3:$E$101&lt;=X$1)*(Note!$F$3:$F$101&gt;=X$2),0))</f>
        <v>EXW</v>
      </c>
      <c r="Y109" s="27" t="str" cm="1">
        <f t="array" ref="Y109">INDEX(Note!$H$3:$H$101,MATCH(1,(Note!$A$3:$A$101=$A109)*(Note!$C$3:$C$101=$B109)*(Note!$E$3:$E$101&lt;=Y$1)*(Note!$F$3:$F$101&gt;=Y$2),0))</f>
        <v>EXW</v>
      </c>
      <c r="Z109" s="89" t="str" cm="1">
        <f t="array" ref="Z109">INDEX(Note!$H$3:$H$101,MATCH(1,(Note!$A$3:$A$101=$A109)*(Note!$C$3:$C$101=$B109)*(Note!$E$3:$E$101&lt;=Z$1)*(Note!$F$3:$F$101&gt;=Z$2),0))</f>
        <v>EXW</v>
      </c>
      <c r="AA109" s="27" t="str" cm="1">
        <f t="array" ref="AA109">INDEX(Note!$H$3:$H$101,MATCH(1,(Note!$A$3:$A$101=$A109)*(Note!$C$3:$C$101=$B109)*(Note!$E$3:$E$101&lt;=AA$1)*(Note!$F$3:$F$101&gt;=AA$2),0))</f>
        <v>EXW</v>
      </c>
      <c r="AB109" s="27" t="str" cm="1">
        <f t="array" ref="AB109">INDEX(Note!$H$3:$H$101,MATCH(1,(Note!$A$3:$A$101=$A109)*(Note!$C$3:$C$101=$B109)*(Note!$E$3:$E$101&lt;=AB$1)*(Note!$F$3:$F$101&gt;=AB$2),0))</f>
        <v>EXW</v>
      </c>
      <c r="AC109" s="27" t="str" cm="1">
        <f t="array" ref="AC109">INDEX(Note!$H$3:$H$101,MATCH(1,(Note!$A$3:$A$101=$A109)*(Note!$C$3:$C$101=$B109)*(Note!$E$3:$E$101&lt;=AC$1)*(Note!$F$3:$F$101&gt;=AC$2),0))</f>
        <v>EXW</v>
      </c>
      <c r="AD109" s="27" t="str" cm="1">
        <f t="array" ref="AD109">INDEX(Note!$H$3:$H$101,MATCH(1,(Note!$A$3:$A$101=$A109)*(Note!$C$3:$C$101=$B109)*(Note!$E$3:$E$101&lt;=AD$1)*(Note!$F$3:$F$101&gt;=AD$2),0))</f>
        <v>EXW</v>
      </c>
      <c r="AE109" s="27" t="str" cm="1">
        <f t="array" ref="AE109">INDEX(Note!$H$3:$H$101,MATCH(1,(Note!$A$3:$A$101=$A109)*(Note!$C$3:$C$101=$B109)*(Note!$E$3:$E$101&lt;=AE$1)*(Note!$F$3:$F$101&gt;=AE$2),0))</f>
        <v>EXW</v>
      </c>
      <c r="AF109" s="27" t="str" cm="1">
        <f t="array" ref="AF109">INDEX(Note!$H$3:$H$101,MATCH(1,(Note!$A$3:$A$101=$A109)*(Note!$C$3:$C$101=$B109)*(Note!$E$3:$E$101&lt;=AF$1)*(Note!$F$3:$F$101&gt;=AF$2),0))</f>
        <v>EXW</v>
      </c>
      <c r="AG109" s="27"/>
      <c r="AH109" s="27"/>
      <c r="AI109" s="27"/>
      <c r="AJ109" s="27"/>
      <c r="AK109" s="27"/>
      <c r="AL109" s="89"/>
    </row>
    <row r="110" spans="1:38" s="97" customFormat="1" outlineLevel="1" x14ac:dyDescent="0.35">
      <c r="A110" s="97" t="s">
        <v>62</v>
      </c>
      <c r="B110" s="302" t="s">
        <v>35</v>
      </c>
      <c r="F110" s="284" t="s">
        <v>309</v>
      </c>
      <c r="G110" s="285"/>
      <c r="H110" s="285"/>
      <c r="I110" s="285"/>
      <c r="J110" s="285" t="s">
        <v>46</v>
      </c>
      <c r="K110" s="109"/>
      <c r="L110" s="285"/>
      <c r="M110" s="285"/>
      <c r="N110" s="294"/>
      <c r="O110" s="236" t="str" cm="1">
        <f t="array" ref="O110">INDEX(Note!$I$3:$I$101,MATCH(1,(Note!$A$3:$A$101=$A110)*(Note!$C$3:$C$101=$B110)*(Note!$E$3:$E$101&lt;=O$1)*(Note!$F$3:$F$101&gt;=O$2),0))</f>
        <v>Lần</v>
      </c>
      <c r="P110" s="196" t="str" cm="1">
        <f t="array" ref="P110">INDEX(Note!$I$3:$I$101,MATCH(1,(Note!$A$3:$A$101=$A110)*(Note!$C$3:$C$101=$B110)*(Note!$E$3:$E$101&lt;=P$1)*(Note!$F$3:$F$101&gt;=P$2),0))</f>
        <v>Lần</v>
      </c>
      <c r="Q110" s="196" t="str" cm="1">
        <f t="array" ref="Q110">INDEX(Note!$I$3:$I$101,MATCH(1,(Note!$A$3:$A$101=$A110)*(Note!$C$3:$C$101=$B110)*(Note!$E$3:$E$101&lt;=Q$1)*(Note!$F$3:$F$101&gt;=Q$2),0))</f>
        <v>Lần</v>
      </c>
      <c r="R110" s="196" t="str" cm="1">
        <f t="array" ref="R110">INDEX(Note!$I$3:$I$101,MATCH(1,(Note!$A$3:$A$101=$A110)*(Note!$C$3:$C$101=$B110)*(Note!$E$3:$E$101&lt;=R$1)*(Note!$F$3:$F$101&gt;=R$2),0))</f>
        <v>Lần</v>
      </c>
      <c r="S110" s="196" t="str" cm="1">
        <f t="array" ref="S110">INDEX(Note!$I$3:$I$101,MATCH(1,(Note!$A$3:$A$101=$A110)*(Note!$C$3:$C$101=$B110)*(Note!$E$3:$E$101&lt;=S$1)*(Note!$F$3:$F$101&gt;=S$2),0))</f>
        <v>Lần</v>
      </c>
      <c r="T110" s="196" t="str" cm="1">
        <f t="array" ref="T110">INDEX(Note!$I$3:$I$101,MATCH(1,(Note!$A$3:$A$101=$A110)*(Note!$C$3:$C$101=$B110)*(Note!$E$3:$E$101&lt;=T$1)*(Note!$F$3:$F$101&gt;=T$2),0))</f>
        <v>Lần</v>
      </c>
      <c r="U110" s="196" t="str" cm="1">
        <f t="array" ref="U110">INDEX(Note!$I$3:$I$101,MATCH(1,(Note!$A$3:$A$101=$A110)*(Note!$C$3:$C$101=$B110)*(Note!$E$3:$E$101&lt;=U$1)*(Note!$F$3:$F$101&gt;=U$2),0))</f>
        <v>Lần</v>
      </c>
      <c r="V110" s="196" t="str" cm="1">
        <f t="array" ref="V110">INDEX(Note!$I$3:$I$101,MATCH(1,(Note!$A$3:$A$101=$A110)*(Note!$C$3:$C$101=$B110)*(Note!$E$3:$E$101&lt;=V$1)*(Note!$F$3:$F$101&gt;=V$2),0))</f>
        <v>Lần</v>
      </c>
      <c r="W110" s="196" t="str" cm="1">
        <f t="array" ref="W110">INDEX(Note!$I$3:$I$101,MATCH(1,(Note!$A$3:$A$101=$A110)*(Note!$C$3:$C$101=$B110)*(Note!$E$3:$E$101&lt;=W$1)*(Note!$F$3:$F$101&gt;=W$2),0))</f>
        <v>Lần</v>
      </c>
      <c r="X110" s="196" t="str" cm="1">
        <f t="array" ref="X110">INDEX(Note!$I$3:$I$101,MATCH(1,(Note!$A$3:$A$101=$A110)*(Note!$C$3:$C$101=$B110)*(Note!$E$3:$E$101&lt;=X$1)*(Note!$F$3:$F$101&gt;=X$2),0))</f>
        <v>Lần</v>
      </c>
      <c r="Y110" s="196" t="str" cm="1">
        <f t="array" ref="Y110">INDEX(Note!$I$3:$I$101,MATCH(1,(Note!$A$3:$A$101=$A110)*(Note!$C$3:$C$101=$B110)*(Note!$E$3:$E$101&lt;=Y$1)*(Note!$F$3:$F$101&gt;=Y$2),0))</f>
        <v>Lần</v>
      </c>
      <c r="Z110" s="197" t="str" cm="1">
        <f t="array" ref="Z110">INDEX(Note!$I$3:$I$101,MATCH(1,(Note!$A$3:$A$101=$A110)*(Note!$C$3:$C$101=$B110)*(Note!$E$3:$E$101&lt;=Z$1)*(Note!$F$3:$F$101&gt;=Z$2),0))</f>
        <v>Lần</v>
      </c>
      <c r="AA110" s="196" t="str" cm="1">
        <f t="array" ref="AA110">INDEX(Note!$I$3:$I$101,MATCH(1,(Note!$A$3:$A$101=$A110)*(Note!$C$3:$C$101=$B110)*(Note!$E$3:$E$101&lt;=AA$1)*(Note!$F$3:$F$101&gt;=AA$2),0))</f>
        <v>H1.25</v>
      </c>
      <c r="AB110" s="196" t="str" cm="1">
        <f t="array" ref="AB110">INDEX(Note!$I$3:$I$101,MATCH(1,(Note!$A$3:$A$101=$A110)*(Note!$C$3:$C$101=$B110)*(Note!$E$3:$E$101&lt;=AB$1)*(Note!$F$3:$F$101&gt;=AB$2),0))</f>
        <v>H1.25</v>
      </c>
      <c r="AC110" s="196" t="str" cm="1">
        <f t="array" ref="AC110">INDEX(Note!$I$3:$I$101,MATCH(1,(Note!$A$3:$A$101=$A110)*(Note!$C$3:$C$101=$B110)*(Note!$E$3:$E$101&lt;=AC$1)*(Note!$F$3:$F$101&gt;=AC$2),0))</f>
        <v>H1.25</v>
      </c>
      <c r="AD110" s="196" t="str" cm="1">
        <f t="array" ref="AD110">INDEX(Note!$I$3:$I$101,MATCH(1,(Note!$A$3:$A$101=$A110)*(Note!$C$3:$C$101=$B110)*(Note!$E$3:$E$101&lt;=AD$1)*(Note!$F$3:$F$101&gt;=AD$2),0))</f>
        <v>H1.25</v>
      </c>
      <c r="AE110" s="196" t="str" cm="1">
        <f t="array" ref="AE110">INDEX(Note!$I$3:$I$101,MATCH(1,(Note!$A$3:$A$101=$A110)*(Note!$C$3:$C$101=$B110)*(Note!$E$3:$E$101&lt;=AE$1)*(Note!$F$3:$F$101&gt;=AE$2),0))</f>
        <v>H1.25</v>
      </c>
      <c r="AF110" s="196" t="str" cm="1">
        <f t="array" ref="AF110">INDEX(Note!$I$3:$I$101,MATCH(1,(Note!$A$3:$A$101=$A110)*(Note!$C$3:$C$101=$B110)*(Note!$E$3:$E$101&lt;=AF$1)*(Note!$F$3:$F$101&gt;=AF$2),0))</f>
        <v>H1.25</v>
      </c>
      <c r="AG110" s="196"/>
      <c r="AH110" s="196"/>
      <c r="AI110" s="196"/>
      <c r="AJ110" s="196"/>
      <c r="AK110" s="196"/>
      <c r="AL110" s="197"/>
    </row>
    <row r="111" spans="1:38" s="188" customFormat="1" outlineLevel="1" x14ac:dyDescent="0.35">
      <c r="A111" s="188" t="s">
        <v>62</v>
      </c>
      <c r="B111" s="303" t="s">
        <v>35</v>
      </c>
      <c r="F111" s="286" t="s">
        <v>310</v>
      </c>
      <c r="G111" s="287"/>
      <c r="H111" s="287"/>
      <c r="I111" s="287"/>
      <c r="J111" s="287" t="s">
        <v>203</v>
      </c>
      <c r="K111" s="189"/>
      <c r="L111" s="295"/>
      <c r="M111" s="295"/>
      <c r="N111" s="296"/>
      <c r="O111" s="201" cm="1">
        <f t="array" ref="O111">SUMPRODUCT(General_Data*(Year=O$3)*(Month=O$4)*(Code_General_Data=$B111))</f>
        <v>1250</v>
      </c>
      <c r="P111" s="202" cm="1">
        <f t="array" ref="P111">SUMPRODUCT(General_Data*(Year=P$3)*(Month=P$4)*(Code_General_Data=$B111))</f>
        <v>1250</v>
      </c>
      <c r="Q111" s="202" cm="1">
        <f t="array" ref="Q111">SUMPRODUCT(General_Data*(Year=Q$3)*(Month=Q$4)*(Code_General_Data=$B111))</f>
        <v>1250</v>
      </c>
      <c r="R111" s="202" cm="1">
        <f t="array" ref="R111">SUMPRODUCT(General_Data*(Year=R$3)*(Month=R$4)*(Code_General_Data=$B111))</f>
        <v>1250</v>
      </c>
      <c r="S111" s="202" cm="1">
        <f t="array" ref="S111">SUMPRODUCT(General_Data*(Year=S$3)*(Month=S$4)*(Code_General_Data=$B111))</f>
        <v>1300</v>
      </c>
      <c r="T111" s="202" cm="1">
        <f t="array" ref="T111">SUMPRODUCT(General_Data*(Year=T$3)*(Month=T$4)*(Code_General_Data=$B111))</f>
        <v>1300</v>
      </c>
      <c r="U111" s="202" cm="1">
        <f t="array" ref="U111">SUMPRODUCT(General_Data*(Year=U$3)*(Month=U$4)*(Code_General_Data=$B111))</f>
        <v>1300</v>
      </c>
      <c r="V111" s="202" cm="1">
        <f t="array" ref="V111">SUMPRODUCT(General_Data*(Year=V$3)*(Month=V$4)*(Code_General_Data=$B111))</f>
        <v>1300</v>
      </c>
      <c r="W111" s="202" cm="1">
        <f t="array" ref="W111">SUMPRODUCT(General_Data*(Year=W$3)*(Month=W$4)*(Code_General_Data=$B111))</f>
        <v>1310</v>
      </c>
      <c r="X111" s="202" cm="1">
        <f t="array" ref="X111">SUMPRODUCT(General_Data*(Year=X$3)*(Month=X$4)*(Code_General_Data=$B111))</f>
        <v>1325</v>
      </c>
      <c r="Y111" s="202" cm="1">
        <f t="array" ref="Y111">SUMPRODUCT(General_Data*(Year=Y$3)*(Month=Y$4)*(Code_General_Data=$B111))</f>
        <v>1325</v>
      </c>
      <c r="Z111" s="203" cm="1">
        <f t="array" ref="Z111">SUMPRODUCT(General_Data*(Year=Z$3)*(Month=Z$4)*(Code_General_Data=$B111))</f>
        <v>1275</v>
      </c>
      <c r="AA111" s="202" cm="1">
        <f t="array" ref="AA111">SUMPRODUCT(General_Data*(Year=AA$3)*(Month=AA$4)*(Code_General_Data=$B111))</f>
        <v>1230</v>
      </c>
      <c r="AB111" s="202" cm="1">
        <f t="array" ref="AB111">SUMPRODUCT(General_Data*(Year=AB$3)*(Month=AB$4)*(Code_General_Data=$B111))</f>
        <v>1230</v>
      </c>
      <c r="AC111" s="202" cm="1">
        <f t="array" ref="AC111">SUMPRODUCT(General_Data*(Year=AC$3)*(Month=AC$4)*(Code_General_Data=$B111))</f>
        <v>1230</v>
      </c>
      <c r="AD111" s="202"/>
      <c r="AE111" s="202"/>
      <c r="AF111" s="202"/>
      <c r="AG111" s="202"/>
      <c r="AH111" s="202"/>
      <c r="AI111" s="202"/>
      <c r="AJ111" s="202"/>
      <c r="AK111" s="202"/>
      <c r="AL111" s="203"/>
    </row>
    <row r="112" spans="1:38" s="93" customFormat="1" x14ac:dyDescent="0.35">
      <c r="D112" s="92"/>
      <c r="F112" s="168"/>
      <c r="G112"/>
      <c r="H112"/>
      <c r="I112"/>
      <c r="J112"/>
      <c r="K112"/>
      <c r="L112"/>
      <c r="M112"/>
      <c r="N112"/>
      <c r="O112" s="47"/>
      <c r="P112"/>
      <c r="Q112"/>
      <c r="R112"/>
      <c r="S112"/>
      <c r="T112"/>
      <c r="U112"/>
      <c r="V112"/>
      <c r="W112"/>
      <c r="X112"/>
      <c r="Y112"/>
      <c r="Z112" s="48"/>
      <c r="AA112"/>
      <c r="AB112"/>
      <c r="AC112"/>
      <c r="AD112"/>
      <c r="AE112"/>
      <c r="AF112"/>
      <c r="AG112"/>
      <c r="AH112"/>
      <c r="AI112"/>
      <c r="AJ112"/>
      <c r="AK112"/>
      <c r="AL112" s="48"/>
    </row>
    <row r="113" spans="1:38" s="178" customFormat="1" ht="19.5" x14ac:dyDescent="0.35">
      <c r="A113" s="176" t="s">
        <v>49</v>
      </c>
      <c r="B113" s="176"/>
      <c r="C113" s="176"/>
      <c r="D113" s="176"/>
      <c r="E113" s="176"/>
      <c r="F113" s="219">
        <v>5</v>
      </c>
      <c r="G113" s="177" t="s">
        <v>298</v>
      </c>
      <c r="H113" s="177"/>
      <c r="I113" s="177"/>
      <c r="J113" s="177"/>
      <c r="L113" s="180"/>
      <c r="M113" s="180"/>
      <c r="N113" s="180"/>
      <c r="O113" s="179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1"/>
      <c r="AA113" s="182"/>
      <c r="AB113" s="180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1"/>
    </row>
    <row r="114" spans="1:38" s="183" customFormat="1" ht="17" x14ac:dyDescent="0.35">
      <c r="A114" s="183" t="s">
        <v>49</v>
      </c>
      <c r="B114" s="183" t="s">
        <v>29</v>
      </c>
      <c r="D114" s="183" t="s">
        <v>322</v>
      </c>
      <c r="F114" s="273">
        <v>5.0999999999999996</v>
      </c>
      <c r="G114" s="274"/>
      <c r="H114" s="274" t="s">
        <v>261</v>
      </c>
      <c r="I114" s="274"/>
      <c r="J114" s="274"/>
      <c r="L114" s="274"/>
      <c r="M114" s="274"/>
      <c r="N114" s="288"/>
      <c r="O114" s="216">
        <v>1325</v>
      </c>
      <c r="P114" s="217">
        <v>1325</v>
      </c>
      <c r="Q114" s="217">
        <v>1325</v>
      </c>
      <c r="R114" s="217">
        <v>1325</v>
      </c>
      <c r="S114" s="217">
        <v>1325</v>
      </c>
      <c r="T114" s="217">
        <v>1325</v>
      </c>
      <c r="U114" s="217">
        <v>1325</v>
      </c>
      <c r="V114" s="217">
        <v>1325</v>
      </c>
      <c r="W114" s="217">
        <v>1325</v>
      </c>
      <c r="X114" s="217">
        <v>1325</v>
      </c>
      <c r="Y114" s="217">
        <v>1325</v>
      </c>
      <c r="Z114" s="218">
        <v>1325</v>
      </c>
      <c r="AA114" s="216">
        <v>1400</v>
      </c>
      <c r="AB114" s="217">
        <v>1400</v>
      </c>
      <c r="AC114" s="217">
        <v>1400</v>
      </c>
      <c r="AD114" s="217">
        <v>1400</v>
      </c>
      <c r="AE114" s="217">
        <v>1400</v>
      </c>
      <c r="AF114" s="217">
        <v>1400</v>
      </c>
      <c r="AG114" s="217">
        <v>1400</v>
      </c>
      <c r="AH114" s="217">
        <v>1400</v>
      </c>
      <c r="AI114" s="217">
        <v>1400</v>
      </c>
      <c r="AJ114" s="217">
        <v>1400</v>
      </c>
      <c r="AK114" s="217">
        <v>1400</v>
      </c>
      <c r="AL114" s="218">
        <v>1400</v>
      </c>
    </row>
    <row r="115" spans="1:38" s="94" customFormat="1" outlineLevel="1" x14ac:dyDescent="0.35">
      <c r="A115" s="94" t="s">
        <v>49</v>
      </c>
      <c r="B115" s="300" t="s">
        <v>29</v>
      </c>
      <c r="D115" s="95" t="s">
        <v>162</v>
      </c>
      <c r="F115" s="278" t="s">
        <v>299</v>
      </c>
      <c r="G115" s="279"/>
      <c r="H115" s="279"/>
      <c r="I115" s="279" t="s">
        <v>8</v>
      </c>
      <c r="J115" s="279"/>
      <c r="K115" s="2"/>
      <c r="L115" s="279"/>
      <c r="M115" s="279"/>
      <c r="N115" s="290"/>
      <c r="O115" s="228">
        <f>O114-O116-O117</f>
        <v>1315</v>
      </c>
      <c r="P115" s="229">
        <f t="shared" ref="P115:AL115" si="38">P114-P116-P117</f>
        <v>1315</v>
      </c>
      <c r="Q115" s="229">
        <f t="shared" si="38"/>
        <v>1315</v>
      </c>
      <c r="R115" s="229">
        <f t="shared" si="38"/>
        <v>1315</v>
      </c>
      <c r="S115" s="229">
        <f t="shared" si="38"/>
        <v>1315</v>
      </c>
      <c r="T115" s="229">
        <f t="shared" si="38"/>
        <v>1315</v>
      </c>
      <c r="U115" s="229">
        <f t="shared" si="38"/>
        <v>1315</v>
      </c>
      <c r="V115" s="229">
        <f t="shared" si="38"/>
        <v>1315</v>
      </c>
      <c r="W115" s="229">
        <f t="shared" si="38"/>
        <v>1315</v>
      </c>
      <c r="X115" s="229">
        <f t="shared" si="38"/>
        <v>1315</v>
      </c>
      <c r="Y115" s="229">
        <f t="shared" si="38"/>
        <v>1315</v>
      </c>
      <c r="Z115" s="230">
        <f t="shared" si="38"/>
        <v>1315</v>
      </c>
      <c r="AA115" s="229">
        <f t="shared" si="38"/>
        <v>1348</v>
      </c>
      <c r="AB115" s="229">
        <f t="shared" si="38"/>
        <v>1348</v>
      </c>
      <c r="AC115" s="229">
        <f t="shared" si="38"/>
        <v>1348</v>
      </c>
      <c r="AD115" s="229">
        <f t="shared" si="38"/>
        <v>1348</v>
      </c>
      <c r="AE115" s="229">
        <f t="shared" si="38"/>
        <v>1348</v>
      </c>
      <c r="AF115" s="229">
        <f t="shared" si="38"/>
        <v>1348</v>
      </c>
      <c r="AG115" s="229">
        <f t="shared" si="38"/>
        <v>1348</v>
      </c>
      <c r="AH115" s="229">
        <f t="shared" si="38"/>
        <v>1348</v>
      </c>
      <c r="AI115" s="229">
        <f t="shared" si="38"/>
        <v>1348</v>
      </c>
      <c r="AJ115" s="229">
        <f t="shared" si="38"/>
        <v>1348</v>
      </c>
      <c r="AK115" s="229">
        <f t="shared" si="38"/>
        <v>1348</v>
      </c>
      <c r="AL115" s="230">
        <f t="shared" si="38"/>
        <v>1348</v>
      </c>
    </row>
    <row r="116" spans="1:38" s="184" customFormat="1" outlineLevel="1" x14ac:dyDescent="0.35">
      <c r="A116" s="184" t="s">
        <v>49</v>
      </c>
      <c r="B116" s="184" t="s">
        <v>29</v>
      </c>
      <c r="F116" s="222" t="s">
        <v>300</v>
      </c>
      <c r="G116" s="191"/>
      <c r="H116" s="191"/>
      <c r="I116" s="191" t="s">
        <v>50</v>
      </c>
      <c r="J116" s="191"/>
      <c r="K116" s="185"/>
      <c r="L116" s="210"/>
      <c r="M116" s="210"/>
      <c r="N116" s="210"/>
      <c r="O116" s="211">
        <v>10</v>
      </c>
      <c r="P116" s="210">
        <v>10</v>
      </c>
      <c r="Q116" s="210">
        <v>10</v>
      </c>
      <c r="R116" s="210">
        <v>10</v>
      </c>
      <c r="S116" s="210">
        <v>10</v>
      </c>
      <c r="T116" s="210">
        <v>10</v>
      </c>
      <c r="U116" s="210">
        <v>10</v>
      </c>
      <c r="V116" s="210">
        <v>10</v>
      </c>
      <c r="W116" s="210">
        <v>10</v>
      </c>
      <c r="X116" s="210">
        <v>10</v>
      </c>
      <c r="Y116" s="210">
        <v>10</v>
      </c>
      <c r="Z116" s="212">
        <v>10</v>
      </c>
      <c r="AA116" s="210">
        <v>10</v>
      </c>
      <c r="AB116" s="210">
        <v>10</v>
      </c>
      <c r="AC116" s="210">
        <v>10</v>
      </c>
      <c r="AD116" s="210">
        <v>10</v>
      </c>
      <c r="AE116" s="210">
        <v>10</v>
      </c>
      <c r="AF116" s="210">
        <v>10</v>
      </c>
      <c r="AG116" s="210">
        <v>10</v>
      </c>
      <c r="AH116" s="210">
        <v>10</v>
      </c>
      <c r="AI116" s="210">
        <v>10</v>
      </c>
      <c r="AJ116" s="210">
        <v>10</v>
      </c>
      <c r="AK116" s="210">
        <v>10</v>
      </c>
      <c r="AL116" s="212">
        <v>10</v>
      </c>
    </row>
    <row r="117" spans="1:38" s="184" customFormat="1" outlineLevel="1" x14ac:dyDescent="0.35">
      <c r="A117" s="184" t="s">
        <v>49</v>
      </c>
      <c r="B117" s="184" t="s">
        <v>29</v>
      </c>
      <c r="F117" s="222" t="s">
        <v>301</v>
      </c>
      <c r="G117" s="191"/>
      <c r="H117" s="191"/>
      <c r="I117" s="191" t="s">
        <v>51</v>
      </c>
      <c r="J117" s="191"/>
      <c r="K117" s="185"/>
      <c r="L117" s="210"/>
      <c r="M117" s="210"/>
      <c r="N117" s="210"/>
      <c r="O117" s="211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2"/>
      <c r="AA117" s="210">
        <f t="shared" ref="AA117:AL117" si="39">AA114*3%</f>
        <v>42</v>
      </c>
      <c r="AB117" s="210">
        <f t="shared" si="39"/>
        <v>42</v>
      </c>
      <c r="AC117" s="210">
        <f t="shared" si="39"/>
        <v>42</v>
      </c>
      <c r="AD117" s="210">
        <f t="shared" si="39"/>
        <v>42</v>
      </c>
      <c r="AE117" s="210">
        <f t="shared" si="39"/>
        <v>42</v>
      </c>
      <c r="AF117" s="210">
        <f t="shared" si="39"/>
        <v>42</v>
      </c>
      <c r="AG117" s="210">
        <f t="shared" si="39"/>
        <v>42</v>
      </c>
      <c r="AH117" s="210">
        <f t="shared" si="39"/>
        <v>42</v>
      </c>
      <c r="AI117" s="210">
        <f t="shared" si="39"/>
        <v>42</v>
      </c>
      <c r="AJ117" s="210">
        <f t="shared" si="39"/>
        <v>42</v>
      </c>
      <c r="AK117" s="210">
        <f t="shared" si="39"/>
        <v>42</v>
      </c>
      <c r="AL117" s="212">
        <f t="shared" si="39"/>
        <v>42</v>
      </c>
    </row>
    <row r="118" spans="1:38" s="96" customFormat="1" ht="63" customHeight="1" outlineLevel="1" x14ac:dyDescent="0.35">
      <c r="A118" s="96" t="s">
        <v>49</v>
      </c>
      <c r="B118" s="301" t="s">
        <v>29</v>
      </c>
      <c r="D118" s="97"/>
      <c r="F118" s="282" t="s">
        <v>302</v>
      </c>
      <c r="G118" s="283"/>
      <c r="H118" s="283"/>
      <c r="I118" s="283"/>
      <c r="J118" s="283" t="s">
        <v>45</v>
      </c>
      <c r="K118" s="12"/>
      <c r="L118" s="283"/>
      <c r="M118" s="283"/>
      <c r="N118" s="293"/>
      <c r="O118" s="88" t="str" cm="1">
        <f t="array" ref="O118">INDEX(Note!$G$3:$G$101,MATCH(1,(Note!$A$3:$A$101=$A118)*(Note!$C$3:$C$101=$B118)*(Note!$E$3:$E$101&lt;=O$1)*(Note!$F$3:$F$101&gt;=O$2),0))</f>
        <v>Giá cố định</v>
      </c>
      <c r="P118" s="27" t="str" cm="1">
        <f t="array" ref="P118">INDEX(Note!$G$3:$G$101,MATCH(1,(Note!$A$3:$A$101=$A118)*(Note!$C$3:$C$101=$B118)*(Note!$E$3:$E$101&lt;=P$1)*(Note!$F$3:$F$101&gt;=P$2),0))</f>
        <v>Giá cố định</v>
      </c>
      <c r="Q118" s="27" t="str" cm="1">
        <f t="array" ref="Q118">INDEX(Note!$G$3:$G$101,MATCH(1,(Note!$A$3:$A$101=$A118)*(Note!$C$3:$C$101=$B118)*(Note!$E$3:$E$101&lt;=Q$1)*(Note!$F$3:$F$101&gt;=Q$2),0))</f>
        <v>Giá cố định</v>
      </c>
      <c r="R118" s="27" t="str" cm="1">
        <f t="array" ref="R118">INDEX(Note!$G$3:$G$101,MATCH(1,(Note!$A$3:$A$101=$A118)*(Note!$C$3:$C$101=$B118)*(Note!$E$3:$E$101&lt;=R$1)*(Note!$F$3:$F$101&gt;=R$2),0))</f>
        <v>Giá cố định</v>
      </c>
      <c r="S118" s="27" t="str" cm="1">
        <f t="array" ref="S118">INDEX(Note!$G$3:$G$101,MATCH(1,(Note!$A$3:$A$101=$A118)*(Note!$C$3:$C$101=$B118)*(Note!$E$3:$E$101&lt;=S$1)*(Note!$F$3:$F$101&gt;=S$2),0))</f>
        <v>Giá cố định</v>
      </c>
      <c r="T118" s="27" t="str" cm="1">
        <f t="array" ref="T118">INDEX(Note!$G$3:$G$101,MATCH(1,(Note!$A$3:$A$101=$A118)*(Note!$C$3:$C$101=$B118)*(Note!$E$3:$E$101&lt;=T$1)*(Note!$F$3:$F$101&gt;=T$2),0))</f>
        <v>Giá cố định</v>
      </c>
      <c r="U118" s="27" t="str" cm="1">
        <f t="array" ref="U118">INDEX(Note!$G$3:$G$101,MATCH(1,(Note!$A$3:$A$101=$A118)*(Note!$C$3:$C$101=$B118)*(Note!$E$3:$E$101&lt;=U$1)*(Note!$F$3:$F$101&gt;=U$2),0))</f>
        <v>Giá cố định</v>
      </c>
      <c r="V118" s="27" t="str" cm="1">
        <f t="array" ref="V118">INDEX(Note!$G$3:$G$101,MATCH(1,(Note!$A$3:$A$101=$A118)*(Note!$C$3:$C$101=$B118)*(Note!$E$3:$E$101&lt;=V$1)*(Note!$F$3:$F$101&gt;=V$2),0))</f>
        <v>Giá cố định</v>
      </c>
      <c r="W118" s="27" t="str" cm="1">
        <f t="array" ref="W118">INDEX(Note!$G$3:$G$101,MATCH(1,(Note!$A$3:$A$101=$A118)*(Note!$C$3:$C$101=$B118)*(Note!$E$3:$E$101&lt;=W$1)*(Note!$F$3:$F$101&gt;=W$2),0))</f>
        <v>Giá cố định</v>
      </c>
      <c r="X118" s="27" t="str" cm="1">
        <f t="array" ref="X118">INDEX(Note!$G$3:$G$101,MATCH(1,(Note!$A$3:$A$101=$A118)*(Note!$C$3:$C$101=$B118)*(Note!$E$3:$E$101&lt;=X$1)*(Note!$F$3:$F$101&gt;=X$2),0))</f>
        <v>Giá cố định</v>
      </c>
      <c r="Y118" s="27" t="str" cm="1">
        <f t="array" ref="Y118">INDEX(Note!$G$3:$G$101,MATCH(1,(Note!$A$3:$A$101=$A118)*(Note!$C$3:$C$101=$B118)*(Note!$E$3:$E$101&lt;=Y$1)*(Note!$F$3:$F$101&gt;=Y$2),0))</f>
        <v>Giá cố định</v>
      </c>
      <c r="Z118" s="89" t="str" cm="1">
        <f t="array" ref="Z118">INDEX(Note!$G$3:$G$101,MATCH(1,(Note!$A$3:$A$101=$A118)*(Note!$C$3:$C$101=$B118)*(Note!$E$3:$E$101&lt;=Z$1)*(Note!$F$3:$F$101&gt;=Z$2),0))</f>
        <v>Giá cố định</v>
      </c>
      <c r="AA118" s="27" t="str" cm="1">
        <f t="array" ref="AA118">INDEX(Note!$G$3:$G$101,MATCH(1,(Note!$A$3:$A$101=$A118)*(Note!$C$3:$C$101=$B118)*(Note!$E$3:$E$101&lt;=AA$1)*(Note!$F$3:$F$101&gt;=AA$2),0))</f>
        <v>Giá cố định</v>
      </c>
      <c r="AB118" s="27" t="str" cm="1">
        <f t="array" ref="AB118">INDEX(Note!$G$3:$G$101,MATCH(1,(Note!$A$3:$A$101=$A118)*(Note!$C$3:$C$101=$B118)*(Note!$E$3:$E$101&lt;=AB$1)*(Note!$F$3:$F$101&gt;=AB$2),0))</f>
        <v>Giá cố định</v>
      </c>
      <c r="AC118" s="27" t="str" cm="1">
        <f t="array" ref="AC118">INDEX(Note!$G$3:$G$101,MATCH(1,(Note!$A$3:$A$101=$A118)*(Note!$C$3:$C$101=$B118)*(Note!$E$3:$E$101&lt;=AC$1)*(Note!$F$3:$F$101&gt;=AC$2),0))</f>
        <v>Giá cố định</v>
      </c>
      <c r="AD118" s="27" t="str" cm="1">
        <f t="array" ref="AD118">INDEX(Note!$G$3:$G$101,MATCH(1,(Note!$A$3:$A$101=$A118)*(Note!$C$3:$C$101=$B118)*(Note!$E$3:$E$101&lt;=AD$1)*(Note!$F$3:$F$101&gt;=AD$2),0))</f>
        <v>Giá cố định</v>
      </c>
      <c r="AE118" s="27" t="str" cm="1">
        <f t="array" ref="AE118">INDEX(Note!$G$3:$G$101,MATCH(1,(Note!$A$3:$A$101=$A118)*(Note!$C$3:$C$101=$B118)*(Note!$E$3:$E$101&lt;=AE$1)*(Note!$F$3:$F$101&gt;=AE$2),0))</f>
        <v>Giá cố định</v>
      </c>
      <c r="AF118" s="27" t="str" cm="1">
        <f t="array" ref="AF118">INDEX(Note!$G$3:$G$101,MATCH(1,(Note!$A$3:$A$101=$A118)*(Note!$C$3:$C$101=$B118)*(Note!$E$3:$E$101&lt;=AF$1)*(Note!$F$3:$F$101&gt;=AF$2),0))</f>
        <v>Giá cố định</v>
      </c>
      <c r="AG118" s="27" t="str" cm="1">
        <f t="array" ref="AG118">INDEX(Note!$G$3:$G$101,MATCH(1,(Note!$A$3:$A$101=$A118)*(Note!$C$3:$C$101=$B118)*(Note!$E$3:$E$101&lt;=AG$1)*(Note!$F$3:$F$101&gt;=AG$2),0))</f>
        <v>Giá cố định</v>
      </c>
      <c r="AH118" s="27" t="str" cm="1">
        <f t="array" ref="AH118">INDEX(Note!$G$3:$G$101,MATCH(1,(Note!$A$3:$A$101=$A118)*(Note!$C$3:$C$101=$B118)*(Note!$E$3:$E$101&lt;=AH$1)*(Note!$F$3:$F$101&gt;=AH$2),0))</f>
        <v>Giá cố định</v>
      </c>
      <c r="AI118" s="27" t="str" cm="1">
        <f t="array" ref="AI118">INDEX(Note!$G$3:$G$101,MATCH(1,(Note!$A$3:$A$101=$A118)*(Note!$C$3:$C$101=$B118)*(Note!$E$3:$E$101&lt;=AI$1)*(Note!$F$3:$F$101&gt;=AI$2),0))</f>
        <v>Giá cố định</v>
      </c>
      <c r="AJ118" s="27" t="str" cm="1">
        <f t="array" ref="AJ118">INDEX(Note!$G$3:$G$101,MATCH(1,(Note!$A$3:$A$101=$A118)*(Note!$C$3:$C$101=$B118)*(Note!$E$3:$E$101&lt;=AJ$1)*(Note!$F$3:$F$101&gt;=AJ$2),0))</f>
        <v>Giá cố định</v>
      </c>
      <c r="AK118" s="27" t="str" cm="1">
        <f t="array" ref="AK118">INDEX(Note!$G$3:$G$101,MATCH(1,(Note!$A$3:$A$101=$A118)*(Note!$C$3:$C$101=$B118)*(Note!$E$3:$E$101&lt;=AK$1)*(Note!$F$3:$F$101&gt;=AK$2),0))</f>
        <v>Giá cố định</v>
      </c>
      <c r="AL118" s="89" t="str" cm="1">
        <f t="array" ref="AL118">INDEX(Note!$G$3:$G$101,MATCH(1,(Note!$A$3:$A$101=$A118)*(Note!$C$3:$C$101=$B118)*(Note!$E$3:$E$101&lt;=AL$1)*(Note!$F$3:$F$101&gt;=AL$2),0))</f>
        <v>Giá cố định</v>
      </c>
    </row>
    <row r="119" spans="1:38" s="96" customFormat="1" outlineLevel="1" x14ac:dyDescent="0.35">
      <c r="A119" s="96" t="s">
        <v>49</v>
      </c>
      <c r="B119" s="301" t="s">
        <v>29</v>
      </c>
      <c r="D119" s="97"/>
      <c r="F119" s="282" t="s">
        <v>303</v>
      </c>
      <c r="G119" s="283"/>
      <c r="H119" s="283"/>
      <c r="I119" s="283"/>
      <c r="J119" s="283" t="s">
        <v>43</v>
      </c>
      <c r="K119" s="12"/>
      <c r="L119" s="283"/>
      <c r="M119" s="283"/>
      <c r="N119" s="293"/>
      <c r="O119" s="88" t="str" cm="1">
        <f t="array" ref="O119">INDEX(Note!$H$3:$H$101,MATCH(1,(Note!$A$3:$A$101=$A119)*(Note!$C$3:$C$101=$B119)*(Note!$E$3:$E$101&lt;=O$1)*(Note!$F$3:$F$101&gt;=O$2),0))</f>
        <v>DDP</v>
      </c>
      <c r="P119" s="27" t="str" cm="1">
        <f t="array" ref="P119">INDEX(Note!$H$3:$H$101,MATCH(1,(Note!$A$3:$A$101=$A119)*(Note!$C$3:$C$101=$B119)*(Note!$E$3:$E$101&lt;=P$1)*(Note!$F$3:$F$101&gt;=P$2),0))</f>
        <v>DDP</v>
      </c>
      <c r="Q119" s="27" t="str" cm="1">
        <f t="array" ref="Q119">INDEX(Note!$H$3:$H$101,MATCH(1,(Note!$A$3:$A$101=$A119)*(Note!$C$3:$C$101=$B119)*(Note!$E$3:$E$101&lt;=Q$1)*(Note!$F$3:$F$101&gt;=Q$2),0))</f>
        <v>DDP</v>
      </c>
      <c r="R119" s="27" t="str" cm="1">
        <f t="array" ref="R119">INDEX(Note!$H$3:$H$101,MATCH(1,(Note!$A$3:$A$101=$A119)*(Note!$C$3:$C$101=$B119)*(Note!$E$3:$E$101&lt;=R$1)*(Note!$F$3:$F$101&gt;=R$2),0))</f>
        <v>DDP</v>
      </c>
      <c r="S119" s="27" t="str" cm="1">
        <f t="array" ref="S119">INDEX(Note!$H$3:$H$101,MATCH(1,(Note!$A$3:$A$101=$A119)*(Note!$C$3:$C$101=$B119)*(Note!$E$3:$E$101&lt;=S$1)*(Note!$F$3:$F$101&gt;=S$2),0))</f>
        <v>DDP</v>
      </c>
      <c r="T119" s="27" t="str" cm="1">
        <f t="array" ref="T119">INDEX(Note!$H$3:$H$101,MATCH(1,(Note!$A$3:$A$101=$A119)*(Note!$C$3:$C$101=$B119)*(Note!$E$3:$E$101&lt;=T$1)*(Note!$F$3:$F$101&gt;=T$2),0))</f>
        <v>DDP</v>
      </c>
      <c r="U119" s="27" t="str" cm="1">
        <f t="array" ref="U119">INDEX(Note!$H$3:$H$101,MATCH(1,(Note!$A$3:$A$101=$A119)*(Note!$C$3:$C$101=$B119)*(Note!$E$3:$E$101&lt;=U$1)*(Note!$F$3:$F$101&gt;=U$2),0))</f>
        <v>DDP</v>
      </c>
      <c r="V119" s="27" t="str" cm="1">
        <f t="array" ref="V119">INDEX(Note!$H$3:$H$101,MATCH(1,(Note!$A$3:$A$101=$A119)*(Note!$C$3:$C$101=$B119)*(Note!$E$3:$E$101&lt;=V$1)*(Note!$F$3:$F$101&gt;=V$2),0))</f>
        <v>DDP</v>
      </c>
      <c r="W119" s="27" t="str" cm="1">
        <f t="array" ref="W119">INDEX(Note!$H$3:$H$101,MATCH(1,(Note!$A$3:$A$101=$A119)*(Note!$C$3:$C$101=$B119)*(Note!$E$3:$E$101&lt;=W$1)*(Note!$F$3:$F$101&gt;=W$2),0))</f>
        <v>DDP</v>
      </c>
      <c r="X119" s="27" t="str" cm="1">
        <f t="array" ref="X119">INDEX(Note!$H$3:$H$101,MATCH(1,(Note!$A$3:$A$101=$A119)*(Note!$C$3:$C$101=$B119)*(Note!$E$3:$E$101&lt;=X$1)*(Note!$F$3:$F$101&gt;=X$2),0))</f>
        <v>DDP</v>
      </c>
      <c r="Y119" s="27" t="str" cm="1">
        <f t="array" ref="Y119">INDEX(Note!$H$3:$H$101,MATCH(1,(Note!$A$3:$A$101=$A119)*(Note!$C$3:$C$101=$B119)*(Note!$E$3:$E$101&lt;=Y$1)*(Note!$F$3:$F$101&gt;=Y$2),0))</f>
        <v>DDP</v>
      </c>
      <c r="Z119" s="89" t="str" cm="1">
        <f t="array" ref="Z119">INDEX(Note!$H$3:$H$101,MATCH(1,(Note!$A$3:$A$101=$A119)*(Note!$C$3:$C$101=$B119)*(Note!$E$3:$E$101&lt;=Z$1)*(Note!$F$3:$F$101&gt;=Z$2),0))</f>
        <v>DDP</v>
      </c>
      <c r="AA119" s="27" t="str" cm="1">
        <f t="array" ref="AA119">INDEX(Note!$H$3:$H$101,MATCH(1,(Note!$A$3:$A$101=$A119)*(Note!$C$3:$C$101=$B119)*(Note!$E$3:$E$101&lt;=AA$1)*(Note!$F$3:$F$101&gt;=AA$2),0))</f>
        <v>DDP</v>
      </c>
      <c r="AB119" s="27" t="str" cm="1">
        <f t="array" ref="AB119">INDEX(Note!$H$3:$H$101,MATCH(1,(Note!$A$3:$A$101=$A119)*(Note!$C$3:$C$101=$B119)*(Note!$E$3:$E$101&lt;=AB$1)*(Note!$F$3:$F$101&gt;=AB$2),0))</f>
        <v>DDP</v>
      </c>
      <c r="AC119" s="27" t="str" cm="1">
        <f t="array" ref="AC119">INDEX(Note!$H$3:$H$101,MATCH(1,(Note!$A$3:$A$101=$A119)*(Note!$C$3:$C$101=$B119)*(Note!$E$3:$E$101&lt;=AC$1)*(Note!$F$3:$F$101&gt;=AC$2),0))</f>
        <v>DDP</v>
      </c>
      <c r="AD119" s="27" t="str" cm="1">
        <f t="array" ref="AD119">INDEX(Note!$H$3:$H$101,MATCH(1,(Note!$A$3:$A$101=$A119)*(Note!$C$3:$C$101=$B119)*(Note!$E$3:$E$101&lt;=AD$1)*(Note!$F$3:$F$101&gt;=AD$2),0))</f>
        <v>DDP</v>
      </c>
      <c r="AE119" s="27" t="str" cm="1">
        <f t="array" ref="AE119">INDEX(Note!$H$3:$H$101,MATCH(1,(Note!$A$3:$A$101=$A119)*(Note!$C$3:$C$101=$B119)*(Note!$E$3:$E$101&lt;=AE$1)*(Note!$F$3:$F$101&gt;=AE$2),0))</f>
        <v>DDP</v>
      </c>
      <c r="AF119" s="27" t="str" cm="1">
        <f t="array" ref="AF119">INDEX(Note!$H$3:$H$101,MATCH(1,(Note!$A$3:$A$101=$A119)*(Note!$C$3:$C$101=$B119)*(Note!$E$3:$E$101&lt;=AF$1)*(Note!$F$3:$F$101&gt;=AF$2),0))</f>
        <v>DDP</v>
      </c>
      <c r="AG119" s="27" t="str" cm="1">
        <f t="array" ref="AG119">INDEX(Note!$H$3:$H$101,MATCH(1,(Note!$A$3:$A$101=$A119)*(Note!$C$3:$C$101=$B119)*(Note!$E$3:$E$101&lt;=AG$1)*(Note!$F$3:$F$101&gt;=AG$2),0))</f>
        <v>DDP</v>
      </c>
      <c r="AH119" s="27" t="str" cm="1">
        <f t="array" ref="AH119">INDEX(Note!$H$3:$H$101,MATCH(1,(Note!$A$3:$A$101=$A119)*(Note!$C$3:$C$101=$B119)*(Note!$E$3:$E$101&lt;=AH$1)*(Note!$F$3:$F$101&gt;=AH$2),0))</f>
        <v>DDP</v>
      </c>
      <c r="AI119" s="27" t="str" cm="1">
        <f t="array" ref="AI119">INDEX(Note!$H$3:$H$101,MATCH(1,(Note!$A$3:$A$101=$A119)*(Note!$C$3:$C$101=$B119)*(Note!$E$3:$E$101&lt;=AI$1)*(Note!$F$3:$F$101&gt;=AI$2),0))</f>
        <v>DDP</v>
      </c>
      <c r="AJ119" s="27" t="str" cm="1">
        <f t="array" ref="AJ119">INDEX(Note!$H$3:$H$101,MATCH(1,(Note!$A$3:$A$101=$A119)*(Note!$C$3:$C$101=$B119)*(Note!$E$3:$E$101&lt;=AJ$1)*(Note!$F$3:$F$101&gt;=AJ$2),0))</f>
        <v>DDP</v>
      </c>
      <c r="AK119" s="27" t="str" cm="1">
        <f t="array" ref="AK119">INDEX(Note!$H$3:$H$101,MATCH(1,(Note!$A$3:$A$101=$A119)*(Note!$C$3:$C$101=$B119)*(Note!$E$3:$E$101&lt;=AK$1)*(Note!$F$3:$F$101&gt;=AK$2),0))</f>
        <v>DDP</v>
      </c>
      <c r="AL119" s="89" t="str" cm="1">
        <f t="array" ref="AL119">INDEX(Note!$H$3:$H$101,MATCH(1,(Note!$A$3:$A$101=$A119)*(Note!$C$3:$C$101=$B119)*(Note!$E$3:$E$101&lt;=AL$1)*(Note!$F$3:$F$101&gt;=AL$2),0))</f>
        <v>DDP</v>
      </c>
    </row>
    <row r="120" spans="1:38" s="97" customFormat="1" outlineLevel="1" x14ac:dyDescent="0.35">
      <c r="A120" s="97" t="s">
        <v>49</v>
      </c>
      <c r="B120" s="302" t="s">
        <v>29</v>
      </c>
      <c r="F120" s="284" t="s">
        <v>304</v>
      </c>
      <c r="G120" s="285"/>
      <c r="H120" s="285"/>
      <c r="I120" s="285"/>
      <c r="J120" s="285" t="s">
        <v>46</v>
      </c>
      <c r="K120" s="109"/>
      <c r="L120" s="285"/>
      <c r="M120" s="285"/>
      <c r="N120" s="294"/>
      <c r="O120" s="236" t="str" cm="1">
        <f t="array" ref="O120">INDEX(Note!$I$3:$I$101,MATCH(1,(Note!$A$3:$A$101=$A120)*(Note!$C$3:$C$101=$B120)*(Note!$E$3:$E$101&lt;=O$1)*(Note!$F$3:$F$101&gt;=O$2),0))</f>
        <v>Năm</v>
      </c>
      <c r="P120" s="196" t="str" cm="1">
        <f t="array" ref="P120">INDEX(Note!$I$3:$I$101,MATCH(1,(Note!$A$3:$A$101=$A120)*(Note!$C$3:$C$101=$B120)*(Note!$E$3:$E$101&lt;=P$1)*(Note!$F$3:$F$101&gt;=P$2),0))</f>
        <v>Năm</v>
      </c>
      <c r="Q120" s="196" t="str" cm="1">
        <f t="array" ref="Q120">INDEX(Note!$I$3:$I$101,MATCH(1,(Note!$A$3:$A$101=$A120)*(Note!$C$3:$C$101=$B120)*(Note!$E$3:$E$101&lt;=Q$1)*(Note!$F$3:$F$101&gt;=Q$2),0))</f>
        <v>Năm</v>
      </c>
      <c r="R120" s="196" t="str" cm="1">
        <f t="array" ref="R120">INDEX(Note!$I$3:$I$101,MATCH(1,(Note!$A$3:$A$101=$A120)*(Note!$C$3:$C$101=$B120)*(Note!$E$3:$E$101&lt;=R$1)*(Note!$F$3:$F$101&gt;=R$2),0))</f>
        <v>Năm</v>
      </c>
      <c r="S120" s="196" t="str" cm="1">
        <f t="array" ref="S120">INDEX(Note!$I$3:$I$101,MATCH(1,(Note!$A$3:$A$101=$A120)*(Note!$C$3:$C$101=$B120)*(Note!$E$3:$E$101&lt;=S$1)*(Note!$F$3:$F$101&gt;=S$2),0))</f>
        <v>Năm</v>
      </c>
      <c r="T120" s="196" t="str" cm="1">
        <f t="array" ref="T120">INDEX(Note!$I$3:$I$101,MATCH(1,(Note!$A$3:$A$101=$A120)*(Note!$C$3:$C$101=$B120)*(Note!$E$3:$E$101&lt;=T$1)*(Note!$F$3:$F$101&gt;=T$2),0))</f>
        <v>Năm</v>
      </c>
      <c r="U120" s="196" t="str" cm="1">
        <f t="array" ref="U120">INDEX(Note!$I$3:$I$101,MATCH(1,(Note!$A$3:$A$101=$A120)*(Note!$C$3:$C$101=$B120)*(Note!$E$3:$E$101&lt;=U$1)*(Note!$F$3:$F$101&gt;=U$2),0))</f>
        <v>Năm</v>
      </c>
      <c r="V120" s="196" t="str" cm="1">
        <f t="array" ref="V120">INDEX(Note!$I$3:$I$101,MATCH(1,(Note!$A$3:$A$101=$A120)*(Note!$C$3:$C$101=$B120)*(Note!$E$3:$E$101&lt;=V$1)*(Note!$F$3:$F$101&gt;=V$2),0))</f>
        <v>Năm</v>
      </c>
      <c r="W120" s="196" t="str" cm="1">
        <f t="array" ref="W120">INDEX(Note!$I$3:$I$101,MATCH(1,(Note!$A$3:$A$101=$A120)*(Note!$C$3:$C$101=$B120)*(Note!$E$3:$E$101&lt;=W$1)*(Note!$F$3:$F$101&gt;=W$2),0))</f>
        <v>Năm</v>
      </c>
      <c r="X120" s="196" t="str" cm="1">
        <f t="array" ref="X120">INDEX(Note!$I$3:$I$101,MATCH(1,(Note!$A$3:$A$101=$A120)*(Note!$C$3:$C$101=$B120)*(Note!$E$3:$E$101&lt;=X$1)*(Note!$F$3:$F$101&gt;=X$2),0))</f>
        <v>Năm</v>
      </c>
      <c r="Y120" s="196" t="str" cm="1">
        <f t="array" ref="Y120">INDEX(Note!$I$3:$I$101,MATCH(1,(Note!$A$3:$A$101=$A120)*(Note!$C$3:$C$101=$B120)*(Note!$E$3:$E$101&lt;=Y$1)*(Note!$F$3:$F$101&gt;=Y$2),0))</f>
        <v>Năm</v>
      </c>
      <c r="Z120" s="197" t="str" cm="1">
        <f t="array" ref="Z120">INDEX(Note!$I$3:$I$101,MATCH(1,(Note!$A$3:$A$101=$A120)*(Note!$C$3:$C$101=$B120)*(Note!$E$3:$E$101&lt;=Z$1)*(Note!$F$3:$F$101&gt;=Z$2),0))</f>
        <v>Năm</v>
      </c>
      <c r="AA120" s="196" t="str" cm="1">
        <f t="array" ref="AA120">INDEX(Note!$I$3:$I$101,MATCH(1,(Note!$A$3:$A$101=$A120)*(Note!$C$3:$C$101=$B120)*(Note!$E$3:$E$101&lt;=AA$1)*(Note!$F$3:$F$101&gt;=AA$2),0))</f>
        <v>Năm</v>
      </c>
      <c r="AB120" s="196" t="str" cm="1">
        <f t="array" ref="AB120">INDEX(Note!$I$3:$I$101,MATCH(1,(Note!$A$3:$A$101=$A120)*(Note!$C$3:$C$101=$B120)*(Note!$E$3:$E$101&lt;=AB$1)*(Note!$F$3:$F$101&gt;=AB$2),0))</f>
        <v>Năm</v>
      </c>
      <c r="AC120" s="196" t="str" cm="1">
        <f t="array" ref="AC120">INDEX(Note!$I$3:$I$101,MATCH(1,(Note!$A$3:$A$101=$A120)*(Note!$C$3:$C$101=$B120)*(Note!$E$3:$E$101&lt;=AC$1)*(Note!$F$3:$F$101&gt;=AC$2),0))</f>
        <v>Năm</v>
      </c>
      <c r="AD120" s="196" t="str" cm="1">
        <f t="array" ref="AD120">INDEX(Note!$I$3:$I$101,MATCH(1,(Note!$A$3:$A$101=$A120)*(Note!$C$3:$C$101=$B120)*(Note!$E$3:$E$101&lt;=AD$1)*(Note!$F$3:$F$101&gt;=AD$2),0))</f>
        <v>Năm</v>
      </c>
      <c r="AE120" s="196" t="str" cm="1">
        <f t="array" ref="AE120">INDEX(Note!$I$3:$I$101,MATCH(1,(Note!$A$3:$A$101=$A120)*(Note!$C$3:$C$101=$B120)*(Note!$E$3:$E$101&lt;=AE$1)*(Note!$F$3:$F$101&gt;=AE$2),0))</f>
        <v>Năm</v>
      </c>
      <c r="AF120" s="196" t="str" cm="1">
        <f t="array" ref="AF120">INDEX(Note!$I$3:$I$101,MATCH(1,(Note!$A$3:$A$101=$A120)*(Note!$C$3:$C$101=$B120)*(Note!$E$3:$E$101&lt;=AF$1)*(Note!$F$3:$F$101&gt;=AF$2),0))</f>
        <v>Năm</v>
      </c>
      <c r="AG120" s="196" t="str" cm="1">
        <f t="array" ref="AG120">INDEX(Note!$I$3:$I$101,MATCH(1,(Note!$A$3:$A$101=$A120)*(Note!$C$3:$C$101=$B120)*(Note!$E$3:$E$101&lt;=AG$1)*(Note!$F$3:$F$101&gt;=AG$2),0))</f>
        <v>Năm</v>
      </c>
      <c r="AH120" s="196" t="str" cm="1">
        <f t="array" ref="AH120">INDEX(Note!$I$3:$I$101,MATCH(1,(Note!$A$3:$A$101=$A120)*(Note!$C$3:$C$101=$B120)*(Note!$E$3:$E$101&lt;=AH$1)*(Note!$F$3:$F$101&gt;=AH$2),0))</f>
        <v>Năm</v>
      </c>
      <c r="AI120" s="196" t="str" cm="1">
        <f t="array" ref="AI120">INDEX(Note!$I$3:$I$101,MATCH(1,(Note!$A$3:$A$101=$A120)*(Note!$C$3:$C$101=$B120)*(Note!$E$3:$E$101&lt;=AI$1)*(Note!$F$3:$F$101&gt;=AI$2),0))</f>
        <v>Năm</v>
      </c>
      <c r="AJ120" s="196" t="str" cm="1">
        <f t="array" ref="AJ120">INDEX(Note!$I$3:$I$101,MATCH(1,(Note!$A$3:$A$101=$A120)*(Note!$C$3:$C$101=$B120)*(Note!$E$3:$E$101&lt;=AJ$1)*(Note!$F$3:$F$101&gt;=AJ$2),0))</f>
        <v>Năm</v>
      </c>
      <c r="AK120" s="196" t="str" cm="1">
        <f t="array" ref="AK120">INDEX(Note!$I$3:$I$101,MATCH(1,(Note!$A$3:$A$101=$A120)*(Note!$C$3:$C$101=$B120)*(Note!$E$3:$E$101&lt;=AK$1)*(Note!$F$3:$F$101&gt;=AK$2),0))</f>
        <v>Năm</v>
      </c>
      <c r="AL120" s="197" t="str" cm="1">
        <f t="array" ref="AL120">INDEX(Note!$I$3:$I$101,MATCH(1,(Note!$A$3:$A$101=$A120)*(Note!$C$3:$C$101=$B120)*(Note!$E$3:$E$101&lt;=AL$1)*(Note!$F$3:$F$101&gt;=AL$2),0))</f>
        <v>Năm</v>
      </c>
    </row>
    <row r="121" spans="1:38" s="188" customFormat="1" outlineLevel="1" x14ac:dyDescent="0.35">
      <c r="A121" s="188" t="s">
        <v>49</v>
      </c>
      <c r="B121" s="303" t="s">
        <v>29</v>
      </c>
      <c r="F121" s="286" t="s">
        <v>305</v>
      </c>
      <c r="G121" s="287"/>
      <c r="H121" s="287"/>
      <c r="I121" s="287"/>
      <c r="J121" s="287" t="s">
        <v>203</v>
      </c>
      <c r="K121" s="189"/>
      <c r="L121" s="295"/>
      <c r="M121" s="295"/>
      <c r="N121" s="296"/>
      <c r="O121" s="201" cm="1">
        <f t="array" ref="O121">SUMPRODUCT(General_Data*(Year=O$3)*(Month=O$4)*(Code_General_Data=$B121))</f>
        <v>1340</v>
      </c>
      <c r="P121" s="202" cm="1">
        <f t="array" ref="P121">SUMPRODUCT(General_Data*(Year=P$3)*(Month=P$4)*(Code_General_Data=$B121))</f>
        <v>1340</v>
      </c>
      <c r="Q121" s="202" cm="1">
        <f t="array" ref="Q121">SUMPRODUCT(General_Data*(Year=Q$3)*(Month=Q$4)*(Code_General_Data=$B121))</f>
        <v>1340</v>
      </c>
      <c r="R121" s="202" cm="1">
        <f t="array" ref="R121">SUMPRODUCT(General_Data*(Year=R$3)*(Month=R$4)*(Code_General_Data=$B121))</f>
        <v>1340</v>
      </c>
      <c r="S121" s="202" cm="1">
        <f t="array" ref="S121">SUMPRODUCT(General_Data*(Year=S$3)*(Month=S$4)*(Code_General_Data=$B121))</f>
        <v>1390</v>
      </c>
      <c r="T121" s="202" cm="1">
        <f t="array" ref="T121">SUMPRODUCT(General_Data*(Year=T$3)*(Month=T$4)*(Code_General_Data=$B121))</f>
        <v>1390</v>
      </c>
      <c r="U121" s="202" cm="1">
        <f t="array" ref="U121">SUMPRODUCT(General_Data*(Year=U$3)*(Month=U$4)*(Code_General_Data=$B121))</f>
        <v>1390</v>
      </c>
      <c r="V121" s="202" cm="1">
        <f t="array" ref="V121">SUMPRODUCT(General_Data*(Year=V$3)*(Month=V$4)*(Code_General_Data=$B121))</f>
        <v>1390</v>
      </c>
      <c r="W121" s="202" cm="1">
        <f t="array" ref="W121">SUMPRODUCT(General_Data*(Year=W$3)*(Month=W$4)*(Code_General_Data=$B121))</f>
        <v>1400</v>
      </c>
      <c r="X121" s="202" cm="1">
        <f t="array" ref="X121">SUMPRODUCT(General_Data*(Year=X$3)*(Month=X$4)*(Code_General_Data=$B121))</f>
        <v>1415</v>
      </c>
      <c r="Y121" s="202" cm="1">
        <f t="array" ref="Y121">SUMPRODUCT(General_Data*(Year=Y$3)*(Month=Y$4)*(Code_General_Data=$B121))</f>
        <v>1415</v>
      </c>
      <c r="Z121" s="203" cm="1">
        <f t="array" ref="Z121">SUMPRODUCT(General_Data*(Year=Z$3)*(Month=Z$4)*(Code_General_Data=$B121))</f>
        <v>1365</v>
      </c>
      <c r="AA121" s="202" cm="1">
        <f t="array" ref="AA121">SUMPRODUCT(General_Data*(Year=AA$3)*(Month=AA$4)*(Code_General_Data=$B121))</f>
        <v>1320</v>
      </c>
      <c r="AB121" s="202" cm="1">
        <f t="array" ref="AB121">SUMPRODUCT(General_Data*(Year=AB$3)*(Month=AB$4)*(Code_General_Data=$B121))</f>
        <v>1280</v>
      </c>
      <c r="AC121" s="202" cm="1">
        <f t="array" ref="AC121">SUMPRODUCT(General_Data*(Year=AC$3)*(Month=AC$4)*(Code_General_Data=$B121))</f>
        <v>1320</v>
      </c>
      <c r="AD121" s="202"/>
      <c r="AE121" s="202"/>
      <c r="AF121" s="202"/>
      <c r="AG121" s="202"/>
      <c r="AH121" s="202"/>
      <c r="AI121" s="202"/>
      <c r="AJ121" s="202"/>
      <c r="AK121" s="202"/>
      <c r="AL121" s="203"/>
    </row>
    <row r="122" spans="1:38" s="93" customFormat="1" x14ac:dyDescent="0.35">
      <c r="D122" s="92"/>
      <c r="F122" s="168"/>
      <c r="G122"/>
      <c r="H122"/>
      <c r="I122"/>
      <c r="J122"/>
      <c r="K122"/>
      <c r="L122"/>
      <c r="M122"/>
      <c r="N122"/>
      <c r="O122" s="47"/>
      <c r="P122"/>
      <c r="Q122"/>
      <c r="R122"/>
      <c r="S122"/>
      <c r="T122"/>
      <c r="U122"/>
      <c r="V122"/>
      <c r="W122"/>
      <c r="X122"/>
      <c r="Y122"/>
      <c r="Z122" s="48"/>
      <c r="AA122"/>
      <c r="AB122"/>
      <c r="AC122"/>
      <c r="AD122"/>
      <c r="AE122"/>
      <c r="AF122"/>
      <c r="AG122"/>
      <c r="AH122"/>
      <c r="AI122"/>
      <c r="AJ122"/>
      <c r="AK122"/>
      <c r="AL122" s="48"/>
    </row>
    <row r="123" spans="1:38" s="178" customFormat="1" ht="19.5" x14ac:dyDescent="0.35">
      <c r="A123" s="176" t="s">
        <v>63</v>
      </c>
      <c r="B123" s="176"/>
      <c r="C123" s="176"/>
      <c r="D123" s="176"/>
      <c r="E123" s="176"/>
      <c r="F123" s="219">
        <v>6</v>
      </c>
      <c r="G123" s="177" t="s">
        <v>311</v>
      </c>
      <c r="H123" s="177"/>
      <c r="I123" s="177"/>
      <c r="J123" s="177"/>
      <c r="L123" s="180"/>
      <c r="M123" s="180"/>
      <c r="N123" s="180"/>
      <c r="O123" s="179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1"/>
      <c r="AA123" s="182"/>
      <c r="AB123" s="180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1"/>
    </row>
    <row r="124" spans="1:38" s="183" customFormat="1" ht="17" x14ac:dyDescent="0.35">
      <c r="A124" s="183" t="s">
        <v>63</v>
      </c>
      <c r="B124" s="183" t="s">
        <v>35</v>
      </c>
      <c r="D124" s="183" t="s">
        <v>322</v>
      </c>
      <c r="F124" s="273">
        <v>6.1</v>
      </c>
      <c r="G124" s="274"/>
      <c r="H124" s="274" t="s">
        <v>296</v>
      </c>
      <c r="I124" s="274"/>
      <c r="J124" s="274"/>
      <c r="L124" s="274"/>
      <c r="M124" s="274"/>
      <c r="N124" s="288"/>
      <c r="O124" s="216"/>
      <c r="P124" s="217"/>
      <c r="Q124" s="217"/>
      <c r="R124" s="217"/>
      <c r="S124" s="217"/>
      <c r="T124" s="217"/>
      <c r="U124" s="217"/>
      <c r="V124" s="217"/>
      <c r="W124" s="217"/>
      <c r="X124" s="217">
        <v>1320</v>
      </c>
      <c r="Y124" s="217">
        <v>1320</v>
      </c>
      <c r="Z124" s="218">
        <v>1320</v>
      </c>
      <c r="AA124" s="216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8"/>
    </row>
    <row r="125" spans="1:38" s="94" customFormat="1" outlineLevel="1" x14ac:dyDescent="0.35">
      <c r="A125" s="94" t="s">
        <v>63</v>
      </c>
      <c r="B125" s="300" t="s">
        <v>35</v>
      </c>
      <c r="D125" s="95" t="s">
        <v>162</v>
      </c>
      <c r="F125" s="278" t="s">
        <v>312</v>
      </c>
      <c r="G125" s="279"/>
      <c r="H125" s="279"/>
      <c r="I125" s="279" t="s">
        <v>8</v>
      </c>
      <c r="J125" s="279"/>
      <c r="K125" s="2"/>
      <c r="L125" s="279"/>
      <c r="M125" s="279"/>
      <c r="N125" s="290"/>
      <c r="O125" s="228"/>
      <c r="P125" s="229"/>
      <c r="Q125" s="229"/>
      <c r="R125" s="229"/>
      <c r="S125" s="229"/>
      <c r="T125" s="229"/>
      <c r="U125" s="229"/>
      <c r="V125" s="229"/>
      <c r="W125" s="229"/>
      <c r="X125" s="229">
        <f>X124-X126</f>
        <v>1310</v>
      </c>
      <c r="Y125" s="229">
        <f>Y124-Y126</f>
        <v>1310</v>
      </c>
      <c r="Z125" s="230">
        <f>Z124-Z126</f>
        <v>1310</v>
      </c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30"/>
    </row>
    <row r="126" spans="1:38" s="184" customFormat="1" outlineLevel="1" x14ac:dyDescent="0.35">
      <c r="A126" s="184" t="s">
        <v>63</v>
      </c>
      <c r="B126" s="184" t="s">
        <v>35</v>
      </c>
      <c r="F126" s="222" t="s">
        <v>313</v>
      </c>
      <c r="G126" s="191"/>
      <c r="H126" s="191"/>
      <c r="I126" s="191" t="s">
        <v>50</v>
      </c>
      <c r="J126" s="191"/>
      <c r="K126" s="185"/>
      <c r="L126" s="210"/>
      <c r="M126" s="210"/>
      <c r="N126" s="210"/>
      <c r="O126" s="211"/>
      <c r="P126" s="210"/>
      <c r="Q126" s="210"/>
      <c r="R126" s="210"/>
      <c r="S126" s="210"/>
      <c r="T126" s="210"/>
      <c r="U126" s="210"/>
      <c r="V126" s="210"/>
      <c r="W126" s="210"/>
      <c r="X126" s="210">
        <v>10</v>
      </c>
      <c r="Y126" s="210">
        <v>10</v>
      </c>
      <c r="Z126" s="212">
        <v>10</v>
      </c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2"/>
    </row>
    <row r="127" spans="1:38" s="96" customFormat="1" outlineLevel="1" x14ac:dyDescent="0.35">
      <c r="A127" s="96" t="s">
        <v>63</v>
      </c>
      <c r="B127" s="301" t="s">
        <v>35</v>
      </c>
      <c r="D127" s="97"/>
      <c r="F127" s="282" t="s">
        <v>314</v>
      </c>
      <c r="G127" s="283"/>
      <c r="H127" s="283"/>
      <c r="I127" s="283"/>
      <c r="J127" s="283" t="s">
        <v>45</v>
      </c>
      <c r="K127" s="12"/>
      <c r="L127" s="283"/>
      <c r="M127" s="283"/>
      <c r="N127" s="293"/>
      <c r="O127" s="88"/>
      <c r="P127" s="27"/>
      <c r="Q127" s="27"/>
      <c r="R127" s="27"/>
      <c r="S127" s="27"/>
      <c r="T127" s="27"/>
      <c r="U127" s="27"/>
      <c r="V127" s="27"/>
      <c r="W127" s="27"/>
      <c r="X127" s="27" t="str" cm="1">
        <f t="array" ref="X127">INDEX(Note!$G$3:$G$101,MATCH(1,(Note!$A$3:$A$101=$A127)*(Note!$C$3:$C$101=$B127)*(Note!$E$3:$E$101&lt;=X$1)*(Note!$F$3:$F$101&gt;=X$2),0))</f>
        <v>Giá cố định</v>
      </c>
      <c r="Y127" s="27" t="str" cm="1">
        <f t="array" ref="Y127">INDEX(Note!$G$3:$G$101,MATCH(1,(Note!$A$3:$A$101=$A127)*(Note!$C$3:$C$101=$B127)*(Note!$E$3:$E$101&lt;=Y$1)*(Note!$F$3:$F$101&gt;=Y$2),0))</f>
        <v>Giá cố định</v>
      </c>
      <c r="Z127" s="89" t="str" cm="1">
        <f t="array" ref="Z127">INDEX(Note!$G$3:$G$101,MATCH(1,(Note!$A$3:$A$101=$A127)*(Note!$C$3:$C$101=$B127)*(Note!$E$3:$E$101&lt;=Z$1)*(Note!$F$3:$F$101&gt;=Z$2),0))</f>
        <v>Giá cố định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89"/>
    </row>
    <row r="128" spans="1:38" s="96" customFormat="1" outlineLevel="1" x14ac:dyDescent="0.35">
      <c r="A128" s="96" t="s">
        <v>63</v>
      </c>
      <c r="B128" s="301" t="s">
        <v>35</v>
      </c>
      <c r="D128" s="97"/>
      <c r="F128" s="282" t="s">
        <v>315</v>
      </c>
      <c r="G128" s="283"/>
      <c r="H128" s="283"/>
      <c r="I128" s="283"/>
      <c r="J128" s="283" t="s">
        <v>43</v>
      </c>
      <c r="K128" s="12"/>
      <c r="L128" s="283"/>
      <c r="M128" s="283"/>
      <c r="N128" s="293"/>
      <c r="O128" s="88"/>
      <c r="P128" s="27"/>
      <c r="Q128" s="27"/>
      <c r="R128" s="27"/>
      <c r="S128" s="27"/>
      <c r="T128" s="27"/>
      <c r="U128" s="27"/>
      <c r="V128" s="27"/>
      <c r="W128" s="27"/>
      <c r="X128" s="27" t="str" cm="1">
        <f t="array" ref="X128">INDEX(Note!$H$3:$H$101,MATCH(1,(Note!$A$3:$A$101=$A128)*(Note!$C$3:$C$101=$B128)*(Note!$E$3:$E$101&lt;=X$1)*(Note!$F$3:$F$101&gt;=X$2),0))</f>
        <v>DDP</v>
      </c>
      <c r="Y128" s="27" t="str" cm="1">
        <f t="array" ref="Y128">INDEX(Note!$H$3:$H$101,MATCH(1,(Note!$A$3:$A$101=$A128)*(Note!$C$3:$C$101=$B128)*(Note!$E$3:$E$101&lt;=Y$1)*(Note!$F$3:$F$101&gt;=Y$2),0))</f>
        <v>DDP</v>
      </c>
      <c r="Z128" s="89" t="str" cm="1">
        <f t="array" ref="Z128">INDEX(Note!$H$3:$H$101,MATCH(1,(Note!$A$3:$A$101=$A128)*(Note!$C$3:$C$101=$B128)*(Note!$E$3:$E$101&lt;=Z$1)*(Note!$F$3:$F$101&gt;=Z$2),0))</f>
        <v>DDP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89"/>
    </row>
    <row r="129" spans="1:38" s="97" customFormat="1" outlineLevel="1" x14ac:dyDescent="0.35">
      <c r="A129" s="97" t="s">
        <v>63</v>
      </c>
      <c r="B129" s="302" t="s">
        <v>35</v>
      </c>
      <c r="F129" s="284" t="s">
        <v>316</v>
      </c>
      <c r="G129" s="285"/>
      <c r="H129" s="285"/>
      <c r="I129" s="285"/>
      <c r="J129" s="285" t="s">
        <v>46</v>
      </c>
      <c r="K129" s="109"/>
      <c r="L129" s="285"/>
      <c r="M129" s="285"/>
      <c r="N129" s="294"/>
      <c r="O129" s="236"/>
      <c r="P129" s="196"/>
      <c r="Q129" s="196"/>
      <c r="R129" s="196"/>
      <c r="S129" s="196"/>
      <c r="T129" s="196"/>
      <c r="U129" s="196"/>
      <c r="V129" s="196"/>
      <c r="W129" s="196"/>
      <c r="X129" s="196" t="str" cm="1">
        <f t="array" ref="X129">INDEX(Note!$I$3:$I$101,MATCH(1,(Note!$A$3:$A$101=$A129)*(Note!$C$3:$C$101=$B129)*(Note!$E$3:$E$101&lt;=X$1)*(Note!$F$3:$F$101&gt;=X$2),0))</f>
        <v>Năm</v>
      </c>
      <c r="Y129" s="196" t="str" cm="1">
        <f t="array" ref="Y129">INDEX(Note!$I$3:$I$101,MATCH(1,(Note!$A$3:$A$101=$A129)*(Note!$C$3:$C$101=$B129)*(Note!$E$3:$E$101&lt;=Y$1)*(Note!$F$3:$F$101&gt;=Y$2),0))</f>
        <v>Năm</v>
      </c>
      <c r="Z129" s="197" t="str" cm="1">
        <f t="array" ref="Z129">INDEX(Note!$I$3:$I$101,MATCH(1,(Note!$A$3:$A$101=$A129)*(Note!$C$3:$C$101=$B129)*(Note!$E$3:$E$101&lt;=Z$1)*(Note!$F$3:$F$101&gt;=Z$2),0))</f>
        <v>Năm</v>
      </c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7"/>
    </row>
    <row r="130" spans="1:38" s="188" customFormat="1" outlineLevel="1" x14ac:dyDescent="0.35">
      <c r="A130" s="188" t="s">
        <v>63</v>
      </c>
      <c r="B130" s="303" t="s">
        <v>35</v>
      </c>
      <c r="F130" s="286" t="s">
        <v>317</v>
      </c>
      <c r="G130" s="287"/>
      <c r="H130" s="287"/>
      <c r="I130" s="287"/>
      <c r="J130" s="287" t="s">
        <v>203</v>
      </c>
      <c r="K130" s="189"/>
      <c r="L130" s="295"/>
      <c r="M130" s="295"/>
      <c r="N130" s="296"/>
      <c r="O130" s="201"/>
      <c r="P130" s="202"/>
      <c r="Q130" s="202"/>
      <c r="R130" s="202"/>
      <c r="S130" s="202"/>
      <c r="T130" s="202"/>
      <c r="U130" s="202"/>
      <c r="V130" s="202"/>
      <c r="W130" s="202"/>
      <c r="X130" s="202" cm="1">
        <f t="array" ref="X130">SUMPRODUCT(General_Data*(Year=X$3)*(Month=X$4)*(Code_General_Data=$B130))</f>
        <v>1325</v>
      </c>
      <c r="Y130" s="202" cm="1">
        <f t="array" ref="Y130">SUMPRODUCT(General_Data*(Year=Y$3)*(Month=Y$4)*(Code_General_Data=$B130))</f>
        <v>1325</v>
      </c>
      <c r="Z130" s="203" cm="1">
        <f t="array" ref="Z130">SUMPRODUCT(General_Data*(Year=Z$3)*(Month=Z$4)*(Code_General_Data=$B130))</f>
        <v>1275</v>
      </c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3"/>
    </row>
    <row r="131" spans="1:38" s="93" customFormat="1" x14ac:dyDescent="0.35">
      <c r="D131" s="92"/>
      <c r="F131" s="168"/>
      <c r="G131"/>
      <c r="H131"/>
      <c r="I131"/>
      <c r="J131"/>
      <c r="K131"/>
      <c r="L131"/>
      <c r="M131"/>
      <c r="N131"/>
      <c r="O131" s="47"/>
      <c r="P131"/>
      <c r="Q131"/>
      <c r="R131"/>
      <c r="S131"/>
      <c r="T131"/>
      <c r="U131"/>
      <c r="V131"/>
      <c r="W131"/>
      <c r="X131"/>
      <c r="Y131"/>
      <c r="Z131" s="48"/>
      <c r="AA131"/>
      <c r="AB131"/>
      <c r="AC131"/>
      <c r="AD131"/>
      <c r="AE131"/>
      <c r="AF131"/>
      <c r="AG131"/>
      <c r="AH131"/>
      <c r="AI131"/>
      <c r="AJ131"/>
      <c r="AK131"/>
      <c r="AL131" s="48"/>
    </row>
    <row r="132" spans="1:38" s="93" customFormat="1" x14ac:dyDescent="0.35">
      <c r="D132" s="92"/>
      <c r="F132" s="168"/>
      <c r="G132"/>
      <c r="H132"/>
      <c r="I132"/>
      <c r="J132"/>
      <c r="K132"/>
      <c r="L132"/>
      <c r="M132"/>
      <c r="N132"/>
      <c r="O132" s="47"/>
      <c r="P132"/>
      <c r="Q132"/>
      <c r="R132"/>
      <c r="S132"/>
      <c r="T132"/>
      <c r="U132"/>
      <c r="V132"/>
      <c r="W132"/>
      <c r="X132"/>
      <c r="Y132"/>
      <c r="Z132" s="48"/>
      <c r="AA132"/>
      <c r="AB132"/>
      <c r="AC132"/>
      <c r="AD132"/>
      <c r="AE132"/>
      <c r="AF132"/>
      <c r="AG132"/>
      <c r="AH132"/>
      <c r="AI132"/>
      <c r="AJ132"/>
      <c r="AK132"/>
      <c r="AL132" s="48"/>
    </row>
    <row r="133" spans="1:38" s="93" customFormat="1" x14ac:dyDescent="0.35">
      <c r="D133" s="92"/>
      <c r="F133" s="168"/>
      <c r="G133"/>
      <c r="H133"/>
      <c r="I133"/>
      <c r="J133"/>
      <c r="K133"/>
      <c r="L133"/>
      <c r="M133"/>
      <c r="N133"/>
      <c r="O133" s="47"/>
      <c r="P133"/>
      <c r="Q133"/>
      <c r="R133"/>
      <c r="S133"/>
      <c r="T133"/>
      <c r="U133"/>
      <c r="V133"/>
      <c r="W133"/>
      <c r="X133"/>
      <c r="Y133"/>
      <c r="Z133" s="48"/>
      <c r="AA133"/>
      <c r="AB133"/>
      <c r="AC133"/>
      <c r="AD133"/>
      <c r="AE133"/>
      <c r="AF133"/>
      <c r="AG133"/>
      <c r="AH133"/>
      <c r="AI133"/>
      <c r="AJ133"/>
      <c r="AK133"/>
      <c r="AL133" s="48"/>
    </row>
    <row r="134" spans="1:38" s="93" customFormat="1" x14ac:dyDescent="0.35">
      <c r="D134" s="92"/>
      <c r="F134" s="168"/>
      <c r="G134"/>
      <c r="H134"/>
      <c r="I134"/>
      <c r="J134"/>
      <c r="K134"/>
      <c r="L134"/>
      <c r="M134"/>
      <c r="N134"/>
      <c r="O134" s="47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</row>
    <row r="135" spans="1:38" s="93" customFormat="1" x14ac:dyDescent="0.35">
      <c r="D135" s="92"/>
      <c r="F135" s="168"/>
      <c r="G135"/>
      <c r="H135"/>
      <c r="I135"/>
      <c r="J135"/>
      <c r="K135"/>
      <c r="L135"/>
      <c r="M135"/>
      <c r="N135"/>
      <c r="O135" s="47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</row>
    <row r="136" spans="1:38" x14ac:dyDescent="0.35"/>
    <row r="137" spans="1:38" x14ac:dyDescent="0.35"/>
    <row r="138" spans="1:38" x14ac:dyDescent="0.35"/>
    <row r="139" spans="1:38" x14ac:dyDescent="0.35"/>
    <row r="140" spans="1:38" x14ac:dyDescent="0.35"/>
    <row r="141" spans="1:38" x14ac:dyDescent="0.35"/>
    <row r="142" spans="1:38" x14ac:dyDescent="0.35"/>
    <row r="143" spans="1:38" x14ac:dyDescent="0.35"/>
    <row r="144" spans="1:38" x14ac:dyDescent="0.35"/>
    <row r="145" spans="1:38" s="7" customFormat="1" hidden="1" x14ac:dyDescent="0.35">
      <c r="A145" s="99"/>
      <c r="B145" s="99"/>
      <c r="C145" s="99"/>
      <c r="D145" s="100"/>
      <c r="E145" s="99"/>
      <c r="F145" s="248"/>
      <c r="O145" s="90"/>
      <c r="Z145" s="91"/>
      <c r="AL145" s="91"/>
    </row>
    <row r="146" spans="1:38" x14ac:dyDescent="0.35"/>
    <row r="147" spans="1:38" x14ac:dyDescent="0.35"/>
    <row r="148" spans="1:38" x14ac:dyDescent="0.35"/>
    <row r="149" spans="1:38" x14ac:dyDescent="0.35"/>
    <row r="150" spans="1:38" x14ac:dyDescent="0.35"/>
    <row r="151" spans="1:38" x14ac:dyDescent="0.35"/>
    <row r="152" spans="1:38" s="93" customFormat="1" x14ac:dyDescent="0.35">
      <c r="D152" s="92"/>
      <c r="F152" s="168"/>
      <c r="G152"/>
      <c r="H152"/>
      <c r="I152"/>
      <c r="J152"/>
      <c r="K152"/>
      <c r="L152"/>
      <c r="M152"/>
      <c r="N152"/>
      <c r="O152" s="47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</row>
    <row r="153" spans="1:38" s="93" customFormat="1" x14ac:dyDescent="0.35">
      <c r="D153" s="92"/>
      <c r="F153" s="168"/>
      <c r="G153"/>
      <c r="H153"/>
      <c r="I153"/>
      <c r="J153"/>
      <c r="K153"/>
      <c r="L153"/>
      <c r="M153"/>
      <c r="N153"/>
      <c r="O153" s="47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</row>
    <row r="154" spans="1:38" s="93" customFormat="1" x14ac:dyDescent="0.35">
      <c r="D154" s="92"/>
      <c r="F154" s="168"/>
      <c r="G154"/>
      <c r="H154"/>
      <c r="I154"/>
      <c r="J154"/>
      <c r="K154"/>
      <c r="L154"/>
      <c r="M154"/>
      <c r="N154"/>
      <c r="O154" s="47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</row>
    <row r="155" spans="1:38" s="93" customFormat="1" x14ac:dyDescent="0.35">
      <c r="D155" s="92"/>
      <c r="F155" s="168"/>
      <c r="G155"/>
      <c r="H155"/>
      <c r="I155"/>
      <c r="J155"/>
      <c r="K155"/>
      <c r="L155"/>
      <c r="M155"/>
      <c r="N155"/>
      <c r="O155" s="47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</row>
    <row r="156" spans="1:38" s="93" customFormat="1" x14ac:dyDescent="0.35">
      <c r="D156" s="92"/>
      <c r="F156" s="168"/>
      <c r="G156"/>
      <c r="H156"/>
      <c r="I156"/>
      <c r="J156"/>
      <c r="K156"/>
      <c r="L156"/>
      <c r="M156"/>
      <c r="N156"/>
      <c r="O156" s="47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</row>
    <row r="157" spans="1:38" s="93" customFormat="1" x14ac:dyDescent="0.35">
      <c r="D157" s="92"/>
      <c r="F157" s="168"/>
      <c r="G157"/>
      <c r="H157"/>
      <c r="I157"/>
      <c r="J157"/>
      <c r="K157"/>
      <c r="L157"/>
      <c r="M157"/>
      <c r="N157"/>
      <c r="O157" s="4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</row>
    <row r="158" spans="1:38" s="93" customFormat="1" x14ac:dyDescent="0.35">
      <c r="D158" s="92"/>
      <c r="F158" s="168"/>
      <c r="G158"/>
      <c r="H158"/>
      <c r="I158"/>
      <c r="J158"/>
      <c r="K158"/>
      <c r="L158"/>
      <c r="M158"/>
      <c r="N158"/>
      <c r="O158" s="47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</row>
    <row r="159" spans="1:38" s="93" customFormat="1" x14ac:dyDescent="0.35">
      <c r="D159" s="92"/>
      <c r="F159" s="168"/>
      <c r="G159"/>
      <c r="H159"/>
      <c r="I159"/>
      <c r="J159"/>
      <c r="K159"/>
      <c r="L159"/>
      <c r="M159"/>
      <c r="N159"/>
      <c r="O159" s="47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</row>
    <row r="160" spans="1:38" s="93" customFormat="1" x14ac:dyDescent="0.35">
      <c r="D160" s="92"/>
      <c r="F160" s="168"/>
      <c r="G160"/>
      <c r="H160"/>
      <c r="I160"/>
      <c r="J160"/>
      <c r="K160"/>
      <c r="L160"/>
      <c r="M160"/>
      <c r="N160"/>
      <c r="O160" s="47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</row>
    <row r="161" spans="4:38" s="93" customFormat="1" x14ac:dyDescent="0.35">
      <c r="D161" s="92"/>
      <c r="F161" s="168"/>
      <c r="G161"/>
      <c r="H161"/>
      <c r="I161"/>
      <c r="J161"/>
      <c r="K161"/>
      <c r="L161"/>
      <c r="M161"/>
      <c r="N161"/>
      <c r="O161" s="47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</row>
    <row r="162" spans="4:38" s="93" customFormat="1" x14ac:dyDescent="0.35">
      <c r="D162" s="92"/>
      <c r="F162" s="168"/>
      <c r="G162"/>
      <c r="H162"/>
      <c r="I162"/>
      <c r="J162"/>
      <c r="K162"/>
      <c r="L162"/>
      <c r="M162"/>
      <c r="N162"/>
      <c r="O162" s="47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</row>
    <row r="163" spans="4:38" s="93" customFormat="1" x14ac:dyDescent="0.35">
      <c r="D163" s="92"/>
      <c r="F163" s="168"/>
      <c r="G163"/>
      <c r="H163"/>
      <c r="I163"/>
      <c r="J163"/>
      <c r="K163"/>
      <c r="L163"/>
      <c r="M163"/>
      <c r="N163"/>
      <c r="O163" s="47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</row>
    <row r="164" spans="4:38" s="93" customFormat="1" x14ac:dyDescent="0.35">
      <c r="D164" s="92"/>
      <c r="F164" s="168"/>
      <c r="G164"/>
      <c r="H164"/>
      <c r="I164"/>
      <c r="J164"/>
      <c r="K164"/>
      <c r="L164"/>
      <c r="M164"/>
      <c r="N164"/>
      <c r="O164" s="47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</row>
    <row r="165" spans="4:38" s="93" customFormat="1" x14ac:dyDescent="0.35">
      <c r="D165" s="92"/>
      <c r="F165" s="168"/>
      <c r="G165"/>
      <c r="H165"/>
      <c r="I165"/>
      <c r="J165"/>
      <c r="K165"/>
      <c r="L165"/>
      <c r="M165"/>
      <c r="N165"/>
      <c r="O165" s="47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</row>
    <row r="166" spans="4:38" s="93" customFormat="1" x14ac:dyDescent="0.35">
      <c r="D166" s="92"/>
      <c r="F166" s="168"/>
      <c r="G166"/>
      <c r="H166"/>
      <c r="I166"/>
      <c r="J166"/>
      <c r="K166"/>
      <c r="L166"/>
      <c r="M166"/>
      <c r="N166"/>
      <c r="O166" s="47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</row>
    <row r="167" spans="4:38" s="93" customFormat="1" x14ac:dyDescent="0.35">
      <c r="D167" s="92"/>
      <c r="F167" s="168"/>
      <c r="G167"/>
      <c r="H167"/>
      <c r="I167"/>
      <c r="J167"/>
      <c r="K167"/>
      <c r="L167"/>
      <c r="M167"/>
      <c r="N167"/>
      <c r="O167" s="4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</row>
    <row r="168" spans="4:38" s="93" customFormat="1" x14ac:dyDescent="0.35">
      <c r="D168" s="92"/>
      <c r="F168" s="168"/>
      <c r="G168"/>
      <c r="H168"/>
      <c r="I168"/>
      <c r="J168"/>
      <c r="K168"/>
      <c r="L168"/>
      <c r="M168"/>
      <c r="N168"/>
      <c r="O168" s="47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</row>
    <row r="169" spans="4:38" s="93" customFormat="1" x14ac:dyDescent="0.35">
      <c r="D169" s="92"/>
      <c r="F169" s="168"/>
      <c r="G169"/>
      <c r="H169"/>
      <c r="I169"/>
      <c r="J169"/>
      <c r="K169"/>
      <c r="L169"/>
      <c r="M169"/>
      <c r="N169"/>
      <c r="O169" s="47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</row>
    <row r="170" spans="4:38" s="93" customFormat="1" x14ac:dyDescent="0.35">
      <c r="D170" s="92"/>
      <c r="F170" s="168"/>
      <c r="G170"/>
      <c r="H170"/>
      <c r="I170"/>
      <c r="J170"/>
      <c r="K170"/>
      <c r="L170"/>
      <c r="M170"/>
      <c r="N170"/>
      <c r="O170" s="47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</row>
    <row r="171" spans="4:38" s="93" customFormat="1" x14ac:dyDescent="0.35">
      <c r="D171" s="92"/>
      <c r="F171" s="168"/>
      <c r="G171"/>
      <c r="H171"/>
      <c r="I171"/>
      <c r="J171"/>
      <c r="K171"/>
      <c r="L171"/>
      <c r="M171"/>
      <c r="N171"/>
      <c r="O171" s="47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</row>
    <row r="172" spans="4:38" s="93" customFormat="1" x14ac:dyDescent="0.35">
      <c r="D172" s="92"/>
      <c r="F172" s="168"/>
      <c r="G172"/>
      <c r="H172"/>
      <c r="I172"/>
      <c r="J172"/>
      <c r="K172"/>
      <c r="L172"/>
      <c r="M172"/>
      <c r="N172"/>
      <c r="O172" s="47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</row>
    <row r="173" spans="4:38" s="93" customFormat="1" x14ac:dyDescent="0.35">
      <c r="D173" s="92"/>
      <c r="F173" s="168"/>
      <c r="G173"/>
      <c r="H173"/>
      <c r="I173"/>
      <c r="J173"/>
      <c r="K173"/>
      <c r="L173"/>
      <c r="M173"/>
      <c r="N173"/>
      <c r="O173" s="47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</row>
    <row r="174" spans="4:38" s="93" customFormat="1" x14ac:dyDescent="0.35">
      <c r="D174" s="92"/>
      <c r="F174" s="168"/>
      <c r="G174"/>
      <c r="H174"/>
      <c r="I174"/>
      <c r="J174"/>
      <c r="K174"/>
      <c r="L174"/>
      <c r="M174"/>
      <c r="N174"/>
      <c r="O174" s="47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</row>
    <row r="175" spans="4:38" s="93" customFormat="1" x14ac:dyDescent="0.35">
      <c r="D175" s="92"/>
      <c r="F175" s="168"/>
      <c r="G175"/>
      <c r="H175"/>
      <c r="I175"/>
      <c r="J175"/>
      <c r="K175"/>
      <c r="L175"/>
      <c r="M175"/>
      <c r="N175"/>
      <c r="O175" s="47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</row>
    <row r="176" spans="4:38" s="93" customFormat="1" x14ac:dyDescent="0.35">
      <c r="D176" s="92"/>
      <c r="F176" s="168"/>
      <c r="G176"/>
      <c r="H176"/>
      <c r="I176"/>
      <c r="J176"/>
      <c r="K176"/>
      <c r="L176"/>
      <c r="M176"/>
      <c r="N176"/>
      <c r="O176" s="47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</row>
    <row r="177" spans="4:38" s="93" customFormat="1" x14ac:dyDescent="0.35">
      <c r="D177" s="92"/>
      <c r="F177" s="168"/>
      <c r="G177"/>
      <c r="H177"/>
      <c r="I177"/>
      <c r="J177"/>
      <c r="K177"/>
      <c r="L177"/>
      <c r="M177"/>
      <c r="N177"/>
      <c r="O177" s="4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</row>
    <row r="178" spans="4:38" s="93" customFormat="1" x14ac:dyDescent="0.35">
      <c r="D178" s="92"/>
      <c r="F178" s="168"/>
      <c r="G178"/>
      <c r="H178"/>
      <c r="I178"/>
      <c r="J178"/>
      <c r="K178"/>
      <c r="L178"/>
      <c r="M178"/>
      <c r="N178"/>
      <c r="O178" s="47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</row>
    <row r="179" spans="4:38" s="93" customFormat="1" x14ac:dyDescent="0.35">
      <c r="D179" s="92"/>
      <c r="F179" s="168"/>
      <c r="G179"/>
      <c r="H179"/>
      <c r="I179"/>
      <c r="J179"/>
      <c r="K179"/>
      <c r="L179"/>
      <c r="M179"/>
      <c r="N179"/>
      <c r="O179" s="47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</row>
    <row r="180" spans="4:38" s="93" customFormat="1" x14ac:dyDescent="0.35">
      <c r="D180" s="92"/>
      <c r="F180" s="168"/>
      <c r="G180"/>
      <c r="H180"/>
      <c r="I180"/>
      <c r="J180"/>
      <c r="K180"/>
      <c r="L180"/>
      <c r="M180"/>
      <c r="N180"/>
      <c r="O180" s="47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</row>
    <row r="181" spans="4:38" s="93" customFormat="1" x14ac:dyDescent="0.35">
      <c r="D181" s="92"/>
      <c r="F181" s="168"/>
      <c r="G181"/>
      <c r="H181"/>
      <c r="I181"/>
      <c r="J181"/>
      <c r="K181"/>
      <c r="L181"/>
      <c r="M181"/>
      <c r="N181"/>
      <c r="O181" s="47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</row>
    <row r="182" spans="4:38" s="93" customFormat="1" x14ac:dyDescent="0.35">
      <c r="D182" s="92"/>
      <c r="F182" s="168"/>
      <c r="G182"/>
      <c r="H182"/>
      <c r="I182"/>
      <c r="J182"/>
      <c r="K182"/>
      <c r="L182"/>
      <c r="M182"/>
      <c r="N182"/>
      <c r="O182" s="47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</row>
    <row r="183" spans="4:38" s="93" customFormat="1" x14ac:dyDescent="0.35">
      <c r="D183" s="92"/>
      <c r="F183" s="168"/>
      <c r="G183"/>
      <c r="H183"/>
      <c r="I183"/>
      <c r="J183"/>
      <c r="K183"/>
      <c r="L183"/>
      <c r="M183"/>
      <c r="N183"/>
      <c r="O183" s="47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</row>
    <row r="184" spans="4:38" s="93" customFormat="1" x14ac:dyDescent="0.35">
      <c r="D184" s="92"/>
      <c r="F184" s="168"/>
      <c r="G184"/>
      <c r="H184"/>
      <c r="I184"/>
      <c r="J184"/>
      <c r="K184"/>
      <c r="L184"/>
      <c r="M184"/>
      <c r="N184"/>
      <c r="O184" s="47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</row>
    <row r="185" spans="4:38" s="93" customFormat="1" x14ac:dyDescent="0.35">
      <c r="D185" s="92"/>
      <c r="F185" s="168"/>
      <c r="G185"/>
      <c r="H185"/>
      <c r="I185"/>
      <c r="J185"/>
      <c r="K185"/>
      <c r="L185"/>
      <c r="M185"/>
      <c r="N185"/>
      <c r="O185" s="47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</row>
    <row r="186" spans="4:38" s="93" customFormat="1" x14ac:dyDescent="0.35">
      <c r="D186" s="92"/>
      <c r="F186" s="168"/>
      <c r="G186"/>
      <c r="H186"/>
      <c r="I186"/>
      <c r="J186"/>
      <c r="K186"/>
      <c r="L186"/>
      <c r="M186"/>
      <c r="N186"/>
      <c r="O186" s="47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</row>
    <row r="187" spans="4:38" s="93" customFormat="1" x14ac:dyDescent="0.35">
      <c r="D187" s="92"/>
      <c r="F187" s="168"/>
      <c r="G187"/>
      <c r="H187"/>
      <c r="I187"/>
      <c r="J187"/>
      <c r="K187"/>
      <c r="L187"/>
      <c r="M187"/>
      <c r="N187"/>
      <c r="O187" s="4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</row>
    <row r="188" spans="4:38" s="93" customFormat="1" x14ac:dyDescent="0.35">
      <c r="D188" s="92"/>
      <c r="F188" s="168"/>
      <c r="G188"/>
      <c r="H188"/>
      <c r="I188"/>
      <c r="J188"/>
      <c r="K188"/>
      <c r="L188"/>
      <c r="M188"/>
      <c r="N188"/>
      <c r="O188" s="47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</row>
    <row r="189" spans="4:38" s="93" customFormat="1" x14ac:dyDescent="0.35">
      <c r="D189" s="92"/>
      <c r="F189" s="168"/>
      <c r="G189"/>
      <c r="H189"/>
      <c r="I189"/>
      <c r="J189"/>
      <c r="K189"/>
      <c r="L189"/>
      <c r="M189"/>
      <c r="N189"/>
      <c r="O189" s="47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</row>
    <row r="190" spans="4:38" s="93" customFormat="1" x14ac:dyDescent="0.35">
      <c r="D190" s="92"/>
      <c r="F190" s="168"/>
      <c r="G190"/>
      <c r="H190"/>
      <c r="I190"/>
      <c r="J190"/>
      <c r="K190"/>
      <c r="L190"/>
      <c r="M190"/>
      <c r="N190"/>
      <c r="O190" s="47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</row>
    <row r="191" spans="4:38" s="93" customFormat="1" x14ac:dyDescent="0.35">
      <c r="D191" s="92"/>
      <c r="F191" s="168"/>
      <c r="G191"/>
      <c r="H191"/>
      <c r="I191"/>
      <c r="J191"/>
      <c r="K191"/>
      <c r="L191"/>
      <c r="M191"/>
      <c r="N191"/>
      <c r="O191" s="47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</row>
    <row r="192" spans="4:38" s="93" customFormat="1" x14ac:dyDescent="0.35">
      <c r="D192" s="92"/>
      <c r="F192" s="168"/>
      <c r="G192"/>
      <c r="H192"/>
      <c r="I192"/>
      <c r="J192"/>
      <c r="K192"/>
      <c r="L192"/>
      <c r="M192"/>
      <c r="N192"/>
      <c r="O192" s="47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</row>
    <row r="193" spans="4:38" s="93" customFormat="1" x14ac:dyDescent="0.35">
      <c r="D193" s="92"/>
      <c r="F193" s="168"/>
      <c r="G193"/>
      <c r="H193"/>
      <c r="I193"/>
      <c r="J193"/>
      <c r="K193"/>
      <c r="L193"/>
      <c r="M193"/>
      <c r="N193"/>
      <c r="O193" s="47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</row>
    <row r="194" spans="4:38" s="93" customFormat="1" x14ac:dyDescent="0.35">
      <c r="D194" s="92"/>
      <c r="F194" s="168"/>
      <c r="G194"/>
      <c r="H194"/>
      <c r="I194"/>
      <c r="J194"/>
      <c r="K194"/>
      <c r="L194"/>
      <c r="M194"/>
      <c r="N194"/>
      <c r="O194" s="47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</row>
    <row r="195" spans="4:38" s="93" customFormat="1" x14ac:dyDescent="0.35">
      <c r="D195" s="92"/>
      <c r="F195" s="168"/>
      <c r="G195"/>
      <c r="H195"/>
      <c r="I195"/>
      <c r="J195"/>
      <c r="K195"/>
      <c r="L195"/>
      <c r="M195"/>
      <c r="N195"/>
      <c r="O195" s="47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</row>
    <row r="196" spans="4:38" s="93" customFormat="1" x14ac:dyDescent="0.35">
      <c r="D196" s="92"/>
      <c r="F196" s="168"/>
      <c r="G196"/>
      <c r="H196"/>
      <c r="I196"/>
      <c r="J196"/>
      <c r="K196"/>
      <c r="L196"/>
      <c r="M196"/>
      <c r="N196"/>
      <c r="O196" s="47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</row>
    <row r="197" spans="4:38" s="93" customFormat="1" x14ac:dyDescent="0.35">
      <c r="D197" s="92"/>
      <c r="F197" s="168"/>
      <c r="G197"/>
      <c r="H197"/>
      <c r="I197"/>
      <c r="J197"/>
      <c r="K197"/>
      <c r="L197"/>
      <c r="M197"/>
      <c r="N197"/>
      <c r="O197" s="4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</row>
    <row r="198" spans="4:38" s="93" customFormat="1" x14ac:dyDescent="0.35">
      <c r="D198" s="92"/>
      <c r="F198" s="168"/>
      <c r="G198"/>
      <c r="H198"/>
      <c r="I198"/>
      <c r="J198"/>
      <c r="K198"/>
      <c r="L198"/>
      <c r="M198"/>
      <c r="N198"/>
      <c r="O198" s="47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</row>
    <row r="199" spans="4:38" s="93" customFormat="1" x14ac:dyDescent="0.35">
      <c r="D199" s="92"/>
      <c r="F199" s="168"/>
      <c r="G199"/>
      <c r="H199"/>
      <c r="I199"/>
      <c r="J199"/>
      <c r="K199"/>
      <c r="L199"/>
      <c r="M199"/>
      <c r="N199"/>
      <c r="O199" s="47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</row>
    <row r="200" spans="4:38" s="93" customFormat="1" ht="15" thickBot="1" x14ac:dyDescent="0.4">
      <c r="D200" s="92"/>
      <c r="F200" s="168"/>
      <c r="G200"/>
      <c r="H200"/>
      <c r="I200"/>
      <c r="J200"/>
      <c r="K200"/>
      <c r="L200"/>
      <c r="M200"/>
      <c r="N200"/>
      <c r="O200" s="47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</row>
    <row r="201" spans="4:38" s="99" customFormat="1" x14ac:dyDescent="0.35">
      <c r="D201" s="100"/>
      <c r="F201" s="248"/>
      <c r="G201" s="7"/>
      <c r="H201" s="7"/>
      <c r="I201" s="7"/>
      <c r="J201" s="7"/>
      <c r="K201" s="7"/>
      <c r="L201" s="7"/>
      <c r="M201" s="7"/>
      <c r="N201" s="7"/>
      <c r="O201" s="9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1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91"/>
    </row>
    <row r="202" spans="4:38" s="93" customFormat="1" x14ac:dyDescent="0.35">
      <c r="D202" s="92"/>
      <c r="F202" s="168"/>
      <c r="G202"/>
      <c r="H202"/>
      <c r="I202"/>
      <c r="J202"/>
      <c r="K202"/>
      <c r="L202"/>
      <c r="M202"/>
      <c r="N202"/>
      <c r="O202" s="47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</row>
    <row r="203" spans="4:38" s="93" customFormat="1" x14ac:dyDescent="0.35">
      <c r="D203" s="92"/>
      <c r="F203" s="168"/>
      <c r="G203"/>
      <c r="H203"/>
      <c r="I203"/>
      <c r="J203"/>
      <c r="K203"/>
      <c r="L203"/>
      <c r="M203"/>
      <c r="N203"/>
      <c r="O203" s="47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</row>
    <row r="204" spans="4:38" s="93" customFormat="1" x14ac:dyDescent="0.35">
      <c r="D204" s="92"/>
      <c r="F204" s="168"/>
      <c r="G204"/>
      <c r="H204"/>
      <c r="I204"/>
      <c r="J204"/>
      <c r="K204"/>
      <c r="L204"/>
      <c r="M204"/>
      <c r="N204"/>
      <c r="O204" s="47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</row>
    <row r="205" spans="4:38" s="93" customFormat="1" x14ac:dyDescent="0.35">
      <c r="D205" s="92"/>
      <c r="F205" s="168"/>
      <c r="G205"/>
      <c r="H205"/>
      <c r="I205"/>
      <c r="J205"/>
      <c r="K205"/>
      <c r="L205"/>
      <c r="M205"/>
      <c r="N205"/>
      <c r="O205" s="47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</row>
    <row r="206" spans="4:38" s="93" customFormat="1" x14ac:dyDescent="0.35">
      <c r="D206" s="92"/>
      <c r="F206" s="168"/>
      <c r="G206"/>
      <c r="H206"/>
      <c r="I206"/>
      <c r="J206"/>
      <c r="K206"/>
      <c r="L206"/>
      <c r="M206"/>
      <c r="N206"/>
      <c r="O206" s="47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</row>
    <row r="207" spans="4:38" s="93" customFormat="1" x14ac:dyDescent="0.35">
      <c r="D207" s="92"/>
      <c r="F207" s="168"/>
      <c r="G207"/>
      <c r="H207"/>
      <c r="I207"/>
      <c r="J207"/>
      <c r="K207"/>
      <c r="L207"/>
      <c r="M207"/>
      <c r="N207"/>
      <c r="O207" s="4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</row>
    <row r="208" spans="4:38" s="93" customFormat="1" x14ac:dyDescent="0.35">
      <c r="D208" s="92"/>
      <c r="F208" s="168"/>
      <c r="G208"/>
      <c r="H208"/>
      <c r="I208"/>
      <c r="J208"/>
      <c r="K208"/>
      <c r="L208"/>
      <c r="M208"/>
      <c r="N208"/>
      <c r="O208" s="47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</row>
    <row r="209" spans="4:38" s="93" customFormat="1" x14ac:dyDescent="0.35">
      <c r="D209" s="92"/>
      <c r="F209" s="168"/>
      <c r="G209"/>
      <c r="H209"/>
      <c r="I209"/>
      <c r="J209"/>
      <c r="K209"/>
      <c r="L209"/>
      <c r="M209"/>
      <c r="N209"/>
      <c r="O209" s="47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</row>
    <row r="210" spans="4:38" s="93" customFormat="1" x14ac:dyDescent="0.35">
      <c r="D210" s="92"/>
      <c r="F210" s="168"/>
      <c r="G210"/>
      <c r="H210"/>
      <c r="I210"/>
      <c r="J210"/>
      <c r="K210"/>
      <c r="L210"/>
      <c r="M210"/>
      <c r="N210"/>
      <c r="O210" s="47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</row>
    <row r="211" spans="4:38" s="93" customFormat="1" x14ac:dyDescent="0.35">
      <c r="D211" s="92"/>
      <c r="F211" s="168"/>
      <c r="G211"/>
      <c r="H211"/>
      <c r="I211"/>
      <c r="J211"/>
      <c r="K211"/>
      <c r="L211"/>
      <c r="M211"/>
      <c r="N211"/>
      <c r="O211" s="47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</row>
    <row r="212" spans="4:38" s="93" customFormat="1" x14ac:dyDescent="0.35">
      <c r="D212" s="92"/>
      <c r="F212" s="168"/>
      <c r="G212"/>
      <c r="H212"/>
      <c r="I212"/>
      <c r="J212"/>
      <c r="K212"/>
      <c r="L212"/>
      <c r="M212"/>
      <c r="N212"/>
      <c r="O212" s="47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</row>
    <row r="213" spans="4:38" s="93" customFormat="1" x14ac:dyDescent="0.35">
      <c r="D213" s="92"/>
      <c r="F213" s="168"/>
      <c r="G213"/>
      <c r="H213"/>
      <c r="I213"/>
      <c r="J213"/>
      <c r="K213"/>
      <c r="L213"/>
      <c r="M213"/>
      <c r="N213"/>
      <c r="O213" s="47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</row>
    <row r="214" spans="4:38" s="93" customFormat="1" x14ac:dyDescent="0.35">
      <c r="D214" s="92"/>
      <c r="F214" s="168"/>
      <c r="G214"/>
      <c r="H214"/>
      <c r="I214"/>
      <c r="J214"/>
      <c r="K214"/>
      <c r="L214"/>
      <c r="M214"/>
      <c r="N214"/>
      <c r="O214" s="47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</row>
    <row r="215" spans="4:38" s="93" customFormat="1" x14ac:dyDescent="0.35">
      <c r="D215" s="92"/>
      <c r="F215" s="168"/>
      <c r="G215"/>
      <c r="H215"/>
      <c r="I215"/>
      <c r="J215"/>
      <c r="K215"/>
      <c r="L215"/>
      <c r="M215"/>
      <c r="N215"/>
      <c r="O215" s="47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</row>
    <row r="216" spans="4:38" s="93" customFormat="1" x14ac:dyDescent="0.35">
      <c r="D216" s="92"/>
      <c r="F216" s="168"/>
      <c r="G216"/>
      <c r="H216"/>
      <c r="I216"/>
      <c r="J216"/>
      <c r="K216"/>
      <c r="L216"/>
      <c r="M216"/>
      <c r="N216"/>
      <c r="O216" s="47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</row>
    <row r="217" spans="4:38" s="93" customFormat="1" x14ac:dyDescent="0.35">
      <c r="D217" s="92"/>
      <c r="F217" s="168"/>
      <c r="G217"/>
      <c r="H217"/>
      <c r="I217"/>
      <c r="J217"/>
      <c r="K217"/>
      <c r="L217"/>
      <c r="M217"/>
      <c r="N217"/>
      <c r="O217" s="4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</row>
    <row r="218" spans="4:38" s="93" customFormat="1" x14ac:dyDescent="0.35">
      <c r="D218" s="92"/>
      <c r="F218" s="168"/>
      <c r="G218"/>
      <c r="H218"/>
      <c r="I218"/>
      <c r="J218"/>
      <c r="K218"/>
      <c r="L218"/>
      <c r="M218"/>
      <c r="N218"/>
      <c r="O218" s="47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</row>
    <row r="219" spans="4:38" s="93" customFormat="1" x14ac:dyDescent="0.35">
      <c r="D219" s="92"/>
      <c r="F219" s="168"/>
      <c r="G219"/>
      <c r="H219"/>
      <c r="I219"/>
      <c r="J219"/>
      <c r="K219"/>
      <c r="L219"/>
      <c r="M219"/>
      <c r="N219"/>
      <c r="O219" s="47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</row>
    <row r="220" spans="4:38" s="93" customFormat="1" x14ac:dyDescent="0.35">
      <c r="D220" s="92"/>
      <c r="F220" s="168"/>
      <c r="G220"/>
      <c r="H220"/>
      <c r="I220"/>
      <c r="J220"/>
      <c r="K220"/>
      <c r="L220"/>
      <c r="M220"/>
      <c r="N220"/>
      <c r="O220" s="47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</row>
    <row r="221" spans="4:38" s="93" customFormat="1" x14ac:dyDescent="0.35">
      <c r="D221" s="92"/>
      <c r="F221" s="168"/>
      <c r="G221"/>
      <c r="H221"/>
      <c r="I221"/>
      <c r="J221"/>
      <c r="K221"/>
      <c r="L221"/>
      <c r="M221"/>
      <c r="N221"/>
      <c r="O221" s="47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</row>
    <row r="222" spans="4:38" s="93" customFormat="1" x14ac:dyDescent="0.35">
      <c r="D222" s="92"/>
      <c r="F222" s="168"/>
      <c r="G222"/>
      <c r="H222"/>
      <c r="I222"/>
      <c r="J222"/>
      <c r="K222"/>
      <c r="L222"/>
      <c r="M222"/>
      <c r="N222"/>
      <c r="O222" s="47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</row>
    <row r="223" spans="4:38" s="93" customFormat="1" x14ac:dyDescent="0.35">
      <c r="D223" s="92"/>
      <c r="F223" s="168"/>
      <c r="G223"/>
      <c r="H223"/>
      <c r="I223"/>
      <c r="J223"/>
      <c r="K223"/>
      <c r="L223"/>
      <c r="M223"/>
      <c r="N223"/>
      <c r="O223" s="47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</row>
    <row r="224" spans="4:38" s="93" customFormat="1" x14ac:dyDescent="0.35">
      <c r="D224" s="92"/>
      <c r="F224" s="168"/>
      <c r="G224"/>
      <c r="H224"/>
      <c r="I224"/>
      <c r="J224"/>
      <c r="K224"/>
      <c r="L224"/>
      <c r="M224"/>
      <c r="N224"/>
      <c r="O224" s="47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</row>
    <row r="225" spans="4:38" s="93" customFormat="1" x14ac:dyDescent="0.35">
      <c r="D225" s="92"/>
      <c r="F225" s="168"/>
      <c r="G225"/>
      <c r="H225"/>
      <c r="I225"/>
      <c r="J225"/>
      <c r="K225"/>
      <c r="L225"/>
      <c r="M225"/>
      <c r="N225"/>
      <c r="O225" s="47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</row>
    <row r="226" spans="4:38" s="93" customFormat="1" x14ac:dyDescent="0.35">
      <c r="D226" s="92"/>
      <c r="F226" s="168"/>
      <c r="G226"/>
      <c r="H226"/>
      <c r="I226"/>
      <c r="J226"/>
      <c r="K226"/>
      <c r="L226"/>
      <c r="M226"/>
      <c r="N226"/>
      <c r="O226" s="47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</row>
    <row r="227" spans="4:38" s="93" customFormat="1" x14ac:dyDescent="0.35">
      <c r="D227" s="92"/>
      <c r="F227" s="168"/>
      <c r="G227"/>
      <c r="H227"/>
      <c r="I227"/>
      <c r="J227"/>
      <c r="K227"/>
      <c r="L227"/>
      <c r="M227"/>
      <c r="N227"/>
      <c r="O227" s="4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</row>
    <row r="228" spans="4:38" s="93" customFormat="1" x14ac:dyDescent="0.35">
      <c r="D228" s="92"/>
      <c r="F228" s="168"/>
      <c r="G228"/>
      <c r="H228"/>
      <c r="I228"/>
      <c r="J228"/>
      <c r="K228"/>
      <c r="L228"/>
      <c r="M228"/>
      <c r="N228"/>
      <c r="O228" s="47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</row>
    <row r="229" spans="4:38" s="93" customFormat="1" x14ac:dyDescent="0.35">
      <c r="D229" s="92"/>
      <c r="F229" s="168"/>
      <c r="G229"/>
      <c r="H229"/>
      <c r="I229"/>
      <c r="J229"/>
      <c r="K229"/>
      <c r="L229"/>
      <c r="M229"/>
      <c r="N229"/>
      <c r="O229" s="47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</row>
    <row r="230" spans="4:38" s="93" customFormat="1" x14ac:dyDescent="0.35">
      <c r="D230" s="92"/>
      <c r="F230" s="168"/>
      <c r="G230"/>
      <c r="H230"/>
      <c r="I230"/>
      <c r="J230"/>
      <c r="K230"/>
      <c r="L230"/>
      <c r="M230"/>
      <c r="N230"/>
      <c r="O230" s="47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</row>
    <row r="231" spans="4:38" s="93" customFormat="1" x14ac:dyDescent="0.35">
      <c r="D231" s="92"/>
      <c r="F231" s="168"/>
      <c r="G231"/>
      <c r="H231"/>
      <c r="I231"/>
      <c r="J231"/>
      <c r="K231"/>
      <c r="L231"/>
      <c r="M231"/>
      <c r="N231"/>
      <c r="O231" s="47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</row>
    <row r="232" spans="4:38" s="93" customFormat="1" x14ac:dyDescent="0.35">
      <c r="D232" s="92"/>
      <c r="F232" s="168"/>
      <c r="G232"/>
      <c r="H232"/>
      <c r="I232"/>
      <c r="J232"/>
      <c r="K232"/>
      <c r="L232"/>
      <c r="M232"/>
      <c r="N232"/>
      <c r="O232" s="47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</row>
    <row r="233" spans="4:38" s="93" customFormat="1" x14ac:dyDescent="0.35">
      <c r="D233" s="92"/>
      <c r="F233" s="168"/>
      <c r="G233"/>
      <c r="H233"/>
      <c r="I233"/>
      <c r="J233"/>
      <c r="K233"/>
      <c r="L233"/>
      <c r="M233"/>
      <c r="N233"/>
      <c r="O233" s="47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</row>
    <row r="234" spans="4:38" s="93" customFormat="1" x14ac:dyDescent="0.35">
      <c r="D234" s="92"/>
      <c r="F234" s="168"/>
      <c r="G234"/>
      <c r="H234"/>
      <c r="I234"/>
      <c r="J234"/>
      <c r="K234"/>
      <c r="L234"/>
      <c r="M234"/>
      <c r="N234"/>
      <c r="O234" s="47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</row>
    <row r="235" spans="4:38" s="93" customFormat="1" x14ac:dyDescent="0.35">
      <c r="D235" s="92"/>
      <c r="F235" s="168"/>
      <c r="G235"/>
      <c r="H235"/>
      <c r="I235"/>
      <c r="J235"/>
      <c r="K235"/>
      <c r="L235"/>
      <c r="M235"/>
      <c r="N235"/>
      <c r="O235" s="47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</row>
    <row r="236" spans="4:38" s="93" customFormat="1" x14ac:dyDescent="0.35">
      <c r="D236" s="92"/>
      <c r="F236" s="168"/>
      <c r="G236"/>
      <c r="H236"/>
      <c r="I236"/>
      <c r="J236"/>
      <c r="K236"/>
      <c r="L236"/>
      <c r="M236"/>
      <c r="N236"/>
      <c r="O236" s="47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</row>
    <row r="237" spans="4:38" s="93" customFormat="1" x14ac:dyDescent="0.35">
      <c r="D237" s="92"/>
      <c r="F237" s="168"/>
      <c r="G237"/>
      <c r="H237"/>
      <c r="I237"/>
      <c r="J237"/>
      <c r="K237"/>
      <c r="L237"/>
      <c r="M237"/>
      <c r="N237"/>
      <c r="O237" s="4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</row>
    <row r="238" spans="4:38" s="93" customFormat="1" x14ac:dyDescent="0.35">
      <c r="D238" s="92"/>
      <c r="F238" s="168"/>
      <c r="G238"/>
      <c r="H238"/>
      <c r="I238"/>
      <c r="J238"/>
      <c r="K238"/>
      <c r="L238"/>
      <c r="M238"/>
      <c r="N238"/>
      <c r="O238" s="47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</row>
    <row r="239" spans="4:38" s="93" customFormat="1" x14ac:dyDescent="0.35">
      <c r="D239" s="92"/>
      <c r="F239" s="168"/>
      <c r="G239"/>
      <c r="H239"/>
      <c r="I239"/>
      <c r="J239"/>
      <c r="K239"/>
      <c r="L239"/>
      <c r="M239"/>
      <c r="N239"/>
      <c r="O239" s="47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</row>
    <row r="240" spans="4:38" s="93" customFormat="1" x14ac:dyDescent="0.35">
      <c r="D240" s="92"/>
      <c r="F240" s="168"/>
      <c r="G240"/>
      <c r="H240"/>
      <c r="I240"/>
      <c r="J240"/>
      <c r="K240"/>
      <c r="L240"/>
      <c r="M240"/>
      <c r="N240"/>
      <c r="O240" s="47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</row>
    <row r="241" spans="4:38" s="93" customFormat="1" x14ac:dyDescent="0.35">
      <c r="D241" s="92"/>
      <c r="F241" s="168"/>
      <c r="G241"/>
      <c r="H241"/>
      <c r="I241"/>
      <c r="J241"/>
      <c r="K241"/>
      <c r="L241"/>
      <c r="M241"/>
      <c r="N241"/>
      <c r="O241" s="47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</row>
    <row r="242" spans="4:38" s="93" customFormat="1" x14ac:dyDescent="0.35">
      <c r="D242" s="92"/>
      <c r="F242" s="168"/>
      <c r="G242"/>
      <c r="H242"/>
      <c r="I242"/>
      <c r="J242"/>
      <c r="K242"/>
      <c r="L242"/>
      <c r="M242"/>
      <c r="N242"/>
      <c r="O242" s="47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</row>
    <row r="243" spans="4:38" s="93" customFormat="1" x14ac:dyDescent="0.35">
      <c r="D243" s="92"/>
      <c r="F243" s="168"/>
      <c r="G243"/>
      <c r="H243"/>
      <c r="I243"/>
      <c r="J243"/>
      <c r="K243"/>
      <c r="L243"/>
      <c r="M243"/>
      <c r="N243"/>
      <c r="O243" s="47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</row>
    <row r="244" spans="4:38" s="93" customFormat="1" x14ac:dyDescent="0.35">
      <c r="D244" s="92"/>
      <c r="F244" s="168"/>
      <c r="G244"/>
      <c r="H244"/>
      <c r="I244"/>
      <c r="J244"/>
      <c r="K244"/>
      <c r="L244"/>
      <c r="M244"/>
      <c r="N244"/>
      <c r="O244" s="47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</row>
    <row r="245" spans="4:38" s="93" customFormat="1" x14ac:dyDescent="0.35">
      <c r="D245" s="92"/>
      <c r="F245" s="168"/>
      <c r="G245"/>
      <c r="H245"/>
      <c r="I245"/>
      <c r="J245"/>
      <c r="K245"/>
      <c r="L245"/>
      <c r="M245"/>
      <c r="N245"/>
      <c r="O245" s="47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</row>
    <row r="246" spans="4:38" s="93" customFormat="1" x14ac:dyDescent="0.35">
      <c r="D246" s="92"/>
      <c r="F246" s="168"/>
      <c r="G246"/>
      <c r="H246"/>
      <c r="I246"/>
      <c r="J246"/>
      <c r="K246"/>
      <c r="L246"/>
      <c r="M246"/>
      <c r="N246"/>
      <c r="O246" s="47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</row>
    <row r="247" spans="4:38" s="93" customFormat="1" x14ac:dyDescent="0.35">
      <c r="D247" s="92"/>
      <c r="F247" s="168"/>
      <c r="G247"/>
      <c r="H247"/>
      <c r="I247"/>
      <c r="J247"/>
      <c r="K247"/>
      <c r="L247"/>
      <c r="M247"/>
      <c r="N247"/>
      <c r="O247" s="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</row>
    <row r="248" spans="4:38" s="93" customFormat="1" x14ac:dyDescent="0.35">
      <c r="D248" s="92"/>
      <c r="F248" s="168"/>
      <c r="G248"/>
      <c r="H248"/>
      <c r="I248"/>
      <c r="J248"/>
      <c r="K248"/>
      <c r="L248"/>
      <c r="M248"/>
      <c r="N248"/>
      <c r="O248" s="47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</row>
    <row r="249" spans="4:38" x14ac:dyDescent="0.35"/>
    <row r="250" spans="4:38" x14ac:dyDescent="0.35"/>
    <row r="251" spans="4:38" x14ac:dyDescent="0.35"/>
    <row r="252" spans="4:38" x14ac:dyDescent="0.35"/>
    <row r="253" spans="4:38" x14ac:dyDescent="0.35"/>
    <row r="254" spans="4:38" x14ac:dyDescent="0.35"/>
    <row r="255" spans="4:38" x14ac:dyDescent="0.35"/>
    <row r="256" spans="4:38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</sheetData>
  <mergeCells count="2">
    <mergeCell ref="F8:F9"/>
    <mergeCell ref="G8:J9"/>
  </mergeCells>
  <hyperlinks>
    <hyperlink ref="I80" location="'Rebate-Suntory'!I14" display="Rebate (2025: sản lượng dự tính 6000-7000 tấn)" xr:uid="{94B1B279-E32F-44C7-B26A-89A309FC2316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E81-92FA-4DFD-85E7-D907F9B1B0F3}">
  <dimension ref="A1:BB123"/>
  <sheetViews>
    <sheetView showGridLines="0" zoomScale="85" zoomScaleNormal="85" workbookViewId="0">
      <pane xSplit="5" ySplit="8" topLeftCell="AE9" activePane="bottomRight" state="frozen"/>
      <selection activeCell="AE69" sqref="AE69"/>
      <selection pane="topRight" activeCell="AE69" sqref="AE69"/>
      <selection pane="bottomLeft" activeCell="AE69" sqref="AE69"/>
      <selection pane="bottomRight" activeCell="AE69" sqref="AE69"/>
    </sheetView>
  </sheetViews>
  <sheetFormatPr defaultRowHeight="14.5" zeroHeight="1" outlineLevelRow="1" x14ac:dyDescent="0.35"/>
  <cols>
    <col min="1" max="1" width="9.83203125" style="14" bestFit="1" customWidth="1"/>
    <col min="2" max="2" width="6.08203125" customWidth="1"/>
    <col min="3" max="3" width="31.75" customWidth="1"/>
    <col min="4" max="4" width="6.75" style="9" bestFit="1" customWidth="1"/>
    <col min="5" max="5" width="0.58203125" customWidth="1"/>
    <col min="6" max="17" width="10.08203125" bestFit="1" customWidth="1"/>
    <col min="18" max="18" width="11.58203125" bestFit="1" customWidth="1"/>
    <col min="19" max="29" width="10.08203125" bestFit="1" customWidth="1"/>
    <col min="30" max="40" width="10.33203125" bestFit="1" customWidth="1"/>
    <col min="41" max="53" width="10.33203125" customWidth="1"/>
    <col min="54" max="54" width="1.33203125" customWidth="1"/>
  </cols>
  <sheetData>
    <row r="1" spans="1:54" s="21" customFormat="1" outlineLevel="1" x14ac:dyDescent="0.35">
      <c r="D1" s="23"/>
      <c r="F1" s="78">
        <f t="shared" ref="F1:Q1" si="0">DATE(F3,F4,1)</f>
        <v>44927</v>
      </c>
      <c r="G1" s="77">
        <f t="shared" si="0"/>
        <v>44958</v>
      </c>
      <c r="H1" s="77">
        <f t="shared" si="0"/>
        <v>44986</v>
      </c>
      <c r="I1" s="77">
        <f t="shared" si="0"/>
        <v>45017</v>
      </c>
      <c r="J1" s="77">
        <f t="shared" si="0"/>
        <v>45047</v>
      </c>
      <c r="K1" s="77">
        <f t="shared" si="0"/>
        <v>45078</v>
      </c>
      <c r="L1" s="77">
        <f t="shared" si="0"/>
        <v>45108</v>
      </c>
      <c r="M1" s="77">
        <f t="shared" si="0"/>
        <v>45139</v>
      </c>
      <c r="N1" s="77">
        <f t="shared" si="0"/>
        <v>45170</v>
      </c>
      <c r="O1" s="77">
        <f t="shared" si="0"/>
        <v>45200</v>
      </c>
      <c r="P1" s="77">
        <f t="shared" si="0"/>
        <v>45231</v>
      </c>
      <c r="Q1" s="77">
        <f t="shared" si="0"/>
        <v>45261</v>
      </c>
      <c r="R1" s="78">
        <f>DATE(R3,R4,1)</f>
        <v>45292</v>
      </c>
      <c r="S1" s="77">
        <f t="shared" ref="S1:AO1" si="1">DATE(S3,S4,1)</f>
        <v>45323</v>
      </c>
      <c r="T1" s="77">
        <f t="shared" si="1"/>
        <v>45352</v>
      </c>
      <c r="U1" s="77">
        <f t="shared" si="1"/>
        <v>45383</v>
      </c>
      <c r="V1" s="77">
        <f t="shared" si="1"/>
        <v>45413</v>
      </c>
      <c r="W1" s="77">
        <f t="shared" si="1"/>
        <v>45444</v>
      </c>
      <c r="X1" s="77">
        <f t="shared" si="1"/>
        <v>45474</v>
      </c>
      <c r="Y1" s="77">
        <f t="shared" si="1"/>
        <v>45505</v>
      </c>
      <c r="Z1" s="77">
        <f t="shared" si="1"/>
        <v>45536</v>
      </c>
      <c r="AA1" s="77">
        <f t="shared" si="1"/>
        <v>45566</v>
      </c>
      <c r="AB1" s="77">
        <f t="shared" si="1"/>
        <v>45597</v>
      </c>
      <c r="AC1" s="79">
        <f t="shared" si="1"/>
        <v>45627</v>
      </c>
      <c r="AD1" s="77">
        <f t="shared" si="1"/>
        <v>45658</v>
      </c>
      <c r="AE1" s="77">
        <f t="shared" si="1"/>
        <v>45689</v>
      </c>
      <c r="AF1" s="77">
        <f t="shared" si="1"/>
        <v>45717</v>
      </c>
      <c r="AG1" s="77">
        <f t="shared" si="1"/>
        <v>45748</v>
      </c>
      <c r="AH1" s="77">
        <f t="shared" si="1"/>
        <v>45778</v>
      </c>
      <c r="AI1" s="77">
        <f t="shared" si="1"/>
        <v>45809</v>
      </c>
      <c r="AJ1" s="77">
        <f t="shared" si="1"/>
        <v>45839</v>
      </c>
      <c r="AK1" s="77">
        <f t="shared" si="1"/>
        <v>45870</v>
      </c>
      <c r="AL1" s="77">
        <f t="shared" si="1"/>
        <v>45901</v>
      </c>
      <c r="AM1" s="77">
        <f t="shared" si="1"/>
        <v>45931</v>
      </c>
      <c r="AN1" s="77">
        <f t="shared" si="1"/>
        <v>45962</v>
      </c>
      <c r="AO1" s="79">
        <f t="shared" si="1"/>
        <v>45992</v>
      </c>
      <c r="AP1" s="77">
        <f t="shared" ref="AP1:BA1" si="2">DATE(AP3,AP4,1)</f>
        <v>46023</v>
      </c>
      <c r="AQ1" s="77">
        <f t="shared" si="2"/>
        <v>46054</v>
      </c>
      <c r="AR1" s="77">
        <f t="shared" si="2"/>
        <v>46082</v>
      </c>
      <c r="AS1" s="77">
        <f t="shared" si="2"/>
        <v>46113</v>
      </c>
      <c r="AT1" s="77">
        <f t="shared" si="2"/>
        <v>46143</v>
      </c>
      <c r="AU1" s="77">
        <f t="shared" si="2"/>
        <v>46174</v>
      </c>
      <c r="AV1" s="77">
        <f t="shared" si="2"/>
        <v>46204</v>
      </c>
      <c r="AW1" s="77">
        <f t="shared" si="2"/>
        <v>46235</v>
      </c>
      <c r="AX1" s="77">
        <f t="shared" si="2"/>
        <v>46266</v>
      </c>
      <c r="AY1" s="77">
        <f t="shared" si="2"/>
        <v>46296</v>
      </c>
      <c r="AZ1" s="77">
        <f t="shared" si="2"/>
        <v>46327</v>
      </c>
      <c r="BA1" s="79">
        <f t="shared" si="2"/>
        <v>46357</v>
      </c>
      <c r="BB1" s="24"/>
    </row>
    <row r="2" spans="1:54" s="21" customFormat="1" outlineLevel="1" x14ac:dyDescent="0.35">
      <c r="D2" s="23"/>
      <c r="F2" s="78">
        <f t="shared" ref="F2:Q2" si="3">EOMONTH(F1,0)</f>
        <v>44957</v>
      </c>
      <c r="G2" s="77">
        <f t="shared" si="3"/>
        <v>44985</v>
      </c>
      <c r="H2" s="77">
        <f t="shared" si="3"/>
        <v>45016</v>
      </c>
      <c r="I2" s="77">
        <f t="shared" si="3"/>
        <v>45046</v>
      </c>
      <c r="J2" s="77">
        <f t="shared" si="3"/>
        <v>45077</v>
      </c>
      <c r="K2" s="77">
        <f t="shared" si="3"/>
        <v>45107</v>
      </c>
      <c r="L2" s="77">
        <f t="shared" si="3"/>
        <v>45138</v>
      </c>
      <c r="M2" s="77">
        <f t="shared" si="3"/>
        <v>45169</v>
      </c>
      <c r="N2" s="77">
        <f t="shared" si="3"/>
        <v>45199</v>
      </c>
      <c r="O2" s="77">
        <f t="shared" si="3"/>
        <v>45230</v>
      </c>
      <c r="P2" s="77">
        <f t="shared" si="3"/>
        <v>45260</v>
      </c>
      <c r="Q2" s="77">
        <f t="shared" si="3"/>
        <v>45291</v>
      </c>
      <c r="R2" s="78">
        <f>EOMONTH(R1,0)</f>
        <v>45322</v>
      </c>
      <c r="S2" s="77">
        <f t="shared" ref="S2:AO2" si="4">EOMONTH(S1,0)</f>
        <v>45351</v>
      </c>
      <c r="T2" s="77">
        <f t="shared" si="4"/>
        <v>45382</v>
      </c>
      <c r="U2" s="77">
        <f t="shared" si="4"/>
        <v>45412</v>
      </c>
      <c r="V2" s="77">
        <f t="shared" si="4"/>
        <v>45443</v>
      </c>
      <c r="W2" s="77">
        <f t="shared" si="4"/>
        <v>45473</v>
      </c>
      <c r="X2" s="77">
        <f t="shared" si="4"/>
        <v>45504</v>
      </c>
      <c r="Y2" s="77">
        <f t="shared" si="4"/>
        <v>45535</v>
      </c>
      <c r="Z2" s="77">
        <f t="shared" si="4"/>
        <v>45565</v>
      </c>
      <c r="AA2" s="77">
        <f t="shared" si="4"/>
        <v>45596</v>
      </c>
      <c r="AB2" s="77">
        <f t="shared" si="4"/>
        <v>45626</v>
      </c>
      <c r="AC2" s="79">
        <f t="shared" si="4"/>
        <v>45657</v>
      </c>
      <c r="AD2" s="77">
        <f t="shared" si="4"/>
        <v>45688</v>
      </c>
      <c r="AE2" s="77">
        <f t="shared" si="4"/>
        <v>45716</v>
      </c>
      <c r="AF2" s="77">
        <f t="shared" si="4"/>
        <v>45747</v>
      </c>
      <c r="AG2" s="77">
        <f t="shared" si="4"/>
        <v>45777</v>
      </c>
      <c r="AH2" s="77">
        <f t="shared" si="4"/>
        <v>45808</v>
      </c>
      <c r="AI2" s="77">
        <f t="shared" si="4"/>
        <v>45838</v>
      </c>
      <c r="AJ2" s="77">
        <f t="shared" si="4"/>
        <v>45869</v>
      </c>
      <c r="AK2" s="77">
        <f t="shared" si="4"/>
        <v>45900</v>
      </c>
      <c r="AL2" s="77">
        <f t="shared" si="4"/>
        <v>45930</v>
      </c>
      <c r="AM2" s="77">
        <f t="shared" si="4"/>
        <v>45961</v>
      </c>
      <c r="AN2" s="77">
        <f t="shared" si="4"/>
        <v>45991</v>
      </c>
      <c r="AO2" s="79">
        <f t="shared" si="4"/>
        <v>46022</v>
      </c>
      <c r="AP2" s="77">
        <f t="shared" ref="AP2:BA2" si="5">EOMONTH(AP1,0)</f>
        <v>46053</v>
      </c>
      <c r="AQ2" s="77">
        <f t="shared" si="5"/>
        <v>46081</v>
      </c>
      <c r="AR2" s="77">
        <f t="shared" si="5"/>
        <v>46112</v>
      </c>
      <c r="AS2" s="77">
        <f t="shared" si="5"/>
        <v>46142</v>
      </c>
      <c r="AT2" s="77">
        <f t="shared" si="5"/>
        <v>46173</v>
      </c>
      <c r="AU2" s="77">
        <f t="shared" si="5"/>
        <v>46203</v>
      </c>
      <c r="AV2" s="77">
        <f t="shared" si="5"/>
        <v>46234</v>
      </c>
      <c r="AW2" s="77">
        <f t="shared" si="5"/>
        <v>46265</v>
      </c>
      <c r="AX2" s="77">
        <f t="shared" si="5"/>
        <v>46295</v>
      </c>
      <c r="AY2" s="77">
        <f t="shared" si="5"/>
        <v>46326</v>
      </c>
      <c r="AZ2" s="77">
        <f t="shared" si="5"/>
        <v>46356</v>
      </c>
      <c r="BA2" s="79">
        <f t="shared" si="5"/>
        <v>46387</v>
      </c>
      <c r="BB2" s="24"/>
    </row>
    <row r="3" spans="1:54" s="21" customFormat="1" outlineLevel="1" x14ac:dyDescent="0.35">
      <c r="D3" s="23"/>
      <c r="F3" s="75">
        <v>2023</v>
      </c>
      <c r="G3" s="74">
        <v>2023</v>
      </c>
      <c r="H3" s="74">
        <v>2023</v>
      </c>
      <c r="I3" s="74">
        <v>2023</v>
      </c>
      <c r="J3" s="74">
        <v>2023</v>
      </c>
      <c r="K3" s="74">
        <v>2023</v>
      </c>
      <c r="L3" s="74">
        <v>2023</v>
      </c>
      <c r="M3" s="74">
        <v>2023</v>
      </c>
      <c r="N3" s="74">
        <v>2023</v>
      </c>
      <c r="O3" s="74">
        <v>2023</v>
      </c>
      <c r="P3" s="74">
        <v>2023</v>
      </c>
      <c r="Q3" s="74">
        <v>2023</v>
      </c>
      <c r="R3" s="75">
        <v>2024</v>
      </c>
      <c r="S3" s="74">
        <v>2024</v>
      </c>
      <c r="T3" s="74">
        <v>2024</v>
      </c>
      <c r="U3" s="74">
        <v>2024</v>
      </c>
      <c r="V3" s="74">
        <v>2024</v>
      </c>
      <c r="W3" s="74">
        <v>2024</v>
      </c>
      <c r="X3" s="74">
        <v>2024</v>
      </c>
      <c r="Y3" s="74">
        <v>2024</v>
      </c>
      <c r="Z3" s="74">
        <v>2024</v>
      </c>
      <c r="AA3" s="74">
        <v>2024</v>
      </c>
      <c r="AB3" s="74">
        <v>2024</v>
      </c>
      <c r="AC3" s="76">
        <v>2024</v>
      </c>
      <c r="AD3" s="74">
        <v>2025</v>
      </c>
      <c r="AE3" s="74">
        <v>2025</v>
      </c>
      <c r="AF3" s="74">
        <v>2025</v>
      </c>
      <c r="AG3" s="74">
        <v>2025</v>
      </c>
      <c r="AH3" s="74">
        <v>2025</v>
      </c>
      <c r="AI3" s="74">
        <v>2025</v>
      </c>
      <c r="AJ3" s="74">
        <v>2025</v>
      </c>
      <c r="AK3" s="74">
        <v>2025</v>
      </c>
      <c r="AL3" s="74">
        <v>2025</v>
      </c>
      <c r="AM3" s="74">
        <v>2025</v>
      </c>
      <c r="AN3" s="74">
        <v>2025</v>
      </c>
      <c r="AO3" s="76">
        <v>2025</v>
      </c>
      <c r="AP3" s="74">
        <v>2026</v>
      </c>
      <c r="AQ3" s="74">
        <v>2026</v>
      </c>
      <c r="AR3" s="74">
        <v>2026</v>
      </c>
      <c r="AS3" s="74">
        <v>2026</v>
      </c>
      <c r="AT3" s="74">
        <v>2026</v>
      </c>
      <c r="AU3" s="74">
        <v>2026</v>
      </c>
      <c r="AV3" s="74">
        <v>2026</v>
      </c>
      <c r="AW3" s="74">
        <v>2026</v>
      </c>
      <c r="AX3" s="74">
        <v>2026</v>
      </c>
      <c r="AY3" s="74">
        <v>2026</v>
      </c>
      <c r="AZ3" s="74">
        <v>2026</v>
      </c>
      <c r="BA3" s="76">
        <v>2026</v>
      </c>
      <c r="BB3" s="24"/>
    </row>
    <row r="4" spans="1:54" s="21" customFormat="1" outlineLevel="1" x14ac:dyDescent="0.35">
      <c r="D4" s="23"/>
      <c r="F4" s="75">
        <v>1</v>
      </c>
      <c r="G4" s="74">
        <v>2</v>
      </c>
      <c r="H4" s="74">
        <v>3</v>
      </c>
      <c r="I4" s="74">
        <v>4</v>
      </c>
      <c r="J4" s="74">
        <v>5</v>
      </c>
      <c r="K4" s="74">
        <v>6</v>
      </c>
      <c r="L4" s="74">
        <v>7</v>
      </c>
      <c r="M4" s="74">
        <v>8</v>
      </c>
      <c r="N4" s="74">
        <v>9</v>
      </c>
      <c r="O4" s="74">
        <v>10</v>
      </c>
      <c r="P4" s="74">
        <v>11</v>
      </c>
      <c r="Q4" s="74">
        <v>12</v>
      </c>
      <c r="R4" s="75">
        <v>1</v>
      </c>
      <c r="S4" s="74">
        <v>2</v>
      </c>
      <c r="T4" s="74">
        <v>3</v>
      </c>
      <c r="U4" s="74">
        <v>4</v>
      </c>
      <c r="V4" s="74">
        <v>5</v>
      </c>
      <c r="W4" s="74">
        <v>6</v>
      </c>
      <c r="X4" s="74">
        <v>7</v>
      </c>
      <c r="Y4" s="74">
        <v>8</v>
      </c>
      <c r="Z4" s="74">
        <v>9</v>
      </c>
      <c r="AA4" s="74">
        <v>10</v>
      </c>
      <c r="AB4" s="74">
        <v>11</v>
      </c>
      <c r="AC4" s="76">
        <v>12</v>
      </c>
      <c r="AD4" s="74">
        <v>1</v>
      </c>
      <c r="AE4" s="74">
        <v>2</v>
      </c>
      <c r="AF4" s="74">
        <v>3</v>
      </c>
      <c r="AG4" s="74">
        <v>4</v>
      </c>
      <c r="AH4" s="74">
        <v>5</v>
      </c>
      <c r="AI4" s="74">
        <v>6</v>
      </c>
      <c r="AJ4" s="74">
        <v>7</v>
      </c>
      <c r="AK4" s="74">
        <v>8</v>
      </c>
      <c r="AL4" s="74">
        <v>9</v>
      </c>
      <c r="AM4" s="74">
        <v>10</v>
      </c>
      <c r="AN4" s="74">
        <v>11</v>
      </c>
      <c r="AO4" s="76">
        <v>12</v>
      </c>
      <c r="AP4" s="74">
        <v>1</v>
      </c>
      <c r="AQ4" s="74">
        <v>2</v>
      </c>
      <c r="AR4" s="74">
        <v>3</v>
      </c>
      <c r="AS4" s="74">
        <v>4</v>
      </c>
      <c r="AT4" s="74">
        <v>5</v>
      </c>
      <c r="AU4" s="74">
        <v>6</v>
      </c>
      <c r="AV4" s="74">
        <v>7</v>
      </c>
      <c r="AW4" s="74">
        <v>8</v>
      </c>
      <c r="AX4" s="74">
        <v>9</v>
      </c>
      <c r="AY4" s="74">
        <v>10</v>
      </c>
      <c r="AZ4" s="74">
        <v>11</v>
      </c>
      <c r="BA4" s="76">
        <v>12</v>
      </c>
      <c r="BB4" s="24"/>
    </row>
    <row r="5" spans="1:54" x14ac:dyDescent="0.35">
      <c r="F5" s="47"/>
      <c r="R5" s="47"/>
      <c r="AC5" s="48"/>
      <c r="AO5" s="48"/>
      <c r="BA5" s="48"/>
      <c r="BB5" s="22"/>
    </row>
    <row r="6" spans="1:54" s="2" customFormat="1" x14ac:dyDescent="0.35">
      <c r="A6" s="13"/>
      <c r="B6" s="524" t="s">
        <v>0</v>
      </c>
      <c r="C6" s="524" t="s">
        <v>66</v>
      </c>
      <c r="D6" s="525" t="s">
        <v>67</v>
      </c>
      <c r="F6" s="45">
        <v>2023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60">
        <v>2024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61"/>
      <c r="AD6" s="4">
        <v>2025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70"/>
      <c r="AP6" s="454">
        <v>2026</v>
      </c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80"/>
      <c r="BB6" s="25"/>
    </row>
    <row r="7" spans="1:54" s="2" customFormat="1" x14ac:dyDescent="0.35">
      <c r="A7" s="13"/>
      <c r="B7" s="524"/>
      <c r="C7" s="524"/>
      <c r="D7" s="525"/>
      <c r="F7" s="46">
        <v>1</v>
      </c>
      <c r="G7" s="37">
        <v>2</v>
      </c>
      <c r="H7" s="37">
        <v>3</v>
      </c>
      <c r="I7" s="37">
        <v>4</v>
      </c>
      <c r="J7" s="37">
        <v>5</v>
      </c>
      <c r="K7" s="37">
        <v>6</v>
      </c>
      <c r="L7" s="37">
        <v>7</v>
      </c>
      <c r="M7" s="37">
        <v>8</v>
      </c>
      <c r="N7" s="37">
        <v>9</v>
      </c>
      <c r="O7" s="37">
        <v>10</v>
      </c>
      <c r="P7" s="37">
        <v>11</v>
      </c>
      <c r="Q7" s="37">
        <v>12</v>
      </c>
      <c r="R7" s="62">
        <v>1</v>
      </c>
      <c r="S7" s="5">
        <v>2</v>
      </c>
      <c r="T7" s="5">
        <v>3</v>
      </c>
      <c r="U7" s="5">
        <v>4</v>
      </c>
      <c r="V7" s="5">
        <v>5</v>
      </c>
      <c r="W7" s="5">
        <v>6</v>
      </c>
      <c r="X7" s="5">
        <v>7</v>
      </c>
      <c r="Y7" s="5">
        <v>8</v>
      </c>
      <c r="Z7" s="5">
        <v>9</v>
      </c>
      <c r="AA7" s="5">
        <v>10</v>
      </c>
      <c r="AB7" s="5">
        <v>11</v>
      </c>
      <c r="AC7" s="63">
        <v>12</v>
      </c>
      <c r="AD7" s="6">
        <v>1</v>
      </c>
      <c r="AE7" s="6">
        <v>2</v>
      </c>
      <c r="AF7" s="6">
        <v>3</v>
      </c>
      <c r="AG7" s="6">
        <v>4</v>
      </c>
      <c r="AH7" s="6">
        <v>5</v>
      </c>
      <c r="AI7" s="6">
        <v>6</v>
      </c>
      <c r="AJ7" s="6">
        <v>7</v>
      </c>
      <c r="AK7" s="6">
        <v>8</v>
      </c>
      <c r="AL7" s="6">
        <v>9</v>
      </c>
      <c r="AM7" s="6">
        <v>10</v>
      </c>
      <c r="AN7" s="6">
        <v>11</v>
      </c>
      <c r="AO7" s="71">
        <v>12</v>
      </c>
      <c r="AP7" s="455">
        <v>1</v>
      </c>
      <c r="AQ7" s="456">
        <v>2</v>
      </c>
      <c r="AR7" s="456">
        <v>3</v>
      </c>
      <c r="AS7" s="456">
        <v>4</v>
      </c>
      <c r="AT7" s="456">
        <v>5</v>
      </c>
      <c r="AU7" s="456">
        <v>6</v>
      </c>
      <c r="AV7" s="456">
        <v>7</v>
      </c>
      <c r="AW7" s="456">
        <v>8</v>
      </c>
      <c r="AX7" s="456">
        <v>9</v>
      </c>
      <c r="AY7" s="456">
        <v>10</v>
      </c>
      <c r="AZ7" s="456">
        <v>11</v>
      </c>
      <c r="BA7" s="481">
        <v>12</v>
      </c>
      <c r="BB7" s="25"/>
    </row>
    <row r="8" spans="1:54" ht="3.75" customHeight="1" x14ac:dyDescent="0.35">
      <c r="F8" s="47"/>
      <c r="Q8" s="48"/>
      <c r="R8" s="47"/>
      <c r="AC8" s="48"/>
      <c r="AD8" s="47"/>
      <c r="AO8" s="48"/>
      <c r="BA8" s="48"/>
    </row>
    <row r="9" spans="1:54" x14ac:dyDescent="0.35">
      <c r="A9" s="15" t="s">
        <v>68</v>
      </c>
      <c r="B9" s="8"/>
      <c r="C9" s="8" t="s">
        <v>69</v>
      </c>
      <c r="D9" s="10" t="s">
        <v>70</v>
      </c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  <c r="AD9" s="101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3"/>
      <c r="AP9" s="101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22"/>
    </row>
    <row r="10" spans="1:54" x14ac:dyDescent="0.35">
      <c r="A10" s="15" t="s">
        <v>71</v>
      </c>
      <c r="B10" s="8"/>
      <c r="C10" s="8" t="s">
        <v>72</v>
      </c>
      <c r="D10" s="10" t="s">
        <v>70</v>
      </c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3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  <c r="AD10" s="101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3"/>
      <c r="AP10" s="101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3"/>
      <c r="BB10" s="22"/>
    </row>
    <row r="11" spans="1:54" x14ac:dyDescent="0.35">
      <c r="A11" s="15" t="s">
        <v>73</v>
      </c>
      <c r="B11" s="8"/>
      <c r="C11" s="8" t="s">
        <v>74</v>
      </c>
      <c r="D11" s="10" t="s">
        <v>70</v>
      </c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3"/>
      <c r="AP11" s="101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3"/>
      <c r="BB11" s="22"/>
    </row>
    <row r="12" spans="1:54" x14ac:dyDescent="0.35">
      <c r="A12" s="15" t="s">
        <v>44</v>
      </c>
      <c r="B12" s="8"/>
      <c r="C12" s="8" t="s">
        <v>75</v>
      </c>
      <c r="D12" s="10" t="s">
        <v>70</v>
      </c>
      <c r="F12" s="101"/>
      <c r="G12" s="102"/>
      <c r="H12" s="102"/>
      <c r="I12" s="102"/>
      <c r="J12" s="102"/>
      <c r="K12" s="102"/>
      <c r="L12" s="102"/>
      <c r="M12" s="102"/>
      <c r="N12" s="102"/>
      <c r="O12" s="102">
        <v>1288.125</v>
      </c>
      <c r="P12" s="102">
        <v>1300</v>
      </c>
      <c r="Q12" s="103">
        <v>1300</v>
      </c>
      <c r="R12" s="101">
        <v>1315</v>
      </c>
      <c r="S12" s="102">
        <v>1325</v>
      </c>
      <c r="T12" s="102">
        <v>1320</v>
      </c>
      <c r="U12" s="102">
        <v>1333</v>
      </c>
      <c r="V12" s="102">
        <v>1350</v>
      </c>
      <c r="W12" s="102">
        <v>1365</v>
      </c>
      <c r="X12" s="102">
        <v>1372</v>
      </c>
      <c r="Y12" s="102">
        <v>1405</v>
      </c>
      <c r="Z12" s="102">
        <v>1427.5</v>
      </c>
      <c r="AA12" s="102">
        <v>1440</v>
      </c>
      <c r="AB12" s="102">
        <v>1435</v>
      </c>
      <c r="AC12" s="103">
        <v>1421.25</v>
      </c>
      <c r="AD12" s="101">
        <v>1358.3333333333301</v>
      </c>
      <c r="AE12" s="102">
        <v>1350</v>
      </c>
      <c r="AF12" s="102">
        <v>1360</v>
      </c>
      <c r="AG12" s="102">
        <v>1360</v>
      </c>
      <c r="AH12" s="102">
        <v>1360</v>
      </c>
      <c r="AI12" s="102">
        <v>1360</v>
      </c>
      <c r="AJ12" s="102">
        <v>1324</v>
      </c>
      <c r="AK12" s="102">
        <v>1295</v>
      </c>
      <c r="AL12" s="102">
        <v>1268</v>
      </c>
      <c r="AM12" s="102">
        <v>1250</v>
      </c>
      <c r="AN12" s="102">
        <v>1243.75</v>
      </c>
      <c r="AO12" s="103"/>
      <c r="AP12" s="101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3"/>
      <c r="BB12" s="22"/>
    </row>
    <row r="13" spans="1:54" x14ac:dyDescent="0.35">
      <c r="A13" s="15" t="s">
        <v>76</v>
      </c>
      <c r="B13" s="8"/>
      <c r="C13" s="8" t="s">
        <v>77</v>
      </c>
      <c r="D13" s="10" t="s">
        <v>70</v>
      </c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3"/>
      <c r="R13" s="10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3"/>
      <c r="AP13" s="101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3"/>
      <c r="BB13" s="22"/>
    </row>
    <row r="14" spans="1:54" x14ac:dyDescent="0.35">
      <c r="A14" s="15" t="s">
        <v>78</v>
      </c>
      <c r="B14" s="8"/>
      <c r="C14" s="8" t="s">
        <v>79</v>
      </c>
      <c r="D14" s="10" t="s">
        <v>70</v>
      </c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3"/>
      <c r="R14" s="101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3"/>
      <c r="AP14" s="101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3"/>
      <c r="BB14" s="22"/>
    </row>
    <row r="15" spans="1:54" x14ac:dyDescent="0.35">
      <c r="A15" s="16"/>
      <c r="B15" s="8"/>
      <c r="C15" s="8"/>
      <c r="D15" s="10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50"/>
      <c r="R15" s="4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50"/>
      <c r="AD15" s="49"/>
      <c r="AE15" s="33"/>
      <c r="AF15" s="33"/>
      <c r="AG15" s="33"/>
      <c r="AH15" s="33"/>
      <c r="AI15" s="33"/>
      <c r="AJ15" s="33"/>
      <c r="AK15" s="33"/>
      <c r="AL15" s="33"/>
      <c r="AM15" s="33"/>
      <c r="AN15" s="451"/>
      <c r="AO15" s="50"/>
      <c r="AP15" s="49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50"/>
      <c r="BB15" s="22"/>
    </row>
    <row r="16" spans="1:54" x14ac:dyDescent="0.35">
      <c r="A16" s="16" t="s">
        <v>80</v>
      </c>
      <c r="B16" s="8"/>
      <c r="C16" s="8" t="s">
        <v>433</v>
      </c>
      <c r="D16" s="10" t="s">
        <v>81</v>
      </c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50"/>
      <c r="R16" s="49">
        <f>R17*R24/10^3</f>
        <v>11519.207700000001</v>
      </c>
      <c r="S16" s="33">
        <f t="shared" ref="S16:AN16" si="6">S17*S24/10^3</f>
        <v>12049.971299999999</v>
      </c>
      <c r="T16" s="33">
        <f t="shared" si="6"/>
        <v>12135.065000000001</v>
      </c>
      <c r="U16" s="33">
        <f t="shared" si="6"/>
        <v>12874.966200000001</v>
      </c>
      <c r="V16" s="33">
        <f t="shared" si="6"/>
        <v>14118.16</v>
      </c>
      <c r="W16" s="33">
        <f t="shared" si="6"/>
        <v>14219.922500000001</v>
      </c>
      <c r="X16" s="33">
        <f t="shared" si="6"/>
        <v>14288.335200000001</v>
      </c>
      <c r="Y16" s="33">
        <f t="shared" si="6"/>
        <v>14406.2016</v>
      </c>
      <c r="Z16" s="33">
        <f t="shared" si="6"/>
        <v>14726.726000000001</v>
      </c>
      <c r="AA16" s="33">
        <f t="shared" si="6"/>
        <v>15801.072</v>
      </c>
      <c r="AB16" s="33">
        <f t="shared" si="6"/>
        <v>15874.719000000001</v>
      </c>
      <c r="AC16" s="50">
        <f t="shared" si="6"/>
        <v>15453.933399999998</v>
      </c>
      <c r="AD16" s="49">
        <f t="shared" si="6"/>
        <v>14767.103999999998</v>
      </c>
      <c r="AE16" s="33">
        <f t="shared" si="6"/>
        <v>15008.563200000001</v>
      </c>
      <c r="AF16" s="33">
        <f t="shared" si="6"/>
        <v>15097.843200000001</v>
      </c>
      <c r="AG16" s="33">
        <f t="shared" si="6"/>
        <v>14948.187399999999</v>
      </c>
      <c r="AH16" s="33">
        <f t="shared" si="6"/>
        <v>14881.947600000001</v>
      </c>
      <c r="AI16" s="33">
        <f t="shared" si="6"/>
        <v>14984.279100000002</v>
      </c>
      <c r="AJ16" s="33">
        <f t="shared" si="6"/>
        <v>14413.35</v>
      </c>
      <c r="AK16" s="33">
        <f t="shared" si="6"/>
        <v>13640.905200000001</v>
      </c>
      <c r="AL16" s="451">
        <f t="shared" si="6"/>
        <v>13012.5466</v>
      </c>
      <c r="AM16" s="451">
        <f t="shared" si="6"/>
        <v>12108.376</v>
      </c>
      <c r="AN16" s="451">
        <f t="shared" si="6"/>
        <v>11799.326700000001</v>
      </c>
      <c r="AO16" s="462">
        <f t="shared" ref="AO16" si="7">AO17*AO24/10^3</f>
        <v>11799.326700000001</v>
      </c>
      <c r="AP16" s="49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50"/>
      <c r="BB16" s="22"/>
    </row>
    <row r="17" spans="1:54" x14ac:dyDescent="0.35">
      <c r="A17" s="16" t="s">
        <v>82</v>
      </c>
      <c r="B17" s="8"/>
      <c r="C17" s="8" t="s">
        <v>434</v>
      </c>
      <c r="D17" s="10" t="s">
        <v>70</v>
      </c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R17" s="101">
        <v>474.1</v>
      </c>
      <c r="S17" s="102">
        <v>495.7</v>
      </c>
      <c r="T17" s="102">
        <v>494.3</v>
      </c>
      <c r="U17" s="102">
        <v>515.70000000000005</v>
      </c>
      <c r="V17" s="102">
        <v>560</v>
      </c>
      <c r="W17" s="102">
        <v>563.5</v>
      </c>
      <c r="X17" s="102">
        <v>567.20000000000005</v>
      </c>
      <c r="Y17" s="102">
        <v>579.4</v>
      </c>
      <c r="Z17" s="102">
        <v>602</v>
      </c>
      <c r="AA17" s="102">
        <v>635.5</v>
      </c>
      <c r="AB17" s="102">
        <v>630.70000000000005</v>
      </c>
      <c r="AC17" s="103">
        <v>613.29999999999995</v>
      </c>
      <c r="AD17" s="101">
        <v>588.79999999999995</v>
      </c>
      <c r="AE17" s="102">
        <v>595.20000000000005</v>
      </c>
      <c r="AF17" s="102">
        <v>595.20000000000005</v>
      </c>
      <c r="AG17" s="102">
        <v>581.79999999999995</v>
      </c>
      <c r="AH17" s="102">
        <v>577.20000000000005</v>
      </c>
      <c r="AI17" s="102">
        <v>578.70000000000005</v>
      </c>
      <c r="AJ17" s="102">
        <v>555</v>
      </c>
      <c r="AK17" s="102">
        <v>522.6</v>
      </c>
      <c r="AL17" s="452">
        <v>496.7</v>
      </c>
      <c r="AM17" s="452">
        <v>463</v>
      </c>
      <c r="AN17" s="452">
        <v>447.3</v>
      </c>
      <c r="AO17" s="463">
        <v>447.3</v>
      </c>
      <c r="AP17" s="101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3"/>
      <c r="BB17" s="22"/>
    </row>
    <row r="18" spans="1:54" x14ac:dyDescent="0.35">
      <c r="A18" s="16"/>
      <c r="B18" s="8"/>
      <c r="C18" s="8"/>
      <c r="D18" s="10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50"/>
      <c r="R18" s="4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0"/>
      <c r="AD18" s="49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0"/>
      <c r="AP18" s="49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50"/>
      <c r="BB18" s="22"/>
    </row>
    <row r="19" spans="1:54" x14ac:dyDescent="0.35">
      <c r="A19" s="16"/>
      <c r="B19" s="8"/>
      <c r="C19" s="8"/>
      <c r="D19" s="10"/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50"/>
      <c r="R19" s="49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50"/>
      <c r="AD19" s="49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0"/>
      <c r="AP19" s="49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50"/>
      <c r="BB19" s="22"/>
    </row>
    <row r="20" spans="1:54" x14ac:dyDescent="0.35">
      <c r="A20" s="16"/>
      <c r="B20" s="8"/>
      <c r="C20" s="8"/>
      <c r="D20" s="10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50"/>
      <c r="R20" s="49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50"/>
      <c r="AD20" s="49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0"/>
      <c r="AP20" s="457"/>
      <c r="AQ20" s="451"/>
      <c r="AR20" s="451"/>
      <c r="AS20" s="451"/>
      <c r="AT20" s="451"/>
      <c r="AU20" s="451"/>
      <c r="AV20" s="451"/>
      <c r="AW20" s="451"/>
      <c r="AX20" s="451"/>
      <c r="AY20" s="451"/>
      <c r="AZ20" s="451"/>
      <c r="BA20" s="482"/>
      <c r="BB20" s="22"/>
    </row>
    <row r="21" spans="1:54" x14ac:dyDescent="0.35">
      <c r="A21" s="16"/>
      <c r="B21" s="8"/>
      <c r="C21" s="8"/>
      <c r="D21" s="10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50"/>
      <c r="R21" s="49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50"/>
      <c r="AD21" s="49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0"/>
      <c r="AP21" s="457"/>
      <c r="AQ21" s="451"/>
      <c r="AR21" s="451"/>
      <c r="AS21" s="451"/>
      <c r="AT21" s="451"/>
      <c r="AU21" s="451"/>
      <c r="AV21" s="451"/>
      <c r="AW21" s="451"/>
      <c r="AX21" s="451"/>
      <c r="AY21" s="451"/>
      <c r="AZ21" s="451"/>
      <c r="BA21" s="482"/>
      <c r="BB21" s="22"/>
    </row>
    <row r="22" spans="1:54" x14ac:dyDescent="0.35">
      <c r="A22" s="16" t="s">
        <v>83</v>
      </c>
      <c r="B22" s="8"/>
      <c r="C22" s="8" t="s">
        <v>84</v>
      </c>
      <c r="D22" s="10" t="s">
        <v>85</v>
      </c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50"/>
      <c r="R22" s="49">
        <v>25000</v>
      </c>
      <c r="S22" s="33">
        <v>25000</v>
      </c>
      <c r="T22" s="33">
        <v>25000</v>
      </c>
      <c r="U22" s="33">
        <v>25000</v>
      </c>
      <c r="V22" s="33">
        <v>25000</v>
      </c>
      <c r="W22" s="33">
        <v>25000</v>
      </c>
      <c r="X22" s="33">
        <v>25000</v>
      </c>
      <c r="Y22" s="33">
        <v>25000</v>
      </c>
      <c r="Z22" s="33">
        <v>25000</v>
      </c>
      <c r="AA22" s="33">
        <v>25000</v>
      </c>
      <c r="AB22" s="33">
        <v>25000</v>
      </c>
      <c r="AC22" s="50">
        <v>25000</v>
      </c>
      <c r="AD22" s="49">
        <v>25000</v>
      </c>
      <c r="AE22" s="33">
        <v>25000</v>
      </c>
      <c r="AF22" s="33">
        <v>25000</v>
      </c>
      <c r="AG22" s="33">
        <v>25000</v>
      </c>
      <c r="AH22" s="33">
        <v>25000</v>
      </c>
      <c r="AI22" s="33">
        <v>25000</v>
      </c>
      <c r="AJ22" s="33">
        <v>25000</v>
      </c>
      <c r="AK22" s="33">
        <v>25000</v>
      </c>
      <c r="AL22" s="33">
        <v>25000</v>
      </c>
      <c r="AM22" s="33">
        <v>25000</v>
      </c>
      <c r="AN22" s="33">
        <v>25000</v>
      </c>
      <c r="AO22" s="50">
        <v>25000</v>
      </c>
      <c r="AP22" s="457"/>
      <c r="AQ22" s="451"/>
      <c r="AR22" s="451"/>
      <c r="AS22" s="451"/>
      <c r="AT22" s="451"/>
      <c r="AU22" s="451"/>
      <c r="AV22" s="451"/>
      <c r="AW22" s="451"/>
      <c r="AX22" s="451"/>
      <c r="AY22" s="451"/>
      <c r="AZ22" s="451"/>
      <c r="BA22" s="482"/>
      <c r="BB22" s="22"/>
    </row>
    <row r="23" spans="1:54" x14ac:dyDescent="0.35">
      <c r="A23" s="16" t="s">
        <v>86</v>
      </c>
      <c r="B23" s="8"/>
      <c r="C23" s="8" t="s">
        <v>356</v>
      </c>
      <c r="D23" s="10" t="s">
        <v>85</v>
      </c>
      <c r="F23" s="5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2"/>
      <c r="R23" s="51">
        <v>24637</v>
      </c>
      <c r="S23" s="20">
        <v>24649</v>
      </c>
      <c r="T23" s="20">
        <v>24889</v>
      </c>
      <c r="U23" s="20">
        <v>25297</v>
      </c>
      <c r="V23" s="20">
        <v>25467</v>
      </c>
      <c r="W23" s="20">
        <v>25465</v>
      </c>
      <c r="X23" s="20">
        <v>25460</v>
      </c>
      <c r="Y23" s="20">
        <v>25203</v>
      </c>
      <c r="Z23" s="20">
        <v>24803</v>
      </c>
      <c r="AA23" s="20">
        <v>25200</v>
      </c>
      <c r="AB23" s="20">
        <v>25488</v>
      </c>
      <c r="AC23" s="52">
        <v>25499</v>
      </c>
      <c r="AD23" s="51">
        <v>25464</v>
      </c>
      <c r="AE23" s="20">
        <v>25586</v>
      </c>
      <c r="AF23" s="20">
        <v>25726</v>
      </c>
      <c r="AG23" s="20">
        <v>26053</v>
      </c>
      <c r="AH23" s="20">
        <v>26143</v>
      </c>
      <c r="AI23" s="20">
        <v>26248</v>
      </c>
      <c r="AJ23" s="20">
        <v>26329</v>
      </c>
      <c r="AK23" s="20">
        <v>26459</v>
      </c>
      <c r="AL23" s="453">
        <v>26473</v>
      </c>
      <c r="AM23" s="453">
        <v>26374</v>
      </c>
      <c r="AN23" s="453">
        <v>26147</v>
      </c>
      <c r="AO23" s="439">
        <v>26147</v>
      </c>
      <c r="AP23" s="458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83"/>
      <c r="BB23" s="22"/>
    </row>
    <row r="24" spans="1:54" x14ac:dyDescent="0.35">
      <c r="A24" s="16" t="s">
        <v>87</v>
      </c>
      <c r="B24" s="8"/>
      <c r="C24" s="8" t="s">
        <v>357</v>
      </c>
      <c r="D24" s="10" t="s">
        <v>85</v>
      </c>
      <c r="F24" s="5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2"/>
      <c r="R24" s="51">
        <v>24297</v>
      </c>
      <c r="S24" s="20">
        <v>24309</v>
      </c>
      <c r="T24" s="20">
        <v>24550</v>
      </c>
      <c r="U24" s="20">
        <v>24966</v>
      </c>
      <c r="V24" s="20">
        <v>25211</v>
      </c>
      <c r="W24" s="20">
        <v>25235</v>
      </c>
      <c r="X24" s="20">
        <v>25191</v>
      </c>
      <c r="Y24" s="20">
        <v>24864</v>
      </c>
      <c r="Z24" s="20">
        <v>24463</v>
      </c>
      <c r="AA24" s="20">
        <v>24864</v>
      </c>
      <c r="AB24" s="20">
        <v>25170</v>
      </c>
      <c r="AC24" s="52">
        <v>25198</v>
      </c>
      <c r="AD24" s="51">
        <v>25080</v>
      </c>
      <c r="AE24" s="20">
        <v>25216</v>
      </c>
      <c r="AF24" s="20">
        <v>25366</v>
      </c>
      <c r="AG24" s="20">
        <v>25693</v>
      </c>
      <c r="AH24" s="20">
        <v>25783</v>
      </c>
      <c r="AI24" s="20">
        <v>25893</v>
      </c>
      <c r="AJ24" s="20">
        <v>25970</v>
      </c>
      <c r="AK24" s="20">
        <v>26102</v>
      </c>
      <c r="AL24" s="453">
        <v>26198</v>
      </c>
      <c r="AM24" s="453">
        <v>26152</v>
      </c>
      <c r="AN24" s="453">
        <v>26379</v>
      </c>
      <c r="AO24" s="439">
        <v>26379</v>
      </c>
      <c r="AP24" s="458"/>
      <c r="AQ24" s="453"/>
      <c r="AR24" s="453"/>
      <c r="AS24" s="453"/>
      <c r="AT24" s="453"/>
      <c r="AU24" s="453"/>
      <c r="AV24" s="453"/>
      <c r="AW24" s="453"/>
      <c r="AX24" s="453"/>
      <c r="AY24" s="453"/>
      <c r="AZ24" s="453"/>
      <c r="BA24" s="483"/>
      <c r="BB24" s="22"/>
    </row>
    <row r="25" spans="1:54" x14ac:dyDescent="0.35">
      <c r="A25" s="16"/>
      <c r="B25" s="8"/>
      <c r="C25" s="8"/>
      <c r="D25" s="10"/>
      <c r="F25" s="5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4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56"/>
      <c r="AD25" s="55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56"/>
      <c r="AP25" s="55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56"/>
      <c r="BB25" s="22"/>
    </row>
    <row r="26" spans="1:54" s="1" customFormat="1" x14ac:dyDescent="0.35">
      <c r="A26" s="17"/>
      <c r="B26" s="64"/>
      <c r="C26" s="64" t="s">
        <v>88</v>
      </c>
      <c r="D26" s="65"/>
      <c r="E26" s="66"/>
      <c r="F26" s="67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8"/>
      <c r="R26" s="67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8"/>
      <c r="AD26" s="67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8"/>
      <c r="AP26" s="67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8"/>
      <c r="BB26" s="41"/>
    </row>
    <row r="27" spans="1:54" x14ac:dyDescent="0.35">
      <c r="A27" s="16" t="s">
        <v>29</v>
      </c>
      <c r="B27" s="8"/>
      <c r="C27" s="8" t="s">
        <v>89</v>
      </c>
      <c r="D27" s="10" t="s">
        <v>70</v>
      </c>
      <c r="F27" s="104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  <c r="R27" s="101">
        <v>1340</v>
      </c>
      <c r="S27" s="102">
        <v>1340</v>
      </c>
      <c r="T27" s="102">
        <v>1340</v>
      </c>
      <c r="U27" s="102">
        <v>1340</v>
      </c>
      <c r="V27" s="102">
        <v>1390</v>
      </c>
      <c r="W27" s="102">
        <v>1390</v>
      </c>
      <c r="X27" s="102">
        <v>1390</v>
      </c>
      <c r="Y27" s="102">
        <v>1390</v>
      </c>
      <c r="Z27" s="102">
        <v>1400</v>
      </c>
      <c r="AA27" s="102">
        <v>1415</v>
      </c>
      <c r="AB27" s="102">
        <v>1415</v>
      </c>
      <c r="AC27" s="103">
        <v>1365</v>
      </c>
      <c r="AD27" s="101">
        <v>1320</v>
      </c>
      <c r="AE27" s="102">
        <v>1280</v>
      </c>
      <c r="AF27" s="102">
        <v>1320</v>
      </c>
      <c r="AG27" s="102">
        <v>1340</v>
      </c>
      <c r="AH27" s="102">
        <v>1340</v>
      </c>
      <c r="AI27" s="102">
        <v>1340</v>
      </c>
      <c r="AJ27" s="102">
        <v>1340</v>
      </c>
      <c r="AK27" s="102">
        <v>1310</v>
      </c>
      <c r="AL27" s="102">
        <v>1310</v>
      </c>
      <c r="AM27" s="102">
        <v>1300</v>
      </c>
      <c r="AN27" s="102">
        <v>1290</v>
      </c>
      <c r="AO27" s="103">
        <v>1290</v>
      </c>
      <c r="AP27" s="101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3"/>
      <c r="BB27" s="22"/>
    </row>
    <row r="28" spans="1:54" x14ac:dyDescent="0.35">
      <c r="A28" s="16" t="s">
        <v>90</v>
      </c>
      <c r="B28" s="8"/>
      <c r="C28" s="8" t="s">
        <v>91</v>
      </c>
      <c r="D28" s="10" t="s">
        <v>70</v>
      </c>
      <c r="F28" s="104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6"/>
      <c r="R28" s="101">
        <v>1280</v>
      </c>
      <c r="S28" s="102">
        <v>1280</v>
      </c>
      <c r="T28" s="102">
        <v>1280</v>
      </c>
      <c r="U28" s="102">
        <v>1280</v>
      </c>
      <c r="V28" s="102">
        <v>1330</v>
      </c>
      <c r="W28" s="102">
        <v>1330</v>
      </c>
      <c r="X28" s="102">
        <v>1330</v>
      </c>
      <c r="Y28" s="102">
        <v>1330</v>
      </c>
      <c r="Z28" s="102">
        <v>1340</v>
      </c>
      <c r="AA28" s="102">
        <v>1355</v>
      </c>
      <c r="AB28" s="102">
        <v>1355</v>
      </c>
      <c r="AC28" s="103">
        <v>1305</v>
      </c>
      <c r="AD28" s="101">
        <v>1260</v>
      </c>
      <c r="AE28" s="102">
        <v>1250</v>
      </c>
      <c r="AF28" s="102">
        <v>1260</v>
      </c>
      <c r="AG28" s="102">
        <v>1280</v>
      </c>
      <c r="AH28" s="102">
        <v>1280</v>
      </c>
      <c r="AI28" s="102">
        <v>1280</v>
      </c>
      <c r="AJ28" s="102">
        <v>1280</v>
      </c>
      <c r="AK28" s="102">
        <v>1250</v>
      </c>
      <c r="AL28" s="102">
        <v>1250</v>
      </c>
      <c r="AM28" s="102">
        <v>1240</v>
      </c>
      <c r="AN28" s="102">
        <v>1230</v>
      </c>
      <c r="AO28" s="103">
        <v>1230</v>
      </c>
      <c r="AP28" s="101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3"/>
      <c r="BB28" s="22"/>
    </row>
    <row r="29" spans="1:54" x14ac:dyDescent="0.35">
      <c r="A29" s="16" t="s">
        <v>31</v>
      </c>
      <c r="B29" s="8"/>
      <c r="C29" s="8" t="s">
        <v>92</v>
      </c>
      <c r="D29" s="10" t="s">
        <v>70</v>
      </c>
      <c r="F29" s="104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6"/>
      <c r="R29" s="101">
        <v>1280</v>
      </c>
      <c r="S29" s="102">
        <v>1280</v>
      </c>
      <c r="T29" s="102">
        <v>1280</v>
      </c>
      <c r="U29" s="102">
        <v>1280</v>
      </c>
      <c r="V29" s="102">
        <v>1330</v>
      </c>
      <c r="W29" s="102">
        <v>1330</v>
      </c>
      <c r="X29" s="102">
        <v>1330</v>
      </c>
      <c r="Y29" s="102">
        <v>1330</v>
      </c>
      <c r="Z29" s="102">
        <v>1340</v>
      </c>
      <c r="AA29" s="102">
        <v>1355</v>
      </c>
      <c r="AB29" s="102">
        <v>1355</v>
      </c>
      <c r="AC29" s="103">
        <v>1305</v>
      </c>
      <c r="AD29" s="101">
        <v>1260</v>
      </c>
      <c r="AE29" s="102">
        <v>1260</v>
      </c>
      <c r="AF29" s="102">
        <v>1260</v>
      </c>
      <c r="AG29" s="102">
        <v>1280</v>
      </c>
      <c r="AH29" s="102">
        <v>1280</v>
      </c>
      <c r="AI29" s="102">
        <v>1280</v>
      </c>
      <c r="AJ29" s="102">
        <v>1280</v>
      </c>
      <c r="AK29" s="102">
        <v>1250</v>
      </c>
      <c r="AL29" s="102">
        <v>1250</v>
      </c>
      <c r="AM29" s="102">
        <v>1240</v>
      </c>
      <c r="AN29" s="102">
        <v>1230</v>
      </c>
      <c r="AO29" s="103">
        <v>1230</v>
      </c>
      <c r="AP29" s="101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3"/>
      <c r="BB29" s="22"/>
    </row>
    <row r="30" spans="1:54" x14ac:dyDescent="0.35">
      <c r="A30" s="16" t="s">
        <v>93</v>
      </c>
      <c r="B30" s="8"/>
      <c r="C30" s="8" t="s">
        <v>94</v>
      </c>
      <c r="D30" s="10" t="s">
        <v>70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  <c r="R30" s="101">
        <v>1280</v>
      </c>
      <c r="S30" s="102">
        <v>1280</v>
      </c>
      <c r="T30" s="102">
        <v>1280</v>
      </c>
      <c r="U30" s="102">
        <v>1280</v>
      </c>
      <c r="V30" s="102">
        <v>1330</v>
      </c>
      <c r="W30" s="102">
        <v>1330</v>
      </c>
      <c r="X30" s="102">
        <v>1330</v>
      </c>
      <c r="Y30" s="102">
        <v>1330</v>
      </c>
      <c r="Z30" s="102">
        <v>1340</v>
      </c>
      <c r="AA30" s="102">
        <v>1355</v>
      </c>
      <c r="AB30" s="102">
        <v>1355</v>
      </c>
      <c r="AC30" s="103">
        <v>1305</v>
      </c>
      <c r="AD30" s="101">
        <v>1260</v>
      </c>
      <c r="AE30" s="102">
        <v>1260</v>
      </c>
      <c r="AF30" s="102">
        <v>1260</v>
      </c>
      <c r="AG30" s="102">
        <v>1280</v>
      </c>
      <c r="AH30" s="102">
        <v>1280</v>
      </c>
      <c r="AI30" s="102">
        <v>1280</v>
      </c>
      <c r="AJ30" s="102">
        <v>1280</v>
      </c>
      <c r="AK30" s="102">
        <v>1250</v>
      </c>
      <c r="AL30" s="102">
        <v>1250</v>
      </c>
      <c r="AM30" s="102">
        <v>1240</v>
      </c>
      <c r="AN30" s="102">
        <v>1230</v>
      </c>
      <c r="AO30" s="103">
        <v>1230</v>
      </c>
      <c r="AP30" s="101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3"/>
      <c r="BB30" s="22"/>
    </row>
    <row r="31" spans="1:54" x14ac:dyDescent="0.35">
      <c r="A31" s="16" t="s">
        <v>15</v>
      </c>
      <c r="B31" s="8"/>
      <c r="C31" s="8" t="s">
        <v>95</v>
      </c>
      <c r="D31" s="10" t="s">
        <v>70</v>
      </c>
      <c r="F31" s="104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  <c r="R31" s="101">
        <v>1250</v>
      </c>
      <c r="S31" s="102">
        <v>1250</v>
      </c>
      <c r="T31" s="102">
        <v>1250</v>
      </c>
      <c r="U31" s="102">
        <v>1250</v>
      </c>
      <c r="V31" s="102">
        <v>1300</v>
      </c>
      <c r="W31" s="102">
        <v>1300</v>
      </c>
      <c r="X31" s="102">
        <v>1300</v>
      </c>
      <c r="Y31" s="102">
        <v>1300</v>
      </c>
      <c r="Z31" s="102">
        <v>1310</v>
      </c>
      <c r="AA31" s="102">
        <v>1325</v>
      </c>
      <c r="AB31" s="102">
        <v>1325</v>
      </c>
      <c r="AC31" s="103">
        <v>1275</v>
      </c>
      <c r="AD31" s="101">
        <v>1230</v>
      </c>
      <c r="AE31" s="102">
        <v>1230</v>
      </c>
      <c r="AF31" s="102">
        <v>1230</v>
      </c>
      <c r="AG31" s="102">
        <v>1250</v>
      </c>
      <c r="AH31" s="102">
        <v>1250</v>
      </c>
      <c r="AI31" s="102">
        <v>1250</v>
      </c>
      <c r="AJ31" s="102">
        <v>1250</v>
      </c>
      <c r="AK31" s="102">
        <v>1220</v>
      </c>
      <c r="AL31" s="102">
        <v>1220</v>
      </c>
      <c r="AM31" s="102">
        <v>1210</v>
      </c>
      <c r="AN31" s="102">
        <v>1200</v>
      </c>
      <c r="AO31" s="103">
        <v>1200</v>
      </c>
      <c r="AP31" s="101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3"/>
      <c r="BB31" s="22"/>
    </row>
    <row r="32" spans="1:54" x14ac:dyDescent="0.35">
      <c r="A32" s="16" t="s">
        <v>96</v>
      </c>
      <c r="B32" s="8"/>
      <c r="C32" s="8" t="s">
        <v>97</v>
      </c>
      <c r="D32" s="10" t="s">
        <v>70</v>
      </c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R32" s="101">
        <v>1250</v>
      </c>
      <c r="S32" s="102">
        <v>1250</v>
      </c>
      <c r="T32" s="102">
        <v>1250</v>
      </c>
      <c r="U32" s="102">
        <v>1250</v>
      </c>
      <c r="V32" s="102">
        <v>1300</v>
      </c>
      <c r="W32" s="102">
        <v>1300</v>
      </c>
      <c r="X32" s="102">
        <v>1300</v>
      </c>
      <c r="Y32" s="102">
        <v>1300</v>
      </c>
      <c r="Z32" s="102">
        <v>1310</v>
      </c>
      <c r="AA32" s="102">
        <v>1325</v>
      </c>
      <c r="AB32" s="102">
        <v>1325</v>
      </c>
      <c r="AC32" s="103">
        <v>1275</v>
      </c>
      <c r="AD32" s="101">
        <v>1230</v>
      </c>
      <c r="AE32" s="102">
        <v>1230</v>
      </c>
      <c r="AF32" s="102">
        <v>1230</v>
      </c>
      <c r="AG32" s="102">
        <v>1250</v>
      </c>
      <c r="AH32" s="102">
        <v>1250</v>
      </c>
      <c r="AI32" s="102">
        <v>1250</v>
      </c>
      <c r="AJ32" s="102">
        <v>1250</v>
      </c>
      <c r="AK32" s="102">
        <v>1220</v>
      </c>
      <c r="AL32" s="102">
        <v>1220</v>
      </c>
      <c r="AM32" s="102">
        <v>1210</v>
      </c>
      <c r="AN32" s="102">
        <v>1200</v>
      </c>
      <c r="AO32" s="103">
        <v>1200</v>
      </c>
      <c r="AP32" s="101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3"/>
      <c r="BB32" s="22"/>
    </row>
    <row r="33" spans="1:54" s="1" customFormat="1" x14ac:dyDescent="0.35">
      <c r="A33" s="17" t="s">
        <v>35</v>
      </c>
      <c r="B33" s="144"/>
      <c r="C33" s="144" t="s">
        <v>98</v>
      </c>
      <c r="D33" s="389" t="s">
        <v>70</v>
      </c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2"/>
      <c r="R33" s="393">
        <v>1250</v>
      </c>
      <c r="S33" s="394">
        <v>1250</v>
      </c>
      <c r="T33" s="394">
        <v>1250</v>
      </c>
      <c r="U33" s="394">
        <v>1250</v>
      </c>
      <c r="V33" s="394">
        <v>1300</v>
      </c>
      <c r="W33" s="394">
        <v>1300</v>
      </c>
      <c r="X33" s="394">
        <v>1300</v>
      </c>
      <c r="Y33" s="394">
        <v>1300</v>
      </c>
      <c r="Z33" s="394">
        <v>1310</v>
      </c>
      <c r="AA33" s="394">
        <v>1325</v>
      </c>
      <c r="AB33" s="394">
        <v>1325</v>
      </c>
      <c r="AC33" s="395">
        <v>1275</v>
      </c>
      <c r="AD33" s="393">
        <v>1230</v>
      </c>
      <c r="AE33" s="394">
        <v>1230</v>
      </c>
      <c r="AF33" s="394">
        <v>1230</v>
      </c>
      <c r="AG33" s="394">
        <v>1250</v>
      </c>
      <c r="AH33" s="394">
        <v>1250</v>
      </c>
      <c r="AI33" s="394">
        <v>1250</v>
      </c>
      <c r="AJ33" s="394">
        <v>1250</v>
      </c>
      <c r="AK33" s="394">
        <v>1220</v>
      </c>
      <c r="AL33" s="394">
        <v>1220</v>
      </c>
      <c r="AM33" s="394">
        <v>1210</v>
      </c>
      <c r="AN33" s="394">
        <v>1200</v>
      </c>
      <c r="AO33" s="395">
        <v>1200</v>
      </c>
      <c r="AP33" s="393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5"/>
      <c r="BB33" s="41"/>
    </row>
    <row r="34" spans="1:54" s="1" customFormat="1" x14ac:dyDescent="0.35">
      <c r="A34" s="17" t="s">
        <v>99</v>
      </c>
      <c r="B34" s="144"/>
      <c r="C34" s="144" t="s">
        <v>100</v>
      </c>
      <c r="D34" s="389" t="s">
        <v>70</v>
      </c>
      <c r="F34" s="390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2"/>
      <c r="R34" s="393">
        <v>1240</v>
      </c>
      <c r="S34" s="394">
        <v>1240</v>
      </c>
      <c r="T34" s="394">
        <v>1240</v>
      </c>
      <c r="U34" s="394">
        <v>1240</v>
      </c>
      <c r="V34" s="394">
        <v>1290</v>
      </c>
      <c r="W34" s="394">
        <v>1290</v>
      </c>
      <c r="X34" s="394">
        <v>1270</v>
      </c>
      <c r="Y34" s="394">
        <v>1270</v>
      </c>
      <c r="Z34" s="394">
        <v>1280</v>
      </c>
      <c r="AA34" s="394">
        <v>1295</v>
      </c>
      <c r="AB34" s="394">
        <v>1295</v>
      </c>
      <c r="AC34" s="395">
        <v>1245</v>
      </c>
      <c r="AD34" s="393">
        <v>1200</v>
      </c>
      <c r="AE34" s="394">
        <v>1200</v>
      </c>
      <c r="AF34" s="394">
        <v>1200</v>
      </c>
      <c r="AG34" s="394">
        <v>1220</v>
      </c>
      <c r="AH34" s="394">
        <v>1220</v>
      </c>
      <c r="AI34" s="394">
        <v>1220</v>
      </c>
      <c r="AJ34" s="394">
        <v>1220</v>
      </c>
      <c r="AK34" s="394">
        <v>1190</v>
      </c>
      <c r="AL34" s="394">
        <v>1190</v>
      </c>
      <c r="AM34" s="394">
        <v>1180</v>
      </c>
      <c r="AN34" s="394">
        <v>1170</v>
      </c>
      <c r="AO34" s="395">
        <v>1170</v>
      </c>
      <c r="AP34" s="393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5"/>
      <c r="BB34" s="41"/>
    </row>
    <row r="35" spans="1:54" x14ac:dyDescent="0.35">
      <c r="A35" s="16" t="s">
        <v>352</v>
      </c>
      <c r="B35" s="8"/>
      <c r="C35" s="8" t="s">
        <v>353</v>
      </c>
      <c r="D35" s="10" t="s">
        <v>70</v>
      </c>
      <c r="F35" s="104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396"/>
      <c r="S35" s="397"/>
      <c r="T35" s="397"/>
      <c r="U35" s="397"/>
      <c r="V35" s="397"/>
      <c r="W35" s="397"/>
      <c r="X35" s="397"/>
      <c r="Y35" s="397"/>
      <c r="Z35" s="397"/>
      <c r="AA35" s="397"/>
      <c r="AB35" s="397"/>
      <c r="AC35" s="398"/>
      <c r="AD35" s="396"/>
      <c r="AE35" s="397"/>
      <c r="AF35" s="397">
        <v>1230</v>
      </c>
      <c r="AG35" s="397">
        <v>1250</v>
      </c>
      <c r="AH35" s="397">
        <v>1250</v>
      </c>
      <c r="AI35" s="397">
        <v>1250</v>
      </c>
      <c r="AJ35" s="397">
        <v>1250</v>
      </c>
      <c r="AK35" s="397">
        <v>1220</v>
      </c>
      <c r="AL35" s="397">
        <v>1220</v>
      </c>
      <c r="AM35" s="397">
        <v>1210</v>
      </c>
      <c r="AN35" s="397">
        <v>1200</v>
      </c>
      <c r="AO35" s="398">
        <v>1200</v>
      </c>
      <c r="AP35" s="396"/>
      <c r="AQ35" s="397"/>
      <c r="AR35" s="397"/>
      <c r="AS35" s="397"/>
      <c r="AT35" s="397"/>
      <c r="AU35" s="397"/>
      <c r="AV35" s="397"/>
      <c r="AW35" s="397"/>
      <c r="AX35" s="397"/>
      <c r="AY35" s="397"/>
      <c r="AZ35" s="397"/>
      <c r="BA35" s="398"/>
      <c r="BB35" s="22"/>
    </row>
    <row r="36" spans="1:54" x14ac:dyDescent="0.35">
      <c r="A36" s="16" t="s">
        <v>101</v>
      </c>
      <c r="B36" s="8"/>
      <c r="C36" s="8" t="s">
        <v>102</v>
      </c>
      <c r="D36" s="10" t="s">
        <v>70</v>
      </c>
      <c r="F36" s="104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  <c r="R36" s="101">
        <v>1240</v>
      </c>
      <c r="S36" s="102">
        <v>1240</v>
      </c>
      <c r="T36" s="102">
        <v>1240</v>
      </c>
      <c r="U36" s="102">
        <v>1240</v>
      </c>
      <c r="V36" s="102">
        <v>1290</v>
      </c>
      <c r="W36" s="102">
        <v>1290</v>
      </c>
      <c r="X36" s="102">
        <v>1270</v>
      </c>
      <c r="Y36" s="102">
        <v>1270</v>
      </c>
      <c r="Z36" s="102">
        <v>1280</v>
      </c>
      <c r="AA36" s="102">
        <v>1295</v>
      </c>
      <c r="AB36" s="102">
        <v>1295</v>
      </c>
      <c r="AC36" s="103">
        <v>1245</v>
      </c>
      <c r="AD36" s="101">
        <v>1200</v>
      </c>
      <c r="AE36" s="102">
        <v>1200</v>
      </c>
      <c r="AF36" s="102">
        <v>1200</v>
      </c>
      <c r="AG36" s="102">
        <v>1220</v>
      </c>
      <c r="AH36" s="102">
        <v>1220</v>
      </c>
      <c r="AI36" s="102">
        <v>1220</v>
      </c>
      <c r="AJ36" s="102">
        <v>1220</v>
      </c>
      <c r="AK36" s="102">
        <v>1190</v>
      </c>
      <c r="AL36" s="102">
        <v>1190</v>
      </c>
      <c r="AM36" s="102">
        <v>1180</v>
      </c>
      <c r="AN36" s="102">
        <v>1170</v>
      </c>
      <c r="AO36" s="103">
        <v>1170</v>
      </c>
      <c r="AP36" s="101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3"/>
      <c r="BB36" s="22"/>
    </row>
    <row r="37" spans="1:54" x14ac:dyDescent="0.35">
      <c r="A37" s="16" t="s">
        <v>103</v>
      </c>
      <c r="B37" s="8"/>
      <c r="C37" s="8" t="s">
        <v>104</v>
      </c>
      <c r="D37" s="10" t="s">
        <v>70</v>
      </c>
      <c r="F37" s="104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6"/>
      <c r="R37" s="101">
        <v>1180</v>
      </c>
      <c r="S37" s="102">
        <v>1180</v>
      </c>
      <c r="T37" s="102">
        <v>1180</v>
      </c>
      <c r="U37" s="102">
        <v>1180</v>
      </c>
      <c r="V37" s="102">
        <v>1230</v>
      </c>
      <c r="W37" s="102">
        <v>1230</v>
      </c>
      <c r="X37" s="102">
        <v>1230</v>
      </c>
      <c r="Y37" s="102">
        <v>1230</v>
      </c>
      <c r="Z37" s="102">
        <v>1240</v>
      </c>
      <c r="AA37" s="102">
        <v>1255</v>
      </c>
      <c r="AB37" s="102">
        <v>1255</v>
      </c>
      <c r="AC37" s="103">
        <v>1205</v>
      </c>
      <c r="AD37" s="101">
        <v>1160</v>
      </c>
      <c r="AE37" s="102">
        <v>1160</v>
      </c>
      <c r="AF37" s="102">
        <v>1160</v>
      </c>
      <c r="AG37" s="102">
        <v>1180</v>
      </c>
      <c r="AH37" s="102">
        <v>1180</v>
      </c>
      <c r="AI37" s="102">
        <v>1180</v>
      </c>
      <c r="AJ37" s="102">
        <v>1180</v>
      </c>
      <c r="AK37" s="102">
        <v>1150</v>
      </c>
      <c r="AL37" s="102">
        <v>1150</v>
      </c>
      <c r="AM37" s="102">
        <v>1140</v>
      </c>
      <c r="AN37" s="102">
        <v>1130</v>
      </c>
      <c r="AO37" s="103">
        <v>1130</v>
      </c>
      <c r="AP37" s="101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3"/>
      <c r="BB37" s="22"/>
    </row>
    <row r="38" spans="1:54" x14ac:dyDescent="0.35">
      <c r="A38" s="16" t="s">
        <v>105</v>
      </c>
      <c r="B38" s="8"/>
      <c r="C38" s="8" t="s">
        <v>106</v>
      </c>
      <c r="D38" s="10" t="s">
        <v>70</v>
      </c>
      <c r="F38" s="104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  <c r="R38" s="101">
        <v>1180</v>
      </c>
      <c r="S38" s="102">
        <v>1180</v>
      </c>
      <c r="T38" s="102">
        <v>1180</v>
      </c>
      <c r="U38" s="102">
        <v>1180</v>
      </c>
      <c r="V38" s="102">
        <v>1230</v>
      </c>
      <c r="W38" s="102">
        <v>1230</v>
      </c>
      <c r="X38" s="102">
        <v>1230</v>
      </c>
      <c r="Y38" s="102">
        <v>1230</v>
      </c>
      <c r="Z38" s="102">
        <v>1240</v>
      </c>
      <c r="AA38" s="102">
        <v>1255</v>
      </c>
      <c r="AB38" s="102">
        <v>1255</v>
      </c>
      <c r="AC38" s="103">
        <v>1205</v>
      </c>
      <c r="AD38" s="101">
        <v>1160</v>
      </c>
      <c r="AE38" s="102">
        <v>1160</v>
      </c>
      <c r="AF38" s="102">
        <v>1160</v>
      </c>
      <c r="AG38" s="102">
        <v>1180</v>
      </c>
      <c r="AH38" s="102">
        <v>1180</v>
      </c>
      <c r="AI38" s="102">
        <v>1180</v>
      </c>
      <c r="AJ38" s="102">
        <v>1180</v>
      </c>
      <c r="AK38" s="102">
        <v>1150</v>
      </c>
      <c r="AL38" s="102">
        <v>1150</v>
      </c>
      <c r="AM38" s="102">
        <v>1140</v>
      </c>
      <c r="AN38" s="102">
        <v>1130</v>
      </c>
      <c r="AO38" s="103">
        <v>1130</v>
      </c>
      <c r="AP38" s="101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3"/>
      <c r="BB38" s="22"/>
    </row>
    <row r="39" spans="1:54" x14ac:dyDescent="0.35">
      <c r="A39" s="16" t="s">
        <v>107</v>
      </c>
      <c r="B39" s="8"/>
      <c r="C39" s="8" t="s">
        <v>108</v>
      </c>
      <c r="D39" s="10" t="s">
        <v>70</v>
      </c>
      <c r="F39" s="104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1">
        <v>1280</v>
      </c>
      <c r="S39" s="102">
        <v>1280</v>
      </c>
      <c r="T39" s="102">
        <v>1280</v>
      </c>
      <c r="U39" s="102">
        <v>1280</v>
      </c>
      <c r="V39" s="102">
        <v>1330</v>
      </c>
      <c r="W39" s="102">
        <v>1330</v>
      </c>
      <c r="X39" s="102">
        <v>1250</v>
      </c>
      <c r="Y39" s="102">
        <v>1250</v>
      </c>
      <c r="Z39" s="102">
        <v>1250</v>
      </c>
      <c r="AA39" s="102">
        <v>1265</v>
      </c>
      <c r="AB39" s="102">
        <v>1265</v>
      </c>
      <c r="AC39" s="103">
        <v>1215</v>
      </c>
      <c r="AD39" s="101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3"/>
      <c r="AP39" s="101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3"/>
      <c r="BB39" s="22"/>
    </row>
    <row r="40" spans="1:54" x14ac:dyDescent="0.35">
      <c r="A40" s="16" t="s">
        <v>109</v>
      </c>
      <c r="B40" s="8"/>
      <c r="C40" s="8" t="s">
        <v>110</v>
      </c>
      <c r="D40" s="10" t="s">
        <v>70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1">
        <v>1050</v>
      </c>
      <c r="S40" s="102">
        <v>1050</v>
      </c>
      <c r="T40" s="102">
        <v>1050</v>
      </c>
      <c r="U40" s="102">
        <v>1050</v>
      </c>
      <c r="V40" s="102">
        <v>1100</v>
      </c>
      <c r="W40" s="102">
        <v>1100</v>
      </c>
      <c r="X40" s="102">
        <v>1100</v>
      </c>
      <c r="Y40" s="102">
        <v>1100</v>
      </c>
      <c r="Z40" s="102">
        <v>1100</v>
      </c>
      <c r="AA40" s="102">
        <v>1100</v>
      </c>
      <c r="AB40" s="102">
        <v>1100</v>
      </c>
      <c r="AC40" s="103">
        <v>1100</v>
      </c>
      <c r="AD40" s="101">
        <v>1100</v>
      </c>
      <c r="AE40" s="102">
        <v>1100</v>
      </c>
      <c r="AF40" s="102">
        <v>1100</v>
      </c>
      <c r="AG40" s="102">
        <v>1120</v>
      </c>
      <c r="AH40" s="102">
        <v>1120</v>
      </c>
      <c r="AI40" s="102">
        <v>1120</v>
      </c>
      <c r="AJ40" s="102">
        <v>1120</v>
      </c>
      <c r="AK40" s="102">
        <v>1090</v>
      </c>
      <c r="AL40" s="102">
        <v>1090</v>
      </c>
      <c r="AM40" s="102">
        <v>1080</v>
      </c>
      <c r="AN40" s="102">
        <v>1070</v>
      </c>
      <c r="AO40" s="103">
        <v>1070</v>
      </c>
      <c r="AP40" s="101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3"/>
      <c r="BB40" s="22"/>
    </row>
    <row r="41" spans="1:54" x14ac:dyDescent="0.35">
      <c r="A41" s="16" t="s">
        <v>111</v>
      </c>
      <c r="B41" s="8"/>
      <c r="C41" s="8" t="s">
        <v>112</v>
      </c>
      <c r="D41" s="10" t="s">
        <v>70</v>
      </c>
      <c r="F41" s="104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  <c r="R41" s="101">
        <v>1050</v>
      </c>
      <c r="S41" s="102">
        <v>1050</v>
      </c>
      <c r="T41" s="102">
        <v>1050</v>
      </c>
      <c r="U41" s="102">
        <v>1050</v>
      </c>
      <c r="V41" s="102">
        <v>1100</v>
      </c>
      <c r="W41" s="102">
        <v>1100</v>
      </c>
      <c r="X41" s="102">
        <v>1100</v>
      </c>
      <c r="Y41" s="102">
        <v>1100</v>
      </c>
      <c r="Z41" s="102">
        <v>1100</v>
      </c>
      <c r="AA41" s="102">
        <v>1100</v>
      </c>
      <c r="AB41" s="102">
        <v>1100</v>
      </c>
      <c r="AC41" s="103">
        <v>1100</v>
      </c>
      <c r="AD41" s="101">
        <v>1100</v>
      </c>
      <c r="AE41" s="102">
        <v>1100</v>
      </c>
      <c r="AF41" s="102">
        <v>1100</v>
      </c>
      <c r="AG41" s="102">
        <v>1120</v>
      </c>
      <c r="AH41" s="102">
        <v>1120</v>
      </c>
      <c r="AI41" s="102">
        <v>1120</v>
      </c>
      <c r="AJ41" s="102">
        <v>1120</v>
      </c>
      <c r="AK41" s="102">
        <v>1090</v>
      </c>
      <c r="AL41" s="102">
        <v>1090</v>
      </c>
      <c r="AM41" s="102">
        <v>1080</v>
      </c>
      <c r="AN41" s="102">
        <v>1070</v>
      </c>
      <c r="AO41" s="103">
        <v>1070</v>
      </c>
      <c r="AP41" s="101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3"/>
      <c r="BB41" s="22"/>
    </row>
    <row r="42" spans="1:54" x14ac:dyDescent="0.35">
      <c r="A42" s="16" t="s">
        <v>113</v>
      </c>
      <c r="B42" s="8"/>
      <c r="C42" s="8" t="s">
        <v>114</v>
      </c>
      <c r="D42" s="10" t="s">
        <v>70</v>
      </c>
      <c r="F42" s="104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  <c r="R42" s="101">
        <v>1050</v>
      </c>
      <c r="S42" s="102">
        <v>1050</v>
      </c>
      <c r="T42" s="102">
        <v>1050</v>
      </c>
      <c r="U42" s="102">
        <v>1050</v>
      </c>
      <c r="V42" s="102">
        <v>1100</v>
      </c>
      <c r="W42" s="102">
        <v>1100</v>
      </c>
      <c r="X42" s="102">
        <v>1100</v>
      </c>
      <c r="Y42" s="102">
        <v>1100</v>
      </c>
      <c r="Z42" s="102">
        <v>1100</v>
      </c>
      <c r="AA42" s="102">
        <v>1100</v>
      </c>
      <c r="AB42" s="102">
        <v>1100</v>
      </c>
      <c r="AC42" s="103">
        <v>1100</v>
      </c>
      <c r="AD42" s="101">
        <v>1100</v>
      </c>
      <c r="AE42" s="102">
        <v>1100</v>
      </c>
      <c r="AF42" s="102">
        <v>1100</v>
      </c>
      <c r="AG42" s="102">
        <v>1120</v>
      </c>
      <c r="AH42" s="102">
        <v>1120</v>
      </c>
      <c r="AI42" s="102">
        <v>1120</v>
      </c>
      <c r="AJ42" s="102">
        <v>1120</v>
      </c>
      <c r="AK42" s="102">
        <v>1090</v>
      </c>
      <c r="AL42" s="102">
        <v>1090</v>
      </c>
      <c r="AM42" s="102">
        <v>1080</v>
      </c>
      <c r="AN42" s="102">
        <v>1070</v>
      </c>
      <c r="AO42" s="103">
        <v>1070</v>
      </c>
      <c r="AP42" s="101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3"/>
      <c r="BB42" s="22"/>
    </row>
    <row r="43" spans="1:54" x14ac:dyDescent="0.35">
      <c r="A43" s="16" t="s">
        <v>115</v>
      </c>
      <c r="B43" s="8"/>
      <c r="C43" s="8" t="s">
        <v>116</v>
      </c>
      <c r="D43" s="10" t="s">
        <v>70</v>
      </c>
      <c r="F43" s="104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  <c r="R43" s="101"/>
      <c r="S43" s="102"/>
      <c r="T43" s="102"/>
      <c r="U43" s="102"/>
      <c r="V43" s="102"/>
      <c r="W43" s="102"/>
      <c r="X43" s="102"/>
      <c r="Y43" s="102"/>
      <c r="Z43" s="102"/>
      <c r="AA43" s="102"/>
      <c r="AB43" s="102">
        <v>1250</v>
      </c>
      <c r="AC43" s="103">
        <v>1250</v>
      </c>
      <c r="AD43" s="101">
        <v>1250</v>
      </c>
      <c r="AE43" s="102">
        <v>1250</v>
      </c>
      <c r="AF43" s="102">
        <v>1250</v>
      </c>
      <c r="AG43" s="102"/>
      <c r="AH43" s="102"/>
      <c r="AI43" s="102"/>
      <c r="AJ43" s="102"/>
      <c r="AK43" s="102"/>
      <c r="AL43" s="102"/>
      <c r="AM43" s="102"/>
      <c r="AN43" s="102"/>
      <c r="AO43" s="103"/>
      <c r="AP43" s="101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3"/>
      <c r="BB43" s="22"/>
    </row>
    <row r="44" spans="1:54" x14ac:dyDescent="0.35">
      <c r="A44" s="16" t="s">
        <v>117</v>
      </c>
      <c r="B44" s="8"/>
      <c r="C44" s="8" t="s">
        <v>118</v>
      </c>
      <c r="D44" s="10" t="s">
        <v>70</v>
      </c>
      <c r="F44" s="104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  <c r="R44" s="101"/>
      <c r="S44" s="102"/>
      <c r="T44" s="102"/>
      <c r="U44" s="102"/>
      <c r="V44" s="102"/>
      <c r="W44" s="102"/>
      <c r="X44" s="102"/>
      <c r="Y44" s="102"/>
      <c r="Z44" s="102"/>
      <c r="AA44" s="102"/>
      <c r="AB44" s="102">
        <v>1190</v>
      </c>
      <c r="AC44" s="103">
        <v>1190</v>
      </c>
      <c r="AD44" s="101">
        <v>1190</v>
      </c>
      <c r="AE44" s="102">
        <v>1190</v>
      </c>
      <c r="AF44" s="102">
        <v>1190</v>
      </c>
      <c r="AG44" s="102"/>
      <c r="AH44" s="102"/>
      <c r="AI44" s="102"/>
      <c r="AJ44" s="102"/>
      <c r="AK44" s="102"/>
      <c r="AL44" s="102"/>
      <c r="AM44" s="102"/>
      <c r="AN44" s="102"/>
      <c r="AO44" s="103"/>
      <c r="AP44" s="101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3"/>
      <c r="BB44" s="22"/>
    </row>
    <row r="45" spans="1:54" x14ac:dyDescent="0.35">
      <c r="A45" s="16" t="s">
        <v>119</v>
      </c>
      <c r="B45" s="8"/>
      <c r="C45" s="8" t="s">
        <v>120</v>
      </c>
      <c r="D45" s="10" t="s">
        <v>70</v>
      </c>
      <c r="F45" s="104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>
        <v>1160</v>
      </c>
      <c r="AC45" s="103">
        <v>1160</v>
      </c>
      <c r="AD45" s="101">
        <v>1160</v>
      </c>
      <c r="AE45" s="102">
        <v>1160</v>
      </c>
      <c r="AF45" s="102">
        <v>1160</v>
      </c>
      <c r="AG45" s="102"/>
      <c r="AH45" s="102"/>
      <c r="AI45" s="102"/>
      <c r="AJ45" s="102"/>
      <c r="AK45" s="102"/>
      <c r="AL45" s="102"/>
      <c r="AM45" s="102"/>
      <c r="AN45" s="102"/>
      <c r="AO45" s="103"/>
      <c r="AP45" s="101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3"/>
      <c r="BB45" s="22"/>
    </row>
    <row r="46" spans="1:54" x14ac:dyDescent="0.35">
      <c r="A46" s="16" t="s">
        <v>121</v>
      </c>
      <c r="B46" s="8"/>
      <c r="C46" s="8" t="s">
        <v>122</v>
      </c>
      <c r="D46" s="10" t="s">
        <v>70</v>
      </c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>
        <v>1160</v>
      </c>
      <c r="AC46" s="103">
        <v>1160</v>
      </c>
      <c r="AD46" s="101">
        <v>1160</v>
      </c>
      <c r="AE46" s="102">
        <v>1160</v>
      </c>
      <c r="AF46" s="102">
        <v>1160</v>
      </c>
      <c r="AG46" s="102"/>
      <c r="AH46" s="102"/>
      <c r="AI46" s="102"/>
      <c r="AJ46" s="102"/>
      <c r="AK46" s="102"/>
      <c r="AL46" s="102"/>
      <c r="AM46" s="102"/>
      <c r="AN46" s="102"/>
      <c r="AO46" s="103"/>
      <c r="AP46" s="101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3"/>
      <c r="BB46" s="22"/>
    </row>
    <row r="47" spans="1:54" x14ac:dyDescent="0.35">
      <c r="A47" s="16"/>
      <c r="B47" s="8"/>
      <c r="C47" s="8" t="s">
        <v>123</v>
      </c>
      <c r="D47" s="10" t="s">
        <v>70</v>
      </c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  <c r="R47" s="101"/>
      <c r="S47" s="102"/>
      <c r="T47" s="102"/>
      <c r="U47" s="102"/>
      <c r="V47" s="102"/>
      <c r="W47" s="102"/>
      <c r="X47" s="102"/>
      <c r="Y47" s="102"/>
      <c r="Z47" s="102"/>
      <c r="AA47" s="102"/>
      <c r="AB47" s="102">
        <v>1130</v>
      </c>
      <c r="AC47" s="103">
        <v>1130</v>
      </c>
      <c r="AD47" s="101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3"/>
      <c r="AP47" s="101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3"/>
      <c r="BB47" s="22"/>
    </row>
    <row r="48" spans="1:54" x14ac:dyDescent="0.35">
      <c r="A48" s="16"/>
      <c r="B48" s="8"/>
      <c r="C48" s="8" t="s">
        <v>124</v>
      </c>
      <c r="D48" s="10" t="s">
        <v>70</v>
      </c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6"/>
      <c r="R48" s="101"/>
      <c r="S48" s="102"/>
      <c r="T48" s="102"/>
      <c r="U48" s="102"/>
      <c r="V48" s="102"/>
      <c r="W48" s="102"/>
      <c r="X48" s="102"/>
      <c r="Y48" s="102"/>
      <c r="Z48" s="102"/>
      <c r="AA48" s="102"/>
      <c r="AB48" s="102">
        <v>1130</v>
      </c>
      <c r="AC48" s="103">
        <v>1130</v>
      </c>
      <c r="AD48" s="101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3"/>
      <c r="AP48" s="101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3"/>
      <c r="BB48" s="22"/>
    </row>
    <row r="49" spans="1:54" x14ac:dyDescent="0.35">
      <c r="A49" s="16"/>
      <c r="B49" s="8"/>
      <c r="C49" s="8" t="s">
        <v>125</v>
      </c>
      <c r="D49" s="10" t="s">
        <v>70</v>
      </c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6"/>
      <c r="R49" s="101"/>
      <c r="S49" s="102"/>
      <c r="T49" s="102"/>
      <c r="U49" s="102"/>
      <c r="V49" s="102"/>
      <c r="W49" s="102"/>
      <c r="X49" s="102"/>
      <c r="Y49" s="102"/>
      <c r="Z49" s="102"/>
      <c r="AA49" s="102"/>
      <c r="AB49" s="102">
        <v>1100</v>
      </c>
      <c r="AC49" s="103">
        <v>1100</v>
      </c>
      <c r="AD49" s="101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3"/>
      <c r="AP49" s="101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3"/>
      <c r="BB49" s="22"/>
    </row>
    <row r="50" spans="1:54" x14ac:dyDescent="0.35">
      <c r="A50" s="16" t="s">
        <v>126</v>
      </c>
      <c r="B50" s="8"/>
      <c r="C50" s="8" t="s">
        <v>127</v>
      </c>
      <c r="D50" s="10" t="s">
        <v>70</v>
      </c>
      <c r="F50" s="104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  <c r="R50" s="101"/>
      <c r="S50" s="102"/>
      <c r="T50" s="102"/>
      <c r="U50" s="102"/>
      <c r="V50" s="102"/>
      <c r="W50" s="102"/>
      <c r="X50" s="102"/>
      <c r="Y50" s="102"/>
      <c r="Z50" s="102"/>
      <c r="AA50" s="102"/>
      <c r="AB50" s="102">
        <v>1100</v>
      </c>
      <c r="AC50" s="103">
        <v>1100</v>
      </c>
      <c r="AD50" s="101">
        <v>1100</v>
      </c>
      <c r="AE50" s="102">
        <v>1100</v>
      </c>
      <c r="AF50" s="102">
        <v>1100</v>
      </c>
      <c r="AG50" s="102"/>
      <c r="AH50" s="102"/>
      <c r="AI50" s="102"/>
      <c r="AJ50" s="102"/>
      <c r="AK50" s="102"/>
      <c r="AL50" s="102"/>
      <c r="AM50" s="102"/>
      <c r="AN50" s="102"/>
      <c r="AO50" s="103"/>
      <c r="AP50" s="101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3"/>
      <c r="BB50" s="22"/>
    </row>
    <row r="51" spans="1:54" x14ac:dyDescent="0.35">
      <c r="A51" s="16"/>
      <c r="B51" s="8"/>
      <c r="C51" s="8"/>
      <c r="D51" s="10"/>
      <c r="F51" s="104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  <c r="R51" s="101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  <c r="AD51" s="101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3"/>
      <c r="AP51" s="101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3"/>
      <c r="BB51" s="22"/>
    </row>
    <row r="52" spans="1:54" x14ac:dyDescent="0.35">
      <c r="A52" s="16" t="s">
        <v>22</v>
      </c>
      <c r="B52" s="8"/>
      <c r="C52" s="8" t="s">
        <v>128</v>
      </c>
      <c r="D52" s="10" t="s">
        <v>70</v>
      </c>
      <c r="F52" s="104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3"/>
      <c r="AD52" s="101">
        <v>1400</v>
      </c>
      <c r="AE52" s="102">
        <v>1400</v>
      </c>
      <c r="AF52" s="102">
        <v>1350</v>
      </c>
      <c r="AG52" s="102">
        <v>1350</v>
      </c>
      <c r="AH52" s="102">
        <v>1350</v>
      </c>
      <c r="AI52" s="102">
        <v>1350</v>
      </c>
      <c r="AJ52" s="102">
        <v>1350</v>
      </c>
      <c r="AK52" s="102">
        <v>1330</v>
      </c>
      <c r="AL52" s="102">
        <v>1310</v>
      </c>
      <c r="AM52" s="102">
        <v>1310</v>
      </c>
      <c r="AN52" s="102">
        <v>1300</v>
      </c>
      <c r="AO52" s="103">
        <v>1300</v>
      </c>
      <c r="AP52" s="101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3"/>
      <c r="BB52" s="22"/>
    </row>
    <row r="53" spans="1:54" x14ac:dyDescent="0.35">
      <c r="A53" s="16" t="s">
        <v>24</v>
      </c>
      <c r="B53" s="8"/>
      <c r="C53" s="8" t="s">
        <v>129</v>
      </c>
      <c r="D53" s="10" t="s">
        <v>70</v>
      </c>
      <c r="F53" s="104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  <c r="R53" s="101">
        <v>1350</v>
      </c>
      <c r="S53" s="102">
        <v>1350</v>
      </c>
      <c r="T53" s="102">
        <v>1350</v>
      </c>
      <c r="U53" s="102">
        <v>1350</v>
      </c>
      <c r="V53" s="102">
        <v>1350</v>
      </c>
      <c r="W53" s="102">
        <v>1350</v>
      </c>
      <c r="X53" s="102">
        <v>1350</v>
      </c>
      <c r="Y53" s="102">
        <v>1350</v>
      </c>
      <c r="Z53" s="102">
        <v>1350</v>
      </c>
      <c r="AA53" s="102">
        <v>1350</v>
      </c>
      <c r="AB53" s="102">
        <v>1350</v>
      </c>
      <c r="AC53" s="103">
        <v>1350</v>
      </c>
      <c r="AD53" s="101">
        <v>1350</v>
      </c>
      <c r="AE53" s="102">
        <v>1300</v>
      </c>
      <c r="AF53" s="102">
        <v>1250</v>
      </c>
      <c r="AG53" s="102">
        <v>1250</v>
      </c>
      <c r="AH53" s="102">
        <v>1250</v>
      </c>
      <c r="AI53" s="102">
        <v>1250</v>
      </c>
      <c r="AJ53" s="102">
        <v>1250</v>
      </c>
      <c r="AK53" s="102">
        <v>1230</v>
      </c>
      <c r="AL53" s="102">
        <v>1210</v>
      </c>
      <c r="AM53" s="102">
        <v>1210</v>
      </c>
      <c r="AN53" s="102">
        <v>1200</v>
      </c>
      <c r="AO53" s="103">
        <v>1200</v>
      </c>
      <c r="AP53" s="101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3"/>
      <c r="BB53" s="22"/>
    </row>
    <row r="54" spans="1:54" x14ac:dyDescent="0.35">
      <c r="A54" s="16" t="s">
        <v>65</v>
      </c>
      <c r="B54" s="8"/>
      <c r="C54" s="8" t="s">
        <v>435</v>
      </c>
      <c r="D54" s="10" t="s">
        <v>70</v>
      </c>
      <c r="F54" s="104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  <c r="R54" s="101">
        <v>1350</v>
      </c>
      <c r="S54" s="102">
        <v>1350</v>
      </c>
      <c r="T54" s="102">
        <v>1350</v>
      </c>
      <c r="U54" s="102">
        <v>1350</v>
      </c>
      <c r="V54" s="102">
        <v>1350</v>
      </c>
      <c r="W54" s="102">
        <v>1350</v>
      </c>
      <c r="X54" s="102">
        <v>1350</v>
      </c>
      <c r="Y54" s="102">
        <v>1350</v>
      </c>
      <c r="Z54" s="102">
        <v>1350</v>
      </c>
      <c r="AA54" s="102">
        <v>1350</v>
      </c>
      <c r="AB54" s="102">
        <v>1350</v>
      </c>
      <c r="AC54" s="103">
        <v>1350</v>
      </c>
      <c r="AD54" s="101">
        <v>1350</v>
      </c>
      <c r="AE54" s="102">
        <v>1350</v>
      </c>
      <c r="AF54" s="102">
        <v>1300</v>
      </c>
      <c r="AG54" s="102">
        <v>1300</v>
      </c>
      <c r="AH54" s="102">
        <v>1300</v>
      </c>
      <c r="AI54" s="102">
        <v>1300</v>
      </c>
      <c r="AJ54" s="102">
        <v>1300</v>
      </c>
      <c r="AK54" s="102">
        <v>1280</v>
      </c>
      <c r="AL54" s="102">
        <v>1260</v>
      </c>
      <c r="AM54" s="102">
        <v>1260</v>
      </c>
      <c r="AN54" s="102">
        <v>1250</v>
      </c>
      <c r="AO54" s="103">
        <v>1250</v>
      </c>
      <c r="AP54" s="101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3"/>
      <c r="BB54" s="22"/>
    </row>
    <row r="55" spans="1:54" x14ac:dyDescent="0.35">
      <c r="A55" s="16"/>
      <c r="B55" s="8"/>
      <c r="C55" s="8"/>
      <c r="D55" s="10"/>
      <c r="F55" s="104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  <c r="R55" s="101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3"/>
      <c r="AD55" s="101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3"/>
      <c r="AP55" s="101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3"/>
      <c r="BB55" s="22"/>
    </row>
    <row r="56" spans="1:54" x14ac:dyDescent="0.35">
      <c r="A56" s="16"/>
      <c r="B56" s="8"/>
      <c r="C56" s="8"/>
      <c r="D56" s="10"/>
      <c r="F56" s="104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1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3"/>
      <c r="AP56" s="101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3"/>
      <c r="BB56" s="22"/>
    </row>
    <row r="57" spans="1:54" x14ac:dyDescent="0.35">
      <c r="A57" s="16"/>
      <c r="B57" s="8"/>
      <c r="C57" s="8"/>
      <c r="D57" s="10"/>
      <c r="F57" s="104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  <c r="R57" s="101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1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3"/>
      <c r="AP57" s="101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3"/>
      <c r="BB57" s="22"/>
    </row>
    <row r="58" spans="1:54" x14ac:dyDescent="0.35">
      <c r="A58" s="16"/>
      <c r="B58" s="8"/>
      <c r="C58" s="8"/>
      <c r="D58" s="10"/>
      <c r="F58" s="104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3"/>
      <c r="AD58" s="101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3"/>
      <c r="AP58" s="101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3"/>
      <c r="BB58" s="22"/>
    </row>
    <row r="59" spans="1:54" x14ac:dyDescent="0.35">
      <c r="A59" s="16"/>
      <c r="B59" s="8"/>
      <c r="C59" s="8"/>
      <c r="D59" s="10"/>
      <c r="F59" s="104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01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3"/>
      <c r="AD59" s="101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3"/>
      <c r="AP59" s="101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3"/>
      <c r="BB59" s="22"/>
    </row>
    <row r="60" spans="1:54" x14ac:dyDescent="0.35">
      <c r="A60" s="16"/>
      <c r="B60" s="8"/>
      <c r="C60" s="8"/>
      <c r="D60" s="10"/>
      <c r="F60" s="104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  <c r="AD60" s="101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3"/>
      <c r="AP60" s="101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3"/>
      <c r="BB60" s="22"/>
    </row>
    <row r="61" spans="1:54" x14ac:dyDescent="0.35">
      <c r="A61" s="16"/>
      <c r="B61" s="8"/>
      <c r="C61" s="8"/>
      <c r="D61" s="10"/>
      <c r="F61" s="104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  <c r="AD61" s="101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3"/>
      <c r="AP61" s="101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22"/>
    </row>
    <row r="62" spans="1:54" x14ac:dyDescent="0.35">
      <c r="A62" s="16"/>
      <c r="B62" s="8"/>
      <c r="C62" s="8"/>
      <c r="D62" s="10"/>
      <c r="F62" s="104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  <c r="AD62" s="101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3"/>
      <c r="AP62" s="101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3"/>
      <c r="BB62" s="22"/>
    </row>
    <row r="63" spans="1:54" x14ac:dyDescent="0.35">
      <c r="A63" s="16"/>
      <c r="B63" s="8"/>
      <c r="C63" s="8"/>
      <c r="D63" s="10"/>
      <c r="F63" s="104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  <c r="AD63" s="101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3"/>
      <c r="AP63" s="101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3"/>
      <c r="BB63" s="22"/>
    </row>
    <row r="64" spans="1:54" x14ac:dyDescent="0.35">
      <c r="A64" s="16"/>
      <c r="B64" s="8"/>
      <c r="C64" s="8"/>
      <c r="D64" s="10"/>
      <c r="F64" s="55"/>
      <c r="G64" s="8"/>
      <c r="H64" s="8"/>
      <c r="I64" s="8"/>
      <c r="J64" s="8"/>
      <c r="K64" s="8"/>
      <c r="L64" s="8"/>
      <c r="M64" s="8"/>
      <c r="N64" s="8"/>
      <c r="O64" s="8"/>
      <c r="P64" s="8"/>
      <c r="Q64" s="56"/>
      <c r="R64" s="55"/>
      <c r="S64" s="8"/>
      <c r="T64" s="8"/>
      <c r="U64" s="8"/>
      <c r="V64" s="8"/>
      <c r="W64" s="8"/>
      <c r="X64" s="8"/>
      <c r="Y64" s="8"/>
      <c r="Z64" s="8"/>
      <c r="AA64" s="8"/>
      <c r="AB64" s="8"/>
      <c r="AC64" s="50"/>
      <c r="AD64" s="55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56"/>
      <c r="AP64" s="55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56"/>
      <c r="BB64" s="22"/>
    </row>
    <row r="65" spans="1:54" s="1" customFormat="1" x14ac:dyDescent="0.35">
      <c r="A65" s="17"/>
      <c r="B65" s="64"/>
      <c r="C65" s="64" t="s">
        <v>131</v>
      </c>
      <c r="D65" s="65"/>
      <c r="E65" s="66"/>
      <c r="F65" s="67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8"/>
      <c r="R65" s="67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8"/>
      <c r="AD65" s="67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8"/>
      <c r="AP65" s="67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8"/>
      <c r="BB65" s="41"/>
    </row>
    <row r="66" spans="1:54" x14ac:dyDescent="0.35">
      <c r="A66" s="16" t="s">
        <v>132</v>
      </c>
      <c r="B66" s="8"/>
      <c r="C66" s="8" t="s">
        <v>133</v>
      </c>
      <c r="D66" s="10" t="s">
        <v>70</v>
      </c>
      <c r="F66" s="104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  <c r="R66" s="104">
        <v>20</v>
      </c>
      <c r="S66" s="105">
        <v>20</v>
      </c>
      <c r="T66" s="105">
        <v>20</v>
      </c>
      <c r="U66" s="105">
        <v>20</v>
      </c>
      <c r="V66" s="105">
        <v>20</v>
      </c>
      <c r="W66" s="105">
        <v>20</v>
      </c>
      <c r="X66" s="105">
        <v>20</v>
      </c>
      <c r="Y66" s="105">
        <v>20</v>
      </c>
      <c r="Z66" s="105">
        <v>20</v>
      </c>
      <c r="AA66" s="105">
        <v>20</v>
      </c>
      <c r="AB66" s="105">
        <v>20</v>
      </c>
      <c r="AC66" s="103">
        <v>20</v>
      </c>
      <c r="AD66" s="104">
        <v>20</v>
      </c>
      <c r="AE66" s="105">
        <v>20</v>
      </c>
      <c r="AF66" s="105">
        <v>22</v>
      </c>
      <c r="AG66" s="105">
        <v>22</v>
      </c>
      <c r="AH66" s="105">
        <v>22</v>
      </c>
      <c r="AI66" s="105">
        <v>22</v>
      </c>
      <c r="AJ66" s="105">
        <v>22</v>
      </c>
      <c r="AK66" s="105">
        <v>20</v>
      </c>
      <c r="AL66" s="105">
        <v>20</v>
      </c>
      <c r="AM66" s="105">
        <v>20</v>
      </c>
      <c r="AN66" s="105">
        <v>20</v>
      </c>
      <c r="AO66" s="106">
        <v>20</v>
      </c>
      <c r="AP66" s="104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6"/>
      <c r="BB66" s="22"/>
    </row>
    <row r="67" spans="1:54" x14ac:dyDescent="0.35">
      <c r="A67" s="16" t="s">
        <v>9</v>
      </c>
      <c r="B67" s="8"/>
      <c r="C67" s="8" t="s">
        <v>134</v>
      </c>
      <c r="D67" s="10" t="s">
        <v>70</v>
      </c>
      <c r="F67" s="55"/>
      <c r="G67" s="8"/>
      <c r="H67" s="8"/>
      <c r="I67" s="8"/>
      <c r="J67" s="8"/>
      <c r="K67" s="8"/>
      <c r="L67" s="8"/>
      <c r="M67" s="8"/>
      <c r="N67" s="8"/>
      <c r="O67" s="8"/>
      <c r="P67" s="8"/>
      <c r="Q67" s="56"/>
      <c r="R67" s="104">
        <v>930</v>
      </c>
      <c r="S67" s="105">
        <v>943.33333333333337</v>
      </c>
      <c r="T67" s="105">
        <v>940</v>
      </c>
      <c r="U67" s="105">
        <v>940</v>
      </c>
      <c r="V67" s="105">
        <v>942</v>
      </c>
      <c r="W67" s="105">
        <v>950</v>
      </c>
      <c r="X67" s="105">
        <v>947.5</v>
      </c>
      <c r="Y67" s="105">
        <v>930</v>
      </c>
      <c r="Z67" s="105">
        <v>880</v>
      </c>
      <c r="AA67" s="105">
        <v>862.5</v>
      </c>
      <c r="AB67" s="105">
        <v>852</v>
      </c>
      <c r="AC67" s="103">
        <v>830</v>
      </c>
      <c r="AD67" s="104">
        <v>828</v>
      </c>
      <c r="AE67" s="105">
        <v>840</v>
      </c>
      <c r="AF67" s="105">
        <v>823</v>
      </c>
      <c r="AG67" s="105">
        <v>765</v>
      </c>
      <c r="AH67" s="105">
        <v>782</v>
      </c>
      <c r="AI67" s="105">
        <v>807.5</v>
      </c>
      <c r="AJ67" s="105">
        <v>802</v>
      </c>
      <c r="AK67" s="105">
        <v>795</v>
      </c>
      <c r="AL67" s="105">
        <v>783</v>
      </c>
      <c r="AM67" s="105">
        <v>772</v>
      </c>
      <c r="AN67" s="105">
        <v>770</v>
      </c>
      <c r="AO67" s="461">
        <v>770</v>
      </c>
      <c r="AP67" s="104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6"/>
      <c r="BB67" s="22"/>
    </row>
    <row r="68" spans="1:54" x14ac:dyDescent="0.35">
      <c r="A68" s="16" t="s">
        <v>21</v>
      </c>
      <c r="B68" s="8"/>
      <c r="C68" s="8" t="s">
        <v>135</v>
      </c>
      <c r="D68" s="10" t="s">
        <v>70</v>
      </c>
      <c r="F68" s="55"/>
      <c r="G68" s="8"/>
      <c r="H68" s="8"/>
      <c r="I68" s="8"/>
      <c r="J68" s="8"/>
      <c r="K68" s="8"/>
      <c r="L68" s="8"/>
      <c r="M68" s="8"/>
      <c r="N68" s="8"/>
      <c r="O68" s="8"/>
      <c r="P68" s="8"/>
      <c r="Q68" s="56"/>
      <c r="R68" s="104">
        <v>940</v>
      </c>
      <c r="S68" s="105">
        <v>993.33333333333337</v>
      </c>
      <c r="T68" s="105">
        <v>985</v>
      </c>
      <c r="U68" s="105">
        <v>962.5</v>
      </c>
      <c r="V68" s="105">
        <v>982</v>
      </c>
      <c r="W68" s="105">
        <v>1000</v>
      </c>
      <c r="X68" s="105">
        <v>1000</v>
      </c>
      <c r="Y68" s="105">
        <v>984</v>
      </c>
      <c r="Z68" s="105">
        <v>967.5</v>
      </c>
      <c r="AA68" s="105">
        <v>965</v>
      </c>
      <c r="AB68" s="105">
        <v>974</v>
      </c>
      <c r="AC68" s="103">
        <v>956</v>
      </c>
      <c r="AD68" s="104">
        <v>940</v>
      </c>
      <c r="AE68" s="105">
        <v>918</v>
      </c>
      <c r="AF68" s="105">
        <v>896</v>
      </c>
      <c r="AG68" s="105">
        <v>891.5</v>
      </c>
      <c r="AH68" s="105">
        <v>864</v>
      </c>
      <c r="AI68" s="105">
        <v>833</v>
      </c>
      <c r="AJ68" s="105">
        <v>833</v>
      </c>
      <c r="AK68" s="105">
        <v>815</v>
      </c>
      <c r="AL68" s="105">
        <v>813</v>
      </c>
      <c r="AM68" s="105">
        <v>805</v>
      </c>
      <c r="AN68" s="105">
        <v>805</v>
      </c>
      <c r="AO68" s="461">
        <v>805</v>
      </c>
      <c r="AP68" s="104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6"/>
      <c r="BB68" s="22"/>
    </row>
    <row r="69" spans="1:54" x14ac:dyDescent="0.35">
      <c r="A69" s="16" t="s">
        <v>136</v>
      </c>
      <c r="B69" s="8"/>
      <c r="C69" s="8" t="s">
        <v>137</v>
      </c>
      <c r="D69" s="10" t="s">
        <v>70</v>
      </c>
      <c r="F69" s="55"/>
      <c r="G69" s="8"/>
      <c r="H69" s="8"/>
      <c r="I69" s="8"/>
      <c r="J69" s="8"/>
      <c r="K69" s="8"/>
      <c r="L69" s="8"/>
      <c r="M69" s="8"/>
      <c r="N69" s="8"/>
      <c r="O69" s="8"/>
      <c r="P69" s="8"/>
      <c r="Q69" s="56"/>
      <c r="R69" s="104">
        <v>962.5</v>
      </c>
      <c r="S69" s="105">
        <v>986.66666666666663</v>
      </c>
      <c r="T69" s="105">
        <v>990</v>
      </c>
      <c r="U69" s="105">
        <v>992.5</v>
      </c>
      <c r="V69" s="105">
        <v>1002</v>
      </c>
      <c r="W69" s="105">
        <v>1025</v>
      </c>
      <c r="X69" s="105">
        <v>1020</v>
      </c>
      <c r="Y69" s="105">
        <v>970</v>
      </c>
      <c r="Z69" s="105">
        <v>955</v>
      </c>
      <c r="AA69" s="105">
        <v>956.66666666666663</v>
      </c>
      <c r="AB69" s="105">
        <v>968</v>
      </c>
      <c r="AC69" s="103">
        <v>960</v>
      </c>
      <c r="AD69" s="104">
        <v>970</v>
      </c>
      <c r="AE69" s="105">
        <v>985</v>
      </c>
      <c r="AF69" s="105">
        <v>980</v>
      </c>
      <c r="AG69" s="105">
        <v>965</v>
      </c>
      <c r="AH69" s="105">
        <v>932</v>
      </c>
      <c r="AI69" s="105">
        <v>922.5</v>
      </c>
      <c r="AJ69" s="105">
        <v>918</v>
      </c>
      <c r="AK69" s="105">
        <v>895</v>
      </c>
      <c r="AL69" s="105">
        <v>870</v>
      </c>
      <c r="AM69" s="105">
        <v>842</v>
      </c>
      <c r="AN69" s="105">
        <v>830</v>
      </c>
      <c r="AO69" s="461">
        <v>830</v>
      </c>
      <c r="AP69" s="104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6"/>
      <c r="BB69" s="22"/>
    </row>
    <row r="70" spans="1:54" x14ac:dyDescent="0.35">
      <c r="A70" s="16"/>
      <c r="B70" s="8"/>
      <c r="C70" s="8"/>
      <c r="D70" s="10"/>
      <c r="F70" s="55"/>
      <c r="G70" s="8"/>
      <c r="H70" s="8"/>
      <c r="I70" s="8"/>
      <c r="J70" s="8"/>
      <c r="K70" s="8"/>
      <c r="L70" s="8"/>
      <c r="M70" s="8"/>
      <c r="N70" s="8"/>
      <c r="O70" s="8"/>
      <c r="P70" s="8"/>
      <c r="Q70" s="56"/>
      <c r="R70" s="55"/>
      <c r="S70" s="8"/>
      <c r="T70" s="8"/>
      <c r="U70" s="8"/>
      <c r="V70" s="8"/>
      <c r="W70" s="8"/>
      <c r="X70" s="8"/>
      <c r="Y70" s="8"/>
      <c r="Z70" s="8"/>
      <c r="AA70" s="8"/>
      <c r="AB70" s="8"/>
      <c r="AC70" s="56"/>
      <c r="AD70" s="55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56"/>
      <c r="AP70" s="55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56"/>
      <c r="BB70" s="22"/>
    </row>
    <row r="71" spans="1:54" x14ac:dyDescent="0.35">
      <c r="A71" s="16"/>
      <c r="B71" s="8"/>
      <c r="C71" s="8"/>
      <c r="D71" s="10"/>
      <c r="F71" s="55"/>
      <c r="G71" s="8"/>
      <c r="H71" s="8"/>
      <c r="I71" s="8"/>
      <c r="J71" s="8"/>
      <c r="K71" s="8"/>
      <c r="L71" s="8"/>
      <c r="M71" s="8"/>
      <c r="N71" s="8"/>
      <c r="O71" s="8"/>
      <c r="P71" s="8"/>
      <c r="Q71" s="56"/>
      <c r="R71" s="55"/>
      <c r="S71" s="8"/>
      <c r="T71" s="8"/>
      <c r="U71" s="8"/>
      <c r="V71" s="8"/>
      <c r="W71" s="8"/>
      <c r="X71" s="8"/>
      <c r="Y71" s="8"/>
      <c r="Z71" s="8"/>
      <c r="AA71" s="8"/>
      <c r="AB71" s="8"/>
      <c r="AC71" s="56"/>
      <c r="AD71" s="55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56"/>
      <c r="AP71" s="55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56"/>
      <c r="BB71" s="22"/>
    </row>
    <row r="72" spans="1:54" x14ac:dyDescent="0.35">
      <c r="A72" s="16"/>
      <c r="B72" s="8"/>
      <c r="C72" s="8"/>
      <c r="D72" s="10"/>
      <c r="F72" s="55"/>
      <c r="G72" s="8"/>
      <c r="H72" s="8"/>
      <c r="I72" s="8"/>
      <c r="J72" s="8"/>
      <c r="K72" s="8"/>
      <c r="L72" s="8"/>
      <c r="M72" s="8"/>
      <c r="N72" s="8"/>
      <c r="O72" s="8"/>
      <c r="P72" s="8"/>
      <c r="Q72" s="56"/>
      <c r="R72" s="55"/>
      <c r="S72" s="8"/>
      <c r="T72" s="8"/>
      <c r="U72" s="8"/>
      <c r="V72" s="8"/>
      <c r="W72" s="8"/>
      <c r="X72" s="8"/>
      <c r="Y72" s="8"/>
      <c r="Z72" s="8"/>
      <c r="AA72" s="8"/>
      <c r="AB72" s="8"/>
      <c r="AC72" s="56"/>
      <c r="AD72" s="55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6"/>
      <c r="AP72" s="55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56"/>
      <c r="BB72" s="22"/>
    </row>
    <row r="73" spans="1:54" x14ac:dyDescent="0.35">
      <c r="A73" s="16"/>
      <c r="B73" s="8"/>
      <c r="C73" s="8"/>
      <c r="D73" s="10"/>
      <c r="F73" s="55"/>
      <c r="G73" s="8"/>
      <c r="H73" s="8"/>
      <c r="I73" s="8"/>
      <c r="J73" s="8"/>
      <c r="K73" s="8"/>
      <c r="L73" s="8"/>
      <c r="M73" s="8"/>
      <c r="N73" s="8"/>
      <c r="O73" s="8"/>
      <c r="P73" s="8"/>
      <c r="Q73" s="56"/>
      <c r="R73" s="55"/>
      <c r="S73" s="8"/>
      <c r="T73" s="8"/>
      <c r="U73" s="8"/>
      <c r="V73" s="8"/>
      <c r="W73" s="8"/>
      <c r="X73" s="8"/>
      <c r="Y73" s="8"/>
      <c r="Z73" s="8"/>
      <c r="AA73" s="8"/>
      <c r="AB73" s="8"/>
      <c r="AC73" s="56"/>
      <c r="AD73" s="55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56"/>
      <c r="AP73" s="55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56"/>
      <c r="BB73" s="22"/>
    </row>
    <row r="74" spans="1:54" x14ac:dyDescent="0.35">
      <c r="A74" s="16"/>
      <c r="B74" s="8"/>
      <c r="C74" s="8"/>
      <c r="D74" s="10"/>
      <c r="F74" s="55"/>
      <c r="G74" s="8"/>
      <c r="H74" s="8"/>
      <c r="I74" s="8"/>
      <c r="J74" s="8"/>
      <c r="K74" s="8"/>
      <c r="L74" s="8"/>
      <c r="M74" s="8"/>
      <c r="N74" s="8"/>
      <c r="O74" s="8"/>
      <c r="P74" s="8"/>
      <c r="Q74" s="56"/>
      <c r="R74" s="55"/>
      <c r="S74" s="8"/>
      <c r="T74" s="8"/>
      <c r="U74" s="8"/>
      <c r="V74" s="8"/>
      <c r="W74" s="8"/>
      <c r="X74" s="8"/>
      <c r="Y74" s="8"/>
      <c r="Z74" s="8"/>
      <c r="AA74" s="8"/>
      <c r="AB74" s="8"/>
      <c r="AC74" s="56"/>
      <c r="AD74" s="55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56"/>
      <c r="AP74" s="55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56"/>
      <c r="BB74" s="22"/>
    </row>
    <row r="75" spans="1:54" x14ac:dyDescent="0.35">
      <c r="A75" s="16"/>
      <c r="B75" s="8"/>
      <c r="C75" s="8"/>
      <c r="D75" s="10"/>
      <c r="F75" s="55"/>
      <c r="G75" s="8"/>
      <c r="H75" s="8"/>
      <c r="I75" s="8"/>
      <c r="J75" s="8"/>
      <c r="K75" s="8"/>
      <c r="L75" s="8"/>
      <c r="M75" s="8"/>
      <c r="N75" s="8"/>
      <c r="O75" s="8"/>
      <c r="P75" s="8"/>
      <c r="Q75" s="56"/>
      <c r="R75" s="55"/>
      <c r="S75" s="8"/>
      <c r="T75" s="8"/>
      <c r="U75" s="8"/>
      <c r="V75" s="8"/>
      <c r="W75" s="8"/>
      <c r="X75" s="8"/>
      <c r="Y75" s="8"/>
      <c r="Z75" s="8"/>
      <c r="AA75" s="8"/>
      <c r="AB75" s="8"/>
      <c r="AC75" s="56"/>
      <c r="AD75" s="55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6"/>
      <c r="AP75" s="55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56"/>
      <c r="BB75" s="22"/>
    </row>
    <row r="76" spans="1:54" x14ac:dyDescent="0.35">
      <c r="A76" s="16"/>
      <c r="B76" s="8"/>
      <c r="C76" s="8"/>
      <c r="D76" s="10"/>
      <c r="F76" s="55"/>
      <c r="G76" s="8"/>
      <c r="H76" s="8"/>
      <c r="I76" s="8"/>
      <c r="J76" s="8"/>
      <c r="K76" s="8"/>
      <c r="L76" s="8"/>
      <c r="M76" s="8"/>
      <c r="N76" s="8"/>
      <c r="O76" s="8"/>
      <c r="P76" s="8"/>
      <c r="Q76" s="56"/>
      <c r="R76" s="55"/>
      <c r="S76" s="8"/>
      <c r="T76" s="8"/>
      <c r="U76" s="8"/>
      <c r="V76" s="8"/>
      <c r="W76" s="8"/>
      <c r="X76" s="8"/>
      <c r="Y76" s="8"/>
      <c r="Z76" s="8"/>
      <c r="AA76" s="8"/>
      <c r="AB76" s="8"/>
      <c r="AC76" s="56"/>
      <c r="AD76" s="55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6"/>
      <c r="AP76" s="55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56"/>
      <c r="BB76" s="22"/>
    </row>
    <row r="77" spans="1:54" x14ac:dyDescent="0.35">
      <c r="A77" s="16"/>
      <c r="B77" s="8"/>
      <c r="C77" s="8"/>
      <c r="D77" s="10"/>
      <c r="F77" s="55"/>
      <c r="G77" s="8"/>
      <c r="H77" s="8"/>
      <c r="I77" s="8"/>
      <c r="J77" s="8"/>
      <c r="K77" s="8"/>
      <c r="L77" s="8"/>
      <c r="M77" s="8"/>
      <c r="N77" s="8"/>
      <c r="O77" s="8"/>
      <c r="P77" s="8"/>
      <c r="Q77" s="56"/>
      <c r="R77" s="55"/>
      <c r="S77" s="8"/>
      <c r="T77" s="8"/>
      <c r="U77" s="8"/>
      <c r="V77" s="8"/>
      <c r="W77" s="8"/>
      <c r="X77" s="8"/>
      <c r="Y77" s="8"/>
      <c r="Z77" s="8"/>
      <c r="AA77" s="8"/>
      <c r="AB77" s="8"/>
      <c r="AC77" s="56"/>
      <c r="AD77" s="55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6"/>
      <c r="AP77" s="55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56"/>
      <c r="BB77" s="22"/>
    </row>
    <row r="78" spans="1:54" x14ac:dyDescent="0.35">
      <c r="A78" s="16"/>
      <c r="B78" s="8"/>
      <c r="C78" s="8"/>
      <c r="D78" s="10"/>
      <c r="F78" s="55"/>
      <c r="G78" s="8"/>
      <c r="H78" s="8"/>
      <c r="I78" s="8"/>
      <c r="J78" s="8"/>
      <c r="K78" s="8"/>
      <c r="L78" s="8"/>
      <c r="M78" s="8"/>
      <c r="N78" s="8"/>
      <c r="O78" s="8"/>
      <c r="P78" s="8"/>
      <c r="Q78" s="56"/>
      <c r="R78" s="55"/>
      <c r="S78" s="8"/>
      <c r="T78" s="8"/>
      <c r="U78" s="8"/>
      <c r="V78" s="8"/>
      <c r="W78" s="8"/>
      <c r="X78" s="8"/>
      <c r="Y78" s="8"/>
      <c r="Z78" s="8"/>
      <c r="AA78" s="8"/>
      <c r="AB78" s="8"/>
      <c r="AC78" s="56"/>
      <c r="AD78" s="5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6"/>
      <c r="AP78" s="55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56"/>
      <c r="BB78" s="22"/>
    </row>
    <row r="79" spans="1:54" x14ac:dyDescent="0.35">
      <c r="A79" s="16"/>
      <c r="B79" s="8"/>
      <c r="C79" s="8"/>
      <c r="D79" s="10"/>
      <c r="F79" s="55"/>
      <c r="G79" s="8"/>
      <c r="H79" s="8"/>
      <c r="I79" s="8"/>
      <c r="J79" s="8"/>
      <c r="K79" s="8"/>
      <c r="L79" s="8"/>
      <c r="M79" s="8"/>
      <c r="N79" s="8"/>
      <c r="O79" s="8"/>
      <c r="P79" s="8"/>
      <c r="Q79" s="56"/>
      <c r="R79" s="55"/>
      <c r="S79" s="8"/>
      <c r="T79" s="8"/>
      <c r="U79" s="8"/>
      <c r="V79" s="8"/>
      <c r="W79" s="8"/>
      <c r="X79" s="8"/>
      <c r="Y79" s="8"/>
      <c r="Z79" s="8"/>
      <c r="AA79" s="8"/>
      <c r="AB79" s="8"/>
      <c r="AC79" s="56"/>
      <c r="AD79" s="55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6"/>
      <c r="AP79" s="5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56"/>
      <c r="BB79" s="22"/>
    </row>
    <row r="80" spans="1:54" x14ac:dyDescent="0.35">
      <c r="A80" s="16"/>
      <c r="B80" s="8"/>
      <c r="C80" s="8"/>
      <c r="D80" s="10"/>
      <c r="F80" s="55"/>
      <c r="G80" s="8"/>
      <c r="H80" s="8"/>
      <c r="I80" s="8"/>
      <c r="J80" s="8"/>
      <c r="K80" s="8"/>
      <c r="L80" s="8"/>
      <c r="M80" s="8"/>
      <c r="N80" s="8"/>
      <c r="O80" s="8"/>
      <c r="P80" s="8"/>
      <c r="Q80" s="56"/>
      <c r="R80" s="55"/>
      <c r="S80" s="8"/>
      <c r="T80" s="8"/>
      <c r="U80" s="8"/>
      <c r="V80" s="8"/>
      <c r="W80" s="8"/>
      <c r="X80" s="8"/>
      <c r="Y80" s="8"/>
      <c r="Z80" s="8"/>
      <c r="AA80" s="8"/>
      <c r="AB80" s="8"/>
      <c r="AC80" s="56"/>
      <c r="AD80" s="55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6"/>
      <c r="AP80" s="5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56"/>
      <c r="BB80" s="22"/>
    </row>
    <row r="81" spans="1:54" x14ac:dyDescent="0.35">
      <c r="A81" s="16"/>
      <c r="B81" s="8"/>
      <c r="C81" s="8"/>
      <c r="D81" s="10"/>
      <c r="F81" s="55"/>
      <c r="G81" s="8"/>
      <c r="H81" s="8"/>
      <c r="I81" s="8"/>
      <c r="J81" s="8"/>
      <c r="K81" s="8"/>
      <c r="L81" s="8"/>
      <c r="M81" s="8"/>
      <c r="N81" s="8"/>
      <c r="O81" s="8"/>
      <c r="P81" s="8"/>
      <c r="Q81" s="56"/>
      <c r="R81" s="55"/>
      <c r="S81" s="8"/>
      <c r="T81" s="8"/>
      <c r="U81" s="8"/>
      <c r="V81" s="8"/>
      <c r="W81" s="8"/>
      <c r="X81" s="8"/>
      <c r="Y81" s="8"/>
      <c r="Z81" s="8"/>
      <c r="AA81" s="8"/>
      <c r="AB81" s="8"/>
      <c r="AC81" s="56"/>
      <c r="AD81" s="55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6"/>
      <c r="AP81" s="55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56"/>
      <c r="BB81" s="22"/>
    </row>
    <row r="82" spans="1:54" x14ac:dyDescent="0.35">
      <c r="A82" s="16"/>
      <c r="B82" s="8"/>
      <c r="C82" s="8"/>
      <c r="D82" s="10"/>
      <c r="F82" s="55"/>
      <c r="G82" s="8"/>
      <c r="H82" s="8"/>
      <c r="I82" s="8"/>
      <c r="J82" s="8"/>
      <c r="K82" s="8"/>
      <c r="L82" s="8"/>
      <c r="M82" s="8"/>
      <c r="N82" s="8"/>
      <c r="O82" s="8"/>
      <c r="P82" s="8"/>
      <c r="Q82" s="56"/>
      <c r="R82" s="55"/>
      <c r="S82" s="8"/>
      <c r="T82" s="8"/>
      <c r="U82" s="8"/>
      <c r="V82" s="8"/>
      <c r="W82" s="8"/>
      <c r="X82" s="8"/>
      <c r="Y82" s="8"/>
      <c r="Z82" s="8"/>
      <c r="AA82" s="8"/>
      <c r="AB82" s="8"/>
      <c r="AC82" s="56"/>
      <c r="AD82" s="55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56"/>
      <c r="AP82" s="55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56"/>
      <c r="BB82" s="22"/>
    </row>
    <row r="83" spans="1:54" x14ac:dyDescent="0.35">
      <c r="A83" s="16"/>
      <c r="B83" s="8"/>
      <c r="C83" s="8"/>
      <c r="D83" s="10"/>
      <c r="F83" s="55"/>
      <c r="G83" s="8"/>
      <c r="H83" s="8"/>
      <c r="I83" s="8"/>
      <c r="J83" s="8"/>
      <c r="K83" s="8"/>
      <c r="L83" s="8"/>
      <c r="M83" s="8"/>
      <c r="N83" s="8"/>
      <c r="O83" s="8"/>
      <c r="P83" s="8"/>
      <c r="Q83" s="56"/>
      <c r="R83" s="55"/>
      <c r="S83" s="8"/>
      <c r="T83" s="8"/>
      <c r="U83" s="8"/>
      <c r="V83" s="8"/>
      <c r="W83" s="8"/>
      <c r="X83" s="8"/>
      <c r="Y83" s="8"/>
      <c r="Z83" s="8"/>
      <c r="AA83" s="8"/>
      <c r="AB83" s="8"/>
      <c r="AC83" s="56"/>
      <c r="AD83" s="5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6"/>
      <c r="AP83" s="55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56"/>
      <c r="BB83" s="22"/>
    </row>
    <row r="84" spans="1:54" x14ac:dyDescent="0.35">
      <c r="A84" s="16"/>
      <c r="B84" s="8"/>
      <c r="C84" s="8"/>
      <c r="D84" s="10"/>
      <c r="F84" s="55"/>
      <c r="G84" s="8"/>
      <c r="H84" s="8"/>
      <c r="I84" s="8"/>
      <c r="J84" s="8"/>
      <c r="K84" s="8"/>
      <c r="L84" s="8"/>
      <c r="M84" s="8"/>
      <c r="N84" s="8"/>
      <c r="O84" s="8"/>
      <c r="P84" s="8"/>
      <c r="Q84" s="56"/>
      <c r="R84" s="55"/>
      <c r="S84" s="8"/>
      <c r="T84" s="8"/>
      <c r="U84" s="8"/>
      <c r="V84" s="8"/>
      <c r="W84" s="8"/>
      <c r="X84" s="8"/>
      <c r="Y84" s="8"/>
      <c r="Z84" s="8"/>
      <c r="AA84" s="8"/>
      <c r="AB84" s="8"/>
      <c r="AC84" s="56"/>
      <c r="AD84" s="55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6"/>
      <c r="AP84" s="55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56"/>
      <c r="BB84" s="22"/>
    </row>
    <row r="85" spans="1:54" x14ac:dyDescent="0.35">
      <c r="A85" s="16"/>
      <c r="B85" s="8"/>
      <c r="C85" s="8"/>
      <c r="D85" s="10"/>
      <c r="F85" s="55"/>
      <c r="G85" s="8"/>
      <c r="H85" s="8"/>
      <c r="I85" s="8"/>
      <c r="J85" s="8"/>
      <c r="K85" s="8"/>
      <c r="L85" s="8"/>
      <c r="M85" s="8"/>
      <c r="N85" s="8"/>
      <c r="O85" s="8"/>
      <c r="P85" s="8"/>
      <c r="Q85" s="56"/>
      <c r="R85" s="55"/>
      <c r="S85" s="8"/>
      <c r="T85" s="8"/>
      <c r="U85" s="8"/>
      <c r="V85" s="8"/>
      <c r="W85" s="8"/>
      <c r="X85" s="8"/>
      <c r="Y85" s="8"/>
      <c r="Z85" s="8"/>
      <c r="AA85" s="8"/>
      <c r="AB85" s="8"/>
      <c r="AC85" s="56"/>
      <c r="AD85" s="55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56"/>
      <c r="AP85" s="55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56"/>
      <c r="BB85" s="22"/>
    </row>
    <row r="86" spans="1:54" x14ac:dyDescent="0.35">
      <c r="A86" s="16"/>
      <c r="B86" s="8"/>
      <c r="C86" s="8"/>
      <c r="D86" s="10"/>
      <c r="F86" s="55"/>
      <c r="G86" s="8"/>
      <c r="H86" s="8"/>
      <c r="I86" s="8"/>
      <c r="J86" s="8"/>
      <c r="K86" s="8"/>
      <c r="L86" s="8"/>
      <c r="M86" s="8"/>
      <c r="N86" s="8"/>
      <c r="O86" s="8"/>
      <c r="P86" s="8"/>
      <c r="Q86" s="56"/>
      <c r="R86" s="55"/>
      <c r="S86" s="8"/>
      <c r="T86" s="8"/>
      <c r="U86" s="8"/>
      <c r="V86" s="8"/>
      <c r="W86" s="8"/>
      <c r="X86" s="8"/>
      <c r="Y86" s="8"/>
      <c r="Z86" s="8"/>
      <c r="AA86" s="8"/>
      <c r="AB86" s="8"/>
      <c r="AC86" s="56"/>
      <c r="AD86" s="55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56"/>
      <c r="AP86" s="55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56"/>
      <c r="BB86" s="22"/>
    </row>
    <row r="87" spans="1:54" x14ac:dyDescent="0.35">
      <c r="A87" s="16"/>
      <c r="B87" s="8"/>
      <c r="C87" s="8"/>
      <c r="D87" s="10"/>
      <c r="F87" s="55"/>
      <c r="G87" s="8"/>
      <c r="H87" s="8"/>
      <c r="I87" s="8"/>
      <c r="J87" s="8"/>
      <c r="K87" s="8"/>
      <c r="L87" s="8"/>
      <c r="M87" s="8"/>
      <c r="N87" s="8"/>
      <c r="O87" s="8"/>
      <c r="P87" s="8"/>
      <c r="Q87" s="56"/>
      <c r="R87" s="55"/>
      <c r="S87" s="8"/>
      <c r="T87" s="8"/>
      <c r="U87" s="8"/>
      <c r="V87" s="8"/>
      <c r="W87" s="8"/>
      <c r="X87" s="8"/>
      <c r="Y87" s="8"/>
      <c r="Z87" s="8"/>
      <c r="AA87" s="8"/>
      <c r="AB87" s="8"/>
      <c r="AC87" s="56"/>
      <c r="AD87" s="55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56"/>
      <c r="AP87" s="55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56"/>
      <c r="BB87" s="22"/>
    </row>
    <row r="88" spans="1:54" x14ac:dyDescent="0.35">
      <c r="A88" s="16"/>
      <c r="B88" s="8"/>
      <c r="C88" s="8"/>
      <c r="D88" s="10"/>
      <c r="F88" s="55"/>
      <c r="G88" s="8"/>
      <c r="H88" s="8"/>
      <c r="I88" s="8"/>
      <c r="J88" s="8"/>
      <c r="K88" s="8"/>
      <c r="L88" s="8"/>
      <c r="M88" s="8"/>
      <c r="N88" s="8"/>
      <c r="O88" s="8"/>
      <c r="P88" s="8"/>
      <c r="Q88" s="56"/>
      <c r="R88" s="55"/>
      <c r="S88" s="8"/>
      <c r="T88" s="8"/>
      <c r="U88" s="8"/>
      <c r="V88" s="8"/>
      <c r="W88" s="8"/>
      <c r="X88" s="8"/>
      <c r="Y88" s="8"/>
      <c r="Z88" s="8"/>
      <c r="AA88" s="8"/>
      <c r="AB88" s="8"/>
      <c r="AC88" s="56"/>
      <c r="AD88" s="55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56"/>
      <c r="AP88" s="55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56"/>
      <c r="BB88" s="22"/>
    </row>
    <row r="89" spans="1:54" x14ac:dyDescent="0.35">
      <c r="A89" s="16"/>
      <c r="B89" s="8"/>
      <c r="C89" s="8"/>
      <c r="D89" s="10"/>
      <c r="F89" s="55"/>
      <c r="G89" s="8"/>
      <c r="H89" s="8"/>
      <c r="I89" s="8"/>
      <c r="J89" s="8"/>
      <c r="K89" s="8"/>
      <c r="L89" s="8"/>
      <c r="M89" s="8"/>
      <c r="N89" s="8"/>
      <c r="O89" s="8"/>
      <c r="P89" s="8"/>
      <c r="Q89" s="56"/>
      <c r="R89" s="55"/>
      <c r="S89" s="8"/>
      <c r="T89" s="8"/>
      <c r="U89" s="8"/>
      <c r="V89" s="8"/>
      <c r="W89" s="8"/>
      <c r="X89" s="8"/>
      <c r="Y89" s="8"/>
      <c r="Z89" s="8"/>
      <c r="AA89" s="8"/>
      <c r="AB89" s="8"/>
      <c r="AC89" s="56"/>
      <c r="AD89" s="55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56"/>
      <c r="AP89" s="55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56"/>
      <c r="BB89" s="22"/>
    </row>
    <row r="90" spans="1:54" x14ac:dyDescent="0.35">
      <c r="A90" s="16"/>
      <c r="B90" s="8"/>
      <c r="C90" s="8"/>
      <c r="D90" s="10"/>
      <c r="F90" s="55"/>
      <c r="G90" s="8"/>
      <c r="H90" s="8"/>
      <c r="I90" s="8"/>
      <c r="J90" s="8"/>
      <c r="K90" s="8"/>
      <c r="L90" s="8"/>
      <c r="M90" s="8"/>
      <c r="N90" s="8"/>
      <c r="O90" s="8"/>
      <c r="P90" s="8"/>
      <c r="Q90" s="56"/>
      <c r="R90" s="55"/>
      <c r="S90" s="8"/>
      <c r="T90" s="8"/>
      <c r="U90" s="8"/>
      <c r="V90" s="8"/>
      <c r="W90" s="8"/>
      <c r="X90" s="8"/>
      <c r="Y90" s="8"/>
      <c r="Z90" s="8"/>
      <c r="AA90" s="8"/>
      <c r="AB90" s="8"/>
      <c r="AC90" s="56"/>
      <c r="AD90" s="55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56"/>
      <c r="AP90" s="55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56"/>
      <c r="BB90" s="22"/>
    </row>
    <row r="91" spans="1:54" x14ac:dyDescent="0.35">
      <c r="A91" s="16"/>
      <c r="B91" s="8"/>
      <c r="C91" s="8"/>
      <c r="D91" s="10"/>
      <c r="F91" s="55"/>
      <c r="G91" s="8"/>
      <c r="H91" s="8"/>
      <c r="I91" s="8"/>
      <c r="J91" s="8"/>
      <c r="K91" s="8"/>
      <c r="L91" s="8"/>
      <c r="M91" s="8"/>
      <c r="N91" s="8"/>
      <c r="O91" s="8"/>
      <c r="P91" s="8"/>
      <c r="Q91" s="56"/>
      <c r="R91" s="55"/>
      <c r="S91" s="8"/>
      <c r="T91" s="8"/>
      <c r="U91" s="8"/>
      <c r="V91" s="8"/>
      <c r="W91" s="8"/>
      <c r="X91" s="8"/>
      <c r="Y91" s="8"/>
      <c r="Z91" s="8"/>
      <c r="AA91" s="8"/>
      <c r="AB91" s="8"/>
      <c r="AC91" s="56"/>
      <c r="AD91" s="55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6"/>
      <c r="AP91" s="55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56"/>
      <c r="BB91" s="22"/>
    </row>
    <row r="92" spans="1:54" x14ac:dyDescent="0.35">
      <c r="A92" s="16"/>
      <c r="B92" s="8"/>
      <c r="C92" s="8"/>
      <c r="D92" s="10"/>
      <c r="F92" s="55"/>
      <c r="G92" s="8"/>
      <c r="H92" s="8"/>
      <c r="I92" s="8"/>
      <c r="J92" s="8"/>
      <c r="K92" s="8"/>
      <c r="L92" s="8"/>
      <c r="M92" s="8"/>
      <c r="N92" s="8"/>
      <c r="O92" s="8"/>
      <c r="P92" s="8"/>
      <c r="Q92" s="56"/>
      <c r="R92" s="55"/>
      <c r="S92" s="8"/>
      <c r="T92" s="8"/>
      <c r="U92" s="8"/>
      <c r="V92" s="8"/>
      <c r="W92" s="8"/>
      <c r="X92" s="8"/>
      <c r="Y92" s="8"/>
      <c r="Z92" s="8"/>
      <c r="AA92" s="8"/>
      <c r="AB92" s="8"/>
      <c r="AC92" s="56"/>
      <c r="AD92" s="55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56"/>
      <c r="AP92" s="55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56"/>
      <c r="BB92" s="22"/>
    </row>
    <row r="93" spans="1:54" x14ac:dyDescent="0.35">
      <c r="A93" s="16"/>
      <c r="B93" s="8"/>
      <c r="C93" s="8"/>
      <c r="D93" s="10"/>
      <c r="F93" s="55"/>
      <c r="G93" s="8"/>
      <c r="H93" s="8"/>
      <c r="I93" s="8"/>
      <c r="J93" s="8"/>
      <c r="K93" s="8"/>
      <c r="L93" s="8"/>
      <c r="M93" s="8"/>
      <c r="N93" s="8"/>
      <c r="O93" s="8"/>
      <c r="P93" s="8"/>
      <c r="Q93" s="56"/>
      <c r="R93" s="55"/>
      <c r="S93" s="8"/>
      <c r="T93" s="8"/>
      <c r="U93" s="8"/>
      <c r="V93" s="8"/>
      <c r="W93" s="8"/>
      <c r="X93" s="8"/>
      <c r="Y93" s="8"/>
      <c r="Z93" s="8"/>
      <c r="AA93" s="8"/>
      <c r="AB93" s="8"/>
      <c r="AC93" s="56"/>
      <c r="AD93" s="55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56"/>
      <c r="AP93" s="55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56"/>
      <c r="BB93" s="22"/>
    </row>
    <row r="94" spans="1:54" x14ac:dyDescent="0.35">
      <c r="A94" s="16"/>
      <c r="B94" s="8"/>
      <c r="C94" s="8"/>
      <c r="D94" s="10"/>
      <c r="F94" s="55"/>
      <c r="G94" s="8"/>
      <c r="H94" s="8"/>
      <c r="I94" s="8"/>
      <c r="J94" s="8"/>
      <c r="K94" s="8"/>
      <c r="L94" s="8"/>
      <c r="M94" s="8"/>
      <c r="N94" s="8"/>
      <c r="O94" s="8"/>
      <c r="P94" s="8"/>
      <c r="Q94" s="56"/>
      <c r="R94" s="55"/>
      <c r="S94" s="8"/>
      <c r="T94" s="8"/>
      <c r="U94" s="8"/>
      <c r="V94" s="8"/>
      <c r="W94" s="8"/>
      <c r="X94" s="8"/>
      <c r="Y94" s="8"/>
      <c r="Z94" s="8"/>
      <c r="AA94" s="8"/>
      <c r="AB94" s="8"/>
      <c r="AC94" s="56"/>
      <c r="AD94" s="55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56"/>
      <c r="AP94" s="55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56"/>
      <c r="BB94" s="22"/>
    </row>
    <row r="95" spans="1:54" x14ac:dyDescent="0.35">
      <c r="A95" s="16"/>
      <c r="B95" s="8"/>
      <c r="C95" s="8"/>
      <c r="D95" s="10"/>
      <c r="F95" s="55"/>
      <c r="G95" s="8"/>
      <c r="H95" s="8"/>
      <c r="I95" s="8"/>
      <c r="J95" s="8"/>
      <c r="K95" s="8"/>
      <c r="L95" s="8"/>
      <c r="M95" s="8"/>
      <c r="N95" s="8"/>
      <c r="O95" s="8"/>
      <c r="P95" s="8"/>
      <c r="Q95" s="56"/>
      <c r="R95" s="55"/>
      <c r="S95" s="8"/>
      <c r="T95" s="8"/>
      <c r="U95" s="8"/>
      <c r="V95" s="8"/>
      <c r="W95" s="8"/>
      <c r="X95" s="8"/>
      <c r="Y95" s="8"/>
      <c r="Z95" s="8"/>
      <c r="AA95" s="8"/>
      <c r="AB95" s="8"/>
      <c r="AC95" s="56"/>
      <c r="AD95" s="55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56"/>
      <c r="AP95" s="55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56"/>
      <c r="BB95" s="22"/>
    </row>
    <row r="96" spans="1:54" x14ac:dyDescent="0.35">
      <c r="A96" s="16"/>
      <c r="B96" s="8"/>
      <c r="C96" s="8"/>
      <c r="D96" s="10"/>
      <c r="F96" s="55"/>
      <c r="G96" s="8"/>
      <c r="H96" s="8"/>
      <c r="I96" s="8"/>
      <c r="J96" s="8"/>
      <c r="K96" s="8"/>
      <c r="L96" s="8"/>
      <c r="M96" s="8"/>
      <c r="N96" s="8"/>
      <c r="O96" s="8"/>
      <c r="P96" s="8"/>
      <c r="Q96" s="56"/>
      <c r="R96" s="55"/>
      <c r="S96" s="8"/>
      <c r="T96" s="8"/>
      <c r="U96" s="8"/>
      <c r="V96" s="8"/>
      <c r="W96" s="8"/>
      <c r="X96" s="8"/>
      <c r="Y96" s="8"/>
      <c r="Z96" s="8"/>
      <c r="AA96" s="8"/>
      <c r="AB96" s="8"/>
      <c r="AC96" s="56"/>
      <c r="AD96" s="55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56"/>
      <c r="AP96" s="55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56"/>
      <c r="BB96" s="22"/>
    </row>
    <row r="97" spans="1:54" x14ac:dyDescent="0.35">
      <c r="A97" s="16"/>
      <c r="B97" s="8"/>
      <c r="C97" s="8"/>
      <c r="D97" s="10"/>
      <c r="F97" s="55"/>
      <c r="G97" s="8"/>
      <c r="H97" s="8"/>
      <c r="I97" s="8"/>
      <c r="J97" s="8"/>
      <c r="K97" s="8"/>
      <c r="L97" s="8"/>
      <c r="M97" s="8"/>
      <c r="N97" s="8"/>
      <c r="O97" s="8"/>
      <c r="P97" s="8"/>
      <c r="Q97" s="56"/>
      <c r="R97" s="55"/>
      <c r="S97" s="8"/>
      <c r="T97" s="8"/>
      <c r="U97" s="8"/>
      <c r="V97" s="8"/>
      <c r="W97" s="8"/>
      <c r="X97" s="8"/>
      <c r="Y97" s="8"/>
      <c r="Z97" s="8"/>
      <c r="AA97" s="8"/>
      <c r="AB97" s="8"/>
      <c r="AC97" s="56"/>
      <c r="AD97" s="55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56"/>
      <c r="AP97" s="55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56"/>
      <c r="BB97" s="22"/>
    </row>
    <row r="98" spans="1:54" x14ac:dyDescent="0.35">
      <c r="A98" s="16"/>
      <c r="B98" s="8"/>
      <c r="C98" s="8"/>
      <c r="D98" s="10"/>
      <c r="F98" s="55"/>
      <c r="G98" s="8"/>
      <c r="H98" s="8"/>
      <c r="I98" s="8"/>
      <c r="J98" s="8"/>
      <c r="K98" s="8"/>
      <c r="L98" s="8"/>
      <c r="M98" s="8"/>
      <c r="N98" s="8"/>
      <c r="O98" s="8"/>
      <c r="P98" s="8"/>
      <c r="Q98" s="56"/>
      <c r="R98" s="55"/>
      <c r="S98" s="8"/>
      <c r="T98" s="8"/>
      <c r="U98" s="8"/>
      <c r="V98" s="8"/>
      <c r="W98" s="8"/>
      <c r="X98" s="8"/>
      <c r="Y98" s="8"/>
      <c r="Z98" s="8"/>
      <c r="AA98" s="8"/>
      <c r="AB98" s="8"/>
      <c r="AC98" s="56"/>
      <c r="AD98" s="55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56"/>
      <c r="AP98" s="55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56"/>
      <c r="BB98" s="22"/>
    </row>
    <row r="99" spans="1:54" x14ac:dyDescent="0.35">
      <c r="A99" s="16"/>
      <c r="B99" s="8"/>
      <c r="C99" s="8"/>
      <c r="D99" s="10"/>
      <c r="F99" s="55"/>
      <c r="G99" s="8"/>
      <c r="H99" s="8"/>
      <c r="I99" s="8"/>
      <c r="J99" s="8"/>
      <c r="K99" s="8"/>
      <c r="L99" s="8"/>
      <c r="M99" s="8"/>
      <c r="N99" s="8"/>
      <c r="O99" s="8"/>
      <c r="P99" s="8"/>
      <c r="Q99" s="56"/>
      <c r="R99" s="55"/>
      <c r="S99" s="8"/>
      <c r="T99" s="8"/>
      <c r="U99" s="8"/>
      <c r="V99" s="8"/>
      <c r="W99" s="8"/>
      <c r="X99" s="8"/>
      <c r="Y99" s="8"/>
      <c r="Z99" s="8"/>
      <c r="AA99" s="8"/>
      <c r="AB99" s="8"/>
      <c r="AC99" s="56"/>
      <c r="AD99" s="55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6"/>
      <c r="AP99" s="55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56"/>
      <c r="BB99" s="22"/>
    </row>
    <row r="100" spans="1:54" x14ac:dyDescent="0.35">
      <c r="A100" s="16"/>
      <c r="B100" s="8"/>
      <c r="C100" s="8"/>
      <c r="D100" s="10"/>
      <c r="F100" s="5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6"/>
      <c r="R100" s="55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6"/>
      <c r="AD100" s="55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6"/>
      <c r="AP100" s="5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56"/>
      <c r="BB100" s="22"/>
    </row>
    <row r="101" spans="1:54" x14ac:dyDescent="0.35">
      <c r="A101" s="16"/>
      <c r="B101" s="8"/>
      <c r="C101" s="8"/>
      <c r="D101" s="10"/>
      <c r="F101" s="5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56"/>
      <c r="R101" s="55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6"/>
      <c r="AD101" s="55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56"/>
      <c r="AP101" s="55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56"/>
      <c r="BB101" s="22"/>
    </row>
    <row r="102" spans="1:54" x14ac:dyDescent="0.35">
      <c r="A102" s="16"/>
      <c r="B102" s="8"/>
      <c r="C102" s="8"/>
      <c r="D102" s="10"/>
      <c r="F102" s="5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6"/>
      <c r="R102" s="55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6"/>
      <c r="AD102" s="5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6"/>
      <c r="AP102" s="55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56"/>
      <c r="BB102" s="22"/>
    </row>
    <row r="103" spans="1:54" x14ac:dyDescent="0.35">
      <c r="A103" s="16"/>
      <c r="B103" s="8"/>
      <c r="C103" s="8"/>
      <c r="D103" s="10"/>
      <c r="F103" s="5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56"/>
      <c r="R103" s="55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56"/>
      <c r="AD103" s="55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56"/>
      <c r="AP103" s="55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56"/>
      <c r="BB103" s="22"/>
    </row>
    <row r="104" spans="1:54" x14ac:dyDescent="0.35">
      <c r="A104" s="16"/>
      <c r="B104" s="8"/>
      <c r="C104" s="8"/>
      <c r="D104" s="10"/>
      <c r="F104" s="5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56"/>
      <c r="R104" s="55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56"/>
      <c r="AD104" s="55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56"/>
      <c r="AP104" s="55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56"/>
      <c r="BB104" s="22"/>
    </row>
    <row r="105" spans="1:54" x14ac:dyDescent="0.35">
      <c r="A105" s="16"/>
      <c r="B105" s="8"/>
      <c r="C105" s="8"/>
      <c r="D105" s="10"/>
      <c r="F105" s="5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56"/>
      <c r="R105" s="55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56"/>
      <c r="AD105" s="55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56"/>
      <c r="AP105" s="55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56"/>
      <c r="BB105" s="22"/>
    </row>
    <row r="106" spans="1:54" x14ac:dyDescent="0.35">
      <c r="A106" s="16"/>
      <c r="B106" s="8"/>
      <c r="C106" s="8"/>
      <c r="D106" s="10"/>
      <c r="F106" s="5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6"/>
      <c r="R106" s="55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56"/>
      <c r="AD106" s="55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6"/>
      <c r="AP106" s="55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56"/>
      <c r="BB106" s="22"/>
    </row>
    <row r="107" spans="1:54" x14ac:dyDescent="0.35">
      <c r="A107" s="16"/>
      <c r="B107" s="8"/>
      <c r="C107" s="8"/>
      <c r="D107" s="10"/>
      <c r="F107" s="5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56"/>
      <c r="R107" s="55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56"/>
      <c r="AD107" s="55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6"/>
      <c r="AP107" s="55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56"/>
      <c r="BB107" s="22"/>
    </row>
    <row r="108" spans="1:54" x14ac:dyDescent="0.35">
      <c r="A108" s="16"/>
      <c r="B108" s="8"/>
      <c r="C108" s="8"/>
      <c r="D108" s="10"/>
      <c r="F108" s="5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56"/>
      <c r="R108" s="55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56"/>
      <c r="AD108" s="55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56"/>
      <c r="AP108" s="55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56"/>
      <c r="BB108" s="22"/>
    </row>
    <row r="109" spans="1:54" x14ac:dyDescent="0.35">
      <c r="A109" s="16"/>
      <c r="B109" s="8"/>
      <c r="C109" s="8"/>
      <c r="D109" s="10"/>
      <c r="F109" s="5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6"/>
      <c r="R109" s="55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56"/>
      <c r="AD109" s="55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56"/>
      <c r="AP109" s="55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56"/>
      <c r="BB109" s="22"/>
    </row>
    <row r="110" spans="1:54" x14ac:dyDescent="0.35">
      <c r="A110" s="16"/>
      <c r="B110" s="8"/>
      <c r="C110" s="8"/>
      <c r="D110" s="10"/>
      <c r="F110" s="5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6"/>
      <c r="R110" s="55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56"/>
      <c r="AD110" s="5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6"/>
      <c r="AP110" s="5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56"/>
      <c r="BB110" s="22"/>
    </row>
    <row r="111" spans="1:54" x14ac:dyDescent="0.35">
      <c r="A111" s="16"/>
      <c r="B111" s="8"/>
      <c r="C111" s="8"/>
      <c r="D111" s="10"/>
      <c r="F111" s="5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56"/>
      <c r="R111" s="55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56"/>
      <c r="AD111" s="55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56"/>
      <c r="AP111" s="55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56"/>
      <c r="BB111" s="22"/>
    </row>
    <row r="112" spans="1:54" x14ac:dyDescent="0.35">
      <c r="A112" s="16"/>
      <c r="B112" s="8"/>
      <c r="C112" s="8"/>
      <c r="D112" s="10"/>
      <c r="F112" s="5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56"/>
      <c r="R112" s="55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56"/>
      <c r="AD112" s="55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56"/>
      <c r="AP112" s="55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56"/>
      <c r="BB112" s="22"/>
    </row>
    <row r="113" spans="1:54" x14ac:dyDescent="0.35">
      <c r="A113" s="16"/>
      <c r="B113" s="8"/>
      <c r="C113" s="8"/>
      <c r="D113" s="10"/>
      <c r="F113" s="5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56"/>
      <c r="R113" s="55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56"/>
      <c r="AD113" s="55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56"/>
      <c r="AP113" s="55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56"/>
      <c r="BB113" s="22"/>
    </row>
    <row r="114" spans="1:54" x14ac:dyDescent="0.35">
      <c r="A114" s="16"/>
      <c r="B114" s="8"/>
      <c r="C114" s="8"/>
      <c r="D114" s="10"/>
      <c r="F114" s="5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56"/>
      <c r="R114" s="55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56"/>
      <c r="AD114" s="55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56"/>
      <c r="AP114" s="55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56"/>
      <c r="BB114" s="22"/>
    </row>
    <row r="115" spans="1:54" x14ac:dyDescent="0.35">
      <c r="A115" s="16"/>
      <c r="B115" s="8"/>
      <c r="C115" s="8"/>
      <c r="D115" s="10"/>
      <c r="F115" s="5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6"/>
      <c r="R115" s="5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56"/>
      <c r="AD115" s="55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6"/>
      <c r="AP115" s="55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56"/>
      <c r="BB115" s="22"/>
    </row>
    <row r="116" spans="1:54" x14ac:dyDescent="0.35">
      <c r="A116" s="16"/>
      <c r="B116" s="8"/>
      <c r="C116" s="8"/>
      <c r="D116" s="10"/>
      <c r="F116" s="5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56"/>
      <c r="R116" s="55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56"/>
      <c r="AD116" s="55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56"/>
      <c r="AP116" s="55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56"/>
      <c r="BB116" s="22"/>
    </row>
    <row r="117" spans="1:54" x14ac:dyDescent="0.35">
      <c r="A117" s="16"/>
      <c r="B117" s="8"/>
      <c r="C117" s="8"/>
      <c r="D117" s="10"/>
      <c r="F117" s="5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56"/>
      <c r="R117" s="55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56"/>
      <c r="AD117" s="55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56"/>
      <c r="AP117" s="55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56"/>
      <c r="BB117" s="22"/>
    </row>
    <row r="118" spans="1:54" x14ac:dyDescent="0.35">
      <c r="A118" s="16"/>
      <c r="B118" s="8"/>
      <c r="C118" s="8"/>
      <c r="D118" s="10"/>
      <c r="F118" s="5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56"/>
      <c r="R118" s="55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56"/>
      <c r="AD118" s="55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56"/>
      <c r="AP118" s="55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56"/>
      <c r="BB118" s="22"/>
    </row>
    <row r="119" spans="1:54" x14ac:dyDescent="0.35">
      <c r="A119" s="16"/>
      <c r="B119" s="8"/>
      <c r="C119" s="8"/>
      <c r="D119" s="10"/>
      <c r="F119" s="5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56"/>
      <c r="R119" s="55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56"/>
      <c r="AD119" s="55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56"/>
      <c r="AP119" s="55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56"/>
      <c r="BB119" s="22"/>
    </row>
    <row r="120" spans="1:54" x14ac:dyDescent="0.35">
      <c r="A120" s="16"/>
      <c r="B120" s="8"/>
      <c r="C120" s="8"/>
      <c r="D120" s="10"/>
      <c r="F120" s="5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6"/>
      <c r="R120" s="55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56"/>
      <c r="AD120" s="55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6"/>
      <c r="AP120" s="5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56"/>
      <c r="BB120" s="22"/>
    </row>
    <row r="121" spans="1:54" ht="15" thickBot="1" x14ac:dyDescent="0.4"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9"/>
      <c r="R121" s="57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9"/>
      <c r="AD121" s="57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9"/>
      <c r="AP121" s="459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84"/>
      <c r="BB121" s="22"/>
    </row>
    <row r="122" spans="1:54" s="7" customFormat="1" hidden="1" x14ac:dyDescent="0.35">
      <c r="A122" s="18"/>
      <c r="D122" s="11"/>
    </row>
    <row r="123" spans="1:54" x14ac:dyDescent="0.35"/>
  </sheetData>
  <mergeCells count="3">
    <mergeCell ref="B6:B7"/>
    <mergeCell ref="C6:C7"/>
    <mergeCell ref="D6:D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026-BC32-4724-82BD-F84FBBA20123}">
  <dimension ref="A1:Q102"/>
  <sheetViews>
    <sheetView showGridLines="0" zoomScale="85" zoomScaleNormal="85" workbookViewId="0">
      <pane ySplit="2" topLeftCell="A3" activePane="bottomLeft" state="frozen"/>
      <selection activeCell="AE69" sqref="AE69"/>
      <selection pane="bottomLeft" activeCell="AE69" sqref="AE69"/>
    </sheetView>
  </sheetViews>
  <sheetFormatPr defaultRowHeight="14.5" x14ac:dyDescent="0.35"/>
  <cols>
    <col min="1" max="1" width="13.75" customWidth="1"/>
    <col min="2" max="2" width="33.25" customWidth="1"/>
    <col min="3" max="3" width="16.08203125" bestFit="1" customWidth="1"/>
    <col min="4" max="4" width="28.75" bestFit="1" customWidth="1"/>
    <col min="5" max="5" width="11.25" bestFit="1" customWidth="1"/>
    <col min="6" max="6" width="13.25" customWidth="1"/>
    <col min="7" max="7" width="135.83203125" bestFit="1" customWidth="1"/>
    <col min="8" max="8" width="10.08203125" customWidth="1"/>
    <col min="9" max="9" width="13.08203125" bestFit="1" customWidth="1"/>
    <col min="10" max="11" width="13.08203125" customWidth="1"/>
    <col min="12" max="12" width="13.33203125" bestFit="1" customWidth="1"/>
    <col min="13" max="13" width="11.25" bestFit="1" customWidth="1"/>
    <col min="14" max="14" width="12.58203125" bestFit="1" customWidth="1"/>
    <col min="15" max="15" width="18.75" bestFit="1" customWidth="1"/>
    <col min="16" max="16" width="30.25" customWidth="1"/>
    <col min="17" max="17" width="148.58203125" bestFit="1" customWidth="1"/>
  </cols>
  <sheetData>
    <row r="1" spans="1:17" x14ac:dyDescent="0.35">
      <c r="A1" s="126" t="s">
        <v>138</v>
      </c>
      <c r="F1" s="126"/>
      <c r="L1" t="s">
        <v>139</v>
      </c>
      <c r="Q1" t="s">
        <v>140</v>
      </c>
    </row>
    <row r="2" spans="1:17" x14ac:dyDescent="0.35">
      <c r="A2" s="43" t="s">
        <v>141</v>
      </c>
      <c r="B2" s="43" t="s">
        <v>142</v>
      </c>
      <c r="C2" s="43" t="s">
        <v>143</v>
      </c>
      <c r="D2" s="43" t="s">
        <v>144</v>
      </c>
      <c r="E2" s="43" t="s">
        <v>145</v>
      </c>
      <c r="F2" s="43" t="s">
        <v>146</v>
      </c>
      <c r="G2" s="43" t="s">
        <v>147</v>
      </c>
      <c r="H2" s="43" t="s">
        <v>43</v>
      </c>
      <c r="I2" s="43" t="s">
        <v>46</v>
      </c>
      <c r="J2" s="43" t="s">
        <v>47</v>
      </c>
      <c r="K2" s="43" t="s">
        <v>48</v>
      </c>
      <c r="L2" s="43" t="s">
        <v>148</v>
      </c>
      <c r="M2" s="42" t="s">
        <v>149</v>
      </c>
      <c r="N2" s="42" t="s">
        <v>150</v>
      </c>
      <c r="O2" s="42" t="s">
        <v>151</v>
      </c>
      <c r="P2" s="42" t="s">
        <v>152</v>
      </c>
      <c r="Q2" s="42" t="s">
        <v>153</v>
      </c>
    </row>
    <row r="3" spans="1:17" x14ac:dyDescent="0.35">
      <c r="A3" s="80" t="s">
        <v>52</v>
      </c>
      <c r="B3" s="80" t="s">
        <v>154</v>
      </c>
      <c r="C3" s="80" t="s">
        <v>15</v>
      </c>
      <c r="D3" s="80" t="s">
        <v>95</v>
      </c>
      <c r="E3" s="81">
        <v>45292</v>
      </c>
      <c r="F3" s="82">
        <f>IF($E3="","",IF(COUNTIF(O$3:O3,$O3)=COUNTIFS($O$3:$O$101,$O3),DATE(9999,12,31),INDEX($E$3:$E$101,MATCH($O3&amp;" | "&amp;TEXT(COUNTIF(O$3:O3,$O3)+1,"00"),$P$3:$P$101,0))-1))</f>
        <v>2958465</v>
      </c>
      <c r="G3" s="80" t="s">
        <v>155</v>
      </c>
      <c r="H3" s="80" t="s">
        <v>156</v>
      </c>
      <c r="I3" s="80" t="s">
        <v>157</v>
      </c>
      <c r="J3" s="147">
        <v>1600</v>
      </c>
      <c r="K3" s="147">
        <v>1200</v>
      </c>
      <c r="L3" s="80"/>
      <c r="M3">
        <f t="shared" ref="M3:M11" si="0">IF($E3="","",YEAR($E3))</f>
        <v>2024</v>
      </c>
      <c r="N3">
        <f>IF($E3="","",MONTH($E3))</f>
        <v>1</v>
      </c>
      <c r="O3" t="str">
        <f t="shared" ref="O3:O33" si="1">IF(OR($A3="",$C3=""),"",$A3&amp;" | "&amp;$C3)</f>
        <v>200319 | 110000354</v>
      </c>
      <c r="P3" t="str">
        <f>IF($O3="","",$O3&amp;" | "&amp;TEXT(COUNTIF(O$3:O3,$O3),"00"))</f>
        <v>200319 | 110000354 | 01</v>
      </c>
      <c r="Q3" t="str">
        <f>$A3&amp;$C3&amp;$E3&amp;$G3&amp;$H3&amp;$I3</f>
        <v>20031911000035445292Giá ICIS rPET ĐNA trung bình 3 tháng trước đó với chiết khấu 10%. Giá trần $1,600; giá sàn $1,200FOBTháng</v>
      </c>
    </row>
    <row r="4" spans="1:17" x14ac:dyDescent="0.35">
      <c r="A4" s="80" t="s">
        <v>158</v>
      </c>
      <c r="B4" s="80" t="s">
        <v>159</v>
      </c>
      <c r="C4" s="80" t="s">
        <v>15</v>
      </c>
      <c r="D4" s="80" t="s">
        <v>95</v>
      </c>
      <c r="E4" s="81">
        <v>45292</v>
      </c>
      <c r="F4" s="44">
        <f>IF($E4="","",IF(COUNTIF(O$3:O4,$O4)=COUNTIFS($O$3:$O$101,$O4),DATE(9999,12,31),INDEX($E$3:$E$101,MATCH($O4&amp;" | "&amp;TEXT(COUNTIF(O$3:O4,$O4)+1,"00"),$P$3:$P$101,0))-1))</f>
        <v>2958465</v>
      </c>
      <c r="G4" s="80" t="s">
        <v>155</v>
      </c>
      <c r="H4" s="80" t="s">
        <v>156</v>
      </c>
      <c r="I4" s="80" t="s">
        <v>157</v>
      </c>
      <c r="J4" s="147">
        <v>1600</v>
      </c>
      <c r="K4" s="147">
        <v>1200</v>
      </c>
      <c r="L4" s="80"/>
      <c r="M4">
        <f t="shared" si="0"/>
        <v>2024</v>
      </c>
      <c r="N4">
        <f t="shared" ref="N4:N66" si="2">IF($E4="","",MONTH($E4))</f>
        <v>1</v>
      </c>
      <c r="O4" t="str">
        <f t="shared" si="1"/>
        <v>200350 | 110000354</v>
      </c>
      <c r="P4" t="str">
        <f>IF($O4="","",$O4&amp;" | "&amp;TEXT(COUNTIF(O$3:O4,$O4),"00"))</f>
        <v>200350 | 110000354 | 01</v>
      </c>
      <c r="Q4" t="str">
        <f>$A4&amp;$C4&amp;$E4&amp;$G4&amp;$H4&amp;$I4</f>
        <v>20035011000035445292Giá ICIS rPET ĐNA trung bình 3 tháng trước đó với chiết khấu 10%. Giá trần $1,600; giá sàn $1,200FOBTháng</v>
      </c>
    </row>
    <row r="5" spans="1:17" x14ac:dyDescent="0.35">
      <c r="A5" s="80" t="s">
        <v>62</v>
      </c>
      <c r="B5" s="80" t="s">
        <v>160</v>
      </c>
      <c r="C5" s="80" t="s">
        <v>35</v>
      </c>
      <c r="D5" s="80" t="s">
        <v>98</v>
      </c>
      <c r="E5" s="81">
        <v>45292</v>
      </c>
      <c r="F5" s="44">
        <f>IF($E5="","",IF(COUNTIF(O$3:O5,$O5)=COUNTIFS($O$3:$O$101,$O5),DATE(9999,12,31),INDEX($E$3:$E$101,MATCH($O5&amp;" | "&amp;TEXT(COUNTIF(O$3:O5,$O5)+1,"00"),$P$3:$P$101,0))-1))</f>
        <v>45657</v>
      </c>
      <c r="G5" s="80" t="s">
        <v>161</v>
      </c>
      <c r="H5" s="80" t="s">
        <v>162</v>
      </c>
      <c r="I5" s="80" t="s">
        <v>163</v>
      </c>
      <c r="J5" s="147"/>
      <c r="K5" s="147"/>
      <c r="L5" s="80"/>
      <c r="M5">
        <f t="shared" si="0"/>
        <v>2024</v>
      </c>
      <c r="N5">
        <f t="shared" si="2"/>
        <v>1</v>
      </c>
      <c r="O5" t="str">
        <f t="shared" si="1"/>
        <v>104909 | 110000329</v>
      </c>
      <c r="P5" t="str">
        <f>IF($O5="","",$O5&amp;" | "&amp;TEXT(COUNTIF(O$3:O5,$O5),"00"))</f>
        <v>104909 | 110000329 | 01</v>
      </c>
      <c r="Q5" t="str">
        <f>$A5&amp;$C5&amp;$E5&amp;$G5&amp;$H5&amp;$I5</f>
        <v>10490911000032945292Giá cố địnhEXWLần</v>
      </c>
    </row>
    <row r="6" spans="1:17" x14ac:dyDescent="0.35">
      <c r="A6" s="80" t="s">
        <v>40</v>
      </c>
      <c r="B6" s="80" t="s">
        <v>164</v>
      </c>
      <c r="C6" s="80" t="s">
        <v>29</v>
      </c>
      <c r="D6" s="80" t="s">
        <v>89</v>
      </c>
      <c r="E6" s="81">
        <v>45292</v>
      </c>
      <c r="F6" s="44">
        <f>IF($E6="","",IF(COUNTIF(O$3:O6,$O6)=COUNTIFS($O$3:$O$101,$O6),DATE(9999,12,31),INDEX($E$3:$E$101,MATCH($O6&amp;" | "&amp;TEXT(COUNTIF(O$3:O6,$O6)+1,"00"),$P$3:$P$101,0))-1))</f>
        <v>45657</v>
      </c>
      <c r="G6" s="80" t="s">
        <v>165</v>
      </c>
      <c r="H6" s="80" t="s">
        <v>166</v>
      </c>
      <c r="I6" s="80" t="s">
        <v>157</v>
      </c>
      <c r="J6" s="147"/>
      <c r="K6" s="147"/>
      <c r="L6" s="80">
        <v>60</v>
      </c>
      <c r="M6">
        <f t="shared" si="0"/>
        <v>2024</v>
      </c>
      <c r="N6">
        <f t="shared" si="2"/>
        <v>1</v>
      </c>
      <c r="O6" t="str">
        <f t="shared" si="1"/>
        <v>105194 | 110000332</v>
      </c>
      <c r="P6" t="str">
        <f>IF($O6="","",$O6&amp;" | "&amp;TEXT(COUNTIF(O$3:O6,$O6),"00"))</f>
        <v>105194 | 110000332 | 01</v>
      </c>
      <c r="Q6" t="str">
        <f>$A6&amp;$C6&amp;$E6&amp;$G6&amp;$H6&amp;$I6&amp;J6&amp;K6</f>
        <v>10519411000033245292Giá ICIS rPET ĐNA trung bình từ ngày 16 tháng (X-2) đến ngày 15 tháng (X-1) +Premium ( Chi phí tăng IV ) - REBATE + Cp vận chuyểnDDPTháng</v>
      </c>
    </row>
    <row r="7" spans="1:17" x14ac:dyDescent="0.35">
      <c r="A7" s="80" t="s">
        <v>40</v>
      </c>
      <c r="B7" s="80" t="s">
        <v>164</v>
      </c>
      <c r="C7" s="80" t="s">
        <v>31</v>
      </c>
      <c r="D7" s="80" t="s">
        <v>92</v>
      </c>
      <c r="E7" s="81">
        <v>45292</v>
      </c>
      <c r="F7" s="44">
        <f>IF($E7="","",IF(COUNTIF(O$3:O7,$O7)=COUNTIFS($O$3:$O$101,$O7),DATE(9999,12,31),INDEX($E$3:$E$101,MATCH($O7&amp;" | "&amp;TEXT(COUNTIF(O$3:O7,$O7)+1,"00"),$P$3:$P$101,0))-1))</f>
        <v>45657</v>
      </c>
      <c r="G7" s="80" t="s">
        <v>165</v>
      </c>
      <c r="H7" s="80" t="s">
        <v>166</v>
      </c>
      <c r="I7" s="80" t="s">
        <v>157</v>
      </c>
      <c r="J7" s="147"/>
      <c r="K7" s="147"/>
      <c r="L7" s="80">
        <v>60</v>
      </c>
      <c r="M7">
        <f t="shared" si="0"/>
        <v>2024</v>
      </c>
      <c r="N7">
        <f t="shared" si="2"/>
        <v>1</v>
      </c>
      <c r="O7" t="str">
        <f t="shared" si="1"/>
        <v>105194 | 110000355</v>
      </c>
      <c r="P7" t="str">
        <f>IF($O7="","",$O7&amp;" | "&amp;TEXT(COUNTIF(O$3:O7,$O7),"00"))</f>
        <v>105194 | 110000355 | 01</v>
      </c>
      <c r="Q7" t="str">
        <f t="shared" ref="Q7:Q70" si="3">$A7&amp;$C7&amp;$E7&amp;$G7&amp;$H7&amp;$I7&amp;J7&amp;K7</f>
        <v>10519411000035545292Giá ICIS rPET ĐNA trung bình từ ngày 16 tháng (X-2) đến ngày 15 tháng (X-1) +Premium ( Chi phí tăng IV ) - REBATE + Cp vận chuyểnDDPTháng</v>
      </c>
    </row>
    <row r="8" spans="1:17" x14ac:dyDescent="0.35">
      <c r="A8" s="80" t="s">
        <v>64</v>
      </c>
      <c r="B8" s="80" t="s">
        <v>167</v>
      </c>
      <c r="C8" s="80" t="s">
        <v>15</v>
      </c>
      <c r="D8" s="80" t="s">
        <v>95</v>
      </c>
      <c r="E8" s="81">
        <v>45200</v>
      </c>
      <c r="F8" s="44">
        <f>IF($E8="","",IF(COUNTIF(O$3:O8,$O8)=COUNTIFS($O$3:$O$101,$O8),DATE(9999,12,31),INDEX($E$3:$E$101,MATCH($O8&amp;" | "&amp;TEXT(COUNTIF(O$3:O8,$O8)+1,"00"),$P$3:$P$101,0))-1))</f>
        <v>45657</v>
      </c>
      <c r="G8" s="80" t="s">
        <v>168</v>
      </c>
      <c r="H8" s="80" t="s">
        <v>166</v>
      </c>
      <c r="I8" s="80" t="s">
        <v>169</v>
      </c>
      <c r="J8" s="147"/>
      <c r="K8" s="147"/>
      <c r="L8" s="80">
        <v>90</v>
      </c>
      <c r="M8">
        <f t="shared" si="0"/>
        <v>2023</v>
      </c>
      <c r="N8">
        <f t="shared" si="2"/>
        <v>10</v>
      </c>
      <c r="O8" t="str">
        <f t="shared" si="1"/>
        <v>105263 | 110000354</v>
      </c>
      <c r="P8" t="str">
        <f>IF($O8="","",$O8&amp;" | "&amp;TEXT(COUNTIF(O$3:O8,$O8),"00"))</f>
        <v>105263 | 110000354 | 01</v>
      </c>
      <c r="Q8" t="str">
        <f t="shared" si="3"/>
        <v>10526311000035445200Giá Bales DTR +% Hao Hụt + Conversion costDDPQuý</v>
      </c>
    </row>
    <row r="9" spans="1:17" x14ac:dyDescent="0.35">
      <c r="A9" s="80" t="s">
        <v>64</v>
      </c>
      <c r="B9" s="80" t="s">
        <v>167</v>
      </c>
      <c r="C9" s="80" t="s">
        <v>15</v>
      </c>
      <c r="D9" s="80" t="s">
        <v>95</v>
      </c>
      <c r="E9" s="81">
        <v>45658</v>
      </c>
      <c r="F9" s="44">
        <f>IF($E9="","",IF(COUNTIF(O$3:O9,$O9)=COUNTIFS($O$3:$O$101,$O9),DATE(9999,12,31),INDEX($E$3:$E$101,MATCH($O9&amp;" | "&amp;TEXT(COUNTIF(O$3:O9,$O9)+1,"00"),$P$3:$P$101,0))-1))</f>
        <v>2958465</v>
      </c>
      <c r="G9" s="80" t="s">
        <v>348</v>
      </c>
      <c r="H9" s="80" t="s">
        <v>166</v>
      </c>
      <c r="I9" s="80" t="s">
        <v>170</v>
      </c>
      <c r="J9" s="147"/>
      <c r="K9" s="147"/>
      <c r="L9" s="80">
        <v>90</v>
      </c>
      <c r="M9">
        <f t="shared" si="0"/>
        <v>2025</v>
      </c>
      <c r="N9">
        <f t="shared" si="2"/>
        <v>1</v>
      </c>
      <c r="O9" t="str">
        <f t="shared" si="1"/>
        <v>105263 | 110000354</v>
      </c>
      <c r="P9" t="str">
        <f>IF($O9="","",$O9&amp;" | "&amp;TEXT(COUNTIF(O$3:O9,$O9),"00"))</f>
        <v>105263 | 110000354 | 02</v>
      </c>
      <c r="Q9" t="str">
        <f t="shared" si="3"/>
        <v>10526311000035445658Giá cố định (KD đề xuất)DDPNăm</v>
      </c>
    </row>
    <row r="10" spans="1:17" x14ac:dyDescent="0.35">
      <c r="A10" s="80" t="s">
        <v>64</v>
      </c>
      <c r="B10" s="80" t="s">
        <v>167</v>
      </c>
      <c r="C10" s="80" t="s">
        <v>24</v>
      </c>
      <c r="D10" s="80" t="s">
        <v>129</v>
      </c>
      <c r="E10" s="81">
        <v>45292</v>
      </c>
      <c r="F10" s="44">
        <f>IF($E10="","",IF(COUNTIF(O$3:O10,$O10)=COUNTIFS($O$3:$O$101,$O10),DATE(9999,12,31),INDEX($E$3:$E$101,MATCH($O10&amp;" | "&amp;TEXT(COUNTIF(O$3:O10,$O10)+1,"00"),$P$3:$P$101,0))-1))</f>
        <v>45657</v>
      </c>
      <c r="G10" s="80" t="s">
        <v>171</v>
      </c>
      <c r="H10" s="80" t="s">
        <v>166</v>
      </c>
      <c r="I10" s="80" t="s">
        <v>169</v>
      </c>
      <c r="J10" s="147"/>
      <c r="K10" s="147"/>
      <c r="L10" s="80">
        <v>90</v>
      </c>
      <c r="M10">
        <f t="shared" si="0"/>
        <v>2024</v>
      </c>
      <c r="N10">
        <f t="shared" si="2"/>
        <v>1</v>
      </c>
      <c r="O10" t="str">
        <f t="shared" si="1"/>
        <v>105263 | 110000339</v>
      </c>
      <c r="P10" t="str">
        <f>IF($O10="","",$O10&amp;" | "&amp;TEXT(COUNTIF(O$3:O10,$O10),"00"))</f>
        <v>105263 | 110000339 | 01</v>
      </c>
      <c r="Q10" t="str">
        <f t="shared" si="3"/>
        <v>10526311000033945292Giá Bales DTR Mua +% Hao Hụt + Conversion costDDPQuý</v>
      </c>
    </row>
    <row r="11" spans="1:17" x14ac:dyDescent="0.35">
      <c r="A11" s="80" t="s">
        <v>64</v>
      </c>
      <c r="B11" s="80" t="s">
        <v>167</v>
      </c>
      <c r="C11" s="80" t="s">
        <v>24</v>
      </c>
      <c r="D11" s="80" t="s">
        <v>129</v>
      </c>
      <c r="E11" s="81">
        <v>45658</v>
      </c>
      <c r="F11" s="44">
        <f>IF($E11="","",IF(COUNTIF(O$3:O11,$O11)=COUNTIFS($O$3:$O$101,$O11),DATE(9999,12,31),INDEX($E$3:$E$101,MATCH($O11&amp;" | "&amp;TEXT(COUNTIF(O$3:O11,$O11)+1,"00"),$P$3:$P$101,0))-1))</f>
        <v>2958465</v>
      </c>
      <c r="G11" s="80" t="s">
        <v>348</v>
      </c>
      <c r="H11" s="80" t="s">
        <v>166</v>
      </c>
      <c r="I11" s="80" t="s">
        <v>170</v>
      </c>
      <c r="J11" s="147"/>
      <c r="K11" s="147"/>
      <c r="L11" s="80">
        <v>90</v>
      </c>
      <c r="M11">
        <f t="shared" si="0"/>
        <v>2025</v>
      </c>
      <c r="N11">
        <f t="shared" si="2"/>
        <v>1</v>
      </c>
      <c r="O11" t="str">
        <f t="shared" si="1"/>
        <v>105263 | 110000339</v>
      </c>
      <c r="P11" t="str">
        <f>IF($O11="","",$O11&amp;" | "&amp;TEXT(COUNTIF(O$3:O11,$O11),"00"))</f>
        <v>105263 | 110000339 | 02</v>
      </c>
      <c r="Q11" t="str">
        <f t="shared" si="3"/>
        <v>10526311000033945658Giá cố định (KD đề xuất)DDPNăm</v>
      </c>
    </row>
    <row r="12" spans="1:17" x14ac:dyDescent="0.35">
      <c r="A12" s="80" t="s">
        <v>64</v>
      </c>
      <c r="B12" s="80" t="s">
        <v>167</v>
      </c>
      <c r="C12" s="80" t="s">
        <v>65</v>
      </c>
      <c r="D12" s="80" t="s">
        <v>130</v>
      </c>
      <c r="E12" s="81">
        <v>45292</v>
      </c>
      <c r="F12" s="44">
        <f>IF($E12="","",IF(COUNTIF(O$3:O12,$O12)=COUNTIFS($O$3:$O$101,$O12),DATE(9999,12,31),INDEX($E$3:$E$101,MATCH($O12&amp;" | "&amp;TEXT(COUNTIF(O$3:O12,$O12)+1,"00"),$P$3:$P$101,0))-1))</f>
        <v>45657</v>
      </c>
      <c r="G12" s="80" t="s">
        <v>172</v>
      </c>
      <c r="H12" s="80" t="s">
        <v>166</v>
      </c>
      <c r="I12" s="80" t="s">
        <v>169</v>
      </c>
      <c r="J12" s="147"/>
      <c r="K12" s="147"/>
      <c r="L12" s="80">
        <v>90</v>
      </c>
      <c r="M12">
        <f>IF($E12="","",YEAR($E12))</f>
        <v>2024</v>
      </c>
      <c r="N12">
        <f t="shared" si="2"/>
        <v>1</v>
      </c>
      <c r="O12" t="str">
        <f t="shared" si="1"/>
        <v>105263 | RHDPETHOI-MAU</v>
      </c>
      <c r="P12" t="str">
        <f>IF($O12="","",$O12&amp;" | "&amp;TEXT(COUNTIF(O$3:O12,$O12),"00"))</f>
        <v>105263 | RHDPETHOI-MAU | 01</v>
      </c>
      <c r="Q12" t="str">
        <f t="shared" si="3"/>
        <v>105263RHDPETHOI-MAU45292Giá MBF01 trừ $50DDPQuý</v>
      </c>
    </row>
    <row r="13" spans="1:17" x14ac:dyDescent="0.35">
      <c r="A13" s="80" t="s">
        <v>64</v>
      </c>
      <c r="B13" s="80" t="s">
        <v>167</v>
      </c>
      <c r="C13" s="80" t="s">
        <v>65</v>
      </c>
      <c r="D13" s="80" t="s">
        <v>130</v>
      </c>
      <c r="E13" s="81">
        <v>45658</v>
      </c>
      <c r="F13" s="44">
        <f>IF($E13="","",IF(COUNTIF(O$3:O13,$O13)=COUNTIFS($O$3:$O$101,$O13),DATE(9999,12,31),INDEX($E$3:$E$101,MATCH($O13&amp;" | "&amp;TEXT(COUNTIF(O$3:O13,$O13)+1,"00"),$P$3:$P$101,0))-1))</f>
        <v>2958465</v>
      </c>
      <c r="G13" s="80" t="s">
        <v>253</v>
      </c>
      <c r="H13" s="80" t="s">
        <v>166</v>
      </c>
      <c r="I13" s="80" t="s">
        <v>170</v>
      </c>
      <c r="J13" s="147"/>
      <c r="K13" s="147"/>
      <c r="L13" s="80">
        <v>90</v>
      </c>
      <c r="M13">
        <f t="shared" ref="M13:M76" si="4">IF($E13="","",YEAR($E13))</f>
        <v>2025</v>
      </c>
      <c r="N13">
        <f t="shared" si="2"/>
        <v>1</v>
      </c>
      <c r="O13" t="str">
        <f t="shared" si="1"/>
        <v>105263 | RHDPETHOI-MAU</v>
      </c>
      <c r="P13" t="str">
        <f>IF($O13="","",$O13&amp;" | "&amp;TEXT(COUNTIF(O$3:O13,$O13),"00"))</f>
        <v>105263 | RHDPETHOI-MAU | 02</v>
      </c>
      <c r="Q13" t="str">
        <f t="shared" si="3"/>
        <v>105263RHDPETHOI-MAU45658Giá PCF01 trừ $50DDPNăm</v>
      </c>
    </row>
    <row r="14" spans="1:17" x14ac:dyDescent="0.35">
      <c r="A14" s="80" t="s">
        <v>40</v>
      </c>
      <c r="B14" s="80" t="s">
        <v>164</v>
      </c>
      <c r="C14" s="80" t="s">
        <v>29</v>
      </c>
      <c r="D14" s="80" t="s">
        <v>89</v>
      </c>
      <c r="E14" s="81">
        <v>45658</v>
      </c>
      <c r="F14" s="44">
        <f>IF($E14="","",IF(COUNTIF(O$3:O14,$O14)=COUNTIFS($O$3:$O$101,$O14),DATE(9999,12,31),INDEX($E$3:$E$101,MATCH($O14&amp;" | "&amp;TEXT(COUNTIF(O$3:O14,$O14)+1,"00"),$P$3:$P$101,0))-1))</f>
        <v>2958465</v>
      </c>
      <c r="G14" s="80" t="s">
        <v>173</v>
      </c>
      <c r="H14" s="80" t="s">
        <v>166</v>
      </c>
      <c r="I14" s="80" t="s">
        <v>157</v>
      </c>
      <c r="J14" s="147">
        <v>1550</v>
      </c>
      <c r="K14" s="147">
        <v>1330</v>
      </c>
      <c r="L14" s="80">
        <v>90</v>
      </c>
      <c r="M14">
        <f t="shared" si="4"/>
        <v>2025</v>
      </c>
      <c r="N14">
        <f t="shared" si="2"/>
        <v>1</v>
      </c>
      <c r="O14" t="str">
        <f t="shared" si="1"/>
        <v>105194 | 110000332</v>
      </c>
      <c r="P14" t="str">
        <f>IF($O14="","",$O14&amp;" | "&amp;TEXT(COUNTIF(O$3:O14,$O14),"00"))</f>
        <v>105194 | 110000332 | 02</v>
      </c>
      <c r="Q14" t="str">
        <f t="shared" si="3"/>
        <v>10519411000033245658Giá ICIS rPET ĐNA trung bình từ ngày 16 tháng (X-2) đến ngày 15 tháng (X-1) +Premium ( Chi phí tăng IV ) - REBATE + Cp vận chuyển. Giá trần $1,550; giá sàn $1,330DDPTháng15501330</v>
      </c>
    </row>
    <row r="15" spans="1:17" x14ac:dyDescent="0.35">
      <c r="A15" s="80" t="s">
        <v>40</v>
      </c>
      <c r="B15" s="80" t="s">
        <v>164</v>
      </c>
      <c r="C15" s="80" t="s">
        <v>31</v>
      </c>
      <c r="D15" s="80" t="s">
        <v>92</v>
      </c>
      <c r="E15" s="81">
        <v>45658</v>
      </c>
      <c r="F15" s="44">
        <f>IF($E15="","",IF(COUNTIF(O$3:O15,$O15)=COUNTIFS($O$3:$O$101,$O15),DATE(9999,12,31),INDEX($E$3:$E$101,MATCH($O15&amp;" | "&amp;TEXT(COUNTIF(O$3:O15,$O15)+1,"00"),$P$3:$P$101,0))-1))</f>
        <v>2958465</v>
      </c>
      <c r="G15" s="80" t="s">
        <v>173</v>
      </c>
      <c r="H15" s="80" t="s">
        <v>166</v>
      </c>
      <c r="I15" s="80" t="s">
        <v>157</v>
      </c>
      <c r="J15" s="147">
        <v>1550</v>
      </c>
      <c r="K15" s="147">
        <v>1330</v>
      </c>
      <c r="L15" s="80">
        <v>90</v>
      </c>
      <c r="M15">
        <f t="shared" si="4"/>
        <v>2025</v>
      </c>
      <c r="N15">
        <f t="shared" si="2"/>
        <v>1</v>
      </c>
      <c r="O15" t="str">
        <f t="shared" si="1"/>
        <v>105194 | 110000355</v>
      </c>
      <c r="P15" t="str">
        <f>IF($O15="","",$O15&amp;" | "&amp;TEXT(COUNTIF(O$3:O15,$O15),"00"))</f>
        <v>105194 | 110000355 | 02</v>
      </c>
      <c r="Q15" t="str">
        <f t="shared" si="3"/>
        <v>10519411000035545658Giá ICIS rPET ĐNA trung bình từ ngày 16 tháng (X-2) đến ngày 15 tháng (X-1) +Premium ( Chi phí tăng IV ) - REBATE + Cp vận chuyển. Giá trần $1,550; giá sàn $1,330DDPTháng15501330</v>
      </c>
    </row>
    <row r="16" spans="1:17" x14ac:dyDescent="0.35">
      <c r="A16" s="80" t="s">
        <v>174</v>
      </c>
      <c r="B16" s="80" t="s">
        <v>175</v>
      </c>
      <c r="C16" s="80" t="s">
        <v>29</v>
      </c>
      <c r="D16" s="80" t="s">
        <v>89</v>
      </c>
      <c r="E16" s="81">
        <v>45017</v>
      </c>
      <c r="F16" s="44">
        <f>IF($E16="","",IF(COUNTIF(O$3:O16,$O16)=COUNTIFS($O$3:$O$101,$O16),DATE(9999,12,31),INDEX($E$3:$E$101,MATCH($O16&amp;" | "&amp;TEXT(COUNTIF(O$3:O16,$O16)+1,"00"),$P$3:$P$101,0))-1))</f>
        <v>2958465</v>
      </c>
      <c r="G16" s="80" t="s">
        <v>161</v>
      </c>
      <c r="H16" s="80" t="s">
        <v>166</v>
      </c>
      <c r="I16" s="80" t="s">
        <v>170</v>
      </c>
      <c r="J16" s="147"/>
      <c r="K16" s="147"/>
      <c r="L16" s="80">
        <v>60</v>
      </c>
      <c r="M16">
        <f t="shared" si="4"/>
        <v>2023</v>
      </c>
      <c r="N16">
        <f t="shared" si="2"/>
        <v>4</v>
      </c>
      <c r="O16" t="str">
        <f t="shared" si="1"/>
        <v>105222 | 110000332</v>
      </c>
      <c r="P16" t="str">
        <f>IF($O16="","",$O16&amp;" | "&amp;TEXT(COUNTIF(O$3:O16,$O16),"00"))</f>
        <v>105222 | 110000332 | 01</v>
      </c>
      <c r="Q16" t="str">
        <f t="shared" si="3"/>
        <v>10522211000033245017Giá cố địnhDDPNăm</v>
      </c>
    </row>
    <row r="17" spans="1:17" x14ac:dyDescent="0.35">
      <c r="A17" s="80" t="s">
        <v>49</v>
      </c>
      <c r="B17" s="80" t="s">
        <v>176</v>
      </c>
      <c r="C17" s="80" t="s">
        <v>29</v>
      </c>
      <c r="D17" s="80" t="s">
        <v>89</v>
      </c>
      <c r="E17" s="81">
        <v>45017</v>
      </c>
      <c r="F17" s="44">
        <f>IF($E17="","",IF(COUNTIF(O$3:O17,$O17)=COUNTIFS($O$3:$O$101,$O17),DATE(9999,12,31),INDEX($E$3:$E$101,MATCH($O17&amp;" | "&amp;TEXT(COUNTIF(O$3:O17,$O17)+1,"00"),$P$3:$P$101,0))-1))</f>
        <v>2958465</v>
      </c>
      <c r="G17" s="80" t="s">
        <v>161</v>
      </c>
      <c r="H17" s="80" t="s">
        <v>166</v>
      </c>
      <c r="I17" s="80" t="s">
        <v>170</v>
      </c>
      <c r="J17" s="147"/>
      <c r="K17" s="147"/>
      <c r="L17" s="80">
        <v>60</v>
      </c>
      <c r="M17">
        <f t="shared" si="4"/>
        <v>2023</v>
      </c>
      <c r="N17">
        <f t="shared" si="2"/>
        <v>4</v>
      </c>
      <c r="O17" t="str">
        <f t="shared" si="1"/>
        <v>102990 | 110000332</v>
      </c>
      <c r="P17" t="str">
        <f>IF($O17="","",$O17&amp;" | "&amp;TEXT(COUNTIF(O$3:O17,$O17),"00"))</f>
        <v>102990 | 110000332 | 01</v>
      </c>
      <c r="Q17" t="str">
        <f t="shared" si="3"/>
        <v>10299011000033245017Giá cố địnhDDPNăm</v>
      </c>
    </row>
    <row r="18" spans="1:17" x14ac:dyDescent="0.35">
      <c r="A18" s="80" t="s">
        <v>64</v>
      </c>
      <c r="B18" s="80" t="s">
        <v>167</v>
      </c>
      <c r="C18" s="80" t="s">
        <v>22</v>
      </c>
      <c r="D18" s="80" t="s">
        <v>128</v>
      </c>
      <c r="E18" s="81">
        <v>45658</v>
      </c>
      <c r="F18" s="44">
        <f>IF($E18="","",IF(COUNTIF(O$3:O18,$O18)=COUNTIFS($O$3:$O$101,$O18),DATE(9999,12,31),INDEX($E$3:$E$101,MATCH($O18&amp;" | "&amp;TEXT(COUNTIF(O$3:O18,$O18)+1,"00"),$P$3:$P$101,0))-1))</f>
        <v>2958465</v>
      </c>
      <c r="G18" s="80" t="s">
        <v>349</v>
      </c>
      <c r="H18" s="80" t="s">
        <v>166</v>
      </c>
      <c r="I18" s="80" t="s">
        <v>170</v>
      </c>
      <c r="J18" s="147"/>
      <c r="K18" s="147"/>
      <c r="L18" s="80">
        <v>90</v>
      </c>
      <c r="M18">
        <f t="shared" si="4"/>
        <v>2025</v>
      </c>
      <c r="N18">
        <f t="shared" si="2"/>
        <v>1</v>
      </c>
      <c r="O18" t="str">
        <f t="shared" si="1"/>
        <v>105263 | 110000481</v>
      </c>
      <c r="P18" t="str">
        <f>IF($O18="","",$O18&amp;" | "&amp;TEXT(COUNTIF(O$3:O18,$O18),"00"))</f>
        <v>105263 | 110000481 | 01</v>
      </c>
      <c r="Q18" t="str">
        <f t="shared" si="3"/>
        <v>10526311000048145658Bằng giá MBF01 (KD đề xuất)DDPNăm</v>
      </c>
    </row>
    <row r="19" spans="1:17" x14ac:dyDescent="0.35">
      <c r="A19" s="80" t="s">
        <v>62</v>
      </c>
      <c r="B19" s="80" t="s">
        <v>160</v>
      </c>
      <c r="C19" s="80" t="s">
        <v>35</v>
      </c>
      <c r="D19" s="80" t="s">
        <v>98</v>
      </c>
      <c r="E19" s="81">
        <v>45658</v>
      </c>
      <c r="F19" s="44">
        <f>IF($E19="","",IF(COUNTIF(O$3:O19,$O19)=COUNTIFS($O$3:$O$101,$O19),DATE(9999,12,31),INDEX($E$3:$E$101,MATCH($O19&amp;" | "&amp;TEXT(COUNTIF(O$3:O19,$O19)+1,"00"),$P$3:$P$101,0))-1))</f>
        <v>45869</v>
      </c>
      <c r="G19" s="80" t="s">
        <v>177</v>
      </c>
      <c r="H19" s="80" t="s">
        <v>162</v>
      </c>
      <c r="I19" s="80" t="s">
        <v>178</v>
      </c>
      <c r="J19" s="147"/>
      <c r="K19" s="147"/>
      <c r="L19" s="80">
        <v>0</v>
      </c>
      <c r="M19">
        <f t="shared" si="4"/>
        <v>2025</v>
      </c>
      <c r="N19">
        <f t="shared" si="2"/>
        <v>1</v>
      </c>
      <c r="O19" t="str">
        <f t="shared" si="1"/>
        <v>104909 | 110000329</v>
      </c>
      <c r="P19" t="str">
        <f>IF($O19="","",$O19&amp;" | "&amp;TEXT(COUNTIF(O$3:O19,$O19),"00"))</f>
        <v>104909 | 110000329 | 02</v>
      </c>
      <c r="Q19" t="str">
        <f t="shared" si="3"/>
        <v>10490911000032945658Giá cố định (đã thanh toán 100% trong năm 2024)EXWH1.25</v>
      </c>
    </row>
    <row r="20" spans="1:17" x14ac:dyDescent="0.35">
      <c r="A20" s="80" t="s">
        <v>63</v>
      </c>
      <c r="B20" s="80" t="s">
        <v>179</v>
      </c>
      <c r="C20" s="80" t="s">
        <v>35</v>
      </c>
      <c r="D20" s="80" t="s">
        <v>98</v>
      </c>
      <c r="E20" s="81">
        <v>45566</v>
      </c>
      <c r="F20" s="44">
        <f>IF($E20="","",IF(COUNTIF(O$3:O20,$O20)=COUNTIFS($O$3:$O$101,$O20),DATE(9999,12,31),INDEX($E$3:$E$101,MATCH($O20&amp;" | "&amp;TEXT(COUNTIF(O$3:O20,$O20)+1,"00"),$P$3:$P$101,0))-1))</f>
        <v>2958465</v>
      </c>
      <c r="G20" s="80" t="s">
        <v>161</v>
      </c>
      <c r="H20" s="80" t="s">
        <v>166</v>
      </c>
      <c r="I20" s="80" t="s">
        <v>170</v>
      </c>
      <c r="J20" s="147"/>
      <c r="K20" s="147"/>
      <c r="L20" s="80">
        <v>60</v>
      </c>
      <c r="M20">
        <f t="shared" si="4"/>
        <v>2024</v>
      </c>
      <c r="N20">
        <f t="shared" si="2"/>
        <v>10</v>
      </c>
      <c r="O20" t="str">
        <f t="shared" si="1"/>
        <v>105217 | 110000329</v>
      </c>
      <c r="P20" t="str">
        <f>IF($O20="","",$O20&amp;" | "&amp;TEXT(COUNTIF(O$3:O20,$O20),"00"))</f>
        <v>105217 | 110000329 | 01</v>
      </c>
      <c r="Q20" t="str">
        <f t="shared" si="3"/>
        <v>10521711000032945566Giá cố địnhDDPNăm</v>
      </c>
    </row>
    <row r="21" spans="1:17" x14ac:dyDescent="0.35">
      <c r="A21" s="80" t="s">
        <v>362</v>
      </c>
      <c r="B21" s="80" t="s">
        <v>360</v>
      </c>
      <c r="C21" s="80" t="s">
        <v>31</v>
      </c>
      <c r="D21" s="80" t="s">
        <v>92</v>
      </c>
      <c r="E21" s="81">
        <v>45658</v>
      </c>
      <c r="F21" s="44">
        <f>IF($E21="","",IF(COUNTIF(O$3:O21,$O21)=COUNTIFS($O$3:$O$101,$O21),DATE(9999,12,31),INDEX($E$3:$E$101,MATCH($O21&amp;" | "&amp;TEXT(COUNTIF(O$3:O21,$O21)+1,"00"),$P$3:$P$101,0))-1))</f>
        <v>2958465</v>
      </c>
      <c r="G21" s="80" t="s">
        <v>406</v>
      </c>
      <c r="H21" s="80" t="s">
        <v>156</v>
      </c>
      <c r="I21" s="80" t="s">
        <v>170</v>
      </c>
      <c r="J21" s="147"/>
      <c r="K21" s="147"/>
      <c r="L21" s="80"/>
      <c r="M21">
        <f t="shared" si="4"/>
        <v>2025</v>
      </c>
      <c r="N21">
        <f t="shared" si="2"/>
        <v>1</v>
      </c>
      <c r="O21" t="str">
        <f t="shared" si="1"/>
        <v>200332 | 110000355</v>
      </c>
      <c r="P21" t="str">
        <f>IF($O21="","",$O21&amp;" | "&amp;TEXT(COUNTIF(O$3:O21,$O21),"00"))</f>
        <v>200332 | 110000355 | 01</v>
      </c>
      <c r="Q21" t="str">
        <f t="shared" si="3"/>
        <v>20033211000035545658Giá cố định: $1250 với sản lượng cam kết 10 ngàn tấn; nếu như sản lượng đạt 16 ngàn tấn thì giá $1230FOBNăm</v>
      </c>
    </row>
    <row r="22" spans="1:17" x14ac:dyDescent="0.35">
      <c r="A22" s="80" t="s">
        <v>62</v>
      </c>
      <c r="B22" s="80" t="s">
        <v>160</v>
      </c>
      <c r="C22" s="80" t="s">
        <v>35</v>
      </c>
      <c r="D22" s="80" t="s">
        <v>98</v>
      </c>
      <c r="E22" s="81">
        <v>45870</v>
      </c>
      <c r="F22" s="44">
        <f>IF($E22="","",IF(COUNTIF(O$3:O22,$O22)=COUNTIFS($O$3:$O$101,$O22),DATE(9999,12,31),INDEX($E$3:$E$101,MATCH($O22&amp;" | "&amp;TEXT(COUNTIF(O$3:O22,$O22)+1,"00"),$P$3:$P$101,0))-1))</f>
        <v>2958465</v>
      </c>
      <c r="G22" s="80" t="s">
        <v>436</v>
      </c>
      <c r="H22" s="80" t="s">
        <v>162</v>
      </c>
      <c r="I22" s="80" t="s">
        <v>170</v>
      </c>
      <c r="J22" s="147"/>
      <c r="K22" s="147"/>
      <c r="L22" s="80">
        <v>60</v>
      </c>
      <c r="M22">
        <f t="shared" si="4"/>
        <v>2025</v>
      </c>
      <c r="N22">
        <f t="shared" si="2"/>
        <v>8</v>
      </c>
      <c r="O22" t="str">
        <f t="shared" si="1"/>
        <v>104909 | 110000329</v>
      </c>
      <c r="P22" t="str">
        <f>IF($O22="","",$O22&amp;" | "&amp;TEXT(COUNTIF(O$3:O22,$O22),"00"))</f>
        <v>104909 | 110000329 | 03</v>
      </c>
      <c r="Q22" t="str">
        <f t="shared" si="3"/>
        <v>10490911000032945870Giá cố định (VND34,382,040/tấn ~ tỷ giá deal lúc ký hợp đồng là 26,370)EXWNăm</v>
      </c>
    </row>
    <row r="23" spans="1:17" x14ac:dyDescent="0.35">
      <c r="A23" s="80" t="s">
        <v>62</v>
      </c>
      <c r="B23" s="80" t="s">
        <v>160</v>
      </c>
      <c r="C23" s="440">
        <v>110000497</v>
      </c>
      <c r="D23" s="80" t="s">
        <v>440</v>
      </c>
      <c r="E23" s="81">
        <v>45870</v>
      </c>
      <c r="F23" s="44">
        <f>IF($E23="","",IF(COUNTIF(O$3:O23,$O23)=COUNTIFS($O$3:$O$101,$O23),DATE(9999,12,31),INDEX($E$3:$E$101,MATCH($O23&amp;" | "&amp;TEXT(COUNTIF(O$3:O23,$O23)+1,"00"),$P$3:$P$101,0))-1))</f>
        <v>2958465</v>
      </c>
      <c r="G23" s="80" t="s">
        <v>441</v>
      </c>
      <c r="H23" s="80" t="s">
        <v>162</v>
      </c>
      <c r="I23" s="80" t="s">
        <v>170</v>
      </c>
      <c r="J23" s="147"/>
      <c r="K23" s="147"/>
      <c r="L23" s="80">
        <v>60</v>
      </c>
      <c r="M23">
        <f t="shared" si="4"/>
        <v>2025</v>
      </c>
      <c r="N23">
        <f t="shared" si="2"/>
        <v>8</v>
      </c>
      <c r="O23" t="str">
        <f t="shared" si="1"/>
        <v>104909 | 110000497</v>
      </c>
      <c r="P23" t="str">
        <f>IF($O23="","",$O23&amp;" | "&amp;TEXT(COUNTIF(O$3:O23,$O23),"00"))</f>
        <v>104909 | 110000497 | 01</v>
      </c>
      <c r="Q23" t="str">
        <f t="shared" si="3"/>
        <v>10490911000049745870Giá cố định (VND37,507,680/tấn ~ tỷ giá deal lúc ký hợp đồng là 26,370)EXWNăm</v>
      </c>
    </row>
    <row r="24" spans="1:17" x14ac:dyDescent="0.35">
      <c r="A24" s="80" t="s">
        <v>62</v>
      </c>
      <c r="B24" s="80" t="s">
        <v>160</v>
      </c>
      <c r="C24" s="440" t="s">
        <v>437</v>
      </c>
      <c r="D24" s="80" t="s">
        <v>438</v>
      </c>
      <c r="E24" s="81">
        <v>45870</v>
      </c>
      <c r="F24" s="44">
        <f>IF($E24="","",IF(COUNTIF(O$3:O24,$O24)=COUNTIFS($O$3:$O$101,$O24),DATE(9999,12,31),INDEX($E$3:$E$101,MATCH($O24&amp;" | "&amp;TEXT(COUNTIF(O$3:O24,$O24)+1,"00"),$P$3:$P$101,0))-1))</f>
        <v>2958465</v>
      </c>
      <c r="G24" s="80" t="s">
        <v>439</v>
      </c>
      <c r="H24" s="80" t="s">
        <v>162</v>
      </c>
      <c r="I24" s="80" t="s">
        <v>170</v>
      </c>
      <c r="J24" s="147"/>
      <c r="K24" s="147"/>
      <c r="L24" s="80">
        <v>60</v>
      </c>
      <c r="M24">
        <f t="shared" si="4"/>
        <v>2025</v>
      </c>
      <c r="N24">
        <f t="shared" si="2"/>
        <v>8</v>
      </c>
      <c r="O24" t="str">
        <f t="shared" si="1"/>
        <v>104909 | 110000506</v>
      </c>
      <c r="P24" t="str">
        <f>IF($O24="","",$O24&amp;" | "&amp;TEXT(COUNTIF(O$3:O24,$O24),"00"))</f>
        <v>104909 | 110000506 | 01</v>
      </c>
      <c r="Q24" t="str">
        <f t="shared" si="3"/>
        <v>10490911000050645870Giá cố định (VND36,726,270/tấn ~ tỷ giá deal lúc ký hợp đồng là 26,370)-Tỷ lệ phối trộn 50:50 (hoặc theo tỷ lệ khác theo yêu cầu)EXWNăm</v>
      </c>
    </row>
    <row r="25" spans="1:17" x14ac:dyDescent="0.35">
      <c r="A25" s="80"/>
      <c r="B25" s="80"/>
      <c r="C25" s="80"/>
      <c r="D25" s="80"/>
      <c r="E25" s="80"/>
      <c r="F25" s="44" t="str">
        <f>IF($E25="","",IF(COUNTIF(O$3:O25,$O25)=COUNTIFS($O$3:$O$101,$O25),DATE(9999,12,31),INDEX($E$3:$E$101,MATCH($O25&amp;" | "&amp;TEXT(COUNTIF(O$3:O25,$O25)+1,"00"),$P$3:$P$101,0))-1))</f>
        <v/>
      </c>
      <c r="G25" s="80"/>
      <c r="H25" s="80"/>
      <c r="I25" s="80"/>
      <c r="J25" s="147"/>
      <c r="K25" s="147"/>
      <c r="L25" s="80"/>
      <c r="M25" t="str">
        <f t="shared" si="4"/>
        <v/>
      </c>
      <c r="N25" t="str">
        <f t="shared" si="2"/>
        <v/>
      </c>
      <c r="O25" t="str">
        <f t="shared" si="1"/>
        <v/>
      </c>
      <c r="P25" t="str">
        <f>IF($O25="","",$O25&amp;" | "&amp;TEXT(COUNTIF(O$3:O25,$O25),"00"))</f>
        <v/>
      </c>
      <c r="Q25" t="str">
        <f t="shared" si="3"/>
        <v/>
      </c>
    </row>
    <row r="26" spans="1:17" x14ac:dyDescent="0.35">
      <c r="A26" s="80"/>
      <c r="B26" s="80"/>
      <c r="C26" s="80"/>
      <c r="D26" s="80"/>
      <c r="E26" s="80"/>
      <c r="F26" s="44" t="str">
        <f>IF($E26="","",IF(COUNTIF(O$3:O26,$O26)=COUNTIFS($O$3:$O$101,$O26),DATE(9999,12,31),INDEX($E$3:$E$101,MATCH($O26&amp;" | "&amp;TEXT(COUNTIF(O$3:O26,$O26)+1,"00"),$P$3:$P$101,0))-1))</f>
        <v/>
      </c>
      <c r="G26" s="80"/>
      <c r="H26" s="80"/>
      <c r="I26" s="80"/>
      <c r="J26" s="147"/>
      <c r="K26" s="147"/>
      <c r="L26" s="80"/>
      <c r="M26" t="str">
        <f t="shared" si="4"/>
        <v/>
      </c>
      <c r="N26" t="str">
        <f t="shared" si="2"/>
        <v/>
      </c>
      <c r="O26" t="str">
        <f t="shared" si="1"/>
        <v/>
      </c>
      <c r="P26" t="str">
        <f>IF($O26="","",$O26&amp;" | "&amp;TEXT(COUNTIF(O$3:O26,$O26),"00"))</f>
        <v/>
      </c>
      <c r="Q26" t="str">
        <f t="shared" si="3"/>
        <v/>
      </c>
    </row>
    <row r="27" spans="1:17" x14ac:dyDescent="0.35">
      <c r="A27" s="80"/>
      <c r="B27" s="80"/>
      <c r="C27" s="80"/>
      <c r="D27" s="80"/>
      <c r="E27" s="80"/>
      <c r="F27" s="44" t="str">
        <f>IF($E27="","",IF(COUNTIF(O$3:O27,$O27)=COUNTIFS($O$3:$O$101,$O27),DATE(9999,12,31),INDEX($E$3:$E$101,MATCH($O27&amp;" | "&amp;TEXT(COUNTIF(O$3:O27,$O27)+1,"00"),$P$3:$P$101,0))-1))</f>
        <v/>
      </c>
      <c r="G27" s="80"/>
      <c r="H27" s="80"/>
      <c r="I27" s="80"/>
      <c r="J27" s="147"/>
      <c r="K27" s="147"/>
      <c r="L27" s="80"/>
      <c r="M27" t="str">
        <f t="shared" si="4"/>
        <v/>
      </c>
      <c r="N27" t="str">
        <f t="shared" si="2"/>
        <v/>
      </c>
      <c r="O27" t="str">
        <f t="shared" si="1"/>
        <v/>
      </c>
      <c r="P27" t="str">
        <f>IF($O27="","",$O27&amp;" | "&amp;TEXT(COUNTIF(O$3:O27,$O27),"00"))</f>
        <v/>
      </c>
      <c r="Q27" t="str">
        <f t="shared" si="3"/>
        <v/>
      </c>
    </row>
    <row r="28" spans="1:17" x14ac:dyDescent="0.35">
      <c r="A28" s="80"/>
      <c r="B28" s="80"/>
      <c r="C28" s="80"/>
      <c r="D28" s="80"/>
      <c r="E28" s="80"/>
      <c r="F28" s="44" t="str">
        <f>IF($E28="","",IF(COUNTIF(O$3:O28,$O28)=COUNTIFS($O$3:$O$101,$O28),DATE(9999,12,31),INDEX($E$3:$E$101,MATCH($O28&amp;" | "&amp;TEXT(COUNTIF(O$3:O28,$O28)+1,"00"),$P$3:$P$101,0))-1))</f>
        <v/>
      </c>
      <c r="G28" s="80"/>
      <c r="H28" s="80"/>
      <c r="I28" s="80"/>
      <c r="J28" s="147"/>
      <c r="K28" s="147"/>
      <c r="L28" s="80"/>
      <c r="M28" t="str">
        <f t="shared" si="4"/>
        <v/>
      </c>
      <c r="N28" t="str">
        <f t="shared" si="2"/>
        <v/>
      </c>
      <c r="O28" t="str">
        <f t="shared" si="1"/>
        <v/>
      </c>
      <c r="P28" t="str">
        <f>IF($O28="","",$O28&amp;" | "&amp;TEXT(COUNTIF(O$3:O28,$O28),"00"))</f>
        <v/>
      </c>
      <c r="Q28" t="str">
        <f t="shared" si="3"/>
        <v/>
      </c>
    </row>
    <row r="29" spans="1:17" x14ac:dyDescent="0.35">
      <c r="A29" s="80"/>
      <c r="B29" s="80"/>
      <c r="C29" s="80"/>
      <c r="D29" s="80"/>
      <c r="E29" s="80"/>
      <c r="F29" s="44" t="str">
        <f>IF($E29="","",IF(COUNTIF(O$3:O29,$O29)=COUNTIFS($O$3:$O$101,$O29),DATE(9999,12,31),INDEX($E$3:$E$101,MATCH($O29&amp;" | "&amp;TEXT(COUNTIF(O$3:O29,$O29)+1,"00"),$P$3:$P$101,0))-1))</f>
        <v/>
      </c>
      <c r="G29" s="80"/>
      <c r="H29" s="80"/>
      <c r="I29" s="80"/>
      <c r="J29" s="147"/>
      <c r="K29" s="147"/>
      <c r="L29" s="80"/>
      <c r="M29" t="str">
        <f t="shared" si="4"/>
        <v/>
      </c>
      <c r="N29" t="str">
        <f t="shared" si="2"/>
        <v/>
      </c>
      <c r="O29" t="str">
        <f t="shared" si="1"/>
        <v/>
      </c>
      <c r="P29" t="str">
        <f>IF($O29="","",$O29&amp;" | "&amp;TEXT(COUNTIF(O$3:O29,$O29),"00"))</f>
        <v/>
      </c>
      <c r="Q29" t="str">
        <f t="shared" si="3"/>
        <v/>
      </c>
    </row>
    <row r="30" spans="1:17" x14ac:dyDescent="0.35">
      <c r="A30" s="80"/>
      <c r="B30" s="80"/>
      <c r="C30" s="80"/>
      <c r="D30" s="80"/>
      <c r="E30" s="80"/>
      <c r="F30" s="44" t="str">
        <f>IF($E30="","",IF(COUNTIF(O$3:O30,$O30)=COUNTIFS($O$3:$O$101,$O30),DATE(9999,12,31),INDEX($E$3:$E$101,MATCH($O30&amp;" | "&amp;TEXT(COUNTIF(O$3:O30,$O30)+1,"00"),$P$3:$P$101,0))-1))</f>
        <v/>
      </c>
      <c r="G30" s="80"/>
      <c r="H30" s="80"/>
      <c r="I30" s="80"/>
      <c r="J30" s="147"/>
      <c r="K30" s="147"/>
      <c r="L30" s="80"/>
      <c r="M30" t="str">
        <f t="shared" si="4"/>
        <v/>
      </c>
      <c r="N30" t="str">
        <f t="shared" si="2"/>
        <v/>
      </c>
      <c r="O30" t="str">
        <f t="shared" si="1"/>
        <v/>
      </c>
      <c r="P30" t="str">
        <f>IF($O30="","",$O30&amp;" | "&amp;TEXT(COUNTIF(O$3:O30,$O30),"00"))</f>
        <v/>
      </c>
      <c r="Q30" t="str">
        <f t="shared" si="3"/>
        <v/>
      </c>
    </row>
    <row r="31" spans="1:17" x14ac:dyDescent="0.35">
      <c r="A31" s="80"/>
      <c r="B31" s="80"/>
      <c r="C31" s="80"/>
      <c r="D31" s="80"/>
      <c r="E31" s="80"/>
      <c r="F31" s="44" t="str">
        <f>IF($E31="","",IF(COUNTIF(O$3:O31,$O31)=COUNTIFS($O$3:$O$101,$O31),DATE(9999,12,31),INDEX($E$3:$E$101,MATCH($O31&amp;" | "&amp;TEXT(COUNTIF(O$3:O31,$O31)+1,"00"),$P$3:$P$101,0))-1))</f>
        <v/>
      </c>
      <c r="G31" s="80"/>
      <c r="H31" s="80"/>
      <c r="I31" s="80"/>
      <c r="J31" s="147"/>
      <c r="K31" s="147"/>
      <c r="L31" s="80"/>
      <c r="M31" t="str">
        <f t="shared" si="4"/>
        <v/>
      </c>
      <c r="N31" t="str">
        <f t="shared" si="2"/>
        <v/>
      </c>
      <c r="O31" t="str">
        <f t="shared" si="1"/>
        <v/>
      </c>
      <c r="P31" t="str">
        <f>IF($O31="","",$O31&amp;" | "&amp;TEXT(COUNTIF(O$3:O31,$O31),"00"))</f>
        <v/>
      </c>
      <c r="Q31" t="str">
        <f t="shared" si="3"/>
        <v/>
      </c>
    </row>
    <row r="32" spans="1:17" x14ac:dyDescent="0.35">
      <c r="A32" s="80"/>
      <c r="B32" s="80"/>
      <c r="C32" s="80"/>
      <c r="D32" s="80"/>
      <c r="E32" s="80"/>
      <c r="F32" s="44" t="str">
        <f>IF($E32="","",IF(COUNTIF(O$3:O32,$O32)=COUNTIFS($O$3:$O$101,$O32),DATE(9999,12,31),INDEX($E$3:$E$101,MATCH($O32&amp;" | "&amp;TEXT(COUNTIF(O$3:O32,$O32)+1,"00"),$P$3:$P$101,0))-1))</f>
        <v/>
      </c>
      <c r="G32" s="80"/>
      <c r="H32" s="80"/>
      <c r="I32" s="80"/>
      <c r="J32" s="147"/>
      <c r="K32" s="147"/>
      <c r="L32" s="80"/>
      <c r="M32" t="str">
        <f t="shared" si="4"/>
        <v/>
      </c>
      <c r="N32" t="str">
        <f t="shared" si="2"/>
        <v/>
      </c>
      <c r="O32" t="str">
        <f t="shared" si="1"/>
        <v/>
      </c>
      <c r="P32" t="str">
        <f>IF($O32="","",$O32&amp;" | "&amp;TEXT(COUNTIF(O$3:O32,$O32),"00"))</f>
        <v/>
      </c>
      <c r="Q32" t="str">
        <f t="shared" si="3"/>
        <v/>
      </c>
    </row>
    <row r="33" spans="1:17" x14ac:dyDescent="0.35">
      <c r="A33" s="80"/>
      <c r="B33" s="80"/>
      <c r="C33" s="80"/>
      <c r="D33" s="80"/>
      <c r="E33" s="80"/>
      <c r="F33" s="44" t="str">
        <f>IF($E33="","",IF(COUNTIF(O$3:O33,$O33)=COUNTIFS($O$3:$O$101,$O33),DATE(9999,12,31),INDEX($E$3:$E$101,MATCH($O33&amp;" | "&amp;TEXT(COUNTIF(O$3:O33,$O33)+1,"00"),$P$3:$P$101,0))-1))</f>
        <v/>
      </c>
      <c r="G33" s="80"/>
      <c r="H33" s="80"/>
      <c r="I33" s="80"/>
      <c r="J33" s="147"/>
      <c r="K33" s="147"/>
      <c r="L33" s="80"/>
      <c r="M33" t="str">
        <f t="shared" si="4"/>
        <v/>
      </c>
      <c r="N33" t="str">
        <f t="shared" si="2"/>
        <v/>
      </c>
      <c r="O33" t="str">
        <f t="shared" si="1"/>
        <v/>
      </c>
      <c r="P33" t="str">
        <f>IF($O33="","",$O33&amp;" | "&amp;TEXT(COUNTIF(O$3:O33,$O33),"00"))</f>
        <v/>
      </c>
      <c r="Q33" t="str">
        <f t="shared" si="3"/>
        <v/>
      </c>
    </row>
    <row r="34" spans="1:17" x14ac:dyDescent="0.35">
      <c r="A34" s="80"/>
      <c r="B34" s="80"/>
      <c r="C34" s="80"/>
      <c r="D34" s="80"/>
      <c r="E34" s="80"/>
      <c r="F34" s="44" t="str">
        <f>IF($E34="","",IF(COUNTIF(O$3:O34,$O34)=COUNTIFS($O$3:$O$101,$O34),DATE(9999,12,31),INDEX($E$3:$E$101,MATCH($O34&amp;" | "&amp;TEXT(COUNTIF(O$3:O34,$O34)+1,"00"),$P$3:$P$101,0))-1))</f>
        <v/>
      </c>
      <c r="G34" s="80"/>
      <c r="H34" s="80"/>
      <c r="I34" s="80"/>
      <c r="J34" s="147"/>
      <c r="K34" s="147"/>
      <c r="L34" s="80"/>
      <c r="M34" t="str">
        <f t="shared" si="4"/>
        <v/>
      </c>
      <c r="N34" t="str">
        <f t="shared" si="2"/>
        <v/>
      </c>
      <c r="O34" t="str">
        <f t="shared" ref="O34:O65" si="5">IF(OR($A34="",$C34=""),"",$A34&amp;" | "&amp;$C34)</f>
        <v/>
      </c>
      <c r="P34" t="str">
        <f>IF($O34="","",$O34&amp;" | "&amp;TEXT(COUNTIF(O$3:O34,$O34),"00"))</f>
        <v/>
      </c>
      <c r="Q34" t="str">
        <f t="shared" si="3"/>
        <v/>
      </c>
    </row>
    <row r="35" spans="1:17" x14ac:dyDescent="0.35">
      <c r="A35" s="80"/>
      <c r="B35" s="80"/>
      <c r="C35" s="80"/>
      <c r="D35" s="80"/>
      <c r="E35" s="80"/>
      <c r="F35" s="44" t="str">
        <f>IF($E35="","",IF(COUNTIF(O$3:O35,$O35)=COUNTIFS($O$3:$O$101,$O35),DATE(9999,12,31),INDEX($E$3:$E$101,MATCH($O35&amp;" | "&amp;TEXT(COUNTIF(O$3:O35,$O35)+1,"00"),$P$3:$P$101,0))-1))</f>
        <v/>
      </c>
      <c r="G35" s="80"/>
      <c r="H35" s="80"/>
      <c r="I35" s="80"/>
      <c r="J35" s="147"/>
      <c r="K35" s="147"/>
      <c r="L35" s="80"/>
      <c r="M35" t="str">
        <f t="shared" si="4"/>
        <v/>
      </c>
      <c r="N35" t="str">
        <f t="shared" si="2"/>
        <v/>
      </c>
      <c r="O35" t="str">
        <f t="shared" si="5"/>
        <v/>
      </c>
      <c r="P35" t="str">
        <f>IF($O35="","",$O35&amp;" | "&amp;TEXT(COUNTIF(O$3:O35,$O35),"00"))</f>
        <v/>
      </c>
      <c r="Q35" t="str">
        <f t="shared" si="3"/>
        <v/>
      </c>
    </row>
    <row r="36" spans="1:17" x14ac:dyDescent="0.35">
      <c r="A36" s="80"/>
      <c r="B36" s="80"/>
      <c r="C36" s="80"/>
      <c r="D36" s="80"/>
      <c r="E36" s="80"/>
      <c r="F36" s="44" t="str">
        <f>IF($E36="","",IF(COUNTIF(O$3:O36,$O36)=COUNTIFS($O$3:$O$101,$O36),DATE(9999,12,31),INDEX($E$3:$E$101,MATCH($O36&amp;" | "&amp;TEXT(COUNTIF(O$3:O36,$O36)+1,"00"),$P$3:$P$101,0))-1))</f>
        <v/>
      </c>
      <c r="G36" s="80"/>
      <c r="H36" s="80"/>
      <c r="I36" s="80"/>
      <c r="J36" s="147"/>
      <c r="K36" s="147"/>
      <c r="L36" s="80"/>
      <c r="M36" t="str">
        <f t="shared" si="4"/>
        <v/>
      </c>
      <c r="N36" t="str">
        <f t="shared" si="2"/>
        <v/>
      </c>
      <c r="O36" t="str">
        <f t="shared" si="5"/>
        <v/>
      </c>
      <c r="P36" t="str">
        <f>IF($O36="","",$O36&amp;" | "&amp;TEXT(COUNTIF(O$3:O36,$O36),"00"))</f>
        <v/>
      </c>
      <c r="Q36" t="str">
        <f t="shared" si="3"/>
        <v/>
      </c>
    </row>
    <row r="37" spans="1:17" x14ac:dyDescent="0.35">
      <c r="A37" s="80"/>
      <c r="B37" s="80"/>
      <c r="C37" s="80"/>
      <c r="D37" s="80"/>
      <c r="E37" s="80"/>
      <c r="F37" s="44" t="str">
        <f>IF($E37="","",IF(COUNTIF(O$3:O37,$O37)=COUNTIFS($O$3:$O$101,$O37),DATE(9999,12,31),INDEX($E$3:$E$101,MATCH($O37&amp;" | "&amp;TEXT(COUNTIF(O$3:O37,$O37)+1,"00"),$P$3:$P$101,0))-1))</f>
        <v/>
      </c>
      <c r="G37" s="80"/>
      <c r="H37" s="80"/>
      <c r="I37" s="80"/>
      <c r="J37" s="147"/>
      <c r="K37" s="147"/>
      <c r="L37" s="80"/>
      <c r="M37" t="str">
        <f t="shared" si="4"/>
        <v/>
      </c>
      <c r="N37" t="str">
        <f t="shared" si="2"/>
        <v/>
      </c>
      <c r="O37" t="str">
        <f t="shared" si="5"/>
        <v/>
      </c>
      <c r="P37" t="str">
        <f>IF($O37="","",$O37&amp;" | "&amp;TEXT(COUNTIF(O$3:O37,$O37),"00"))</f>
        <v/>
      </c>
      <c r="Q37" t="str">
        <f t="shared" si="3"/>
        <v/>
      </c>
    </row>
    <row r="38" spans="1:17" x14ac:dyDescent="0.35">
      <c r="A38" s="80"/>
      <c r="B38" s="80"/>
      <c r="C38" s="80"/>
      <c r="D38" s="80"/>
      <c r="E38" s="80"/>
      <c r="F38" s="44" t="str">
        <f>IF($E38="","",IF(COUNTIF(O$3:O38,$O38)=COUNTIFS($O$3:$O$101,$O38),DATE(9999,12,31),INDEX($E$3:$E$101,MATCH($O38&amp;" | "&amp;TEXT(COUNTIF(O$3:O38,$O38)+1,"00"),$P$3:$P$101,0))-1))</f>
        <v/>
      </c>
      <c r="G38" s="80"/>
      <c r="H38" s="80"/>
      <c r="I38" s="80"/>
      <c r="J38" s="147"/>
      <c r="K38" s="147"/>
      <c r="L38" s="80"/>
      <c r="M38" t="str">
        <f t="shared" si="4"/>
        <v/>
      </c>
      <c r="N38" t="str">
        <f t="shared" si="2"/>
        <v/>
      </c>
      <c r="O38" t="str">
        <f t="shared" si="5"/>
        <v/>
      </c>
      <c r="P38" t="str">
        <f>IF($O38="","",$O38&amp;" | "&amp;TEXT(COUNTIF(O$3:O38,$O38),"00"))</f>
        <v/>
      </c>
      <c r="Q38" t="str">
        <f t="shared" si="3"/>
        <v/>
      </c>
    </row>
    <row r="39" spans="1:17" x14ac:dyDescent="0.35">
      <c r="A39" s="80"/>
      <c r="B39" s="80"/>
      <c r="C39" s="80"/>
      <c r="D39" s="80"/>
      <c r="E39" s="80"/>
      <c r="F39" s="44" t="str">
        <f>IF($E39="","",IF(COUNTIF(O$3:O39,$O39)=COUNTIFS($O$3:$O$101,$O39),DATE(9999,12,31),INDEX($E$3:$E$101,MATCH($O39&amp;" | "&amp;TEXT(COUNTIF(O$3:O39,$O39)+1,"00"),$P$3:$P$101,0))-1))</f>
        <v/>
      </c>
      <c r="G39" s="80"/>
      <c r="H39" s="80"/>
      <c r="I39" s="80"/>
      <c r="J39" s="147"/>
      <c r="K39" s="147"/>
      <c r="L39" s="80"/>
      <c r="M39" t="str">
        <f t="shared" si="4"/>
        <v/>
      </c>
      <c r="N39" t="str">
        <f t="shared" si="2"/>
        <v/>
      </c>
      <c r="O39" t="str">
        <f t="shared" si="5"/>
        <v/>
      </c>
      <c r="P39" t="str">
        <f>IF($O39="","",$O39&amp;" | "&amp;TEXT(COUNTIF(O$3:O39,$O39),"00"))</f>
        <v/>
      </c>
      <c r="Q39" t="str">
        <f t="shared" si="3"/>
        <v/>
      </c>
    </row>
    <row r="40" spans="1:17" x14ac:dyDescent="0.35">
      <c r="A40" s="80"/>
      <c r="B40" s="80"/>
      <c r="C40" s="80"/>
      <c r="D40" s="80"/>
      <c r="E40" s="80"/>
      <c r="F40" s="44" t="str">
        <f>IF($E40="","",IF(COUNTIF(O$3:O40,$O40)=COUNTIFS($O$3:$O$101,$O40),DATE(9999,12,31),INDEX($E$3:$E$101,MATCH($O40&amp;" | "&amp;TEXT(COUNTIF(O$3:O40,$O40)+1,"00"),$P$3:$P$101,0))-1))</f>
        <v/>
      </c>
      <c r="G40" s="80"/>
      <c r="H40" s="80"/>
      <c r="I40" s="80"/>
      <c r="J40" s="147"/>
      <c r="K40" s="147"/>
      <c r="L40" s="80"/>
      <c r="M40" t="str">
        <f t="shared" si="4"/>
        <v/>
      </c>
      <c r="N40" t="str">
        <f t="shared" si="2"/>
        <v/>
      </c>
      <c r="O40" t="str">
        <f t="shared" si="5"/>
        <v/>
      </c>
      <c r="P40" t="str">
        <f>IF($O40="","",$O40&amp;" | "&amp;TEXT(COUNTIF(O$3:O40,$O40),"00"))</f>
        <v/>
      </c>
      <c r="Q40" t="str">
        <f t="shared" si="3"/>
        <v/>
      </c>
    </row>
    <row r="41" spans="1:17" x14ac:dyDescent="0.35">
      <c r="A41" s="80"/>
      <c r="B41" s="80"/>
      <c r="C41" s="80"/>
      <c r="D41" s="80"/>
      <c r="E41" s="80"/>
      <c r="F41" s="44" t="str">
        <f>IF($E41="","",IF(COUNTIF(O$3:O41,$O41)=COUNTIFS($O$3:$O$101,$O41),DATE(9999,12,31),INDEX($E$3:$E$101,MATCH($O41&amp;" | "&amp;TEXT(COUNTIF(O$3:O41,$O41)+1,"00"),$P$3:$P$101,0))-1))</f>
        <v/>
      </c>
      <c r="G41" s="80"/>
      <c r="H41" s="80"/>
      <c r="I41" s="80"/>
      <c r="J41" s="147"/>
      <c r="K41" s="147"/>
      <c r="L41" s="80"/>
      <c r="M41" t="str">
        <f t="shared" si="4"/>
        <v/>
      </c>
      <c r="N41" t="str">
        <f t="shared" si="2"/>
        <v/>
      </c>
      <c r="O41" t="str">
        <f t="shared" si="5"/>
        <v/>
      </c>
      <c r="P41" t="str">
        <f>IF($O41="","",$O41&amp;" | "&amp;TEXT(COUNTIF(O$3:O41,$O41),"00"))</f>
        <v/>
      </c>
      <c r="Q41" t="str">
        <f t="shared" si="3"/>
        <v/>
      </c>
    </row>
    <row r="42" spans="1:17" x14ac:dyDescent="0.35">
      <c r="A42" s="80"/>
      <c r="B42" s="80"/>
      <c r="C42" s="80"/>
      <c r="D42" s="80"/>
      <c r="E42" s="80"/>
      <c r="F42" s="44" t="str">
        <f>IF($E42="","",IF(COUNTIF(O$3:O42,$O42)=COUNTIFS($O$3:$O$101,$O42),DATE(9999,12,31),INDEX($E$3:$E$101,MATCH($O42&amp;" | "&amp;TEXT(COUNTIF(O$3:O42,$O42)+1,"00"),$P$3:$P$101,0))-1))</f>
        <v/>
      </c>
      <c r="G42" s="80"/>
      <c r="H42" s="80"/>
      <c r="I42" s="80"/>
      <c r="J42" s="147"/>
      <c r="K42" s="147"/>
      <c r="L42" s="80"/>
      <c r="M42" t="str">
        <f t="shared" si="4"/>
        <v/>
      </c>
      <c r="N42" t="str">
        <f t="shared" si="2"/>
        <v/>
      </c>
      <c r="O42" t="str">
        <f t="shared" si="5"/>
        <v/>
      </c>
      <c r="P42" t="str">
        <f>IF($O42="","",$O42&amp;" | "&amp;TEXT(COUNTIF(O$3:O42,$O42),"00"))</f>
        <v/>
      </c>
      <c r="Q42" t="str">
        <f t="shared" si="3"/>
        <v/>
      </c>
    </row>
    <row r="43" spans="1:17" x14ac:dyDescent="0.35">
      <c r="A43" s="80"/>
      <c r="B43" s="80"/>
      <c r="C43" s="80"/>
      <c r="D43" s="80"/>
      <c r="E43" s="80"/>
      <c r="F43" s="44" t="str">
        <f>IF($E43="","",IF(COUNTIF(O$3:O43,$O43)=COUNTIFS($O$3:$O$101,$O43),DATE(9999,12,31),INDEX($E$3:$E$101,MATCH($O43&amp;" | "&amp;TEXT(COUNTIF(O$3:O43,$O43)+1,"00"),$P$3:$P$101,0))-1))</f>
        <v/>
      </c>
      <c r="G43" s="80"/>
      <c r="H43" s="80"/>
      <c r="I43" s="80"/>
      <c r="J43" s="147"/>
      <c r="K43" s="147"/>
      <c r="L43" s="80"/>
      <c r="M43" t="str">
        <f t="shared" si="4"/>
        <v/>
      </c>
      <c r="N43" t="str">
        <f t="shared" si="2"/>
        <v/>
      </c>
      <c r="O43" t="str">
        <f t="shared" si="5"/>
        <v/>
      </c>
      <c r="P43" t="str">
        <f>IF($O43="","",$O43&amp;" | "&amp;TEXT(COUNTIF(O$3:O43,$O43),"00"))</f>
        <v/>
      </c>
      <c r="Q43" t="str">
        <f t="shared" si="3"/>
        <v/>
      </c>
    </row>
    <row r="44" spans="1:17" x14ac:dyDescent="0.35">
      <c r="A44" s="80"/>
      <c r="B44" s="80"/>
      <c r="C44" s="80"/>
      <c r="D44" s="80"/>
      <c r="E44" s="80"/>
      <c r="F44" s="44" t="str">
        <f>IF($E44="","",IF(COUNTIF(O$3:O44,$O44)=COUNTIFS($O$3:$O$101,$O44),DATE(9999,12,31),INDEX($E$3:$E$101,MATCH($O44&amp;" | "&amp;TEXT(COUNTIF(O$3:O44,$O44)+1,"00"),$P$3:$P$101,0))-1))</f>
        <v/>
      </c>
      <c r="G44" s="80"/>
      <c r="H44" s="80"/>
      <c r="I44" s="80"/>
      <c r="J44" s="147"/>
      <c r="K44" s="147"/>
      <c r="L44" s="80"/>
      <c r="M44" t="str">
        <f t="shared" si="4"/>
        <v/>
      </c>
      <c r="N44" t="str">
        <f t="shared" si="2"/>
        <v/>
      </c>
      <c r="O44" t="str">
        <f t="shared" si="5"/>
        <v/>
      </c>
      <c r="P44" t="str">
        <f>IF($O44="","",$O44&amp;" | "&amp;TEXT(COUNTIF(O$3:O44,$O44),"00"))</f>
        <v/>
      </c>
      <c r="Q44" t="str">
        <f t="shared" si="3"/>
        <v/>
      </c>
    </row>
    <row r="45" spans="1:17" x14ac:dyDescent="0.35">
      <c r="A45" s="80"/>
      <c r="B45" s="80"/>
      <c r="C45" s="80"/>
      <c r="D45" s="80"/>
      <c r="E45" s="80"/>
      <c r="F45" s="44" t="str">
        <f>IF($E45="","",IF(COUNTIF(O$3:O45,$O45)=COUNTIFS($O$3:$O$101,$O45),DATE(9999,12,31),INDEX($E$3:$E$101,MATCH($O45&amp;" | "&amp;TEXT(COUNTIF(O$3:O45,$O45)+1,"00"),$P$3:$P$101,0))-1))</f>
        <v/>
      </c>
      <c r="G45" s="80"/>
      <c r="H45" s="80"/>
      <c r="I45" s="80"/>
      <c r="J45" s="147"/>
      <c r="K45" s="147"/>
      <c r="L45" s="80"/>
      <c r="M45" t="str">
        <f t="shared" si="4"/>
        <v/>
      </c>
      <c r="N45" t="str">
        <f t="shared" si="2"/>
        <v/>
      </c>
      <c r="O45" t="str">
        <f t="shared" si="5"/>
        <v/>
      </c>
      <c r="P45" t="str">
        <f>IF($O45="","",$O45&amp;" | "&amp;TEXT(COUNTIF(O$3:O45,$O45),"00"))</f>
        <v/>
      </c>
      <c r="Q45" t="str">
        <f t="shared" si="3"/>
        <v/>
      </c>
    </row>
    <row r="46" spans="1:17" x14ac:dyDescent="0.35">
      <c r="A46" s="80"/>
      <c r="B46" s="80"/>
      <c r="C46" s="80"/>
      <c r="D46" s="80"/>
      <c r="E46" s="80"/>
      <c r="F46" s="44" t="str">
        <f>IF($E46="","",IF(COUNTIF(O$3:O46,$O46)=COUNTIFS($O$3:$O$101,$O46),DATE(9999,12,31),INDEX($E$3:$E$101,MATCH($O46&amp;" | "&amp;TEXT(COUNTIF(O$3:O46,$O46)+1,"00"),$P$3:$P$101,0))-1))</f>
        <v/>
      </c>
      <c r="G46" s="80"/>
      <c r="H46" s="80"/>
      <c r="I46" s="80"/>
      <c r="J46" s="147"/>
      <c r="K46" s="147"/>
      <c r="L46" s="80"/>
      <c r="M46" t="str">
        <f t="shared" si="4"/>
        <v/>
      </c>
      <c r="N46" t="str">
        <f t="shared" si="2"/>
        <v/>
      </c>
      <c r="O46" t="str">
        <f t="shared" si="5"/>
        <v/>
      </c>
      <c r="P46" t="str">
        <f>IF($O46="","",$O46&amp;" | "&amp;TEXT(COUNTIF(O$3:O46,$O46),"00"))</f>
        <v/>
      </c>
      <c r="Q46" t="str">
        <f t="shared" si="3"/>
        <v/>
      </c>
    </row>
    <row r="47" spans="1:17" x14ac:dyDescent="0.35">
      <c r="A47" s="80"/>
      <c r="B47" s="80"/>
      <c r="C47" s="80"/>
      <c r="D47" s="80"/>
      <c r="E47" s="80"/>
      <c r="F47" s="44" t="str">
        <f>IF($E47="","",IF(COUNTIF(O$3:O47,$O47)=COUNTIFS($O$3:$O$101,$O47),DATE(9999,12,31),INDEX($E$3:$E$101,MATCH($O47&amp;" | "&amp;TEXT(COUNTIF(O$3:O47,$O47)+1,"00"),$P$3:$P$101,0))-1))</f>
        <v/>
      </c>
      <c r="G47" s="80"/>
      <c r="H47" s="80"/>
      <c r="I47" s="80"/>
      <c r="J47" s="147"/>
      <c r="K47" s="147"/>
      <c r="L47" s="80"/>
      <c r="M47" t="str">
        <f t="shared" si="4"/>
        <v/>
      </c>
      <c r="N47" t="str">
        <f t="shared" si="2"/>
        <v/>
      </c>
      <c r="O47" t="str">
        <f t="shared" si="5"/>
        <v/>
      </c>
      <c r="P47" t="str">
        <f>IF($O47="","",$O47&amp;" | "&amp;TEXT(COUNTIF(O$3:O47,$O47),"00"))</f>
        <v/>
      </c>
      <c r="Q47" t="str">
        <f t="shared" si="3"/>
        <v/>
      </c>
    </row>
    <row r="48" spans="1:17" x14ac:dyDescent="0.35">
      <c r="A48" s="80"/>
      <c r="B48" s="80"/>
      <c r="C48" s="80"/>
      <c r="D48" s="80"/>
      <c r="E48" s="80"/>
      <c r="F48" s="44" t="str">
        <f>IF($E48="","",IF(COUNTIF(O$3:O48,$O48)=COUNTIFS($O$3:$O$101,$O48),DATE(9999,12,31),INDEX($E$3:$E$101,MATCH($O48&amp;" | "&amp;TEXT(COUNTIF(O$3:O48,$O48)+1,"00"),$P$3:$P$101,0))-1))</f>
        <v/>
      </c>
      <c r="G48" s="80"/>
      <c r="H48" s="80"/>
      <c r="I48" s="80"/>
      <c r="J48" s="147"/>
      <c r="K48" s="147"/>
      <c r="L48" s="80"/>
      <c r="M48" t="str">
        <f t="shared" si="4"/>
        <v/>
      </c>
      <c r="N48" t="str">
        <f t="shared" si="2"/>
        <v/>
      </c>
      <c r="O48" t="str">
        <f t="shared" si="5"/>
        <v/>
      </c>
      <c r="P48" t="str">
        <f>IF($O48="","",$O48&amp;" | "&amp;TEXT(COUNTIF(O$3:O48,$O48),"00"))</f>
        <v/>
      </c>
      <c r="Q48" t="str">
        <f t="shared" si="3"/>
        <v/>
      </c>
    </row>
    <row r="49" spans="1:17" x14ac:dyDescent="0.35">
      <c r="A49" s="80"/>
      <c r="B49" s="80"/>
      <c r="C49" s="80"/>
      <c r="D49" s="80"/>
      <c r="E49" s="80"/>
      <c r="F49" s="44" t="str">
        <f>IF($E49="","",IF(COUNTIF(O$3:O49,$O49)=COUNTIFS($O$3:$O$101,$O49),DATE(9999,12,31),INDEX($E$3:$E$101,MATCH($O49&amp;" | "&amp;TEXT(COUNTIF(O$3:O49,$O49)+1,"00"),$P$3:$P$101,0))-1))</f>
        <v/>
      </c>
      <c r="G49" s="80"/>
      <c r="H49" s="80"/>
      <c r="I49" s="80"/>
      <c r="J49" s="147"/>
      <c r="K49" s="147"/>
      <c r="L49" s="80"/>
      <c r="M49" t="str">
        <f t="shared" si="4"/>
        <v/>
      </c>
      <c r="N49" t="str">
        <f t="shared" si="2"/>
        <v/>
      </c>
      <c r="O49" t="str">
        <f t="shared" si="5"/>
        <v/>
      </c>
      <c r="P49" t="str">
        <f>IF($O49="","",$O49&amp;" | "&amp;TEXT(COUNTIF(O$3:O49,$O49),"00"))</f>
        <v/>
      </c>
      <c r="Q49" t="str">
        <f t="shared" si="3"/>
        <v/>
      </c>
    </row>
    <row r="50" spans="1:17" x14ac:dyDescent="0.35">
      <c r="A50" s="80"/>
      <c r="B50" s="80"/>
      <c r="C50" s="80"/>
      <c r="D50" s="80"/>
      <c r="E50" s="80"/>
      <c r="F50" s="44" t="str">
        <f>IF($E50="","",IF(COUNTIF(O$3:O50,$O50)=COUNTIFS($O$3:$O$101,$O50),DATE(9999,12,31),INDEX($E$3:$E$101,MATCH($O50&amp;" | "&amp;TEXT(COUNTIF(O$3:O50,$O50)+1,"00"),$P$3:$P$101,0))-1))</f>
        <v/>
      </c>
      <c r="G50" s="80"/>
      <c r="H50" s="80"/>
      <c r="I50" s="80"/>
      <c r="J50" s="147"/>
      <c r="K50" s="147"/>
      <c r="L50" s="80"/>
      <c r="M50" t="str">
        <f t="shared" si="4"/>
        <v/>
      </c>
      <c r="N50" t="str">
        <f t="shared" si="2"/>
        <v/>
      </c>
      <c r="O50" t="str">
        <f t="shared" si="5"/>
        <v/>
      </c>
      <c r="P50" t="str">
        <f>IF($O50="","",$O50&amp;" | "&amp;TEXT(COUNTIF(O$3:O50,$O50),"00"))</f>
        <v/>
      </c>
      <c r="Q50" t="str">
        <f t="shared" si="3"/>
        <v/>
      </c>
    </row>
    <row r="51" spans="1:17" x14ac:dyDescent="0.35">
      <c r="A51" s="80"/>
      <c r="B51" s="80"/>
      <c r="C51" s="80"/>
      <c r="D51" s="80"/>
      <c r="E51" s="80"/>
      <c r="F51" s="44" t="str">
        <f>IF($E51="","",IF(COUNTIF(O$3:O51,$O51)=COUNTIFS($O$3:$O$101,$O51),DATE(9999,12,31),INDEX($E$3:$E$101,MATCH($O51&amp;" | "&amp;TEXT(COUNTIF(O$3:O51,$O51)+1,"00"),$P$3:$P$101,0))-1))</f>
        <v/>
      </c>
      <c r="G51" s="80"/>
      <c r="H51" s="80"/>
      <c r="I51" s="80"/>
      <c r="J51" s="147"/>
      <c r="K51" s="147"/>
      <c r="L51" s="80"/>
      <c r="M51" t="str">
        <f t="shared" si="4"/>
        <v/>
      </c>
      <c r="N51" t="str">
        <f t="shared" si="2"/>
        <v/>
      </c>
      <c r="O51" t="str">
        <f t="shared" si="5"/>
        <v/>
      </c>
      <c r="P51" t="str">
        <f>IF($O51="","",$O51&amp;" | "&amp;TEXT(COUNTIF(O$3:O51,$O51),"00"))</f>
        <v/>
      </c>
      <c r="Q51" t="str">
        <f t="shared" si="3"/>
        <v/>
      </c>
    </row>
    <row r="52" spans="1:17" x14ac:dyDescent="0.35">
      <c r="A52" s="80"/>
      <c r="B52" s="80"/>
      <c r="C52" s="80"/>
      <c r="D52" s="80"/>
      <c r="E52" s="80"/>
      <c r="F52" s="44" t="str">
        <f>IF($E52="","",IF(COUNTIF(O$3:O52,$O52)=COUNTIFS($O$3:$O$101,$O52),DATE(9999,12,31),INDEX($E$3:$E$101,MATCH($O52&amp;" | "&amp;TEXT(COUNTIF(O$3:O52,$O52)+1,"00"),$P$3:$P$101,0))-1))</f>
        <v/>
      </c>
      <c r="G52" s="80"/>
      <c r="H52" s="80"/>
      <c r="I52" s="80"/>
      <c r="J52" s="147"/>
      <c r="K52" s="147"/>
      <c r="L52" s="80"/>
      <c r="M52" t="str">
        <f t="shared" si="4"/>
        <v/>
      </c>
      <c r="N52" t="str">
        <f t="shared" si="2"/>
        <v/>
      </c>
      <c r="O52" t="str">
        <f t="shared" si="5"/>
        <v/>
      </c>
      <c r="P52" t="str">
        <f>IF($O52="","",$O52&amp;" | "&amp;TEXT(COUNTIF(O$3:O52,$O52),"00"))</f>
        <v/>
      </c>
      <c r="Q52" t="str">
        <f t="shared" si="3"/>
        <v/>
      </c>
    </row>
    <row r="53" spans="1:17" x14ac:dyDescent="0.35">
      <c r="A53" s="80"/>
      <c r="B53" s="80"/>
      <c r="C53" s="80"/>
      <c r="D53" s="80"/>
      <c r="E53" s="80"/>
      <c r="F53" s="44" t="str">
        <f>IF($E53="","",IF(COUNTIF(O$3:O53,$O53)=COUNTIFS($O$3:$O$101,$O53),DATE(9999,12,31),INDEX($E$3:$E$101,MATCH($O53&amp;" | "&amp;TEXT(COUNTIF(O$3:O53,$O53)+1,"00"),$P$3:$P$101,0))-1))</f>
        <v/>
      </c>
      <c r="G53" s="80"/>
      <c r="H53" s="80"/>
      <c r="I53" s="80"/>
      <c r="J53" s="147"/>
      <c r="K53" s="147"/>
      <c r="L53" s="80"/>
      <c r="M53" t="str">
        <f t="shared" si="4"/>
        <v/>
      </c>
      <c r="N53" t="str">
        <f t="shared" si="2"/>
        <v/>
      </c>
      <c r="O53" t="str">
        <f t="shared" si="5"/>
        <v/>
      </c>
      <c r="P53" t="str">
        <f>IF($O53="","",$O53&amp;" | "&amp;TEXT(COUNTIF(O$3:O53,$O53),"00"))</f>
        <v/>
      </c>
      <c r="Q53" t="str">
        <f t="shared" si="3"/>
        <v/>
      </c>
    </row>
    <row r="54" spans="1:17" x14ac:dyDescent="0.35">
      <c r="A54" s="80"/>
      <c r="B54" s="80"/>
      <c r="C54" s="80"/>
      <c r="D54" s="80"/>
      <c r="E54" s="80"/>
      <c r="F54" s="44" t="str">
        <f>IF($E54="","",IF(COUNTIF(O$3:O54,$O54)=COUNTIFS($O$3:$O$101,$O54),DATE(9999,12,31),INDEX($E$3:$E$101,MATCH($O54&amp;" | "&amp;TEXT(COUNTIF(O$3:O54,$O54)+1,"00"),$P$3:$P$101,0))-1))</f>
        <v/>
      </c>
      <c r="G54" s="80"/>
      <c r="H54" s="80"/>
      <c r="I54" s="80"/>
      <c r="J54" s="147"/>
      <c r="K54" s="147"/>
      <c r="L54" s="80"/>
      <c r="M54" t="str">
        <f t="shared" si="4"/>
        <v/>
      </c>
      <c r="N54" t="str">
        <f t="shared" si="2"/>
        <v/>
      </c>
      <c r="O54" t="str">
        <f t="shared" si="5"/>
        <v/>
      </c>
      <c r="P54" t="str">
        <f>IF($O54="","",$O54&amp;" | "&amp;TEXT(COUNTIF(O$3:O54,$O54),"00"))</f>
        <v/>
      </c>
      <c r="Q54" t="str">
        <f t="shared" si="3"/>
        <v/>
      </c>
    </row>
    <row r="55" spans="1:17" x14ac:dyDescent="0.35">
      <c r="A55" s="80"/>
      <c r="B55" s="80"/>
      <c r="C55" s="80"/>
      <c r="D55" s="80"/>
      <c r="E55" s="80"/>
      <c r="F55" s="44" t="str">
        <f>IF($E55="","",IF(COUNTIF(O$3:O55,$O55)=COUNTIFS($O$3:$O$101,$O55),DATE(9999,12,31),INDEX($E$3:$E$101,MATCH($O55&amp;" | "&amp;TEXT(COUNTIF(O$3:O55,$O55)+1,"00"),$P$3:$P$101,0))-1))</f>
        <v/>
      </c>
      <c r="G55" s="80"/>
      <c r="H55" s="80"/>
      <c r="I55" s="80"/>
      <c r="J55" s="147"/>
      <c r="K55" s="147"/>
      <c r="L55" s="80"/>
      <c r="M55" t="str">
        <f t="shared" si="4"/>
        <v/>
      </c>
      <c r="N55" t="str">
        <f t="shared" si="2"/>
        <v/>
      </c>
      <c r="O55" t="str">
        <f t="shared" si="5"/>
        <v/>
      </c>
      <c r="P55" t="str">
        <f>IF($O55="","",$O55&amp;" | "&amp;TEXT(COUNTIF(O$3:O55,$O55),"00"))</f>
        <v/>
      </c>
      <c r="Q55" t="str">
        <f t="shared" si="3"/>
        <v/>
      </c>
    </row>
    <row r="56" spans="1:17" x14ac:dyDescent="0.35">
      <c r="A56" s="80"/>
      <c r="B56" s="80"/>
      <c r="C56" s="80"/>
      <c r="D56" s="80"/>
      <c r="E56" s="80"/>
      <c r="F56" s="44" t="str">
        <f>IF($E56="","",IF(COUNTIF(O$3:O56,$O56)=COUNTIFS($O$3:$O$101,$O56),DATE(9999,12,31),INDEX($E$3:$E$101,MATCH($O56&amp;" | "&amp;TEXT(COUNTIF(O$3:O56,$O56)+1,"00"),$P$3:$P$101,0))-1))</f>
        <v/>
      </c>
      <c r="G56" s="80"/>
      <c r="H56" s="80"/>
      <c r="I56" s="80"/>
      <c r="J56" s="147"/>
      <c r="K56" s="147"/>
      <c r="L56" s="80"/>
      <c r="M56" t="str">
        <f t="shared" si="4"/>
        <v/>
      </c>
      <c r="N56" t="str">
        <f t="shared" si="2"/>
        <v/>
      </c>
      <c r="O56" t="str">
        <f t="shared" si="5"/>
        <v/>
      </c>
      <c r="P56" t="str">
        <f>IF($O56="","",$O56&amp;" | "&amp;TEXT(COUNTIF(O$3:O56,$O56),"00"))</f>
        <v/>
      </c>
      <c r="Q56" t="str">
        <f t="shared" si="3"/>
        <v/>
      </c>
    </row>
    <row r="57" spans="1:17" x14ac:dyDescent="0.35">
      <c r="A57" s="80"/>
      <c r="B57" s="80"/>
      <c r="C57" s="80"/>
      <c r="D57" s="80"/>
      <c r="E57" s="80"/>
      <c r="F57" s="44" t="str">
        <f>IF($E57="","",IF(COUNTIF(O$3:O57,$O57)=COUNTIFS($O$3:$O$101,$O57),DATE(9999,12,31),INDEX($E$3:$E$101,MATCH($O57&amp;" | "&amp;TEXT(COUNTIF(O$3:O57,$O57)+1,"00"),$P$3:$P$101,0))-1))</f>
        <v/>
      </c>
      <c r="G57" s="80"/>
      <c r="H57" s="80"/>
      <c r="I57" s="80"/>
      <c r="J57" s="147"/>
      <c r="K57" s="147"/>
      <c r="L57" s="80"/>
      <c r="M57" t="str">
        <f t="shared" si="4"/>
        <v/>
      </c>
      <c r="N57" t="str">
        <f t="shared" si="2"/>
        <v/>
      </c>
      <c r="O57" t="str">
        <f t="shared" si="5"/>
        <v/>
      </c>
      <c r="P57" t="str">
        <f>IF($O57="","",$O57&amp;" | "&amp;TEXT(COUNTIF(O$3:O57,$O57),"00"))</f>
        <v/>
      </c>
      <c r="Q57" t="str">
        <f t="shared" si="3"/>
        <v/>
      </c>
    </row>
    <row r="58" spans="1:17" x14ac:dyDescent="0.35">
      <c r="A58" s="80"/>
      <c r="B58" s="80"/>
      <c r="C58" s="80"/>
      <c r="D58" s="80"/>
      <c r="E58" s="80"/>
      <c r="F58" s="44" t="str">
        <f>IF($E58="","",IF(COUNTIF(O$3:O58,$O58)=COUNTIFS($O$3:$O$101,$O58),DATE(9999,12,31),INDEX($E$3:$E$101,MATCH($O58&amp;" | "&amp;TEXT(COUNTIF(O$3:O58,$O58)+1,"00"),$P$3:$P$101,0))-1))</f>
        <v/>
      </c>
      <c r="G58" s="80"/>
      <c r="H58" s="80"/>
      <c r="I58" s="80"/>
      <c r="J58" s="147"/>
      <c r="K58" s="147"/>
      <c r="L58" s="80"/>
      <c r="M58" t="str">
        <f t="shared" si="4"/>
        <v/>
      </c>
      <c r="N58" t="str">
        <f t="shared" si="2"/>
        <v/>
      </c>
      <c r="O58" t="str">
        <f t="shared" si="5"/>
        <v/>
      </c>
      <c r="P58" t="str">
        <f>IF($O58="","",$O58&amp;" | "&amp;TEXT(COUNTIF(O$3:O58,$O58),"00"))</f>
        <v/>
      </c>
      <c r="Q58" t="str">
        <f t="shared" si="3"/>
        <v/>
      </c>
    </row>
    <row r="59" spans="1:17" x14ac:dyDescent="0.35">
      <c r="A59" s="80"/>
      <c r="B59" s="80"/>
      <c r="C59" s="80"/>
      <c r="D59" s="80"/>
      <c r="E59" s="80"/>
      <c r="F59" s="44" t="str">
        <f>IF($E59="","",IF(COUNTIF(O$3:O59,$O59)=COUNTIFS($O$3:$O$101,$O59),DATE(9999,12,31),INDEX($E$3:$E$101,MATCH($O59&amp;" | "&amp;TEXT(COUNTIF(O$3:O59,$O59)+1,"00"),$P$3:$P$101,0))-1))</f>
        <v/>
      </c>
      <c r="G59" s="80"/>
      <c r="H59" s="80"/>
      <c r="I59" s="80"/>
      <c r="J59" s="147"/>
      <c r="K59" s="147"/>
      <c r="L59" s="80"/>
      <c r="M59" t="str">
        <f t="shared" si="4"/>
        <v/>
      </c>
      <c r="N59" t="str">
        <f t="shared" si="2"/>
        <v/>
      </c>
      <c r="O59" t="str">
        <f t="shared" si="5"/>
        <v/>
      </c>
      <c r="P59" t="str">
        <f>IF($O59="","",$O59&amp;" | "&amp;TEXT(COUNTIF(O$3:O59,$O59),"00"))</f>
        <v/>
      </c>
      <c r="Q59" t="str">
        <f t="shared" si="3"/>
        <v/>
      </c>
    </row>
    <row r="60" spans="1:17" x14ac:dyDescent="0.35">
      <c r="A60" s="80"/>
      <c r="B60" s="80"/>
      <c r="C60" s="80"/>
      <c r="D60" s="80"/>
      <c r="E60" s="80"/>
      <c r="F60" s="44" t="str">
        <f>IF($E60="","",IF(COUNTIF(O$3:O60,$O60)=COUNTIFS($O$3:$O$101,$O60),DATE(9999,12,31),INDEX($E$3:$E$101,MATCH($O60&amp;" | "&amp;TEXT(COUNTIF(O$3:O60,$O60)+1,"00"),$P$3:$P$101,0))-1))</f>
        <v/>
      </c>
      <c r="G60" s="80"/>
      <c r="H60" s="80"/>
      <c r="I60" s="80"/>
      <c r="J60" s="147"/>
      <c r="K60" s="147"/>
      <c r="L60" s="80"/>
      <c r="M60" t="str">
        <f t="shared" si="4"/>
        <v/>
      </c>
      <c r="N60" t="str">
        <f t="shared" si="2"/>
        <v/>
      </c>
      <c r="O60" t="str">
        <f t="shared" si="5"/>
        <v/>
      </c>
      <c r="P60" t="str">
        <f>IF($O60="","",$O60&amp;" | "&amp;TEXT(COUNTIF(O$3:O60,$O60),"00"))</f>
        <v/>
      </c>
      <c r="Q60" t="str">
        <f t="shared" si="3"/>
        <v/>
      </c>
    </row>
    <row r="61" spans="1:17" x14ac:dyDescent="0.35">
      <c r="A61" s="80"/>
      <c r="B61" s="80"/>
      <c r="C61" s="80"/>
      <c r="D61" s="80"/>
      <c r="E61" s="80"/>
      <c r="F61" s="44" t="str">
        <f>IF($E61="","",IF(COUNTIF(O$3:O61,$O61)=COUNTIFS($O$3:$O$101,$O61),DATE(9999,12,31),INDEX($E$3:$E$101,MATCH($O61&amp;" | "&amp;TEXT(COUNTIF(O$3:O61,$O61)+1,"00"),$P$3:$P$101,0))-1))</f>
        <v/>
      </c>
      <c r="G61" s="80"/>
      <c r="H61" s="80"/>
      <c r="I61" s="80"/>
      <c r="J61" s="147"/>
      <c r="K61" s="147"/>
      <c r="L61" s="80"/>
      <c r="M61" t="str">
        <f t="shared" si="4"/>
        <v/>
      </c>
      <c r="N61" t="str">
        <f t="shared" si="2"/>
        <v/>
      </c>
      <c r="O61" t="str">
        <f t="shared" si="5"/>
        <v/>
      </c>
      <c r="P61" t="str">
        <f>IF($O61="","",$O61&amp;" | "&amp;TEXT(COUNTIF(O$3:O61,$O61),"00"))</f>
        <v/>
      </c>
      <c r="Q61" t="str">
        <f t="shared" si="3"/>
        <v/>
      </c>
    </row>
    <row r="62" spans="1:17" x14ac:dyDescent="0.35">
      <c r="A62" s="80"/>
      <c r="B62" s="80"/>
      <c r="C62" s="80"/>
      <c r="D62" s="80"/>
      <c r="E62" s="80"/>
      <c r="F62" s="44" t="str">
        <f>IF($E62="","",IF(COUNTIF(O$3:O62,$O62)=COUNTIFS($O$3:$O$101,$O62),DATE(9999,12,31),INDEX($E$3:$E$101,MATCH($O62&amp;" | "&amp;TEXT(COUNTIF(O$3:O62,$O62)+1,"00"),$P$3:$P$101,0))-1))</f>
        <v/>
      </c>
      <c r="G62" s="80"/>
      <c r="H62" s="80"/>
      <c r="I62" s="80"/>
      <c r="J62" s="147"/>
      <c r="K62" s="147"/>
      <c r="L62" s="80"/>
      <c r="M62" t="str">
        <f t="shared" si="4"/>
        <v/>
      </c>
      <c r="N62" t="str">
        <f t="shared" si="2"/>
        <v/>
      </c>
      <c r="O62" t="str">
        <f t="shared" si="5"/>
        <v/>
      </c>
      <c r="P62" t="str">
        <f>IF($O62="","",$O62&amp;" | "&amp;TEXT(COUNTIF(O$3:O62,$O62),"00"))</f>
        <v/>
      </c>
      <c r="Q62" t="str">
        <f t="shared" si="3"/>
        <v/>
      </c>
    </row>
    <row r="63" spans="1:17" x14ac:dyDescent="0.35">
      <c r="A63" s="80"/>
      <c r="B63" s="80"/>
      <c r="C63" s="80"/>
      <c r="D63" s="80"/>
      <c r="E63" s="80"/>
      <c r="F63" s="44" t="str">
        <f>IF($E63="","",IF(COUNTIF(O$3:O63,$O63)=COUNTIFS($O$3:$O$101,$O63),DATE(9999,12,31),INDEX($E$3:$E$101,MATCH($O63&amp;" | "&amp;TEXT(COUNTIF(O$3:O63,$O63)+1,"00"),$P$3:$P$101,0))-1))</f>
        <v/>
      </c>
      <c r="G63" s="80"/>
      <c r="H63" s="80"/>
      <c r="I63" s="80"/>
      <c r="J63" s="147"/>
      <c r="K63" s="147"/>
      <c r="L63" s="80"/>
      <c r="M63" t="str">
        <f t="shared" si="4"/>
        <v/>
      </c>
      <c r="N63" t="str">
        <f t="shared" si="2"/>
        <v/>
      </c>
      <c r="O63" t="str">
        <f t="shared" si="5"/>
        <v/>
      </c>
      <c r="P63" t="str">
        <f>IF($O63="","",$O63&amp;" | "&amp;TEXT(COUNTIF(O$3:O63,$O63),"00"))</f>
        <v/>
      </c>
      <c r="Q63" t="str">
        <f t="shared" si="3"/>
        <v/>
      </c>
    </row>
    <row r="64" spans="1:17" x14ac:dyDescent="0.35">
      <c r="A64" s="80"/>
      <c r="B64" s="80"/>
      <c r="C64" s="80"/>
      <c r="D64" s="80"/>
      <c r="E64" s="80"/>
      <c r="F64" s="44" t="str">
        <f>IF($E64="","",IF(COUNTIF(O$3:O64,$O64)=COUNTIFS($O$3:$O$101,$O64),DATE(9999,12,31),INDEX($E$3:$E$101,MATCH($O64&amp;" | "&amp;TEXT(COUNTIF(O$3:O64,$O64)+1,"00"),$P$3:$P$101,0))-1))</f>
        <v/>
      </c>
      <c r="G64" s="80"/>
      <c r="H64" s="80"/>
      <c r="I64" s="80"/>
      <c r="J64" s="147"/>
      <c r="K64" s="147"/>
      <c r="L64" s="80"/>
      <c r="M64" t="str">
        <f t="shared" si="4"/>
        <v/>
      </c>
      <c r="N64" t="str">
        <f t="shared" si="2"/>
        <v/>
      </c>
      <c r="O64" t="str">
        <f t="shared" si="5"/>
        <v/>
      </c>
      <c r="P64" t="str">
        <f>IF($O64="","",$O64&amp;" | "&amp;TEXT(COUNTIF(O$3:O64,$O64),"00"))</f>
        <v/>
      </c>
      <c r="Q64" t="str">
        <f t="shared" si="3"/>
        <v/>
      </c>
    </row>
    <row r="65" spans="1:17" x14ac:dyDescent="0.35">
      <c r="A65" s="80"/>
      <c r="B65" s="80"/>
      <c r="C65" s="80"/>
      <c r="D65" s="80"/>
      <c r="E65" s="80"/>
      <c r="F65" s="44" t="str">
        <f>IF($E65="","",IF(COUNTIF(O$3:O65,$O65)=COUNTIFS($O$3:$O$101,$O65),DATE(9999,12,31),INDEX($E$3:$E$101,MATCH($O65&amp;" | "&amp;TEXT(COUNTIF(O$3:O65,$O65)+1,"00"),$P$3:$P$101,0))-1))</f>
        <v/>
      </c>
      <c r="G65" s="80"/>
      <c r="H65" s="80"/>
      <c r="I65" s="80"/>
      <c r="J65" s="147"/>
      <c r="K65" s="147"/>
      <c r="L65" s="80"/>
      <c r="M65" t="str">
        <f t="shared" si="4"/>
        <v/>
      </c>
      <c r="N65" t="str">
        <f t="shared" si="2"/>
        <v/>
      </c>
      <c r="O65" t="str">
        <f t="shared" si="5"/>
        <v/>
      </c>
      <c r="P65" t="str">
        <f>IF($O65="","",$O65&amp;" | "&amp;TEXT(COUNTIF(O$3:O65,$O65),"00"))</f>
        <v/>
      </c>
      <c r="Q65" t="str">
        <f t="shared" si="3"/>
        <v/>
      </c>
    </row>
    <row r="66" spans="1:17" x14ac:dyDescent="0.35">
      <c r="A66" s="80"/>
      <c r="B66" s="80"/>
      <c r="C66" s="80"/>
      <c r="D66" s="80"/>
      <c r="E66" s="80"/>
      <c r="F66" s="44" t="str">
        <f>IF($E66="","",IF(COUNTIF(O$3:O66,$O66)=COUNTIFS($O$3:$O$101,$O66),DATE(9999,12,31),INDEX($E$3:$E$101,MATCH($O66&amp;" | "&amp;TEXT(COUNTIF(O$3:O66,$O66)+1,"00"),$P$3:$P$101,0))-1))</f>
        <v/>
      </c>
      <c r="G66" s="80"/>
      <c r="H66" s="80"/>
      <c r="I66" s="80"/>
      <c r="J66" s="147"/>
      <c r="K66" s="147"/>
      <c r="L66" s="80"/>
      <c r="M66" t="str">
        <f t="shared" si="4"/>
        <v/>
      </c>
      <c r="N66" t="str">
        <f t="shared" si="2"/>
        <v/>
      </c>
      <c r="O66" t="str">
        <f t="shared" ref="O66:O101" si="6">IF(OR($A66="",$C66=""),"",$A66&amp;" | "&amp;$C66)</f>
        <v/>
      </c>
      <c r="P66" t="str">
        <f>IF($O66="","",$O66&amp;" | "&amp;TEXT(COUNTIF(O$3:O66,$O66),"00"))</f>
        <v/>
      </c>
      <c r="Q66" t="str">
        <f t="shared" si="3"/>
        <v/>
      </c>
    </row>
    <row r="67" spans="1:17" x14ac:dyDescent="0.35">
      <c r="A67" s="80"/>
      <c r="B67" s="80"/>
      <c r="C67" s="80"/>
      <c r="D67" s="80"/>
      <c r="E67" s="80"/>
      <c r="F67" s="44" t="str">
        <f>IF($E67="","",IF(COUNTIF(O$3:O67,$O67)=COUNTIFS($O$3:$O$101,$O67),DATE(9999,12,31),INDEX($E$3:$E$101,MATCH($O67&amp;" | "&amp;TEXT(COUNTIF(O$3:O67,$O67)+1,"00"),$P$3:$P$101,0))-1))</f>
        <v/>
      </c>
      <c r="G67" s="80"/>
      <c r="H67" s="80"/>
      <c r="I67" s="80"/>
      <c r="J67" s="147"/>
      <c r="K67" s="147"/>
      <c r="L67" s="80"/>
      <c r="M67" t="str">
        <f t="shared" si="4"/>
        <v/>
      </c>
      <c r="N67" t="str">
        <f t="shared" ref="N67:N101" si="7">IF($E67="","",MONTH($E67))</f>
        <v/>
      </c>
      <c r="O67" t="str">
        <f t="shared" si="6"/>
        <v/>
      </c>
      <c r="P67" t="str">
        <f>IF($O67="","",$O67&amp;" | "&amp;TEXT(COUNTIF(O$3:O67,$O67),"00"))</f>
        <v/>
      </c>
      <c r="Q67" t="str">
        <f t="shared" si="3"/>
        <v/>
      </c>
    </row>
    <row r="68" spans="1:17" x14ac:dyDescent="0.35">
      <c r="A68" s="80"/>
      <c r="B68" s="80"/>
      <c r="C68" s="80"/>
      <c r="D68" s="80"/>
      <c r="E68" s="80"/>
      <c r="F68" s="44" t="str">
        <f>IF($E68="","",IF(COUNTIF(O$3:O68,$O68)=COUNTIFS($O$3:$O$101,$O68),DATE(9999,12,31),INDEX($E$3:$E$101,MATCH($O68&amp;" | "&amp;TEXT(COUNTIF(O$3:O68,$O68)+1,"00"),$P$3:$P$101,0))-1))</f>
        <v/>
      </c>
      <c r="G68" s="80"/>
      <c r="H68" s="80"/>
      <c r="I68" s="80"/>
      <c r="J68" s="147"/>
      <c r="K68" s="147"/>
      <c r="L68" s="80"/>
      <c r="M68" t="str">
        <f t="shared" si="4"/>
        <v/>
      </c>
      <c r="N68" t="str">
        <f t="shared" si="7"/>
        <v/>
      </c>
      <c r="O68" t="str">
        <f t="shared" si="6"/>
        <v/>
      </c>
      <c r="P68" t="str">
        <f>IF($O68="","",$O68&amp;" | "&amp;TEXT(COUNTIF(O$3:O68,$O68),"00"))</f>
        <v/>
      </c>
      <c r="Q68" t="str">
        <f t="shared" si="3"/>
        <v/>
      </c>
    </row>
    <row r="69" spans="1:17" x14ac:dyDescent="0.35">
      <c r="A69" s="80"/>
      <c r="B69" s="80"/>
      <c r="C69" s="80"/>
      <c r="D69" s="80"/>
      <c r="E69" s="80"/>
      <c r="F69" s="44" t="str">
        <f>IF($E69="","",IF(COUNTIF(O$3:O69,$O69)=COUNTIFS($O$3:$O$101,$O69),DATE(9999,12,31),INDEX($E$3:$E$101,MATCH($O69&amp;" | "&amp;TEXT(COUNTIF(O$3:O69,$O69)+1,"00"),$P$3:$P$101,0))-1))</f>
        <v/>
      </c>
      <c r="G69" s="80"/>
      <c r="H69" s="80"/>
      <c r="I69" s="80"/>
      <c r="J69" s="147"/>
      <c r="K69" s="147"/>
      <c r="L69" s="80"/>
      <c r="M69" t="str">
        <f t="shared" si="4"/>
        <v/>
      </c>
      <c r="N69" t="str">
        <f t="shared" si="7"/>
        <v/>
      </c>
      <c r="O69" t="str">
        <f t="shared" si="6"/>
        <v/>
      </c>
      <c r="P69" t="str">
        <f>IF($O69="","",$O69&amp;" | "&amp;TEXT(COUNTIF(O$3:O69,$O69),"00"))</f>
        <v/>
      </c>
      <c r="Q69" t="str">
        <f t="shared" si="3"/>
        <v/>
      </c>
    </row>
    <row r="70" spans="1:17" x14ac:dyDescent="0.35">
      <c r="A70" s="80"/>
      <c r="B70" s="80"/>
      <c r="C70" s="80"/>
      <c r="D70" s="80"/>
      <c r="E70" s="80"/>
      <c r="F70" s="44" t="str">
        <f>IF($E70="","",IF(COUNTIF(O$3:O70,$O70)=COUNTIFS($O$3:$O$101,$O70),DATE(9999,12,31),INDEX($E$3:$E$101,MATCH($O70&amp;" | "&amp;TEXT(COUNTIF(O$3:O70,$O70)+1,"00"),$P$3:$P$101,0))-1))</f>
        <v/>
      </c>
      <c r="G70" s="80"/>
      <c r="H70" s="80"/>
      <c r="I70" s="80"/>
      <c r="J70" s="147"/>
      <c r="K70" s="147"/>
      <c r="L70" s="80"/>
      <c r="M70" t="str">
        <f t="shared" si="4"/>
        <v/>
      </c>
      <c r="N70" t="str">
        <f t="shared" si="7"/>
        <v/>
      </c>
      <c r="O70" t="str">
        <f t="shared" si="6"/>
        <v/>
      </c>
      <c r="P70" t="str">
        <f>IF($O70="","",$O70&amp;" | "&amp;TEXT(COUNTIF(O$3:O70,$O70),"00"))</f>
        <v/>
      </c>
      <c r="Q70" t="str">
        <f t="shared" si="3"/>
        <v/>
      </c>
    </row>
    <row r="71" spans="1:17" x14ac:dyDescent="0.35">
      <c r="A71" s="80"/>
      <c r="B71" s="80"/>
      <c r="C71" s="80"/>
      <c r="D71" s="80"/>
      <c r="E71" s="80"/>
      <c r="F71" s="44" t="str">
        <f>IF($E71="","",IF(COUNTIF(O$3:O71,$O71)=COUNTIFS($O$3:$O$101,$O71),DATE(9999,12,31),INDEX($E$3:$E$101,MATCH($O71&amp;" | "&amp;TEXT(COUNTIF(O$3:O71,$O71)+1,"00"),$P$3:$P$101,0))-1))</f>
        <v/>
      </c>
      <c r="G71" s="80"/>
      <c r="H71" s="80"/>
      <c r="I71" s="80"/>
      <c r="J71" s="147"/>
      <c r="K71" s="147"/>
      <c r="L71" s="80"/>
      <c r="M71" t="str">
        <f t="shared" si="4"/>
        <v/>
      </c>
      <c r="N71" t="str">
        <f t="shared" si="7"/>
        <v/>
      </c>
      <c r="O71" t="str">
        <f t="shared" si="6"/>
        <v/>
      </c>
      <c r="P71" t="str">
        <f>IF($O71="","",$O71&amp;" | "&amp;TEXT(COUNTIF(O$3:O71,$O71),"00"))</f>
        <v/>
      </c>
      <c r="Q71" t="str">
        <f t="shared" ref="Q71:Q101" si="8">$A71&amp;$C71&amp;$E71&amp;$G71&amp;$H71&amp;$I71&amp;J71&amp;K71</f>
        <v/>
      </c>
    </row>
    <row r="72" spans="1:17" x14ac:dyDescent="0.35">
      <c r="A72" s="80"/>
      <c r="B72" s="80"/>
      <c r="C72" s="80"/>
      <c r="D72" s="80"/>
      <c r="E72" s="80"/>
      <c r="F72" s="44" t="str">
        <f>IF($E72="","",IF(COUNTIF(O$3:O72,$O72)=COUNTIFS($O$3:$O$101,$O72),DATE(9999,12,31),INDEX($E$3:$E$101,MATCH($O72&amp;" | "&amp;TEXT(COUNTIF(O$3:O72,$O72)+1,"00"),$P$3:$P$101,0))-1))</f>
        <v/>
      </c>
      <c r="G72" s="80"/>
      <c r="H72" s="80"/>
      <c r="I72" s="80"/>
      <c r="J72" s="147"/>
      <c r="K72" s="147"/>
      <c r="L72" s="80"/>
      <c r="M72" t="str">
        <f t="shared" si="4"/>
        <v/>
      </c>
      <c r="N72" t="str">
        <f t="shared" si="7"/>
        <v/>
      </c>
      <c r="O72" t="str">
        <f t="shared" si="6"/>
        <v/>
      </c>
      <c r="P72" t="str">
        <f>IF($O72="","",$O72&amp;" | "&amp;TEXT(COUNTIF(O$3:O72,$O72),"00"))</f>
        <v/>
      </c>
      <c r="Q72" t="str">
        <f t="shared" si="8"/>
        <v/>
      </c>
    </row>
    <row r="73" spans="1:17" x14ac:dyDescent="0.35">
      <c r="A73" s="80"/>
      <c r="B73" s="80"/>
      <c r="C73" s="80"/>
      <c r="D73" s="80"/>
      <c r="E73" s="80"/>
      <c r="F73" s="44" t="str">
        <f>IF($E73="","",IF(COUNTIF(O$3:O73,$O73)=COUNTIFS($O$3:$O$101,$O73),DATE(9999,12,31),INDEX($E$3:$E$101,MATCH($O73&amp;" | "&amp;TEXT(COUNTIF(O$3:O73,$O73)+1,"00"),$P$3:$P$101,0))-1))</f>
        <v/>
      </c>
      <c r="G73" s="80"/>
      <c r="H73" s="80"/>
      <c r="I73" s="80"/>
      <c r="J73" s="147"/>
      <c r="K73" s="147"/>
      <c r="L73" s="80"/>
      <c r="M73" t="str">
        <f t="shared" si="4"/>
        <v/>
      </c>
      <c r="N73" t="str">
        <f t="shared" si="7"/>
        <v/>
      </c>
      <c r="O73" t="str">
        <f t="shared" si="6"/>
        <v/>
      </c>
      <c r="P73" t="str">
        <f>IF($O73="","",$O73&amp;" | "&amp;TEXT(COUNTIF(O$3:O73,$O73),"00"))</f>
        <v/>
      </c>
      <c r="Q73" t="str">
        <f t="shared" si="8"/>
        <v/>
      </c>
    </row>
    <row r="74" spans="1:17" x14ac:dyDescent="0.35">
      <c r="A74" s="80"/>
      <c r="B74" s="80"/>
      <c r="C74" s="80"/>
      <c r="D74" s="80"/>
      <c r="E74" s="80"/>
      <c r="F74" s="44" t="str">
        <f>IF($E74="","",IF(COUNTIF(O$3:O74,$O74)=COUNTIFS($O$3:$O$101,$O74),DATE(9999,12,31),INDEX($E$3:$E$101,MATCH($O74&amp;" | "&amp;TEXT(COUNTIF(O$3:O74,$O74)+1,"00"),$P$3:$P$101,0))-1))</f>
        <v/>
      </c>
      <c r="G74" s="80"/>
      <c r="H74" s="80"/>
      <c r="I74" s="80"/>
      <c r="J74" s="147"/>
      <c r="K74" s="147"/>
      <c r="L74" s="80"/>
      <c r="M74" t="str">
        <f t="shared" si="4"/>
        <v/>
      </c>
      <c r="N74" t="str">
        <f t="shared" si="7"/>
        <v/>
      </c>
      <c r="O74" t="str">
        <f t="shared" si="6"/>
        <v/>
      </c>
      <c r="P74" t="str">
        <f>IF($O74="","",$O74&amp;" | "&amp;TEXT(COUNTIF(O$3:O74,$O74),"00"))</f>
        <v/>
      </c>
      <c r="Q74" t="str">
        <f t="shared" si="8"/>
        <v/>
      </c>
    </row>
    <row r="75" spans="1:17" x14ac:dyDescent="0.35">
      <c r="A75" s="80"/>
      <c r="B75" s="80"/>
      <c r="C75" s="80"/>
      <c r="D75" s="80"/>
      <c r="E75" s="80"/>
      <c r="F75" s="44" t="str">
        <f>IF($E75="","",IF(COUNTIF(O$3:O75,$O75)=COUNTIFS($O$3:$O$101,$O75),DATE(9999,12,31),INDEX($E$3:$E$101,MATCH($O75&amp;" | "&amp;TEXT(COUNTIF(O$3:O75,$O75)+1,"00"),$P$3:$P$101,0))-1))</f>
        <v/>
      </c>
      <c r="G75" s="80"/>
      <c r="H75" s="80"/>
      <c r="I75" s="80"/>
      <c r="J75" s="147"/>
      <c r="K75" s="147"/>
      <c r="L75" s="80"/>
      <c r="M75" t="str">
        <f t="shared" si="4"/>
        <v/>
      </c>
      <c r="N75" t="str">
        <f t="shared" si="7"/>
        <v/>
      </c>
      <c r="O75" t="str">
        <f t="shared" si="6"/>
        <v/>
      </c>
      <c r="P75" t="str">
        <f>IF($O75="","",$O75&amp;" | "&amp;TEXT(COUNTIF(O$3:O75,$O75),"00"))</f>
        <v/>
      </c>
      <c r="Q75" t="str">
        <f t="shared" si="8"/>
        <v/>
      </c>
    </row>
    <row r="76" spans="1:17" x14ac:dyDescent="0.35">
      <c r="A76" s="80"/>
      <c r="B76" s="80"/>
      <c r="C76" s="80"/>
      <c r="D76" s="80"/>
      <c r="E76" s="80"/>
      <c r="F76" s="44" t="str">
        <f>IF($E76="","",IF(COUNTIF(O$3:O76,$O76)=COUNTIFS($O$3:$O$101,$O76),DATE(9999,12,31),INDEX($E$3:$E$101,MATCH($O76&amp;" | "&amp;TEXT(COUNTIF(O$3:O76,$O76)+1,"00"),$P$3:$P$101,0))-1))</f>
        <v/>
      </c>
      <c r="G76" s="80"/>
      <c r="H76" s="80"/>
      <c r="I76" s="80"/>
      <c r="J76" s="147"/>
      <c r="K76" s="147"/>
      <c r="L76" s="80"/>
      <c r="M76" t="str">
        <f t="shared" si="4"/>
        <v/>
      </c>
      <c r="N76" t="str">
        <f t="shared" si="7"/>
        <v/>
      </c>
      <c r="O76" t="str">
        <f t="shared" si="6"/>
        <v/>
      </c>
      <c r="P76" t="str">
        <f>IF($O76="","",$O76&amp;" | "&amp;TEXT(COUNTIF(O$3:O76,$O76),"00"))</f>
        <v/>
      </c>
      <c r="Q76" t="str">
        <f t="shared" si="8"/>
        <v/>
      </c>
    </row>
    <row r="77" spans="1:17" x14ac:dyDescent="0.35">
      <c r="A77" s="80"/>
      <c r="B77" s="80"/>
      <c r="C77" s="80"/>
      <c r="D77" s="80"/>
      <c r="E77" s="80"/>
      <c r="F77" s="44" t="str">
        <f>IF($E77="","",IF(COUNTIF(O$3:O77,$O77)=COUNTIFS($O$3:$O$101,$O77),DATE(9999,12,31),INDEX($E$3:$E$101,MATCH($O77&amp;" | "&amp;TEXT(COUNTIF(O$3:O77,$O77)+1,"00"),$P$3:$P$101,0))-1))</f>
        <v/>
      </c>
      <c r="G77" s="80"/>
      <c r="H77" s="80"/>
      <c r="I77" s="80"/>
      <c r="J77" s="147"/>
      <c r="K77" s="147"/>
      <c r="L77" s="80"/>
      <c r="M77" t="str">
        <f t="shared" ref="M77:M101" si="9">IF($E77="","",YEAR($E77))</f>
        <v/>
      </c>
      <c r="N77" t="str">
        <f t="shared" si="7"/>
        <v/>
      </c>
      <c r="O77" t="str">
        <f t="shared" si="6"/>
        <v/>
      </c>
      <c r="P77" t="str">
        <f>IF($O77="","",$O77&amp;" | "&amp;TEXT(COUNTIF(O$3:O77,$O77),"00"))</f>
        <v/>
      </c>
      <c r="Q77" t="str">
        <f t="shared" si="8"/>
        <v/>
      </c>
    </row>
    <row r="78" spans="1:17" x14ac:dyDescent="0.35">
      <c r="A78" s="80"/>
      <c r="B78" s="80"/>
      <c r="C78" s="80"/>
      <c r="D78" s="80"/>
      <c r="E78" s="80"/>
      <c r="F78" s="44" t="str">
        <f>IF($E78="","",IF(COUNTIF(O$3:O78,$O78)=COUNTIFS($O$3:$O$101,$O78),DATE(9999,12,31),INDEX($E$3:$E$101,MATCH($O78&amp;" | "&amp;TEXT(COUNTIF(O$3:O78,$O78)+1,"00"),$P$3:$P$101,0))-1))</f>
        <v/>
      </c>
      <c r="G78" s="80"/>
      <c r="H78" s="80"/>
      <c r="I78" s="80"/>
      <c r="J78" s="147"/>
      <c r="K78" s="147"/>
      <c r="L78" s="80"/>
      <c r="M78" t="str">
        <f t="shared" si="9"/>
        <v/>
      </c>
      <c r="N78" t="str">
        <f t="shared" si="7"/>
        <v/>
      </c>
      <c r="O78" t="str">
        <f t="shared" si="6"/>
        <v/>
      </c>
      <c r="P78" t="str">
        <f>IF($O78="","",$O78&amp;" | "&amp;TEXT(COUNTIF(O$3:O78,$O78),"00"))</f>
        <v/>
      </c>
      <c r="Q78" t="str">
        <f t="shared" si="8"/>
        <v/>
      </c>
    </row>
    <row r="79" spans="1:17" x14ac:dyDescent="0.35">
      <c r="A79" s="80"/>
      <c r="B79" s="80"/>
      <c r="C79" s="80"/>
      <c r="D79" s="80"/>
      <c r="E79" s="80"/>
      <c r="F79" s="44" t="str">
        <f>IF($E79="","",IF(COUNTIF(O$3:O79,$O79)=COUNTIFS($O$3:$O$101,$O79),DATE(9999,12,31),INDEX($E$3:$E$101,MATCH($O79&amp;" | "&amp;TEXT(COUNTIF(O$3:O79,$O79)+1,"00"),$P$3:$P$101,0))-1))</f>
        <v/>
      </c>
      <c r="G79" s="80"/>
      <c r="H79" s="80"/>
      <c r="I79" s="80"/>
      <c r="J79" s="147"/>
      <c r="K79" s="147"/>
      <c r="L79" s="80"/>
      <c r="M79" t="str">
        <f t="shared" si="9"/>
        <v/>
      </c>
      <c r="N79" t="str">
        <f t="shared" si="7"/>
        <v/>
      </c>
      <c r="O79" t="str">
        <f t="shared" si="6"/>
        <v/>
      </c>
      <c r="P79" t="str">
        <f>IF($O79="","",$O79&amp;" | "&amp;TEXT(COUNTIF(O$3:O79,$O79),"00"))</f>
        <v/>
      </c>
      <c r="Q79" t="str">
        <f t="shared" si="8"/>
        <v/>
      </c>
    </row>
    <row r="80" spans="1:17" x14ac:dyDescent="0.35">
      <c r="A80" s="80"/>
      <c r="B80" s="80"/>
      <c r="C80" s="80"/>
      <c r="D80" s="80"/>
      <c r="E80" s="80"/>
      <c r="F80" s="44" t="str">
        <f>IF($E80="","",IF(COUNTIF(O$3:O80,$O80)=COUNTIFS($O$3:$O$101,$O80),DATE(9999,12,31),INDEX($E$3:$E$101,MATCH($O80&amp;" | "&amp;TEXT(COUNTIF(O$3:O80,$O80)+1,"00"),$P$3:$P$101,0))-1))</f>
        <v/>
      </c>
      <c r="G80" s="80"/>
      <c r="H80" s="80"/>
      <c r="I80" s="80"/>
      <c r="J80" s="147"/>
      <c r="K80" s="147"/>
      <c r="L80" s="80"/>
      <c r="M80" t="str">
        <f t="shared" si="9"/>
        <v/>
      </c>
      <c r="N80" t="str">
        <f t="shared" si="7"/>
        <v/>
      </c>
      <c r="O80" t="str">
        <f t="shared" si="6"/>
        <v/>
      </c>
      <c r="P80" t="str">
        <f>IF($O80="","",$O80&amp;" | "&amp;TEXT(COUNTIF(O$3:O80,$O80),"00"))</f>
        <v/>
      </c>
      <c r="Q80" t="str">
        <f t="shared" si="8"/>
        <v/>
      </c>
    </row>
    <row r="81" spans="1:17" x14ac:dyDescent="0.35">
      <c r="A81" s="80"/>
      <c r="B81" s="80"/>
      <c r="C81" s="80"/>
      <c r="D81" s="80"/>
      <c r="E81" s="80"/>
      <c r="F81" s="44" t="str">
        <f>IF($E81="","",IF(COUNTIF(O$3:O81,$O81)=COUNTIFS($O$3:$O$101,$O81),DATE(9999,12,31),INDEX($E$3:$E$101,MATCH($O81&amp;" | "&amp;TEXT(COUNTIF(O$3:O81,$O81)+1,"00"),$P$3:$P$101,0))-1))</f>
        <v/>
      </c>
      <c r="G81" s="80"/>
      <c r="H81" s="80"/>
      <c r="I81" s="80"/>
      <c r="J81" s="147"/>
      <c r="K81" s="147"/>
      <c r="L81" s="80"/>
      <c r="M81" t="str">
        <f t="shared" si="9"/>
        <v/>
      </c>
      <c r="N81" t="str">
        <f t="shared" si="7"/>
        <v/>
      </c>
      <c r="O81" t="str">
        <f t="shared" si="6"/>
        <v/>
      </c>
      <c r="P81" t="str">
        <f>IF($O81="","",$O81&amp;" | "&amp;TEXT(COUNTIF(O$3:O81,$O81),"00"))</f>
        <v/>
      </c>
      <c r="Q81" t="str">
        <f t="shared" si="8"/>
        <v/>
      </c>
    </row>
    <row r="82" spans="1:17" x14ac:dyDescent="0.35">
      <c r="A82" s="80"/>
      <c r="B82" s="80"/>
      <c r="C82" s="80"/>
      <c r="D82" s="80"/>
      <c r="E82" s="80"/>
      <c r="F82" s="44" t="str">
        <f>IF($E82="","",IF(COUNTIF(O$3:O82,$O82)=COUNTIFS($O$3:$O$101,$O82),DATE(9999,12,31),INDEX($E$3:$E$101,MATCH($O82&amp;" | "&amp;TEXT(COUNTIF(O$3:O82,$O82)+1,"00"),$P$3:$P$101,0))-1))</f>
        <v/>
      </c>
      <c r="G82" s="80"/>
      <c r="H82" s="80"/>
      <c r="I82" s="80"/>
      <c r="J82" s="147"/>
      <c r="K82" s="147"/>
      <c r="L82" s="80"/>
      <c r="M82" t="str">
        <f t="shared" si="9"/>
        <v/>
      </c>
      <c r="N82" t="str">
        <f t="shared" si="7"/>
        <v/>
      </c>
      <c r="O82" t="str">
        <f t="shared" si="6"/>
        <v/>
      </c>
      <c r="P82" t="str">
        <f>IF($O82="","",$O82&amp;" | "&amp;TEXT(COUNTIF(O$3:O82,$O82),"00"))</f>
        <v/>
      </c>
      <c r="Q82" t="str">
        <f t="shared" si="8"/>
        <v/>
      </c>
    </row>
    <row r="83" spans="1:17" x14ac:dyDescent="0.35">
      <c r="A83" s="80"/>
      <c r="B83" s="80"/>
      <c r="C83" s="80"/>
      <c r="D83" s="80"/>
      <c r="E83" s="80"/>
      <c r="F83" s="44" t="str">
        <f>IF($E83="","",IF(COUNTIF(O$3:O83,$O83)=COUNTIFS($O$3:$O$101,$O83),DATE(9999,12,31),INDEX($E$3:$E$101,MATCH($O83&amp;" | "&amp;TEXT(COUNTIF(O$3:O83,$O83)+1,"00"),$P$3:$P$101,0))-1))</f>
        <v/>
      </c>
      <c r="G83" s="80"/>
      <c r="H83" s="80"/>
      <c r="I83" s="80"/>
      <c r="J83" s="147"/>
      <c r="K83" s="147"/>
      <c r="L83" s="80"/>
      <c r="M83" t="str">
        <f t="shared" si="9"/>
        <v/>
      </c>
      <c r="N83" t="str">
        <f t="shared" si="7"/>
        <v/>
      </c>
      <c r="O83" t="str">
        <f t="shared" si="6"/>
        <v/>
      </c>
      <c r="P83" t="str">
        <f>IF($O83="","",$O83&amp;" | "&amp;TEXT(COUNTIF(O$3:O83,$O83),"00"))</f>
        <v/>
      </c>
      <c r="Q83" t="str">
        <f t="shared" si="8"/>
        <v/>
      </c>
    </row>
    <row r="84" spans="1:17" x14ac:dyDescent="0.35">
      <c r="A84" s="80"/>
      <c r="B84" s="80"/>
      <c r="C84" s="80"/>
      <c r="D84" s="80"/>
      <c r="E84" s="80"/>
      <c r="F84" s="44" t="str">
        <f>IF($E84="","",IF(COUNTIF(O$3:O84,$O84)=COUNTIFS($O$3:$O$101,$O84),DATE(9999,12,31),INDEX($E$3:$E$101,MATCH($O84&amp;" | "&amp;TEXT(COUNTIF(O$3:O84,$O84)+1,"00"),$P$3:$P$101,0))-1))</f>
        <v/>
      </c>
      <c r="G84" s="80"/>
      <c r="H84" s="80"/>
      <c r="I84" s="80"/>
      <c r="J84" s="147"/>
      <c r="K84" s="147"/>
      <c r="L84" s="80"/>
      <c r="M84" t="str">
        <f t="shared" si="9"/>
        <v/>
      </c>
      <c r="N84" t="str">
        <f t="shared" si="7"/>
        <v/>
      </c>
      <c r="O84" t="str">
        <f t="shared" si="6"/>
        <v/>
      </c>
      <c r="P84" t="str">
        <f>IF($O84="","",$O84&amp;" | "&amp;TEXT(COUNTIF(O$3:O84,$O84),"00"))</f>
        <v/>
      </c>
      <c r="Q84" t="str">
        <f t="shared" si="8"/>
        <v/>
      </c>
    </row>
    <row r="85" spans="1:17" x14ac:dyDescent="0.35">
      <c r="A85" s="80"/>
      <c r="B85" s="80"/>
      <c r="C85" s="80"/>
      <c r="D85" s="80"/>
      <c r="E85" s="80"/>
      <c r="F85" s="44" t="str">
        <f>IF($E85="","",IF(COUNTIF(O$3:O85,$O85)=COUNTIFS($O$3:$O$101,$O85),DATE(9999,12,31),INDEX($E$3:$E$101,MATCH($O85&amp;" | "&amp;TEXT(COUNTIF(O$3:O85,$O85)+1,"00"),$P$3:$P$101,0))-1))</f>
        <v/>
      </c>
      <c r="G85" s="80"/>
      <c r="H85" s="80"/>
      <c r="I85" s="80"/>
      <c r="J85" s="147"/>
      <c r="K85" s="147"/>
      <c r="L85" s="80"/>
      <c r="M85" t="str">
        <f t="shared" si="9"/>
        <v/>
      </c>
      <c r="N85" t="str">
        <f t="shared" si="7"/>
        <v/>
      </c>
      <c r="O85" t="str">
        <f t="shared" si="6"/>
        <v/>
      </c>
      <c r="P85" t="str">
        <f>IF($O85="","",$O85&amp;" | "&amp;TEXT(COUNTIF(O$3:O85,$O85),"00"))</f>
        <v/>
      </c>
      <c r="Q85" t="str">
        <f t="shared" si="8"/>
        <v/>
      </c>
    </row>
    <row r="86" spans="1:17" x14ac:dyDescent="0.35">
      <c r="A86" s="80"/>
      <c r="B86" s="80"/>
      <c r="C86" s="80"/>
      <c r="D86" s="80"/>
      <c r="E86" s="80"/>
      <c r="F86" s="44" t="str">
        <f>IF($E86="","",IF(COUNTIF(O$3:O86,$O86)=COUNTIFS($O$3:$O$101,$O86),DATE(9999,12,31),INDEX($E$3:$E$101,MATCH($O86&amp;" | "&amp;TEXT(COUNTIF(O$3:O86,$O86)+1,"00"),$P$3:$P$101,0))-1))</f>
        <v/>
      </c>
      <c r="G86" s="80"/>
      <c r="H86" s="80"/>
      <c r="I86" s="80"/>
      <c r="J86" s="147"/>
      <c r="K86" s="147"/>
      <c r="L86" s="80"/>
      <c r="M86" t="str">
        <f t="shared" si="9"/>
        <v/>
      </c>
      <c r="N86" t="str">
        <f t="shared" si="7"/>
        <v/>
      </c>
      <c r="O86" t="str">
        <f t="shared" si="6"/>
        <v/>
      </c>
      <c r="P86" t="str">
        <f>IF($O86="","",$O86&amp;" | "&amp;TEXT(COUNTIF(O$3:O86,$O86),"00"))</f>
        <v/>
      </c>
      <c r="Q86" t="str">
        <f t="shared" si="8"/>
        <v/>
      </c>
    </row>
    <row r="87" spans="1:17" x14ac:dyDescent="0.35">
      <c r="A87" s="80"/>
      <c r="B87" s="80"/>
      <c r="C87" s="80"/>
      <c r="D87" s="80"/>
      <c r="E87" s="80"/>
      <c r="F87" s="44" t="str">
        <f>IF($E87="","",IF(COUNTIF(O$3:O87,$O87)=COUNTIFS($O$3:$O$101,$O87),DATE(9999,12,31),INDEX($E$3:$E$101,MATCH($O87&amp;" | "&amp;TEXT(COUNTIF(O$3:O87,$O87)+1,"00"),$P$3:$P$101,0))-1))</f>
        <v/>
      </c>
      <c r="G87" s="80"/>
      <c r="H87" s="80"/>
      <c r="I87" s="80"/>
      <c r="J87" s="147"/>
      <c r="K87" s="147"/>
      <c r="L87" s="80"/>
      <c r="M87" t="str">
        <f t="shared" si="9"/>
        <v/>
      </c>
      <c r="N87" t="str">
        <f t="shared" si="7"/>
        <v/>
      </c>
      <c r="O87" t="str">
        <f t="shared" si="6"/>
        <v/>
      </c>
      <c r="P87" t="str">
        <f>IF($O87="","",$O87&amp;" | "&amp;TEXT(COUNTIF(O$3:O87,$O87),"00"))</f>
        <v/>
      </c>
      <c r="Q87" t="str">
        <f t="shared" si="8"/>
        <v/>
      </c>
    </row>
    <row r="88" spans="1:17" x14ac:dyDescent="0.35">
      <c r="A88" s="80"/>
      <c r="B88" s="80"/>
      <c r="C88" s="80"/>
      <c r="D88" s="80"/>
      <c r="E88" s="80"/>
      <c r="F88" s="44" t="str">
        <f>IF($E88="","",IF(COUNTIF(O$3:O88,$O88)=COUNTIFS($O$3:$O$101,$O88),DATE(9999,12,31),INDEX($E$3:$E$101,MATCH($O88&amp;" | "&amp;TEXT(COUNTIF(O$3:O88,$O88)+1,"00"),$P$3:$P$101,0))-1))</f>
        <v/>
      </c>
      <c r="G88" s="80"/>
      <c r="H88" s="80"/>
      <c r="I88" s="80"/>
      <c r="J88" s="147"/>
      <c r="K88" s="147"/>
      <c r="L88" s="80"/>
      <c r="M88" t="str">
        <f t="shared" si="9"/>
        <v/>
      </c>
      <c r="N88" t="str">
        <f t="shared" si="7"/>
        <v/>
      </c>
      <c r="O88" t="str">
        <f t="shared" si="6"/>
        <v/>
      </c>
      <c r="P88" t="str">
        <f>IF($O88="","",$O88&amp;" | "&amp;TEXT(COUNTIF(O$3:O88,$O88),"00"))</f>
        <v/>
      </c>
      <c r="Q88" t="str">
        <f t="shared" si="8"/>
        <v/>
      </c>
    </row>
    <row r="89" spans="1:17" x14ac:dyDescent="0.35">
      <c r="A89" s="80"/>
      <c r="B89" s="80"/>
      <c r="C89" s="80"/>
      <c r="D89" s="80"/>
      <c r="E89" s="80"/>
      <c r="F89" s="44" t="str">
        <f>IF($E89="","",IF(COUNTIF(O$3:O89,$O89)=COUNTIFS($O$3:$O$101,$O89),DATE(9999,12,31),INDEX($E$3:$E$101,MATCH($O89&amp;" | "&amp;TEXT(COUNTIF(O$3:O89,$O89)+1,"00"),$P$3:$P$101,0))-1))</f>
        <v/>
      </c>
      <c r="G89" s="80"/>
      <c r="H89" s="80"/>
      <c r="I89" s="80"/>
      <c r="J89" s="147"/>
      <c r="K89" s="147"/>
      <c r="L89" s="80"/>
      <c r="M89" t="str">
        <f t="shared" si="9"/>
        <v/>
      </c>
      <c r="N89" t="str">
        <f t="shared" si="7"/>
        <v/>
      </c>
      <c r="O89" t="str">
        <f t="shared" si="6"/>
        <v/>
      </c>
      <c r="P89" t="str">
        <f>IF($O89="","",$O89&amp;" | "&amp;TEXT(COUNTIF(O$3:O89,$O89),"00"))</f>
        <v/>
      </c>
      <c r="Q89" t="str">
        <f t="shared" si="8"/>
        <v/>
      </c>
    </row>
    <row r="90" spans="1:17" x14ac:dyDescent="0.35">
      <c r="A90" s="80"/>
      <c r="B90" s="80"/>
      <c r="C90" s="80"/>
      <c r="D90" s="80"/>
      <c r="E90" s="80"/>
      <c r="F90" s="44" t="str">
        <f>IF($E90="","",IF(COUNTIF(O$3:O90,$O90)=COUNTIFS($O$3:$O$101,$O90),DATE(9999,12,31),INDEX($E$3:$E$101,MATCH($O90&amp;" | "&amp;TEXT(COUNTIF(O$3:O90,$O90)+1,"00"),$P$3:$P$101,0))-1))</f>
        <v/>
      </c>
      <c r="G90" s="80"/>
      <c r="H90" s="80"/>
      <c r="I90" s="80"/>
      <c r="J90" s="147"/>
      <c r="K90" s="147"/>
      <c r="L90" s="80"/>
      <c r="M90" t="str">
        <f t="shared" si="9"/>
        <v/>
      </c>
      <c r="N90" t="str">
        <f t="shared" si="7"/>
        <v/>
      </c>
      <c r="O90" t="str">
        <f t="shared" si="6"/>
        <v/>
      </c>
      <c r="P90" t="str">
        <f>IF($O90="","",$O90&amp;" | "&amp;TEXT(COUNTIF(O$3:O90,$O90),"00"))</f>
        <v/>
      </c>
      <c r="Q90" t="str">
        <f t="shared" si="8"/>
        <v/>
      </c>
    </row>
    <row r="91" spans="1:17" x14ac:dyDescent="0.35">
      <c r="A91" s="80"/>
      <c r="B91" s="80"/>
      <c r="C91" s="80"/>
      <c r="D91" s="80"/>
      <c r="E91" s="80"/>
      <c r="F91" s="44" t="str">
        <f>IF($E91="","",IF(COUNTIF(O$3:O91,$O91)=COUNTIFS($O$3:$O$101,$O91),DATE(9999,12,31),INDEX($E$3:$E$101,MATCH($O91&amp;" | "&amp;TEXT(COUNTIF(O$3:O91,$O91)+1,"00"),$P$3:$P$101,0))-1))</f>
        <v/>
      </c>
      <c r="G91" s="80"/>
      <c r="H91" s="80"/>
      <c r="I91" s="80"/>
      <c r="J91" s="147"/>
      <c r="K91" s="147"/>
      <c r="L91" s="80"/>
      <c r="M91" t="str">
        <f t="shared" si="9"/>
        <v/>
      </c>
      <c r="N91" t="str">
        <f t="shared" si="7"/>
        <v/>
      </c>
      <c r="O91" t="str">
        <f t="shared" si="6"/>
        <v/>
      </c>
      <c r="P91" t="str">
        <f>IF($O91="","",$O91&amp;" | "&amp;TEXT(COUNTIF(O$3:O91,$O91),"00"))</f>
        <v/>
      </c>
      <c r="Q91" t="str">
        <f t="shared" si="8"/>
        <v/>
      </c>
    </row>
    <row r="92" spans="1:17" x14ac:dyDescent="0.35">
      <c r="A92" s="80"/>
      <c r="B92" s="80"/>
      <c r="C92" s="80"/>
      <c r="D92" s="80"/>
      <c r="E92" s="80"/>
      <c r="F92" s="44" t="str">
        <f>IF($E92="","",IF(COUNTIF(O$3:O92,$O92)=COUNTIFS($O$3:$O$101,$O92),DATE(9999,12,31),INDEX($E$3:$E$101,MATCH($O92&amp;" | "&amp;TEXT(COUNTIF(O$3:O92,$O92)+1,"00"),$P$3:$P$101,0))-1))</f>
        <v/>
      </c>
      <c r="G92" s="80"/>
      <c r="H92" s="80"/>
      <c r="I92" s="80"/>
      <c r="J92" s="147"/>
      <c r="K92" s="147"/>
      <c r="L92" s="80"/>
      <c r="M92" t="str">
        <f t="shared" si="9"/>
        <v/>
      </c>
      <c r="N92" t="str">
        <f t="shared" si="7"/>
        <v/>
      </c>
      <c r="O92" t="str">
        <f t="shared" si="6"/>
        <v/>
      </c>
      <c r="P92" t="str">
        <f>IF($O92="","",$O92&amp;" | "&amp;TEXT(COUNTIF(O$3:O92,$O92),"00"))</f>
        <v/>
      </c>
      <c r="Q92" t="str">
        <f t="shared" si="8"/>
        <v/>
      </c>
    </row>
    <row r="93" spans="1:17" x14ac:dyDescent="0.35">
      <c r="A93" s="80"/>
      <c r="B93" s="80"/>
      <c r="C93" s="80"/>
      <c r="D93" s="80"/>
      <c r="E93" s="80"/>
      <c r="F93" s="44" t="str">
        <f>IF($E93="","",IF(COUNTIF(O$3:O93,$O93)=COUNTIFS($O$3:$O$101,$O93),DATE(9999,12,31),INDEX($E$3:$E$101,MATCH($O93&amp;" | "&amp;TEXT(COUNTIF(O$3:O93,$O93)+1,"00"),$P$3:$P$101,0))-1))</f>
        <v/>
      </c>
      <c r="G93" s="80"/>
      <c r="H93" s="80"/>
      <c r="I93" s="80"/>
      <c r="J93" s="147"/>
      <c r="K93" s="147"/>
      <c r="L93" s="80"/>
      <c r="M93" t="str">
        <f t="shared" si="9"/>
        <v/>
      </c>
      <c r="N93" t="str">
        <f t="shared" si="7"/>
        <v/>
      </c>
      <c r="O93" t="str">
        <f t="shared" si="6"/>
        <v/>
      </c>
      <c r="P93" t="str">
        <f>IF($O93="","",$O93&amp;" | "&amp;TEXT(COUNTIF(O$3:O93,$O93),"00"))</f>
        <v/>
      </c>
      <c r="Q93" t="str">
        <f t="shared" si="8"/>
        <v/>
      </c>
    </row>
    <row r="94" spans="1:17" x14ac:dyDescent="0.35">
      <c r="A94" s="80"/>
      <c r="B94" s="80"/>
      <c r="C94" s="80"/>
      <c r="D94" s="80"/>
      <c r="E94" s="80"/>
      <c r="F94" s="44" t="str">
        <f>IF($E94="","",IF(COUNTIF(O$3:O94,$O94)=COUNTIFS($O$3:$O$101,$O94),DATE(9999,12,31),INDEX($E$3:$E$101,MATCH($O94&amp;" | "&amp;TEXT(COUNTIF(O$3:O94,$O94)+1,"00"),$P$3:$P$101,0))-1))</f>
        <v/>
      </c>
      <c r="G94" s="80"/>
      <c r="H94" s="80"/>
      <c r="I94" s="80"/>
      <c r="J94" s="147"/>
      <c r="K94" s="147"/>
      <c r="L94" s="80"/>
      <c r="M94" t="str">
        <f t="shared" si="9"/>
        <v/>
      </c>
      <c r="N94" t="str">
        <f t="shared" si="7"/>
        <v/>
      </c>
      <c r="O94" t="str">
        <f t="shared" si="6"/>
        <v/>
      </c>
      <c r="P94" t="str">
        <f>IF($O94="","",$O94&amp;" | "&amp;TEXT(COUNTIF(O$3:O94,$O94),"00"))</f>
        <v/>
      </c>
      <c r="Q94" t="str">
        <f t="shared" si="8"/>
        <v/>
      </c>
    </row>
    <row r="95" spans="1:17" x14ac:dyDescent="0.35">
      <c r="A95" s="80"/>
      <c r="B95" s="80"/>
      <c r="C95" s="80"/>
      <c r="D95" s="80"/>
      <c r="E95" s="80"/>
      <c r="F95" s="44" t="str">
        <f>IF($E95="","",IF(COUNTIF(O$3:O95,$O95)=COUNTIFS($O$3:$O$101,$O95),DATE(9999,12,31),INDEX($E$3:$E$101,MATCH($O95&amp;" | "&amp;TEXT(COUNTIF(O$3:O95,$O95)+1,"00"),$P$3:$P$101,0))-1))</f>
        <v/>
      </c>
      <c r="G95" s="80"/>
      <c r="H95" s="80"/>
      <c r="I95" s="80"/>
      <c r="J95" s="147"/>
      <c r="K95" s="147"/>
      <c r="L95" s="80"/>
      <c r="M95" t="str">
        <f t="shared" si="9"/>
        <v/>
      </c>
      <c r="N95" t="str">
        <f t="shared" si="7"/>
        <v/>
      </c>
      <c r="O95" t="str">
        <f t="shared" si="6"/>
        <v/>
      </c>
      <c r="P95" t="str">
        <f>IF($O95="","",$O95&amp;" | "&amp;TEXT(COUNTIF(O$3:O95,$O95),"00"))</f>
        <v/>
      </c>
      <c r="Q95" t="str">
        <f t="shared" si="8"/>
        <v/>
      </c>
    </row>
    <row r="96" spans="1:17" x14ac:dyDescent="0.35">
      <c r="A96" s="80"/>
      <c r="B96" s="80"/>
      <c r="C96" s="80"/>
      <c r="D96" s="80"/>
      <c r="E96" s="80"/>
      <c r="F96" s="44" t="str">
        <f>IF($E96="","",IF(COUNTIF(O$3:O96,$O96)=COUNTIFS($O$3:$O$101,$O96),DATE(9999,12,31),INDEX($E$3:$E$101,MATCH($O96&amp;" | "&amp;TEXT(COUNTIF(O$3:O96,$O96)+1,"00"),$P$3:$P$101,0))-1))</f>
        <v/>
      </c>
      <c r="G96" s="80"/>
      <c r="H96" s="80"/>
      <c r="I96" s="80"/>
      <c r="J96" s="147"/>
      <c r="K96" s="147"/>
      <c r="L96" s="80"/>
      <c r="M96" t="str">
        <f t="shared" si="9"/>
        <v/>
      </c>
      <c r="N96" t="str">
        <f t="shared" si="7"/>
        <v/>
      </c>
      <c r="O96" t="str">
        <f t="shared" si="6"/>
        <v/>
      </c>
      <c r="P96" t="str">
        <f>IF($O96="","",$O96&amp;" | "&amp;TEXT(COUNTIF(O$3:O96,$O96),"00"))</f>
        <v/>
      </c>
      <c r="Q96" t="str">
        <f t="shared" si="8"/>
        <v/>
      </c>
    </row>
    <row r="97" spans="1:17" x14ac:dyDescent="0.35">
      <c r="A97" s="80"/>
      <c r="B97" s="80"/>
      <c r="C97" s="80"/>
      <c r="D97" s="80"/>
      <c r="E97" s="80"/>
      <c r="F97" s="44" t="str">
        <f>IF($E97="","",IF(COUNTIF(O$3:O97,$O97)=COUNTIFS($O$3:$O$101,$O97),DATE(9999,12,31),INDEX($E$3:$E$101,MATCH($O97&amp;" | "&amp;TEXT(COUNTIF(O$3:O97,$O97)+1,"00"),$P$3:$P$101,0))-1))</f>
        <v/>
      </c>
      <c r="G97" s="80"/>
      <c r="H97" s="80"/>
      <c r="I97" s="80"/>
      <c r="J97" s="147"/>
      <c r="K97" s="147"/>
      <c r="L97" s="80"/>
      <c r="M97" t="str">
        <f t="shared" si="9"/>
        <v/>
      </c>
      <c r="N97" t="str">
        <f t="shared" si="7"/>
        <v/>
      </c>
      <c r="O97" t="str">
        <f t="shared" si="6"/>
        <v/>
      </c>
      <c r="P97" t="str">
        <f>IF($O97="","",$O97&amp;" | "&amp;TEXT(COUNTIF(O$3:O97,$O97),"00"))</f>
        <v/>
      </c>
      <c r="Q97" t="str">
        <f t="shared" si="8"/>
        <v/>
      </c>
    </row>
    <row r="98" spans="1:17" x14ac:dyDescent="0.35">
      <c r="A98" s="80"/>
      <c r="B98" s="80"/>
      <c r="C98" s="80"/>
      <c r="D98" s="80"/>
      <c r="E98" s="80"/>
      <c r="F98" s="44" t="str">
        <f>IF($E98="","",IF(COUNTIF(O$3:O98,$O98)=COUNTIFS($O$3:$O$101,$O98),DATE(9999,12,31),INDEX($E$3:$E$101,MATCH($O98&amp;" | "&amp;TEXT(COUNTIF(O$3:O98,$O98)+1,"00"),$P$3:$P$101,0))-1))</f>
        <v/>
      </c>
      <c r="G98" s="80"/>
      <c r="H98" s="80"/>
      <c r="I98" s="80"/>
      <c r="J98" s="147"/>
      <c r="K98" s="147"/>
      <c r="L98" s="80"/>
      <c r="M98" t="str">
        <f t="shared" si="9"/>
        <v/>
      </c>
      <c r="N98" t="str">
        <f t="shared" si="7"/>
        <v/>
      </c>
      <c r="O98" t="str">
        <f t="shared" si="6"/>
        <v/>
      </c>
      <c r="P98" t="str">
        <f>IF($O98="","",$O98&amp;" | "&amp;TEXT(COUNTIF(O$3:O98,$O98),"00"))</f>
        <v/>
      </c>
      <c r="Q98" t="str">
        <f t="shared" si="8"/>
        <v/>
      </c>
    </row>
    <row r="99" spans="1:17" x14ac:dyDescent="0.35">
      <c r="A99" s="80"/>
      <c r="B99" s="80"/>
      <c r="C99" s="80"/>
      <c r="D99" s="80"/>
      <c r="E99" s="80"/>
      <c r="F99" s="44" t="str">
        <f>IF($E99="","",IF(COUNTIF(O$3:O99,$O99)=COUNTIFS($O$3:$O$101,$O99),DATE(9999,12,31),INDEX($E$3:$E$101,MATCH($O99&amp;" | "&amp;TEXT(COUNTIF(O$3:O99,$O99)+1,"00"),$P$3:$P$101,0))-1))</f>
        <v/>
      </c>
      <c r="G99" s="80"/>
      <c r="H99" s="80"/>
      <c r="I99" s="80"/>
      <c r="J99" s="147"/>
      <c r="K99" s="147"/>
      <c r="L99" s="80"/>
      <c r="M99" t="str">
        <f t="shared" si="9"/>
        <v/>
      </c>
      <c r="N99" t="str">
        <f t="shared" si="7"/>
        <v/>
      </c>
      <c r="O99" t="str">
        <f t="shared" si="6"/>
        <v/>
      </c>
      <c r="P99" t="str">
        <f>IF($O99="","",$O99&amp;" | "&amp;TEXT(COUNTIF(O$3:O99,$O99),"00"))</f>
        <v/>
      </c>
      <c r="Q99" t="str">
        <f t="shared" si="8"/>
        <v/>
      </c>
    </row>
    <row r="100" spans="1:17" x14ac:dyDescent="0.35">
      <c r="A100" s="80"/>
      <c r="B100" s="80"/>
      <c r="C100" s="80"/>
      <c r="D100" s="80"/>
      <c r="E100" s="80"/>
      <c r="F100" s="44" t="str">
        <f>IF($E100="","",IF(COUNTIF(O$3:O100,$O100)=COUNTIFS($O$3:$O$101,$O100),DATE(9999,12,31),INDEX($E$3:$E$101,MATCH($O100&amp;" | "&amp;TEXT(COUNTIF(O$3:O100,$O100)+1,"00"),$P$3:$P$101,0))-1))</f>
        <v/>
      </c>
      <c r="G100" s="80"/>
      <c r="H100" s="80"/>
      <c r="I100" s="80"/>
      <c r="J100" s="147"/>
      <c r="K100" s="147"/>
      <c r="L100" s="80"/>
      <c r="M100" t="str">
        <f t="shared" si="9"/>
        <v/>
      </c>
      <c r="N100" t="str">
        <f t="shared" si="7"/>
        <v/>
      </c>
      <c r="O100" t="str">
        <f t="shared" si="6"/>
        <v/>
      </c>
      <c r="P100" t="str">
        <f>IF($O100="","",$O100&amp;" | "&amp;TEXT(COUNTIF(O$3:O100,$O100),"00"))</f>
        <v/>
      </c>
      <c r="Q100" t="str">
        <f t="shared" si="8"/>
        <v/>
      </c>
    </row>
    <row r="101" spans="1:17" ht="15" thickBot="1" x14ac:dyDescent="0.4">
      <c r="A101" s="80"/>
      <c r="B101" s="80"/>
      <c r="C101" s="80"/>
      <c r="D101" s="80"/>
      <c r="E101" s="80"/>
      <c r="F101" s="44" t="str">
        <f>IF($E101="","",IF(COUNTIF(O$3:O101,$O101)=COUNTIFS($O$3:$O$101,$O101),DATE(9999,12,31),INDEX($E$3:$E$101,MATCH($O101&amp;" | "&amp;TEXT(COUNTIF(O$3:O101,$O101)+1,"00"),$P$3:$P$101,0))-1))</f>
        <v/>
      </c>
      <c r="G101" s="80"/>
      <c r="H101" s="80"/>
      <c r="I101" s="80"/>
      <c r="J101" s="147"/>
      <c r="K101" s="147"/>
      <c r="L101" s="80"/>
      <c r="M101" t="str">
        <f t="shared" si="9"/>
        <v/>
      </c>
      <c r="N101" t="str">
        <f t="shared" si="7"/>
        <v/>
      </c>
      <c r="O101" t="str">
        <f t="shared" si="6"/>
        <v/>
      </c>
      <c r="P101" t="str">
        <f>IF($O101="","",$O101&amp;" | "&amp;TEXT(COUNTIF(O$3:O101,$O101),"00"))</f>
        <v/>
      </c>
      <c r="Q101" t="str">
        <f t="shared" si="8"/>
        <v/>
      </c>
    </row>
    <row r="102" spans="1:17" s="7" customFormat="1" x14ac:dyDescent="0.35"/>
  </sheetData>
  <autoFilter ref="A2:Q101" xr:uid="{2B1AA026-BC32-4724-82BD-F84FBBA20123}"/>
  <conditionalFormatting sqref="Q3:Q101">
    <cfRule type="duplicateValues" dxfId="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D08A-F3C6-475A-AD0D-1F517963D629}">
  <dimension ref="A1"/>
  <sheetViews>
    <sheetView workbookViewId="0">
      <selection activeCell="AB74" sqref="AB7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9842-95B6-45C5-9E52-75385DE96983}">
  <dimension ref="B1:L14"/>
  <sheetViews>
    <sheetView showGridLines="0" view="pageBreakPreview" zoomScale="145" zoomScaleNormal="175" zoomScaleSheetLayoutView="145" workbookViewId="0">
      <pane xSplit="3" ySplit="3" topLeftCell="D4" activePane="bottomRight" state="frozen"/>
      <selection activeCell="AE69" sqref="AE69"/>
      <selection pane="topRight" activeCell="AE69" sqref="AE69"/>
      <selection pane="bottomLeft" activeCell="AE69" sqref="AE69"/>
      <selection pane="bottomRight" activeCell="AE69" sqref="AE69"/>
    </sheetView>
  </sheetViews>
  <sheetFormatPr defaultRowHeight="14.5" x14ac:dyDescent="0.35"/>
  <cols>
    <col min="1" max="1" width="0.83203125" customWidth="1"/>
    <col min="2" max="2" width="21.08203125" bestFit="1" customWidth="1"/>
    <col min="3" max="3" width="0.58203125" customWidth="1"/>
    <col min="4" max="5" width="11.33203125" customWidth="1"/>
    <col min="6" max="6" width="13.33203125" customWidth="1"/>
    <col min="8" max="8" width="0.58203125" customWidth="1"/>
  </cols>
  <sheetData>
    <row r="1" spans="2:12" x14ac:dyDescent="0.35">
      <c r="B1" s="272"/>
    </row>
    <row r="2" spans="2:12" x14ac:dyDescent="0.35">
      <c r="D2" s="111" t="s">
        <v>180</v>
      </c>
      <c r="E2" s="111"/>
      <c r="F2" s="111"/>
      <c r="G2" s="111"/>
      <c r="I2" s="123" t="s">
        <v>181</v>
      </c>
      <c r="J2" s="123"/>
      <c r="K2" s="123"/>
      <c r="L2" s="123"/>
    </row>
    <row r="3" spans="2:12" x14ac:dyDescent="0.35">
      <c r="D3" s="110" t="s">
        <v>182</v>
      </c>
      <c r="E3" s="110" t="s">
        <v>183</v>
      </c>
      <c r="F3" s="112" t="s">
        <v>53</v>
      </c>
      <c r="G3" s="112"/>
      <c r="I3" s="124" t="s">
        <v>182</v>
      </c>
      <c r="J3" s="124" t="s">
        <v>183</v>
      </c>
      <c r="K3" s="125" t="s">
        <v>53</v>
      </c>
      <c r="L3" s="125"/>
    </row>
    <row r="4" spans="2:12" s="69" customFormat="1" x14ac:dyDescent="0.35">
      <c r="B4" s="69" t="s">
        <v>184</v>
      </c>
      <c r="D4" s="69" t="s">
        <v>185</v>
      </c>
      <c r="I4" s="69" t="s">
        <v>185</v>
      </c>
    </row>
    <row r="5" spans="2:12" x14ac:dyDescent="0.35">
      <c r="B5" s="113" t="s">
        <v>186</v>
      </c>
      <c r="D5" s="114">
        <v>3000</v>
      </c>
      <c r="E5" s="114">
        <v>4000</v>
      </c>
      <c r="F5" s="115">
        <v>10</v>
      </c>
      <c r="G5" s="116" t="s">
        <v>187</v>
      </c>
      <c r="I5" s="114">
        <v>3000</v>
      </c>
      <c r="J5" s="114">
        <v>4000</v>
      </c>
      <c r="K5" s="117">
        <v>5.0000000000000001E-3</v>
      </c>
      <c r="L5" s="113" t="s">
        <v>188</v>
      </c>
    </row>
    <row r="6" spans="2:12" x14ac:dyDescent="0.35">
      <c r="B6" s="113" t="s">
        <v>189</v>
      </c>
      <c r="D6" s="114">
        <v>4000</v>
      </c>
      <c r="E6" s="114">
        <v>5000</v>
      </c>
      <c r="F6" s="117">
        <v>1.4999999999999999E-2</v>
      </c>
      <c r="G6" s="113" t="s">
        <v>188</v>
      </c>
      <c r="I6" s="114">
        <v>4000</v>
      </c>
      <c r="J6" s="114">
        <v>5000</v>
      </c>
      <c r="K6" s="117">
        <v>0.01</v>
      </c>
      <c r="L6" s="113" t="s">
        <v>188</v>
      </c>
    </row>
    <row r="7" spans="2:12" x14ac:dyDescent="0.35">
      <c r="B7" s="113" t="s">
        <v>190</v>
      </c>
      <c r="D7" s="114">
        <v>5000</v>
      </c>
      <c r="E7" s="114">
        <v>6000</v>
      </c>
      <c r="F7" s="117">
        <v>0.02</v>
      </c>
      <c r="G7" s="113" t="s">
        <v>188</v>
      </c>
      <c r="I7" s="114">
        <v>5000</v>
      </c>
      <c r="J7" s="114">
        <v>6000</v>
      </c>
      <c r="K7" s="117">
        <v>1.4999999999999999E-2</v>
      </c>
      <c r="L7" s="113"/>
    </row>
    <row r="8" spans="2:12" x14ac:dyDescent="0.35">
      <c r="B8" s="113" t="s">
        <v>191</v>
      </c>
      <c r="D8" s="114">
        <v>6000</v>
      </c>
      <c r="E8" s="114">
        <v>8000</v>
      </c>
      <c r="F8" s="117">
        <v>2.5000000000000001E-2</v>
      </c>
      <c r="G8" s="113" t="s">
        <v>188</v>
      </c>
      <c r="I8" s="114">
        <v>6000</v>
      </c>
      <c r="J8" s="114">
        <v>7000</v>
      </c>
      <c r="K8" s="117">
        <v>0.05</v>
      </c>
      <c r="L8" s="113" t="s">
        <v>188</v>
      </c>
    </row>
    <row r="9" spans="2:12" x14ac:dyDescent="0.35">
      <c r="B9" s="113" t="s">
        <v>192</v>
      </c>
      <c r="D9" s="114">
        <v>8000</v>
      </c>
      <c r="E9" s="114">
        <v>10000</v>
      </c>
      <c r="F9" s="117">
        <v>2.5000000000000001E-2</v>
      </c>
      <c r="G9" s="113" t="s">
        <v>188</v>
      </c>
      <c r="I9" s="114">
        <v>7000</v>
      </c>
      <c r="J9" s="114" t="s">
        <v>193</v>
      </c>
      <c r="K9" s="117">
        <v>5.5E-2</v>
      </c>
      <c r="L9" s="113" t="s">
        <v>188</v>
      </c>
    </row>
    <row r="10" spans="2:12" x14ac:dyDescent="0.35">
      <c r="B10" s="113" t="s">
        <v>194</v>
      </c>
      <c r="D10" s="114">
        <v>10000</v>
      </c>
      <c r="E10" s="114" t="s">
        <v>193</v>
      </c>
      <c r="F10" s="117">
        <v>2.5000000000000001E-2</v>
      </c>
      <c r="G10" s="113" t="s">
        <v>188</v>
      </c>
      <c r="I10" s="114"/>
      <c r="J10" s="114"/>
      <c r="K10" s="117"/>
      <c r="L10" s="113"/>
    </row>
    <row r="11" spans="2:12" x14ac:dyDescent="0.35">
      <c r="D11" s="118"/>
      <c r="E11" s="118"/>
      <c r="F11" s="119"/>
      <c r="I11" s="118"/>
      <c r="K11" s="119"/>
    </row>
    <row r="12" spans="2:12" s="1" customFormat="1" x14ac:dyDescent="0.35">
      <c r="B12" s="41" t="s">
        <v>195</v>
      </c>
      <c r="C12"/>
      <c r="D12" s="120">
        <v>2326.4</v>
      </c>
      <c r="E12" s="41" t="s">
        <v>196</v>
      </c>
      <c r="H12"/>
      <c r="I12" s="120"/>
      <c r="J12" s="41"/>
    </row>
    <row r="13" spans="2:12" x14ac:dyDescent="0.35">
      <c r="B13" s="22" t="s">
        <v>197</v>
      </c>
      <c r="D13" s="22"/>
      <c r="E13" s="22"/>
      <c r="F13" t="s">
        <v>198</v>
      </c>
      <c r="I13" s="22"/>
      <c r="J13" s="22"/>
    </row>
    <row r="14" spans="2:12" s="122" customFormat="1" x14ac:dyDescent="0.35">
      <c r="B14" s="121" t="s">
        <v>199</v>
      </c>
      <c r="D14" s="141">
        <v>10</v>
      </c>
      <c r="E14" s="121" t="s">
        <v>187</v>
      </c>
      <c r="F14" s="122" t="s">
        <v>200</v>
      </c>
      <c r="I14" s="142">
        <v>1.4999999999999999E-2</v>
      </c>
      <c r="J14" s="121" t="s">
        <v>188</v>
      </c>
    </row>
  </sheetData>
  <dataValidations disablePrompts="1" count="1">
    <dataValidation type="list" allowBlank="1" showInputMessage="1" showErrorMessage="1" sqref="E14 J14" xr:uid="{A5B00513-A575-4C5A-94EA-0FCAD42E06AB}">
      <formula1>$G$5:$G$10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BA8-0C9A-44D9-8204-78DAEC0397F9}">
  <dimension ref="A2:E11"/>
  <sheetViews>
    <sheetView showGridLines="0" zoomScale="295" zoomScaleNormal="295" workbookViewId="0">
      <selection activeCell="AE69" sqref="AE69"/>
    </sheetView>
  </sheetViews>
  <sheetFormatPr defaultRowHeight="14.5" x14ac:dyDescent="0.35"/>
  <cols>
    <col min="1" max="1" width="7.25" customWidth="1"/>
    <col min="2" max="2" width="9.5" bestFit="1" customWidth="1"/>
  </cols>
  <sheetData>
    <row r="2" spans="1:5" x14ac:dyDescent="0.35">
      <c r="A2" t="e" vm="1">
        <v>#VALUE!</v>
      </c>
      <c r="B2" t="s">
        <v>354</v>
      </c>
      <c r="C2" t="s">
        <v>398</v>
      </c>
      <c r="D2" s="413"/>
    </row>
    <row r="3" spans="1:5" x14ac:dyDescent="0.35">
      <c r="A3" t="e" vm="2">
        <v>#VALUE!</v>
      </c>
      <c r="B3" t="s">
        <v>397</v>
      </c>
      <c r="C3" t="s">
        <v>396</v>
      </c>
      <c r="D3" s="412"/>
    </row>
    <row r="4" spans="1:5" x14ac:dyDescent="0.35">
      <c r="A4" t="e" vm="3">
        <v>#VALUE!</v>
      </c>
      <c r="B4" t="s">
        <v>355</v>
      </c>
      <c r="C4" t="s">
        <v>399</v>
      </c>
      <c r="D4" s="414"/>
    </row>
    <row r="5" spans="1:5" x14ac:dyDescent="0.35">
      <c r="A5" t="e" vm="4">
        <v>#VALUE!</v>
      </c>
      <c r="B5" t="s">
        <v>400</v>
      </c>
      <c r="C5" t="s">
        <v>401</v>
      </c>
      <c r="D5" s="415"/>
    </row>
    <row r="6" spans="1:5" x14ac:dyDescent="0.35">
      <c r="A6" t="e" vm="5">
        <v>#VALUE!</v>
      </c>
      <c r="B6" t="s">
        <v>402</v>
      </c>
      <c r="C6" t="s">
        <v>403</v>
      </c>
      <c r="D6" s="416"/>
      <c r="E6" t="s">
        <v>404</v>
      </c>
    </row>
    <row r="7" spans="1:5" x14ac:dyDescent="0.35">
      <c r="C7" t="s">
        <v>405</v>
      </c>
      <c r="D7" s="417"/>
    </row>
    <row r="8" spans="1:5" x14ac:dyDescent="0.35">
      <c r="A8" t="e" vm="6">
        <v>#VALUE!</v>
      </c>
      <c r="B8" t="s">
        <v>442</v>
      </c>
      <c r="C8" t="s">
        <v>445</v>
      </c>
      <c r="D8" s="442"/>
      <c r="E8" t="s">
        <v>404</v>
      </c>
    </row>
    <row r="9" spans="1:5" x14ac:dyDescent="0.35">
      <c r="C9" t="s">
        <v>446</v>
      </c>
      <c r="D9" s="443"/>
    </row>
    <row r="11" spans="1:5" x14ac:dyDescent="0.35">
      <c r="C11" t="s">
        <v>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E42-BB0E-412D-A4FB-1A66F96BD3AF}">
  <dimension ref="A1:Y8"/>
  <sheetViews>
    <sheetView showGridLines="0" zoomScaleNormal="100" workbookViewId="0">
      <pane xSplit="1" ySplit="2" topLeftCell="K3" activePane="bottomRight" state="frozen"/>
      <selection activeCell="AE69" sqref="AE69"/>
      <selection pane="topRight" activeCell="AE69" sqref="AE69"/>
      <selection pane="bottomLeft" activeCell="AE69" sqref="AE69"/>
      <selection pane="bottomRight" activeCell="AE69" sqref="AE69"/>
    </sheetView>
  </sheetViews>
  <sheetFormatPr defaultRowHeight="14.5" x14ac:dyDescent="0.35"/>
  <cols>
    <col min="1" max="1" width="20.33203125" bestFit="1" customWidth="1"/>
  </cols>
  <sheetData>
    <row r="1" spans="1:25" x14ac:dyDescent="0.35">
      <c r="A1" s="526" t="s">
        <v>449</v>
      </c>
      <c r="B1" s="444">
        <v>2024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>
        <v>2025</v>
      </c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</row>
    <row r="2" spans="1:25" x14ac:dyDescent="0.35">
      <c r="A2" s="526"/>
      <c r="B2" s="445">
        <v>1</v>
      </c>
      <c r="C2" s="445">
        <v>2</v>
      </c>
      <c r="D2" s="445">
        <v>3</v>
      </c>
      <c r="E2" s="445">
        <v>4</v>
      </c>
      <c r="F2" s="445">
        <v>5</v>
      </c>
      <c r="G2" s="445">
        <v>6</v>
      </c>
      <c r="H2" s="445">
        <v>7</v>
      </c>
      <c r="I2" s="445">
        <v>8</v>
      </c>
      <c r="J2" s="445">
        <v>9</v>
      </c>
      <c r="K2" s="445">
        <v>10</v>
      </c>
      <c r="L2" s="445">
        <v>11</v>
      </c>
      <c r="M2" s="445">
        <v>12</v>
      </c>
      <c r="N2" s="445">
        <v>1</v>
      </c>
      <c r="O2" s="445">
        <v>2</v>
      </c>
      <c r="P2" s="445">
        <v>3</v>
      </c>
      <c r="Q2" s="445">
        <v>4</v>
      </c>
      <c r="R2" s="445">
        <v>5</v>
      </c>
      <c r="S2" s="445">
        <v>6</v>
      </c>
      <c r="T2" s="445">
        <v>7</v>
      </c>
      <c r="U2" s="445">
        <v>8</v>
      </c>
      <c r="V2" s="445">
        <v>9</v>
      </c>
      <c r="W2" s="445">
        <v>10</v>
      </c>
      <c r="X2" s="445">
        <v>11</v>
      </c>
      <c r="Y2" s="445">
        <v>12</v>
      </c>
    </row>
    <row r="3" spans="1:25" x14ac:dyDescent="0.35">
      <c r="A3" s="446" t="s">
        <v>447</v>
      </c>
      <c r="B3" s="447">
        <v>1179.0254440971974</v>
      </c>
      <c r="C3" s="447">
        <v>1230.0816716361576</v>
      </c>
      <c r="D3" s="447">
        <v>1221.9587166403103</v>
      </c>
      <c r="E3" s="447">
        <v>1194.3278932717662</v>
      </c>
      <c r="F3" s="447">
        <v>1202.1932537357618</v>
      </c>
      <c r="G3" s="447">
        <v>1239.583018303907</v>
      </c>
      <c r="H3" s="447">
        <v>1189.2092848334682</v>
      </c>
      <c r="I3" s="447">
        <v>1202.9857762533029</v>
      </c>
      <c r="J3" s="447">
        <v>1213.3065569793025</v>
      </c>
      <c r="K3" s="447">
        <v>1227.8743131207696</v>
      </c>
      <c r="L3" s="447">
        <v>1316.8526409588117</v>
      </c>
      <c r="M3" s="447">
        <v>1311.4106423154785</v>
      </c>
      <c r="N3" s="447">
        <v>1223.3919441021076</v>
      </c>
      <c r="O3" s="447">
        <v>1265.1063292133072</v>
      </c>
      <c r="P3" s="447">
        <v>1239.3102075906247</v>
      </c>
      <c r="Q3" s="447">
        <v>1233.3450388163023</v>
      </c>
      <c r="R3" s="447">
        <v>1248.2135659635057</v>
      </c>
      <c r="S3" s="447">
        <v>1226.2639665678107</v>
      </c>
      <c r="T3" s="447">
        <v>1207.0050726030747</v>
      </c>
      <c r="U3" s="447">
        <v>1225.7363795831056</v>
      </c>
      <c r="V3" s="447">
        <v>1214.1843397870807</v>
      </c>
      <c r="W3" s="447">
        <v>1217.0919568932345</v>
      </c>
      <c r="X3" s="447">
        <v>1223.5265814527734</v>
      </c>
      <c r="Y3" s="447">
        <v>1241.2786057654266</v>
      </c>
    </row>
    <row r="4" spans="1:25" x14ac:dyDescent="0.35">
      <c r="A4" s="8" t="s">
        <v>448</v>
      </c>
      <c r="B4" s="33">
        <v>1180.9667866323907</v>
      </c>
      <c r="C4" s="33">
        <v>1199.7013809910641</v>
      </c>
      <c r="D4" s="33">
        <v>1179.0985801217037</v>
      </c>
      <c r="E4" s="33">
        <v>1200.4389513108613</v>
      </c>
      <c r="F4" s="33">
        <v>1207.9269681742044</v>
      </c>
      <c r="G4" s="33">
        <v>1204.3674796747966</v>
      </c>
      <c r="H4" s="33">
        <v>1254.6012676056339</v>
      </c>
      <c r="I4" s="33">
        <v>1259.3826199740597</v>
      </c>
      <c r="J4" s="33">
        <v>1263.7258939893484</v>
      </c>
      <c r="K4" s="33">
        <v>1274.3542384562372</v>
      </c>
      <c r="L4" s="33">
        <v>1261.3793019282402</v>
      </c>
      <c r="M4" s="33">
        <v>1262.2590667311413</v>
      </c>
      <c r="N4" s="33">
        <v>1262.3936634028478</v>
      </c>
      <c r="O4" s="33">
        <v>1262.4865162143126</v>
      </c>
      <c r="P4" s="33">
        <v>1281.4274794843393</v>
      </c>
      <c r="Q4" s="33">
        <v>1277.287898512589</v>
      </c>
      <c r="R4" s="33">
        <v>1278.1904921580881</v>
      </c>
      <c r="S4" s="33">
        <v>1269.824865003445</v>
      </c>
      <c r="T4" s="33">
        <v>1291.0692763217255</v>
      </c>
      <c r="U4" s="33">
        <v>1312.723643450312</v>
      </c>
      <c r="V4" s="33">
        <v>1305.6954905040463</v>
      </c>
      <c r="W4" s="33">
        <v>1308.2516255567853</v>
      </c>
      <c r="X4" s="33">
        <v>1318.955257049731</v>
      </c>
      <c r="Y4" s="33">
        <v>1313.8679149899906</v>
      </c>
    </row>
    <row r="5" spans="1:25" x14ac:dyDescent="0.35">
      <c r="A5" s="8" t="s">
        <v>11</v>
      </c>
      <c r="B5" s="33">
        <v>930</v>
      </c>
      <c r="C5" s="33">
        <v>943.33333333333337</v>
      </c>
      <c r="D5" s="33">
        <v>940</v>
      </c>
      <c r="E5" s="33">
        <v>940</v>
      </c>
      <c r="F5" s="33">
        <v>942</v>
      </c>
      <c r="G5" s="33">
        <v>950</v>
      </c>
      <c r="H5" s="33">
        <v>947.5</v>
      </c>
      <c r="I5" s="33">
        <v>930</v>
      </c>
      <c r="J5" s="33">
        <v>880</v>
      </c>
      <c r="K5" s="33">
        <v>862.5</v>
      </c>
      <c r="L5" s="33">
        <v>852</v>
      </c>
      <c r="M5" s="33">
        <v>830</v>
      </c>
      <c r="N5" s="33">
        <v>828</v>
      </c>
      <c r="O5" s="33">
        <v>840</v>
      </c>
      <c r="P5" s="33">
        <v>823</v>
      </c>
      <c r="Q5" s="33">
        <v>765</v>
      </c>
      <c r="R5" s="33">
        <v>782</v>
      </c>
      <c r="S5" s="33">
        <v>807.5</v>
      </c>
      <c r="T5" s="33">
        <v>802</v>
      </c>
      <c r="U5" s="33">
        <v>795</v>
      </c>
      <c r="V5" s="33">
        <v>783</v>
      </c>
      <c r="W5" s="33">
        <v>772</v>
      </c>
      <c r="X5" s="33">
        <v>770</v>
      </c>
      <c r="Y5" s="33">
        <v>773</v>
      </c>
    </row>
    <row r="6" spans="1:25" x14ac:dyDescent="0.35">
      <c r="A6" s="449" t="s">
        <v>450</v>
      </c>
      <c r="B6" s="448">
        <f>B3-B5</f>
        <v>249.02544409719735</v>
      </c>
      <c r="C6" s="448">
        <f t="shared" ref="C6:Y6" si="0">C3-C5</f>
        <v>286.74833830282421</v>
      </c>
      <c r="D6" s="448">
        <f t="shared" si="0"/>
        <v>281.95871664031029</v>
      </c>
      <c r="E6" s="448">
        <f t="shared" si="0"/>
        <v>254.32789327176624</v>
      </c>
      <c r="F6" s="448">
        <f t="shared" si="0"/>
        <v>260.1932537357618</v>
      </c>
      <c r="G6" s="448">
        <f t="shared" si="0"/>
        <v>289.58301830390701</v>
      </c>
      <c r="H6" s="448">
        <f t="shared" si="0"/>
        <v>241.70928483346825</v>
      </c>
      <c r="I6" s="448">
        <f t="shared" si="0"/>
        <v>272.9857762533029</v>
      </c>
      <c r="J6" s="448">
        <f t="shared" si="0"/>
        <v>333.30655697930251</v>
      </c>
      <c r="K6" s="448">
        <f t="shared" si="0"/>
        <v>365.37431312076956</v>
      </c>
      <c r="L6" s="448">
        <f t="shared" si="0"/>
        <v>464.85264095881166</v>
      </c>
      <c r="M6" s="448">
        <f t="shared" si="0"/>
        <v>481.41064231547853</v>
      </c>
      <c r="N6" s="448">
        <f t="shared" si="0"/>
        <v>395.39194410210757</v>
      </c>
      <c r="O6" s="448">
        <f t="shared" si="0"/>
        <v>425.10632921330716</v>
      </c>
      <c r="P6" s="448">
        <f t="shared" si="0"/>
        <v>416.31020759062471</v>
      </c>
      <c r="Q6" s="448">
        <f t="shared" si="0"/>
        <v>468.34503881630235</v>
      </c>
      <c r="R6" s="448">
        <f t="shared" si="0"/>
        <v>466.21356596350574</v>
      </c>
      <c r="S6" s="448">
        <f t="shared" si="0"/>
        <v>418.76396656781071</v>
      </c>
      <c r="T6" s="448">
        <f t="shared" si="0"/>
        <v>405.00507260307472</v>
      </c>
      <c r="U6" s="448">
        <f t="shared" si="0"/>
        <v>430.73637958310564</v>
      </c>
      <c r="V6" s="448">
        <f t="shared" si="0"/>
        <v>431.18433978708072</v>
      </c>
      <c r="W6" s="448">
        <f t="shared" si="0"/>
        <v>445.09195689323451</v>
      </c>
      <c r="X6" s="448">
        <f t="shared" si="0"/>
        <v>453.52658145277337</v>
      </c>
      <c r="Y6" s="448">
        <f t="shared" si="0"/>
        <v>468.27860576542662</v>
      </c>
    </row>
    <row r="7" spans="1:25" x14ac:dyDescent="0.35">
      <c r="A7" s="449" t="s">
        <v>452</v>
      </c>
      <c r="B7" s="450">
        <f>IFERROR(B6/B5,0)</f>
        <v>0.26776929472816918</v>
      </c>
      <c r="C7" s="450">
        <f t="shared" ref="C7:Y7" si="1">IFERROR(C6/C5,0)</f>
        <v>0.30397350350122704</v>
      </c>
      <c r="D7" s="450">
        <f t="shared" si="1"/>
        <v>0.29995608153224501</v>
      </c>
      <c r="E7" s="450">
        <f t="shared" si="1"/>
        <v>0.27056158858698537</v>
      </c>
      <c r="F7" s="450">
        <f t="shared" si="1"/>
        <v>0.27621364515473651</v>
      </c>
      <c r="G7" s="450">
        <f t="shared" si="1"/>
        <v>0.30482422979358631</v>
      </c>
      <c r="H7" s="450">
        <f t="shared" si="1"/>
        <v>0.25510214758149685</v>
      </c>
      <c r="I7" s="450">
        <f t="shared" si="1"/>
        <v>0.293533092745487</v>
      </c>
      <c r="J7" s="450">
        <f t="shared" si="1"/>
        <v>0.37875745111284376</v>
      </c>
      <c r="K7" s="450">
        <f t="shared" si="1"/>
        <v>0.42362239202408064</v>
      </c>
      <c r="L7" s="450">
        <f t="shared" si="1"/>
        <v>0.54560169126621083</v>
      </c>
      <c r="M7" s="450">
        <f t="shared" si="1"/>
        <v>0.58001282206684157</v>
      </c>
      <c r="N7" s="450">
        <f t="shared" si="1"/>
        <v>0.47752650253877726</v>
      </c>
      <c r="O7" s="450">
        <f t="shared" si="1"/>
        <v>0.50607896334917524</v>
      </c>
      <c r="P7" s="450">
        <f t="shared" si="1"/>
        <v>0.50584472368241151</v>
      </c>
      <c r="Q7" s="450">
        <f t="shared" si="1"/>
        <v>0.61221573701477427</v>
      </c>
      <c r="R7" s="450">
        <f t="shared" si="1"/>
        <v>0.59618103064386929</v>
      </c>
      <c r="S7" s="450">
        <f t="shared" si="1"/>
        <v>0.51859314745239715</v>
      </c>
      <c r="T7" s="450">
        <f t="shared" si="1"/>
        <v>0.50499385611355951</v>
      </c>
      <c r="U7" s="450">
        <f t="shared" si="1"/>
        <v>0.5418067667712021</v>
      </c>
      <c r="V7" s="450">
        <f t="shared" si="1"/>
        <v>0.55068242629256792</v>
      </c>
      <c r="W7" s="450">
        <f t="shared" si="1"/>
        <v>0.57654398561299802</v>
      </c>
      <c r="X7" s="450">
        <f t="shared" si="1"/>
        <v>0.58899556032827716</v>
      </c>
      <c r="Y7" s="450">
        <f t="shared" si="1"/>
        <v>0.6057937978854161</v>
      </c>
    </row>
    <row r="8" spans="1:25" x14ac:dyDescent="0.35">
      <c r="A8" t="s">
        <v>451</v>
      </c>
      <c r="B8" s="400">
        <f>B5+B6/2</f>
        <v>1054.5127220485988</v>
      </c>
      <c r="C8" s="400">
        <f t="shared" ref="C8:Y8" si="2">C5+C6/2</f>
        <v>1086.7075024847454</v>
      </c>
      <c r="D8" s="400">
        <f t="shared" si="2"/>
        <v>1080.9793583201551</v>
      </c>
      <c r="E8" s="400">
        <f t="shared" si="2"/>
        <v>1067.1639466358831</v>
      </c>
      <c r="F8" s="400">
        <f t="shared" si="2"/>
        <v>1072.0966268678808</v>
      </c>
      <c r="G8" s="400">
        <f t="shared" si="2"/>
        <v>1094.7915091519535</v>
      </c>
      <c r="H8" s="400">
        <f t="shared" si="2"/>
        <v>1068.3546424167341</v>
      </c>
      <c r="I8" s="400">
        <f t="shared" si="2"/>
        <v>1066.4928881266515</v>
      </c>
      <c r="J8" s="400">
        <f t="shared" si="2"/>
        <v>1046.6532784896513</v>
      </c>
      <c r="K8" s="400">
        <f t="shared" si="2"/>
        <v>1045.1871565603847</v>
      </c>
      <c r="L8" s="400">
        <f t="shared" si="2"/>
        <v>1084.4263204794058</v>
      </c>
      <c r="M8" s="400">
        <f t="shared" si="2"/>
        <v>1070.7053211577393</v>
      </c>
      <c r="N8" s="400">
        <f t="shared" si="2"/>
        <v>1025.6959720510538</v>
      </c>
      <c r="O8" s="400">
        <f t="shared" si="2"/>
        <v>1052.5531646066536</v>
      </c>
      <c r="P8" s="400">
        <f t="shared" si="2"/>
        <v>1031.1551037953122</v>
      </c>
      <c r="Q8" s="400">
        <f t="shared" si="2"/>
        <v>999.17251940815117</v>
      </c>
      <c r="R8" s="400">
        <f t="shared" si="2"/>
        <v>1015.1067829817529</v>
      </c>
      <c r="S8" s="400">
        <f t="shared" si="2"/>
        <v>1016.8819832839054</v>
      </c>
      <c r="T8" s="400">
        <f t="shared" si="2"/>
        <v>1004.5025363015374</v>
      </c>
      <c r="U8" s="400">
        <f t="shared" si="2"/>
        <v>1010.3681897915528</v>
      </c>
      <c r="V8" s="400">
        <f t="shared" si="2"/>
        <v>998.59216989354036</v>
      </c>
      <c r="W8" s="400">
        <f t="shared" si="2"/>
        <v>994.54597844661726</v>
      </c>
      <c r="X8" s="400">
        <f t="shared" si="2"/>
        <v>996.76329072638669</v>
      </c>
      <c r="Y8" s="400">
        <f t="shared" si="2"/>
        <v>1007.1393028827133</v>
      </c>
    </row>
  </sheetData>
  <mergeCells count="1">
    <mergeCell ref="A1:A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EB12-1FD0-4DEE-AE61-7E7285C92B9A}">
  <sheetPr>
    <tabColor rgb="FFFFC000"/>
    <pageSetUpPr fitToPage="1"/>
  </sheetPr>
  <dimension ref="I10:W85"/>
  <sheetViews>
    <sheetView showGridLines="0" topLeftCell="D1" zoomScale="85" zoomScaleNormal="85" workbookViewId="0">
      <selection activeCell="T6" sqref="T6"/>
    </sheetView>
  </sheetViews>
  <sheetFormatPr defaultColWidth="8.08203125" defaultRowHeight="14.5" x14ac:dyDescent="0.35"/>
  <cols>
    <col min="1" max="1" width="3.1640625" style="487" bestFit="1" customWidth="1"/>
    <col min="2" max="2" width="46.58203125" style="487" customWidth="1"/>
    <col min="3" max="3" width="8.08203125" style="487"/>
    <col min="4" max="4" width="13.9140625" style="487" customWidth="1"/>
    <col min="5" max="5" width="11.1640625" style="487" bestFit="1" customWidth="1"/>
    <col min="6" max="6" width="13" style="487" bestFit="1" customWidth="1"/>
    <col min="7" max="7" width="16.33203125" style="487" customWidth="1"/>
    <col min="8" max="11" width="8.08203125" style="487"/>
    <col min="12" max="12" width="11.1640625" style="487" customWidth="1"/>
    <col min="13" max="13" width="8.08203125" style="487"/>
    <col min="14" max="14" width="8.25" style="487" customWidth="1"/>
    <col min="15" max="15" width="12.33203125" style="487" customWidth="1"/>
    <col min="16" max="16" width="12.6640625" style="487" customWidth="1"/>
    <col min="17" max="18" width="8.08203125" style="487"/>
    <col min="19" max="19" width="9.33203125" style="487" bestFit="1" customWidth="1"/>
    <col min="20" max="20" width="12.4140625" style="487" customWidth="1"/>
    <col min="21" max="21" width="8.08203125" style="487"/>
    <col min="22" max="22" width="8.75" style="487" bestFit="1" customWidth="1"/>
    <col min="23" max="23" width="12.08203125" style="487" bestFit="1" customWidth="1"/>
    <col min="24" max="25" width="8.08203125" style="487"/>
    <col min="26" max="26" width="8.08203125" style="487" customWidth="1"/>
    <col min="27" max="16384" width="8.08203125" style="487"/>
  </cols>
  <sheetData>
    <row r="10" spans="19:23" x14ac:dyDescent="0.35">
      <c r="S10" s="485"/>
      <c r="T10" s="485"/>
      <c r="U10" s="486"/>
      <c r="V10" s="485"/>
    </row>
    <row r="11" spans="19:23" x14ac:dyDescent="0.35">
      <c r="S11" s="488"/>
      <c r="T11" s="488"/>
      <c r="U11" s="486"/>
      <c r="V11" s="485"/>
      <c r="W11" s="488"/>
    </row>
    <row r="15" spans="19:23" x14ac:dyDescent="0.35">
      <c r="W15" s="485"/>
    </row>
    <row r="53" spans="15:22" ht="14.9" customHeight="1" x14ac:dyDescent="0.35">
      <c r="O53" s="517"/>
    </row>
    <row r="54" spans="15:22" ht="14.9" customHeight="1" x14ac:dyDescent="0.4">
      <c r="O54" s="517"/>
      <c r="P54" s="489"/>
    </row>
    <row r="55" spans="15:22" ht="14.9" customHeight="1" x14ac:dyDescent="0.35">
      <c r="O55" s="517"/>
    </row>
    <row r="56" spans="15:22" ht="14.9" customHeight="1" x14ac:dyDescent="0.35">
      <c r="O56" s="517"/>
    </row>
    <row r="57" spans="15:22" ht="14.9" customHeight="1" x14ac:dyDescent="0.35">
      <c r="V57" s="517"/>
    </row>
    <row r="58" spans="15:22" x14ac:dyDescent="0.35">
      <c r="V58" s="517"/>
    </row>
    <row r="59" spans="15:22" ht="14.9" customHeight="1" x14ac:dyDescent="0.35">
      <c r="V59" s="517"/>
    </row>
    <row r="61" spans="15:22" x14ac:dyDescent="0.35">
      <c r="V61" s="517"/>
    </row>
    <row r="62" spans="15:22" ht="14.9" customHeight="1" x14ac:dyDescent="0.35">
      <c r="P62" s="490"/>
      <c r="V62" s="517"/>
    </row>
    <row r="63" spans="15:22" ht="14.9" customHeight="1" x14ac:dyDescent="0.35">
      <c r="P63" s="490"/>
      <c r="V63" s="517"/>
    </row>
    <row r="64" spans="15:22" ht="14.9" customHeight="1" x14ac:dyDescent="0.35">
      <c r="T64" s="491"/>
    </row>
    <row r="67" spans="9:9" ht="15" x14ac:dyDescent="0.35">
      <c r="I67" s="492"/>
    </row>
    <row r="72" spans="9:9" ht="15" x14ac:dyDescent="0.35">
      <c r="I72" s="492"/>
    </row>
    <row r="82" spans="16:16" ht="15" x14ac:dyDescent="0.35">
      <c r="P82" s="492"/>
    </row>
    <row r="83" spans="16:16" ht="15" x14ac:dyDescent="0.35">
      <c r="P83" s="492"/>
    </row>
    <row r="84" spans="16:16" ht="15" x14ac:dyDescent="0.35">
      <c r="P84" s="492"/>
    </row>
    <row r="85" spans="16:16" ht="16" x14ac:dyDescent="0.4">
      <c r="P85" s="493"/>
    </row>
  </sheetData>
  <mergeCells count="3">
    <mergeCell ref="O53:O56"/>
    <mergeCell ref="V57:V59"/>
    <mergeCell ref="V61:V63"/>
  </mergeCells>
  <printOptions horizontalCentered="1"/>
  <pageMargins left="0.2" right="0.2" top="0.75" bottom="0.75" header="0.3" footer="0.3"/>
  <pageSetup paperSize="9" scale="56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0D50-0188-4013-9A89-56F98EDC8C27}">
  <dimension ref="A1:Q34"/>
  <sheetViews>
    <sheetView showGridLines="0" topLeftCell="D3" zoomScale="90" zoomScaleNormal="90" workbookViewId="0">
      <pane xSplit="1" ySplit="3" topLeftCell="E6" activePane="bottomRight" state="frozen"/>
      <selection activeCell="B36" sqref="B36"/>
      <selection pane="topRight" activeCell="B36" sqref="B36"/>
      <selection pane="bottomLeft" activeCell="B36" sqref="B36"/>
      <selection pane="bottomRight" activeCell="J18" sqref="J18"/>
    </sheetView>
  </sheetViews>
  <sheetFormatPr defaultColWidth="8.4140625" defaultRowHeight="13" x14ac:dyDescent="0.35"/>
  <cols>
    <col min="1" max="1" width="5.6640625" style="494" hidden="1" customWidth="1"/>
    <col min="2" max="2" width="9.33203125" style="494" hidden="1" customWidth="1"/>
    <col min="3" max="3" width="8.08203125" style="494" hidden="1" customWidth="1"/>
    <col min="4" max="4" width="25.83203125" style="494" bestFit="1" customWidth="1"/>
    <col min="5" max="16" width="7.75" style="494" customWidth="1"/>
    <col min="17" max="16384" width="8.4140625" style="494"/>
  </cols>
  <sheetData>
    <row r="1" spans="1:17" hidden="1" x14ac:dyDescent="0.35"/>
    <row r="2" spans="1:17" hidden="1" x14ac:dyDescent="0.35"/>
    <row r="3" spans="1:17" ht="19.399999999999999" customHeight="1" x14ac:dyDescent="0.35">
      <c r="D3" s="495"/>
      <c r="E3" s="496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</row>
    <row r="4" spans="1:17" s="501" customFormat="1" x14ac:dyDescent="0.35">
      <c r="A4" s="498"/>
      <c r="B4" s="498"/>
      <c r="C4" s="498"/>
      <c r="D4" s="499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</row>
    <row r="5" spans="1:17" s="497" customFormat="1" ht="19.5" customHeight="1" x14ac:dyDescent="0.35">
      <c r="A5" s="502" t="s">
        <v>454</v>
      </c>
      <c r="B5" s="502" t="s">
        <v>455</v>
      </c>
      <c r="C5" s="502" t="s">
        <v>456</v>
      </c>
      <c r="D5" s="502" t="s">
        <v>457</v>
      </c>
      <c r="E5" s="502" t="s">
        <v>458</v>
      </c>
      <c r="F5" s="502">
        <v>2</v>
      </c>
      <c r="G5" s="502">
        <v>3</v>
      </c>
      <c r="H5" s="502">
        <v>4</v>
      </c>
      <c r="I5" s="502">
        <v>5</v>
      </c>
      <c r="J5" s="502">
        <v>6</v>
      </c>
      <c r="K5" s="502">
        <v>7</v>
      </c>
      <c r="L5" s="502">
        <v>8</v>
      </c>
      <c r="M5" s="502">
        <v>9</v>
      </c>
      <c r="N5" s="502">
        <v>10</v>
      </c>
      <c r="O5" s="502">
        <v>11</v>
      </c>
      <c r="P5" s="502">
        <v>12</v>
      </c>
    </row>
    <row r="6" spans="1:17" ht="14" x14ac:dyDescent="0.35">
      <c r="A6" s="503">
        <v>5</v>
      </c>
      <c r="B6" s="504" t="s">
        <v>35</v>
      </c>
      <c r="C6" s="504" t="s">
        <v>459</v>
      </c>
      <c r="D6" s="504" t="s">
        <v>465</v>
      </c>
      <c r="E6" s="505">
        <f>'Chart-Price-BCKQKD'!N3</f>
        <v>1223.3919441021076</v>
      </c>
      <c r="F6" s="505">
        <f>'Chart-Price-BCKQKD'!O3</f>
        <v>1265.1063292133072</v>
      </c>
      <c r="G6" s="505">
        <f>'Chart-Price-BCKQKD'!P3</f>
        <v>1239.3102075906247</v>
      </c>
      <c r="H6" s="505">
        <f>'Chart-Price-BCKQKD'!Q3</f>
        <v>1233.3450388163023</v>
      </c>
      <c r="I6" s="505">
        <f>'Chart-Price-BCKQKD'!R3</f>
        <v>1248.2135659635057</v>
      </c>
      <c r="J6" s="505">
        <f>'Chart-Price-BCKQKD'!S3</f>
        <v>1226.2639665678107</v>
      </c>
      <c r="K6" s="505">
        <f>'Chart-Price-BCKQKD'!T3</f>
        <v>1207.0050726030747</v>
      </c>
      <c r="L6" s="505">
        <f>'Chart-Price-BCKQKD'!U3</f>
        <v>1225.7363795831056</v>
      </c>
      <c r="M6" s="505">
        <f>'Chart-Price-BCKQKD'!V3</f>
        <v>1214.1843397870807</v>
      </c>
      <c r="N6" s="505">
        <f>'Chart-Price-BCKQKD'!W3</f>
        <v>1217.0919568932345</v>
      </c>
      <c r="O6" s="505">
        <f>'Chart-Price-BCKQKD'!X3</f>
        <v>1223.5265814527734</v>
      </c>
      <c r="P6" s="505">
        <f>'Chart-Price-BCKQKD'!Y3</f>
        <v>1241.2786057654266</v>
      </c>
    </row>
    <row r="7" spans="1:17" s="511" customFormat="1" ht="14" x14ac:dyDescent="0.35">
      <c r="A7" s="507">
        <v>9</v>
      </c>
      <c r="B7" s="508"/>
      <c r="C7" s="508"/>
      <c r="D7" s="509" t="s">
        <v>460</v>
      </c>
      <c r="E7" s="510">
        <v>1368.75</v>
      </c>
      <c r="F7" s="510">
        <v>1350</v>
      </c>
      <c r="G7" s="510">
        <v>1360</v>
      </c>
      <c r="H7" s="510">
        <v>1360</v>
      </c>
      <c r="I7" s="510">
        <v>1360</v>
      </c>
      <c r="J7" s="510">
        <v>1360</v>
      </c>
      <c r="K7" s="510">
        <v>1324</v>
      </c>
      <c r="L7" s="510">
        <v>1295</v>
      </c>
      <c r="M7" s="510">
        <v>1275</v>
      </c>
      <c r="N7" s="510">
        <v>1248</v>
      </c>
      <c r="O7" s="510">
        <v>1243.75</v>
      </c>
      <c r="P7" s="510">
        <v>1193.75</v>
      </c>
    </row>
    <row r="8" spans="1:17" ht="14" x14ac:dyDescent="0.35">
      <c r="D8" s="512" t="s">
        <v>461</v>
      </c>
      <c r="E8" s="510">
        <v>827.5</v>
      </c>
      <c r="F8" s="510">
        <v>840</v>
      </c>
      <c r="G8" s="510">
        <v>822.5</v>
      </c>
      <c r="H8" s="510">
        <v>765</v>
      </c>
      <c r="I8" s="510">
        <v>782</v>
      </c>
      <c r="J8" s="510">
        <v>807.5</v>
      </c>
      <c r="K8" s="510">
        <v>802</v>
      </c>
      <c r="L8" s="510">
        <v>795</v>
      </c>
      <c r="M8" s="510">
        <v>782.5</v>
      </c>
      <c r="N8" s="510">
        <v>772</v>
      </c>
      <c r="O8" s="510">
        <v>770</v>
      </c>
      <c r="P8" s="510">
        <v>772.5</v>
      </c>
      <c r="Q8" s="506"/>
    </row>
    <row r="9" spans="1:17" ht="14" x14ac:dyDescent="0.35">
      <c r="D9" s="514" t="s">
        <v>462</v>
      </c>
      <c r="E9" s="513">
        <f t="shared" ref="E9:P9" si="0">E8</f>
        <v>827.5</v>
      </c>
      <c r="F9" s="513">
        <f t="shared" si="0"/>
        <v>840</v>
      </c>
      <c r="G9" s="513">
        <f t="shared" si="0"/>
        <v>822.5</v>
      </c>
      <c r="H9" s="513">
        <f t="shared" si="0"/>
        <v>765</v>
      </c>
      <c r="I9" s="513">
        <f t="shared" si="0"/>
        <v>782</v>
      </c>
      <c r="J9" s="513">
        <f t="shared" si="0"/>
        <v>807.5</v>
      </c>
      <c r="K9" s="513">
        <f t="shared" si="0"/>
        <v>802</v>
      </c>
      <c r="L9" s="513">
        <f t="shared" si="0"/>
        <v>795</v>
      </c>
      <c r="M9" s="513">
        <f t="shared" si="0"/>
        <v>782.5</v>
      </c>
      <c r="N9" s="513">
        <f t="shared" si="0"/>
        <v>772</v>
      </c>
      <c r="O9" s="513">
        <f t="shared" si="0"/>
        <v>770</v>
      </c>
      <c r="P9" s="513">
        <f t="shared" si="0"/>
        <v>772.5</v>
      </c>
    </row>
    <row r="10" spans="1:17" ht="14" x14ac:dyDescent="0.35">
      <c r="D10" s="514" t="s">
        <v>463</v>
      </c>
      <c r="E10" s="513">
        <f t="shared" ref="E10:P10" si="1">E6-E9</f>
        <v>395.89194410210757</v>
      </c>
      <c r="F10" s="513">
        <f t="shared" si="1"/>
        <v>425.10632921330716</v>
      </c>
      <c r="G10" s="513">
        <f t="shared" si="1"/>
        <v>416.81020759062471</v>
      </c>
      <c r="H10" s="513">
        <f t="shared" si="1"/>
        <v>468.34503881630235</v>
      </c>
      <c r="I10" s="513">
        <f t="shared" si="1"/>
        <v>466.21356596350574</v>
      </c>
      <c r="J10" s="513">
        <f t="shared" si="1"/>
        <v>418.76396656781071</v>
      </c>
      <c r="K10" s="513">
        <f t="shared" si="1"/>
        <v>405.00507260307472</v>
      </c>
      <c r="L10" s="513">
        <f t="shared" si="1"/>
        <v>430.73637958310564</v>
      </c>
      <c r="M10" s="513">
        <f t="shared" si="1"/>
        <v>431.68433978708072</v>
      </c>
      <c r="N10" s="513">
        <f t="shared" si="1"/>
        <v>445.09195689323451</v>
      </c>
      <c r="O10" s="513">
        <f t="shared" si="1"/>
        <v>453.52658145277337</v>
      </c>
      <c r="P10" s="513">
        <f t="shared" si="1"/>
        <v>468.77860576542662</v>
      </c>
    </row>
    <row r="11" spans="1:17" x14ac:dyDescent="0.35">
      <c r="D11" s="494" t="s">
        <v>452</v>
      </c>
      <c r="E11" s="506">
        <f t="shared" ref="E11:P11" si="2">E10/E9</f>
        <v>0.47841926779710886</v>
      </c>
      <c r="F11" s="506">
        <f t="shared" si="2"/>
        <v>0.50607896334917524</v>
      </c>
      <c r="G11" s="506">
        <f t="shared" si="2"/>
        <v>0.50676013080927018</v>
      </c>
      <c r="H11" s="506">
        <f t="shared" si="2"/>
        <v>0.61221573701477427</v>
      </c>
      <c r="I11" s="506">
        <f t="shared" si="2"/>
        <v>0.59618103064386929</v>
      </c>
      <c r="J11" s="506">
        <f t="shared" si="2"/>
        <v>0.51859314745239715</v>
      </c>
      <c r="K11" s="506">
        <f t="shared" si="2"/>
        <v>0.50499385611355951</v>
      </c>
      <c r="L11" s="506">
        <f t="shared" si="2"/>
        <v>0.5418067667712021</v>
      </c>
      <c r="M11" s="506">
        <f t="shared" si="2"/>
        <v>0.5516732776831702</v>
      </c>
      <c r="N11" s="506">
        <f t="shared" si="2"/>
        <v>0.57654398561299802</v>
      </c>
      <c r="O11" s="506">
        <f t="shared" si="2"/>
        <v>0.58899556032827716</v>
      </c>
      <c r="P11" s="506">
        <f t="shared" si="2"/>
        <v>0.60683314662191146</v>
      </c>
    </row>
    <row r="12" spans="1:17" x14ac:dyDescent="0.35">
      <c r="D12" s="494" t="s">
        <v>464</v>
      </c>
      <c r="E12" s="515">
        <v>1300</v>
      </c>
      <c r="F12" s="515">
        <v>1300</v>
      </c>
      <c r="G12" s="515">
        <v>1250</v>
      </c>
      <c r="H12" s="515">
        <v>1250</v>
      </c>
      <c r="I12" s="515">
        <v>1250</v>
      </c>
      <c r="J12" s="515">
        <v>1250</v>
      </c>
      <c r="K12" s="515">
        <v>1280</v>
      </c>
      <c r="L12" s="515">
        <v>1280</v>
      </c>
      <c r="M12" s="515">
        <v>1280</v>
      </c>
      <c r="N12" s="515">
        <v>1280</v>
      </c>
      <c r="O12" s="515">
        <v>1280</v>
      </c>
      <c r="P12" s="515">
        <v>1280</v>
      </c>
    </row>
    <row r="29" spans="4:4" x14ac:dyDescent="0.35">
      <c r="D29" s="497"/>
    </row>
    <row r="30" spans="4:4" x14ac:dyDescent="0.35">
      <c r="D30" s="497"/>
    </row>
    <row r="31" spans="4:4" x14ac:dyDescent="0.35">
      <c r="D31" s="497"/>
    </row>
    <row r="32" spans="4:4" x14ac:dyDescent="0.35">
      <c r="D32" s="497"/>
    </row>
    <row r="33" spans="4:4" x14ac:dyDescent="0.35">
      <c r="D33" s="497"/>
    </row>
    <row r="34" spans="4:4" x14ac:dyDescent="0.35">
      <c r="D34" s="516"/>
    </row>
  </sheetData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BÌA</vt:lpstr>
      <vt:lpstr>Giá công thức</vt:lpstr>
      <vt:lpstr>Price</vt:lpstr>
      <vt:lpstr>Biểu đồ</vt:lpstr>
      <vt:lpstr>Vẽ Biểu đồ</vt:lpstr>
      <vt:lpstr>Price_cũ</vt:lpstr>
      <vt:lpstr>General Data</vt:lpstr>
      <vt:lpstr>Note</vt:lpstr>
      <vt:lpstr>||</vt:lpstr>
      <vt:lpstr>Rebate-Suntory</vt:lpstr>
      <vt:lpstr>Ghi chú-Màu</vt:lpstr>
      <vt:lpstr>Chart-Price-BCKQKD</vt:lpstr>
      <vt:lpstr>Chart Suntory</vt:lpstr>
      <vt:lpstr>Ma trận PET</vt:lpstr>
      <vt:lpstr>Code_General_Data</vt:lpstr>
      <vt:lpstr>Code_General_Item</vt:lpstr>
      <vt:lpstr>General_Data</vt:lpstr>
      <vt:lpstr>Month</vt:lpstr>
      <vt:lpstr>'Biểu đồ'!Print_Area</vt:lpstr>
      <vt:lpstr>'Chart Suntory'!Print_Area</vt:lpstr>
      <vt:lpstr>'Giá công thức'!Print_Area</vt:lpstr>
      <vt:lpstr>Price!Print_Area</vt:lpstr>
      <vt:lpstr>'Giá công thức'!Print_Titles</vt:lpstr>
      <vt:lpstr>Price!Print_Titles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Danh, Hoàng Duy</dc:creator>
  <cp:keywords/>
  <dc:description/>
  <cp:lastModifiedBy>Cư, Lê Hoành</cp:lastModifiedBy>
  <cp:revision/>
  <cp:lastPrinted>2025-05-19T05:34:55Z</cp:lastPrinted>
  <dcterms:created xsi:type="dcterms:W3CDTF">2025-01-17T02:58:25Z</dcterms:created>
  <dcterms:modified xsi:type="dcterms:W3CDTF">2026-03-27T08:38:26Z</dcterms:modified>
  <cp:category/>
  <cp:contentStatus/>
</cp:coreProperties>
</file>