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"/>
    </mc:Choice>
  </mc:AlternateContent>
  <xr:revisionPtr revIDLastSave="0" documentId="13_ncr:1_{C9577C42-2C17-4617-8373-3DC6460FCAB7}" xr6:coauthVersionLast="47" xr6:coauthVersionMax="47" xr10:uidLastSave="{00000000-0000-0000-0000-000000000000}"/>
  <bookViews>
    <workbookView xWindow="-110" yWindow="-110" windowWidth="19420" windowHeight="10300" firstSheet="1" activeTab="7" xr2:uid="{D0994AD2-FF20-4734-B6D0-B9F886E7D607}"/>
  </bookViews>
  <sheets>
    <sheet name="General Data" sheetId="3" r:id="rId1"/>
    <sheet name="Chai" sheetId="1" r:id="rId2"/>
    <sheet name="Vảy_A0" sheetId="4" r:id="rId3"/>
    <sheet name="Vảy A1" sheetId="8" r:id="rId4"/>
    <sheet name="Vảy A1_DT" sheetId="9" r:id="rId5"/>
    <sheet name="TP_VND" sheetId="5" r:id="rId6"/>
    <sheet name="TP_USD" sheetId="6" r:id="rId7"/>
    <sheet name="Thành phẩm (Mix)" sheetId="7" r:id="rId8"/>
    <sheet name="Thành phẩm" sheetId="2" r:id="rId9"/>
  </sheets>
  <externalReferences>
    <externalReference r:id="rId10"/>
    <externalReference r:id="rId11"/>
    <externalReference r:id="rId12"/>
  </externalReferences>
  <definedNames>
    <definedName name="Chai_B0">'General Data'!$B$3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4" i="7" l="1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P4" i="7"/>
  <c r="O4" i="7"/>
  <c r="M4" i="7"/>
  <c r="L4" i="7"/>
  <c r="J4" i="7"/>
  <c r="I4" i="7"/>
  <c r="G4" i="7"/>
  <c r="F4" i="7"/>
  <c r="N10" i="7"/>
  <c r="N9" i="7"/>
  <c r="N8" i="7"/>
  <c r="N7" i="7"/>
  <c r="N6" i="7"/>
  <c r="N5" i="7"/>
  <c r="N4" i="7" s="1"/>
  <c r="K10" i="7"/>
  <c r="K9" i="7"/>
  <c r="K8" i="7"/>
  <c r="K7" i="7"/>
  <c r="K6" i="7"/>
  <c r="K5" i="7"/>
  <c r="K4" i="7" s="1"/>
  <c r="H10" i="7"/>
  <c r="H9" i="7"/>
  <c r="H8" i="7"/>
  <c r="H7" i="7"/>
  <c r="H6" i="7"/>
  <c r="H5" i="7"/>
  <c r="H4" i="7" s="1"/>
  <c r="E10" i="7"/>
  <c r="E9" i="7"/>
  <c r="E8" i="7"/>
  <c r="E7" i="7"/>
  <c r="E6" i="7"/>
  <c r="D10" i="7"/>
  <c r="C10" i="7"/>
  <c r="B10" i="7"/>
  <c r="D9" i="7"/>
  <c r="C9" i="7"/>
  <c r="B9" i="7"/>
  <c r="D8" i="7"/>
  <c r="C8" i="7"/>
  <c r="B8" i="7"/>
  <c r="D7" i="7"/>
  <c r="C7" i="7"/>
  <c r="B7" i="7" s="1"/>
  <c r="D6" i="7"/>
  <c r="B6" i="7" s="1"/>
  <c r="C6" i="7"/>
  <c r="E5" i="7"/>
  <c r="E4" i="7" s="1"/>
  <c r="D5" i="7"/>
  <c r="D4" i="7" s="1"/>
  <c r="C5" i="7"/>
  <c r="N20" i="7"/>
  <c r="N19" i="7"/>
  <c r="N18" i="7"/>
  <c r="N17" i="7"/>
  <c r="N16" i="7"/>
  <c r="N15" i="7"/>
  <c r="K20" i="7"/>
  <c r="K19" i="7"/>
  <c r="K18" i="7"/>
  <c r="K17" i="7"/>
  <c r="K16" i="7"/>
  <c r="K15" i="7"/>
  <c r="H20" i="7"/>
  <c r="H19" i="7"/>
  <c r="H18" i="7"/>
  <c r="H17" i="7"/>
  <c r="H16" i="7"/>
  <c r="H15" i="7"/>
  <c r="E20" i="7"/>
  <c r="E19" i="7"/>
  <c r="E18" i="7"/>
  <c r="E17" i="7"/>
  <c r="E16" i="7"/>
  <c r="D20" i="7"/>
  <c r="C20" i="7"/>
  <c r="B20" i="7" s="1"/>
  <c r="D19" i="7"/>
  <c r="C19" i="7"/>
  <c r="B19" i="7" s="1"/>
  <c r="D18" i="7"/>
  <c r="C18" i="7"/>
  <c r="B18" i="7"/>
  <c r="D17" i="7"/>
  <c r="C17" i="7"/>
  <c r="B17" i="7"/>
  <c r="D16" i="7"/>
  <c r="B16" i="7" s="1"/>
  <c r="C16" i="7"/>
  <c r="G15" i="7"/>
  <c r="D15" i="7" s="1"/>
  <c r="F15" i="7"/>
  <c r="G7" i="6"/>
  <c r="G6" i="6"/>
  <c r="G5" i="6"/>
  <c r="G4" i="6"/>
  <c r="G7" i="5"/>
  <c r="G6" i="5"/>
  <c r="G5" i="5"/>
  <c r="G4" i="5"/>
  <c r="B8" i="1"/>
  <c r="G7" i="4"/>
  <c r="F7" i="4"/>
  <c r="E7" i="4"/>
  <c r="D7" i="4"/>
  <c r="C7" i="4"/>
  <c r="G7" i="9"/>
  <c r="F7" i="9"/>
  <c r="E7" i="9"/>
  <c r="D7" i="9"/>
  <c r="B7" i="9" s="1"/>
  <c r="C7" i="9"/>
  <c r="C4" i="7" l="1"/>
  <c r="B5" i="7"/>
  <c r="B4" i="7" s="1"/>
  <c r="C15" i="7"/>
  <c r="B15" i="7" s="1"/>
  <c r="E15" i="7"/>
  <c r="B5" i="1"/>
  <c r="B7" i="1"/>
  <c r="B7" i="4"/>
  <c r="B7" i="8"/>
  <c r="C14" i="3" l="1"/>
  <c r="G8" i="6" l="1"/>
  <c r="G8" i="5"/>
  <c r="F10" i="1"/>
  <c r="G10" i="1"/>
  <c r="E10" i="1"/>
  <c r="D10" i="1"/>
  <c r="C10" i="1"/>
  <c r="B21" i="3"/>
  <c r="E12" i="2"/>
  <c r="D12" i="2"/>
  <c r="C12" i="2"/>
  <c r="B12" i="2"/>
  <c r="B10" i="3"/>
  <c r="E3" i="2"/>
  <c r="D3" i="2"/>
  <c r="C3" i="2"/>
  <c r="G11" i="6" l="1"/>
  <c r="G18" i="6" s="1"/>
  <c r="G14" i="6"/>
  <c r="G21" i="6" s="1"/>
  <c r="G12" i="6"/>
  <c r="G19" i="6" s="1"/>
  <c r="G13" i="6"/>
  <c r="G20" i="6" s="1"/>
  <c r="G15" i="6"/>
  <c r="G22" i="6" s="1"/>
  <c r="G11" i="5"/>
  <c r="G18" i="5" s="1"/>
  <c r="G15" i="5"/>
  <c r="G22" i="5" s="1"/>
  <c r="G12" i="5"/>
  <c r="G19" i="5" s="1"/>
  <c r="G14" i="5"/>
  <c r="G21" i="5" s="1"/>
  <c r="G13" i="5"/>
  <c r="G20" i="5" s="1"/>
  <c r="B10" i="1"/>
  <c r="B3" i="2"/>
  <c r="B11" i="1" l="1"/>
  <c r="B4" i="3"/>
  <c r="B13" i="1"/>
  <c r="B20" i="1" s="1"/>
  <c r="B18" i="1"/>
  <c r="B14" i="1"/>
  <c r="B21" i="1" s="1"/>
  <c r="B12" i="1"/>
  <c r="B19" i="1" s="1"/>
  <c r="B15" i="1"/>
  <c r="B22" i="1" s="1"/>
  <c r="C7" i="5" l="1"/>
  <c r="C7" i="6" l="1"/>
  <c r="G4" i="1" l="1"/>
  <c r="G4" i="4" l="1"/>
  <c r="D4" i="1"/>
  <c r="E4" i="1"/>
  <c r="G6" i="1"/>
  <c r="C4" i="1"/>
  <c r="E6" i="1" l="1"/>
  <c r="D6" i="1"/>
  <c r="C6" i="1"/>
  <c r="G5" i="1"/>
  <c r="E5" i="1"/>
  <c r="C5" i="1"/>
  <c r="C8" i="1" s="1"/>
  <c r="D5" i="1"/>
  <c r="D4" i="4"/>
  <c r="E4" i="4"/>
  <c r="G4" i="8"/>
  <c r="F5" i="1"/>
  <c r="F6" i="1"/>
  <c r="F4" i="1"/>
  <c r="G6" i="4"/>
  <c r="C13" i="1" l="1"/>
  <c r="C20" i="1" s="1"/>
  <c r="C15" i="1"/>
  <c r="C22" i="1" s="1"/>
  <c r="C14" i="1"/>
  <c r="C21" i="1" s="1"/>
  <c r="B5" i="3"/>
  <c r="C11" i="1"/>
  <c r="C18" i="1" s="1"/>
  <c r="E8" i="1"/>
  <c r="C4" i="4"/>
  <c r="C12" i="1"/>
  <c r="C19" i="1" s="1"/>
  <c r="G8" i="1"/>
  <c r="F8" i="1"/>
  <c r="F13" i="1" s="1"/>
  <c r="F20" i="1" s="1"/>
  <c r="D8" i="1"/>
  <c r="D12" i="1" s="1"/>
  <c r="D19" i="1" s="1"/>
  <c r="F4" i="4"/>
  <c r="F5" i="4"/>
  <c r="F6" i="4"/>
  <c r="E4" i="8"/>
  <c r="D5" i="4"/>
  <c r="D4" i="8"/>
  <c r="C5" i="4"/>
  <c r="G6" i="8"/>
  <c r="E5" i="4"/>
  <c r="G5" i="4"/>
  <c r="F11" i="1" l="1"/>
  <c r="F18" i="1" s="1"/>
  <c r="F8" i="4"/>
  <c r="F13" i="4" s="1"/>
  <c r="F20" i="4" s="1"/>
  <c r="G8" i="4"/>
  <c r="G12" i="4" s="1"/>
  <c r="G19" i="4" s="1"/>
  <c r="E13" i="1"/>
  <c r="E20" i="1" s="1"/>
  <c r="E14" i="1"/>
  <c r="E21" i="1" s="1"/>
  <c r="E15" i="1"/>
  <c r="E22" i="1" s="1"/>
  <c r="B7" i="3"/>
  <c r="D5" i="3" s="1"/>
  <c r="E11" i="1"/>
  <c r="E18" i="1" s="1"/>
  <c r="C6" i="4"/>
  <c r="F12" i="1"/>
  <c r="F19" i="1" s="1"/>
  <c r="F15" i="1"/>
  <c r="F22" i="1" s="1"/>
  <c r="F14" i="1"/>
  <c r="F21" i="1" s="1"/>
  <c r="B8" i="3"/>
  <c r="G14" i="1"/>
  <c r="G21" i="1" s="1"/>
  <c r="B9" i="3"/>
  <c r="G15" i="1"/>
  <c r="G22" i="1" s="1"/>
  <c r="G11" i="1"/>
  <c r="G18" i="1" s="1"/>
  <c r="G13" i="1"/>
  <c r="G20" i="1" s="1"/>
  <c r="E6" i="8"/>
  <c r="E6" i="4"/>
  <c r="B5" i="4"/>
  <c r="B4" i="4"/>
  <c r="D13" i="1"/>
  <c r="D20" i="1" s="1"/>
  <c r="B6" i="3"/>
  <c r="D15" i="1"/>
  <c r="D22" i="1" s="1"/>
  <c r="D14" i="1"/>
  <c r="D21" i="1" s="1"/>
  <c r="D11" i="1"/>
  <c r="D18" i="1" s="1"/>
  <c r="E12" i="1"/>
  <c r="E19" i="1" s="1"/>
  <c r="D6" i="8"/>
  <c r="D6" i="4"/>
  <c r="D8" i="4" s="1"/>
  <c r="D12" i="4" s="1"/>
  <c r="D19" i="4" s="1"/>
  <c r="G4" i="9"/>
  <c r="G12" i="1"/>
  <c r="G19" i="1" s="1"/>
  <c r="G6" i="9"/>
  <c r="D5" i="8"/>
  <c r="D6" i="9"/>
  <c r="G5" i="8"/>
  <c r="F6" i="8"/>
  <c r="F5" i="8"/>
  <c r="E5" i="8"/>
  <c r="F4" i="8"/>
  <c r="F11" i="4" l="1"/>
  <c r="F18" i="4" s="1"/>
  <c r="F12" i="4"/>
  <c r="F19" i="4" s="1"/>
  <c r="E6" i="9"/>
  <c r="D9" i="3"/>
  <c r="D4" i="9"/>
  <c r="G8" i="8"/>
  <c r="G12" i="8" s="1"/>
  <c r="G19" i="8" s="1"/>
  <c r="E4" i="9"/>
  <c r="D14" i="4"/>
  <c r="D21" i="4" s="1"/>
  <c r="D15" i="4"/>
  <c r="D22" i="4" s="1"/>
  <c r="B17" i="3"/>
  <c r="D9" i="4"/>
  <c r="D10" i="4" s="1"/>
  <c r="D11" i="4"/>
  <c r="D18" i="4" s="1"/>
  <c r="C8" i="4"/>
  <c r="C13" i="4" s="1"/>
  <c r="C20" i="4" s="1"/>
  <c r="B6" i="4"/>
  <c r="B8" i="4" s="1"/>
  <c r="B11" i="4" s="1"/>
  <c r="B18" i="4" s="1"/>
  <c r="D10" i="3"/>
  <c r="D7" i="3"/>
  <c r="D4" i="3"/>
  <c r="D8" i="8"/>
  <c r="D13" i="8" s="1"/>
  <c r="D20" i="8" s="1"/>
  <c r="D6" i="3"/>
  <c r="E8" i="4"/>
  <c r="D8" i="3"/>
  <c r="B20" i="3"/>
  <c r="G9" i="4"/>
  <c r="G10" i="4" s="1"/>
  <c r="G15" i="4"/>
  <c r="G22" i="4" s="1"/>
  <c r="G14" i="4"/>
  <c r="G21" i="4" s="1"/>
  <c r="G11" i="4"/>
  <c r="G18" i="4" s="1"/>
  <c r="G13" i="4"/>
  <c r="G20" i="4" s="1"/>
  <c r="D13" i="4"/>
  <c r="D20" i="4" s="1"/>
  <c r="F8" i="8"/>
  <c r="F13" i="8" s="1"/>
  <c r="F20" i="8" s="1"/>
  <c r="F11" i="8"/>
  <c r="F18" i="8" s="1"/>
  <c r="E8" i="8"/>
  <c r="E13" i="8" s="1"/>
  <c r="E20" i="8" s="1"/>
  <c r="F9" i="4"/>
  <c r="F10" i="4" s="1"/>
  <c r="B19" i="3"/>
  <c r="F14" i="4"/>
  <c r="F21" i="4" s="1"/>
  <c r="F15" i="4"/>
  <c r="F22" i="4" s="1"/>
  <c r="E5" i="9"/>
  <c r="F6" i="9"/>
  <c r="G5" i="9"/>
  <c r="G8" i="9" s="1"/>
  <c r="D17" i="3" l="1"/>
  <c r="G9" i="9"/>
  <c r="G10" i="9" s="1"/>
  <c r="G14" i="9"/>
  <c r="G21" i="9" s="1"/>
  <c r="G15" i="9"/>
  <c r="G22" i="9" s="1"/>
  <c r="G11" i="9"/>
  <c r="G18" i="9" s="1"/>
  <c r="G13" i="9"/>
  <c r="G20" i="9" s="1"/>
  <c r="B9" i="4"/>
  <c r="B10" i="4" s="1"/>
  <c r="B15" i="3"/>
  <c r="D15" i="3" s="1"/>
  <c r="B14" i="4"/>
  <c r="B21" i="4" s="1"/>
  <c r="B15" i="4"/>
  <c r="B22" i="4" s="1"/>
  <c r="E9" i="4"/>
  <c r="E10" i="4" s="1"/>
  <c r="B18" i="3"/>
  <c r="D18" i="3" s="1"/>
  <c r="E14" i="4"/>
  <c r="E21" i="4" s="1"/>
  <c r="E15" i="4"/>
  <c r="E22" i="4" s="1"/>
  <c r="E11" i="4"/>
  <c r="E18" i="4" s="1"/>
  <c r="E12" i="4"/>
  <c r="E19" i="4" s="1"/>
  <c r="E15" i="8"/>
  <c r="E22" i="8" s="1"/>
  <c r="E14" i="8"/>
  <c r="E21" i="8" s="1"/>
  <c r="E11" i="8"/>
  <c r="E18" i="8" s="1"/>
  <c r="F4" i="9"/>
  <c r="G12" i="9"/>
  <c r="G19" i="9" s="1"/>
  <c r="F5" i="9"/>
  <c r="D20" i="3"/>
  <c r="B12" i="4"/>
  <c r="B19" i="4" s="1"/>
  <c r="B13" i="4"/>
  <c r="B20" i="4" s="1"/>
  <c r="D14" i="8"/>
  <c r="D21" i="8" s="1"/>
  <c r="D15" i="8"/>
  <c r="D22" i="8" s="1"/>
  <c r="D11" i="8"/>
  <c r="D18" i="8" s="1"/>
  <c r="D19" i="3"/>
  <c r="D21" i="3"/>
  <c r="D5" i="9"/>
  <c r="D12" i="8"/>
  <c r="D19" i="8" s="1"/>
  <c r="E8" i="9"/>
  <c r="E11" i="9"/>
  <c r="E18" i="9" s="1"/>
  <c r="F15" i="8"/>
  <c r="F22" i="8" s="1"/>
  <c r="F14" i="8"/>
  <c r="F21" i="8" s="1"/>
  <c r="G15" i="8"/>
  <c r="G22" i="8" s="1"/>
  <c r="G14" i="8"/>
  <c r="G21" i="8" s="1"/>
  <c r="G11" i="8"/>
  <c r="G18" i="8" s="1"/>
  <c r="G13" i="8"/>
  <c r="G20" i="8" s="1"/>
  <c r="E13" i="4"/>
  <c r="E20" i="4" s="1"/>
  <c r="F12" i="8"/>
  <c r="F19" i="8" s="1"/>
  <c r="C9" i="4"/>
  <c r="C10" i="4" s="1"/>
  <c r="B16" i="3"/>
  <c r="D16" i="3" s="1"/>
  <c r="C14" i="4"/>
  <c r="C21" i="4" s="1"/>
  <c r="C15" i="4"/>
  <c r="C22" i="4" s="1"/>
  <c r="C12" i="4"/>
  <c r="C19" i="4" s="1"/>
  <c r="C11" i="4"/>
  <c r="C18" i="4" s="1"/>
  <c r="E12" i="8"/>
  <c r="E19" i="8" s="1"/>
  <c r="D8" i="9" l="1"/>
  <c r="E9" i="9"/>
  <c r="E10" i="9" s="1"/>
  <c r="E15" i="9"/>
  <c r="E22" i="9" s="1"/>
  <c r="E14" i="9"/>
  <c r="E21" i="9" s="1"/>
  <c r="E13" i="9"/>
  <c r="E20" i="9" s="1"/>
  <c r="E12" i="9"/>
  <c r="E19" i="9" s="1"/>
  <c r="F8" i="9"/>
  <c r="F12" i="9" s="1"/>
  <c r="F19" i="9" s="1"/>
  <c r="F11" i="9"/>
  <c r="F18" i="9" s="1"/>
  <c r="F14" i="9" l="1"/>
  <c r="F21" i="9" s="1"/>
  <c r="F9" i="9"/>
  <c r="F10" i="9" s="1"/>
  <c r="F15" i="9"/>
  <c r="F22" i="9" s="1"/>
  <c r="F13" i="9"/>
  <c r="F20" i="9" s="1"/>
  <c r="D9" i="9"/>
  <c r="D10" i="9" s="1"/>
  <c r="D14" i="9"/>
  <c r="D21" i="9" s="1"/>
  <c r="D15" i="9"/>
  <c r="D22" i="9" s="1"/>
  <c r="D13" i="9"/>
  <c r="D20" i="9" s="1"/>
  <c r="D11" i="9"/>
  <c r="D18" i="9" s="1"/>
  <c r="D12" i="9"/>
  <c r="D19" i="9" s="1"/>
  <c r="C6" i="8" l="1"/>
  <c r="B6" i="8" l="1"/>
  <c r="C4" i="8"/>
  <c r="C5" i="8"/>
  <c r="B5" i="8" l="1"/>
  <c r="B4" i="8"/>
  <c r="C8" i="8"/>
  <c r="C11" i="8" s="1"/>
  <c r="C18" i="8" s="1"/>
  <c r="C4" i="9"/>
  <c r="C6" i="9"/>
  <c r="C5" i="9"/>
  <c r="C14" i="8" l="1"/>
  <c r="C21" i="8" s="1"/>
  <c r="C15" i="8"/>
  <c r="C22" i="8" s="1"/>
  <c r="C13" i="8"/>
  <c r="C20" i="8" s="1"/>
  <c r="C8" i="9"/>
  <c r="B4" i="9"/>
  <c r="B5" i="9"/>
  <c r="B8" i="8"/>
  <c r="B11" i="8" s="1"/>
  <c r="B18" i="8" s="1"/>
  <c r="C12" i="8"/>
  <c r="C19" i="8" s="1"/>
  <c r="B6" i="9"/>
  <c r="C11" i="9" l="1"/>
  <c r="C18" i="9" s="1"/>
  <c r="C12" i="9"/>
  <c r="C19" i="9" s="1"/>
  <c r="C13" i="9"/>
  <c r="C20" i="9" s="1"/>
  <c r="B12" i="8"/>
  <c r="B19" i="8" s="1"/>
  <c r="B8" i="9"/>
  <c r="B15" i="8"/>
  <c r="B22" i="8" s="1"/>
  <c r="B14" i="8"/>
  <c r="B21" i="8" s="1"/>
  <c r="B13" i="8"/>
  <c r="B20" i="8" s="1"/>
  <c r="C9" i="9"/>
  <c r="C10" i="9" s="1"/>
  <c r="C14" i="9"/>
  <c r="C21" i="9" s="1"/>
  <c r="C15" i="9"/>
  <c r="C22" i="9" s="1"/>
  <c r="B13" i="9"/>
  <c r="B20" i="9" s="1"/>
  <c r="C5" i="5"/>
  <c r="C6" i="5"/>
  <c r="C4" i="5"/>
  <c r="C4" i="6" l="1"/>
  <c r="C8" i="5"/>
  <c r="C12" i="5" s="1"/>
  <c r="C19" i="5" s="1"/>
  <c r="C6" i="6"/>
  <c r="B11" i="9"/>
  <c r="B18" i="9" s="1"/>
  <c r="B9" i="9"/>
  <c r="B10" i="9" s="1"/>
  <c r="B15" i="9"/>
  <c r="B22" i="9" s="1"/>
  <c r="B14" i="9"/>
  <c r="B21" i="9" s="1"/>
  <c r="C5" i="6"/>
  <c r="B12" i="9"/>
  <c r="B19" i="9" s="1"/>
  <c r="D7" i="5"/>
  <c r="D4" i="5"/>
  <c r="E6" i="5"/>
  <c r="E5" i="5"/>
  <c r="E4" i="5"/>
  <c r="D5" i="5"/>
  <c r="C13" i="5" l="1"/>
  <c r="C20" i="5" s="1"/>
  <c r="E7" i="5"/>
  <c r="E7" i="6" s="1"/>
  <c r="D7" i="6"/>
  <c r="C8" i="6"/>
  <c r="C13" i="6" s="1"/>
  <c r="C20" i="6" s="1"/>
  <c r="E5" i="6"/>
  <c r="E6" i="6"/>
  <c r="C11" i="5"/>
  <c r="C18" i="5" s="1"/>
  <c r="C9" i="5"/>
  <c r="C10" i="5" s="1"/>
  <c r="C15" i="5"/>
  <c r="C22" i="5" s="1"/>
  <c r="C14" i="5"/>
  <c r="C21" i="5" s="1"/>
  <c r="D6" i="5"/>
  <c r="D8" i="5" s="1"/>
  <c r="D5" i="6"/>
  <c r="E4" i="6"/>
  <c r="D4" i="6"/>
  <c r="F4" i="5"/>
  <c r="F5" i="5"/>
  <c r="F6" i="5"/>
  <c r="F7" i="5" l="1"/>
  <c r="F7" i="6" s="1"/>
  <c r="B7" i="6" s="1"/>
  <c r="D14" i="5"/>
  <c r="D21" i="5" s="1"/>
  <c r="D11" i="5"/>
  <c r="D18" i="5" s="1"/>
  <c r="C12" i="6"/>
  <c r="C19" i="6" s="1"/>
  <c r="F6" i="6"/>
  <c r="F5" i="6"/>
  <c r="D9" i="5"/>
  <c r="D10" i="5" s="1"/>
  <c r="D15" i="5"/>
  <c r="D22" i="5" s="1"/>
  <c r="E8" i="5"/>
  <c r="E8" i="6"/>
  <c r="E12" i="6" s="1"/>
  <c r="E19" i="6" s="1"/>
  <c r="F4" i="6"/>
  <c r="F8" i="5"/>
  <c r="F11" i="5" s="1"/>
  <c r="F18" i="5" s="1"/>
  <c r="B4" i="5"/>
  <c r="C11" i="6"/>
  <c r="C18" i="6" s="1"/>
  <c r="C15" i="6"/>
  <c r="C22" i="6" s="1"/>
  <c r="C14" i="6"/>
  <c r="C21" i="6" s="1"/>
  <c r="B7" i="5"/>
  <c r="D6" i="6"/>
  <c r="D8" i="6" s="1"/>
  <c r="D13" i="5"/>
  <c r="D20" i="5" s="1"/>
  <c r="B6" i="5"/>
  <c r="D12" i="5"/>
  <c r="D19" i="5" s="1"/>
  <c r="B5" i="5"/>
  <c r="E11" i="6" l="1"/>
  <c r="E18" i="6" s="1"/>
  <c r="D12" i="6"/>
  <c r="D19" i="6" s="1"/>
  <c r="D11" i="6"/>
  <c r="D18" i="6" s="1"/>
  <c r="B8" i="5"/>
  <c r="F15" i="5"/>
  <c r="F22" i="5" s="1"/>
  <c r="F9" i="5"/>
  <c r="F10" i="5" s="1"/>
  <c r="B5" i="6"/>
  <c r="D14" i="6"/>
  <c r="D21" i="6" s="1"/>
  <c r="D15" i="6"/>
  <c r="D22" i="6" s="1"/>
  <c r="E14" i="5"/>
  <c r="E21" i="5" s="1"/>
  <c r="E9" i="5"/>
  <c r="E10" i="5" s="1"/>
  <c r="E15" i="5"/>
  <c r="E22" i="5" s="1"/>
  <c r="E12" i="5"/>
  <c r="E19" i="5" s="1"/>
  <c r="E11" i="5"/>
  <c r="E18" i="5" s="1"/>
  <c r="E13" i="5"/>
  <c r="E20" i="5" s="1"/>
  <c r="D13" i="6"/>
  <c r="D20" i="6" s="1"/>
  <c r="B6" i="6"/>
  <c r="F12" i="5"/>
  <c r="F19" i="5" s="1"/>
  <c r="B4" i="6"/>
  <c r="E14" i="6"/>
  <c r="E21" i="6" s="1"/>
  <c r="E15" i="6"/>
  <c r="E22" i="6" s="1"/>
  <c r="E13" i="6"/>
  <c r="E20" i="6" s="1"/>
  <c r="F14" i="5"/>
  <c r="F21" i="5" s="1"/>
  <c r="F13" i="5"/>
  <c r="F20" i="5" s="1"/>
  <c r="F8" i="6"/>
  <c r="F15" i="6" s="1"/>
  <c r="F22" i="6" s="1"/>
  <c r="B14" i="5" l="1"/>
  <c r="B21" i="5" s="1"/>
  <c r="B13" i="5"/>
  <c r="B20" i="5" s="1"/>
  <c r="B12" i="5"/>
  <c r="B19" i="5" s="1"/>
  <c r="B15" i="5"/>
  <c r="B22" i="5" s="1"/>
  <c r="B9" i="5"/>
  <c r="B10" i="5" s="1"/>
  <c r="F11" i="6"/>
  <c r="F18" i="6" s="1"/>
  <c r="B11" i="5"/>
  <c r="B18" i="5" s="1"/>
  <c r="B8" i="6"/>
  <c r="F14" i="6"/>
  <c r="F21" i="6" s="1"/>
  <c r="F12" i="6"/>
  <c r="F19" i="6" s="1"/>
  <c r="F13" i="6"/>
  <c r="F20" i="6" s="1"/>
  <c r="B11" i="6" l="1"/>
  <c r="B18" i="6" s="1"/>
  <c r="B12" i="6"/>
  <c r="B19" i="6" s="1"/>
  <c r="B13" i="6"/>
  <c r="B20" i="6" s="1"/>
  <c r="B14" i="6"/>
  <c r="B21" i="6" s="1"/>
  <c r="B15" i="6"/>
  <c r="B22" i="6" s="1"/>
</calcChain>
</file>

<file path=xl/sharedStrings.xml><?xml version="1.0" encoding="utf-8"?>
<sst xmlns="http://schemas.openxmlformats.org/spreadsheetml/2006/main" count="242" uniqueCount="42">
  <si>
    <t>Chai B0</t>
  </si>
  <si>
    <t>Chai B1</t>
  </si>
  <si>
    <t>Trạm</t>
  </si>
  <si>
    <t>Chai B2</t>
  </si>
  <si>
    <t>Chai B4</t>
  </si>
  <si>
    <t>Chai B5</t>
  </si>
  <si>
    <t>Chai B6</t>
  </si>
  <si>
    <t>Chi phí hao hụt</t>
  </si>
  <si>
    <t>Chi phí sản xuất</t>
  </si>
  <si>
    <t>Chi phí khác</t>
  </si>
  <si>
    <t>Tổng</t>
  </si>
  <si>
    <t>Chai-Trung bình</t>
  </si>
  <si>
    <t>Tỷ lệ</t>
  </si>
  <si>
    <t>Label</t>
  </si>
  <si>
    <t>WSS01G</t>
  </si>
  <si>
    <t>Tỷ lệ chai</t>
  </si>
  <si>
    <t>iSS01048G</t>
  </si>
  <si>
    <t>iSS01G</t>
  </si>
  <si>
    <t>WSS03G</t>
  </si>
  <si>
    <t>Chai B7</t>
  </si>
  <si>
    <t>ĐƠN GIÁ CHAI</t>
  </si>
  <si>
    <t>Tỷ lệ Hao Hụt</t>
  </si>
  <si>
    <t>ĐƠN GIÁ VẢY</t>
  </si>
  <si>
    <t>Vảy-Trung bình</t>
  </si>
  <si>
    <t>Vảy B1</t>
  </si>
  <si>
    <t>Vảy B2</t>
  </si>
  <si>
    <t>Vảy B4</t>
  </si>
  <si>
    <t>Vảy B5</t>
  </si>
  <si>
    <t>Vảy B6</t>
  </si>
  <si>
    <t>Vảy BX</t>
  </si>
  <si>
    <t>Tỷ lệ Vảy</t>
  </si>
  <si>
    <t>Vảy B7</t>
  </si>
  <si>
    <t>Hạt-Trung bình</t>
  </si>
  <si>
    <t>Nhựa</t>
  </si>
  <si>
    <t>Phó sản thu hồi</t>
  </si>
  <si>
    <t>Hệ số quy đổi</t>
  </si>
  <si>
    <t xml:space="preserve">Tổng </t>
  </si>
  <si>
    <t>DT</t>
  </si>
  <si>
    <t>MN</t>
  </si>
  <si>
    <t>TC</t>
  </si>
  <si>
    <r>
      <t>Vảy B</t>
    </r>
    <r>
      <rPr>
        <sz val="11"/>
        <color rgb="FF1905AD"/>
        <rFont val="Aptos Display"/>
        <family val="2"/>
        <scheme val="major"/>
      </rPr>
      <t>X</t>
    </r>
  </si>
  <si>
    <t>WSS03NC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</si>
</sst>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9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/>
      <name val="Aptos Display"/>
      <family val="2"/>
      <scheme val="major"/>
    </font>
    <font>
      <b/>
      <sz val="11"/>
      <color rgb="FFFF33CC"/>
      <name val="Aptos Display"/>
      <family val="2"/>
      <scheme val="major"/>
    </font>
    <font>
      <sz val="11"/>
      <color rgb="FFFF33CC"/>
      <name val="Aptos Display"/>
      <family val="2"/>
      <scheme val="major"/>
    </font>
    <font>
      <b/>
      <sz val="11"/>
      <color rgb="FF0070C0"/>
      <name val="Aptos Display"/>
      <family val="2"/>
      <scheme val="major"/>
    </font>
    <font>
      <sz val="11"/>
      <color rgb="FF1905AD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FF33CC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/>
      <bottom style="thick">
        <color theme="6" tint="0.399945066682943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164" fontId="0" fillId="0" borderId="0" xfId="1" applyNumberFormat="1" applyFont="1"/>
    <xf numFmtId="0" fontId="3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5" fontId="5" fillId="0" borderId="0" xfId="0" applyNumberFormat="1" applyFont="1"/>
    <xf numFmtId="0" fontId="3" fillId="3" borderId="0" xfId="0" applyFont="1" applyFill="1"/>
    <xf numFmtId="164" fontId="3" fillId="3" borderId="0" xfId="1" applyNumberFormat="1" applyFont="1" applyFill="1"/>
    <xf numFmtId="0" fontId="0" fillId="4" borderId="0" xfId="0" applyFill="1"/>
    <xf numFmtId="0" fontId="3" fillId="4" borderId="0" xfId="0" applyFont="1" applyFill="1"/>
    <xf numFmtId="0" fontId="5" fillId="0" borderId="3" xfId="0" applyFont="1" applyBorder="1"/>
    <xf numFmtId="0" fontId="6" fillId="0" borderId="3" xfId="0" applyFont="1" applyBorder="1"/>
    <xf numFmtId="0" fontId="3" fillId="4" borderId="2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4" xfId="0" applyBorder="1"/>
    <xf numFmtId="164" fontId="0" fillId="0" borderId="4" xfId="1" applyNumberFormat="1" applyFont="1" applyBorder="1"/>
    <xf numFmtId="0" fontId="0" fillId="0" borderId="5" xfId="0" applyBorder="1"/>
    <xf numFmtId="0" fontId="0" fillId="0" borderId="6" xfId="0" applyBorder="1"/>
    <xf numFmtId="0" fontId="3" fillId="0" borderId="4" xfId="0" applyFont="1" applyBorder="1"/>
    <xf numFmtId="165" fontId="3" fillId="0" borderId="4" xfId="0" applyNumberFormat="1" applyFont="1" applyBorder="1"/>
    <xf numFmtId="165" fontId="0" fillId="0" borderId="5" xfId="0" applyNumberFormat="1" applyBorder="1"/>
    <xf numFmtId="0" fontId="7" fillId="0" borderId="0" xfId="0" applyFont="1"/>
    <xf numFmtId="0" fontId="7" fillId="0" borderId="7" xfId="0" applyFont="1" applyBorder="1"/>
    <xf numFmtId="164" fontId="0" fillId="3" borderId="5" xfId="1" applyNumberFormat="1" applyFont="1" applyFill="1" applyBorder="1"/>
    <xf numFmtId="164" fontId="0" fillId="3" borderId="6" xfId="1" applyNumberFormat="1" applyFont="1" applyFill="1" applyBorder="1"/>
    <xf numFmtId="0" fontId="0" fillId="3" borderId="0" xfId="0" applyFill="1"/>
    <xf numFmtId="164" fontId="0" fillId="3" borderId="0" xfId="1" applyNumberFormat="1" applyFont="1" applyFill="1"/>
    <xf numFmtId="9" fontId="0" fillId="0" borderId="0" xfId="0" applyNumberFormat="1"/>
    <xf numFmtId="9" fontId="6" fillId="5" borderId="3" xfId="2" applyFont="1" applyFill="1" applyBorder="1"/>
    <xf numFmtId="9" fontId="6" fillId="5" borderId="3" xfId="0" applyNumberFormat="1" applyFont="1" applyFill="1" applyBorder="1"/>
    <xf numFmtId="2" fontId="0" fillId="0" borderId="0" xfId="0" applyNumberFormat="1"/>
    <xf numFmtId="0" fontId="6" fillId="0" borderId="4" xfId="0" applyFont="1" applyBorder="1"/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/>
    <xf numFmtId="0" fontId="4" fillId="9" borderId="0" xfId="0" applyFont="1" applyFill="1" applyAlignment="1">
      <alignment horizontal="center"/>
    </xf>
    <xf numFmtId="43" fontId="0" fillId="0" borderId="0" xfId="0" applyNumberFormat="1"/>
    <xf numFmtId="165" fontId="6" fillId="0" borderId="3" xfId="2" applyNumberFormat="1" applyFont="1" applyBorder="1"/>
    <xf numFmtId="0" fontId="2" fillId="2" borderId="0" xfId="0" applyFont="1" applyFill="1"/>
    <xf numFmtId="0" fontId="2" fillId="10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41892"/>
      <color rgb="FFFF33CC"/>
      <color rgb="FFFFFF99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/>
                </a:solidFill>
              </a:rPr>
              <a:t>ĐƠN</a:t>
            </a:r>
            <a:r>
              <a:rPr lang="en-US" sz="1800" b="1" baseline="0">
                <a:solidFill>
                  <a:schemeClr val="accent2"/>
                </a:solidFill>
              </a:rPr>
              <a:t> GIÁ CHAI TỪ TRẠM</a:t>
            </a:r>
            <a:endParaRPr lang="en-US" sz="18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282241179862942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345655757893043E-2"/>
          <c:y val="0.2562913550696107"/>
          <c:w val="0.9473086884842139"/>
          <c:h val="0.631588313444457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Chai!$A$4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A338D2B-06E1-47D9-9A4E-FA28143D8A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82B-4DB5-99CC-D700B7F52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767553F-365F-42DA-BEF3-C8D0BB9D61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82B-4DB5-99CC-D700B7F52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84C8021-CDBC-4502-B4F6-FB87007555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82B-4DB5-99CC-D700B7F52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FB0E136-6C69-4999-B20D-E6296CFA93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82B-4DB5-99CC-D700B7F52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A3F5B2C-7596-428A-B863-BF1CE7FF9A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82B-4DB5-99CC-D700B7F52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8C9F952-67B4-45F8-96DC-8FD5BE667E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82B-4DB5-99CC-D700B7F52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Chai!$B$3:$G$3</c:f>
              <c:strCache>
                <c:ptCount val="6"/>
                <c:pt idx="0">
                  <c:v>Chai-Trung bình</c:v>
                </c:pt>
                <c:pt idx="1">
                  <c:v>Chai B1</c:v>
                </c:pt>
                <c:pt idx="2">
                  <c:v>Chai B2</c:v>
                </c:pt>
                <c:pt idx="3">
                  <c:v>Chai B4</c:v>
                </c:pt>
                <c:pt idx="4">
                  <c:v>Chai B5</c:v>
                </c:pt>
                <c:pt idx="5">
                  <c:v>Chai B6</c:v>
                </c:pt>
              </c:strCache>
            </c:strRef>
          </c:cat>
          <c:val>
            <c:numRef>
              <c:f>Chai!$B$4:$G$4</c:f>
              <c:numCache>
                <c:formatCode>_(* #,##0_);_(* \(#,##0\);_(* "-"??_);_(@_)</c:formatCode>
                <c:ptCount val="6"/>
                <c:pt idx="0">
                  <c:v>11300</c:v>
                </c:pt>
                <c:pt idx="1">
                  <c:v>11794.450373532554</c:v>
                </c:pt>
                <c:pt idx="2">
                  <c:v>10709.071504802563</c:v>
                </c:pt>
                <c:pt idx="3">
                  <c:v>9623.692636072572</c:v>
                </c:pt>
                <c:pt idx="4">
                  <c:v>9623.692636072572</c:v>
                </c:pt>
                <c:pt idx="5">
                  <c:v>10709.071504802563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Chai!$B$18:$G$18</c15:f>
                <c15:dlblRangeCache>
                  <c:ptCount val="6"/>
                  <c:pt idx="0">
                    <c:v>11,300 | 
73.2%</c:v>
                  </c:pt>
                  <c:pt idx="1">
                    <c:v>11,794 | 
71.1%</c:v>
                  </c:pt>
                  <c:pt idx="2">
                    <c:v>10,709 | 
71.1%</c:v>
                  </c:pt>
                  <c:pt idx="3">
                    <c:v>9,624 | 
71.1%</c:v>
                  </c:pt>
                  <c:pt idx="4">
                    <c:v>9,624 | 
71.1%</c:v>
                  </c:pt>
                  <c:pt idx="5">
                    <c:v>10,709 | 
71.1%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82B-4DB5-99CC-D700B7F52726}"/>
            </c:ext>
          </c:extLst>
        </c:ser>
        <c:ser>
          <c:idx val="1"/>
          <c:order val="1"/>
          <c:tx>
            <c:strRef>
              <c:f>Chai!$A$5</c:f>
              <c:strCache>
                <c:ptCount val="1"/>
                <c:pt idx="0">
                  <c:v>Chi phí hao hụt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B17A446-1129-432C-8878-3E15E7434B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82B-4DB5-99CC-D700B7F52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F4FD4A-A856-474B-9EA2-C0DEAEFDF2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82B-4DB5-99CC-D700B7F52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D749F8C-A032-4669-823B-C22AC73DFD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82B-4DB5-99CC-D700B7F52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865ADEA-A286-4722-BCE6-B9F5C9593C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82B-4DB5-99CC-D700B7F52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B72A77F-0735-47BD-8A5C-C986053E8A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82B-4DB5-99CC-D700B7F52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067392D-982E-4FF6-B218-EC9230C4D4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82B-4DB5-99CC-D700B7F52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Chai!$B$3:$G$3</c:f>
              <c:strCache>
                <c:ptCount val="6"/>
                <c:pt idx="0">
                  <c:v>Chai-Trung bình</c:v>
                </c:pt>
                <c:pt idx="1">
                  <c:v>Chai B1</c:v>
                </c:pt>
                <c:pt idx="2">
                  <c:v>Chai B2</c:v>
                </c:pt>
                <c:pt idx="3">
                  <c:v>Chai B4</c:v>
                </c:pt>
                <c:pt idx="4">
                  <c:v>Chai B5</c:v>
                </c:pt>
                <c:pt idx="5">
                  <c:v>Chai B6</c:v>
                </c:pt>
              </c:strCache>
            </c:strRef>
          </c:cat>
          <c:val>
            <c:numRef>
              <c:f>Chai!$B$5:$G$5</c:f>
              <c:numCache>
                <c:formatCode>_(* #,##0_);_(* \(#,##0\);_(* "-"??_);_(@_)</c:formatCode>
                <c:ptCount val="6"/>
                <c:pt idx="0">
                  <c:v>1130</c:v>
                </c:pt>
                <c:pt idx="1">
                  <c:v>1658.4133760227683</c:v>
                </c:pt>
                <c:pt idx="2">
                  <c:v>1505.7986481679118</c:v>
                </c:pt>
                <c:pt idx="3">
                  <c:v>1353.1839203130558</c:v>
                </c:pt>
                <c:pt idx="4">
                  <c:v>1353.1839203130558</c:v>
                </c:pt>
                <c:pt idx="5">
                  <c:v>1505.7986481679118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Chai!$B$19:$G$19</c15:f>
                <c15:dlblRangeCache>
                  <c:ptCount val="6"/>
                  <c:pt idx="0">
                    <c:v>1,130 | 7.3%</c:v>
                  </c:pt>
                  <c:pt idx="1">
                    <c:v>1,658 | 10.0%</c:v>
                  </c:pt>
                  <c:pt idx="2">
                    <c:v>1,506 | 10.0%</c:v>
                  </c:pt>
                  <c:pt idx="3">
                    <c:v>1,353 | 10.0%</c:v>
                  </c:pt>
                  <c:pt idx="4">
                    <c:v>1,353 | 10.0%</c:v>
                  </c:pt>
                  <c:pt idx="5">
                    <c:v>1,506 | 10.0%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82B-4DB5-99CC-D700B7F52726}"/>
            </c:ext>
          </c:extLst>
        </c:ser>
        <c:ser>
          <c:idx val="2"/>
          <c:order val="2"/>
          <c:tx>
            <c:strRef>
              <c:f>Chai!$A$6</c:f>
              <c:strCache>
                <c:ptCount val="1"/>
                <c:pt idx="0">
                  <c:v>Chi phí sản xuất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3629685-E824-4E77-8BAF-25A31EAB42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82B-4DB5-99CC-D700B7F52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31612A-18A2-4967-B24C-03802110DB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82B-4DB5-99CC-D700B7F52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8F4EA06-7033-4089-8CCC-38A668A602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82B-4DB5-99CC-D700B7F52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A7939B-4C41-4D17-A4F0-6D60A0970C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82B-4DB5-99CC-D700B7F52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637BFD3-CCE3-43E7-97E6-44E13476EC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82B-4DB5-99CC-D700B7F52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120A69C-3179-4053-9B01-FD985C5515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82B-4DB5-99CC-D700B7F52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Chai!$B$3:$G$3</c:f>
              <c:strCache>
                <c:ptCount val="6"/>
                <c:pt idx="0">
                  <c:v>Chai-Trung bình</c:v>
                </c:pt>
                <c:pt idx="1">
                  <c:v>Chai B1</c:v>
                </c:pt>
                <c:pt idx="2">
                  <c:v>Chai B2</c:v>
                </c:pt>
                <c:pt idx="3">
                  <c:v>Chai B4</c:v>
                </c:pt>
                <c:pt idx="4">
                  <c:v>Chai B5</c:v>
                </c:pt>
                <c:pt idx="5">
                  <c:v>Chai B6</c:v>
                </c:pt>
              </c:strCache>
            </c:strRef>
          </c:cat>
          <c:val>
            <c:numRef>
              <c:f>Chai!$B$6:$G$6</c:f>
              <c:numCache>
                <c:formatCode>_(* #,##0_);_(* \(#,##0\);_(* "-"??_);_(@_)</c:formatCode>
                <c:ptCount val="6"/>
                <c:pt idx="0">
                  <c:v>3000</c:v>
                </c:pt>
                <c:pt idx="1">
                  <c:v>3131.2700106723596</c:v>
                </c:pt>
                <c:pt idx="2">
                  <c:v>2843.1163287086447</c:v>
                </c:pt>
                <c:pt idx="3">
                  <c:v>2554.9626467449307</c:v>
                </c:pt>
                <c:pt idx="4">
                  <c:v>2554.9626467449307</c:v>
                </c:pt>
                <c:pt idx="5">
                  <c:v>2843.1163287086447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Chai!$B$20:$G$20</c15:f>
                <c15:dlblRangeCache>
                  <c:ptCount val="6"/>
                  <c:pt idx="0">
                    <c:v>3,000 | 19.4%</c:v>
                  </c:pt>
                  <c:pt idx="1">
                    <c:v>3,131 | 18.9%</c:v>
                  </c:pt>
                  <c:pt idx="2">
                    <c:v>2,843 | 18.9%</c:v>
                  </c:pt>
                  <c:pt idx="3">
                    <c:v>2,555 | 18.9%</c:v>
                  </c:pt>
                  <c:pt idx="4">
                    <c:v>2,555 | 18.9%</c:v>
                  </c:pt>
                  <c:pt idx="5">
                    <c:v>2,843 | 18.9%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282B-4DB5-99CC-D700B7F52726}"/>
            </c:ext>
          </c:extLst>
        </c:ser>
        <c:ser>
          <c:idx val="3"/>
          <c:order val="3"/>
          <c:tx>
            <c:strRef>
              <c:f>Chai!$A$7</c:f>
              <c:strCache>
                <c:ptCount val="1"/>
                <c:pt idx="0">
                  <c:v>Chi phí khác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2151CD6-515B-48FD-A750-3D9B99567E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82B-4DB5-99CC-D700B7F52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4071E1-A14F-49BC-A409-FA849A1B2A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82B-4DB5-99CC-D700B7F52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2E0DF1A-087E-41B5-8757-B29BA94AB8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82B-4DB5-99CC-D700B7F52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23588AD-EF7D-4AF6-9C6B-C33758F685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82B-4DB5-99CC-D700B7F52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D18382-2324-4815-A433-A58D4848E7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82B-4DB5-99CC-D700B7F52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144D213-6625-40CD-AF8E-F8E4E09874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82B-4DB5-99CC-D700B7F52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Chai!$B$3:$G$3</c:f>
              <c:strCache>
                <c:ptCount val="6"/>
                <c:pt idx="0">
                  <c:v>Chai-Trung bình</c:v>
                </c:pt>
                <c:pt idx="1">
                  <c:v>Chai B1</c:v>
                </c:pt>
                <c:pt idx="2">
                  <c:v>Chai B2</c:v>
                </c:pt>
                <c:pt idx="3">
                  <c:v>Chai B4</c:v>
                </c:pt>
                <c:pt idx="4">
                  <c:v>Chai B5</c:v>
                </c:pt>
                <c:pt idx="5">
                  <c:v>Chai B6</c:v>
                </c:pt>
              </c:strCache>
            </c:strRef>
          </c:cat>
          <c:val>
            <c:numRef>
              <c:f>Chai!$B$7:$G$7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Chai!$B$21:$G$21</c15:f>
                <c15:dlblRangeCache>
                  <c:ptCount val="6"/>
                  <c:pt idx="0">
                    <c:v> | 0.0%</c:v>
                  </c:pt>
                  <c:pt idx="1">
                    <c:v> | 0.0%</c:v>
                  </c:pt>
                  <c:pt idx="2">
                    <c:v> | 0.0%</c:v>
                  </c:pt>
                  <c:pt idx="3">
                    <c:v> | 0.0%</c:v>
                  </c:pt>
                  <c:pt idx="4">
                    <c:v> | 0.0%</c:v>
                  </c:pt>
                  <c:pt idx="5">
                    <c:v> | 0.0%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82B-4DB5-99CC-D700B7F52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33962112"/>
        <c:axId val="1533954432"/>
      </c:barChart>
      <c:lineChart>
        <c:grouping val="standard"/>
        <c:varyColors val="0"/>
        <c:ser>
          <c:idx val="4"/>
          <c:order val="4"/>
          <c:tx>
            <c:strRef>
              <c:f>Chai!$A$8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Chai!$B$8:$G$8</c:f>
              <c:numCache>
                <c:formatCode>_(* #,##0_);_(* \(#,##0\);_(* "-"??_);_(@_)</c:formatCode>
                <c:ptCount val="6"/>
                <c:pt idx="0">
                  <c:v>15430</c:v>
                </c:pt>
                <c:pt idx="1">
                  <c:v>16584.133760227684</c:v>
                </c:pt>
                <c:pt idx="2">
                  <c:v>15057.98648167912</c:v>
                </c:pt>
                <c:pt idx="3">
                  <c:v>13531.839203130559</c:v>
                </c:pt>
                <c:pt idx="4">
                  <c:v>13531.839203130559</c:v>
                </c:pt>
                <c:pt idx="5">
                  <c:v>15057.98648167912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2B-4DB5-99CC-D700B7F52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962112"/>
        <c:axId val="1533954432"/>
      </c:lineChart>
      <c:catAx>
        <c:axId val="153396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54432"/>
        <c:crosses val="autoZero"/>
        <c:auto val="1"/>
        <c:lblAlgn val="ctr"/>
        <c:lblOffset val="100"/>
        <c:noMultiLvlLbl val="0"/>
      </c:catAx>
      <c:valAx>
        <c:axId val="153395443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layout>
        <c:manualLayout>
          <c:xMode val="edge"/>
          <c:yMode val="edge"/>
          <c:x val="0.19234742621613396"/>
          <c:y val="0.1065513953272566"/>
          <c:w val="0.60811978013729906"/>
          <c:h val="8.1841938141007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/>
                </a:solidFill>
              </a:rPr>
              <a:t>ĐƠN</a:t>
            </a:r>
            <a:r>
              <a:rPr lang="en-US" sz="1800" b="1" baseline="0">
                <a:solidFill>
                  <a:schemeClr val="accent2"/>
                </a:solidFill>
              </a:rPr>
              <a:t> GIÁ CHAI TỪ TRẠM</a:t>
            </a:r>
            <a:endParaRPr lang="en-US" sz="18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282241179862942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345655757893043E-2"/>
          <c:y val="0.2562913550696107"/>
          <c:w val="0.9473086884842139"/>
          <c:h val="0.631588313444457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Vảy_A0!$A$4</c:f>
              <c:strCache>
                <c:ptCount val="1"/>
                <c:pt idx="0">
                  <c:v>Vảy BX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3B1EA57-E272-487A-84DF-3105A79605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4A5-4564-B975-75F9A2160B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6485135-1BF4-49CC-AA20-E4FDAD128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A5-4564-B975-75F9A2160B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932A125-C091-4251-90BF-C16FC58B31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A5-4564-B975-75F9A2160BE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416C9A-E387-44D2-A2A3-18DC81DC5A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4A5-4564-B975-75F9A2160B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1B7C0D7-E556-46E9-9A60-033A479830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A5-4564-B975-75F9A2160BE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EBD42F4-B2CE-40A2-8630-7683F33402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4A5-4564-B975-75F9A2160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Vảy_A0!$B$3:$G$3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Vảy_A0!$B$4:$G$4</c:f>
              <c:numCache>
                <c:formatCode>_(* #,##0_);_(* \(#,##0\);_(* "-"??_);_(@_)</c:formatCode>
                <c:ptCount val="6"/>
                <c:pt idx="0">
                  <c:v>11760.814738147588</c:v>
                </c:pt>
                <c:pt idx="1">
                  <c:v>13535.017988946352</c:v>
                </c:pt>
                <c:pt idx="2">
                  <c:v>11777.269883209681</c:v>
                </c:pt>
                <c:pt idx="3">
                  <c:v>11023.702905008673</c:v>
                </c:pt>
                <c:pt idx="4">
                  <c:v>10707.268175425646</c:v>
                </c:pt>
                <c:pt idx="5">
                  <c:v>12682.965242817852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Vảy_A0!$B$18:$G$18</c15:f>
                <c15:dlblRangeCache>
                  <c:ptCount val="6"/>
                  <c:pt idx="0">
                    <c:v>11,761 | 
74.0%</c:v>
                  </c:pt>
                  <c:pt idx="1">
                    <c:v>13,535 | 
73.8%</c:v>
                  </c:pt>
                  <c:pt idx="2">
                    <c:v>11,777 | 
74.3%</c:v>
                  </c:pt>
                  <c:pt idx="3">
                    <c:v>11,024 | 
74.3%</c:v>
                  </c:pt>
                  <c:pt idx="4">
                    <c:v>10,707 | 
73.5%</c:v>
                  </c:pt>
                  <c:pt idx="5">
                    <c:v>12,683 | 
74.7%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C4A5-4564-B975-75F9A2160BE8}"/>
            </c:ext>
          </c:extLst>
        </c:ser>
        <c:ser>
          <c:idx val="1"/>
          <c:order val="1"/>
          <c:tx>
            <c:strRef>
              <c:f>Vảy_A0!$A$5</c:f>
              <c:strCache>
                <c:ptCount val="1"/>
                <c:pt idx="0">
                  <c:v>Chi phí hao hụt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B358ED9-E260-4974-A299-D33D886E21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4A5-4564-B975-75F9A2160B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953E981-D7A3-4345-B082-0685B37653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4A5-4564-B975-75F9A2160B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C5B49C5-378C-4D8F-BA45-B9C552B3AD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4A5-4564-B975-75F9A2160BE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46C9530-0B8F-4C5A-9922-840562E3F7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4A5-4564-B975-75F9A2160B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75577A9-57BE-45DC-8A2F-599ACE537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4A5-4564-B975-75F9A2160BE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A9619F9-9057-4CE5-80FE-2BF4D67B08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4A5-4564-B975-75F9A2160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Vảy_A0!$B$3:$G$3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Vảy_A0!$B$5:$G$5</c:f>
              <c:numCache>
                <c:formatCode>_(* #,##0_);_(* \(#,##0\);_(* "-"??_);_(@_)</c:formatCode>
                <c:ptCount val="6"/>
                <c:pt idx="0">
                  <c:v>1653.6838815684416</c:v>
                </c:pt>
                <c:pt idx="1">
                  <c:v>1903.1539551812473</c:v>
                </c:pt>
                <c:pt idx="2">
                  <c:v>1655.9976335289914</c:v>
                </c:pt>
                <c:pt idx="3">
                  <c:v>1550.0388548832254</c:v>
                </c:pt>
                <c:pt idx="4">
                  <c:v>1505.5450826803024</c:v>
                </c:pt>
                <c:pt idx="5">
                  <c:v>1783.3471285378098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Vảy_A0!$B$19:$G$19</c15:f>
                <c15:dlblRangeCache>
                  <c:ptCount val="6"/>
                  <c:pt idx="0">
                    <c:v>1,654 | 10.4%</c:v>
                  </c:pt>
                  <c:pt idx="1">
                    <c:v>1,903 | 10.4%</c:v>
                  </c:pt>
                  <c:pt idx="2">
                    <c:v>1,656 | 10.4%</c:v>
                  </c:pt>
                  <c:pt idx="3">
                    <c:v>1,550 | 10.5%</c:v>
                  </c:pt>
                  <c:pt idx="4">
                    <c:v>1,506 | 10.3%</c:v>
                  </c:pt>
                  <c:pt idx="5">
                    <c:v>1,783 | 10.5%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C4A5-4564-B975-75F9A2160BE8}"/>
            </c:ext>
          </c:extLst>
        </c:ser>
        <c:ser>
          <c:idx val="2"/>
          <c:order val="2"/>
          <c:tx>
            <c:strRef>
              <c:f>Vảy_A0!$A$6</c:f>
              <c:strCache>
                <c:ptCount val="1"/>
                <c:pt idx="0">
                  <c:v>Chi phí sản xuất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E2FD10E-8208-4646-9B2C-EC16E1FFFC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4A5-4564-B975-75F9A2160B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E857379-BFF8-4A23-9D77-D82AFC0ACC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4A5-4564-B975-75F9A2160B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210321-A6D8-4187-9496-EC25C9770C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4A5-4564-B975-75F9A2160BE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A5FD2F3-C80A-492B-9041-B60B576486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4A5-4564-B975-75F9A2160B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AAF5C62-AB6B-4DE2-B1B8-2C4EBABA70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4A5-4564-B975-75F9A2160BE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968617D-637B-4D38-A16E-19530ACB10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4A5-4564-B975-75F9A2160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Vảy_A0!$B$3:$G$3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Vảy_A0!$B$6:$G$6</c:f>
              <c:numCache>
                <c:formatCode>_(* #,##0_);_(* \(#,##0\);_(* "-"??_);_(@_)</c:formatCode>
                <c:ptCount val="6"/>
                <c:pt idx="0">
                  <c:v>3122.3401959683865</c:v>
                </c:pt>
                <c:pt idx="1">
                  <c:v>3593.3676076848728</c:v>
                </c:pt>
                <c:pt idx="2">
                  <c:v>3126.7088185512425</c:v>
                </c:pt>
                <c:pt idx="3">
                  <c:v>2926.6467889403557</c:v>
                </c:pt>
                <c:pt idx="4">
                  <c:v>2842.6375686970746</c:v>
                </c:pt>
                <c:pt idx="5">
                  <c:v>3367.1589140224382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Vảy_A0!$B$20:$G$20</c15:f>
                <c15:dlblRangeCache>
                  <c:ptCount val="6"/>
                  <c:pt idx="0">
                    <c:v>3,122 | 19.6%</c:v>
                  </c:pt>
                  <c:pt idx="1">
                    <c:v>3,593 | 19.6%</c:v>
                  </c:pt>
                  <c:pt idx="2">
                    <c:v>3,127 | 19.7%</c:v>
                  </c:pt>
                  <c:pt idx="3">
                    <c:v>2,927 | 19.7%</c:v>
                  </c:pt>
                  <c:pt idx="4">
                    <c:v>2,843 | 19.5%</c:v>
                  </c:pt>
                  <c:pt idx="5">
                    <c:v>3,367 | 19.8%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C4A5-4564-B975-75F9A2160BE8}"/>
            </c:ext>
          </c:extLst>
        </c:ser>
        <c:ser>
          <c:idx val="3"/>
          <c:order val="3"/>
          <c:tx>
            <c:strRef>
              <c:f>Vảy_A0!$A$7</c:f>
              <c:strCache>
                <c:ptCount val="1"/>
                <c:pt idx="0">
                  <c:v>Phó sản thu hồi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F1B2635-9F45-46FF-8647-4BCF547498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4A5-4564-B975-75F9A2160B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93A8FD3-BD4E-42E4-A34A-AEEE4BE8ED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4A5-4564-B975-75F9A2160B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5CDCC16-1E6D-4C43-991F-AB3ECE03B6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4A5-4564-B975-75F9A2160BE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81F3024-6B48-4546-BBD3-03913031AC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4A5-4564-B975-75F9A2160B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04F2AF9-29F8-47D2-867E-BD3A93E97A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4A5-4564-B975-75F9A2160BE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7D443EF-68AD-4B0B-AF88-65E82CFE92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4A5-4564-B975-75F9A2160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Vảy_A0!$B$3:$G$3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Vảy_A0!$B$7:$G$7</c:f>
              <c:numCache>
                <c:formatCode>_(* #,##0_);_(* \(#,##0\);_(* "-"??_);_(@_)</c:formatCode>
                <c:ptCount val="6"/>
                <c:pt idx="0">
                  <c:v>-639.90773039315036</c:v>
                </c:pt>
                <c:pt idx="1">
                  <c:v>-699.9292850887249</c:v>
                </c:pt>
                <c:pt idx="2">
                  <c:v>-707.44547994627874</c:v>
                </c:pt>
                <c:pt idx="3">
                  <c:v>-673.19999999999993</c:v>
                </c:pt>
                <c:pt idx="4">
                  <c:v>-479.05615653759764</c:v>
                </c:pt>
                <c:pt idx="5">
                  <c:v>-855.64166666666654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Vảy_A0!$B$21:$G$21</c15:f>
                <c15:dlblRangeCache>
                  <c:ptCount val="6"/>
                  <c:pt idx="0">
                    <c:v>-640 | -4.0%</c:v>
                  </c:pt>
                  <c:pt idx="1">
                    <c:v>-700 | -3.8%</c:v>
                  </c:pt>
                  <c:pt idx="2">
                    <c:v>-707 | -4.5%</c:v>
                  </c:pt>
                  <c:pt idx="3">
                    <c:v>-673 | -4.5%</c:v>
                  </c:pt>
                  <c:pt idx="4">
                    <c:v>-479 | -3.3%</c:v>
                  </c:pt>
                  <c:pt idx="5">
                    <c:v>-856 | -5.0%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C4A5-4564-B975-75F9A2160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33962112"/>
        <c:axId val="1533954432"/>
      </c:barChart>
      <c:lineChart>
        <c:grouping val="standard"/>
        <c:varyColors val="0"/>
        <c:ser>
          <c:idx val="4"/>
          <c:order val="4"/>
          <c:tx>
            <c:strRef>
              <c:f>Vảy_A0!$A$8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Vảy_A0!$B$8:$G$8</c:f>
              <c:numCache>
                <c:formatCode>_(* #,##0_);_(* \(#,##0\);_(* "-"??_);_(@_)</c:formatCode>
                <c:ptCount val="6"/>
                <c:pt idx="0">
                  <c:v>15896.931085291266</c:v>
                </c:pt>
                <c:pt idx="1">
                  <c:v>18331.610266723746</c:v>
                </c:pt>
                <c:pt idx="2">
                  <c:v>15852.530855343639</c:v>
                </c:pt>
                <c:pt idx="3">
                  <c:v>14827.188548832253</c:v>
                </c:pt>
                <c:pt idx="4">
                  <c:v>14576.394670265427</c:v>
                </c:pt>
                <c:pt idx="5">
                  <c:v>16977.829618711432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4A5-4564-B975-75F9A2160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962112"/>
        <c:axId val="1533954432"/>
      </c:lineChart>
      <c:catAx>
        <c:axId val="153396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54432"/>
        <c:crosses val="autoZero"/>
        <c:auto val="1"/>
        <c:lblAlgn val="ctr"/>
        <c:lblOffset val="100"/>
        <c:noMultiLvlLbl val="0"/>
      </c:catAx>
      <c:valAx>
        <c:axId val="153395443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layout>
        <c:manualLayout>
          <c:xMode val="edge"/>
          <c:yMode val="edge"/>
          <c:x val="0.19234742621613396"/>
          <c:y val="0.1065513953272566"/>
          <c:w val="0.60811978013729906"/>
          <c:h val="8.1841938141007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/>
                </a:solidFill>
              </a:rPr>
              <a:t>ĐƠN</a:t>
            </a:r>
            <a:r>
              <a:rPr lang="en-US" sz="1800" b="1" baseline="0">
                <a:solidFill>
                  <a:schemeClr val="accent2"/>
                </a:solidFill>
              </a:rPr>
              <a:t> GIÁ CHAI TỪ TRẠM</a:t>
            </a:r>
            <a:endParaRPr lang="en-US" sz="18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282241179862942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345655757893043E-2"/>
          <c:y val="0.2562913550696107"/>
          <c:w val="0.9473086884842139"/>
          <c:h val="0.631588313444457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'Vảy A1'!$A$4</c:f>
              <c:strCache>
                <c:ptCount val="1"/>
                <c:pt idx="0">
                  <c:v>Vảy BX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BAC91E4-CED6-48DC-87E8-46DD565FC9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836-42E9-B0D5-705FB76F9A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27E32A-EB34-4161-AC59-566287D1EF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836-42E9-B0D5-705FB76F9A0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DCBE3D-5570-405A-87C2-94D331A3AC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836-42E9-B0D5-705FB76F9A0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C629AA5-F58B-4A37-A8E7-B5A6502542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836-42E9-B0D5-705FB76F9A0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043A44-DF3E-44AC-B52F-4188DEC80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836-42E9-B0D5-705FB76F9A0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DC04B65-48CC-4E62-BECB-40341AAD29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836-42E9-B0D5-705FB76F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'Vảy A1'!$B$3:$G$3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'Vảy A1'!$B$4:$G$4</c:f>
              <c:numCache>
                <c:formatCode>_(* #,##0_);_(* \(#,##0\);_(* "-"??_);_(@_)</c:formatCode>
                <c:ptCount val="6"/>
                <c:pt idx="0">
                  <c:v>12822.187280724231</c:v>
                </c:pt>
                <c:pt idx="1">
                  <c:v>14594.066894680444</c:v>
                </c:pt>
                <c:pt idx="2">
                  <c:v>12525.013169424312</c:v>
                </c:pt>
                <c:pt idx="3">
                  <c:v>12442.102601589924</c:v>
                </c:pt>
                <c:pt idx="4">
                  <c:v>11727.566457202242</c:v>
                </c:pt>
                <c:pt idx="5">
                  <c:v>13767.87368955477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A1'!$B$18:$G$18</c15:f>
                <c15:dlblRangeCache>
                  <c:ptCount val="6"/>
                  <c:pt idx="0">
                    <c:v>12,822 | 
71.1%</c:v>
                  </c:pt>
                  <c:pt idx="1">
                    <c:v>14,594 | 
71.1%</c:v>
                  </c:pt>
                  <c:pt idx="2">
                    <c:v>12,525 | 
71.1%</c:v>
                  </c:pt>
                  <c:pt idx="3">
                    <c:v>12,442 | 
71.1%</c:v>
                  </c:pt>
                  <c:pt idx="4">
                    <c:v>11,728 | 
71.1%</c:v>
                  </c:pt>
                  <c:pt idx="5">
                    <c:v>13,768 | 
71.1%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A836-42E9-B0D5-705FB76F9A08}"/>
            </c:ext>
          </c:extLst>
        </c:ser>
        <c:ser>
          <c:idx val="1"/>
          <c:order val="1"/>
          <c:tx>
            <c:strRef>
              <c:f>'Vảy A1'!$A$5</c:f>
              <c:strCache>
                <c:ptCount val="1"/>
                <c:pt idx="0">
                  <c:v>Chi phí hao hụt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7D934D2-8865-4257-83C3-EF0D925F8D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836-42E9-B0D5-705FB76F9A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3533C1-5934-49E5-8AC7-6DA818265D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836-42E9-B0D5-705FB76F9A0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62E01DD-A705-4407-BFDA-0B261082F1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836-42E9-B0D5-705FB76F9A0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BB40C7C-2A1E-4168-8D05-C512E2BB1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836-42E9-B0D5-705FB76F9A0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A40F0C0-3730-49B6-9241-D5DA2A3508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836-42E9-B0D5-705FB76F9A0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2DC5C38-931D-40BB-B83C-A2B6DCC2BD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836-42E9-B0D5-705FB76F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'Vảy A1'!$B$3:$G$3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'Vảy A1'!$B$5:$G$5</c:f>
              <c:numCache>
                <c:formatCode>_(* #,##0_);_(* \(#,##0\);_(* "-"??_);_(@_)</c:formatCode>
                <c:ptCount val="6"/>
                <c:pt idx="0">
                  <c:v>1802.9230886367404</c:v>
                </c:pt>
                <c:pt idx="1">
                  <c:v>2052.0664365184894</c:v>
                </c:pt>
                <c:pt idx="2">
                  <c:v>1761.1375449633003</c:v>
                </c:pt>
                <c:pt idx="3">
                  <c:v>1749.4795201842273</c:v>
                </c:pt>
                <c:pt idx="4">
                  <c:v>1649.0088528809445</c:v>
                </c:pt>
                <c:pt idx="5">
                  <c:v>1935.8957105273664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A1'!$B$19:$G$19</c15:f>
                <c15:dlblRangeCache>
                  <c:ptCount val="6"/>
                  <c:pt idx="0">
                    <c:v>1,803 | 10.0%</c:v>
                  </c:pt>
                  <c:pt idx="1">
                    <c:v>2,052 | 10.0%</c:v>
                  </c:pt>
                  <c:pt idx="2">
                    <c:v>1,761 | 10.0%</c:v>
                  </c:pt>
                  <c:pt idx="3">
                    <c:v>1,749 | 10.0%</c:v>
                  </c:pt>
                  <c:pt idx="4">
                    <c:v>1,649 | 10.0%</c:v>
                  </c:pt>
                  <c:pt idx="5">
                    <c:v>1,936 | 10.0%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A836-42E9-B0D5-705FB76F9A08}"/>
            </c:ext>
          </c:extLst>
        </c:ser>
        <c:ser>
          <c:idx val="2"/>
          <c:order val="2"/>
          <c:tx>
            <c:strRef>
              <c:f>'Vảy A1'!$A$6</c:f>
              <c:strCache>
                <c:ptCount val="1"/>
                <c:pt idx="0">
                  <c:v>Chi phí sản xuất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E6DDCEC-6B36-4B06-B8B6-7488067A19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836-42E9-B0D5-705FB76F9A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BEA7558-89FC-48EE-AA1A-FD32B4DBD6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836-42E9-B0D5-705FB76F9A0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262088B-6E42-46C1-84AE-68E35C7D06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836-42E9-B0D5-705FB76F9A0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F9548E1-F3D9-4A1B-A66F-CA9ADBC0A5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836-42E9-B0D5-705FB76F9A0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5EB125F-5524-40A5-A538-E380194CA1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836-42E9-B0D5-705FB76F9A0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C86E8DC-CA0D-4F9E-A00A-C42420ED7E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836-42E9-B0D5-705FB76F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'Vảy A1'!$B$3:$G$3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'Vảy A1'!$B$6:$G$6</c:f>
              <c:numCache>
                <c:formatCode>_(* #,##0_);_(* \(#,##0\);_(* "-"??_);_(@_)</c:formatCode>
                <c:ptCount val="6"/>
                <c:pt idx="0">
                  <c:v>3404.1205170064327</c:v>
                </c:pt>
                <c:pt idx="1">
                  <c:v>3874.5310339859593</c:v>
                </c:pt>
                <c:pt idx="2">
                  <c:v>3325.2247352453924</c:v>
                </c:pt>
                <c:pt idx="3">
                  <c:v>3303.2130800681216</c:v>
                </c:pt>
                <c:pt idx="4">
                  <c:v>3113.5132187262589</c:v>
                </c:pt>
                <c:pt idx="5">
                  <c:v>3655.1877051915312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A1'!$B$20:$G$20</c15:f>
                <c15:dlblRangeCache>
                  <c:ptCount val="6"/>
                  <c:pt idx="0">
                    <c:v>3,404 | 18.9%</c:v>
                  </c:pt>
                  <c:pt idx="1">
                    <c:v>3,875 | 18.9%</c:v>
                  </c:pt>
                  <c:pt idx="2">
                    <c:v>3,325 | 18.9%</c:v>
                  </c:pt>
                  <c:pt idx="3">
                    <c:v>3,303 | 18.9%</c:v>
                  </c:pt>
                  <c:pt idx="4">
                    <c:v>3,114 | 18.9%</c:v>
                  </c:pt>
                  <c:pt idx="5">
                    <c:v>3,655 | 18.9%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A836-42E9-B0D5-705FB76F9A08}"/>
            </c:ext>
          </c:extLst>
        </c:ser>
        <c:ser>
          <c:idx val="3"/>
          <c:order val="3"/>
          <c:tx>
            <c:strRef>
              <c:f>'Vảy A1'!$A$7</c:f>
              <c:strCache>
                <c:ptCount val="1"/>
                <c:pt idx="0">
                  <c:v>Chi phí khác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1ACB745-905E-471E-90A8-74F1E6FD4A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836-42E9-B0D5-705FB76F9A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494DDF-67A2-4CDD-A256-47C54580B7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836-42E9-B0D5-705FB76F9A0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F6C5FD-8846-4738-96B1-2E148198EF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836-42E9-B0D5-705FB76F9A0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165CEA1-33C2-47DC-8C31-AAD07A4E60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836-42E9-B0D5-705FB76F9A0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E5BA51D-B84D-41F7-A7B8-ADC123FE4C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836-42E9-B0D5-705FB76F9A0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A2499DC-73F7-4828-A89D-034467F581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836-42E9-B0D5-705FB76F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'Vảy A1'!$B$3:$G$3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'Vảy A1'!$B$7:$G$7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A1'!$B$21:$G$21</c15:f>
                <c15:dlblRangeCache>
                  <c:ptCount val="6"/>
                  <c:pt idx="0">
                    <c:v> | 0.0%</c:v>
                  </c:pt>
                  <c:pt idx="1">
                    <c:v> | 0.0%</c:v>
                  </c:pt>
                  <c:pt idx="2">
                    <c:v> | 0.0%</c:v>
                  </c:pt>
                  <c:pt idx="3">
                    <c:v> | 0.0%</c:v>
                  </c:pt>
                  <c:pt idx="4">
                    <c:v> | 0.0%</c:v>
                  </c:pt>
                  <c:pt idx="5">
                    <c:v> | 0.0%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A836-42E9-B0D5-705FB76F9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33962112"/>
        <c:axId val="1533954432"/>
      </c:barChart>
      <c:lineChart>
        <c:grouping val="standard"/>
        <c:varyColors val="0"/>
        <c:ser>
          <c:idx val="4"/>
          <c:order val="4"/>
          <c:tx>
            <c:strRef>
              <c:f>'Vảy A1'!$A$8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'Vảy A1'!$B$8:$G$8</c:f>
              <c:numCache>
                <c:formatCode>_(* #,##0_);_(* \(#,##0\);_(* "-"??_);_(@_)</c:formatCode>
                <c:ptCount val="6"/>
                <c:pt idx="0">
                  <c:v>18029.230886367404</c:v>
                </c:pt>
                <c:pt idx="1">
                  <c:v>20520.664365184894</c:v>
                </c:pt>
                <c:pt idx="2">
                  <c:v>17611.375449633004</c:v>
                </c:pt>
                <c:pt idx="3">
                  <c:v>17494.795201842273</c:v>
                </c:pt>
                <c:pt idx="4">
                  <c:v>16490.088528809443</c:v>
                </c:pt>
                <c:pt idx="5">
                  <c:v>19358.957105273668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836-42E9-B0D5-705FB76F9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962112"/>
        <c:axId val="1533954432"/>
      </c:lineChart>
      <c:catAx>
        <c:axId val="153396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54432"/>
        <c:crosses val="autoZero"/>
        <c:auto val="1"/>
        <c:lblAlgn val="ctr"/>
        <c:lblOffset val="100"/>
        <c:noMultiLvlLbl val="0"/>
      </c:catAx>
      <c:valAx>
        <c:axId val="153395443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layout>
        <c:manualLayout>
          <c:xMode val="edge"/>
          <c:yMode val="edge"/>
          <c:x val="0.19234742621613396"/>
          <c:y val="0.1065513953272566"/>
          <c:w val="0.60811978013729906"/>
          <c:h val="8.1841938141007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/>
                </a:solidFill>
              </a:rPr>
              <a:t>ĐƠN</a:t>
            </a:r>
            <a:r>
              <a:rPr lang="en-US" sz="1800" b="1" baseline="0">
                <a:solidFill>
                  <a:schemeClr val="accent2"/>
                </a:solidFill>
              </a:rPr>
              <a:t> GIÁ VẢY </a:t>
            </a:r>
            <a:r>
              <a:rPr lang="en-US" sz="1800" b="1" baseline="0">
                <a:solidFill>
                  <a:srgbClr val="041892"/>
                </a:solidFill>
              </a:rPr>
              <a:t>(VND)</a:t>
            </a:r>
            <a:endParaRPr lang="en-US" sz="1800" b="1">
              <a:solidFill>
                <a:srgbClr val="041892"/>
              </a:solidFill>
            </a:endParaRPr>
          </a:p>
        </c:rich>
      </c:tx>
      <c:layout>
        <c:manualLayout>
          <c:xMode val="edge"/>
          <c:yMode val="edge"/>
          <c:x val="0.282241179862942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345655757893043E-2"/>
          <c:y val="0.2562913550696107"/>
          <c:w val="0.9473086884842139"/>
          <c:h val="0.631588313444457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'Vảy A1_DT'!$A$4</c:f>
              <c:strCache>
                <c:ptCount val="1"/>
                <c:pt idx="0">
                  <c:v>Vảy BX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4981F9E-3929-4DCB-95D2-251E45E381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864-482B-AD96-44F984F0778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AA4CB7-3ECF-4403-B535-8C3C70142B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864-482B-AD96-44F984F0778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7FC3FD-420F-4774-88E2-FFD2346740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864-482B-AD96-44F984F0778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3BEC9A3-A599-4465-9206-51DDD1D28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864-482B-AD96-44F984F0778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C6BB78D-27BB-4828-92D4-7BB8A4538A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864-482B-AD96-44F984F0778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16977F2-76E3-4AE6-90C6-8F27335E32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864-482B-AD96-44F984F077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'Vảy A1_DT'!$B$3:$G$3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'Vảy A1_DT'!$B$4:$G$4</c:f>
              <c:numCache>
                <c:formatCode>_(* #,##0_);_(* \(#,##0\);_(* "-"??_);_(@_)</c:formatCode>
                <c:ptCount val="6"/>
                <c:pt idx="0">
                  <c:v>12822.187280724231</c:v>
                </c:pt>
                <c:pt idx="1">
                  <c:v>14594.066894680444</c:v>
                </c:pt>
                <c:pt idx="2">
                  <c:v>12525.013169424312</c:v>
                </c:pt>
                <c:pt idx="3">
                  <c:v>12442.102601589924</c:v>
                </c:pt>
                <c:pt idx="4">
                  <c:v>11727.566457202242</c:v>
                </c:pt>
                <c:pt idx="5">
                  <c:v>13767.87368955477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A1_DT'!$B$18:$G$18</c15:f>
                <c15:dlblRangeCache>
                  <c:ptCount val="6"/>
                  <c:pt idx="0">
                    <c:v>12,822 | 
63.0%</c:v>
                  </c:pt>
                  <c:pt idx="1">
                    <c:v>14,594 | 
64.0%</c:v>
                  </c:pt>
                  <c:pt idx="2">
                    <c:v>12,525 | 
62.3%</c:v>
                  </c:pt>
                  <c:pt idx="3">
                    <c:v>12,442 | 
63.0%</c:v>
                  </c:pt>
                  <c:pt idx="4">
                    <c:v>11,728 | 
62.4%</c:v>
                  </c:pt>
                  <c:pt idx="5">
                    <c:v>13,768 | 
64.1%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1864-482B-AD96-44F984F07782}"/>
            </c:ext>
          </c:extLst>
        </c:ser>
        <c:ser>
          <c:idx val="1"/>
          <c:order val="1"/>
          <c:tx>
            <c:strRef>
              <c:f>'Vảy A1_DT'!$A$5</c:f>
              <c:strCache>
                <c:ptCount val="1"/>
                <c:pt idx="0">
                  <c:v>Chi phí hao hụt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5BF707C-EB5F-4EA4-B138-843F80E007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864-482B-AD96-44F984F0778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6A28BCF-EFA4-4E02-9345-BD6D0473A9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864-482B-AD96-44F984F0778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C62AEDF-E854-4B0B-A14D-A9D8EFDB58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864-482B-AD96-44F984F0778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ACF9633-2872-46AB-AE33-91DFD41D46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864-482B-AD96-44F984F0778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1EAD577-47CC-4548-A968-1750D80551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864-482B-AD96-44F984F0778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89DEF82-3921-47AB-BCB5-2C7BEC31B0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864-482B-AD96-44F984F077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'Vảy A1_DT'!$B$3:$G$3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'Vảy A1_DT'!$B$5:$G$5</c:f>
              <c:numCache>
                <c:formatCode>_(* #,##0_);_(* \(#,##0\);_(* "-"??_);_(@_)</c:formatCode>
                <c:ptCount val="6"/>
                <c:pt idx="0">
                  <c:v>1802.9230886367404</c:v>
                </c:pt>
                <c:pt idx="1">
                  <c:v>2052.0664365184894</c:v>
                </c:pt>
                <c:pt idx="2">
                  <c:v>1761.1375449633003</c:v>
                </c:pt>
                <c:pt idx="3">
                  <c:v>1749.4795201842273</c:v>
                </c:pt>
                <c:pt idx="4">
                  <c:v>1649.0088528809445</c:v>
                </c:pt>
                <c:pt idx="5">
                  <c:v>1935.8957105273664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A1_DT'!$B$19:$G$19</c15:f>
                <c15:dlblRangeCache>
                  <c:ptCount val="6"/>
                  <c:pt idx="0">
                    <c:v>1,803 | 8.9%</c:v>
                  </c:pt>
                  <c:pt idx="1">
                    <c:v>2,052 | 9.0%</c:v>
                  </c:pt>
                  <c:pt idx="2">
                    <c:v>1,761 | 8.8%</c:v>
                  </c:pt>
                  <c:pt idx="3">
                    <c:v>1,749 | 8.9%</c:v>
                  </c:pt>
                  <c:pt idx="4">
                    <c:v>1,649 | 8.8%</c:v>
                  </c:pt>
                  <c:pt idx="5">
                    <c:v>1,936 | 9.0%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1864-482B-AD96-44F984F07782}"/>
            </c:ext>
          </c:extLst>
        </c:ser>
        <c:ser>
          <c:idx val="2"/>
          <c:order val="2"/>
          <c:tx>
            <c:strRef>
              <c:f>'Vảy A1_DT'!$A$6</c:f>
              <c:strCache>
                <c:ptCount val="1"/>
                <c:pt idx="0">
                  <c:v>Chi phí sản xuất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AA0074D-CDD4-46C6-93F3-81273A56D3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864-482B-AD96-44F984F0778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85DB60F-6ED5-4B3B-9172-9C60F38167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864-482B-AD96-44F984F0778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1AEFDA1-9FA3-40D4-9212-BFA2A0381A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864-482B-AD96-44F984F0778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9F1FFA-F3F3-4D2A-BEC1-F5AD2B650A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864-482B-AD96-44F984F0778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D091EC8-FC1E-4743-A117-EC5AFB6EB2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864-482B-AD96-44F984F0778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1DA7298-3A36-417D-AFAA-2766D1CB13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864-482B-AD96-44F984F077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'Vảy A1_DT'!$B$3:$G$3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'Vảy A1_DT'!$B$6:$G$6</c:f>
              <c:numCache>
                <c:formatCode>_(* #,##0_);_(* \(#,##0\);_(* "-"??_);_(@_)</c:formatCode>
                <c:ptCount val="6"/>
                <c:pt idx="0">
                  <c:v>6713.4265597139583</c:v>
                </c:pt>
                <c:pt idx="1">
                  <c:v>7159.2600741835149</c:v>
                </c:pt>
                <c:pt idx="2">
                  <c:v>6582.4369424733404</c:v>
                </c:pt>
                <c:pt idx="3">
                  <c:v>6681.978617101784</c:v>
                </c:pt>
                <c:pt idx="4">
                  <c:v>6430.0306050971903</c:v>
                </c:pt>
                <c:pt idx="5">
                  <c:v>6953.5224769295819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A1_DT'!$B$20:$G$20</c15:f>
                <c15:dlblRangeCache>
                  <c:ptCount val="6"/>
                  <c:pt idx="0">
                    <c:v>6,713 | 33.0%</c:v>
                  </c:pt>
                  <c:pt idx="1">
                    <c:v>7,159 | 31.4%</c:v>
                  </c:pt>
                  <c:pt idx="2">
                    <c:v>6,582 | 32.7%</c:v>
                  </c:pt>
                  <c:pt idx="3">
                    <c:v>6,682 | 33.8%</c:v>
                  </c:pt>
                  <c:pt idx="4">
                    <c:v>6,430 | 34.2%</c:v>
                  </c:pt>
                  <c:pt idx="5">
                    <c:v>6,954 | 32.4%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1864-482B-AD96-44F984F07782}"/>
            </c:ext>
          </c:extLst>
        </c:ser>
        <c:ser>
          <c:idx val="3"/>
          <c:order val="3"/>
          <c:tx>
            <c:strRef>
              <c:f>'Vảy A1_DT'!$A$7</c:f>
              <c:strCache>
                <c:ptCount val="1"/>
                <c:pt idx="0">
                  <c:v>Chi phí khác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53A84E6-E133-4431-BFC2-DEC74D98B6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864-482B-AD96-44F984F0778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262ECA-B8C8-43B2-98FF-313A39758C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864-482B-AD96-44F984F0778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00BEC1A-AF27-4EB8-8B62-B915FEF557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864-482B-AD96-44F984F0778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317BD3-89D4-4DE9-AE5F-9C44E69C04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864-482B-AD96-44F984F0778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031DF78-12CA-4D6A-B356-B56309F304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864-482B-AD96-44F984F0778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D011D1F-3078-4C33-AE5C-1FFF8FCBC1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864-482B-AD96-44F984F077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'Vảy A1_DT'!$B$3:$G$3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'Vảy A1_DT'!$B$7:$G$7</c:f>
              <c:numCache>
                <c:formatCode>_(* #,##0_);_(* \(#,##0\);_(* "-"??_);_(@_)</c:formatCode>
                <c:ptCount val="6"/>
                <c:pt idx="0">
                  <c:v>-976.72197920467045</c:v>
                </c:pt>
                <c:pt idx="1">
                  <c:v>-1013.0466612852859</c:v>
                </c:pt>
                <c:pt idx="2">
                  <c:v>-753.43571715705696</c:v>
                </c:pt>
                <c:pt idx="3">
                  <c:v>-1126.1999999999998</c:v>
                </c:pt>
                <c:pt idx="4">
                  <c:v>-1014.2055383763392</c:v>
                </c:pt>
                <c:pt idx="5">
                  <c:v>-1186.3083333333332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A1_DT'!$B$21:$G$21</c15:f>
                <c15:dlblRangeCache>
                  <c:ptCount val="6"/>
                  <c:pt idx="0">
                    <c:v>-977 | -4.8%</c:v>
                  </c:pt>
                  <c:pt idx="1">
                    <c:v>-1,013 | -4.4%</c:v>
                  </c:pt>
                  <c:pt idx="2">
                    <c:v>-753 | -3.7%</c:v>
                  </c:pt>
                  <c:pt idx="3">
                    <c:v>-1,126 | -5.7%</c:v>
                  </c:pt>
                  <c:pt idx="4">
                    <c:v>-1,014 | -5.4%</c:v>
                  </c:pt>
                  <c:pt idx="5">
                    <c:v>-1,186 | -5.5%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1864-482B-AD96-44F984F07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33962112"/>
        <c:axId val="1533954432"/>
      </c:barChart>
      <c:lineChart>
        <c:grouping val="standard"/>
        <c:varyColors val="0"/>
        <c:ser>
          <c:idx val="4"/>
          <c:order val="4"/>
          <c:tx>
            <c:strRef>
              <c:f>'Vảy A1_DT'!$A$8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'Vảy A1_DT'!$B$8:$G$8</c:f>
              <c:numCache>
                <c:formatCode>_(* #,##0_);_(* \(#,##0\);_(* "-"??_);_(@_)</c:formatCode>
                <c:ptCount val="6"/>
                <c:pt idx="0">
                  <c:v>20361.814949870259</c:v>
                </c:pt>
                <c:pt idx="1">
                  <c:v>22792.346744097162</c:v>
                </c:pt>
                <c:pt idx="2">
                  <c:v>20115.151939703897</c:v>
                </c:pt>
                <c:pt idx="3">
                  <c:v>19747.360738875937</c:v>
                </c:pt>
                <c:pt idx="4">
                  <c:v>18792.400376804038</c:v>
                </c:pt>
                <c:pt idx="5">
                  <c:v>21470.983543678383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864-482B-AD96-44F984F07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962112"/>
        <c:axId val="1533954432"/>
      </c:lineChart>
      <c:catAx>
        <c:axId val="153396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54432"/>
        <c:crosses val="autoZero"/>
        <c:auto val="1"/>
        <c:lblAlgn val="ctr"/>
        <c:lblOffset val="100"/>
        <c:noMultiLvlLbl val="0"/>
      </c:catAx>
      <c:valAx>
        <c:axId val="153395443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layout>
        <c:manualLayout>
          <c:xMode val="edge"/>
          <c:yMode val="edge"/>
          <c:x val="0.19234742621613396"/>
          <c:y val="0.1065513953272566"/>
          <c:w val="0.60811978013729906"/>
          <c:h val="8.1841938141007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/>
                </a:solidFill>
              </a:rPr>
              <a:t>ĐƠN</a:t>
            </a:r>
            <a:r>
              <a:rPr lang="en-US" sz="1800" b="1" baseline="0">
                <a:solidFill>
                  <a:schemeClr val="accent2"/>
                </a:solidFill>
              </a:rPr>
              <a:t> GIÁ HẠT </a:t>
            </a:r>
            <a:r>
              <a:rPr lang="en-US" sz="1800" b="1" baseline="0">
                <a:solidFill>
                  <a:srgbClr val="041892"/>
                </a:solidFill>
              </a:rPr>
              <a:t>(VND)</a:t>
            </a:r>
            <a:endParaRPr lang="en-US" sz="1800" b="1">
              <a:solidFill>
                <a:srgbClr val="041892"/>
              </a:solidFill>
            </a:endParaRPr>
          </a:p>
        </c:rich>
      </c:tx>
      <c:layout>
        <c:manualLayout>
          <c:xMode val="edge"/>
          <c:yMode val="edge"/>
          <c:x val="0.282241179862942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345655757893043E-2"/>
          <c:y val="0.2562913550696107"/>
          <c:w val="0.9473086884842139"/>
          <c:h val="0.631588313444457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TP_VND!$A$4</c:f>
              <c:strCache>
                <c:ptCount val="1"/>
                <c:pt idx="0">
                  <c:v>Nhựa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07C8574-8FBC-448A-9300-34B308C488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747-4961-9E5B-12F0385161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27B9824-79B6-41BF-A62C-C305E97DF4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747-4961-9E5B-12F0385161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D76580-4F96-4E3A-BDA3-85FBBD9BD0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747-4961-9E5B-12F0385161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C8EBF3E-7347-47F4-8FF2-2FEECA08EA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747-4961-9E5B-12F0385161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D5D38E0-80A1-4109-A889-BB9055BEC9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747-4961-9E5B-12F0385161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01174E7-8642-4671-94CD-E71EA151C4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747-4961-9E5B-12F0385161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TP_VND!$B$3:$G$3</c:f>
              <c:strCache>
                <c:ptCount val="6"/>
                <c:pt idx="0">
                  <c:v>Hạt-Trung bình</c:v>
                </c:pt>
                <c:pt idx="1">
                  <c:v>iSS01048G</c:v>
                </c:pt>
                <c:pt idx="2">
                  <c:v>iSS01G</c:v>
                </c:pt>
                <c:pt idx="3">
                  <c:v>WSS01G</c:v>
                </c:pt>
                <c:pt idx="4">
                  <c:v>WSS03G</c:v>
                </c:pt>
                <c:pt idx="5">
                  <c:v>WSS03NC</c:v>
                </c:pt>
              </c:strCache>
            </c:strRef>
          </c:cat>
          <c:val>
            <c:numRef>
              <c:f>TP_VND!$B$4:$G$4</c:f>
              <c:numCache>
                <c:formatCode>_(* #,##0_);_(* \(#,##0\);_(* "-"??_);_(@_)</c:formatCode>
                <c:ptCount val="6"/>
                <c:pt idx="0">
                  <c:v>14622.629289221733</c:v>
                </c:pt>
                <c:pt idx="1">
                  <c:v>15154.794283157262</c:v>
                </c:pt>
                <c:pt idx="2">
                  <c:v>14818.82477578687</c:v>
                </c:pt>
                <c:pt idx="3">
                  <c:v>14445.240957909891</c:v>
                </c:pt>
                <c:pt idx="4">
                  <c:v>14071.657140032912</c:v>
                </c:pt>
                <c:pt idx="5">
                  <c:v>14903.762439692164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TP_VND!$B$18:$G$18</c15:f>
                <c15:dlblRangeCache>
                  <c:ptCount val="6"/>
                  <c:pt idx="0">
                    <c:v>14,623 | 
55.5%</c:v>
                  </c:pt>
                  <c:pt idx="1">
                    <c:v>15,155 | 
54.8%</c:v>
                  </c:pt>
                  <c:pt idx="2">
                    <c:v>14,819 | 
54.6%</c:v>
                  </c:pt>
                  <c:pt idx="3">
                    <c:v>14,445 | 
56.4%</c:v>
                  </c:pt>
                  <c:pt idx="4">
                    <c:v>14,072 | 
56.2%</c:v>
                  </c:pt>
                  <c:pt idx="5">
                    <c:v>14,904 | 
59.4%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747-4961-9E5B-12F0385161EA}"/>
            </c:ext>
          </c:extLst>
        </c:ser>
        <c:ser>
          <c:idx val="1"/>
          <c:order val="1"/>
          <c:tx>
            <c:strRef>
              <c:f>TP_VND!$A$5</c:f>
              <c:strCache>
                <c:ptCount val="1"/>
                <c:pt idx="0">
                  <c:v>Chi phí hao hụt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15030B-A68E-40B1-BD64-D1756E4B32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747-4961-9E5B-12F0385161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3753D8A-A6A4-42BB-BAEC-B6FD82EC67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747-4961-9E5B-12F0385161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9C46B74-F7D6-4C3D-8D30-935877B397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747-4961-9E5B-12F0385161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542BAA6-F9CA-4B4E-8357-E950E9055C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747-4961-9E5B-12F0385161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3FE0E97-50A8-4B2B-9CEB-DA185122D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747-4961-9E5B-12F0385161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FC8BBB0-2FC8-4DDA-BE22-D7114BF4D9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747-4961-9E5B-12F0385161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TP_VND!$B$3:$G$3</c:f>
              <c:strCache>
                <c:ptCount val="6"/>
                <c:pt idx="0">
                  <c:v>Hạt-Trung bình</c:v>
                </c:pt>
                <c:pt idx="1">
                  <c:v>iSS01048G</c:v>
                </c:pt>
                <c:pt idx="2">
                  <c:v>iSS01G</c:v>
                </c:pt>
                <c:pt idx="3">
                  <c:v>WSS01G</c:v>
                </c:pt>
                <c:pt idx="4">
                  <c:v>WSS03G</c:v>
                </c:pt>
                <c:pt idx="5">
                  <c:v>WSS03NC</c:v>
                </c:pt>
              </c:strCache>
            </c:strRef>
          </c:cat>
          <c:val>
            <c:numRef>
              <c:f>TP_VND!$B$5:$G$5</c:f>
              <c:numCache>
                <c:formatCode>_(* #,##0_);_(* \(#,##0\);_(* "-"??_);_(@_)</c:formatCode>
                <c:ptCount val="6"/>
                <c:pt idx="0">
                  <c:v>2056.0825844235087</c:v>
                </c:pt>
                <c:pt idx="1">
                  <c:v>2130.9101106110998</c:v>
                </c:pt>
                <c:pt idx="2">
                  <c:v>2083.6695604105435</c:v>
                </c:pt>
                <c:pt idx="3">
                  <c:v>2031.1400756943115</c:v>
                </c:pt>
                <c:pt idx="4">
                  <c:v>1978.6105909780795</c:v>
                </c:pt>
                <c:pt idx="5">
                  <c:v>2031.1400756943115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TP_VND!$B$19:$G$19</c15:f>
                <c15:dlblRangeCache>
                  <c:ptCount val="6"/>
                  <c:pt idx="0">
                    <c:v>2,056 | 7.8%</c:v>
                  </c:pt>
                  <c:pt idx="1">
                    <c:v>2,131 | 7.7%</c:v>
                  </c:pt>
                  <c:pt idx="2">
                    <c:v>2,084 | 7.7%</c:v>
                  </c:pt>
                  <c:pt idx="3">
                    <c:v>2,031 | 7.9%</c:v>
                  </c:pt>
                  <c:pt idx="4">
                    <c:v>1,979 | 7.9%</c:v>
                  </c:pt>
                  <c:pt idx="5">
                    <c:v>2,031 | 8.1%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F747-4961-9E5B-12F0385161EA}"/>
            </c:ext>
          </c:extLst>
        </c:ser>
        <c:ser>
          <c:idx val="2"/>
          <c:order val="2"/>
          <c:tx>
            <c:strRef>
              <c:f>TP_VND!$A$6</c:f>
              <c:strCache>
                <c:ptCount val="1"/>
                <c:pt idx="0">
                  <c:v>Chi phí sản xuất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525BE92-5449-40B7-94B6-9D3AC9DA39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747-4961-9E5B-12F0385161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94485B8-6FC9-4274-A9C9-CF1B02E0BE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747-4961-9E5B-12F0385161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8C31F58-9F51-4814-8B8F-BED1E8FDC6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747-4961-9E5B-12F0385161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2001F5-80E7-4605-8D75-FEA936A336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747-4961-9E5B-12F0385161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05CB6B7-1614-4D10-9B82-D63422E735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747-4961-9E5B-12F0385161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070F74F-B97D-4A5E-BA1B-DF44B44587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747-4961-9E5B-12F0385161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TP_VND!$B$3:$G$3</c:f>
              <c:strCache>
                <c:ptCount val="6"/>
                <c:pt idx="0">
                  <c:v>Hạt-Trung bình</c:v>
                </c:pt>
                <c:pt idx="1">
                  <c:v>iSS01048G</c:v>
                </c:pt>
                <c:pt idx="2">
                  <c:v>iSS01G</c:v>
                </c:pt>
                <c:pt idx="3">
                  <c:v>WSS01G</c:v>
                </c:pt>
                <c:pt idx="4">
                  <c:v>WSS03G</c:v>
                </c:pt>
                <c:pt idx="5">
                  <c:v>WSS03NC</c:v>
                </c:pt>
              </c:strCache>
            </c:strRef>
          </c:cat>
          <c:val>
            <c:numRef>
              <c:f>TP_VND!$B$6:$G$6</c:f>
              <c:numCache>
                <c:formatCode>_(* #,##0_);_(* \(#,##0\);_(* "-"??_);_(@_)</c:formatCode>
                <c:ptCount val="6"/>
                <c:pt idx="0">
                  <c:v>11028.242207720683</c:v>
                </c:pt>
                <c:pt idx="1">
                  <c:v>11767.269699832272</c:v>
                </c:pt>
                <c:pt idx="2">
                  <c:v>11602.456622187914</c:v>
                </c:pt>
                <c:pt idx="3">
                  <c:v>10463.253824399229</c:v>
                </c:pt>
                <c:pt idx="4">
                  <c:v>10279.988684463315</c:v>
                </c:pt>
                <c:pt idx="5">
                  <c:v>9904.6524781871922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TP_VND!$B$20:$G$20</c15:f>
                <c15:dlblRangeCache>
                  <c:ptCount val="6"/>
                  <c:pt idx="0">
                    <c:v>11,028 | 41.8%</c:v>
                  </c:pt>
                  <c:pt idx="1">
                    <c:v>11,767 | 42.5%</c:v>
                  </c:pt>
                  <c:pt idx="2">
                    <c:v>11,602 | 42.7%</c:v>
                  </c:pt>
                  <c:pt idx="3">
                    <c:v>10,463 | 40.8%</c:v>
                  </c:pt>
                  <c:pt idx="4">
                    <c:v>10,280 | 41.1%</c:v>
                  </c:pt>
                  <c:pt idx="5">
                    <c:v>9,905 | 39.4%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F747-4961-9E5B-12F0385161EA}"/>
            </c:ext>
          </c:extLst>
        </c:ser>
        <c:ser>
          <c:idx val="3"/>
          <c:order val="3"/>
          <c:tx>
            <c:strRef>
              <c:f>TP_VND!$A$7</c:f>
              <c:strCache>
                <c:ptCount val="1"/>
                <c:pt idx="0">
                  <c:v>Phó sản thu hồi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3BEE1C1-9638-4672-B944-0C7E85670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747-4961-9E5B-12F0385161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36703AD-1ADC-4D13-906E-44CE0CBB53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747-4961-9E5B-12F0385161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D122068-CD5E-4990-8C5B-5D8D49C702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747-4961-9E5B-12F0385161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C42BE68-CA61-4EDD-85F2-EE66DC88EB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747-4961-9E5B-12F0385161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F557904-B86D-44EA-BD1D-41AFD69C33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747-4961-9E5B-12F0385161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52E1B53-FB7D-4513-BDD2-251F6D914B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747-4961-9E5B-12F0385161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TP_VND!$B$3:$G$3</c:f>
              <c:strCache>
                <c:ptCount val="6"/>
                <c:pt idx="0">
                  <c:v>Hạt-Trung bình</c:v>
                </c:pt>
                <c:pt idx="1">
                  <c:v>iSS01048G</c:v>
                </c:pt>
                <c:pt idx="2">
                  <c:v>iSS01G</c:v>
                </c:pt>
                <c:pt idx="3">
                  <c:v>WSS01G</c:v>
                </c:pt>
                <c:pt idx="4">
                  <c:v>WSS03G</c:v>
                </c:pt>
                <c:pt idx="5">
                  <c:v>WSS03NC</c:v>
                </c:pt>
              </c:strCache>
            </c:strRef>
          </c:cat>
          <c:val>
            <c:numRef>
              <c:f>TP_VND!$B$7:$G$7</c:f>
              <c:numCache>
                <c:formatCode>_(* #,##0_);_(* \(#,##0\);_(* "-"??_);_(@_)</c:formatCode>
                <c:ptCount val="6"/>
                <c:pt idx="0">
                  <c:v>-1336.8406326445147</c:v>
                </c:pt>
                <c:pt idx="1">
                  <c:v>-1373.7808477504077</c:v>
                </c:pt>
                <c:pt idx="2">
                  <c:v>-1350.4595357274175</c:v>
                </c:pt>
                <c:pt idx="3">
                  <c:v>-1324.5272276092169</c:v>
                </c:pt>
                <c:pt idx="4">
                  <c:v>-1298.5949194910163</c:v>
                </c:pt>
                <c:pt idx="5">
                  <c:v>-1728.3946133679024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TP_VND!$B$21:$G$21</c15:f>
                <c15:dlblRangeCache>
                  <c:ptCount val="6"/>
                  <c:pt idx="0">
                    <c:v>-1,337 | -5.1%</c:v>
                  </c:pt>
                  <c:pt idx="1">
                    <c:v>-1,374 | -5.0%</c:v>
                  </c:pt>
                  <c:pt idx="2">
                    <c:v>-1,350 | -5.0%</c:v>
                  </c:pt>
                  <c:pt idx="3">
                    <c:v>-1,325 | -5.2%</c:v>
                  </c:pt>
                  <c:pt idx="4">
                    <c:v>-1,299 | -5.2%</c:v>
                  </c:pt>
                  <c:pt idx="5">
                    <c:v>-1,728 | -6.9%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F747-4961-9E5B-12F038516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33962112"/>
        <c:axId val="1533954432"/>
      </c:barChart>
      <c:lineChart>
        <c:grouping val="standard"/>
        <c:varyColors val="0"/>
        <c:ser>
          <c:idx val="4"/>
          <c:order val="4"/>
          <c:tx>
            <c:strRef>
              <c:f>TP_VND!$A$8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TP_VND!$B$8:$G$8</c:f>
              <c:numCache>
                <c:formatCode>_(* #,##0_);_(* \(#,##0\);_(* "-"??_);_(@_)</c:formatCode>
                <c:ptCount val="6"/>
                <c:pt idx="0">
                  <c:v>26370.113448721411</c:v>
                </c:pt>
                <c:pt idx="1">
                  <c:v>27679.193245850227</c:v>
                </c:pt>
                <c:pt idx="2">
                  <c:v>27154.491422657913</c:v>
                </c:pt>
                <c:pt idx="3">
                  <c:v>25615.107630394214</c:v>
                </c:pt>
                <c:pt idx="4">
                  <c:v>25031.661495983291</c:v>
                </c:pt>
                <c:pt idx="5">
                  <c:v>25111.160380205765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747-4961-9E5B-12F038516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962112"/>
        <c:axId val="1533954432"/>
      </c:lineChart>
      <c:catAx>
        <c:axId val="153396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54432"/>
        <c:crosses val="autoZero"/>
        <c:auto val="1"/>
        <c:lblAlgn val="ctr"/>
        <c:lblOffset val="100"/>
        <c:noMultiLvlLbl val="0"/>
      </c:catAx>
      <c:valAx>
        <c:axId val="153395443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layout>
        <c:manualLayout>
          <c:xMode val="edge"/>
          <c:yMode val="edge"/>
          <c:x val="0.19234742621613396"/>
          <c:y val="0.1065513953272566"/>
          <c:w val="0.60811978013729906"/>
          <c:h val="8.1841938141007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/>
                </a:solidFill>
              </a:rPr>
              <a:t>ĐƠN</a:t>
            </a:r>
            <a:r>
              <a:rPr lang="en-US" sz="1800" b="1" baseline="0">
                <a:solidFill>
                  <a:schemeClr val="accent2"/>
                </a:solidFill>
              </a:rPr>
              <a:t> GIÁ HẠT </a:t>
            </a:r>
            <a:r>
              <a:rPr lang="en-US" sz="1800" b="1" baseline="0">
                <a:solidFill>
                  <a:srgbClr val="041892"/>
                </a:solidFill>
              </a:rPr>
              <a:t>(USD)</a:t>
            </a:r>
            <a:endParaRPr lang="en-US" sz="1800" b="1">
              <a:solidFill>
                <a:srgbClr val="041892"/>
              </a:solidFill>
            </a:endParaRPr>
          </a:p>
        </c:rich>
      </c:tx>
      <c:layout>
        <c:manualLayout>
          <c:xMode val="edge"/>
          <c:yMode val="edge"/>
          <c:x val="0.282241179862942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345655757893043E-2"/>
          <c:y val="0.2562913550696107"/>
          <c:w val="0.9473086884842139"/>
          <c:h val="0.631588313444457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TP_USD!$A$4</c:f>
              <c:strCache>
                <c:ptCount val="1"/>
                <c:pt idx="0">
                  <c:v>Nhựa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2021E64-3252-41F0-A09C-7510943AD5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CFD-44F8-9DFD-B260FDE834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C77B8C8-5BD4-4C3B-9059-2716DCD407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CFD-44F8-9DFD-B260FDE834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8A2B1E8-E662-4729-8367-3D4AEAD74C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CFD-44F8-9DFD-B260FDE8342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5EEB977-4E41-42FD-AA1A-B5E75A3C0F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CFD-44F8-9DFD-B260FDE8342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FEB0BCC-46D8-49D8-AA82-213B7426AD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CFD-44F8-9DFD-B260FDE8342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4B09E2E-CA5B-4D23-A96D-72A604A890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CFD-44F8-9DFD-B260FDE834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TP_USD!$B$3:$G$3</c:f>
              <c:strCache>
                <c:ptCount val="6"/>
                <c:pt idx="0">
                  <c:v>Hạt-Trung bình</c:v>
                </c:pt>
                <c:pt idx="1">
                  <c:v>iSS01048G</c:v>
                </c:pt>
                <c:pt idx="2">
                  <c:v>iSS01G</c:v>
                </c:pt>
                <c:pt idx="3">
                  <c:v>WSS01G</c:v>
                </c:pt>
                <c:pt idx="4">
                  <c:v>WSS03G</c:v>
                </c:pt>
                <c:pt idx="5">
                  <c:v>WSS03NC</c:v>
                </c:pt>
              </c:strCache>
            </c:strRef>
          </c:cat>
          <c:val>
            <c:numRef>
              <c:f>TP_USD!$B$4:$G$4</c:f>
              <c:numCache>
                <c:formatCode>_(* #,##0_);_(* \(#,##0\);_(* "-"??_);_(@_)</c:formatCode>
                <c:ptCount val="6"/>
                <c:pt idx="0">
                  <c:v>551.79733166874462</c:v>
                </c:pt>
                <c:pt idx="1">
                  <c:v>571.87902955310426</c:v>
                </c:pt>
                <c:pt idx="2">
                  <c:v>559.20093493535364</c:v>
                </c:pt>
                <c:pt idx="3">
                  <c:v>545.10343237395819</c:v>
                </c:pt>
                <c:pt idx="4">
                  <c:v>531.00592981256273</c:v>
                </c:pt>
                <c:pt idx="5">
                  <c:v>562.40612979970433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TP_USD!$B$18:$G$18</c15:f>
                <c15:dlblRangeCache>
                  <c:ptCount val="6"/>
                  <c:pt idx="0">
                    <c:v>552 | 
55.5%</c:v>
                  </c:pt>
                  <c:pt idx="1">
                    <c:v>572 | 
54.8%</c:v>
                  </c:pt>
                  <c:pt idx="2">
                    <c:v>559 | 
54.6%</c:v>
                  </c:pt>
                  <c:pt idx="3">
                    <c:v>545 | 
56.4%</c:v>
                  </c:pt>
                  <c:pt idx="4">
                    <c:v>531 | 
56.2%</c:v>
                  </c:pt>
                  <c:pt idx="5">
                    <c:v>562 | 
59.4%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ECFD-44F8-9DFD-B260FDE83428}"/>
            </c:ext>
          </c:extLst>
        </c:ser>
        <c:ser>
          <c:idx val="1"/>
          <c:order val="1"/>
          <c:tx>
            <c:strRef>
              <c:f>TP_USD!$A$5</c:f>
              <c:strCache>
                <c:ptCount val="1"/>
                <c:pt idx="0">
                  <c:v>Chi phí hao hụt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0F2B26B-75CE-454B-910E-515D9DC70A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CFD-44F8-9DFD-B260FDE834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B80CB37-E754-4F48-9BD4-EC692D5C5B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CFD-44F8-9DFD-B260FDE834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33C521-691B-41E5-9CE2-4AB70510E8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CFD-44F8-9DFD-B260FDE8342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1753648-DB4C-4717-839D-BB9C6235B9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CFD-44F8-9DFD-B260FDE8342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7BB20B4-A94C-4A97-BCAB-071FA53CE7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CFD-44F8-9DFD-B260FDE8342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2C52CF0-715B-486B-B6AD-2AF589B45E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CFD-44F8-9DFD-B260FDE834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TP_USD!$B$3:$G$3</c:f>
              <c:strCache>
                <c:ptCount val="6"/>
                <c:pt idx="0">
                  <c:v>Hạt-Trung bình</c:v>
                </c:pt>
                <c:pt idx="1">
                  <c:v>iSS01048G</c:v>
                </c:pt>
                <c:pt idx="2">
                  <c:v>iSS01G</c:v>
                </c:pt>
                <c:pt idx="3">
                  <c:v>WSS01G</c:v>
                </c:pt>
                <c:pt idx="4">
                  <c:v>WSS03G</c:v>
                </c:pt>
                <c:pt idx="5">
                  <c:v>WSS03NC</c:v>
                </c:pt>
              </c:strCache>
            </c:strRef>
          </c:cat>
          <c:val>
            <c:numRef>
              <c:f>TP_USD!$B$5:$G$5</c:f>
              <c:numCache>
                <c:formatCode>_(* #,##0_);_(* \(#,##0\);_(* "-"??_);_(@_)</c:formatCode>
                <c:ptCount val="6"/>
                <c:pt idx="0">
                  <c:v>77.588022053717296</c:v>
                </c:pt>
                <c:pt idx="1">
                  <c:v>80.411702287211313</c:v>
                </c:pt>
                <c:pt idx="2">
                  <c:v>78.629040015492208</c:v>
                </c:pt>
                <c:pt idx="3">
                  <c:v>76.6467953092193</c:v>
                </c:pt>
                <c:pt idx="4">
                  <c:v>74.664550602946392</c:v>
                </c:pt>
                <c:pt idx="5">
                  <c:v>76.6467953092193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TP_USD!$B$19:$G$19</c15:f>
                <c15:dlblRangeCache>
                  <c:ptCount val="6"/>
                  <c:pt idx="0">
                    <c:v>78 | 7.8%</c:v>
                  </c:pt>
                  <c:pt idx="1">
                    <c:v>80 | 7.7%</c:v>
                  </c:pt>
                  <c:pt idx="2">
                    <c:v>79 | 7.7%</c:v>
                  </c:pt>
                  <c:pt idx="3">
                    <c:v>77 | 7.9%</c:v>
                  </c:pt>
                  <c:pt idx="4">
                    <c:v>75 | 7.9%</c:v>
                  </c:pt>
                  <c:pt idx="5">
                    <c:v>77 | 8.1%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ECFD-44F8-9DFD-B260FDE83428}"/>
            </c:ext>
          </c:extLst>
        </c:ser>
        <c:ser>
          <c:idx val="2"/>
          <c:order val="2"/>
          <c:tx>
            <c:strRef>
              <c:f>TP_USD!$A$6</c:f>
              <c:strCache>
                <c:ptCount val="1"/>
                <c:pt idx="0">
                  <c:v>Chi phí sản xuất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195298B-F4A4-4219-8A5B-1D154C2D25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CFD-44F8-9DFD-B260FDE834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3FD371E-BC9C-4DFB-A49F-5E0CED4F5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CFD-44F8-9DFD-B260FDE834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29EF5D-9D54-485A-98CF-9F4964F7B7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CFD-44F8-9DFD-B260FDE8342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E44FB3F-BAF3-4093-874F-5C8F62A48D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CFD-44F8-9DFD-B260FDE8342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8FD7A94-4927-426E-850F-38B5B66D3C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CFD-44F8-9DFD-B260FDE8342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7462525-BA51-45B2-8ACD-2BCAFD73C2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CFD-44F8-9DFD-B260FDE834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TP_USD!$B$3:$G$3</c:f>
              <c:strCache>
                <c:ptCount val="6"/>
                <c:pt idx="0">
                  <c:v>Hạt-Trung bình</c:v>
                </c:pt>
                <c:pt idx="1">
                  <c:v>iSS01048G</c:v>
                </c:pt>
                <c:pt idx="2">
                  <c:v>iSS01G</c:v>
                </c:pt>
                <c:pt idx="3">
                  <c:v>WSS01G</c:v>
                </c:pt>
                <c:pt idx="4">
                  <c:v>WSS03G</c:v>
                </c:pt>
                <c:pt idx="5">
                  <c:v>WSS03NC</c:v>
                </c:pt>
              </c:strCache>
            </c:strRef>
          </c:cat>
          <c:val>
            <c:numRef>
              <c:f>TP_USD!$B$6:$G$6</c:f>
              <c:numCache>
                <c:formatCode>_(* #,##0_);_(* \(#,##0\);_(* "-"??_);_(@_)</c:formatCode>
                <c:ptCount val="6"/>
                <c:pt idx="0">
                  <c:v>416.16008331021442</c:v>
                </c:pt>
                <c:pt idx="1">
                  <c:v>444.0479132012178</c:v>
                </c:pt>
                <c:pt idx="2">
                  <c:v>437.82855178067598</c:v>
                </c:pt>
                <c:pt idx="3">
                  <c:v>394.8397669584615</c:v>
                </c:pt>
                <c:pt idx="4">
                  <c:v>387.92410130050246</c:v>
                </c:pt>
                <c:pt idx="5">
                  <c:v>373.76047087498836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TP_USD!$B$20:$G$20</c15:f>
                <c15:dlblRangeCache>
                  <c:ptCount val="6"/>
                  <c:pt idx="0">
                    <c:v>416 | 41.8%</c:v>
                  </c:pt>
                  <c:pt idx="1">
                    <c:v>444 | 42.5%</c:v>
                  </c:pt>
                  <c:pt idx="2">
                    <c:v>438 | 42.7%</c:v>
                  </c:pt>
                  <c:pt idx="3">
                    <c:v>395 | 40.8%</c:v>
                  </c:pt>
                  <c:pt idx="4">
                    <c:v>388 | 41.1%</c:v>
                  </c:pt>
                  <c:pt idx="5">
                    <c:v>374 | 39.4%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ECFD-44F8-9DFD-B260FDE83428}"/>
            </c:ext>
          </c:extLst>
        </c:ser>
        <c:ser>
          <c:idx val="3"/>
          <c:order val="3"/>
          <c:tx>
            <c:strRef>
              <c:f>TP_USD!$A$7</c:f>
              <c:strCache>
                <c:ptCount val="1"/>
                <c:pt idx="0">
                  <c:v>Phó sản thu hồi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70C10AE-C595-4633-A3A3-0DD0869310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CFD-44F8-9DFD-B260FDE834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EF1C829-280A-470B-9D0B-5E92E75940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CFD-44F8-9DFD-B260FDE834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F3B31B7-BD65-4A29-AFBE-05893A6E68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CFD-44F8-9DFD-B260FDE8342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D1C865F-3D4E-49D2-AA61-0091D83A29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CFD-44F8-9DFD-B260FDE8342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B775E1-866E-4CD2-8EF0-DA8F7735B4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CFD-44F8-9DFD-B260FDE8342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089FB98-71A7-4D99-9E1D-6AA969573B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CFD-44F8-9DFD-B260FDE834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TP_USD!$B$3:$G$3</c:f>
              <c:strCache>
                <c:ptCount val="6"/>
                <c:pt idx="0">
                  <c:v>Hạt-Trung bình</c:v>
                </c:pt>
                <c:pt idx="1">
                  <c:v>iSS01048G</c:v>
                </c:pt>
                <c:pt idx="2">
                  <c:v>iSS01G</c:v>
                </c:pt>
                <c:pt idx="3">
                  <c:v>WSS01G</c:v>
                </c:pt>
                <c:pt idx="4">
                  <c:v>WSS03G</c:v>
                </c:pt>
                <c:pt idx="5">
                  <c:v>WSS03NC</c:v>
                </c:pt>
              </c:strCache>
            </c:strRef>
          </c:cat>
          <c:val>
            <c:numRef>
              <c:f>TP_USD!$B$7:$G$7</c:f>
              <c:numCache>
                <c:formatCode>_(* #,##0_);_(* \(#,##0\);_(* "-"??_);_(@_)</c:formatCode>
                <c:ptCount val="6"/>
                <c:pt idx="0">
                  <c:v>-50.446816326208101</c:v>
                </c:pt>
                <c:pt idx="1">
                  <c:v>-51.840786707562557</c:v>
                </c:pt>
                <c:pt idx="2">
                  <c:v>-50.960737197261039</c:v>
                </c:pt>
                <c:pt idx="3">
                  <c:v>-49.982159532423282</c:v>
                </c:pt>
                <c:pt idx="4">
                  <c:v>-49.003581867585524</c:v>
                </c:pt>
                <c:pt idx="5">
                  <c:v>-65.222438240298203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TP_USD!$B$21:$G$21</c15:f>
                <c15:dlblRangeCache>
                  <c:ptCount val="6"/>
                  <c:pt idx="0">
                    <c:v>-50 | -5.1%</c:v>
                  </c:pt>
                  <c:pt idx="1">
                    <c:v>-52 | -5.0%</c:v>
                  </c:pt>
                  <c:pt idx="2">
                    <c:v>-51 | -5.0%</c:v>
                  </c:pt>
                  <c:pt idx="3">
                    <c:v>-50 | -5.2%</c:v>
                  </c:pt>
                  <c:pt idx="4">
                    <c:v>-49 | -5.2%</c:v>
                  </c:pt>
                  <c:pt idx="5">
                    <c:v>-65 | -6.9%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ECFD-44F8-9DFD-B260FDE83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33962112"/>
        <c:axId val="1533954432"/>
      </c:barChart>
      <c:lineChart>
        <c:grouping val="standard"/>
        <c:varyColors val="0"/>
        <c:ser>
          <c:idx val="4"/>
          <c:order val="4"/>
          <c:tx>
            <c:strRef>
              <c:f>TP_USD!$A$8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TP_USD!$B$8:$G$8</c:f>
              <c:numCache>
                <c:formatCode>_(* #,##0_);_(* \(#,##0\);_(* "-"??_);_(@_)</c:formatCode>
                <c:ptCount val="6"/>
                <c:pt idx="0">
                  <c:v>995.09862070646818</c:v>
                </c:pt>
                <c:pt idx="1">
                  <c:v>1044.497858333971</c:v>
                </c:pt>
                <c:pt idx="2">
                  <c:v>1024.6977895342607</c:v>
                </c:pt>
                <c:pt idx="3">
                  <c:v>966.60783510921578</c:v>
                </c:pt>
                <c:pt idx="4">
                  <c:v>944.59099984842601</c:v>
                </c:pt>
                <c:pt idx="5">
                  <c:v>947.59095774361379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CFD-44F8-9DFD-B260FDE83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962112"/>
        <c:axId val="1533954432"/>
      </c:lineChart>
      <c:catAx>
        <c:axId val="153396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54432"/>
        <c:crosses val="autoZero"/>
        <c:auto val="1"/>
        <c:lblAlgn val="ctr"/>
        <c:lblOffset val="100"/>
        <c:noMultiLvlLbl val="0"/>
      </c:catAx>
      <c:valAx>
        <c:axId val="153395443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layout>
        <c:manualLayout>
          <c:xMode val="edge"/>
          <c:yMode val="edge"/>
          <c:x val="0.19234742621613396"/>
          <c:y val="0.1065513953272566"/>
          <c:w val="0.60811978013729906"/>
          <c:h val="8.1841938141007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63987</xdr:colOff>
      <xdr:row>22</xdr:row>
      <xdr:rowOff>133504</xdr:rowOff>
    </xdr:from>
    <xdr:to>
      <xdr:col>5</xdr:col>
      <xdr:colOff>250283</xdr:colOff>
      <xdr:row>36</xdr:row>
      <xdr:rowOff>161337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DD61F-3378-2C88-26A1-3A7E654B3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0.00137</cdr:x>
      <cdr:y>0.1601</cdr:y>
    </cdr:from>
    <cdr:to>
      <cdr:x>0.19459</cdr:x>
      <cdr:y>0.23783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EE1A7D-5EEB-2D3E-F018-9B6731A271CB}"/>
            </a:ext>
          </a:extLst>
        </cdr:cNvPr>
        <cdr:cNvSpPr txBox="1"/>
      </cdr:nvSpPr>
      <cdr:spPr>
        <a:xfrm xmlns:a="http://schemas.openxmlformats.org/drawingml/2006/main">
          <a:off x="7258" y="419255"/>
          <a:ext cx="1024585" cy="203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 i="1" kern="1200">
              <a:solidFill>
                <a:schemeClr val="bg2"/>
              </a:solidFill>
            </a:rPr>
            <a:t>Đvt:</a:t>
          </a:r>
          <a:r>
            <a:rPr lang="en-US" sz="700" i="1" kern="1200" baseline="0">
              <a:solidFill>
                <a:schemeClr val="bg2"/>
              </a:solidFill>
            </a:rPr>
            <a:t> đồng/kg | %Cơ cấu</a:t>
          </a:r>
          <a:endParaRPr lang="en-US" sz="700" i="1" kern="1200">
            <a:solidFill>
              <a:schemeClr val="bg2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63987</xdr:colOff>
      <xdr:row>22</xdr:row>
      <xdr:rowOff>133504</xdr:rowOff>
    </xdr:from>
    <xdr:to>
      <xdr:col>5</xdr:col>
      <xdr:colOff>319226</xdr:colOff>
      <xdr:row>36</xdr:row>
      <xdr:rowOff>161337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8F075-99C7-45E5-9B67-FC28FCED8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0.00137</cdr:x>
      <cdr:y>0.1601</cdr:y>
    </cdr:from>
    <cdr:to>
      <cdr:x>0.19459</cdr:x>
      <cdr:y>0.23783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EE1A7D-5EEB-2D3E-F018-9B6731A271CB}"/>
            </a:ext>
          </a:extLst>
        </cdr:cNvPr>
        <cdr:cNvSpPr txBox="1"/>
      </cdr:nvSpPr>
      <cdr:spPr>
        <a:xfrm xmlns:a="http://schemas.openxmlformats.org/drawingml/2006/main">
          <a:off x="7258" y="419255"/>
          <a:ext cx="1024585" cy="203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 i="1" kern="1200">
              <a:solidFill>
                <a:schemeClr val="bg2"/>
              </a:solidFill>
            </a:rPr>
            <a:t>Đvt:</a:t>
          </a:r>
          <a:r>
            <a:rPr lang="en-US" sz="700" i="1" kern="1200" baseline="0">
              <a:solidFill>
                <a:schemeClr val="bg2"/>
              </a:solidFill>
            </a:rPr>
            <a:t> đồng/kg | %Cơ cấu</a:t>
          </a:r>
          <a:endParaRPr lang="en-US" sz="700" i="1" kern="1200">
            <a:solidFill>
              <a:schemeClr val="bg2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63987</xdr:colOff>
      <xdr:row>22</xdr:row>
      <xdr:rowOff>133504</xdr:rowOff>
    </xdr:from>
    <xdr:to>
      <xdr:col>5</xdr:col>
      <xdr:colOff>319226</xdr:colOff>
      <xdr:row>36</xdr:row>
      <xdr:rowOff>161337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30BEA-490D-41F7-9A3B-FBD608795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0.00137</cdr:x>
      <cdr:y>0.1601</cdr:y>
    </cdr:from>
    <cdr:to>
      <cdr:x>0.19459</cdr:x>
      <cdr:y>0.23783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EE1A7D-5EEB-2D3E-F018-9B6731A271CB}"/>
            </a:ext>
          </a:extLst>
        </cdr:cNvPr>
        <cdr:cNvSpPr txBox="1"/>
      </cdr:nvSpPr>
      <cdr:spPr>
        <a:xfrm xmlns:a="http://schemas.openxmlformats.org/drawingml/2006/main">
          <a:off x="7258" y="419255"/>
          <a:ext cx="1024585" cy="203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 i="1" kern="1200">
              <a:solidFill>
                <a:schemeClr val="bg2"/>
              </a:solidFill>
            </a:rPr>
            <a:t>Đvt:</a:t>
          </a:r>
          <a:r>
            <a:rPr lang="en-US" sz="700" i="1" kern="1200" baseline="0">
              <a:solidFill>
                <a:schemeClr val="bg2"/>
              </a:solidFill>
            </a:rPr>
            <a:t> đồng/kg | %Cơ cấu</a:t>
          </a:r>
          <a:endParaRPr lang="en-US" sz="700" i="1" kern="1200">
            <a:solidFill>
              <a:schemeClr val="bg2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63987</xdr:colOff>
      <xdr:row>22</xdr:row>
      <xdr:rowOff>133504</xdr:rowOff>
    </xdr:from>
    <xdr:to>
      <xdr:col>5</xdr:col>
      <xdr:colOff>319226</xdr:colOff>
      <xdr:row>36</xdr:row>
      <xdr:rowOff>161337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DDF12-8CE9-44CA-9F1B-52141550B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0.00137</cdr:x>
      <cdr:y>0.1601</cdr:y>
    </cdr:from>
    <cdr:to>
      <cdr:x>0.19459</cdr:x>
      <cdr:y>0.23783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EE1A7D-5EEB-2D3E-F018-9B6731A271CB}"/>
            </a:ext>
          </a:extLst>
        </cdr:cNvPr>
        <cdr:cNvSpPr txBox="1"/>
      </cdr:nvSpPr>
      <cdr:spPr>
        <a:xfrm xmlns:a="http://schemas.openxmlformats.org/drawingml/2006/main">
          <a:off x="7258" y="419255"/>
          <a:ext cx="1024585" cy="203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 i="1" kern="1200">
              <a:solidFill>
                <a:schemeClr val="bg2"/>
              </a:solidFill>
            </a:rPr>
            <a:t>Đvt:</a:t>
          </a:r>
          <a:r>
            <a:rPr lang="en-US" sz="700" i="1" kern="1200" baseline="0">
              <a:solidFill>
                <a:schemeClr val="bg2"/>
              </a:solidFill>
            </a:rPr>
            <a:t> đồng/kg | %Cơ cấu</a:t>
          </a:r>
          <a:endParaRPr lang="en-US" sz="700" i="1" kern="1200">
            <a:solidFill>
              <a:schemeClr val="bg2"/>
            </a:solidFill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63987</xdr:colOff>
      <xdr:row>22</xdr:row>
      <xdr:rowOff>133504</xdr:rowOff>
    </xdr:from>
    <xdr:to>
      <xdr:col>5</xdr:col>
      <xdr:colOff>406312</xdr:colOff>
      <xdr:row>42</xdr:row>
      <xdr:rowOff>83457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EE6445-1A7E-4790-B674-565E9E149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0.00137</cdr:x>
      <cdr:y>0.1601</cdr:y>
    </cdr:from>
    <cdr:to>
      <cdr:x>0.19459</cdr:x>
      <cdr:y>0.23783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EE1A7D-5EEB-2D3E-F018-9B6731A271CB}"/>
            </a:ext>
          </a:extLst>
        </cdr:cNvPr>
        <cdr:cNvSpPr txBox="1"/>
      </cdr:nvSpPr>
      <cdr:spPr>
        <a:xfrm xmlns:a="http://schemas.openxmlformats.org/drawingml/2006/main">
          <a:off x="7258" y="419255"/>
          <a:ext cx="1024585" cy="203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 i="1" kern="1200">
              <a:solidFill>
                <a:schemeClr val="bg2"/>
              </a:solidFill>
            </a:rPr>
            <a:t>Đvt:</a:t>
          </a:r>
          <a:r>
            <a:rPr lang="en-US" sz="700" i="1" kern="1200" baseline="0">
              <a:solidFill>
                <a:schemeClr val="bg2"/>
              </a:solidFill>
            </a:rPr>
            <a:t> đồng/kg | %Cơ cấu</a:t>
          </a:r>
          <a:endParaRPr lang="en-US" sz="700" i="1" kern="1200">
            <a:solidFill>
              <a:schemeClr val="bg2"/>
            </a:solidFill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63987</xdr:colOff>
      <xdr:row>22</xdr:row>
      <xdr:rowOff>133504</xdr:rowOff>
    </xdr:from>
    <xdr:to>
      <xdr:col>5</xdr:col>
      <xdr:colOff>406312</xdr:colOff>
      <xdr:row>42</xdr:row>
      <xdr:rowOff>83457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7C147-833A-4F41-A7A1-D57D2FC45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0.00137</cdr:x>
      <cdr:y>0.1601</cdr:y>
    </cdr:from>
    <cdr:to>
      <cdr:x>0.19459</cdr:x>
      <cdr:y>0.23783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EE1A7D-5EEB-2D3E-F018-9B6731A271CB}"/>
            </a:ext>
          </a:extLst>
        </cdr:cNvPr>
        <cdr:cNvSpPr txBox="1"/>
      </cdr:nvSpPr>
      <cdr:spPr>
        <a:xfrm xmlns:a="http://schemas.openxmlformats.org/drawingml/2006/main">
          <a:off x="7258" y="419255"/>
          <a:ext cx="1024585" cy="203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 i="1" kern="1200">
              <a:solidFill>
                <a:schemeClr val="bg2"/>
              </a:solidFill>
            </a:rPr>
            <a:t>Đvt:</a:t>
          </a:r>
          <a:r>
            <a:rPr lang="en-US" sz="700" i="1" kern="1200" baseline="0">
              <a:solidFill>
                <a:schemeClr val="bg2"/>
              </a:solidFill>
            </a:rPr>
            <a:t> đồng/kg | %Cơ cấu</a:t>
          </a:r>
          <a:endParaRPr lang="en-US" sz="700" i="1" kern="1200">
            <a:solidFill>
              <a:schemeClr val="bg2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Cost%20Controlling\Costing%20Flow%20Chart\Ki&#7875;m%20tra%20gi&#225;%20th&#224;nh\L&#7901;i%20l&#7895;%20ph&#243;%20s&#7843;n.xlsx" TargetMode="External"/><Relationship Id="rId1" Type="http://schemas.openxmlformats.org/officeDocument/2006/relationships/externalLinkPath" Target="Ki&#7875;m%20tra%20gi&#225;%20th&#224;nh/L&#7901;i%20l&#7895;%20ph&#243;%20s&#7843;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Cost%20Controlling\Costing%20Flow%20Chart\01.%20Z%20Flow.xlsx" TargetMode="External"/><Relationship Id="rId1" Type="http://schemas.openxmlformats.org/officeDocument/2006/relationships/externalLinkPath" Target="01.%20Z%20Flo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Cost%20Controlling\Costing%20Flow%20Chart\Ki&#7875;m%20tra%20gi&#225;%20th&#224;nh\Ma%20tr&#7853;n%20t&#7841;o%20h&#7841;t%20rPET%20(updated%20260525).xlsx" TargetMode="External"/><Relationship Id="rId1" Type="http://schemas.openxmlformats.org/officeDocument/2006/relationships/externalLinkPath" Target="Ki&#7875;m%20tra%20gi&#225;%20th&#224;nh/Ma%20tr&#7853;n%20t&#7841;o%20h&#7841;t%20rPET%20(updated%202605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hó sản-v1"/>
      <sheetName val="Định mức"/>
      <sheetName val="KTTC"/>
      <sheetName val="Phó sản-v2"/>
      <sheetName val="Check-Số liệu"/>
      <sheetName val="&gt;&gt;rPET"/>
      <sheetName val="rPET-Băm"/>
      <sheetName val="rPET-Băm-B1"/>
      <sheetName val="rPET-Băm-B5"/>
      <sheetName val="rPET-Băm-B6"/>
      <sheetName val="rPET-Băm-B7"/>
      <sheetName val="rPET-Băm-Cổ chai"/>
      <sheetName val="rPET-Rửa"/>
      <sheetName val="rPET-Rửa-B1"/>
      <sheetName val="rPET-Rửa-B4"/>
      <sheetName val="rPET-Rửa-B6"/>
      <sheetName val="rPET-Rửa-B7"/>
      <sheetName val="rPET-Rửa-Cổ chai"/>
      <sheetName val="rPET-Băm | Rửa"/>
      <sheetName val="rPET-Băm | Rửa-B1"/>
      <sheetName val="rPET-Băm | Rửa-B2"/>
      <sheetName val="rPET-Tạo hạt"/>
      <sheetName val="rPET-NCTC"/>
      <sheetName val="rPET-Sàn rung"/>
      <sheetName val="rPET-BTQC"/>
      <sheetName val="rPET-Rửa | Băm"/>
      <sheetName val="&gt;&gt;rHDPE"/>
      <sheetName val="rHDPE-Rửa"/>
      <sheetName val="rHDPE-Băm | Rửa"/>
      <sheetName val="rHDPE-Tách màu"/>
      <sheetName val="rHDPE-Tạo hạt"/>
      <sheetName val="&gt;&gt;rPP"/>
      <sheetName val="rPP-Rửa"/>
      <sheetName val="rPP-Tạo hạt"/>
      <sheetName val="&gt;&gt;rLDPE"/>
      <sheetName val="rLDPE-Tạo hạt"/>
      <sheetName val="|"/>
      <sheetName val="PV-Data-2-LINK"/>
      <sheetName val="PV-Data-Work center"/>
      <sheetName val="PV-Data"/>
      <sheetName val="Data"/>
      <sheetName val="ĐG TK"/>
      <sheetName val="MD-Main SKU-Lựa"/>
      <sheetName val="MD-PS"/>
      <sheetName val="Order-No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AO8">
            <v>5.2642452250580889E-2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">
          <cell r="AO8">
            <v>3.1760185593851104E-2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ảnh báo giá mua từ trạm"/>
      <sheetName val="BOM chuẩn DLOC"/>
      <sheetName val="BOM&amp;NRV"/>
      <sheetName val="GAP"/>
      <sheetName val="GAP (KN)"/>
      <sheetName val="GAP (DLA)"/>
      <sheetName val="GAP (DLO)"/>
      <sheetName val="So sánh thiệt hại"/>
      <sheetName val="Giá mua Chai-Vảy (KN)"/>
      <sheetName val="Giá mua Chai-Vảy (DLA)"/>
      <sheetName val="Giá mua Chai-Vảy (DLO)"/>
      <sheetName val="Giá mua Chai-Vảy"/>
      <sheetName val="Giá mua Chai-Vảy (Giá giảm)"/>
      <sheetName val="Hiệu suất"/>
      <sheetName val="H_Tỷ lệ HH&amp;PS"/>
      <sheetName val="H_Tỷ lệ HH&amp;PS (-PS)"/>
      <sheetName val="Chart"/>
      <sheetName val="Hảo_R&amp;D"/>
      <sheetName val="Hảo_R&amp;D (Vảy sạch)"/>
      <sheetName val="Hảo_R&amp;D (Vảy sạch) (-PS)"/>
      <sheetName val="Hảo_R&amp;D (Vảy sạch) (-PS) (2)"/>
      <sheetName val="Hảo_R&amp;D (Vảy sạch) (giảm giá)"/>
      <sheetName val="Hảo_R&amp;D (Hạt)"/>
      <sheetName val="Hảo_R&amp;D (Hạt) (full stage)-Chai"/>
      <sheetName val="Hảo_R&amp;D (Hạt) (full stage)-MN"/>
      <sheetName val="Hảo_R&amp;D (Hạt-Full stage-Mix)"/>
      <sheetName val="Phượng_QC"/>
      <sheetName val="01. ĐỊNH NGHĨ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Z4">
            <v>13535.017988946352</v>
          </cell>
          <cell r="AA4">
            <v>1903.1539551812473</v>
          </cell>
          <cell r="AB4">
            <v>3593.3676076848728</v>
          </cell>
          <cell r="AH4">
            <v>14594.066894680444</v>
          </cell>
          <cell r="AI4">
            <v>2052.0664365184894</v>
          </cell>
          <cell r="AJ4">
            <v>3874.5310339859593</v>
          </cell>
        </row>
        <row r="5">
          <cell r="Q5">
            <v>11794.450373532554</v>
          </cell>
          <cell r="R5">
            <v>1658.4133760227683</v>
          </cell>
          <cell r="S5">
            <v>3131.2700106723596</v>
          </cell>
        </row>
        <row r="6">
          <cell r="CL6">
            <v>14594.066894680444</v>
          </cell>
          <cell r="CM6">
            <v>3874.5310339859593</v>
          </cell>
          <cell r="CN6">
            <v>2010.8731903888172</v>
          </cell>
          <cell r="CO6">
            <v>1273.8558498087386</v>
          </cell>
          <cell r="CP6">
            <v>-699.9292850887249</v>
          </cell>
          <cell r="CQ6">
            <v>-313.11737619656105</v>
          </cell>
          <cell r="CR6">
            <v>2052.0664365184894</v>
          </cell>
          <cell r="DV6">
            <v>15154.794283157262</v>
          </cell>
          <cell r="DW6">
            <v>7434.3302951022997</v>
          </cell>
          <cell r="DX6">
            <v>-726.82168752723248</v>
          </cell>
          <cell r="DY6">
            <v>-325.14784651771652</v>
          </cell>
          <cell r="DZ6">
            <v>-321.81131370545882</v>
          </cell>
          <cell r="EA6">
            <v>2130.9101106110998</v>
          </cell>
          <cell r="EB6">
            <v>2000.939404729972</v>
          </cell>
          <cell r="ED6">
            <v>2332</v>
          </cell>
        </row>
        <row r="7">
          <cell r="K7">
            <v>0.53</v>
          </cell>
        </row>
        <row r="8">
          <cell r="CL8">
            <v>12525.013169424312</v>
          </cell>
          <cell r="CM8">
            <v>3325.2247352453924</v>
          </cell>
          <cell r="CN8">
            <v>1983.3563574192092</v>
          </cell>
          <cell r="CO8">
            <v>1273.8558498087386</v>
          </cell>
          <cell r="CP8">
            <v>-707.44547994627874</v>
          </cell>
          <cell r="CQ8">
            <v>-45.990237210778169</v>
          </cell>
          <cell r="CR8">
            <v>1761.1375449633003</v>
          </cell>
          <cell r="DV8">
            <v>14818.82477578687</v>
          </cell>
          <cell r="DW8">
            <v>7269.5172174579411</v>
          </cell>
          <cell r="DX8">
            <v>-710.7086397522437</v>
          </cell>
          <cell r="DY8">
            <v>-317.939582269715</v>
          </cell>
          <cell r="DZ8">
            <v>-321.81131370545882</v>
          </cell>
          <cell r="EA8">
            <v>2083.6695604105435</v>
          </cell>
          <cell r="EB8">
            <v>2000.939404729972</v>
          </cell>
          <cell r="ED8">
            <v>2332</v>
          </cell>
        </row>
        <row r="10">
          <cell r="CL10">
            <v>12442.102601589924</v>
          </cell>
          <cell r="CM10">
            <v>3303.2130800681216</v>
          </cell>
          <cell r="CN10">
            <v>2104.9096872249238</v>
          </cell>
          <cell r="CO10">
            <v>1273.8558498087386</v>
          </cell>
          <cell r="CP10">
            <v>-673.19999999999993</v>
          </cell>
          <cell r="CQ10">
            <v>-453</v>
          </cell>
          <cell r="CR10">
            <v>1749.4795201842273</v>
          </cell>
          <cell r="DV10">
            <v>14445.240957909891</v>
          </cell>
          <cell r="DW10">
            <v>7086.2520775220273</v>
          </cell>
          <cell r="DX10">
            <v>-692.79161522067454</v>
          </cell>
          <cell r="DY10">
            <v>-309.92429868308352</v>
          </cell>
          <cell r="DZ10">
            <v>-321.81131370545882</v>
          </cell>
          <cell r="EA10">
            <v>2031.1400756943115</v>
          </cell>
          <cell r="EB10">
            <v>2000.939404729972</v>
          </cell>
          <cell r="EC10">
            <v>1376.0623421472308</v>
          </cell>
        </row>
        <row r="12">
          <cell r="AA12">
            <v>699.9292850887249</v>
          </cell>
          <cell r="CL12">
            <v>11727.566457202242</v>
          </cell>
          <cell r="CM12">
            <v>3113.5132187262589</v>
          </cell>
          <cell r="CN12">
            <v>2042.6615365621933</v>
          </cell>
          <cell r="CO12">
            <v>1273.8558498087386</v>
          </cell>
          <cell r="CP12">
            <v>-524.70553837633918</v>
          </cell>
          <cell r="CQ12">
            <v>-489.5</v>
          </cell>
          <cell r="CR12">
            <v>1649.0088528809445</v>
          </cell>
          <cell r="DV12">
            <v>14071.657140032912</v>
          </cell>
          <cell r="DW12">
            <v>6902.9869375861126</v>
          </cell>
          <cell r="DX12">
            <v>-674.87459068910539</v>
          </cell>
          <cell r="DY12">
            <v>-301.90901509645209</v>
          </cell>
          <cell r="DZ12">
            <v>-321.81131370545882</v>
          </cell>
          <cell r="EA12">
            <v>1978.6105909780795</v>
          </cell>
          <cell r="EB12">
            <v>2000.939404729972</v>
          </cell>
          <cell r="EC12">
            <v>1376.0623421472308</v>
          </cell>
        </row>
        <row r="14">
          <cell r="CL14">
            <v>13767.87368955477</v>
          </cell>
          <cell r="CM14">
            <v>3655.1877051915312</v>
          </cell>
          <cell r="CN14">
            <v>2024.4789219293125</v>
          </cell>
          <cell r="CO14">
            <v>1273.8558498087386</v>
          </cell>
          <cell r="CP14">
            <v>-855.64166666666654</v>
          </cell>
          <cell r="CQ14">
            <v>-330.66666666666669</v>
          </cell>
          <cell r="CR14">
            <v>1935.8957105273664</v>
          </cell>
        </row>
        <row r="40">
          <cell r="Z40">
            <v>11777.269883209681</v>
          </cell>
          <cell r="AA40">
            <v>1655.9976335289914</v>
          </cell>
          <cell r="AB40">
            <v>3126.7088185512425</v>
          </cell>
          <cell r="AH40">
            <v>12525.013169424312</v>
          </cell>
          <cell r="AI40">
            <v>1761.1375449633003</v>
          </cell>
          <cell r="AJ40">
            <v>3325.2247352453924</v>
          </cell>
        </row>
        <row r="41">
          <cell r="Q41">
            <v>10709.071504802563</v>
          </cell>
          <cell r="R41">
            <v>1505.7986481679118</v>
          </cell>
          <cell r="S41">
            <v>2843.1163287086447</v>
          </cell>
        </row>
        <row r="43">
          <cell r="K43">
            <v>0.03</v>
          </cell>
        </row>
        <row r="47">
          <cell r="DV47">
            <v>14903.762439692164</v>
          </cell>
          <cell r="DW47">
            <v>7903.7130734572202</v>
          </cell>
          <cell r="DX47">
            <v>-1013.7484442590949</v>
          </cell>
          <cell r="DY47">
            <v>-392.83485540334857</v>
          </cell>
          <cell r="DZ47">
            <v>-321.81131370545882</v>
          </cell>
          <cell r="EA47">
            <v>2031.1400756943115</v>
          </cell>
          <cell r="EB47">
            <v>2000.939404729972</v>
          </cell>
          <cell r="EC47">
            <v>0</v>
          </cell>
        </row>
        <row r="48">
          <cell r="AA48">
            <v>707.44547994627874</v>
          </cell>
        </row>
        <row r="68">
          <cell r="Z68">
            <v>11023.702905008673</v>
          </cell>
          <cell r="AA68">
            <v>1550.0388548832254</v>
          </cell>
          <cell r="AB68">
            <v>2926.6467889403557</v>
          </cell>
          <cell r="AH68">
            <v>12442.102601589924</v>
          </cell>
          <cell r="AI68">
            <v>1749.4795201842273</v>
          </cell>
          <cell r="AJ68">
            <v>3303.2130800681216</v>
          </cell>
        </row>
        <row r="69">
          <cell r="Q69">
            <v>9623.692636072572</v>
          </cell>
          <cell r="R69">
            <v>1353.1839203130558</v>
          </cell>
          <cell r="S69">
            <v>2554.9626467449307</v>
          </cell>
        </row>
        <row r="71">
          <cell r="K71">
            <v>0.02</v>
          </cell>
        </row>
        <row r="73">
          <cell r="AA73">
            <v>673.19999999999993</v>
          </cell>
        </row>
        <row r="93">
          <cell r="Z93">
            <v>10707.268175425646</v>
          </cell>
          <cell r="AA93">
            <v>1505.5450826803024</v>
          </cell>
          <cell r="AB93">
            <v>2842.6375686970746</v>
          </cell>
          <cell r="AH93">
            <v>11727.566457202242</v>
          </cell>
          <cell r="AI93">
            <v>1649.0088528809445</v>
          </cell>
          <cell r="AJ93">
            <v>3113.5132187262589</v>
          </cell>
        </row>
        <row r="94">
          <cell r="Q94">
            <v>9623.692636072572</v>
          </cell>
          <cell r="R94">
            <v>1353.1839203130558</v>
          </cell>
          <cell r="S94">
            <v>2554.9626467449307</v>
          </cell>
        </row>
        <row r="96">
          <cell r="K96">
            <v>0.02</v>
          </cell>
        </row>
        <row r="101">
          <cell r="AA101">
            <v>479.05615653759764</v>
          </cell>
        </row>
        <row r="122">
          <cell r="Z122">
            <v>12682.965242817852</v>
          </cell>
          <cell r="AA122">
            <v>1783.3471285378098</v>
          </cell>
          <cell r="AB122">
            <v>3367.1589140224382</v>
          </cell>
          <cell r="AH122">
            <v>13767.87368955477</v>
          </cell>
          <cell r="AI122">
            <v>1935.8957105273664</v>
          </cell>
          <cell r="AJ122">
            <v>3655.1877051915312</v>
          </cell>
        </row>
        <row r="123">
          <cell r="Q123">
            <v>10709.071504802563</v>
          </cell>
          <cell r="R123">
            <v>1505.7986481679118</v>
          </cell>
          <cell r="S123">
            <v>2843.1163287086447</v>
          </cell>
        </row>
        <row r="125">
          <cell r="K125">
            <v>0.3</v>
          </cell>
        </row>
        <row r="130">
          <cell r="AA130">
            <v>855.64166666666654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gt;&gt;Matrix-Nhập"/>
      <sheetName val="Nhập-24-26"/>
      <sheetName val="Nhập-2026"/>
      <sheetName val="Nhập-2025"/>
      <sheetName val="Nhập-2024"/>
      <sheetName val="&gt;&gt;Matrix-Xuất"/>
      <sheetName val="Xuất-24-26"/>
      <sheetName val="Xuất-2026"/>
      <sheetName val="Xuất-2025"/>
      <sheetName val="Xuất-2024"/>
      <sheetName val="|"/>
      <sheetName val="Data-Nhập"/>
      <sheetName val="Data-Xuất"/>
      <sheetName val="PV_Xuất"/>
      <sheetName val="MD-SK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D16">
            <v>0.48014664740036078</v>
          </cell>
          <cell r="F16">
            <v>0.46667504700182927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DTR-OWN">
      <a:dk1>
        <a:sysClr val="windowText" lastClr="000000"/>
      </a:dk1>
      <a:lt1>
        <a:sysClr val="window" lastClr="FFFFFF"/>
      </a:lt1>
      <a:dk2>
        <a:srgbClr val="0F4C81"/>
      </a:dk2>
      <a:lt2>
        <a:srgbClr val="727376"/>
      </a:lt2>
      <a:accent1>
        <a:srgbClr val="F87C56"/>
      </a:accent1>
      <a:accent2>
        <a:srgbClr val="119303"/>
      </a:accent2>
      <a:accent3>
        <a:srgbClr val="034194"/>
      </a:accent3>
      <a:accent4>
        <a:srgbClr val="BE3455"/>
      </a:accent4>
      <a:accent5>
        <a:srgbClr val="CCCC00"/>
      </a:accent5>
      <a:accent6>
        <a:srgbClr val="92A8D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F3B2-9C55-41EF-AF02-AFBB27AC0003}">
  <dimension ref="A1:G21"/>
  <sheetViews>
    <sheetView showGridLines="0" zoomScale="205" zoomScaleNormal="205" workbookViewId="0">
      <selection activeCell="D5" sqref="D5"/>
    </sheetView>
  </sheetViews>
  <sheetFormatPr defaultRowHeight="14.5" x14ac:dyDescent="0.35"/>
  <cols>
    <col min="1" max="1" width="12.4140625" bestFit="1" customWidth="1"/>
    <col min="2" max="2" width="9.58203125" bestFit="1" customWidth="1"/>
    <col min="3" max="3" width="11" bestFit="1" customWidth="1"/>
    <col min="4" max="4" width="11.08203125" bestFit="1" customWidth="1"/>
  </cols>
  <sheetData>
    <row r="1" spans="1:7" s="27" customFormat="1" ht="15" thickBot="1" x14ac:dyDescent="0.4">
      <c r="A1" s="28" t="s">
        <v>20</v>
      </c>
      <c r="B1" s="28"/>
      <c r="C1" s="28" t="s">
        <v>21</v>
      </c>
      <c r="D1" s="28" t="s">
        <v>35</v>
      </c>
      <c r="E1" s="28"/>
      <c r="F1" s="28"/>
      <c r="G1" s="28"/>
    </row>
    <row r="2" spans="1:7" ht="15" thickTop="1" x14ac:dyDescent="0.35"/>
    <row r="3" spans="1:7" x14ac:dyDescent="0.35">
      <c r="A3" s="11" t="s">
        <v>0</v>
      </c>
      <c r="B3" s="12">
        <v>11300</v>
      </c>
      <c r="C3" s="33">
        <v>0.1</v>
      </c>
    </row>
    <row r="4" spans="1:7" x14ac:dyDescent="0.35">
      <c r="A4" t="s">
        <v>11</v>
      </c>
      <c r="B4" s="1">
        <f>_xlfn.XLOOKUP($A4,Chai!$B$3:$G$3,Chai!$B$8:$G$8)</f>
        <v>15430</v>
      </c>
      <c r="D4" s="36">
        <f t="shared" ref="D4:D10" si="0">B4/$B$7</f>
        <v>1.1402736736947263</v>
      </c>
    </row>
    <row r="5" spans="1:7" x14ac:dyDescent="0.35">
      <c r="A5" t="s">
        <v>1</v>
      </c>
      <c r="B5" s="1">
        <f>_xlfn.XLOOKUP($A5,Chai!$B$3:$G$3,Chai!$B$8:$G$8)</f>
        <v>16584.133760227684</v>
      </c>
      <c r="D5" s="36">
        <f t="shared" si="0"/>
        <v>1.2255639097744364</v>
      </c>
    </row>
    <row r="6" spans="1:7" x14ac:dyDescent="0.35">
      <c r="A6" t="s">
        <v>3</v>
      </c>
      <c r="B6" s="1">
        <f>_xlfn.XLOOKUP($A6,Chai!$B$3:$G$3,Chai!$B$8:$G$8)</f>
        <v>15057.98648167912</v>
      </c>
      <c r="D6" s="36">
        <f t="shared" si="0"/>
        <v>1.1127819548872182</v>
      </c>
    </row>
    <row r="7" spans="1:7" x14ac:dyDescent="0.35">
      <c r="A7" t="s">
        <v>4</v>
      </c>
      <c r="B7" s="1">
        <f>_xlfn.XLOOKUP($A7,Chai!$B$3:$G$3,Chai!$B$8:$G$8)</f>
        <v>13531.839203130559</v>
      </c>
      <c r="D7" s="36">
        <f t="shared" si="0"/>
        <v>1</v>
      </c>
    </row>
    <row r="8" spans="1:7" x14ac:dyDescent="0.35">
      <c r="A8" t="s">
        <v>5</v>
      </c>
      <c r="B8" s="1">
        <f>_xlfn.XLOOKUP($A8,Chai!$B$3:$G$3,Chai!$B$8:$G$8)</f>
        <v>13531.839203130559</v>
      </c>
      <c r="D8" s="36">
        <f t="shared" si="0"/>
        <v>1</v>
      </c>
    </row>
    <row r="9" spans="1:7" x14ac:dyDescent="0.35">
      <c r="A9" t="s">
        <v>6</v>
      </c>
      <c r="B9" s="1">
        <f>_xlfn.XLOOKUP($A9,Chai!$B$3:$G$3,Chai!$B$8:$G$8)</f>
        <v>15057.98648167912</v>
      </c>
      <c r="D9" s="36">
        <f t="shared" si="0"/>
        <v>1.1127819548872182</v>
      </c>
    </row>
    <row r="10" spans="1:7" x14ac:dyDescent="0.35">
      <c r="A10" s="31" t="s">
        <v>19</v>
      </c>
      <c r="B10" s="32">
        <f>5500/0.66</f>
        <v>8333.3333333333321</v>
      </c>
      <c r="D10" s="36">
        <f t="shared" si="0"/>
        <v>0.61583153688416836</v>
      </c>
    </row>
    <row r="13" spans="1:7" ht="15" thickBot="1" x14ac:dyDescent="0.4">
      <c r="A13" s="28" t="s">
        <v>22</v>
      </c>
      <c r="B13" s="28"/>
      <c r="C13" s="28" t="s">
        <v>21</v>
      </c>
      <c r="D13" s="28" t="s">
        <v>35</v>
      </c>
    </row>
    <row r="14" spans="1:7" ht="15" thickTop="1" x14ac:dyDescent="0.35">
      <c r="A14" s="11" t="s">
        <v>29</v>
      </c>
      <c r="B14" s="12">
        <v>11300</v>
      </c>
      <c r="C14" s="33">
        <f>'[1]rPET-Băm'!$AO$8+'[1]rPET-Rửa'!$AO$8</f>
        <v>8.4402637844431999E-2</v>
      </c>
    </row>
    <row r="15" spans="1:7" x14ac:dyDescent="0.35">
      <c r="A15" t="s">
        <v>23</v>
      </c>
      <c r="B15" s="1">
        <f>_xlfn.XLOOKUP($A15,Vảy_A0!$B$3:$G$3,Vảy_A0!$B$8:$G$8)</f>
        <v>15896.931085291266</v>
      </c>
      <c r="D15" s="36">
        <f t="shared" ref="D15:D18" si="1">B15/$B$19</f>
        <v>1.0905941726262132</v>
      </c>
    </row>
    <row r="16" spans="1:7" x14ac:dyDescent="0.35">
      <c r="A16" t="s">
        <v>24</v>
      </c>
      <c r="B16" s="1">
        <f>_xlfn.XLOOKUP($A16,Vảy_A0!$B$3:$G$3,Vảy_A0!$B$8:$G$8)</f>
        <v>18331.610266723746</v>
      </c>
      <c r="D16" s="36">
        <f t="shared" si="1"/>
        <v>1.2576230735655527</v>
      </c>
    </row>
    <row r="17" spans="1:4" x14ac:dyDescent="0.35">
      <c r="A17" t="s">
        <v>25</v>
      </c>
      <c r="B17" s="1">
        <f>_xlfn.XLOOKUP($A17,Vảy_A0!$B$3:$G$3,Vảy_A0!$B$8:$G$8)</f>
        <v>15852.530855343639</v>
      </c>
      <c r="D17" s="36">
        <f t="shared" si="1"/>
        <v>1.0875481361438037</v>
      </c>
    </row>
    <row r="18" spans="1:4" x14ac:dyDescent="0.35">
      <c r="A18" t="s">
        <v>26</v>
      </c>
      <c r="B18" s="1">
        <f>_xlfn.XLOOKUP($A18,Vảy_A0!$B$3:$G$3,Vảy_A0!$B$8:$G$8)</f>
        <v>14827.188548832253</v>
      </c>
      <c r="D18" s="36">
        <f t="shared" si="1"/>
        <v>1.0172054807954962</v>
      </c>
    </row>
    <row r="19" spans="1:4" x14ac:dyDescent="0.35">
      <c r="A19" t="s">
        <v>27</v>
      </c>
      <c r="B19" s="1">
        <f>_xlfn.XLOOKUP($A19,Vảy_A0!$B$3:$G$3,Vảy_A0!$B$8:$G$8)</f>
        <v>14576.394670265427</v>
      </c>
      <c r="D19" s="36">
        <f>B19/$B$19</f>
        <v>1</v>
      </c>
    </row>
    <row r="20" spans="1:4" x14ac:dyDescent="0.35">
      <c r="A20" t="s">
        <v>28</v>
      </c>
      <c r="B20" s="1">
        <f>_xlfn.XLOOKUP($A20,Vảy_A0!$B$3:$G$3,Vảy_A0!$B$8:$G$8)</f>
        <v>16977.829618711432</v>
      </c>
      <c r="D20" s="36">
        <f t="shared" ref="D20:D21" si="2">B20/$B$19</f>
        <v>1.1647482112531382</v>
      </c>
    </row>
    <row r="21" spans="1:4" x14ac:dyDescent="0.35">
      <c r="A21" s="31" t="s">
        <v>31</v>
      </c>
      <c r="B21" s="32">
        <f>5500/0.66</f>
        <v>8333.3333333333321</v>
      </c>
      <c r="D21" s="36">
        <f t="shared" si="2"/>
        <v>0.57170058315809769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AFF2-49C1-499F-920B-EA2CB86A9EA7}">
  <sheetPr>
    <tabColor rgb="FFFF0000"/>
  </sheetPr>
  <dimension ref="A3:G22"/>
  <sheetViews>
    <sheetView showGridLines="0" zoomScale="145" zoomScaleNormal="145" workbookViewId="0">
      <selection activeCell="B5" sqref="B5"/>
    </sheetView>
  </sheetViews>
  <sheetFormatPr defaultRowHeight="14.5" x14ac:dyDescent="0.35"/>
  <cols>
    <col min="1" max="1" width="12.83203125" customWidth="1"/>
    <col min="2" max="7" width="13.58203125" bestFit="1" customWidth="1"/>
    <col min="8" max="8" width="9.58203125" bestFit="1" customWidth="1"/>
  </cols>
  <sheetData>
    <row r="3" spans="1:7" x14ac:dyDescent="0.35">
      <c r="A3" s="3" t="s">
        <v>2</v>
      </c>
      <c r="B3" s="4" t="s">
        <v>11</v>
      </c>
      <c r="C3" s="4" t="s">
        <v>1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x14ac:dyDescent="0.35">
      <c r="A4" s="20" t="s">
        <v>0</v>
      </c>
      <c r="B4" s="21">
        <v>11300</v>
      </c>
      <c r="C4" s="21">
        <f>'[2]H_Tỷ lệ HH&amp;PS (-PS)'!$Q$5</f>
        <v>11794.450373532554</v>
      </c>
      <c r="D4" s="21">
        <f>'[2]H_Tỷ lệ HH&amp;PS (-PS)'!$Q$41</f>
        <v>10709.071504802563</v>
      </c>
      <c r="E4" s="21">
        <f>'[2]H_Tỷ lệ HH&amp;PS (-PS)'!$Q$69</f>
        <v>9623.692636072572</v>
      </c>
      <c r="F4" s="21">
        <f>'[2]H_Tỷ lệ HH&amp;PS (-PS)'!$Q$94</f>
        <v>9623.692636072572</v>
      </c>
      <c r="G4" s="21">
        <f>'[2]H_Tỷ lệ HH&amp;PS (-PS)'!$Q$123</f>
        <v>10709.071504802563</v>
      </c>
    </row>
    <row r="5" spans="1:7" x14ac:dyDescent="0.35">
      <c r="A5" s="22" t="s">
        <v>7</v>
      </c>
      <c r="B5" s="29">
        <f>B4*0.1</f>
        <v>1130</v>
      </c>
      <c r="C5" s="29">
        <f>'[2]H_Tỷ lệ HH&amp;PS (-PS)'!$R$5</f>
        <v>1658.4133760227683</v>
      </c>
      <c r="D5" s="29">
        <f>'[2]H_Tỷ lệ HH&amp;PS (-PS)'!$R$41</f>
        <v>1505.7986481679118</v>
      </c>
      <c r="E5" s="29">
        <f>'[2]H_Tỷ lệ HH&amp;PS (-PS)'!$R$69</f>
        <v>1353.1839203130558</v>
      </c>
      <c r="F5" s="29">
        <f>'[2]H_Tỷ lệ HH&amp;PS (-PS)'!$R$94</f>
        <v>1353.1839203130558</v>
      </c>
      <c r="G5" s="29">
        <f>'[2]H_Tỷ lệ HH&amp;PS (-PS)'!$R$123</f>
        <v>1505.7986481679118</v>
      </c>
    </row>
    <row r="6" spans="1:7" x14ac:dyDescent="0.35">
      <c r="A6" s="22" t="s">
        <v>8</v>
      </c>
      <c r="B6" s="29">
        <v>3000</v>
      </c>
      <c r="C6" s="29">
        <f>'[2]H_Tỷ lệ HH&amp;PS (-PS)'!$S$5</f>
        <v>3131.2700106723596</v>
      </c>
      <c r="D6" s="29">
        <f>'[2]H_Tỷ lệ HH&amp;PS (-PS)'!$S$41</f>
        <v>2843.1163287086447</v>
      </c>
      <c r="E6" s="29">
        <f>'[2]H_Tỷ lệ HH&amp;PS (-PS)'!$S$69</f>
        <v>2554.9626467449307</v>
      </c>
      <c r="F6" s="29">
        <f>'[2]H_Tỷ lệ HH&amp;PS (-PS)'!$S$94</f>
        <v>2554.9626467449307</v>
      </c>
      <c r="G6" s="29">
        <f>'[2]H_Tỷ lệ HH&amp;PS (-PS)'!$S$123</f>
        <v>2843.1163287086447</v>
      </c>
    </row>
    <row r="7" spans="1:7" ht="15" thickBot="1" x14ac:dyDescent="0.4">
      <c r="A7" s="23" t="s">
        <v>9</v>
      </c>
      <c r="B7" s="30">
        <f t="shared" ref="B7" si="0">AVERAGE(C7:F7)</f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</row>
    <row r="8" spans="1:7" ht="15" thickBot="1" x14ac:dyDescent="0.4">
      <c r="A8" s="5" t="s">
        <v>10</v>
      </c>
      <c r="B8" s="6">
        <f>SUM(B4:B7)</f>
        <v>15430</v>
      </c>
      <c r="C8" s="6">
        <f t="shared" ref="C8:G8" si="1">SUM(C4:C7)</f>
        <v>16584.133760227684</v>
      </c>
      <c r="D8" s="6">
        <f t="shared" si="1"/>
        <v>15057.98648167912</v>
      </c>
      <c r="E8" s="6">
        <f t="shared" si="1"/>
        <v>13531.839203130559</v>
      </c>
      <c r="F8" s="6">
        <f t="shared" si="1"/>
        <v>13531.839203130559</v>
      </c>
      <c r="G8" s="6">
        <f t="shared" si="1"/>
        <v>15057.98648167912</v>
      </c>
    </row>
    <row r="10" spans="1:7" s="8" customFormat="1" ht="15" thickBot="1" x14ac:dyDescent="0.4">
      <c r="A10" s="15" t="s">
        <v>12</v>
      </c>
      <c r="B10" s="34">
        <f>SUM(C10:G10)</f>
        <v>0.90000000000000013</v>
      </c>
      <c r="C10" s="35">
        <f>'[2]H_Tỷ lệ HH&amp;PS (-PS)'!$K$7</f>
        <v>0.53</v>
      </c>
      <c r="D10" s="35">
        <f>'[2]H_Tỷ lệ HH&amp;PS (-PS)'!$K$43</f>
        <v>0.03</v>
      </c>
      <c r="E10" s="35">
        <f>'[2]H_Tỷ lệ HH&amp;PS (-PS)'!$K$71</f>
        <v>0.02</v>
      </c>
      <c r="F10" s="35">
        <f>'[2]H_Tỷ lệ HH&amp;PS (-PS)'!$K$96</f>
        <v>0.02</v>
      </c>
      <c r="G10" s="35">
        <f>'[2]H_Tỷ lệ HH&amp;PS (-PS)'!$K$125</f>
        <v>0.3</v>
      </c>
    </row>
    <row r="11" spans="1:7" s="8" customFormat="1" x14ac:dyDescent="0.35">
      <c r="A11" s="8" t="s">
        <v>0</v>
      </c>
      <c r="B11" s="9">
        <f>IFERROR(B4/B$8,0)</f>
        <v>0.73233959818535321</v>
      </c>
      <c r="C11" s="9">
        <f t="shared" ref="C11:G11" si="2">IFERROR(C4/C$8,0)</f>
        <v>0.71118881118881117</v>
      </c>
      <c r="D11" s="9">
        <f t="shared" si="2"/>
        <v>0.71118881118881117</v>
      </c>
      <c r="E11" s="9">
        <f t="shared" si="2"/>
        <v>0.71118881118881117</v>
      </c>
      <c r="F11" s="9">
        <f t="shared" si="2"/>
        <v>0.71118881118881117</v>
      </c>
      <c r="G11" s="9">
        <f t="shared" si="2"/>
        <v>0.71118881118881117</v>
      </c>
    </row>
    <row r="12" spans="1:7" s="8" customFormat="1" x14ac:dyDescent="0.35">
      <c r="A12" s="8" t="s">
        <v>7</v>
      </c>
      <c r="B12" s="9">
        <f>IFERROR(B5/B$8,0)</f>
        <v>7.3233959818535324E-2</v>
      </c>
      <c r="C12" s="9">
        <f t="shared" ref="C12:G12" si="3">IFERROR(C5/C$8,0)</f>
        <v>9.9999999999999992E-2</v>
      </c>
      <c r="D12" s="9">
        <f t="shared" si="3"/>
        <v>9.9999999999999992E-2</v>
      </c>
      <c r="E12" s="9">
        <f t="shared" si="3"/>
        <v>9.9999999999999992E-2</v>
      </c>
      <c r="F12" s="9">
        <f t="shared" si="3"/>
        <v>9.9999999999999992E-2</v>
      </c>
      <c r="G12" s="9">
        <f t="shared" si="3"/>
        <v>9.9999999999999992E-2</v>
      </c>
    </row>
    <row r="13" spans="1:7" s="8" customFormat="1" x14ac:dyDescent="0.35">
      <c r="A13" s="8" t="s">
        <v>8</v>
      </c>
      <c r="B13" s="9">
        <f>IFERROR(B6/B$8,0)</f>
        <v>0.19442644199611148</v>
      </c>
      <c r="C13" s="9">
        <f t="shared" ref="C13:G13" si="4">IFERROR(C6/C$8,0)</f>
        <v>0.1888111888111888</v>
      </c>
      <c r="D13" s="9">
        <f t="shared" si="4"/>
        <v>0.1888111888111888</v>
      </c>
      <c r="E13" s="9">
        <f t="shared" si="4"/>
        <v>0.1888111888111888</v>
      </c>
      <c r="F13" s="9">
        <f t="shared" si="4"/>
        <v>0.1888111888111888</v>
      </c>
      <c r="G13" s="9">
        <f t="shared" si="4"/>
        <v>0.1888111888111888</v>
      </c>
    </row>
    <row r="14" spans="1:7" s="8" customFormat="1" x14ac:dyDescent="0.35">
      <c r="A14" s="8" t="s">
        <v>9</v>
      </c>
      <c r="B14" s="9">
        <f>IFERROR(B7/B$8,0)</f>
        <v>0</v>
      </c>
      <c r="C14" s="9">
        <f t="shared" ref="C14:G14" si="5">IFERROR(C7/C$8,0)</f>
        <v>0</v>
      </c>
      <c r="D14" s="9">
        <f t="shared" si="5"/>
        <v>0</v>
      </c>
      <c r="E14" s="9">
        <f t="shared" si="5"/>
        <v>0</v>
      </c>
      <c r="F14" s="9">
        <f t="shared" si="5"/>
        <v>0</v>
      </c>
      <c r="G14" s="9">
        <f t="shared" si="5"/>
        <v>0</v>
      </c>
    </row>
    <row r="15" spans="1:7" s="8" customFormat="1" x14ac:dyDescent="0.35">
      <c r="A15" s="7" t="s">
        <v>10</v>
      </c>
      <c r="B15" s="10">
        <f>IFERROR(B8/B$8,0)</f>
        <v>1</v>
      </c>
      <c r="C15" s="10">
        <f t="shared" ref="C15:G15" si="6">IFERROR(C8/C$8,0)</f>
        <v>1</v>
      </c>
      <c r="D15" s="10">
        <f t="shared" si="6"/>
        <v>1</v>
      </c>
      <c r="E15" s="10">
        <f t="shared" si="6"/>
        <v>1</v>
      </c>
      <c r="F15" s="10">
        <f t="shared" si="6"/>
        <v>1</v>
      </c>
      <c r="G15" s="10">
        <f t="shared" si="6"/>
        <v>1</v>
      </c>
    </row>
    <row r="17" spans="1:7" ht="15" thickBot="1" x14ac:dyDescent="0.4">
      <c r="A17" s="17" t="s">
        <v>13</v>
      </c>
      <c r="B17" s="17"/>
      <c r="C17" s="17"/>
      <c r="D17" s="17"/>
      <c r="E17" s="17"/>
      <c r="F17" s="17"/>
      <c r="G17" s="17"/>
    </row>
    <row r="18" spans="1:7" x14ac:dyDescent="0.35">
      <c r="A18" s="13" t="s">
        <v>0</v>
      </c>
      <c r="B18" s="13" t="str">
        <f>TEXT(B4,"#,###")&amp;" | "&amp;CHAR(10)&amp;TEXT(B11,"0.0%")</f>
        <v>11,300 | 
73.2%</v>
      </c>
      <c r="C18" s="13" t="str">
        <f t="shared" ref="C18:G18" si="7">TEXT(C4,"#,###")&amp;" | "&amp;CHAR(10)&amp;TEXT(C11,"0.0%")</f>
        <v>11,794 | 
71.1%</v>
      </c>
      <c r="D18" s="13" t="str">
        <f t="shared" si="7"/>
        <v>10,709 | 
71.1%</v>
      </c>
      <c r="E18" s="13" t="str">
        <f t="shared" si="7"/>
        <v>9,624 | 
71.1%</v>
      </c>
      <c r="F18" s="13" t="str">
        <f t="shared" si="7"/>
        <v>9,624 | 
71.1%</v>
      </c>
      <c r="G18" s="13" t="str">
        <f t="shared" si="7"/>
        <v>10,709 | 
71.1%</v>
      </c>
    </row>
    <row r="19" spans="1:7" x14ac:dyDescent="0.35">
      <c r="A19" s="13" t="s">
        <v>7</v>
      </c>
      <c r="B19" s="13" t="str">
        <f t="shared" ref="B19:G19" si="8">TEXT(B5,"#,###")&amp;" | "&amp;TEXT(B12,"0.0%")</f>
        <v>1,130 | 7.3%</v>
      </c>
      <c r="C19" s="13" t="str">
        <f t="shared" si="8"/>
        <v>1,658 | 10.0%</v>
      </c>
      <c r="D19" s="13" t="str">
        <f t="shared" si="8"/>
        <v>1,506 | 10.0%</v>
      </c>
      <c r="E19" s="13" t="str">
        <f t="shared" si="8"/>
        <v>1,353 | 10.0%</v>
      </c>
      <c r="F19" s="13" t="str">
        <f t="shared" si="8"/>
        <v>1,353 | 10.0%</v>
      </c>
      <c r="G19" s="13" t="str">
        <f t="shared" si="8"/>
        <v>1,506 | 10.0%</v>
      </c>
    </row>
    <row r="20" spans="1:7" x14ac:dyDescent="0.35">
      <c r="A20" s="13" t="s">
        <v>8</v>
      </c>
      <c r="B20" s="13" t="str">
        <f t="shared" ref="B20:G20" si="9">TEXT(B6,"#,###")&amp;" | "&amp;TEXT(B13,"0.0%")</f>
        <v>3,000 | 19.4%</v>
      </c>
      <c r="C20" s="13" t="str">
        <f t="shared" si="9"/>
        <v>3,131 | 18.9%</v>
      </c>
      <c r="D20" s="13" t="str">
        <f t="shared" si="9"/>
        <v>2,843 | 18.9%</v>
      </c>
      <c r="E20" s="13" t="str">
        <f t="shared" si="9"/>
        <v>2,555 | 18.9%</v>
      </c>
      <c r="F20" s="13" t="str">
        <f t="shared" si="9"/>
        <v>2,555 | 18.9%</v>
      </c>
      <c r="G20" s="13" t="str">
        <f t="shared" si="9"/>
        <v>2,843 | 18.9%</v>
      </c>
    </row>
    <row r="21" spans="1:7" x14ac:dyDescent="0.35">
      <c r="A21" s="13" t="s">
        <v>9</v>
      </c>
      <c r="B21" s="13" t="str">
        <f t="shared" ref="B21:G21" si="10">TEXT(B7,"#,###")&amp;" | "&amp;TEXT(B14,"0.0%")</f>
        <v xml:space="preserve"> | 0.0%</v>
      </c>
      <c r="C21" s="13" t="str">
        <f t="shared" si="10"/>
        <v xml:space="preserve"> | 0.0%</v>
      </c>
      <c r="D21" s="13" t="str">
        <f t="shared" si="10"/>
        <v xml:space="preserve"> | 0.0%</v>
      </c>
      <c r="E21" s="13" t="str">
        <f t="shared" si="10"/>
        <v xml:space="preserve"> | 0.0%</v>
      </c>
      <c r="F21" s="13" t="str">
        <f t="shared" si="10"/>
        <v xml:space="preserve"> | 0.0%</v>
      </c>
      <c r="G21" s="13" t="str">
        <f t="shared" si="10"/>
        <v xml:space="preserve"> | 0.0%</v>
      </c>
    </row>
    <row r="22" spans="1:7" x14ac:dyDescent="0.35">
      <c r="A22" s="14" t="s">
        <v>10</v>
      </c>
      <c r="B22" s="14" t="str">
        <f t="shared" ref="B22:G22" si="11">TEXT(B8,"#,###")&amp;" | "&amp;TEXT(B15,"0.0%")</f>
        <v>15,430 | 100.0%</v>
      </c>
      <c r="C22" s="14" t="str">
        <f t="shared" si="11"/>
        <v>16,584 | 100.0%</v>
      </c>
      <c r="D22" s="14" t="str">
        <f t="shared" si="11"/>
        <v>15,058 | 100.0%</v>
      </c>
      <c r="E22" s="14" t="str">
        <f t="shared" si="11"/>
        <v>13,532 | 100.0%</v>
      </c>
      <c r="F22" s="14" t="str">
        <f t="shared" si="11"/>
        <v>13,532 | 100.0%</v>
      </c>
      <c r="G22" s="14" t="str">
        <f t="shared" si="11"/>
        <v>15,058 | 100.0%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B7F2-FE9D-40AB-9AFE-6082404F1CC3}">
  <sheetPr>
    <tabColor rgb="FF00B0F0"/>
  </sheetPr>
  <dimension ref="A3:G22"/>
  <sheetViews>
    <sheetView showGridLines="0" topLeftCell="A15" zoomScale="175" zoomScaleNormal="175" workbookViewId="0">
      <selection activeCell="B8" sqref="B8"/>
    </sheetView>
  </sheetViews>
  <sheetFormatPr defaultRowHeight="14.5" x14ac:dyDescent="0.35"/>
  <cols>
    <col min="1" max="1" width="12.4140625" bestFit="1" customWidth="1"/>
    <col min="2" max="2" width="13.08203125" customWidth="1"/>
    <col min="3" max="7" width="13.58203125" bestFit="1" customWidth="1"/>
    <col min="8" max="8" width="9.58203125" bestFit="1" customWidth="1"/>
  </cols>
  <sheetData>
    <row r="3" spans="1:7" x14ac:dyDescent="0.35">
      <c r="A3" s="3" t="s">
        <v>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</row>
    <row r="4" spans="1:7" x14ac:dyDescent="0.35">
      <c r="A4" s="20" t="s">
        <v>40</v>
      </c>
      <c r="B4" s="21">
        <f>AVERAGE(C4:F4)</f>
        <v>11760.814738147588</v>
      </c>
      <c r="C4" s="21">
        <f>'[2]H_Tỷ lệ HH&amp;PS (-PS)'!$Z$4</f>
        <v>13535.017988946352</v>
      </c>
      <c r="D4" s="21">
        <f>'[2]H_Tỷ lệ HH&amp;PS (-PS)'!$Z$40</f>
        <v>11777.269883209681</v>
      </c>
      <c r="E4" s="21">
        <f>'[2]H_Tỷ lệ HH&amp;PS (-PS)'!$Z$68</f>
        <v>11023.702905008673</v>
      </c>
      <c r="F4" s="21">
        <f>'[2]H_Tỷ lệ HH&amp;PS (-PS)'!$Z$93</f>
        <v>10707.268175425646</v>
      </c>
      <c r="G4" s="21">
        <f>'[2]H_Tỷ lệ HH&amp;PS (-PS)'!$Z$122</f>
        <v>12682.965242817852</v>
      </c>
    </row>
    <row r="5" spans="1:7" x14ac:dyDescent="0.35">
      <c r="A5" s="22" t="s">
        <v>7</v>
      </c>
      <c r="B5" s="29">
        <f t="shared" ref="B5:B7" si="0">AVERAGE(C5:F5)</f>
        <v>1653.6838815684416</v>
      </c>
      <c r="C5" s="29">
        <f>'[2]H_Tỷ lệ HH&amp;PS (-PS)'!$AA$4</f>
        <v>1903.1539551812473</v>
      </c>
      <c r="D5" s="29">
        <f>'[2]H_Tỷ lệ HH&amp;PS (-PS)'!$AA$40</f>
        <v>1655.9976335289914</v>
      </c>
      <c r="E5" s="29">
        <f>'[2]H_Tỷ lệ HH&amp;PS (-PS)'!$AA$68</f>
        <v>1550.0388548832254</v>
      </c>
      <c r="F5" s="29">
        <f>'[2]H_Tỷ lệ HH&amp;PS (-PS)'!$AA$93</f>
        <v>1505.5450826803024</v>
      </c>
      <c r="G5" s="29">
        <f>'[2]H_Tỷ lệ HH&amp;PS (-PS)'!$AA$122</f>
        <v>1783.3471285378098</v>
      </c>
    </row>
    <row r="6" spans="1:7" x14ac:dyDescent="0.35">
      <c r="A6" s="22" t="s">
        <v>8</v>
      </c>
      <c r="B6" s="29">
        <f t="shared" si="0"/>
        <v>3122.3401959683865</v>
      </c>
      <c r="C6" s="29">
        <f>'[2]H_Tỷ lệ HH&amp;PS (-PS)'!$AB$4</f>
        <v>3593.3676076848728</v>
      </c>
      <c r="D6" s="29">
        <f>'[2]H_Tỷ lệ HH&amp;PS (-PS)'!$AB$40</f>
        <v>3126.7088185512425</v>
      </c>
      <c r="E6" s="29">
        <f>'[2]H_Tỷ lệ HH&amp;PS (-PS)'!$AB$68</f>
        <v>2926.6467889403557</v>
      </c>
      <c r="F6" s="29">
        <f>'[2]H_Tỷ lệ HH&amp;PS (-PS)'!$AB$93</f>
        <v>2842.6375686970746</v>
      </c>
      <c r="G6" s="29">
        <f>'[2]H_Tỷ lệ HH&amp;PS (-PS)'!$AB$122</f>
        <v>3367.1589140224382</v>
      </c>
    </row>
    <row r="7" spans="1:7" ht="15" thickBot="1" x14ac:dyDescent="0.4">
      <c r="A7" s="23" t="s">
        <v>34</v>
      </c>
      <c r="B7" s="30">
        <f t="shared" si="0"/>
        <v>-639.90773039315036</v>
      </c>
      <c r="C7" s="30">
        <f>-'[2]H_Tỷ lệ HH&amp;PS (-PS)'!$AA$12</f>
        <v>-699.9292850887249</v>
      </c>
      <c r="D7" s="30">
        <f>-'[2]H_Tỷ lệ HH&amp;PS (-PS)'!$AA$48</f>
        <v>-707.44547994627874</v>
      </c>
      <c r="E7" s="30">
        <f>-'[2]H_Tỷ lệ HH&amp;PS (-PS)'!$AA$73</f>
        <v>-673.19999999999993</v>
      </c>
      <c r="F7" s="30">
        <f>-'[2]H_Tỷ lệ HH&amp;PS (-PS)'!$AA$101</f>
        <v>-479.05615653759764</v>
      </c>
      <c r="G7" s="30">
        <f>-'[2]H_Tỷ lệ HH&amp;PS (-PS)'!$AA$130</f>
        <v>-855.64166666666654</v>
      </c>
    </row>
    <row r="8" spans="1:7" ht="15" thickBot="1" x14ac:dyDescent="0.4">
      <c r="A8" s="5" t="s">
        <v>10</v>
      </c>
      <c r="B8" s="6">
        <f>SUM(B4:B7)</f>
        <v>15896.931085291266</v>
      </c>
      <c r="C8" s="6">
        <f>SUM(C4:C7)</f>
        <v>18331.610266723746</v>
      </c>
      <c r="D8" s="6">
        <f t="shared" ref="D8:G8" si="1">SUM(D4:D7)</f>
        <v>15852.530855343639</v>
      </c>
      <c r="E8" s="6">
        <f t="shared" si="1"/>
        <v>14827.188548832253</v>
      </c>
      <c r="F8" s="6">
        <f t="shared" si="1"/>
        <v>14576.394670265427</v>
      </c>
      <c r="G8" s="6">
        <f t="shared" si="1"/>
        <v>16977.829618711432</v>
      </c>
    </row>
    <row r="9" spans="1:7" x14ac:dyDescent="0.35">
      <c r="B9" s="42">
        <f>B8/Chai!B8</f>
        <v>1.0302612498568546</v>
      </c>
      <c r="C9" s="42">
        <f>C8/Chai!C8</f>
        <v>1.1053703818216232</v>
      </c>
      <c r="D9" s="42">
        <f>D8/Chai!D8</f>
        <v>1.0527656453026593</v>
      </c>
      <c r="E9" s="42">
        <f>E8/Chai!E8</f>
        <v>1.0957260374038451</v>
      </c>
      <c r="F9" s="42">
        <f>F8/Chai!F8</f>
        <v>1.0771924238423711</v>
      </c>
      <c r="G9" s="42">
        <f>G8/Chai!G8</f>
        <v>1.1274966702465941</v>
      </c>
    </row>
    <row r="10" spans="1:7" s="8" customFormat="1" ht="15" thickBot="1" x14ac:dyDescent="0.4">
      <c r="A10" s="15" t="s">
        <v>12</v>
      </c>
      <c r="B10" s="43">
        <f>100%/B9</f>
        <v>0.97062759580537539</v>
      </c>
      <c r="C10" s="43">
        <f>100%/C9</f>
        <v>0.90467414040172189</v>
      </c>
      <c r="D10" s="43">
        <f t="shared" ref="D10:G10" si="2">100%/D9</f>
        <v>0.94987902052266371</v>
      </c>
      <c r="E10" s="43">
        <f t="shared" si="2"/>
        <v>0.91263688719978464</v>
      </c>
      <c r="F10" s="43">
        <f t="shared" si="2"/>
        <v>0.92833924363576203</v>
      </c>
      <c r="G10" s="43">
        <f t="shared" si="2"/>
        <v>0.88692057935859858</v>
      </c>
    </row>
    <row r="11" spans="1:7" s="8" customFormat="1" x14ac:dyDescent="0.35">
      <c r="A11" s="8" t="s">
        <v>29</v>
      </c>
      <c r="B11" s="9">
        <f>IFERROR(B4/B$8,0)</f>
        <v>0.73981667751138169</v>
      </c>
      <c r="C11" s="9">
        <f t="shared" ref="C11:G15" si="3">IFERROR(C4/C$8,0)</f>
        <v>0.73834310199773578</v>
      </c>
      <c r="D11" s="9">
        <f t="shared" si="3"/>
        <v>0.74292679135456463</v>
      </c>
      <c r="E11" s="9">
        <f t="shared" si="3"/>
        <v>0.74347897234212135</v>
      </c>
      <c r="F11" s="9">
        <f t="shared" si="3"/>
        <v>0.73456217519051814</v>
      </c>
      <c r="G11" s="9">
        <f t="shared" si="3"/>
        <v>0.7470310120699899</v>
      </c>
    </row>
    <row r="12" spans="1:7" s="8" customFormat="1" x14ac:dyDescent="0.35">
      <c r="A12" s="8" t="s">
        <v>7</v>
      </c>
      <c r="B12" s="9">
        <f>IFERROR(B5/B$8,0)</f>
        <v>0.10402535386836538</v>
      </c>
      <c r="C12" s="9">
        <f t="shared" si="3"/>
        <v>0.10381815495150072</v>
      </c>
      <c r="D12" s="9">
        <f t="shared" si="3"/>
        <v>0.1044626658443488</v>
      </c>
      <c r="E12" s="9">
        <f t="shared" si="3"/>
        <v>0.10454030781211736</v>
      </c>
      <c r="F12" s="9">
        <f t="shared" si="3"/>
        <v>0.10328652020869625</v>
      </c>
      <c r="G12" s="9">
        <f t="shared" si="3"/>
        <v>0.1050397588259671</v>
      </c>
    </row>
    <row r="13" spans="1:7" s="8" customFormat="1" x14ac:dyDescent="0.35">
      <c r="A13" s="8" t="s">
        <v>8</v>
      </c>
      <c r="B13" s="9">
        <f>IFERROR(B6/B$8,0)</f>
        <v>0.19641150730390666</v>
      </c>
      <c r="C13" s="9">
        <f t="shared" si="3"/>
        <v>0.19602029256577061</v>
      </c>
      <c r="D13" s="9">
        <f t="shared" si="3"/>
        <v>0.19723720124457467</v>
      </c>
      <c r="E13" s="9">
        <f t="shared" si="3"/>
        <v>0.19738379796693487</v>
      </c>
      <c r="F13" s="9">
        <f t="shared" si="3"/>
        <v>0.1950165066877482</v>
      </c>
      <c r="G13" s="9">
        <f t="shared" si="3"/>
        <v>0.1983268173637141</v>
      </c>
    </row>
    <row r="14" spans="1:7" s="8" customFormat="1" x14ac:dyDescent="0.35">
      <c r="A14" s="8" t="s">
        <v>9</v>
      </c>
      <c r="B14" s="9">
        <f>IFERROR(B7/B$8,0)</f>
        <v>-4.0253538683653785E-2</v>
      </c>
      <c r="C14" s="9">
        <f t="shared" si="3"/>
        <v>-3.8181549515007081E-2</v>
      </c>
      <c r="D14" s="9">
        <f t="shared" si="3"/>
        <v>-4.4626658443488218E-2</v>
      </c>
      <c r="E14" s="9">
        <f t="shared" si="3"/>
        <v>-4.5403078121173501E-2</v>
      </c>
      <c r="F14" s="9">
        <f t="shared" si="3"/>
        <v>-3.2865202086962586E-2</v>
      </c>
      <c r="G14" s="9">
        <f t="shared" si="3"/>
        <v>-5.0397588259671042E-2</v>
      </c>
    </row>
    <row r="15" spans="1:7" s="8" customFormat="1" x14ac:dyDescent="0.35">
      <c r="A15" s="7" t="s">
        <v>10</v>
      </c>
      <c r="B15" s="10">
        <f>IFERROR(B8/B$8,0)</f>
        <v>1</v>
      </c>
      <c r="C15" s="10">
        <f t="shared" si="3"/>
        <v>1</v>
      </c>
      <c r="D15" s="10">
        <f t="shared" si="3"/>
        <v>1</v>
      </c>
      <c r="E15" s="10">
        <f t="shared" si="3"/>
        <v>1</v>
      </c>
      <c r="F15" s="10">
        <f t="shared" si="3"/>
        <v>1</v>
      </c>
      <c r="G15" s="10">
        <f t="shared" si="3"/>
        <v>1</v>
      </c>
    </row>
    <row r="17" spans="1:7" ht="15" thickBot="1" x14ac:dyDescent="0.4">
      <c r="A17" s="17" t="s">
        <v>13</v>
      </c>
      <c r="B17" s="17"/>
      <c r="C17" s="17"/>
      <c r="D17" s="17"/>
      <c r="E17" s="17"/>
      <c r="F17" s="17"/>
      <c r="G17" s="17"/>
    </row>
    <row r="18" spans="1:7" x14ac:dyDescent="0.35">
      <c r="A18" s="13" t="s">
        <v>29</v>
      </c>
      <c r="B18" s="13" t="str">
        <f>TEXT(B4,"#,###")&amp;" | "&amp;CHAR(10)&amp;TEXT(B11,"0.0%")</f>
        <v>11,761 | 
74.0%</v>
      </c>
      <c r="C18" s="13" t="str">
        <f t="shared" ref="C18:G18" si="4">TEXT(C4,"#,###")&amp;" | "&amp;CHAR(10)&amp;TEXT(C11,"0.0%")</f>
        <v>13,535 | 
73.8%</v>
      </c>
      <c r="D18" s="13" t="str">
        <f t="shared" si="4"/>
        <v>11,777 | 
74.3%</v>
      </c>
      <c r="E18" s="13" t="str">
        <f t="shared" si="4"/>
        <v>11,024 | 
74.3%</v>
      </c>
      <c r="F18" s="13" t="str">
        <f t="shared" si="4"/>
        <v>10,707 | 
73.5%</v>
      </c>
      <c r="G18" s="13" t="str">
        <f t="shared" si="4"/>
        <v>12,683 | 
74.7%</v>
      </c>
    </row>
    <row r="19" spans="1:7" x14ac:dyDescent="0.35">
      <c r="A19" s="13" t="s">
        <v>7</v>
      </c>
      <c r="B19" s="13" t="str">
        <f t="shared" ref="B19:G22" si="5">TEXT(B5,"#,###")&amp;" | "&amp;TEXT(B12,"0.0%")</f>
        <v>1,654 | 10.4%</v>
      </c>
      <c r="C19" s="13" t="str">
        <f t="shared" si="5"/>
        <v>1,903 | 10.4%</v>
      </c>
      <c r="D19" s="13" t="str">
        <f t="shared" si="5"/>
        <v>1,656 | 10.4%</v>
      </c>
      <c r="E19" s="13" t="str">
        <f t="shared" si="5"/>
        <v>1,550 | 10.5%</v>
      </c>
      <c r="F19" s="13" t="str">
        <f t="shared" si="5"/>
        <v>1,506 | 10.3%</v>
      </c>
      <c r="G19" s="13" t="str">
        <f t="shared" si="5"/>
        <v>1,783 | 10.5%</v>
      </c>
    </row>
    <row r="20" spans="1:7" x14ac:dyDescent="0.35">
      <c r="A20" s="13" t="s">
        <v>8</v>
      </c>
      <c r="B20" s="13" t="str">
        <f t="shared" si="5"/>
        <v>3,122 | 19.6%</v>
      </c>
      <c r="C20" s="13" t="str">
        <f t="shared" si="5"/>
        <v>3,593 | 19.6%</v>
      </c>
      <c r="D20" s="13" t="str">
        <f t="shared" si="5"/>
        <v>3,127 | 19.7%</v>
      </c>
      <c r="E20" s="13" t="str">
        <f t="shared" si="5"/>
        <v>2,927 | 19.7%</v>
      </c>
      <c r="F20" s="13" t="str">
        <f t="shared" si="5"/>
        <v>2,843 | 19.5%</v>
      </c>
      <c r="G20" s="13" t="str">
        <f t="shared" si="5"/>
        <v>3,367 | 19.8%</v>
      </c>
    </row>
    <row r="21" spans="1:7" x14ac:dyDescent="0.35">
      <c r="A21" s="13" t="s">
        <v>9</v>
      </c>
      <c r="B21" s="13" t="str">
        <f>TEXT(B7,"#,###")&amp;" | "&amp;TEXT(B14,"0.0%")</f>
        <v>-640 | -4.0%</v>
      </c>
      <c r="C21" s="13" t="str">
        <f t="shared" si="5"/>
        <v>-700 | -3.8%</v>
      </c>
      <c r="D21" s="13" t="str">
        <f t="shared" si="5"/>
        <v>-707 | -4.5%</v>
      </c>
      <c r="E21" s="13" t="str">
        <f t="shared" si="5"/>
        <v>-673 | -4.5%</v>
      </c>
      <c r="F21" s="13" t="str">
        <f t="shared" si="5"/>
        <v>-479 | -3.3%</v>
      </c>
      <c r="G21" s="13" t="str">
        <f t="shared" si="5"/>
        <v>-856 | -5.0%</v>
      </c>
    </row>
    <row r="22" spans="1:7" x14ac:dyDescent="0.35">
      <c r="A22" s="14" t="s">
        <v>10</v>
      </c>
      <c r="B22" s="14" t="str">
        <f t="shared" si="5"/>
        <v>15,897 | 100.0%</v>
      </c>
      <c r="C22" s="14" t="str">
        <f t="shared" si="5"/>
        <v>18,332 | 100.0%</v>
      </c>
      <c r="D22" s="14" t="str">
        <f t="shared" si="5"/>
        <v>15,853 | 100.0%</v>
      </c>
      <c r="E22" s="14" t="str">
        <f t="shared" si="5"/>
        <v>14,827 | 100.0%</v>
      </c>
      <c r="F22" s="14" t="str">
        <f t="shared" si="5"/>
        <v>14,576 | 100.0%</v>
      </c>
      <c r="G22" s="14" t="str">
        <f t="shared" si="5"/>
        <v>16,978 | 100.0%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129E-CF58-493C-B9BE-BA69B59784AA}">
  <sheetPr>
    <tabColor rgb="FF00B0F0"/>
  </sheetPr>
  <dimension ref="A3:G22"/>
  <sheetViews>
    <sheetView showGridLines="0" zoomScale="175" zoomScaleNormal="175" workbookViewId="0">
      <selection activeCell="C8" sqref="C8"/>
    </sheetView>
  </sheetViews>
  <sheetFormatPr defaultRowHeight="14.5" x14ac:dyDescent="0.35"/>
  <cols>
    <col min="1" max="1" width="12.4140625" bestFit="1" customWidth="1"/>
    <col min="2" max="2" width="13.08203125" customWidth="1"/>
    <col min="3" max="7" width="13.58203125" bestFit="1" customWidth="1"/>
    <col min="8" max="8" width="9.58203125" bestFit="1" customWidth="1"/>
  </cols>
  <sheetData>
    <row r="3" spans="1:7" x14ac:dyDescent="0.35">
      <c r="A3" s="3" t="s">
        <v>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</row>
    <row r="4" spans="1:7" x14ac:dyDescent="0.35">
      <c r="A4" s="20" t="s">
        <v>40</v>
      </c>
      <c r="B4" s="21">
        <f>AVERAGE(C4:F4)</f>
        <v>12822.187280724231</v>
      </c>
      <c r="C4" s="21">
        <f>'[2]H_Tỷ lệ HH&amp;PS (-PS)'!$AH$4</f>
        <v>14594.066894680444</v>
      </c>
      <c r="D4" s="21">
        <f>'[2]H_Tỷ lệ HH&amp;PS (-PS)'!$AH$40</f>
        <v>12525.013169424312</v>
      </c>
      <c r="E4" s="21">
        <f>'[2]H_Tỷ lệ HH&amp;PS (-PS)'!$AH$68</f>
        <v>12442.102601589924</v>
      </c>
      <c r="F4" s="21">
        <f>'[2]H_Tỷ lệ HH&amp;PS (-PS)'!$AH$93</f>
        <v>11727.566457202242</v>
      </c>
      <c r="G4" s="21">
        <f>'[2]H_Tỷ lệ HH&amp;PS (-PS)'!$AH$122</f>
        <v>13767.87368955477</v>
      </c>
    </row>
    <row r="5" spans="1:7" x14ac:dyDescent="0.35">
      <c r="A5" s="22" t="s">
        <v>7</v>
      </c>
      <c r="B5" s="29">
        <f t="shared" ref="B5:B7" si="0">AVERAGE(C5:F5)</f>
        <v>1802.9230886367404</v>
      </c>
      <c r="C5" s="29">
        <f>'[2]H_Tỷ lệ HH&amp;PS (-PS)'!$AI$4</f>
        <v>2052.0664365184894</v>
      </c>
      <c r="D5" s="29">
        <f>'[2]H_Tỷ lệ HH&amp;PS (-PS)'!$AI$40</f>
        <v>1761.1375449633003</v>
      </c>
      <c r="E5" s="29">
        <f>'[2]H_Tỷ lệ HH&amp;PS (-PS)'!$AI$68</f>
        <v>1749.4795201842273</v>
      </c>
      <c r="F5" s="29">
        <f>'[2]H_Tỷ lệ HH&amp;PS (-PS)'!$AI$93</f>
        <v>1649.0088528809445</v>
      </c>
      <c r="G5" s="29">
        <f>'[2]H_Tỷ lệ HH&amp;PS (-PS)'!$AI$122</f>
        <v>1935.8957105273664</v>
      </c>
    </row>
    <row r="6" spans="1:7" x14ac:dyDescent="0.35">
      <c r="A6" s="22" t="s">
        <v>8</v>
      </c>
      <c r="B6" s="29">
        <f t="shared" si="0"/>
        <v>3404.1205170064327</v>
      </c>
      <c r="C6" s="29">
        <f>'[2]H_Tỷ lệ HH&amp;PS (-PS)'!$AJ$4</f>
        <v>3874.5310339859593</v>
      </c>
      <c r="D6" s="29">
        <f>'[2]H_Tỷ lệ HH&amp;PS (-PS)'!$AJ$40</f>
        <v>3325.2247352453924</v>
      </c>
      <c r="E6" s="29">
        <f>'[2]H_Tỷ lệ HH&amp;PS (-PS)'!$AJ$68</f>
        <v>3303.2130800681216</v>
      </c>
      <c r="F6" s="29">
        <f>'[2]H_Tỷ lệ HH&amp;PS (-PS)'!$AJ$93</f>
        <v>3113.5132187262589</v>
      </c>
      <c r="G6" s="29">
        <f>'[2]H_Tỷ lệ HH&amp;PS (-PS)'!$AJ$122</f>
        <v>3655.1877051915312</v>
      </c>
    </row>
    <row r="7" spans="1:7" ht="15" thickBot="1" x14ac:dyDescent="0.4">
      <c r="A7" s="23" t="s">
        <v>9</v>
      </c>
      <c r="B7" s="30">
        <f t="shared" si="0"/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</row>
    <row r="8" spans="1:7" ht="15" thickBot="1" x14ac:dyDescent="0.4">
      <c r="A8" s="5" t="s">
        <v>10</v>
      </c>
      <c r="B8" s="6">
        <f>SUM(B4:B7)</f>
        <v>18029.230886367404</v>
      </c>
      <c r="C8" s="6">
        <f t="shared" ref="C8:G8" si="1">SUM(C4:C7)</f>
        <v>20520.664365184894</v>
      </c>
      <c r="D8" s="6">
        <f t="shared" si="1"/>
        <v>17611.375449633004</v>
      </c>
      <c r="E8" s="6">
        <f t="shared" si="1"/>
        <v>17494.795201842273</v>
      </c>
      <c r="F8" s="6">
        <f t="shared" si="1"/>
        <v>16490.088528809443</v>
      </c>
      <c r="G8" s="6">
        <f t="shared" si="1"/>
        <v>19358.957105273668</v>
      </c>
    </row>
    <row r="10" spans="1:7" s="8" customFormat="1" ht="15" thickBot="1" x14ac:dyDescent="0.4">
      <c r="A10" s="15" t="s">
        <v>12</v>
      </c>
      <c r="B10" s="16"/>
      <c r="C10" s="16"/>
      <c r="D10" s="16"/>
      <c r="E10" s="16"/>
      <c r="F10" s="16"/>
      <c r="G10" s="16"/>
    </row>
    <row r="11" spans="1:7" s="8" customFormat="1" x14ac:dyDescent="0.35">
      <c r="A11" s="8" t="s">
        <v>29</v>
      </c>
      <c r="B11" s="9">
        <f>IFERROR(B4/B$8,0)</f>
        <v>0.71118881118881117</v>
      </c>
      <c r="C11" s="9">
        <f t="shared" ref="C11:G15" si="2">IFERROR(C4/C$8,0)</f>
        <v>0.71118881118881105</v>
      </c>
      <c r="D11" s="9">
        <f t="shared" si="2"/>
        <v>0.71118881118881128</v>
      </c>
      <c r="E11" s="9">
        <f t="shared" si="2"/>
        <v>0.71118881118881117</v>
      </c>
      <c r="F11" s="9">
        <f t="shared" si="2"/>
        <v>0.71118881118881128</v>
      </c>
      <c r="G11" s="9">
        <f t="shared" si="2"/>
        <v>0.71118881118881117</v>
      </c>
    </row>
    <row r="12" spans="1:7" s="8" customFormat="1" x14ac:dyDescent="0.35">
      <c r="A12" s="8" t="s">
        <v>7</v>
      </c>
      <c r="B12" s="9">
        <f>IFERROR(B5/B$8,0)</f>
        <v>0.1</v>
      </c>
      <c r="C12" s="9">
        <f t="shared" si="2"/>
        <v>0.1</v>
      </c>
      <c r="D12" s="9">
        <f t="shared" si="2"/>
        <v>9.9999999999999992E-2</v>
      </c>
      <c r="E12" s="9">
        <f t="shared" si="2"/>
        <v>0.1</v>
      </c>
      <c r="F12" s="9">
        <f t="shared" si="2"/>
        <v>0.1</v>
      </c>
      <c r="G12" s="9">
        <f t="shared" si="2"/>
        <v>9.9999999999999978E-2</v>
      </c>
    </row>
    <row r="13" spans="1:7" s="8" customFormat="1" x14ac:dyDescent="0.35">
      <c r="A13" s="8" t="s">
        <v>8</v>
      </c>
      <c r="B13" s="9">
        <f>IFERROR(B6/B$8,0)</f>
        <v>0.1888111888111888</v>
      </c>
      <c r="C13" s="9">
        <f t="shared" si="2"/>
        <v>0.18881118881118883</v>
      </c>
      <c r="D13" s="9">
        <f t="shared" si="2"/>
        <v>0.1888111888111888</v>
      </c>
      <c r="E13" s="9">
        <f t="shared" si="2"/>
        <v>0.18881118881118883</v>
      </c>
      <c r="F13" s="9">
        <f t="shared" si="2"/>
        <v>0.18881118881118883</v>
      </c>
      <c r="G13" s="9">
        <f t="shared" si="2"/>
        <v>0.18881118881118877</v>
      </c>
    </row>
    <row r="14" spans="1:7" s="8" customFormat="1" x14ac:dyDescent="0.35">
      <c r="A14" s="8" t="s">
        <v>9</v>
      </c>
      <c r="B14" s="9">
        <f>IFERROR(B7/B$8,0)</f>
        <v>0</v>
      </c>
      <c r="C14" s="9">
        <f t="shared" si="2"/>
        <v>0</v>
      </c>
      <c r="D14" s="9">
        <f t="shared" si="2"/>
        <v>0</v>
      </c>
      <c r="E14" s="9">
        <f t="shared" si="2"/>
        <v>0</v>
      </c>
      <c r="F14" s="9">
        <f t="shared" si="2"/>
        <v>0</v>
      </c>
      <c r="G14" s="9">
        <f t="shared" si="2"/>
        <v>0</v>
      </c>
    </row>
    <row r="15" spans="1:7" s="8" customFormat="1" x14ac:dyDescent="0.35">
      <c r="A15" s="7" t="s">
        <v>10</v>
      </c>
      <c r="B15" s="10">
        <f>IFERROR(B8/B$8,0)</f>
        <v>1</v>
      </c>
      <c r="C15" s="10">
        <f t="shared" si="2"/>
        <v>1</v>
      </c>
      <c r="D15" s="10">
        <f t="shared" si="2"/>
        <v>1</v>
      </c>
      <c r="E15" s="10">
        <f t="shared" si="2"/>
        <v>1</v>
      </c>
      <c r="F15" s="10">
        <f t="shared" si="2"/>
        <v>1</v>
      </c>
      <c r="G15" s="10">
        <f t="shared" si="2"/>
        <v>1</v>
      </c>
    </row>
    <row r="17" spans="1:7" ht="15" thickBot="1" x14ac:dyDescent="0.4">
      <c r="A17" s="17" t="s">
        <v>13</v>
      </c>
      <c r="B17" s="17"/>
      <c r="C17" s="17"/>
      <c r="D17" s="17"/>
      <c r="E17" s="17"/>
      <c r="F17" s="17"/>
      <c r="G17" s="17"/>
    </row>
    <row r="18" spans="1:7" x14ac:dyDescent="0.35">
      <c r="A18" s="13" t="s">
        <v>29</v>
      </c>
      <c r="B18" s="13" t="str">
        <f>TEXT(B4,"#,###")&amp;" | "&amp;CHAR(10)&amp;TEXT(B11,"0.0%")</f>
        <v>12,822 | 
71.1%</v>
      </c>
      <c r="C18" s="13" t="str">
        <f t="shared" ref="C18:G18" si="3">TEXT(C4,"#,###")&amp;" | "&amp;CHAR(10)&amp;TEXT(C11,"0.0%")</f>
        <v>14,594 | 
71.1%</v>
      </c>
      <c r="D18" s="13" t="str">
        <f t="shared" si="3"/>
        <v>12,525 | 
71.1%</v>
      </c>
      <c r="E18" s="13" t="str">
        <f t="shared" si="3"/>
        <v>12,442 | 
71.1%</v>
      </c>
      <c r="F18" s="13" t="str">
        <f t="shared" si="3"/>
        <v>11,728 | 
71.1%</v>
      </c>
      <c r="G18" s="13" t="str">
        <f t="shared" si="3"/>
        <v>13,768 | 
71.1%</v>
      </c>
    </row>
    <row r="19" spans="1:7" x14ac:dyDescent="0.35">
      <c r="A19" s="13" t="s">
        <v>7</v>
      </c>
      <c r="B19" s="13" t="str">
        <f t="shared" ref="B19:G22" si="4">TEXT(B5,"#,###")&amp;" | "&amp;TEXT(B12,"0.0%")</f>
        <v>1,803 | 10.0%</v>
      </c>
      <c r="C19" s="13" t="str">
        <f t="shared" si="4"/>
        <v>2,052 | 10.0%</v>
      </c>
      <c r="D19" s="13" t="str">
        <f t="shared" si="4"/>
        <v>1,761 | 10.0%</v>
      </c>
      <c r="E19" s="13" t="str">
        <f t="shared" si="4"/>
        <v>1,749 | 10.0%</v>
      </c>
      <c r="F19" s="13" t="str">
        <f t="shared" si="4"/>
        <v>1,649 | 10.0%</v>
      </c>
      <c r="G19" s="13" t="str">
        <f t="shared" si="4"/>
        <v>1,936 | 10.0%</v>
      </c>
    </row>
    <row r="20" spans="1:7" x14ac:dyDescent="0.35">
      <c r="A20" s="13" t="s">
        <v>8</v>
      </c>
      <c r="B20" s="13" t="str">
        <f t="shared" si="4"/>
        <v>3,404 | 18.9%</v>
      </c>
      <c r="C20" s="13" t="str">
        <f t="shared" si="4"/>
        <v>3,875 | 18.9%</v>
      </c>
      <c r="D20" s="13" t="str">
        <f t="shared" si="4"/>
        <v>3,325 | 18.9%</v>
      </c>
      <c r="E20" s="13" t="str">
        <f t="shared" si="4"/>
        <v>3,303 | 18.9%</v>
      </c>
      <c r="F20" s="13" t="str">
        <f t="shared" si="4"/>
        <v>3,114 | 18.9%</v>
      </c>
      <c r="G20" s="13" t="str">
        <f t="shared" si="4"/>
        <v>3,655 | 18.9%</v>
      </c>
    </row>
    <row r="21" spans="1:7" x14ac:dyDescent="0.35">
      <c r="A21" s="13" t="s">
        <v>9</v>
      </c>
      <c r="B21" s="13" t="str">
        <f>TEXT(B7,"#,###")&amp;" | "&amp;TEXT(B14,"0.0%")</f>
        <v xml:space="preserve"> | 0.0%</v>
      </c>
      <c r="C21" s="13" t="str">
        <f t="shared" si="4"/>
        <v xml:space="preserve"> | 0.0%</v>
      </c>
      <c r="D21" s="13" t="str">
        <f t="shared" si="4"/>
        <v xml:space="preserve"> | 0.0%</v>
      </c>
      <c r="E21" s="13" t="str">
        <f t="shared" si="4"/>
        <v xml:space="preserve"> | 0.0%</v>
      </c>
      <c r="F21" s="13" t="str">
        <f t="shared" si="4"/>
        <v xml:space="preserve"> | 0.0%</v>
      </c>
      <c r="G21" s="13" t="str">
        <f t="shared" si="4"/>
        <v xml:space="preserve"> | 0.0%</v>
      </c>
    </row>
    <row r="22" spans="1:7" x14ac:dyDescent="0.35">
      <c r="A22" s="14" t="s">
        <v>10</v>
      </c>
      <c r="B22" s="14" t="str">
        <f t="shared" si="4"/>
        <v>18,029 | 100.0%</v>
      </c>
      <c r="C22" s="14" t="str">
        <f t="shared" si="4"/>
        <v>20,521 | 100.0%</v>
      </c>
      <c r="D22" s="14" t="str">
        <f t="shared" si="4"/>
        <v>17,611 | 100.0%</v>
      </c>
      <c r="E22" s="14" t="str">
        <f t="shared" si="4"/>
        <v>17,495 | 100.0%</v>
      </c>
      <c r="F22" s="14" t="str">
        <f t="shared" si="4"/>
        <v>16,490 | 100.0%</v>
      </c>
      <c r="G22" s="14" t="str">
        <f t="shared" si="4"/>
        <v>19,359 | 100.0%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871B-DEFC-4676-8D82-4DEA2BC57697}">
  <sheetPr>
    <tabColor rgb="FF00B0F0"/>
  </sheetPr>
  <dimension ref="A3:G22"/>
  <sheetViews>
    <sheetView showGridLines="0" topLeftCell="A30" zoomScale="175" zoomScaleNormal="175" workbookViewId="0">
      <selection activeCell="B23" sqref="B23"/>
    </sheetView>
  </sheetViews>
  <sheetFormatPr defaultRowHeight="14.5" x14ac:dyDescent="0.35"/>
  <cols>
    <col min="1" max="1" width="12.4140625" bestFit="1" customWidth="1"/>
    <col min="2" max="2" width="13.08203125" customWidth="1"/>
    <col min="3" max="7" width="13.58203125" bestFit="1" customWidth="1"/>
    <col min="8" max="8" width="9.58203125" bestFit="1" customWidth="1"/>
  </cols>
  <sheetData>
    <row r="3" spans="1:7" x14ac:dyDescent="0.35">
      <c r="A3" s="3" t="s">
        <v>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</row>
    <row r="4" spans="1:7" x14ac:dyDescent="0.35">
      <c r="A4" s="20" t="s">
        <v>40</v>
      </c>
      <c r="B4" s="21">
        <f>AVERAGE(C4:F4)</f>
        <v>12822.187280724231</v>
      </c>
      <c r="C4" s="21">
        <f>'[2]H_Tỷ lệ HH&amp;PS (-PS)'!$CL$6</f>
        <v>14594.066894680444</v>
      </c>
      <c r="D4" s="21">
        <f>'[2]H_Tỷ lệ HH&amp;PS (-PS)'!$CL$8</f>
        <v>12525.013169424312</v>
      </c>
      <c r="E4" s="21">
        <f>'[2]H_Tỷ lệ HH&amp;PS (-PS)'!$CL$10</f>
        <v>12442.102601589924</v>
      </c>
      <c r="F4" s="21">
        <f>'[2]H_Tỷ lệ HH&amp;PS (-PS)'!$CL$12</f>
        <v>11727.566457202242</v>
      </c>
      <c r="G4" s="21">
        <f>'[2]H_Tỷ lệ HH&amp;PS (-PS)'!$CL$14</f>
        <v>13767.87368955477</v>
      </c>
    </row>
    <row r="5" spans="1:7" x14ac:dyDescent="0.35">
      <c r="A5" s="22" t="s">
        <v>7</v>
      </c>
      <c r="B5" s="29">
        <f t="shared" ref="B5:B7" si="0">AVERAGE(C5:F5)</f>
        <v>1802.9230886367404</v>
      </c>
      <c r="C5" s="29">
        <f>'[2]H_Tỷ lệ HH&amp;PS (-PS)'!$CR$6</f>
        <v>2052.0664365184894</v>
      </c>
      <c r="D5" s="29">
        <f>'[2]H_Tỷ lệ HH&amp;PS (-PS)'!$CR$8</f>
        <v>1761.1375449633003</v>
      </c>
      <c r="E5" s="29">
        <f>'[2]H_Tỷ lệ HH&amp;PS (-PS)'!$CR$10</f>
        <v>1749.4795201842273</v>
      </c>
      <c r="F5" s="29">
        <f>'[2]H_Tỷ lệ HH&amp;PS (-PS)'!$CR$12</f>
        <v>1649.0088528809445</v>
      </c>
      <c r="G5" s="29">
        <f>'[2]H_Tỷ lệ HH&amp;PS (-PS)'!$CR$14</f>
        <v>1935.8957105273664</v>
      </c>
    </row>
    <row r="6" spans="1:7" x14ac:dyDescent="0.35">
      <c r="A6" s="22" t="s">
        <v>8</v>
      </c>
      <c r="B6" s="29">
        <f t="shared" si="0"/>
        <v>6713.4265597139583</v>
      </c>
      <c r="C6" s="29">
        <f>SUM('[2]H_Tỷ lệ HH&amp;PS (-PS)'!$CM$6+'[2]H_Tỷ lệ HH&amp;PS (-PS)'!$CN$6+'[2]H_Tỷ lệ HH&amp;PS (-PS)'!$CO$6)</f>
        <v>7159.2600741835149</v>
      </c>
      <c r="D6" s="29">
        <f>SUM('[2]H_Tỷ lệ HH&amp;PS (-PS)'!$CM$8+'[2]H_Tỷ lệ HH&amp;PS (-PS)'!$CN$8+'[2]H_Tỷ lệ HH&amp;PS (-PS)'!$CO$8)</f>
        <v>6582.4369424733404</v>
      </c>
      <c r="E6" s="29">
        <f>SUM('[2]H_Tỷ lệ HH&amp;PS (-PS)'!$CM$10+'[2]H_Tỷ lệ HH&amp;PS (-PS)'!$CN$10+'[2]H_Tỷ lệ HH&amp;PS (-PS)'!$CO$10)</f>
        <v>6681.978617101784</v>
      </c>
      <c r="F6" s="29">
        <f>SUM('[2]H_Tỷ lệ HH&amp;PS (-PS)'!$CM$12+'[2]H_Tỷ lệ HH&amp;PS (-PS)'!$CN$12+'[2]H_Tỷ lệ HH&amp;PS (-PS)'!$CO$12)</f>
        <v>6430.0306050971903</v>
      </c>
      <c r="G6" s="29">
        <f>SUM('[2]H_Tỷ lệ HH&amp;PS (-PS)'!$CM$14+'[2]H_Tỷ lệ HH&amp;PS (-PS)'!$CN$14+'[2]H_Tỷ lệ HH&amp;PS (-PS)'!$CO$14)</f>
        <v>6953.5224769295819</v>
      </c>
    </row>
    <row r="7" spans="1:7" ht="15" thickBot="1" x14ac:dyDescent="0.4">
      <c r="A7" s="23" t="s">
        <v>9</v>
      </c>
      <c r="B7" s="30">
        <f t="shared" si="0"/>
        <v>-976.72197920467045</v>
      </c>
      <c r="C7" s="30">
        <f>'[2]H_Tỷ lệ HH&amp;PS (-PS)'!$CP$6+'[2]H_Tỷ lệ HH&amp;PS (-PS)'!$CQ$6</f>
        <v>-1013.0466612852859</v>
      </c>
      <c r="D7" s="30">
        <f>'[2]H_Tỷ lệ HH&amp;PS (-PS)'!$CP$8+'[2]H_Tỷ lệ HH&amp;PS (-PS)'!$CQ$8</f>
        <v>-753.43571715705696</v>
      </c>
      <c r="E7" s="30">
        <f>'[2]H_Tỷ lệ HH&amp;PS (-PS)'!$CP$10+'[2]H_Tỷ lệ HH&amp;PS (-PS)'!$CQ$10</f>
        <v>-1126.1999999999998</v>
      </c>
      <c r="F7" s="30">
        <f>'[2]H_Tỷ lệ HH&amp;PS (-PS)'!$CP$12+'[2]H_Tỷ lệ HH&amp;PS (-PS)'!$CQ$12</f>
        <v>-1014.2055383763392</v>
      </c>
      <c r="G7" s="30">
        <f>'[2]H_Tỷ lệ HH&amp;PS (-PS)'!$CP$14+'[2]H_Tỷ lệ HH&amp;PS (-PS)'!$CQ$14</f>
        <v>-1186.3083333333332</v>
      </c>
    </row>
    <row r="8" spans="1:7" ht="15" thickBot="1" x14ac:dyDescent="0.4">
      <c r="A8" s="5" t="s">
        <v>10</v>
      </c>
      <c r="B8" s="6">
        <f>SUM(B4:B7)</f>
        <v>20361.814949870259</v>
      </c>
      <c r="C8" s="6">
        <f>SUM(C4:C7)</f>
        <v>22792.346744097162</v>
      </c>
      <c r="D8" s="6">
        <f t="shared" ref="D8:G8" si="1">SUM(D4:D7)</f>
        <v>20115.151939703897</v>
      </c>
      <c r="E8" s="6">
        <f t="shared" si="1"/>
        <v>19747.360738875937</v>
      </c>
      <c r="F8" s="6">
        <f t="shared" si="1"/>
        <v>18792.400376804038</v>
      </c>
      <c r="G8" s="6">
        <f t="shared" si="1"/>
        <v>21470.983543678383</v>
      </c>
    </row>
    <row r="9" spans="1:7" x14ac:dyDescent="0.35">
      <c r="B9" s="42">
        <f>B8/Vảy_A0!B8</f>
        <v>1.2808645165927752</v>
      </c>
      <c r="C9" s="42">
        <f>C8/Vảy_A0!C8</f>
        <v>1.2433357687879016</v>
      </c>
      <c r="D9" s="42">
        <f>D8/Vảy_A0!D8</f>
        <v>1.2688921487210603</v>
      </c>
      <c r="E9" s="42">
        <f>E8/Vảy_A0!E8</f>
        <v>1.3318344657073362</v>
      </c>
      <c r="F9" s="42">
        <f>F8/Vảy_A0!F8</f>
        <v>1.2892351505231192</v>
      </c>
      <c r="G9" s="42">
        <f>G8/Vảy_A0!G8</f>
        <v>1.2646483105246269</v>
      </c>
    </row>
    <row r="10" spans="1:7" s="8" customFormat="1" ht="15" thickBot="1" x14ac:dyDescent="0.4">
      <c r="A10" s="15" t="s">
        <v>12</v>
      </c>
      <c r="B10" s="43">
        <f>100%/B9</f>
        <v>0.78072269708907049</v>
      </c>
      <c r="C10" s="43">
        <f>100%/C9</f>
        <v>0.80428796878809028</v>
      </c>
      <c r="D10" s="43">
        <f t="shared" ref="D10:G10" si="2">100%/D9</f>
        <v>0.78808904366530941</v>
      </c>
      <c r="E10" s="43">
        <f t="shared" si="2"/>
        <v>0.75084406189240704</v>
      </c>
      <c r="F10" s="43">
        <f t="shared" si="2"/>
        <v>0.77565368861858963</v>
      </c>
      <c r="G10" s="43">
        <f t="shared" si="2"/>
        <v>0.79073367012617113</v>
      </c>
    </row>
    <row r="11" spans="1:7" s="8" customFormat="1" x14ac:dyDescent="0.35">
      <c r="A11" s="8" t="s">
        <v>29</v>
      </c>
      <c r="B11" s="9">
        <f>IFERROR(B4/B$8,0)</f>
        <v>0.62971730723866204</v>
      </c>
      <c r="C11" s="9">
        <f t="shared" ref="C11:G15" si="3">IFERROR(C4/C$8,0)</f>
        <v>0.64030558408646809</v>
      </c>
      <c r="D11" s="9">
        <f t="shared" si="3"/>
        <v>0.62266560088477685</v>
      </c>
      <c r="E11" s="9">
        <f t="shared" si="3"/>
        <v>0.63006407621326288</v>
      </c>
      <c r="F11" s="9">
        <f t="shared" si="3"/>
        <v>0.62405899310648416</v>
      </c>
      <c r="G11" s="9">
        <f t="shared" si="3"/>
        <v>0.64123162600105432</v>
      </c>
    </row>
    <row r="12" spans="1:7" s="8" customFormat="1" x14ac:dyDescent="0.35">
      <c r="A12" s="8" t="s">
        <v>7</v>
      </c>
      <c r="B12" s="9">
        <f>IFERROR(B5/B$8,0)</f>
        <v>8.8544321470136356E-2</v>
      </c>
      <c r="C12" s="9">
        <f t="shared" si="3"/>
        <v>9.0033135225530928E-2</v>
      </c>
      <c r="D12" s="9">
        <f t="shared" si="3"/>
        <v>8.7552783605234108E-2</v>
      </c>
      <c r="E12" s="9">
        <f t="shared" si="3"/>
        <v>8.8593080529495175E-2</v>
      </c>
      <c r="F12" s="9">
        <f t="shared" si="3"/>
        <v>8.7748707978591176E-2</v>
      </c>
      <c r="G12" s="9">
        <f t="shared" si="3"/>
        <v>9.0163345642232801E-2</v>
      </c>
    </row>
    <row r="13" spans="1:7" s="8" customFormat="1" x14ac:dyDescent="0.35">
      <c r="A13" s="8" t="s">
        <v>8</v>
      </c>
      <c r="B13" s="9">
        <f>IFERROR(B6/B$8,0)</f>
        <v>0.32970668755423177</v>
      </c>
      <c r="C13" s="9">
        <f t="shared" si="3"/>
        <v>0.31410807121200207</v>
      </c>
      <c r="D13" s="9">
        <f t="shared" si="3"/>
        <v>0.32723774407493916</v>
      </c>
      <c r="E13" s="9">
        <f t="shared" si="3"/>
        <v>0.33837324923867962</v>
      </c>
      <c r="F13" s="9">
        <f t="shared" si="3"/>
        <v>0.34216121816103645</v>
      </c>
      <c r="G13" s="9">
        <f t="shared" si="3"/>
        <v>0.32385672797820575</v>
      </c>
    </row>
    <row r="14" spans="1:7" s="8" customFormat="1" x14ac:dyDescent="0.35">
      <c r="A14" s="8" t="s">
        <v>9</v>
      </c>
      <c r="B14" s="9">
        <f>IFERROR(B7/B$8,0)</f>
        <v>-4.7968316263030074E-2</v>
      </c>
      <c r="C14" s="9">
        <f t="shared" si="3"/>
        <v>-4.4446790524001141E-2</v>
      </c>
      <c r="D14" s="9">
        <f t="shared" si="3"/>
        <v>-3.7456128564950217E-2</v>
      </c>
      <c r="E14" s="9">
        <f t="shared" si="3"/>
        <v>-5.7030405981437778E-2</v>
      </c>
      <c r="F14" s="9">
        <f t="shared" si="3"/>
        <v>-5.3968919246111857E-2</v>
      </c>
      <c r="G14" s="9">
        <f t="shared" si="3"/>
        <v>-5.5251699621492803E-2</v>
      </c>
    </row>
    <row r="15" spans="1:7" s="8" customFormat="1" x14ac:dyDescent="0.35">
      <c r="A15" s="7" t="s">
        <v>10</v>
      </c>
      <c r="B15" s="10">
        <f>IFERROR(B8/B$8,0)</f>
        <v>1</v>
      </c>
      <c r="C15" s="10">
        <f t="shared" si="3"/>
        <v>1</v>
      </c>
      <c r="D15" s="10">
        <f t="shared" si="3"/>
        <v>1</v>
      </c>
      <c r="E15" s="10">
        <f t="shared" si="3"/>
        <v>1</v>
      </c>
      <c r="F15" s="10">
        <f t="shared" si="3"/>
        <v>1</v>
      </c>
      <c r="G15" s="10">
        <f t="shared" si="3"/>
        <v>1</v>
      </c>
    </row>
    <row r="17" spans="1:7" ht="15" thickBot="1" x14ac:dyDescent="0.4">
      <c r="A17" s="17" t="s">
        <v>13</v>
      </c>
      <c r="B17" s="17"/>
      <c r="C17" s="17"/>
      <c r="D17" s="17"/>
      <c r="E17" s="17"/>
      <c r="F17" s="17"/>
      <c r="G17" s="17"/>
    </row>
    <row r="18" spans="1:7" x14ac:dyDescent="0.35">
      <c r="A18" s="13" t="s">
        <v>29</v>
      </c>
      <c r="B18" s="13" t="str">
        <f>TEXT(B4,"#,###")&amp;" | "&amp;CHAR(10)&amp;TEXT(B11,"0.0%")</f>
        <v>12,822 | 
63.0%</v>
      </c>
      <c r="C18" s="13" t="str">
        <f t="shared" ref="C18:G18" si="4">TEXT(C4,"#,###")&amp;" | "&amp;CHAR(10)&amp;TEXT(C11,"0.0%")</f>
        <v>14,594 | 
64.0%</v>
      </c>
      <c r="D18" s="13" t="str">
        <f t="shared" si="4"/>
        <v>12,525 | 
62.3%</v>
      </c>
      <c r="E18" s="13" t="str">
        <f t="shared" si="4"/>
        <v>12,442 | 
63.0%</v>
      </c>
      <c r="F18" s="13" t="str">
        <f t="shared" si="4"/>
        <v>11,728 | 
62.4%</v>
      </c>
      <c r="G18" s="13" t="str">
        <f t="shared" si="4"/>
        <v>13,768 | 
64.1%</v>
      </c>
    </row>
    <row r="19" spans="1:7" x14ac:dyDescent="0.35">
      <c r="A19" s="13" t="s">
        <v>7</v>
      </c>
      <c r="B19" s="13" t="str">
        <f t="shared" ref="B19:G22" si="5">TEXT(B5,"#,###")&amp;" | "&amp;TEXT(B12,"0.0%")</f>
        <v>1,803 | 8.9%</v>
      </c>
      <c r="C19" s="13" t="str">
        <f t="shared" si="5"/>
        <v>2,052 | 9.0%</v>
      </c>
      <c r="D19" s="13" t="str">
        <f t="shared" si="5"/>
        <v>1,761 | 8.8%</v>
      </c>
      <c r="E19" s="13" t="str">
        <f t="shared" si="5"/>
        <v>1,749 | 8.9%</v>
      </c>
      <c r="F19" s="13" t="str">
        <f t="shared" si="5"/>
        <v>1,649 | 8.8%</v>
      </c>
      <c r="G19" s="13" t="str">
        <f t="shared" si="5"/>
        <v>1,936 | 9.0%</v>
      </c>
    </row>
    <row r="20" spans="1:7" x14ac:dyDescent="0.35">
      <c r="A20" s="13" t="s">
        <v>8</v>
      </c>
      <c r="B20" s="13" t="str">
        <f t="shared" si="5"/>
        <v>6,713 | 33.0%</v>
      </c>
      <c r="C20" s="13" t="str">
        <f t="shared" si="5"/>
        <v>7,159 | 31.4%</v>
      </c>
      <c r="D20" s="13" t="str">
        <f t="shared" si="5"/>
        <v>6,582 | 32.7%</v>
      </c>
      <c r="E20" s="13" t="str">
        <f t="shared" si="5"/>
        <v>6,682 | 33.8%</v>
      </c>
      <c r="F20" s="13" t="str">
        <f t="shared" si="5"/>
        <v>6,430 | 34.2%</v>
      </c>
      <c r="G20" s="13" t="str">
        <f t="shared" si="5"/>
        <v>6,954 | 32.4%</v>
      </c>
    </row>
    <row r="21" spans="1:7" x14ac:dyDescent="0.35">
      <c r="A21" s="13" t="s">
        <v>9</v>
      </c>
      <c r="B21" s="13" t="str">
        <f>TEXT(B7,"#,###")&amp;" | "&amp;TEXT(B14,"0.0%")</f>
        <v>-977 | -4.8%</v>
      </c>
      <c r="C21" s="13" t="str">
        <f t="shared" si="5"/>
        <v>-1,013 | -4.4%</v>
      </c>
      <c r="D21" s="13" t="str">
        <f t="shared" si="5"/>
        <v>-753 | -3.7%</v>
      </c>
      <c r="E21" s="13" t="str">
        <f t="shared" si="5"/>
        <v>-1,126 | -5.7%</v>
      </c>
      <c r="F21" s="13" t="str">
        <f t="shared" si="5"/>
        <v>-1,014 | -5.4%</v>
      </c>
      <c r="G21" s="13" t="str">
        <f t="shared" si="5"/>
        <v>-1,186 | -5.5%</v>
      </c>
    </row>
    <row r="22" spans="1:7" x14ac:dyDescent="0.35">
      <c r="A22" s="14" t="s">
        <v>10</v>
      </c>
      <c r="B22" s="14" t="str">
        <f t="shared" si="5"/>
        <v>20,362 | 100.0%</v>
      </c>
      <c r="C22" s="14" t="str">
        <f t="shared" si="5"/>
        <v>22,792 | 100.0%</v>
      </c>
      <c r="D22" s="14" t="str">
        <f t="shared" si="5"/>
        <v>20,115 | 100.0%</v>
      </c>
      <c r="E22" s="14" t="str">
        <f t="shared" si="5"/>
        <v>19,747 | 100.0%</v>
      </c>
      <c r="F22" s="14" t="str">
        <f t="shared" si="5"/>
        <v>18,792 | 100.0%</v>
      </c>
      <c r="G22" s="14" t="str">
        <f t="shared" si="5"/>
        <v>21,471 | 100.0%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4E95-EC39-40D8-8E81-58E0598C22B4}">
  <sheetPr>
    <tabColor theme="6" tint="0.39997558519241921"/>
  </sheetPr>
  <dimension ref="A3:G22"/>
  <sheetViews>
    <sheetView showGridLines="0" topLeftCell="C30" zoomScale="175" zoomScaleNormal="175" workbookViewId="0">
      <selection activeCell="E9" sqref="E9"/>
    </sheetView>
  </sheetViews>
  <sheetFormatPr defaultRowHeight="14.5" x14ac:dyDescent="0.35"/>
  <cols>
    <col min="1" max="1" width="13.33203125" customWidth="1"/>
    <col min="2" max="2" width="13.25" bestFit="1" customWidth="1"/>
    <col min="3" max="3" width="12.5" customWidth="1"/>
    <col min="4" max="4" width="12.4140625" customWidth="1"/>
    <col min="5" max="6" width="13.58203125" bestFit="1" customWidth="1"/>
    <col min="7" max="7" width="12.5" customWidth="1"/>
    <col min="8" max="8" width="9.58203125" bestFit="1" customWidth="1"/>
  </cols>
  <sheetData>
    <row r="3" spans="1:7" x14ac:dyDescent="0.35">
      <c r="A3" s="3" t="s">
        <v>2</v>
      </c>
      <c r="B3" s="4" t="s">
        <v>32</v>
      </c>
      <c r="C3" s="19" t="s">
        <v>16</v>
      </c>
      <c r="D3" s="19" t="s">
        <v>17</v>
      </c>
      <c r="E3" s="19" t="s">
        <v>14</v>
      </c>
      <c r="F3" s="19" t="s">
        <v>18</v>
      </c>
      <c r="G3" s="19" t="s">
        <v>41</v>
      </c>
    </row>
    <row r="4" spans="1:7" x14ac:dyDescent="0.35">
      <c r="A4" s="20" t="s">
        <v>33</v>
      </c>
      <c r="B4" s="21">
        <f>AVERAGE(C4:F4)</f>
        <v>14622.629289221733</v>
      </c>
      <c r="C4" s="21">
        <f>'[2]H_Tỷ lệ HH&amp;PS (-PS)'!$DV$6</f>
        <v>15154.794283157262</v>
      </c>
      <c r="D4" s="21">
        <f>'[2]H_Tỷ lệ HH&amp;PS (-PS)'!$DV$8</f>
        <v>14818.82477578687</v>
      </c>
      <c r="E4" s="21">
        <f>'[2]H_Tỷ lệ HH&amp;PS (-PS)'!$DV$10</f>
        <v>14445.240957909891</v>
      </c>
      <c r="F4" s="21">
        <f>'[2]H_Tỷ lệ HH&amp;PS (-PS)'!$DV$12</f>
        <v>14071.657140032912</v>
      </c>
      <c r="G4" s="21">
        <f>'[2]H_Tỷ lệ HH&amp;PS (-PS)'!$DV$47</f>
        <v>14903.762439692164</v>
      </c>
    </row>
    <row r="5" spans="1:7" x14ac:dyDescent="0.35">
      <c r="A5" s="22" t="s">
        <v>7</v>
      </c>
      <c r="B5" s="29">
        <f t="shared" ref="B5:B7" si="0">AVERAGE(C5:F5)</f>
        <v>2056.0825844235087</v>
      </c>
      <c r="C5" s="29">
        <f>'[2]H_Tỷ lệ HH&amp;PS (-PS)'!$EA$6</f>
        <v>2130.9101106110998</v>
      </c>
      <c r="D5" s="29">
        <f>'[2]H_Tỷ lệ HH&amp;PS (-PS)'!$EA$8</f>
        <v>2083.6695604105435</v>
      </c>
      <c r="E5" s="29">
        <f>'[2]H_Tỷ lệ HH&amp;PS (-PS)'!$EA$10</f>
        <v>2031.1400756943115</v>
      </c>
      <c r="F5" s="29">
        <f>'[2]H_Tỷ lệ HH&amp;PS (-PS)'!$EA$12</f>
        <v>1978.6105909780795</v>
      </c>
      <c r="G5" s="29">
        <f>'[2]H_Tỷ lệ HH&amp;PS (-PS)'!$EA$47</f>
        <v>2031.1400756943115</v>
      </c>
    </row>
    <row r="6" spans="1:7" x14ac:dyDescent="0.35">
      <c r="A6" s="22" t="s">
        <v>8</v>
      </c>
      <c r="B6" s="29">
        <f t="shared" si="0"/>
        <v>11028.242207720683</v>
      </c>
      <c r="C6" s="29">
        <f>SUM('[2]H_Tỷ lệ HH&amp;PS (-PS)'!$DW$6,'[2]H_Tỷ lệ HH&amp;PS (-PS)'!$EB$6:$ED$6)</f>
        <v>11767.269699832272</v>
      </c>
      <c r="D6" s="29">
        <f>SUM('[2]H_Tỷ lệ HH&amp;PS (-PS)'!$DW$8,'[2]H_Tỷ lệ HH&amp;PS (-PS)'!$EB$8:$ED$8)</f>
        <v>11602.456622187914</v>
      </c>
      <c r="E6" s="29">
        <f>SUM('[2]H_Tỷ lệ HH&amp;PS (-PS)'!$DW$10,'[2]H_Tỷ lệ HH&amp;PS (-PS)'!$EB$10:$ED$10)</f>
        <v>10463.253824399229</v>
      </c>
      <c r="F6" s="29">
        <f>SUM('[2]H_Tỷ lệ HH&amp;PS (-PS)'!$DW$12,'[2]H_Tỷ lệ HH&amp;PS (-PS)'!$EB$12:$ED$12)</f>
        <v>10279.988684463315</v>
      </c>
      <c r="G6" s="29">
        <f>SUM('[2]H_Tỷ lệ HH&amp;PS (-PS)'!$DW$47,'[2]H_Tỷ lệ HH&amp;PS (-PS)'!$EB$47:$ED$47)</f>
        <v>9904.6524781871922</v>
      </c>
    </row>
    <row r="7" spans="1:7" ht="15" thickBot="1" x14ac:dyDescent="0.4">
      <c r="A7" s="23" t="s">
        <v>34</v>
      </c>
      <c r="B7" s="30">
        <f t="shared" si="0"/>
        <v>-1336.8406326445147</v>
      </c>
      <c r="C7" s="30">
        <f>SUM('[2]H_Tỷ lệ HH&amp;PS (-PS)'!$DX$6:$DZ$6)</f>
        <v>-1373.7808477504077</v>
      </c>
      <c r="D7" s="30">
        <f>SUM('[2]H_Tỷ lệ HH&amp;PS (-PS)'!$DX$8:$DZ$8)</f>
        <v>-1350.4595357274175</v>
      </c>
      <c r="E7" s="30">
        <f>SUM('[2]H_Tỷ lệ HH&amp;PS (-PS)'!$DX$10:$DZ$10)</f>
        <v>-1324.5272276092169</v>
      </c>
      <c r="F7" s="30">
        <f>SUM('[2]H_Tỷ lệ HH&amp;PS (-PS)'!$DX$12:$DZ$12)</f>
        <v>-1298.5949194910163</v>
      </c>
      <c r="G7" s="30">
        <f>SUM('[2]H_Tỷ lệ HH&amp;PS (-PS)'!$DX$47:$DZ$47)</f>
        <v>-1728.3946133679024</v>
      </c>
    </row>
    <row r="8" spans="1:7" ht="15" thickBot="1" x14ac:dyDescent="0.4">
      <c r="A8" s="5" t="s">
        <v>10</v>
      </c>
      <c r="B8" s="6">
        <f>SUM(B4:B7)</f>
        <v>26370.113448721411</v>
      </c>
      <c r="C8" s="6">
        <f t="shared" ref="C8:G8" si="1">SUM(C4:C7)</f>
        <v>27679.193245850227</v>
      </c>
      <c r="D8" s="6">
        <f t="shared" si="1"/>
        <v>27154.491422657913</v>
      </c>
      <c r="E8" s="6">
        <f t="shared" si="1"/>
        <v>25615.107630394214</v>
      </c>
      <c r="F8" s="6">
        <f t="shared" si="1"/>
        <v>25031.661495983291</v>
      </c>
      <c r="G8" s="6">
        <f t="shared" si="1"/>
        <v>25111.160380205765</v>
      </c>
    </row>
    <row r="9" spans="1:7" x14ac:dyDescent="0.35">
      <c r="B9" s="42">
        <f>B8/'Vảy A1_DT'!B8</f>
        <v>1.2950767656833773</v>
      </c>
      <c r="C9" s="42">
        <f>C8/'Vảy A1_DT'!C8</f>
        <v>1.2144073428076763</v>
      </c>
      <c r="D9" s="42">
        <f>D8/'Vảy A1_DT'!D8</f>
        <v>1.3499520910433469</v>
      </c>
      <c r="E9" s="42">
        <f>E8/'Vảy A1_DT'!E8</f>
        <v>1.2971408163910556</v>
      </c>
      <c r="F9" s="42">
        <f>F8/'Vảy A1_DT'!F8</f>
        <v>1.3320098015195834</v>
      </c>
    </row>
    <row r="10" spans="1:7" s="8" customFormat="1" ht="15" thickBot="1" x14ac:dyDescent="0.4">
      <c r="A10" s="15" t="s">
        <v>12</v>
      </c>
      <c r="B10" s="43">
        <f>100%/B9</f>
        <v>0.77215499999517545</v>
      </c>
      <c r="C10" s="43">
        <f t="shared" ref="C10:F10" si="2">100%/C9</f>
        <v>0.82344693147854953</v>
      </c>
      <c r="D10" s="43">
        <f t="shared" si="2"/>
        <v>0.74076702916702997</v>
      </c>
      <c r="E10" s="43">
        <f t="shared" si="2"/>
        <v>0.77092632300495345</v>
      </c>
      <c r="F10" s="43">
        <f t="shared" si="2"/>
        <v>0.75074522639336438</v>
      </c>
      <c r="G10" s="16"/>
    </row>
    <row r="11" spans="1:7" s="8" customFormat="1" x14ac:dyDescent="0.35">
      <c r="A11" s="8" t="s">
        <v>33</v>
      </c>
      <c r="B11" s="9">
        <f>IFERROR(B4/B$8,0)</f>
        <v>0.55451522109134987</v>
      </c>
      <c r="C11" s="9">
        <f t="shared" ref="C11:G15" si="3">IFERROR(C4/C$8,0)</f>
        <v>0.54751575121971185</v>
      </c>
      <c r="D11" s="9">
        <f t="shared" si="3"/>
        <v>0.54572278836428256</v>
      </c>
      <c r="E11" s="9">
        <f t="shared" si="3"/>
        <v>0.5639344236355871</v>
      </c>
      <c r="F11" s="9">
        <f t="shared" si="3"/>
        <v>0.56215433970657214</v>
      </c>
      <c r="G11" s="9">
        <f t="shared" si="3"/>
        <v>0.5935114990321303</v>
      </c>
    </row>
    <row r="12" spans="1:7" s="8" customFormat="1" x14ac:dyDescent="0.35">
      <c r="A12" s="8" t="s">
        <v>7</v>
      </c>
      <c r="B12" s="9">
        <f>IFERROR(B5/B$8,0)</f>
        <v>7.7970183496620507E-2</v>
      </c>
      <c r="C12" s="9">
        <f t="shared" si="3"/>
        <v>7.6985990584482591E-2</v>
      </c>
      <c r="D12" s="9">
        <f t="shared" si="3"/>
        <v>7.673388272968773E-2</v>
      </c>
      <c r="E12" s="9">
        <f t="shared" si="3"/>
        <v>7.9294614139517175E-2</v>
      </c>
      <c r="F12" s="9">
        <f t="shared" si="3"/>
        <v>7.904431718587987E-2</v>
      </c>
      <c r="G12" s="9">
        <f t="shared" si="3"/>
        <v>8.0885950507304585E-2</v>
      </c>
    </row>
    <row r="13" spans="1:7" s="8" customFormat="1" x14ac:dyDescent="0.35">
      <c r="A13" s="8" t="s">
        <v>8</v>
      </c>
      <c r="B13" s="9">
        <f>IFERROR(B6/B$8,0)</f>
        <v>0.41820988859854152</v>
      </c>
      <c r="C13" s="9">
        <f t="shared" si="3"/>
        <v>0.42513051573844068</v>
      </c>
      <c r="D13" s="9">
        <f t="shared" si="3"/>
        <v>0.4272757843848527</v>
      </c>
      <c r="E13" s="9">
        <f t="shared" si="3"/>
        <v>0.40847979151115521</v>
      </c>
      <c r="F13" s="9">
        <f t="shared" si="3"/>
        <v>0.41067943836300658</v>
      </c>
      <c r="G13" s="9">
        <f t="shared" si="3"/>
        <v>0.39443228939729436</v>
      </c>
    </row>
    <row r="14" spans="1:7" s="8" customFormat="1" x14ac:dyDescent="0.35">
      <c r="A14" s="8" t="s">
        <v>34</v>
      </c>
      <c r="B14" s="9">
        <f>IFERROR(B7/B$8,0)</f>
        <v>-5.0695293186511989E-2</v>
      </c>
      <c r="C14" s="9">
        <f t="shared" si="3"/>
        <v>-4.9632257542635221E-2</v>
      </c>
      <c r="D14" s="9">
        <f t="shared" si="3"/>
        <v>-4.9732455478823066E-2</v>
      </c>
      <c r="E14" s="9">
        <f t="shared" si="3"/>
        <v>-5.1708829286259479E-2</v>
      </c>
      <c r="F14" s="9">
        <f t="shared" si="3"/>
        <v>-5.1878095255458591E-2</v>
      </c>
      <c r="G14" s="9">
        <f t="shared" si="3"/>
        <v>-6.8829738936729279E-2</v>
      </c>
    </row>
    <row r="15" spans="1:7" s="8" customFormat="1" x14ac:dyDescent="0.35">
      <c r="A15" s="7" t="s">
        <v>10</v>
      </c>
      <c r="B15" s="10">
        <f>IFERROR(B8/B$8,0)</f>
        <v>1</v>
      </c>
      <c r="C15" s="10">
        <f t="shared" si="3"/>
        <v>1</v>
      </c>
      <c r="D15" s="10">
        <f t="shared" si="3"/>
        <v>1</v>
      </c>
      <c r="E15" s="10">
        <f t="shared" si="3"/>
        <v>1</v>
      </c>
      <c r="F15" s="10">
        <f t="shared" si="3"/>
        <v>1</v>
      </c>
      <c r="G15" s="10">
        <f t="shared" si="3"/>
        <v>1</v>
      </c>
    </row>
    <row r="17" spans="1:7" ht="15" thickBot="1" x14ac:dyDescent="0.4">
      <c r="A17" s="17" t="s">
        <v>13</v>
      </c>
      <c r="B17" s="17"/>
      <c r="C17" s="17"/>
      <c r="D17" s="17"/>
      <c r="E17" s="17"/>
      <c r="F17" s="17"/>
      <c r="G17" s="17"/>
    </row>
    <row r="18" spans="1:7" x14ac:dyDescent="0.35">
      <c r="A18" s="13" t="s">
        <v>33</v>
      </c>
      <c r="B18" s="13" t="str">
        <f>TEXT(B4,"#,###")&amp;" | "&amp;CHAR(10)&amp;TEXT(B11,"0.0%")</f>
        <v>14,623 | 
55.5%</v>
      </c>
      <c r="C18" s="13" t="str">
        <f t="shared" ref="C18:G18" si="4">TEXT(C4,"#,###")&amp;" | "&amp;CHAR(10)&amp;TEXT(C11,"0.0%")</f>
        <v>15,155 | 
54.8%</v>
      </c>
      <c r="D18" s="13" t="str">
        <f t="shared" si="4"/>
        <v>14,819 | 
54.6%</v>
      </c>
      <c r="E18" s="13" t="str">
        <f t="shared" si="4"/>
        <v>14,445 | 
56.4%</v>
      </c>
      <c r="F18" s="13" t="str">
        <f t="shared" si="4"/>
        <v>14,072 | 
56.2%</v>
      </c>
      <c r="G18" s="13" t="str">
        <f t="shared" si="4"/>
        <v>14,904 | 
59.4%</v>
      </c>
    </row>
    <row r="19" spans="1:7" x14ac:dyDescent="0.35">
      <c r="A19" s="13" t="s">
        <v>7</v>
      </c>
      <c r="B19" s="13" t="str">
        <f t="shared" ref="B19:G22" si="5">TEXT(B5,"#,###")&amp;" | "&amp;TEXT(B12,"0.0%")</f>
        <v>2,056 | 7.8%</v>
      </c>
      <c r="C19" s="13" t="str">
        <f t="shared" si="5"/>
        <v>2,131 | 7.7%</v>
      </c>
      <c r="D19" s="13" t="str">
        <f t="shared" si="5"/>
        <v>2,084 | 7.7%</v>
      </c>
      <c r="E19" s="13" t="str">
        <f t="shared" si="5"/>
        <v>2,031 | 7.9%</v>
      </c>
      <c r="F19" s="13" t="str">
        <f t="shared" si="5"/>
        <v>1,979 | 7.9%</v>
      </c>
      <c r="G19" s="13" t="str">
        <f t="shared" si="5"/>
        <v>2,031 | 8.1%</v>
      </c>
    </row>
    <row r="20" spans="1:7" x14ac:dyDescent="0.35">
      <c r="A20" s="13" t="s">
        <v>8</v>
      </c>
      <c r="B20" s="13" t="str">
        <f t="shared" si="5"/>
        <v>11,028 | 41.8%</v>
      </c>
      <c r="C20" s="13" t="str">
        <f t="shared" si="5"/>
        <v>11,767 | 42.5%</v>
      </c>
      <c r="D20" s="13" t="str">
        <f t="shared" si="5"/>
        <v>11,602 | 42.7%</v>
      </c>
      <c r="E20" s="13" t="str">
        <f t="shared" si="5"/>
        <v>10,463 | 40.8%</v>
      </c>
      <c r="F20" s="13" t="str">
        <f t="shared" si="5"/>
        <v>10,280 | 41.1%</v>
      </c>
      <c r="G20" s="13" t="str">
        <f t="shared" si="5"/>
        <v>9,905 | 39.4%</v>
      </c>
    </row>
    <row r="21" spans="1:7" x14ac:dyDescent="0.35">
      <c r="A21" s="13" t="s">
        <v>34</v>
      </c>
      <c r="B21" s="13" t="str">
        <f t="shared" si="5"/>
        <v>-1,337 | -5.1%</v>
      </c>
      <c r="C21" s="13" t="str">
        <f t="shared" si="5"/>
        <v>-1,374 | -5.0%</v>
      </c>
      <c r="D21" s="13" t="str">
        <f t="shared" si="5"/>
        <v>-1,350 | -5.0%</v>
      </c>
      <c r="E21" s="13" t="str">
        <f t="shared" si="5"/>
        <v>-1,325 | -5.2%</v>
      </c>
      <c r="F21" s="13" t="str">
        <f t="shared" si="5"/>
        <v>-1,299 | -5.2%</v>
      </c>
      <c r="G21" s="13" t="str">
        <f t="shared" si="5"/>
        <v>-1,728 | -6.9%</v>
      </c>
    </row>
    <row r="22" spans="1:7" x14ac:dyDescent="0.35">
      <c r="A22" s="14" t="s">
        <v>10</v>
      </c>
      <c r="B22" s="14" t="str">
        <f t="shared" si="5"/>
        <v>26,370 | 100.0%</v>
      </c>
      <c r="C22" s="14" t="str">
        <f t="shared" si="5"/>
        <v>27,679 | 100.0%</v>
      </c>
      <c r="D22" s="14" t="str">
        <f t="shared" si="5"/>
        <v>27,154 | 100.0%</v>
      </c>
      <c r="E22" s="14" t="str">
        <f t="shared" si="5"/>
        <v>25,615 | 100.0%</v>
      </c>
      <c r="F22" s="14" t="str">
        <f t="shared" si="5"/>
        <v>25,032 | 100.0%</v>
      </c>
      <c r="G22" s="14" t="str">
        <f t="shared" si="5"/>
        <v>25,111 | 100.0%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A800-EDDD-4116-B464-0EB22EDC6F50}">
  <sheetPr>
    <tabColor theme="5" tint="0.39997558519241921"/>
  </sheetPr>
  <dimension ref="A2:G22"/>
  <sheetViews>
    <sheetView showGridLines="0" topLeftCell="C30" zoomScale="175" zoomScaleNormal="175" workbookViewId="0">
      <selection activeCell="G7" sqref="G7"/>
    </sheetView>
  </sheetViews>
  <sheetFormatPr defaultRowHeight="14.5" x14ac:dyDescent="0.35"/>
  <cols>
    <col min="1" max="1" width="13.33203125" customWidth="1"/>
    <col min="2" max="2" width="13.25" bestFit="1" customWidth="1"/>
    <col min="3" max="3" width="12.5" customWidth="1"/>
    <col min="4" max="4" width="12.4140625" customWidth="1"/>
    <col min="5" max="5" width="13.58203125" bestFit="1" customWidth="1"/>
    <col min="6" max="6" width="13.4140625" customWidth="1"/>
    <col min="7" max="7" width="11.1640625" customWidth="1"/>
    <col min="8" max="8" width="9.58203125" bestFit="1" customWidth="1"/>
  </cols>
  <sheetData>
    <row r="2" spans="1:7" x14ac:dyDescent="0.35">
      <c r="B2">
        <v>26.5</v>
      </c>
    </row>
    <row r="3" spans="1:7" x14ac:dyDescent="0.35">
      <c r="A3" s="3" t="s">
        <v>2</v>
      </c>
      <c r="B3" s="4" t="s">
        <v>32</v>
      </c>
      <c r="C3" s="19" t="s">
        <v>16</v>
      </c>
      <c r="D3" s="19" t="s">
        <v>17</v>
      </c>
      <c r="E3" s="19" t="s">
        <v>14</v>
      </c>
      <c r="F3" s="19" t="s">
        <v>18</v>
      </c>
      <c r="G3" s="19" t="s">
        <v>41</v>
      </c>
    </row>
    <row r="4" spans="1:7" x14ac:dyDescent="0.35">
      <c r="A4" s="20" t="s">
        <v>33</v>
      </c>
      <c r="B4" s="21">
        <f>AVERAGE(C4:F4)</f>
        <v>551.79733166874462</v>
      </c>
      <c r="C4" s="21">
        <f>TP_VND!C4/$B$2</f>
        <v>571.87902955310426</v>
      </c>
      <c r="D4" s="21">
        <f>TP_VND!D4/$B$2</f>
        <v>559.20093493535364</v>
      </c>
      <c r="E4" s="21">
        <f>TP_VND!E4/$B$2</f>
        <v>545.10343237395819</v>
      </c>
      <c r="F4" s="21">
        <f>TP_VND!F4/$B$2</f>
        <v>531.00592981256273</v>
      </c>
      <c r="G4" s="21">
        <f>TP_VND!G4/$B$2</f>
        <v>562.40612979970433</v>
      </c>
    </row>
    <row r="5" spans="1:7" x14ac:dyDescent="0.35">
      <c r="A5" s="22" t="s">
        <v>7</v>
      </c>
      <c r="B5" s="29">
        <f t="shared" ref="B5:B7" si="0">AVERAGE(C5:F5)</f>
        <v>77.588022053717296</v>
      </c>
      <c r="C5" s="29">
        <f>TP_VND!C5/$B$2</f>
        <v>80.411702287211313</v>
      </c>
      <c r="D5" s="29">
        <f>TP_VND!D5/$B$2</f>
        <v>78.629040015492208</v>
      </c>
      <c r="E5" s="29">
        <f>TP_VND!E5/$B$2</f>
        <v>76.6467953092193</v>
      </c>
      <c r="F5" s="29">
        <f>TP_VND!F5/$B$2</f>
        <v>74.664550602946392</v>
      </c>
      <c r="G5" s="29">
        <f>TP_VND!G5/$B$2</f>
        <v>76.6467953092193</v>
      </c>
    </row>
    <row r="6" spans="1:7" x14ac:dyDescent="0.35">
      <c r="A6" s="22" t="s">
        <v>8</v>
      </c>
      <c r="B6" s="29">
        <f t="shared" si="0"/>
        <v>416.16008331021442</v>
      </c>
      <c r="C6" s="29">
        <f>TP_VND!C6/$B$2</f>
        <v>444.0479132012178</v>
      </c>
      <c r="D6" s="29">
        <f>TP_VND!D6/$B$2</f>
        <v>437.82855178067598</v>
      </c>
      <c r="E6" s="29">
        <f>TP_VND!E6/$B$2</f>
        <v>394.8397669584615</v>
      </c>
      <c r="F6" s="29">
        <f>TP_VND!F6/$B$2</f>
        <v>387.92410130050246</v>
      </c>
      <c r="G6" s="29">
        <f>TP_VND!G6/$B$2</f>
        <v>373.76047087498836</v>
      </c>
    </row>
    <row r="7" spans="1:7" ht="15" thickBot="1" x14ac:dyDescent="0.4">
      <c r="A7" s="23" t="s">
        <v>34</v>
      </c>
      <c r="B7" s="30">
        <f t="shared" si="0"/>
        <v>-50.446816326208101</v>
      </c>
      <c r="C7" s="30">
        <f>TP_VND!C7/$B$2</f>
        <v>-51.840786707562557</v>
      </c>
      <c r="D7" s="30">
        <f>TP_VND!D7/$B$2</f>
        <v>-50.960737197261039</v>
      </c>
      <c r="E7" s="30">
        <f>TP_VND!E7/$B$2</f>
        <v>-49.982159532423282</v>
      </c>
      <c r="F7" s="30">
        <f>TP_VND!F7/$B$2</f>
        <v>-49.003581867585524</v>
      </c>
      <c r="G7" s="30">
        <f>TP_VND!G7/$B$2</f>
        <v>-65.222438240298203</v>
      </c>
    </row>
    <row r="8" spans="1:7" ht="15" thickBot="1" x14ac:dyDescent="0.4">
      <c r="A8" s="5" t="s">
        <v>10</v>
      </c>
      <c r="B8" s="6">
        <f>SUM(B4:B7)</f>
        <v>995.09862070646818</v>
      </c>
      <c r="C8" s="6">
        <f t="shared" ref="C8:G8" si="1">SUM(C4:C7)</f>
        <v>1044.497858333971</v>
      </c>
      <c r="D8" s="6">
        <f t="shared" si="1"/>
        <v>1024.6977895342607</v>
      </c>
      <c r="E8" s="6">
        <f t="shared" si="1"/>
        <v>966.60783510921578</v>
      </c>
      <c r="F8" s="6">
        <f t="shared" si="1"/>
        <v>944.59099984842601</v>
      </c>
      <c r="G8" s="6">
        <f t="shared" si="1"/>
        <v>947.59095774361379</v>
      </c>
    </row>
    <row r="10" spans="1:7" s="8" customFormat="1" ht="15" thickBot="1" x14ac:dyDescent="0.4">
      <c r="A10" s="15" t="s">
        <v>12</v>
      </c>
      <c r="B10" s="16"/>
      <c r="C10" s="16"/>
      <c r="D10" s="16"/>
      <c r="E10" s="16"/>
      <c r="F10" s="16"/>
      <c r="G10" s="16"/>
    </row>
    <row r="11" spans="1:7" s="8" customFormat="1" x14ac:dyDescent="0.35">
      <c r="A11" s="37" t="s">
        <v>33</v>
      </c>
      <c r="B11" s="9">
        <f>IFERROR(B4/B$8,0)</f>
        <v>0.55451522109134999</v>
      </c>
      <c r="C11" s="9">
        <f t="shared" ref="C11:G15" si="2">IFERROR(C4/C$8,0)</f>
        <v>0.54751575121971185</v>
      </c>
      <c r="D11" s="9">
        <f t="shared" si="2"/>
        <v>0.54572278836428267</v>
      </c>
      <c r="E11" s="9">
        <f t="shared" si="2"/>
        <v>0.5639344236355871</v>
      </c>
      <c r="F11" s="9">
        <f t="shared" si="2"/>
        <v>0.56215433970657214</v>
      </c>
      <c r="G11" s="9">
        <f t="shared" si="2"/>
        <v>0.59351149903213041</v>
      </c>
    </row>
    <row r="12" spans="1:7" s="8" customFormat="1" x14ac:dyDescent="0.35">
      <c r="A12" s="8" t="s">
        <v>7</v>
      </c>
      <c r="B12" s="9">
        <f>IFERROR(B5/B$8,0)</f>
        <v>7.7970183496620507E-2</v>
      </c>
      <c r="C12" s="9">
        <f t="shared" si="2"/>
        <v>7.6985990584482591E-2</v>
      </c>
      <c r="D12" s="9">
        <f t="shared" si="2"/>
        <v>7.6733882729687744E-2</v>
      </c>
      <c r="E12" s="9">
        <f t="shared" si="2"/>
        <v>7.9294614139517161E-2</v>
      </c>
      <c r="F12" s="9">
        <f t="shared" si="2"/>
        <v>7.904431718587987E-2</v>
      </c>
      <c r="G12" s="9">
        <f t="shared" si="2"/>
        <v>8.0885950507304585E-2</v>
      </c>
    </row>
    <row r="13" spans="1:7" s="8" customFormat="1" x14ac:dyDescent="0.35">
      <c r="A13" s="8" t="s">
        <v>8</v>
      </c>
      <c r="B13" s="9">
        <f>IFERROR(B6/B$8,0)</f>
        <v>0.41820988859854158</v>
      </c>
      <c r="C13" s="9">
        <f t="shared" si="2"/>
        <v>0.42513051573844063</v>
      </c>
      <c r="D13" s="9">
        <f t="shared" si="2"/>
        <v>0.42727578438485275</v>
      </c>
      <c r="E13" s="9">
        <f t="shared" si="2"/>
        <v>0.40847979151115515</v>
      </c>
      <c r="F13" s="9">
        <f t="shared" si="2"/>
        <v>0.41067943836300663</v>
      </c>
      <c r="G13" s="9">
        <f t="shared" si="2"/>
        <v>0.3944322893972943</v>
      </c>
    </row>
    <row r="14" spans="1:7" s="8" customFormat="1" x14ac:dyDescent="0.35">
      <c r="A14" s="8" t="s">
        <v>34</v>
      </c>
      <c r="B14" s="9">
        <f>IFERROR(B7/B$8,0)</f>
        <v>-5.0695293186511996E-2</v>
      </c>
      <c r="C14" s="9">
        <f t="shared" si="2"/>
        <v>-4.9632257542635214E-2</v>
      </c>
      <c r="D14" s="9">
        <f t="shared" si="2"/>
        <v>-4.973245547882308E-2</v>
      </c>
      <c r="E14" s="9">
        <f t="shared" si="2"/>
        <v>-5.1708829286259472E-2</v>
      </c>
      <c r="F14" s="9">
        <f t="shared" si="2"/>
        <v>-5.1878095255458598E-2</v>
      </c>
      <c r="G14" s="9">
        <f t="shared" si="2"/>
        <v>-6.8829738936729279E-2</v>
      </c>
    </row>
    <row r="15" spans="1:7" s="8" customFormat="1" x14ac:dyDescent="0.35">
      <c r="A15" s="7" t="s">
        <v>10</v>
      </c>
      <c r="B15" s="10">
        <f>IFERROR(B8/B$8,0)</f>
        <v>1</v>
      </c>
      <c r="C15" s="10">
        <f t="shared" si="2"/>
        <v>1</v>
      </c>
      <c r="D15" s="10">
        <f t="shared" si="2"/>
        <v>1</v>
      </c>
      <c r="E15" s="10">
        <f t="shared" si="2"/>
        <v>1</v>
      </c>
      <c r="F15" s="10">
        <f t="shared" si="2"/>
        <v>1</v>
      </c>
      <c r="G15" s="10">
        <f t="shared" si="2"/>
        <v>1</v>
      </c>
    </row>
    <row r="17" spans="1:7" ht="15" thickBot="1" x14ac:dyDescent="0.4">
      <c r="A17" s="17" t="s">
        <v>13</v>
      </c>
      <c r="B17" s="17"/>
      <c r="C17" s="17"/>
      <c r="D17" s="17"/>
      <c r="E17" s="17"/>
      <c r="F17" s="17"/>
      <c r="G17" s="17"/>
    </row>
    <row r="18" spans="1:7" x14ac:dyDescent="0.35">
      <c r="A18" s="13" t="s">
        <v>33</v>
      </c>
      <c r="B18" s="13" t="str">
        <f>TEXT(B4,"#,###")&amp;" | "&amp;CHAR(10)&amp;TEXT(B11,"0.0%")</f>
        <v>552 | 
55.5%</v>
      </c>
      <c r="C18" s="13" t="str">
        <f t="shared" ref="C18:G18" si="3">TEXT(C4,"#,###")&amp;" | "&amp;CHAR(10)&amp;TEXT(C11,"0.0%")</f>
        <v>572 | 
54.8%</v>
      </c>
      <c r="D18" s="13" t="str">
        <f t="shared" si="3"/>
        <v>559 | 
54.6%</v>
      </c>
      <c r="E18" s="13" t="str">
        <f t="shared" si="3"/>
        <v>545 | 
56.4%</v>
      </c>
      <c r="F18" s="13" t="str">
        <f t="shared" si="3"/>
        <v>531 | 
56.2%</v>
      </c>
      <c r="G18" s="13" t="str">
        <f t="shared" si="3"/>
        <v>562 | 
59.4%</v>
      </c>
    </row>
    <row r="19" spans="1:7" x14ac:dyDescent="0.35">
      <c r="A19" s="13" t="s">
        <v>7</v>
      </c>
      <c r="B19" s="13" t="str">
        <f t="shared" ref="B19:G22" si="4">TEXT(B5,"#,###")&amp;" | "&amp;TEXT(B12,"0.0%")</f>
        <v>78 | 7.8%</v>
      </c>
      <c r="C19" s="13" t="str">
        <f t="shared" si="4"/>
        <v>80 | 7.7%</v>
      </c>
      <c r="D19" s="13" t="str">
        <f t="shared" si="4"/>
        <v>79 | 7.7%</v>
      </c>
      <c r="E19" s="13" t="str">
        <f t="shared" si="4"/>
        <v>77 | 7.9%</v>
      </c>
      <c r="F19" s="13" t="str">
        <f t="shared" si="4"/>
        <v>75 | 7.9%</v>
      </c>
      <c r="G19" s="13" t="str">
        <f t="shared" si="4"/>
        <v>77 | 8.1%</v>
      </c>
    </row>
    <row r="20" spans="1:7" x14ac:dyDescent="0.35">
      <c r="A20" s="13" t="s">
        <v>8</v>
      </c>
      <c r="B20" s="13" t="str">
        <f t="shared" si="4"/>
        <v>416 | 41.8%</v>
      </c>
      <c r="C20" s="13" t="str">
        <f t="shared" si="4"/>
        <v>444 | 42.5%</v>
      </c>
      <c r="D20" s="13" t="str">
        <f t="shared" si="4"/>
        <v>438 | 42.7%</v>
      </c>
      <c r="E20" s="13" t="str">
        <f t="shared" si="4"/>
        <v>395 | 40.8%</v>
      </c>
      <c r="F20" s="13" t="str">
        <f t="shared" si="4"/>
        <v>388 | 41.1%</v>
      </c>
      <c r="G20" s="13" t="str">
        <f t="shared" si="4"/>
        <v>374 | 39.4%</v>
      </c>
    </row>
    <row r="21" spans="1:7" x14ac:dyDescent="0.35">
      <c r="A21" s="13" t="s">
        <v>34</v>
      </c>
      <c r="B21" s="13" t="str">
        <f t="shared" si="4"/>
        <v>-50 | -5.1%</v>
      </c>
      <c r="C21" s="13" t="str">
        <f t="shared" si="4"/>
        <v>-52 | -5.0%</v>
      </c>
      <c r="D21" s="13" t="str">
        <f t="shared" si="4"/>
        <v>-51 | -5.0%</v>
      </c>
      <c r="E21" s="13" t="str">
        <f t="shared" si="4"/>
        <v>-50 | -5.2%</v>
      </c>
      <c r="F21" s="13" t="str">
        <f t="shared" si="4"/>
        <v>-49 | -5.2%</v>
      </c>
      <c r="G21" s="13" t="str">
        <f t="shared" si="4"/>
        <v>-65 | -6.9%</v>
      </c>
    </row>
    <row r="22" spans="1:7" x14ac:dyDescent="0.35">
      <c r="A22" s="14" t="s">
        <v>10</v>
      </c>
      <c r="B22" s="14" t="str">
        <f t="shared" si="4"/>
        <v>995 | 100.0%</v>
      </c>
      <c r="C22" s="14" t="str">
        <f t="shared" si="4"/>
        <v>1,044 | 100.0%</v>
      </c>
      <c r="D22" s="14" t="str">
        <f t="shared" si="4"/>
        <v>1,025 | 100.0%</v>
      </c>
      <c r="E22" s="14" t="str">
        <f t="shared" si="4"/>
        <v>967 | 100.0%</v>
      </c>
      <c r="F22" s="14" t="str">
        <f t="shared" si="4"/>
        <v>945 | 100.0%</v>
      </c>
      <c r="G22" s="14" t="str">
        <f t="shared" si="4"/>
        <v>948 | 100.0%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9AE5-A6FE-455F-B3DA-C19F6265850C}">
  <sheetPr>
    <tabColor rgb="FF7030A0"/>
  </sheetPr>
  <dimension ref="A2:P20"/>
  <sheetViews>
    <sheetView showGridLines="0" tabSelected="1" topLeftCell="A7" zoomScale="175" zoomScaleNormal="175" workbookViewId="0">
      <selection activeCell="A14" sqref="A14"/>
    </sheetView>
  </sheetViews>
  <sheetFormatPr defaultRowHeight="14.5" x14ac:dyDescent="0.35"/>
  <cols>
    <col min="2" max="2" width="9.08203125" customWidth="1"/>
    <col min="3" max="3" width="8.58203125" customWidth="1"/>
    <col min="4" max="4" width="8.75" customWidth="1"/>
    <col min="5" max="5" width="9.4140625" bestFit="1" customWidth="1"/>
    <col min="6" max="6" width="7.83203125" customWidth="1"/>
    <col min="7" max="7" width="7.9140625" customWidth="1"/>
  </cols>
  <sheetData>
    <row r="2" spans="1:16" s="2" customFormat="1" x14ac:dyDescent="0.35">
      <c r="A2" s="44"/>
      <c r="B2" s="4" t="s">
        <v>36</v>
      </c>
      <c r="C2" s="4"/>
      <c r="D2" s="4"/>
      <c r="E2" s="45" t="s">
        <v>16</v>
      </c>
      <c r="F2" s="45"/>
      <c r="G2" s="45"/>
      <c r="H2" s="4" t="s">
        <v>17</v>
      </c>
      <c r="I2" s="4"/>
      <c r="J2" s="4"/>
      <c r="K2" s="45" t="s">
        <v>14</v>
      </c>
      <c r="L2" s="45"/>
      <c r="M2" s="45"/>
      <c r="N2" s="4" t="s">
        <v>18</v>
      </c>
      <c r="O2" s="4"/>
      <c r="P2" s="4"/>
    </row>
    <row r="3" spans="1:16" x14ac:dyDescent="0.35">
      <c r="A3" s="40"/>
      <c r="B3" s="41" t="s">
        <v>39</v>
      </c>
      <c r="C3" s="39" t="s">
        <v>37</v>
      </c>
      <c r="D3" s="38" t="s">
        <v>38</v>
      </c>
      <c r="E3" s="41" t="s">
        <v>39</v>
      </c>
      <c r="F3" s="39" t="s">
        <v>37</v>
      </c>
      <c r="G3" s="38" t="s">
        <v>38</v>
      </c>
      <c r="H3" s="41" t="s">
        <v>39</v>
      </c>
      <c r="I3" s="39" t="s">
        <v>37</v>
      </c>
      <c r="J3" s="38" t="s">
        <v>38</v>
      </c>
      <c r="K3" s="41" t="s">
        <v>39</v>
      </c>
      <c r="L3" s="39" t="s">
        <v>37</v>
      </c>
      <c r="M3" s="38" t="s">
        <v>38</v>
      </c>
      <c r="N3" s="41" t="s">
        <v>39</v>
      </c>
      <c r="O3" s="39" t="s">
        <v>37</v>
      </c>
      <c r="P3" s="38" t="s">
        <v>38</v>
      </c>
    </row>
    <row r="4" spans="1:16" s="2" customFormat="1" x14ac:dyDescent="0.35">
      <c r="A4" s="24" t="s">
        <v>15</v>
      </c>
      <c r="B4" s="25">
        <f>SUM(B5:B10)</f>
        <v>0</v>
      </c>
      <c r="C4" s="25">
        <f t="shared" ref="C4:P4" si="0">SUM(C5:C10)</f>
        <v>0</v>
      </c>
      <c r="D4" s="25">
        <f t="shared" si="0"/>
        <v>0</v>
      </c>
      <c r="E4" s="25">
        <f t="shared" si="0"/>
        <v>0</v>
      </c>
      <c r="F4" s="25">
        <f t="shared" si="0"/>
        <v>0</v>
      </c>
      <c r="G4" s="25">
        <f t="shared" si="0"/>
        <v>0</v>
      </c>
      <c r="H4" s="25">
        <f t="shared" si="0"/>
        <v>0</v>
      </c>
      <c r="I4" s="25">
        <f t="shared" si="0"/>
        <v>0</v>
      </c>
      <c r="J4" s="25">
        <f t="shared" si="0"/>
        <v>0</v>
      </c>
      <c r="K4" s="25">
        <f t="shared" si="0"/>
        <v>0</v>
      </c>
      <c r="L4" s="25">
        <f t="shared" si="0"/>
        <v>0</v>
      </c>
      <c r="M4" s="25">
        <f t="shared" si="0"/>
        <v>0</v>
      </c>
      <c r="N4" s="25">
        <f t="shared" si="0"/>
        <v>0</v>
      </c>
      <c r="O4" s="25">
        <f t="shared" si="0"/>
        <v>0</v>
      </c>
      <c r="P4" s="25">
        <f t="shared" si="0"/>
        <v>0</v>
      </c>
    </row>
    <row r="5" spans="1:16" x14ac:dyDescent="0.35">
      <c r="A5" s="22" t="s">
        <v>24</v>
      </c>
      <c r="B5" s="26">
        <f>C5+D5</f>
        <v>0</v>
      </c>
      <c r="C5" s="26">
        <f>F5+I5+L5+O5</f>
        <v>0</v>
      </c>
      <c r="D5" s="26">
        <f>G5+J5+M5+P5</f>
        <v>0</v>
      </c>
      <c r="E5" s="26">
        <f>F5+G5</f>
        <v>0</v>
      </c>
      <c r="F5" s="26"/>
      <c r="G5" s="26"/>
      <c r="H5" s="26">
        <f>I5+J5</f>
        <v>0</v>
      </c>
      <c r="I5" s="26"/>
      <c r="J5" s="26"/>
      <c r="K5" s="26">
        <f>L5+M5</f>
        <v>0</v>
      </c>
      <c r="L5" s="26"/>
      <c r="M5" s="26"/>
      <c r="N5" s="26">
        <f>O5+P5</f>
        <v>0</v>
      </c>
      <c r="O5" s="26"/>
      <c r="P5" s="26"/>
    </row>
    <row r="6" spans="1:16" x14ac:dyDescent="0.35">
      <c r="A6" s="22" t="s">
        <v>25</v>
      </c>
      <c r="B6" s="26">
        <f t="shared" ref="B6:B10" si="1">C6+D6</f>
        <v>0</v>
      </c>
      <c r="C6" s="26">
        <f t="shared" ref="C6:C10" si="2">F6+I6+L6+O6</f>
        <v>0</v>
      </c>
      <c r="D6" s="26">
        <f t="shared" ref="D6:D10" si="3">G6+J6+M6+P6</f>
        <v>0</v>
      </c>
      <c r="E6" s="26">
        <f t="shared" ref="E6:E10" si="4">F6+G6</f>
        <v>0</v>
      </c>
      <c r="F6" s="26"/>
      <c r="G6" s="26"/>
      <c r="H6" s="26">
        <f t="shared" ref="H6:H10" si="5">I6+J6</f>
        <v>0</v>
      </c>
      <c r="I6" s="26"/>
      <c r="J6" s="26"/>
      <c r="K6" s="26">
        <f t="shared" ref="K6:K10" si="6">L6+M6</f>
        <v>0</v>
      </c>
      <c r="L6" s="26"/>
      <c r="M6" s="26"/>
      <c r="N6" s="26">
        <f t="shared" ref="N6:N10" si="7">O6+P6</f>
        <v>0</v>
      </c>
      <c r="O6" s="26"/>
      <c r="P6" s="26"/>
    </row>
    <row r="7" spans="1:16" x14ac:dyDescent="0.35">
      <c r="A7" s="22" t="s">
        <v>26</v>
      </c>
      <c r="B7" s="26">
        <f t="shared" si="1"/>
        <v>0</v>
      </c>
      <c r="C7" s="26">
        <f t="shared" si="2"/>
        <v>0</v>
      </c>
      <c r="D7" s="26">
        <f t="shared" si="3"/>
        <v>0</v>
      </c>
      <c r="E7" s="26">
        <f t="shared" si="4"/>
        <v>0</v>
      </c>
      <c r="F7" s="26"/>
      <c r="G7" s="26"/>
      <c r="H7" s="26">
        <f t="shared" si="5"/>
        <v>0</v>
      </c>
      <c r="I7" s="26"/>
      <c r="J7" s="26"/>
      <c r="K7" s="26">
        <f t="shared" si="6"/>
        <v>0</v>
      </c>
      <c r="L7" s="26"/>
      <c r="M7" s="26"/>
      <c r="N7" s="26">
        <f t="shared" si="7"/>
        <v>0</v>
      </c>
      <c r="O7" s="26"/>
      <c r="P7" s="26"/>
    </row>
    <row r="8" spans="1:16" x14ac:dyDescent="0.35">
      <c r="A8" s="22" t="s">
        <v>27</v>
      </c>
      <c r="B8" s="26">
        <f t="shared" si="1"/>
        <v>0</v>
      </c>
      <c r="C8" s="26">
        <f t="shared" si="2"/>
        <v>0</v>
      </c>
      <c r="D8" s="26">
        <f t="shared" si="3"/>
        <v>0</v>
      </c>
      <c r="E8" s="26">
        <f t="shared" si="4"/>
        <v>0</v>
      </c>
      <c r="F8" s="26"/>
      <c r="G8" s="26"/>
      <c r="H8" s="26">
        <f t="shared" si="5"/>
        <v>0</v>
      </c>
      <c r="I8" s="26"/>
      <c r="J8" s="26"/>
      <c r="K8" s="26">
        <f t="shared" si="6"/>
        <v>0</v>
      </c>
      <c r="L8" s="26"/>
      <c r="M8" s="26"/>
      <c r="N8" s="26">
        <f t="shared" si="7"/>
        <v>0</v>
      </c>
      <c r="O8" s="26"/>
      <c r="P8" s="26"/>
    </row>
    <row r="9" spans="1:16" x14ac:dyDescent="0.35">
      <c r="A9" s="22" t="s">
        <v>28</v>
      </c>
      <c r="B9" s="26">
        <f t="shared" si="1"/>
        <v>0</v>
      </c>
      <c r="C9" s="26">
        <f t="shared" si="2"/>
        <v>0</v>
      </c>
      <c r="D9" s="26">
        <f t="shared" si="3"/>
        <v>0</v>
      </c>
      <c r="E9" s="26">
        <f t="shared" si="4"/>
        <v>0</v>
      </c>
      <c r="F9" s="26"/>
      <c r="G9" s="26"/>
      <c r="H9" s="26">
        <f t="shared" si="5"/>
        <v>0</v>
      </c>
      <c r="I9" s="26"/>
      <c r="J9" s="26"/>
      <c r="K9" s="26">
        <f t="shared" si="6"/>
        <v>0</v>
      </c>
      <c r="L9" s="26"/>
      <c r="M9" s="26"/>
      <c r="N9" s="26">
        <f t="shared" si="7"/>
        <v>0</v>
      </c>
      <c r="O9" s="26"/>
      <c r="P9" s="26"/>
    </row>
    <row r="10" spans="1:16" x14ac:dyDescent="0.35">
      <c r="A10" t="s">
        <v>31</v>
      </c>
      <c r="B10" s="26">
        <f t="shared" si="1"/>
        <v>0</v>
      </c>
      <c r="C10" s="26">
        <f t="shared" si="2"/>
        <v>0</v>
      </c>
      <c r="D10" s="26">
        <f t="shared" si="3"/>
        <v>0</v>
      </c>
      <c r="E10" s="26">
        <f t="shared" si="4"/>
        <v>0</v>
      </c>
      <c r="H10" s="26">
        <f t="shared" si="5"/>
        <v>0</v>
      </c>
      <c r="K10" s="26">
        <f t="shared" si="6"/>
        <v>0</v>
      </c>
      <c r="N10" s="26">
        <f t="shared" si="7"/>
        <v>0</v>
      </c>
    </row>
    <row r="12" spans="1:16" s="2" customFormat="1" x14ac:dyDescent="0.35">
      <c r="A12" s="44"/>
      <c r="B12" s="4" t="s">
        <v>36</v>
      </c>
      <c r="C12" s="4"/>
      <c r="D12" s="4"/>
      <c r="E12" s="45" t="s">
        <v>16</v>
      </c>
      <c r="F12" s="45"/>
      <c r="G12" s="45"/>
      <c r="H12" s="4" t="s">
        <v>17</v>
      </c>
      <c r="I12" s="4"/>
      <c r="J12" s="4"/>
      <c r="K12" s="45" t="s">
        <v>14</v>
      </c>
      <c r="L12" s="45"/>
      <c r="M12" s="45"/>
      <c r="N12" s="4" t="s">
        <v>18</v>
      </c>
      <c r="O12" s="4"/>
      <c r="P12" s="4"/>
    </row>
    <row r="13" spans="1:16" x14ac:dyDescent="0.35">
      <c r="A13" s="24"/>
      <c r="B13" s="41" t="s">
        <v>39</v>
      </c>
      <c r="C13" s="39" t="s">
        <v>37</v>
      </c>
      <c r="D13" s="38" t="s">
        <v>38</v>
      </c>
      <c r="E13" s="41" t="s">
        <v>39</v>
      </c>
      <c r="F13" s="39" t="s">
        <v>37</v>
      </c>
      <c r="G13" s="38" t="s">
        <v>38</v>
      </c>
      <c r="H13" s="41" t="s">
        <v>39</v>
      </c>
      <c r="I13" s="39" t="s">
        <v>37</v>
      </c>
      <c r="J13" s="38" t="s">
        <v>38</v>
      </c>
      <c r="K13" s="41" t="s">
        <v>39</v>
      </c>
      <c r="L13" s="39" t="s">
        <v>37</v>
      </c>
      <c r="M13" s="38" t="s">
        <v>38</v>
      </c>
      <c r="N13" s="41" t="s">
        <v>39</v>
      </c>
      <c r="O13" s="39" t="s">
        <v>37</v>
      </c>
      <c r="P13" s="38" t="s">
        <v>38</v>
      </c>
    </row>
    <row r="14" spans="1:16" s="2" customFormat="1" x14ac:dyDescent="0.35">
      <c r="A14" s="24" t="s">
        <v>30</v>
      </c>
      <c r="B14" s="25">
        <f>SUM(B15:B20)</f>
        <v>0.94682169440219011</v>
      </c>
      <c r="C14" s="25">
        <f t="shared" ref="C14" si="8">SUM(C15:C20)</f>
        <v>0.46667504700182927</v>
      </c>
      <c r="D14" s="25">
        <f t="shared" ref="D14" si="9">SUM(D15:D20)</f>
        <v>0.48014664740036078</v>
      </c>
      <c r="E14" s="25">
        <f t="shared" ref="E14" si="10">SUM(E15:E20)</f>
        <v>0.94682169440219011</v>
      </c>
      <c r="F14" s="25">
        <f t="shared" ref="F14" si="11">SUM(F15:F20)</f>
        <v>0.46667504700182927</v>
      </c>
      <c r="G14" s="25">
        <f t="shared" ref="G14" si="12">SUM(G15:G20)</f>
        <v>0.48014664740036078</v>
      </c>
      <c r="H14" s="25">
        <f t="shared" ref="H14" si="13">SUM(H15:H20)</f>
        <v>0</v>
      </c>
      <c r="I14" s="25">
        <f t="shared" ref="I14" si="14">SUM(I15:I20)</f>
        <v>0</v>
      </c>
      <c r="J14" s="25">
        <f t="shared" ref="J14" si="15">SUM(J15:J20)</f>
        <v>0</v>
      </c>
      <c r="K14" s="25">
        <f t="shared" ref="K14" si="16">SUM(K15:K20)</f>
        <v>0</v>
      </c>
      <c r="L14" s="25">
        <f t="shared" ref="L14" si="17">SUM(L15:L20)</f>
        <v>0</v>
      </c>
      <c r="M14" s="25">
        <f t="shared" ref="M14" si="18">SUM(M15:M20)</f>
        <v>0</v>
      </c>
      <c r="N14" s="25">
        <f t="shared" ref="N14" si="19">SUM(N15:N20)</f>
        <v>0</v>
      </c>
      <c r="O14" s="25">
        <f t="shared" ref="O14" si="20">SUM(O15:O20)</f>
        <v>0</v>
      </c>
      <c r="P14" s="25">
        <f t="shared" ref="P14" si="21">SUM(P15:P20)</f>
        <v>0</v>
      </c>
    </row>
    <row r="15" spans="1:16" x14ac:dyDescent="0.35">
      <c r="A15" s="22" t="s">
        <v>24</v>
      </c>
      <c r="B15" s="26">
        <f>C15+D15</f>
        <v>0.94682169440219011</v>
      </c>
      <c r="C15" s="26">
        <f>F15+I15+L15+O15</f>
        <v>0.46667504700182927</v>
      </c>
      <c r="D15" s="26">
        <f>G15+J15+M15+P15</f>
        <v>0.48014664740036078</v>
      </c>
      <c r="E15" s="26">
        <f>F15+G15</f>
        <v>0.94682169440219011</v>
      </c>
      <c r="F15" s="26">
        <f>'[3]Xuất-2026'!$F$16</f>
        <v>0.46667504700182927</v>
      </c>
      <c r="G15" s="26">
        <f>'[3]Xuất-2026'!$D$16</f>
        <v>0.48014664740036078</v>
      </c>
      <c r="H15" s="26">
        <f>I15+J15</f>
        <v>0</v>
      </c>
      <c r="I15" s="26"/>
      <c r="J15" s="26"/>
      <c r="K15" s="26">
        <f>L15+M15</f>
        <v>0</v>
      </c>
      <c r="L15" s="26"/>
      <c r="M15" s="26"/>
      <c r="N15" s="26">
        <f>O15+P15</f>
        <v>0</v>
      </c>
      <c r="O15" s="26"/>
      <c r="P15" s="26"/>
    </row>
    <row r="16" spans="1:16" x14ac:dyDescent="0.35">
      <c r="A16" s="22" t="s">
        <v>25</v>
      </c>
      <c r="B16" s="26">
        <f t="shared" ref="B16:B20" si="22">C16+D16</f>
        <v>0</v>
      </c>
      <c r="C16" s="26">
        <f t="shared" ref="C16:C20" si="23">F16+I16+L16+O16</f>
        <v>0</v>
      </c>
      <c r="D16" s="26">
        <f t="shared" ref="D16:D20" si="24">G16+J16+M16+P16</f>
        <v>0</v>
      </c>
      <c r="E16" s="26">
        <f t="shared" ref="E16:E20" si="25">F16+G16</f>
        <v>0</v>
      </c>
      <c r="F16" s="26"/>
      <c r="G16" s="26"/>
      <c r="H16" s="26">
        <f t="shared" ref="H16:H20" si="26">I16+J16</f>
        <v>0</v>
      </c>
      <c r="I16" s="26"/>
      <c r="J16" s="26"/>
      <c r="K16" s="26">
        <f t="shared" ref="K16:K20" si="27">L16+M16</f>
        <v>0</v>
      </c>
      <c r="L16" s="26"/>
      <c r="M16" s="26"/>
      <c r="N16" s="26">
        <f t="shared" ref="N16:N20" si="28">O16+P16</f>
        <v>0</v>
      </c>
      <c r="O16" s="26"/>
      <c r="P16" s="26"/>
    </row>
    <row r="17" spans="1:16" x14ac:dyDescent="0.35">
      <c r="A17" s="22" t="s">
        <v>26</v>
      </c>
      <c r="B17" s="26">
        <f t="shared" si="22"/>
        <v>0</v>
      </c>
      <c r="C17" s="26">
        <f t="shared" si="23"/>
        <v>0</v>
      </c>
      <c r="D17" s="26">
        <f t="shared" si="24"/>
        <v>0</v>
      </c>
      <c r="E17" s="26">
        <f t="shared" si="25"/>
        <v>0</v>
      </c>
      <c r="F17" s="26"/>
      <c r="G17" s="26"/>
      <c r="H17" s="26">
        <f t="shared" si="26"/>
        <v>0</v>
      </c>
      <c r="I17" s="26"/>
      <c r="J17" s="26"/>
      <c r="K17" s="26">
        <f t="shared" si="27"/>
        <v>0</v>
      </c>
      <c r="L17" s="26"/>
      <c r="M17" s="26"/>
      <c r="N17" s="26">
        <f t="shared" si="28"/>
        <v>0</v>
      </c>
      <c r="O17" s="26"/>
      <c r="P17" s="26"/>
    </row>
    <row r="18" spans="1:16" x14ac:dyDescent="0.35">
      <c r="A18" s="22" t="s">
        <v>27</v>
      </c>
      <c r="B18" s="26">
        <f t="shared" si="22"/>
        <v>0</v>
      </c>
      <c r="C18" s="26">
        <f t="shared" si="23"/>
        <v>0</v>
      </c>
      <c r="D18" s="26">
        <f t="shared" si="24"/>
        <v>0</v>
      </c>
      <c r="E18" s="26">
        <f t="shared" si="25"/>
        <v>0</v>
      </c>
      <c r="F18" s="26"/>
      <c r="G18" s="26"/>
      <c r="H18" s="26">
        <f t="shared" si="26"/>
        <v>0</v>
      </c>
      <c r="I18" s="26"/>
      <c r="J18" s="26"/>
      <c r="K18" s="26">
        <f t="shared" si="27"/>
        <v>0</v>
      </c>
      <c r="L18" s="26"/>
      <c r="M18" s="26"/>
      <c r="N18" s="26">
        <f t="shared" si="28"/>
        <v>0</v>
      </c>
      <c r="O18" s="26"/>
      <c r="P18" s="26"/>
    </row>
    <row r="19" spans="1:16" x14ac:dyDescent="0.35">
      <c r="A19" s="22" t="s">
        <v>28</v>
      </c>
      <c r="B19" s="26">
        <f t="shared" si="22"/>
        <v>0</v>
      </c>
      <c r="C19" s="26">
        <f t="shared" si="23"/>
        <v>0</v>
      </c>
      <c r="D19" s="26">
        <f t="shared" si="24"/>
        <v>0</v>
      </c>
      <c r="E19" s="26">
        <f t="shared" si="25"/>
        <v>0</v>
      </c>
      <c r="F19" s="26"/>
      <c r="G19" s="26"/>
      <c r="H19" s="26">
        <f t="shared" si="26"/>
        <v>0</v>
      </c>
      <c r="I19" s="26"/>
      <c r="J19" s="26"/>
      <c r="K19" s="26">
        <f t="shared" si="27"/>
        <v>0</v>
      </c>
      <c r="L19" s="26"/>
      <c r="M19" s="26"/>
      <c r="N19" s="26">
        <f t="shared" si="28"/>
        <v>0</v>
      </c>
      <c r="O19" s="26"/>
      <c r="P19" s="26"/>
    </row>
    <row r="20" spans="1:16" x14ac:dyDescent="0.35">
      <c r="A20" t="s">
        <v>31</v>
      </c>
      <c r="B20" s="26">
        <f t="shared" si="22"/>
        <v>0</v>
      </c>
      <c r="C20" s="26">
        <f t="shared" si="23"/>
        <v>0</v>
      </c>
      <c r="D20" s="26">
        <f t="shared" si="24"/>
        <v>0</v>
      </c>
      <c r="E20" s="26">
        <f t="shared" si="25"/>
        <v>0</v>
      </c>
      <c r="H20" s="26">
        <f t="shared" si="26"/>
        <v>0</v>
      </c>
      <c r="K20" s="26">
        <f t="shared" si="27"/>
        <v>0</v>
      </c>
      <c r="N20" s="26">
        <f t="shared" si="28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9453-B77B-4AE4-A5F5-FD1781DA00A5}">
  <dimension ref="A2:E18"/>
  <sheetViews>
    <sheetView showGridLines="0" topLeftCell="A7" zoomScale="175" zoomScaleNormal="175" workbookViewId="0">
      <selection activeCell="D16" sqref="D16"/>
    </sheetView>
  </sheetViews>
  <sheetFormatPr defaultRowHeight="14.5" x14ac:dyDescent="0.35"/>
  <cols>
    <col min="2" max="2" width="9.08203125" customWidth="1"/>
  </cols>
  <sheetData>
    <row r="2" spans="1:5" x14ac:dyDescent="0.35">
      <c r="A2" s="18"/>
      <c r="B2" s="19" t="s">
        <v>16</v>
      </c>
      <c r="C2" s="19" t="s">
        <v>17</v>
      </c>
      <c r="D2" s="19" t="s">
        <v>14</v>
      </c>
      <c r="E2" s="19" t="s">
        <v>18</v>
      </c>
    </row>
    <row r="3" spans="1:5" s="2" customFormat="1" x14ac:dyDescent="0.35">
      <c r="A3" s="24" t="s">
        <v>15</v>
      </c>
      <c r="B3" s="25">
        <f>SUM(B4:B8)</f>
        <v>1</v>
      </c>
      <c r="C3" s="25">
        <f t="shared" ref="C3:E3" si="0">SUM(C4:C8)</f>
        <v>1</v>
      </c>
      <c r="D3" s="25">
        <f t="shared" si="0"/>
        <v>1</v>
      </c>
      <c r="E3" s="25">
        <f t="shared" si="0"/>
        <v>1</v>
      </c>
    </row>
    <row r="4" spans="1:5" x14ac:dyDescent="0.35">
      <c r="A4" s="22" t="s">
        <v>1</v>
      </c>
      <c r="B4" s="26">
        <v>1</v>
      </c>
      <c r="C4" s="26">
        <v>1</v>
      </c>
      <c r="D4" s="26">
        <v>1</v>
      </c>
      <c r="E4" s="26">
        <v>1</v>
      </c>
    </row>
    <row r="5" spans="1:5" x14ac:dyDescent="0.35">
      <c r="A5" s="22" t="s">
        <v>3</v>
      </c>
      <c r="B5" s="26"/>
      <c r="C5" s="26"/>
      <c r="D5" s="26"/>
      <c r="E5" s="26"/>
    </row>
    <row r="6" spans="1:5" x14ac:dyDescent="0.35">
      <c r="A6" s="22" t="s">
        <v>4</v>
      </c>
      <c r="B6" s="26"/>
      <c r="C6" s="26"/>
      <c r="D6" s="26"/>
      <c r="E6" s="26"/>
    </row>
    <row r="7" spans="1:5" x14ac:dyDescent="0.35">
      <c r="A7" s="22" t="s">
        <v>5</v>
      </c>
      <c r="B7" s="26"/>
      <c r="C7" s="26"/>
      <c r="D7" s="26"/>
      <c r="E7" s="26"/>
    </row>
    <row r="8" spans="1:5" x14ac:dyDescent="0.35">
      <c r="A8" s="22" t="s">
        <v>6</v>
      </c>
      <c r="B8" s="26"/>
      <c r="C8" s="26"/>
      <c r="D8" s="26"/>
      <c r="E8" s="26"/>
    </row>
    <row r="9" spans="1:5" x14ac:dyDescent="0.35">
      <c r="A9" t="s">
        <v>19</v>
      </c>
    </row>
    <row r="11" spans="1:5" x14ac:dyDescent="0.35">
      <c r="A11" s="18"/>
      <c r="B11" s="19" t="s">
        <v>16</v>
      </c>
      <c r="C11" s="19" t="s">
        <v>17</v>
      </c>
      <c r="D11" s="19" t="s">
        <v>14</v>
      </c>
      <c r="E11" s="19" t="s">
        <v>18</v>
      </c>
    </row>
    <row r="12" spans="1:5" x14ac:dyDescent="0.35">
      <c r="A12" s="24" t="s">
        <v>30</v>
      </c>
      <c r="B12" s="25">
        <f>SUM(B13:B17)</f>
        <v>1</v>
      </c>
      <c r="C12" s="25">
        <f t="shared" ref="C12:E12" si="1">SUM(C13:C17)</f>
        <v>0</v>
      </c>
      <c r="D12" s="25">
        <f t="shared" si="1"/>
        <v>0</v>
      </c>
      <c r="E12" s="25">
        <f t="shared" si="1"/>
        <v>0</v>
      </c>
    </row>
    <row r="13" spans="1:5" x14ac:dyDescent="0.35">
      <c r="A13" s="22" t="s">
        <v>24</v>
      </c>
      <c r="B13" s="26">
        <v>1</v>
      </c>
      <c r="C13" s="26"/>
      <c r="D13" s="26"/>
      <c r="E13" s="26"/>
    </row>
    <row r="14" spans="1:5" x14ac:dyDescent="0.35">
      <c r="A14" s="22" t="s">
        <v>25</v>
      </c>
      <c r="B14" s="26"/>
      <c r="C14" s="26"/>
      <c r="D14" s="26"/>
      <c r="E14" s="26"/>
    </row>
    <row r="15" spans="1:5" x14ac:dyDescent="0.35">
      <c r="A15" s="22" t="s">
        <v>26</v>
      </c>
      <c r="B15" s="26"/>
      <c r="C15" s="26"/>
      <c r="D15" s="26"/>
      <c r="E15" s="26"/>
    </row>
    <row r="16" spans="1:5" x14ac:dyDescent="0.35">
      <c r="A16" s="22" t="s">
        <v>27</v>
      </c>
      <c r="B16" s="26"/>
      <c r="C16" s="26"/>
      <c r="D16" s="26"/>
      <c r="E16" s="26"/>
    </row>
    <row r="17" spans="1:5" x14ac:dyDescent="0.35">
      <c r="A17" s="22" t="s">
        <v>28</v>
      </c>
      <c r="B17" s="26"/>
      <c r="C17" s="26"/>
      <c r="D17" s="26"/>
      <c r="E17" s="26"/>
    </row>
    <row r="18" spans="1:5" x14ac:dyDescent="0.35">
      <c r="A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General Data</vt:lpstr>
      <vt:lpstr>Chai</vt:lpstr>
      <vt:lpstr>Vảy_A0</vt:lpstr>
      <vt:lpstr>Vảy A1</vt:lpstr>
      <vt:lpstr>Vảy A1_DT</vt:lpstr>
      <vt:lpstr>TP_VND</vt:lpstr>
      <vt:lpstr>TP_USD</vt:lpstr>
      <vt:lpstr>Thành phẩm (Mix)</vt:lpstr>
      <vt:lpstr>Thành phẩm</vt:lpstr>
      <vt:lpstr>Chai_B0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2026-05-06T13:22:19Z</dcterms:created>
  <dcterms:modified xsi:type="dcterms:W3CDTF">2026-05-26T15:25:44Z</dcterms:modified>
</cp:coreProperties>
</file>