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O\Giá bán_Thạch\Gia ban thang\"/>
    </mc:Choice>
  </mc:AlternateContent>
  <xr:revisionPtr revIDLastSave="0" documentId="13_ncr:1_{E474C268-7569-4F49-8202-4B09CDA700BB}" xr6:coauthVersionLast="47" xr6:coauthVersionMax="47" xr10:uidLastSave="{00000000-0000-0000-0000-000000000000}"/>
  <bookViews>
    <workbookView xWindow="-110" yWindow="-110" windowWidth="19420" windowHeight="10300" tabRatio="848" firstSheet="5" activeTab="8" xr2:uid="{67F768A9-BCA9-47FF-960E-E407AF766A87}"/>
  </bookViews>
  <sheets>
    <sheet name="Điểm HV" sheetId="23" state="hidden" r:id="rId1"/>
    <sheet name="TH" sheetId="24" state="hidden" r:id="rId2"/>
    <sheet name="Ghi chú" sheetId="21" state="hidden" r:id="rId3"/>
    <sheet name="Sheet1" sheetId="22" state="hidden" r:id="rId4"/>
    <sheet name="giá ICIS" sheetId="20" state="hidden" r:id="rId5"/>
    <sheet name="1. rPET" sheetId="11" r:id="rId6"/>
    <sheet name="2. rPET- nội bộ " sheetId="7" r:id="rId7"/>
    <sheet name="3. rPET USA " sheetId="8" r:id="rId8"/>
    <sheet name="Giới hạn " sheetId="15" r:id="rId9"/>
    <sheet name="4. rHDPE " sheetId="2" r:id="rId10"/>
    <sheet name="5.Vảy HDPE- Ép" sheetId="9" r:id="rId11"/>
    <sheet name="6. rPP " sheetId="10" r:id="rId12"/>
    <sheet name="7. Vảy PP" sheetId="4" r:id="rId13"/>
    <sheet name="8. Hạt phó sản" sheetId="14" r:id="rId14"/>
    <sheet name="Giải thích phó sản" sheetId="17" state="hidden" r:id="rId15"/>
    <sheet name="Sheet2" sheetId="19" state="hidden" r:id="rId16"/>
  </sheets>
  <externalReferences>
    <externalReference r:id="rId17"/>
    <externalReference r:id="rId18"/>
  </externalReferences>
  <definedNames>
    <definedName name="\T" localSheetId="4">#REF!</definedName>
    <definedName name="\T">#REF!</definedName>
    <definedName name="__dao1" localSheetId="4">#REF!</definedName>
    <definedName name="__dao1">#REF!</definedName>
    <definedName name="__dao2" localSheetId="4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4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[1]Sheet3!$C$2:$C$26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 localSheetId="4">#REF!</definedName>
    <definedName name="giaca">#REF!</definedName>
    <definedName name="gica_bq" localSheetId="4">#REF!</definedName>
    <definedName name="gica_bq">#REF!</definedName>
    <definedName name="gica_bv" localSheetId="4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 localSheetId="4">#REF!</definedName>
    <definedName name="HDCCT">#REF!</definedName>
    <definedName name="HDCD" localSheetId="4">#REF!</definedName>
    <definedName name="HDCD">#REF!</definedName>
    <definedName name="HM" localSheetId="4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CSCM">#REF!</definedName>
    <definedName name="KH">[1]Sheet3!$A$2:$A$26</definedName>
    <definedName name="KVC" localSheetId="4">#REF!</definedName>
    <definedName name="KVC">#REF!</definedName>
    <definedName name="L" localSheetId="4">#REF!</definedName>
    <definedName name="L">#REF!</definedName>
    <definedName name="Lab_supplies_lists" localSheetId="4">#REF!</definedName>
    <definedName name="Lab_supplies_lists">#REF!</definedName>
    <definedName name="Labsupplieslist" localSheetId="4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[1]Sheet3!$B$2:$B$26</definedName>
    <definedName name="NCcap0.7">#REF!</definedName>
    <definedName name="NCcap1">#REF!</definedName>
    <definedName name="NGANHANG" localSheetId="4">OFFSET(#REF!,COUNTIF(#REF!,"&lt;&gt;0")-1,0,1)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 localSheetId="4">OFFSET(#REF!,COUNTA(#REF!)-1,0,1)</definedName>
    <definedName name="NOIDUNG">OFFSET(#REF!,COUNTA(#REF!)-1,0,1)</definedName>
    <definedName name="Nov">#REF!</definedName>
    <definedName name="NToS">#REF!</definedName>
    <definedName name="Oct" localSheetId="4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localSheetId="4" hidden="1">#REF!</definedName>
    <definedName name="PHUONG" hidden="1">#REF!</definedName>
    <definedName name="_xlnm.Print_Area" localSheetId="5">'1. rPET'!$B:$Q</definedName>
    <definedName name="_xlnm.Print_Area" localSheetId="6">'2. rPET- nội bộ '!$A$2:$S$53</definedName>
    <definedName name="_xlnm.Print_Area" localSheetId="7">'3. rPET USA '!$A$2:$P$36</definedName>
    <definedName name="_xlnm.Print_Area" localSheetId="9">'4. rHDPE '!$A$2:$Q$40</definedName>
    <definedName name="_xlnm.Print_Area" localSheetId="10">'5.Vảy HDPE- Ép'!$A$2:$Q$34</definedName>
    <definedName name="_xlnm.Print_Area" localSheetId="11">'6. rPP '!$B$2:$Q$29</definedName>
    <definedName name="_xlnm.Print_Area" localSheetId="12">'7. Vảy PP'!$B$2:$Q$30</definedName>
    <definedName name="_xlnm.Print_Area" localSheetId="13">'8. Hạt phó sản'!$B$2:$R$36</definedName>
    <definedName name="Print_Area_MI">#REF!</definedName>
    <definedName name="_xlnm.Print_Titles" localSheetId="6">'2. rPET- nội bộ '!$6:$8</definedName>
    <definedName name="_xlnm.Print_Titles">#N/A</definedName>
    <definedName name="QUYLUONG" localSheetId="4">#REF!</definedName>
    <definedName name="QUYLUONG">#REF!</definedName>
    <definedName name="RawMat" localSheetId="4">#REF!</definedName>
    <definedName name="RawMat">#REF!</definedName>
    <definedName name="re" localSheetId="4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2" l="1"/>
  <c r="N14" i="2"/>
  <c r="P13" i="10"/>
  <c r="Q13" i="10" s="1"/>
  <c r="O13" i="10"/>
  <c r="N13" i="10"/>
  <c r="L13" i="10"/>
  <c r="K13" i="10"/>
  <c r="L11" i="9"/>
  <c r="K11" i="9" s="1"/>
  <c r="H11" i="9"/>
  <c r="G11" i="9"/>
  <c r="M14" i="2"/>
  <c r="P6" i="21"/>
  <c r="L11" i="21" l="1"/>
  <c r="L10" i="21"/>
  <c r="L9" i="21"/>
  <c r="L8" i="21"/>
  <c r="L7" i="21"/>
  <c r="L6" i="21"/>
  <c r="I7" i="21"/>
  <c r="J7" i="21"/>
  <c r="I8" i="21"/>
  <c r="J8" i="21"/>
  <c r="I9" i="21"/>
  <c r="J9" i="21"/>
  <c r="K9" i="21" s="1"/>
  <c r="K7" i="21" l="1"/>
  <c r="K8" i="21"/>
  <c r="J10" i="21" l="1"/>
  <c r="K10" i="21" s="1"/>
  <c r="I10" i="21"/>
  <c r="J6" i="21"/>
  <c r="I6" i="21"/>
  <c r="O15" i="7"/>
  <c r="M10" i="11"/>
  <c r="O9" i="7" l="1"/>
  <c r="O10" i="7"/>
  <c r="K6" i="21"/>
  <c r="U9" i="7" l="1"/>
  <c r="K11" i="21"/>
  <c r="P64" i="24" l="1"/>
  <c r="P63" i="24"/>
  <c r="P62" i="24"/>
  <c r="P61" i="24"/>
  <c r="P60" i="24"/>
  <c r="P59" i="24"/>
  <c r="P58" i="24"/>
  <c r="P57" i="24"/>
  <c r="Q57" i="24" s="1"/>
  <c r="R57" i="24" s="1"/>
  <c r="P56" i="24"/>
  <c r="Q56" i="24" s="1"/>
  <c r="R56" i="24" s="1"/>
  <c r="Q64" i="24"/>
  <c r="R64" i="24" s="1"/>
  <c r="H50" i="24"/>
  <c r="H44" i="24"/>
  <c r="H42" i="24"/>
  <c r="P44" i="24"/>
  <c r="P42" i="24"/>
  <c r="P35" i="24"/>
  <c r="H35" i="24"/>
  <c r="H30" i="24"/>
  <c r="H28" i="24"/>
  <c r="I28" i="24" s="1"/>
  <c r="J28" i="24" s="1"/>
  <c r="H27" i="24"/>
  <c r="H26" i="24"/>
  <c r="P30" i="24"/>
  <c r="P28" i="24"/>
  <c r="P27" i="24"/>
  <c r="P26" i="24"/>
  <c r="P24" i="24"/>
  <c r="H24" i="24"/>
  <c r="Q24" i="24" s="1"/>
  <c r="R24" i="24" s="1"/>
  <c r="H22" i="24"/>
  <c r="Q22" i="24" s="1"/>
  <c r="R22" i="24" s="1"/>
  <c r="H21" i="24"/>
  <c r="P22" i="24"/>
  <c r="P21" i="24"/>
  <c r="H12" i="24"/>
  <c r="H11" i="24"/>
  <c r="I11" i="24" s="1"/>
  <c r="J11" i="24" s="1"/>
  <c r="H10" i="24"/>
  <c r="I10" i="24" s="1"/>
  <c r="J10" i="24" s="1"/>
  <c r="H9" i="24"/>
  <c r="I9" i="24" s="1"/>
  <c r="J9" i="24" s="1"/>
  <c r="P12" i="24"/>
  <c r="P11" i="24"/>
  <c r="P10" i="24"/>
  <c r="P9" i="24"/>
  <c r="P8" i="24"/>
  <c r="P7" i="24"/>
  <c r="L64" i="24"/>
  <c r="M64" i="24" s="1"/>
  <c r="N64" i="24" s="1"/>
  <c r="J64" i="24"/>
  <c r="I64" i="24"/>
  <c r="Q63" i="24"/>
  <c r="R63" i="24" s="1"/>
  <c r="L63" i="24"/>
  <c r="M63" i="24" s="1"/>
  <c r="N63" i="24" s="1"/>
  <c r="J63" i="24"/>
  <c r="I63" i="24"/>
  <c r="Q62" i="24"/>
  <c r="R62" i="24" s="1"/>
  <c r="L62" i="24"/>
  <c r="M62" i="24" s="1"/>
  <c r="N62" i="24" s="1"/>
  <c r="H62" i="24"/>
  <c r="I62" i="24" s="1"/>
  <c r="J62" i="24" s="1"/>
  <c r="L61" i="24"/>
  <c r="M61" i="24" s="1"/>
  <c r="N61" i="24" s="1"/>
  <c r="H61" i="24"/>
  <c r="Q61" i="24" s="1"/>
  <c r="R61" i="24" s="1"/>
  <c r="L60" i="24"/>
  <c r="M60" i="24" s="1"/>
  <c r="N60" i="24" s="1"/>
  <c r="J60" i="24"/>
  <c r="I60" i="24"/>
  <c r="H60" i="24"/>
  <c r="Q60" i="24" s="1"/>
  <c r="R60" i="24" s="1"/>
  <c r="L59" i="24"/>
  <c r="M59" i="24" s="1"/>
  <c r="N59" i="24" s="1"/>
  <c r="J59" i="24"/>
  <c r="I59" i="24"/>
  <c r="H59" i="24"/>
  <c r="Q59" i="24" s="1"/>
  <c r="R59" i="24" s="1"/>
  <c r="L58" i="24"/>
  <c r="L57" i="24"/>
  <c r="M57" i="24" s="1"/>
  <c r="N57" i="24" s="1"/>
  <c r="I57" i="24"/>
  <c r="J57" i="24" s="1"/>
  <c r="L56" i="24"/>
  <c r="M56" i="24" s="1"/>
  <c r="N56" i="24" s="1"/>
  <c r="J56" i="24"/>
  <c r="I56" i="24"/>
  <c r="Q54" i="24"/>
  <c r="P54" i="24"/>
  <c r="O54" i="24"/>
  <c r="M54" i="24"/>
  <c r="L54" i="24"/>
  <c r="I54" i="24"/>
  <c r="H54" i="24"/>
  <c r="G54" i="24"/>
  <c r="L50" i="24"/>
  <c r="Q47" i="24"/>
  <c r="P47" i="24"/>
  <c r="O47" i="24"/>
  <c r="M47" i="24"/>
  <c r="L47" i="24"/>
  <c r="I47" i="24"/>
  <c r="H47" i="24"/>
  <c r="G47" i="24"/>
  <c r="L44" i="24"/>
  <c r="L42" i="24"/>
  <c r="Q39" i="24"/>
  <c r="P39" i="24"/>
  <c r="O39" i="24"/>
  <c r="M39" i="24"/>
  <c r="L39" i="24"/>
  <c r="I39" i="24"/>
  <c r="H39" i="24"/>
  <c r="G39" i="24"/>
  <c r="L35" i="24"/>
  <c r="Q33" i="24"/>
  <c r="P33" i="24"/>
  <c r="O33" i="24"/>
  <c r="M33" i="24"/>
  <c r="L33" i="24"/>
  <c r="I33" i="24"/>
  <c r="H33" i="24"/>
  <c r="G33" i="24"/>
  <c r="L30" i="24"/>
  <c r="L28" i="24"/>
  <c r="Q28" i="24"/>
  <c r="R28" i="24" s="1"/>
  <c r="Q27" i="24"/>
  <c r="R27" i="24" s="1"/>
  <c r="L27" i="24"/>
  <c r="M27" i="24" s="1"/>
  <c r="N27" i="24" s="1"/>
  <c r="I27" i="24"/>
  <c r="J27" i="24" s="1"/>
  <c r="L26" i="24"/>
  <c r="L24" i="24"/>
  <c r="L21" i="24" s="1"/>
  <c r="M21" i="24" s="1"/>
  <c r="N21" i="24" s="1"/>
  <c r="G24" i="24"/>
  <c r="L22" i="24"/>
  <c r="M22" i="24" s="1"/>
  <c r="N22" i="24" s="1"/>
  <c r="G22" i="24"/>
  <c r="B22" i="24"/>
  <c r="I21" i="24"/>
  <c r="J21" i="24" s="1"/>
  <c r="Q21" i="24"/>
  <c r="R21" i="24" s="1"/>
  <c r="G21" i="24"/>
  <c r="Q17" i="24"/>
  <c r="P17" i="24"/>
  <c r="O17" i="24"/>
  <c r="M17" i="24"/>
  <c r="L17" i="24"/>
  <c r="I17" i="24"/>
  <c r="H17" i="24"/>
  <c r="G17" i="24"/>
  <c r="L12" i="24"/>
  <c r="L11" i="24"/>
  <c r="L10" i="24"/>
  <c r="L9" i="24"/>
  <c r="L8" i="24"/>
  <c r="B8" i="24"/>
  <c r="B9" i="24" s="1"/>
  <c r="B10" i="24" s="1"/>
  <c r="B11" i="24" s="1"/>
  <c r="B12" i="24" s="1"/>
  <c r="L7" i="24"/>
  <c r="Q32" i="23"/>
  <c r="R32" i="23" s="1"/>
  <c r="S32" i="23" s="1"/>
  <c r="T32" i="23" s="1"/>
  <c r="U32" i="23" s="1"/>
  <c r="V32" i="23" s="1"/>
  <c r="W32" i="23" s="1"/>
  <c r="X32" i="23" s="1"/>
  <c r="Y32" i="23" s="1"/>
  <c r="Z32" i="23" s="1"/>
  <c r="AA32" i="23" s="1"/>
  <c r="AB10" i="23"/>
  <c r="AB11" i="23" s="1"/>
  <c r="AC11" i="23" s="1"/>
  <c r="AC9" i="23"/>
  <c r="R4" i="23"/>
  <c r="S4" i="23" s="1"/>
  <c r="T4" i="23" s="1"/>
  <c r="U4" i="23" s="1"/>
  <c r="V4" i="23" s="1"/>
  <c r="W4" i="23" s="1"/>
  <c r="X4" i="23" s="1"/>
  <c r="Y4" i="23" s="1"/>
  <c r="Z4" i="23" s="1"/>
  <c r="AA4" i="23" s="1"/>
  <c r="Q4" i="23"/>
  <c r="M9" i="24" l="1"/>
  <c r="N9" i="24" s="1"/>
  <c r="Q30" i="24"/>
  <c r="R30" i="24" s="1"/>
  <c r="M26" i="24"/>
  <c r="N26" i="24" s="1"/>
  <c r="Q42" i="24"/>
  <c r="R42" i="24" s="1"/>
  <c r="P50" i="24"/>
  <c r="Q50" i="24" s="1"/>
  <c r="R50" i="24" s="1"/>
  <c r="Q35" i="24"/>
  <c r="R35" i="24" s="1"/>
  <c r="I35" i="24"/>
  <c r="J35" i="24" s="1"/>
  <c r="M35" i="24"/>
  <c r="N35" i="24" s="1"/>
  <c r="Q26" i="24"/>
  <c r="R26" i="24" s="1"/>
  <c r="I22" i="24"/>
  <c r="J22" i="24" s="1"/>
  <c r="M12" i="24"/>
  <c r="N12" i="24" s="1"/>
  <c r="M11" i="24"/>
  <c r="N11" i="24" s="1"/>
  <c r="M10" i="24"/>
  <c r="N10" i="24" s="1"/>
  <c r="Q44" i="24"/>
  <c r="R44" i="24" s="1"/>
  <c r="Q10" i="24"/>
  <c r="R10" i="24" s="1"/>
  <c r="I61" i="24"/>
  <c r="J61" i="24" s="1"/>
  <c r="M28" i="24"/>
  <c r="N28" i="24" s="1"/>
  <c r="I50" i="24"/>
  <c r="J50" i="24" s="1"/>
  <c r="H58" i="24"/>
  <c r="M24" i="24"/>
  <c r="N24" i="24" s="1"/>
  <c r="I24" i="24"/>
  <c r="J24" i="24" s="1"/>
  <c r="I44" i="24"/>
  <c r="J44" i="24" s="1"/>
  <c r="M44" i="24"/>
  <c r="N44" i="24" s="1"/>
  <c r="I30" i="24"/>
  <c r="J30" i="24" s="1"/>
  <c r="M50" i="24"/>
  <c r="N50" i="24" s="1"/>
  <c r="Q9" i="24"/>
  <c r="R9" i="24" s="1"/>
  <c r="M30" i="24"/>
  <c r="N30" i="24" s="1"/>
  <c r="I42" i="24"/>
  <c r="J42" i="24" s="1"/>
  <c r="I12" i="24"/>
  <c r="J12" i="24" s="1"/>
  <c r="I26" i="24"/>
  <c r="J26" i="24" s="1"/>
  <c r="M42" i="24"/>
  <c r="N42" i="24" s="1"/>
  <c r="Q58" i="24" l="1"/>
  <c r="R58" i="24" s="1"/>
  <c r="M58" i="24"/>
  <c r="N58" i="24" s="1"/>
  <c r="I58" i="24"/>
  <c r="J58" i="24" s="1"/>
  <c r="Q11" i="24"/>
  <c r="R11" i="24" s="1"/>
  <c r="Q12" i="24"/>
  <c r="R12" i="24" s="1"/>
  <c r="R25" i="14" l="1"/>
  <c r="Q20" i="4"/>
  <c r="Q20" i="10"/>
  <c r="Q24" i="9"/>
  <c r="Q32" i="2"/>
  <c r="Q18" i="11"/>
  <c r="P29" i="8"/>
  <c r="O10" i="11" l="1"/>
  <c r="T7" i="21" l="1"/>
  <c r="P7" i="21"/>
  <c r="P9" i="21"/>
  <c r="P10" i="21"/>
  <c r="P11" i="21"/>
  <c r="H20" i="2" l="1"/>
  <c r="G20" i="2" s="1"/>
  <c r="H10" i="9"/>
  <c r="G10" i="9" s="1"/>
  <c r="P12" i="10" l="1"/>
  <c r="J7" i="11" l="1"/>
  <c r="P10" i="9" l="1"/>
  <c r="O20" i="7"/>
  <c r="H8" i="24" l="1"/>
  <c r="M8" i="24"/>
  <c r="N8" i="24" s="1"/>
  <c r="I8" i="24"/>
  <c r="J8" i="24" s="1"/>
  <c r="Q8" i="24"/>
  <c r="R8" i="24" s="1"/>
  <c r="Q16" i="14"/>
  <c r="R16" i="14" s="1"/>
  <c r="P16" i="14"/>
  <c r="O16" i="14"/>
  <c r="Q15" i="14"/>
  <c r="R15" i="14" s="1"/>
  <c r="P15" i="14"/>
  <c r="O15" i="14"/>
  <c r="Q13" i="14"/>
  <c r="R13" i="14" s="1"/>
  <c r="P13" i="14"/>
  <c r="O13" i="14"/>
  <c r="G13" i="14"/>
  <c r="I13" i="14" s="1"/>
  <c r="T17" i="14"/>
  <c r="M17" i="19" l="1"/>
  <c r="M18" i="19"/>
  <c r="M19" i="19"/>
  <c r="L17" i="19"/>
  <c r="L18" i="19"/>
  <c r="L19" i="19"/>
  <c r="L16" i="19"/>
  <c r="M16" i="19" s="1"/>
  <c r="G13" i="19"/>
  <c r="I13" i="19"/>
  <c r="H13" i="19" s="1"/>
  <c r="K13" i="19"/>
  <c r="L13" i="19"/>
  <c r="M13" i="19"/>
  <c r="S13" i="19"/>
  <c r="G14" i="19"/>
  <c r="I14" i="19" s="1"/>
  <c r="H14" i="19" s="1"/>
  <c r="K14" i="19"/>
  <c r="L14" i="19"/>
  <c r="M14" i="19"/>
  <c r="S14" i="19"/>
  <c r="I15" i="19"/>
  <c r="H15" i="19" s="1"/>
  <c r="K15" i="19"/>
  <c r="L15" i="19"/>
  <c r="M15" i="19"/>
  <c r="G16" i="19"/>
  <c r="I16" i="19" s="1"/>
  <c r="G17" i="19"/>
  <c r="I17" i="19" s="1"/>
  <c r="G18" i="19"/>
  <c r="I18" i="19"/>
  <c r="G19" i="19"/>
  <c r="I19" i="19"/>
  <c r="D4" i="17"/>
  <c r="F4" i="17" s="1"/>
  <c r="N14" i="14"/>
  <c r="D15" i="17"/>
  <c r="E15" i="17" s="1"/>
  <c r="D11" i="17"/>
  <c r="E11" i="17" s="1"/>
  <c r="P14" i="14" l="1"/>
  <c r="Q14" i="14"/>
  <c r="R14" i="14" s="1"/>
  <c r="O14" i="14"/>
  <c r="T13" i="14"/>
  <c r="T14" i="14"/>
  <c r="D22" i="17"/>
  <c r="E22" i="17" s="1"/>
  <c r="E14" i="17"/>
  <c r="E10" i="17"/>
  <c r="T10" i="14"/>
  <c r="W10" i="14" s="1"/>
  <c r="T16" i="14" l="1"/>
  <c r="T11" i="14"/>
  <c r="W11" i="14" s="1"/>
  <c r="T15" i="14" l="1"/>
  <c r="D18" i="17"/>
  <c r="E18" i="17" s="1"/>
  <c r="K14" i="14" l="1"/>
  <c r="M14" i="14" s="1"/>
  <c r="K15" i="14"/>
  <c r="M15" i="14" s="1"/>
  <c r="K16" i="14"/>
  <c r="M16" i="14" s="1"/>
  <c r="K13" i="14"/>
  <c r="M13" i="14" s="1"/>
  <c r="M12" i="14"/>
  <c r="O29" i="7"/>
  <c r="D19" i="8"/>
  <c r="H4" i="17" l="1"/>
  <c r="O19" i="7"/>
  <c r="L21" i="7" l="1"/>
  <c r="Q12" i="14"/>
  <c r="R12" i="14" s="1"/>
  <c r="P12" i="14"/>
  <c r="O12" i="14"/>
  <c r="L12" i="14"/>
  <c r="I12" i="14"/>
  <c r="H12" i="14" s="1"/>
  <c r="R29" i="7" l="1"/>
  <c r="S29" i="7" s="1"/>
  <c r="O30" i="7"/>
  <c r="O18" i="7"/>
  <c r="O13" i="7"/>
  <c r="O12" i="7"/>
  <c r="R32" i="7"/>
  <c r="S32" i="7" s="1"/>
  <c r="Q31" i="7"/>
  <c r="Q19" i="7"/>
  <c r="O17" i="7"/>
  <c r="O16" i="7"/>
  <c r="R30" i="7" l="1"/>
  <c r="S30" i="7" s="1"/>
  <c r="T30" i="7"/>
  <c r="T18" i="7"/>
  <c r="U18" i="7"/>
  <c r="U20" i="7"/>
  <c r="Q17" i="7"/>
  <c r="T17" i="7"/>
  <c r="H7" i="24"/>
  <c r="Q7" i="24" s="1"/>
  <c r="R7" i="24" s="1"/>
  <c r="T22" i="7"/>
  <c r="T23" i="7"/>
  <c r="T13" i="7"/>
  <c r="T21" i="7"/>
  <c r="T31" i="7"/>
  <c r="T32" i="7"/>
  <c r="T15" i="7"/>
  <c r="T9" i="7"/>
  <c r="T10" i="7"/>
  <c r="T20" i="7"/>
  <c r="T29" i="7"/>
  <c r="T19" i="7"/>
  <c r="T16" i="7"/>
  <c r="U16" i="7"/>
  <c r="R12" i="7"/>
  <c r="S12" i="7" s="1"/>
  <c r="T12" i="7"/>
  <c r="U12" i="7"/>
  <c r="O14" i="7"/>
  <c r="O28" i="7"/>
  <c r="Q12" i="7"/>
  <c r="P12" i="7"/>
  <c r="R31" i="7"/>
  <c r="S31" i="7" s="1"/>
  <c r="P32" i="7"/>
  <c r="Q32" i="7"/>
  <c r="P31" i="7"/>
  <c r="P29" i="7"/>
  <c r="P30" i="7"/>
  <c r="Q30" i="7"/>
  <c r="Q29" i="7"/>
  <c r="P19" i="7"/>
  <c r="R19" i="7"/>
  <c r="S19" i="7" s="1"/>
  <c r="P17" i="7"/>
  <c r="R17" i="7"/>
  <c r="S17" i="7" s="1"/>
  <c r="I7" i="24" l="1"/>
  <c r="J7" i="24" s="1"/>
  <c r="M7" i="24"/>
  <c r="N7" i="24" s="1"/>
  <c r="R14" i="7"/>
  <c r="S14" i="7" s="1"/>
  <c r="T14" i="7"/>
  <c r="O24" i="7"/>
  <c r="Q24" i="7" s="1"/>
  <c r="T28" i="7"/>
  <c r="R28" i="7"/>
  <c r="S28" i="7" s="1"/>
  <c r="P14" i="7"/>
  <c r="Q14" i="7"/>
  <c r="L14" i="7"/>
  <c r="N14" i="7" s="1"/>
  <c r="M14" i="7" s="1"/>
  <c r="O25" i="7"/>
  <c r="P28" i="7"/>
  <c r="Q28" i="7"/>
  <c r="O27" i="7"/>
  <c r="T27" i="7" s="1"/>
  <c r="O26" i="7"/>
  <c r="T26" i="7" s="1"/>
  <c r="P24" i="7" l="1"/>
  <c r="T24" i="7"/>
  <c r="R24" i="7"/>
  <c r="S24" i="7" s="1"/>
  <c r="R25" i="7"/>
  <c r="S25" i="7" s="1"/>
  <c r="T25" i="7"/>
  <c r="P25" i="7"/>
  <c r="Q25" i="7"/>
  <c r="R26" i="7"/>
  <c r="S26" i="7" s="1"/>
  <c r="P26" i="7"/>
  <c r="Q26" i="7"/>
  <c r="Q27" i="7"/>
  <c r="L27" i="7"/>
  <c r="P27" i="7"/>
  <c r="R27" i="7"/>
  <c r="S27" i="7" s="1"/>
  <c r="L28" i="7" l="1"/>
  <c r="L24" i="7"/>
  <c r="N24" i="7" s="1"/>
  <c r="M24" i="7" s="1"/>
  <c r="L26" i="7"/>
  <c r="N27" i="7"/>
  <c r="M27" i="7" s="1"/>
  <c r="D18" i="8"/>
  <c r="N26" i="7" l="1"/>
  <c r="M26" i="7" s="1"/>
  <c r="L25" i="7"/>
  <c r="N25" i="7" s="1"/>
  <c r="M25" i="7" s="1"/>
  <c r="L31" i="7"/>
  <c r="N31" i="7" s="1"/>
  <c r="M31" i="7" s="1"/>
  <c r="L29" i="7"/>
  <c r="N28" i="7"/>
  <c r="M28" i="7" s="1"/>
  <c r="L23" i="7"/>
  <c r="L22" i="7"/>
  <c r="N7" i="11"/>
  <c r="O7" i="14" s="1"/>
  <c r="J7" i="4"/>
  <c r="F7" i="11"/>
  <c r="F7" i="2" s="1"/>
  <c r="Q12" i="10"/>
  <c r="O12" i="10"/>
  <c r="N12" i="10"/>
  <c r="L12" i="10"/>
  <c r="K12" i="10" s="1"/>
  <c r="L32" i="7" l="1"/>
  <c r="N32" i="7" s="1"/>
  <c r="M32" i="7" s="1"/>
  <c r="N29" i="7"/>
  <c r="M29" i="7" s="1"/>
  <c r="L30" i="7"/>
  <c r="N30" i="7" s="1"/>
  <c r="M30" i="7" s="1"/>
  <c r="J7" i="2"/>
  <c r="J7" i="9"/>
  <c r="J7" i="10"/>
  <c r="K7" i="14"/>
  <c r="F7" i="9"/>
  <c r="G7" i="14"/>
  <c r="F7" i="4"/>
  <c r="F7" i="10"/>
  <c r="N7" i="2"/>
  <c r="N7" i="10"/>
  <c r="N7" i="9"/>
  <c r="N7" i="4"/>
  <c r="P20" i="2"/>
  <c r="P17" i="2"/>
  <c r="Q10" i="14"/>
  <c r="R10" i="14" s="1"/>
  <c r="O11" i="14"/>
  <c r="P11" i="14"/>
  <c r="O17" i="14"/>
  <c r="P17" i="14"/>
  <c r="O18" i="14"/>
  <c r="P18" i="14"/>
  <c r="O10" i="14"/>
  <c r="P10" i="14"/>
  <c r="G18" i="14"/>
  <c r="I18" i="14" s="1"/>
  <c r="H18" i="14" s="1"/>
  <c r="G11" i="14"/>
  <c r="I11" i="14" s="1"/>
  <c r="H11" i="14" s="1"/>
  <c r="G10" i="14"/>
  <c r="I10" i="14" s="1"/>
  <c r="H10" i="14" s="1"/>
  <c r="Q11" i="14"/>
  <c r="R11" i="14" s="1"/>
  <c r="Q17" i="14"/>
  <c r="R17" i="14" s="1"/>
  <c r="Q18" i="14"/>
  <c r="R18" i="14" s="1"/>
  <c r="K17" i="14"/>
  <c r="M17" i="14" s="1"/>
  <c r="L17" i="14" s="1"/>
  <c r="K11" i="14"/>
  <c r="M11" i="14" s="1"/>
  <c r="L11" i="14" s="1"/>
  <c r="K18" i="14"/>
  <c r="M18" i="14" s="1"/>
  <c r="L18" i="14" s="1"/>
  <c r="K10" i="14"/>
  <c r="H11" i="4"/>
  <c r="G11" i="4" s="1"/>
  <c r="H12" i="4"/>
  <c r="G12" i="4" s="1"/>
  <c r="H13" i="4"/>
  <c r="G13" i="4" s="1"/>
  <c r="M10" i="14"/>
  <c r="L10" i="14" s="1"/>
  <c r="L10" i="9" l="1"/>
  <c r="K10" i="9" s="1"/>
  <c r="P11" i="11"/>
  <c r="H14" i="2" l="1"/>
  <c r="G14" i="2" s="1"/>
  <c r="P10" i="4"/>
  <c r="Q10" i="4" s="1"/>
  <c r="O22" i="8"/>
  <c r="J22" i="8"/>
  <c r="D22" i="8"/>
  <c r="L20" i="2"/>
  <c r="L10" i="10"/>
  <c r="Q20" i="2"/>
  <c r="N20" i="2"/>
  <c r="Q17" i="2"/>
  <c r="P16" i="2"/>
  <c r="Q16" i="2" s="1"/>
  <c r="E16" i="8"/>
  <c r="P14" i="2" l="1"/>
  <c r="Q14" i="2" s="1"/>
  <c r="O14" i="2"/>
  <c r="L14" i="2"/>
  <c r="K14" i="2" s="1"/>
  <c r="P11" i="2"/>
  <c r="B11" i="11" l="1"/>
  <c r="Q11" i="11"/>
  <c r="O11" i="11"/>
  <c r="N11" i="11"/>
  <c r="L11" i="11"/>
  <c r="K11" i="11" s="1"/>
  <c r="H11" i="11"/>
  <c r="G11" i="11" s="1"/>
  <c r="L10" i="11" l="1"/>
  <c r="K10" i="11" s="1"/>
  <c r="N10" i="11"/>
  <c r="P10" i="11"/>
  <c r="Q10" i="11" s="1"/>
  <c r="P10" i="10" l="1"/>
  <c r="Q10" i="10" s="1"/>
  <c r="O10" i="10"/>
  <c r="N10" i="10"/>
  <c r="K10" i="10"/>
  <c r="H10" i="10"/>
  <c r="G10" i="10" s="1"/>
  <c r="N11" i="9"/>
  <c r="O11" i="9"/>
  <c r="N12" i="9"/>
  <c r="O12" i="9"/>
  <c r="N13" i="9"/>
  <c r="O13" i="9"/>
  <c r="N14" i="9"/>
  <c r="O14" i="9"/>
  <c r="O10" i="9"/>
  <c r="N10" i="9"/>
  <c r="H14" i="9"/>
  <c r="G14" i="9" s="1"/>
  <c r="H13" i="9"/>
  <c r="G13" i="9" s="1"/>
  <c r="H12" i="9"/>
  <c r="G12" i="9" s="1"/>
  <c r="N11" i="4"/>
  <c r="O11" i="4"/>
  <c r="N12" i="4"/>
  <c r="O12" i="4"/>
  <c r="N13" i="4"/>
  <c r="O13" i="4"/>
  <c r="N10" i="4"/>
  <c r="O10" i="4"/>
  <c r="P12" i="4"/>
  <c r="Q12" i="4" s="1"/>
  <c r="L12" i="4"/>
  <c r="K12" i="4" s="1"/>
  <c r="P11" i="4"/>
  <c r="Q11" i="4" s="1"/>
  <c r="L11" i="4"/>
  <c r="K11" i="4" s="1"/>
  <c r="L13" i="4" l="1"/>
  <c r="K13" i="4" s="1"/>
  <c r="L10" i="4"/>
  <c r="K10" i="4" s="1"/>
  <c r="P13" i="9"/>
  <c r="Q13" i="9" s="1"/>
  <c r="L13" i="9"/>
  <c r="K13" i="9" s="1"/>
  <c r="P12" i="9"/>
  <c r="Q12" i="9" s="1"/>
  <c r="L12" i="9"/>
  <c r="K12" i="9" s="1"/>
  <c r="P14" i="9" l="1"/>
  <c r="Q14" i="9" s="1"/>
  <c r="L14" i="9"/>
  <c r="K14" i="9" s="1"/>
  <c r="P11" i="9"/>
  <c r="Q11" i="9" s="1"/>
  <c r="Q10" i="9"/>
  <c r="P13" i="4" l="1"/>
  <c r="Q13" i="4" s="1"/>
  <c r="P21" i="2"/>
  <c r="Q21" i="2" s="1"/>
  <c r="P22" i="2"/>
  <c r="Q22" i="2" s="1"/>
  <c r="P18" i="2"/>
  <c r="Q18" i="2" s="1"/>
  <c r="Q11" i="2"/>
  <c r="R15" i="7"/>
  <c r="S15" i="7" s="1"/>
  <c r="R20" i="7"/>
  <c r="S20" i="7" s="1"/>
  <c r="O23" i="8" l="1"/>
  <c r="N23" i="8" s="1"/>
  <c r="J23" i="8"/>
  <c r="I23" i="8" s="1"/>
  <c r="O18" i="8"/>
  <c r="J18" i="8"/>
  <c r="D23" i="8"/>
  <c r="N22" i="8"/>
  <c r="I22" i="8"/>
  <c r="B20" i="8"/>
  <c r="B21" i="8" s="1"/>
  <c r="B22" i="8" s="1"/>
  <c r="B23" i="8" s="1"/>
  <c r="B24" i="8" s="1"/>
  <c r="B15" i="8"/>
  <c r="I13" i="8"/>
  <c r="Q20" i="7"/>
  <c r="P20" i="7"/>
  <c r="N20" i="7"/>
  <c r="M20" i="7" s="1"/>
  <c r="Q15" i="7"/>
  <c r="P15" i="7"/>
  <c r="O11" i="7"/>
  <c r="T11" i="7" s="1"/>
  <c r="B10" i="7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7" i="7" s="1"/>
  <c r="B28" i="7" s="1"/>
  <c r="B29" i="7" s="1"/>
  <c r="B30" i="7" s="1"/>
  <c r="B31" i="7" s="1"/>
  <c r="R9" i="7"/>
  <c r="S9" i="7" s="1"/>
  <c r="L13" i="7" l="1"/>
  <c r="Q11" i="7"/>
  <c r="R11" i="7"/>
  <c r="S11" i="7" s="1"/>
  <c r="R16" i="7"/>
  <c r="S16" i="7" s="1"/>
  <c r="R18" i="7"/>
  <c r="S18" i="7" s="1"/>
  <c r="Q9" i="7"/>
  <c r="Q13" i="7"/>
  <c r="R13" i="7"/>
  <c r="S13" i="7" s="1"/>
  <c r="R10" i="7"/>
  <c r="S10" i="7" s="1"/>
  <c r="P13" i="7"/>
  <c r="D15" i="8"/>
  <c r="D17" i="8" s="1"/>
  <c r="D9" i="8" s="1"/>
  <c r="P18" i="7"/>
  <c r="I15" i="8"/>
  <c r="I17" i="8" s="1"/>
  <c r="N15" i="8"/>
  <c r="N17" i="8" s="1"/>
  <c r="N9" i="8" s="1"/>
  <c r="I18" i="8"/>
  <c r="J16" i="8"/>
  <c r="N13" i="8"/>
  <c r="I19" i="8"/>
  <c r="P9" i="7"/>
  <c r="Q10" i="7"/>
  <c r="P11" i="7"/>
  <c r="Q16" i="7"/>
  <c r="P10" i="7"/>
  <c r="Q18" i="7"/>
  <c r="P16" i="7"/>
  <c r="R21" i="7" l="1"/>
  <c r="S21" i="7" s="1"/>
  <c r="L9" i="7"/>
  <c r="N9" i="7" s="1"/>
  <c r="M9" i="7" s="1"/>
  <c r="L11" i="7"/>
  <c r="L15" i="7"/>
  <c r="L12" i="7" s="1"/>
  <c r="N12" i="7" s="1"/>
  <c r="M12" i="7" s="1"/>
  <c r="R22" i="7"/>
  <c r="S22" i="7" s="1"/>
  <c r="N22" i="7"/>
  <c r="M22" i="7" s="1"/>
  <c r="Q22" i="7"/>
  <c r="P22" i="7"/>
  <c r="N13" i="7"/>
  <c r="M13" i="7" s="1"/>
  <c r="E21" i="8"/>
  <c r="D21" i="8" s="1"/>
  <c r="D10" i="8" s="1"/>
  <c r="I20" i="8"/>
  <c r="E15" i="8"/>
  <c r="J21" i="8"/>
  <c r="J10" i="8" s="1"/>
  <c r="J17" i="8"/>
  <c r="J9" i="8" s="1"/>
  <c r="I9" i="8"/>
  <c r="E17" i="8"/>
  <c r="E9" i="8" s="1"/>
  <c r="J15" i="8"/>
  <c r="D20" i="8"/>
  <c r="N19" i="8"/>
  <c r="O16" i="8"/>
  <c r="N18" i="8"/>
  <c r="O15" i="8"/>
  <c r="O17" i="8"/>
  <c r="O21" i="8"/>
  <c r="Q21" i="7" l="1"/>
  <c r="P21" i="7"/>
  <c r="N21" i="7"/>
  <c r="M21" i="7" s="1"/>
  <c r="R23" i="7"/>
  <c r="S23" i="7" s="1"/>
  <c r="N23" i="7"/>
  <c r="M23" i="7" s="1"/>
  <c r="Q23" i="7"/>
  <c r="P23" i="7"/>
  <c r="N15" i="7"/>
  <c r="M15" i="7" s="1"/>
  <c r="L16" i="7"/>
  <c r="L19" i="7" s="1"/>
  <c r="N19" i="7" s="1"/>
  <c r="M19" i="7" s="1"/>
  <c r="L18" i="7"/>
  <c r="N18" i="7" s="1"/>
  <c r="M18" i="7" s="1"/>
  <c r="L10" i="7"/>
  <c r="N10" i="7" s="1"/>
  <c r="M10" i="7" s="1"/>
  <c r="N11" i="7"/>
  <c r="M11" i="7" s="1"/>
  <c r="J20" i="8"/>
  <c r="J24" i="8" s="1"/>
  <c r="D24" i="8"/>
  <c r="E20" i="8"/>
  <c r="E24" i="8" s="1"/>
  <c r="E10" i="8"/>
  <c r="E11" i="8" s="1"/>
  <c r="I21" i="8"/>
  <c r="I10" i="8" s="1"/>
  <c r="I11" i="8" s="1"/>
  <c r="D11" i="8"/>
  <c r="J11" i="8"/>
  <c r="K9" i="8" s="1"/>
  <c r="O9" i="8"/>
  <c r="O20" i="8"/>
  <c r="N20" i="8"/>
  <c r="O10" i="8"/>
  <c r="N21" i="8"/>
  <c r="N10" i="8" s="1"/>
  <c r="N11" i="8" s="1"/>
  <c r="N16" i="7" l="1"/>
  <c r="M16" i="7" s="1"/>
  <c r="L17" i="7"/>
  <c r="N17" i="7" s="1"/>
  <c r="M17" i="7" s="1"/>
  <c r="I24" i="8"/>
  <c r="F9" i="8"/>
  <c r="F20" i="8"/>
  <c r="F10" i="8"/>
  <c r="K20" i="8"/>
  <c r="K24" i="8"/>
  <c r="K10" i="8"/>
  <c r="N24" i="8"/>
  <c r="O24" i="8"/>
  <c r="O11" i="8"/>
  <c r="P9" i="8" s="1"/>
  <c r="F22" i="8"/>
  <c r="F23" i="8"/>
  <c r="F18" i="8"/>
  <c r="F19" i="8"/>
  <c r="F11" i="8"/>
  <c r="F17" i="8"/>
  <c r="F21" i="8"/>
  <c r="F24" i="8"/>
  <c r="K22" i="8"/>
  <c r="K19" i="8"/>
  <c r="K18" i="8"/>
  <c r="K11" i="8"/>
  <c r="K23" i="8"/>
  <c r="K21" i="8"/>
  <c r="K17" i="8"/>
  <c r="P10" i="8" l="1"/>
  <c r="P24" i="8"/>
  <c r="P19" i="8"/>
  <c r="P11" i="8"/>
  <c r="P22" i="8"/>
  <c r="P23" i="8"/>
  <c r="P18" i="8"/>
  <c r="P21" i="8"/>
  <c r="P17" i="8"/>
  <c r="P20" i="8"/>
  <c r="O22" i="2" l="1"/>
  <c r="N22" i="2"/>
  <c r="O21" i="2"/>
  <c r="N21" i="2"/>
  <c r="O20" i="2"/>
  <c r="H22" i="2"/>
  <c r="G22" i="2" s="1"/>
  <c r="H21" i="2"/>
  <c r="G21" i="2" s="1"/>
  <c r="B12" i="2" l="1"/>
  <c r="J12" i="2"/>
  <c r="M12" i="2"/>
  <c r="F12" i="2"/>
  <c r="H11" i="2"/>
  <c r="I12" i="2"/>
  <c r="L22" i="2"/>
  <c r="K22" i="2" s="1"/>
  <c r="L21" i="2"/>
  <c r="K21" i="2" s="1"/>
  <c r="K20" i="2"/>
  <c r="N18" i="2"/>
  <c r="N17" i="2"/>
  <c r="N16" i="2"/>
  <c r="N11" i="2"/>
  <c r="P12" i="2" l="1"/>
  <c r="Q12" i="2" s="1"/>
  <c r="O12" i="2"/>
  <c r="L12" i="2"/>
  <c r="K12" i="2" s="1"/>
  <c r="H12" i="2"/>
  <c r="G12" i="2" s="1"/>
  <c r="N12" i="2"/>
  <c r="O18" i="2" l="1"/>
  <c r="L18" i="2"/>
  <c r="K18" i="2" s="1"/>
  <c r="H17" i="2"/>
  <c r="G17" i="2" s="1"/>
  <c r="H18" i="2"/>
  <c r="G18" i="2" s="1"/>
  <c r="O16" i="2"/>
  <c r="L16" i="2"/>
  <c r="K16" i="2" s="1"/>
  <c r="H16" i="2"/>
  <c r="G16" i="2" s="1"/>
  <c r="O11" i="2"/>
  <c r="L11" i="2"/>
  <c r="K11" i="2" s="1"/>
  <c r="G11" i="2"/>
  <c r="L17" i="2" l="1"/>
  <c r="K17" i="2" s="1"/>
  <c r="O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Nhâm, Hoàng Thị</author>
  </authors>
  <commentList>
    <comment ref="C4" authorId="0" shapeId="0" xr:uid="{7C5D9D70-368D-4923-B935-64E6D805850F}">
      <text>
        <r>
          <rPr>
            <b/>
            <sz val="9"/>
            <color indexed="81"/>
            <rFont val="Tahoma"/>
            <family val="2"/>
          </rPr>
          <t>Nhâm, Hoàng Thị:</t>
        </r>
        <r>
          <rPr>
            <sz val="9"/>
            <color indexed="81"/>
            <rFont val="Tahoma"/>
            <family val="2"/>
          </rPr>
          <t xml:space="preserve">
Chi phí lương tháng 1.2025 tăng 5% so với T12.2024</t>
        </r>
      </text>
    </comment>
    <comment ref="V11" authorId="0" shapeId="0" xr:uid="{683BF18F-7A6B-4F6C-A745-A3E7EE1865A7}">
      <text>
        <r>
          <rPr>
            <b/>
            <sz val="9"/>
            <color indexed="81"/>
            <rFont val="Tahoma"/>
            <family val="2"/>
          </rPr>
          <t>Nhâm, Hoàng Thị:</t>
        </r>
        <r>
          <rPr>
            <sz val="9"/>
            <color indexed="81"/>
            <rFont val="Tahoma"/>
            <family val="2"/>
          </rPr>
          <t xml:space="preserve">
số cũ 796 do hiệu suất CARN-01 tính 70%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Nhâm, Hoàng Thị</author>
  </authors>
  <commentList>
    <comment ref="D8" authorId="0" shapeId="0" xr:uid="{4447A5B1-9C93-49C3-8176-13BBA8B5F87A}">
      <text>
        <r>
          <rPr>
            <b/>
            <sz val="9"/>
            <color indexed="81"/>
            <rFont val="Tahoma"/>
            <family val="2"/>
          </rPr>
          <t>Nhâm, Hoàng Thị:</t>
        </r>
        <r>
          <rPr>
            <sz val="9"/>
            <color indexed="81"/>
            <rFont val="Tahoma"/>
            <family val="2"/>
          </rPr>
          <t xml:space="preserve">
rPET nội bộ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G5" authorId="0" shapeId="0" xr:uid="{AADDE3D0-B218-4859-95C1-140C2ADA330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NS 2025 lần 1</t>
        </r>
      </text>
    </comment>
    <comment ref="D6" authorId="0" shapeId="0" xr:uid="{8E32AABF-9F97-477A-8D62-42B00E454DF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Theo ngân sách 2025 Lần 1</t>
        </r>
      </text>
    </comment>
    <comment ref="D10" authorId="0" shapeId="0" xr:uid="{4CB149ED-931F-49B4-87A0-0711D21BF4E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Theo ngân sách 2025 Lần 1</t>
        </r>
      </text>
    </comment>
    <comment ref="D11" authorId="0" shapeId="0" xr:uid="{506DDDA2-738E-4D19-B3A2-1FCC0CFAF22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Theo ngân sách 2025 Lần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6" authorId="0" shapeId="0" xr:uid="{8B6BCF2B-29E3-4551-B9A1-F7B4CF82716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T12: 860 USD
T1: 820 USD
T2: 850 USD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R6" authorId="0" shapeId="0" xr:uid="{1CDF25A9-1612-47C1-A73E-4619CE18DF8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T12: 860 USD
T1: 820 USD
T2: 850 USD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D18" authorId="0" shapeId="0" xr:uid="{7911E978-BE7F-465B-9A08-ECC82F92CB9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T5: 2.100 USD/cont 
T6: 5.500 USD/cont
T7: 6.900 USD/cont
T8: 5.200 USD/cont
T9: 4.550 usd/cont
T10: 3.000 usd/cont
T11: 3.200 usd/cont
T12: 2.600 usd/cont
T1 : 3.000 usd/ cont
T1 : 2.500 usd/ cont</t>
        </r>
      </text>
    </comment>
    <comment ref="C21" authorId="0" shapeId="0" xr:uid="{4A16404C-0B24-4F54-8DE4-726FD4113B6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7%</t>
        </r>
      </text>
    </comment>
    <comment ref="C22" authorId="0" shapeId="0" xr:uid="{5DAD4F3F-4812-43C4-9AA9-A057F2552E3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1350 USD/tấn</t>
        </r>
      </text>
    </comment>
    <comment ref="C23" authorId="0" shapeId="0" xr:uid="{8F740244-6716-41C2-9CEE-1EB2F0E3662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quy định 1 cont tối đa 18 tấn nhưng của DTR là 22 tân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6" authorId="0" shapeId="0" xr:uid="{8D58C7A6-BEE6-479B-8684-A004D9C0407B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T12: 970 USD
T1: 940 USD
T2: 940 USD</t>
        </r>
      </text>
    </comment>
    <comment ref="D14" authorId="0" shapeId="0" xr:uid="{EB7F079E-7245-43A7-B436-59D89F1B2B8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MBF01</t>
        </r>
      </text>
    </comment>
    <comment ref="R16" authorId="0" shapeId="0" xr:uid="{A7F38A13-1329-4A66-AA0E-EA79BC629CF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giá chính phẳm
T12: 940 USD
T1: 940 USD
T2: 940 USD</t>
        </r>
      </text>
    </comment>
    <comment ref="Q20" authorId="0" shapeId="0" xr:uid="{F43EBE22-2EAF-4992-9DC8-CB824F9E1DF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Hạt rẻ hơn chính phẩm 5%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6" authorId="0" shapeId="0" xr:uid="{D35CC372-CDD0-4C88-872A-5679C915D41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T12: 940 USD
T1: 940 USD
T2: 940 USD</t>
        </r>
      </text>
    </comment>
    <comment ref="Q10" authorId="0" shapeId="0" xr:uid="{959F9A7D-B7BA-4DA2-86B7-1AC50046E10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Vảy rẻ hơn chính phẩm 10%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6" authorId="0" shapeId="0" xr:uid="{92E06F01-F41C-406E-91DC-98B78843B8D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T12: 970 USD
T1: 960 USD
T2: 980 USD</t>
        </r>
      </text>
    </comment>
    <comment ref="Q12" authorId="0" shapeId="0" xr:uid="{57F05BAF-1922-4C49-AF27-E1A214C70F0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Hạt rẻ hơn chính phẩm 5%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6" authorId="0" shapeId="0" xr:uid="{E991F6C6-282D-4786-83F4-A0DDC98607B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T12: 970 USD
T1: 960 USD
T2: 980 USD</t>
        </r>
      </text>
    </comment>
    <comment ref="Q10" authorId="0" shapeId="0" xr:uid="{E3798C23-90D1-4CCC-8205-2BF9C0BF0A5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Vảy rẻ hơn chính phẩm 10%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E11" authorId="0" shapeId="0" xr:uid="{BD694EEE-7CB7-4726-99DB-35143206D9B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5%</t>
        </r>
      </text>
    </comment>
    <comment ref="E15" authorId="0" shapeId="0" xr:uid="{62255201-6C71-47B9-BAC3-9D8847F0150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5%</t>
        </r>
      </text>
    </comment>
  </commentList>
</comments>
</file>

<file path=xl/sharedStrings.xml><?xml version="1.0" encoding="utf-8"?>
<sst xmlns="http://schemas.openxmlformats.org/spreadsheetml/2006/main" count="959" uniqueCount="375">
  <si>
    <t>Sản phẩm</t>
  </si>
  <si>
    <t>Trần Duy Hy</t>
  </si>
  <si>
    <t>STT</t>
  </si>
  <si>
    <t>Mức IV</t>
  </si>
  <si>
    <t>Hạt rPET WSS03</t>
  </si>
  <si>
    <t>Hạt rPET WSS02</t>
  </si>
  <si>
    <t>Hạt rPET ISS01</t>
  </si>
  <si>
    <t>Lưu ý:</t>
  </si>
  <si>
    <t>Hoàng Thị Hồng Hạnh</t>
  </si>
  <si>
    <t xml:space="preserve"> </t>
  </si>
  <si>
    <t>Mã sản phẩm</t>
  </si>
  <si>
    <t>Hạt rPET WSS01G</t>
  </si>
  <si>
    <t>110000332</t>
  </si>
  <si>
    <t>110000355</t>
  </si>
  <si>
    <t>110000330</t>
  </si>
  <si>
    <t>110000354</t>
  </si>
  <si>
    <t>110000329</t>
  </si>
  <si>
    <t>110000331</t>
  </si>
  <si>
    <t>110000333</t>
  </si>
  <si>
    <t>110000361</t>
  </si>
  <si>
    <t>110000365</t>
  </si>
  <si>
    <t>110000373</t>
  </si>
  <si>
    <t>Chủ Tịch</t>
  </si>
  <si>
    <t>Giám Đốc Tài Chính</t>
  </si>
  <si>
    <t>Kế Toán</t>
  </si>
  <si>
    <t>0.84</t>
  </si>
  <si>
    <t>0.80</t>
  </si>
  <si>
    <t>0.78</t>
  </si>
  <si>
    <t>0.74</t>
  </si>
  <si>
    <t>0.70</t>
  </si>
  <si>
    <t>Giá xuất xưởng DTR (USD/tấn)</t>
  </si>
  <si>
    <t xml:space="preserve">Giám Đốc Điều Hành           </t>
  </si>
  <si>
    <t>Giám Đốc Kinh Doanh</t>
  </si>
  <si>
    <t xml:space="preserve">Huỳnh Ngọc Thạch            </t>
  </si>
  <si>
    <t xml:space="preserve"> Dương Từ Uyên Thảo</t>
  </si>
  <si>
    <t>Giá Bán
(1)</t>
  </si>
  <si>
    <t>$</t>
  </si>
  <si>
    <t>%</t>
  </si>
  <si>
    <t>Màu dương đậm</t>
  </si>
  <si>
    <t>Màu đỏ</t>
  </si>
  <si>
    <t>Chiết Khấu
(3)</t>
  </si>
  <si>
    <t>Giá bán sau chiết khấu
(4)=(1)-(3)</t>
  </si>
  <si>
    <t>% Chiết khấu 
(2)</t>
  </si>
  <si>
    <t xml:space="preserve">Hạt rHDI4DL01 </t>
  </si>
  <si>
    <t>Hạt rHDI3R01</t>
  </si>
  <si>
    <t>Số lượng (tấn/cont)</t>
  </si>
  <si>
    <t>Quy cách đóng hàng (cont 20'fcl</t>
  </si>
  <si>
    <t>Đơn giá USD 
($/tấn)</t>
  </si>
  <si>
    <t>Tổng giá trị USD 
($/cont)</t>
  </si>
  <si>
    <t>Giá FOB HCM</t>
  </si>
  <si>
    <t>Vận chuyển biển</t>
  </si>
  <si>
    <t>Bảo hiểm</t>
  </si>
  <si>
    <t>Giá CIF (LAX)</t>
  </si>
  <si>
    <t>Thuế nhập khẩu</t>
  </si>
  <si>
    <t>Kéo cont đến nhà máy</t>
  </si>
  <si>
    <t>Phí phạt vượt tải trọng</t>
  </si>
  <si>
    <t>Giá DDP CA93033</t>
  </si>
  <si>
    <t>Giá FOB</t>
  </si>
  <si>
    <t>Tổng cộng</t>
  </si>
  <si>
    <r>
      <t>1. Giá FOB = Giá xuất xưởng (EXW) +</t>
    </r>
    <r>
      <rPr>
        <sz val="13"/>
        <color rgb="FFC00000"/>
        <rFont val="Times New Roman"/>
        <family val="1"/>
      </rPr>
      <t xml:space="preserve"> USD 25/tấn</t>
    </r>
  </si>
  <si>
    <r>
      <t>1. Giá FOB = Giá xuất xưởng (EXW) +</t>
    </r>
    <r>
      <rPr>
        <sz val="13"/>
        <color rgb="FFC00000"/>
        <rFont val="Times New Roman"/>
        <family val="1"/>
      </rPr>
      <t xml:space="preserve"> USD 20/tấn</t>
    </r>
  </si>
  <si>
    <t>Giá Ex DTR</t>
  </si>
  <si>
    <t>Kéo cont từ DTR đến cảng HCM</t>
  </si>
  <si>
    <t>1. Bảng giá áp dụng cho việc phát triển khách hàng mới, lưu hành nội bộ</t>
  </si>
  <si>
    <t>Tỷ lệ %</t>
  </si>
  <si>
    <t>Không màu</t>
  </si>
  <si>
    <t>Màu</t>
  </si>
  <si>
    <t>Hạt nhựa rPET iSS01L</t>
  </si>
  <si>
    <t>Giá Exw DTR</t>
  </si>
  <si>
    <t>Giá FOB HCM=(1) + (2)</t>
  </si>
  <si>
    <t>Giá CIF (LAX)=(3)+(4)+(5)</t>
  </si>
  <si>
    <t>Giá DDP CA93033=(6)+(7)+(8)+(9)</t>
  </si>
  <si>
    <t>TÓM TẮT:</t>
  </si>
  <si>
    <t>I</t>
  </si>
  <si>
    <t>II</t>
  </si>
  <si>
    <t>Chi phí vận chuyển từ VN sang USA</t>
  </si>
  <si>
    <t>Đen</t>
  </si>
  <si>
    <t>0.63</t>
  </si>
  <si>
    <t>ISS01G (IV 0.8 ± 0.02)</t>
  </si>
  <si>
    <t>ISS01084G (IV 0.84 ± 0.03)</t>
  </si>
  <si>
    <t>Hạt rPET: WSS01G (IV 0.78 ± 0.02)</t>
  </si>
  <si>
    <t>3. Bảng giá áp dụng cho việc phát triển khách hàng mới, lưu hành nội bộ</t>
  </si>
  <si>
    <t>Vảy HD Ép Vàng</t>
  </si>
  <si>
    <t>Vảy HD Ép Lá</t>
  </si>
  <si>
    <t>Vảy HD Ép Dương</t>
  </si>
  <si>
    <t>110000421</t>
  </si>
  <si>
    <t>110000422</t>
  </si>
  <si>
    <t>110000423</t>
  </si>
  <si>
    <t>110000424</t>
  </si>
  <si>
    <t>Vảy PP Đỏ Đậm</t>
  </si>
  <si>
    <t>Vảy PP Dương Nhạt</t>
  </si>
  <si>
    <t>Vảy PP Dương Đậm</t>
  </si>
  <si>
    <t xml:space="preserve">Huỳnh Ngọc Thạch </t>
  </si>
  <si>
    <t>Đỏ, dương</t>
  </si>
  <si>
    <t>Vảy PP màu</t>
  </si>
  <si>
    <t>Đỏ, Trắng, Vàng, Lá, Dương</t>
  </si>
  <si>
    <t>Vảy HD màu</t>
  </si>
  <si>
    <t>Đỏ, dương, trắng, lá, đen</t>
  </si>
  <si>
    <t>Hạt nhựa rPP màu</t>
  </si>
  <si>
    <t>Trắng, lá, vàng</t>
  </si>
  <si>
    <t>Màu trắng, đỏ</t>
  </si>
  <si>
    <t>Hạt rHD ép</t>
  </si>
  <si>
    <t>Hạt rHD ép màu</t>
  </si>
  <si>
    <t>Màu dương đậm, trắng, đỏ</t>
  </si>
  <si>
    <t>Hạt nhựa rHD Thổi màu</t>
  </si>
  <si>
    <t xml:space="preserve">                       Hoàng Thị Hồng Hạnh   </t>
  </si>
  <si>
    <t xml:space="preserve">                       Giám Đốc Tài Chính           </t>
  </si>
  <si>
    <t>4. Bảng giá áp dụng cho việc phát triển khách hàng mới, lưu hành nội bộ</t>
  </si>
  <si>
    <t xml:space="preserve">3. Ủy quyền cho GĐĐH duyệt theo đơn đặt hàng: biên độ +/-10%  so với giá xuất xưởng DTR </t>
  </si>
  <si>
    <t>NHÓM KHÁCH HÀNG PHÁT TRIỂN BỀN VỮNG</t>
  </si>
  <si>
    <t>NHÓM KHÁCH HÀNG NỘI ĐỊA</t>
  </si>
  <si>
    <t xml:space="preserve">2. Ủy quyền cho GĐĐH duyệt theo đơn đặt hàng: biên độ +/-10%  so với giá xuất xưởng DTR </t>
  </si>
  <si>
    <t>1. Giá trên là giá xuất xưởng (EXW), nếu vận chuyển đến khách hàng thì cộng thêm phí vận chuyển</t>
  </si>
  <si>
    <t xml:space="preserve"> Giám Đốc Điều Hành        </t>
  </si>
  <si>
    <t xml:space="preserve">Giám đốc Tài Chính     </t>
  </si>
  <si>
    <t xml:space="preserve">Hoàng Thị Hồng Hạnh     </t>
  </si>
  <si>
    <t>A</t>
  </si>
  <si>
    <t>B</t>
  </si>
  <si>
    <t>I. rHDPE THỔI (PERSONAL CARE)</t>
  </si>
  <si>
    <t>II. rHDPE THỔI (HOME CARE)</t>
  </si>
  <si>
    <t xml:space="preserve">III. rHDPE ÉP </t>
  </si>
  <si>
    <t>3. Khách hàng nội địa: Long Thành, DTP, Hiệp Thành</t>
  </si>
  <si>
    <t xml:space="preserve">4. Ủy quyền cho GĐĐH duyệt theo đơn đặt hàng: biên độ +/-10%  so với giá xuất xưởng DTR </t>
  </si>
  <si>
    <t>5. Bảng giá áp dụng cho việc phát triển khách hàng mới, lưu hành nội bộ</t>
  </si>
  <si>
    <t>0.55</t>
  </si>
  <si>
    <t>Hạt nhựa rPET WSS05SB (xơ sợi)</t>
  </si>
  <si>
    <t>Hạt nhựa rPP20B01</t>
  </si>
  <si>
    <t>Hạt nhựa rHDPE  B03N01</t>
  </si>
  <si>
    <t>Hạt Nhựa rHDPE A03N01</t>
  </si>
  <si>
    <t>Trong</t>
  </si>
  <si>
    <t>Đục</t>
  </si>
  <si>
    <t>0.40 ~ 0.50</t>
  </si>
  <si>
    <t>Xám</t>
  </si>
  <si>
    <t>IV/MI</t>
  </si>
  <si>
    <t>3.00 ± 2.00</t>
  </si>
  <si>
    <t>20.00 ± 10.00</t>
  </si>
  <si>
    <t>Lưu Thị Minh Tâm</t>
  </si>
  <si>
    <t>Hạt Nhựa rPET WSS06SP-1</t>
  </si>
  <si>
    <t>Hạt Nhựa rPET WSS06SP-2</t>
  </si>
  <si>
    <t>110000358</t>
  </si>
  <si>
    <t>Hạt nhựa rPET WSS02G</t>
  </si>
  <si>
    <t>110000359</t>
  </si>
  <si>
    <t>Hạt nhựa rPET WSS03G</t>
  </si>
  <si>
    <t>110000376</t>
  </si>
  <si>
    <t>110000381</t>
  </si>
  <si>
    <t>110000382</t>
  </si>
  <si>
    <t>110000436</t>
  </si>
  <si>
    <t>110000378</t>
  </si>
  <si>
    <t>Hạt nhựa rPET iSS01G 2</t>
  </si>
  <si>
    <t>110000377</t>
  </si>
  <si>
    <t>Hạt nhựa rPET WSS01G 2</t>
  </si>
  <si>
    <t>110000387</t>
  </si>
  <si>
    <t xml:space="preserve">0.70 </t>
  </si>
  <si>
    <t>Hạt nhựa rPET WSS03SD</t>
  </si>
  <si>
    <t>Hạt nhựa rPET WSS05SB</t>
  </si>
  <si>
    <t>Hòa vốn</t>
  </si>
  <si>
    <t>Hạt Nhựa rPET WSS05SB-2</t>
  </si>
  <si>
    <t>Hạt Nhựa rPET WSS05SB-3</t>
  </si>
  <si>
    <t>0.50 ~ 0.60</t>
  </si>
  <si>
    <t>Hạt nhựa rPET WSS04SD</t>
  </si>
  <si>
    <t>Hạt nhựa rPET WSS04SB</t>
  </si>
  <si>
    <t>Hạt Nhựa rHDI3Gy02</t>
  </si>
  <si>
    <t>Hạt nhựa rHDB04B01</t>
  </si>
  <si>
    <t>Hạt Nhựa rHDB03N03</t>
  </si>
  <si>
    <t xml:space="preserve">0.4 ± 0.1 </t>
  </si>
  <si>
    <t>0.3 ± 0.05</t>
  </si>
  <si>
    <t>100% B6</t>
  </si>
  <si>
    <t>90% B8+ 10% B6</t>
  </si>
  <si>
    <t>70% B6 + 30% bụi</t>
  </si>
  <si>
    <t>Công thức</t>
  </si>
  <si>
    <t>giá vốn</t>
  </si>
  <si>
    <t>90%B8+ 10%B7</t>
  </si>
  <si>
    <t>90%B8 + 10%B5</t>
  </si>
  <si>
    <t>Vảy B8: 12.232 đ</t>
  </si>
  <si>
    <t>Vảy B6: 18.250 đ</t>
  </si>
  <si>
    <t>giá BQ</t>
  </si>
  <si>
    <t>Tỷ lệ LSX T6.24</t>
  </si>
  <si>
    <t>3.</t>
  </si>
  <si>
    <t>4.</t>
  </si>
  <si>
    <t>5.</t>
  </si>
  <si>
    <t>Phó sản hạt HD thổi lẫn màu/kim loại  (80%) + Vảy HD ép đen (20%)</t>
  </si>
  <si>
    <t>50% HV01.4 + 50% HV-1.5 + 5% titan</t>
  </si>
  <si>
    <t xml:space="preserve">2. Xử lý PS - có Bom </t>
  </si>
  <si>
    <t>1. Hàng thấp cấp của MBF01</t>
  </si>
  <si>
    <t>Nguồn gốc rHDB03N03</t>
  </si>
  <si>
    <t>Tỷ lệ lệnh SX</t>
  </si>
  <si>
    <t>6.</t>
  </si>
  <si>
    <t>7.</t>
  </si>
  <si>
    <t>80% PS hạt HD thổi lẫn màu/kim loại</t>
  </si>
  <si>
    <t>WSS006SP-2 (bụi tank C,D đã gia công)</t>
  </si>
  <si>
    <t>Gián bán đề xuất</t>
  </si>
  <si>
    <t>Giá vốn</t>
  </si>
  <si>
    <t>Hạt nhựa rHDB04B01
(80% Phó sản hạt HD thổi lẫn màu/kim loại + 20% Vảy HD ép đen)</t>
  </si>
  <si>
    <t>WSS006SP-1 (vảy PET tuyển nổi 2)</t>
  </si>
  <si>
    <t>Ghi chú</t>
  </si>
  <si>
    <t>T8</t>
  </si>
  <si>
    <t>82%B6+18%B7</t>
  </si>
  <si>
    <t>90%B6+10%B5</t>
  </si>
  <si>
    <t xml:space="preserve">Vảy B6 mua Đại Lộc: 18.250, Bình B7 mua lavie : 8.550, Chai B5 mua trạm: 12.000:  </t>
  </si>
  <si>
    <t>Hạt Nhựa rPET WSS05SB-2
(82%B6+18%B7)</t>
  </si>
  <si>
    <t>Hạt Nhựa rPET WSS05SB-3
90%B6+10%B5</t>
  </si>
  <si>
    <t>Hạt nhựa rHDB04B01
80% PS hạt HD thổi lẫn màu/kim loại</t>
  </si>
  <si>
    <t>Hạt Nhựa rHDB03N03
(50% HV01.4 + 50% HV-1.5 + 5% titan)</t>
  </si>
  <si>
    <t>Lời</t>
  </si>
  <si>
    <t>% LN</t>
  </si>
  <si>
    <t>2. Hạt xơ sợi: giá bán 1.100 usd/tấn, chào khách để bán được hàng là +/- 55usd/tấn</t>
  </si>
  <si>
    <t>Không mua giá ICIS HD, PP nữa</t>
  </si>
  <si>
    <t>Ghi chú:</t>
  </si>
  <si>
    <t>rPET</t>
  </si>
  <si>
    <t>Hạt rHDPE</t>
  </si>
  <si>
    <t>Vảy rHDPE</t>
  </si>
  <si>
    <t>Hạt rPP</t>
  </si>
  <si>
    <t>Vảy rPP</t>
  </si>
  <si>
    <t>Phó sản</t>
  </si>
  <si>
    <t>Không thay đổi giá</t>
  </si>
  <si>
    <t>loại hàng</t>
  </si>
  <si>
    <t>Nội dung</t>
  </si>
  <si>
    <t>Không màu, Trắng, lá, vàng, đen</t>
  </si>
  <si>
    <t>TC-TCH-01/ BM01</t>
  </si>
  <si>
    <t>TC-TCH-01/ BM02</t>
  </si>
  <si>
    <t>TC-TCH-01/ BM03</t>
  </si>
  <si>
    <t>TC-TCH-01/ BM04</t>
  </si>
  <si>
    <t>TC-TCH-01/ BM05</t>
  </si>
  <si>
    <t>TC-TCH-01/ BM06</t>
  </si>
  <si>
    <t>TC-TCH-01/ BM07</t>
  </si>
  <si>
    <t>TC-TCH-01/ BM08</t>
  </si>
  <si>
    <t>V0 -04/10/2024</t>
  </si>
  <si>
    <t>Giá bán</t>
  </si>
  <si>
    <t>Giá chính phẩm</t>
  </si>
  <si>
    <t>Ngày áp dụng: 01/01/2025</t>
  </si>
  <si>
    <t>Phạm Đình Hoàng</t>
  </si>
  <si>
    <t xml:space="preserve">Giám Đốc Điều Hành     </t>
  </si>
  <si>
    <r>
      <t xml:space="preserve"> - Đề xuất Vảy rHDPE ép nội địa </t>
    </r>
    <r>
      <rPr>
        <b/>
        <sz val="11"/>
        <color rgb="FFFF0000"/>
        <rFont val="Calibri"/>
        <family val="2"/>
        <scheme val="minor"/>
      </rPr>
      <t xml:space="preserve">không thay đổi (825 USD)
</t>
    </r>
    <r>
      <rPr>
        <sz val="11"/>
        <color rgb="FF0000FF"/>
        <rFont val="Calibri"/>
        <family val="2"/>
        <scheme val="minor"/>
      </rPr>
      <t xml:space="preserve"> - Giá chính phẩm không thay đổi (940 USD)
</t>
    </r>
    <r>
      <rPr>
        <i/>
        <sz val="11"/>
        <color theme="7" tint="-0.249977111117893"/>
        <rFont val="Calibri"/>
        <family val="2"/>
        <scheme val="minor"/>
      </rPr>
      <t xml:space="preserve">  Không mua thông tin giá ICIS rHDPE</t>
    </r>
  </si>
  <si>
    <t>110000488</t>
  </si>
  <si>
    <t>110000486</t>
  </si>
  <si>
    <t>110000493</t>
  </si>
  <si>
    <t>110000492</t>
  </si>
  <si>
    <t>110000484</t>
  </si>
  <si>
    <t>Hạt nhựa rPET WSS03</t>
  </si>
  <si>
    <t>Hạt nhựa rPET WSS02</t>
  </si>
  <si>
    <t>Hạt nhựa rPET WSS01</t>
  </si>
  <si>
    <t>Hạt nhựa rPET WSS01G 1</t>
  </si>
  <si>
    <t>Hạt nhựa rPET iSS01G 1</t>
  </si>
  <si>
    <t>Hạt nhựa rPET iSS01</t>
  </si>
  <si>
    <t>Hạt nhựa rPET iSS01084G</t>
  </si>
  <si>
    <t>Hạt Nhựa rPET iSS01084G PL</t>
  </si>
  <si>
    <t>Hạt Nhựa rPET WSS03G PL</t>
  </si>
  <si>
    <t>Hạt Nhựa rPET WSS01 PL</t>
  </si>
  <si>
    <t>Hạt Nhựa rPET WSS01G 1 PL</t>
  </si>
  <si>
    <t>Hạt Nhựa rPET iSS01G 1 PL</t>
  </si>
  <si>
    <t>2. Giá chính phẩm HD thổi là 940 usd/tấn, HD Ép là 940 usd/tấn</t>
  </si>
  <si>
    <r>
      <rPr>
        <b/>
        <sz val="11"/>
        <color rgb="FF0000FF"/>
        <rFont val="Calibri"/>
        <family val="2"/>
        <scheme val="minor"/>
      </rPr>
      <t>Đề xuất giảm 25 USD / tấn</t>
    </r>
    <r>
      <rPr>
        <b/>
        <sz val="11"/>
        <color rgb="FFFF0000"/>
        <rFont val="Calibri"/>
        <family val="2"/>
        <scheme val="minor"/>
      </rPr>
      <t xml:space="preserve"> (WSS01G: 1275 USD -&gt; 1250 USD)</t>
    </r>
    <r>
      <rPr>
        <sz val="11"/>
        <color rgb="FF0000FF"/>
        <rFont val="Calibri"/>
        <family val="2"/>
        <scheme val="minor"/>
      </rPr>
      <t xml:space="preserve">
Do:
 Giá ICIS giảm 15 USD (1440 USD -&gt; 1425 USD)
 (Giá chính phẩm giảm 30 USD (860 USD -&gt; 830 USD)
 % giá bán so với giá chính phẩm: </t>
    </r>
    <r>
      <rPr>
        <b/>
        <sz val="11"/>
        <color rgb="FFFF0000"/>
        <rFont val="Calibri"/>
        <family val="2"/>
        <scheme val="minor"/>
      </rPr>
      <t xml:space="preserve">51%
</t>
    </r>
    <r>
      <rPr>
        <sz val="11"/>
        <color rgb="FF0000FF"/>
        <rFont val="Calibri"/>
        <family val="2"/>
        <scheme val="minor"/>
      </rPr>
      <t>(T12/2024 giảm 50 USD/ tấn do chênh lệch so với giá chính phẩm ~ 54%)</t>
    </r>
  </si>
  <si>
    <r>
      <rPr>
        <b/>
        <sz val="11"/>
        <color rgb="FF0000FF"/>
        <rFont val="Calibri"/>
        <family val="2"/>
        <scheme val="minor"/>
      </rPr>
      <t>Đề xuất giảm 45 USD / tấn</t>
    </r>
    <r>
      <rPr>
        <b/>
        <sz val="11"/>
        <color rgb="FFFF0000"/>
        <rFont val="Calibri"/>
        <family val="2"/>
        <scheme val="minor"/>
      </rPr>
      <t xml:space="preserve"> (WSS01G: 1275 USD -&gt; 1230 USD)</t>
    </r>
    <r>
      <rPr>
        <sz val="11"/>
        <color rgb="FF0000FF"/>
        <rFont val="Calibri"/>
        <family val="2"/>
        <scheme val="minor"/>
      </rPr>
      <t xml:space="preserve">
Do:
 Giá ICIS giảm 40 USD (1440 USD -&gt; 1400 USD)
 (Giá chính phẩm giảm 40 USD (860 USD -&gt; 820 USD)
 % giá bán so với giá chính phẩm: </t>
    </r>
    <r>
      <rPr>
        <b/>
        <sz val="11"/>
        <color rgb="FFFF0000"/>
        <rFont val="Calibri"/>
        <family val="2"/>
        <scheme val="minor"/>
      </rPr>
      <t xml:space="preserve">50%
</t>
    </r>
    <r>
      <rPr>
        <sz val="11"/>
        <color rgb="FF0000FF"/>
        <rFont val="Calibri"/>
        <family val="2"/>
        <scheme val="minor"/>
      </rPr>
      <t>(T12/2024 giảm 50 USD/ tấn do chênh lệch so với giá chính phẩm ~ 54%)</t>
    </r>
  </si>
  <si>
    <t>Đề xuất</t>
  </si>
  <si>
    <t>Giá ICIS</t>
  </si>
  <si>
    <t>% giá bán so với giá chính phẩm</t>
  </si>
  <si>
    <r>
      <t>Đề xuất giảm</t>
    </r>
    <r>
      <rPr>
        <b/>
        <sz val="11"/>
        <color rgb="FFFF0000"/>
        <rFont val="Calibri"/>
        <family val="2"/>
        <scheme val="minor"/>
      </rPr>
      <t xml:space="preserve"> 25 USD / tấn (WSS01G: 1275 USD -&gt; 1250 USD)</t>
    </r>
  </si>
  <si>
    <r>
      <t xml:space="preserve">Đề xuất giảm </t>
    </r>
    <r>
      <rPr>
        <b/>
        <sz val="11"/>
        <color rgb="FFFF0000"/>
        <rFont val="Calibri"/>
        <family val="2"/>
        <scheme val="minor"/>
      </rPr>
      <t>45 USD / tấn (WSS01G: 1275 USD -&gt; 1230 USD)</t>
    </r>
  </si>
  <si>
    <t>Giá ICIS giảm 15 USD (1440 USD -&gt; 1425 USD)</t>
  </si>
  <si>
    <t xml:space="preserve"> (Giá chính phẩm giảm 30 USD (860 USD -&gt; 830 USD)</t>
  </si>
  <si>
    <t>OPTION 1 (Trình giá bán vào ngày 20/12/2024)</t>
  </si>
  <si>
    <t>OPTION 2 (trình</t>
  </si>
  <si>
    <r>
      <t xml:space="preserve">GIÁ BÁN HẠT </t>
    </r>
    <r>
      <rPr>
        <b/>
        <sz val="22"/>
        <color rgb="FFFF0000"/>
        <rFont val="Times New Roman"/>
        <family val="1"/>
      </rPr>
      <t>rPET</t>
    </r>
    <r>
      <rPr>
        <b/>
        <sz val="22"/>
        <color rgb="FF0070C0"/>
        <rFont val="Times New Roman"/>
        <family val="1"/>
      </rPr>
      <t xml:space="preserve"> - THÁNG 02 NĂM 2025
</t>
    </r>
    <r>
      <rPr>
        <b/>
        <sz val="18"/>
        <color rgb="FF0070C0"/>
        <rFont val="Times New Roman"/>
        <family val="1"/>
      </rPr>
      <t>HỖ TRỢ PHÁT TRIỂN KHÁCH HÀNG MỚI</t>
    </r>
  </si>
  <si>
    <t>Ngày áp dụng: 01/02/2025</t>
  </si>
  <si>
    <t>Tháng 02</t>
  </si>
  <si>
    <t>Tháng 01 (đã duyệt)</t>
  </si>
  <si>
    <t>Chênh lệch
 tháng 02 vs tháng 01</t>
  </si>
  <si>
    <r>
      <t xml:space="preserve">GIÁ BÁN HẠT </t>
    </r>
    <r>
      <rPr>
        <b/>
        <sz val="22"/>
        <color rgb="FFFF0000"/>
        <rFont val="Times New Roman"/>
        <family val="1"/>
      </rPr>
      <t>rPET</t>
    </r>
    <r>
      <rPr>
        <b/>
        <sz val="22"/>
        <color theme="4"/>
        <rFont val="Times New Roman"/>
        <family val="1"/>
      </rPr>
      <t xml:space="preserve"> - THÁNG 02 NĂM 2025 - THỊ TRƯỜNG USA
</t>
    </r>
    <r>
      <rPr>
        <b/>
        <sz val="18"/>
        <color theme="4"/>
        <rFont val="Times New Roman"/>
        <family val="1"/>
      </rPr>
      <t>HỖ TRỢ PHÁT TRIỂN KHÁCH HÀNG MỚI</t>
    </r>
  </si>
  <si>
    <r>
      <t xml:space="preserve">GIÁ BÁN HẠT </t>
    </r>
    <r>
      <rPr>
        <b/>
        <sz val="22"/>
        <color rgb="FFFF0000"/>
        <rFont val="Times New Roman"/>
        <family val="1"/>
      </rPr>
      <t>rHDPE</t>
    </r>
    <r>
      <rPr>
        <b/>
        <sz val="22"/>
        <color theme="4"/>
        <rFont val="Times New Roman"/>
        <family val="1"/>
      </rPr>
      <t xml:space="preserve"> - THÁNG 02 NĂM 2025
</t>
    </r>
    <r>
      <rPr>
        <b/>
        <sz val="18"/>
        <color theme="4"/>
        <rFont val="Times New Roman"/>
        <family val="1"/>
      </rPr>
      <t>HỖ TRỢ PHÁT TRIỂN KHÁCH HÀNG MỚI</t>
    </r>
  </si>
  <si>
    <r>
      <t xml:space="preserve">Chênh lệch Giá tháng 02 vs </t>
    </r>
    <r>
      <rPr>
        <b/>
        <sz val="13"/>
        <color rgb="FFFF0000"/>
        <rFont val="Times New Roman"/>
        <family val="1"/>
      </rPr>
      <t>chính phẩm (940 $/tấn HD thổi &amp; 940  $/tấn HD ép )</t>
    </r>
  </si>
  <si>
    <r>
      <t xml:space="preserve">GIÁ BÁN </t>
    </r>
    <r>
      <rPr>
        <b/>
        <sz val="22"/>
        <color rgb="FFFF0000"/>
        <rFont val="Times New Roman"/>
        <family val="1"/>
      </rPr>
      <t>VẢY HDPE ÉP</t>
    </r>
    <r>
      <rPr>
        <b/>
        <sz val="22"/>
        <color theme="4"/>
        <rFont val="Times New Roman"/>
        <family val="1"/>
      </rPr>
      <t xml:space="preserve">- THÁNG 02 NĂM 2025
</t>
    </r>
    <r>
      <rPr>
        <b/>
        <sz val="18"/>
        <color theme="4"/>
        <rFont val="Times New Roman"/>
        <family val="1"/>
      </rPr>
      <t>HỖ TRỢ PHÁT TRIỂN KHÁCH HÀNG MỚI</t>
    </r>
  </si>
  <si>
    <r>
      <t xml:space="preserve">Chênh lệch Giá tháng 02 vs </t>
    </r>
    <r>
      <rPr>
        <b/>
        <sz val="13"/>
        <color rgb="FFFF0000"/>
        <rFont val="Times New Roman"/>
        <family val="1"/>
      </rPr>
      <t>chính phẩm (940 $/tấn)</t>
    </r>
  </si>
  <si>
    <r>
      <t xml:space="preserve">GIÁ BÁN HẠT </t>
    </r>
    <r>
      <rPr>
        <b/>
        <sz val="22"/>
        <color rgb="FFFF0000"/>
        <rFont val="Times New Roman"/>
        <family val="1"/>
      </rPr>
      <t>rPP</t>
    </r>
    <r>
      <rPr>
        <b/>
        <sz val="22"/>
        <color theme="4"/>
        <rFont val="Times New Roman"/>
        <family val="1"/>
      </rPr>
      <t xml:space="preserve"> - THÁNG 02 NĂM 2025
</t>
    </r>
    <r>
      <rPr>
        <b/>
        <sz val="18"/>
        <color theme="4"/>
        <rFont val="Times New Roman"/>
        <family val="1"/>
      </rPr>
      <t>HỖ TRỢ PHÁT TRIỂN KHÁCH HÀNG MỚI</t>
    </r>
  </si>
  <si>
    <r>
      <t xml:space="preserve">GIÁ BÁN </t>
    </r>
    <r>
      <rPr>
        <b/>
        <sz val="22"/>
        <color rgb="FFFF0000"/>
        <rFont val="Times New Roman"/>
        <family val="1"/>
      </rPr>
      <t>VẢY PP</t>
    </r>
    <r>
      <rPr>
        <b/>
        <sz val="22"/>
        <color theme="4"/>
        <rFont val="Times New Roman"/>
        <family val="1"/>
      </rPr>
      <t xml:space="preserve"> - THÁNG 02 NĂM 2025
</t>
    </r>
    <r>
      <rPr>
        <b/>
        <sz val="18"/>
        <color theme="4"/>
        <rFont val="Times New Roman"/>
        <family val="1"/>
      </rPr>
      <t>HỖ TRỢ PHÁT TRIỂN KHÁCH HÀNG MỚI</t>
    </r>
  </si>
  <si>
    <r>
      <t xml:space="preserve">Chênh lệch Giá tháng 02 vs </t>
    </r>
    <r>
      <rPr>
        <b/>
        <sz val="13"/>
        <color rgb="FFFF0000"/>
        <rFont val="Times New Roman"/>
        <family val="1"/>
      </rPr>
      <t>chính phẩm (980 $/tấn)</t>
    </r>
  </si>
  <si>
    <r>
      <t xml:space="preserve">GIÁ BÁN HẠT SẢN XUẤT TỪ </t>
    </r>
    <r>
      <rPr>
        <b/>
        <sz val="22"/>
        <color rgb="FFFF0000"/>
        <rFont val="Times New Roman"/>
        <family val="1"/>
      </rPr>
      <t>PHÓ SẢN</t>
    </r>
    <r>
      <rPr>
        <b/>
        <sz val="22"/>
        <color theme="4"/>
        <rFont val="Times New Roman"/>
        <family val="1"/>
      </rPr>
      <t xml:space="preserve"> - THÁNG 02 NĂM 2025
</t>
    </r>
    <r>
      <rPr>
        <b/>
        <sz val="18"/>
        <color theme="4"/>
        <rFont val="Times New Roman"/>
        <family val="1"/>
      </rPr>
      <t>HỖ TRỢ PHÁT TRIỂN KHÁCH HÀNG MỚI</t>
    </r>
  </si>
  <si>
    <t>Báo giá bán T2.2025:</t>
  </si>
  <si>
    <t>ĐIỂM HÒA VỐN</t>
  </si>
  <si>
    <t xml:space="preserve">rPET </t>
  </si>
  <si>
    <t>Từ chai nâng IV 8h</t>
  </si>
  <si>
    <t>Từ chai nâng IV 10h</t>
  </si>
  <si>
    <t>Từ vảy nâng IV 8h</t>
  </si>
  <si>
    <t>Từ vảy nâng IV 10h</t>
  </si>
  <si>
    <t>Hỗn hợp nâng IV 8h</t>
  </si>
  <si>
    <t>Hỗn hợp nâng IV 10h</t>
  </si>
  <si>
    <t>ISS01L</t>
  </si>
  <si>
    <t>rHDPE - PP</t>
  </si>
  <si>
    <t>Mã</t>
  </si>
  <si>
    <t>MBF01</t>
  </si>
  <si>
    <t>HDPE MÀU</t>
  </si>
  <si>
    <t>HDPE Trắng sữa</t>
  </si>
  <si>
    <t>HDPE ép</t>
  </si>
  <si>
    <t>HDB03N03</t>
  </si>
  <si>
    <t xml:space="preserve"> (80% PS hạt HD thổi lẫn màu/kim loại)</t>
  </si>
  <si>
    <t>HDB04B01</t>
  </si>
  <si>
    <t>HDI3Gy02</t>
  </si>
  <si>
    <t>Vảy HDPE ép</t>
  </si>
  <si>
    <t>Hạt PP bình quân</t>
  </si>
  <si>
    <t>PP20B01</t>
  </si>
  <si>
    <t>Vảy PP</t>
  </si>
  <si>
    <t>Hạt PP trắng sữa</t>
  </si>
  <si>
    <t>Xơ sợi</t>
  </si>
  <si>
    <t>WSS03SD</t>
  </si>
  <si>
    <t>WSS04SD</t>
  </si>
  <si>
    <t>WSS04SB</t>
  </si>
  <si>
    <t>WSS05SB (100% B6)</t>
  </si>
  <si>
    <t>WSS05SB (70%B6+30%bụi)</t>
  </si>
  <si>
    <t>WSS05SB (90%B8+10%B6)</t>
  </si>
  <si>
    <t>WSS05SB-2 (90%B8+10%B7)</t>
  </si>
  <si>
    <t>Từ T8 hết nguyên liệu B8</t>
  </si>
  <si>
    <t>WSS05SB-2 (82%B8+18%B7)</t>
  </si>
  <si>
    <t>WSS05SB-2 (82%B6+18%B7)</t>
  </si>
  <si>
    <t>Từ T8 dùng nguyên liệu B6</t>
  </si>
  <si>
    <t>WSS05SB-3 (90%B8+10%B5)</t>
  </si>
  <si>
    <t>WSS05SB-3 (90%B6+10%B5)</t>
  </si>
  <si>
    <t>WSS05SB-3 (100% Tomra)</t>
  </si>
  <si>
    <t>Từ T8 hết nguyên liệu Tomra</t>
  </si>
  <si>
    <t>WSS006SP-1 (vảy zigzag sau lựa)</t>
  </si>
  <si>
    <t>Từ T8 hết nguyên liệu Zigzag</t>
  </si>
  <si>
    <t>Từ T8 dùng nguyên liệu vảy PET tuyển nổi 2</t>
  </si>
  <si>
    <t>GIÁ BÁN HẠT rPET</t>
  </si>
  <si>
    <t>Điểm hòa vốn T5</t>
  </si>
  <si>
    <t>Lợi nhuận</t>
  </si>
  <si>
    <t>USD/tấn</t>
  </si>
  <si>
    <t>S13: GIÁ rPET XƠ SỢI SEMIDULE WSS04SD</t>
  </si>
  <si>
    <t>WSS05SB_90% B8.A2 + 10% B7.A1</t>
  </si>
  <si>
    <t>WSS05SB_90% B8.A2 + 10% B6.A1</t>
  </si>
  <si>
    <t>70%B6.1/B6.2 + 30%bụi tank C,D</t>
  </si>
  <si>
    <t>2 mã này mới trình giá, giá lấy theo giá phó sản</t>
  </si>
  <si>
    <t>100%B6.1/B6.2</t>
  </si>
  <si>
    <t>GIÁ BÁN HẠT rHDPE</t>
  </si>
  <si>
    <t>mastter base</t>
  </si>
  <si>
    <t>Không màu, Trắng, lá, vàng</t>
  </si>
  <si>
    <t>S17</t>
  </si>
  <si>
    <t>GIÁ BÁN VẢY HDPE ÉP</t>
  </si>
  <si>
    <t>s18</t>
  </si>
  <si>
    <t>GIÁ BÁN HẠT rPP</t>
  </si>
  <si>
    <t>GIÁ BÁN VẢY PP</t>
  </si>
  <si>
    <t>GIÁ BÁN HẠT PHÓ SẢN</t>
  </si>
  <si>
    <t>Mức IV/MI</t>
  </si>
  <si>
    <t>Giá bán T01</t>
  </si>
  <si>
    <t>Giá bán T2</t>
  </si>
  <si>
    <t>Chênh lệch T2 sv T1</t>
  </si>
  <si>
    <t>Điểm hòa vốn T2</t>
  </si>
  <si>
    <t>Giá chính phẩm T01</t>
  </si>
  <si>
    <t>Giá chính phẩm T2</t>
  </si>
  <si>
    <t>Chênh lệch Giá T2 vs chính phẩm</t>
  </si>
  <si>
    <r>
      <t xml:space="preserve"> - Đề xuất rHDPE thổi </t>
    </r>
    <r>
      <rPr>
        <b/>
        <sz val="11"/>
        <color rgb="FFFF0000"/>
        <rFont val="Calibri"/>
        <family val="2"/>
        <scheme val="minor"/>
      </rPr>
      <t>không thay đổi (MBF01: 1350 USD)</t>
    </r>
    <r>
      <rPr>
        <sz val="11"/>
        <color rgb="FF0000FF"/>
        <rFont val="Calibri"/>
        <family val="2"/>
        <scheme val="minor"/>
      </rPr>
      <t xml:space="preserve">
 - Đề xuất rHDPE ép nội địa</t>
    </r>
    <r>
      <rPr>
        <b/>
        <sz val="11"/>
        <color rgb="FFFF0000"/>
        <rFont val="Calibri"/>
        <family val="2"/>
        <scheme val="minor"/>
      </rPr>
      <t xml:space="preserve"> không thay đổi (870 USD)</t>
    </r>
    <r>
      <rPr>
        <sz val="11"/>
        <color rgb="FF0000FF"/>
        <rFont val="Calibri"/>
        <family val="2"/>
        <scheme val="minor"/>
      </rPr>
      <t xml:space="preserve"> (quy định thấp hơn giá chính phẩm 5%)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Giá chính phẩm:
    + rHD thổi không thay đổi (940 USD) - % giá bán so với giá chính phẩm: </t>
    </r>
    <r>
      <rPr>
        <b/>
        <sz val="11"/>
        <color rgb="FFFF0000"/>
        <rFont val="Calibri"/>
        <family val="2"/>
        <scheme val="minor"/>
      </rPr>
      <t>44%</t>
    </r>
    <r>
      <rPr>
        <sz val="11"/>
        <color rgb="FF0000FF"/>
        <rFont val="Calibri"/>
        <family val="2"/>
        <scheme val="minor"/>
      </rPr>
      <t xml:space="preserve">
    + rHD ép không thay đổi (940 USD) - % giá bán so với giá chính phẩm: </t>
    </r>
    <r>
      <rPr>
        <b/>
        <sz val="11"/>
        <color rgb="FFFF0000"/>
        <rFont val="Calibri"/>
        <family val="2"/>
        <scheme val="minor"/>
      </rPr>
      <t xml:space="preserve">- 7%
</t>
    </r>
    <r>
      <rPr>
        <i/>
        <sz val="11"/>
        <color rgb="FF0000FF"/>
        <rFont val="Calibri"/>
        <family val="2"/>
        <scheme val="minor"/>
      </rPr>
      <t xml:space="preserve">  </t>
    </r>
    <r>
      <rPr>
        <i/>
        <sz val="11"/>
        <color theme="7" tint="-0.249977111117893"/>
        <rFont val="Calibri"/>
        <family val="2"/>
        <scheme val="minor"/>
      </rPr>
      <t>Không mua thông tin giá ICIS rHDPE</t>
    </r>
  </si>
  <si>
    <t>Ảnh hưởng</t>
  </si>
  <si>
    <t>SL bán</t>
  </si>
  <si>
    <t>DTKH</t>
  </si>
  <si>
    <t>DT ước tính</t>
  </si>
  <si>
    <t>Giá bán theo NS</t>
  </si>
  <si>
    <t>Giá bán T2.25</t>
  </si>
  <si>
    <r>
      <t xml:space="preserve"> - Đề xuất Hạt rPP nội địa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tăng 30 USD (900 -&gt; 930 USD) </t>
    </r>
    <r>
      <rPr>
        <sz val="11"/>
        <color rgb="FF0000FF"/>
        <rFont val="Calibri"/>
        <family val="2"/>
        <scheme val="minor"/>
      </rPr>
      <t xml:space="preserve">(quy định thấp hơn giá chính phẩm 5%) 
 - Giá chính phẩm tăng 20 USD (960 -&gt; 980 USD)
</t>
    </r>
    <r>
      <rPr>
        <i/>
        <sz val="11"/>
        <color theme="7" tint="-0.249977111117893"/>
        <rFont val="Calibri"/>
        <family val="2"/>
        <scheme val="minor"/>
      </rPr>
      <t xml:space="preserve">  Không mua thông tin giá ICIS rPP</t>
    </r>
  </si>
  <si>
    <t xml:space="preserve">Tỷ giá:  </t>
  </si>
  <si>
    <r>
      <t xml:space="preserve"> - Đề xuất Vảy rPP nội địa </t>
    </r>
    <r>
      <rPr>
        <b/>
        <sz val="11"/>
        <color rgb="FFFF0000"/>
        <rFont val="Calibri"/>
        <family val="2"/>
        <scheme val="minor"/>
      </rPr>
      <t xml:space="preserve">tăng 25 USD (855 -&gt; 880 USD)  </t>
    </r>
    <r>
      <rPr>
        <sz val="11"/>
        <color rgb="FF0000FF"/>
        <rFont val="Calibri"/>
        <family val="2"/>
        <scheme val="minor"/>
      </rPr>
      <t xml:space="preserve">(quy định thấp hơn giá chính phẩm 10%) 
 - Giá chính phẩm tăng 20 USD (960 -&gt; 980 USD)
</t>
    </r>
    <r>
      <rPr>
        <i/>
        <sz val="11"/>
        <color theme="7" tint="-0.249977111117893"/>
        <rFont val="Calibri"/>
        <family val="2"/>
        <scheme val="minor"/>
      </rPr>
      <t xml:space="preserve">  Không mua thông tin giá ICIS rPP</t>
    </r>
  </si>
  <si>
    <t>CL (USD)</t>
  </si>
  <si>
    <t xml:space="preserve"> - Sản lượng bán dự kiến: 1.359 tấn
 - Giá bán theo kế hoạch: 1.283 USD
 - Doanh thu giảm so với kế hoạch: 72.040 USD ~ 1,8 tỷ
</t>
  </si>
  <si>
    <t>CL (trđ)</t>
  </si>
  <si>
    <r>
      <rPr>
        <b/>
        <sz val="12"/>
        <color rgb="FF0000FF"/>
        <rFont val="Calibri"/>
        <family val="2"/>
        <scheme val="minor"/>
      </rPr>
      <t>Đề xuất</t>
    </r>
    <r>
      <rPr>
        <b/>
        <sz val="12"/>
        <color rgb="FFFF0000"/>
        <rFont val="Calibri"/>
        <family val="2"/>
        <scheme val="minor"/>
      </rPr>
      <t xml:space="preserve"> không thay đổi giá (WSS01G: 1230 USD )</t>
    </r>
    <r>
      <rPr>
        <sz val="11"/>
        <color rgb="FF0000FF"/>
        <rFont val="Calibri"/>
        <family val="2"/>
        <scheme val="minor"/>
      </rPr>
      <t xml:space="preserve">
</t>
    </r>
    <r>
      <rPr>
        <i/>
        <u/>
        <sz val="11"/>
        <color rgb="FF0000FF"/>
        <rFont val="Calibri"/>
        <family val="2"/>
        <scheme val="minor"/>
      </rPr>
      <t>Ghi chú:</t>
    </r>
    <r>
      <rPr>
        <sz val="11"/>
        <color rgb="FF0000FF"/>
        <rFont val="Calibri"/>
        <family val="2"/>
        <scheme val="minor"/>
      </rPr>
      <t xml:space="preserve">
 - Giá ICIS giảm 50 USD (1.400 USD -&gt; 1.350 USD)
 -</t>
    </r>
    <r>
      <rPr>
        <u/>
        <sz val="11"/>
        <color rgb="FF0000FF"/>
        <rFont val="Calibri"/>
        <family val="2"/>
        <scheme val="minor"/>
      </rPr>
      <t xml:space="preserve"> Giá bán </t>
    </r>
    <r>
      <rPr>
        <i/>
        <u/>
        <sz val="11"/>
        <color rgb="FF0000FF"/>
        <rFont val="Calibri"/>
        <family val="2"/>
        <scheme val="minor"/>
      </rPr>
      <t>T12/24 đã giảm 50 USD/tấn, T1/25 đã giảm 45 USD/tấn</t>
    </r>
    <r>
      <rPr>
        <sz val="11"/>
        <color rgb="FF0000FF"/>
        <rFont val="Calibri"/>
        <family val="2"/>
        <scheme val="minor"/>
      </rPr>
      <t xml:space="preserve">
 - Giá chính phẩm tăng 30 USD (820 -&gt; 850 USD) (T12/24: 860 USD/tấn, T1/25: 820 USD/tấn, T2: 850 USD/ tấn)
 - % giá bán so với giá chính phẩm: </t>
    </r>
    <r>
      <rPr>
        <b/>
        <sz val="11"/>
        <color rgb="FFFF0000"/>
        <rFont val="Calibri"/>
        <family val="2"/>
        <scheme val="minor"/>
      </rPr>
      <t xml:space="preserve">45%
</t>
    </r>
  </si>
  <si>
    <t>Hạt nhựa rPET WSS03SD, WSS04SB, WSS04SD (xơ sợi)</t>
  </si>
  <si>
    <r>
      <t xml:space="preserve">Chênh lệch Giá tháng 02 vs </t>
    </r>
    <r>
      <rPr>
        <b/>
        <sz val="13"/>
        <color rgb="FFFF0000"/>
        <rFont val="Times New Roman"/>
        <family val="1"/>
      </rPr>
      <t>chính phẩm (850 $/tấn)</t>
    </r>
  </si>
  <si>
    <t>Ngày 03 tháng 02 năm 2024</t>
  </si>
  <si>
    <t>Màu dương, trắng, đỏ, lá, xám</t>
  </si>
  <si>
    <t>Hạt rHD ép đen</t>
  </si>
  <si>
    <t>Màu đen</t>
  </si>
  <si>
    <t>110000412</t>
  </si>
  <si>
    <t>Vảy HD Ép Đen</t>
  </si>
  <si>
    <t>Hạt nhựa rPP đen</t>
  </si>
  <si>
    <t>110000371</t>
  </si>
  <si>
    <t>Đỏ, dương, trắng, lá, xám</t>
  </si>
  <si>
    <t>I. rHDPE THỔI (PERSONAL CARE - KHỬ MÙI)</t>
  </si>
  <si>
    <t>II. rHDPE THỔI (HOME CARE - KHÔNG KHỬ MÙI)</t>
  </si>
  <si>
    <t>NHÓM KHÁCH HÀNG KHÔNG CAM KẾT PHÁT TRIỂN BỀN VỮNG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</si>
</sst>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&quot;$&quot;#,##0"/>
    <numFmt numFmtId="168" formatCode="&quot;$&quot;#,##0.0"/>
    <numFmt numFmtId="169" formatCode="_-* #,##0\ [$USD]_-;\-* #,##0\ [$USD]_-;_-* &quot;-&quot;\ [$USD]_-;_-@_-"/>
    <numFmt numFmtId="170" formatCode="_-* #,##0.00\ _₫_-;\-* #,##0.00\ _₫_-;_-* &quot;-&quot;??\ _₫_-;_-@_-"/>
    <numFmt numFmtId="171" formatCode="_ * #,##0.00_)_ ;_ * \(#,##0.00\)_ ;_ * &quot;-&quot;??_)_ ;_ @_ "/>
    <numFmt numFmtId="172" formatCode="#,##0.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2060"/>
      <name val="Times New Roman"/>
      <family val="1"/>
    </font>
    <font>
      <sz val="12"/>
      <color rgb="FF002060"/>
      <name val="Times New Roman"/>
      <family val="1"/>
    </font>
    <font>
      <sz val="11"/>
      <name val="Times New Roman"/>
      <family val="1"/>
    </font>
    <font>
      <sz val="13"/>
      <color rgb="FF002060"/>
      <name val="Times New Roman"/>
      <family val="1"/>
    </font>
    <font>
      <sz val="13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3"/>
      <color rgb="FF002060"/>
      <name val="Times New Roman"/>
      <family val="1"/>
    </font>
    <font>
      <sz val="12"/>
      <color rgb="FFC00000"/>
      <name val="Times New Roman"/>
      <family val="1"/>
    </font>
    <font>
      <b/>
      <sz val="12"/>
      <color rgb="FF002060"/>
      <name val="Times New Roman"/>
      <family val="1"/>
    </font>
    <font>
      <sz val="13"/>
      <color theme="1"/>
      <name val="Times New Roman"/>
      <family val="1"/>
    </font>
    <font>
      <sz val="13"/>
      <color rgb="FFC00000"/>
      <name val="Times New Roman"/>
      <family val="1"/>
    </font>
    <font>
      <sz val="13"/>
      <name val="Times New Roman"/>
      <family val="1"/>
    </font>
    <font>
      <b/>
      <sz val="14"/>
      <color rgb="FF002060"/>
      <name val="Times New Roman"/>
      <family val="1"/>
    </font>
    <font>
      <sz val="13"/>
      <color rgb="FF0000FF"/>
      <name val="Times New Roman"/>
      <family val="1"/>
    </font>
    <font>
      <b/>
      <sz val="13"/>
      <color rgb="FF0000FF"/>
      <name val="Times New Roman"/>
      <family val="1"/>
    </font>
    <font>
      <sz val="13"/>
      <color theme="0"/>
      <name val="Times New Roman"/>
      <family val="1"/>
    </font>
    <font>
      <b/>
      <sz val="11"/>
      <color rgb="FF002060"/>
      <name val="Times New Roman"/>
      <family val="1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22"/>
      <color rgb="FFFF0000"/>
      <name val="Times New Roman"/>
      <family val="1"/>
    </font>
    <font>
      <sz val="12"/>
      <color rgb="FF0000FF"/>
      <name val="Times New Roman"/>
      <family val="1"/>
    </font>
    <font>
      <b/>
      <sz val="11"/>
      <color rgb="FF0000FF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2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.VnArial"/>
      <family val="2"/>
    </font>
    <font>
      <sz val="10"/>
      <name val="Arial"/>
      <family val="2"/>
    </font>
    <font>
      <sz val="10"/>
      <color theme="1"/>
      <name val="Times New Roman"/>
      <family val="2"/>
    </font>
    <font>
      <b/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Times New Roman"/>
      <family val="1"/>
    </font>
    <font>
      <sz val="12"/>
      <color rgb="FF0000FF"/>
      <name val="Calibri"/>
      <family val="2"/>
      <scheme val="minor"/>
    </font>
    <font>
      <b/>
      <sz val="12"/>
      <color rgb="FFFF33CC"/>
      <name val="Calibri"/>
      <family val="2"/>
      <scheme val="minor"/>
    </font>
    <font>
      <sz val="12"/>
      <color rgb="FFFF33CC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33CC"/>
      <name val="Times New Roman"/>
      <family val="1"/>
    </font>
    <font>
      <sz val="14"/>
      <color rgb="FFFF33CC"/>
      <name val="Times New Roman"/>
      <family val="1"/>
    </font>
    <font>
      <b/>
      <sz val="11"/>
      <color rgb="FF00B050"/>
      <name val="Times New Roman"/>
      <family val="1"/>
    </font>
    <font>
      <sz val="14"/>
      <color rgb="FF00B050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33CC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i/>
      <sz val="11"/>
      <color theme="7" tint="-0.249977111117893"/>
      <name val="Calibri"/>
      <family val="2"/>
      <scheme val="minor"/>
    </font>
    <font>
      <b/>
      <sz val="22"/>
      <color rgb="FF0070C0"/>
      <name val="Times New Roman"/>
      <family val="1"/>
    </font>
    <font>
      <b/>
      <sz val="18"/>
      <color rgb="FF0070C0"/>
      <name val="Times New Roman"/>
      <family val="1"/>
    </font>
    <font>
      <b/>
      <sz val="22"/>
      <color theme="4"/>
      <name val="Times New Roman"/>
      <family val="1"/>
    </font>
    <font>
      <b/>
      <sz val="18"/>
      <color theme="4"/>
      <name val="Times New Roman"/>
      <family val="1"/>
    </font>
    <font>
      <b/>
      <sz val="16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63"/>
      <scheme val="minor"/>
    </font>
    <font>
      <sz val="11"/>
      <color rgb="FFFF33CC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i/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6"/>
      <color rgb="FF0000FF"/>
      <name val="Times New Roman"/>
      <family val="1"/>
    </font>
    <font>
      <b/>
      <sz val="16"/>
      <color rgb="FF0000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7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41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/>
    <xf numFmtId="0" fontId="42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43" fillId="0" borderId="0"/>
    <xf numFmtId="0" fontId="42" fillId="0" borderId="0"/>
    <xf numFmtId="0" fontId="1" fillId="0" borderId="0"/>
    <xf numFmtId="0" fontId="1" fillId="0" borderId="0"/>
  </cellStyleXfs>
  <cellXfs count="46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167" fontId="10" fillId="2" borderId="1" xfId="1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9" fontId="10" fillId="0" borderId="1" xfId="2" applyFont="1" applyFill="1" applyBorder="1" applyAlignment="1">
      <alignment horizontal="center" vertical="center"/>
    </xf>
    <xf numFmtId="167" fontId="11" fillId="2" borderId="1" xfId="1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167" fontId="11" fillId="0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Continuous" vertical="center" wrapText="1"/>
    </xf>
    <xf numFmtId="0" fontId="10" fillId="2" borderId="1" xfId="0" applyFont="1" applyFill="1" applyBorder="1" applyAlignment="1">
      <alignment vertical="center"/>
    </xf>
    <xf numFmtId="167" fontId="10" fillId="2" borderId="1" xfId="1" applyNumberFormat="1" applyFont="1" applyFill="1" applyBorder="1" applyAlignment="1">
      <alignment horizontal="center" vertical="center"/>
    </xf>
    <xf numFmtId="167" fontId="11" fillId="2" borderId="1" xfId="1" applyNumberFormat="1" applyFont="1" applyFill="1" applyBorder="1" applyAlignment="1">
      <alignment horizontal="center" vertical="center"/>
    </xf>
    <xf numFmtId="0" fontId="15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 vertical="top"/>
    </xf>
    <xf numFmtId="165" fontId="16" fillId="0" borderId="0" xfId="0" applyNumberFormat="1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19" fillId="0" borderId="0" xfId="0" applyFont="1" applyAlignment="1">
      <alignment horizontal="centerContinuous"/>
    </xf>
    <xf numFmtId="167" fontId="10" fillId="2" borderId="4" xfId="1" applyNumberFormat="1" applyFont="1" applyFill="1" applyBorder="1" applyAlignment="1">
      <alignment horizontal="center" vertical="center"/>
    </xf>
    <xf numFmtId="167" fontId="11" fillId="2" borderId="5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2" borderId="4" xfId="0" applyFont="1" applyFill="1" applyBorder="1" applyAlignment="1">
      <alignment vertical="center"/>
    </xf>
    <xf numFmtId="167" fontId="20" fillId="2" borderId="4" xfId="1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167" fontId="10" fillId="2" borderId="3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164" fontId="8" fillId="0" borderId="1" xfId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67" fontId="8" fillId="0" borderId="1" xfId="1" applyNumberFormat="1" applyFont="1" applyFill="1" applyBorder="1" applyAlignment="1">
      <alignment horizontal="right" vertical="center"/>
    </xf>
    <xf numFmtId="9" fontId="8" fillId="0" borderId="1" xfId="2" applyFont="1" applyFill="1" applyBorder="1" applyAlignment="1">
      <alignment horizontal="right" vertical="center"/>
    </xf>
    <xf numFmtId="168" fontId="8" fillId="0" borderId="1" xfId="1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 wrapText="1"/>
    </xf>
    <xf numFmtId="167" fontId="15" fillId="4" borderId="1" xfId="1" applyNumberFormat="1" applyFont="1" applyFill="1" applyBorder="1" applyAlignment="1">
      <alignment horizontal="right" vertical="center"/>
    </xf>
    <xf numFmtId="9" fontId="15" fillId="4" borderId="1" xfId="2" applyFont="1" applyFill="1" applyBorder="1" applyAlignment="1">
      <alignment horizontal="right" vertical="center"/>
    </xf>
    <xf numFmtId="9" fontId="6" fillId="0" borderId="0" xfId="2" applyFont="1" applyAlignment="1">
      <alignment vertical="center"/>
    </xf>
    <xf numFmtId="167" fontId="8" fillId="0" borderId="3" xfId="1" applyNumberFormat="1" applyFont="1" applyFill="1" applyBorder="1" applyAlignment="1">
      <alignment horizontal="left" vertical="center"/>
    </xf>
    <xf numFmtId="169" fontId="22" fillId="0" borderId="0" xfId="0" applyNumberFormat="1" applyFont="1" applyAlignment="1">
      <alignment horizontal="right"/>
    </xf>
    <xf numFmtId="166" fontId="8" fillId="0" borderId="1" xfId="1" applyNumberFormat="1" applyFont="1" applyFill="1" applyBorder="1" applyAlignment="1">
      <alignment horizontal="right" vertical="center"/>
    </xf>
    <xf numFmtId="167" fontId="14" fillId="0" borderId="1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166" fontId="11" fillId="0" borderId="6" xfId="1" applyNumberFormat="1" applyFont="1" applyFill="1" applyBorder="1" applyAlignment="1">
      <alignment vertical="center"/>
    </xf>
    <xf numFmtId="0" fontId="23" fillId="0" borderId="0" xfId="0" applyFont="1" applyAlignment="1">
      <alignment horizontal="center"/>
    </xf>
    <xf numFmtId="0" fontId="24" fillId="0" borderId="2" xfId="0" applyFont="1" applyBorder="1" applyAlignment="1">
      <alignment horizontal="center" vertical="center" wrapText="1"/>
    </xf>
    <xf numFmtId="167" fontId="18" fillId="2" borderId="5" xfId="1" applyNumberFormat="1" applyFont="1" applyFill="1" applyBorder="1" applyAlignment="1">
      <alignment horizontal="center" vertical="center"/>
    </xf>
    <xf numFmtId="167" fontId="18" fillId="2" borderId="1" xfId="1" applyNumberFormat="1" applyFont="1" applyFill="1" applyBorder="1" applyAlignment="1">
      <alignment horizontal="center" vertical="center"/>
    </xf>
    <xf numFmtId="165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167" fontId="25" fillId="0" borderId="1" xfId="1" applyNumberFormat="1" applyFont="1" applyFill="1" applyBorder="1" applyAlignment="1">
      <alignment horizontal="center" vertical="center"/>
    </xf>
    <xf numFmtId="167" fontId="21" fillId="2" borderId="4" xfId="1" applyNumberFormat="1" applyFont="1" applyFill="1" applyBorder="1" applyAlignment="1">
      <alignment horizontal="center" vertical="center"/>
    </xf>
    <xf numFmtId="37" fontId="11" fillId="0" borderId="6" xfId="1" applyNumberFormat="1" applyFont="1" applyFill="1" applyBorder="1" applyAlignment="1">
      <alignment vertical="center"/>
    </xf>
    <xf numFmtId="0" fontId="26" fillId="0" borderId="0" xfId="0" applyFont="1"/>
    <xf numFmtId="0" fontId="27" fillId="0" borderId="0" xfId="0" applyFont="1" applyAlignment="1">
      <alignment vertical="center"/>
    </xf>
    <xf numFmtId="167" fontId="15" fillId="0" borderId="1" xfId="1" applyNumberFormat="1" applyFont="1" applyFill="1" applyBorder="1" applyAlignment="1">
      <alignment horizontal="right" vertical="center"/>
    </xf>
    <xf numFmtId="167" fontId="27" fillId="4" borderId="1" xfId="1" applyNumberFormat="1" applyFont="1" applyFill="1" applyBorder="1" applyAlignment="1">
      <alignment horizontal="right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left" vertical="center" wrapText="1"/>
    </xf>
    <xf numFmtId="9" fontId="27" fillId="4" borderId="1" xfId="2" applyFont="1" applyFill="1" applyBorder="1" applyAlignment="1">
      <alignment horizontal="right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0" fontId="15" fillId="0" borderId="0" xfId="0" applyFont="1" applyAlignment="1">
      <alignment horizontal="center" vertical="center"/>
    </xf>
    <xf numFmtId="167" fontId="15" fillId="0" borderId="0" xfId="1" applyNumberFormat="1" applyFont="1" applyFill="1" applyBorder="1" applyAlignment="1">
      <alignment horizontal="right" vertical="center"/>
    </xf>
    <xf numFmtId="9" fontId="15" fillId="0" borderId="0" xfId="2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167" fontId="27" fillId="0" borderId="0" xfId="1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167" fontId="8" fillId="0" borderId="8" xfId="1" applyNumberFormat="1" applyFont="1" applyFill="1" applyBorder="1" applyAlignment="1">
      <alignment horizontal="left" vertical="center"/>
    </xf>
    <xf numFmtId="167" fontId="15" fillId="0" borderId="6" xfId="1" applyNumberFormat="1" applyFont="1" applyFill="1" applyBorder="1" applyAlignment="1">
      <alignment horizontal="right" vertical="center"/>
    </xf>
    <xf numFmtId="167" fontId="8" fillId="0" borderId="6" xfId="1" applyNumberFormat="1" applyFont="1" applyFill="1" applyBorder="1" applyAlignment="1">
      <alignment horizontal="right" vertical="center"/>
    </xf>
    <xf numFmtId="9" fontId="8" fillId="0" borderId="6" xfId="2" applyFont="1" applyFill="1" applyBorder="1" applyAlignment="1">
      <alignment horizontal="right" vertical="center"/>
    </xf>
    <xf numFmtId="167" fontId="8" fillId="0" borderId="8" xfId="1" applyNumberFormat="1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9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9" fontId="30" fillId="0" borderId="0" xfId="2" applyFont="1"/>
    <xf numFmtId="0" fontId="18" fillId="0" borderId="0" xfId="0" applyFont="1" applyAlignment="1">
      <alignment vertical="center"/>
    </xf>
    <xf numFmtId="169" fontId="18" fillId="0" borderId="0" xfId="0" applyNumberFormat="1" applyFont="1" applyAlignment="1">
      <alignment horizontal="right"/>
    </xf>
    <xf numFmtId="0" fontId="21" fillId="0" borderId="0" xfId="0" applyFont="1" applyAlignment="1">
      <alignment vertical="center"/>
    </xf>
    <xf numFmtId="0" fontId="30" fillId="0" borderId="0" xfId="0" applyFont="1"/>
    <xf numFmtId="0" fontId="31" fillId="0" borderId="0" xfId="0" applyFont="1"/>
    <xf numFmtId="166" fontId="30" fillId="0" borderId="0" xfId="1" applyNumberFormat="1" applyFont="1"/>
    <xf numFmtId="37" fontId="11" fillId="0" borderId="1" xfId="1" applyNumberFormat="1" applyFont="1" applyFill="1" applyBorder="1" applyAlignment="1">
      <alignment vertical="center"/>
    </xf>
    <xf numFmtId="0" fontId="21" fillId="5" borderId="3" xfId="0" applyFont="1" applyFill="1" applyBorder="1" applyAlignment="1">
      <alignment vertical="center"/>
    </xf>
    <xf numFmtId="0" fontId="21" fillId="5" borderId="4" xfId="0" applyFont="1" applyFill="1" applyBorder="1" applyAlignment="1">
      <alignment vertical="center"/>
    </xf>
    <xf numFmtId="167" fontId="21" fillId="5" borderId="4" xfId="1" applyNumberFormat="1" applyFont="1" applyFill="1" applyBorder="1" applyAlignment="1">
      <alignment horizontal="center" vertical="center"/>
    </xf>
    <xf numFmtId="167" fontId="21" fillId="5" borderId="9" xfId="1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left" vertical="center"/>
    </xf>
    <xf numFmtId="0" fontId="10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67" fontId="16" fillId="0" borderId="0" xfId="0" applyNumberFormat="1" applyFont="1"/>
    <xf numFmtId="0" fontId="18" fillId="7" borderId="0" xfId="0" applyFont="1" applyFill="1"/>
    <xf numFmtId="166" fontId="5" fillId="0" borderId="0" xfId="0" applyNumberFormat="1" applyFont="1"/>
    <xf numFmtId="0" fontId="25" fillId="0" borderId="1" xfId="0" quotePrefix="1" applyFont="1" applyBorder="1" applyAlignment="1">
      <alignment horizontal="center" vertical="center" wrapText="1"/>
    </xf>
    <xf numFmtId="167" fontId="16" fillId="0" borderId="0" xfId="0" applyNumberFormat="1" applyFont="1" applyAlignment="1">
      <alignment horizontal="center"/>
    </xf>
    <xf numFmtId="0" fontId="20" fillId="0" borderId="0" xfId="0" applyFont="1"/>
    <xf numFmtId="166" fontId="16" fillId="0" borderId="0" xfId="0" applyNumberFormat="1" applyFont="1" applyAlignment="1">
      <alignment horizontal="center"/>
    </xf>
    <xf numFmtId="166" fontId="16" fillId="0" borderId="0" xfId="1" applyNumberFormat="1" applyFont="1"/>
    <xf numFmtId="166" fontId="16" fillId="0" borderId="0" xfId="1" applyNumberFormat="1" applyFont="1" applyAlignment="1">
      <alignment horizontal="left"/>
    </xf>
    <xf numFmtId="0" fontId="33" fillId="0" borderId="0" xfId="0" applyFont="1"/>
    <xf numFmtId="9" fontId="30" fillId="0" borderId="0" xfId="2" applyFont="1" applyAlignment="1">
      <alignment wrapText="1"/>
    </xf>
    <xf numFmtId="0" fontId="21" fillId="5" borderId="3" xfId="0" applyFont="1" applyFill="1" applyBorder="1" applyAlignment="1">
      <alignment horizontal="left" vertical="center"/>
    </xf>
    <xf numFmtId="167" fontId="21" fillId="5" borderId="5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24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67" fontId="20" fillId="2" borderId="5" xfId="1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167" fontId="8" fillId="7" borderId="1" xfId="1" applyNumberFormat="1" applyFont="1" applyFill="1" applyBorder="1" applyAlignment="1">
      <alignment horizontal="right" vertical="center"/>
    </xf>
    <xf numFmtId="166" fontId="30" fillId="8" borderId="0" xfId="1" applyNumberFormat="1" applyFont="1" applyFill="1"/>
    <xf numFmtId="0" fontId="0" fillId="0" borderId="0" xfId="0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4" fillId="0" borderId="0" xfId="0" applyFont="1" applyAlignment="1">
      <alignment horizontal="right" vertical="center"/>
    </xf>
    <xf numFmtId="0" fontId="45" fillId="0" borderId="0" xfId="0" applyFont="1" applyAlignment="1">
      <alignment horizontal="right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vertic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9" fontId="45" fillId="0" borderId="0" xfId="0" applyNumberFormat="1" applyFont="1"/>
    <xf numFmtId="9" fontId="45" fillId="0" borderId="0" xfId="0" applyNumberFormat="1" applyFont="1" applyAlignment="1">
      <alignment horizontal="center"/>
    </xf>
    <xf numFmtId="0" fontId="45" fillId="0" borderId="0" xfId="0" applyFont="1" applyAlignment="1">
      <alignment wrapText="1"/>
    </xf>
    <xf numFmtId="167" fontId="33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167" fontId="33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45" fillId="0" borderId="1" xfId="0" applyFont="1" applyBorder="1" applyAlignment="1">
      <alignment wrapText="1"/>
    </xf>
    <xf numFmtId="0" fontId="46" fillId="0" borderId="0" xfId="0" applyFont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66" fontId="30" fillId="0" borderId="0" xfId="1" applyNumberFormat="1" applyFont="1" applyFill="1"/>
    <xf numFmtId="0" fontId="5" fillId="0" borderId="0" xfId="0" applyFont="1" applyAlignment="1">
      <alignment horizontal="left" vertical="top"/>
    </xf>
    <xf numFmtId="164" fontId="33" fillId="0" borderId="0" xfId="1" applyFont="1" applyAlignment="1">
      <alignment horizontal="center"/>
    </xf>
    <xf numFmtId="164" fontId="47" fillId="0" borderId="0" xfId="1" applyFont="1" applyAlignment="1">
      <alignment horizontal="center"/>
    </xf>
    <xf numFmtId="164" fontId="46" fillId="0" borderId="0" xfId="1" applyFont="1" applyAlignment="1">
      <alignment horizontal="center" vertical="center"/>
    </xf>
    <xf numFmtId="164" fontId="45" fillId="0" borderId="0" xfId="1" applyFont="1" applyAlignment="1">
      <alignment horizontal="center"/>
    </xf>
    <xf numFmtId="0" fontId="0" fillId="6" borderId="15" xfId="0" applyFill="1" applyBorder="1" applyAlignment="1">
      <alignment vertical="center"/>
    </xf>
    <xf numFmtId="0" fontId="51" fillId="0" borderId="0" xfId="0" applyFont="1" applyAlignment="1">
      <alignment horizontal="center"/>
    </xf>
    <xf numFmtId="166" fontId="52" fillId="0" borderId="0" xfId="1" applyNumberFormat="1" applyFont="1"/>
    <xf numFmtId="0" fontId="53" fillId="0" borderId="0" xfId="0" applyFont="1" applyAlignment="1">
      <alignment horizontal="center"/>
    </xf>
    <xf numFmtId="0" fontId="54" fillId="0" borderId="0" xfId="0" applyFont="1"/>
    <xf numFmtId="166" fontId="54" fillId="0" borderId="0" xfId="1" applyNumberFormat="1" applyFont="1" applyFill="1"/>
    <xf numFmtId="167" fontId="21" fillId="0" borderId="1" xfId="1" applyNumberFormat="1" applyFont="1" applyFill="1" applyBorder="1" applyAlignment="1">
      <alignment horizontal="center" vertical="center"/>
    </xf>
    <xf numFmtId="167" fontId="24" fillId="0" borderId="1" xfId="1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vertical="center"/>
    </xf>
    <xf numFmtId="167" fontId="55" fillId="0" borderId="0" xfId="0" applyNumberFormat="1" applyFont="1" applyAlignment="1">
      <alignment horizontal="center"/>
    </xf>
    <xf numFmtId="164" fontId="55" fillId="0" borderId="0" xfId="1" applyFont="1" applyAlignment="1">
      <alignment horizontal="center"/>
    </xf>
    <xf numFmtId="0" fontId="56" fillId="0" borderId="0" xfId="0" applyFont="1"/>
    <xf numFmtId="0" fontId="55" fillId="0" borderId="1" xfId="0" applyFont="1" applyBorder="1" applyAlignment="1">
      <alignment vertical="center"/>
    </xf>
    <xf numFmtId="167" fontId="55" fillId="0" borderId="1" xfId="0" applyNumberFormat="1" applyFont="1" applyBorder="1" applyAlignment="1">
      <alignment horizontal="center"/>
    </xf>
    <xf numFmtId="167" fontId="33" fillId="0" borderId="14" xfId="0" applyNumberFormat="1" applyFont="1" applyBorder="1" applyAlignment="1">
      <alignment wrapText="1"/>
    </xf>
    <xf numFmtId="167" fontId="10" fillId="0" borderId="1" xfId="1" applyNumberFormat="1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167" fontId="25" fillId="0" borderId="1" xfId="1" applyNumberFormat="1" applyFont="1" applyBorder="1" applyAlignment="1">
      <alignment horizontal="center" vertical="center"/>
    </xf>
    <xf numFmtId="166" fontId="54" fillId="0" borderId="0" xfId="1" applyNumberFormat="1" applyFont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167" fontId="10" fillId="0" borderId="1" xfId="2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37" fontId="11" fillId="0" borderId="1" xfId="1" applyNumberFormat="1" applyFont="1" applyBorder="1" applyAlignment="1">
      <alignment vertical="center"/>
    </xf>
    <xf numFmtId="9" fontId="11" fillId="0" borderId="1" xfId="2" applyFont="1" applyBorder="1" applyAlignment="1">
      <alignment vertical="center"/>
    </xf>
    <xf numFmtId="0" fontId="52" fillId="0" borderId="0" xfId="0" applyFont="1"/>
    <xf numFmtId="0" fontId="5" fillId="0" borderId="0" xfId="0" applyFont="1" applyAlignment="1">
      <alignment vertical="center"/>
    </xf>
    <xf numFmtId="0" fontId="58" fillId="0" borderId="0" xfId="0" applyFont="1"/>
    <xf numFmtId="0" fontId="61" fillId="0" borderId="0" xfId="0" applyFont="1"/>
    <xf numFmtId="0" fontId="59" fillId="0" borderId="11" xfId="0" applyFont="1" applyBorder="1" applyAlignment="1">
      <alignment vertical="top"/>
    </xf>
    <xf numFmtId="0" fontId="59" fillId="0" borderId="11" xfId="0" applyFont="1" applyBorder="1" applyAlignment="1">
      <alignment vertical="top" wrapText="1"/>
    </xf>
    <xf numFmtId="0" fontId="39" fillId="9" borderId="1" xfId="0" applyFont="1" applyFill="1" applyBorder="1" applyAlignment="1">
      <alignment horizontal="center"/>
    </xf>
    <xf numFmtId="167" fontId="18" fillId="0" borderId="1" xfId="1" applyNumberFormat="1" applyFont="1" applyFill="1" applyBorder="1" applyAlignment="1">
      <alignment horizontal="center" vertical="center"/>
    </xf>
    <xf numFmtId="9" fontId="18" fillId="0" borderId="1" xfId="2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vertical="center"/>
    </xf>
    <xf numFmtId="167" fontId="21" fillId="5" borderId="1" xfId="1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166" fontId="5" fillId="0" borderId="0" xfId="1" applyNumberFormat="1" applyFont="1" applyFill="1"/>
    <xf numFmtId="0" fontId="52" fillId="0" borderId="0" xfId="0" applyFont="1" applyAlignment="1">
      <alignment vertical="center"/>
    </xf>
    <xf numFmtId="0" fontId="39" fillId="10" borderId="0" xfId="0" applyFont="1" applyFill="1" applyAlignment="1">
      <alignment horizontal="center"/>
    </xf>
    <xf numFmtId="9" fontId="0" fillId="0" borderId="0" xfId="2" applyFont="1" applyAlignment="1">
      <alignment vertical="center"/>
    </xf>
    <xf numFmtId="9" fontId="57" fillId="0" borderId="0" xfId="2" applyFont="1" applyAlignment="1">
      <alignment vertical="center"/>
    </xf>
    <xf numFmtId="167" fontId="30" fillId="0" borderId="0" xfId="0" applyNumberFormat="1" applyFont="1"/>
    <xf numFmtId="49" fontId="10" fillId="0" borderId="1" xfId="0" applyNumberFormat="1" applyFont="1" applyBorder="1" applyAlignment="1">
      <alignment vertical="center" wrapText="1"/>
    </xf>
    <xf numFmtId="0" fontId="39" fillId="9" borderId="0" xfId="0" applyFont="1" applyFill="1" applyAlignment="1">
      <alignment horizontal="center"/>
    </xf>
    <xf numFmtId="0" fontId="67" fillId="6" borderId="0" xfId="0" applyFont="1" applyFill="1"/>
    <xf numFmtId="0" fontId="0" fillId="6" borderId="0" xfId="0" applyFill="1"/>
    <xf numFmtId="0" fontId="39" fillId="11" borderId="15" xfId="0" applyFont="1" applyFill="1" applyBorder="1" applyAlignment="1">
      <alignment horizontal="center" vertical="center"/>
    </xf>
    <xf numFmtId="166" fontId="0" fillId="6" borderId="15" xfId="1" applyNumberFormat="1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66" fontId="0" fillId="5" borderId="15" xfId="1" applyNumberFormat="1" applyFont="1" applyFill="1" applyBorder="1" applyAlignment="1">
      <alignment vertical="center"/>
    </xf>
    <xf numFmtId="166" fontId="57" fillId="5" borderId="15" xfId="1" applyNumberFormat="1" applyFont="1" applyFill="1" applyBorder="1" applyAlignment="1">
      <alignment vertical="center"/>
    </xf>
    <xf numFmtId="166" fontId="0" fillId="6" borderId="0" xfId="0" applyNumberFormat="1" applyFill="1"/>
    <xf numFmtId="166" fontId="0" fillId="6" borderId="0" xfId="1" applyNumberFormat="1" applyFont="1" applyFill="1"/>
    <xf numFmtId="9" fontId="0" fillId="6" borderId="0" xfId="2" applyFont="1" applyFill="1"/>
    <xf numFmtId="166" fontId="68" fillId="6" borderId="15" xfId="1" applyNumberFormat="1" applyFont="1" applyFill="1" applyBorder="1" applyAlignment="1">
      <alignment vertical="center"/>
    </xf>
    <xf numFmtId="0" fontId="39" fillId="12" borderId="15" xfId="0" applyFont="1" applyFill="1" applyBorder="1" applyAlignment="1">
      <alignment horizontal="center" vertical="center"/>
    </xf>
    <xf numFmtId="0" fontId="69" fillId="6" borderId="15" xfId="0" applyFont="1" applyFill="1" applyBorder="1" applyAlignment="1">
      <alignment vertical="center"/>
    </xf>
    <xf numFmtId="166" fontId="69" fillId="6" borderId="15" xfId="1" applyNumberFormat="1" applyFont="1" applyFill="1" applyBorder="1" applyAlignment="1">
      <alignment vertical="center"/>
    </xf>
    <xf numFmtId="0" fontId="70" fillId="0" borderId="0" xfId="0" applyFont="1"/>
    <xf numFmtId="0" fontId="71" fillId="0" borderId="0" xfId="0" applyFont="1" applyAlignment="1">
      <alignment horizontal="center" vertical="center"/>
    </xf>
    <xf numFmtId="0" fontId="67" fillId="0" borderId="0" xfId="0" applyFont="1"/>
    <xf numFmtId="0" fontId="72" fillId="0" borderId="0" xfId="0" applyFont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/>
    </xf>
    <xf numFmtId="0" fontId="39" fillId="9" borderId="2" xfId="0" applyFont="1" applyFill="1" applyBorder="1" applyAlignment="1">
      <alignment horizontal="center"/>
    </xf>
    <xf numFmtId="0" fontId="73" fillId="0" borderId="0" xfId="0" applyFont="1" applyAlignment="1">
      <alignment horizontal="center"/>
    </xf>
    <xf numFmtId="0" fontId="70" fillId="6" borderId="15" xfId="0" applyFont="1" applyFill="1" applyBorder="1" applyAlignment="1">
      <alignment vertical="center"/>
    </xf>
    <xf numFmtId="0" fontId="0" fillId="0" borderId="11" xfId="0" applyBorder="1"/>
    <xf numFmtId="0" fontId="10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/>
    </xf>
    <xf numFmtId="166" fontId="0" fillId="13" borderId="11" xfId="1" applyNumberFormat="1" applyFont="1" applyFill="1" applyBorder="1"/>
    <xf numFmtId="166" fontId="40" fillId="13" borderId="11" xfId="1" applyNumberFormat="1" applyFont="1" applyFill="1" applyBorder="1"/>
    <xf numFmtId="0" fontId="0" fillId="13" borderId="11" xfId="0" applyFill="1" applyBorder="1"/>
    <xf numFmtId="9" fontId="10" fillId="13" borderId="11" xfId="2" applyFont="1" applyFill="1" applyBorder="1" applyAlignment="1">
      <alignment horizontal="center" vertical="center"/>
    </xf>
    <xf numFmtId="166" fontId="0" fillId="0" borderId="11" xfId="1" applyNumberFormat="1" applyFont="1" applyFill="1" applyBorder="1"/>
    <xf numFmtId="166" fontId="72" fillId="0" borderId="11" xfId="1" applyNumberFormat="1" applyFont="1" applyBorder="1"/>
    <xf numFmtId="9" fontId="72" fillId="0" borderId="11" xfId="2" applyFont="1" applyBorder="1"/>
    <xf numFmtId="9" fontId="10" fillId="0" borderId="11" xfId="2" applyFont="1" applyFill="1" applyBorder="1" applyAlignment="1">
      <alignment horizontal="center" vertical="center"/>
    </xf>
    <xf numFmtId="49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166" fontId="0" fillId="13" borderId="12" xfId="1" applyNumberFormat="1" applyFont="1" applyFill="1" applyBorder="1"/>
    <xf numFmtId="166" fontId="40" fillId="13" borderId="12" xfId="1" applyNumberFormat="1" applyFont="1" applyFill="1" applyBorder="1"/>
    <xf numFmtId="0" fontId="0" fillId="13" borderId="12" xfId="0" applyFill="1" applyBorder="1"/>
    <xf numFmtId="9" fontId="10" fillId="13" borderId="12" xfId="2" applyFont="1" applyFill="1" applyBorder="1" applyAlignment="1">
      <alignment horizontal="center" vertical="center"/>
    </xf>
    <xf numFmtId="0" fontId="0" fillId="0" borderId="12" xfId="0" applyBorder="1"/>
    <xf numFmtId="166" fontId="0" fillId="0" borderId="12" xfId="1" applyNumberFormat="1" applyFont="1" applyFill="1" applyBorder="1"/>
    <xf numFmtId="166" fontId="72" fillId="0" borderId="12" xfId="1" applyNumberFormat="1" applyFont="1" applyBorder="1"/>
    <xf numFmtId="9" fontId="72" fillId="0" borderId="12" xfId="2" applyFont="1" applyBorder="1"/>
    <xf numFmtId="9" fontId="10" fillId="0" borderId="12" xfId="2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0" fontId="74" fillId="0" borderId="0" xfId="0" applyFont="1"/>
    <xf numFmtId="9" fontId="10" fillId="0" borderId="12" xfId="2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14" borderId="13" xfId="0" applyFont="1" applyFill="1" applyBorder="1" applyAlignment="1">
      <alignment vertical="center" wrapText="1"/>
    </xf>
    <xf numFmtId="0" fontId="10" fillId="0" borderId="13" xfId="0" applyFont="1" applyBorder="1" applyAlignment="1">
      <alignment horizontal="center" vertical="center"/>
    </xf>
    <xf numFmtId="166" fontId="0" fillId="13" borderId="13" xfId="1" applyNumberFormat="1" applyFont="1" applyFill="1" applyBorder="1" applyAlignment="1">
      <alignment vertical="center"/>
    </xf>
    <xf numFmtId="166" fontId="40" fillId="13" borderId="13" xfId="1" applyNumberFormat="1" applyFont="1" applyFill="1" applyBorder="1" applyAlignment="1">
      <alignment vertical="center"/>
    </xf>
    <xf numFmtId="0" fontId="0" fillId="13" borderId="13" xfId="0" applyFill="1" applyBorder="1" applyAlignment="1">
      <alignment vertical="center"/>
    </xf>
    <xf numFmtId="9" fontId="10" fillId="13" borderId="13" xfId="2" applyFont="1" applyFill="1" applyBorder="1" applyAlignment="1">
      <alignment horizontal="center" vertical="center"/>
    </xf>
    <xf numFmtId="0" fontId="0" fillId="7" borderId="13" xfId="0" applyFill="1" applyBorder="1" applyAlignment="1">
      <alignment vertical="center"/>
    </xf>
    <xf numFmtId="166" fontId="0" fillId="0" borderId="13" xfId="1" applyNumberFormat="1" applyFont="1" applyFill="1" applyBorder="1" applyAlignment="1">
      <alignment vertical="center"/>
    </xf>
    <xf numFmtId="3" fontId="72" fillId="7" borderId="13" xfId="1" applyNumberFormat="1" applyFont="1" applyFill="1" applyBorder="1" applyAlignment="1">
      <alignment vertical="center"/>
    </xf>
    <xf numFmtId="9" fontId="72" fillId="0" borderId="13" xfId="2" applyFont="1" applyBorder="1" applyAlignment="1">
      <alignment vertical="center"/>
    </xf>
    <xf numFmtId="0" fontId="0" fillId="0" borderId="13" xfId="0" applyBorder="1" applyAlignment="1">
      <alignment vertical="center"/>
    </xf>
    <xf numFmtId="9" fontId="10" fillId="0" borderId="13" xfId="2" applyFont="1" applyFill="1" applyBorder="1" applyAlignment="1">
      <alignment horizontal="center" vertical="center"/>
    </xf>
    <xf numFmtId="0" fontId="0" fillId="7" borderId="0" xfId="0" applyFill="1"/>
    <xf numFmtId="0" fontId="0" fillId="5" borderId="4" xfId="0" applyFill="1" applyBorder="1"/>
    <xf numFmtId="9" fontId="10" fillId="5" borderId="4" xfId="2" applyFont="1" applyFill="1" applyBorder="1" applyAlignment="1">
      <alignment horizontal="center" vertical="center"/>
    </xf>
    <xf numFmtId="9" fontId="0" fillId="5" borderId="4" xfId="2" applyFont="1" applyFill="1" applyBorder="1"/>
    <xf numFmtId="9" fontId="10" fillId="5" borderId="5" xfId="2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vertical="center"/>
    </xf>
    <xf numFmtId="0" fontId="18" fillId="13" borderId="4" xfId="0" applyFont="1" applyFill="1" applyBorder="1" applyAlignment="1">
      <alignment vertical="center"/>
    </xf>
    <xf numFmtId="0" fontId="0" fillId="13" borderId="4" xfId="0" applyFill="1" applyBorder="1"/>
    <xf numFmtId="9" fontId="10" fillId="13" borderId="4" xfId="2" applyFont="1" applyFill="1" applyBorder="1" applyAlignment="1">
      <alignment horizontal="center" vertical="center"/>
    </xf>
    <xf numFmtId="9" fontId="0" fillId="13" borderId="4" xfId="2" applyFont="1" applyFill="1" applyBorder="1"/>
    <xf numFmtId="9" fontId="10" fillId="13" borderId="5" xfId="2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166" fontId="0" fillId="0" borderId="11" xfId="1" applyNumberFormat="1" applyFont="1" applyBorder="1"/>
    <xf numFmtId="166" fontId="40" fillId="0" borderId="11" xfId="1" applyNumberFormat="1" applyFont="1" applyBorder="1"/>
    <xf numFmtId="166" fontId="0" fillId="14" borderId="1" xfId="1" applyNumberFormat="1" applyFont="1" applyFill="1" applyBorder="1"/>
    <xf numFmtId="166" fontId="72" fillId="0" borderId="1" xfId="1" applyNumberFormat="1" applyFont="1" applyBorder="1" applyAlignment="1">
      <alignment vertical="center"/>
    </xf>
    <xf numFmtId="9" fontId="72" fillId="0" borderId="1" xfId="2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166" fontId="0" fillId="0" borderId="13" xfId="1" applyNumberFormat="1" applyFont="1" applyBorder="1"/>
    <xf numFmtId="166" fontId="40" fillId="0" borderId="13" xfId="1" applyNumberFormat="1" applyFont="1" applyBorder="1"/>
    <xf numFmtId="0" fontId="0" fillId="0" borderId="13" xfId="0" applyBorder="1"/>
    <xf numFmtId="166" fontId="0" fillId="13" borderId="4" xfId="1" applyNumberFormat="1" applyFont="1" applyFill="1" applyBorder="1"/>
    <xf numFmtId="166" fontId="40" fillId="13" borderId="4" xfId="1" applyNumberFormat="1" applyFont="1" applyFill="1" applyBorder="1"/>
    <xf numFmtId="0" fontId="72" fillId="0" borderId="0" xfId="0" applyFont="1" applyAlignment="1">
      <alignment vertical="center"/>
    </xf>
    <xf numFmtId="166" fontId="0" fillId="0" borderId="1" xfId="1" applyNumberFormat="1" applyFont="1" applyBorder="1"/>
    <xf numFmtId="166" fontId="40" fillId="0" borderId="1" xfId="1" applyNumberFormat="1" applyFont="1" applyBorder="1"/>
    <xf numFmtId="0" fontId="0" fillId="0" borderId="1" xfId="0" applyBorder="1"/>
    <xf numFmtId="166" fontId="0" fillId="14" borderId="1" xfId="1" applyNumberFormat="1" applyFont="1" applyFill="1" applyBorder="1" applyAlignment="1">
      <alignment vertical="center"/>
    </xf>
    <xf numFmtId="166" fontId="72" fillId="0" borderId="11" xfId="1" applyNumberFormat="1" applyFont="1" applyBorder="1" applyAlignment="1">
      <alignment vertical="center"/>
    </xf>
    <xf numFmtId="166" fontId="0" fillId="13" borderId="4" xfId="1" applyNumberFormat="1" applyFont="1" applyFill="1" applyBorder="1" applyAlignment="1">
      <alignment vertical="center"/>
    </xf>
    <xf numFmtId="166" fontId="0" fillId="0" borderId="12" xfId="1" applyNumberFormat="1" applyFont="1" applyBorder="1"/>
    <xf numFmtId="166" fontId="40" fillId="0" borderId="12" xfId="1" applyNumberFormat="1" applyFont="1" applyBorder="1"/>
    <xf numFmtId="166" fontId="0" fillId="5" borderId="4" xfId="1" applyNumberFormat="1" applyFont="1" applyFill="1" applyBorder="1"/>
    <xf numFmtId="166" fontId="40" fillId="5" borderId="4" xfId="1" applyNumberFormat="1" applyFont="1" applyFill="1" applyBorder="1"/>
    <xf numFmtId="166" fontId="0" fillId="5" borderId="4" xfId="1" applyNumberFormat="1" applyFont="1" applyFill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166" fontId="4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72" fontId="72" fillId="7" borderId="13" xfId="1" applyNumberFormat="1" applyFont="1" applyFill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0" fillId="5" borderId="4" xfId="0" applyFont="1" applyFill="1" applyBorder="1"/>
    <xf numFmtId="166" fontId="0" fillId="0" borderId="0" xfId="0" applyNumberFormat="1"/>
    <xf numFmtId="0" fontId="39" fillId="9" borderId="7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/>
    </xf>
    <xf numFmtId="166" fontId="0" fillId="14" borderId="3" xfId="1" applyNumberFormat="1" applyFont="1" applyFill="1" applyBorder="1" applyAlignment="1">
      <alignment vertical="center"/>
    </xf>
    <xf numFmtId="3" fontId="72" fillId="0" borderId="1" xfId="1" applyNumberFormat="1" applyFont="1" applyBorder="1"/>
    <xf numFmtId="9" fontId="72" fillId="0" borderId="5" xfId="2" applyFont="1" applyBorder="1" applyAlignment="1">
      <alignment vertical="center"/>
    </xf>
    <xf numFmtId="0" fontId="10" fillId="6" borderId="12" xfId="0" applyFont="1" applyFill="1" applyBorder="1" applyAlignment="1">
      <alignment horizontal="left" vertical="center"/>
    </xf>
    <xf numFmtId="0" fontId="10" fillId="14" borderId="12" xfId="0" applyFont="1" applyFill="1" applyBorder="1" applyAlignment="1">
      <alignment vertical="center" wrapText="1"/>
    </xf>
    <xf numFmtId="166" fontId="50" fillId="0" borderId="12" xfId="1" applyNumberFormat="1" applyFont="1" applyBorder="1"/>
    <xf numFmtId="0" fontId="1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0" fillId="7" borderId="13" xfId="0" applyFill="1" applyBorder="1"/>
    <xf numFmtId="0" fontId="0" fillId="14" borderId="13" xfId="0" applyFill="1" applyBorder="1"/>
    <xf numFmtId="0" fontId="72" fillId="0" borderId="2" xfId="0" applyFont="1" applyBorder="1"/>
    <xf numFmtId="9" fontId="72" fillId="0" borderId="13" xfId="2" applyFont="1" applyBorder="1"/>
    <xf numFmtId="166" fontId="0" fillId="0" borderId="0" xfId="1" applyNumberFormat="1" applyFont="1"/>
    <xf numFmtId="166" fontId="39" fillId="10" borderId="0" xfId="1" applyNumberFormat="1" applyFont="1" applyFill="1" applyAlignment="1">
      <alignment horizontal="center"/>
    </xf>
    <xf numFmtId="166" fontId="0" fillId="0" borderId="0" xfId="1" applyNumberFormat="1" applyFont="1" applyAlignment="1">
      <alignment vertical="center"/>
    </xf>
    <xf numFmtId="0" fontId="39" fillId="0" borderId="0" xfId="0" applyFont="1" applyAlignment="1">
      <alignment horizontal="center"/>
    </xf>
    <xf numFmtId="0" fontId="59" fillId="0" borderId="11" xfId="0" applyFont="1" applyBorder="1" applyAlignment="1">
      <alignment horizontal="center" vertical="center"/>
    </xf>
    <xf numFmtId="0" fontId="59" fillId="0" borderId="11" xfId="0" applyFont="1" applyBorder="1" applyAlignment="1">
      <alignment vertical="center"/>
    </xf>
    <xf numFmtId="0" fontId="59" fillId="0" borderId="11" xfId="0" applyFont="1" applyBorder="1" applyAlignment="1">
      <alignment vertical="center" wrapText="1"/>
    </xf>
    <xf numFmtId="0" fontId="59" fillId="0" borderId="0" xfId="0" applyFont="1" applyAlignment="1">
      <alignment vertical="center" wrapText="1"/>
    </xf>
    <xf numFmtId="0" fontId="57" fillId="0" borderId="0" xfId="0" applyFont="1" applyAlignment="1">
      <alignment vertical="center"/>
    </xf>
    <xf numFmtId="0" fontId="59" fillId="0" borderId="12" xfId="0" applyFont="1" applyBorder="1" applyAlignment="1">
      <alignment horizontal="center" vertical="center"/>
    </xf>
    <xf numFmtId="0" fontId="59" fillId="0" borderId="12" xfId="0" applyFont="1" applyBorder="1" applyAlignment="1">
      <alignment vertical="center"/>
    </xf>
    <xf numFmtId="0" fontId="59" fillId="0" borderId="12" xfId="0" applyFont="1" applyBorder="1" applyAlignment="1">
      <alignment vertical="center" wrapText="1"/>
    </xf>
    <xf numFmtId="0" fontId="59" fillId="0" borderId="13" xfId="0" applyFont="1" applyBorder="1" applyAlignment="1">
      <alignment horizontal="center" vertical="center"/>
    </xf>
    <xf numFmtId="0" fontId="59" fillId="0" borderId="13" xfId="0" applyFont="1" applyBorder="1" applyAlignment="1">
      <alignment vertical="center"/>
    </xf>
    <xf numFmtId="0" fontId="59" fillId="0" borderId="13" xfId="0" applyFont="1" applyBorder="1" applyAlignment="1">
      <alignment vertical="center" wrapText="1"/>
    </xf>
    <xf numFmtId="166" fontId="0" fillId="0" borderId="0" xfId="1" applyNumberFormat="1" applyFont="1" applyFill="1"/>
    <xf numFmtId="38" fontId="59" fillId="0" borderId="0" xfId="0" applyNumberFormat="1" applyFont="1" applyAlignment="1">
      <alignment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left"/>
    </xf>
    <xf numFmtId="38" fontId="59" fillId="0" borderId="0" xfId="1" applyNumberFormat="1" applyFont="1" applyFill="1" applyBorder="1" applyAlignment="1">
      <alignment vertical="center" wrapText="1"/>
    </xf>
    <xf numFmtId="167" fontId="25" fillId="14" borderId="1" xfId="1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vertical="center"/>
    </xf>
    <xf numFmtId="167" fontId="10" fillId="14" borderId="1" xfId="1" applyNumberFormat="1" applyFont="1" applyFill="1" applyBorder="1" applyAlignment="1">
      <alignment horizontal="center" vertical="center"/>
    </xf>
    <xf numFmtId="9" fontId="10" fillId="14" borderId="1" xfId="2" applyFont="1" applyFill="1" applyBorder="1" applyAlignment="1">
      <alignment horizontal="center" vertical="center"/>
    </xf>
    <xf numFmtId="37" fontId="11" fillId="14" borderId="6" xfId="1" applyNumberFormat="1" applyFont="1" applyFill="1" applyBorder="1" applyAlignment="1">
      <alignment vertical="center"/>
    </xf>
    <xf numFmtId="167" fontId="11" fillId="14" borderId="1" xfId="1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vertical="center" wrapText="1"/>
    </xf>
    <xf numFmtId="167" fontId="18" fillId="14" borderId="1" xfId="1" applyNumberFormat="1" applyFont="1" applyFill="1" applyBorder="1" applyAlignment="1">
      <alignment horizontal="center" vertical="center"/>
    </xf>
    <xf numFmtId="9" fontId="18" fillId="14" borderId="1" xfId="2" applyFont="1" applyFill="1" applyBorder="1" applyAlignment="1">
      <alignment horizontal="center" vertical="center"/>
    </xf>
    <xf numFmtId="37" fontId="11" fillId="14" borderId="1" xfId="1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49" fontId="77" fillId="0" borderId="1" xfId="0" applyNumberFormat="1" applyFont="1" applyBorder="1" applyAlignment="1">
      <alignment horizontal="left" vertical="center"/>
    </xf>
    <xf numFmtId="0" fontId="77" fillId="0" borderId="1" xfId="0" applyFont="1" applyBorder="1" applyAlignment="1">
      <alignment vertical="center"/>
    </xf>
    <xf numFmtId="167" fontId="77" fillId="0" borderId="1" xfId="1" applyNumberFormat="1" applyFont="1" applyFill="1" applyBorder="1" applyAlignment="1">
      <alignment horizontal="center" vertical="center"/>
    </xf>
    <xf numFmtId="9" fontId="77" fillId="0" borderId="1" xfId="2" applyFont="1" applyFill="1" applyBorder="1" applyAlignment="1">
      <alignment horizontal="center" vertical="center"/>
    </xf>
    <xf numFmtId="167" fontId="78" fillId="0" borderId="1" xfId="1" applyNumberFormat="1" applyFont="1" applyFill="1" applyBorder="1" applyAlignment="1">
      <alignment horizontal="center" vertical="center"/>
    </xf>
    <xf numFmtId="166" fontId="77" fillId="0" borderId="6" xfId="1" applyNumberFormat="1" applyFont="1" applyFill="1" applyBorder="1" applyAlignment="1">
      <alignment vertical="center"/>
    </xf>
    <xf numFmtId="0" fontId="77" fillId="0" borderId="0" xfId="0" applyFont="1"/>
    <xf numFmtId="166" fontId="77" fillId="0" borderId="0" xfId="1" applyNumberFormat="1" applyFont="1" applyFill="1"/>
    <xf numFmtId="167" fontId="77" fillId="14" borderId="1" xfId="1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top" wrapText="1"/>
    </xf>
    <xf numFmtId="0" fontId="63" fillId="0" borderId="1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9" fillId="9" borderId="8" xfId="0" applyFont="1" applyFill="1" applyBorder="1" applyAlignment="1">
      <alignment horizontal="center" vertical="center" wrapText="1"/>
    </xf>
    <xf numFmtId="0" fontId="39" fillId="9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9" fillId="0" borderId="20" xfId="0" applyFont="1" applyBorder="1" applyAlignment="1">
      <alignment horizontal="center" vertical="center"/>
    </xf>
    <xf numFmtId="0" fontId="59" fillId="0" borderId="21" xfId="0" applyFont="1" applyBorder="1" applyAlignment="1">
      <alignment horizontal="center" vertical="center"/>
    </xf>
    <xf numFmtId="0" fontId="59" fillId="0" borderId="20" xfId="0" applyFont="1" applyBorder="1" applyAlignment="1">
      <alignment horizontal="left" vertical="center" wrapText="1"/>
    </xf>
    <xf numFmtId="0" fontId="59" fillId="0" borderId="21" xfId="0" applyFont="1" applyBorder="1" applyAlignment="1">
      <alignment horizontal="left" vertical="center" wrapText="1"/>
    </xf>
    <xf numFmtId="0" fontId="59" fillId="0" borderId="20" xfId="0" applyFont="1" applyBorder="1" applyAlignment="1">
      <alignment horizontal="center" vertical="center" wrapText="1"/>
    </xf>
    <xf numFmtId="0" fontId="59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5" fillId="0" borderId="8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0" fontId="65" fillId="0" borderId="10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5" fillId="0" borderId="19" xfId="0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65" fillId="0" borderId="17" xfId="0" applyFont="1" applyBorder="1" applyAlignment="1">
      <alignment horizontal="center" vertical="center" wrapText="1"/>
    </xf>
    <xf numFmtId="0" fontId="65" fillId="0" borderId="1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</cellXfs>
  <cellStyles count="27">
    <cellStyle name="Comma" xfId="1" builtinId="3"/>
    <cellStyle name="Comma 2" xfId="8" xr:uid="{1D4D0BD3-0135-43EF-90B0-A55FA45DADD1}"/>
    <cellStyle name="Comma 2 2" xfId="19" xr:uid="{D0E14C7F-030D-4EEC-91CF-0825FEE4DBA1}"/>
    <cellStyle name="Comma 2 3" xfId="21" xr:uid="{712DD6AE-66A9-41C7-926C-8405C541379D}"/>
    <cellStyle name="Comma 3" xfId="14" xr:uid="{1BAFD3D8-2BA9-4609-9E54-B85A7B58D080}"/>
    <cellStyle name="Comma 4" xfId="3" xr:uid="{C5CA10F9-D1C0-45B3-B721-9884CDB13EEF}"/>
    <cellStyle name="Comma 4 2" xfId="6" xr:uid="{B8D7C8D2-92FF-4DBB-98A2-08406EF212F9}"/>
    <cellStyle name="Currency 2" xfId="10" xr:uid="{D48CDE93-D029-48F8-A2F5-E27503AF4A8A}"/>
    <cellStyle name="Normal" xfId="0" builtinId="0"/>
    <cellStyle name="Normal 10" xfId="12" xr:uid="{07E5CF99-97DC-49AE-BFAF-84A2EF757B2C}"/>
    <cellStyle name="Normal 2" xfId="5" xr:uid="{1038F218-BF0B-4341-878D-65450F0612A6}"/>
    <cellStyle name="Normal 2 2" xfId="4" xr:uid="{A5D3326E-B969-4EF9-B83B-0D6EA0A9499A}"/>
    <cellStyle name="Normal 2 2 2" xfId="22" xr:uid="{383F0192-6AAF-418B-822A-458A473820A4}"/>
    <cellStyle name="Normal 2 2 3" xfId="11" xr:uid="{FCDA1E00-8871-4CE6-9DE6-E1F9FC5D82CA}"/>
    <cellStyle name="Normal 2 3" xfId="13" xr:uid="{8A7651DC-7CFF-4740-8DE7-A4D111702B1D}"/>
    <cellStyle name="Normal 2 3 2" xfId="24" xr:uid="{77A282CD-4127-43C8-9AA3-121C4414590E}"/>
    <cellStyle name="Normal 2 4" xfId="16" xr:uid="{3EDE1C06-8DF2-4033-B688-AD32F11DCC2E}"/>
    <cellStyle name="Normal 2 4 2" xfId="26" xr:uid="{7BD8AE0E-295E-426B-83E5-5FA3523BCA1C}"/>
    <cellStyle name="Normal 2 5" xfId="7" xr:uid="{2B3AF246-C9A9-4994-AE83-9AE5DD210A48}"/>
    <cellStyle name="Normal 2 6" xfId="25" xr:uid="{D7B76172-0A6B-433B-B4AA-F3C104453FCD}"/>
    <cellStyle name="Normal 3" xfId="17" xr:uid="{20FC5B1F-4EDB-4BA9-BCE7-F28057660DFC}"/>
    <cellStyle name="Normal 4" xfId="18" xr:uid="{0FA42F11-DE6A-44D8-ADF3-50004F1236C5}"/>
    <cellStyle name="Normal 6" xfId="23" xr:uid="{C9B3733F-C919-4F64-A2CE-0211D0791102}"/>
    <cellStyle name="Percent" xfId="2" builtinId="5"/>
    <cellStyle name="Percent 2" xfId="9" xr:uid="{9E29885F-E948-410B-9FC4-62B39600EC25}"/>
    <cellStyle name="Percent 2 2" xfId="20" xr:uid="{6BE04692-1F5F-42AB-A141-5F8DFD24D76A}"/>
    <cellStyle name="Percent 3" xfId="15" xr:uid="{74E9EF8A-95D6-49F9-9EAC-2CF5F644520D}"/>
  </cellStyles>
  <dxfs count="0"/>
  <tableStyles count="0" defaultTableStyle="TableStyleMedium2" defaultPivotStyle="PivotStyleLight16"/>
  <colors>
    <mruColors>
      <color rgb="FF0000FF"/>
      <color rgb="FFFF33CC"/>
      <color rgb="FF002060"/>
      <color rgb="FF3333CC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167</xdr:row>
      <xdr:rowOff>72573</xdr:rowOff>
    </xdr:from>
    <xdr:to>
      <xdr:col>23</xdr:col>
      <xdr:colOff>598716</xdr:colOff>
      <xdr:row>208</xdr:row>
      <xdr:rowOff>81622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097F61-13BB-151A-9BFF-6B1C7576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9" y="6422573"/>
          <a:ext cx="14523358" cy="7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9071</xdr:colOff>
      <xdr:row>132</xdr:row>
      <xdr:rowOff>0</xdr:rowOff>
    </xdr:from>
    <xdr:to>
      <xdr:col>23</xdr:col>
      <xdr:colOff>508000</xdr:colOff>
      <xdr:row>165</xdr:row>
      <xdr:rowOff>168129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C53F3F-05BE-3F1E-F253-622E4A684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71" y="0"/>
          <a:ext cx="14478000" cy="6155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23</xdr:col>
      <xdr:colOff>353786</xdr:colOff>
      <xdr:row>131</xdr:row>
      <xdr:rowOff>38885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E2DEC-E7CC-D504-91A8-26DDA6644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4332857" cy="6388885"/>
        </a:xfrm>
        <a:prstGeom prst="rect">
          <a:avLst/>
        </a:prstGeom>
      </xdr:spPr>
    </xdr:pic>
    <xdr:clientData/>
  </xdr:twoCellAnchor>
  <xdr:twoCellAnchor editAs="oneCell">
    <xdr:from>
      <xdr:col>0</xdr:col>
      <xdr:colOff>57727</xdr:colOff>
      <xdr:row>51</xdr:row>
      <xdr:rowOff>92364</xdr:rowOff>
    </xdr:from>
    <xdr:to>
      <xdr:col>23</xdr:col>
      <xdr:colOff>450273</xdr:colOff>
      <xdr:row>90</xdr:row>
      <xdr:rowOff>46181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9BDC1-B7FE-BE06-7953-EB2DCC20A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27" y="92364"/>
          <a:ext cx="14466455" cy="7158181"/>
        </a:xfrm>
        <a:prstGeom prst="rect">
          <a:avLst/>
        </a:prstGeom>
      </xdr:spPr>
    </xdr:pic>
    <xdr:clientData/>
  </xdr:twoCellAnchor>
  <xdr:twoCellAnchor editAs="oneCell">
    <xdr:from>
      <xdr:col>0</xdr:col>
      <xdr:colOff>92364</xdr:colOff>
      <xdr:row>0</xdr:row>
      <xdr:rowOff>173181</xdr:rowOff>
    </xdr:from>
    <xdr:to>
      <xdr:col>23</xdr:col>
      <xdr:colOff>565727</xdr:colOff>
      <xdr:row>40</xdr:row>
      <xdr:rowOff>80817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29FAF0-B019-7E86-DA8E-E63C78A7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364" y="173181"/>
          <a:ext cx="14547272" cy="7296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36286</xdr:colOff>
      <xdr:row>1</xdr:row>
      <xdr:rowOff>254000</xdr:rowOff>
    </xdr:from>
    <xdr:to>
      <xdr:col>2</xdr:col>
      <xdr:colOff>1009197</xdr:colOff>
      <xdr:row>3</xdr:row>
      <xdr:rowOff>27214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ECC7B3-F12F-468C-B92B-EE782B7F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45143" y="435429"/>
          <a:ext cx="1317625" cy="408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29882</xdr:colOff>
      <xdr:row>1</xdr:row>
      <xdr:rowOff>224119</xdr:rowOff>
    </xdr:from>
    <xdr:to>
      <xdr:col>3</xdr:col>
      <xdr:colOff>477717</xdr:colOff>
      <xdr:row>2</xdr:row>
      <xdr:rowOff>318568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FDA8E-97C0-4E9D-A3F1-9D44C38B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34470" y="403413"/>
          <a:ext cx="1317625" cy="4082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321235</xdr:colOff>
      <xdr:row>1</xdr:row>
      <xdr:rowOff>254000</xdr:rowOff>
    </xdr:from>
    <xdr:to>
      <xdr:col>2</xdr:col>
      <xdr:colOff>1257860</xdr:colOff>
      <xdr:row>3</xdr:row>
      <xdr:rowOff>12273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97C46-8525-4768-A5AB-FF4E04E54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25823" y="433294"/>
          <a:ext cx="1317625" cy="4082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44450</xdr:rowOff>
    </xdr:from>
    <xdr:to>
      <xdr:col>4</xdr:col>
      <xdr:colOff>165229</xdr:colOff>
      <xdr:row>4</xdr:row>
      <xdr:rowOff>177835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0188B-D1E5-324F-2592-9DBAA9CD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228600"/>
          <a:ext cx="2502029" cy="6858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104588</xdr:colOff>
      <xdr:row>1</xdr:row>
      <xdr:rowOff>201706</xdr:rowOff>
    </xdr:from>
    <xdr:to>
      <xdr:col>2</xdr:col>
      <xdr:colOff>936625</xdr:colOff>
      <xdr:row>2</xdr:row>
      <xdr:rowOff>281214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F16DBF-3FBF-4E2D-97C2-BAC643037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79294" y="410882"/>
          <a:ext cx="1317625" cy="4082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87313</xdr:colOff>
      <xdr:row>1</xdr:row>
      <xdr:rowOff>254000</xdr:rowOff>
    </xdr:from>
    <xdr:to>
      <xdr:col>2</xdr:col>
      <xdr:colOff>920750</xdr:colOff>
      <xdr:row>3</xdr:row>
      <xdr:rowOff>19276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9B188-1C6B-4545-95CE-F7EA3B817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66688" y="460375"/>
          <a:ext cx="1317625" cy="4082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108857</xdr:colOff>
      <xdr:row>1</xdr:row>
      <xdr:rowOff>272143</xdr:rowOff>
    </xdr:from>
    <xdr:to>
      <xdr:col>2</xdr:col>
      <xdr:colOff>1063625</xdr:colOff>
      <xdr:row>3</xdr:row>
      <xdr:rowOff>45357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C2B2C-F217-4F01-A409-FF479017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45143" y="480786"/>
          <a:ext cx="1317625" cy="4082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523872</xdr:colOff>
      <xdr:row>1</xdr:row>
      <xdr:rowOff>103188</xdr:rowOff>
    </xdr:from>
    <xdr:to>
      <xdr:col>23</xdr:col>
      <xdr:colOff>150813</xdr:colOff>
      <xdr:row>4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CDEF4F-BE2C-C040-4BB9-19C87AFEA982}"/>
            </a:ext>
          </a:extLst>
        </xdr:cNvPr>
        <xdr:cNvSpPr txBox="1"/>
      </xdr:nvSpPr>
      <xdr:spPr>
        <a:xfrm>
          <a:off x="13874747" y="103188"/>
          <a:ext cx="2643191" cy="89693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HD Ép</a:t>
          </a:r>
          <a:r>
            <a:rPr lang="en-US" sz="1400" b="1" baseline="0">
              <a:solidFill>
                <a:srgbClr val="FF0000"/>
              </a:solidFill>
            </a:rPr>
            <a:t> và PP (nội địa):</a:t>
          </a:r>
        </a:p>
        <a:p>
          <a:r>
            <a:rPr lang="en-US" sz="1400" baseline="0">
              <a:solidFill>
                <a:srgbClr val="FF0000"/>
              </a:solidFill>
            </a:rPr>
            <a:t>1. Vảy rẻ hơn chính phẩm 10%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Hạt rẻ hơn chính phẩm 5%</a:t>
          </a:r>
          <a:endParaRPr lang="en-US" sz="1400">
            <a:solidFill>
              <a:srgbClr val="FF0000"/>
            </a:solidFill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1</xdr:col>
      <xdr:colOff>95250</xdr:colOff>
      <xdr:row>1</xdr:row>
      <xdr:rowOff>285750</xdr:rowOff>
    </xdr:from>
    <xdr:to>
      <xdr:col>2</xdr:col>
      <xdr:colOff>1050925</xdr:colOff>
      <xdr:row>3</xdr:row>
      <xdr:rowOff>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136F3-A33A-411F-8E00-54DFBA90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33350" y="495300"/>
          <a:ext cx="1317625" cy="337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1</xdr:row>
      <xdr:rowOff>254001</xdr:rowOff>
    </xdr:from>
    <xdr:to>
      <xdr:col>2</xdr:col>
      <xdr:colOff>976313</xdr:colOff>
      <xdr:row>2</xdr:row>
      <xdr:rowOff>281473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AEFC1-13FB-4E2E-99F5-C47E3D59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03188" y="460376"/>
          <a:ext cx="1317625" cy="3370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2006600</xdr:colOff>
      <xdr:row>6</xdr:row>
      <xdr:rowOff>148590</xdr:rowOff>
    </xdr:from>
    <xdr:to>
      <xdr:col>22</xdr:col>
      <xdr:colOff>427300</xdr:colOff>
      <xdr:row>29</xdr:row>
      <xdr:rowOff>128952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F1CB758-E125-E08A-BBDE-568F4CB6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7600" y="739140"/>
          <a:ext cx="10600000" cy="47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Kinh%20Doanh\2009\1%20%20Working%20Data\1.05%20%20Products\Bang%20ke%2012%2009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KTQT/06.B&#193;O%20C&#193;O%20GI&#193;%20MUA%20-%20GI&#193;%20B&#193;N%20-%20GI&#193;%20TH&#192;NH/GI&#193;%20B&#193;N/N&#259;m%202025/T2/DTR-%20B&#7843;ng%20gi&#225;%20T1.2025%20-%20V1.xlsx" TargetMode="External"/><Relationship Id="rId1" Type="http://schemas.openxmlformats.org/officeDocument/2006/relationships/externalLinkPath" Target="https://dtg-my.sharepoint.com/personal/nguyenthithanhdiem_duytanrecycling_com/Documents/KTQT/06.B&#193;O%20C&#193;O%20GI&#193;%20MUA%20-%20GI&#193;%20B&#193;N%20-%20GI&#193;%20TH&#192;NH/GI&#193;%20B&#193;N/N&#259;m%202025/T2/DTR-%20B&#7843;ng%20gi&#225;%20T1.2025%20-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12.05.09"/>
      <sheetName val="Sheet3"/>
      <sheetName val="B2,3"/>
      <sheetName val="B.4"/>
      <sheetName val="B.5"/>
      <sheetName val="B.7"/>
      <sheetName val="B7"/>
      <sheetName val="B8"/>
      <sheetName val="B10"/>
      <sheetName val="B11"/>
      <sheetName val="B12"/>
      <sheetName val="B13"/>
      <sheetName val="B14"/>
      <sheetName val="B15"/>
      <sheetName val="01"/>
      <sheetName val="BIEU DO PHE"/>
    </sheetNames>
    <sheetDataSet>
      <sheetData sheetId="0"/>
      <sheetData sheetId="1"/>
      <sheetData sheetId="2">
        <row r="2">
          <cell r="A2" t="str">
            <v>Sanofi</v>
          </cell>
          <cell r="B2" t="str">
            <v>HDPE</v>
          </cell>
          <cell r="C2">
            <v>265</v>
          </cell>
        </row>
        <row r="3">
          <cell r="A3" t="str">
            <v>SPM</v>
          </cell>
          <cell r="B3" t="str">
            <v>PP</v>
          </cell>
          <cell r="C3">
            <v>167</v>
          </cell>
        </row>
        <row r="4">
          <cell r="A4" t="str">
            <v>Virbac</v>
          </cell>
          <cell r="B4" t="str">
            <v>PS</v>
          </cell>
          <cell r="C4">
            <v>65</v>
          </cell>
        </row>
        <row r="5">
          <cell r="A5" t="str">
            <v>Greencross</v>
          </cell>
          <cell r="B5" t="str">
            <v>LDPE</v>
          </cell>
          <cell r="C5">
            <v>1000</v>
          </cell>
        </row>
        <row r="6">
          <cell r="A6" t="str">
            <v>Omnicel</v>
          </cell>
          <cell r="C6">
            <v>1750</v>
          </cell>
        </row>
        <row r="7">
          <cell r="A7" t="str">
            <v>Polystar Industries</v>
          </cell>
          <cell r="C7">
            <v>5000</v>
          </cell>
        </row>
        <row r="8">
          <cell r="C8">
            <v>66</v>
          </cell>
        </row>
        <row r="9">
          <cell r="C9">
            <v>172</v>
          </cell>
        </row>
        <row r="10">
          <cell r="C10">
            <v>260</v>
          </cell>
        </row>
        <row r="11">
          <cell r="C11">
            <v>0</v>
          </cell>
        </row>
        <row r="12">
          <cell r="C12">
            <v>45</v>
          </cell>
        </row>
        <row r="13">
          <cell r="C13">
            <v>130</v>
          </cell>
        </row>
        <row r="14">
          <cell r="C14">
            <v>48</v>
          </cell>
        </row>
        <row r="15">
          <cell r="C15">
            <v>40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iểm HV"/>
      <sheetName val="TH"/>
      <sheetName val="Ghi chú"/>
      <sheetName val="Sheet1"/>
      <sheetName val="giá ICIS"/>
      <sheetName val="1. rPET"/>
      <sheetName val="2. rPET- nội bộ "/>
      <sheetName val="3. rPET USA "/>
      <sheetName val="Giới hạn "/>
      <sheetName val="4. rHDPE "/>
      <sheetName val="5.Vảy HDPE- Ép"/>
      <sheetName val="6. rPP "/>
      <sheetName val="7. Vảy PP"/>
      <sheetName val="8. Hạt phó sản"/>
      <sheetName val="Giải thích phó sả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R2">
            <v>820</v>
          </cell>
        </row>
      </sheetData>
      <sheetData sheetId="6">
        <row r="20">
          <cell r="M20">
            <v>1170</v>
          </cell>
        </row>
      </sheetData>
      <sheetData sheetId="7" refreshError="1"/>
      <sheetData sheetId="8" refreshError="1"/>
      <sheetData sheetId="9">
        <row r="2">
          <cell r="R2">
            <v>940</v>
          </cell>
        </row>
        <row r="11">
          <cell r="I11">
            <v>1400</v>
          </cell>
        </row>
        <row r="12">
          <cell r="I12">
            <v>1350</v>
          </cell>
        </row>
        <row r="14">
          <cell r="I14">
            <v>1350</v>
          </cell>
        </row>
      </sheetData>
      <sheetData sheetId="10">
        <row r="2">
          <cell r="R2">
            <v>940</v>
          </cell>
        </row>
      </sheetData>
      <sheetData sheetId="11">
        <row r="2">
          <cell r="R2">
            <v>960</v>
          </cell>
        </row>
      </sheetData>
      <sheetData sheetId="12">
        <row r="10">
          <cell r="M10">
            <v>855</v>
          </cell>
        </row>
      </sheetData>
      <sheetData sheetId="13">
        <row r="10">
          <cell r="S10">
            <v>820</v>
          </cell>
        </row>
        <row r="13">
          <cell r="N13">
            <v>1000</v>
          </cell>
        </row>
        <row r="14">
          <cell r="N14">
            <v>1050</v>
          </cell>
        </row>
        <row r="15">
          <cell r="N15">
            <v>950</v>
          </cell>
        </row>
        <row r="16">
          <cell r="N16">
            <v>1100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FADA-5672-409A-AF41-D0D1976A797B}">
  <sheetPr>
    <tabColor theme="5" tint="0.39997558519241921"/>
  </sheetPr>
  <dimension ref="A1:AC47"/>
  <sheetViews>
    <sheetView workbookViewId="0">
      <pane ySplit="1" topLeftCell="A2" activePane="bottomLeft" state="frozen"/>
      <selection activeCell="F8" sqref="F8"/>
      <selection pane="bottomLeft" activeCell="F8" sqref="F8"/>
    </sheetView>
  </sheetViews>
  <sheetFormatPr defaultColWidth="8.81640625" defaultRowHeight="21"/>
  <cols>
    <col min="1" max="1" width="8.81640625" style="240"/>
    <col min="2" max="2" width="32" style="240" customWidth="1"/>
    <col min="3" max="14" width="8" style="240" customWidth="1"/>
    <col min="15" max="15" width="8" style="239" customWidth="1"/>
    <col min="16" max="23" width="8.81640625" style="240"/>
    <col min="24" max="25" width="9.36328125" style="240" bestFit="1" customWidth="1"/>
    <col min="26" max="27" width="8.81640625" style="240"/>
    <col min="28" max="28" width="37.6328125" style="240" customWidth="1"/>
    <col min="29" max="16384" width="8.81640625" style="240"/>
  </cols>
  <sheetData>
    <row r="1" spans="2:29">
      <c r="B1" s="239" t="s">
        <v>277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</row>
    <row r="3" spans="2:29">
      <c r="B3" s="239" t="s">
        <v>278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P3" s="239">
        <v>2024</v>
      </c>
    </row>
    <row r="4" spans="2:29" ht="18.649999999999999" customHeight="1">
      <c r="B4" s="241"/>
      <c r="C4" s="241">
        <v>1</v>
      </c>
      <c r="D4" s="241">
        <v>2</v>
      </c>
      <c r="E4" s="241">
        <v>3</v>
      </c>
      <c r="F4" s="241">
        <v>4</v>
      </c>
      <c r="G4" s="241">
        <v>5</v>
      </c>
      <c r="H4" s="241">
        <v>6</v>
      </c>
      <c r="I4" s="241">
        <v>7</v>
      </c>
      <c r="J4" s="241">
        <v>8</v>
      </c>
      <c r="K4" s="241">
        <v>9</v>
      </c>
      <c r="L4" s="241">
        <v>10</v>
      </c>
      <c r="M4" s="241">
        <v>11</v>
      </c>
      <c r="N4" s="241">
        <v>12</v>
      </c>
      <c r="P4" s="241">
        <v>1</v>
      </c>
      <c r="Q4" s="241">
        <f>+P4+1</f>
        <v>2</v>
      </c>
      <c r="R4" s="241">
        <f t="shared" ref="R4:AA4" si="0">+Q4+1</f>
        <v>3</v>
      </c>
      <c r="S4" s="241">
        <f t="shared" si="0"/>
        <v>4</v>
      </c>
      <c r="T4" s="241">
        <f t="shared" si="0"/>
        <v>5</v>
      </c>
      <c r="U4" s="241">
        <f t="shared" si="0"/>
        <v>6</v>
      </c>
      <c r="V4" s="241">
        <f t="shared" si="0"/>
        <v>7</v>
      </c>
      <c r="W4" s="241">
        <f t="shared" si="0"/>
        <v>8</v>
      </c>
      <c r="X4" s="241">
        <f t="shared" si="0"/>
        <v>9</v>
      </c>
      <c r="Y4" s="241">
        <f t="shared" si="0"/>
        <v>10</v>
      </c>
      <c r="Z4" s="241">
        <f t="shared" si="0"/>
        <v>11</v>
      </c>
      <c r="AA4" s="241">
        <f t="shared" si="0"/>
        <v>12</v>
      </c>
    </row>
    <row r="5" spans="2:29">
      <c r="B5" s="191" t="s">
        <v>279</v>
      </c>
      <c r="C5" s="242">
        <v>1255.3063723545329</v>
      </c>
      <c r="D5" s="242">
        <v>1248.8001246612296</v>
      </c>
      <c r="E5" s="242"/>
      <c r="F5" s="242"/>
      <c r="G5" s="242"/>
      <c r="H5" s="242"/>
      <c r="I5" s="242"/>
      <c r="J5" s="242"/>
      <c r="K5" s="242"/>
      <c r="L5" s="242"/>
      <c r="M5" s="242"/>
      <c r="N5" s="242"/>
      <c r="P5" s="242"/>
      <c r="Q5" s="242"/>
      <c r="R5" s="242"/>
      <c r="S5" s="242"/>
      <c r="T5" s="242"/>
      <c r="U5" s="242"/>
      <c r="V5" s="242">
        <v>1203.2322672645196</v>
      </c>
      <c r="W5" s="242">
        <v>1151.9819990689125</v>
      </c>
      <c r="X5" s="242">
        <v>1196.6936553745099</v>
      </c>
      <c r="Y5" s="242">
        <v>1204.3399839794997</v>
      </c>
      <c r="Z5" s="242">
        <v>1235.0904858891931</v>
      </c>
      <c r="AA5" s="242">
        <v>1246.7518805451791</v>
      </c>
    </row>
    <row r="6" spans="2:29">
      <c r="B6" s="191" t="s">
        <v>280</v>
      </c>
      <c r="C6" s="242">
        <v>1307.0033466242392</v>
      </c>
      <c r="D6" s="242">
        <v>1299.7162767975042</v>
      </c>
      <c r="E6" s="242"/>
      <c r="F6" s="242"/>
      <c r="G6" s="242"/>
      <c r="H6" s="242"/>
      <c r="I6" s="242"/>
      <c r="J6" s="242"/>
      <c r="K6" s="242"/>
      <c r="L6" s="242"/>
      <c r="M6" s="242"/>
      <c r="N6" s="242"/>
      <c r="P6" s="191"/>
      <c r="Q6" s="191"/>
      <c r="R6" s="191"/>
      <c r="S6" s="191"/>
      <c r="T6" s="191"/>
      <c r="U6" s="191"/>
      <c r="V6" s="242">
        <v>1239.4846325807182</v>
      </c>
      <c r="W6" s="242">
        <v>1189.7420797999589</v>
      </c>
      <c r="X6" s="242">
        <v>1233.5112320090122</v>
      </c>
      <c r="Y6" s="242">
        <v>1247.5870566489925</v>
      </c>
      <c r="Z6" s="242">
        <v>1279.9365484219343</v>
      </c>
      <c r="AA6" s="242">
        <v>1296.9389421407955</v>
      </c>
    </row>
    <row r="7" spans="2:29">
      <c r="B7" s="191" t="s">
        <v>281</v>
      </c>
      <c r="C7" s="242">
        <v>1149.0656212456199</v>
      </c>
      <c r="D7" s="242">
        <v>1142.8708031605913</v>
      </c>
      <c r="E7" s="242"/>
      <c r="F7" s="242"/>
      <c r="G7" s="242"/>
      <c r="H7" s="242"/>
      <c r="I7" s="242"/>
      <c r="J7" s="242"/>
      <c r="K7" s="242"/>
      <c r="L7" s="242"/>
      <c r="M7" s="242"/>
      <c r="N7" s="242"/>
      <c r="P7" s="191"/>
      <c r="Q7" s="191"/>
      <c r="R7" s="191"/>
      <c r="S7" s="191"/>
      <c r="T7" s="191"/>
      <c r="U7" s="191"/>
      <c r="V7" s="242">
        <v>1162.030651857579</v>
      </c>
      <c r="W7" s="242">
        <v>1122.379561386573</v>
      </c>
      <c r="X7" s="242">
        <v>1136.299194122862</v>
      </c>
      <c r="Y7" s="242">
        <v>1142.5355284506807</v>
      </c>
      <c r="Z7" s="242">
        <v>1156.2791659310071</v>
      </c>
      <c r="AA7" s="242">
        <v>1156.3142353083852</v>
      </c>
    </row>
    <row r="8" spans="2:29">
      <c r="B8" s="191" t="s">
        <v>282</v>
      </c>
      <c r="C8" s="242">
        <v>1200.762595515326</v>
      </c>
      <c r="D8" s="242">
        <v>1193.7869552968659</v>
      </c>
      <c r="E8" s="242"/>
      <c r="F8" s="242"/>
      <c r="G8" s="242"/>
      <c r="H8" s="242"/>
      <c r="I8" s="242"/>
      <c r="J8" s="242"/>
      <c r="K8" s="242"/>
      <c r="L8" s="242"/>
      <c r="M8" s="242"/>
      <c r="N8" s="242"/>
      <c r="P8" s="191"/>
      <c r="Q8" s="191"/>
      <c r="R8" s="191"/>
      <c r="S8" s="191"/>
      <c r="T8" s="191"/>
      <c r="U8" s="191"/>
      <c r="V8" s="242">
        <v>1198.283017173778</v>
      </c>
      <c r="W8" s="242">
        <v>1160.1396421176194</v>
      </c>
      <c r="X8" s="242">
        <v>1173.1167707573643</v>
      </c>
      <c r="Y8" s="242">
        <v>1185.7826011201737</v>
      </c>
      <c r="Z8" s="242">
        <v>1201.1252284637485</v>
      </c>
      <c r="AA8" s="242">
        <v>1206.5012969040015</v>
      </c>
    </row>
    <row r="9" spans="2:29">
      <c r="B9" s="243" t="s">
        <v>283</v>
      </c>
      <c r="C9" s="244">
        <v>1180.9378465782938</v>
      </c>
      <c r="D9" s="244">
        <v>1185.2425317608468</v>
      </c>
      <c r="E9" s="244"/>
      <c r="F9" s="244"/>
      <c r="G9" s="244"/>
      <c r="H9" s="244"/>
      <c r="I9" s="244"/>
      <c r="J9" s="244"/>
      <c r="K9" s="244"/>
      <c r="L9" s="244"/>
      <c r="M9" s="244"/>
      <c r="N9" s="244"/>
      <c r="P9" s="243"/>
      <c r="Q9" s="243"/>
      <c r="R9" s="243"/>
      <c r="S9" s="243"/>
      <c r="T9" s="243"/>
      <c r="U9" s="243"/>
      <c r="V9" s="244">
        <v>1174.3911364796611</v>
      </c>
      <c r="W9" s="244">
        <v>1131.2602926912748</v>
      </c>
      <c r="X9" s="244">
        <v>1154.4175324983562</v>
      </c>
      <c r="Y9" s="244">
        <v>1161.0768651093263</v>
      </c>
      <c r="Z9" s="244">
        <v>1179.9225619184629</v>
      </c>
      <c r="AA9" s="245">
        <v>1183.4455288794234</v>
      </c>
      <c r="AB9" s="240">
        <v>1300</v>
      </c>
      <c r="AC9" s="246">
        <f>+AB9-AA9</f>
        <v>116.55447112057664</v>
      </c>
    </row>
    <row r="10" spans="2:29">
      <c r="B10" s="243" t="s">
        <v>284</v>
      </c>
      <c r="C10" s="244">
        <v>1232.6348208479999</v>
      </c>
      <c r="D10" s="244">
        <v>1236.1586838971214</v>
      </c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P10" s="243"/>
      <c r="Q10" s="243"/>
      <c r="R10" s="243"/>
      <c r="S10" s="243"/>
      <c r="T10" s="243"/>
      <c r="U10" s="243"/>
      <c r="V10" s="244">
        <v>1210.6435017958599</v>
      </c>
      <c r="W10" s="244">
        <v>1169.020373422321</v>
      </c>
      <c r="X10" s="244">
        <v>1191.2351091328587</v>
      </c>
      <c r="Y10" s="244">
        <v>1204.3239377788193</v>
      </c>
      <c r="Z10" s="244">
        <v>1224.768624451204</v>
      </c>
      <c r="AA10" s="244">
        <v>1233.6325904750397</v>
      </c>
      <c r="AB10" s="247">
        <f>+AA9*105%</f>
        <v>1242.6178053233946</v>
      </c>
    </row>
    <row r="11" spans="2:29">
      <c r="B11" s="243" t="s">
        <v>285</v>
      </c>
      <c r="C11" s="244">
        <v>897.41260784341648</v>
      </c>
      <c r="D11" s="244">
        <v>824.96686992626633</v>
      </c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P11" s="243"/>
      <c r="Q11" s="243"/>
      <c r="R11" s="243"/>
      <c r="S11" s="243"/>
      <c r="T11" s="243"/>
      <c r="U11" s="243"/>
      <c r="V11" s="244">
        <v>841</v>
      </c>
      <c r="W11" s="244">
        <v>841.189769849134</v>
      </c>
      <c r="X11" s="244">
        <v>855.18923922193733</v>
      </c>
      <c r="Y11" s="244">
        <v>891.81591143696426</v>
      </c>
      <c r="Z11" s="244">
        <v>917.03827995906045</v>
      </c>
      <c r="AA11" s="244">
        <v>895.03115279180724</v>
      </c>
      <c r="AB11" s="246">
        <f>+AB9-AB10</f>
        <v>57.382194676605423</v>
      </c>
      <c r="AC11" s="248">
        <f>+AB11/AB10</f>
        <v>4.6178474532377681E-2</v>
      </c>
    </row>
    <row r="14" spans="2:29">
      <c r="D14" s="246"/>
    </row>
    <row r="15" spans="2:29">
      <c r="B15" s="239" t="s">
        <v>286</v>
      </c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P15" s="239">
        <v>2024</v>
      </c>
    </row>
    <row r="16" spans="2:29">
      <c r="B16" s="241" t="s">
        <v>287</v>
      </c>
      <c r="C16" s="241">
        <v>1</v>
      </c>
      <c r="D16" s="241">
        <v>2</v>
      </c>
      <c r="E16" s="241">
        <v>3</v>
      </c>
      <c r="F16" s="241">
        <v>4</v>
      </c>
      <c r="G16" s="241">
        <v>5</v>
      </c>
      <c r="H16" s="241">
        <v>6</v>
      </c>
      <c r="I16" s="241">
        <v>7</v>
      </c>
      <c r="J16" s="241">
        <v>8</v>
      </c>
      <c r="K16" s="241">
        <v>9</v>
      </c>
      <c r="L16" s="241">
        <v>10</v>
      </c>
      <c r="M16" s="241">
        <v>11</v>
      </c>
      <c r="N16" s="241">
        <v>12</v>
      </c>
      <c r="P16" s="241">
        <v>1</v>
      </c>
      <c r="Q16" s="241">
        <v>2</v>
      </c>
      <c r="R16" s="241">
        <v>3</v>
      </c>
      <c r="S16" s="241">
        <v>4</v>
      </c>
      <c r="T16" s="241">
        <v>5</v>
      </c>
      <c r="U16" s="241">
        <v>6</v>
      </c>
      <c r="V16" s="241">
        <v>7</v>
      </c>
      <c r="W16" s="241">
        <v>8</v>
      </c>
      <c r="X16" s="241">
        <v>9</v>
      </c>
      <c r="Y16" s="241">
        <v>10</v>
      </c>
      <c r="Z16" s="241">
        <v>11</v>
      </c>
      <c r="AA16" s="241">
        <v>12</v>
      </c>
    </row>
    <row r="17" spans="1:28">
      <c r="B17" s="191" t="s">
        <v>288</v>
      </c>
      <c r="C17" s="242">
        <v>1224.4122855454673</v>
      </c>
      <c r="D17" s="242">
        <v>1224.8943631432089</v>
      </c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P17" s="242">
        <v>1323</v>
      </c>
      <c r="Q17" s="242">
        <v>1323</v>
      </c>
      <c r="R17" s="242">
        <v>1306</v>
      </c>
      <c r="S17" s="242">
        <v>1291</v>
      </c>
      <c r="T17" s="242">
        <v>1282</v>
      </c>
      <c r="U17" s="242">
        <v>1285</v>
      </c>
      <c r="V17" s="242">
        <v>1219</v>
      </c>
      <c r="W17" s="242">
        <v>1250.8123836318978</v>
      </c>
      <c r="X17" s="242">
        <v>1250.9881440800682</v>
      </c>
      <c r="Y17" s="242">
        <v>1260.3186476770372</v>
      </c>
      <c r="Z17" s="242">
        <v>1260.9721935296795</v>
      </c>
      <c r="AA17" s="242">
        <v>1214.0815770933086</v>
      </c>
    </row>
    <row r="18" spans="1:28">
      <c r="B18" s="191" t="s">
        <v>289</v>
      </c>
      <c r="C18" s="242">
        <v>1124.6177408463843</v>
      </c>
      <c r="D18" s="242">
        <v>1124.5211249621884</v>
      </c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P18" s="242"/>
      <c r="Q18" s="242"/>
      <c r="R18" s="242"/>
      <c r="S18" s="242"/>
      <c r="T18" s="242"/>
      <c r="U18" s="242"/>
      <c r="V18" s="242">
        <v>1099</v>
      </c>
      <c r="W18" s="242">
        <v>1129.5585260742025</v>
      </c>
      <c r="X18" s="242">
        <v>1149.3380022261924</v>
      </c>
      <c r="Y18" s="242">
        <v>1157.5594030032748</v>
      </c>
      <c r="Z18" s="242">
        <v>1158.0145663222561</v>
      </c>
      <c r="AA18" s="242">
        <v>1113.6924386835926</v>
      </c>
    </row>
    <row r="19" spans="1:28">
      <c r="B19" s="191" t="s">
        <v>290</v>
      </c>
      <c r="C19" s="242">
        <v>1205.7378733984544</v>
      </c>
      <c r="D19" s="242">
        <v>1205.4860364256808</v>
      </c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P19" s="242"/>
      <c r="Q19" s="242"/>
      <c r="R19" s="242"/>
      <c r="S19" s="242"/>
      <c r="T19" s="242"/>
      <c r="U19" s="242"/>
      <c r="V19" s="242">
        <v>1175</v>
      </c>
      <c r="W19" s="242">
        <v>1207.6119893188763</v>
      </c>
      <c r="X19" s="242">
        <v>1236.1785971379622</v>
      </c>
      <c r="Y19" s="242">
        <v>1240.4466386713789</v>
      </c>
      <c r="Z19" s="242">
        <v>1241.5020134763229</v>
      </c>
      <c r="AA19" s="242">
        <v>1196.3920982075958</v>
      </c>
    </row>
    <row r="20" spans="1:28">
      <c r="B20" s="191" t="s">
        <v>291</v>
      </c>
      <c r="C20" s="242">
        <v>892.9656675146</v>
      </c>
      <c r="D20" s="242">
        <v>888.18378633668294</v>
      </c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P20" s="242"/>
      <c r="Q20" s="242"/>
      <c r="R20" s="242"/>
      <c r="S20" s="242"/>
      <c r="T20" s="242"/>
      <c r="U20" s="242"/>
      <c r="V20" s="242">
        <v>867</v>
      </c>
      <c r="W20" s="249">
        <v>895.79013773931547</v>
      </c>
      <c r="X20" s="242">
        <v>917.19481418593716</v>
      </c>
      <c r="Y20" s="242">
        <v>929.83940375991074</v>
      </c>
      <c r="Z20" s="242">
        <v>937.6525486806504</v>
      </c>
      <c r="AA20" s="242">
        <v>903.25545215030093</v>
      </c>
    </row>
    <row r="21" spans="1:28">
      <c r="B21" s="191" t="s">
        <v>292</v>
      </c>
      <c r="C21" s="242">
        <v>992.71674693817181</v>
      </c>
      <c r="D21" s="242">
        <v>984.26717726377763</v>
      </c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P21" s="242"/>
      <c r="Q21" s="242"/>
      <c r="R21" s="242"/>
      <c r="S21" s="242"/>
      <c r="T21" s="242"/>
      <c r="U21" s="242"/>
      <c r="V21" s="242">
        <v>981.27764775279775</v>
      </c>
      <c r="W21" s="249">
        <v>1003.409150992299</v>
      </c>
      <c r="X21" s="242">
        <v>993.90864789491525</v>
      </c>
      <c r="Y21" s="242">
        <v>1007.0438650804119</v>
      </c>
      <c r="Z21" s="242">
        <v>1009.973410406166</v>
      </c>
      <c r="AA21" s="242">
        <v>973.71173448404875</v>
      </c>
    </row>
    <row r="22" spans="1:28">
      <c r="A22" s="240" t="s">
        <v>293</v>
      </c>
      <c r="B22" s="191" t="s">
        <v>294</v>
      </c>
      <c r="C22" s="242">
        <v>846.80438402883897</v>
      </c>
      <c r="D22" s="242">
        <v>829.95118801685396</v>
      </c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P22" s="242"/>
      <c r="Q22" s="242"/>
      <c r="R22" s="242"/>
      <c r="S22" s="242"/>
      <c r="T22" s="242"/>
      <c r="U22" s="242"/>
      <c r="V22" s="242">
        <v>841</v>
      </c>
      <c r="W22" s="249">
        <v>849.89874687353631</v>
      </c>
      <c r="X22" s="242">
        <v>853.99116487784715</v>
      </c>
      <c r="Y22" s="242">
        <v>866.17550845898052</v>
      </c>
      <c r="Z22" s="242">
        <v>871.97791271211111</v>
      </c>
      <c r="AA22" s="242">
        <v>831.85259732462612</v>
      </c>
    </row>
    <row r="23" spans="1:28">
      <c r="B23" s="191" t="s">
        <v>295</v>
      </c>
      <c r="C23" s="242">
        <v>621.5447401768879</v>
      </c>
      <c r="D23" s="242">
        <v>604.90388697366507</v>
      </c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P23" s="242"/>
      <c r="Q23" s="242"/>
      <c r="R23" s="242"/>
      <c r="S23" s="242"/>
      <c r="T23" s="242"/>
      <c r="U23" s="242"/>
      <c r="V23" s="242"/>
      <c r="W23" s="249">
        <v>619.75066137186343</v>
      </c>
      <c r="X23" s="242">
        <v>629.83100624243866</v>
      </c>
      <c r="Y23" s="242">
        <v>641.67872147950936</v>
      </c>
      <c r="Z23" s="242">
        <v>645.14598327571218</v>
      </c>
      <c r="AA23" s="242">
        <v>604.75347915253053</v>
      </c>
    </row>
    <row r="24" spans="1:28">
      <c r="B24" s="191" t="s">
        <v>296</v>
      </c>
      <c r="C24" s="242">
        <v>673.72306796354871</v>
      </c>
      <c r="D24" s="242">
        <v>686.58247571857055</v>
      </c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P24" s="242"/>
      <c r="Q24" s="242"/>
      <c r="R24" s="242"/>
      <c r="S24" s="242"/>
      <c r="T24" s="242"/>
      <c r="U24" s="242"/>
      <c r="V24" s="242">
        <v>656</v>
      </c>
      <c r="W24" s="249">
        <v>661.16026675142552</v>
      </c>
      <c r="X24" s="242">
        <v>664.29736682055943</v>
      </c>
      <c r="Y24" s="242">
        <v>665.95976317843451</v>
      </c>
      <c r="Z24" s="242">
        <v>662.45159124912914</v>
      </c>
      <c r="AA24" s="242">
        <v>666.2008844592176</v>
      </c>
    </row>
    <row r="25" spans="1:28">
      <c r="B25" s="191" t="s">
        <v>297</v>
      </c>
      <c r="C25" s="242">
        <v>842.58758463763786</v>
      </c>
      <c r="D25" s="242">
        <v>835.02956014903214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P25" s="242"/>
      <c r="Q25" s="242"/>
      <c r="R25" s="242"/>
      <c r="S25" s="242"/>
      <c r="T25" s="242"/>
      <c r="U25" s="242"/>
      <c r="V25" s="242">
        <v>794</v>
      </c>
      <c r="W25" s="242">
        <v>836.80121639671654</v>
      </c>
      <c r="X25" s="242">
        <v>856.16419630615974</v>
      </c>
      <c r="Y25" s="242">
        <v>855.93286876151626</v>
      </c>
      <c r="Z25" s="242">
        <v>855.93286876151626</v>
      </c>
      <c r="AA25" s="242">
        <v>827.7737832482228</v>
      </c>
    </row>
    <row r="26" spans="1:28">
      <c r="B26" s="191" t="s">
        <v>298</v>
      </c>
      <c r="C26" s="242">
        <v>523.94625368482593</v>
      </c>
      <c r="D26" s="242">
        <v>532.30045903714085</v>
      </c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P26" s="242"/>
      <c r="Q26" s="242"/>
      <c r="R26" s="242"/>
      <c r="S26" s="242"/>
      <c r="T26" s="242"/>
      <c r="U26" s="242"/>
      <c r="V26" s="242"/>
      <c r="W26" s="242">
        <v>539.72606829909091</v>
      </c>
      <c r="X26" s="242">
        <v>553.59194071087381</v>
      </c>
      <c r="Y26" s="242">
        <v>554.84579209781612</v>
      </c>
      <c r="Z26" s="242">
        <v>554.84579209781612</v>
      </c>
      <c r="AA26" s="242">
        <v>525.7062665903253</v>
      </c>
    </row>
    <row r="27" spans="1:28">
      <c r="B27" s="191" t="s">
        <v>299</v>
      </c>
      <c r="C27" s="242">
        <v>790.71342693105714</v>
      </c>
      <c r="D27" s="242">
        <v>780.14594515953695</v>
      </c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P27" s="242"/>
      <c r="Q27" s="242"/>
      <c r="R27" s="242"/>
      <c r="S27" s="242"/>
      <c r="T27" s="242"/>
      <c r="U27" s="242"/>
      <c r="V27" s="242">
        <v>738</v>
      </c>
      <c r="W27" s="242">
        <v>780.1665026220935</v>
      </c>
      <c r="X27" s="242">
        <v>790.84736542275789</v>
      </c>
      <c r="Y27" s="242">
        <v>794.61882076959819</v>
      </c>
      <c r="Z27" s="242">
        <v>794.61882076959819</v>
      </c>
      <c r="AA27" s="242">
        <v>772.61324687952413</v>
      </c>
    </row>
    <row r="28" spans="1:28">
      <c r="B28" s="191" t="s">
        <v>300</v>
      </c>
      <c r="C28" s="242">
        <v>927.39823365306938</v>
      </c>
      <c r="D28" s="242">
        <v>947.44140336644682</v>
      </c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P28" s="242"/>
      <c r="Q28" s="242"/>
      <c r="R28" s="242"/>
      <c r="S28" s="242"/>
      <c r="T28" s="242"/>
      <c r="U28" s="242"/>
      <c r="V28" s="242">
        <v>888</v>
      </c>
      <c r="W28" s="242">
        <v>934.75986167646829</v>
      </c>
      <c r="X28" s="242">
        <v>951.07154197322802</v>
      </c>
      <c r="Y28" s="242">
        <v>949.9175731430928</v>
      </c>
      <c r="Z28" s="242">
        <v>949.9175731430928</v>
      </c>
      <c r="AA28" s="242">
        <v>920.09051193599657</v>
      </c>
    </row>
    <row r="31" spans="1:28">
      <c r="B31" s="240" t="s">
        <v>301</v>
      </c>
    </row>
    <row r="32" spans="1:28">
      <c r="B32" s="250" t="s">
        <v>287</v>
      </c>
      <c r="C32" s="250">
        <v>1</v>
      </c>
      <c r="D32" s="250">
        <v>2</v>
      </c>
      <c r="E32" s="250">
        <v>3</v>
      </c>
      <c r="F32" s="250">
        <v>4</v>
      </c>
      <c r="G32" s="250">
        <v>5</v>
      </c>
      <c r="H32" s="250">
        <v>6</v>
      </c>
      <c r="I32" s="250">
        <v>7</v>
      </c>
      <c r="J32" s="250">
        <v>8</v>
      </c>
      <c r="K32" s="250">
        <v>9</v>
      </c>
      <c r="L32" s="250">
        <v>10</v>
      </c>
      <c r="M32" s="250">
        <v>11</v>
      </c>
      <c r="N32" s="250">
        <v>12</v>
      </c>
      <c r="P32" s="250">
        <v>1</v>
      </c>
      <c r="Q32" s="250">
        <f t="shared" ref="Q32:AA32" si="1">+P32+1</f>
        <v>2</v>
      </c>
      <c r="R32" s="250">
        <f t="shared" si="1"/>
        <v>3</v>
      </c>
      <c r="S32" s="250">
        <f t="shared" si="1"/>
        <v>4</v>
      </c>
      <c r="T32" s="250">
        <f t="shared" si="1"/>
        <v>5</v>
      </c>
      <c r="U32" s="250">
        <f t="shared" si="1"/>
        <v>6</v>
      </c>
      <c r="V32" s="250">
        <f t="shared" si="1"/>
        <v>7</v>
      </c>
      <c r="W32" s="250">
        <f t="shared" si="1"/>
        <v>8</v>
      </c>
      <c r="X32" s="250">
        <f t="shared" si="1"/>
        <v>9</v>
      </c>
      <c r="Y32" s="250">
        <f t="shared" si="1"/>
        <v>10</v>
      </c>
      <c r="Z32" s="250">
        <f t="shared" si="1"/>
        <v>11</v>
      </c>
      <c r="AA32" s="250">
        <f t="shared" si="1"/>
        <v>12</v>
      </c>
      <c r="AB32" s="250" t="s">
        <v>194</v>
      </c>
    </row>
    <row r="33" spans="2:28">
      <c r="B33" s="191" t="s">
        <v>302</v>
      </c>
      <c r="C33" s="242">
        <v>762.13833132777961</v>
      </c>
      <c r="D33" s="242">
        <v>788.55356145567055</v>
      </c>
      <c r="E33" s="242"/>
      <c r="F33" s="242"/>
      <c r="G33" s="242"/>
      <c r="H33" s="242"/>
      <c r="I33" s="242"/>
      <c r="J33" s="242"/>
      <c r="K33" s="191"/>
      <c r="L33" s="191"/>
      <c r="M33" s="191"/>
      <c r="N33" s="191"/>
      <c r="P33" s="242"/>
      <c r="Q33" s="242"/>
      <c r="R33" s="242"/>
      <c r="S33" s="242"/>
      <c r="T33" s="242"/>
      <c r="U33" s="242"/>
      <c r="V33" s="242">
        <v>773.26795067175237</v>
      </c>
      <c r="W33" s="242">
        <v>822.82139851628926</v>
      </c>
      <c r="X33" s="242">
        <v>823.20219353579137</v>
      </c>
      <c r="Y33" s="242">
        <v>830.28426717841808</v>
      </c>
      <c r="Z33" s="242">
        <v>830.28426717841808</v>
      </c>
      <c r="AA33" s="242">
        <v>773.83831518704494</v>
      </c>
      <c r="AB33" s="242"/>
    </row>
    <row r="34" spans="2:28">
      <c r="B34" s="191" t="s">
        <v>303</v>
      </c>
      <c r="C34" s="242">
        <v>668.04613132777956</v>
      </c>
      <c r="D34" s="242">
        <v>694.46136145567061</v>
      </c>
      <c r="E34" s="242"/>
      <c r="F34" s="242"/>
      <c r="G34" s="242"/>
      <c r="H34" s="242"/>
      <c r="I34" s="242"/>
      <c r="J34" s="242"/>
      <c r="K34" s="191"/>
      <c r="L34" s="191"/>
      <c r="M34" s="191"/>
      <c r="N34" s="191"/>
      <c r="P34" s="242"/>
      <c r="Q34" s="242"/>
      <c r="R34" s="242"/>
      <c r="S34" s="242"/>
      <c r="T34" s="242"/>
      <c r="U34" s="242"/>
      <c r="V34" s="242">
        <v>679.34955067175224</v>
      </c>
      <c r="W34" s="242">
        <v>728.90299851628947</v>
      </c>
      <c r="X34" s="242">
        <v>729.28379353579146</v>
      </c>
      <c r="Y34" s="242">
        <v>736.19206717841803</v>
      </c>
      <c r="Z34" s="242">
        <v>736.19206717841803</v>
      </c>
      <c r="AA34" s="242">
        <v>679.74611518704489</v>
      </c>
      <c r="AB34" s="242"/>
    </row>
    <row r="35" spans="2:28">
      <c r="B35" s="191" t="s">
        <v>304</v>
      </c>
      <c r="C35" s="242">
        <v>602.40629132777963</v>
      </c>
      <c r="D35" s="242">
        <v>628.82152145567045</v>
      </c>
      <c r="E35" s="242"/>
      <c r="F35" s="242"/>
      <c r="G35" s="242"/>
      <c r="H35" s="242"/>
      <c r="I35" s="242"/>
      <c r="J35" s="242"/>
      <c r="K35" s="191"/>
      <c r="L35" s="191"/>
      <c r="M35" s="191"/>
      <c r="N35" s="191"/>
      <c r="P35" s="242"/>
      <c r="Q35" s="242"/>
      <c r="R35" s="242"/>
      <c r="S35" s="242"/>
      <c r="T35" s="242"/>
      <c r="U35" s="242"/>
      <c r="V35" s="242">
        <v>613.70971067175219</v>
      </c>
      <c r="W35" s="242">
        <v>663.26315851628942</v>
      </c>
      <c r="X35" s="242">
        <v>663.6439535357913</v>
      </c>
      <c r="Y35" s="242">
        <v>670.55222717841809</v>
      </c>
      <c r="Z35" s="242">
        <v>670.55222717841809</v>
      </c>
      <c r="AA35" s="242">
        <v>614.10627518704484</v>
      </c>
      <c r="AB35" s="242"/>
    </row>
    <row r="36" spans="2:28">
      <c r="B36" s="191" t="s">
        <v>305</v>
      </c>
      <c r="C36" s="242">
        <v>966.04043132979825</v>
      </c>
      <c r="D36" s="242">
        <v>982.68318241367888</v>
      </c>
      <c r="E36" s="242"/>
      <c r="F36" s="242"/>
      <c r="G36" s="242"/>
      <c r="H36" s="242"/>
      <c r="I36" s="242"/>
      <c r="J36" s="242"/>
      <c r="K36" s="191"/>
      <c r="L36" s="191"/>
      <c r="M36" s="191"/>
      <c r="N36" s="191"/>
      <c r="P36" s="242"/>
      <c r="Q36" s="242"/>
      <c r="R36" s="242"/>
      <c r="S36" s="242"/>
      <c r="T36" s="242"/>
      <c r="U36" s="242"/>
      <c r="V36" s="242">
        <v>960.02539280166968</v>
      </c>
      <c r="W36" s="242">
        <v>1005.1878218159767</v>
      </c>
      <c r="X36" s="242">
        <v>1008.4542961872764</v>
      </c>
      <c r="Y36" s="242">
        <v>1011.0144768776314</v>
      </c>
      <c r="Z36" s="242">
        <v>1011.0144768776314</v>
      </c>
      <c r="AA36" s="242">
        <v>986.40401333332409</v>
      </c>
      <c r="AB36" s="242"/>
    </row>
    <row r="37" spans="2:28">
      <c r="B37" s="191" t="s">
        <v>306</v>
      </c>
      <c r="C37" s="242">
        <v>792.04259813322381</v>
      </c>
      <c r="D37" s="242">
        <v>817.1258533941791</v>
      </c>
      <c r="E37" s="242"/>
      <c r="F37" s="242"/>
      <c r="G37" s="242"/>
      <c r="H37" s="242"/>
      <c r="I37" s="242"/>
      <c r="J37" s="242"/>
      <c r="K37" s="191"/>
      <c r="L37" s="191"/>
      <c r="M37" s="191"/>
      <c r="N37" s="191"/>
      <c r="P37" s="242"/>
      <c r="Q37" s="242"/>
      <c r="R37" s="242"/>
      <c r="S37" s="242"/>
      <c r="T37" s="242"/>
      <c r="U37" s="242"/>
      <c r="V37" s="242">
        <v>790.60543526724973</v>
      </c>
      <c r="W37" s="242">
        <v>840.46208740018426</v>
      </c>
      <c r="X37" s="242">
        <v>842.58345513340873</v>
      </c>
      <c r="Y37" s="242">
        <v>849.94254395638814</v>
      </c>
      <c r="Z37" s="242">
        <v>849.94254395638814</v>
      </c>
      <c r="AA37" s="242">
        <v>809.13443153473418</v>
      </c>
      <c r="AB37" s="242"/>
    </row>
    <row r="38" spans="2:28">
      <c r="B38" s="191" t="s">
        <v>307</v>
      </c>
      <c r="C38" s="242">
        <v>727.56290299935063</v>
      </c>
      <c r="D38" s="242">
        <v>748.88113500077736</v>
      </c>
      <c r="E38" s="242"/>
      <c r="F38" s="242"/>
      <c r="G38" s="242"/>
      <c r="H38" s="242"/>
      <c r="I38" s="242"/>
      <c r="J38" s="242"/>
      <c r="K38" s="191"/>
      <c r="L38" s="191"/>
      <c r="M38" s="191"/>
      <c r="N38" s="191"/>
      <c r="P38" s="242"/>
      <c r="Q38" s="242"/>
      <c r="R38" s="242"/>
      <c r="S38" s="242"/>
      <c r="T38" s="242"/>
      <c r="U38" s="242"/>
      <c r="V38" s="242">
        <v>731.72317681010497</v>
      </c>
      <c r="W38" s="242">
        <v>775.18849297170948</v>
      </c>
      <c r="X38" s="242">
        <v>779.79970021904592</v>
      </c>
      <c r="Y38" s="242">
        <v>789.91235700227674</v>
      </c>
      <c r="Z38" s="242">
        <v>789.91235700227674</v>
      </c>
      <c r="AA38" s="242">
        <v>746.77337379046674</v>
      </c>
      <c r="AB38" s="242"/>
    </row>
    <row r="39" spans="2:28">
      <c r="B39" s="251" t="s">
        <v>308</v>
      </c>
      <c r="C39" s="252">
        <v>690.69639923410625</v>
      </c>
      <c r="D39" s="252">
        <v>704.08426362817079</v>
      </c>
      <c r="E39" s="252"/>
      <c r="F39" s="252"/>
      <c r="G39" s="252"/>
      <c r="H39" s="252"/>
      <c r="I39" s="252"/>
      <c r="J39" s="252"/>
      <c r="K39" s="251"/>
      <c r="L39" s="251"/>
      <c r="M39" s="251"/>
      <c r="N39" s="251"/>
      <c r="P39" s="252"/>
      <c r="Q39" s="252"/>
      <c r="R39" s="252"/>
      <c r="S39" s="252"/>
      <c r="T39" s="252"/>
      <c r="U39" s="252"/>
      <c r="V39" s="252">
        <v>696.07926973000929</v>
      </c>
      <c r="W39" s="252">
        <v>738.78127137646152</v>
      </c>
      <c r="X39" s="242">
        <v>744.16977252988499</v>
      </c>
      <c r="Y39" s="252">
        <v>756.06406500754997</v>
      </c>
      <c r="Z39" s="252">
        <v>756.06406500754997</v>
      </c>
      <c r="AA39" s="252">
        <v>710.33793539094745</v>
      </c>
      <c r="AB39" s="242" t="s">
        <v>309</v>
      </c>
    </row>
    <row r="40" spans="2:28">
      <c r="B40" s="251" t="s">
        <v>310</v>
      </c>
      <c r="C40" s="252">
        <v>682.40119874017273</v>
      </c>
      <c r="D40" s="252">
        <v>689.02917074456559</v>
      </c>
      <c r="E40" s="252"/>
      <c r="F40" s="252"/>
      <c r="G40" s="252"/>
      <c r="H40" s="252"/>
      <c r="I40" s="252"/>
      <c r="J40" s="252"/>
      <c r="K40" s="251"/>
      <c r="L40" s="251"/>
      <c r="M40" s="251"/>
      <c r="N40" s="251"/>
      <c r="P40" s="252"/>
      <c r="Q40" s="252"/>
      <c r="R40" s="252"/>
      <c r="S40" s="252"/>
      <c r="T40" s="252"/>
      <c r="U40" s="252"/>
      <c r="V40" s="252">
        <v>687.85767437629374</v>
      </c>
      <c r="W40" s="252">
        <v>730.09987888642013</v>
      </c>
      <c r="X40" s="242">
        <v>735.99068335351001</v>
      </c>
      <c r="Y40" s="252">
        <v>748.63895317846641</v>
      </c>
      <c r="Z40" s="252">
        <v>748.63895317846641</v>
      </c>
      <c r="AA40" s="252">
        <v>702.49008596403019</v>
      </c>
      <c r="AB40" s="242" t="s">
        <v>309</v>
      </c>
    </row>
    <row r="41" spans="2:28">
      <c r="B41" s="251" t="s">
        <v>311</v>
      </c>
      <c r="C41" s="252">
        <v>899.68072455235824</v>
      </c>
      <c r="D41" s="252">
        <v>902.04881394298684</v>
      </c>
      <c r="E41" s="252"/>
      <c r="F41" s="252"/>
      <c r="G41" s="252"/>
      <c r="H41" s="252"/>
      <c r="I41" s="252"/>
      <c r="J41" s="252"/>
      <c r="K41" s="251"/>
      <c r="L41" s="251"/>
      <c r="M41" s="251"/>
      <c r="N41" s="251"/>
      <c r="P41" s="252"/>
      <c r="Q41" s="252"/>
      <c r="R41" s="252"/>
      <c r="S41" s="252"/>
      <c r="T41" s="252"/>
      <c r="U41" s="252"/>
      <c r="V41" s="252"/>
      <c r="W41" s="252">
        <v>940</v>
      </c>
      <c r="X41" s="242">
        <v>944.32042634678658</v>
      </c>
      <c r="Y41" s="252">
        <v>950.08755128712278</v>
      </c>
      <c r="Z41" s="252">
        <v>950.08755128712278</v>
      </c>
      <c r="AA41" s="252">
        <v>920.82022421418901</v>
      </c>
      <c r="AB41" s="242" t="s">
        <v>312</v>
      </c>
    </row>
    <row r="42" spans="2:28">
      <c r="B42" s="191" t="s">
        <v>313</v>
      </c>
      <c r="C42" s="242">
        <v>710.38094908579524</v>
      </c>
      <c r="D42" s="242">
        <v>734.6859925576864</v>
      </c>
      <c r="E42" s="242"/>
      <c r="F42" s="242"/>
      <c r="G42" s="242"/>
      <c r="H42" s="242"/>
      <c r="I42" s="242"/>
      <c r="J42" s="242"/>
      <c r="K42" s="191"/>
      <c r="L42" s="191"/>
      <c r="M42" s="191"/>
      <c r="N42" s="191"/>
      <c r="P42" s="242"/>
      <c r="Q42" s="242"/>
      <c r="R42" s="242"/>
      <c r="S42" s="242"/>
      <c r="T42" s="242"/>
      <c r="U42" s="242"/>
      <c r="V42" s="242">
        <v>719.17936112371967</v>
      </c>
      <c r="W42" s="242">
        <v>761.9233422142479</v>
      </c>
      <c r="X42" s="242">
        <v>761.38778209152099</v>
      </c>
      <c r="Y42" s="242">
        <v>772.74131073080582</v>
      </c>
      <c r="Z42" s="242">
        <v>772.74131073080582</v>
      </c>
      <c r="AA42" s="242">
        <v>728.5015746275692</v>
      </c>
      <c r="AB42" s="242" t="s">
        <v>309</v>
      </c>
    </row>
    <row r="43" spans="2:28">
      <c r="B43" s="191" t="s">
        <v>314</v>
      </c>
      <c r="C43" s="242">
        <v>948.85847741624298</v>
      </c>
      <c r="D43" s="242">
        <v>968.48803997058781</v>
      </c>
      <c r="E43" s="242"/>
      <c r="F43" s="242"/>
      <c r="G43" s="242"/>
      <c r="H43" s="242"/>
      <c r="I43" s="242"/>
      <c r="J43" s="242"/>
      <c r="K43" s="191"/>
      <c r="L43" s="191"/>
      <c r="M43" s="191"/>
      <c r="N43" s="191"/>
      <c r="P43" s="242"/>
      <c r="Q43" s="242"/>
      <c r="R43" s="242"/>
      <c r="S43" s="242"/>
      <c r="T43" s="242"/>
      <c r="U43" s="242"/>
      <c r="V43" s="242"/>
      <c r="W43" s="242">
        <v>991.92267105851499</v>
      </c>
      <c r="X43" s="242">
        <v>990.04237805975151</v>
      </c>
      <c r="Y43" s="242">
        <v>993.8434306061605</v>
      </c>
      <c r="Z43" s="242">
        <v>993.8434306061605</v>
      </c>
      <c r="AA43" s="242">
        <v>968.13221417042655</v>
      </c>
      <c r="AB43" s="242" t="s">
        <v>312</v>
      </c>
    </row>
    <row r="44" spans="2:28">
      <c r="B44" s="191" t="s">
        <v>315</v>
      </c>
      <c r="C44" s="242">
        <v>499.25881611577523</v>
      </c>
      <c r="D44" s="242">
        <v>539.7640245118472</v>
      </c>
      <c r="E44" s="242"/>
      <c r="F44" s="242"/>
      <c r="G44" s="242"/>
      <c r="H44" s="242"/>
      <c r="I44" s="242"/>
      <c r="J44" s="242"/>
      <c r="K44" s="191"/>
      <c r="L44" s="191"/>
      <c r="M44" s="191"/>
      <c r="N44" s="191"/>
      <c r="P44" s="242"/>
      <c r="Q44" s="242"/>
      <c r="R44" s="242"/>
      <c r="S44" s="242"/>
      <c r="T44" s="242"/>
      <c r="U44" s="242"/>
      <c r="V44" s="242">
        <v>501.39220102026997</v>
      </c>
      <c r="W44" s="242">
        <v>562.20204043000194</v>
      </c>
      <c r="X44" s="242">
        <v>562.67083728452303</v>
      </c>
      <c r="Y44" s="242">
        <v>580.1722138991986</v>
      </c>
      <c r="Z44" s="242">
        <v>580.1722138991986</v>
      </c>
      <c r="AA44" s="242">
        <v>510.4689455082987</v>
      </c>
      <c r="AB44" s="242" t="s">
        <v>316</v>
      </c>
    </row>
    <row r="45" spans="2:28">
      <c r="B45" s="191" t="s">
        <v>317</v>
      </c>
      <c r="C45" s="242">
        <v>386.04765400788335</v>
      </c>
      <c r="D45" s="242">
        <v>430.82541901534563</v>
      </c>
      <c r="E45" s="242"/>
      <c r="F45" s="242"/>
      <c r="G45" s="242"/>
      <c r="H45" s="242"/>
      <c r="I45" s="242"/>
      <c r="J45" s="242"/>
      <c r="K45" s="191"/>
      <c r="L45" s="191"/>
      <c r="M45" s="191"/>
      <c r="N45" s="191"/>
      <c r="P45" s="242"/>
      <c r="Q45" s="242"/>
      <c r="R45" s="242"/>
      <c r="S45" s="242"/>
      <c r="T45" s="242"/>
      <c r="U45" s="242"/>
      <c r="V45" s="242">
        <v>395.29220102027011</v>
      </c>
      <c r="W45" s="242">
        <v>456.10204043000192</v>
      </c>
      <c r="X45" s="242">
        <v>455.55149267438435</v>
      </c>
      <c r="Y45" s="242">
        <v>474.10803380682029</v>
      </c>
      <c r="Z45" s="242">
        <v>474.10803380682029</v>
      </c>
      <c r="AA45" s="242">
        <v>395.50540733802455</v>
      </c>
      <c r="AB45" s="242" t="s">
        <v>318</v>
      </c>
    </row>
    <row r="46" spans="2:28">
      <c r="B46" s="191" t="s">
        <v>193</v>
      </c>
      <c r="C46" s="242">
        <v>499.25881611577523</v>
      </c>
      <c r="D46" s="242">
        <v>539.7640245118472</v>
      </c>
      <c r="E46" s="242"/>
      <c r="F46" s="242"/>
      <c r="G46" s="242"/>
      <c r="H46" s="242"/>
      <c r="I46" s="242"/>
      <c r="J46" s="242"/>
      <c r="K46" s="191"/>
      <c r="L46" s="191"/>
      <c r="M46" s="191"/>
      <c r="N46" s="191"/>
      <c r="P46" s="242"/>
      <c r="Q46" s="242"/>
      <c r="R46" s="242"/>
      <c r="S46" s="242"/>
      <c r="T46" s="242"/>
      <c r="U46" s="242"/>
      <c r="V46" s="242"/>
      <c r="W46" s="242">
        <v>562.20204043000194</v>
      </c>
      <c r="X46" s="242">
        <v>562.67083728452303</v>
      </c>
      <c r="Y46" s="242">
        <v>580.1722138991986</v>
      </c>
      <c r="Z46" s="242">
        <v>580.1722138991986</v>
      </c>
      <c r="AA46" s="242">
        <v>510.4689455082987</v>
      </c>
      <c r="AB46" s="242" t="s">
        <v>319</v>
      </c>
    </row>
    <row r="47" spans="2:28">
      <c r="B47" s="191" t="s">
        <v>189</v>
      </c>
      <c r="C47" s="242">
        <v>453.97435127261855</v>
      </c>
      <c r="D47" s="242">
        <v>496.18858231324651</v>
      </c>
      <c r="E47" s="242"/>
      <c r="F47" s="242"/>
      <c r="G47" s="242"/>
      <c r="H47" s="242"/>
      <c r="I47" s="242"/>
      <c r="J47" s="242"/>
      <c r="K47" s="191"/>
      <c r="L47" s="191"/>
      <c r="M47" s="191"/>
      <c r="N47" s="191"/>
      <c r="P47" s="242"/>
      <c r="Q47" s="242"/>
      <c r="R47" s="242"/>
      <c r="S47" s="242"/>
      <c r="T47" s="242"/>
      <c r="U47" s="242"/>
      <c r="V47" s="242">
        <v>458.95220102026997</v>
      </c>
      <c r="W47" s="242">
        <v>519.76204043000189</v>
      </c>
      <c r="X47" s="242">
        <v>519.82309944046756</v>
      </c>
      <c r="Y47" s="242">
        <v>537.74654186224734</v>
      </c>
      <c r="Z47" s="242">
        <v>537.74654186224734</v>
      </c>
      <c r="AA47" s="242">
        <v>464.48353024018905</v>
      </c>
      <c r="AB47" s="24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4D4F-8DF9-44F4-AA88-58083037B12F}">
  <sheetPr>
    <tabColor rgb="FFFF33CC"/>
  </sheetPr>
  <dimension ref="A1:V65"/>
  <sheetViews>
    <sheetView zoomScale="70" zoomScaleNormal="70" workbookViewId="0">
      <pane ySplit="6" topLeftCell="A53" activePane="bottomLeft" state="frozen"/>
      <selection activeCell="F8" sqref="F8"/>
      <selection pane="bottomLeft" activeCell="F8" sqref="F8"/>
    </sheetView>
  </sheetViews>
  <sheetFormatPr defaultRowHeight="14.5"/>
  <cols>
    <col min="1" max="1" width="5.36328125" style="253" customWidth="1"/>
    <col min="2" max="2" width="4.453125" customWidth="1"/>
    <col min="3" max="3" width="13.1796875" customWidth="1"/>
    <col min="4" max="4" width="30.453125" bestFit="1" customWidth="1"/>
    <col min="5" max="5" width="13.54296875" customWidth="1"/>
    <col min="6" max="6" width="16.81640625" bestFit="1" customWidth="1"/>
    <col min="7" max="8" width="9.81640625" bestFit="1" customWidth="1"/>
    <col min="9" max="10" width="9.81640625" customWidth="1"/>
    <col min="11" max="11" width="11.453125" hidden="1" customWidth="1"/>
    <col min="12" max="12" width="13.81640625" bestFit="1" customWidth="1"/>
    <col min="13" max="13" width="9.08984375" bestFit="1" customWidth="1"/>
    <col min="14" max="14" width="7" customWidth="1"/>
    <col min="15" max="15" width="10.81640625" customWidth="1"/>
    <col min="16" max="16" width="11.453125" customWidth="1"/>
    <col min="17" max="18" width="9.81640625" customWidth="1"/>
    <col min="19" max="19" width="2.6328125" customWidth="1"/>
    <col min="20" max="20" width="35" bestFit="1" customWidth="1"/>
    <col min="21" max="21" width="24.54296875" customWidth="1"/>
  </cols>
  <sheetData>
    <row r="1" spans="1:22" ht="15.5">
      <c r="C1" s="254">
        <v>2</v>
      </c>
    </row>
    <row r="4" spans="1:22" ht="21">
      <c r="C4" s="255" t="s">
        <v>320</v>
      </c>
    </row>
    <row r="5" spans="1:22" s="258" customFormat="1" ht="29">
      <c r="A5" s="256"/>
      <c r="B5" s="257" t="s">
        <v>2</v>
      </c>
      <c r="C5" s="257" t="s">
        <v>10</v>
      </c>
      <c r="D5" s="257" t="s">
        <v>0</v>
      </c>
      <c r="E5" s="257" t="s">
        <v>3</v>
      </c>
      <c r="F5" s="257" t="s">
        <v>66</v>
      </c>
      <c r="G5" s="257" t="s">
        <v>340</v>
      </c>
      <c r="H5" s="257" t="s">
        <v>341</v>
      </c>
      <c r="I5" s="424" t="s">
        <v>342</v>
      </c>
      <c r="J5" s="425"/>
      <c r="K5" s="257" t="s">
        <v>321</v>
      </c>
      <c r="L5" s="257" t="s">
        <v>343</v>
      </c>
      <c r="M5" s="424" t="s">
        <v>322</v>
      </c>
      <c r="N5" s="425"/>
      <c r="O5" s="257" t="s">
        <v>344</v>
      </c>
      <c r="P5" s="257" t="s">
        <v>345</v>
      </c>
      <c r="Q5" s="424" t="s">
        <v>346</v>
      </c>
      <c r="R5" s="425"/>
    </row>
    <row r="6" spans="1:22" s="261" customFormat="1" ht="14.5" customHeight="1">
      <c r="A6" s="259"/>
      <c r="B6" s="260"/>
      <c r="C6" s="260"/>
      <c r="D6" s="260"/>
      <c r="E6" s="260"/>
      <c r="F6" s="260"/>
      <c r="G6" s="260" t="s">
        <v>323</v>
      </c>
      <c r="H6" s="260" t="s">
        <v>323</v>
      </c>
      <c r="I6" s="260" t="s">
        <v>323</v>
      </c>
      <c r="J6" s="260" t="s">
        <v>37</v>
      </c>
      <c r="K6" s="260" t="s">
        <v>323</v>
      </c>
      <c r="L6" s="260" t="s">
        <v>323</v>
      </c>
      <c r="M6" s="260" t="s">
        <v>323</v>
      </c>
      <c r="N6" s="260" t="s">
        <v>37</v>
      </c>
      <c r="O6" s="260" t="s">
        <v>323</v>
      </c>
      <c r="P6" s="260" t="s">
        <v>323</v>
      </c>
      <c r="Q6" s="260" t="s">
        <v>323</v>
      </c>
      <c r="R6" s="260" t="s">
        <v>37</v>
      </c>
    </row>
    <row r="7" spans="1:22" ht="14.5" customHeight="1">
      <c r="A7" s="262" t="s">
        <v>283</v>
      </c>
      <c r="B7" s="263">
        <v>1</v>
      </c>
      <c r="C7" s="264" t="s">
        <v>15</v>
      </c>
      <c r="D7" s="265" t="s">
        <v>11</v>
      </c>
      <c r="E7" s="266" t="s">
        <v>27</v>
      </c>
      <c r="F7" s="266"/>
      <c r="G7" s="267">
        <v>1230</v>
      </c>
      <c r="H7" s="268">
        <f>'2. rPET- nội bộ '!O13</f>
        <v>1230</v>
      </c>
      <c r="I7" s="269">
        <f>H7-G7</f>
        <v>0</v>
      </c>
      <c r="J7" s="270">
        <f>I7/G7</f>
        <v>0</v>
      </c>
      <c r="K7" s="263">
        <v>1260</v>
      </c>
      <c r="L7" s="271">
        <f>+VLOOKUP(A7,'Điểm HV'!B:AA,1+TH!$C$1,0)</f>
        <v>1185.2425317608468</v>
      </c>
      <c r="M7" s="272">
        <f>H7-L7</f>
        <v>44.757468239153241</v>
      </c>
      <c r="N7" s="273">
        <f>M7/H7</f>
        <v>3.6388185560287188E-2</v>
      </c>
      <c r="O7" s="263">
        <v>820</v>
      </c>
      <c r="P7" s="263">
        <f>'1. rPET'!$R$2</f>
        <v>850</v>
      </c>
      <c r="Q7" s="263">
        <f>H7-P7</f>
        <v>380</v>
      </c>
      <c r="R7" s="274">
        <f>Q7/P7</f>
        <v>0.44705882352941179</v>
      </c>
    </row>
    <row r="8" spans="1:22" ht="14.5" customHeight="1">
      <c r="A8" s="262" t="s">
        <v>285</v>
      </c>
      <c r="B8" s="263">
        <f>+B7+1</f>
        <v>2</v>
      </c>
      <c r="C8" s="275" t="s">
        <v>143</v>
      </c>
      <c r="D8" s="276" t="s">
        <v>67</v>
      </c>
      <c r="E8" s="277" t="s">
        <v>26</v>
      </c>
      <c r="F8" s="277"/>
      <c r="G8" s="278">
        <v>1170</v>
      </c>
      <c r="H8" s="279">
        <f>'2. rPET- nội bộ '!O20</f>
        <v>1170</v>
      </c>
      <c r="I8" s="280">
        <f>H8-G8</f>
        <v>0</v>
      </c>
      <c r="J8" s="281">
        <f>I8/G8</f>
        <v>0</v>
      </c>
      <c r="K8" s="282">
        <v>1260</v>
      </c>
      <c r="L8" s="283">
        <f>+VLOOKUP(A8,'Điểm HV'!B:AA,1+TH!$C$1,0)</f>
        <v>824.96686992626633</v>
      </c>
      <c r="M8" s="284">
        <f>H8-L8</f>
        <v>345.03313007373367</v>
      </c>
      <c r="N8" s="285">
        <f>M8/H8</f>
        <v>0.29490011117413134</v>
      </c>
      <c r="O8" s="282">
        <v>820</v>
      </c>
      <c r="P8" s="282">
        <f>'1. rPET'!$R$2</f>
        <v>850</v>
      </c>
      <c r="Q8" s="282">
        <f>H8-P8</f>
        <v>320</v>
      </c>
      <c r="R8" s="286">
        <f>Q8/P8</f>
        <v>0.37647058823529411</v>
      </c>
    </row>
    <row r="9" spans="1:22" ht="16.5">
      <c r="A9" s="262" t="s">
        <v>302</v>
      </c>
      <c r="B9" s="263">
        <f t="shared" ref="B9" si="0">+B8+1</f>
        <v>3</v>
      </c>
      <c r="C9" s="287">
        <v>110000381</v>
      </c>
      <c r="D9" s="288" t="s">
        <v>153</v>
      </c>
      <c r="E9" s="277" t="s">
        <v>152</v>
      </c>
      <c r="F9" s="277"/>
      <c r="G9" s="278">
        <v>1100</v>
      </c>
      <c r="H9" s="279">
        <f>'2. rPET- nội bộ '!O21</f>
        <v>1100</v>
      </c>
      <c r="I9" s="280">
        <f t="shared" ref="I9:I12" si="1">H9-G9</f>
        <v>0</v>
      </c>
      <c r="J9" s="281">
        <f t="shared" ref="J9:J12" si="2">I9/G9</f>
        <v>0</v>
      </c>
      <c r="K9" s="282">
        <v>729</v>
      </c>
      <c r="L9" s="283">
        <f>+VLOOKUP(A9,'Điểm HV'!B:AA,1+TH!$C$1,0)</f>
        <v>788.55356145567055</v>
      </c>
      <c r="M9" s="284">
        <f t="shared" ref="M9:M12" si="3">H9-L9</f>
        <v>311.44643854432945</v>
      </c>
      <c r="N9" s="285">
        <f t="shared" ref="N9:N12" si="4">M9/H9</f>
        <v>0.28313312594939039</v>
      </c>
      <c r="O9" s="282">
        <v>820</v>
      </c>
      <c r="P9" s="282">
        <f>'1. rPET'!$R$2</f>
        <v>850</v>
      </c>
      <c r="Q9" s="282">
        <f t="shared" ref="Q9" si="5">H9-P9</f>
        <v>250</v>
      </c>
      <c r="R9" s="286">
        <f t="shared" ref="R9:R12" si="6">Q9/P9</f>
        <v>0.29411764705882354</v>
      </c>
      <c r="T9" s="289" t="s">
        <v>324</v>
      </c>
    </row>
    <row r="10" spans="1:22" ht="16.5">
      <c r="A10" s="262" t="s">
        <v>303</v>
      </c>
      <c r="B10" s="263">
        <f>+B9+1</f>
        <v>4</v>
      </c>
      <c r="C10" s="287" t="s">
        <v>144</v>
      </c>
      <c r="D10" s="288" t="s">
        <v>159</v>
      </c>
      <c r="E10" s="277" t="s">
        <v>77</v>
      </c>
      <c r="F10" s="277"/>
      <c r="G10" s="278">
        <v>1100</v>
      </c>
      <c r="H10" s="279">
        <f>'2. rPET- nội bộ '!O22</f>
        <v>1100</v>
      </c>
      <c r="I10" s="280">
        <f>H10-G10</f>
        <v>0</v>
      </c>
      <c r="J10" s="281">
        <f>I10/G10</f>
        <v>0</v>
      </c>
      <c r="K10" s="282">
        <v>729</v>
      </c>
      <c r="L10" s="283">
        <f>+VLOOKUP(A10,'Điểm HV'!B:AA,1+TH!$C$1,0)</f>
        <v>694.46136145567061</v>
      </c>
      <c r="M10" s="284">
        <f>H10-L10</f>
        <v>405.53863854432939</v>
      </c>
      <c r="N10" s="285">
        <f>M10/H10</f>
        <v>0.36867148958575396</v>
      </c>
      <c r="O10" s="282">
        <v>820</v>
      </c>
      <c r="P10" s="282">
        <f>'1. rPET'!$R$2</f>
        <v>850</v>
      </c>
      <c r="Q10" s="282">
        <f>H10-P10</f>
        <v>250</v>
      </c>
      <c r="R10" s="290">
        <f>Q10/P10</f>
        <v>0.29411764705882354</v>
      </c>
      <c r="T10" s="289"/>
    </row>
    <row r="11" spans="1:22" ht="16.5">
      <c r="A11" s="262" t="s">
        <v>304</v>
      </c>
      <c r="B11" s="263">
        <f>+B10+1</f>
        <v>5</v>
      </c>
      <c r="C11" s="287" t="s">
        <v>145</v>
      </c>
      <c r="D11" s="288" t="s">
        <v>160</v>
      </c>
      <c r="E11" s="277" t="s">
        <v>77</v>
      </c>
      <c r="F11" s="277"/>
      <c r="G11" s="278">
        <v>1100</v>
      </c>
      <c r="H11" s="279">
        <f>'2. rPET- nội bộ '!O23</f>
        <v>1100</v>
      </c>
      <c r="I11" s="280">
        <f>H11-G11</f>
        <v>0</v>
      </c>
      <c r="J11" s="281">
        <f>I11/G11</f>
        <v>0</v>
      </c>
      <c r="K11" s="282">
        <v>729</v>
      </c>
      <c r="L11" s="283">
        <f>+VLOOKUP(A11,'Điểm HV'!B:AA,1+TH!$C$1,0)</f>
        <v>628.82152145567045</v>
      </c>
      <c r="M11" s="284">
        <f>H11-L11</f>
        <v>471.17847854432955</v>
      </c>
      <c r="N11" s="285">
        <f>M11/H11</f>
        <v>0.42834407140393593</v>
      </c>
      <c r="O11" s="282">
        <v>820</v>
      </c>
      <c r="P11" s="282">
        <f>'1. rPET'!$R$2</f>
        <v>850</v>
      </c>
      <c r="Q11" s="282">
        <f>H11-P11</f>
        <v>250</v>
      </c>
      <c r="R11" s="290">
        <f>Q11/P11</f>
        <v>0.29411764705882354</v>
      </c>
      <c r="T11" s="289"/>
    </row>
    <row r="12" spans="1:22" ht="33">
      <c r="A12" s="262" t="s">
        <v>305</v>
      </c>
      <c r="B12" s="263">
        <f>+B11+1</f>
        <v>6</v>
      </c>
      <c r="C12" s="291">
        <v>110000436</v>
      </c>
      <c r="D12" s="292" t="s">
        <v>125</v>
      </c>
      <c r="E12" s="293" t="s">
        <v>124</v>
      </c>
      <c r="F12" s="293"/>
      <c r="G12" s="294">
        <v>950</v>
      </c>
      <c r="H12" s="295">
        <f>'8. Hạt phó sản'!N12</f>
        <v>950</v>
      </c>
      <c r="I12" s="296">
        <f t="shared" si="1"/>
        <v>0</v>
      </c>
      <c r="J12" s="297">
        <f t="shared" si="2"/>
        <v>0</v>
      </c>
      <c r="K12" s="298"/>
      <c r="L12" s="299">
        <f>+VLOOKUP(A12,'Điểm HV'!B:AA,1+TH!$C$1,0)</f>
        <v>982.68318241367888</v>
      </c>
      <c r="M12" s="300">
        <f t="shared" si="3"/>
        <v>-32.683182413678878</v>
      </c>
      <c r="N12" s="301">
        <f t="shared" si="4"/>
        <v>-3.4403349909135662E-2</v>
      </c>
      <c r="O12" s="302">
        <v>820</v>
      </c>
      <c r="P12" s="302">
        <f>'1. rPET'!$R$2</f>
        <v>850</v>
      </c>
      <c r="Q12" s="302">
        <f>H12-P12</f>
        <v>100</v>
      </c>
      <c r="R12" s="303">
        <f t="shared" si="6"/>
        <v>0.11764705882352941</v>
      </c>
      <c r="T12" s="304" t="s">
        <v>325</v>
      </c>
    </row>
    <row r="13" spans="1:22">
      <c r="T13" t="s">
        <v>326</v>
      </c>
    </row>
    <row r="14" spans="1:22">
      <c r="T14" s="304" t="s">
        <v>327</v>
      </c>
      <c r="U14" s="426" t="s">
        <v>328</v>
      </c>
      <c r="V14">
        <v>778</v>
      </c>
    </row>
    <row r="15" spans="1:22">
      <c r="T15" s="304" t="s">
        <v>329</v>
      </c>
      <c r="U15" s="426"/>
    </row>
    <row r="16" spans="1:22" ht="21">
      <c r="C16" s="255" t="s">
        <v>330</v>
      </c>
    </row>
    <row r="17" spans="1:20" s="258" customFormat="1" ht="29" customHeight="1">
      <c r="A17" s="256"/>
      <c r="B17" s="257" t="s">
        <v>2</v>
      </c>
      <c r="C17" s="257" t="s">
        <v>10</v>
      </c>
      <c r="D17" s="257" t="s">
        <v>0</v>
      </c>
      <c r="E17" s="257" t="s">
        <v>3</v>
      </c>
      <c r="F17" s="257" t="s">
        <v>66</v>
      </c>
      <c r="G17" s="257" t="str">
        <f>G5</f>
        <v>Giá bán T01</v>
      </c>
      <c r="H17" s="257" t="str">
        <f>H5</f>
        <v>Giá bán T2</v>
      </c>
      <c r="I17" s="424" t="str">
        <f>I5</f>
        <v>Chênh lệch T2 sv T1</v>
      </c>
      <c r="J17" s="425"/>
      <c r="K17" s="257" t="s">
        <v>321</v>
      </c>
      <c r="L17" s="257" t="str">
        <f>L5</f>
        <v>Điểm hòa vốn T2</v>
      </c>
      <c r="M17" s="424" t="str">
        <f>M5</f>
        <v>Lợi nhuận</v>
      </c>
      <c r="N17" s="425"/>
      <c r="O17" s="257" t="str">
        <f>O5</f>
        <v>Giá chính phẩm T01</v>
      </c>
      <c r="P17" s="257" t="str">
        <f>P5</f>
        <v>Giá chính phẩm T2</v>
      </c>
      <c r="Q17" s="424" t="str">
        <f>Q5</f>
        <v>Chênh lệch Giá T2 vs chính phẩm</v>
      </c>
      <c r="R17" s="425"/>
    </row>
    <row r="18" spans="1:20" s="261" customFormat="1" ht="14.5" customHeight="1">
      <c r="A18" s="259"/>
      <c r="B18" s="260"/>
      <c r="C18" s="260"/>
      <c r="D18" s="260"/>
      <c r="E18" s="260"/>
      <c r="F18" s="260"/>
      <c r="G18" s="260" t="s">
        <v>323</v>
      </c>
      <c r="H18" s="260" t="s">
        <v>323</v>
      </c>
      <c r="I18" s="260" t="s">
        <v>323</v>
      </c>
      <c r="J18" s="260" t="s">
        <v>37</v>
      </c>
      <c r="K18" s="260" t="s">
        <v>323</v>
      </c>
      <c r="L18" s="260" t="s">
        <v>323</v>
      </c>
      <c r="M18" s="260" t="s">
        <v>323</v>
      </c>
      <c r="N18" s="260" t="s">
        <v>37</v>
      </c>
      <c r="O18" s="260" t="s">
        <v>323</v>
      </c>
      <c r="P18" s="260" t="s">
        <v>323</v>
      </c>
      <c r="Q18" s="260" t="s">
        <v>323</v>
      </c>
      <c r="R18" s="260" t="s">
        <v>37</v>
      </c>
    </row>
    <row r="19" spans="1:20" ht="14.5" customHeight="1">
      <c r="B19" s="140" t="s">
        <v>116</v>
      </c>
      <c r="C19" s="122" t="s">
        <v>109</v>
      </c>
      <c r="D19" s="122"/>
      <c r="E19" s="122"/>
      <c r="F19" s="122"/>
      <c r="G19" s="305"/>
      <c r="H19" s="305"/>
      <c r="I19" s="305"/>
      <c r="J19" s="306"/>
      <c r="K19" s="305"/>
      <c r="L19" s="305"/>
      <c r="M19" s="305"/>
      <c r="N19" s="307"/>
      <c r="O19" s="305"/>
      <c r="P19" s="305"/>
      <c r="Q19" s="305"/>
      <c r="R19" s="308"/>
    </row>
    <row r="20" spans="1:20" ht="16.5">
      <c r="B20" s="309" t="s">
        <v>118</v>
      </c>
      <c r="C20" s="310"/>
      <c r="D20" s="310"/>
      <c r="E20" s="310"/>
      <c r="F20" s="310"/>
      <c r="G20" s="311"/>
      <c r="H20" s="311"/>
      <c r="I20" s="311"/>
      <c r="J20" s="312"/>
      <c r="K20" s="311"/>
      <c r="L20" s="311"/>
      <c r="M20" s="311"/>
      <c r="N20" s="313"/>
      <c r="O20" s="311"/>
      <c r="P20" s="311"/>
      <c r="Q20" s="311"/>
      <c r="R20" s="314"/>
      <c r="T20" s="289"/>
    </row>
    <row r="21" spans="1:20" ht="16.5">
      <c r="B21" s="266">
        <v>1</v>
      </c>
      <c r="C21" s="264">
        <v>110000429</v>
      </c>
      <c r="D21" s="315" t="s">
        <v>128</v>
      </c>
      <c r="E21" s="264"/>
      <c r="F21" s="264" t="s">
        <v>65</v>
      </c>
      <c r="G21" s="316">
        <f>'[2]4. rHDPE '!I11</f>
        <v>1400</v>
      </c>
      <c r="H21" s="317">
        <f>'4. rHDPE '!M11</f>
        <v>1400</v>
      </c>
      <c r="I21" s="263">
        <f t="shared" ref="I21:I30" si="7">H21-G21</f>
        <v>0</v>
      </c>
      <c r="J21" s="274">
        <f t="shared" ref="J21:J30" si="8">I21/G21</f>
        <v>0</v>
      </c>
      <c r="K21" s="263">
        <v>1285</v>
      </c>
      <c r="L21" s="318">
        <f>+L24</f>
        <v>1224.8943631432089</v>
      </c>
      <c r="M21" s="319">
        <f t="shared" ref="M21:M22" si="9">H21-L21</f>
        <v>175.10563685679108</v>
      </c>
      <c r="N21" s="320">
        <f t="shared" ref="N21:N22" si="10">M21/H21</f>
        <v>0.12507545489770791</v>
      </c>
      <c r="O21" s="263">
        <v>940</v>
      </c>
      <c r="P21" s="263">
        <f>'4. rHDPE '!$R$2</f>
        <v>940</v>
      </c>
      <c r="Q21" s="263">
        <f>H21-P21</f>
        <v>460</v>
      </c>
      <c r="R21" s="274">
        <f t="shared" ref="R21:R22" si="11">Q21/P21</f>
        <v>0.48936170212765956</v>
      </c>
    </row>
    <row r="22" spans="1:20" ht="16.5">
      <c r="A22" s="253" t="s">
        <v>290</v>
      </c>
      <c r="B22" s="293">
        <f>B21+1</f>
        <v>2</v>
      </c>
      <c r="C22" s="291">
        <v>110000337</v>
      </c>
      <c r="D22" s="321" t="s">
        <v>104</v>
      </c>
      <c r="E22" s="291"/>
      <c r="F22" s="291" t="s">
        <v>99</v>
      </c>
      <c r="G22" s="322">
        <f>'[2]4. rHDPE '!I12</f>
        <v>1350</v>
      </c>
      <c r="H22" s="323">
        <f>'4. rHDPE '!M12</f>
        <v>1350</v>
      </c>
      <c r="I22" s="324">
        <f t="shared" si="7"/>
        <v>0</v>
      </c>
      <c r="J22" s="303">
        <f t="shared" si="8"/>
        <v>0</v>
      </c>
      <c r="K22" s="324"/>
      <c r="L22" s="318">
        <f>+VLOOKUP(A22,'Điểm HV'!B:AA,1+TH!$C$1,0)</f>
        <v>1205.4860364256808</v>
      </c>
      <c r="M22" s="319">
        <f t="shared" si="9"/>
        <v>144.51396357431918</v>
      </c>
      <c r="N22" s="320">
        <f t="shared" si="10"/>
        <v>0.10704738042542161</v>
      </c>
      <c r="O22" s="263">
        <v>940</v>
      </c>
      <c r="P22" s="324">
        <f>'4. rHDPE '!$R$2</f>
        <v>940</v>
      </c>
      <c r="Q22" s="324">
        <f t="shared" ref="Q22" si="12">H22-P22</f>
        <v>410</v>
      </c>
      <c r="R22" s="303">
        <f t="shared" si="11"/>
        <v>0.43617021276595747</v>
      </c>
      <c r="T22" s="304" t="s">
        <v>331</v>
      </c>
    </row>
    <row r="23" spans="1:20" ht="16.5">
      <c r="B23" s="309" t="s">
        <v>119</v>
      </c>
      <c r="C23" s="310"/>
      <c r="D23" s="310"/>
      <c r="E23" s="310"/>
      <c r="F23" s="310"/>
      <c r="G23" s="325"/>
      <c r="H23" s="326"/>
      <c r="I23" s="311"/>
      <c r="J23" s="312"/>
      <c r="K23" s="311"/>
      <c r="L23" s="311"/>
      <c r="M23" s="311"/>
      <c r="N23" s="313"/>
      <c r="O23" s="311"/>
      <c r="P23" s="311"/>
      <c r="Q23" s="311"/>
      <c r="R23" s="314"/>
      <c r="T23" s="289"/>
    </row>
    <row r="24" spans="1:20" ht="33">
      <c r="A24" s="327" t="s">
        <v>288</v>
      </c>
      <c r="B24" s="10">
        <v>1</v>
      </c>
      <c r="C24" s="16">
        <v>110000432</v>
      </c>
      <c r="D24" s="17" t="s">
        <v>127</v>
      </c>
      <c r="E24" s="127"/>
      <c r="F24" s="127" t="s">
        <v>332</v>
      </c>
      <c r="G24" s="328">
        <f>'[2]4. rHDPE '!I14</f>
        <v>1350</v>
      </c>
      <c r="H24" s="329">
        <f>'4. rHDPE '!M14</f>
        <v>1300</v>
      </c>
      <c r="I24" s="330">
        <f t="shared" si="7"/>
        <v>-50</v>
      </c>
      <c r="J24" s="18">
        <f t="shared" si="8"/>
        <v>-3.7037037037037035E-2</v>
      </c>
      <c r="K24" s="330"/>
      <c r="L24" s="331">
        <f>+VLOOKUP(A24,'Điểm HV'!B:AA,1+TH!$C$1,0)</f>
        <v>1224.8943631432089</v>
      </c>
      <c r="M24" s="332">
        <f t="shared" ref="M24" si="13">H24-L24</f>
        <v>75.105636856791079</v>
      </c>
      <c r="N24" s="273">
        <f t="shared" ref="N24" si="14">M24/H24</f>
        <v>5.7773566812916212E-2</v>
      </c>
      <c r="O24" s="330">
        <v>940</v>
      </c>
      <c r="P24" s="330">
        <f>'4. rHDPE '!$R$2</f>
        <v>940</v>
      </c>
      <c r="Q24" s="330">
        <f t="shared" ref="Q24" si="15">H24-P24</f>
        <v>360</v>
      </c>
      <c r="R24" s="18">
        <f t="shared" ref="R24" si="16">Q24/P24</f>
        <v>0.38297872340425532</v>
      </c>
      <c r="T24" s="304"/>
    </row>
    <row r="25" spans="1:20" ht="16.5">
      <c r="B25" s="309" t="s">
        <v>120</v>
      </c>
      <c r="C25" s="310"/>
      <c r="D25" s="310"/>
      <c r="E25" s="310"/>
      <c r="F25" s="310"/>
      <c r="G25" s="325"/>
      <c r="H25" s="326"/>
      <c r="I25" s="311"/>
      <c r="J25" s="312"/>
      <c r="K25" s="311"/>
      <c r="L25" s="311"/>
      <c r="M25" s="333"/>
      <c r="N25" s="313"/>
      <c r="O25" s="311"/>
      <c r="P25" s="311"/>
      <c r="Q25" s="311"/>
      <c r="R25" s="314"/>
      <c r="T25" s="289"/>
    </row>
    <row r="26" spans="1:20" ht="16.5">
      <c r="A26" s="253" t="s">
        <v>291</v>
      </c>
      <c r="B26" s="266">
        <v>1</v>
      </c>
      <c r="C26" s="264" t="s">
        <v>21</v>
      </c>
      <c r="D26" s="315" t="s">
        <v>43</v>
      </c>
      <c r="E26" s="264"/>
      <c r="F26" s="264" t="s">
        <v>38</v>
      </c>
      <c r="G26" s="316">
        <v>1250</v>
      </c>
      <c r="H26" s="317">
        <f>'4. rHDPE '!M16</f>
        <v>1250</v>
      </c>
      <c r="I26" s="263">
        <f t="shared" si="7"/>
        <v>0</v>
      </c>
      <c r="J26" s="274">
        <f t="shared" si="8"/>
        <v>0</v>
      </c>
      <c r="K26" s="263"/>
      <c r="L26" s="331">
        <f>+VLOOKUP(A26,'Điểm HV'!B:AA,1+TH!$C$1,0)</f>
        <v>888.18378633668294</v>
      </c>
      <c r="M26" s="319">
        <f t="shared" ref="M26:M28" si="17">H26-L26</f>
        <v>361.81621366331706</v>
      </c>
      <c r="N26" s="320">
        <f t="shared" ref="N26:N28" si="18">M26/H26</f>
        <v>0.28945297093065364</v>
      </c>
      <c r="O26" s="263">
        <v>940</v>
      </c>
      <c r="P26" s="263">
        <f>'4. rHDPE '!$R$16</f>
        <v>940</v>
      </c>
      <c r="Q26" s="263">
        <f t="shared" ref="Q26:Q28" si="19">H26-P26</f>
        <v>310</v>
      </c>
      <c r="R26" s="274">
        <f t="shared" ref="R26:R28" si="20">Q26/P26</f>
        <v>0.32978723404255317</v>
      </c>
      <c r="T26" t="s">
        <v>333</v>
      </c>
    </row>
    <row r="27" spans="1:20" ht="16.5">
      <c r="A27" s="253" t="s">
        <v>291</v>
      </c>
      <c r="B27" s="277">
        <v>2</v>
      </c>
      <c r="C27" s="287" t="s">
        <v>20</v>
      </c>
      <c r="D27" s="276" t="s">
        <v>101</v>
      </c>
      <c r="E27" s="287"/>
      <c r="F27" s="287" t="s">
        <v>100</v>
      </c>
      <c r="G27" s="334">
        <v>1310</v>
      </c>
      <c r="H27" s="335">
        <f>'4. rHDPE '!M17</f>
        <v>1310</v>
      </c>
      <c r="I27" s="282">
        <f t="shared" si="7"/>
        <v>0</v>
      </c>
      <c r="J27" s="286">
        <f t="shared" si="8"/>
        <v>0</v>
      </c>
      <c r="K27" s="282"/>
      <c r="L27" s="331">
        <f>+VLOOKUP(A27,'Điểm HV'!B:AA,1+TH!$C$1,0)</f>
        <v>888.18378633668294</v>
      </c>
      <c r="M27" s="319">
        <f t="shared" si="17"/>
        <v>421.81621366331706</v>
      </c>
      <c r="N27" s="320">
        <f t="shared" si="18"/>
        <v>0.32199710966665424</v>
      </c>
      <c r="O27" s="263">
        <v>940</v>
      </c>
      <c r="P27" s="282">
        <f>'4. rHDPE '!$R$16</f>
        <v>940</v>
      </c>
      <c r="Q27" s="282">
        <f t="shared" si="19"/>
        <v>370</v>
      </c>
      <c r="R27" s="286">
        <f t="shared" si="20"/>
        <v>0.39361702127659576</v>
      </c>
      <c r="T27" s="304"/>
    </row>
    <row r="28" spans="1:20" ht="16.5">
      <c r="A28" s="253" t="s">
        <v>291</v>
      </c>
      <c r="B28" s="293">
        <v>3</v>
      </c>
      <c r="C28" s="291" t="s">
        <v>19</v>
      </c>
      <c r="D28" s="321" t="s">
        <v>44</v>
      </c>
      <c r="E28" s="291"/>
      <c r="F28" s="291" t="s">
        <v>39</v>
      </c>
      <c r="G28" s="322">
        <v>1310</v>
      </c>
      <c r="H28" s="323">
        <f>'4. rHDPE '!M17</f>
        <v>1310</v>
      </c>
      <c r="I28" s="324">
        <f t="shared" si="7"/>
        <v>0</v>
      </c>
      <c r="J28" s="303">
        <f t="shared" si="8"/>
        <v>0</v>
      </c>
      <c r="K28" s="324"/>
      <c r="L28" s="318">
        <f>+VLOOKUP(A28,'Điểm HV'!B:AA,1+TH!$C$1,0)</f>
        <v>888.18378633668294</v>
      </c>
      <c r="M28" s="319">
        <f t="shared" si="17"/>
        <v>421.81621366331706</v>
      </c>
      <c r="N28" s="320">
        <f t="shared" si="18"/>
        <v>0.32199710966665424</v>
      </c>
      <c r="O28" s="263">
        <v>940</v>
      </c>
      <c r="P28" s="324">
        <f>'4. rHDPE '!$R$16</f>
        <v>940</v>
      </c>
      <c r="Q28" s="324">
        <f t="shared" si="19"/>
        <v>370</v>
      </c>
      <c r="R28" s="303">
        <f t="shared" si="20"/>
        <v>0.39361702127659576</v>
      </c>
      <c r="T28" s="304"/>
    </row>
    <row r="29" spans="1:20" ht="14.5" customHeight="1">
      <c r="B29" s="140" t="s">
        <v>117</v>
      </c>
      <c r="C29" s="122" t="s">
        <v>110</v>
      </c>
      <c r="D29" s="122"/>
      <c r="E29" s="122"/>
      <c r="F29" s="122"/>
      <c r="G29" s="336"/>
      <c r="H29" s="337"/>
      <c r="I29" s="305"/>
      <c r="J29" s="306"/>
      <c r="K29" s="305"/>
      <c r="L29" s="305"/>
      <c r="M29" s="338"/>
      <c r="N29" s="307"/>
      <c r="O29" s="305"/>
      <c r="P29" s="305"/>
      <c r="Q29" s="305"/>
      <c r="R29" s="308"/>
    </row>
    <row r="30" spans="1:20" ht="33">
      <c r="A30" s="253" t="s">
        <v>291</v>
      </c>
      <c r="B30" s="10">
        <v>1</v>
      </c>
      <c r="C30" s="16" t="s">
        <v>21</v>
      </c>
      <c r="D30" s="17" t="s">
        <v>102</v>
      </c>
      <c r="E30" s="127"/>
      <c r="F30" s="127" t="s">
        <v>103</v>
      </c>
      <c r="G30" s="339">
        <v>870</v>
      </c>
      <c r="H30" s="340">
        <f>'4. rHDPE '!M20</f>
        <v>800</v>
      </c>
      <c r="I30" s="341">
        <f t="shared" si="7"/>
        <v>-70</v>
      </c>
      <c r="J30" s="18">
        <f t="shared" si="8"/>
        <v>-8.0459770114942528E-2</v>
      </c>
      <c r="K30" s="341"/>
      <c r="L30" s="331">
        <f>+VLOOKUP(A30,'Điểm HV'!B:AA,1+TH!$C$1,0)</f>
        <v>888.18378633668294</v>
      </c>
      <c r="M30" s="342">
        <f t="shared" ref="M30" si="21">H30-L30</f>
        <v>-88.183786336682942</v>
      </c>
      <c r="N30" s="320">
        <f t="shared" ref="N30" si="22">M30/H30</f>
        <v>-0.11022973292085368</v>
      </c>
      <c r="O30" s="341">
        <v>940</v>
      </c>
      <c r="P30" s="341">
        <f>'4. rHDPE '!$R$16</f>
        <v>940</v>
      </c>
      <c r="Q30" s="341">
        <f>H30-P30</f>
        <v>-140</v>
      </c>
      <c r="R30" s="18">
        <f t="shared" ref="R30" si="23">Q30/P30</f>
        <v>-0.14893617021276595</v>
      </c>
      <c r="T30" t="s">
        <v>333</v>
      </c>
    </row>
    <row r="32" spans="1:20" ht="21">
      <c r="C32" s="255" t="s">
        <v>334</v>
      </c>
    </row>
    <row r="33" spans="1:20" s="258" customFormat="1" ht="29" customHeight="1">
      <c r="A33" s="256"/>
      <c r="B33" s="257" t="s">
        <v>2</v>
      </c>
      <c r="C33" s="257" t="s">
        <v>10</v>
      </c>
      <c r="D33" s="257" t="s">
        <v>0</v>
      </c>
      <c r="E33" s="257" t="s">
        <v>3</v>
      </c>
      <c r="F33" s="257" t="s">
        <v>66</v>
      </c>
      <c r="G33" s="257" t="str">
        <f>G5</f>
        <v>Giá bán T01</v>
      </c>
      <c r="H33" s="257" t="str">
        <f>H5</f>
        <v>Giá bán T2</v>
      </c>
      <c r="I33" s="424" t="str">
        <f>I5</f>
        <v>Chênh lệch T2 sv T1</v>
      </c>
      <c r="J33" s="425"/>
      <c r="K33" s="257" t="s">
        <v>321</v>
      </c>
      <c r="L33" s="257" t="str">
        <f>L5</f>
        <v>Điểm hòa vốn T2</v>
      </c>
      <c r="M33" s="424" t="str">
        <f>M5</f>
        <v>Lợi nhuận</v>
      </c>
      <c r="N33" s="425"/>
      <c r="O33" s="257" t="str">
        <f>O5</f>
        <v>Giá chính phẩm T01</v>
      </c>
      <c r="P33" s="257" t="str">
        <f>P5</f>
        <v>Giá chính phẩm T2</v>
      </c>
      <c r="Q33" s="424" t="str">
        <f>Q5</f>
        <v>Chênh lệch Giá T2 vs chính phẩm</v>
      </c>
      <c r="R33" s="425"/>
    </row>
    <row r="34" spans="1:20" s="261" customFormat="1" ht="14.5" customHeight="1">
      <c r="A34" s="259"/>
      <c r="B34" s="260"/>
      <c r="C34" s="260"/>
      <c r="D34" s="260"/>
      <c r="E34" s="260"/>
      <c r="F34" s="260"/>
      <c r="G34" s="260" t="s">
        <v>323</v>
      </c>
      <c r="H34" s="260" t="s">
        <v>323</v>
      </c>
      <c r="I34" s="260" t="s">
        <v>323</v>
      </c>
      <c r="J34" s="260" t="s">
        <v>37</v>
      </c>
      <c r="K34" s="260" t="s">
        <v>323</v>
      </c>
      <c r="L34" s="260" t="s">
        <v>323</v>
      </c>
      <c r="M34" s="260" t="s">
        <v>323</v>
      </c>
      <c r="N34" s="260" t="s">
        <v>37</v>
      </c>
      <c r="O34" s="260" t="s">
        <v>323</v>
      </c>
      <c r="P34" s="260" t="s">
        <v>323</v>
      </c>
      <c r="Q34" s="260" t="s">
        <v>323</v>
      </c>
      <c r="R34" s="260" t="s">
        <v>37</v>
      </c>
    </row>
    <row r="35" spans="1:20" s="156" customFormat="1" ht="49.5">
      <c r="A35" s="262" t="s">
        <v>296</v>
      </c>
      <c r="B35" s="10">
        <v>1</v>
      </c>
      <c r="C35" s="16">
        <v>110000407</v>
      </c>
      <c r="D35" s="17" t="s">
        <v>96</v>
      </c>
      <c r="E35" s="127"/>
      <c r="F35" s="127" t="s">
        <v>95</v>
      </c>
      <c r="G35" s="341">
        <v>825</v>
      </c>
      <c r="H35" s="343">
        <f>'5.Vảy HDPE- Ép'!M10</f>
        <v>750</v>
      </c>
      <c r="I35" s="341">
        <f t="shared" ref="I35" si="24">H35-G35</f>
        <v>-75</v>
      </c>
      <c r="J35" s="18">
        <f t="shared" ref="J35" si="25">I35/G35</f>
        <v>-9.0909090909090912E-2</v>
      </c>
      <c r="K35" s="341"/>
      <c r="L35" s="331">
        <f>+VLOOKUP(A35,'Điểm HV'!B:AA,1+TH!$C$1,0)</f>
        <v>686.58247571857055</v>
      </c>
      <c r="M35" s="319">
        <f t="shared" ref="M35" si="26">H35-L35</f>
        <v>63.417524281429451</v>
      </c>
      <c r="N35" s="320">
        <f t="shared" ref="N35" si="27">M35/H35</f>
        <v>8.4556699041905936E-2</v>
      </c>
      <c r="O35" s="341">
        <v>940</v>
      </c>
      <c r="P35" s="341">
        <f>'5.Vảy HDPE- Ép'!$R$2</f>
        <v>940</v>
      </c>
      <c r="Q35" s="341">
        <f>H35-P35</f>
        <v>-190</v>
      </c>
      <c r="R35" s="18">
        <f t="shared" ref="R35" si="28">Q35/P35</f>
        <v>-0.20212765957446807</v>
      </c>
      <c r="T35" s="156" t="s">
        <v>335</v>
      </c>
    </row>
    <row r="38" spans="1:20" ht="21">
      <c r="C38" s="255" t="s">
        <v>336</v>
      </c>
    </row>
    <row r="39" spans="1:20" s="258" customFormat="1" ht="29" customHeight="1">
      <c r="A39" s="256"/>
      <c r="B39" s="257" t="s">
        <v>2</v>
      </c>
      <c r="C39" s="257" t="s">
        <v>10</v>
      </c>
      <c r="D39" s="257" t="s">
        <v>0</v>
      </c>
      <c r="E39" s="257" t="s">
        <v>3</v>
      </c>
      <c r="F39" s="257" t="s">
        <v>66</v>
      </c>
      <c r="G39" s="257" t="str">
        <f>G5</f>
        <v>Giá bán T01</v>
      </c>
      <c r="H39" s="257" t="str">
        <f>H5</f>
        <v>Giá bán T2</v>
      </c>
      <c r="I39" s="424" t="str">
        <f>I5</f>
        <v>Chênh lệch T2 sv T1</v>
      </c>
      <c r="J39" s="425"/>
      <c r="K39" s="257" t="s">
        <v>321</v>
      </c>
      <c r="L39" s="257" t="str">
        <f>L5</f>
        <v>Điểm hòa vốn T2</v>
      </c>
      <c r="M39" s="424" t="str">
        <f>M5</f>
        <v>Lợi nhuận</v>
      </c>
      <c r="N39" s="425"/>
      <c r="O39" s="257" t="str">
        <f>O5</f>
        <v>Giá chính phẩm T01</v>
      </c>
      <c r="P39" s="257" t="str">
        <f>P5</f>
        <v>Giá chính phẩm T2</v>
      </c>
      <c r="Q39" s="424" t="str">
        <f>Q5</f>
        <v>Chênh lệch Giá T2 vs chính phẩm</v>
      </c>
      <c r="R39" s="425"/>
    </row>
    <row r="40" spans="1:20" s="261" customFormat="1" ht="14.5" customHeight="1">
      <c r="A40" s="259"/>
      <c r="B40" s="260"/>
      <c r="C40" s="260"/>
      <c r="D40" s="260"/>
      <c r="E40" s="260"/>
      <c r="F40" s="260"/>
      <c r="G40" s="260" t="s">
        <v>323</v>
      </c>
      <c r="H40" s="260" t="s">
        <v>323</v>
      </c>
      <c r="I40" s="260" t="s">
        <v>323</v>
      </c>
      <c r="J40" s="260" t="s">
        <v>37</v>
      </c>
      <c r="K40" s="260" t="s">
        <v>323</v>
      </c>
      <c r="L40" s="260" t="s">
        <v>323</v>
      </c>
      <c r="M40" s="260" t="s">
        <v>323</v>
      </c>
      <c r="N40" s="260" t="s">
        <v>37</v>
      </c>
      <c r="O40" s="260" t="s">
        <v>323</v>
      </c>
      <c r="P40" s="260" t="s">
        <v>323</v>
      </c>
      <c r="Q40" s="260" t="s">
        <v>323</v>
      </c>
      <c r="R40" s="260" t="s">
        <v>37</v>
      </c>
    </row>
    <row r="41" spans="1:20" ht="14.5" customHeight="1">
      <c r="B41" s="140" t="s">
        <v>116</v>
      </c>
      <c r="C41" s="122" t="s">
        <v>109</v>
      </c>
      <c r="D41" s="122"/>
      <c r="E41" s="122"/>
      <c r="F41" s="122"/>
      <c r="G41" s="305"/>
      <c r="H41" s="344"/>
      <c r="I41" s="305"/>
      <c r="J41" s="306"/>
      <c r="K41" s="305"/>
      <c r="L41" s="305"/>
      <c r="M41" s="305"/>
      <c r="N41" s="307"/>
      <c r="O41" s="305"/>
      <c r="P41" s="305"/>
      <c r="Q41" s="305"/>
      <c r="R41" s="308"/>
      <c r="T41" t="s">
        <v>335</v>
      </c>
    </row>
    <row r="42" spans="1:20" ht="33">
      <c r="A42" s="262" t="s">
        <v>297</v>
      </c>
      <c r="B42" s="10">
        <v>1</v>
      </c>
      <c r="C42" s="16">
        <v>110000367</v>
      </c>
      <c r="D42" s="17" t="s">
        <v>98</v>
      </c>
      <c r="E42" s="128"/>
      <c r="F42" s="128" t="s">
        <v>97</v>
      </c>
      <c r="G42" s="339">
        <v>1140</v>
      </c>
      <c r="H42" s="340">
        <f>'6. rPP '!M10</f>
        <v>1140</v>
      </c>
      <c r="I42" s="341">
        <f t="shared" ref="I42:I44" si="29">H42-G42</f>
        <v>0</v>
      </c>
      <c r="J42" s="18">
        <f t="shared" ref="J42:J44" si="30">I42/G42</f>
        <v>0</v>
      </c>
      <c r="K42" s="341"/>
      <c r="L42" s="331">
        <f>+VLOOKUP(A42,'Điểm HV'!B:AA,1+TH!$C$1,0)</f>
        <v>835.02956014903214</v>
      </c>
      <c r="M42" s="319">
        <f t="shared" ref="M42:M44" si="31">H42-L42</f>
        <v>304.97043985096786</v>
      </c>
      <c r="N42" s="320">
        <f t="shared" ref="N42:N44" si="32">M42/H42</f>
        <v>0.26751792969383148</v>
      </c>
      <c r="O42" s="341">
        <v>960</v>
      </c>
      <c r="P42" s="341">
        <f>'6. rPP '!$R$2</f>
        <v>980</v>
      </c>
      <c r="Q42" s="341">
        <f t="shared" ref="Q42:Q44" si="33">H42-P42</f>
        <v>160</v>
      </c>
      <c r="R42" s="18">
        <f t="shared" ref="R42:R44" si="34">Q42/P42</f>
        <v>0.16326530612244897</v>
      </c>
    </row>
    <row r="43" spans="1:20" ht="14.5" customHeight="1">
      <c r="B43" s="140" t="s">
        <v>117</v>
      </c>
      <c r="C43" s="122" t="s">
        <v>110</v>
      </c>
      <c r="D43" s="122"/>
      <c r="E43" s="122"/>
      <c r="F43" s="122"/>
      <c r="G43" s="336"/>
      <c r="H43" s="337"/>
      <c r="I43" s="305"/>
      <c r="J43" s="306"/>
      <c r="K43" s="305"/>
      <c r="L43" s="305"/>
      <c r="M43" s="305"/>
      <c r="N43" s="307"/>
      <c r="O43" s="305"/>
      <c r="P43" s="305"/>
      <c r="Q43" s="305"/>
      <c r="R43" s="308"/>
    </row>
    <row r="44" spans="1:20" ht="33">
      <c r="A44" s="262" t="s">
        <v>297</v>
      </c>
      <c r="B44" s="10">
        <v>1</v>
      </c>
      <c r="C44" s="16">
        <v>110000367</v>
      </c>
      <c r="D44" s="17" t="s">
        <v>98</v>
      </c>
      <c r="E44" s="128"/>
      <c r="F44" s="128" t="s">
        <v>97</v>
      </c>
      <c r="G44" s="339">
        <v>900</v>
      </c>
      <c r="H44" s="340">
        <f>'6. rPP '!M12</f>
        <v>820</v>
      </c>
      <c r="I44" s="341">
        <f t="shared" si="29"/>
        <v>-80</v>
      </c>
      <c r="J44" s="18">
        <f t="shared" si="30"/>
        <v>-8.8888888888888892E-2</v>
      </c>
      <c r="K44" s="341"/>
      <c r="L44" s="331">
        <f>+VLOOKUP(A44,'Điểm HV'!B:AA,1+TH!$C$1,0)</f>
        <v>835.02956014903214</v>
      </c>
      <c r="M44" s="319">
        <f t="shared" si="31"/>
        <v>-15.029560149032136</v>
      </c>
      <c r="N44" s="320">
        <f t="shared" si="32"/>
        <v>-1.8328731889063581E-2</v>
      </c>
      <c r="O44" s="341">
        <v>960</v>
      </c>
      <c r="P44" s="341">
        <f>'6. rPP '!$R$2</f>
        <v>980</v>
      </c>
      <c r="Q44" s="341">
        <f t="shared" si="33"/>
        <v>-160</v>
      </c>
      <c r="R44" s="18">
        <f t="shared" si="34"/>
        <v>-0.16326530612244897</v>
      </c>
    </row>
    <row r="46" spans="1:20" ht="21">
      <c r="C46" s="255" t="s">
        <v>337</v>
      </c>
    </row>
    <row r="47" spans="1:20" s="258" customFormat="1" ht="29" customHeight="1">
      <c r="A47" s="256"/>
      <c r="B47" s="257" t="s">
        <v>2</v>
      </c>
      <c r="C47" s="257" t="s">
        <v>10</v>
      </c>
      <c r="D47" s="257" t="s">
        <v>0</v>
      </c>
      <c r="E47" s="257" t="s">
        <v>3</v>
      </c>
      <c r="F47" s="257" t="s">
        <v>66</v>
      </c>
      <c r="G47" s="257" t="str">
        <f>G5</f>
        <v>Giá bán T01</v>
      </c>
      <c r="H47" s="257" t="str">
        <f>H5</f>
        <v>Giá bán T2</v>
      </c>
      <c r="I47" s="424" t="str">
        <f>I5</f>
        <v>Chênh lệch T2 sv T1</v>
      </c>
      <c r="J47" s="425"/>
      <c r="K47" s="257" t="s">
        <v>321</v>
      </c>
      <c r="L47" s="257" t="str">
        <f>L5</f>
        <v>Điểm hòa vốn T2</v>
      </c>
      <c r="M47" s="424" t="str">
        <f>M5</f>
        <v>Lợi nhuận</v>
      </c>
      <c r="N47" s="425"/>
      <c r="O47" s="257" t="str">
        <f>O5</f>
        <v>Giá chính phẩm T01</v>
      </c>
      <c r="P47" s="257" t="str">
        <f>P5</f>
        <v>Giá chính phẩm T2</v>
      </c>
      <c r="Q47" s="424" t="str">
        <f>Q5</f>
        <v>Chênh lệch Giá T2 vs chính phẩm</v>
      </c>
      <c r="R47" s="425"/>
    </row>
    <row r="48" spans="1:20" s="261" customFormat="1" ht="14.5" customHeight="1">
      <c r="A48" s="259"/>
      <c r="B48" s="260"/>
      <c r="C48" s="260"/>
      <c r="D48" s="260"/>
      <c r="E48" s="260"/>
      <c r="F48" s="260"/>
      <c r="G48" s="260" t="s">
        <v>323</v>
      </c>
      <c r="H48" s="260" t="s">
        <v>323</v>
      </c>
      <c r="I48" s="260" t="s">
        <v>323</v>
      </c>
      <c r="J48" s="260" t="s">
        <v>37</v>
      </c>
      <c r="K48" s="260" t="s">
        <v>323</v>
      </c>
      <c r="L48" s="260" t="s">
        <v>323</v>
      </c>
      <c r="M48" s="260" t="s">
        <v>323</v>
      </c>
      <c r="N48" s="260" t="s">
        <v>37</v>
      </c>
      <c r="O48" s="260" t="s">
        <v>323</v>
      </c>
      <c r="P48" s="260" t="s">
        <v>323</v>
      </c>
      <c r="Q48" s="260" t="s">
        <v>323</v>
      </c>
      <c r="R48" s="260" t="s">
        <v>37</v>
      </c>
    </row>
    <row r="49" spans="1:20" ht="14.5" customHeight="1">
      <c r="B49" s="140"/>
      <c r="C49" s="146" t="s">
        <v>110</v>
      </c>
      <c r="D49" s="122"/>
      <c r="E49" s="122"/>
      <c r="F49" s="122"/>
      <c r="G49" s="305"/>
      <c r="H49" s="344"/>
      <c r="I49" s="305"/>
      <c r="J49" s="306"/>
      <c r="K49" s="305"/>
      <c r="L49" s="305"/>
      <c r="M49" s="305"/>
      <c r="N49" s="307"/>
      <c r="O49" s="305"/>
      <c r="P49" s="305"/>
      <c r="Q49" s="305"/>
      <c r="R49" s="308"/>
      <c r="T49" t="s">
        <v>335</v>
      </c>
    </row>
    <row r="50" spans="1:20" ht="16.5">
      <c r="A50" s="262" t="s">
        <v>299</v>
      </c>
      <c r="B50" s="10">
        <v>1</v>
      </c>
      <c r="C50" s="16" t="s">
        <v>85</v>
      </c>
      <c r="D50" s="17" t="s">
        <v>94</v>
      </c>
      <c r="E50" s="17"/>
      <c r="F50" s="17" t="s">
        <v>93</v>
      </c>
      <c r="G50" s="341">
        <v>855</v>
      </c>
      <c r="H50" s="343">
        <f>'7. Vảy PP'!M10</f>
        <v>780</v>
      </c>
      <c r="I50" s="341">
        <f t="shared" ref="I50" si="35">H50-G50</f>
        <v>-75</v>
      </c>
      <c r="J50" s="18">
        <f t="shared" ref="J50" si="36">I50/G50</f>
        <v>-8.771929824561403E-2</v>
      </c>
      <c r="K50" s="341"/>
      <c r="L50" s="331">
        <f>+VLOOKUP(A50,'Điểm HV'!B:AA,1+TH!$C$1,0)</f>
        <v>780.14594515953695</v>
      </c>
      <c r="M50" s="319">
        <f>H50-L50</f>
        <v>-0.14594515953695009</v>
      </c>
      <c r="N50" s="320">
        <f t="shared" ref="N50" si="37">M50/H50</f>
        <v>-1.8710917889352575E-4</v>
      </c>
      <c r="O50" s="341">
        <v>960</v>
      </c>
      <c r="P50" s="341">
        <f>P42</f>
        <v>980</v>
      </c>
      <c r="Q50" s="341">
        <f>H50-P50</f>
        <v>-200</v>
      </c>
      <c r="R50" s="18">
        <f t="shared" ref="R50" si="38">Q50/P50</f>
        <v>-0.20408163265306123</v>
      </c>
      <c r="T50" s="304"/>
    </row>
    <row r="52" spans="1:20">
      <c r="L52" s="345"/>
    </row>
    <row r="53" spans="1:20" ht="21">
      <c r="C53" s="255" t="s">
        <v>338</v>
      </c>
      <c r="L53" s="345"/>
    </row>
    <row r="54" spans="1:20" s="258" customFormat="1" ht="29">
      <c r="A54" s="256"/>
      <c r="B54" s="257" t="s">
        <v>2</v>
      </c>
      <c r="C54" s="257" t="s">
        <v>10</v>
      </c>
      <c r="D54" s="257" t="s">
        <v>0</v>
      </c>
      <c r="E54" s="257" t="s">
        <v>339</v>
      </c>
      <c r="F54" s="257" t="s">
        <v>66</v>
      </c>
      <c r="G54" s="257" t="str">
        <f>G5</f>
        <v>Giá bán T01</v>
      </c>
      <c r="H54" s="257" t="str">
        <f>H5</f>
        <v>Giá bán T2</v>
      </c>
      <c r="I54" s="424" t="str">
        <f>I5</f>
        <v>Chênh lệch T2 sv T1</v>
      </c>
      <c r="J54" s="425"/>
      <c r="K54" s="257" t="s">
        <v>321</v>
      </c>
      <c r="L54" s="257" t="str">
        <f>L5</f>
        <v>Điểm hòa vốn T2</v>
      </c>
      <c r="M54" s="424" t="str">
        <f>M5</f>
        <v>Lợi nhuận</v>
      </c>
      <c r="N54" s="425"/>
      <c r="O54" s="257" t="str">
        <f>O5</f>
        <v>Giá chính phẩm T01</v>
      </c>
      <c r="P54" s="257" t="str">
        <f>P5</f>
        <v>Giá chính phẩm T2</v>
      </c>
      <c r="Q54" s="424" t="str">
        <f>Q5</f>
        <v>Chênh lệch Giá T2 vs chính phẩm</v>
      </c>
      <c r="R54" s="425"/>
    </row>
    <row r="55" spans="1:20" s="261" customFormat="1" ht="14.5" customHeight="1">
      <c r="A55" s="259"/>
      <c r="B55" s="260"/>
      <c r="C55" s="260"/>
      <c r="D55" s="260"/>
      <c r="E55" s="260"/>
      <c r="F55" s="260"/>
      <c r="G55" s="260" t="s">
        <v>323</v>
      </c>
      <c r="H55" s="260" t="s">
        <v>323</v>
      </c>
      <c r="I55" s="260" t="s">
        <v>323</v>
      </c>
      <c r="J55" s="260" t="s">
        <v>37</v>
      </c>
      <c r="K55" s="260" t="s">
        <v>323</v>
      </c>
      <c r="L55" s="260" t="s">
        <v>323</v>
      </c>
      <c r="M55" s="346" t="s">
        <v>323</v>
      </c>
      <c r="N55" s="260" t="s">
        <v>37</v>
      </c>
      <c r="O55" s="260" t="s">
        <v>323</v>
      </c>
      <c r="P55" s="260" t="s">
        <v>323</v>
      </c>
      <c r="Q55" s="260" t="s">
        <v>323</v>
      </c>
      <c r="R55" s="260" t="s">
        <v>37</v>
      </c>
    </row>
    <row r="56" spans="1:20" ht="14.5" customHeight="1">
      <c r="A56" s="191" t="s">
        <v>193</v>
      </c>
      <c r="B56" s="263">
        <v>1</v>
      </c>
      <c r="C56" s="347">
        <v>110000464</v>
      </c>
      <c r="D56" s="265" t="s">
        <v>137</v>
      </c>
      <c r="E56" s="266" t="s">
        <v>131</v>
      </c>
      <c r="F56" s="266" t="s">
        <v>130</v>
      </c>
      <c r="G56" s="316">
        <v>650</v>
      </c>
      <c r="H56" s="317">
        <v>650</v>
      </c>
      <c r="I56" s="263">
        <f>H56-G56</f>
        <v>0</v>
      </c>
      <c r="J56" s="274">
        <f>I56/G56</f>
        <v>0</v>
      </c>
      <c r="K56" s="263">
        <v>1260</v>
      </c>
      <c r="L56" s="348">
        <f>+VLOOKUP(A56,'Điểm HV'!B:AA,1+TH!$C$1,0)</f>
        <v>539.7640245118472</v>
      </c>
      <c r="M56" s="349">
        <f>H56-L56</f>
        <v>110.2359754881528</v>
      </c>
      <c r="N56" s="350">
        <f>M56/H56</f>
        <v>0.16959380844331201</v>
      </c>
      <c r="O56" s="263">
        <v>820</v>
      </c>
      <c r="P56" s="263">
        <f>'8. Hạt phó sản'!S10</f>
        <v>850</v>
      </c>
      <c r="Q56" s="263">
        <f>H56-P56</f>
        <v>-200</v>
      </c>
      <c r="R56" s="274">
        <f>Q56/P56</f>
        <v>-0.23529411764705882</v>
      </c>
    </row>
    <row r="57" spans="1:20" ht="16.5">
      <c r="A57" s="191" t="s">
        <v>189</v>
      </c>
      <c r="B57" s="282">
        <v>2</v>
      </c>
      <c r="C57" s="351">
        <v>110000465</v>
      </c>
      <c r="D57" s="288" t="s">
        <v>138</v>
      </c>
      <c r="E57" s="277" t="s">
        <v>131</v>
      </c>
      <c r="F57" s="277" t="s">
        <v>129</v>
      </c>
      <c r="G57" s="334">
        <v>750</v>
      </c>
      <c r="H57" s="335">
        <v>750</v>
      </c>
      <c r="I57" s="282">
        <f t="shared" ref="I57:I64" si="39">H57-G57</f>
        <v>0</v>
      </c>
      <c r="J57" s="286">
        <f t="shared" ref="J57:J64" si="40">I57/G57</f>
        <v>0</v>
      </c>
      <c r="K57" s="282">
        <v>729</v>
      </c>
      <c r="L57" s="348">
        <f>+VLOOKUP(A57,'Điểm HV'!B:AA,1+TH!$C$1,0)</f>
        <v>496.18858231324651</v>
      </c>
      <c r="M57" s="349">
        <f t="shared" ref="M57:M64" si="41">H57-L57</f>
        <v>253.81141768675349</v>
      </c>
      <c r="N57" s="350">
        <f t="shared" ref="N57:N64" si="42">M57/H57</f>
        <v>0.338415223582338</v>
      </c>
      <c r="O57" s="282">
        <v>820</v>
      </c>
      <c r="P57" s="282">
        <f>'8. Hạt phó sản'!S11</f>
        <v>850</v>
      </c>
      <c r="Q57" s="282">
        <f t="shared" ref="Q57:Q64" si="43">H57-P57</f>
        <v>-100</v>
      </c>
      <c r="R57" s="286">
        <f t="shared" ref="R57:R64" si="44">Q57/P57</f>
        <v>-0.11764705882352941</v>
      </c>
      <c r="T57" s="289" t="s">
        <v>324</v>
      </c>
    </row>
    <row r="58" spans="1:20" ht="16.5">
      <c r="A58" s="262" t="s">
        <v>305</v>
      </c>
      <c r="B58" s="282">
        <v>3</v>
      </c>
      <c r="C58" s="351" t="s">
        <v>146</v>
      </c>
      <c r="D58" s="352" t="s">
        <v>154</v>
      </c>
      <c r="E58" s="277" t="s">
        <v>158</v>
      </c>
      <c r="F58" s="277" t="s">
        <v>129</v>
      </c>
      <c r="G58" s="334">
        <v>950</v>
      </c>
      <c r="H58" s="335">
        <f>+H12</f>
        <v>950</v>
      </c>
      <c r="I58" s="282">
        <f t="shared" si="39"/>
        <v>0</v>
      </c>
      <c r="J58" s="286">
        <f t="shared" si="40"/>
        <v>0</v>
      </c>
      <c r="K58" s="282"/>
      <c r="L58" s="348">
        <f>+VLOOKUP(A58,'Điểm HV'!B:AA,1+TH!$C$1,0)</f>
        <v>982.68318241367888</v>
      </c>
      <c r="M58" s="349">
        <f t="shared" si="41"/>
        <v>-32.683182413678878</v>
      </c>
      <c r="N58" s="350">
        <f t="shared" si="42"/>
        <v>-3.4403349909135662E-2</v>
      </c>
      <c r="O58" s="282">
        <v>820</v>
      </c>
      <c r="P58" s="282">
        <f>'8. Hạt phó sản'!S12</f>
        <v>850</v>
      </c>
      <c r="Q58" s="282">
        <f t="shared" si="43"/>
        <v>100</v>
      </c>
      <c r="R58" s="286">
        <f t="shared" si="44"/>
        <v>0.11764705882352941</v>
      </c>
      <c r="T58" s="289"/>
    </row>
    <row r="59" spans="1:20" ht="16.5">
      <c r="A59" s="251" t="s">
        <v>311</v>
      </c>
      <c r="B59" s="282">
        <v>4</v>
      </c>
      <c r="C59" s="351">
        <v>110000466</v>
      </c>
      <c r="D59" s="288" t="s">
        <v>156</v>
      </c>
      <c r="E59" s="277" t="s">
        <v>158</v>
      </c>
      <c r="F59" s="277" t="s">
        <v>129</v>
      </c>
      <c r="G59" s="334">
        <v>1000</v>
      </c>
      <c r="H59" s="353">
        <f>+'[2]8. Hạt phó sản'!N13</f>
        <v>1000</v>
      </c>
      <c r="I59" s="282">
        <f t="shared" si="39"/>
        <v>0</v>
      </c>
      <c r="J59" s="286">
        <f>IFERROR(I59/G59,"-")</f>
        <v>0</v>
      </c>
      <c r="K59" s="282"/>
      <c r="L59" s="348">
        <f>+VLOOKUP(A59,'Điểm HV'!B:AA,1+TH!$C$1,0)</f>
        <v>902.04881394298684</v>
      </c>
      <c r="M59" s="349">
        <f t="shared" si="41"/>
        <v>97.95118605701316</v>
      </c>
      <c r="N59" s="350">
        <f t="shared" si="42"/>
        <v>9.7951186057013154E-2</v>
      </c>
      <c r="O59" s="282">
        <v>820</v>
      </c>
      <c r="P59" s="282">
        <f>'8. Hạt phó sản'!S13</f>
        <v>850</v>
      </c>
      <c r="Q59" s="282">
        <f t="shared" si="43"/>
        <v>150</v>
      </c>
      <c r="R59" s="286">
        <f t="shared" si="44"/>
        <v>0.17647058823529413</v>
      </c>
      <c r="T59" s="289"/>
    </row>
    <row r="60" spans="1:20" ht="16.5">
      <c r="A60" s="191" t="s">
        <v>314</v>
      </c>
      <c r="B60" s="282">
        <v>5</v>
      </c>
      <c r="C60" s="351">
        <v>110000467</v>
      </c>
      <c r="D60" s="288" t="s">
        <v>157</v>
      </c>
      <c r="E60" s="277" t="s">
        <v>158</v>
      </c>
      <c r="F60" s="277" t="s">
        <v>129</v>
      </c>
      <c r="G60" s="334">
        <v>1050</v>
      </c>
      <c r="H60" s="353">
        <f>+'[2]8. Hạt phó sản'!N14</f>
        <v>1050</v>
      </c>
      <c r="I60" s="282">
        <f t="shared" si="39"/>
        <v>0</v>
      </c>
      <c r="J60" s="286">
        <f t="shared" ref="J60:J62" si="45">IFERROR(I60/G60,"-")</f>
        <v>0</v>
      </c>
      <c r="K60" s="282"/>
      <c r="L60" s="348">
        <f>+VLOOKUP(A60,'Điểm HV'!B:AA,1+TH!$C$1,0)</f>
        <v>968.48803997058781</v>
      </c>
      <c r="M60" s="349">
        <f t="shared" si="41"/>
        <v>81.511960029412194</v>
      </c>
      <c r="N60" s="350">
        <f t="shared" si="42"/>
        <v>7.7630438123249712E-2</v>
      </c>
      <c r="O60" s="282">
        <v>820</v>
      </c>
      <c r="P60" s="282">
        <f>'8. Hạt phó sản'!S14</f>
        <v>850</v>
      </c>
      <c r="Q60" s="282">
        <f t="shared" si="43"/>
        <v>200</v>
      </c>
      <c r="R60" s="286">
        <f t="shared" si="44"/>
        <v>0.23529411764705882</v>
      </c>
      <c r="T60" s="289"/>
    </row>
    <row r="61" spans="1:20" ht="16.5">
      <c r="A61" s="262" t="s">
        <v>294</v>
      </c>
      <c r="B61" s="282">
        <v>6</v>
      </c>
      <c r="C61" s="351">
        <v>110000341</v>
      </c>
      <c r="D61" s="354" t="s">
        <v>162</v>
      </c>
      <c r="E61" s="277" t="s">
        <v>164</v>
      </c>
      <c r="F61" s="277" t="s">
        <v>76</v>
      </c>
      <c r="G61" s="334">
        <v>950</v>
      </c>
      <c r="H61" s="353">
        <f>+'[2]8. Hạt phó sản'!N15</f>
        <v>950</v>
      </c>
      <c r="I61" s="282">
        <f t="shared" si="39"/>
        <v>0</v>
      </c>
      <c r="J61" s="286">
        <f t="shared" si="45"/>
        <v>0</v>
      </c>
      <c r="K61" s="282"/>
      <c r="L61" s="348">
        <f>+VLOOKUP(A61,'Điểm HV'!B:AA,1+TH!$C$1,0)</f>
        <v>829.95118801685396</v>
      </c>
      <c r="M61" s="349">
        <f t="shared" si="41"/>
        <v>120.04881198314604</v>
      </c>
      <c r="N61" s="350">
        <f t="shared" si="42"/>
        <v>0.12636717050857477</v>
      </c>
      <c r="O61" s="282">
        <v>940</v>
      </c>
      <c r="P61" s="282">
        <f>'8. Hạt phó sản'!S15</f>
        <v>940</v>
      </c>
      <c r="Q61" s="282">
        <f t="shared" si="43"/>
        <v>10</v>
      </c>
      <c r="R61" s="286">
        <f t="shared" si="44"/>
        <v>1.0638297872340425E-2</v>
      </c>
      <c r="T61" s="289"/>
    </row>
    <row r="62" spans="1:20" ht="16.5">
      <c r="A62" s="262" t="s">
        <v>292</v>
      </c>
      <c r="B62" s="282">
        <v>7</v>
      </c>
      <c r="C62" s="351">
        <v>110000433</v>
      </c>
      <c r="D62" s="354" t="s">
        <v>163</v>
      </c>
      <c r="E62" s="277" t="s">
        <v>165</v>
      </c>
      <c r="F62" s="277" t="s">
        <v>129</v>
      </c>
      <c r="G62" s="334">
        <v>1100</v>
      </c>
      <c r="H62" s="353">
        <f>+'[2]8. Hạt phó sản'!N16</f>
        <v>1100</v>
      </c>
      <c r="I62" s="282">
        <f t="shared" si="39"/>
        <v>0</v>
      </c>
      <c r="J62" s="286">
        <f t="shared" si="45"/>
        <v>0</v>
      </c>
      <c r="K62" s="282"/>
      <c r="L62" s="348">
        <f>+VLOOKUP(A62,'Điểm HV'!B:AA,1+TH!$C$1,0)</f>
        <v>984.26717726377763</v>
      </c>
      <c r="M62" s="349">
        <f t="shared" si="41"/>
        <v>115.73282273622237</v>
      </c>
      <c r="N62" s="350">
        <f t="shared" si="42"/>
        <v>0.10521165703292944</v>
      </c>
      <c r="O62" s="282">
        <v>940</v>
      </c>
      <c r="P62" s="282">
        <f>'8. Hạt phó sản'!S16</f>
        <v>940</v>
      </c>
      <c r="Q62" s="282">
        <f t="shared" si="43"/>
        <v>160</v>
      </c>
      <c r="R62" s="286">
        <f t="shared" si="44"/>
        <v>0.1702127659574468</v>
      </c>
      <c r="T62" s="289"/>
    </row>
    <row r="63" spans="1:20" ht="16.5">
      <c r="A63" s="191" t="s">
        <v>295</v>
      </c>
      <c r="B63" s="282">
        <v>8</v>
      </c>
      <c r="C63" s="351">
        <v>110000431</v>
      </c>
      <c r="D63" s="288" t="s">
        <v>161</v>
      </c>
      <c r="E63" s="277" t="s">
        <v>134</v>
      </c>
      <c r="F63" s="277" t="s">
        <v>132</v>
      </c>
      <c r="G63" s="334">
        <v>800</v>
      </c>
      <c r="H63" s="335">
        <v>800</v>
      </c>
      <c r="I63" s="282">
        <f t="shared" si="39"/>
        <v>0</v>
      </c>
      <c r="J63" s="286">
        <f t="shared" si="40"/>
        <v>0</v>
      </c>
      <c r="K63" s="282"/>
      <c r="L63" s="348">
        <f>+VLOOKUP(A63,'Điểm HV'!B:AA,1+TH!$C$1,0)</f>
        <v>604.90388697366507</v>
      </c>
      <c r="M63" s="349">
        <f t="shared" si="41"/>
        <v>195.09611302633493</v>
      </c>
      <c r="N63" s="350">
        <f t="shared" si="42"/>
        <v>0.24387014128291867</v>
      </c>
      <c r="O63" s="282">
        <v>940</v>
      </c>
      <c r="P63" s="282">
        <f>'8. Hạt phó sản'!S17</f>
        <v>940</v>
      </c>
      <c r="Q63" s="282">
        <f t="shared" si="43"/>
        <v>-140</v>
      </c>
      <c r="R63" s="286">
        <f t="shared" si="44"/>
        <v>-0.14893617021276595</v>
      </c>
      <c r="T63" s="289"/>
    </row>
    <row r="64" spans="1:20" ht="16.5">
      <c r="A64" s="262" t="s">
        <v>298</v>
      </c>
      <c r="B64" s="282">
        <v>9</v>
      </c>
      <c r="C64" s="351">
        <v>110000392</v>
      </c>
      <c r="D64" s="288" t="s">
        <v>126</v>
      </c>
      <c r="E64" s="277" t="s">
        <v>135</v>
      </c>
      <c r="F64" s="277" t="s">
        <v>76</v>
      </c>
      <c r="G64" s="334">
        <v>700</v>
      </c>
      <c r="H64" s="335">
        <v>700</v>
      </c>
      <c r="I64" s="282">
        <f t="shared" si="39"/>
        <v>0</v>
      </c>
      <c r="J64" s="286">
        <f t="shared" si="40"/>
        <v>0</v>
      </c>
      <c r="K64" s="282"/>
      <c r="L64" s="348">
        <f>+VLOOKUP(A64,'Điểm HV'!B:AA,1+TH!$C$1,0)</f>
        <v>532.30045903714085</v>
      </c>
      <c r="M64" s="349">
        <f t="shared" si="41"/>
        <v>167.69954096285915</v>
      </c>
      <c r="N64" s="350">
        <f t="shared" si="42"/>
        <v>0.23957077280408448</v>
      </c>
      <c r="O64" s="282">
        <v>960</v>
      </c>
      <c r="P64" s="282">
        <f>'8. Hạt phó sản'!S18</f>
        <v>980</v>
      </c>
      <c r="Q64" s="282">
        <f t="shared" si="43"/>
        <v>-280</v>
      </c>
      <c r="R64" s="286">
        <f t="shared" si="44"/>
        <v>-0.2857142857142857</v>
      </c>
      <c r="T64" s="289"/>
    </row>
    <row r="65" spans="2:20" ht="16.5">
      <c r="B65" s="324">
        <v>10</v>
      </c>
      <c r="C65" s="291"/>
      <c r="D65" s="355"/>
      <c r="E65" s="293"/>
      <c r="F65" s="293"/>
      <c r="G65" s="322"/>
      <c r="H65" s="323"/>
      <c r="I65" s="324"/>
      <c r="J65" s="303"/>
      <c r="K65" s="356"/>
      <c r="L65" s="357"/>
      <c r="M65" s="358"/>
      <c r="N65" s="359"/>
      <c r="O65" s="324"/>
      <c r="P65" s="324"/>
      <c r="Q65" s="324"/>
      <c r="R65" s="303"/>
      <c r="T65" s="304" t="s">
        <v>325</v>
      </c>
    </row>
  </sheetData>
  <mergeCells count="19">
    <mergeCell ref="I5:J5"/>
    <mergeCell ref="M5:N5"/>
    <mergeCell ref="Q5:R5"/>
    <mergeCell ref="U14:U15"/>
    <mergeCell ref="I17:J17"/>
    <mergeCell ref="M17:N17"/>
    <mergeCell ref="Q17:R17"/>
    <mergeCell ref="I33:J33"/>
    <mergeCell ref="M33:N33"/>
    <mergeCell ref="Q33:R33"/>
    <mergeCell ref="I39:J39"/>
    <mergeCell ref="M39:N39"/>
    <mergeCell ref="Q39:R39"/>
    <mergeCell ref="I47:J47"/>
    <mergeCell ref="M47:N47"/>
    <mergeCell ref="Q47:R47"/>
    <mergeCell ref="I54:J54"/>
    <mergeCell ref="M54:N54"/>
    <mergeCell ref="Q54:R54"/>
  </mergeCells>
  <conditionalFormatting sqref="J7:J12">
    <cfRule type="iconSet" priority="23">
      <iconSet iconSet="3Arrows">
        <cfvo type="percent" val="0"/>
        <cfvo type="num" val="0"/>
        <cfvo type="num" val="0" gte="0"/>
      </iconSet>
    </cfRule>
  </conditionalFormatting>
  <conditionalFormatting sqref="J19:J30">
    <cfRule type="iconSet" priority="21">
      <iconSet iconSet="3Arrows">
        <cfvo type="percent" val="0"/>
        <cfvo type="num" val="0"/>
        <cfvo type="num" val="0" gte="0"/>
      </iconSet>
    </cfRule>
  </conditionalFormatting>
  <conditionalFormatting sqref="J35">
    <cfRule type="iconSet" priority="14">
      <iconSet iconSet="3Arrows">
        <cfvo type="percent" val="0"/>
        <cfvo type="num" val="0"/>
        <cfvo type="num" val="0" gte="0"/>
      </iconSet>
    </cfRule>
  </conditionalFormatting>
  <conditionalFormatting sqref="J41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J42 J44">
    <cfRule type="iconSet" priority="12">
      <iconSet iconSet="3Arrows">
        <cfvo type="percent" val="0"/>
        <cfvo type="num" val="0"/>
        <cfvo type="num" val="0" gte="0"/>
      </iconSet>
    </cfRule>
  </conditionalFormatting>
  <conditionalFormatting sqref="J43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J49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J50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J56:J65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R7:R12">
    <cfRule type="iconSet" priority="22">
      <iconSet iconSet="3Arrows">
        <cfvo type="percent" val="0"/>
        <cfvo type="num" val="0"/>
        <cfvo type="num" val="0" gte="0"/>
      </iconSet>
    </cfRule>
  </conditionalFormatting>
  <conditionalFormatting sqref="R19:R23">
    <cfRule type="iconSet" priority="20">
      <iconSet iconSet="3Arrows">
        <cfvo type="percent" val="0"/>
        <cfvo type="num" val="0"/>
        <cfvo type="num" val="0" gte="0"/>
      </iconSet>
    </cfRule>
  </conditionalFormatting>
  <conditionalFormatting sqref="R24">
    <cfRule type="iconSet" priority="19">
      <iconSet iconSet="3Arrows">
        <cfvo type="percent" val="0"/>
        <cfvo type="num" val="0"/>
        <cfvo type="num" val="0" gte="0"/>
      </iconSet>
    </cfRule>
  </conditionalFormatting>
  <conditionalFormatting sqref="R25">
    <cfRule type="iconSet" priority="16">
      <iconSet iconSet="3Arrows">
        <cfvo type="percent" val="0"/>
        <cfvo type="num" val="0"/>
        <cfvo type="num" val="0" gte="0"/>
      </iconSet>
    </cfRule>
  </conditionalFormatting>
  <conditionalFormatting sqref="R26:R28">
    <cfRule type="iconSet" priority="18">
      <iconSet iconSet="3Arrows">
        <cfvo type="percent" val="0"/>
        <cfvo type="num" val="0"/>
        <cfvo type="num" val="0" gte="0"/>
      </iconSet>
    </cfRule>
  </conditionalFormatting>
  <conditionalFormatting sqref="R29">
    <cfRule type="iconSet" priority="15">
      <iconSet iconSet="3Arrows">
        <cfvo type="percent" val="0"/>
        <cfvo type="num" val="0"/>
        <cfvo type="num" val="0" gte="0"/>
      </iconSet>
    </cfRule>
  </conditionalFormatting>
  <conditionalFormatting sqref="R30">
    <cfRule type="iconSet" priority="17">
      <iconSet iconSet="3Arrows">
        <cfvo type="percent" val="0"/>
        <cfvo type="num" val="0"/>
        <cfvo type="num" val="0" gte="0"/>
      </iconSet>
    </cfRule>
  </conditionalFormatting>
  <conditionalFormatting sqref="R35">
    <cfRule type="iconSet" priority="13">
      <iconSet iconSet="3Arrows">
        <cfvo type="percent" val="0"/>
        <cfvo type="num" val="0"/>
        <cfvo type="num" val="0" gte="0"/>
      </iconSet>
    </cfRule>
  </conditionalFormatting>
  <conditionalFormatting sqref="R41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R42 R44">
    <cfRule type="iconSet" priority="11">
      <iconSet iconSet="3Arrows">
        <cfvo type="percent" val="0"/>
        <cfvo type="num" val="0"/>
        <cfvo type="num" val="0" gte="0"/>
      </iconSet>
    </cfRule>
  </conditionalFormatting>
  <conditionalFormatting sqref="R43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R49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R50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R56:R65">
    <cfRule type="iconSet" priority="1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" bottom="0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26AA-D228-4152-9302-28D6C5B5157D}">
  <sheetPr>
    <tabColor rgb="FFFF33CC"/>
  </sheetPr>
  <dimension ref="A2:T12"/>
  <sheetViews>
    <sheetView zoomScale="90" zoomScaleNormal="90" workbookViewId="0">
      <pane ySplit="5" topLeftCell="A6" activePane="bottomLeft" state="frozen"/>
      <selection activeCell="F8" sqref="F8"/>
      <selection pane="bottomLeft" activeCell="F8" sqref="F8"/>
    </sheetView>
  </sheetViews>
  <sheetFormatPr defaultRowHeight="14.5" outlineLevelCol="1"/>
  <cols>
    <col min="1" max="1" width="6" customWidth="1"/>
    <col min="2" max="2" width="9.26953125" customWidth="1"/>
    <col min="3" max="3" width="80.54296875" customWidth="1"/>
    <col min="4" max="4" width="31.36328125" customWidth="1"/>
    <col min="5" max="5" width="5.36328125" customWidth="1"/>
    <col min="6" max="6" width="9.453125" customWidth="1" outlineLevel="1"/>
    <col min="7" max="7" width="15" customWidth="1" outlineLevel="1"/>
    <col min="8" max="8" width="14" customWidth="1" outlineLevel="1"/>
    <col min="9" max="12" width="15.08984375" customWidth="1" outlineLevel="1"/>
    <col min="13" max="13" width="8.81640625"/>
    <col min="14" max="14" width="11.81640625" style="360" customWidth="1"/>
    <col min="15" max="15" width="14.36328125" customWidth="1"/>
    <col min="16" max="16" width="7.81640625" customWidth="1"/>
    <col min="17" max="17" width="2.36328125" customWidth="1"/>
    <col min="18" max="18" width="8.81640625" customWidth="1"/>
    <col min="19" max="19" width="14.36328125" customWidth="1"/>
    <col min="20" max="22" width="8.81640625" customWidth="1"/>
  </cols>
  <sheetData>
    <row r="2" spans="1:20" ht="18.5">
      <c r="B2" s="219" t="s">
        <v>207</v>
      </c>
      <c r="D2" s="360"/>
      <c r="E2" s="375"/>
    </row>
    <row r="3" spans="1:20">
      <c r="G3" s="377" t="s">
        <v>355</v>
      </c>
      <c r="H3" s="378">
        <v>25000</v>
      </c>
    </row>
    <row r="4" spans="1:20" ht="18.5">
      <c r="B4" s="220" t="s">
        <v>276</v>
      </c>
      <c r="K4" s="345"/>
      <c r="L4" s="345"/>
    </row>
    <row r="5" spans="1:20">
      <c r="A5" s="223" t="s">
        <v>2</v>
      </c>
      <c r="B5" s="223" t="s">
        <v>215</v>
      </c>
      <c r="C5" s="223" t="s">
        <v>216</v>
      </c>
      <c r="D5" s="223" t="s">
        <v>348</v>
      </c>
      <c r="E5" s="363"/>
      <c r="F5" s="238" t="s">
        <v>349</v>
      </c>
      <c r="G5" s="238" t="s">
        <v>352</v>
      </c>
      <c r="H5" s="238" t="s">
        <v>353</v>
      </c>
      <c r="I5" s="238" t="s">
        <v>350</v>
      </c>
      <c r="J5" s="238" t="s">
        <v>351</v>
      </c>
      <c r="K5" s="238" t="s">
        <v>357</v>
      </c>
      <c r="L5" s="238" t="s">
        <v>359</v>
      </c>
      <c r="M5" s="363"/>
      <c r="N5" s="361" t="s">
        <v>227</v>
      </c>
      <c r="O5" s="233" t="s">
        <v>228</v>
      </c>
      <c r="P5" s="233" t="s">
        <v>37</v>
      </c>
      <c r="R5" s="233" t="s">
        <v>227</v>
      </c>
      <c r="S5" s="233" t="s">
        <v>228</v>
      </c>
      <c r="T5" s="233" t="s">
        <v>37</v>
      </c>
    </row>
    <row r="6" spans="1:20" s="156" customFormat="1" ht="117">
      <c r="A6" s="364">
        <v>1</v>
      </c>
      <c r="B6" s="365" t="s">
        <v>208</v>
      </c>
      <c r="C6" s="366" t="s">
        <v>360</v>
      </c>
      <c r="D6" s="366" t="s">
        <v>358</v>
      </c>
      <c r="E6" s="367"/>
      <c r="F6" s="379">
        <v>1359</v>
      </c>
      <c r="G6" s="379">
        <v>1283</v>
      </c>
      <c r="H6" s="379">
        <v>1230</v>
      </c>
      <c r="I6" s="379">
        <f>F6*G6</f>
        <v>1743597</v>
      </c>
      <c r="J6" s="379">
        <f>F6*H6</f>
        <v>1671570</v>
      </c>
      <c r="K6" s="379">
        <f t="shared" ref="K6:K11" si="0">J6-I6</f>
        <v>-72027</v>
      </c>
      <c r="L6" s="379">
        <f t="shared" ref="L6:L11" si="1">K6*$H$3/10^6</f>
        <v>-1800.675</v>
      </c>
      <c r="N6" s="362">
        <v>1230</v>
      </c>
      <c r="O6" s="156">
        <v>850</v>
      </c>
      <c r="P6" s="235">
        <f>(N6-O6)/O6</f>
        <v>0.44705882352941179</v>
      </c>
      <c r="T6" s="368"/>
    </row>
    <row r="7" spans="1:20" s="156" customFormat="1" ht="47.5" customHeight="1">
      <c r="A7" s="427">
        <v>2</v>
      </c>
      <c r="B7" s="427" t="s">
        <v>209</v>
      </c>
      <c r="C7" s="429" t="s">
        <v>347</v>
      </c>
      <c r="D7" s="431"/>
      <c r="E7" s="367"/>
      <c r="F7" s="376">
        <v>326</v>
      </c>
      <c r="G7" s="376">
        <v>1379.2024539877302</v>
      </c>
      <c r="H7" s="376">
        <v>1350</v>
      </c>
      <c r="I7" s="376">
        <f>F7*G7</f>
        <v>449620.00000000006</v>
      </c>
      <c r="J7" s="376">
        <f>F7*H7</f>
        <v>440100</v>
      </c>
      <c r="K7" s="376">
        <f t="shared" si="0"/>
        <v>-9520.0000000000582</v>
      </c>
      <c r="L7" s="379">
        <f t="shared" si="1"/>
        <v>-238.00000000000145</v>
      </c>
      <c r="N7" s="362">
        <v>1350</v>
      </c>
      <c r="O7" s="156">
        <v>940</v>
      </c>
      <c r="P7" s="235">
        <f t="shared" ref="P7:P11" si="2">(N7-O7)/O7</f>
        <v>0.43617021276595747</v>
      </c>
      <c r="R7" s="156">
        <v>870</v>
      </c>
      <c r="S7" s="156">
        <v>940</v>
      </c>
      <c r="T7" s="235">
        <f t="shared" ref="T7" si="3">(R7-S7)/S7</f>
        <v>-7.4468085106382975E-2</v>
      </c>
    </row>
    <row r="8" spans="1:20" s="156" customFormat="1" ht="52" customHeight="1">
      <c r="A8" s="428"/>
      <c r="B8" s="428"/>
      <c r="C8" s="430"/>
      <c r="D8" s="432"/>
      <c r="E8" s="367"/>
      <c r="F8" s="376">
        <v>10</v>
      </c>
      <c r="G8" s="376">
        <v>850</v>
      </c>
      <c r="H8" s="376">
        <v>870</v>
      </c>
      <c r="I8" s="376">
        <f>F8*G8</f>
        <v>8500</v>
      </c>
      <c r="J8" s="376">
        <f>F8*H8</f>
        <v>8700</v>
      </c>
      <c r="K8" s="376">
        <f t="shared" si="0"/>
        <v>200</v>
      </c>
      <c r="L8" s="379">
        <f t="shared" si="1"/>
        <v>5</v>
      </c>
      <c r="N8" s="362"/>
      <c r="P8" s="235"/>
      <c r="T8" s="235"/>
    </row>
    <row r="9" spans="1:20" s="156" customFormat="1" ht="62.5" customHeight="1">
      <c r="A9" s="369">
        <v>3</v>
      </c>
      <c r="B9" s="370" t="s">
        <v>210</v>
      </c>
      <c r="C9" s="371" t="s">
        <v>232</v>
      </c>
      <c r="D9" s="371"/>
      <c r="E9" s="367"/>
      <c r="F9" s="376">
        <v>5</v>
      </c>
      <c r="G9" s="376">
        <v>820</v>
      </c>
      <c r="H9" s="376">
        <v>825</v>
      </c>
      <c r="I9" s="376">
        <f>F9*G9</f>
        <v>4100</v>
      </c>
      <c r="J9" s="376">
        <f>F9*H9</f>
        <v>4125</v>
      </c>
      <c r="K9" s="376">
        <f t="shared" si="0"/>
        <v>25</v>
      </c>
      <c r="L9" s="379">
        <f t="shared" si="1"/>
        <v>0.625</v>
      </c>
      <c r="N9" s="362">
        <v>825</v>
      </c>
      <c r="O9" s="156">
        <v>940</v>
      </c>
      <c r="P9" s="235">
        <f t="shared" si="2"/>
        <v>-0.12234042553191489</v>
      </c>
      <c r="T9" s="368"/>
    </row>
    <row r="10" spans="1:20" s="156" customFormat="1" ht="58">
      <c r="A10" s="369">
        <v>4</v>
      </c>
      <c r="B10" s="370" t="s">
        <v>211</v>
      </c>
      <c r="C10" s="371" t="s">
        <v>354</v>
      </c>
      <c r="D10" s="366"/>
      <c r="E10" s="367"/>
      <c r="F10" s="376">
        <v>55</v>
      </c>
      <c r="G10" s="376">
        <v>904</v>
      </c>
      <c r="H10" s="376">
        <v>930</v>
      </c>
      <c r="I10" s="379">
        <f>F10*G10</f>
        <v>49720</v>
      </c>
      <c r="J10" s="379">
        <f>F10*H10</f>
        <v>51150</v>
      </c>
      <c r="K10" s="379">
        <f t="shared" si="0"/>
        <v>1430</v>
      </c>
      <c r="L10" s="379">
        <f t="shared" si="1"/>
        <v>35.75</v>
      </c>
      <c r="N10" s="362">
        <v>930</v>
      </c>
      <c r="O10" s="156">
        <v>980</v>
      </c>
      <c r="P10" s="235">
        <f t="shared" si="2"/>
        <v>-5.1020408163265307E-2</v>
      </c>
      <c r="T10" s="368"/>
    </row>
    <row r="11" spans="1:20" s="156" customFormat="1" ht="58">
      <c r="A11" s="369">
        <v>5</v>
      </c>
      <c r="B11" s="370" t="s">
        <v>212</v>
      </c>
      <c r="C11" s="371" t="s">
        <v>356</v>
      </c>
      <c r="D11" s="366"/>
      <c r="E11" s="367"/>
      <c r="F11" s="376">
        <v>0</v>
      </c>
      <c r="G11" s="376">
        <v>850</v>
      </c>
      <c r="H11" s="376">
        <v>880</v>
      </c>
      <c r="I11" s="376">
        <v>0</v>
      </c>
      <c r="J11" s="376">
        <v>0</v>
      </c>
      <c r="K11" s="379">
        <f t="shared" si="0"/>
        <v>0</v>
      </c>
      <c r="L11" s="379">
        <f t="shared" si="1"/>
        <v>0</v>
      </c>
      <c r="N11" s="362">
        <v>880</v>
      </c>
      <c r="O11" s="156">
        <v>980</v>
      </c>
      <c r="P11" s="235">
        <f t="shared" si="2"/>
        <v>-0.10204081632653061</v>
      </c>
      <c r="T11" s="368"/>
    </row>
    <row r="12" spans="1:20" s="156" customFormat="1" ht="20" customHeight="1">
      <c r="A12" s="372">
        <v>6</v>
      </c>
      <c r="B12" s="373" t="s">
        <v>213</v>
      </c>
      <c r="C12" s="374" t="s">
        <v>214</v>
      </c>
      <c r="D12" s="374"/>
      <c r="E12" s="367"/>
      <c r="F12" s="376"/>
      <c r="G12" s="376"/>
      <c r="H12" s="376"/>
      <c r="I12" s="376"/>
      <c r="J12" s="376"/>
      <c r="K12" s="376"/>
      <c r="L12" s="376"/>
      <c r="N12" s="362"/>
      <c r="P12" s="234"/>
    </row>
  </sheetData>
  <mergeCells count="4">
    <mergeCell ref="A7:A8"/>
    <mergeCell ref="B7:B8"/>
    <mergeCell ref="C7:C8"/>
    <mergeCell ref="D7:D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34AB-7571-48BC-89F5-9813FDE372A8}">
  <dimension ref="A5:D11"/>
  <sheetViews>
    <sheetView workbookViewId="0">
      <selection activeCell="C8" sqref="C8"/>
    </sheetView>
  </sheetViews>
  <sheetFormatPr defaultRowHeight="14.5"/>
  <cols>
    <col min="1" max="1" width="28" customWidth="1"/>
    <col min="2" max="3" width="62.1796875" customWidth="1"/>
  </cols>
  <sheetData>
    <row r="5" spans="1:4" ht="87">
      <c r="A5" s="221" t="s">
        <v>208</v>
      </c>
      <c r="B5" s="222" t="s">
        <v>251</v>
      </c>
      <c r="C5" s="222" t="s">
        <v>252</v>
      </c>
    </row>
    <row r="7" spans="1:4">
      <c r="A7" s="238"/>
      <c r="B7" s="238" t="s">
        <v>260</v>
      </c>
      <c r="C7" s="238" t="s">
        <v>261</v>
      </c>
      <c r="D7" t="s">
        <v>194</v>
      </c>
    </row>
    <row r="8" spans="1:4">
      <c r="A8" t="s">
        <v>253</v>
      </c>
      <c r="B8" t="s">
        <v>256</v>
      </c>
      <c r="C8" t="s">
        <v>257</v>
      </c>
    </row>
    <row r="9" spans="1:4">
      <c r="A9" t="s">
        <v>254</v>
      </c>
      <c r="B9" t="s">
        <v>258</v>
      </c>
    </row>
    <row r="10" spans="1:4">
      <c r="A10" t="s">
        <v>228</v>
      </c>
      <c r="B10" t="s">
        <v>259</v>
      </c>
    </row>
    <row r="11" spans="1:4">
      <c r="A11" t="s">
        <v>255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CABB-DF12-49DD-A985-E260759710F6}">
  <sheetPr>
    <tabColor theme="7" tint="0.39997558519241921"/>
  </sheetPr>
  <dimension ref="A1:A51"/>
  <sheetViews>
    <sheetView zoomScale="55" zoomScaleNormal="55" workbookViewId="0">
      <selection activeCell="F8" sqref="F8"/>
    </sheetView>
  </sheetViews>
  <sheetFormatPr defaultRowHeight="14.5"/>
  <sheetData>
    <row r="1" customFormat="1"/>
    <row r="2" customFormat="1"/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1A7B-8E1C-4CF0-9D0E-0769CFE551DC}">
  <sheetPr>
    <tabColor rgb="FF00B050"/>
    <pageSetUpPr fitToPage="1"/>
  </sheetPr>
  <dimension ref="B2:U40"/>
  <sheetViews>
    <sheetView showGridLines="0" topLeftCell="A9" zoomScale="70" zoomScaleNormal="70" zoomScaleSheetLayoutView="70" workbookViewId="0">
      <selection activeCell="M16" sqref="M16"/>
    </sheetView>
  </sheetViews>
  <sheetFormatPr defaultColWidth="8.6328125" defaultRowHeight="14"/>
  <cols>
    <col min="1" max="1" width="1.54296875" style="1" customWidth="1"/>
    <col min="2" max="2" width="4.90625" style="1" customWidth="1"/>
    <col min="3" max="3" width="14.54296875" style="1" customWidth="1"/>
    <col min="4" max="4" width="37.54296875" style="1" customWidth="1"/>
    <col min="5" max="5" width="10" style="1" customWidth="1"/>
    <col min="6" max="6" width="11.6328125" style="1" customWidth="1"/>
    <col min="7" max="7" width="8.90625" style="1" customWidth="1"/>
    <col min="8" max="8" width="9.6328125" style="1" customWidth="1"/>
    <col min="9" max="9" width="12.453125" style="1" customWidth="1"/>
    <col min="10" max="10" width="11.6328125" style="1" customWidth="1"/>
    <col min="11" max="11" width="8.90625" style="1" customWidth="1"/>
    <col min="12" max="12" width="9.6328125" style="1" customWidth="1"/>
    <col min="13" max="13" width="12.453125" style="1" customWidth="1"/>
    <col min="14" max="14" width="10.90625" style="1" customWidth="1"/>
    <col min="15" max="15" width="11.81640625" style="1" customWidth="1"/>
    <col min="16" max="17" width="10.1796875" style="1" customWidth="1"/>
    <col min="18" max="18" width="8.6328125" style="110"/>
    <col min="19" max="19" width="8.6328125" style="1"/>
    <col min="20" max="20" width="11.1796875" style="1" customWidth="1"/>
    <col min="21" max="21" width="9" style="1" customWidth="1"/>
    <col min="22" max="16384" width="8.6328125" style="1"/>
  </cols>
  <sheetData>
    <row r="2" spans="2:20" ht="24" customHeight="1">
      <c r="B2" s="433"/>
      <c r="C2" s="433"/>
      <c r="D2" s="413" t="s">
        <v>262</v>
      </c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04" t="s">
        <v>218</v>
      </c>
      <c r="P2" s="405"/>
      <c r="Q2" s="406"/>
      <c r="R2" s="110">
        <v>850</v>
      </c>
    </row>
    <row r="3" spans="2:20" ht="26" customHeight="1">
      <c r="B3" s="433"/>
      <c r="C3" s="433"/>
      <c r="D3" s="413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04" t="s">
        <v>226</v>
      </c>
      <c r="P3" s="405"/>
      <c r="Q3" s="406"/>
    </row>
    <row r="4" spans="2:20" ht="16.5">
      <c r="B4" s="433"/>
      <c r="C4" s="433"/>
      <c r="D4" s="413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07" t="s">
        <v>263</v>
      </c>
      <c r="P4" s="407"/>
      <c r="Q4" s="407"/>
    </row>
    <row r="6" spans="2:20" s="7" customFormat="1" ht="28.25" customHeight="1">
      <c r="B6" s="408" t="s">
        <v>2</v>
      </c>
      <c r="C6" s="409" t="s">
        <v>10</v>
      </c>
      <c r="D6" s="408" t="s">
        <v>0</v>
      </c>
      <c r="E6" s="409" t="s">
        <v>3</v>
      </c>
      <c r="F6" s="22" t="s">
        <v>30</v>
      </c>
      <c r="G6" s="22"/>
      <c r="H6" s="22"/>
      <c r="I6" s="22"/>
      <c r="J6" s="22"/>
      <c r="K6" s="22"/>
      <c r="L6" s="22"/>
      <c r="M6" s="22"/>
      <c r="N6" s="22"/>
      <c r="O6" s="22"/>
      <c r="P6" s="409" t="s">
        <v>362</v>
      </c>
      <c r="Q6" s="409"/>
      <c r="R6" s="111"/>
    </row>
    <row r="7" spans="2:20" s="7" customFormat="1" ht="35.4" customHeight="1">
      <c r="B7" s="408"/>
      <c r="C7" s="409"/>
      <c r="D7" s="408"/>
      <c r="E7" s="409"/>
      <c r="F7" s="410" t="str">
        <f>'2. rPET- nội bộ '!H7</f>
        <v>Tháng 01 (đã duyệt)</v>
      </c>
      <c r="G7" s="411"/>
      <c r="H7" s="411"/>
      <c r="I7" s="412"/>
      <c r="J7" s="410" t="str">
        <f>'2. rPET- nội bộ '!L7</f>
        <v>Tháng 02</v>
      </c>
      <c r="K7" s="411"/>
      <c r="L7" s="411"/>
      <c r="M7" s="412"/>
      <c r="N7" s="410" t="str">
        <f>'2. rPET- nội bộ '!P7</f>
        <v>Chênh lệch
 tháng 02 vs tháng 01</v>
      </c>
      <c r="O7" s="412"/>
      <c r="P7" s="409"/>
      <c r="Q7" s="409"/>
      <c r="R7" s="111"/>
    </row>
    <row r="8" spans="2:20" s="9" customFormat="1" ht="85.25" customHeight="1">
      <c r="B8" s="408"/>
      <c r="C8" s="409"/>
      <c r="D8" s="408"/>
      <c r="E8" s="409"/>
      <c r="F8" s="14" t="s">
        <v>35</v>
      </c>
      <c r="G8" s="14" t="s">
        <v>42</v>
      </c>
      <c r="H8" s="14" t="s">
        <v>40</v>
      </c>
      <c r="I8" s="132" t="s">
        <v>41</v>
      </c>
      <c r="J8" s="14" t="s">
        <v>35</v>
      </c>
      <c r="K8" s="14" t="s">
        <v>42</v>
      </c>
      <c r="L8" s="14" t="s">
        <v>40</v>
      </c>
      <c r="M8" s="132" t="s">
        <v>41</v>
      </c>
      <c r="N8" s="20" t="s">
        <v>36</v>
      </c>
      <c r="O8" s="20" t="s">
        <v>37</v>
      </c>
      <c r="P8" s="20" t="s">
        <v>36</v>
      </c>
      <c r="Q8" s="20" t="s">
        <v>37</v>
      </c>
      <c r="R8" s="112"/>
    </row>
    <row r="9" spans="2:20" s="116" customFormat="1" ht="20" customHeight="1">
      <c r="B9" s="121"/>
      <c r="C9" s="122" t="s">
        <v>109</v>
      </c>
      <c r="D9" s="122"/>
      <c r="E9" s="122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4"/>
      <c r="Q9" s="141"/>
    </row>
    <row r="10" spans="2:20" s="2" customFormat="1" ht="29" customHeight="1">
      <c r="B10" s="10">
        <v>1</v>
      </c>
      <c r="C10" s="16" t="s">
        <v>15</v>
      </c>
      <c r="D10" s="128" t="s">
        <v>11</v>
      </c>
      <c r="E10" s="10" t="s">
        <v>27</v>
      </c>
      <c r="F10" s="11">
        <v>1365</v>
      </c>
      <c r="G10" s="18">
        <v>9.8901098901098897E-2</v>
      </c>
      <c r="H10" s="11">
        <v>135</v>
      </c>
      <c r="I10" s="81">
        <v>1230</v>
      </c>
      <c r="J10" s="11">
        <v>1365</v>
      </c>
      <c r="K10" s="18">
        <f t="shared" ref="K10:K11" si="0">L10/J10</f>
        <v>9.8901098901098897E-2</v>
      </c>
      <c r="L10" s="11">
        <f t="shared" ref="L10:L11" si="1">J10-M10</f>
        <v>135</v>
      </c>
      <c r="M10" s="81">
        <f>1300+10+15-50-45</f>
        <v>1230</v>
      </c>
      <c r="N10" s="11">
        <f t="shared" ref="N10" si="2">M10-I10</f>
        <v>0</v>
      </c>
      <c r="O10" s="18">
        <f>1-(I10/M10)</f>
        <v>0</v>
      </c>
      <c r="P10" s="72">
        <f>M10-$R$2</f>
        <v>380</v>
      </c>
      <c r="Q10" s="18">
        <f>P10/$R$2</f>
        <v>0.44705882352941179</v>
      </c>
      <c r="R10" s="117"/>
      <c r="S10" s="232"/>
    </row>
    <row r="11" spans="2:20" s="2" customFormat="1" ht="38.5" customHeight="1">
      <c r="B11" s="10">
        <f>B10+1</f>
        <v>2</v>
      </c>
      <c r="C11" s="16">
        <v>110000381</v>
      </c>
      <c r="D11" s="128" t="s">
        <v>361</v>
      </c>
      <c r="E11" s="10" t="s">
        <v>77</v>
      </c>
      <c r="F11" s="11">
        <v>1155</v>
      </c>
      <c r="G11" s="18">
        <f t="shared" ref="G11" si="3">H11/F11</f>
        <v>4.7619047619047616E-2</v>
      </c>
      <c r="H11" s="11">
        <f t="shared" ref="H11" si="4">F11-I11</f>
        <v>55</v>
      </c>
      <c r="I11" s="81">
        <v>1100</v>
      </c>
      <c r="J11" s="11">
        <v>1155</v>
      </c>
      <c r="K11" s="18">
        <f t="shared" si="0"/>
        <v>4.7619047619047616E-2</v>
      </c>
      <c r="L11" s="11">
        <f t="shared" si="1"/>
        <v>55</v>
      </c>
      <c r="M11" s="81">
        <v>1100</v>
      </c>
      <c r="N11" s="11">
        <f t="shared" ref="N11" si="5">M11-I11</f>
        <v>0</v>
      </c>
      <c r="O11" s="18">
        <f t="shared" ref="O11" si="6">1-(I11/M11)</f>
        <v>0</v>
      </c>
      <c r="P11" s="72">
        <f>M11-$R$2</f>
        <v>250</v>
      </c>
      <c r="Q11" s="18">
        <f>P11/$R$2</f>
        <v>0.29411764705882354</v>
      </c>
      <c r="R11" s="117"/>
      <c r="T11" s="218"/>
    </row>
    <row r="12" spans="2:20" s="2" customFormat="1" ht="15" customHeight="1">
      <c r="B12" s="12"/>
      <c r="C12" s="12"/>
      <c r="D12" s="12"/>
      <c r="E12" s="12"/>
      <c r="F12" s="12"/>
      <c r="G12" s="13"/>
      <c r="H12" s="13"/>
      <c r="I12" s="13"/>
      <c r="J12" s="12"/>
      <c r="K12" s="13"/>
      <c r="L12" s="13"/>
      <c r="M12" s="19"/>
      <c r="N12" s="19"/>
      <c r="O12" s="19"/>
      <c r="P12" s="19"/>
      <c r="Q12" s="19"/>
      <c r="R12" s="117"/>
      <c r="T12" s="218"/>
    </row>
    <row r="13" spans="2:20" ht="10.75" customHeight="1">
      <c r="G13" s="5"/>
      <c r="H13" s="5"/>
      <c r="I13" s="5"/>
      <c r="K13" s="5"/>
      <c r="L13" s="5"/>
      <c r="M13" s="6"/>
      <c r="N13" s="6"/>
      <c r="O13" s="6"/>
      <c r="P13" s="6"/>
    </row>
    <row r="14" spans="2:20" s="36" customFormat="1" ht="22" customHeight="1">
      <c r="B14" s="84" t="s">
        <v>7</v>
      </c>
      <c r="G14" s="33"/>
      <c r="H14" s="33"/>
      <c r="I14" s="33"/>
      <c r="K14" s="33"/>
      <c r="L14" s="33"/>
      <c r="M14" s="33"/>
      <c r="N14" s="33"/>
      <c r="O14" s="33"/>
      <c r="P14" s="33"/>
      <c r="R14" s="78"/>
    </row>
    <row r="15" spans="2:20" s="36" customFormat="1" ht="22" customHeight="1">
      <c r="B15" s="36" t="s">
        <v>60</v>
      </c>
      <c r="G15" s="68">
        <v>20</v>
      </c>
      <c r="M15" s="38"/>
      <c r="N15" s="38"/>
      <c r="P15" s="38"/>
      <c r="R15" s="78"/>
    </row>
    <row r="16" spans="2:20" s="36" customFormat="1" ht="22" customHeight="1">
      <c r="B16" s="36" t="s">
        <v>205</v>
      </c>
      <c r="Q16" s="39"/>
      <c r="R16" s="78"/>
    </row>
    <row r="17" spans="2:21" s="36" customFormat="1" ht="22" customHeight="1">
      <c r="B17" s="36" t="s">
        <v>108</v>
      </c>
      <c r="Q17" s="39"/>
      <c r="R17" s="78"/>
    </row>
    <row r="18" spans="2:21" s="36" customFormat="1" ht="22" customHeight="1">
      <c r="B18" s="36" t="s">
        <v>107</v>
      </c>
      <c r="Q18" s="39" t="str">
        <f>'2. rPET- nội bộ '!S45</f>
        <v>Ngày 03 tháng 02 năm 2024</v>
      </c>
      <c r="R18" s="78"/>
    </row>
    <row r="19" spans="2:21" s="36" customFormat="1" ht="16.5">
      <c r="R19" s="78"/>
    </row>
    <row r="20" spans="2:21" s="31" customFormat="1" ht="16.5">
      <c r="B20" s="435" t="s">
        <v>22</v>
      </c>
      <c r="C20" s="435"/>
      <c r="D20" s="434" t="s">
        <v>23</v>
      </c>
      <c r="E20" s="434"/>
      <c r="F20" s="32" t="s">
        <v>31</v>
      </c>
      <c r="I20" s="32" t="s">
        <v>32</v>
      </c>
      <c r="L20" s="32" t="s">
        <v>23</v>
      </c>
      <c r="N20" s="32"/>
      <c r="O20" s="30"/>
      <c r="P20" s="30" t="s">
        <v>24</v>
      </c>
      <c r="R20" s="80"/>
    </row>
    <row r="21" spans="2:21" s="31" customFormat="1" ht="16.5">
      <c r="B21" s="29"/>
      <c r="C21" s="29"/>
      <c r="D21" s="32"/>
      <c r="F21" s="32"/>
      <c r="G21" s="32"/>
      <c r="I21" s="32"/>
      <c r="O21" s="30"/>
      <c r="P21" s="32"/>
      <c r="R21" s="80"/>
    </row>
    <row r="22" spans="2:21" s="31" customFormat="1" ht="16.5">
      <c r="B22" s="29"/>
      <c r="C22" s="29"/>
      <c r="D22" s="32"/>
      <c r="F22" s="32"/>
      <c r="G22" s="32"/>
      <c r="I22" s="32"/>
      <c r="O22" s="30"/>
      <c r="P22" s="32"/>
      <c r="R22" s="80"/>
    </row>
    <row r="23" spans="2:21" s="31" customFormat="1" ht="16.5">
      <c r="B23" s="34"/>
      <c r="C23" s="34"/>
      <c r="D23" s="35"/>
      <c r="F23" s="35"/>
      <c r="G23" s="35"/>
      <c r="I23" s="35"/>
      <c r="O23" s="30"/>
      <c r="P23" s="32"/>
      <c r="R23" s="80"/>
      <c r="U23"/>
    </row>
    <row r="24" spans="2:21" s="31" customFormat="1" ht="16.5">
      <c r="B24" s="34"/>
      <c r="C24" s="34"/>
      <c r="D24" s="35"/>
      <c r="F24" s="35"/>
      <c r="G24" s="35"/>
      <c r="I24" s="35"/>
      <c r="O24" s="30"/>
      <c r="P24" s="32"/>
      <c r="Q24" s="31" t="s">
        <v>9</v>
      </c>
      <c r="R24" s="80"/>
    </row>
    <row r="25" spans="2:21" s="31" customFormat="1" ht="16.5">
      <c r="B25" s="29"/>
      <c r="C25" s="29"/>
      <c r="D25" s="32"/>
      <c r="F25" s="32"/>
      <c r="G25" s="32"/>
      <c r="I25" s="32"/>
      <c r="O25" s="30"/>
      <c r="P25" s="32"/>
      <c r="R25" s="80"/>
    </row>
    <row r="26" spans="2:21" s="31" customFormat="1" ht="16.5">
      <c r="B26" s="435" t="s">
        <v>1</v>
      </c>
      <c r="C26" s="435"/>
      <c r="D26" s="434" t="s">
        <v>8</v>
      </c>
      <c r="E26" s="434"/>
      <c r="F26" s="32" t="s">
        <v>33</v>
      </c>
      <c r="I26" s="32" t="s">
        <v>34</v>
      </c>
      <c r="L26" s="32" t="s">
        <v>230</v>
      </c>
      <c r="N26" s="32"/>
      <c r="O26" s="30"/>
      <c r="P26" s="30" t="s">
        <v>136</v>
      </c>
      <c r="R26" s="80"/>
    </row>
    <row r="27" spans="2:21" s="3" customFormat="1" ht="15.5">
      <c r="D27" s="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R27" s="118"/>
    </row>
    <row r="28" spans="2:21" ht="15.5">
      <c r="D28" s="8"/>
    </row>
    <row r="30" spans="2:21">
      <c r="D30" s="7"/>
      <c r="E30" s="7"/>
      <c r="F30" s="7"/>
      <c r="J30" s="7"/>
    </row>
    <row r="40" spans="13:13" ht="14.5">
      <c r="M40"/>
    </row>
  </sheetData>
  <mergeCells count="17">
    <mergeCell ref="D26:E26"/>
    <mergeCell ref="B20:C20"/>
    <mergeCell ref="B26:C26"/>
    <mergeCell ref="O4:Q4"/>
    <mergeCell ref="B6:B8"/>
    <mergeCell ref="C6:C8"/>
    <mergeCell ref="D6:D8"/>
    <mergeCell ref="E6:E8"/>
    <mergeCell ref="P6:Q7"/>
    <mergeCell ref="F7:I7"/>
    <mergeCell ref="J7:M7"/>
    <mergeCell ref="N7:O7"/>
    <mergeCell ref="O3:Q3"/>
    <mergeCell ref="D2:N4"/>
    <mergeCell ref="O2:Q2"/>
    <mergeCell ref="B2:C4"/>
    <mergeCell ref="D20:E20"/>
  </mergeCells>
  <conditionalFormatting sqref="O10:O11">
    <cfRule type="iconSet" priority="67">
      <iconSet iconSet="3Arrows">
        <cfvo type="percent" val="0"/>
        <cfvo type="num" val="0"/>
        <cfvo type="num" val="0" gte="0"/>
      </iconSet>
    </cfRule>
  </conditionalFormatting>
  <conditionalFormatting sqref="Q10:Q11">
    <cfRule type="iconSet" priority="68">
      <iconSet iconSet="3Arrows">
        <cfvo type="percent" val="0"/>
        <cfvo type="num" val="0"/>
        <cfvo type="num" val="0" gte="0"/>
      </iconSet>
    </cfRule>
  </conditionalFormatting>
  <printOptions horizontalCentered="1"/>
  <pageMargins left="0.2" right="0" top="0" bottom="0" header="0.17" footer="0.19"/>
  <pageSetup paperSize="9" scale="74" fitToHeight="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85AA-E99D-4FAC-BC8F-76C8F7C55FAA}">
  <sheetPr>
    <tabColor rgb="FF00B050"/>
    <pageSetUpPr fitToPage="1"/>
  </sheetPr>
  <dimension ref="B2:W57"/>
  <sheetViews>
    <sheetView showGridLines="0" zoomScale="55" zoomScaleNormal="55" zoomScaleSheetLayoutView="70" workbookViewId="0">
      <selection activeCell="E2" sqref="E2:P4"/>
    </sheetView>
  </sheetViews>
  <sheetFormatPr defaultColWidth="8.6328125" defaultRowHeight="14"/>
  <cols>
    <col min="1" max="1" width="1.54296875" style="1" customWidth="1"/>
    <col min="2" max="2" width="4.90625" style="1" customWidth="1"/>
    <col min="3" max="3" width="7.54296875" style="1" customWidth="1"/>
    <col min="4" max="4" width="16.90625" style="1" customWidth="1"/>
    <col min="5" max="5" width="32.6328125" style="1" bestFit="1" customWidth="1"/>
    <col min="6" max="6" width="28.1796875" style="1" bestFit="1" customWidth="1"/>
    <col min="7" max="7" width="10" style="1" hidden="1" customWidth="1"/>
    <col min="8" max="8" width="9.54296875" style="1" bestFit="1" customWidth="1"/>
    <col min="9" max="9" width="10.36328125" style="1" bestFit="1" customWidth="1"/>
    <col min="10" max="10" width="7.36328125" style="1" bestFit="1" customWidth="1"/>
    <col min="11" max="11" width="23.6328125" style="1" bestFit="1" customWidth="1"/>
    <col min="12" max="12" width="9.54296875" style="1" bestFit="1" customWidth="1"/>
    <col min="13" max="13" width="7.36328125" style="1" bestFit="1" customWidth="1"/>
    <col min="14" max="14" width="21.26953125" style="1" bestFit="1" customWidth="1"/>
    <col min="15" max="15" width="14" style="1" bestFit="1" customWidth="1"/>
    <col min="16" max="16" width="5.453125" style="1" bestFit="1" customWidth="1"/>
    <col min="17" max="17" width="7.90625" style="1" bestFit="1" customWidth="1"/>
    <col min="18" max="18" width="20" style="1" bestFit="1" customWidth="1"/>
    <col min="19" max="19" width="28.36328125" style="1" bestFit="1" customWidth="1"/>
    <col min="20" max="20" width="7.26953125" style="110" bestFit="1" customWidth="1"/>
    <col min="21" max="21" width="12.1796875" style="1" bestFit="1" customWidth="1"/>
    <col min="22" max="16384" width="8.6328125" style="1"/>
  </cols>
  <sheetData>
    <row r="2" spans="2:21" ht="24.5" customHeight="1">
      <c r="B2" s="415"/>
      <c r="C2" s="416"/>
      <c r="D2" s="417"/>
      <c r="E2" s="413" t="s">
        <v>262</v>
      </c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04" t="s">
        <v>219</v>
      </c>
      <c r="R2" s="405"/>
      <c r="S2" s="406"/>
      <c r="T2" s="110">
        <v>850</v>
      </c>
    </row>
    <row r="3" spans="2:21" ht="25.5" customHeight="1">
      <c r="B3" s="418"/>
      <c r="C3" s="419"/>
      <c r="D3" s="420"/>
      <c r="E3" s="413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04" t="s">
        <v>226</v>
      </c>
      <c r="R3" s="405"/>
      <c r="S3" s="406"/>
    </row>
    <row r="4" spans="2:21" ht="16.5">
      <c r="B4" s="421"/>
      <c r="C4" s="422"/>
      <c r="D4" s="423"/>
      <c r="E4" s="413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07" t="s">
        <v>263</v>
      </c>
      <c r="R4" s="407"/>
      <c r="S4" s="407"/>
    </row>
    <row r="6" spans="2:21" s="7" customFormat="1" ht="28.25" customHeight="1">
      <c r="B6" s="408" t="s">
        <v>2</v>
      </c>
      <c r="C6" s="392"/>
      <c r="D6" s="409" t="s">
        <v>10</v>
      </c>
      <c r="E6" s="408" t="s">
        <v>0</v>
      </c>
      <c r="F6" s="409" t="s">
        <v>3</v>
      </c>
      <c r="G6" s="14"/>
      <c r="H6" s="22" t="s">
        <v>30</v>
      </c>
      <c r="I6" s="22"/>
      <c r="J6" s="22"/>
      <c r="K6" s="22"/>
      <c r="L6" s="22"/>
      <c r="M6" s="22"/>
      <c r="N6" s="22"/>
      <c r="O6" s="22"/>
      <c r="P6" s="22"/>
      <c r="Q6" s="22"/>
      <c r="R6" s="409" t="s">
        <v>362</v>
      </c>
      <c r="S6" s="409"/>
      <c r="T6" s="111"/>
    </row>
    <row r="7" spans="2:21" s="7" customFormat="1" ht="35.4" customHeight="1">
      <c r="B7" s="408"/>
      <c r="C7" s="392"/>
      <c r="D7" s="409"/>
      <c r="E7" s="408"/>
      <c r="F7" s="409"/>
      <c r="G7" s="393"/>
      <c r="H7" s="410" t="s">
        <v>265</v>
      </c>
      <c r="I7" s="411"/>
      <c r="J7" s="411"/>
      <c r="K7" s="412"/>
      <c r="L7" s="410" t="s">
        <v>264</v>
      </c>
      <c r="M7" s="411"/>
      <c r="N7" s="411"/>
      <c r="O7" s="412"/>
      <c r="P7" s="410" t="s">
        <v>266</v>
      </c>
      <c r="Q7" s="412"/>
      <c r="R7" s="409"/>
      <c r="S7" s="409"/>
      <c r="T7" s="111"/>
    </row>
    <row r="8" spans="2:21" s="9" customFormat="1" ht="66">
      <c r="B8" s="408"/>
      <c r="C8" s="392"/>
      <c r="D8" s="409"/>
      <c r="E8" s="408"/>
      <c r="F8" s="409"/>
      <c r="G8" s="14"/>
      <c r="H8" s="14" t="s">
        <v>35</v>
      </c>
      <c r="I8" s="14" t="s">
        <v>42</v>
      </c>
      <c r="J8" s="14" t="s">
        <v>40</v>
      </c>
      <c r="K8" s="132" t="s">
        <v>41</v>
      </c>
      <c r="L8" s="14" t="s">
        <v>35</v>
      </c>
      <c r="M8" s="14" t="s">
        <v>42</v>
      </c>
      <c r="N8" s="14" t="s">
        <v>40</v>
      </c>
      <c r="O8" s="132" t="s">
        <v>41</v>
      </c>
      <c r="P8" s="20" t="s">
        <v>36</v>
      </c>
      <c r="Q8" s="20" t="s">
        <v>37</v>
      </c>
      <c r="R8" s="20" t="s">
        <v>36</v>
      </c>
      <c r="S8" s="20" t="s">
        <v>37</v>
      </c>
      <c r="T8" s="112"/>
      <c r="U8" s="7"/>
    </row>
    <row r="9" spans="2:21" s="2" customFormat="1" ht="22.5" customHeight="1">
      <c r="B9" s="10">
        <v>1</v>
      </c>
      <c r="C9" s="10"/>
      <c r="D9" s="157" t="s">
        <v>12</v>
      </c>
      <c r="E9" s="17" t="s">
        <v>244</v>
      </c>
      <c r="F9" s="10" t="s">
        <v>25</v>
      </c>
      <c r="G9" s="10"/>
      <c r="H9" s="11">
        <v>1381.5</v>
      </c>
      <c r="I9" s="18">
        <v>4.4516829533116177E-2</v>
      </c>
      <c r="J9" s="11">
        <v>61.5</v>
      </c>
      <c r="K9" s="81">
        <v>1320</v>
      </c>
      <c r="L9" s="11">
        <f>L13+90</f>
        <v>1381.5</v>
      </c>
      <c r="M9" s="18">
        <f t="shared" ref="M9:M23" si="0">N9/L9</f>
        <v>7.3470865001809632E-2</v>
      </c>
      <c r="N9" s="11">
        <f t="shared" ref="N9:N23" si="1">L9-O9</f>
        <v>101.5</v>
      </c>
      <c r="O9" s="380">
        <f>+O15+90-40</f>
        <v>1280</v>
      </c>
      <c r="P9" s="11">
        <f>O9-K9</f>
        <v>-40</v>
      </c>
      <c r="Q9" s="18">
        <f t="shared" ref="Q9:Q18" si="2">1-(K9/O9)</f>
        <v>-3.125E-2</v>
      </c>
      <c r="R9" s="72">
        <f t="shared" ref="R9:R23" si="3">O9-$T$2</f>
        <v>430</v>
      </c>
      <c r="S9" s="18">
        <f>R9/$T$2</f>
        <v>0.50588235294117645</v>
      </c>
      <c r="T9" s="236">
        <f t="shared" ref="T9:T13" si="4">O9-$O$13</f>
        <v>50</v>
      </c>
      <c r="U9" s="231">
        <f>O9-O10</f>
        <v>30</v>
      </c>
    </row>
    <row r="10" spans="2:21" s="2" customFormat="1" ht="22.5" customHeight="1">
      <c r="B10" s="10">
        <f>+B9+1</f>
        <v>2</v>
      </c>
      <c r="C10" s="10"/>
      <c r="D10" s="157" t="s">
        <v>14</v>
      </c>
      <c r="E10" s="17" t="s">
        <v>243</v>
      </c>
      <c r="F10" s="10" t="s">
        <v>26</v>
      </c>
      <c r="G10" s="10"/>
      <c r="H10" s="11">
        <v>1321.5</v>
      </c>
      <c r="I10" s="18">
        <v>4.6538024971623154E-2</v>
      </c>
      <c r="J10" s="11">
        <v>61.5</v>
      </c>
      <c r="K10" s="81">
        <v>1260</v>
      </c>
      <c r="L10" s="11">
        <f>L11</f>
        <v>1321.5</v>
      </c>
      <c r="M10" s="18">
        <f t="shared" si="0"/>
        <v>5.4105183503594403E-2</v>
      </c>
      <c r="N10" s="11">
        <f t="shared" si="1"/>
        <v>71.5</v>
      </c>
      <c r="O10" s="380">
        <f>+O15+30-10</f>
        <v>1250</v>
      </c>
      <c r="P10" s="11">
        <f t="shared" ref="P10:P18" si="5">O10-K10</f>
        <v>-10</v>
      </c>
      <c r="Q10" s="18">
        <f t="shared" si="2"/>
        <v>-8.0000000000000071E-3</v>
      </c>
      <c r="R10" s="72">
        <f t="shared" si="3"/>
        <v>400</v>
      </c>
      <c r="S10" s="18">
        <f t="shared" ref="S10:S23" si="6">R10/$T$2</f>
        <v>0.47058823529411764</v>
      </c>
      <c r="T10" s="236">
        <f t="shared" si="4"/>
        <v>20</v>
      </c>
      <c r="U10" s="231"/>
    </row>
    <row r="11" spans="2:21" s="2" customFormat="1" ht="22.5" customHeight="1">
      <c r="B11" s="10">
        <f t="shared" ref="B11:B31" si="7">+B10+1</f>
        <v>3</v>
      </c>
      <c r="C11" s="10"/>
      <c r="D11" s="157" t="s">
        <v>13</v>
      </c>
      <c r="E11" s="17" t="s">
        <v>242</v>
      </c>
      <c r="F11" s="10" t="s">
        <v>26</v>
      </c>
      <c r="G11" s="10"/>
      <c r="H11" s="11">
        <v>1321.5</v>
      </c>
      <c r="I11" s="18">
        <v>4.6538024971623154E-2</v>
      </c>
      <c r="J11" s="11">
        <v>61.5</v>
      </c>
      <c r="K11" s="81">
        <v>1260</v>
      </c>
      <c r="L11" s="11">
        <f>L13+30</f>
        <v>1321.5</v>
      </c>
      <c r="M11" s="18">
        <f t="shared" si="0"/>
        <v>4.6538024971623154E-2</v>
      </c>
      <c r="N11" s="11">
        <f t="shared" si="1"/>
        <v>61.5</v>
      </c>
      <c r="O11" s="81">
        <f>+O15+30</f>
        <v>1260</v>
      </c>
      <c r="P11" s="11">
        <f t="shared" si="5"/>
        <v>0</v>
      </c>
      <c r="Q11" s="18">
        <f t="shared" si="2"/>
        <v>0</v>
      </c>
      <c r="R11" s="72">
        <f t="shared" si="3"/>
        <v>410</v>
      </c>
      <c r="S11" s="18">
        <f t="shared" si="6"/>
        <v>0.4823529411764706</v>
      </c>
      <c r="T11" s="236">
        <f t="shared" si="4"/>
        <v>30</v>
      </c>
      <c r="U11" s="231"/>
    </row>
    <row r="12" spans="2:21" s="2" customFormat="1" ht="22.5" customHeight="1">
      <c r="B12" s="10">
        <f t="shared" si="7"/>
        <v>4</v>
      </c>
      <c r="C12" s="10"/>
      <c r="D12" s="157" t="s">
        <v>147</v>
      </c>
      <c r="E12" s="17" t="s">
        <v>148</v>
      </c>
      <c r="F12" s="10" t="s">
        <v>26</v>
      </c>
      <c r="G12" s="10"/>
      <c r="H12" s="11">
        <v>1321.5</v>
      </c>
      <c r="I12" s="18">
        <v>4.6538024971623154E-2</v>
      </c>
      <c r="J12" s="11">
        <v>61.5</v>
      </c>
      <c r="K12" s="81">
        <v>1260</v>
      </c>
      <c r="L12" s="11">
        <f>L15+30</f>
        <v>1321.5</v>
      </c>
      <c r="M12" s="18">
        <f t="shared" ref="M12" si="8">N12/L12</f>
        <v>4.6538024971623154E-2</v>
      </c>
      <c r="N12" s="11">
        <f t="shared" ref="N12" si="9">L12-O12</f>
        <v>61.5</v>
      </c>
      <c r="O12" s="81">
        <f>+O15+30</f>
        <v>1260</v>
      </c>
      <c r="P12" s="11">
        <f t="shared" ref="P12" si="10">O12-K12</f>
        <v>0</v>
      </c>
      <c r="Q12" s="18">
        <f t="shared" ref="Q12" si="11">1-(K12/O12)</f>
        <v>0</v>
      </c>
      <c r="R12" s="72">
        <f t="shared" ref="R12" si="12">O12-$T$2</f>
        <v>410</v>
      </c>
      <c r="S12" s="18">
        <f t="shared" ref="S12" si="13">R12/$T$2</f>
        <v>0.4823529411764706</v>
      </c>
      <c r="T12" s="236">
        <f t="shared" si="4"/>
        <v>30</v>
      </c>
      <c r="U12" s="231">
        <f>O12-O13</f>
        <v>30</v>
      </c>
    </row>
    <row r="13" spans="2:21" s="401" customFormat="1" ht="22.5" customHeight="1">
      <c r="B13" s="394">
        <f t="shared" si="7"/>
        <v>5</v>
      </c>
      <c r="C13" s="394"/>
      <c r="D13" s="395" t="s">
        <v>15</v>
      </c>
      <c r="E13" s="396" t="s">
        <v>241</v>
      </c>
      <c r="F13" s="394" t="s">
        <v>27</v>
      </c>
      <c r="G13" s="394"/>
      <c r="H13" s="397">
        <v>1291.5</v>
      </c>
      <c r="I13" s="398">
        <v>4.7619047619047616E-2</v>
      </c>
      <c r="J13" s="397">
        <v>61.5</v>
      </c>
      <c r="K13" s="399">
        <v>1230</v>
      </c>
      <c r="L13" s="397">
        <f>O13*1.05</f>
        <v>1291.5</v>
      </c>
      <c r="M13" s="398">
        <f t="shared" si="0"/>
        <v>4.7619047619047616E-2</v>
      </c>
      <c r="N13" s="397">
        <f t="shared" si="1"/>
        <v>61.5</v>
      </c>
      <c r="O13" s="399">
        <f>O15</f>
        <v>1230</v>
      </c>
      <c r="P13" s="397">
        <f t="shared" si="5"/>
        <v>0</v>
      </c>
      <c r="Q13" s="398">
        <f t="shared" si="2"/>
        <v>0</v>
      </c>
      <c r="R13" s="400">
        <f t="shared" si="3"/>
        <v>380</v>
      </c>
      <c r="S13" s="398">
        <f t="shared" si="6"/>
        <v>0.44705882352941179</v>
      </c>
      <c r="T13" s="236">
        <f t="shared" si="4"/>
        <v>0</v>
      </c>
      <c r="U13" s="402"/>
    </row>
    <row r="14" spans="2:21" s="2" customFormat="1" ht="22.5" customHeight="1">
      <c r="B14" s="10">
        <f t="shared" si="7"/>
        <v>6</v>
      </c>
      <c r="C14" s="10"/>
      <c r="D14" s="157" t="s">
        <v>149</v>
      </c>
      <c r="E14" s="17" t="s">
        <v>150</v>
      </c>
      <c r="F14" s="10" t="s">
        <v>27</v>
      </c>
      <c r="G14" s="10"/>
      <c r="H14" s="11">
        <v>1291.5</v>
      </c>
      <c r="I14" s="18">
        <v>4.7619047619047616E-2</v>
      </c>
      <c r="J14" s="11">
        <v>61.5</v>
      </c>
      <c r="K14" s="81">
        <v>1230</v>
      </c>
      <c r="L14" s="11">
        <f>O14*1.05</f>
        <v>1291.5</v>
      </c>
      <c r="M14" s="18">
        <f t="shared" ref="M14" si="14">N14/L14</f>
        <v>4.7619047619047616E-2</v>
      </c>
      <c r="N14" s="11">
        <f t="shared" ref="N14" si="15">L14-O14</f>
        <v>61.5</v>
      </c>
      <c r="O14" s="81">
        <f>O13</f>
        <v>1230</v>
      </c>
      <c r="P14" s="11">
        <f t="shared" ref="P14" si="16">O14-K14</f>
        <v>0</v>
      </c>
      <c r="Q14" s="18">
        <f t="shared" ref="Q14" si="17">1-(K14/O14)</f>
        <v>0</v>
      </c>
      <c r="R14" s="72">
        <f t="shared" ref="R14" si="18">O14-$T$2</f>
        <v>380</v>
      </c>
      <c r="S14" s="18">
        <f t="shared" ref="S14" si="19">R14/$T$2</f>
        <v>0.44705882352941179</v>
      </c>
      <c r="T14" s="236">
        <f>O14-$O$13</f>
        <v>0</v>
      </c>
      <c r="U14" s="231"/>
    </row>
    <row r="15" spans="2:21" s="2" customFormat="1" ht="22.5" customHeight="1">
      <c r="B15" s="10">
        <f t="shared" si="7"/>
        <v>7</v>
      </c>
      <c r="C15" s="10"/>
      <c r="D15" s="157" t="s">
        <v>16</v>
      </c>
      <c r="E15" s="17" t="s">
        <v>240</v>
      </c>
      <c r="F15" s="10" t="s">
        <v>27</v>
      </c>
      <c r="G15" s="10"/>
      <c r="H15" s="11">
        <v>1291.5</v>
      </c>
      <c r="I15" s="18">
        <v>4.7619047619047616E-2</v>
      </c>
      <c r="J15" s="11">
        <v>61.5</v>
      </c>
      <c r="K15" s="81">
        <v>1230</v>
      </c>
      <c r="L15" s="11">
        <f>L13</f>
        <v>1291.5</v>
      </c>
      <c r="M15" s="18">
        <f t="shared" si="0"/>
        <v>4.7619047619047616E-2</v>
      </c>
      <c r="N15" s="11">
        <f t="shared" si="1"/>
        <v>61.5</v>
      </c>
      <c r="O15" s="81">
        <f>1300+10+15-50-45</f>
        <v>1230</v>
      </c>
      <c r="P15" s="11">
        <f t="shared" si="5"/>
        <v>0</v>
      </c>
      <c r="Q15" s="18">
        <f t="shared" si="2"/>
        <v>0</v>
      </c>
      <c r="R15" s="72">
        <f t="shared" si="3"/>
        <v>380</v>
      </c>
      <c r="S15" s="18">
        <f t="shared" si="6"/>
        <v>0.44705882352941179</v>
      </c>
      <c r="T15" s="236">
        <f t="shared" ref="T15:T32" si="20">O15-$O$13</f>
        <v>0</v>
      </c>
      <c r="U15" s="231"/>
    </row>
    <row r="16" spans="2:21" s="2" customFormat="1" ht="22.5" customHeight="1">
      <c r="B16" s="10">
        <f t="shared" si="7"/>
        <v>8</v>
      </c>
      <c r="C16" s="10"/>
      <c r="D16" s="157" t="s">
        <v>17</v>
      </c>
      <c r="E16" s="17" t="s">
        <v>239</v>
      </c>
      <c r="F16" s="10" t="s">
        <v>28</v>
      </c>
      <c r="G16" s="10"/>
      <c r="H16" s="11">
        <v>1261.5</v>
      </c>
      <c r="I16" s="18">
        <v>4.8751486325802618E-2</v>
      </c>
      <c r="J16" s="11">
        <v>61.5</v>
      </c>
      <c r="K16" s="81">
        <v>1200</v>
      </c>
      <c r="L16" s="11">
        <f>L15-30</f>
        <v>1261.5</v>
      </c>
      <c r="M16" s="18">
        <f t="shared" si="0"/>
        <v>4.8751486325802618E-2</v>
      </c>
      <c r="N16" s="11">
        <f t="shared" si="1"/>
        <v>61.5</v>
      </c>
      <c r="O16" s="81">
        <f>O15-30</f>
        <v>1200</v>
      </c>
      <c r="P16" s="11">
        <f t="shared" si="5"/>
        <v>0</v>
      </c>
      <c r="Q16" s="18">
        <f t="shared" si="2"/>
        <v>0</v>
      </c>
      <c r="R16" s="72">
        <f t="shared" si="3"/>
        <v>350</v>
      </c>
      <c r="S16" s="18">
        <f t="shared" si="6"/>
        <v>0.41176470588235292</v>
      </c>
      <c r="T16" s="236">
        <f t="shared" si="20"/>
        <v>-30</v>
      </c>
      <c r="U16" s="231">
        <f>O16-O13</f>
        <v>-30</v>
      </c>
    </row>
    <row r="17" spans="2:23" s="2" customFormat="1" ht="22.5" customHeight="1">
      <c r="B17" s="10">
        <f t="shared" si="7"/>
        <v>9</v>
      </c>
      <c r="C17" s="10"/>
      <c r="D17" s="157" t="s">
        <v>139</v>
      </c>
      <c r="E17" s="17" t="s">
        <v>140</v>
      </c>
      <c r="F17" s="10" t="s">
        <v>28</v>
      </c>
      <c r="G17" s="10"/>
      <c r="H17" s="11">
        <v>1231.5</v>
      </c>
      <c r="I17" s="18">
        <v>2.5578562728380026E-2</v>
      </c>
      <c r="J17" s="11">
        <v>31.5</v>
      </c>
      <c r="K17" s="81">
        <v>1200</v>
      </c>
      <c r="L17" s="11">
        <f>L16-30</f>
        <v>1231.5</v>
      </c>
      <c r="M17" s="18">
        <f t="shared" ref="M17" si="21">N17/L17</f>
        <v>2.5578562728380026E-2</v>
      </c>
      <c r="N17" s="11">
        <f t="shared" ref="N17" si="22">L17-O17</f>
        <v>31.5</v>
      </c>
      <c r="O17" s="81">
        <f>O15-30</f>
        <v>1200</v>
      </c>
      <c r="P17" s="11">
        <f t="shared" ref="P17" si="23">O17-K17</f>
        <v>0</v>
      </c>
      <c r="Q17" s="18">
        <f t="shared" ref="Q17" si="24">1-(K17/O17)</f>
        <v>0</v>
      </c>
      <c r="R17" s="72">
        <f t="shared" ref="R17" si="25">O17-$T$2</f>
        <v>350</v>
      </c>
      <c r="S17" s="18">
        <f t="shared" ref="S17" si="26">R17/$T$2</f>
        <v>0.41176470588235292</v>
      </c>
      <c r="T17" s="236">
        <f t="shared" si="20"/>
        <v>-30</v>
      </c>
      <c r="U17" s="231"/>
    </row>
    <row r="18" spans="2:23" s="2" customFormat="1" ht="22.5" customHeight="1">
      <c r="B18" s="10">
        <f t="shared" si="7"/>
        <v>10</v>
      </c>
      <c r="C18" s="10"/>
      <c r="D18" s="157" t="s">
        <v>18</v>
      </c>
      <c r="E18" s="17" t="s">
        <v>238</v>
      </c>
      <c r="F18" s="10" t="s">
        <v>29</v>
      </c>
      <c r="G18" s="10"/>
      <c r="H18" s="11">
        <v>1221.5</v>
      </c>
      <c r="I18" s="18">
        <v>5.0347932869422837E-2</v>
      </c>
      <c r="J18" s="11">
        <v>61.5</v>
      </c>
      <c r="K18" s="81">
        <v>1160</v>
      </c>
      <c r="L18" s="11">
        <f>+L15-70</f>
        <v>1221.5</v>
      </c>
      <c r="M18" s="18">
        <f t="shared" si="0"/>
        <v>5.0347932869422837E-2</v>
      </c>
      <c r="N18" s="11">
        <f t="shared" si="1"/>
        <v>61.5</v>
      </c>
      <c r="O18" s="81">
        <f>+O15-70</f>
        <v>1160</v>
      </c>
      <c r="P18" s="11">
        <f t="shared" si="5"/>
        <v>0</v>
      </c>
      <c r="Q18" s="18">
        <f t="shared" si="2"/>
        <v>0</v>
      </c>
      <c r="R18" s="72">
        <f t="shared" si="3"/>
        <v>310</v>
      </c>
      <c r="S18" s="18">
        <f t="shared" si="6"/>
        <v>0.36470588235294116</v>
      </c>
      <c r="T18" s="236">
        <f t="shared" si="20"/>
        <v>-70</v>
      </c>
      <c r="U18" s="231">
        <f>O18-O16</f>
        <v>-40</v>
      </c>
    </row>
    <row r="19" spans="2:23" s="2" customFormat="1" ht="22.5" customHeight="1">
      <c r="B19" s="10">
        <f t="shared" si="7"/>
        <v>11</v>
      </c>
      <c r="C19" s="10"/>
      <c r="D19" s="157" t="s">
        <v>141</v>
      </c>
      <c r="E19" s="17" t="s">
        <v>142</v>
      </c>
      <c r="F19" s="10" t="s">
        <v>29</v>
      </c>
      <c r="G19" s="10"/>
      <c r="H19" s="11">
        <v>1191.5</v>
      </c>
      <c r="I19" s="18">
        <v>2.6437263953000421E-2</v>
      </c>
      <c r="J19" s="11">
        <v>31.5</v>
      </c>
      <c r="K19" s="81">
        <v>1160</v>
      </c>
      <c r="L19" s="11">
        <f>+L16-70</f>
        <v>1191.5</v>
      </c>
      <c r="M19" s="18">
        <f t="shared" ref="M19" si="27">N19/L19</f>
        <v>2.6437263953000421E-2</v>
      </c>
      <c r="N19" s="11">
        <f t="shared" ref="N19" si="28">L19-O19</f>
        <v>31.5</v>
      </c>
      <c r="O19" s="81">
        <f>+O15-70</f>
        <v>1160</v>
      </c>
      <c r="P19" s="11">
        <f t="shared" ref="P19" si="29">O19-K19</f>
        <v>0</v>
      </c>
      <c r="Q19" s="18">
        <f t="shared" ref="Q19" si="30">1-(K19/O19)</f>
        <v>0</v>
      </c>
      <c r="R19" s="72">
        <f t="shared" ref="R19" si="31">O19-$T$2</f>
        <v>310</v>
      </c>
      <c r="S19" s="18">
        <f t="shared" ref="S19" si="32">R19/$T$2</f>
        <v>0.36470588235294116</v>
      </c>
      <c r="T19" s="236">
        <f t="shared" si="20"/>
        <v>-70</v>
      </c>
      <c r="U19" s="231"/>
    </row>
    <row r="20" spans="2:23" s="2" customFormat="1" ht="22.5" customHeight="1">
      <c r="B20" s="10">
        <f t="shared" si="7"/>
        <v>12</v>
      </c>
      <c r="C20" s="10"/>
      <c r="D20" s="157" t="s">
        <v>143</v>
      </c>
      <c r="E20" s="17" t="s">
        <v>67</v>
      </c>
      <c r="F20" s="10" t="s">
        <v>26</v>
      </c>
      <c r="G20" s="10"/>
      <c r="H20" s="11">
        <v>1397</v>
      </c>
      <c r="I20" s="18">
        <v>0.16249105225483179</v>
      </c>
      <c r="J20" s="11">
        <v>227</v>
      </c>
      <c r="K20" s="81">
        <v>1170</v>
      </c>
      <c r="L20" s="11">
        <v>1397</v>
      </c>
      <c r="M20" s="18">
        <f>N20/L20</f>
        <v>0.16249105225483179</v>
      </c>
      <c r="N20" s="11">
        <f>L20-O20</f>
        <v>227</v>
      </c>
      <c r="O20" s="81">
        <f>O15-60</f>
        <v>1170</v>
      </c>
      <c r="P20" s="11">
        <f>O20-K20</f>
        <v>0</v>
      </c>
      <c r="Q20" s="18">
        <f>1-(K20/O20)</f>
        <v>0</v>
      </c>
      <c r="R20" s="72">
        <f t="shared" si="3"/>
        <v>320</v>
      </c>
      <c r="S20" s="18">
        <f t="shared" si="6"/>
        <v>0.37647058823529411</v>
      </c>
      <c r="T20" s="236">
        <f t="shared" si="20"/>
        <v>-60</v>
      </c>
      <c r="U20" s="231">
        <f>O20-O18</f>
        <v>10</v>
      </c>
    </row>
    <row r="21" spans="2:23" s="2" customFormat="1" ht="22.5" customHeight="1">
      <c r="B21" s="10">
        <f t="shared" si="7"/>
        <v>13</v>
      </c>
      <c r="C21" s="10"/>
      <c r="D21" s="157" t="s">
        <v>151</v>
      </c>
      <c r="E21" s="17" t="s">
        <v>153</v>
      </c>
      <c r="F21" s="11" t="s">
        <v>152</v>
      </c>
      <c r="G21" s="11"/>
      <c r="H21" s="11">
        <v>1155</v>
      </c>
      <c r="I21" s="18">
        <v>4.7619047619047616E-2</v>
      </c>
      <c r="J21" s="11">
        <v>55</v>
      </c>
      <c r="K21" s="81">
        <v>1100</v>
      </c>
      <c r="L21" s="11">
        <f>1100*1.05</f>
        <v>1155</v>
      </c>
      <c r="M21" s="18">
        <f t="shared" ref="M21" si="33">N21/L21</f>
        <v>4.7619047619047616E-2</v>
      </c>
      <c r="N21" s="11">
        <f t="shared" ref="N21" si="34">L21-O21</f>
        <v>55</v>
      </c>
      <c r="O21" s="81">
        <v>1100</v>
      </c>
      <c r="P21" s="11">
        <f t="shared" ref="P21" si="35">O21-K21</f>
        <v>0</v>
      </c>
      <c r="Q21" s="18">
        <f t="shared" ref="Q21" si="36">1-(K21/O21)</f>
        <v>0</v>
      </c>
      <c r="R21" s="72">
        <f t="shared" ref="R21" si="37">O21-$T$2</f>
        <v>250</v>
      </c>
      <c r="S21" s="18">
        <f t="shared" ref="S21" si="38">R21/$T$2</f>
        <v>0.29411764705882354</v>
      </c>
      <c r="T21" s="236">
        <f t="shared" si="20"/>
        <v>-130</v>
      </c>
      <c r="U21" s="231"/>
    </row>
    <row r="22" spans="2:23" s="401" customFormat="1" ht="22.5" customHeight="1">
      <c r="B22" s="394">
        <f t="shared" si="7"/>
        <v>14</v>
      </c>
      <c r="C22" s="394"/>
      <c r="D22" s="395" t="s">
        <v>144</v>
      </c>
      <c r="E22" s="396" t="s">
        <v>159</v>
      </c>
      <c r="F22" s="394" t="s">
        <v>77</v>
      </c>
      <c r="G22" s="394"/>
      <c r="H22" s="397">
        <v>1155</v>
      </c>
      <c r="I22" s="398">
        <v>4.7619047619047616E-2</v>
      </c>
      <c r="J22" s="397">
        <v>55</v>
      </c>
      <c r="K22" s="399">
        <v>1100</v>
      </c>
      <c r="L22" s="397">
        <f>1100*1.05</f>
        <v>1155</v>
      </c>
      <c r="M22" s="398">
        <f t="shared" si="0"/>
        <v>4.7619047619047616E-2</v>
      </c>
      <c r="N22" s="397">
        <f t="shared" si="1"/>
        <v>55</v>
      </c>
      <c r="O22" s="399">
        <v>1100</v>
      </c>
      <c r="P22" s="397">
        <f t="shared" ref="P22:P23" si="39">O22-K22</f>
        <v>0</v>
      </c>
      <c r="Q22" s="398">
        <f t="shared" ref="Q22:Q32" si="40">1-(K22/O22)</f>
        <v>0</v>
      </c>
      <c r="R22" s="400">
        <f t="shared" si="3"/>
        <v>250</v>
      </c>
      <c r="S22" s="398">
        <f t="shared" si="6"/>
        <v>0.29411764705882354</v>
      </c>
      <c r="T22" s="236">
        <f t="shared" si="20"/>
        <v>-130</v>
      </c>
      <c r="U22" s="402"/>
    </row>
    <row r="23" spans="2:23" s="2" customFormat="1" ht="22.5" customHeight="1">
      <c r="B23" s="10">
        <f t="shared" si="7"/>
        <v>15</v>
      </c>
      <c r="C23" s="10"/>
      <c r="D23" s="157" t="s">
        <v>145</v>
      </c>
      <c r="E23" s="17" t="s">
        <v>160</v>
      </c>
      <c r="F23" s="10" t="s">
        <v>77</v>
      </c>
      <c r="G23" s="10"/>
      <c r="H23" s="11">
        <v>1155</v>
      </c>
      <c r="I23" s="18">
        <v>4.7619047619047616E-2</v>
      </c>
      <c r="J23" s="11">
        <v>55</v>
      </c>
      <c r="K23" s="81">
        <v>1100</v>
      </c>
      <c r="L23" s="11">
        <f>1100*1.05</f>
        <v>1155</v>
      </c>
      <c r="M23" s="18">
        <f t="shared" si="0"/>
        <v>4.7619047619047616E-2</v>
      </c>
      <c r="N23" s="11">
        <f t="shared" si="1"/>
        <v>55</v>
      </c>
      <c r="O23" s="81">
        <v>1100</v>
      </c>
      <c r="P23" s="11">
        <f t="shared" si="39"/>
        <v>0</v>
      </c>
      <c r="Q23" s="18">
        <f t="shared" si="40"/>
        <v>0</v>
      </c>
      <c r="R23" s="72">
        <f t="shared" si="3"/>
        <v>250</v>
      </c>
      <c r="S23" s="18">
        <f t="shared" si="6"/>
        <v>0.29411764705882354</v>
      </c>
      <c r="T23" s="236">
        <f t="shared" si="20"/>
        <v>-130</v>
      </c>
      <c r="U23" s="231"/>
      <c r="W23"/>
    </row>
    <row r="24" spans="2:23" s="2" customFormat="1" ht="22.5" customHeight="1">
      <c r="B24" s="10">
        <f t="shared" si="7"/>
        <v>16</v>
      </c>
      <c r="C24" s="10"/>
      <c r="D24" s="237" t="s">
        <v>233</v>
      </c>
      <c r="E24" s="17" t="s">
        <v>245</v>
      </c>
      <c r="F24" s="10" t="s">
        <v>25</v>
      </c>
      <c r="G24" s="10"/>
      <c r="H24" s="11">
        <v>1308</v>
      </c>
      <c r="I24" s="18">
        <v>4.4342507645259939E-2</v>
      </c>
      <c r="J24" s="11">
        <v>58</v>
      </c>
      <c r="K24" s="81">
        <v>1250</v>
      </c>
      <c r="L24" s="11">
        <f>L27+90</f>
        <v>1308</v>
      </c>
      <c r="M24" s="18">
        <f t="shared" ref="M24:M32" si="41">N24/L24</f>
        <v>4.4342507645259939E-2</v>
      </c>
      <c r="N24" s="11">
        <f t="shared" ref="N24:N32" si="42">L24-O24</f>
        <v>58</v>
      </c>
      <c r="O24" s="81">
        <f>+O28+90</f>
        <v>1250</v>
      </c>
      <c r="P24" s="11">
        <f>O24-K24</f>
        <v>0</v>
      </c>
      <c r="Q24" s="18">
        <f t="shared" si="40"/>
        <v>0</v>
      </c>
      <c r="R24" s="72">
        <f t="shared" ref="R24:R32" si="43">O24-$T$2</f>
        <v>400</v>
      </c>
      <c r="S24" s="18">
        <f t="shared" ref="S24:S32" si="44">R24/$T$2</f>
        <v>0.47058823529411764</v>
      </c>
      <c r="T24" s="236">
        <f t="shared" si="20"/>
        <v>20</v>
      </c>
    </row>
    <row r="25" spans="2:23" s="2" customFormat="1" ht="22.5" hidden="1" customHeight="1">
      <c r="B25" s="10">
        <f t="shared" si="7"/>
        <v>17</v>
      </c>
      <c r="C25" s="10"/>
      <c r="D25" s="128"/>
      <c r="E25" s="17" t="s">
        <v>6</v>
      </c>
      <c r="F25" s="10" t="s">
        <v>26</v>
      </c>
      <c r="G25" s="10"/>
      <c r="H25" s="11">
        <v>1248</v>
      </c>
      <c r="I25" s="18">
        <v>4.6474358974358976E-2</v>
      </c>
      <c r="J25" s="11">
        <v>58</v>
      </c>
      <c r="K25" s="81">
        <v>1190</v>
      </c>
      <c r="L25" s="11">
        <f>L26</f>
        <v>1248</v>
      </c>
      <c r="M25" s="18">
        <f t="shared" si="41"/>
        <v>4.6474358974358976E-2</v>
      </c>
      <c r="N25" s="11">
        <f t="shared" si="42"/>
        <v>58</v>
      </c>
      <c r="O25" s="81">
        <f>+O28+30</f>
        <v>1190</v>
      </c>
      <c r="P25" s="11">
        <f t="shared" ref="P25:P32" si="45">O25-K25</f>
        <v>0</v>
      </c>
      <c r="Q25" s="18">
        <f t="shared" si="40"/>
        <v>0</v>
      </c>
      <c r="R25" s="72">
        <f t="shared" si="43"/>
        <v>340</v>
      </c>
      <c r="S25" s="18">
        <f t="shared" si="44"/>
        <v>0.4</v>
      </c>
      <c r="T25" s="236">
        <f t="shared" si="20"/>
        <v>-40</v>
      </c>
    </row>
    <row r="26" spans="2:23" s="2" customFormat="1" ht="22.5" customHeight="1">
      <c r="B26" s="10">
        <v>17</v>
      </c>
      <c r="C26" s="10"/>
      <c r="D26" s="237" t="s">
        <v>234</v>
      </c>
      <c r="E26" s="17" t="s">
        <v>249</v>
      </c>
      <c r="F26" s="10" t="s">
        <v>26</v>
      </c>
      <c r="G26" s="10"/>
      <c r="H26" s="11">
        <v>1248</v>
      </c>
      <c r="I26" s="18">
        <v>4.6474358974358976E-2</v>
      </c>
      <c r="J26" s="11">
        <v>58</v>
      </c>
      <c r="K26" s="81">
        <v>1190</v>
      </c>
      <c r="L26" s="11">
        <f>L27+30</f>
        <v>1248</v>
      </c>
      <c r="M26" s="18">
        <f t="shared" si="41"/>
        <v>4.6474358974358976E-2</v>
      </c>
      <c r="N26" s="11">
        <f t="shared" si="42"/>
        <v>58</v>
      </c>
      <c r="O26" s="81">
        <f>+O28+30</f>
        <v>1190</v>
      </c>
      <c r="P26" s="11">
        <f t="shared" si="45"/>
        <v>0</v>
      </c>
      <c r="Q26" s="18">
        <f t="shared" si="40"/>
        <v>0</v>
      </c>
      <c r="R26" s="72">
        <f t="shared" si="43"/>
        <v>340</v>
      </c>
      <c r="S26" s="18">
        <f t="shared" si="44"/>
        <v>0.4</v>
      </c>
      <c r="T26" s="236">
        <f t="shared" si="20"/>
        <v>-40</v>
      </c>
    </row>
    <row r="27" spans="2:23" s="2" customFormat="1" ht="22.5" customHeight="1">
      <c r="B27" s="10">
        <f t="shared" si="7"/>
        <v>18</v>
      </c>
      <c r="C27" s="10"/>
      <c r="D27" s="237" t="s">
        <v>237</v>
      </c>
      <c r="E27" s="17" t="s">
        <v>248</v>
      </c>
      <c r="F27" s="10" t="s">
        <v>27</v>
      </c>
      <c r="G27" s="10"/>
      <c r="H27" s="11">
        <v>1218</v>
      </c>
      <c r="I27" s="18">
        <v>4.7619047619047616E-2</v>
      </c>
      <c r="J27" s="11">
        <v>58</v>
      </c>
      <c r="K27" s="81">
        <v>1160</v>
      </c>
      <c r="L27" s="11">
        <f>O27*1.05</f>
        <v>1218</v>
      </c>
      <c r="M27" s="18">
        <f t="shared" si="41"/>
        <v>4.7619047619047616E-2</v>
      </c>
      <c r="N27" s="11">
        <f t="shared" si="42"/>
        <v>58</v>
      </c>
      <c r="O27" s="81">
        <f>O28</f>
        <v>1160</v>
      </c>
      <c r="P27" s="11">
        <f t="shared" si="45"/>
        <v>0</v>
      </c>
      <c r="Q27" s="18">
        <f t="shared" si="40"/>
        <v>0</v>
      </c>
      <c r="R27" s="72">
        <f t="shared" si="43"/>
        <v>310</v>
      </c>
      <c r="S27" s="18">
        <f t="shared" si="44"/>
        <v>0.36470588235294116</v>
      </c>
      <c r="T27" s="236">
        <f t="shared" si="20"/>
        <v>-70</v>
      </c>
    </row>
    <row r="28" spans="2:23" s="2" customFormat="1" ht="22.5" customHeight="1">
      <c r="B28" s="10">
        <f t="shared" si="7"/>
        <v>19</v>
      </c>
      <c r="C28" s="10"/>
      <c r="D28" s="237" t="s">
        <v>235</v>
      </c>
      <c r="E28" s="17" t="s">
        <v>247</v>
      </c>
      <c r="F28" s="10" t="s">
        <v>27</v>
      </c>
      <c r="G28" s="10"/>
      <c r="H28" s="11">
        <v>1218</v>
      </c>
      <c r="I28" s="18">
        <v>4.7619047619047616E-2</v>
      </c>
      <c r="J28" s="11">
        <v>58</v>
      </c>
      <c r="K28" s="81">
        <v>1160</v>
      </c>
      <c r="L28" s="11">
        <f>L27</f>
        <v>1218</v>
      </c>
      <c r="M28" s="18">
        <f t="shared" si="41"/>
        <v>4.7619047619047616E-2</v>
      </c>
      <c r="N28" s="11">
        <f t="shared" si="42"/>
        <v>58</v>
      </c>
      <c r="O28" s="81">
        <f>O29+30</f>
        <v>1160</v>
      </c>
      <c r="P28" s="11">
        <f t="shared" si="45"/>
        <v>0</v>
      </c>
      <c r="Q28" s="18">
        <f t="shared" si="40"/>
        <v>0</v>
      </c>
      <c r="R28" s="72">
        <f t="shared" si="43"/>
        <v>310</v>
      </c>
      <c r="S28" s="18">
        <f t="shared" si="44"/>
        <v>0.36470588235294116</v>
      </c>
      <c r="T28" s="236">
        <f t="shared" si="20"/>
        <v>-70</v>
      </c>
    </row>
    <row r="29" spans="2:23" s="2" customFormat="1" ht="22.5" hidden="1" customHeight="1">
      <c r="B29" s="10">
        <f t="shared" si="7"/>
        <v>20</v>
      </c>
      <c r="C29" s="10"/>
      <c r="D29" s="128"/>
      <c r="E29" s="17" t="s">
        <v>5</v>
      </c>
      <c r="F29" s="10" t="s">
        <v>28</v>
      </c>
      <c r="G29" s="10"/>
      <c r="H29" s="11">
        <v>1188</v>
      </c>
      <c r="I29" s="18">
        <v>4.8821548821548821E-2</v>
      </c>
      <c r="J29" s="11">
        <v>58</v>
      </c>
      <c r="K29" s="81">
        <v>1130</v>
      </c>
      <c r="L29" s="11">
        <f>L28-30</f>
        <v>1188</v>
      </c>
      <c r="M29" s="18">
        <f t="shared" si="41"/>
        <v>4.8821548821548821E-2</v>
      </c>
      <c r="N29" s="11">
        <f t="shared" si="42"/>
        <v>58</v>
      </c>
      <c r="O29" s="81">
        <f>O31+30</f>
        <v>1130</v>
      </c>
      <c r="P29" s="11">
        <f t="shared" si="45"/>
        <v>0</v>
      </c>
      <c r="Q29" s="18">
        <f t="shared" si="40"/>
        <v>0</v>
      </c>
      <c r="R29" s="72">
        <f t="shared" si="43"/>
        <v>280</v>
      </c>
      <c r="S29" s="18">
        <f t="shared" si="44"/>
        <v>0.32941176470588235</v>
      </c>
      <c r="T29" s="236">
        <f t="shared" si="20"/>
        <v>-100</v>
      </c>
    </row>
    <row r="30" spans="2:23" s="2" customFormat="1" ht="22.5" hidden="1" customHeight="1">
      <c r="B30" s="10">
        <f t="shared" si="7"/>
        <v>21</v>
      </c>
      <c r="C30" s="10"/>
      <c r="D30" s="128"/>
      <c r="E30" s="17" t="s">
        <v>140</v>
      </c>
      <c r="F30" s="10" t="s">
        <v>28</v>
      </c>
      <c r="G30" s="10"/>
      <c r="H30" s="11">
        <v>1158</v>
      </c>
      <c r="I30" s="18">
        <v>2.4179620034542316E-2</v>
      </c>
      <c r="J30" s="11">
        <v>28</v>
      </c>
      <c r="K30" s="81">
        <v>1130</v>
      </c>
      <c r="L30" s="11">
        <f>L29-30</f>
        <v>1158</v>
      </c>
      <c r="M30" s="18">
        <f t="shared" si="41"/>
        <v>2.4179620034542316E-2</v>
      </c>
      <c r="N30" s="11">
        <f t="shared" si="42"/>
        <v>28</v>
      </c>
      <c r="O30" s="81">
        <f>O31+30</f>
        <v>1130</v>
      </c>
      <c r="P30" s="11">
        <f t="shared" si="45"/>
        <v>0</v>
      </c>
      <c r="Q30" s="18">
        <f t="shared" si="40"/>
        <v>0</v>
      </c>
      <c r="R30" s="72">
        <f t="shared" si="43"/>
        <v>280</v>
      </c>
      <c r="S30" s="18">
        <f t="shared" si="44"/>
        <v>0.32941176470588235</v>
      </c>
      <c r="T30" s="236">
        <f t="shared" si="20"/>
        <v>-100</v>
      </c>
    </row>
    <row r="31" spans="2:23" s="2" customFormat="1" ht="22.5" hidden="1" customHeight="1">
      <c r="B31" s="10">
        <f t="shared" si="7"/>
        <v>22</v>
      </c>
      <c r="C31" s="10"/>
      <c r="D31" s="128"/>
      <c r="E31" s="17" t="s">
        <v>4</v>
      </c>
      <c r="F31" s="10" t="s">
        <v>29</v>
      </c>
      <c r="G31" s="10"/>
      <c r="H31" s="11">
        <v>1148</v>
      </c>
      <c r="I31" s="18">
        <v>4.1811846689895474E-2</v>
      </c>
      <c r="J31" s="11">
        <v>48</v>
      </c>
      <c r="K31" s="81">
        <v>1100</v>
      </c>
      <c r="L31" s="11">
        <f>+L28-70</f>
        <v>1148</v>
      </c>
      <c r="M31" s="18">
        <f t="shared" si="41"/>
        <v>4.1811846689895474E-2</v>
      </c>
      <c r="N31" s="11">
        <f t="shared" si="42"/>
        <v>48</v>
      </c>
      <c r="O31" s="81">
        <v>1100</v>
      </c>
      <c r="P31" s="11">
        <f t="shared" si="45"/>
        <v>0</v>
      </c>
      <c r="Q31" s="18">
        <f t="shared" si="40"/>
        <v>0</v>
      </c>
      <c r="R31" s="72">
        <f t="shared" si="43"/>
        <v>250</v>
      </c>
      <c r="S31" s="18">
        <f t="shared" si="44"/>
        <v>0.29411764705882354</v>
      </c>
      <c r="T31" s="236">
        <f t="shared" si="20"/>
        <v>-130</v>
      </c>
    </row>
    <row r="32" spans="2:23" s="2" customFormat="1" ht="22.5" customHeight="1">
      <c r="B32" s="10">
        <v>20</v>
      </c>
      <c r="C32" s="10"/>
      <c r="D32" s="237" t="s">
        <v>236</v>
      </c>
      <c r="E32" s="17" t="s">
        <v>246</v>
      </c>
      <c r="F32" s="10" t="s">
        <v>29</v>
      </c>
      <c r="G32" s="10"/>
      <c r="H32" s="11">
        <v>1118</v>
      </c>
      <c r="I32" s="18">
        <v>1.6100178890876567E-2</v>
      </c>
      <c r="J32" s="11">
        <v>18</v>
      </c>
      <c r="K32" s="81">
        <v>1100</v>
      </c>
      <c r="L32" s="11">
        <f>+L29-70</f>
        <v>1118</v>
      </c>
      <c r="M32" s="18">
        <f t="shared" si="41"/>
        <v>1.6100178890876567E-2</v>
      </c>
      <c r="N32" s="11">
        <f t="shared" si="42"/>
        <v>18</v>
      </c>
      <c r="O32" s="81">
        <v>1100</v>
      </c>
      <c r="P32" s="11">
        <f t="shared" si="45"/>
        <v>0</v>
      </c>
      <c r="Q32" s="18">
        <f t="shared" si="40"/>
        <v>0</v>
      </c>
      <c r="R32" s="72">
        <f t="shared" si="43"/>
        <v>250</v>
      </c>
      <c r="S32" s="18">
        <f t="shared" si="44"/>
        <v>0.29411764705882354</v>
      </c>
      <c r="T32" s="236">
        <f t="shared" si="20"/>
        <v>-130</v>
      </c>
    </row>
    <row r="33" spans="2:20" s="2" customFormat="1" ht="15" customHeight="1">
      <c r="B33" s="12"/>
      <c r="C33" s="12"/>
      <c r="D33" s="12"/>
      <c r="E33" s="12"/>
      <c r="F33" s="12"/>
      <c r="G33" s="12"/>
      <c r="H33" s="12"/>
      <c r="I33" s="13"/>
      <c r="J33" s="13"/>
      <c r="K33" s="13"/>
      <c r="L33" s="12"/>
      <c r="M33" s="13"/>
      <c r="N33" s="13"/>
      <c r="O33" s="13"/>
      <c r="P33" s="19"/>
      <c r="Q33" s="19"/>
      <c r="R33" s="19"/>
      <c r="S33" s="19"/>
      <c r="T33" s="117"/>
    </row>
    <row r="34" spans="2:20" ht="10.75" customHeight="1">
      <c r="I34" s="5"/>
      <c r="J34" s="5"/>
      <c r="K34" s="5"/>
      <c r="M34" s="5"/>
      <c r="N34" s="5"/>
      <c r="O34" s="6"/>
      <c r="P34" s="6"/>
      <c r="Q34" s="6"/>
      <c r="R34" s="6"/>
    </row>
    <row r="35" spans="2:20" s="36" customFormat="1" ht="13.75" customHeight="1">
      <c r="B35" s="84" t="s">
        <v>7</v>
      </c>
      <c r="C35" s="84"/>
      <c r="I35" s="33"/>
      <c r="J35" s="33"/>
      <c r="K35" s="33"/>
      <c r="M35" s="33"/>
      <c r="N35" s="33"/>
      <c r="O35" s="33"/>
      <c r="P35" s="33"/>
      <c r="Q35" s="33"/>
      <c r="R35" s="33"/>
      <c r="T35" s="78"/>
    </row>
    <row r="36" spans="2:20" s="36" customFormat="1" ht="16.5">
      <c r="B36" s="36" t="s">
        <v>60</v>
      </c>
      <c r="I36" s="68">
        <v>20</v>
      </c>
      <c r="O36" s="38"/>
      <c r="P36" s="38"/>
      <c r="R36" s="38"/>
      <c r="T36" s="78"/>
    </row>
    <row r="37" spans="2:20" s="36" customFormat="1" ht="16.5">
      <c r="B37" s="36" t="s">
        <v>205</v>
      </c>
      <c r="S37" s="39"/>
      <c r="T37" s="78"/>
    </row>
    <row r="38" spans="2:20" s="36" customFormat="1" ht="16.5">
      <c r="B38" s="36" t="s">
        <v>81</v>
      </c>
      <c r="S38" s="39"/>
      <c r="T38" s="78"/>
    </row>
    <row r="39" spans="2:20" s="36" customFormat="1" ht="16.5">
      <c r="S39" s="39"/>
      <c r="T39" s="78"/>
    </row>
    <row r="40" spans="2:20" s="36" customFormat="1" ht="16.5">
      <c r="S40" s="39"/>
      <c r="T40" s="78"/>
    </row>
    <row r="41" spans="2:20" s="36" customFormat="1" ht="16.5">
      <c r="S41" s="39"/>
      <c r="T41" s="78"/>
    </row>
    <row r="42" spans="2:20" s="36" customFormat="1" ht="16.5">
      <c r="S42" s="39"/>
      <c r="T42" s="78"/>
    </row>
    <row r="43" spans="2:20" s="36" customFormat="1" ht="16.5">
      <c r="S43" s="39"/>
      <c r="T43" s="78"/>
    </row>
    <row r="44" spans="2:20" s="36" customFormat="1" ht="16.5">
      <c r="S44" s="39"/>
      <c r="T44" s="78"/>
    </row>
    <row r="45" spans="2:20" s="36" customFormat="1" ht="16.5">
      <c r="S45" s="39" t="s">
        <v>363</v>
      </c>
      <c r="T45" s="78"/>
    </row>
    <row r="46" spans="2:20" s="31" customFormat="1" ht="16.5">
      <c r="B46" s="29"/>
      <c r="C46" s="29"/>
      <c r="D46" s="32" t="s">
        <v>114</v>
      </c>
      <c r="E46" s="30"/>
      <c r="F46" s="31" t="s">
        <v>113</v>
      </c>
      <c r="H46" s="32"/>
      <c r="J46" s="32"/>
      <c r="K46" s="32" t="s">
        <v>32</v>
      </c>
      <c r="L46" s="32"/>
      <c r="N46" s="32" t="s">
        <v>23</v>
      </c>
      <c r="P46" s="32"/>
      <c r="Q46" s="30"/>
      <c r="R46" s="30" t="s">
        <v>24</v>
      </c>
      <c r="T46" s="80"/>
    </row>
    <row r="47" spans="2:20" s="31" customFormat="1" ht="16.5">
      <c r="B47" s="29"/>
      <c r="C47" s="29"/>
      <c r="D47" s="32"/>
      <c r="E47" s="51"/>
      <c r="H47" s="32"/>
      <c r="K47" s="32"/>
      <c r="Q47" s="30"/>
      <c r="R47" s="32"/>
      <c r="T47" s="80"/>
    </row>
    <row r="48" spans="2:20" s="31" customFormat="1" ht="16.5">
      <c r="B48" s="29"/>
      <c r="C48" s="29"/>
      <c r="D48" s="32"/>
      <c r="E48" s="51"/>
      <c r="H48" s="32"/>
      <c r="K48" s="32"/>
      <c r="Q48" s="30"/>
      <c r="R48" s="32"/>
      <c r="T48" s="80"/>
    </row>
    <row r="49" spans="2:20" s="31" customFormat="1" ht="16.5">
      <c r="B49" s="29"/>
      <c r="C49" s="29"/>
      <c r="D49" s="32"/>
      <c r="E49" s="51"/>
      <c r="H49" s="32"/>
      <c r="K49" s="32"/>
      <c r="Q49" s="30"/>
      <c r="R49" s="32"/>
      <c r="T49" s="80"/>
    </row>
    <row r="50" spans="2:20" s="31" customFormat="1" ht="16.5">
      <c r="B50" s="34"/>
      <c r="C50" s="34"/>
      <c r="D50" s="35"/>
      <c r="E50" s="52"/>
      <c r="H50" s="35"/>
      <c r="K50" s="35"/>
      <c r="Q50" s="30"/>
      <c r="R50" s="32"/>
      <c r="T50" s="80"/>
    </row>
    <row r="51" spans="2:20" s="31" customFormat="1" ht="16.5">
      <c r="B51" s="34"/>
      <c r="C51" s="34"/>
      <c r="D51" s="35"/>
      <c r="E51" s="52"/>
      <c r="H51" s="35"/>
      <c r="K51" s="35"/>
      <c r="Q51" s="30"/>
      <c r="R51" s="32"/>
      <c r="S51" s="31" t="s">
        <v>9</v>
      </c>
      <c r="T51" s="80"/>
    </row>
    <row r="52" spans="2:20" s="31" customFormat="1" ht="16.5">
      <c r="B52" s="29"/>
      <c r="C52" s="29"/>
      <c r="D52" s="32"/>
      <c r="E52" s="51"/>
      <c r="H52" s="32"/>
      <c r="K52" s="32"/>
      <c r="Q52" s="30"/>
      <c r="R52" s="32"/>
      <c r="T52" s="80"/>
    </row>
    <row r="53" spans="2:20" s="31" customFormat="1" ht="16.5">
      <c r="B53" s="29"/>
      <c r="C53" s="29"/>
      <c r="D53" s="32" t="s">
        <v>115</v>
      </c>
      <c r="E53" s="30"/>
      <c r="F53" s="31" t="s">
        <v>33</v>
      </c>
      <c r="H53" s="32"/>
      <c r="J53" s="32"/>
      <c r="K53" s="32" t="s">
        <v>34</v>
      </c>
      <c r="L53" s="32"/>
      <c r="N53" s="32" t="s">
        <v>230</v>
      </c>
      <c r="P53" s="32"/>
      <c r="Q53" s="30"/>
      <c r="R53" s="30" t="s">
        <v>136</v>
      </c>
      <c r="T53" s="80"/>
    </row>
    <row r="54" spans="2:20" s="3" customFormat="1" ht="15.5">
      <c r="E54" s="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T54" s="118"/>
    </row>
    <row r="55" spans="2:20" ht="15.5">
      <c r="E55" s="8"/>
    </row>
    <row r="57" spans="2:20">
      <c r="E57" s="7"/>
      <c r="F57" s="7"/>
      <c r="G57" s="7"/>
      <c r="H57" s="7"/>
      <c r="L57" s="7"/>
    </row>
  </sheetData>
  <mergeCells count="13">
    <mergeCell ref="Q2:S2"/>
    <mergeCell ref="Q3:S3"/>
    <mergeCell ref="Q4:S4"/>
    <mergeCell ref="B6:B8"/>
    <mergeCell ref="D6:D8"/>
    <mergeCell ref="E6:E8"/>
    <mergeCell ref="F6:F8"/>
    <mergeCell ref="R6:S7"/>
    <mergeCell ref="H7:K7"/>
    <mergeCell ref="L7:O7"/>
    <mergeCell ref="P7:Q7"/>
    <mergeCell ref="E2:P4"/>
    <mergeCell ref="B2:D4"/>
  </mergeCells>
  <conditionalFormatting sqref="Q9:Q23">
    <cfRule type="iconSet" priority="64">
      <iconSet iconSet="3Arrows">
        <cfvo type="percent" val="0"/>
        <cfvo type="num" val="0"/>
        <cfvo type="num" val="0" gte="0"/>
      </iconSet>
    </cfRule>
  </conditionalFormatting>
  <conditionalFormatting sqref="Q24:Q30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Q31:Q32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S9:S23">
    <cfRule type="iconSet" priority="66">
      <iconSet iconSet="3Arrows">
        <cfvo type="percent" val="0"/>
        <cfvo type="num" val="0"/>
        <cfvo type="num" val="0" gte="0"/>
      </iconSet>
    </cfRule>
  </conditionalFormatting>
  <conditionalFormatting sqref="S24:S30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S31:S32">
    <cfRule type="iconSet" priority="1">
      <iconSet iconSet="3Arrows">
        <cfvo type="percent" val="0"/>
        <cfvo type="num" val="0"/>
        <cfvo type="num" val="0" gte="0"/>
      </iconSet>
    </cfRule>
  </conditionalFormatting>
  <printOptions horizontalCentered="1"/>
  <pageMargins left="0.19685039370078741" right="0" top="0" bottom="0" header="0.15748031496062992" footer="0.19685039370078741"/>
  <pageSetup paperSize="9" scale="75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4437-9F73-45BF-BCF4-72055D557E47}">
  <sheetPr>
    <tabColor rgb="FF00B050"/>
    <pageSetUpPr fitToPage="1"/>
  </sheetPr>
  <dimension ref="B2:U40"/>
  <sheetViews>
    <sheetView showGridLines="0" topLeftCell="A3" zoomScale="85" zoomScaleNormal="85" zoomScaleSheetLayoutView="70" workbookViewId="0">
      <selection activeCell="H22" sqref="H22"/>
    </sheetView>
  </sheetViews>
  <sheetFormatPr defaultColWidth="8.6328125" defaultRowHeight="14"/>
  <cols>
    <col min="1" max="1" width="1.54296875" style="1" customWidth="1"/>
    <col min="2" max="2" width="5.453125" style="1" customWidth="1"/>
    <col min="3" max="3" width="33.08984375" style="1" customWidth="1"/>
    <col min="4" max="4" width="9.54296875" style="1" customWidth="1"/>
    <col min="5" max="5" width="9.1796875" style="1" hidden="1" customWidth="1"/>
    <col min="6" max="6" width="7.81640625" style="1" customWidth="1"/>
    <col min="7" max="7" width="2.36328125" style="1" customWidth="1"/>
    <col min="8" max="8" width="34.36328125" style="1" customWidth="1"/>
    <col min="9" max="9" width="10.54296875" style="1" customWidth="1"/>
    <col min="10" max="10" width="9.54296875" style="1" hidden="1" customWidth="1"/>
    <col min="11" max="11" width="7.81640625" style="1" customWidth="1"/>
    <col min="12" max="12" width="2.36328125" style="1" customWidth="1"/>
    <col min="13" max="13" width="34.54296875" style="1" customWidth="1"/>
    <col min="14" max="14" width="13.453125" style="1" customWidth="1"/>
    <col min="15" max="15" width="9.54296875" style="1" hidden="1" customWidth="1"/>
    <col min="16" max="16" width="12" style="1" customWidth="1"/>
    <col min="17" max="16384" width="8.6328125" style="1"/>
  </cols>
  <sheetData>
    <row r="2" spans="2:16" ht="26" customHeight="1">
      <c r="B2" s="433"/>
      <c r="C2" s="433"/>
      <c r="D2" s="439" t="s">
        <v>267</v>
      </c>
      <c r="E2" s="440"/>
      <c r="F2" s="440"/>
      <c r="G2" s="440"/>
      <c r="H2" s="440"/>
      <c r="I2" s="440"/>
      <c r="J2" s="440"/>
      <c r="K2" s="440"/>
      <c r="L2" s="440"/>
      <c r="M2" s="441"/>
      <c r="N2" s="436" t="s">
        <v>220</v>
      </c>
      <c r="O2" s="437"/>
      <c r="P2" s="438"/>
    </row>
    <row r="3" spans="2:16" ht="25" customHeight="1">
      <c r="B3" s="433"/>
      <c r="C3" s="433"/>
      <c r="D3" s="442"/>
      <c r="E3" s="443"/>
      <c r="F3" s="443"/>
      <c r="G3" s="443"/>
      <c r="H3" s="443"/>
      <c r="I3" s="443"/>
      <c r="J3" s="443"/>
      <c r="K3" s="443"/>
      <c r="L3" s="443"/>
      <c r="M3" s="444"/>
      <c r="N3" s="436" t="s">
        <v>226</v>
      </c>
      <c r="O3" s="437"/>
      <c r="P3" s="438"/>
    </row>
    <row r="4" spans="2:16" ht="26.5" customHeight="1">
      <c r="B4" s="433"/>
      <c r="C4" s="433"/>
      <c r="D4" s="445"/>
      <c r="E4" s="446"/>
      <c r="F4" s="446"/>
      <c r="G4" s="446"/>
      <c r="H4" s="446"/>
      <c r="I4" s="446"/>
      <c r="J4" s="446"/>
      <c r="K4" s="446"/>
      <c r="L4" s="446"/>
      <c r="M4" s="447"/>
      <c r="N4" s="407" t="s">
        <v>263</v>
      </c>
      <c r="O4" s="407"/>
      <c r="P4" s="407"/>
    </row>
    <row r="5" spans="2:16" ht="19.75" customHeight="1">
      <c r="B5" s="4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2:16" ht="15.65" customHeight="1">
      <c r="B6" s="53"/>
      <c r="C6" s="26" t="s">
        <v>80</v>
      </c>
      <c r="D6" s="26"/>
      <c r="E6" s="26"/>
      <c r="F6" s="26"/>
      <c r="G6" s="5"/>
      <c r="H6" s="26" t="s">
        <v>78</v>
      </c>
      <c r="J6" s="26"/>
      <c r="K6" s="26"/>
      <c r="L6" s="5"/>
      <c r="M6" s="26" t="s">
        <v>79</v>
      </c>
      <c r="O6" s="26"/>
      <c r="P6" s="26"/>
    </row>
    <row r="7" spans="2:16" ht="3.5" customHeight="1">
      <c r="B7" s="53"/>
      <c r="C7" s="26"/>
      <c r="D7" s="26"/>
      <c r="E7" s="26"/>
      <c r="F7" s="26"/>
      <c r="G7" s="5"/>
      <c r="H7" s="26"/>
      <c r="I7" s="26"/>
      <c r="J7" s="26"/>
      <c r="K7" s="26"/>
      <c r="L7" s="5"/>
      <c r="M7" s="26"/>
      <c r="N7" s="26"/>
      <c r="O7" s="26"/>
      <c r="P7" s="26"/>
    </row>
    <row r="8" spans="2:16" ht="15.5">
      <c r="B8" s="85" t="s">
        <v>72</v>
      </c>
      <c r="C8" s="53"/>
      <c r="D8" s="53"/>
      <c r="E8" s="53"/>
      <c r="F8" s="66"/>
      <c r="G8" s="5"/>
      <c r="H8" s="53"/>
      <c r="I8" s="53"/>
      <c r="J8" s="53"/>
      <c r="K8" s="66"/>
      <c r="L8" s="5"/>
      <c r="M8" s="53"/>
      <c r="N8" s="53"/>
      <c r="O8" s="53"/>
      <c r="P8" s="66"/>
    </row>
    <row r="9" spans="2:16" ht="24" customHeight="1">
      <c r="B9" s="27" t="s">
        <v>73</v>
      </c>
      <c r="C9" s="67" t="s">
        <v>57</v>
      </c>
      <c r="D9" s="86">
        <f>D17</f>
        <v>1250</v>
      </c>
      <c r="E9" s="59">
        <f>E17</f>
        <v>27500</v>
      </c>
      <c r="F9" s="60">
        <f>+E9/E$11</f>
        <v>0.81541882876204597</v>
      </c>
      <c r="G9" s="5"/>
      <c r="H9" s="67" t="s">
        <v>57</v>
      </c>
      <c r="I9" s="86">
        <f>I17</f>
        <v>1280</v>
      </c>
      <c r="J9" s="59">
        <f>J17</f>
        <v>28160</v>
      </c>
      <c r="K9" s="60">
        <f>+J9/J$11</f>
        <v>0.8178628685610726</v>
      </c>
      <c r="L9" s="5"/>
      <c r="M9" s="67" t="s">
        <v>57</v>
      </c>
      <c r="N9" s="86">
        <f>N17</f>
        <v>1300</v>
      </c>
      <c r="O9" s="59">
        <f>O17</f>
        <v>28600</v>
      </c>
      <c r="P9" s="60">
        <f>+O9/O$11</f>
        <v>0.81943728153114437</v>
      </c>
    </row>
    <row r="10" spans="2:16" ht="15.5">
      <c r="B10" s="99" t="s">
        <v>74</v>
      </c>
      <c r="C10" s="100" t="s">
        <v>75</v>
      </c>
      <c r="D10" s="101">
        <f>+D18+D19+D21+D22+D23</f>
        <v>282.9545454545455</v>
      </c>
      <c r="E10" s="102">
        <f>+E18+E19+E21+E22+E23</f>
        <v>6225</v>
      </c>
      <c r="F10" s="103">
        <f>+E10/E$11</f>
        <v>0.18458117123795403</v>
      </c>
      <c r="G10" s="5"/>
      <c r="H10" s="104" t="s">
        <v>75</v>
      </c>
      <c r="I10" s="101">
        <f>+I18+I19+I21+I22+I23</f>
        <v>285.05454545454546</v>
      </c>
      <c r="J10" s="102">
        <f>+J18+J19+J21+J22+J23</f>
        <v>6271.2000000000007</v>
      </c>
      <c r="K10" s="103">
        <f>+J10/J$11</f>
        <v>0.18213713143892751</v>
      </c>
      <c r="L10" s="5"/>
      <c r="M10" s="104" t="s">
        <v>75</v>
      </c>
      <c r="N10" s="101">
        <f>+N18+N19+N21+N22+N23</f>
        <v>286.4545454545455</v>
      </c>
      <c r="O10" s="102">
        <f>+O18+O19+O21+O22+O23</f>
        <v>6302</v>
      </c>
      <c r="P10" s="103">
        <f>+O10/O$11</f>
        <v>0.18056271846885566</v>
      </c>
    </row>
    <row r="11" spans="2:16" ht="18" customHeight="1">
      <c r="B11" s="88"/>
      <c r="C11" s="105" t="s">
        <v>58</v>
      </c>
      <c r="D11" s="87">
        <f>+D10+D9</f>
        <v>1532.9545454545455</v>
      </c>
      <c r="E11" s="87">
        <f>+E10+E9</f>
        <v>33725</v>
      </c>
      <c r="F11" s="90">
        <f>+E11/E$11</f>
        <v>1</v>
      </c>
      <c r="G11" s="106"/>
      <c r="H11" s="105" t="s">
        <v>58</v>
      </c>
      <c r="I11" s="87">
        <f>+I10+I9</f>
        <v>1565.0545454545454</v>
      </c>
      <c r="J11" s="87">
        <f>+J10+J9</f>
        <v>34431.199999999997</v>
      </c>
      <c r="K11" s="90">
        <f>+J11/J$11</f>
        <v>1</v>
      </c>
      <c r="L11" s="106"/>
      <c r="M11" s="105" t="s">
        <v>58</v>
      </c>
      <c r="N11" s="87">
        <f>+N10+N9</f>
        <v>1586.4545454545455</v>
      </c>
      <c r="O11" s="87">
        <f>+O10+O9</f>
        <v>34902</v>
      </c>
      <c r="P11" s="90">
        <f>+O11/O$11</f>
        <v>1</v>
      </c>
    </row>
    <row r="12" spans="2:16" ht="3" customHeight="1">
      <c r="B12" s="93"/>
      <c r="C12" s="97"/>
      <c r="D12" s="98"/>
      <c r="E12" s="94"/>
      <c r="F12" s="95"/>
      <c r="G12" s="5"/>
      <c r="H12" s="97"/>
      <c r="I12" s="98"/>
      <c r="J12" s="94"/>
      <c r="K12" s="95"/>
      <c r="L12" s="5"/>
      <c r="M12" s="97"/>
      <c r="N12" s="98"/>
      <c r="O12" s="94"/>
      <c r="P12" s="95"/>
    </row>
    <row r="13" spans="2:16" ht="18" customHeight="1">
      <c r="B13" s="27"/>
      <c r="C13" s="28" t="s">
        <v>45</v>
      </c>
      <c r="D13" s="69">
        <v>22</v>
      </c>
      <c r="E13" s="96"/>
      <c r="F13" s="96"/>
      <c r="G13" s="5"/>
      <c r="H13" s="28" t="s">
        <v>45</v>
      </c>
      <c r="I13" s="54">
        <f>D13</f>
        <v>22</v>
      </c>
      <c r="J13" s="96"/>
      <c r="K13" s="96"/>
      <c r="L13" s="5"/>
      <c r="M13" s="28" t="s">
        <v>45</v>
      </c>
      <c r="N13" s="54">
        <f>I13</f>
        <v>22</v>
      </c>
      <c r="O13" s="96"/>
      <c r="P13" s="96"/>
    </row>
    <row r="14" spans="2:16" ht="60">
      <c r="B14" s="55" t="s">
        <v>2</v>
      </c>
      <c r="C14" s="56" t="s">
        <v>46</v>
      </c>
      <c r="D14" s="57" t="s">
        <v>47</v>
      </c>
      <c r="E14" s="57" t="s">
        <v>48</v>
      </c>
      <c r="F14" s="57" t="s">
        <v>64</v>
      </c>
      <c r="G14" s="5"/>
      <c r="H14" s="56" t="s">
        <v>46</v>
      </c>
      <c r="I14" s="57" t="s">
        <v>47</v>
      </c>
      <c r="J14" s="57" t="s">
        <v>48</v>
      </c>
      <c r="K14" s="57" t="s">
        <v>64</v>
      </c>
      <c r="L14" s="5"/>
      <c r="M14" s="56" t="s">
        <v>46</v>
      </c>
      <c r="N14" s="57" t="s">
        <v>47</v>
      </c>
      <c r="O14" s="57" t="s">
        <v>48</v>
      </c>
      <c r="P14" s="57" t="s">
        <v>64</v>
      </c>
    </row>
    <row r="15" spans="2:16" ht="18" customHeight="1">
      <c r="B15" s="27">
        <f>+B13+1</f>
        <v>1</v>
      </c>
      <c r="C15" s="58" t="s">
        <v>68</v>
      </c>
      <c r="D15" s="70">
        <f>'2. rPET- nội bộ '!O13</f>
        <v>1230</v>
      </c>
      <c r="E15" s="59">
        <f>+D15*D$13</f>
        <v>27060</v>
      </c>
      <c r="F15" s="60"/>
      <c r="G15" s="5"/>
      <c r="H15" s="58" t="s">
        <v>61</v>
      </c>
      <c r="I15" s="70">
        <f>'2. rPET- nội bộ '!O11</f>
        <v>1260</v>
      </c>
      <c r="J15" s="59">
        <f>+I15*I$13</f>
        <v>27720</v>
      </c>
      <c r="K15" s="60"/>
      <c r="L15" s="5"/>
      <c r="M15" s="58" t="s">
        <v>61</v>
      </c>
      <c r="N15" s="70">
        <f>'2. rPET- nội bộ '!O9</f>
        <v>1280</v>
      </c>
      <c r="O15" s="59">
        <f>+N15*N$13</f>
        <v>28160</v>
      </c>
      <c r="P15" s="60"/>
    </row>
    <row r="16" spans="2:16" ht="15.5">
      <c r="B16" s="27">
        <v>2</v>
      </c>
      <c r="C16" s="58" t="s">
        <v>62</v>
      </c>
      <c r="D16" s="59">
        <v>20</v>
      </c>
      <c r="E16" s="59">
        <f>+D16*D$13</f>
        <v>440</v>
      </c>
      <c r="F16" s="60"/>
      <c r="G16" s="5"/>
      <c r="H16" s="58" t="s">
        <v>62</v>
      </c>
      <c r="I16" s="59">
        <v>20</v>
      </c>
      <c r="J16" s="59">
        <f>+I16*I$13</f>
        <v>440</v>
      </c>
      <c r="K16" s="60"/>
      <c r="L16" s="5"/>
      <c r="M16" s="58" t="s">
        <v>62</v>
      </c>
      <c r="N16" s="59">
        <v>20</v>
      </c>
      <c r="O16" s="59">
        <f>+N16*N$13</f>
        <v>440</v>
      </c>
      <c r="P16" s="60"/>
    </row>
    <row r="17" spans="2:21" s="7" customFormat="1" ht="18" customHeight="1">
      <c r="B17" s="62">
        <v>3</v>
      </c>
      <c r="C17" s="63" t="s">
        <v>69</v>
      </c>
      <c r="D17" s="64">
        <f>D15+20</f>
        <v>1250</v>
      </c>
      <c r="E17" s="64">
        <f>+D17*D$13</f>
        <v>27500</v>
      </c>
      <c r="F17" s="65">
        <f t="shared" ref="F17:F24" si="0">+E17/E$11</f>
        <v>0.81541882876204597</v>
      </c>
      <c r="G17" s="73"/>
      <c r="H17" s="63" t="s">
        <v>49</v>
      </c>
      <c r="I17" s="64">
        <f>I15+20</f>
        <v>1280</v>
      </c>
      <c r="J17" s="64">
        <f>+I17*I$13</f>
        <v>28160</v>
      </c>
      <c r="K17" s="65">
        <f t="shared" ref="K17:K24" si="1">+J17/J$11</f>
        <v>0.8178628685610726</v>
      </c>
      <c r="L17" s="73"/>
      <c r="M17" s="63" t="s">
        <v>49</v>
      </c>
      <c r="N17" s="64">
        <f>N15+20</f>
        <v>1300</v>
      </c>
      <c r="O17" s="64">
        <f>+N17*N$13</f>
        <v>28600</v>
      </c>
      <c r="P17" s="65">
        <f t="shared" ref="P17:P24" si="2">+O17/O$11</f>
        <v>0.81943728153114437</v>
      </c>
    </row>
    <row r="18" spans="2:21" ht="18" customHeight="1">
      <c r="B18" s="27">
        <v>4</v>
      </c>
      <c r="C18" s="58" t="s">
        <v>50</v>
      </c>
      <c r="D18" s="59">
        <f>+E18/D13</f>
        <v>113.63636363636364</v>
      </c>
      <c r="E18" s="154">
        <v>2500</v>
      </c>
      <c r="F18" s="60">
        <f t="shared" si="0"/>
        <v>7.412898443291327E-2</v>
      </c>
      <c r="G18" s="5"/>
      <c r="H18" s="58" t="s">
        <v>50</v>
      </c>
      <c r="I18" s="59">
        <f>+J18/I13</f>
        <v>113.63636363636364</v>
      </c>
      <c r="J18" s="59">
        <f>E18</f>
        <v>2500</v>
      </c>
      <c r="K18" s="60">
        <f t="shared" si="1"/>
        <v>7.2608564325379307E-2</v>
      </c>
      <c r="L18" s="5"/>
      <c r="M18" s="58" t="s">
        <v>50</v>
      </c>
      <c r="N18" s="59">
        <f>+O18/N13</f>
        <v>113.63636363636364</v>
      </c>
      <c r="O18" s="59">
        <f>E18</f>
        <v>2500</v>
      </c>
      <c r="P18" s="60">
        <f t="shared" si="2"/>
        <v>7.1629133000974163E-2</v>
      </c>
    </row>
    <row r="19" spans="2:21" ht="18" customHeight="1">
      <c r="B19" s="27">
        <v>5</v>
      </c>
      <c r="C19" s="58" t="s">
        <v>51</v>
      </c>
      <c r="D19" s="61">
        <f>+E19/D13</f>
        <v>0</v>
      </c>
      <c r="E19" s="61">
        <v>0</v>
      </c>
      <c r="F19" s="60">
        <f t="shared" si="0"/>
        <v>0</v>
      </c>
      <c r="G19" s="5"/>
      <c r="H19" s="58" t="s">
        <v>51</v>
      </c>
      <c r="I19" s="61">
        <f>+J19/I13</f>
        <v>0</v>
      </c>
      <c r="J19" s="61">
        <v>0</v>
      </c>
      <c r="K19" s="60">
        <f t="shared" si="1"/>
        <v>0</v>
      </c>
      <c r="L19" s="5"/>
      <c r="M19" s="58" t="s">
        <v>51</v>
      </c>
      <c r="N19" s="61">
        <f>+O19/N13</f>
        <v>0</v>
      </c>
      <c r="O19" s="61">
        <v>0</v>
      </c>
      <c r="P19" s="60">
        <f t="shared" si="2"/>
        <v>0</v>
      </c>
    </row>
    <row r="20" spans="2:21" ht="18" customHeight="1">
      <c r="B20" s="62">
        <f t="shared" ref="B20:B24" si="3">+B19+1</f>
        <v>6</v>
      </c>
      <c r="C20" s="63" t="s">
        <v>70</v>
      </c>
      <c r="D20" s="64">
        <f>SUM(D17:D19)</f>
        <v>1363.6363636363637</v>
      </c>
      <c r="E20" s="64">
        <f>SUM(E17:E19)</f>
        <v>30000</v>
      </c>
      <c r="F20" s="65">
        <f t="shared" si="0"/>
        <v>0.88954781319495924</v>
      </c>
      <c r="G20" s="5"/>
      <c r="H20" s="63" t="s">
        <v>52</v>
      </c>
      <c r="I20" s="64">
        <f>SUM(I17:I19)</f>
        <v>1393.6363636363637</v>
      </c>
      <c r="J20" s="64">
        <f>SUM(J17:J19)</f>
        <v>30660</v>
      </c>
      <c r="K20" s="65">
        <f t="shared" si="1"/>
        <v>0.89047143288645192</v>
      </c>
      <c r="L20" s="5"/>
      <c r="M20" s="63" t="s">
        <v>52</v>
      </c>
      <c r="N20" s="64">
        <f>SUM(N17:N19)</f>
        <v>1413.6363636363637</v>
      </c>
      <c r="O20" s="64">
        <f>SUM(O17:O19)</f>
        <v>31100</v>
      </c>
      <c r="P20" s="65">
        <f t="shared" si="2"/>
        <v>0.89106641453211854</v>
      </c>
    </row>
    <row r="21" spans="2:21" ht="18" customHeight="1">
      <c r="B21" s="27">
        <f t="shared" si="3"/>
        <v>7</v>
      </c>
      <c r="C21" s="58" t="s">
        <v>53</v>
      </c>
      <c r="D21" s="59">
        <f>+E21/D13</f>
        <v>87.500000000000014</v>
      </c>
      <c r="E21" s="59">
        <f>7%*D17*D13</f>
        <v>1925.0000000000002</v>
      </c>
      <c r="F21" s="60">
        <f t="shared" si="0"/>
        <v>5.7079318013343226E-2</v>
      </c>
      <c r="G21" s="5"/>
      <c r="H21" s="58" t="s">
        <v>53</v>
      </c>
      <c r="I21" s="59">
        <f>+J21/I13</f>
        <v>89.600000000000009</v>
      </c>
      <c r="J21" s="59">
        <f>7%*I17*I13</f>
        <v>1971.2000000000003</v>
      </c>
      <c r="K21" s="60">
        <f t="shared" si="1"/>
        <v>5.725040079927509E-2</v>
      </c>
      <c r="L21" s="5"/>
      <c r="M21" s="58" t="s">
        <v>53</v>
      </c>
      <c r="N21" s="59">
        <f>+O21/N13</f>
        <v>91.000000000000014</v>
      </c>
      <c r="O21" s="59">
        <f>7%*N17*N13</f>
        <v>2002.0000000000002</v>
      </c>
      <c r="P21" s="60">
        <f t="shared" si="2"/>
        <v>5.7360609707180113E-2</v>
      </c>
    </row>
    <row r="22" spans="2:21" ht="15.5">
      <c r="B22" s="27">
        <f t="shared" si="3"/>
        <v>8</v>
      </c>
      <c r="C22" s="58" t="s">
        <v>54</v>
      </c>
      <c r="D22" s="59">
        <f>+E22/$D$13</f>
        <v>63.636363636363633</v>
      </c>
      <c r="E22" s="154">
        <v>1400</v>
      </c>
      <c r="F22" s="60">
        <f t="shared" si="0"/>
        <v>4.1512231282431429E-2</v>
      </c>
      <c r="G22" s="5"/>
      <c r="H22" s="58" t="s">
        <v>54</v>
      </c>
      <c r="I22" s="59">
        <f>+J22/$D$13</f>
        <v>63.636363636363633</v>
      </c>
      <c r="J22" s="59">
        <f>E22</f>
        <v>1400</v>
      </c>
      <c r="K22" s="60">
        <f t="shared" si="1"/>
        <v>4.0660796022212418E-2</v>
      </c>
      <c r="L22" s="5"/>
      <c r="M22" s="58" t="s">
        <v>54</v>
      </c>
      <c r="N22" s="59">
        <f>+O22/$D$13</f>
        <v>63.636363636363633</v>
      </c>
      <c r="O22" s="59">
        <f>E22</f>
        <v>1400</v>
      </c>
      <c r="P22" s="60">
        <f t="shared" si="2"/>
        <v>4.011231448054553E-2</v>
      </c>
    </row>
    <row r="23" spans="2:21" ht="15.5">
      <c r="B23" s="27">
        <f t="shared" si="3"/>
        <v>9</v>
      </c>
      <c r="C23" s="58" t="s">
        <v>55</v>
      </c>
      <c r="D23" s="59">
        <f>+E23/$D$13</f>
        <v>18.181818181818183</v>
      </c>
      <c r="E23" s="154">
        <v>400</v>
      </c>
      <c r="F23" s="60">
        <f t="shared" si="0"/>
        <v>1.1860637509266123E-2</v>
      </c>
      <c r="G23" s="5"/>
      <c r="H23" s="58" t="s">
        <v>55</v>
      </c>
      <c r="I23" s="59">
        <f>+J23/$D$13</f>
        <v>18.181818181818183</v>
      </c>
      <c r="J23" s="59">
        <f>E23</f>
        <v>400</v>
      </c>
      <c r="K23" s="60">
        <f t="shared" si="1"/>
        <v>1.161737029206069E-2</v>
      </c>
      <c r="L23" s="5"/>
      <c r="M23" s="58" t="s">
        <v>55</v>
      </c>
      <c r="N23" s="59">
        <f>+O23/$D$13</f>
        <v>18.181818181818183</v>
      </c>
      <c r="O23" s="59">
        <f>E23</f>
        <v>400</v>
      </c>
      <c r="P23" s="60">
        <f t="shared" si="2"/>
        <v>1.1460661280155864E-2</v>
      </c>
      <c r="U23"/>
    </row>
    <row r="24" spans="2:21" s="92" customFormat="1" ht="30">
      <c r="B24" s="88">
        <f t="shared" si="3"/>
        <v>10</v>
      </c>
      <c r="C24" s="89" t="s">
        <v>71</v>
      </c>
      <c r="D24" s="87">
        <f>+SUM(D20:D23)</f>
        <v>1532.9545454545457</v>
      </c>
      <c r="E24" s="87">
        <f>+SUM(E20:E23)</f>
        <v>33725</v>
      </c>
      <c r="F24" s="90">
        <f t="shared" si="0"/>
        <v>1</v>
      </c>
      <c r="G24" s="91"/>
      <c r="H24" s="89" t="s">
        <v>56</v>
      </c>
      <c r="I24" s="87">
        <f>+SUM(I20:I23)</f>
        <v>1565.0545454545456</v>
      </c>
      <c r="J24" s="87">
        <f>+SUM(J20:J23)</f>
        <v>34431.199999999997</v>
      </c>
      <c r="K24" s="90">
        <f t="shared" si="1"/>
        <v>1</v>
      </c>
      <c r="L24" s="91"/>
      <c r="M24" s="89" t="s">
        <v>56</v>
      </c>
      <c r="N24" s="87">
        <f>+SUM(N20:N23)</f>
        <v>1586.4545454545457</v>
      </c>
      <c r="O24" s="87">
        <f>+SUM(O20:O23)</f>
        <v>34902</v>
      </c>
      <c r="P24" s="90">
        <f t="shared" si="2"/>
        <v>1</v>
      </c>
    </row>
    <row r="25" spans="2:21" s="36" customFormat="1" ht="15.65" customHeight="1">
      <c r="B25" s="36" t="s">
        <v>7</v>
      </c>
      <c r="D25" s="129"/>
      <c r="G25" s="33"/>
      <c r="H25" s="33"/>
      <c r="J25" s="33"/>
      <c r="K25" s="33"/>
      <c r="L25" s="33"/>
      <c r="M25" s="33"/>
      <c r="O25" s="33"/>
      <c r="P25" s="33"/>
    </row>
    <row r="26" spans="2:21" s="36" customFormat="1" ht="15.65" customHeight="1">
      <c r="B26" s="36" t="s">
        <v>63</v>
      </c>
      <c r="G26" s="33"/>
      <c r="H26" s="33"/>
      <c r="J26" s="33"/>
      <c r="K26" s="33"/>
      <c r="L26" s="33"/>
      <c r="M26" s="33"/>
      <c r="O26" s="33"/>
      <c r="P26" s="33"/>
    </row>
    <row r="27" spans="2:21" s="36" customFormat="1" ht="15.65" customHeight="1"/>
    <row r="28" spans="2:21" s="36" customFormat="1" ht="16.5"/>
    <row r="29" spans="2:21" s="36" customFormat="1" ht="16.5">
      <c r="P29" s="71" t="str">
        <f>'2. rPET- nội bộ '!S45</f>
        <v>Ngày 03 tháng 02 năm 2024</v>
      </c>
    </row>
    <row r="30" spans="2:21" s="31" customFormat="1" ht="16.5">
      <c r="B30" s="107" t="s">
        <v>106</v>
      </c>
      <c r="C30" s="51"/>
      <c r="D30" s="126"/>
      <c r="E30" s="126"/>
      <c r="F30" s="126" t="s">
        <v>231</v>
      </c>
      <c r="G30" s="126"/>
      <c r="I30" s="30" t="s">
        <v>32</v>
      </c>
      <c r="J30" s="126"/>
      <c r="K30" s="126"/>
      <c r="L30" s="126"/>
      <c r="M30" s="30" t="s">
        <v>23</v>
      </c>
      <c r="N30" s="434" t="s">
        <v>24</v>
      </c>
      <c r="O30" s="434"/>
      <c r="P30" s="434"/>
    </row>
    <row r="31" spans="2:21" s="31" customFormat="1" ht="16.5">
      <c r="B31" s="29"/>
      <c r="C31" s="108"/>
      <c r="D31" s="32"/>
      <c r="I31" s="32"/>
      <c r="O31" s="32"/>
    </row>
    <row r="32" spans="2:21" s="31" customFormat="1" ht="16.5">
      <c r="B32" s="29"/>
      <c r="C32" s="108"/>
      <c r="D32" s="32"/>
      <c r="I32" s="32"/>
      <c r="O32" s="32"/>
    </row>
    <row r="33" spans="2:16" s="31" customFormat="1" ht="16.5">
      <c r="B33" s="34"/>
      <c r="C33" s="109"/>
      <c r="D33" s="35"/>
      <c r="I33" s="35"/>
      <c r="O33" s="35"/>
    </row>
    <row r="34" spans="2:16" s="31" customFormat="1" ht="16.5">
      <c r="B34" s="34"/>
      <c r="C34" s="109"/>
      <c r="D34" s="35"/>
      <c r="I34" s="35"/>
      <c r="O34" s="35"/>
    </row>
    <row r="35" spans="2:16" s="31" customFormat="1" ht="16.5">
      <c r="B35" s="29"/>
      <c r="C35" s="108"/>
      <c r="D35" s="32"/>
      <c r="I35" s="32"/>
      <c r="O35" s="32"/>
    </row>
    <row r="36" spans="2:16" s="31" customFormat="1" ht="16.5">
      <c r="B36" s="107" t="s">
        <v>105</v>
      </c>
      <c r="C36" s="51"/>
      <c r="D36" s="32"/>
      <c r="F36" s="36" t="s">
        <v>92</v>
      </c>
      <c r="I36" s="30" t="s">
        <v>34</v>
      </c>
      <c r="L36" s="126"/>
      <c r="M36" s="30" t="s">
        <v>230</v>
      </c>
      <c r="N36" s="434" t="s">
        <v>136</v>
      </c>
      <c r="O36" s="434"/>
      <c r="P36" s="434"/>
    </row>
    <row r="37" spans="2:16" s="3" customFormat="1" ht="15.5"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ht="15.5">
      <c r="D38" s="8"/>
    </row>
    <row r="40" spans="2:16">
      <c r="D40" s="7"/>
      <c r="E40" s="7"/>
      <c r="F40" s="7"/>
      <c r="I40" s="7"/>
      <c r="N40" s="7"/>
    </row>
  </sheetData>
  <mergeCells count="7">
    <mergeCell ref="B2:C4"/>
    <mergeCell ref="N4:P4"/>
    <mergeCell ref="N36:P36"/>
    <mergeCell ref="N30:P30"/>
    <mergeCell ref="N2:P2"/>
    <mergeCell ref="N3:P3"/>
    <mergeCell ref="D2:M4"/>
  </mergeCells>
  <printOptions horizontalCentered="1"/>
  <pageMargins left="0.2" right="0" top="0.2" bottom="0" header="0.17" footer="0.3"/>
  <pageSetup paperSize="9" fitToHeight="0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9784-65A6-43F2-B4AA-A24BC4F14000}">
  <sheetPr>
    <tabColor theme="5" tint="0.39997558519241921"/>
  </sheetPr>
  <dimension ref="A1"/>
  <sheetViews>
    <sheetView tabSelected="1" workbookViewId="0">
      <selection activeCell="H14" sqref="H14"/>
    </sheetView>
  </sheetViews>
  <sheetFormatPr defaultRowHeight="14.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E24C-D71C-4313-B8F9-233D54CD36E7}">
  <sheetPr>
    <tabColor rgb="FF00B0F0"/>
    <pageSetUpPr fitToPage="1"/>
  </sheetPr>
  <dimension ref="B2:S40"/>
  <sheetViews>
    <sheetView showGridLines="0" topLeftCell="A5" zoomScale="70" zoomScaleNormal="70" zoomScaleSheetLayoutView="70" workbookViewId="0">
      <selection activeCell="D25" sqref="D25"/>
    </sheetView>
  </sheetViews>
  <sheetFormatPr defaultColWidth="8.6328125" defaultRowHeight="16.5"/>
  <cols>
    <col min="1" max="1" width="1.08984375" style="36" customWidth="1"/>
    <col min="2" max="2" width="6.90625" style="36" customWidth="1"/>
    <col min="3" max="3" width="15.36328125" style="36" bestFit="1" customWidth="1"/>
    <col min="4" max="4" width="28.81640625" style="36" customWidth="1"/>
    <col min="5" max="5" width="27.1796875" style="36" customWidth="1"/>
    <col min="6" max="8" width="9.54296875" style="36" customWidth="1"/>
    <col min="9" max="9" width="11.6328125" style="36" customWidth="1"/>
    <col min="10" max="12" width="9.54296875" style="36" customWidth="1"/>
    <col min="13" max="14" width="11.6328125" style="36" customWidth="1"/>
    <col min="15" max="15" width="10.6328125" style="36" customWidth="1"/>
    <col min="16" max="16" width="10.1796875" style="36" customWidth="1"/>
    <col min="17" max="17" width="12.90625" style="78" customWidth="1"/>
    <col min="18" max="18" width="6.6328125" style="78" bestFit="1" customWidth="1"/>
    <col min="19" max="16384" width="8.6328125" style="36"/>
  </cols>
  <sheetData>
    <row r="2" spans="2:19" ht="26" customHeight="1">
      <c r="B2" s="450"/>
      <c r="C2" s="450"/>
      <c r="D2" s="449" t="s">
        <v>268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8" t="s">
        <v>221</v>
      </c>
      <c r="P2" s="448"/>
      <c r="Q2" s="448"/>
      <c r="R2" s="130">
        <v>940</v>
      </c>
    </row>
    <row r="3" spans="2:19" ht="24.5" customHeight="1">
      <c r="B3" s="450"/>
      <c r="C3" s="450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8" t="s">
        <v>226</v>
      </c>
      <c r="P3" s="448"/>
      <c r="Q3" s="448"/>
    </row>
    <row r="4" spans="2:19">
      <c r="B4" s="450"/>
      <c r="C4" s="450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07" t="s">
        <v>263</v>
      </c>
      <c r="P4" s="407"/>
      <c r="Q4" s="407"/>
    </row>
    <row r="5" spans="2:19" s="1" customFormat="1" ht="19.75" customHeight="1"/>
    <row r="6" spans="2:19" s="7" customFormat="1" ht="17" customHeight="1">
      <c r="B6" s="408" t="s">
        <v>2</v>
      </c>
      <c r="C6" s="409" t="s">
        <v>10</v>
      </c>
      <c r="D6" s="408" t="s">
        <v>0</v>
      </c>
      <c r="E6" s="409" t="s">
        <v>66</v>
      </c>
      <c r="F6" s="410" t="s">
        <v>30</v>
      </c>
      <c r="G6" s="411"/>
      <c r="H6" s="411"/>
      <c r="I6" s="411"/>
      <c r="J6" s="411"/>
      <c r="K6" s="411"/>
      <c r="L6" s="411"/>
      <c r="M6" s="411"/>
      <c r="N6" s="411"/>
      <c r="O6" s="412"/>
      <c r="P6" s="409" t="s">
        <v>269</v>
      </c>
      <c r="Q6" s="409"/>
      <c r="R6" s="111"/>
    </row>
    <row r="7" spans="2:19" s="7" customFormat="1" ht="47.5" customHeight="1">
      <c r="B7" s="408"/>
      <c r="C7" s="409"/>
      <c r="D7" s="408"/>
      <c r="E7" s="409"/>
      <c r="F7" s="410" t="str">
        <f>'1. rPET'!F7</f>
        <v>Tháng 01 (đã duyệt)</v>
      </c>
      <c r="G7" s="411"/>
      <c r="H7" s="411"/>
      <c r="I7" s="412"/>
      <c r="J7" s="410" t="str">
        <f>'1. rPET'!J7</f>
        <v>Tháng 02</v>
      </c>
      <c r="K7" s="411"/>
      <c r="L7" s="411"/>
      <c r="M7" s="412"/>
      <c r="N7" s="410" t="str">
        <f>'1. rPET'!N7</f>
        <v>Chênh lệch
 tháng 02 vs tháng 01</v>
      </c>
      <c r="O7" s="412"/>
      <c r="P7" s="409"/>
      <c r="Q7" s="409"/>
      <c r="R7" s="111"/>
    </row>
    <row r="8" spans="2:19" s="9" customFormat="1" ht="79.25" customHeight="1">
      <c r="B8" s="408"/>
      <c r="C8" s="409"/>
      <c r="D8" s="408"/>
      <c r="E8" s="409"/>
      <c r="F8" s="14" t="s">
        <v>35</v>
      </c>
      <c r="G8" s="14" t="s">
        <v>42</v>
      </c>
      <c r="H8" s="14" t="s">
        <v>40</v>
      </c>
      <c r="I8" s="132" t="s">
        <v>41</v>
      </c>
      <c r="J8" s="14" t="s">
        <v>35</v>
      </c>
      <c r="K8" s="14" t="s">
        <v>42</v>
      </c>
      <c r="L8" s="14" t="s">
        <v>40</v>
      </c>
      <c r="M8" s="132" t="s">
        <v>41</v>
      </c>
      <c r="N8" s="20" t="s">
        <v>36</v>
      </c>
      <c r="O8" s="20" t="s">
        <v>37</v>
      </c>
      <c r="P8" s="20" t="s">
        <v>36</v>
      </c>
      <c r="Q8" s="74" t="s">
        <v>37</v>
      </c>
      <c r="R8" s="112"/>
    </row>
    <row r="9" spans="2:19" s="116" customFormat="1" ht="15" customHeight="1">
      <c r="B9" s="140" t="s">
        <v>116</v>
      </c>
      <c r="C9" s="122" t="s">
        <v>109</v>
      </c>
      <c r="D9" s="122"/>
      <c r="E9" s="122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4"/>
      <c r="Q9" s="141"/>
    </row>
    <row r="10" spans="2:19" s="114" customFormat="1" ht="15" customHeight="1">
      <c r="B10" s="143" t="s">
        <v>372</v>
      </c>
      <c r="C10" s="144"/>
      <c r="D10" s="144"/>
      <c r="E10" s="144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75"/>
    </row>
    <row r="11" spans="2:19" s="2" customFormat="1" ht="22.5" customHeight="1">
      <c r="B11" s="10">
        <v>1</v>
      </c>
      <c r="C11" s="16">
        <v>110000429</v>
      </c>
      <c r="D11" s="17" t="s">
        <v>128</v>
      </c>
      <c r="E11" s="16" t="s">
        <v>65</v>
      </c>
      <c r="F11" s="11">
        <v>1530</v>
      </c>
      <c r="G11" s="18">
        <f>H11/F11</f>
        <v>8.4967320261437912E-2</v>
      </c>
      <c r="H11" s="11">
        <f>F11-I11</f>
        <v>130</v>
      </c>
      <c r="I11" s="21">
        <v>1400</v>
      </c>
      <c r="J11" s="11">
        <v>1530</v>
      </c>
      <c r="K11" s="18">
        <f>L11/J11</f>
        <v>8.4967320261437912E-2</v>
      </c>
      <c r="L11" s="11">
        <f>J11-M11</f>
        <v>130</v>
      </c>
      <c r="M11" s="81">
        <v>1400</v>
      </c>
      <c r="N11" s="11">
        <f>M11-I11</f>
        <v>0</v>
      </c>
      <c r="O11" s="18">
        <f>1-(I11/M11)</f>
        <v>0</v>
      </c>
      <c r="P11" s="72">
        <f>M11-$R$2</f>
        <v>460</v>
      </c>
      <c r="Q11" s="18">
        <f>P11/$R$2</f>
        <v>0.48936170212765956</v>
      </c>
      <c r="R11" s="138"/>
      <c r="S11" s="217" t="s">
        <v>206</v>
      </c>
    </row>
    <row r="12" spans="2:19" s="2" customFormat="1" ht="22.5" customHeight="1">
      <c r="B12" s="10">
        <f>B11+1</f>
        <v>2</v>
      </c>
      <c r="C12" s="16">
        <v>110000337</v>
      </c>
      <c r="D12" s="17" t="s">
        <v>104</v>
      </c>
      <c r="E12" s="16" t="s">
        <v>99</v>
      </c>
      <c r="F12" s="11">
        <f t="shared" ref="F12" si="0">+$F$11-50</f>
        <v>1480</v>
      </c>
      <c r="G12" s="18">
        <f>H12/F12</f>
        <v>8.7837837837837843E-2</v>
      </c>
      <c r="H12" s="11">
        <f>F12-I12</f>
        <v>130</v>
      </c>
      <c r="I12" s="21">
        <f t="shared" ref="I12" si="1">$I$11-50</f>
        <v>1350</v>
      </c>
      <c r="J12" s="11">
        <f t="shared" ref="J12" si="2">+$J$11-50</f>
        <v>1480</v>
      </c>
      <c r="K12" s="18">
        <f>L12/J12</f>
        <v>8.7837837837837843E-2</v>
      </c>
      <c r="L12" s="11">
        <f>J12-M12</f>
        <v>130</v>
      </c>
      <c r="M12" s="81">
        <f t="shared" ref="M12" si="3">$M$11-50</f>
        <v>1350</v>
      </c>
      <c r="N12" s="11">
        <f>M12-I12</f>
        <v>0</v>
      </c>
      <c r="O12" s="18">
        <f>1-(I12/M12)</f>
        <v>0</v>
      </c>
      <c r="P12" s="72">
        <f t="shared" ref="P12:P22" si="4">M12-$R$2</f>
        <v>410</v>
      </c>
      <c r="Q12" s="18">
        <f t="shared" ref="Q12:Q22" si="5">P12/$R$2</f>
        <v>0.43617021276595747</v>
      </c>
      <c r="R12" s="113"/>
    </row>
    <row r="13" spans="2:19" s="114" customFormat="1" ht="15" customHeight="1">
      <c r="B13" s="143" t="s">
        <v>373</v>
      </c>
      <c r="C13" s="144"/>
      <c r="D13" s="144"/>
      <c r="E13" s="144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75"/>
    </row>
    <row r="14" spans="2:19" s="2" customFormat="1" ht="81.650000000000006" customHeight="1">
      <c r="B14" s="10">
        <v>1</v>
      </c>
      <c r="C14" s="16">
        <v>110000432</v>
      </c>
      <c r="D14" s="17" t="s">
        <v>127</v>
      </c>
      <c r="E14" s="127" t="s">
        <v>217</v>
      </c>
      <c r="F14" s="11">
        <v>1530</v>
      </c>
      <c r="G14" s="18">
        <f>H14/F14</f>
        <v>0.11764705882352941</v>
      </c>
      <c r="H14" s="11">
        <f>F14-I14</f>
        <v>180</v>
      </c>
      <c r="I14" s="81">
        <f>I11-50</f>
        <v>1350</v>
      </c>
      <c r="J14" s="11">
        <v>1530</v>
      </c>
      <c r="K14" s="18">
        <f>L14/J14</f>
        <v>0.15032679738562091</v>
      </c>
      <c r="L14" s="11">
        <f>J14-M14</f>
        <v>230</v>
      </c>
      <c r="M14" s="380">
        <f>M11-50-50</f>
        <v>1300</v>
      </c>
      <c r="N14" s="397">
        <f>M14-I14</f>
        <v>-50</v>
      </c>
      <c r="O14" s="18">
        <f>1-(I14/M14)</f>
        <v>-3.8461538461538547E-2</v>
      </c>
      <c r="P14" s="72">
        <f>M14-$R$2</f>
        <v>360</v>
      </c>
      <c r="Q14" s="18">
        <f>P14/$R$2</f>
        <v>0.38297872340425532</v>
      </c>
      <c r="R14" s="139"/>
    </row>
    <row r="15" spans="2:19" s="114" customFormat="1" ht="15" hidden="1" customHeight="1">
      <c r="B15" s="143" t="s">
        <v>120</v>
      </c>
      <c r="C15" s="144"/>
      <c r="D15" s="144"/>
      <c r="E15" s="144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75"/>
    </row>
    <row r="16" spans="2:19" s="2" customFormat="1" ht="22.5" hidden="1" customHeight="1">
      <c r="B16" s="10">
        <v>1</v>
      </c>
      <c r="C16" s="16" t="s">
        <v>21</v>
      </c>
      <c r="D16" s="17" t="s">
        <v>43</v>
      </c>
      <c r="E16" s="16" t="s">
        <v>38</v>
      </c>
      <c r="F16" s="11">
        <v>1300</v>
      </c>
      <c r="G16" s="18">
        <f>H16/F16</f>
        <v>3.8461538461538464E-2</v>
      </c>
      <c r="H16" s="11">
        <f>F16-I16</f>
        <v>50</v>
      </c>
      <c r="I16" s="21">
        <v>1250</v>
      </c>
      <c r="J16" s="11">
        <v>1300</v>
      </c>
      <c r="K16" s="18">
        <f>L16/J16</f>
        <v>3.8461538461538464E-2</v>
      </c>
      <c r="L16" s="11">
        <f>J16-M16</f>
        <v>50</v>
      </c>
      <c r="M16" s="81">
        <v>1250</v>
      </c>
      <c r="N16" s="11">
        <f t="shared" ref="N16:N18" si="6">M16-I16</f>
        <v>0</v>
      </c>
      <c r="O16" s="18">
        <f>1-(I16/M16)</f>
        <v>0</v>
      </c>
      <c r="P16" s="72">
        <f>M16-$R$16</f>
        <v>310</v>
      </c>
      <c r="Q16" s="18">
        <f>P16/$R$16</f>
        <v>0.32978723404255317</v>
      </c>
      <c r="R16" s="155">
        <v>940</v>
      </c>
      <c r="S16" s="131"/>
    </row>
    <row r="17" spans="2:18" s="2" customFormat="1" ht="22.5" hidden="1" customHeight="1">
      <c r="B17" s="10">
        <v>2</v>
      </c>
      <c r="C17" s="16" t="s">
        <v>20</v>
      </c>
      <c r="D17" s="17" t="s">
        <v>101</v>
      </c>
      <c r="E17" s="16" t="s">
        <v>100</v>
      </c>
      <c r="F17" s="11">
        <v>1360</v>
      </c>
      <c r="G17" s="18">
        <f t="shared" ref="G17:G18" si="7">H17/F17</f>
        <v>3.6764705882352942E-2</v>
      </c>
      <c r="H17" s="11">
        <f t="shared" ref="H17:H18" si="8">F17-I17</f>
        <v>50</v>
      </c>
      <c r="I17" s="21">
        <v>1310</v>
      </c>
      <c r="J17" s="11">
        <v>1360</v>
      </c>
      <c r="K17" s="18">
        <f>L17/J17</f>
        <v>3.6764705882352942E-2</v>
      </c>
      <c r="L17" s="11">
        <f>J17-M17</f>
        <v>50</v>
      </c>
      <c r="M17" s="81">
        <v>1310</v>
      </c>
      <c r="N17" s="11">
        <f t="shared" si="6"/>
        <v>0</v>
      </c>
      <c r="O17" s="18">
        <f>1-(I17/M17)</f>
        <v>0</v>
      </c>
      <c r="P17" s="72">
        <f>M17-$R$16</f>
        <v>370</v>
      </c>
      <c r="Q17" s="18">
        <f>P17/$R$16</f>
        <v>0.39361702127659576</v>
      </c>
      <c r="R17" s="113"/>
    </row>
    <row r="18" spans="2:18" s="2" customFormat="1" ht="22.5" hidden="1" customHeight="1">
      <c r="B18" s="10">
        <v>3</v>
      </c>
      <c r="C18" s="16" t="s">
        <v>19</v>
      </c>
      <c r="D18" s="17" t="s">
        <v>44</v>
      </c>
      <c r="E18" s="16" t="s">
        <v>39</v>
      </c>
      <c r="F18" s="11">
        <v>1360</v>
      </c>
      <c r="G18" s="18">
        <f t="shared" si="7"/>
        <v>3.6764705882352942E-2</v>
      </c>
      <c r="H18" s="11">
        <f t="shared" si="8"/>
        <v>50</v>
      </c>
      <c r="I18" s="21">
        <v>1310</v>
      </c>
      <c r="J18" s="11">
        <v>1360</v>
      </c>
      <c r="K18" s="18">
        <f>L18/J18</f>
        <v>3.6764705882352942E-2</v>
      </c>
      <c r="L18" s="11">
        <f>J18-M18</f>
        <v>50</v>
      </c>
      <c r="M18" s="81">
        <v>1310</v>
      </c>
      <c r="N18" s="11">
        <f t="shared" si="6"/>
        <v>0</v>
      </c>
      <c r="O18" s="18">
        <f>1-(I18/M18)</f>
        <v>0</v>
      </c>
      <c r="P18" s="72">
        <f t="shared" si="4"/>
        <v>370</v>
      </c>
      <c r="Q18" s="18">
        <f t="shared" si="5"/>
        <v>0.39361702127659576</v>
      </c>
      <c r="R18" s="113"/>
    </row>
    <row r="19" spans="2:18" s="116" customFormat="1" ht="15" customHeight="1">
      <c r="B19" s="121" t="s">
        <v>117</v>
      </c>
      <c r="C19" s="122" t="s">
        <v>374</v>
      </c>
      <c r="D19" s="122"/>
      <c r="E19" s="125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41"/>
    </row>
    <row r="20" spans="2:18" s="2" customFormat="1" ht="33">
      <c r="B20" s="10">
        <v>1</v>
      </c>
      <c r="C20" s="16" t="s">
        <v>21</v>
      </c>
      <c r="D20" s="17" t="s">
        <v>102</v>
      </c>
      <c r="E20" s="127" t="s">
        <v>364</v>
      </c>
      <c r="F20" s="11">
        <v>1000</v>
      </c>
      <c r="G20" s="18">
        <f>H20/F20</f>
        <v>0.13</v>
      </c>
      <c r="H20" s="11">
        <f>F20-I20</f>
        <v>130</v>
      </c>
      <c r="I20" s="81">
        <v>870</v>
      </c>
      <c r="J20" s="11">
        <v>1000</v>
      </c>
      <c r="K20" s="18">
        <f>L20/J20</f>
        <v>0.2</v>
      </c>
      <c r="L20" s="11">
        <f>J20-M20</f>
        <v>200</v>
      </c>
      <c r="M20" s="380">
        <v>800</v>
      </c>
      <c r="N20" s="397">
        <f>M20-I20</f>
        <v>-70</v>
      </c>
      <c r="O20" s="18">
        <f t="shared" ref="O20:O22" si="9">1-(I20/M20)</f>
        <v>-8.7499999999999911E-2</v>
      </c>
      <c r="P20" s="83">
        <f>M20-$R$16</f>
        <v>-140</v>
      </c>
      <c r="Q20" s="18">
        <f>P20/$R$2</f>
        <v>-0.14893617021276595</v>
      </c>
      <c r="R20" s="119"/>
    </row>
    <row r="21" spans="2:18" s="2" customFormat="1" ht="22.5" customHeight="1">
      <c r="B21" s="381">
        <v>2</v>
      </c>
      <c r="C21" s="382">
        <v>110000362</v>
      </c>
      <c r="D21" s="383" t="s">
        <v>365</v>
      </c>
      <c r="E21" s="382" t="s">
        <v>366</v>
      </c>
      <c r="F21" s="384">
        <v>1000</v>
      </c>
      <c r="G21" s="385">
        <f t="shared" ref="G21:G22" si="10">H21/F21</f>
        <v>0.13</v>
      </c>
      <c r="H21" s="384">
        <f t="shared" ref="H21:H22" si="11">F21-I21</f>
        <v>130</v>
      </c>
      <c r="I21" s="380">
        <v>870</v>
      </c>
      <c r="J21" s="384">
        <v>1000</v>
      </c>
      <c r="K21" s="385">
        <f>L21/J21</f>
        <v>0.25</v>
      </c>
      <c r="L21" s="384">
        <f>J21-M21</f>
        <v>250</v>
      </c>
      <c r="M21" s="380">
        <v>750</v>
      </c>
      <c r="N21" s="384">
        <f t="shared" ref="N21:N22" si="12">M21-I21</f>
        <v>-120</v>
      </c>
      <c r="O21" s="385">
        <f t="shared" si="9"/>
        <v>-0.15999999999999992</v>
      </c>
      <c r="P21" s="386">
        <f t="shared" si="4"/>
        <v>-190</v>
      </c>
      <c r="Q21" s="385">
        <f t="shared" si="5"/>
        <v>-0.20212765957446807</v>
      </c>
      <c r="R21" s="113"/>
    </row>
    <row r="22" spans="2:18" s="2" customFormat="1" ht="22.5" hidden="1" customHeight="1">
      <c r="B22" s="10">
        <v>3</v>
      </c>
      <c r="C22" s="16" t="s">
        <v>19</v>
      </c>
      <c r="D22" s="17" t="s">
        <v>44</v>
      </c>
      <c r="E22" s="16" t="s">
        <v>39</v>
      </c>
      <c r="F22" s="11">
        <v>1000</v>
      </c>
      <c r="G22" s="18">
        <f t="shared" si="10"/>
        <v>0.05</v>
      </c>
      <c r="H22" s="11">
        <f t="shared" si="11"/>
        <v>50</v>
      </c>
      <c r="I22" s="21">
        <v>950</v>
      </c>
      <c r="J22" s="11">
        <v>1000</v>
      </c>
      <c r="K22" s="18">
        <f>L22/J22</f>
        <v>0.05</v>
      </c>
      <c r="L22" s="11">
        <f>J22-M22</f>
        <v>50</v>
      </c>
      <c r="M22" s="81">
        <v>950</v>
      </c>
      <c r="N22" s="11">
        <f t="shared" si="12"/>
        <v>0</v>
      </c>
      <c r="O22" s="18">
        <f t="shared" si="9"/>
        <v>0</v>
      </c>
      <c r="P22" s="83">
        <f t="shared" si="4"/>
        <v>10</v>
      </c>
      <c r="Q22" s="18">
        <f t="shared" si="5"/>
        <v>1.0638297872340425E-2</v>
      </c>
      <c r="R22" s="113"/>
    </row>
    <row r="23" spans="2:18" s="40" customFormat="1" ht="15" customHeight="1">
      <c r="B23" s="23"/>
      <c r="C23" s="23"/>
      <c r="D23" s="23"/>
      <c r="E23" s="23"/>
      <c r="F23" s="24"/>
      <c r="G23" s="24"/>
      <c r="H23" s="24"/>
      <c r="I23" s="25"/>
      <c r="J23" s="25"/>
      <c r="K23" s="25"/>
      <c r="L23" s="25"/>
      <c r="M23" s="25"/>
      <c r="N23" s="25"/>
      <c r="O23" s="25"/>
      <c r="P23" s="25"/>
      <c r="Q23" s="76"/>
      <c r="R23" s="114"/>
    </row>
    <row r="24" spans="2:18" ht="7.75" customHeight="1">
      <c r="F24" s="30"/>
      <c r="G24" s="30"/>
      <c r="H24" s="30"/>
      <c r="I24" s="41"/>
      <c r="J24" s="41"/>
      <c r="K24" s="41"/>
      <c r="L24" s="41"/>
      <c r="M24" s="41"/>
      <c r="N24" s="41"/>
      <c r="O24" s="41"/>
      <c r="P24" s="41"/>
      <c r="Q24" s="41"/>
    </row>
    <row r="25" spans="2:18" ht="13.75" customHeight="1">
      <c r="B25" s="36" t="s">
        <v>7</v>
      </c>
      <c r="G25" s="33"/>
      <c r="H25" s="33"/>
      <c r="I25" s="33"/>
      <c r="K25" s="33"/>
      <c r="L25" s="33"/>
      <c r="M25" s="135"/>
      <c r="N25" s="33"/>
      <c r="O25" s="33"/>
      <c r="P25" s="33"/>
      <c r="Q25" s="41"/>
    </row>
    <row r="26" spans="2:18" ht="9" customHeight="1">
      <c r="G26" s="33"/>
      <c r="H26" s="33"/>
      <c r="I26" s="33"/>
      <c r="K26" s="33"/>
      <c r="L26" s="33"/>
      <c r="M26" s="133"/>
      <c r="N26" s="37"/>
      <c r="Q26" s="41"/>
    </row>
    <row r="27" spans="2:18">
      <c r="B27" s="36" t="s">
        <v>59</v>
      </c>
      <c r="G27" s="68">
        <v>25</v>
      </c>
      <c r="M27" s="38"/>
      <c r="N27" s="38"/>
      <c r="Q27" s="77"/>
    </row>
    <row r="28" spans="2:18">
      <c r="B28" s="134" t="s">
        <v>250</v>
      </c>
      <c r="G28" s="68"/>
      <c r="M28" s="38"/>
      <c r="N28" s="38"/>
      <c r="Q28" s="77"/>
    </row>
    <row r="29" spans="2:18">
      <c r="B29" s="36" t="s">
        <v>121</v>
      </c>
      <c r="O29" s="39"/>
      <c r="P29" s="39"/>
    </row>
    <row r="30" spans="2:18">
      <c r="B30" s="36" t="s">
        <v>122</v>
      </c>
      <c r="Q30" s="39"/>
    </row>
    <row r="31" spans="2:18">
      <c r="B31" s="36" t="s">
        <v>123</v>
      </c>
      <c r="O31" s="39"/>
      <c r="P31" s="39"/>
    </row>
    <row r="32" spans="2:18">
      <c r="Q32" s="79" t="str">
        <f>'2. rPET- nội bộ '!S45</f>
        <v>Ngày 03 tháng 02 năm 2024</v>
      </c>
    </row>
    <row r="33" spans="2:18">
      <c r="Q33" s="79"/>
    </row>
    <row r="34" spans="2:18" s="31" customFormat="1">
      <c r="B34" s="435" t="s">
        <v>22</v>
      </c>
      <c r="C34" s="435"/>
      <c r="D34" s="30" t="s">
        <v>23</v>
      </c>
      <c r="E34" s="126"/>
      <c r="F34" s="30" t="s">
        <v>31</v>
      </c>
      <c r="I34" s="32" t="s">
        <v>32</v>
      </c>
      <c r="M34" s="32" t="s">
        <v>23</v>
      </c>
      <c r="N34" s="32"/>
      <c r="O34" s="30"/>
      <c r="P34" s="434" t="s">
        <v>24</v>
      </c>
      <c r="Q34" s="434"/>
      <c r="R34" s="80"/>
    </row>
    <row r="35" spans="2:18" s="31" customFormat="1">
      <c r="B35" s="29"/>
      <c r="C35" s="29"/>
      <c r="D35" s="32"/>
      <c r="F35" s="32"/>
      <c r="G35" s="32"/>
      <c r="O35" s="30"/>
      <c r="P35" s="32"/>
      <c r="R35" s="80"/>
    </row>
    <row r="36" spans="2:18" s="31" customFormat="1">
      <c r="B36" s="29"/>
      <c r="C36" s="29"/>
      <c r="D36" s="32"/>
      <c r="F36" s="32"/>
      <c r="G36" s="32"/>
      <c r="O36" s="30"/>
      <c r="P36" s="32"/>
      <c r="R36" s="80"/>
    </row>
    <row r="37" spans="2:18" s="31" customFormat="1">
      <c r="B37" s="34"/>
      <c r="C37" s="34"/>
      <c r="D37" s="35"/>
      <c r="F37" s="35"/>
      <c r="G37" s="35"/>
      <c r="O37" s="30"/>
      <c r="P37" s="32"/>
      <c r="R37" s="80"/>
    </row>
    <row r="38" spans="2:18" s="31" customFormat="1">
      <c r="B38" s="34"/>
      <c r="C38" s="34"/>
      <c r="D38" s="35"/>
      <c r="F38" s="35"/>
      <c r="G38" s="35"/>
      <c r="O38" s="30"/>
      <c r="P38" s="32"/>
      <c r="Q38" s="31" t="s">
        <v>9</v>
      </c>
      <c r="R38" s="80"/>
    </row>
    <row r="39" spans="2:18" s="31" customFormat="1">
      <c r="B39" s="29"/>
      <c r="C39" s="29"/>
      <c r="D39" s="32"/>
      <c r="F39" s="32"/>
      <c r="G39" s="32"/>
      <c r="O39" s="30"/>
      <c r="P39" s="32"/>
      <c r="R39" s="80"/>
    </row>
    <row r="40" spans="2:18" s="31" customFormat="1">
      <c r="B40" s="435" t="s">
        <v>1</v>
      </c>
      <c r="C40" s="435"/>
      <c r="D40" s="30" t="s">
        <v>8</v>
      </c>
      <c r="E40" s="126"/>
      <c r="F40" s="30" t="s">
        <v>33</v>
      </c>
      <c r="G40" s="32"/>
      <c r="I40" s="32" t="s">
        <v>34</v>
      </c>
      <c r="L40" s="32"/>
      <c r="M40" s="32" t="s">
        <v>230</v>
      </c>
      <c r="N40" s="32"/>
      <c r="O40" s="30"/>
      <c r="P40" s="434" t="s">
        <v>136</v>
      </c>
      <c r="Q40" s="434"/>
      <c r="R40" s="80"/>
    </row>
  </sheetData>
  <mergeCells count="18">
    <mergeCell ref="B34:C34"/>
    <mergeCell ref="B40:C40"/>
    <mergeCell ref="P34:Q34"/>
    <mergeCell ref="P40:Q40"/>
    <mergeCell ref="B2:C4"/>
    <mergeCell ref="B6:B8"/>
    <mergeCell ref="C6:C8"/>
    <mergeCell ref="D6:D8"/>
    <mergeCell ref="E6:E8"/>
    <mergeCell ref="O2:Q2"/>
    <mergeCell ref="O3:Q3"/>
    <mergeCell ref="O4:Q4"/>
    <mergeCell ref="J7:M7"/>
    <mergeCell ref="N7:O7"/>
    <mergeCell ref="P6:Q7"/>
    <mergeCell ref="D2:N4"/>
    <mergeCell ref="F7:I7"/>
    <mergeCell ref="F6:O6"/>
  </mergeCells>
  <conditionalFormatting sqref="O11:O12 O14">
    <cfRule type="iconSet" priority="46">
      <iconSet iconSet="3Arrows">
        <cfvo type="percent" val="0"/>
        <cfvo type="num" val="0"/>
        <cfvo type="num" val="0" gte="0"/>
      </iconSet>
    </cfRule>
  </conditionalFormatting>
  <conditionalFormatting sqref="O16:O18 O20:O22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Q11:Q12 Q14">
    <cfRule type="iconSet" priority="48">
      <iconSet iconSet="3Arrows">
        <cfvo type="percent" val="0"/>
        <cfvo type="num" val="0"/>
        <cfvo type="num" val="0" gte="0"/>
      </iconSet>
    </cfRule>
  </conditionalFormatting>
  <conditionalFormatting sqref="Q16:Q18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Q20:Q22">
    <cfRule type="iconSet" priority="1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19" bottom="0.23622047244094491" header="0.11811023622047245" footer="0.23"/>
  <pageSetup paperSize="9" scale="72" fitToHeight="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99A7-5833-417A-9519-02490789876C}">
  <sheetPr>
    <pageSetUpPr fitToPage="1"/>
  </sheetPr>
  <dimension ref="B2:R34"/>
  <sheetViews>
    <sheetView showGridLines="0" topLeftCell="A3" zoomScale="85" zoomScaleNormal="85" zoomScaleSheetLayoutView="70" workbookViewId="0">
      <selection activeCell="A10" sqref="A10:XFD10"/>
    </sheetView>
  </sheetViews>
  <sheetFormatPr defaultColWidth="8.6328125" defaultRowHeight="16.5"/>
  <cols>
    <col min="1" max="1" width="1.08984375" style="36" customWidth="1"/>
    <col min="2" max="2" width="6.90625" style="36" customWidth="1"/>
    <col min="3" max="3" width="15.36328125" style="36" bestFit="1" customWidth="1"/>
    <col min="4" max="4" width="25.6328125" style="36" customWidth="1"/>
    <col min="5" max="5" width="18.54296875" style="36" customWidth="1"/>
    <col min="6" max="8" width="9.54296875" style="36" customWidth="1"/>
    <col min="9" max="9" width="11.6328125" style="36" customWidth="1"/>
    <col min="10" max="12" width="9.54296875" style="36" customWidth="1"/>
    <col min="13" max="13" width="11.6328125" style="36" customWidth="1"/>
    <col min="14" max="14" width="11.08984375" style="36" customWidth="1"/>
    <col min="15" max="15" width="11.54296875" style="36" customWidth="1"/>
    <col min="16" max="16" width="10.1796875" style="36" customWidth="1"/>
    <col min="17" max="17" width="11.1796875" style="78" customWidth="1"/>
    <col min="18" max="18" width="9.6328125" style="78" bestFit="1" customWidth="1"/>
    <col min="19" max="16384" width="8.6328125" style="36"/>
  </cols>
  <sheetData>
    <row r="2" spans="2:18" ht="26" customHeight="1">
      <c r="B2" s="450"/>
      <c r="C2" s="450"/>
      <c r="D2" s="449" t="s">
        <v>270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8" t="s">
        <v>222</v>
      </c>
      <c r="P2" s="448"/>
      <c r="Q2" s="448"/>
      <c r="R2" s="78">
        <v>940</v>
      </c>
    </row>
    <row r="3" spans="2:18" ht="24.5" customHeight="1">
      <c r="B3" s="450"/>
      <c r="C3" s="450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8" t="s">
        <v>226</v>
      </c>
      <c r="P3" s="448"/>
      <c r="Q3" s="448"/>
    </row>
    <row r="4" spans="2:18">
      <c r="B4" s="450"/>
      <c r="C4" s="450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07" t="s">
        <v>263</v>
      </c>
      <c r="P4" s="407"/>
      <c r="Q4" s="407"/>
    </row>
    <row r="5" spans="2:18" s="1" customFormat="1" ht="19.75" customHeight="1"/>
    <row r="6" spans="2:18" s="7" customFormat="1" ht="17" customHeight="1">
      <c r="B6" s="408" t="s">
        <v>2</v>
      </c>
      <c r="C6" s="409" t="s">
        <v>10</v>
      </c>
      <c r="D6" s="408" t="s">
        <v>0</v>
      </c>
      <c r="E6" s="409" t="s">
        <v>66</v>
      </c>
      <c r="F6" s="410" t="s">
        <v>30</v>
      </c>
      <c r="G6" s="411"/>
      <c r="H6" s="411"/>
      <c r="I6" s="411"/>
      <c r="J6" s="411"/>
      <c r="K6" s="411"/>
      <c r="L6" s="411"/>
      <c r="M6" s="411"/>
      <c r="N6" s="411"/>
      <c r="O6" s="412"/>
      <c r="P6" s="409" t="s">
        <v>271</v>
      </c>
      <c r="Q6" s="409"/>
      <c r="R6" s="111"/>
    </row>
    <row r="7" spans="2:18" s="7" customFormat="1" ht="35.4" customHeight="1">
      <c r="B7" s="408"/>
      <c r="C7" s="409"/>
      <c r="D7" s="408"/>
      <c r="E7" s="409"/>
      <c r="F7" s="410" t="str">
        <f>'1. rPET'!F7</f>
        <v>Tháng 01 (đã duyệt)</v>
      </c>
      <c r="G7" s="411"/>
      <c r="H7" s="411"/>
      <c r="I7" s="412"/>
      <c r="J7" s="410" t="str">
        <f>'1. rPET'!J7</f>
        <v>Tháng 02</v>
      </c>
      <c r="K7" s="411"/>
      <c r="L7" s="411"/>
      <c r="M7" s="412"/>
      <c r="N7" s="410" t="str">
        <f>'1. rPET'!N7</f>
        <v>Chênh lệch
 tháng 02 vs tháng 01</v>
      </c>
      <c r="O7" s="412"/>
      <c r="P7" s="409"/>
      <c r="Q7" s="409"/>
      <c r="R7" s="111"/>
    </row>
    <row r="8" spans="2:18" s="9" customFormat="1" ht="79.25" customHeight="1">
      <c r="B8" s="408"/>
      <c r="C8" s="409"/>
      <c r="D8" s="408"/>
      <c r="E8" s="409"/>
      <c r="F8" s="14" t="s">
        <v>35</v>
      </c>
      <c r="G8" s="14" t="s">
        <v>42</v>
      </c>
      <c r="H8" s="14" t="s">
        <v>40</v>
      </c>
      <c r="I8" s="15" t="s">
        <v>41</v>
      </c>
      <c r="J8" s="14" t="s">
        <v>35</v>
      </c>
      <c r="K8" s="14" t="s">
        <v>42</v>
      </c>
      <c r="L8" s="14" t="s">
        <v>40</v>
      </c>
      <c r="M8" s="15" t="s">
        <v>41</v>
      </c>
      <c r="N8" s="20" t="s">
        <v>36</v>
      </c>
      <c r="O8" s="20" t="s">
        <v>37</v>
      </c>
      <c r="P8" s="20" t="s">
        <v>36</v>
      </c>
      <c r="Q8" s="74" t="s">
        <v>37</v>
      </c>
      <c r="R8" s="112"/>
    </row>
    <row r="9" spans="2:18" s="46" customFormat="1" ht="15" customHeight="1">
      <c r="B9" s="146" t="s">
        <v>110</v>
      </c>
      <c r="C9" s="47"/>
      <c r="D9" s="47"/>
      <c r="E9" s="49"/>
      <c r="F9" s="48"/>
      <c r="G9" s="48"/>
      <c r="H9" s="48"/>
      <c r="I9" s="48"/>
      <c r="J9" s="48"/>
      <c r="K9" s="48"/>
      <c r="L9" s="48"/>
      <c r="M9" s="82"/>
      <c r="N9" s="48"/>
      <c r="O9" s="48"/>
      <c r="P9" s="48"/>
      <c r="Q9" s="147"/>
    </row>
    <row r="10" spans="2:18" s="2" customFormat="1" ht="38" customHeight="1">
      <c r="B10" s="10">
        <v>1</v>
      </c>
      <c r="C10" s="16">
        <v>110000407</v>
      </c>
      <c r="D10" s="16" t="s">
        <v>96</v>
      </c>
      <c r="E10" s="127" t="s">
        <v>95</v>
      </c>
      <c r="F10" s="11">
        <v>925</v>
      </c>
      <c r="G10" s="18">
        <f>H10/F10</f>
        <v>0.10810810810810811</v>
      </c>
      <c r="H10" s="11">
        <f>F10-I10</f>
        <v>100</v>
      </c>
      <c r="I10" s="81">
        <v>825</v>
      </c>
      <c r="J10" s="11">
        <v>925</v>
      </c>
      <c r="K10" s="18">
        <f>L10/J10</f>
        <v>0.1891891891891892</v>
      </c>
      <c r="L10" s="11">
        <f>J10-M10</f>
        <v>175</v>
      </c>
      <c r="M10" s="380">
        <v>750</v>
      </c>
      <c r="N10" s="397">
        <f>M10-I10</f>
        <v>-75</v>
      </c>
      <c r="O10" s="18">
        <f>1-(I10/M10)</f>
        <v>-0.10000000000000009</v>
      </c>
      <c r="P10" s="83">
        <f>M10-$R$2</f>
        <v>-190</v>
      </c>
      <c r="Q10" s="18">
        <f t="shared" ref="Q10:Q14" si="0">P10/$R$2</f>
        <v>-0.20212765957446807</v>
      </c>
      <c r="R10" s="119"/>
    </row>
    <row r="11" spans="2:18" s="2" customFormat="1" ht="22.5" hidden="1" customHeight="1">
      <c r="B11" s="10">
        <v>2</v>
      </c>
      <c r="C11" s="16" t="s">
        <v>367</v>
      </c>
      <c r="D11" s="16" t="s">
        <v>368</v>
      </c>
      <c r="E11" s="16" t="s">
        <v>76</v>
      </c>
      <c r="F11" s="11">
        <v>925</v>
      </c>
      <c r="G11" s="18">
        <f>H11/F11</f>
        <v>0.10810810810810811</v>
      </c>
      <c r="H11" s="11">
        <f>F11-I11</f>
        <v>100</v>
      </c>
      <c r="I11" s="81">
        <v>825</v>
      </c>
      <c r="J11" s="11">
        <v>925</v>
      </c>
      <c r="K11" s="18">
        <f>L11/J11</f>
        <v>0.10810810810810811</v>
      </c>
      <c r="L11" s="11">
        <f>J11-M11</f>
        <v>100</v>
      </c>
      <c r="M11" s="81">
        <v>825</v>
      </c>
      <c r="N11" s="11">
        <f t="shared" ref="N11:N14" si="1">M11-I11</f>
        <v>0</v>
      </c>
      <c r="O11" s="18">
        <f t="shared" ref="O11:O14" si="2">1-(I11/M11)</f>
        <v>0</v>
      </c>
      <c r="P11" s="83">
        <f t="shared" ref="P11:P14" si="3">M11-$R$2</f>
        <v>-115</v>
      </c>
      <c r="Q11" s="18">
        <f t="shared" si="0"/>
        <v>-0.12234042553191489</v>
      </c>
      <c r="R11" s="113"/>
    </row>
    <row r="12" spans="2:18" s="2" customFormat="1" ht="22.5" hidden="1" customHeight="1">
      <c r="B12" s="10">
        <v>3</v>
      </c>
      <c r="C12" s="16">
        <v>110000409</v>
      </c>
      <c r="D12" s="16" t="s">
        <v>82</v>
      </c>
      <c r="E12" s="16"/>
      <c r="F12" s="11">
        <v>850</v>
      </c>
      <c r="G12" s="18">
        <f t="shared" ref="G12:G13" si="4">H12/F12</f>
        <v>4.7058823529411764E-2</v>
      </c>
      <c r="H12" s="11">
        <f t="shared" ref="H12:H13" si="5">F12-I12</f>
        <v>40</v>
      </c>
      <c r="I12" s="81">
        <v>810</v>
      </c>
      <c r="J12" s="11">
        <v>850</v>
      </c>
      <c r="K12" s="18">
        <f t="shared" ref="K12:K13" si="6">L12/J12</f>
        <v>4.7058823529411764E-2</v>
      </c>
      <c r="L12" s="11">
        <f t="shared" ref="L12:L13" si="7">J12-M12</f>
        <v>40</v>
      </c>
      <c r="M12" s="81">
        <v>810</v>
      </c>
      <c r="N12" s="11">
        <f t="shared" si="1"/>
        <v>0</v>
      </c>
      <c r="O12" s="18">
        <f t="shared" si="2"/>
        <v>0</v>
      </c>
      <c r="P12" s="83">
        <f t="shared" ref="P12:P13" si="8">M12-$R$2</f>
        <v>-130</v>
      </c>
      <c r="Q12" s="18">
        <f t="shared" ref="Q12:Q13" si="9">P12/$R$2</f>
        <v>-0.13829787234042554</v>
      </c>
      <c r="R12" s="113"/>
    </row>
    <row r="13" spans="2:18" s="2" customFormat="1" ht="22.5" hidden="1" customHeight="1">
      <c r="B13" s="10">
        <v>4</v>
      </c>
      <c r="C13" s="16">
        <v>110000410</v>
      </c>
      <c r="D13" s="16" t="s">
        <v>83</v>
      </c>
      <c r="E13" s="16"/>
      <c r="F13" s="11">
        <v>850</v>
      </c>
      <c r="G13" s="18">
        <f t="shared" si="4"/>
        <v>4.7058823529411764E-2</v>
      </c>
      <c r="H13" s="11">
        <f t="shared" si="5"/>
        <v>40</v>
      </c>
      <c r="I13" s="81">
        <v>810</v>
      </c>
      <c r="J13" s="11">
        <v>850</v>
      </c>
      <c r="K13" s="18">
        <f t="shared" si="6"/>
        <v>4.7058823529411764E-2</v>
      </c>
      <c r="L13" s="11">
        <f t="shared" si="7"/>
        <v>40</v>
      </c>
      <c r="M13" s="81">
        <v>810</v>
      </c>
      <c r="N13" s="11">
        <f t="shared" si="1"/>
        <v>0</v>
      </c>
      <c r="O13" s="18">
        <f t="shared" si="2"/>
        <v>0</v>
      </c>
      <c r="P13" s="83">
        <f t="shared" si="8"/>
        <v>-130</v>
      </c>
      <c r="Q13" s="18">
        <f t="shared" si="9"/>
        <v>-0.13829787234042554</v>
      </c>
      <c r="R13" s="113"/>
    </row>
    <row r="14" spans="2:18" s="2" customFormat="1" ht="22.5" hidden="1" customHeight="1">
      <c r="B14" s="10">
        <v>5</v>
      </c>
      <c r="C14" s="16">
        <v>110000411</v>
      </c>
      <c r="D14" s="16" t="s">
        <v>84</v>
      </c>
      <c r="E14" s="16"/>
      <c r="F14" s="11">
        <v>850</v>
      </c>
      <c r="G14" s="18">
        <f>H14/F14</f>
        <v>4.7058823529411764E-2</v>
      </c>
      <c r="H14" s="11">
        <f>F14-I14</f>
        <v>40</v>
      </c>
      <c r="I14" s="81">
        <v>810</v>
      </c>
      <c r="J14" s="11">
        <v>850</v>
      </c>
      <c r="K14" s="18">
        <f>L14/J14</f>
        <v>4.7058823529411764E-2</v>
      </c>
      <c r="L14" s="11">
        <f>J14-M14</f>
        <v>40</v>
      </c>
      <c r="M14" s="81">
        <v>810</v>
      </c>
      <c r="N14" s="11">
        <f t="shared" si="1"/>
        <v>0</v>
      </c>
      <c r="O14" s="18">
        <f t="shared" si="2"/>
        <v>0</v>
      </c>
      <c r="P14" s="83">
        <f t="shared" si="3"/>
        <v>-130</v>
      </c>
      <c r="Q14" s="18">
        <f t="shared" si="0"/>
        <v>-0.13829787234042554</v>
      </c>
      <c r="R14" s="113"/>
    </row>
    <row r="15" spans="2:18" s="40" customFormat="1" ht="15" customHeight="1">
      <c r="B15" s="23"/>
      <c r="C15" s="23"/>
      <c r="D15" s="23"/>
      <c r="E15" s="23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76"/>
      <c r="R15" s="114"/>
    </row>
    <row r="16" spans="2:18" ht="7.75" customHeight="1">
      <c r="F16" s="30"/>
      <c r="G16" s="30"/>
      <c r="H16" s="30"/>
      <c r="I16" s="41"/>
      <c r="J16" s="41"/>
      <c r="K16" s="41"/>
      <c r="L16" s="41"/>
      <c r="M16" s="41"/>
      <c r="N16" s="41"/>
      <c r="O16" s="41"/>
      <c r="P16" s="41"/>
      <c r="Q16" s="41"/>
    </row>
    <row r="17" spans="2:18" ht="13.75" customHeight="1">
      <c r="B17" s="36" t="s">
        <v>7</v>
      </c>
      <c r="G17" s="33"/>
      <c r="H17" s="33"/>
      <c r="I17" s="33"/>
      <c r="K17" s="33"/>
      <c r="L17" s="33"/>
      <c r="M17" s="33"/>
      <c r="N17" s="33"/>
      <c r="O17" s="33"/>
      <c r="P17" s="33"/>
      <c r="Q17" s="41"/>
    </row>
    <row r="18" spans="2:18" ht="9" customHeight="1">
      <c r="G18" s="33"/>
      <c r="H18" s="33"/>
      <c r="I18" s="33"/>
      <c r="K18" s="33"/>
      <c r="L18" s="33"/>
      <c r="M18" s="33"/>
      <c r="N18" s="37"/>
      <c r="Q18" s="41"/>
    </row>
    <row r="19" spans="2:18" s="78" customFormat="1">
      <c r="B19" s="78" t="s">
        <v>112</v>
      </c>
      <c r="G19" s="115"/>
      <c r="M19" s="77"/>
      <c r="N19" s="77"/>
      <c r="Q19" s="77"/>
    </row>
    <row r="20" spans="2:18">
      <c r="B20" s="36" t="s">
        <v>111</v>
      </c>
      <c r="Q20" s="39"/>
    </row>
    <row r="21" spans="2:18">
      <c r="Q21" s="39"/>
    </row>
    <row r="22" spans="2:18">
      <c r="Q22" s="39"/>
    </row>
    <row r="23" spans="2:18">
      <c r="O23" s="39"/>
      <c r="P23" s="39"/>
    </row>
    <row r="24" spans="2:18">
      <c r="Q24" s="79" t="str">
        <f>'2. rPET- nội bộ '!S45</f>
        <v>Ngày 03 tháng 02 năm 2024</v>
      </c>
    </row>
    <row r="25" spans="2:18">
      <c r="Q25" s="79"/>
    </row>
    <row r="26" spans="2:18" s="31" customFormat="1">
      <c r="B26" s="435" t="s">
        <v>22</v>
      </c>
      <c r="C26" s="435"/>
      <c r="D26" s="30" t="s">
        <v>23</v>
      </c>
      <c r="E26" s="126"/>
      <c r="F26" s="30" t="s">
        <v>31</v>
      </c>
      <c r="I26" s="32" t="s">
        <v>32</v>
      </c>
      <c r="M26" s="32" t="s">
        <v>23</v>
      </c>
      <c r="N26" s="32"/>
      <c r="O26" s="30"/>
      <c r="P26" s="434" t="s">
        <v>24</v>
      </c>
      <c r="Q26" s="434"/>
      <c r="R26" s="80"/>
    </row>
    <row r="27" spans="2:18" s="31" customFormat="1">
      <c r="B27" s="184"/>
      <c r="C27" s="184"/>
      <c r="D27" s="30"/>
      <c r="E27" s="126"/>
      <c r="F27" s="30"/>
      <c r="I27" s="32"/>
      <c r="N27" s="32"/>
      <c r="O27" s="30"/>
      <c r="P27" s="30"/>
      <c r="Q27" s="30"/>
      <c r="R27" s="80"/>
    </row>
    <row r="28" spans="2:18" s="31" customFormat="1">
      <c r="B28" s="29"/>
      <c r="C28" s="29"/>
      <c r="D28" s="32"/>
      <c r="F28" s="32"/>
      <c r="G28" s="32"/>
      <c r="O28" s="30"/>
      <c r="P28" s="32"/>
      <c r="R28" s="80"/>
    </row>
    <row r="29" spans="2:18" s="31" customFormat="1">
      <c r="B29" s="29"/>
      <c r="C29" s="29"/>
      <c r="D29" s="32"/>
      <c r="F29" s="32"/>
      <c r="G29" s="32"/>
      <c r="O29" s="30"/>
      <c r="P29" s="32"/>
      <c r="R29" s="80"/>
    </row>
    <row r="30" spans="2:18" s="31" customFormat="1">
      <c r="B30" s="34"/>
      <c r="C30" s="34"/>
      <c r="D30" s="35"/>
      <c r="F30" s="35"/>
      <c r="G30" s="35"/>
      <c r="O30" s="30"/>
      <c r="P30" s="32"/>
      <c r="R30" s="80"/>
    </row>
    <row r="31" spans="2:18" s="31" customFormat="1">
      <c r="B31" s="34"/>
      <c r="C31" s="34"/>
      <c r="D31" s="35"/>
      <c r="F31" s="35"/>
      <c r="G31" s="35"/>
      <c r="O31" s="30"/>
      <c r="P31" s="32"/>
      <c r="Q31" s="31" t="s">
        <v>9</v>
      </c>
      <c r="R31" s="80"/>
    </row>
    <row r="32" spans="2:18" s="31" customFormat="1">
      <c r="B32" s="29"/>
      <c r="C32" s="29"/>
      <c r="D32" s="32"/>
      <c r="F32" s="32"/>
      <c r="G32" s="32"/>
      <c r="O32" s="30"/>
      <c r="P32" s="32"/>
      <c r="R32" s="80"/>
    </row>
    <row r="33" spans="2:18" s="31" customFormat="1">
      <c r="B33" s="435" t="s">
        <v>1</v>
      </c>
      <c r="C33" s="435"/>
      <c r="D33" s="30" t="s">
        <v>8</v>
      </c>
      <c r="E33" s="126"/>
      <c r="F33" s="30" t="s">
        <v>33</v>
      </c>
      <c r="G33" s="32"/>
      <c r="I33" s="32" t="s">
        <v>34</v>
      </c>
      <c r="L33" s="32"/>
      <c r="M33" s="32" t="s">
        <v>230</v>
      </c>
      <c r="N33" s="32"/>
      <c r="O33" s="30"/>
      <c r="P33" s="434" t="s">
        <v>136</v>
      </c>
      <c r="Q33" s="434"/>
      <c r="R33" s="80"/>
    </row>
    <row r="34" spans="2:18" s="31" customFormat="1">
      <c r="B34" s="435"/>
      <c r="C34" s="435"/>
      <c r="D34" s="434"/>
      <c r="E34" s="434"/>
      <c r="F34" s="434"/>
      <c r="G34" s="32"/>
      <c r="H34" s="32"/>
      <c r="I34" s="32"/>
      <c r="L34" s="32"/>
      <c r="N34" s="32"/>
      <c r="O34" s="30"/>
      <c r="P34" s="434"/>
      <c r="Q34" s="434"/>
      <c r="R34" s="80"/>
    </row>
  </sheetData>
  <mergeCells count="21">
    <mergeCell ref="B26:C26"/>
    <mergeCell ref="P26:Q26"/>
    <mergeCell ref="B34:C34"/>
    <mergeCell ref="P34:Q34"/>
    <mergeCell ref="D34:F34"/>
    <mergeCell ref="B33:C33"/>
    <mergeCell ref="P33:Q33"/>
    <mergeCell ref="B2:C4"/>
    <mergeCell ref="O2:Q2"/>
    <mergeCell ref="O3:Q3"/>
    <mergeCell ref="O4:Q4"/>
    <mergeCell ref="P6:Q7"/>
    <mergeCell ref="B6:B8"/>
    <mergeCell ref="C6:C8"/>
    <mergeCell ref="D6:D8"/>
    <mergeCell ref="E6:E8"/>
    <mergeCell ref="F6:O6"/>
    <mergeCell ref="F7:I7"/>
    <mergeCell ref="J7:M7"/>
    <mergeCell ref="N7:O7"/>
    <mergeCell ref="D2:N4"/>
  </mergeCells>
  <conditionalFormatting sqref="O10:O14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Q10:Q14">
    <cfRule type="iconSet" priority="2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19" bottom="0.23622047244094491" header="0.11811023622047245" footer="0.23"/>
  <pageSetup paperSize="9" scale="77" fitToHeight="0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1628-EC7C-45D3-94E2-E6B6C905D6D0}">
  <sheetPr>
    <tabColor rgb="FF00B0F0"/>
    <pageSetUpPr fitToPage="1"/>
  </sheetPr>
  <dimension ref="B2:R29"/>
  <sheetViews>
    <sheetView showGridLines="0" topLeftCell="A2" zoomScale="80" zoomScaleNormal="80" zoomScaleSheetLayoutView="70" workbookViewId="0">
      <selection activeCell="N12" sqref="N12:N13"/>
    </sheetView>
  </sheetViews>
  <sheetFormatPr defaultColWidth="8.6328125" defaultRowHeight="16.5"/>
  <cols>
    <col min="1" max="1" width="0.54296875" style="36" customWidth="1"/>
    <col min="2" max="2" width="5.1796875" style="36" customWidth="1"/>
    <col min="3" max="3" width="17.6328125" style="36" customWidth="1"/>
    <col min="4" max="4" width="23.36328125" style="36" bestFit="1" customWidth="1"/>
    <col min="5" max="5" width="13.453125" style="36" customWidth="1"/>
    <col min="6" max="8" width="9.54296875" style="36" customWidth="1"/>
    <col min="9" max="9" width="13.36328125" style="36" customWidth="1"/>
    <col min="10" max="12" width="9.54296875" style="36" customWidth="1"/>
    <col min="13" max="13" width="13.08984375" style="36" customWidth="1"/>
    <col min="14" max="14" width="11" style="36" customWidth="1"/>
    <col min="15" max="15" width="12.36328125" style="36" customWidth="1"/>
    <col min="16" max="16" width="10.1796875" style="36" customWidth="1"/>
    <col min="17" max="17" width="9.81640625" style="78" customWidth="1"/>
    <col min="18" max="18" width="8.6328125" style="78"/>
    <col min="19" max="16384" width="8.6328125" style="36"/>
  </cols>
  <sheetData>
    <row r="2" spans="2:18" ht="24.5" customHeight="1">
      <c r="B2" s="450"/>
      <c r="C2" s="450"/>
      <c r="D2" s="449" t="s">
        <v>272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8" t="s">
        <v>223</v>
      </c>
      <c r="P2" s="448"/>
      <c r="Q2" s="448"/>
      <c r="R2" s="78">
        <v>980</v>
      </c>
    </row>
    <row r="3" spans="2:18" ht="26" customHeight="1">
      <c r="B3" s="450"/>
      <c r="C3" s="450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8" t="s">
        <v>226</v>
      </c>
      <c r="P3" s="448"/>
      <c r="Q3" s="448"/>
    </row>
    <row r="4" spans="2:18">
      <c r="B4" s="450"/>
      <c r="C4" s="450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04" t="s">
        <v>263</v>
      </c>
      <c r="P4" s="405"/>
      <c r="Q4" s="406"/>
    </row>
    <row r="6" spans="2:18" s="7" customFormat="1" ht="17" customHeight="1">
      <c r="B6" s="408" t="s">
        <v>2</v>
      </c>
      <c r="C6" s="409" t="s">
        <v>10</v>
      </c>
      <c r="D6" s="408" t="s">
        <v>0</v>
      </c>
      <c r="E6" s="408" t="s">
        <v>66</v>
      </c>
      <c r="F6" s="409" t="s">
        <v>30</v>
      </c>
      <c r="G6" s="409"/>
      <c r="H6" s="409"/>
      <c r="I6" s="409"/>
      <c r="J6" s="409"/>
      <c r="K6" s="409"/>
      <c r="L6" s="409"/>
      <c r="M6" s="409"/>
      <c r="N6" s="409"/>
      <c r="O6" s="409"/>
      <c r="P6" s="409" t="s">
        <v>274</v>
      </c>
      <c r="Q6" s="409"/>
      <c r="R6" s="111"/>
    </row>
    <row r="7" spans="2:18" s="7" customFormat="1" ht="46.75" customHeight="1">
      <c r="B7" s="408"/>
      <c r="C7" s="409"/>
      <c r="D7" s="408"/>
      <c r="E7" s="408"/>
      <c r="F7" s="409" t="str">
        <f>'1. rPET'!F7</f>
        <v>Tháng 01 (đã duyệt)</v>
      </c>
      <c r="G7" s="409"/>
      <c r="H7" s="409"/>
      <c r="I7" s="409"/>
      <c r="J7" s="409" t="str">
        <f>'1. rPET'!J7</f>
        <v>Tháng 02</v>
      </c>
      <c r="K7" s="409"/>
      <c r="L7" s="409"/>
      <c r="M7" s="409"/>
      <c r="N7" s="409" t="str">
        <f>'1. rPET'!N7</f>
        <v>Chênh lệch
 tháng 02 vs tháng 01</v>
      </c>
      <c r="O7" s="409"/>
      <c r="P7" s="409"/>
      <c r="Q7" s="409"/>
      <c r="R7" s="111"/>
    </row>
    <row r="8" spans="2:18" s="9" customFormat="1" ht="79" customHeight="1">
      <c r="B8" s="408"/>
      <c r="C8" s="409"/>
      <c r="D8" s="408"/>
      <c r="E8" s="408"/>
      <c r="F8" s="14" t="s">
        <v>35</v>
      </c>
      <c r="G8" s="14" t="s">
        <v>42</v>
      </c>
      <c r="H8" s="14" t="s">
        <v>40</v>
      </c>
      <c r="I8" s="132" t="s">
        <v>41</v>
      </c>
      <c r="J8" s="14" t="s">
        <v>35</v>
      </c>
      <c r="K8" s="14" t="s">
        <v>42</v>
      </c>
      <c r="L8" s="14" t="s">
        <v>40</v>
      </c>
      <c r="M8" s="132" t="s">
        <v>41</v>
      </c>
      <c r="N8" s="14" t="s">
        <v>36</v>
      </c>
      <c r="O8" s="14" t="s">
        <v>37</v>
      </c>
      <c r="P8" s="14" t="s">
        <v>36</v>
      </c>
      <c r="Q8" s="214" t="s">
        <v>37</v>
      </c>
      <c r="R8" s="112"/>
    </row>
    <row r="9" spans="2:18" s="116" customFormat="1" ht="15" hidden="1" customHeight="1">
      <c r="B9" s="226" t="s">
        <v>116</v>
      </c>
      <c r="C9" s="227" t="s">
        <v>109</v>
      </c>
      <c r="D9" s="227"/>
      <c r="E9" s="227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</row>
    <row r="10" spans="2:18" s="2" customFormat="1" ht="49.5" hidden="1">
      <c r="B10" s="10">
        <v>1</v>
      </c>
      <c r="C10" s="16">
        <v>110000367</v>
      </c>
      <c r="D10" s="17" t="s">
        <v>98</v>
      </c>
      <c r="E10" s="128" t="s">
        <v>97</v>
      </c>
      <c r="F10" s="224">
        <v>1200</v>
      </c>
      <c r="G10" s="225">
        <f>H10/F10</f>
        <v>0.05</v>
      </c>
      <c r="H10" s="224">
        <f>F10-I10</f>
        <v>60</v>
      </c>
      <c r="I10" s="21">
        <v>1140</v>
      </c>
      <c r="J10" s="224">
        <v>1200</v>
      </c>
      <c r="K10" s="225">
        <f>L10/J10</f>
        <v>0.05</v>
      </c>
      <c r="L10" s="224">
        <f>J10-M10</f>
        <v>60</v>
      </c>
      <c r="M10" s="81">
        <v>1140</v>
      </c>
      <c r="N10" s="224">
        <f>M10-I10</f>
        <v>0</v>
      </c>
      <c r="O10" s="225">
        <f>1-(I10/M10)</f>
        <v>0</v>
      </c>
      <c r="P10" s="120">
        <f>M10-$R$2</f>
        <v>160</v>
      </c>
      <c r="Q10" s="225">
        <f>P10/$R$2</f>
        <v>0.16326530612244897</v>
      </c>
      <c r="R10" s="113"/>
    </row>
    <row r="11" spans="2:18" s="142" customFormat="1">
      <c r="B11" s="226"/>
      <c r="C11" s="226" t="s">
        <v>110</v>
      </c>
      <c r="D11" s="226"/>
      <c r="E11" s="226"/>
      <c r="F11" s="229"/>
      <c r="G11" s="229"/>
      <c r="H11" s="229"/>
      <c r="I11" s="230"/>
      <c r="J11" s="229"/>
      <c r="K11" s="229"/>
      <c r="L11" s="229"/>
      <c r="M11" s="230"/>
      <c r="N11" s="229"/>
      <c r="O11" s="229"/>
      <c r="P11" s="230"/>
      <c r="Q11" s="229"/>
    </row>
    <row r="12" spans="2:18" s="2" customFormat="1" ht="49.5">
      <c r="B12" s="10">
        <v>1</v>
      </c>
      <c r="C12" s="16">
        <v>110000367</v>
      </c>
      <c r="D12" s="17" t="s">
        <v>98</v>
      </c>
      <c r="E12" s="128" t="s">
        <v>371</v>
      </c>
      <c r="F12" s="224">
        <v>1000</v>
      </c>
      <c r="G12" s="225">
        <v>0.1</v>
      </c>
      <c r="H12" s="224">
        <v>100</v>
      </c>
      <c r="I12" s="21">
        <v>900</v>
      </c>
      <c r="J12" s="224">
        <v>1000</v>
      </c>
      <c r="K12" s="225">
        <f t="shared" ref="K12" si="0">L12/J12</f>
        <v>0.18</v>
      </c>
      <c r="L12" s="224">
        <f>J12-M12</f>
        <v>180</v>
      </c>
      <c r="M12" s="387">
        <v>820</v>
      </c>
      <c r="N12" s="397">
        <f>M12-I12</f>
        <v>-80</v>
      </c>
      <c r="O12" s="225">
        <f>1-(I12/M12)</f>
        <v>-9.7560975609756184E-2</v>
      </c>
      <c r="P12" s="120">
        <f>M12-$R$2</f>
        <v>-160</v>
      </c>
      <c r="Q12" s="225">
        <f>P12/$R$2</f>
        <v>-0.16326530612244897</v>
      </c>
      <c r="R12" s="113"/>
    </row>
    <row r="13" spans="2:18" s="2" customFormat="1" ht="20.5">
      <c r="B13" s="381">
        <v>2</v>
      </c>
      <c r="C13" s="382" t="s">
        <v>370</v>
      </c>
      <c r="D13" s="383" t="s">
        <v>369</v>
      </c>
      <c r="E13" s="388" t="s">
        <v>76</v>
      </c>
      <c r="F13" s="389">
        <v>1000</v>
      </c>
      <c r="G13" s="390">
        <v>0.1</v>
      </c>
      <c r="H13" s="389">
        <v>100</v>
      </c>
      <c r="I13" s="387">
        <v>900</v>
      </c>
      <c r="J13" s="389">
        <v>1000</v>
      </c>
      <c r="K13" s="390">
        <f t="shared" ref="K13" si="1">L13/J13</f>
        <v>0.28000000000000003</v>
      </c>
      <c r="L13" s="389">
        <f>J13-M13</f>
        <v>280</v>
      </c>
      <c r="M13" s="387">
        <v>720</v>
      </c>
      <c r="N13" s="403">
        <f>M13-I13</f>
        <v>-180</v>
      </c>
      <c r="O13" s="390">
        <f>1-(I13/M13)</f>
        <v>-0.25</v>
      </c>
      <c r="P13" s="391">
        <f>M13-$R$2</f>
        <v>-260</v>
      </c>
      <c r="Q13" s="390">
        <f>P13/$R$2</f>
        <v>-0.26530612244897961</v>
      </c>
      <c r="R13" s="113"/>
    </row>
    <row r="14" spans="2:18" s="40" customFormat="1" ht="15" customHeight="1">
      <c r="B14" s="23"/>
      <c r="C14" s="23"/>
      <c r="D14" s="23"/>
      <c r="E14" s="23"/>
      <c r="F14" s="24"/>
      <c r="G14" s="24"/>
      <c r="H14" s="24"/>
      <c r="I14" s="25"/>
      <c r="J14" s="25"/>
      <c r="K14" s="25"/>
      <c r="L14" s="25"/>
      <c r="M14" s="25"/>
      <c r="N14" s="25"/>
      <c r="O14" s="25"/>
      <c r="P14" s="25"/>
      <c r="Q14" s="76"/>
      <c r="R14" s="114"/>
    </row>
    <row r="15" spans="2:18" ht="12.65" customHeight="1">
      <c r="F15" s="30"/>
      <c r="G15" s="30"/>
      <c r="H15" s="30"/>
      <c r="I15" s="41"/>
      <c r="J15" s="41"/>
      <c r="K15" s="41"/>
      <c r="L15" s="41"/>
      <c r="M15" s="41"/>
      <c r="N15" s="41"/>
      <c r="O15" s="41"/>
      <c r="P15" s="41"/>
      <c r="Q15" s="41"/>
    </row>
    <row r="16" spans="2:18" ht="13.75" customHeight="1">
      <c r="B16" s="36" t="s">
        <v>7</v>
      </c>
      <c r="G16" s="33"/>
      <c r="H16" s="33"/>
      <c r="I16" s="33"/>
      <c r="K16" s="33"/>
      <c r="L16" s="33"/>
      <c r="M16" s="33"/>
      <c r="N16" s="33"/>
      <c r="O16" s="33"/>
      <c r="P16" s="33"/>
      <c r="Q16" s="41"/>
    </row>
    <row r="17" spans="2:18" ht="9" customHeight="1">
      <c r="G17" s="33"/>
      <c r="H17" s="33"/>
      <c r="I17" s="33"/>
      <c r="K17" s="33"/>
      <c r="L17" s="33"/>
      <c r="M17" s="33"/>
      <c r="N17" s="37"/>
      <c r="Q17" s="41"/>
    </row>
    <row r="18" spans="2:18">
      <c r="B18" s="36" t="s">
        <v>59</v>
      </c>
      <c r="G18" s="68">
        <v>25</v>
      </c>
      <c r="M18" s="38"/>
      <c r="N18" s="38"/>
      <c r="Q18" s="77"/>
    </row>
    <row r="19" spans="2:18">
      <c r="B19" s="36" t="s">
        <v>111</v>
      </c>
      <c r="Q19" s="39"/>
    </row>
    <row r="20" spans="2:18">
      <c r="B20" s="36" t="s">
        <v>81</v>
      </c>
      <c r="P20" s="39"/>
      <c r="Q20" s="39" t="str">
        <f>'2. rPET- nội bộ '!S45</f>
        <v>Ngày 03 tháng 02 năm 2024</v>
      </c>
    </row>
    <row r="22" spans="2:18" s="31" customFormat="1">
      <c r="B22" s="435" t="s">
        <v>22</v>
      </c>
      <c r="C22" s="435"/>
      <c r="D22" s="30" t="s">
        <v>23</v>
      </c>
      <c r="E22" s="126"/>
      <c r="F22" s="30"/>
      <c r="G22" s="30" t="s">
        <v>31</v>
      </c>
      <c r="I22" s="32" t="s">
        <v>32</v>
      </c>
      <c r="M22" s="32" t="s">
        <v>23</v>
      </c>
      <c r="N22" s="32"/>
      <c r="O22" s="30"/>
      <c r="P22" s="434" t="s">
        <v>24</v>
      </c>
      <c r="Q22" s="434"/>
      <c r="R22" s="80"/>
    </row>
    <row r="23" spans="2:18" s="31" customFormat="1">
      <c r="B23" s="184"/>
      <c r="C23" s="184"/>
      <c r="D23" s="30"/>
      <c r="E23" s="126"/>
      <c r="F23" s="30"/>
      <c r="I23" s="32"/>
      <c r="N23" s="32"/>
      <c r="O23" s="30"/>
      <c r="P23" s="30"/>
      <c r="Q23" s="30"/>
      <c r="R23" s="80"/>
    </row>
    <row r="24" spans="2:18" s="31" customFormat="1">
      <c r="B24" s="184"/>
      <c r="C24" s="184"/>
      <c r="D24" s="30"/>
      <c r="E24" s="126"/>
      <c r="F24" s="30"/>
      <c r="I24" s="32"/>
      <c r="N24" s="32"/>
      <c r="O24" s="30"/>
      <c r="P24" s="30"/>
      <c r="Q24" s="30"/>
      <c r="R24" s="80"/>
    </row>
    <row r="25" spans="2:18" s="31" customFormat="1">
      <c r="B25" s="29"/>
      <c r="C25" s="29"/>
      <c r="D25" s="32"/>
      <c r="F25" s="32"/>
      <c r="G25" s="32"/>
      <c r="O25" s="30"/>
      <c r="P25" s="32"/>
      <c r="R25" s="80"/>
    </row>
    <row r="26" spans="2:18" s="31" customFormat="1">
      <c r="B26" s="34"/>
      <c r="C26" s="34"/>
      <c r="D26" s="35"/>
      <c r="F26" s="35"/>
      <c r="G26" s="35"/>
      <c r="O26" s="30"/>
      <c r="P26" s="32"/>
      <c r="R26" s="80"/>
    </row>
    <row r="27" spans="2:18" s="31" customFormat="1">
      <c r="B27" s="34"/>
      <c r="C27" s="34"/>
      <c r="D27" s="35"/>
      <c r="F27" s="35"/>
      <c r="G27" s="35"/>
      <c r="O27" s="30"/>
      <c r="P27" s="32"/>
      <c r="Q27" s="31" t="s">
        <v>9</v>
      </c>
      <c r="R27" s="80"/>
    </row>
    <row r="28" spans="2:18" s="31" customFormat="1">
      <c r="B28" s="29"/>
      <c r="C28" s="29"/>
      <c r="D28" s="32"/>
      <c r="F28" s="32"/>
      <c r="G28" s="32"/>
      <c r="O28" s="30"/>
      <c r="P28" s="32"/>
      <c r="R28" s="80"/>
    </row>
    <row r="29" spans="2:18" s="31" customFormat="1">
      <c r="B29" s="435" t="s">
        <v>1</v>
      </c>
      <c r="C29" s="435"/>
      <c r="D29" s="30" t="s">
        <v>8</v>
      </c>
      <c r="E29" s="126"/>
      <c r="G29" s="30" t="s">
        <v>33</v>
      </c>
      <c r="I29" s="32" t="s">
        <v>34</v>
      </c>
      <c r="L29" s="32"/>
      <c r="M29" s="32" t="s">
        <v>230</v>
      </c>
      <c r="N29" s="32"/>
      <c r="O29" s="30"/>
      <c r="P29" s="434" t="s">
        <v>136</v>
      </c>
      <c r="Q29" s="434"/>
      <c r="R29" s="80"/>
    </row>
  </sheetData>
  <mergeCells count="18">
    <mergeCell ref="B22:C22"/>
    <mergeCell ref="P22:Q22"/>
    <mergeCell ref="B29:C29"/>
    <mergeCell ref="P29:Q29"/>
    <mergeCell ref="O2:Q2"/>
    <mergeCell ref="O3:Q3"/>
    <mergeCell ref="O4:Q4"/>
    <mergeCell ref="P6:Q7"/>
    <mergeCell ref="B6:B8"/>
    <mergeCell ref="C6:C8"/>
    <mergeCell ref="D6:D8"/>
    <mergeCell ref="E6:E8"/>
    <mergeCell ref="F6:O6"/>
    <mergeCell ref="F7:I7"/>
    <mergeCell ref="J7:M7"/>
    <mergeCell ref="N7:O7"/>
    <mergeCell ref="D2:N4"/>
    <mergeCell ref="B2:C4"/>
  </mergeCells>
  <conditionalFormatting sqref="O10">
    <cfRule type="iconSet" priority="58">
      <iconSet iconSet="3Arrows">
        <cfvo type="percent" val="0"/>
        <cfvo type="num" val="0"/>
        <cfvo type="num" val="0" gte="0"/>
      </iconSet>
    </cfRule>
  </conditionalFormatting>
  <conditionalFormatting sqref="O12:O13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Q10">
    <cfRule type="iconSet" priority="59">
      <iconSet iconSet="3Arrows">
        <cfvo type="percent" val="0"/>
        <cfvo type="num" val="0"/>
        <cfvo type="num" val="0" gte="0"/>
      </iconSet>
    </cfRule>
  </conditionalFormatting>
  <conditionalFormatting sqref="Q12:Q13">
    <cfRule type="iconSet" priority="2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31496062992125984" bottom="0.23622047244094491" header="0.11811023622047245" footer="0.31496062992125984"/>
  <pageSetup paperSize="9" scale="79" fitToHeight="0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3199-0742-495C-8315-098A69D15E9C}">
  <sheetPr>
    <tabColor rgb="FFFFFF00"/>
    <pageSetUpPr fitToPage="1"/>
  </sheetPr>
  <dimension ref="B2:R29"/>
  <sheetViews>
    <sheetView showGridLines="0" topLeftCell="A3" zoomScale="85" zoomScaleNormal="85" zoomScaleSheetLayoutView="70" workbookViewId="0">
      <selection activeCell="J5" sqref="J5"/>
    </sheetView>
  </sheetViews>
  <sheetFormatPr defaultColWidth="8.6328125" defaultRowHeight="16.5"/>
  <cols>
    <col min="1" max="1" width="0.54296875" style="36" customWidth="1"/>
    <col min="2" max="2" width="5.1796875" style="36" customWidth="1"/>
    <col min="3" max="3" width="17.6328125" style="36" customWidth="1"/>
    <col min="4" max="4" width="23.36328125" style="36" bestFit="1" customWidth="1"/>
    <col min="5" max="5" width="12.1796875" style="36" customWidth="1"/>
    <col min="6" max="8" width="9.54296875" style="36" customWidth="1"/>
    <col min="9" max="9" width="11.6328125" style="36" customWidth="1"/>
    <col min="10" max="12" width="9.54296875" style="36" customWidth="1"/>
    <col min="13" max="13" width="11.6328125" style="36" customWidth="1"/>
    <col min="14" max="14" width="11" style="36" customWidth="1"/>
    <col min="15" max="15" width="11.36328125" style="36" customWidth="1"/>
    <col min="16" max="16" width="10.1796875" style="36" customWidth="1"/>
    <col min="17" max="17" width="9.90625" style="78" customWidth="1"/>
    <col min="18" max="18" width="8.6328125" style="78"/>
    <col min="19" max="16384" width="8.6328125" style="36"/>
  </cols>
  <sheetData>
    <row r="2" spans="2:18" ht="24.5" customHeight="1">
      <c r="B2" s="454"/>
      <c r="C2" s="454"/>
      <c r="D2" s="449" t="s">
        <v>273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8" t="s">
        <v>224</v>
      </c>
      <c r="P2" s="448"/>
      <c r="Q2" s="448"/>
      <c r="R2" s="78">
        <v>980</v>
      </c>
    </row>
    <row r="3" spans="2:18" ht="24.5" customHeight="1">
      <c r="B3" s="454"/>
      <c r="C3" s="454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8" t="s">
        <v>226</v>
      </c>
      <c r="P3" s="448"/>
      <c r="Q3" s="448"/>
    </row>
    <row r="4" spans="2:18">
      <c r="B4" s="454"/>
      <c r="C4" s="454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07" t="s">
        <v>229</v>
      </c>
      <c r="P4" s="407"/>
      <c r="Q4" s="407"/>
    </row>
    <row r="6" spans="2:18" s="7" customFormat="1" ht="17" customHeight="1">
      <c r="B6" s="408" t="s">
        <v>2</v>
      </c>
      <c r="C6" s="409" t="s">
        <v>10</v>
      </c>
      <c r="D6" s="408" t="s">
        <v>0</v>
      </c>
      <c r="E6" s="451" t="s">
        <v>66</v>
      </c>
      <c r="F6" s="410" t="s">
        <v>30</v>
      </c>
      <c r="G6" s="411"/>
      <c r="H6" s="411"/>
      <c r="I6" s="411"/>
      <c r="J6" s="411"/>
      <c r="K6" s="411"/>
      <c r="L6" s="411"/>
      <c r="M6" s="411"/>
      <c r="N6" s="411"/>
      <c r="O6" s="412"/>
      <c r="P6" s="409" t="s">
        <v>274</v>
      </c>
      <c r="Q6" s="409"/>
      <c r="R6" s="111"/>
    </row>
    <row r="7" spans="2:18" s="7" customFormat="1" ht="35.4" customHeight="1">
      <c r="B7" s="408"/>
      <c r="C7" s="409"/>
      <c r="D7" s="408"/>
      <c r="E7" s="452"/>
      <c r="F7" s="410" t="str">
        <f>'1. rPET'!F7</f>
        <v>Tháng 01 (đã duyệt)</v>
      </c>
      <c r="G7" s="411"/>
      <c r="H7" s="411"/>
      <c r="I7" s="412"/>
      <c r="J7" s="410" t="str">
        <f>'1. rPET'!J7</f>
        <v>Tháng 02</v>
      </c>
      <c r="K7" s="411"/>
      <c r="L7" s="411"/>
      <c r="M7" s="412"/>
      <c r="N7" s="410" t="str">
        <f>'1. rPET'!N7</f>
        <v>Chênh lệch
 tháng 02 vs tháng 01</v>
      </c>
      <c r="O7" s="412"/>
      <c r="P7" s="409"/>
      <c r="Q7" s="409"/>
      <c r="R7" s="111"/>
    </row>
    <row r="8" spans="2:18" s="9" customFormat="1" ht="79.25" customHeight="1">
      <c r="B8" s="408"/>
      <c r="C8" s="409"/>
      <c r="D8" s="408"/>
      <c r="E8" s="453"/>
      <c r="F8" s="14" t="s">
        <v>35</v>
      </c>
      <c r="G8" s="14" t="s">
        <v>42</v>
      </c>
      <c r="H8" s="14" t="s">
        <v>40</v>
      </c>
      <c r="I8" s="15" t="s">
        <v>41</v>
      </c>
      <c r="J8" s="14" t="s">
        <v>35</v>
      </c>
      <c r="K8" s="14" t="s">
        <v>42</v>
      </c>
      <c r="L8" s="14" t="s">
        <v>40</v>
      </c>
      <c r="M8" s="15" t="s">
        <v>41</v>
      </c>
      <c r="N8" s="20" t="s">
        <v>36</v>
      </c>
      <c r="O8" s="20" t="s">
        <v>37</v>
      </c>
      <c r="P8" s="14" t="s">
        <v>36</v>
      </c>
      <c r="Q8" s="214" t="s">
        <v>37</v>
      </c>
      <c r="R8" s="112"/>
    </row>
    <row r="9" spans="2:18" s="142" customFormat="1">
      <c r="B9" s="146" t="s">
        <v>110</v>
      </c>
      <c r="C9" s="148"/>
      <c r="D9" s="149"/>
      <c r="E9" s="150"/>
      <c r="F9" s="148"/>
      <c r="G9" s="148"/>
      <c r="H9" s="148"/>
      <c r="I9" s="151"/>
      <c r="J9" s="148"/>
      <c r="K9" s="148"/>
      <c r="L9" s="148"/>
      <c r="M9" s="151"/>
      <c r="N9" s="152"/>
      <c r="O9" s="152"/>
      <c r="P9" s="148"/>
      <c r="Q9" s="148"/>
    </row>
    <row r="10" spans="2:18" s="2" customFormat="1" ht="22.5" customHeight="1">
      <c r="B10" s="10">
        <v>1</v>
      </c>
      <c r="C10" s="16" t="s">
        <v>85</v>
      </c>
      <c r="D10" s="17" t="s">
        <v>94</v>
      </c>
      <c r="E10" s="17" t="s">
        <v>93</v>
      </c>
      <c r="F10" s="11">
        <v>900</v>
      </c>
      <c r="G10" s="18">
        <v>0.05</v>
      </c>
      <c r="H10" s="11">
        <v>45</v>
      </c>
      <c r="I10" s="81">
        <v>855</v>
      </c>
      <c r="J10" s="11">
        <v>900</v>
      </c>
      <c r="K10" s="18">
        <f>L10/J10</f>
        <v>0.13333333333333333</v>
      </c>
      <c r="L10" s="11">
        <f>J10-M10</f>
        <v>120</v>
      </c>
      <c r="M10" s="380">
        <v>780</v>
      </c>
      <c r="N10" s="397">
        <f>M10-I10</f>
        <v>-75</v>
      </c>
      <c r="O10" s="18">
        <f>1-(I10/M10)</f>
        <v>-9.6153846153846256E-2</v>
      </c>
      <c r="P10" s="120">
        <f>M10-$R$2</f>
        <v>-200</v>
      </c>
      <c r="Q10" s="18">
        <f>P10/$R$2</f>
        <v>-0.20408163265306123</v>
      </c>
      <c r="R10" s="113"/>
    </row>
    <row r="11" spans="2:18" s="2" customFormat="1" ht="22.5" hidden="1" customHeight="1">
      <c r="B11" s="10">
        <v>2</v>
      </c>
      <c r="C11" s="16" t="s">
        <v>86</v>
      </c>
      <c r="D11" s="17" t="s">
        <v>89</v>
      </c>
      <c r="E11" s="17"/>
      <c r="F11" s="11">
        <v>850</v>
      </c>
      <c r="G11" s="18">
        <f t="shared" ref="G11:G12" si="0">H11/F11</f>
        <v>4.7058823529411764E-2</v>
      </c>
      <c r="H11" s="11">
        <f t="shared" ref="H11:H12" si="1">F11-I11</f>
        <v>40</v>
      </c>
      <c r="I11" s="81">
        <v>810</v>
      </c>
      <c r="J11" s="11">
        <v>850</v>
      </c>
      <c r="K11" s="18">
        <f t="shared" ref="K11:K12" si="2">L11/J11</f>
        <v>4.7058823529411764E-2</v>
      </c>
      <c r="L11" s="11">
        <f t="shared" ref="L11:L12" si="3">J11-M11</f>
        <v>40</v>
      </c>
      <c r="M11" s="81">
        <v>810</v>
      </c>
      <c r="N11" s="11">
        <f t="shared" ref="N11:N13" si="4">M11-I11</f>
        <v>0</v>
      </c>
      <c r="O11" s="18">
        <f t="shared" ref="O11:O13" si="5">1-(I11/M11)</f>
        <v>0</v>
      </c>
      <c r="P11" s="120">
        <f t="shared" ref="P11:P12" si="6">M11-$R$2</f>
        <v>-170</v>
      </c>
      <c r="Q11" s="18">
        <f t="shared" ref="Q11:Q12" si="7">P11/$R$2</f>
        <v>-0.17346938775510204</v>
      </c>
      <c r="R11" s="113"/>
    </row>
    <row r="12" spans="2:18" s="2" customFormat="1" ht="22.5" hidden="1" customHeight="1">
      <c r="B12" s="10">
        <v>3</v>
      </c>
      <c r="C12" s="16" t="s">
        <v>87</v>
      </c>
      <c r="D12" s="17" t="s">
        <v>90</v>
      </c>
      <c r="E12" s="17"/>
      <c r="F12" s="11">
        <v>850</v>
      </c>
      <c r="G12" s="18">
        <f t="shared" si="0"/>
        <v>4.7058823529411764E-2</v>
      </c>
      <c r="H12" s="11">
        <f t="shared" si="1"/>
        <v>40</v>
      </c>
      <c r="I12" s="81">
        <v>810</v>
      </c>
      <c r="J12" s="11">
        <v>850</v>
      </c>
      <c r="K12" s="18">
        <f t="shared" si="2"/>
        <v>4.7058823529411764E-2</v>
      </c>
      <c r="L12" s="11">
        <f t="shared" si="3"/>
        <v>40</v>
      </c>
      <c r="M12" s="81">
        <v>810</v>
      </c>
      <c r="N12" s="11">
        <f t="shared" si="4"/>
        <v>0</v>
      </c>
      <c r="O12" s="18">
        <f t="shared" si="5"/>
        <v>0</v>
      </c>
      <c r="P12" s="120">
        <f t="shared" si="6"/>
        <v>-170</v>
      </c>
      <c r="Q12" s="18">
        <f t="shared" si="7"/>
        <v>-0.17346938775510204</v>
      </c>
      <c r="R12" s="113"/>
    </row>
    <row r="13" spans="2:18" s="2" customFormat="1" ht="22.5" hidden="1" customHeight="1">
      <c r="B13" s="10">
        <v>4</v>
      </c>
      <c r="C13" s="16" t="s">
        <v>88</v>
      </c>
      <c r="D13" s="17" t="s">
        <v>91</v>
      </c>
      <c r="E13" s="17"/>
      <c r="F13" s="11">
        <v>850</v>
      </c>
      <c r="G13" s="18">
        <f>H13/F13</f>
        <v>4.7058823529411764E-2</v>
      </c>
      <c r="H13" s="11">
        <f>F13-I13</f>
        <v>40</v>
      </c>
      <c r="I13" s="81">
        <v>810</v>
      </c>
      <c r="J13" s="11">
        <v>850</v>
      </c>
      <c r="K13" s="18">
        <f>L13/J13</f>
        <v>4.7058823529411764E-2</v>
      </c>
      <c r="L13" s="11">
        <f>J13-M13</f>
        <v>40</v>
      </c>
      <c r="M13" s="81">
        <v>810</v>
      </c>
      <c r="N13" s="11">
        <f t="shared" si="4"/>
        <v>0</v>
      </c>
      <c r="O13" s="18">
        <f t="shared" si="5"/>
        <v>0</v>
      </c>
      <c r="P13" s="120">
        <f t="shared" ref="P13" si="8">M13-$R$2</f>
        <v>-170</v>
      </c>
      <c r="Q13" s="18">
        <f t="shared" ref="Q13" si="9">P13/$R$2</f>
        <v>-0.17346938775510204</v>
      </c>
      <c r="R13" s="113"/>
    </row>
    <row r="14" spans="2:18" s="40" customFormat="1" ht="15" customHeight="1">
      <c r="B14" s="23"/>
      <c r="C14" s="23"/>
      <c r="D14" s="23"/>
      <c r="E14" s="23"/>
      <c r="F14" s="50"/>
      <c r="G14" s="44"/>
      <c r="H14" s="44"/>
      <c r="I14" s="45"/>
      <c r="J14" s="25"/>
      <c r="K14" s="25"/>
      <c r="L14" s="25"/>
      <c r="M14" s="25"/>
      <c r="N14" s="25"/>
      <c r="O14" s="25"/>
      <c r="P14" s="25"/>
      <c r="Q14" s="76"/>
      <c r="R14" s="114"/>
    </row>
    <row r="15" spans="2:18" ht="12.65" customHeight="1">
      <c r="F15" s="30"/>
      <c r="G15" s="30"/>
      <c r="H15" s="30"/>
      <c r="I15" s="41"/>
      <c r="J15" s="41"/>
      <c r="K15" s="41"/>
      <c r="L15" s="41"/>
      <c r="M15" s="41"/>
      <c r="N15" s="41"/>
      <c r="O15" s="41"/>
      <c r="P15" s="41"/>
      <c r="Q15" s="41"/>
    </row>
    <row r="16" spans="2:18" ht="13.75" customHeight="1">
      <c r="B16" s="36" t="s">
        <v>7</v>
      </c>
      <c r="G16" s="33"/>
      <c r="H16" s="33"/>
      <c r="I16" s="33"/>
      <c r="K16" s="33"/>
      <c r="L16" s="33"/>
      <c r="M16" s="33"/>
      <c r="N16" s="33"/>
      <c r="O16" s="33"/>
      <c r="P16" s="33"/>
      <c r="Q16" s="41"/>
    </row>
    <row r="17" spans="2:18" ht="9" customHeight="1">
      <c r="G17" s="33"/>
      <c r="H17" s="33"/>
      <c r="I17" s="33"/>
      <c r="K17" s="33"/>
      <c r="L17" s="33"/>
      <c r="M17" s="33"/>
      <c r="N17" s="37"/>
      <c r="Q17" s="41"/>
    </row>
    <row r="18" spans="2:18">
      <c r="B18" s="78" t="s">
        <v>112</v>
      </c>
      <c r="G18" s="68"/>
      <c r="M18" s="38"/>
      <c r="N18" s="38"/>
      <c r="Q18" s="77"/>
    </row>
    <row r="19" spans="2:18">
      <c r="B19" s="36" t="s">
        <v>111</v>
      </c>
      <c r="Q19" s="39"/>
    </row>
    <row r="20" spans="2:18">
      <c r="P20" s="39"/>
      <c r="Q20" s="39" t="str">
        <f>'2. rPET- nội bộ '!S45</f>
        <v>Ngày 03 tháng 02 năm 2024</v>
      </c>
    </row>
    <row r="22" spans="2:18" s="31" customFormat="1">
      <c r="B22" s="435" t="s">
        <v>22</v>
      </c>
      <c r="C22" s="435"/>
      <c r="D22" s="30" t="s">
        <v>23</v>
      </c>
      <c r="E22" s="126"/>
      <c r="F22" s="30"/>
      <c r="G22" s="30" t="s">
        <v>31</v>
      </c>
      <c r="I22" s="32" t="s">
        <v>32</v>
      </c>
      <c r="M22" s="32" t="s">
        <v>23</v>
      </c>
      <c r="N22" s="32"/>
      <c r="O22" s="30"/>
      <c r="P22" s="434" t="s">
        <v>24</v>
      </c>
      <c r="Q22" s="434"/>
      <c r="R22" s="80"/>
    </row>
    <row r="23" spans="2:18" s="31" customFormat="1">
      <c r="B23" s="184"/>
      <c r="C23" s="184"/>
      <c r="D23" s="30"/>
      <c r="E23" s="126"/>
      <c r="F23" s="30"/>
      <c r="I23" s="32"/>
      <c r="N23" s="32"/>
      <c r="O23" s="30"/>
      <c r="P23" s="30"/>
      <c r="Q23" s="30"/>
      <c r="R23" s="80"/>
    </row>
    <row r="24" spans="2:18" s="31" customFormat="1">
      <c r="B24" s="184"/>
      <c r="C24" s="184"/>
      <c r="D24" s="30"/>
      <c r="E24" s="126"/>
      <c r="F24" s="30"/>
      <c r="I24" s="32"/>
      <c r="N24" s="32"/>
      <c r="O24" s="30"/>
      <c r="P24" s="30"/>
      <c r="Q24" s="30"/>
      <c r="R24" s="80"/>
    </row>
    <row r="25" spans="2:18" s="31" customFormat="1">
      <c r="B25" s="29"/>
      <c r="C25" s="29"/>
      <c r="D25" s="32"/>
      <c r="F25" s="32"/>
      <c r="G25" s="32"/>
      <c r="O25" s="30"/>
      <c r="P25" s="32"/>
      <c r="R25" s="80"/>
    </row>
    <row r="26" spans="2:18" s="31" customFormat="1">
      <c r="B26" s="34"/>
      <c r="C26" s="34"/>
      <c r="D26" s="35"/>
      <c r="F26" s="35"/>
      <c r="G26" s="35"/>
      <c r="O26" s="30"/>
      <c r="P26" s="32"/>
      <c r="R26" s="80"/>
    </row>
    <row r="27" spans="2:18" s="31" customFormat="1">
      <c r="B27" s="34"/>
      <c r="C27" s="34"/>
      <c r="D27" s="35"/>
      <c r="F27" s="35"/>
      <c r="G27" s="35"/>
      <c r="O27" s="30"/>
      <c r="P27" s="32"/>
      <c r="Q27" s="31" t="s">
        <v>9</v>
      </c>
      <c r="R27" s="80"/>
    </row>
    <row r="28" spans="2:18" s="31" customFormat="1">
      <c r="B28" s="29"/>
      <c r="C28" s="29"/>
      <c r="D28" s="32"/>
      <c r="F28" s="32"/>
      <c r="G28" s="32"/>
      <c r="O28" s="30"/>
      <c r="P28" s="32"/>
      <c r="R28" s="80"/>
    </row>
    <row r="29" spans="2:18" s="31" customFormat="1">
      <c r="B29" s="435" t="s">
        <v>1</v>
      </c>
      <c r="C29" s="435"/>
      <c r="D29" s="30" t="s">
        <v>8</v>
      </c>
      <c r="E29" s="126"/>
      <c r="G29" s="30" t="s">
        <v>33</v>
      </c>
      <c r="I29" s="32" t="s">
        <v>34</v>
      </c>
      <c r="L29" s="32"/>
      <c r="M29" s="32" t="s">
        <v>230</v>
      </c>
      <c r="N29" s="32"/>
      <c r="O29" s="30"/>
      <c r="P29" s="434" t="s">
        <v>136</v>
      </c>
      <c r="Q29" s="434"/>
      <c r="R29" s="80"/>
    </row>
  </sheetData>
  <mergeCells count="18">
    <mergeCell ref="D2:N4"/>
    <mergeCell ref="B2:C4"/>
    <mergeCell ref="O2:Q2"/>
    <mergeCell ref="O3:Q3"/>
    <mergeCell ref="O4:Q4"/>
    <mergeCell ref="D6:D8"/>
    <mergeCell ref="E6:E8"/>
    <mergeCell ref="B22:C22"/>
    <mergeCell ref="P22:Q22"/>
    <mergeCell ref="B29:C29"/>
    <mergeCell ref="P29:Q29"/>
    <mergeCell ref="F6:O6"/>
    <mergeCell ref="P6:Q7"/>
    <mergeCell ref="N7:O7"/>
    <mergeCell ref="F7:I7"/>
    <mergeCell ref="J7:M7"/>
    <mergeCell ref="B6:B8"/>
    <mergeCell ref="C6:C8"/>
  </mergeCells>
  <conditionalFormatting sqref="O10:O13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Q10:Q13">
    <cfRule type="iconSet" priority="21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31496062992125984" bottom="0.23622047244094491" header="0.11811023622047245" footer="0.31496062992125984"/>
  <pageSetup paperSize="9" scale="82" fitToHeight="0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E203-2378-4FEC-96AD-A749C132D5F5}">
  <sheetPr>
    <pageSetUpPr fitToPage="1"/>
  </sheetPr>
  <dimension ref="B2:W39"/>
  <sheetViews>
    <sheetView showGridLines="0" topLeftCell="A2" zoomScale="70" zoomScaleNormal="70" zoomScaleSheetLayoutView="70" workbookViewId="0">
      <selection activeCell="E15" sqref="E15"/>
    </sheetView>
  </sheetViews>
  <sheetFormatPr defaultColWidth="8.6328125" defaultRowHeight="16.5"/>
  <cols>
    <col min="1" max="1" width="1.08984375" style="36" customWidth="1"/>
    <col min="2" max="2" width="5.1796875" style="36" customWidth="1"/>
    <col min="3" max="3" width="15.08984375" style="36" customWidth="1"/>
    <col min="4" max="4" width="34" style="36" customWidth="1"/>
    <col min="5" max="5" width="9.90625" style="36" customWidth="1"/>
    <col min="6" max="6" width="14.90625" style="36" bestFit="1" customWidth="1"/>
    <col min="7" max="9" width="9.54296875" style="36" customWidth="1"/>
    <col min="10" max="10" width="11.6328125" style="36" customWidth="1"/>
    <col min="11" max="13" width="9.54296875" style="36" customWidth="1"/>
    <col min="14" max="14" width="11.6328125" style="36" customWidth="1"/>
    <col min="15" max="15" width="11" style="36" customWidth="1"/>
    <col min="16" max="16" width="13.08984375" style="36" customWidth="1"/>
    <col min="17" max="17" width="10.1796875" style="36" customWidth="1"/>
    <col min="18" max="18" width="9.90625" style="78" customWidth="1"/>
    <col min="19" max="19" width="8.6328125" style="78" customWidth="1"/>
    <col min="20" max="20" width="16.54296875" style="36" hidden="1" customWidth="1"/>
    <col min="21" max="21" width="25.54296875" style="36" hidden="1" customWidth="1"/>
    <col min="22" max="22" width="45.54296875" style="36" hidden="1" customWidth="1"/>
    <col min="23" max="23" width="9.6328125" style="36" hidden="1" customWidth="1"/>
    <col min="24" max="32" width="8.6328125" style="36" customWidth="1"/>
    <col min="33" max="16384" width="8.6328125" style="36"/>
  </cols>
  <sheetData>
    <row r="2" spans="2:23" ht="24.5" customHeight="1">
      <c r="B2" s="454"/>
      <c r="C2" s="454"/>
      <c r="D2" s="449" t="s">
        <v>275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8" t="s">
        <v>225</v>
      </c>
      <c r="Q2" s="448"/>
      <c r="R2" s="448"/>
    </row>
    <row r="3" spans="2:23" ht="24.5" customHeight="1">
      <c r="B3" s="454"/>
      <c r="C3" s="454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8" t="s">
        <v>226</v>
      </c>
      <c r="Q3" s="448"/>
      <c r="R3" s="448"/>
    </row>
    <row r="4" spans="2:23">
      <c r="B4" s="454"/>
      <c r="C4" s="454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07" t="s">
        <v>263</v>
      </c>
      <c r="Q4" s="407"/>
      <c r="R4" s="407"/>
    </row>
    <row r="6" spans="2:23" s="7" customFormat="1" ht="17" customHeight="1">
      <c r="B6" s="408" t="s">
        <v>2</v>
      </c>
      <c r="C6" s="409" t="s">
        <v>10</v>
      </c>
      <c r="D6" s="408" t="s">
        <v>0</v>
      </c>
      <c r="E6" s="451" t="s">
        <v>66</v>
      </c>
      <c r="F6" s="455" t="s">
        <v>133</v>
      </c>
      <c r="G6" s="410" t="s">
        <v>30</v>
      </c>
      <c r="H6" s="411"/>
      <c r="I6" s="411"/>
      <c r="J6" s="411"/>
      <c r="K6" s="411"/>
      <c r="L6" s="411"/>
      <c r="M6" s="411"/>
      <c r="N6" s="411"/>
      <c r="O6" s="411"/>
      <c r="P6" s="412"/>
      <c r="Q6" s="409" t="s">
        <v>362</v>
      </c>
      <c r="R6" s="409"/>
      <c r="S6" s="111"/>
    </row>
    <row r="7" spans="2:23" s="7" customFormat="1" ht="35.4" customHeight="1">
      <c r="B7" s="408"/>
      <c r="C7" s="409"/>
      <c r="D7" s="408"/>
      <c r="E7" s="452"/>
      <c r="F7" s="456"/>
      <c r="G7" s="410" t="str">
        <f>'1. rPET'!F7</f>
        <v>Tháng 01 (đã duyệt)</v>
      </c>
      <c r="H7" s="411"/>
      <c r="I7" s="411"/>
      <c r="J7" s="412"/>
      <c r="K7" s="410" t="str">
        <f>'1. rPET'!J7</f>
        <v>Tháng 02</v>
      </c>
      <c r="L7" s="411"/>
      <c r="M7" s="411"/>
      <c r="N7" s="412"/>
      <c r="O7" s="410" t="str">
        <f>'1. rPET'!N7</f>
        <v>Chênh lệch
 tháng 02 vs tháng 01</v>
      </c>
      <c r="P7" s="412"/>
      <c r="Q7" s="409"/>
      <c r="R7" s="409"/>
      <c r="S7" s="111"/>
    </row>
    <row r="8" spans="2:23" s="9" customFormat="1" ht="79.25" customHeight="1">
      <c r="B8" s="408"/>
      <c r="C8" s="409"/>
      <c r="D8" s="408"/>
      <c r="E8" s="453"/>
      <c r="F8" s="457"/>
      <c r="G8" s="14" t="s">
        <v>35</v>
      </c>
      <c r="H8" s="14" t="s">
        <v>42</v>
      </c>
      <c r="I8" s="14" t="s">
        <v>40</v>
      </c>
      <c r="J8" s="15" t="s">
        <v>41</v>
      </c>
      <c r="K8" s="14" t="s">
        <v>35</v>
      </c>
      <c r="L8" s="14" t="s">
        <v>42</v>
      </c>
      <c r="M8" s="14" t="s">
        <v>40</v>
      </c>
      <c r="N8" s="15" t="s">
        <v>41</v>
      </c>
      <c r="O8" s="20" t="s">
        <v>36</v>
      </c>
      <c r="P8" s="20" t="s">
        <v>37</v>
      </c>
      <c r="Q8" s="20" t="s">
        <v>36</v>
      </c>
      <c r="R8" s="74" t="s">
        <v>37</v>
      </c>
      <c r="S8" s="112"/>
      <c r="T8" s="192" t="s">
        <v>155</v>
      </c>
      <c r="U8" s="194" t="s">
        <v>169</v>
      </c>
    </row>
    <row r="9" spans="2:23" s="142" customFormat="1">
      <c r="B9" s="146" t="s">
        <v>110</v>
      </c>
      <c r="C9" s="148"/>
      <c r="D9" s="149"/>
      <c r="E9" s="150"/>
      <c r="F9" s="150"/>
      <c r="G9" s="148"/>
      <c r="H9" s="148"/>
      <c r="I9" s="148"/>
      <c r="J9" s="151"/>
      <c r="K9" s="148"/>
      <c r="L9" s="148"/>
      <c r="M9" s="148"/>
      <c r="N9" s="151"/>
      <c r="O9" s="152"/>
      <c r="P9" s="152"/>
      <c r="Q9" s="153"/>
      <c r="R9" s="152"/>
      <c r="T9" s="192"/>
      <c r="U9" s="194"/>
    </row>
    <row r="10" spans="2:23" s="2" customFormat="1" ht="22.5" customHeight="1">
      <c r="B10" s="10">
        <v>1</v>
      </c>
      <c r="C10" s="16">
        <v>110000464</v>
      </c>
      <c r="D10" s="17" t="s">
        <v>137</v>
      </c>
      <c r="E10" s="17" t="s">
        <v>130</v>
      </c>
      <c r="F10" s="17" t="s">
        <v>131</v>
      </c>
      <c r="G10" s="11">
        <f>J10*1.05</f>
        <v>682.5</v>
      </c>
      <c r="H10" s="18">
        <f>I10/G10</f>
        <v>4.7619047619047616E-2</v>
      </c>
      <c r="I10" s="11">
        <f>G10-J10</f>
        <v>32.5</v>
      </c>
      <c r="J10" s="81">
        <v>650</v>
      </c>
      <c r="K10" s="11">
        <f>N10*1.05</f>
        <v>682.5</v>
      </c>
      <c r="L10" s="18">
        <f>M10/K10</f>
        <v>4.7619047619047616E-2</v>
      </c>
      <c r="M10" s="11">
        <f>K10-N10</f>
        <v>32.5</v>
      </c>
      <c r="N10" s="81">
        <v>650</v>
      </c>
      <c r="O10" s="11">
        <f>N10-J10</f>
        <v>0</v>
      </c>
      <c r="P10" s="18">
        <f>1-(J10/N10)</f>
        <v>0</v>
      </c>
      <c r="Q10" s="83">
        <f>N10-S10</f>
        <v>-200</v>
      </c>
      <c r="R10" s="18">
        <f>Q10/S10</f>
        <v>-0.23529411764705882</v>
      </c>
      <c r="S10" s="119">
        <v>850</v>
      </c>
      <c r="T10" s="193" t="e">
        <f>#REF!</f>
        <v>#REF!</v>
      </c>
      <c r="U10" s="191" t="s">
        <v>193</v>
      </c>
      <c r="W10" s="131" t="e">
        <f>T10*25</f>
        <v>#REF!</v>
      </c>
    </row>
    <row r="11" spans="2:23" s="2" customFormat="1" ht="18">
      <c r="B11" s="10">
        <v>2</v>
      </c>
      <c r="C11" s="16">
        <v>110000465</v>
      </c>
      <c r="D11" s="17" t="s">
        <v>138</v>
      </c>
      <c r="E11" s="17" t="s">
        <v>129</v>
      </c>
      <c r="F11" s="17" t="s">
        <v>131</v>
      </c>
      <c r="G11" s="11">
        <f t="shared" ref="G11:G18" si="0">J11*1.05</f>
        <v>787.5</v>
      </c>
      <c r="H11" s="18">
        <f t="shared" ref="H11:H12" si="1">I11/G11</f>
        <v>4.7619047619047616E-2</v>
      </c>
      <c r="I11" s="11">
        <f t="shared" ref="I11:I12" si="2">G11-J11</f>
        <v>37.5</v>
      </c>
      <c r="J11" s="81">
        <v>750</v>
      </c>
      <c r="K11" s="11">
        <f t="shared" ref="K11:K18" si="3">N11*1.05</f>
        <v>787.5</v>
      </c>
      <c r="L11" s="18">
        <f t="shared" ref="L11:L12" si="4">M11/K11</f>
        <v>4.7619047619047616E-2</v>
      </c>
      <c r="M11" s="11">
        <f t="shared" ref="M11" si="5">K11-N11</f>
        <v>37.5</v>
      </c>
      <c r="N11" s="81">
        <v>750</v>
      </c>
      <c r="O11" s="11">
        <f t="shared" ref="O11:O18" si="6">N11-J11</f>
        <v>0</v>
      </c>
      <c r="P11" s="18">
        <f t="shared" ref="P11:P18" si="7">1-(J11/N11)</f>
        <v>0</v>
      </c>
      <c r="Q11" s="83">
        <f t="shared" ref="Q11:Q18" si="8">N11-S11</f>
        <v>-100</v>
      </c>
      <c r="R11" s="18">
        <f t="shared" ref="R11:R18" si="9">Q11/S11</f>
        <v>-0.11764705882352941</v>
      </c>
      <c r="S11" s="119">
        <v>850</v>
      </c>
      <c r="T11" s="193" t="e">
        <f>#REF!</f>
        <v>#REF!</v>
      </c>
      <c r="U11" s="191" t="s">
        <v>189</v>
      </c>
      <c r="W11" s="131" t="e">
        <f>T11*25</f>
        <v>#REF!</v>
      </c>
    </row>
    <row r="12" spans="2:23" s="2" customFormat="1" ht="22.5" customHeight="1">
      <c r="B12" s="10">
        <v>3</v>
      </c>
      <c r="C12" s="16">
        <v>110000436</v>
      </c>
      <c r="D12" s="17" t="s">
        <v>154</v>
      </c>
      <c r="E12" s="17" t="s">
        <v>129</v>
      </c>
      <c r="F12" s="17" t="s">
        <v>158</v>
      </c>
      <c r="G12" s="11">
        <v>1000</v>
      </c>
      <c r="H12" s="18">
        <f t="shared" si="1"/>
        <v>0.05</v>
      </c>
      <c r="I12" s="11">
        <f t="shared" si="2"/>
        <v>50</v>
      </c>
      <c r="J12" s="81">
        <v>950</v>
      </c>
      <c r="K12" s="11">
        <v>1000</v>
      </c>
      <c r="L12" s="18">
        <f t="shared" si="4"/>
        <v>0.05</v>
      </c>
      <c r="M12" s="11">
        <f>K12-N12</f>
        <v>50</v>
      </c>
      <c r="N12" s="81">
        <v>950</v>
      </c>
      <c r="O12" s="11">
        <f t="shared" si="6"/>
        <v>0</v>
      </c>
      <c r="P12" s="18">
        <f t="shared" si="7"/>
        <v>0</v>
      </c>
      <c r="Q12" s="83">
        <f t="shared" si="8"/>
        <v>100</v>
      </c>
      <c r="R12" s="18">
        <f t="shared" si="9"/>
        <v>0.11764705882352941</v>
      </c>
      <c r="S12" s="119">
        <v>850</v>
      </c>
      <c r="T12" s="193">
        <v>954</v>
      </c>
      <c r="U12" s="195" t="s">
        <v>166</v>
      </c>
      <c r="V12" s="158"/>
    </row>
    <row r="13" spans="2:23" s="2" customFormat="1" ht="22.5" customHeight="1">
      <c r="B13" s="10">
        <v>4</v>
      </c>
      <c r="C13" s="16">
        <v>110000466</v>
      </c>
      <c r="D13" s="17" t="s">
        <v>156</v>
      </c>
      <c r="E13" s="17" t="s">
        <v>129</v>
      </c>
      <c r="F13" s="17" t="s">
        <v>158</v>
      </c>
      <c r="G13" s="11">
        <f>J13*1.05</f>
        <v>1050</v>
      </c>
      <c r="H13" s="18">
        <v>0.05</v>
      </c>
      <c r="I13" s="11">
        <f>G13-J13</f>
        <v>50</v>
      </c>
      <c r="J13" s="81">
        <v>1000</v>
      </c>
      <c r="K13" s="11">
        <f>N13*1.05</f>
        <v>1050</v>
      </c>
      <c r="L13" s="18">
        <v>0.05</v>
      </c>
      <c r="M13" s="11">
        <f>K13-N13</f>
        <v>50</v>
      </c>
      <c r="N13" s="81">
        <v>1000</v>
      </c>
      <c r="O13" s="11">
        <f t="shared" ref="O13:O16" si="10">N13-J13</f>
        <v>0</v>
      </c>
      <c r="P13" s="18">
        <f t="shared" ref="P13:P16" si="11">1-(J13/N13)</f>
        <v>0</v>
      </c>
      <c r="Q13" s="83">
        <f t="shared" ref="Q13:Q16" si="12">N13-S13</f>
        <v>150</v>
      </c>
      <c r="R13" s="18">
        <f t="shared" ref="R13:R16" si="13">Q13/S13</f>
        <v>0.17647058823529413</v>
      </c>
      <c r="S13" s="119">
        <v>850</v>
      </c>
      <c r="T13" s="193" t="e">
        <f>'Giải thích phó sản'!D11</f>
        <v>#REF!</v>
      </c>
      <c r="U13" s="200" t="s">
        <v>196</v>
      </c>
      <c r="V13" s="186" t="s">
        <v>198</v>
      </c>
    </row>
    <row r="14" spans="2:23" s="2" customFormat="1" ht="22.5" customHeight="1">
      <c r="B14" s="10">
        <v>5</v>
      </c>
      <c r="C14" s="16">
        <v>110000467</v>
      </c>
      <c r="D14" s="17" t="s">
        <v>157</v>
      </c>
      <c r="E14" s="17" t="s">
        <v>129</v>
      </c>
      <c r="F14" s="17" t="s">
        <v>158</v>
      </c>
      <c r="G14" s="11">
        <v>1050</v>
      </c>
      <c r="H14" s="18">
        <v>0.05</v>
      </c>
      <c r="I14" s="11">
        <v>50</v>
      </c>
      <c r="J14" s="81">
        <v>1050</v>
      </c>
      <c r="K14" s="11">
        <f>N14*1.05</f>
        <v>1102.5</v>
      </c>
      <c r="L14" s="18">
        <v>0.05</v>
      </c>
      <c r="M14" s="11">
        <f>K14-N14</f>
        <v>52.5</v>
      </c>
      <c r="N14" s="81">
        <f>'Giải thích phó sản'!F15</f>
        <v>1050</v>
      </c>
      <c r="O14" s="11">
        <f t="shared" si="10"/>
        <v>0</v>
      </c>
      <c r="P14" s="18">
        <f t="shared" si="11"/>
        <v>0</v>
      </c>
      <c r="Q14" s="83">
        <f t="shared" si="12"/>
        <v>200</v>
      </c>
      <c r="R14" s="18">
        <f t="shared" si="13"/>
        <v>0.23529411764705882</v>
      </c>
      <c r="S14" s="119">
        <v>850</v>
      </c>
      <c r="T14" s="193" t="e">
        <f>'Giải thích phó sản'!D15</f>
        <v>#REF!</v>
      </c>
      <c r="U14" s="204" t="s">
        <v>197</v>
      </c>
    </row>
    <row r="15" spans="2:23" s="2" customFormat="1" ht="22.5" customHeight="1">
      <c r="B15" s="10">
        <v>6</v>
      </c>
      <c r="C15" s="16">
        <v>110000341</v>
      </c>
      <c r="D15" s="17" t="s">
        <v>162</v>
      </c>
      <c r="E15" s="17" t="s">
        <v>76</v>
      </c>
      <c r="F15" s="17" t="s">
        <v>164</v>
      </c>
      <c r="G15" s="11">
        <v>1102.5</v>
      </c>
      <c r="H15" s="18">
        <v>0.05</v>
      </c>
      <c r="I15" s="11">
        <v>52.5</v>
      </c>
      <c r="J15" s="81">
        <v>950</v>
      </c>
      <c r="K15" s="11">
        <f>N15*1.05</f>
        <v>997.5</v>
      </c>
      <c r="L15" s="18">
        <v>0.05</v>
      </c>
      <c r="M15" s="11">
        <f>K15-N15</f>
        <v>47.5</v>
      </c>
      <c r="N15" s="81">
        <v>950</v>
      </c>
      <c r="O15" s="11">
        <f t="shared" si="10"/>
        <v>0</v>
      </c>
      <c r="P15" s="18">
        <f t="shared" si="11"/>
        <v>0</v>
      </c>
      <c r="Q15" s="83">
        <f t="shared" si="12"/>
        <v>10</v>
      </c>
      <c r="R15" s="18">
        <f t="shared" si="13"/>
        <v>1.0638297872340425E-2</v>
      </c>
      <c r="S15" s="185">
        <v>940</v>
      </c>
      <c r="T15" s="193" t="e">
        <f>#REF!</f>
        <v>#REF!</v>
      </c>
      <c r="U15" s="196" t="s">
        <v>188</v>
      </c>
    </row>
    <row r="16" spans="2:23" s="2" customFormat="1" ht="22.5" customHeight="1">
      <c r="B16" s="10">
        <v>7</v>
      </c>
      <c r="C16" s="16">
        <v>110000433</v>
      </c>
      <c r="D16" s="17" t="s">
        <v>163</v>
      </c>
      <c r="E16" s="17" t="s">
        <v>129</v>
      </c>
      <c r="F16" s="17" t="s">
        <v>165</v>
      </c>
      <c r="G16" s="11">
        <v>997.5</v>
      </c>
      <c r="H16" s="18">
        <v>0.05</v>
      </c>
      <c r="I16" s="11">
        <v>47.5</v>
      </c>
      <c r="J16" s="81">
        <v>1100</v>
      </c>
      <c r="K16" s="11">
        <f>N16*1.05</f>
        <v>1155</v>
      </c>
      <c r="L16" s="18">
        <v>0.05</v>
      </c>
      <c r="M16" s="11">
        <f>K16-N16</f>
        <v>55</v>
      </c>
      <c r="N16" s="81">
        <v>1100</v>
      </c>
      <c r="O16" s="11">
        <f t="shared" si="10"/>
        <v>0</v>
      </c>
      <c r="P16" s="18">
        <f t="shared" si="11"/>
        <v>0</v>
      </c>
      <c r="Q16" s="83">
        <f t="shared" si="12"/>
        <v>160</v>
      </c>
      <c r="R16" s="18">
        <f t="shared" si="13"/>
        <v>0.1702127659574468</v>
      </c>
      <c r="S16" s="185">
        <v>940</v>
      </c>
      <c r="T16" s="193" t="e">
        <f>#REF!</f>
        <v>#REF!</v>
      </c>
      <c r="U16" s="195"/>
    </row>
    <row r="17" spans="2:20" s="2" customFormat="1" ht="18">
      <c r="B17" s="10">
        <v>8</v>
      </c>
      <c r="C17" s="16">
        <v>110000431</v>
      </c>
      <c r="D17" s="128" t="s">
        <v>161</v>
      </c>
      <c r="E17" s="128" t="s">
        <v>132</v>
      </c>
      <c r="F17" s="17" t="s">
        <v>134</v>
      </c>
      <c r="G17" s="11">
        <v>840</v>
      </c>
      <c r="H17" s="18">
        <v>0.05</v>
      </c>
      <c r="I17" s="11">
        <v>55</v>
      </c>
      <c r="J17" s="81">
        <v>800</v>
      </c>
      <c r="K17" s="11">
        <f t="shared" si="3"/>
        <v>840</v>
      </c>
      <c r="L17" s="18">
        <f t="shared" ref="L17" si="14">M17/K17</f>
        <v>4.7619047619047616E-2</v>
      </c>
      <c r="M17" s="11">
        <f t="shared" ref="M17" si="15">K17-N17</f>
        <v>40</v>
      </c>
      <c r="N17" s="81">
        <v>800</v>
      </c>
      <c r="O17" s="11">
        <f t="shared" si="6"/>
        <v>0</v>
      </c>
      <c r="P17" s="18">
        <f t="shared" si="7"/>
        <v>0</v>
      </c>
      <c r="Q17" s="83">
        <f t="shared" si="8"/>
        <v>-140</v>
      </c>
      <c r="R17" s="18">
        <f t="shared" si="9"/>
        <v>-0.14893617021276595</v>
      </c>
      <c r="S17" s="119">
        <v>940</v>
      </c>
      <c r="T17" s="193" t="e">
        <f>#REF!</f>
        <v>#REF!</v>
      </c>
    </row>
    <row r="18" spans="2:20" s="2" customFormat="1" ht="22.5" customHeight="1">
      <c r="B18" s="10">
        <v>9</v>
      </c>
      <c r="C18" s="16">
        <v>110000392</v>
      </c>
      <c r="D18" s="17" t="s">
        <v>126</v>
      </c>
      <c r="E18" s="17" t="s">
        <v>76</v>
      </c>
      <c r="F18" s="17" t="s">
        <v>135</v>
      </c>
      <c r="G18" s="11">
        <f t="shared" si="0"/>
        <v>735</v>
      </c>
      <c r="H18" s="18">
        <f>I18/G18</f>
        <v>4.7619047619047616E-2</v>
      </c>
      <c r="I18" s="11">
        <f>G18-J18</f>
        <v>35</v>
      </c>
      <c r="J18" s="81">
        <v>700</v>
      </c>
      <c r="K18" s="11">
        <f t="shared" si="3"/>
        <v>735</v>
      </c>
      <c r="L18" s="18">
        <f>M18/K18</f>
        <v>4.7619047619047616E-2</v>
      </c>
      <c r="M18" s="11">
        <f>K18-N18</f>
        <v>35</v>
      </c>
      <c r="N18" s="81">
        <v>700</v>
      </c>
      <c r="O18" s="11">
        <f t="shared" si="6"/>
        <v>0</v>
      </c>
      <c r="P18" s="18">
        <f t="shared" si="7"/>
        <v>0</v>
      </c>
      <c r="Q18" s="83">
        <f t="shared" si="8"/>
        <v>-280</v>
      </c>
      <c r="R18" s="18">
        <f t="shared" si="9"/>
        <v>-0.2857142857142857</v>
      </c>
      <c r="S18" s="119">
        <v>980</v>
      </c>
      <c r="T18" s="193"/>
    </row>
    <row r="19" spans="2:20" s="40" customFormat="1" ht="15" customHeight="1">
      <c r="B19" s="23"/>
      <c r="C19" s="23"/>
      <c r="D19" s="23"/>
      <c r="E19" s="23"/>
      <c r="F19" s="23"/>
      <c r="G19" s="50"/>
      <c r="H19" s="44"/>
      <c r="I19" s="44"/>
      <c r="J19" s="45"/>
      <c r="K19" s="25"/>
      <c r="L19" s="25"/>
      <c r="M19" s="25"/>
      <c r="N19" s="25"/>
      <c r="O19" s="25"/>
      <c r="P19" s="25"/>
      <c r="Q19" s="25"/>
      <c r="R19" s="76"/>
      <c r="S19" s="114"/>
    </row>
    <row r="20" spans="2:20" ht="12.65" customHeight="1">
      <c r="G20" s="30"/>
      <c r="H20" s="30"/>
      <c r="I20" s="30"/>
      <c r="J20" s="41"/>
      <c r="K20" s="41"/>
      <c r="L20" s="41"/>
      <c r="M20" s="41"/>
      <c r="N20" s="41"/>
      <c r="O20" s="41"/>
      <c r="P20" s="41"/>
      <c r="Q20" s="41"/>
      <c r="R20" s="41"/>
    </row>
    <row r="21" spans="2:20" ht="13.75" customHeight="1">
      <c r="B21" s="36" t="s">
        <v>7</v>
      </c>
      <c r="H21" s="33"/>
      <c r="I21" s="33"/>
      <c r="J21" s="33"/>
      <c r="L21" s="33"/>
      <c r="M21" s="33"/>
      <c r="N21" s="33"/>
      <c r="O21" s="33"/>
      <c r="P21" s="33"/>
      <c r="Q21" s="33"/>
      <c r="R21" s="41"/>
    </row>
    <row r="22" spans="2:20" ht="9" customHeight="1">
      <c r="H22" s="33"/>
      <c r="I22" s="33"/>
      <c r="J22" s="33"/>
      <c r="L22" s="33"/>
      <c r="M22" s="33"/>
      <c r="N22" s="33"/>
      <c r="O22" s="37"/>
      <c r="R22" s="41"/>
    </row>
    <row r="23" spans="2:20">
      <c r="B23" s="78" t="s">
        <v>112</v>
      </c>
      <c r="H23" s="68"/>
      <c r="L23" s="136"/>
      <c r="N23" s="38"/>
      <c r="O23" s="38"/>
      <c r="R23" s="77"/>
    </row>
    <row r="24" spans="2:20">
      <c r="B24" s="36" t="s">
        <v>111</v>
      </c>
      <c r="L24" s="136"/>
      <c r="R24" s="39"/>
    </row>
    <row r="25" spans="2:20">
      <c r="L25" s="136"/>
      <c r="Q25" s="39"/>
      <c r="R25" s="39" t="str">
        <f>'2. rPET- nội bộ '!S45</f>
        <v>Ngày 03 tháng 02 năm 2024</v>
      </c>
    </row>
    <row r="26" spans="2:20" s="31" customFormat="1">
      <c r="B26" s="435" t="s">
        <v>22</v>
      </c>
      <c r="C26" s="435"/>
      <c r="D26" s="30" t="s">
        <v>23</v>
      </c>
      <c r="E26" s="126"/>
      <c r="F26" s="30"/>
      <c r="G26" s="30" t="s">
        <v>31</v>
      </c>
      <c r="I26" s="32" t="s">
        <v>32</v>
      </c>
      <c r="M26" s="32" t="s">
        <v>23</v>
      </c>
      <c r="N26" s="32"/>
      <c r="O26" s="30"/>
      <c r="P26" s="434" t="s">
        <v>24</v>
      </c>
      <c r="Q26" s="434"/>
      <c r="R26" s="80"/>
    </row>
    <row r="27" spans="2:20" s="31" customFormat="1">
      <c r="B27" s="184"/>
      <c r="C27" s="184"/>
      <c r="D27" s="30"/>
      <c r="E27" s="126"/>
      <c r="F27" s="30"/>
      <c r="I27" s="32"/>
      <c r="N27" s="32"/>
      <c r="O27" s="30"/>
      <c r="P27" s="30"/>
      <c r="Q27" s="30"/>
      <c r="R27" s="80"/>
    </row>
    <row r="28" spans="2:20" s="31" customFormat="1">
      <c r="B28" s="184"/>
      <c r="C28" s="184"/>
      <c r="D28" s="30"/>
      <c r="E28" s="126"/>
      <c r="F28" s="30"/>
      <c r="I28" s="32"/>
      <c r="N28" s="32"/>
      <c r="O28" s="30"/>
      <c r="P28" s="30"/>
      <c r="Q28" s="30"/>
      <c r="R28" s="80"/>
    </row>
    <row r="29" spans="2:20" s="31" customFormat="1">
      <c r="B29" s="29"/>
      <c r="C29" s="29"/>
      <c r="D29" s="32"/>
      <c r="F29" s="32"/>
      <c r="G29" s="32"/>
      <c r="O29" s="30"/>
      <c r="P29" s="32"/>
      <c r="R29" s="80"/>
    </row>
    <row r="30" spans="2:20" s="31" customFormat="1">
      <c r="B30" s="34"/>
      <c r="C30" s="34"/>
      <c r="D30" s="35"/>
      <c r="F30" s="35"/>
      <c r="G30" s="35"/>
      <c r="O30" s="30"/>
      <c r="P30" s="32"/>
      <c r="R30" s="80"/>
    </row>
    <row r="31" spans="2:20" s="31" customFormat="1">
      <c r="B31" s="34"/>
      <c r="C31" s="34"/>
      <c r="D31" s="35"/>
      <c r="F31" s="35"/>
      <c r="G31" s="35"/>
      <c r="O31" s="30"/>
      <c r="P31" s="32"/>
      <c r="Q31" s="31" t="s">
        <v>9</v>
      </c>
      <c r="R31" s="80"/>
    </row>
    <row r="32" spans="2:20" s="31" customFormat="1">
      <c r="B32" s="29"/>
      <c r="C32" s="29"/>
      <c r="D32" s="32"/>
      <c r="F32" s="32"/>
      <c r="G32" s="32"/>
      <c r="O32" s="30"/>
      <c r="P32" s="32"/>
      <c r="R32" s="80"/>
    </row>
    <row r="33" spans="2:19" s="31" customFormat="1">
      <c r="B33" s="435" t="s">
        <v>1</v>
      </c>
      <c r="C33" s="435"/>
      <c r="D33" s="30" t="s">
        <v>8</v>
      </c>
      <c r="E33" s="126"/>
      <c r="G33" s="30" t="s">
        <v>33</v>
      </c>
      <c r="I33" s="32" t="s">
        <v>34</v>
      </c>
      <c r="L33" s="32"/>
      <c r="M33" s="32" t="s">
        <v>230</v>
      </c>
      <c r="N33" s="32"/>
      <c r="O33" s="30"/>
      <c r="P33" s="434" t="s">
        <v>136</v>
      </c>
      <c r="Q33" s="434"/>
      <c r="R33" s="80"/>
    </row>
    <row r="34" spans="2:19" s="31" customFormat="1">
      <c r="B34" s="435"/>
      <c r="C34" s="435"/>
      <c r="D34" s="32"/>
      <c r="E34" s="32"/>
      <c r="F34" s="32"/>
      <c r="G34" s="32"/>
      <c r="H34" s="32"/>
      <c r="I34" s="32"/>
      <c r="J34" s="32"/>
      <c r="L34" s="137"/>
      <c r="M34" s="32"/>
      <c r="O34" s="32"/>
      <c r="P34" s="30"/>
      <c r="Q34" s="126"/>
      <c r="R34" s="126"/>
      <c r="S34" s="80"/>
    </row>
    <row r="35" spans="2:19" s="31" customFormat="1">
      <c r="B35" s="29"/>
      <c r="C35" s="29"/>
      <c r="D35" s="32"/>
      <c r="E35" s="32"/>
      <c r="F35" s="32"/>
      <c r="G35" s="32"/>
      <c r="H35" s="32"/>
      <c r="I35" s="32"/>
      <c r="J35" s="32"/>
      <c r="P35" s="30"/>
      <c r="Q35" s="32"/>
      <c r="S35" s="80"/>
    </row>
    <row r="36" spans="2:19" s="31" customFormat="1">
      <c r="B36" s="34"/>
      <c r="C36" s="34"/>
      <c r="D36" s="35"/>
      <c r="E36" s="35"/>
      <c r="F36" s="35"/>
      <c r="G36" s="35"/>
      <c r="H36" s="35"/>
      <c r="I36" s="35"/>
      <c r="J36" s="35"/>
      <c r="P36" s="30"/>
      <c r="Q36" s="32"/>
      <c r="S36" s="80"/>
    </row>
    <row r="37" spans="2:19" s="31" customFormat="1">
      <c r="B37" s="34"/>
      <c r="C37" s="34"/>
      <c r="D37" s="35"/>
      <c r="E37" s="35"/>
      <c r="F37" s="35"/>
      <c r="G37" s="35"/>
      <c r="H37" s="35"/>
      <c r="I37" s="35"/>
      <c r="J37" s="35"/>
      <c r="P37" s="30"/>
      <c r="Q37" s="32"/>
      <c r="S37" s="80"/>
    </row>
    <row r="38" spans="2:19" s="31" customFormat="1">
      <c r="B38" s="29"/>
      <c r="C38" s="29"/>
      <c r="D38" s="32"/>
      <c r="E38" s="32"/>
      <c r="F38" s="32"/>
      <c r="G38" s="32"/>
      <c r="H38" s="32"/>
      <c r="I38" s="32"/>
      <c r="J38" s="32"/>
      <c r="P38" s="30"/>
      <c r="Q38" s="32"/>
      <c r="S38" s="80"/>
    </row>
    <row r="39" spans="2:19" s="31" customFormat="1">
      <c r="B39" s="435"/>
      <c r="C39" s="435"/>
      <c r="D39" s="32"/>
      <c r="E39" s="32"/>
      <c r="F39" s="32"/>
      <c r="G39" s="32"/>
      <c r="H39" s="32"/>
      <c r="I39" s="32"/>
      <c r="J39" s="32"/>
      <c r="M39" s="32"/>
      <c r="O39" s="32"/>
      <c r="P39" s="30"/>
      <c r="Q39" s="126"/>
      <c r="R39" s="126"/>
      <c r="S39" s="80"/>
    </row>
  </sheetData>
  <mergeCells count="21">
    <mergeCell ref="B34:C34"/>
    <mergeCell ref="B39:C39"/>
    <mergeCell ref="P2:R2"/>
    <mergeCell ref="P3:R3"/>
    <mergeCell ref="P4:R4"/>
    <mergeCell ref="B6:B8"/>
    <mergeCell ref="C6:C8"/>
    <mergeCell ref="D6:D8"/>
    <mergeCell ref="F6:F8"/>
    <mergeCell ref="G6:P6"/>
    <mergeCell ref="Q6:R7"/>
    <mergeCell ref="G7:J7"/>
    <mergeCell ref="K7:N7"/>
    <mergeCell ref="O7:P7"/>
    <mergeCell ref="B26:C26"/>
    <mergeCell ref="B33:C33"/>
    <mergeCell ref="P33:Q33"/>
    <mergeCell ref="D2:O4"/>
    <mergeCell ref="B2:C4"/>
    <mergeCell ref="E6:E8"/>
    <mergeCell ref="P26:Q26"/>
  </mergeCells>
  <conditionalFormatting sqref="P10:P11 P17:P18">
    <cfRule type="iconSet" priority="62">
      <iconSet iconSet="3Arrows">
        <cfvo type="percent" val="0"/>
        <cfvo type="num" val="0"/>
        <cfvo type="num" val="0" gte="0"/>
      </iconSet>
    </cfRule>
  </conditionalFormatting>
  <conditionalFormatting sqref="P12:P16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R10:R18">
    <cfRule type="iconSet" priority="64">
      <iconSet iconSet="3Arrows">
        <cfvo type="percent" val="0"/>
        <cfvo type="num" val="0"/>
        <cfvo type="num" val="0" gte="0"/>
      </iconSet>
    </cfRule>
  </conditionalFormatting>
  <printOptions horizontalCentered="1"/>
  <pageMargins left="0" right="0" top="0.18" bottom="0.23622047244094491" header="0.11811023622047245" footer="0.31496062992125984"/>
  <pageSetup paperSize="9" scale="74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E868-76E1-4BD6-959B-130E2D99E992}">
  <sheetPr>
    <tabColor theme="5" tint="0.79998168889431442"/>
  </sheetPr>
  <dimension ref="A2:Q26"/>
  <sheetViews>
    <sheetView zoomScaleNormal="100" workbookViewId="0">
      <selection activeCell="D16" sqref="D16"/>
    </sheetView>
  </sheetViews>
  <sheetFormatPr defaultColWidth="8.81640625" defaultRowHeight="15.5"/>
  <cols>
    <col min="1" max="1" width="8.81640625" style="160"/>
    <col min="2" max="2" width="10.6328125" style="164" bestFit="1" customWidth="1"/>
    <col min="3" max="3" width="36.1796875" style="164" customWidth="1"/>
    <col min="4" max="5" width="14.81640625" style="163" customWidth="1"/>
    <col min="6" max="6" width="11.08984375" style="163" customWidth="1"/>
    <col min="7" max="7" width="29.81640625" style="164" customWidth="1"/>
    <col min="8" max="8" width="10.81640625" style="163" customWidth="1"/>
    <col min="9" max="9" width="19.08984375" style="164" customWidth="1"/>
    <col min="10" max="16384" width="8.81640625" style="164"/>
  </cols>
  <sheetData>
    <row r="2" spans="1:17">
      <c r="A2" s="159" t="s">
        <v>177</v>
      </c>
      <c r="B2" s="161" t="s">
        <v>146</v>
      </c>
      <c r="C2" s="162" t="s">
        <v>154</v>
      </c>
    </row>
    <row r="3" spans="1:17">
      <c r="C3" s="177" t="s">
        <v>169</v>
      </c>
      <c r="D3" s="176" t="s">
        <v>170</v>
      </c>
      <c r="E3" s="177" t="s">
        <v>185</v>
      </c>
      <c r="F3" s="180"/>
      <c r="G3" s="167" t="s">
        <v>176</v>
      </c>
      <c r="H3" s="167" t="s">
        <v>175</v>
      </c>
      <c r="J3" s="3"/>
      <c r="K3" s="3"/>
      <c r="L3" s="3"/>
      <c r="M3" s="3"/>
      <c r="N3" s="3"/>
      <c r="O3" s="3"/>
      <c r="P3" s="3"/>
      <c r="Q3" s="3"/>
    </row>
    <row r="4" spans="1:17">
      <c r="C4" s="174" t="s">
        <v>166</v>
      </c>
      <c r="D4" s="175" t="e">
        <f>+#REF!</f>
        <v>#REF!</v>
      </c>
      <c r="E4" s="181">
        <v>0.7</v>
      </c>
      <c r="F4" s="206" t="e">
        <f>D4*1.05</f>
        <v>#REF!</v>
      </c>
      <c r="G4" s="169">
        <v>0.7</v>
      </c>
      <c r="H4" s="168" t="e">
        <f>D4*G4+D5*G5</f>
        <v>#REF!</v>
      </c>
      <c r="I4" s="164" t="s">
        <v>174</v>
      </c>
    </row>
    <row r="5" spans="1:17">
      <c r="C5" s="174" t="s">
        <v>167</v>
      </c>
      <c r="D5" s="175">
        <v>740</v>
      </c>
      <c r="E5" s="181">
        <v>0.3</v>
      </c>
      <c r="F5" s="206"/>
      <c r="G5" s="169">
        <v>0.3</v>
      </c>
      <c r="H5" s="170"/>
      <c r="I5" s="164" t="s">
        <v>173</v>
      </c>
    </row>
    <row r="6" spans="1:17">
      <c r="C6" s="174" t="s">
        <v>168</v>
      </c>
      <c r="D6" s="175">
        <v>689</v>
      </c>
      <c r="E6" s="28"/>
      <c r="F6" s="172"/>
    </row>
    <row r="7" spans="1:17">
      <c r="D7" s="173"/>
      <c r="E7" s="173"/>
      <c r="F7" s="173"/>
    </row>
    <row r="8" spans="1:17">
      <c r="A8" s="182" t="s">
        <v>178</v>
      </c>
      <c r="B8" s="161">
        <v>110000466</v>
      </c>
      <c r="C8" s="162" t="s">
        <v>156</v>
      </c>
      <c r="D8" s="173"/>
      <c r="E8" s="173"/>
      <c r="F8" s="173"/>
    </row>
    <row r="9" spans="1:17">
      <c r="A9" s="182"/>
      <c r="B9" s="161"/>
      <c r="C9" s="177" t="s">
        <v>169</v>
      </c>
      <c r="D9" s="176" t="s">
        <v>170</v>
      </c>
      <c r="E9" s="180"/>
      <c r="F9" s="180"/>
    </row>
    <row r="10" spans="1:17">
      <c r="A10" s="183"/>
      <c r="B10" s="165"/>
      <c r="C10" s="174" t="s">
        <v>171</v>
      </c>
      <c r="D10" s="175">
        <v>738.78127137646197</v>
      </c>
      <c r="E10" s="172">
        <f>D10*1.1</f>
        <v>812.65939851410826</v>
      </c>
      <c r="F10" s="187">
        <v>820</v>
      </c>
    </row>
    <row r="11" spans="1:17">
      <c r="A11" s="183"/>
      <c r="B11" s="199" t="s">
        <v>195</v>
      </c>
      <c r="C11" s="200" t="s">
        <v>196</v>
      </c>
      <c r="D11" s="201" t="e">
        <f>+#REF!</f>
        <v>#REF!</v>
      </c>
      <c r="E11" s="201" t="e">
        <f>D11*1.05</f>
        <v>#REF!</v>
      </c>
      <c r="F11" s="202">
        <v>980</v>
      </c>
    </row>
    <row r="12" spans="1:17">
      <c r="A12" s="182" t="s">
        <v>179</v>
      </c>
      <c r="B12" s="161">
        <v>110000467</v>
      </c>
      <c r="C12" s="162" t="s">
        <v>157</v>
      </c>
      <c r="D12" s="173"/>
      <c r="E12" s="173"/>
      <c r="F12" s="188"/>
    </row>
    <row r="13" spans="1:17">
      <c r="A13" s="182"/>
      <c r="B13" s="161"/>
      <c r="C13" s="177" t="s">
        <v>169</v>
      </c>
      <c r="D13" s="176" t="s">
        <v>170</v>
      </c>
      <c r="E13" s="180"/>
      <c r="F13" s="189"/>
    </row>
    <row r="14" spans="1:17">
      <c r="A14" s="183"/>
      <c r="C14" s="174" t="s">
        <v>172</v>
      </c>
      <c r="D14" s="175">
        <v>761.9233422142479</v>
      </c>
      <c r="E14" s="172">
        <f>D14*1.1</f>
        <v>838.11567643567275</v>
      </c>
      <c r="F14" s="187">
        <v>850</v>
      </c>
    </row>
    <row r="15" spans="1:17">
      <c r="A15" s="183"/>
      <c r="B15" s="203" t="s">
        <v>195</v>
      </c>
      <c r="C15" s="204" t="s">
        <v>197</v>
      </c>
      <c r="D15" s="205" t="e">
        <f>+#REF!</f>
        <v>#REF!</v>
      </c>
      <c r="E15" s="201" t="e">
        <f>D15*1.05</f>
        <v>#REF!</v>
      </c>
      <c r="F15" s="202">
        <v>1050</v>
      </c>
    </row>
    <row r="16" spans="1:17">
      <c r="A16" s="182" t="s">
        <v>186</v>
      </c>
      <c r="B16" s="161">
        <v>110000341</v>
      </c>
      <c r="C16" s="162" t="s">
        <v>162</v>
      </c>
      <c r="F16" s="190"/>
    </row>
    <row r="17" spans="1:9">
      <c r="A17" s="182"/>
      <c r="B17" s="161"/>
      <c r="C17" s="177" t="s">
        <v>169</v>
      </c>
      <c r="D17" s="176" t="s">
        <v>170</v>
      </c>
      <c r="E17" s="180"/>
      <c r="F17" s="189"/>
    </row>
    <row r="18" spans="1:9" ht="31">
      <c r="A18" s="183"/>
      <c r="B18" s="165"/>
      <c r="C18" s="178" t="s">
        <v>180</v>
      </c>
      <c r="D18" s="175" t="e">
        <f>#REF!</f>
        <v>#REF!</v>
      </c>
      <c r="E18" s="172" t="e">
        <f>D18*1.1</f>
        <v>#REF!</v>
      </c>
      <c r="F18" s="187">
        <v>950</v>
      </c>
    </row>
    <row r="19" spans="1:9">
      <c r="A19" s="183"/>
      <c r="B19" s="165"/>
      <c r="C19" s="166"/>
      <c r="F19" s="190"/>
    </row>
    <row r="20" spans="1:9">
      <c r="A20" s="182" t="s">
        <v>187</v>
      </c>
      <c r="B20" s="161">
        <v>110000433</v>
      </c>
      <c r="C20" s="162" t="s">
        <v>163</v>
      </c>
      <c r="F20" s="190"/>
      <c r="H20" s="164"/>
      <c r="I20" s="163"/>
    </row>
    <row r="21" spans="1:9">
      <c r="A21" s="183"/>
      <c r="C21" s="177" t="s">
        <v>169</v>
      </c>
      <c r="D21" s="176" t="s">
        <v>170</v>
      </c>
      <c r="E21" s="180"/>
      <c r="F21" s="189"/>
    </row>
    <row r="22" spans="1:9">
      <c r="C22" s="179" t="s">
        <v>181</v>
      </c>
      <c r="D22" s="175" t="e">
        <f>#REF!</f>
        <v>#REF!</v>
      </c>
      <c r="E22" s="172" t="e">
        <f>D22*1.1</f>
        <v>#REF!</v>
      </c>
      <c r="F22" s="187">
        <v>1100</v>
      </c>
    </row>
    <row r="24" spans="1:9">
      <c r="C24" s="164" t="s">
        <v>184</v>
      </c>
    </row>
    <row r="25" spans="1:9">
      <c r="C25" s="171" t="s">
        <v>183</v>
      </c>
    </row>
    <row r="26" spans="1:9">
      <c r="C26" s="164" t="s">
        <v>182</v>
      </c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2171-43FE-487D-82DC-2D0DC4D203CD}">
  <dimension ref="B3:S19"/>
  <sheetViews>
    <sheetView workbookViewId="0">
      <selection activeCell="D11" sqref="D11"/>
    </sheetView>
  </sheetViews>
  <sheetFormatPr defaultRowHeight="14.5"/>
  <cols>
    <col min="3" max="3" width="11.6328125" bestFit="1" customWidth="1"/>
    <col min="4" max="4" width="37.54296875" customWidth="1"/>
    <col min="6" max="6" width="11.90625" bestFit="1" customWidth="1"/>
    <col min="10" max="10" width="12.90625" customWidth="1"/>
    <col min="14" max="14" width="9.36328125" bestFit="1" customWidth="1"/>
  </cols>
  <sheetData>
    <row r="3" spans="2:19">
      <c r="B3" s="408" t="s">
        <v>2</v>
      </c>
      <c r="C3" s="409" t="s">
        <v>10</v>
      </c>
      <c r="D3" s="408" t="s">
        <v>0</v>
      </c>
      <c r="E3" s="451" t="s">
        <v>66</v>
      </c>
      <c r="F3" s="455" t="s">
        <v>133</v>
      </c>
      <c r="G3" s="455" t="s">
        <v>190</v>
      </c>
      <c r="H3" s="455" t="s">
        <v>191</v>
      </c>
    </row>
    <row r="4" spans="2:19">
      <c r="B4" s="408"/>
      <c r="C4" s="409"/>
      <c r="D4" s="408"/>
      <c r="E4" s="452"/>
      <c r="F4" s="456"/>
      <c r="G4" s="456"/>
      <c r="H4" s="456"/>
    </row>
    <row r="5" spans="2:19">
      <c r="B5" s="408"/>
      <c r="C5" s="409"/>
      <c r="D5" s="408"/>
      <c r="E5" s="453"/>
      <c r="F5" s="457"/>
      <c r="G5" s="457"/>
      <c r="H5" s="457"/>
    </row>
    <row r="6" spans="2:19" ht="16.5">
      <c r="B6" s="146" t="s">
        <v>110</v>
      </c>
      <c r="C6" s="148"/>
      <c r="D6" s="149"/>
      <c r="E6" s="150"/>
      <c r="F6" s="150"/>
    </row>
    <row r="7" spans="2:19" ht="49.5">
      <c r="B7" s="10">
        <v>6</v>
      </c>
      <c r="C7" s="16">
        <v>110000341</v>
      </c>
      <c r="D7" s="128" t="s">
        <v>192</v>
      </c>
      <c r="E7" s="17" t="s">
        <v>76</v>
      </c>
      <c r="F7" s="17" t="s">
        <v>164</v>
      </c>
      <c r="G7" s="197">
        <v>950</v>
      </c>
      <c r="H7" s="198">
        <v>855</v>
      </c>
    </row>
    <row r="10" spans="2:19" ht="14.5" customHeight="1"/>
    <row r="11" spans="2:19" s="9" customFormat="1" ht="66">
      <c r="B11" s="211" t="s">
        <v>2</v>
      </c>
      <c r="C11" s="212" t="s">
        <v>10</v>
      </c>
      <c r="D11" s="211" t="s">
        <v>0</v>
      </c>
      <c r="E11" s="211" t="s">
        <v>66</v>
      </c>
      <c r="F11" s="212" t="s">
        <v>133</v>
      </c>
      <c r="G11" s="14" t="s">
        <v>35</v>
      </c>
      <c r="H11" s="14" t="s">
        <v>42</v>
      </c>
      <c r="I11" s="14" t="s">
        <v>40</v>
      </c>
      <c r="J11" s="15" t="s">
        <v>41</v>
      </c>
      <c r="K11" s="14" t="s">
        <v>191</v>
      </c>
      <c r="L11" s="14" t="s">
        <v>203</v>
      </c>
      <c r="M11" s="214" t="s">
        <v>204</v>
      </c>
      <c r="N11" s="112"/>
      <c r="O11" s="112"/>
      <c r="P11" s="192"/>
      <c r="Q11" s="194" t="s">
        <v>169</v>
      </c>
    </row>
    <row r="12" spans="2:19" s="142" customFormat="1" ht="16.5">
      <c r="B12" s="458" t="s">
        <v>110</v>
      </c>
      <c r="C12" s="459"/>
      <c r="D12" s="459"/>
      <c r="E12" s="459"/>
      <c r="F12" s="460"/>
      <c r="G12" s="148"/>
      <c r="H12" s="148"/>
      <c r="I12" s="148"/>
      <c r="J12" s="148"/>
      <c r="K12" s="148"/>
      <c r="L12" s="148"/>
      <c r="M12" s="148"/>
      <c r="P12" s="192"/>
      <c r="Q12" s="194"/>
    </row>
    <row r="13" spans="2:19" s="2" customFormat="1" ht="18" hidden="1">
      <c r="B13" s="10">
        <v>1</v>
      </c>
      <c r="C13" s="16">
        <v>110000464</v>
      </c>
      <c r="D13" s="17" t="s">
        <v>137</v>
      </c>
      <c r="E13" s="17" t="s">
        <v>130</v>
      </c>
      <c r="F13" s="17" t="s">
        <v>131</v>
      </c>
      <c r="G13" s="207">
        <f>J13*1.05</f>
        <v>682.5</v>
      </c>
      <c r="H13" s="208">
        <f>I13/G13</f>
        <v>4.7619047619047616E-2</v>
      </c>
      <c r="I13" s="207">
        <f t="shared" ref="I13:I19" si="0">G13-J13</f>
        <v>32.5</v>
      </c>
      <c r="J13" s="209">
        <v>650</v>
      </c>
      <c r="K13" s="207" t="e">
        <f>J13-#REF!</f>
        <v>#REF!</v>
      </c>
      <c r="L13" s="208" t="e">
        <f>1-(#REF!/J13)</f>
        <v>#REF!</v>
      </c>
      <c r="M13" s="215">
        <f>J13-O13</f>
        <v>650</v>
      </c>
      <c r="N13" s="119"/>
      <c r="O13" s="119"/>
      <c r="P13" s="193"/>
      <c r="Q13" s="191" t="s">
        <v>193</v>
      </c>
      <c r="S13" s="131">
        <f>P13*25</f>
        <v>0</v>
      </c>
    </row>
    <row r="14" spans="2:19" s="2" customFormat="1" ht="18" hidden="1">
      <c r="B14" s="10">
        <v>2</v>
      </c>
      <c r="C14" s="16">
        <v>110000465</v>
      </c>
      <c r="D14" s="17" t="s">
        <v>138</v>
      </c>
      <c r="E14" s="17" t="s">
        <v>129</v>
      </c>
      <c r="F14" s="17" t="s">
        <v>131</v>
      </c>
      <c r="G14" s="207">
        <f>J14*1.05</f>
        <v>787.5</v>
      </c>
      <c r="H14" s="208">
        <f>I14/G14</f>
        <v>4.7619047619047616E-2</v>
      </c>
      <c r="I14" s="207">
        <f t="shared" si="0"/>
        <v>37.5</v>
      </c>
      <c r="J14" s="209">
        <v>750</v>
      </c>
      <c r="K14" s="207" t="e">
        <f>J14-#REF!</f>
        <v>#REF!</v>
      </c>
      <c r="L14" s="208" t="e">
        <f>1-(#REF!/J14)</f>
        <v>#REF!</v>
      </c>
      <c r="M14" s="215">
        <f>J14-O14</f>
        <v>750</v>
      </c>
      <c r="N14" s="119"/>
      <c r="O14" s="119"/>
      <c r="P14" s="193"/>
      <c r="Q14" s="191" t="s">
        <v>189</v>
      </c>
      <c r="S14" s="131">
        <f>P14*25</f>
        <v>0</v>
      </c>
    </row>
    <row r="15" spans="2:19" s="2" customFormat="1" ht="18" hidden="1">
      <c r="B15" s="10">
        <v>3</v>
      </c>
      <c r="C15" s="16" t="s">
        <v>146</v>
      </c>
      <c r="D15" s="17" t="s">
        <v>154</v>
      </c>
      <c r="E15" s="17" t="s">
        <v>129</v>
      </c>
      <c r="F15" s="17" t="s">
        <v>158</v>
      </c>
      <c r="G15" s="207">
        <v>1000</v>
      </c>
      <c r="H15" s="208">
        <f>I15/G15</f>
        <v>-0.05</v>
      </c>
      <c r="I15" s="207">
        <f t="shared" si="0"/>
        <v>-50</v>
      </c>
      <c r="J15" s="209">
        <v>1050</v>
      </c>
      <c r="K15" s="207" t="e">
        <f>J15-#REF!</f>
        <v>#REF!</v>
      </c>
      <c r="L15" s="208" t="e">
        <f>1-(#REF!/J15)</f>
        <v>#REF!</v>
      </c>
      <c r="M15" s="215">
        <f>J15-O15</f>
        <v>1050</v>
      </c>
      <c r="N15" s="119"/>
      <c r="O15" s="119"/>
      <c r="P15" s="193"/>
      <c r="Q15" s="195" t="s">
        <v>166</v>
      </c>
      <c r="R15" s="158"/>
    </row>
    <row r="16" spans="2:19" s="2" customFormat="1" ht="33">
      <c r="B16" s="10">
        <v>4</v>
      </c>
      <c r="C16" s="16">
        <v>110000466</v>
      </c>
      <c r="D16" s="128" t="s">
        <v>199</v>
      </c>
      <c r="E16" s="17" t="s">
        <v>129</v>
      </c>
      <c r="F16" s="17" t="s">
        <v>158</v>
      </c>
      <c r="G16" s="207">
        <f>J16*1.05</f>
        <v>1050</v>
      </c>
      <c r="H16" s="208">
        <v>0.05</v>
      </c>
      <c r="I16" s="207">
        <f t="shared" si="0"/>
        <v>50</v>
      </c>
      <c r="J16" s="209">
        <v>1000</v>
      </c>
      <c r="K16" s="207">
        <v>940</v>
      </c>
      <c r="L16" s="213">
        <f>J16-K16</f>
        <v>60</v>
      </c>
      <c r="M16" s="216">
        <f>L16/K16</f>
        <v>6.3829787234042548E-2</v>
      </c>
      <c r="N16" s="119"/>
      <c r="O16" s="119"/>
      <c r="P16" s="193"/>
      <c r="Q16" s="200" t="s">
        <v>196</v>
      </c>
      <c r="R16" s="186" t="s">
        <v>198</v>
      </c>
    </row>
    <row r="17" spans="2:17" s="2" customFormat="1" ht="33">
      <c r="B17" s="10">
        <v>5</v>
      </c>
      <c r="C17" s="16">
        <v>110000467</v>
      </c>
      <c r="D17" s="128" t="s">
        <v>200</v>
      </c>
      <c r="E17" s="17" t="s">
        <v>129</v>
      </c>
      <c r="F17" s="17" t="s">
        <v>158</v>
      </c>
      <c r="G17" s="207">
        <f>J17*1.05</f>
        <v>1102.5</v>
      </c>
      <c r="H17" s="208">
        <v>0.05</v>
      </c>
      <c r="I17" s="207">
        <f t="shared" si="0"/>
        <v>52.5</v>
      </c>
      <c r="J17" s="209">
        <v>1050</v>
      </c>
      <c r="K17" s="207">
        <v>991.92267105851499</v>
      </c>
      <c r="L17" s="213">
        <f>J17-K17</f>
        <v>58.077328941485007</v>
      </c>
      <c r="M17" s="216">
        <f>L17/K17</f>
        <v>5.8550258640130366E-2</v>
      </c>
      <c r="N17" s="119"/>
      <c r="O17" s="119"/>
      <c r="P17" s="193"/>
      <c r="Q17" s="204" t="s">
        <v>197</v>
      </c>
    </row>
    <row r="18" spans="2:17" s="2" customFormat="1" ht="33">
      <c r="B18" s="10">
        <v>6</v>
      </c>
      <c r="C18" s="16">
        <v>110000341</v>
      </c>
      <c r="D18" s="128" t="s">
        <v>201</v>
      </c>
      <c r="E18" s="17" t="s">
        <v>76</v>
      </c>
      <c r="F18" s="17" t="s">
        <v>164</v>
      </c>
      <c r="G18" s="207">
        <f>J18*1.05</f>
        <v>997.5</v>
      </c>
      <c r="H18" s="208">
        <v>0.05</v>
      </c>
      <c r="I18" s="207">
        <f t="shared" si="0"/>
        <v>47.5</v>
      </c>
      <c r="J18" s="209">
        <v>950</v>
      </c>
      <c r="K18" s="207">
        <v>855</v>
      </c>
      <c r="L18" s="213">
        <f>J18-K18</f>
        <v>95</v>
      </c>
      <c r="M18" s="216">
        <f>L18/K18</f>
        <v>0.1111111111111111</v>
      </c>
      <c r="N18" s="119"/>
      <c r="O18" s="119"/>
      <c r="P18" s="193"/>
      <c r="Q18" s="210" t="s">
        <v>188</v>
      </c>
    </row>
    <row r="19" spans="2:17" s="2" customFormat="1" ht="49.5">
      <c r="B19" s="10">
        <v>7</v>
      </c>
      <c r="C19" s="16">
        <v>110000433</v>
      </c>
      <c r="D19" s="128" t="s">
        <v>202</v>
      </c>
      <c r="E19" s="17" t="s">
        <v>129</v>
      </c>
      <c r="F19" s="17" t="s">
        <v>165</v>
      </c>
      <c r="G19" s="207">
        <f>J19*1.05</f>
        <v>1155</v>
      </c>
      <c r="H19" s="208">
        <v>0.05</v>
      </c>
      <c r="I19" s="207">
        <f t="shared" si="0"/>
        <v>55</v>
      </c>
      <c r="J19" s="209">
        <v>1100</v>
      </c>
      <c r="K19" s="207">
        <v>1003</v>
      </c>
      <c r="L19" s="213">
        <f>J19-K19</f>
        <v>97</v>
      </c>
      <c r="M19" s="216">
        <f>L19/K19</f>
        <v>9.6709870388833497E-2</v>
      </c>
      <c r="N19" s="119"/>
      <c r="O19" s="119"/>
      <c r="P19" s="193"/>
      <c r="Q19" s="195"/>
    </row>
  </sheetData>
  <mergeCells count="8">
    <mergeCell ref="B12:F12"/>
    <mergeCell ref="H3:H5"/>
    <mergeCell ref="B3:B5"/>
    <mergeCell ref="C3:C5"/>
    <mergeCell ref="D3:D5"/>
    <mergeCell ref="E3:E5"/>
    <mergeCell ref="F3:F5"/>
    <mergeCell ref="G3:G5"/>
  </mergeCells>
  <conditionalFormatting sqref="L13:L14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L15:L19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B7EC96C858E4596FDEA8DB8B384EC" ma:contentTypeVersion="15" ma:contentTypeDescription="Create a new document." ma:contentTypeScope="" ma:versionID="0b1484445a1b9c176ac77de667ef706a">
  <xsd:schema xmlns:xsd="http://www.w3.org/2001/XMLSchema" xmlns:xs="http://www.w3.org/2001/XMLSchema" xmlns:p="http://schemas.microsoft.com/office/2006/metadata/properties" xmlns:ns2="ce8f918e-70ef-4d5b-b57f-0705af1536e2" xmlns:ns3="32f2f5af-ffb0-442b-bb68-0e1242028c1e" targetNamespace="http://schemas.microsoft.com/office/2006/metadata/properties" ma:root="true" ma:fieldsID="1376660a57a99827fe1a5aa895d21b21" ns2:_="" ns3:_="">
    <xsd:import namespace="ce8f918e-70ef-4d5b-b57f-0705af1536e2"/>
    <xsd:import namespace="32f2f5af-ffb0-442b-bb68-0e1242028c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f918e-70ef-4d5b-b57f-0705af153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2f5af-ffb0-442b-bb68-0e1242028c1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EBB9AC-B676-413B-BABB-C037563271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C027D2-95ED-43D3-8DD6-8728E17A6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8f918e-70ef-4d5b-b57f-0705af1536e2"/>
    <ds:schemaRef ds:uri="32f2f5af-ffb0-442b-bb68-0e1242028c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Điểm HV</vt:lpstr>
      <vt:lpstr>TH</vt:lpstr>
      <vt:lpstr>Ghi chú</vt:lpstr>
      <vt:lpstr>Sheet1</vt:lpstr>
      <vt:lpstr>giá ICIS</vt:lpstr>
      <vt:lpstr>1. rPET</vt:lpstr>
      <vt:lpstr>2. rPET- nội bộ </vt:lpstr>
      <vt:lpstr>3. rPET USA </vt:lpstr>
      <vt:lpstr>Giới hạn </vt:lpstr>
      <vt:lpstr>4. rHDPE </vt:lpstr>
      <vt:lpstr>5.Vảy HDPE- Ép</vt:lpstr>
      <vt:lpstr>6. rPP </vt:lpstr>
      <vt:lpstr>7. Vảy PP</vt:lpstr>
      <vt:lpstr>8. Hạt phó sản</vt:lpstr>
      <vt:lpstr>Giải thích phó sản</vt:lpstr>
      <vt:lpstr>Sheet2</vt:lpstr>
      <vt:lpstr>'1. rPET'!Print_Area</vt:lpstr>
      <vt:lpstr>'2. rPET- nội bộ '!Print_Area</vt:lpstr>
      <vt:lpstr>'3. rPET USA '!Print_Area</vt:lpstr>
      <vt:lpstr>'4. rHDPE '!Print_Area</vt:lpstr>
      <vt:lpstr>'5.Vảy HDPE- Ép'!Print_Area</vt:lpstr>
      <vt:lpstr>'6. rPP '!Print_Area</vt:lpstr>
      <vt:lpstr>'7. Vảy PP'!Print_Area</vt:lpstr>
      <vt:lpstr>'8. Hạt phó sản'!Print_Area</vt:lpstr>
      <vt:lpstr>'2. rPET- nội bộ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Thao, Duong Tu Uyen</dc:creator>
  <cp:lastModifiedBy>Cư, Lê Hoành</cp:lastModifiedBy>
  <cp:lastPrinted>2025-02-03T02:08:32Z</cp:lastPrinted>
  <dcterms:created xsi:type="dcterms:W3CDTF">2021-05-11T03:12:36Z</dcterms:created>
  <dcterms:modified xsi:type="dcterms:W3CDTF">2026-03-22T13:05:27Z</dcterms:modified>
</cp:coreProperties>
</file>