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uytan-holding/fad/FIR/00.BI REPORT/DataFS/Tan Dai Phat/"/>
    </mc:Choice>
  </mc:AlternateContent>
  <xr:revisionPtr revIDLastSave="44" documentId="13_ncr:1_{8F6C54F2-2982-4B00-A4A1-7F57ADD2E518}" xr6:coauthVersionLast="47" xr6:coauthVersionMax="47" xr10:uidLastSave="{EAFE691F-0CAE-4B40-B5A7-9A6BF2910EF3}"/>
  <workbookProtection workbookAlgorithmName="SHA-512" workbookHashValue="0YqjuHQh1qhhTYReCB3fwuf3j9/74nwua804UXMNuK6QAZUAktxx5YHA7JAxd+uwOxUmawjuLYvMIl/g0sgZ/Q==" workbookSaltValue="zyPz2sm5tHYV/FnK/g/Jzw==" workbookSpinCount="100000" lockStructure="1"/>
  <bookViews>
    <workbookView xWindow="-120" yWindow="-120" windowWidth="29040" windowHeight="15720" tabRatio="903" firstSheet="4" activeTab="10" xr2:uid="{55E867BA-4C17-481B-A117-2E307C0F0AAA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r:id="rId12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BLQ'!$A$8:$R$8</definedName>
    <definedName name="_xlnm._FilterDatabase" localSheetId="6" hidden="1">'Tinh hinh tai chinh'!$B$3:$AY$194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ROGRAMMING_COSTS" hidden="1">"c2884"</definedName>
    <definedName name="IQ_CABLE_PHONE_PENETRATION" hidden="1">"c2853"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OTAL_PENETRATION" hidden="1">"c2854"</definedName>
    <definedName name="IQ_CABLE_TOTAL_REV" hidden="1">"c2883"</definedName>
    <definedName name="IQ_CABLE_THP" hidden="1">"c2847"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ONTRIBUTION_TOTAL_COST" hidden="1">"c300"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V_OVER_BV" hidden="1">"c1596"</definedName>
    <definedName name="IQ_EQV_OVER_LTM_PRETAX_INC" hidden="1">"c739"</definedName>
    <definedName name="IQ_EQUITY_AFFIL" hidden="1">"c552"</definedName>
    <definedName name="IQ_EQUITY_METHOD" hidden="1">"c404"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CHANGE" hidden="1">"c749"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W" hidden="1">"c2166"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CHURN" hidden="1">"c2122"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CHANGE_CONTROL" hidden="1">"c2365"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LOW_PCT" hidden="1">"c2350"</definedName>
    <definedName name="IQ_TR_TARGET_52WKHI_PCT" hidden="1">"c2351"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ounterLimitCell.01." hidden="1">"x"</definedName>
    <definedName name="kyd.ChngCell.01." localSheetId="6" hidden="1">#REF!</definedName>
    <definedName name="kyd.ChngCell.01." hidden="1">#REF!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32" i="3" l="1"/>
  <c r="BO13" i="3"/>
  <c r="BO41" i="3"/>
  <c r="BO44" i="3" s="1"/>
  <c r="D11" i="11"/>
  <c r="BN32" i="3"/>
  <c r="BN13" i="3"/>
  <c r="BN41" i="3"/>
  <c r="BN44" i="3" s="1"/>
  <c r="BM44" i="3"/>
  <c r="BM41" i="3"/>
  <c r="BM32" i="3"/>
  <c r="BM13" i="3"/>
  <c r="G475" i="12"/>
  <c r="H475" i="12"/>
  <c r="I475" i="12"/>
  <c r="J475" i="12"/>
  <c r="K475" i="12"/>
  <c r="L475" i="12"/>
  <c r="M475" i="12"/>
  <c r="N475" i="12"/>
  <c r="O475" i="12"/>
  <c r="P475" i="12"/>
  <c r="Q475" i="12"/>
  <c r="F475" i="12"/>
  <c r="BL23" i="3"/>
  <c r="BL13" i="3"/>
  <c r="BL41" i="3" s="1"/>
  <c r="BL44" i="3" s="1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L40" i="3"/>
  <c r="BL32" i="3"/>
  <c r="BL31" i="3"/>
  <c r="BL10" i="3"/>
  <c r="BL5" i="3"/>
  <c r="BL23" i="2"/>
  <c r="BL129" i="1"/>
  <c r="BL126" i="1"/>
  <c r="BL82" i="1"/>
  <c r="BL81" i="1"/>
  <c r="BL51" i="1"/>
  <c r="BL44" i="1" s="1"/>
  <c r="BL45" i="1"/>
  <c r="BL30" i="1"/>
  <c r="BL15" i="1"/>
  <c r="BK83" i="1"/>
  <c r="E49" i="11"/>
  <c r="C49" i="11"/>
  <c r="E48" i="11"/>
  <c r="D48" i="11"/>
  <c r="E45" i="11"/>
  <c r="C45" i="11"/>
  <c r="E44" i="11"/>
  <c r="C44" i="11"/>
  <c r="E43" i="11"/>
  <c r="C43" i="11"/>
  <c r="E42" i="11"/>
  <c r="C42" i="11"/>
  <c r="E41" i="11"/>
  <c r="C41" i="11"/>
  <c r="C40" i="11"/>
  <c r="C37" i="11"/>
  <c r="E36" i="11"/>
  <c r="C36" i="11"/>
  <c r="E35" i="11"/>
  <c r="C35" i="11"/>
  <c r="E34" i="11"/>
  <c r="C34" i="11"/>
  <c r="E33" i="11"/>
  <c r="C33" i="11"/>
  <c r="E32" i="11"/>
  <c r="C32" i="11"/>
  <c r="E31" i="11"/>
  <c r="C31" i="11"/>
  <c r="E28" i="11"/>
  <c r="C28" i="11"/>
  <c r="E27" i="11"/>
  <c r="C27" i="11"/>
  <c r="E26" i="11"/>
  <c r="C26" i="11"/>
  <c r="E25" i="11"/>
  <c r="C25" i="11"/>
  <c r="E24" i="11"/>
  <c r="C24" i="11"/>
  <c r="E23" i="11"/>
  <c r="C23" i="11"/>
  <c r="E22" i="11"/>
  <c r="C22" i="11"/>
  <c r="E21" i="11"/>
  <c r="C21" i="11"/>
  <c r="E20" i="11"/>
  <c r="C20" i="11"/>
  <c r="E18" i="11"/>
  <c r="C18" i="11"/>
  <c r="E17" i="11"/>
  <c r="C17" i="11"/>
  <c r="C16" i="11"/>
  <c r="E15" i="11"/>
  <c r="C15" i="11"/>
  <c r="E14" i="11"/>
  <c r="C14" i="11"/>
  <c r="E13" i="11"/>
  <c r="C13" i="11"/>
  <c r="C11" i="11"/>
  <c r="B11" i="11"/>
  <c r="G28" i="10"/>
  <c r="F28" i="10"/>
  <c r="E28" i="10"/>
  <c r="D28" i="10"/>
  <c r="G27" i="10"/>
  <c r="F27" i="10"/>
  <c r="E27" i="10"/>
  <c r="D27" i="10"/>
  <c r="G26" i="10"/>
  <c r="F26" i="10"/>
  <c r="E26" i="10"/>
  <c r="D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D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52" i="9"/>
  <c r="C151" i="9"/>
  <c r="C149" i="9"/>
  <c r="C148" i="9"/>
  <c r="C147" i="9"/>
  <c r="C146" i="9"/>
  <c r="C145" i="9"/>
  <c r="C144" i="9"/>
  <c r="C143" i="9"/>
  <c r="C142" i="9"/>
  <c r="C141" i="9"/>
  <c r="C140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 s="1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99" i="9"/>
  <c r="C98" i="9"/>
  <c r="C97" i="9"/>
  <c r="C96" i="9"/>
  <c r="C93" i="9"/>
  <c r="C92" i="9"/>
  <c r="C91" i="9"/>
  <c r="C90" i="9"/>
  <c r="C89" i="9"/>
  <c r="C88" i="9"/>
  <c r="C85" i="9"/>
  <c r="C84" i="9"/>
  <c r="C81" i="9"/>
  <c r="C80" i="9"/>
  <c r="C77" i="9"/>
  <c r="C76" i="9"/>
  <c r="C75" i="9"/>
  <c r="C74" i="9"/>
  <c r="C73" i="9"/>
  <c r="C72" i="9"/>
  <c r="C71" i="9"/>
  <c r="C70" i="9"/>
  <c r="C69" i="9" s="1"/>
  <c r="C67" i="9"/>
  <c r="C66" i="9"/>
  <c r="C64" i="9"/>
  <c r="C63" i="9"/>
  <c r="C62" i="9" s="1"/>
  <c r="C61" i="9"/>
  <c r="C60" i="9"/>
  <c r="C59" i="9" s="1"/>
  <c r="C58" i="9" s="1"/>
  <c r="C54" i="9"/>
  <c r="C53" i="9"/>
  <c r="C52" i="9"/>
  <c r="C51" i="9"/>
  <c r="C50" i="9"/>
  <c r="C49" i="9"/>
  <c r="C45" i="9"/>
  <c r="C44" i="9"/>
  <c r="C43" i="9"/>
  <c r="C42" i="9"/>
  <c r="C41" i="9"/>
  <c r="C38" i="9"/>
  <c r="C37" i="9"/>
  <c r="C36" i="9"/>
  <c r="C33" i="9"/>
  <c r="C32" i="9"/>
  <c r="C31" i="9" s="1"/>
  <c r="C29" i="9"/>
  <c r="C28" i="9"/>
  <c r="C27" i="9"/>
  <c r="C22" i="9" s="1"/>
  <c r="C26" i="9"/>
  <c r="C25" i="9"/>
  <c r="C24" i="9"/>
  <c r="C23" i="9"/>
  <c r="C20" i="9"/>
  <c r="C19" i="9"/>
  <c r="C18" i="9"/>
  <c r="C17" i="9"/>
  <c r="C16" i="9"/>
  <c r="C15" i="9"/>
  <c r="C14" i="9" s="1"/>
  <c r="C12" i="9"/>
  <c r="C11" i="9"/>
  <c r="R279" i="12"/>
  <c r="R278" i="12"/>
  <c r="R277" i="12"/>
  <c r="R276" i="12"/>
  <c r="R275" i="12"/>
  <c r="R274" i="12"/>
  <c r="R273" i="12"/>
  <c r="R272" i="12"/>
  <c r="R270" i="12"/>
  <c r="R269" i="12"/>
  <c r="R268" i="12"/>
  <c r="R267" i="12"/>
  <c r="R266" i="12"/>
  <c r="R264" i="12"/>
  <c r="R263" i="12"/>
  <c r="R262" i="12"/>
  <c r="R261" i="12"/>
  <c r="R260" i="12"/>
  <c r="R259" i="12"/>
  <c r="R258" i="12"/>
  <c r="R257" i="12"/>
  <c r="R256" i="12"/>
  <c r="R254" i="12"/>
  <c r="R253" i="12"/>
  <c r="R252" i="12"/>
  <c r="R250" i="12"/>
  <c r="R249" i="12"/>
  <c r="R248" i="12"/>
  <c r="R246" i="12"/>
  <c r="R245" i="12"/>
  <c r="R244" i="12"/>
  <c r="R243" i="12"/>
  <c r="R242" i="12"/>
  <c r="R241" i="12"/>
  <c r="R239" i="12"/>
  <c r="R238" i="12"/>
  <c r="R237" i="12"/>
  <c r="R236" i="12"/>
  <c r="R235" i="12"/>
  <c r="R234" i="12"/>
  <c r="R233" i="12"/>
  <c r="R232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R215" i="12"/>
  <c r="R214" i="12"/>
  <c r="R213" i="12"/>
  <c r="R212" i="12"/>
  <c r="R211" i="12"/>
  <c r="R210" i="12"/>
  <c r="R209" i="12"/>
  <c r="R208" i="12"/>
  <c r="R207" i="12"/>
  <c r="R206" i="12"/>
  <c r="R205" i="12"/>
  <c r="R204" i="12"/>
  <c r="R203" i="12"/>
  <c r="R202" i="12"/>
  <c r="R201" i="12"/>
  <c r="R200" i="12"/>
  <c r="R199" i="12"/>
  <c r="R198" i="12"/>
  <c r="R197" i="12"/>
  <c r="R196" i="12"/>
  <c r="R195" i="12"/>
  <c r="R194" i="12"/>
  <c r="R193" i="12"/>
  <c r="R192" i="12"/>
  <c r="R191" i="12"/>
  <c r="R190" i="12"/>
  <c r="R189" i="12"/>
  <c r="R188" i="12"/>
  <c r="R187" i="12"/>
  <c r="R186" i="12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3" i="12"/>
  <c r="R172" i="12"/>
  <c r="R171" i="12"/>
  <c r="R170" i="12"/>
  <c r="R169" i="12"/>
  <c r="R168" i="12"/>
  <c r="R167" i="12"/>
  <c r="R166" i="12"/>
  <c r="R165" i="12"/>
  <c r="R164" i="12"/>
  <c r="R163" i="12"/>
  <c r="R162" i="12"/>
  <c r="R161" i="12"/>
  <c r="R160" i="12"/>
  <c r="R159" i="12"/>
  <c r="R158" i="12"/>
  <c r="R157" i="12"/>
  <c r="R156" i="12"/>
  <c r="R155" i="12"/>
  <c r="R154" i="12"/>
  <c r="R153" i="12"/>
  <c r="R152" i="12"/>
  <c r="R151" i="12"/>
  <c r="R150" i="12"/>
  <c r="R149" i="12"/>
  <c r="R148" i="12"/>
  <c r="R147" i="12"/>
  <c r="R146" i="12"/>
  <c r="R145" i="12"/>
  <c r="R144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6" i="12"/>
  <c r="R125" i="12"/>
  <c r="R124" i="12"/>
  <c r="R123" i="12"/>
  <c r="R122" i="12"/>
  <c r="R121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A1" i="12"/>
  <c r="A59" i="11"/>
  <c r="D52" i="11"/>
  <c r="D9" i="11"/>
  <c r="B9" i="11"/>
  <c r="D8" i="11"/>
  <c r="B8" i="11"/>
  <c r="E7" i="11"/>
  <c r="A6" i="11"/>
  <c r="A2" i="11"/>
  <c r="A1" i="11"/>
  <c r="B41" i="10"/>
  <c r="F34" i="10"/>
  <c r="G29" i="10"/>
  <c r="F29" i="10"/>
  <c r="F9" i="10"/>
  <c r="D9" i="10"/>
  <c r="F8" i="10"/>
  <c r="D8" i="10"/>
  <c r="A5" i="10"/>
  <c r="A2" i="10"/>
  <c r="A1" i="10"/>
  <c r="A166" i="9"/>
  <c r="B159" i="9"/>
  <c r="B157" i="9"/>
  <c r="C150" i="9"/>
  <c r="C137" i="9"/>
  <c r="C95" i="9"/>
  <c r="C87" i="9"/>
  <c r="C83" i="9"/>
  <c r="C79" i="9"/>
  <c r="C65" i="9"/>
  <c r="C56" i="9"/>
  <c r="C48" i="9"/>
  <c r="C40" i="9"/>
  <c r="C35" i="9"/>
  <c r="D7" i="9"/>
  <c r="B144" i="9" s="1"/>
  <c r="C7" i="9"/>
  <c r="C102" i="9" s="1"/>
  <c r="C6" i="9"/>
  <c r="A5" i="9"/>
  <c r="A2" i="9"/>
  <c r="A1" i="9"/>
  <c r="A10" i="8"/>
  <c r="A2" i="8"/>
  <c r="A1" i="8"/>
  <c r="C7" i="6"/>
  <c r="C9" i="11" s="1"/>
  <c r="B63" i="5"/>
  <c r="B55" i="5"/>
  <c r="B73" i="5" s="1"/>
  <c r="B54" i="5"/>
  <c r="B72" i="5" s="1"/>
  <c r="B53" i="5"/>
  <c r="B62" i="5" s="1"/>
  <c r="B52" i="5"/>
  <c r="B61" i="5" s="1"/>
  <c r="B47" i="5"/>
  <c r="B46" i="5"/>
  <c r="B45" i="5"/>
  <c r="B44" i="5"/>
  <c r="B43" i="5"/>
  <c r="B42" i="5"/>
  <c r="B36" i="5"/>
  <c r="B34" i="5"/>
  <c r="B33" i="5"/>
  <c r="B51" i="5" s="1"/>
  <c r="B32" i="5"/>
  <c r="B41" i="5" s="1"/>
  <c r="B29" i="5"/>
  <c r="B28" i="5"/>
  <c r="B27" i="5"/>
  <c r="B26" i="5"/>
  <c r="B25" i="5"/>
  <c r="B24" i="5"/>
  <c r="B23" i="5"/>
  <c r="BL8" i="4"/>
  <c r="BM8" i="4"/>
  <c r="BN8" i="4"/>
  <c r="BO8" i="4"/>
  <c r="BP8" i="4"/>
  <c r="BQ8" i="4"/>
  <c r="BR8" i="4"/>
  <c r="BS8" i="4"/>
  <c r="BT8" i="4"/>
  <c r="BU8" i="4"/>
  <c r="BV8" i="4"/>
  <c r="BW8" i="4"/>
  <c r="BL9" i="4"/>
  <c r="BM9" i="4"/>
  <c r="BN9" i="4"/>
  <c r="BO9" i="4"/>
  <c r="BP9" i="4"/>
  <c r="BQ9" i="4"/>
  <c r="BR9" i="4"/>
  <c r="BS9" i="4"/>
  <c r="BT9" i="4"/>
  <c r="BU9" i="4"/>
  <c r="BV9" i="4"/>
  <c r="BW9" i="4"/>
  <c r="BL10" i="4"/>
  <c r="BL11" i="4" s="1"/>
  <c r="BM10" i="4"/>
  <c r="BM11" i="4" s="1"/>
  <c r="BN10" i="4"/>
  <c r="BN11" i="4" s="1"/>
  <c r="BO10" i="4"/>
  <c r="BO11" i="4" s="1"/>
  <c r="BP10" i="4"/>
  <c r="BQ10" i="4"/>
  <c r="BR10" i="4"/>
  <c r="BS10" i="4"/>
  <c r="BT10" i="4"/>
  <c r="BU10" i="4"/>
  <c r="BV10" i="4"/>
  <c r="BV11" i="4" s="1"/>
  <c r="BW10" i="4"/>
  <c r="BW11" i="4" s="1"/>
  <c r="BP11" i="4"/>
  <c r="BR11" i="4"/>
  <c r="BS11" i="4"/>
  <c r="BL12" i="4"/>
  <c r="BL31" i="4" s="1"/>
  <c r="BM12" i="4"/>
  <c r="BN12" i="4"/>
  <c r="BO12" i="4"/>
  <c r="BO31" i="4" s="1"/>
  <c r="BP12" i="4"/>
  <c r="BQ12" i="4"/>
  <c r="BQ57" i="4" s="1"/>
  <c r="BR12" i="4"/>
  <c r="BR57" i="4" s="1"/>
  <c r="BS12" i="4"/>
  <c r="BT12" i="4"/>
  <c r="BU12" i="4"/>
  <c r="BU37" i="4" s="1"/>
  <c r="BV12" i="4"/>
  <c r="BV37" i="4" s="1"/>
  <c r="BW12" i="4"/>
  <c r="BL16" i="4"/>
  <c r="BM16" i="4"/>
  <c r="BN16" i="4"/>
  <c r="BO16" i="4"/>
  <c r="BP16" i="4"/>
  <c r="BP29" i="4" s="1"/>
  <c r="BQ16" i="4"/>
  <c r="BQ29" i="4" s="1"/>
  <c r="BR16" i="4"/>
  <c r="BS16" i="4"/>
  <c r="BS29" i="4" s="1"/>
  <c r="BT16" i="4"/>
  <c r="BU16" i="4"/>
  <c r="BV16" i="4"/>
  <c r="BW16" i="4"/>
  <c r="BL29" i="4"/>
  <c r="BM29" i="4"/>
  <c r="BN29" i="4"/>
  <c r="BO29" i="4"/>
  <c r="BT29" i="4"/>
  <c r="BU29" i="4"/>
  <c r="BV29" i="4"/>
  <c r="BW29" i="4"/>
  <c r="BL30" i="4"/>
  <c r="BM30" i="4"/>
  <c r="BN30" i="4"/>
  <c r="BO30" i="4"/>
  <c r="BP30" i="4"/>
  <c r="BP31" i="4" s="1"/>
  <c r="BQ30" i="4"/>
  <c r="BR30" i="4"/>
  <c r="BS30" i="4"/>
  <c r="BT30" i="4"/>
  <c r="BU30" i="4"/>
  <c r="BU31" i="4" s="1"/>
  <c r="BV30" i="4"/>
  <c r="BV31" i="4" s="1"/>
  <c r="BW30" i="4"/>
  <c r="BW31" i="4" s="1"/>
  <c r="BM31" i="4"/>
  <c r="BN31" i="4"/>
  <c r="BT31" i="4"/>
  <c r="BL32" i="4"/>
  <c r="BM32" i="4"/>
  <c r="BM33" i="4" s="1"/>
  <c r="BN32" i="4"/>
  <c r="BN33" i="4" s="1"/>
  <c r="BO32" i="4"/>
  <c r="BO33" i="4" s="1"/>
  <c r="BP32" i="4"/>
  <c r="BP33" i="4" s="1"/>
  <c r="BQ32" i="4"/>
  <c r="BR32" i="4"/>
  <c r="BS32" i="4"/>
  <c r="BT32" i="4"/>
  <c r="BU32" i="4"/>
  <c r="BV32" i="4"/>
  <c r="BV33" i="4" s="1"/>
  <c r="BW32" i="4"/>
  <c r="BW33" i="4" s="1"/>
  <c r="BT33" i="4"/>
  <c r="BU33" i="4"/>
  <c r="BL34" i="4"/>
  <c r="BM34" i="4"/>
  <c r="BM35" i="4" s="1"/>
  <c r="BN34" i="4"/>
  <c r="BN35" i="4" s="1"/>
  <c r="BP34" i="4"/>
  <c r="BP35" i="4" s="1"/>
  <c r="BQ34" i="4"/>
  <c r="BR34" i="4"/>
  <c r="BS34" i="4"/>
  <c r="BS35" i="4" s="1"/>
  <c r="BT34" i="4"/>
  <c r="BT35" i="4" s="1"/>
  <c r="BU34" i="4"/>
  <c r="BU35" i="4" s="1"/>
  <c r="BV34" i="4"/>
  <c r="BW34" i="4"/>
  <c r="BW35" i="4"/>
  <c r="BL36" i="4"/>
  <c r="BM36" i="4"/>
  <c r="BM37" i="4" s="1"/>
  <c r="BN36" i="4"/>
  <c r="BN37" i="4" s="1"/>
  <c r="BO36" i="4"/>
  <c r="BP36" i="4"/>
  <c r="BP37" i="4" s="1"/>
  <c r="BQ36" i="4"/>
  <c r="BR36" i="4"/>
  <c r="BS36" i="4"/>
  <c r="BT36" i="4"/>
  <c r="BU36" i="4"/>
  <c r="BV36" i="4"/>
  <c r="BW36" i="4"/>
  <c r="BO37" i="4"/>
  <c r="BT37" i="4"/>
  <c r="BW37" i="4"/>
  <c r="BL38" i="4"/>
  <c r="BM38" i="4"/>
  <c r="BM39" i="4" s="1"/>
  <c r="BN38" i="4"/>
  <c r="BO38" i="4"/>
  <c r="BO39" i="4" s="1"/>
  <c r="BP38" i="4"/>
  <c r="BP39" i="4" s="1"/>
  <c r="BQ38" i="4"/>
  <c r="BR38" i="4"/>
  <c r="BS38" i="4"/>
  <c r="BS39" i="4" s="1"/>
  <c r="BT38" i="4"/>
  <c r="BT39" i="4" s="1"/>
  <c r="BU38" i="4"/>
  <c r="BV38" i="4"/>
  <c r="BV39" i="4" s="1"/>
  <c r="BW38" i="4"/>
  <c r="BN39" i="4"/>
  <c r="BU39" i="4"/>
  <c r="BW39" i="4"/>
  <c r="BL40" i="4"/>
  <c r="BL48" i="4" s="1"/>
  <c r="BM40" i="4"/>
  <c r="BN40" i="4"/>
  <c r="BO40" i="4"/>
  <c r="BO48" i="4" s="1"/>
  <c r="BP40" i="4"/>
  <c r="BP48" i="4" s="1"/>
  <c r="BQ40" i="4"/>
  <c r="BR40" i="4"/>
  <c r="BS40" i="4"/>
  <c r="BT40" i="4"/>
  <c r="BU40" i="4"/>
  <c r="BV40" i="4"/>
  <c r="BW40" i="4"/>
  <c r="BW48" i="4" s="1"/>
  <c r="BM48" i="4"/>
  <c r="BN48" i="4"/>
  <c r="BT48" i="4"/>
  <c r="BU48" i="4"/>
  <c r="BL49" i="4"/>
  <c r="BM49" i="4"/>
  <c r="BM54" i="4" s="1"/>
  <c r="BN49" i="4"/>
  <c r="BN54" i="4" s="1"/>
  <c r="BO49" i="4"/>
  <c r="BO54" i="4" s="1"/>
  <c r="BP49" i="4"/>
  <c r="BP54" i="4" s="1"/>
  <c r="BQ49" i="4"/>
  <c r="BQ54" i="4" s="1"/>
  <c r="BR49" i="4"/>
  <c r="BS49" i="4"/>
  <c r="BT49" i="4"/>
  <c r="BT54" i="4" s="1"/>
  <c r="BU49" i="4"/>
  <c r="BV49" i="4"/>
  <c r="BW49" i="4"/>
  <c r="BU54" i="4"/>
  <c r="BV54" i="4"/>
  <c r="BW54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L56" i="4"/>
  <c r="BM56" i="4"/>
  <c r="BM57" i="4" s="1"/>
  <c r="BN56" i="4"/>
  <c r="BN57" i="4" s="1"/>
  <c r="BO56" i="4"/>
  <c r="BP56" i="4"/>
  <c r="BP57" i="4" s="1"/>
  <c r="BQ56" i="4"/>
  <c r="BR56" i="4"/>
  <c r="BS56" i="4"/>
  <c r="BS57" i="4" s="1"/>
  <c r="BT56" i="4"/>
  <c r="BT57" i="4" s="1"/>
  <c r="BU56" i="4"/>
  <c r="BU57" i="4" s="1"/>
  <c r="BV56" i="4"/>
  <c r="BV57" i="4" s="1"/>
  <c r="BW56" i="4"/>
  <c r="BW57" i="4" s="1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BJ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BJ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BJ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BK12" i="4"/>
  <c r="BJ12" i="4"/>
  <c r="BI12" i="4"/>
  <c r="BH12" i="4"/>
  <c r="BG12" i="4"/>
  <c r="BF12" i="4"/>
  <c r="BE12" i="4"/>
  <c r="BE31" i="4" s="1"/>
  <c r="BD12" i="4"/>
  <c r="BD31" i="4" s="1"/>
  <c r="BC12" i="4"/>
  <c r="BB12" i="4"/>
  <c r="BA12" i="4"/>
  <c r="AZ12" i="4"/>
  <c r="AY12" i="4"/>
  <c r="AX12" i="4"/>
  <c r="AW12" i="4"/>
  <c r="AW29" i="4" s="1"/>
  <c r="AV12" i="4"/>
  <c r="AV31" i="4" s="1"/>
  <c r="AU12" i="4"/>
  <c r="AT12" i="4"/>
  <c r="AS12" i="4"/>
  <c r="AR12" i="4"/>
  <c r="AQ12" i="4"/>
  <c r="AP12" i="4"/>
  <c r="AO12" i="4"/>
  <c r="AN12" i="4"/>
  <c r="AN57" i="4" s="1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BK40" i="3"/>
  <c r="BI40" i="3"/>
  <c r="BH40" i="3"/>
  <c r="AW40" i="3"/>
  <c r="AV40" i="3"/>
  <c r="AU40" i="3"/>
  <c r="AT40" i="3"/>
  <c r="AS40" i="3"/>
  <c r="AR40" i="3"/>
  <c r="AQ40" i="3"/>
  <c r="AP40" i="3"/>
  <c r="AO40" i="3"/>
  <c r="AN40" i="3"/>
  <c r="BG34" i="3"/>
  <c r="BG40" i="3" s="1"/>
  <c r="BF34" i="3"/>
  <c r="BF40" i="3" s="1"/>
  <c r="BE34" i="3"/>
  <c r="BE40" i="3" s="1"/>
  <c r="BD34" i="3"/>
  <c r="BD40" i="3" s="1"/>
  <c r="BC34" i="3"/>
  <c r="BC40" i="3" s="1"/>
  <c r="BB34" i="3"/>
  <c r="BB40" i="3" s="1"/>
  <c r="BA34" i="3"/>
  <c r="BA40" i="3" s="1"/>
  <c r="AZ34" i="3"/>
  <c r="AZ40" i="3" s="1"/>
  <c r="AY34" i="3"/>
  <c r="AY40" i="3" s="1"/>
  <c r="AX34" i="3"/>
  <c r="AX40" i="3" s="1"/>
  <c r="BH31" i="3"/>
  <c r="BH32" i="3" s="1"/>
  <c r="AR31" i="3"/>
  <c r="AR32" i="3" s="1"/>
  <c r="BH17" i="3"/>
  <c r="BG17" i="3"/>
  <c r="BF17" i="3"/>
  <c r="BE17" i="3"/>
  <c r="BD17" i="3"/>
  <c r="BC17" i="3"/>
  <c r="BB17" i="3"/>
  <c r="BA17" i="3"/>
  <c r="AZ17" i="3"/>
  <c r="AY17" i="3"/>
  <c r="AX17" i="3"/>
  <c r="BH16" i="3"/>
  <c r="BG16" i="3"/>
  <c r="BF16" i="3"/>
  <c r="BE16" i="3"/>
  <c r="BD16" i="3"/>
  <c r="BC16" i="3"/>
  <c r="BB16" i="3"/>
  <c r="BA16" i="3"/>
  <c r="AZ16" i="3"/>
  <c r="AY16" i="3"/>
  <c r="AX16" i="3"/>
  <c r="BH14" i="3"/>
  <c r="BG14" i="3"/>
  <c r="BF14" i="3"/>
  <c r="BE14" i="3"/>
  <c r="BD14" i="3"/>
  <c r="BC14" i="3"/>
  <c r="BB14" i="3"/>
  <c r="BA14" i="3"/>
  <c r="AZ14" i="3"/>
  <c r="AY14" i="3"/>
  <c r="AX14" i="3"/>
  <c r="AT14" i="3"/>
  <c r="AS14" i="3"/>
  <c r="AR14" i="3"/>
  <c r="AQ14" i="3"/>
  <c r="AP14" i="3"/>
  <c r="BC13" i="3"/>
  <c r="BK10" i="3"/>
  <c r="BK31" i="3" s="1"/>
  <c r="BK32" i="3" s="1"/>
  <c r="BI10" i="3"/>
  <c r="BI31" i="3" s="1"/>
  <c r="BI32" i="3" s="1"/>
  <c r="BH10" i="3"/>
  <c r="BG10" i="3"/>
  <c r="BG31" i="3" s="1"/>
  <c r="BG32" i="3" s="1"/>
  <c r="BF10" i="3"/>
  <c r="BF31" i="3" s="1"/>
  <c r="BF32" i="3" s="1"/>
  <c r="BE10" i="3"/>
  <c r="BE31" i="3" s="1"/>
  <c r="BE32" i="3" s="1"/>
  <c r="BD10" i="3"/>
  <c r="BD31" i="3" s="1"/>
  <c r="BD32" i="3" s="1"/>
  <c r="BC10" i="3"/>
  <c r="BC31" i="3" s="1"/>
  <c r="BC32" i="3" s="1"/>
  <c r="BB10" i="3"/>
  <c r="BB31" i="3" s="1"/>
  <c r="BB32" i="3" s="1"/>
  <c r="BA10" i="3"/>
  <c r="BA31" i="3" s="1"/>
  <c r="BA32" i="3" s="1"/>
  <c r="AZ10" i="3"/>
  <c r="AZ31" i="3" s="1"/>
  <c r="AZ32" i="3" s="1"/>
  <c r="AY10" i="3"/>
  <c r="AY31" i="3" s="1"/>
  <c r="AY32" i="3" s="1"/>
  <c r="AX10" i="3"/>
  <c r="AX31" i="3" s="1"/>
  <c r="AX32" i="3" s="1"/>
  <c r="AW10" i="3"/>
  <c r="AW31" i="3" s="1"/>
  <c r="AW32" i="3" s="1"/>
  <c r="AV10" i="3"/>
  <c r="AV31" i="3" s="1"/>
  <c r="AV32" i="3" s="1"/>
  <c r="AU10" i="3"/>
  <c r="AU31" i="3" s="1"/>
  <c r="AU32" i="3" s="1"/>
  <c r="AT10" i="3"/>
  <c r="AT31" i="3" s="1"/>
  <c r="AT32" i="3" s="1"/>
  <c r="AS10" i="3"/>
  <c r="AS31" i="3" s="1"/>
  <c r="AS32" i="3" s="1"/>
  <c r="AR10" i="3"/>
  <c r="AQ10" i="3"/>
  <c r="AQ31" i="3" s="1"/>
  <c r="AQ32" i="3" s="1"/>
  <c r="AP10" i="3"/>
  <c r="AP31" i="3" s="1"/>
  <c r="AP32" i="3" s="1"/>
  <c r="AO10" i="3"/>
  <c r="AO31" i="3" s="1"/>
  <c r="AO32" i="3" s="1"/>
  <c r="AN10" i="3"/>
  <c r="AN31" i="3" s="1"/>
  <c r="AN32" i="3" s="1"/>
  <c r="BH5" i="3"/>
  <c r="BH13" i="3" s="1"/>
  <c r="BG5" i="3"/>
  <c r="BG13" i="3" s="1"/>
  <c r="BF5" i="3"/>
  <c r="BF13" i="3" s="1"/>
  <c r="BE5" i="3"/>
  <c r="BE13" i="3" s="1"/>
  <c r="BD5" i="3"/>
  <c r="BD13" i="3" s="1"/>
  <c r="BC5" i="3"/>
  <c r="BB5" i="3"/>
  <c r="BB13" i="3" s="1"/>
  <c r="BA5" i="3"/>
  <c r="BA13" i="3" s="1"/>
  <c r="AZ5" i="3"/>
  <c r="AZ13" i="3" s="1"/>
  <c r="AY5" i="3"/>
  <c r="AY13" i="3" s="1"/>
  <c r="AX5" i="3"/>
  <c r="AX13" i="3" s="1"/>
  <c r="AW5" i="3"/>
  <c r="AW13" i="3" s="1"/>
  <c r="AV5" i="3"/>
  <c r="AU5" i="3"/>
  <c r="AO5" i="3"/>
  <c r="AO13" i="3" s="1"/>
  <c r="AO23" i="3" s="1"/>
  <c r="AT19" i="2"/>
  <c r="AS19" i="2"/>
  <c r="AR19" i="2"/>
  <c r="AQ19" i="2"/>
  <c r="AP19" i="2"/>
  <c r="AO19" i="2"/>
  <c r="BK16" i="2"/>
  <c r="BK20" i="2" s="1"/>
  <c r="BK23" i="2" s="1"/>
  <c r="BK38" i="4" s="1"/>
  <c r="BK39" i="4" s="1"/>
  <c r="BI16" i="2"/>
  <c r="BI20" i="2" s="1"/>
  <c r="AT16" i="2"/>
  <c r="AT20" i="2" s="1"/>
  <c r="AT23" i="2" s="1"/>
  <c r="AT38" i="4" s="1"/>
  <c r="AS16" i="2"/>
  <c r="AS20" i="2" s="1"/>
  <c r="AS23" i="2" s="1"/>
  <c r="AS38" i="4" s="1"/>
  <c r="AS39" i="4" s="1"/>
  <c r="AR16" i="2"/>
  <c r="AR20" i="2" s="1"/>
  <c r="AR23" i="2" s="1"/>
  <c r="AR38" i="4" s="1"/>
  <c r="AQ16" i="2"/>
  <c r="AQ20" i="2" s="1"/>
  <c r="AP16" i="2"/>
  <c r="AP20" i="2" s="1"/>
  <c r="AO16" i="2"/>
  <c r="AO20" i="2" s="1"/>
  <c r="AO23" i="2" s="1"/>
  <c r="AO38" i="4" s="1"/>
  <c r="AN16" i="2"/>
  <c r="AN20" i="2" s="1"/>
  <c r="AN23" i="2" s="1"/>
  <c r="AN38" i="4" s="1"/>
  <c r="AN39" i="4" s="1"/>
  <c r="BK126" i="1"/>
  <c r="AT126" i="1"/>
  <c r="AR126" i="1"/>
  <c r="AQ126" i="1"/>
  <c r="AP126" i="1"/>
  <c r="AO126" i="1"/>
  <c r="AN126" i="1"/>
  <c r="BK115" i="1"/>
  <c r="AT115" i="1"/>
  <c r="AS115" i="1"/>
  <c r="AR115" i="1"/>
  <c r="AQ115" i="1"/>
  <c r="AP115" i="1"/>
  <c r="AO115" i="1"/>
  <c r="AN115" i="1"/>
  <c r="BK82" i="1"/>
  <c r="AT83" i="1"/>
  <c r="AT82" i="1" s="1"/>
  <c r="AS83" i="1"/>
  <c r="AS82" i="1" s="1"/>
  <c r="AR83" i="1"/>
  <c r="AR82" i="1" s="1"/>
  <c r="AQ83" i="1"/>
  <c r="AQ82" i="1" s="1"/>
  <c r="AP83" i="1"/>
  <c r="AP82" i="1" s="1"/>
  <c r="AO83" i="1"/>
  <c r="AO82" i="1" s="1"/>
  <c r="AN83" i="1"/>
  <c r="AN82" i="1" s="1"/>
  <c r="BK51" i="1"/>
  <c r="AT51" i="1"/>
  <c r="AR51" i="1"/>
  <c r="AQ51" i="1"/>
  <c r="AP51" i="1"/>
  <c r="AO51" i="1"/>
  <c r="AN51" i="1"/>
  <c r="BK45" i="1"/>
  <c r="AT45" i="1"/>
  <c r="AR45" i="1"/>
  <c r="AQ45" i="1"/>
  <c r="AP45" i="1"/>
  <c r="AO45" i="1"/>
  <c r="AN45" i="1"/>
  <c r="BK30" i="1"/>
  <c r="AT30" i="1"/>
  <c r="AR30" i="1"/>
  <c r="AQ30" i="1"/>
  <c r="AP30" i="1"/>
  <c r="AO30" i="1"/>
  <c r="AN30" i="1"/>
  <c r="BK15" i="1"/>
  <c r="AT15" i="1"/>
  <c r="AR15" i="1"/>
  <c r="AQ15" i="1"/>
  <c r="AP15" i="1"/>
  <c r="AO15" i="1"/>
  <c r="AN15" i="1"/>
  <c r="BK8" i="1"/>
  <c r="AT8" i="1"/>
  <c r="AR8" i="1"/>
  <c r="AQ8" i="1"/>
  <c r="AP8" i="1"/>
  <c r="AO8" i="1"/>
  <c r="AN8" i="1"/>
  <c r="BK5" i="1"/>
  <c r="AT5" i="1"/>
  <c r="AS5" i="1"/>
  <c r="AS4" i="1" s="1"/>
  <c r="AS81" i="1" s="1"/>
  <c r="AR5" i="1"/>
  <c r="AQ5" i="1"/>
  <c r="AP5" i="1"/>
  <c r="AO5" i="1"/>
  <c r="AN5" i="1"/>
  <c r="BR39" i="4" l="1"/>
  <c r="BT11" i="4"/>
  <c r="AO39" i="4"/>
  <c r="BQ39" i="4"/>
  <c r="BL37" i="4"/>
  <c r="BR35" i="4"/>
  <c r="BQ35" i="4"/>
  <c r="BS31" i="4"/>
  <c r="BV35" i="4"/>
  <c r="BR31" i="4"/>
  <c r="BQ11" i="4"/>
  <c r="BL54" i="4"/>
  <c r="BS48" i="4"/>
  <c r="BQ31" i="4"/>
  <c r="BH11" i="4"/>
  <c r="BR48" i="4"/>
  <c r="BU11" i="4"/>
  <c r="BO57" i="4"/>
  <c r="BV48" i="4"/>
  <c r="BQ48" i="4"/>
  <c r="BL39" i="4"/>
  <c r="BS37" i="4"/>
  <c r="BS33" i="4"/>
  <c r="BR33" i="4"/>
  <c r="BQ37" i="4"/>
  <c r="BQ33" i="4"/>
  <c r="BR37" i="4"/>
  <c r="BS54" i="4"/>
  <c r="BR29" i="4"/>
  <c r="BR54" i="4"/>
  <c r="AO41" i="3"/>
  <c r="E16" i="11"/>
  <c r="E37" i="11"/>
  <c r="E38" i="11" s="1"/>
  <c r="E11" i="11"/>
  <c r="AT39" i="4"/>
  <c r="AU13" i="3"/>
  <c r="AU23" i="3" s="1"/>
  <c r="AR32" i="4"/>
  <c r="AR34" i="4"/>
  <c r="AR35" i="4" s="1"/>
  <c r="AS5" i="3"/>
  <c r="AS13" i="3" s="1"/>
  <c r="AV13" i="3"/>
  <c r="AZ11" i="4"/>
  <c r="E40" i="11"/>
  <c r="E46" i="11" s="1"/>
  <c r="BL35" i="4"/>
  <c r="BL57" i="4"/>
  <c r="BL33" i="4"/>
  <c r="B49" i="9"/>
  <c r="B23" i="9"/>
  <c r="B96" i="9"/>
  <c r="B12" i="9"/>
  <c r="B50" i="9"/>
  <c r="B24" i="9"/>
  <c r="B113" i="9"/>
  <c r="B15" i="9"/>
  <c r="B38" i="9"/>
  <c r="B70" i="9"/>
  <c r="B16" i="9"/>
  <c r="B41" i="9"/>
  <c r="B88" i="9"/>
  <c r="B28" i="9"/>
  <c r="B60" i="9"/>
  <c r="B107" i="9"/>
  <c r="E9" i="11"/>
  <c r="B29" i="9"/>
  <c r="B61" i="9"/>
  <c r="B119" i="9"/>
  <c r="B20" i="9"/>
  <c r="B76" i="9"/>
  <c r="B42" i="9"/>
  <c r="B63" i="9"/>
  <c r="B80" i="9"/>
  <c r="B98" i="9"/>
  <c r="B115" i="9"/>
  <c r="B123" i="9"/>
  <c r="B135" i="9"/>
  <c r="B152" i="9"/>
  <c r="B32" i="9"/>
  <c r="B51" i="9"/>
  <c r="B72" i="9"/>
  <c r="B90" i="9"/>
  <c r="B109" i="9"/>
  <c r="B129" i="9"/>
  <c r="B145" i="9"/>
  <c r="B25" i="9"/>
  <c r="B33" i="9"/>
  <c r="B43" i="9"/>
  <c r="B52" i="9"/>
  <c r="B64" i="9"/>
  <c r="B73" i="9"/>
  <c r="B91" i="9"/>
  <c r="B99" i="9"/>
  <c r="B110" i="9"/>
  <c r="B116" i="9"/>
  <c r="B124" i="9"/>
  <c r="B130" i="9"/>
  <c r="B146" i="9"/>
  <c r="B17" i="9"/>
  <c r="B81" i="9"/>
  <c r="B140" i="9"/>
  <c r="B139" i="9" s="1"/>
  <c r="B18" i="9"/>
  <c r="B26" i="9"/>
  <c r="B36" i="9"/>
  <c r="B44" i="9"/>
  <c r="B53" i="9"/>
  <c r="B66" i="9"/>
  <c r="B74" i="9"/>
  <c r="B84" i="9"/>
  <c r="B92" i="9"/>
  <c r="B105" i="9"/>
  <c r="B111" i="9"/>
  <c r="B117" i="9"/>
  <c r="B125" i="9"/>
  <c r="B131" i="9"/>
  <c r="B147" i="9"/>
  <c r="B141" i="9"/>
  <c r="B19" i="9"/>
  <c r="B37" i="9"/>
  <c r="B54" i="9"/>
  <c r="B75" i="9"/>
  <c r="B93" i="9"/>
  <c r="B118" i="9"/>
  <c r="B132" i="9"/>
  <c r="B148" i="9"/>
  <c r="B11" i="9"/>
  <c r="B27" i="9"/>
  <c r="B45" i="9"/>
  <c r="B67" i="9"/>
  <c r="B85" i="9"/>
  <c r="B106" i="9"/>
  <c r="B112" i="9"/>
  <c r="B126" i="9"/>
  <c r="B142" i="9"/>
  <c r="B149" i="9"/>
  <c r="B127" i="9"/>
  <c r="B133" i="9"/>
  <c r="B143" i="9"/>
  <c r="B151" i="9"/>
  <c r="B71" i="9"/>
  <c r="B77" i="9"/>
  <c r="B89" i="9"/>
  <c r="B97" i="9"/>
  <c r="B108" i="9"/>
  <c r="B114" i="9"/>
  <c r="B122" i="9"/>
  <c r="B128" i="9"/>
  <c r="B134" i="9"/>
  <c r="C139" i="9"/>
  <c r="C138" i="9" s="1"/>
  <c r="C104" i="9"/>
  <c r="C103" i="9" s="1"/>
  <c r="C10" i="9"/>
  <c r="C47" i="9"/>
  <c r="C19" i="11"/>
  <c r="C29" i="11" s="1"/>
  <c r="C38" i="11"/>
  <c r="C46" i="11"/>
  <c r="C8" i="9"/>
  <c r="E9" i="10"/>
  <c r="B7" i="9"/>
  <c r="G9" i="10"/>
  <c r="B60" i="5"/>
  <c r="B69" i="5"/>
  <c r="B64" i="5"/>
  <c r="B70" i="5"/>
  <c r="B71" i="5"/>
  <c r="B50" i="5"/>
  <c r="AP23" i="2"/>
  <c r="AP38" i="4" s="1"/>
  <c r="AP39" i="4" s="1"/>
  <c r="AP34" i="4"/>
  <c r="AP35" i="4" s="1"/>
  <c r="AP32" i="4"/>
  <c r="AP33" i="4" s="1"/>
  <c r="AP5" i="3"/>
  <c r="AP13" i="3" s="1"/>
  <c r="AP23" i="3" s="1"/>
  <c r="AP41" i="3" s="1"/>
  <c r="AQ23" i="2"/>
  <c r="AQ38" i="4" s="1"/>
  <c r="AQ39" i="4" s="1"/>
  <c r="AQ5" i="3"/>
  <c r="AQ13" i="3" s="1"/>
  <c r="AQ34" i="4"/>
  <c r="AQ35" i="4" s="1"/>
  <c r="AQ32" i="4"/>
  <c r="AQ33" i="4" s="1"/>
  <c r="BI23" i="2"/>
  <c r="BI38" i="4" s="1"/>
  <c r="BI39" i="4" s="1"/>
  <c r="BI5" i="3"/>
  <c r="BI13" i="3" s="1"/>
  <c r="BI23" i="3" s="1"/>
  <c r="BI34" i="4"/>
  <c r="BI35" i="4" s="1"/>
  <c r="BI32" i="4"/>
  <c r="BI33" i="4" s="1"/>
  <c r="AR31" i="4"/>
  <c r="BH33" i="4"/>
  <c r="AR39" i="4"/>
  <c r="AN5" i="3"/>
  <c r="AN13" i="3" s="1"/>
  <c r="AN23" i="3" s="1"/>
  <c r="AN41" i="3" s="1"/>
  <c r="AQ11" i="4"/>
  <c r="AY11" i="4"/>
  <c r="BG11" i="4"/>
  <c r="AQ29" i="4"/>
  <c r="AY29" i="4"/>
  <c r="BG29" i="4"/>
  <c r="AQ31" i="4"/>
  <c r="AY31" i="4"/>
  <c r="BG31" i="4"/>
  <c r="AY33" i="4"/>
  <c r="BG33" i="4"/>
  <c r="AY35" i="4"/>
  <c r="BG35" i="4"/>
  <c r="AQ37" i="4"/>
  <c r="AY37" i="4"/>
  <c r="BG37" i="4"/>
  <c r="AY39" i="4"/>
  <c r="BG39" i="4"/>
  <c r="AQ48" i="4"/>
  <c r="AY48" i="4"/>
  <c r="BG48" i="4"/>
  <c r="AQ54" i="4"/>
  <c r="AY54" i="4"/>
  <c r="BG54" i="4"/>
  <c r="AQ57" i="4"/>
  <c r="AY57" i="4"/>
  <c r="BG57" i="4"/>
  <c r="AZ29" i="4"/>
  <c r="AZ37" i="4"/>
  <c r="AZ39" i="4"/>
  <c r="AR48" i="4"/>
  <c r="AZ48" i="4"/>
  <c r="BH48" i="4"/>
  <c r="AR54" i="4"/>
  <c r="AQ23" i="3"/>
  <c r="AQ41" i="3" s="1"/>
  <c r="AS11" i="4"/>
  <c r="BA11" i="4"/>
  <c r="BI11" i="4"/>
  <c r="AS29" i="4"/>
  <c r="BA29" i="4"/>
  <c r="BI29" i="4"/>
  <c r="AS31" i="4"/>
  <c r="BA31" i="4"/>
  <c r="BI31" i="4"/>
  <c r="AS32" i="4"/>
  <c r="AS33" i="4" s="1"/>
  <c r="BA33" i="4"/>
  <c r="AS34" i="4"/>
  <c r="AS35" i="4" s="1"/>
  <c r="BA35" i="4"/>
  <c r="AS37" i="4"/>
  <c r="BA37" i="4"/>
  <c r="BI37" i="4"/>
  <c r="BA39" i="4"/>
  <c r="AS48" i="4"/>
  <c r="BA48" i="4"/>
  <c r="BI48" i="4"/>
  <c r="AS54" i="4"/>
  <c r="BA54" i="4"/>
  <c r="BI54" i="4"/>
  <c r="AS57" i="4"/>
  <c r="BA57" i="4"/>
  <c r="BI57" i="4"/>
  <c r="BH29" i="4"/>
  <c r="AZ35" i="4"/>
  <c r="BH37" i="4"/>
  <c r="AZ54" i="4"/>
  <c r="AT11" i="4"/>
  <c r="BB11" i="4"/>
  <c r="BJ11" i="4"/>
  <c r="AT29" i="4"/>
  <c r="BB29" i="4"/>
  <c r="BJ29" i="4"/>
  <c r="AT31" i="4"/>
  <c r="BB31" i="4"/>
  <c r="BJ31" i="4"/>
  <c r="AT32" i="4"/>
  <c r="AT33" i="4" s="1"/>
  <c r="BB33" i="4"/>
  <c r="BJ33" i="4"/>
  <c r="AT34" i="4"/>
  <c r="AT35" i="4" s="1"/>
  <c r="BB35" i="4"/>
  <c r="BJ35" i="4"/>
  <c r="AT37" i="4"/>
  <c r="BB37" i="4"/>
  <c r="BJ37" i="4"/>
  <c r="BB39" i="4"/>
  <c r="BJ39" i="4"/>
  <c r="AT48" i="4"/>
  <c r="BB48" i="4"/>
  <c r="BJ48" i="4"/>
  <c r="AT54" i="4"/>
  <c r="BB54" i="4"/>
  <c r="BJ54" i="4"/>
  <c r="AT57" i="4"/>
  <c r="BB57" i="4"/>
  <c r="BJ57" i="4"/>
  <c r="AZ33" i="4"/>
  <c r="BH54" i="4"/>
  <c r="AR5" i="3"/>
  <c r="AR13" i="3" s="1"/>
  <c r="AU11" i="4"/>
  <c r="BC11" i="4"/>
  <c r="BK11" i="4"/>
  <c r="AU29" i="4"/>
  <c r="BC29" i="4"/>
  <c r="BK29" i="4"/>
  <c r="AU31" i="4"/>
  <c r="BC31" i="4"/>
  <c r="BK31" i="4"/>
  <c r="AU33" i="4"/>
  <c r="BC33" i="4"/>
  <c r="BK32" i="4"/>
  <c r="BK33" i="4" s="1"/>
  <c r="AU35" i="4"/>
  <c r="BC35" i="4"/>
  <c r="BK34" i="4"/>
  <c r="BK35" i="4" s="1"/>
  <c r="AU37" i="4"/>
  <c r="BC37" i="4"/>
  <c r="BK37" i="4"/>
  <c r="AU39" i="4"/>
  <c r="BC39" i="4"/>
  <c r="AU48" i="4"/>
  <c r="BC48" i="4"/>
  <c r="BK48" i="4"/>
  <c r="AU54" i="4"/>
  <c r="BC54" i="4"/>
  <c r="BK54" i="4"/>
  <c r="AU57" i="4"/>
  <c r="BC57" i="4"/>
  <c r="BK57" i="4"/>
  <c r="AR33" i="4"/>
  <c r="AR57" i="4"/>
  <c r="AN11" i="4"/>
  <c r="AV11" i="4"/>
  <c r="BD11" i="4"/>
  <c r="AN29" i="4"/>
  <c r="AV29" i="4"/>
  <c r="BD29" i="4"/>
  <c r="AN31" i="4"/>
  <c r="AN32" i="4"/>
  <c r="AN33" i="4" s="1"/>
  <c r="AV33" i="4"/>
  <c r="BD33" i="4"/>
  <c r="AN34" i="4"/>
  <c r="AN35" i="4" s="1"/>
  <c r="BD35" i="4"/>
  <c r="AN37" i="4"/>
  <c r="AV37" i="4"/>
  <c r="BD37" i="4"/>
  <c r="AV39" i="4"/>
  <c r="BD39" i="4"/>
  <c r="AN48" i="4"/>
  <c r="AV48" i="4"/>
  <c r="BD48" i="4"/>
  <c r="AN54" i="4"/>
  <c r="AV54" i="4"/>
  <c r="BD54" i="4"/>
  <c r="AV57" i="4"/>
  <c r="BD57" i="4"/>
  <c r="AR29" i="4"/>
  <c r="AZ31" i="4"/>
  <c r="AR37" i="4"/>
  <c r="BH57" i="4"/>
  <c r="AT5" i="3"/>
  <c r="AT13" i="3" s="1"/>
  <c r="AT23" i="3" s="1"/>
  <c r="AT41" i="3" s="1"/>
  <c r="BK5" i="3"/>
  <c r="BK13" i="3" s="1"/>
  <c r="BK23" i="3" s="1"/>
  <c r="BK41" i="3" s="1"/>
  <c r="BK44" i="3" s="1"/>
  <c r="AO11" i="4"/>
  <c r="AW11" i="4"/>
  <c r="BE11" i="4"/>
  <c r="AO29" i="4"/>
  <c r="AO31" i="4"/>
  <c r="AW31" i="4"/>
  <c r="AO32" i="4"/>
  <c r="AO33" i="4" s="1"/>
  <c r="AW33" i="4"/>
  <c r="BE33" i="4"/>
  <c r="AO34" i="4"/>
  <c r="AO35" i="4" s="1"/>
  <c r="BE35" i="4"/>
  <c r="AW37" i="4"/>
  <c r="AW39" i="4"/>
  <c r="BE39" i="4"/>
  <c r="AO48" i="4"/>
  <c r="AW48" i="4"/>
  <c r="BE48" i="4"/>
  <c r="AO54" i="4"/>
  <c r="AW54" i="4"/>
  <c r="BE54" i="4"/>
  <c r="AO57" i="4"/>
  <c r="AW57" i="4"/>
  <c r="BE57" i="4"/>
  <c r="AR11" i="4"/>
  <c r="BH31" i="4"/>
  <c r="BH35" i="4"/>
  <c r="BH39" i="4"/>
  <c r="AZ57" i="4"/>
  <c r="AP11" i="4"/>
  <c r="AX11" i="4"/>
  <c r="BF11" i="4"/>
  <c r="AP29" i="4"/>
  <c r="AX29" i="4"/>
  <c r="BF29" i="4"/>
  <c r="AP31" i="4"/>
  <c r="AX31" i="4"/>
  <c r="BF31" i="4"/>
  <c r="AX33" i="4"/>
  <c r="BF33" i="4"/>
  <c r="AX35" i="4"/>
  <c r="BF35" i="4"/>
  <c r="AP37" i="4"/>
  <c r="AX37" i="4"/>
  <c r="BF37" i="4"/>
  <c r="AX39" i="4"/>
  <c r="BF39" i="4"/>
  <c r="AP48" i="4"/>
  <c r="AX48" i="4"/>
  <c r="BF48" i="4"/>
  <c r="AP54" i="4"/>
  <c r="AX54" i="4"/>
  <c r="BF54" i="4"/>
  <c r="AP57" i="4"/>
  <c r="AX57" i="4"/>
  <c r="BF57" i="4"/>
  <c r="AN44" i="1"/>
  <c r="AN36" i="1" s="1"/>
  <c r="AT44" i="1"/>
  <c r="AT36" i="1" s="1"/>
  <c r="AP44" i="1"/>
  <c r="AP36" i="1" s="1"/>
  <c r="BB23" i="3"/>
  <c r="BB41" i="3" s="1"/>
  <c r="BK44" i="1"/>
  <c r="AY23" i="3"/>
  <c r="AY41" i="3" s="1"/>
  <c r="BH23" i="3"/>
  <c r="BH41" i="3" s="1"/>
  <c r="AS23" i="3"/>
  <c r="AS41" i="3" s="1"/>
  <c r="BA23" i="3"/>
  <c r="BA41" i="3" s="1"/>
  <c r="BE29" i="4"/>
  <c r="AW35" i="4"/>
  <c r="AR23" i="3"/>
  <c r="AR41" i="3" s="1"/>
  <c r="BE37" i="4"/>
  <c r="AV35" i="4"/>
  <c r="AO37" i="4"/>
  <c r="BF23" i="3"/>
  <c r="BF41" i="3" s="1"/>
  <c r="BC23" i="3"/>
  <c r="BC41" i="3" s="1"/>
  <c r="BD23" i="3"/>
  <c r="BD41" i="3" s="1"/>
  <c r="AZ23" i="3"/>
  <c r="AZ41" i="3" s="1"/>
  <c r="AZ44" i="3" s="1"/>
  <c r="BA42" i="3" s="1"/>
  <c r="C48" i="11" s="1"/>
  <c r="BE23" i="3"/>
  <c r="BE41" i="3" s="1"/>
  <c r="AX23" i="3"/>
  <c r="AX41" i="3" s="1"/>
  <c r="AX44" i="3" s="1"/>
  <c r="AY42" i="3" s="1"/>
  <c r="BG23" i="3"/>
  <c r="BG41" i="3" s="1"/>
  <c r="BI41" i="3"/>
  <c r="AU41" i="3"/>
  <c r="AV16" i="3"/>
  <c r="AV23" i="3" s="1"/>
  <c r="AV41" i="3" s="1"/>
  <c r="AV44" i="3" s="1"/>
  <c r="AW16" i="3"/>
  <c r="AW23" i="3" s="1"/>
  <c r="AW41" i="3" s="1"/>
  <c r="AW44" i="3" s="1"/>
  <c r="AP129" i="1"/>
  <c r="AN129" i="1"/>
  <c r="AR4" i="1"/>
  <c r="AO44" i="1"/>
  <c r="AO36" i="1" s="1"/>
  <c r="AN4" i="1"/>
  <c r="AR129" i="1"/>
  <c r="BK129" i="1"/>
  <c r="AO129" i="1"/>
  <c r="AS129" i="1"/>
  <c r="AT129" i="1"/>
  <c r="AO4" i="1"/>
  <c r="AP4" i="1"/>
  <c r="AQ4" i="1"/>
  <c r="AR44" i="1"/>
  <c r="AR36" i="1" s="1"/>
  <c r="AQ44" i="1"/>
  <c r="AQ36" i="1" s="1"/>
  <c r="AQ129" i="1"/>
  <c r="AT4" i="1"/>
  <c r="BK4" i="1"/>
  <c r="E19" i="11" l="1"/>
  <c r="E29" i="11" s="1"/>
  <c r="E47" i="11" s="1"/>
  <c r="E50" i="11" s="1"/>
  <c r="B31" i="9"/>
  <c r="B59" i="9"/>
  <c r="B83" i="9"/>
  <c r="B79" i="9"/>
  <c r="B65" i="9"/>
  <c r="B35" i="9"/>
  <c r="C154" i="9"/>
  <c r="C100" i="9"/>
  <c r="C47" i="11"/>
  <c r="C50" i="11" s="1"/>
  <c r="B62" i="9"/>
  <c r="B10" i="9"/>
  <c r="B22" i="9"/>
  <c r="B150" i="9"/>
  <c r="B138" i="9" s="1"/>
  <c r="B14" i="9"/>
  <c r="B40" i="9"/>
  <c r="B87" i="9"/>
  <c r="B104" i="9"/>
  <c r="B95" i="9"/>
  <c r="B121" i="9"/>
  <c r="B48" i="9"/>
  <c r="B137" i="9"/>
  <c r="B102" i="9"/>
  <c r="B56" i="9"/>
  <c r="B59" i="5"/>
  <c r="B68" i="5"/>
  <c r="AN81" i="1"/>
  <c r="AT81" i="1"/>
  <c r="BK81" i="1"/>
  <c r="BA44" i="3"/>
  <c r="BB42" i="3" s="1"/>
  <c r="BB44" i="3" s="1"/>
  <c r="BC42" i="3" s="1"/>
  <c r="BC44" i="3" s="1"/>
  <c r="BD42" i="3" s="1"/>
  <c r="BD44" i="3" s="1"/>
  <c r="BE42" i="3" s="1"/>
  <c r="BE44" i="3" s="1"/>
  <c r="BF42" i="3" s="1"/>
  <c r="BF44" i="3" s="1"/>
  <c r="BG42" i="3" s="1"/>
  <c r="BG44" i="3" s="1"/>
  <c r="BH42" i="3" s="1"/>
  <c r="BH44" i="3" s="1"/>
  <c r="BI42" i="3" s="1"/>
  <c r="BI44" i="3" s="1"/>
  <c r="AP81" i="1"/>
  <c r="AY44" i="3"/>
  <c r="AR81" i="1"/>
  <c r="AO81" i="1"/>
  <c r="AQ81" i="1"/>
  <c r="D13" i="11" l="1"/>
  <c r="BO34" i="4"/>
  <c r="BO35" i="4" s="1"/>
  <c r="B13" i="11"/>
  <c r="B58" i="9"/>
  <c r="B47" i="9" s="1"/>
  <c r="C155" i="9"/>
  <c r="B8" i="9"/>
  <c r="B103" i="9"/>
  <c r="B154" i="9" s="1"/>
  <c r="B14" i="11" l="1"/>
  <c r="D14" i="11"/>
  <c r="B100" i="9"/>
  <c r="B155" i="9" s="1"/>
  <c r="D15" i="11" l="1"/>
  <c r="B15" i="11"/>
  <c r="D16" i="11" l="1"/>
  <c r="B16" i="11"/>
  <c r="B17" i="11" l="1"/>
  <c r="D17" i="11"/>
  <c r="D18" i="11" l="1"/>
  <c r="D19" i="11" s="1"/>
  <c r="B18" i="11"/>
  <c r="B19" i="11" s="1"/>
  <c r="B20" i="11" l="1"/>
  <c r="D20" i="11"/>
  <c r="B21" i="11" l="1"/>
  <c r="D21" i="11"/>
  <c r="D22" i="11" l="1"/>
  <c r="B22" i="11"/>
  <c r="B23" i="11" l="1"/>
  <c r="D23" i="11"/>
  <c r="B24" i="11" l="1"/>
  <c r="D24" i="11"/>
  <c r="D25" i="11" l="1"/>
  <c r="B25" i="11"/>
  <c r="B26" i="11" l="1"/>
  <c r="D26" i="11"/>
  <c r="B27" i="11"/>
  <c r="D27" i="11"/>
  <c r="D28" i="11" l="1"/>
  <c r="D29" i="11" s="1"/>
  <c r="B28" i="11"/>
  <c r="B29" i="11" s="1"/>
  <c r="B31" i="11" l="1"/>
  <c r="D31" i="11"/>
  <c r="D32" i="11"/>
  <c r="B32" i="11"/>
  <c r="B34" i="11" l="1"/>
  <c r="D34" i="11"/>
  <c r="D33" i="11"/>
  <c r="B33" i="11"/>
  <c r="D36" i="11" l="1"/>
  <c r="B36" i="11"/>
  <c r="B35" i="11"/>
  <c r="D35" i="11"/>
  <c r="B37" i="11" l="1"/>
  <c r="B38" i="11" s="1"/>
  <c r="D37" i="11"/>
  <c r="D38" i="11" s="1"/>
  <c r="D40" i="11" l="1"/>
  <c r="B40" i="11"/>
  <c r="D41" i="11" l="1"/>
  <c r="B41" i="11"/>
  <c r="D42" i="11" l="1"/>
  <c r="B42" i="11"/>
  <c r="D43" i="11"/>
  <c r="B43" i="11"/>
  <c r="D45" i="11" l="1"/>
  <c r="B45" i="11"/>
  <c r="D44" i="11"/>
  <c r="B44" i="11"/>
  <c r="B46" i="11" l="1"/>
  <c r="B47" i="11" s="1"/>
  <c r="D46" i="11"/>
  <c r="D47" i="11" s="1"/>
  <c r="B48" i="11"/>
  <c r="B49" i="11" l="1"/>
  <c r="B50" i="11" s="1"/>
  <c r="D49" i="11"/>
  <c r="D50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N128" authorId="0" shapeId="0" xr:uid="{634C0A14-27AD-4692-AE99-3B3B7AACAF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phí quyết toán thuế 400tr</t>
        </r>
      </text>
    </comment>
    <comment ref="AO128" authorId="0" shapeId="0" xr:uid="{87D91247-0987-4C14-B8D5-EC277C447F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phạt quyết toán thuế 10 năm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Hiên, Vũ Thị</author>
  </authors>
  <commentList>
    <comment ref="H476" authorId="0" shapeId="0" xr:uid="{B5F48B4F-3766-4B72-8369-45A472A56AAF}">
      <text>
        <r>
          <rPr>
            <b/>
            <sz val="9"/>
            <color indexed="81"/>
            <rFont val="Tahoma"/>
            <family val="2"/>
          </rPr>
          <t>Hiên, Vũ Thị:</t>
        </r>
        <r>
          <rPr>
            <sz val="9"/>
            <color indexed="81"/>
            <rFont val="Tahoma"/>
            <family val="2"/>
          </rPr>
          <t xml:space="preserve">
bản chất nghiệp vụ này là LITUCO mua lại cổ phần của cô Kiều</t>
        </r>
      </text>
    </comment>
  </commentList>
</comments>
</file>

<file path=xl/sharedStrings.xml><?xml version="1.0" encoding="utf-8"?>
<sst xmlns="http://schemas.openxmlformats.org/spreadsheetml/2006/main" count="1736" uniqueCount="627">
  <si>
    <t xml:space="preserve">CTY CỔ PHẦN TÁI CHẾ TÂN ĐẠI PHÁT </t>
  </si>
  <si>
    <t>VND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</si>
  <si>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</si>
  <si>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</si>
  <si>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</si>
  <si>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</si>
  <si>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</si>
  <si>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</si>
  <si>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</si>
  <si>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</si>
  <si>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</si>
  <si>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</si>
  <si>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</si>
  <si>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</si>
  <si>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</si>
  <si>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</si>
  <si>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</si>
  <si>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</si>
  <si>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</si>
  <si>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</si>
  <si>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</si>
  <si>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</si>
  <si>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</si>
  <si>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</si>
  <si>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</si>
  <si>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</si>
  <si>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A-TÀI SẢN NGẮN HẠN</t>
  </si>
  <si>
    <t>I.Tiền và các khoản tương đương tiền</t>
  </si>
  <si>
    <t xml:space="preserve">1.Tiền </t>
  </si>
  <si>
    <t>2.Các khoản tương đương tiền</t>
  </si>
  <si>
    <t>1.Chứng khoán kinh doanh</t>
  </si>
  <si>
    <t xml:space="preserve">2.Dự phòng giảm giá chứng khoán kinh doanh (*) </t>
  </si>
  <si>
    <t>1.Phải thu ngắn hạn của khách hàng</t>
  </si>
  <si>
    <t>2.Trả trước cho người bán ngắn hạn</t>
  </si>
  <si>
    <t>3.Phải thu nội bộ ngắn hạn</t>
  </si>
  <si>
    <t>IV. Hàng tồn kho</t>
  </si>
  <si>
    <t>1.Hàng tồn kho</t>
  </si>
  <si>
    <t>2.Dự phòng giảm giá hàng tồn kho (*)</t>
  </si>
  <si>
    <t>2.Thuế GTGT được khấu trừ</t>
  </si>
  <si>
    <t>3.Thuế và các khoản khác phải thu Nhà nước</t>
  </si>
  <si>
    <t>5.Tài sản ngắn hạn khác</t>
  </si>
  <si>
    <t>B-TÀI SẢN DÀI HẠN</t>
  </si>
  <si>
    <t>1.Phải thu dài hạn của khách hàng</t>
  </si>
  <si>
    <t>2.Trả trước cho người bán dài hạn</t>
  </si>
  <si>
    <t>3.Vốn kinh doanh ở đơn vị trực thuộc</t>
  </si>
  <si>
    <t>II.Tài sản cố định</t>
  </si>
  <si>
    <t>1.Tài sản cố định hữu hình</t>
  </si>
  <si>
    <t>Nguyên giá TSCĐ HH</t>
  </si>
  <si>
    <t>Giá trị hao mòn luỹ kế TSCĐ HH(*)</t>
  </si>
  <si>
    <t>2. Tài sản cố định thuê tài chính</t>
  </si>
  <si>
    <t>Nguyên giá TSCĐ thuê tài chính</t>
  </si>
  <si>
    <t>Giá trị hao mòn luỹ kế TSCĐ thuê tài chính</t>
  </si>
  <si>
    <t>3. Tài sản cố định vô hình</t>
  </si>
  <si>
    <t>Nguyên giá TSCĐ vô hình</t>
  </si>
  <si>
    <t>Giá trị hao mòn luỹ kế TSCĐ vô hình(*)</t>
  </si>
  <si>
    <t>Nguyên giá bất động sản đầu tư</t>
  </si>
  <si>
    <t>Giá trị hao mòn luỹ kế BĐSĐT(*)</t>
  </si>
  <si>
    <t>1.Chi phí sản xuất, kinh doanh dở dang dài hạn</t>
  </si>
  <si>
    <t>2.Chi phí xây dựng cơ bản dở dang</t>
  </si>
  <si>
    <t xml:space="preserve">1.Đầu tư vào công ty con </t>
  </si>
  <si>
    <t>3.Đầu tư góp vốn vào đơn vị khác</t>
  </si>
  <si>
    <t>2.Tài sản thuế thu nhập hoãn lại</t>
  </si>
  <si>
    <t>3.Thiết bị, vật tư, phụ tùng thay thế dài hạn</t>
  </si>
  <si>
    <t>4.Tài sản dài hạn khác</t>
  </si>
  <si>
    <t>TỔNG TÀI SẢN</t>
  </si>
  <si>
    <t>I.Nợ ngắn hạn</t>
  </si>
  <si>
    <t>1.Phải trả người bán ngắn hạn</t>
  </si>
  <si>
    <t>2.Người mua trả tiền trước ngắn hạn</t>
  </si>
  <si>
    <t>II.Nợ dài hạn</t>
  </si>
  <si>
    <t>2.Người mua trả tiền trước dài hạn</t>
  </si>
  <si>
    <t xml:space="preserve">8.Vay và nợ thuê tài chính dài hạn </t>
  </si>
  <si>
    <t>1.Vốn góp của chủ sở hữu</t>
  </si>
  <si>
    <t>-Cổ phiếu phổ thông có quyền biểu quyết</t>
  </si>
  <si>
    <t>-Cổ phiếu ưu đãi</t>
  </si>
  <si>
    <t>3.Quyền chọn chuyển đổi trái phiếu</t>
  </si>
  <si>
    <t xml:space="preserve">4.Vốn khác của chủ sở hữu </t>
  </si>
  <si>
    <t>6.Chênh lệch đánh giá lại tài sản</t>
  </si>
  <si>
    <t>7.Chênh lệch tỷ giá hối đoái</t>
  </si>
  <si>
    <t>8.Quỹ đầu tư phát triển</t>
  </si>
  <si>
    <t>-LNST chưa phân phối lũy kế đến cuối kỳ trước</t>
  </si>
  <si>
    <t>-LNST chưa phân phối kỳ này</t>
  </si>
  <si>
    <t>TỔNG NGUỒN VỐN</t>
  </si>
  <si>
    <t>PHẦN II-KẾT QUẢ HOẠT ĐỘNG KINH DOANH</t>
  </si>
  <si>
    <t>Sản lượng (Tấn)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</si>
  <si>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</si>
  <si>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</si>
  <si>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</si>
  <si>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</si>
  <si>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</si>
  <si>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Trong đó: Chi phí lãi vay</t>
  </si>
  <si>
    <t>PHẦN III- LƯU CHUYỂN TIỀN TỆ</t>
  </si>
  <si>
    <t>I. Lưu chuyển tiền từ hoạt động kinh doanh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</si>
  <si>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</si>
  <si>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</si>
  <si>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</si>
  <si>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</si>
  <si>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</si>
  <si>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Các khoản điều chỉnh khác</t>
  </si>
  <si>
    <t xml:space="preserve">Tăng / giảm các khoản phải thu </t>
  </si>
  <si>
    <t>Tăng / giảm hàng tồn kho</t>
  </si>
  <si>
    <t>Tăng / giảm chứng khoán kinh doanh</t>
  </si>
  <si>
    <t>Tiền thu khác từ hoạt động kinh doanh</t>
  </si>
  <si>
    <t>Lưu chuyển tiền thuần từ hoạt động kinh doanh</t>
  </si>
  <si>
    <t>II. Lưu chuyển tiền từ hoạt động đầu tư</t>
  </si>
  <si>
    <t>Tiền chi để mua sắm, xây dựng, TSCĐ và các tài sản dài hạn khác</t>
  </si>
  <si>
    <t>Tiền thu từ thanh lý, nhượng bán TSCĐ và các tài sản dài hạn khác</t>
  </si>
  <si>
    <t>Tiền thu hồi đầu tư góp vốn vào đơn vị khác</t>
  </si>
  <si>
    <t>Tiền thu lãi cho vay, cổ tức, và lợi nhuận được chia</t>
  </si>
  <si>
    <t>Lưu chuyển tiền thuần từ hoạt động đầu tư</t>
  </si>
  <si>
    <t>III. Lưu chuyển tiền từ hoạt động tài chính</t>
  </si>
  <si>
    <t>Tiền thu từ phát hành cổ phiếu, nhận vốn góp của chủ sở hữu</t>
  </si>
  <si>
    <t>Tiền thu từ đi vay</t>
  </si>
  <si>
    <t>Cổ tức, lợi nhuận đã trả cho chủ sở hữu</t>
  </si>
  <si>
    <t>Lưu chuyển thuần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</si>
  <si>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</si>
  <si>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</si>
  <si>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</si>
  <si>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</si>
  <si>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</si>
  <si>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</si>
  <si>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</si>
  <si>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</si>
  <si>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</si>
  <si>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</si>
  <si>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</si>
  <si>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</si>
  <si>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</si>
  <si>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</si>
  <si>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</si>
  <si>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</si>
  <si>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</si>
  <si>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</si>
  <si>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</si>
  <si>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</si>
  <si>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</si>
  <si>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</si>
  <si>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</si>
  <si>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</si>
  <si>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</si>
  <si>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</si>
  <si>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</si>
  <si>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</si>
  <si>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</si>
  <si>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</si>
  <si>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</si>
  <si>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</si>
  <si>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</si>
  <si>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</si>
  <si>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</si>
  <si>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</si>
  <si>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</si>
  <si>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</si>
  <si>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</si>
  <si>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</si>
  <si>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</si>
  <si>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</si>
  <si>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</si>
  <si>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</si>
  <si>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</si>
  <si>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</si>
  <si>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</si>
  <si>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</si>
  <si>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</si>
  <si>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</si>
  <si>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</si>
  <si>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</si>
  <si>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</si>
  <si>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</si>
  <si>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</si>
  <si>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</si>
  <si>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</si>
  <si>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</si>
  <si>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PHẦN V: CHI TIẾT NỢ VAY NGÂN HÀNG</t>
  </si>
  <si>
    <t>Vay ngắn hạn ngân hàng</t>
  </si>
  <si>
    <t>ACB</t>
  </si>
  <si>
    <t>VietinBank</t>
  </si>
  <si>
    <t>Vietcombank</t>
  </si>
  <si>
    <t>BIDV</t>
  </si>
  <si>
    <t>Standard Chartered</t>
  </si>
  <si>
    <t>VILC</t>
  </si>
  <si>
    <t>IVB</t>
  </si>
  <si>
    <t>Lãi suất vay ngắn hạn (%)</t>
  </si>
  <si>
    <t>Vay trung hạn Ngân hàng</t>
  </si>
  <si>
    <t>Lãi suất vay trung hạn (%)</t>
  </si>
  <si>
    <t>TỔNG SỐ DƯ NỢ VAY NGÂN HÀNG</t>
  </si>
  <si>
    <t>Index BS</t>
  </si>
  <si>
    <t>Index PL</t>
  </si>
  <si>
    <t>Index CF</t>
  </si>
  <si>
    <t>Index PL Element</t>
  </si>
  <si>
    <t>Index Loan</t>
  </si>
  <si>
    <t>Lợi nhuận trước thuế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</si>
  <si>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</si>
  <si>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</si>
  <si>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</si>
  <si>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</si>
  <si>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</si>
  <si>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</si>
  <si>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</si>
  <si>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</si>
  <si>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</si>
  <si>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</si>
  <si>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</si>
  <si>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</si>
  <si>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</si>
  <si>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</si>
  <si>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</si>
  <si>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</si>
  <si>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</si>
  <si>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</si>
  <si>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</si>
  <si>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</si>
  <si>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</si>
  <si>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</si>
  <si>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</si>
  <si>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</si>
  <si>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</si>
  <si>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</si>
  <si>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</si>
  <si>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</si>
  <si>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</si>
  <si>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</si>
  <si>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</si>
  <si>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</si>
  <si>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</si>
  <si>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</si>
  <si>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</si>
  <si>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</si>
  <si>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PHẦN I-BÁO CÁO TÌNH HÌNH TÀI CHÍNH</t>
  </si>
  <si>
    <t>TenCongTyID</t>
  </si>
  <si>
    <t>II.Đầu tư tài chính ngắn hạn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</si>
  <si>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</si>
  <si>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</si>
  <si>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</si>
  <si>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</si>
  <si>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III.Các khoản phải thu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</si>
  <si>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</si>
  <si>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</si>
  <si>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</si>
  <si>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</si>
  <si>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</si>
  <si>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</si>
  <si>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</si>
  <si>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</si>
  <si>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</si>
  <si>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</si>
  <si>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4.Giao dịch mua bán lại trái phiếu Chính phủ</t>
  </si>
  <si>
    <t>4.Phải thu nội bộ dài hạn</t>
  </si>
  <si>
    <t>5.Phải thu dài hạn khác</t>
  </si>
  <si>
    <t>6.Dự phòng phải thu dài hạn khó đòi (*)</t>
  </si>
  <si>
    <t>III.Tài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</si>
  <si>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</si>
  <si>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</si>
  <si>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</si>
  <si>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Nguyên giá</t>
  </si>
  <si>
    <t>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</si>
  <si>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</si>
  <si>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</si>
  <si>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</si>
  <si>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</si>
  <si>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V.Tài sản dở dang dài hạn</t>
  </si>
  <si>
    <t>VI.Đầu tư tài chính dài hạn</t>
  </si>
  <si>
    <t>2.Đầu tư vào công ty liên doanh, liên kết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</si>
  <si>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</si>
  <si>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</si>
  <si>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</si>
  <si>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VII.Tài sản dài hạn khác</t>
  </si>
  <si>
    <t>1.Chi phí chờ phân bổ dài hạn</t>
  </si>
  <si>
    <t>C-NỢ PHẢI TRẢ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</si>
  <si>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</si>
  <si>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</si>
  <si>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</si>
  <si>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</si>
  <si>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</si>
  <si>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</si>
  <si>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</si>
  <si>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</si>
  <si>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</si>
  <si>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</si>
  <si>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</si>
  <si>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</si>
  <si>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</si>
  <si>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1.Phải trả người bán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</si>
  <si>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</si>
  <si>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</si>
  <si>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</si>
  <si>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</si>
  <si>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</si>
  <si>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</si>
  <si>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</si>
  <si>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</si>
  <si>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</si>
  <si>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</si>
  <si>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</si>
  <si>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D-VỐN CHỦ SỞ HỮU</t>
  </si>
  <si>
    <t>2.Thặng dư vốn</t>
  </si>
  <si>
    <t>5.Cổ phiếu mua lại của chính mình (*)</t>
  </si>
  <si>
    <t>9.Quỹ khác thuộc vốn chủ sở hữu</t>
  </si>
  <si>
    <t>10.Lợi nhuận sau thuế chưa phân phối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</si>
  <si>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</si>
  <si>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</si>
  <si>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</si>
  <si>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</si>
  <si>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</si>
  <si>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</si>
  <si>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</si>
  <si>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</si>
  <si>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</si>
  <si>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</si>
  <si>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</si>
  <si>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</si>
  <si>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6.Lãi/lỗ của hoạt động bán, thanh lý bất động sản đầu tư</t>
  </si>
  <si>
    <t>7.Doanh thu hoạt động tài chính</t>
  </si>
  <si>
    <t>8.Chi phí tài chính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</si>
  <si>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</si>
  <si>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</si>
  <si>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</si>
  <si>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</si>
  <si>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</si>
  <si>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</si>
  <si>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</si>
  <si>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</si>
  <si>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</si>
  <si>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</si>
  <si>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Lãi, lỗ từ hoạt động đầu tư, tài chính</t>
  </si>
  <si>
    <t>Chi phí đi vay</t>
  </si>
  <si>
    <t>Lợi nhuận từ hoạt động kinh doanh trước thay đổi vốn lưu động</t>
  </si>
  <si>
    <t>Tăng / giảm chi phí chờ phân bổ</t>
  </si>
  <si>
    <t>Chi phí đi vay đã trả</t>
  </si>
  <si>
    <t>Thuế thu nhập doanh nghiệp đã nộp</t>
  </si>
  <si>
    <t>Tiền chi khác cho hoạt động kinh doanh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</si>
  <si>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</si>
  <si>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</si>
  <si>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</si>
  <si>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trả lại vốn góp cho các chủ sở hữu, mua lại cổ phiểu đã phát hành</t>
  </si>
  <si>
    <t>Tiền trả nợ gốc vay</t>
  </si>
  <si>
    <t>Tiền trả nợ gốc thuê tài chính</t>
  </si>
  <si>
    <t>Hạn mức vay ngắn hạn</t>
  </si>
  <si>
    <t>SỐ DƯ TIỀN TẠI CÁC NGÂN HÀNG</t>
  </si>
  <si>
    <t>SỐ DƯ TIỀN GỬI TIẾT KIỆM TẠI CÁC NGÂN HÀNG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</si>
  <si>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</si>
  <si>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</si>
  <si>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</si>
  <si>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</si>
  <si>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</si>
  <si>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KẾ TOÁN TRƯỞNG</t>
  </si>
  <si>
    <t>GIÁM ĐỐC TÀI CHÍNH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</si>
  <si>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</si>
  <si>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</si>
  <si>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</si>
  <si>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</si>
  <si>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</si>
  <si>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</si>
  <si>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</si>
  <si>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</si>
  <si>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</si>
  <si>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</si>
  <si>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</si>
  <si>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</si>
  <si>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</si>
  <si>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</si>
  <si>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</si>
  <si>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</si>
  <si>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</si>
  <si>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</si>
  <si>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</si>
  <si>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</si>
  <si>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</si>
  <si>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</si>
  <si>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</si>
  <si>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III. Các khoản phải thu ngắn hạn</t>
  </si>
  <si>
    <t>1. Hàng tồn kho</t>
  </si>
  <si>
    <t>2. Dự phòng giảm giá hàng tồn kho (*)</t>
  </si>
  <si>
    <t>B. TÀI SẢN DÀI HẠN</t>
  </si>
  <si>
    <t>I.Các khoản phải thu dài hạn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</si>
  <si>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</si>
  <si>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</si>
  <si>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</si>
  <si>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</si>
  <si>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III. Tài sản sinh học dài hạn</t>
  </si>
  <si>
    <t>- Nguyên giá</t>
  </si>
  <si>
    <t>- Giá trị khấu hao lũy kế (*)</t>
  </si>
  <si>
    <t>- Giá trị hao mòn luỹ kế (*)</t>
  </si>
  <si>
    <t xml:space="preserve">V. Tài sản dở dang dài hạn </t>
  </si>
  <si>
    <t>VI. Đầu tư tài chính dài hạn</t>
  </si>
  <si>
    <t>VII. Tài sản dài hạn khác</t>
  </si>
  <si>
    <t>TỔNG CỘNG TÀI SẢN</t>
  </si>
  <si>
    <t>NGUỒN VỐN</t>
  </si>
  <si>
    <t>C . NỢ PHẢI TRẢ</t>
  </si>
  <si>
    <t>I. Nợ ngắn hạn</t>
  </si>
  <si>
    <t>II. Nợ dài hạn</t>
  </si>
  <si>
    <t>D . VỐN CHỦ SỞ HỮU</t>
  </si>
  <si>
    <t>TỔNG CỘNG NGUỒN VỐN</t>
  </si>
  <si>
    <t>Nguyễn Bảo Quốc</t>
  </si>
  <si>
    <t>BÁO CÁO KẾT QUẢ HOẠT ĐỘNG KINH DOANH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</si>
  <si>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</si>
  <si>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</si>
  <si>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</si>
  <si>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</si>
  <si>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</si>
  <si>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</si>
  <si>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</si>
  <si>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</si>
  <si>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</si>
  <si>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</si>
  <si>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</si>
  <si>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</si>
  <si>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</si>
  <si>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</si>
  <si>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</si>
  <si>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</si>
  <si>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</si>
  <si>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</si>
  <si>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</si>
  <si>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</si>
  <si>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</si>
  <si>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</si>
  <si>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</si>
  <si>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</si>
  <si>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</si>
  <si>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</si>
  <si>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</si>
  <si>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</si>
  <si>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</si>
  <si>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</si>
  <si>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</si>
  <si>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</si>
  <si>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</si>
  <si>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</si>
  <si>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</si>
  <si>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</si>
  <si>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</si>
  <si>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</si>
  <si>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</si>
  <si>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</si>
  <si>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</si>
  <si>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BÁO CÁO LƯU CHUYỂN TIỀN TỆ</t>
  </si>
  <si>
    <t>(Theo phương pháp gián tiếp)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</si>
  <si>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</si>
  <si>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</si>
  <si>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</si>
  <si>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</si>
  <si>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</si>
  <si>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</si>
  <si>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</si>
  <si>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</si>
  <si>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</si>
  <si>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</si>
  <si>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</si>
  <si>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</si>
  <si>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</si>
  <si>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</si>
  <si>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</si>
  <si>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</si>
  <si>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</si>
  <si>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</si>
  <si>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</si>
  <si>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</si>
  <si>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</si>
  <si>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</si>
  <si>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</si>
  <si>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</si>
  <si>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</si>
  <si>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</si>
  <si>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</si>
  <si>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</si>
  <si>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</si>
  <si>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</si>
  <si>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</si>
  <si>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</si>
  <si>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GIÁM ĐỐC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</si>
  <si>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</si>
  <si>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</si>
  <si>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</si>
  <si>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</si>
  <si>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</si>
  <si>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</si>
  <si>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</si>
  <si>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</si>
  <si>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</si>
  <si>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</si>
  <si>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</si>
  <si>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</si>
  <si>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</si>
  <si>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</si>
  <si>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</si>
  <si>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</si>
  <si>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</si>
  <si>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</si>
  <si>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</si>
  <si>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2026</t>
  </si>
  <si>
    <t>I.</t>
  </si>
  <si>
    <t>DOANH THU BÁN HÀNG VÀ DỊCH VỤ, TÀI SẢN….</t>
  </si>
  <si>
    <t>Công ty TNHH Nhựa Duy Tân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</si>
  <si>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</si>
  <si>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</si>
  <si>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</si>
  <si>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</si>
  <si>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</si>
  <si>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</si>
  <si>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</si>
  <si>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</si>
  <si>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</si>
  <si>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Bán nguyên vật liệu</t>
  </si>
  <si>
    <t>Cho thuê máy móc</t>
  </si>
  <si>
    <t>Bán Laptop</t>
  </si>
  <si>
    <t>CP công tác</t>
  </si>
  <si>
    <t>Công ty TNHH Thu mua phế liệu Đại Lộc</t>
  </si>
  <si>
    <t>Cho thuê nhà xưởng</t>
  </si>
  <si>
    <t>Công ty TNHH MTV Đồng Lâm</t>
  </si>
  <si>
    <t>Công ty TNHH Thu mua phế liệu Khánh Nga</t>
  </si>
  <si>
    <t>Chi Phí Hỗ Trợ Kỹ Thuật</t>
  </si>
  <si>
    <t xml:space="preserve">Công ty Cổ phần Tái chế Tân Đại Phát </t>
  </si>
  <si>
    <t>Cho thuê xe</t>
  </si>
  <si>
    <t>Bán CCDC</t>
  </si>
  <si>
    <t>Công ty TNHH Khuôn Chính xác Minh Đạt</t>
  </si>
  <si>
    <t>Bán khuôn</t>
  </si>
  <si>
    <t>Công ty TNHH MTV Sản Xuất Và XNK Cơ Khí Duy Phong</t>
  </si>
  <si>
    <t>Công ty TNHH Khuôn Chính Xác Natec</t>
  </si>
  <si>
    <t>Công ty TNHH Plenma</t>
  </si>
  <si>
    <t>Plascene Inc</t>
  </si>
  <si>
    <t>Công ty Cổ phần Cát Vân</t>
  </si>
  <si>
    <t>Công ty Cổ phần Tân Bình Group</t>
  </si>
  <si>
    <t>Công ty TNHH SX &amp; TM Thạnh Phát</t>
  </si>
  <si>
    <t>Công ty TNHH Nội Thất Tân Lợi Phát</t>
  </si>
  <si>
    <t>Công ty TNHH MTV Trung tâm Thính học Đà Nẵng</t>
  </si>
  <si>
    <t>Công ty TNHH SX-TM-XNK Yến Nhất Vương</t>
  </si>
  <si>
    <t>Công ty TNHH Duytan Xanh</t>
  </si>
  <si>
    <t>Công ty TNHH Duy Tân</t>
  </si>
  <si>
    <t>Công ty Cổ phần Tập đoàn DTG</t>
  </si>
  <si>
    <t>II.</t>
  </si>
  <si>
    <t>MUA HÀNG VÀ DỊCH VỤ, TÀI SẢN….</t>
  </si>
  <si>
    <t>Thuê nhà xưởng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</si>
  <si>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</si>
  <si>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</si>
  <si>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</si>
  <si>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</si>
  <si>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</si>
  <si>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</si>
  <si>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</si>
  <si>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</si>
  <si>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</si>
  <si>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</si>
  <si>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</si>
  <si>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Thuê máy móc</t>
  </si>
  <si>
    <t>Phí sửa khuôn</t>
  </si>
  <si>
    <t>Mua thùng giấy</t>
  </si>
  <si>
    <t>151/152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</si>
  <si>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</si>
  <si>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</si>
  <si>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</si>
  <si>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</si>
  <si>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</si>
  <si>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</si>
  <si>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</si>
  <si>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</si>
  <si>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</si>
  <si>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</si>
  <si>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</si>
  <si>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</si>
  <si>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</si>
  <si>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</si>
  <si>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</si>
  <si>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</si>
  <si>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</si>
  <si>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</si>
  <si>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</si>
  <si>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</si>
  <si>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</si>
  <si>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</si>
  <si>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</si>
  <si>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</si>
  <si>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</si>
  <si>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</si>
  <si>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</si>
  <si>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</si>
  <si>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</si>
  <si>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</si>
  <si>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</si>
  <si>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</si>
  <si>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</si>
  <si>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</si>
  <si>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</si>
  <si>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</si>
  <si>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</si>
  <si>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</si>
  <si>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</si>
  <si>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</si>
  <si>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</si>
  <si>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</si>
  <si>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</si>
  <si>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</si>
  <si>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</si>
  <si>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</si>
  <si>
    <t xml:space="preserve">CÔNG TY CỔ PHẦN TÁI CHẾ TÂN ĐẠI PHÁT </t>
  </si>
  <si>
    <t>Tăng / giảm các khoản phải trả (Không bao gồm lãi vay phải trả, thuế TNDN phải nộp)</t>
  </si>
  <si>
    <t xml:space="preserve">9.Vay và nợ thuê tài chính dài hạn </t>
  </si>
  <si>
    <t>Mã số thuế</t>
  </si>
  <si>
    <t>0301417196</t>
  </si>
  <si>
    <t>1100676611</t>
  </si>
  <si>
    <t>3603813473</t>
  </si>
  <si>
    <t>1501075079</t>
  </si>
  <si>
    <t>1201638316</t>
  </si>
  <si>
    <t>1102066435</t>
  </si>
  <si>
    <t>Công ty Cổ phần Nhựa Tái chế Duy Tân Vĩnh Long</t>
  </si>
  <si>
    <t>1501162229</t>
  </si>
  <si>
    <t>1100673882</t>
  </si>
  <si>
    <t>0308309915</t>
  </si>
  <si>
    <t>0313783944</t>
  </si>
  <si>
    <t>0316224817</t>
  </si>
  <si>
    <t>45-3042526</t>
  </si>
  <si>
    <t>0304259773</t>
  </si>
  <si>
    <t>1501147679</t>
  </si>
  <si>
    <t>1100140919</t>
  </si>
  <si>
    <t>1101806126</t>
  </si>
  <si>
    <t>0401524699</t>
  </si>
  <si>
    <t>3401182514</t>
  </si>
  <si>
    <t>Công ty Cổ phần Duytan Group</t>
  </si>
  <si>
    <t>0317929753</t>
  </si>
  <si>
    <t>0318602662</t>
  </si>
  <si>
    <t>0303816206</t>
  </si>
  <si>
    <t>0317356492</t>
  </si>
  <si>
    <t>Vũ Thị Hiên</t>
  </si>
  <si>
    <t>Địa chỉ: Số C11-C15 Cụm Công Nghiệp Nhựa Đức Hòa, Ấp Bình Tiền 2, Xã Đức Hòa, Tây Ninh</t>
  </si>
  <si>
    <t>Mã số thuế: 1102066435</t>
  </si>
  <si>
    <t xml:space="preserve"> THÁNG 04 NĂM 2026</t>
  </si>
  <si>
    <t>Thành phố Hồ Chí Minh, Ngày 30 tháng 04 năm 2026</t>
  </si>
  <si>
    <t>Lập ngày 30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</si>
</sst>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;[Red]#,##0"/>
    <numFmt numFmtId="168" formatCode="#,##0,,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_-* #,##0.00\ _₫_-;\-* #,##0.00\ _₫_-;_-* &quot;-&quot;??\ _₫_-;_-@_-"/>
    <numFmt numFmtId="173" formatCode="#,###"/>
    <numFmt numFmtId="174" formatCode="_-* #,##0\ _₫_-;\-* #,##0\ _₫_-;_-* &quot;-&quot;??\ _₫_-;_-@_-"/>
    <numFmt numFmtId="175" formatCode="_-* #,##0.0\ _₫_-;\-* #,##0.0\ _₫_-;_-* &quot;-&quot;??\ _₫_-;_-@_-"/>
  </numFmts>
  <fonts count="1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0"/>
      <color rgb="FF008000"/>
      <name val="Arial"/>
      <family val="2"/>
      <charset val="163"/>
    </font>
    <font>
      <b/>
      <sz val="11"/>
      <color rgb="FF0000FF"/>
      <name val="Times New Roman"/>
      <family val="1"/>
      <charset val="163"/>
    </font>
    <font>
      <b/>
      <sz val="10"/>
      <color rgb="FF0000FF"/>
      <name val="Arial"/>
      <family val="2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17"/>
      <name val="Times New Roman"/>
      <family val="1"/>
    </font>
    <font>
      <b/>
      <sz val="11"/>
      <color indexed="8"/>
      <name val="Times New Roman"/>
      <family val="1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9"/>
      <color rgb="FF0000FF"/>
      <name val="Arial"/>
      <family val="2"/>
      <charset val="163"/>
    </font>
    <font>
      <u/>
      <sz val="10"/>
      <name val="VNI-Times"/>
    </font>
    <font>
      <sz val="11"/>
      <color indexed="8"/>
      <name val="Times New Roman"/>
      <family val="1"/>
      <charset val="163"/>
    </font>
    <font>
      <sz val="10"/>
      <color theme="1"/>
      <name val="Arial"/>
      <family val="2"/>
      <charset val="163"/>
    </font>
    <font>
      <i/>
      <sz val="11"/>
      <color indexed="8"/>
      <name val="Times New Roman"/>
      <family val="1"/>
      <charset val="163"/>
    </font>
    <font>
      <i/>
      <sz val="10"/>
      <color theme="1"/>
      <name val="Arial"/>
      <family val="2"/>
      <charset val="163"/>
    </font>
    <font>
      <b/>
      <u/>
      <sz val="11"/>
      <color rgb="FF0000FF"/>
      <name val="Times New Roman"/>
      <family val="1"/>
    </font>
    <font>
      <b/>
      <u/>
      <sz val="9"/>
      <color rgb="FF0000FF"/>
      <name val="Arial"/>
      <family val="2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0"/>
      <color rgb="FF0000FF"/>
      <name val="Arial"/>
      <family val="2"/>
      <charset val="163"/>
    </font>
    <font>
      <sz val="10"/>
      <color theme="1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name val="VNI-Times"/>
    </font>
    <font>
      <b/>
      <sz val="11"/>
      <color indexed="12"/>
      <name val="Arial Nova"/>
      <family val="2"/>
    </font>
    <font>
      <b/>
      <sz val="11"/>
      <color rgb="FF0000FF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sz val="11"/>
      <color theme="1"/>
      <name val="Calibri"/>
      <family val="2"/>
      <scheme val="minor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rgb="FF0000FF"/>
      <name val="Times New Roman"/>
      <family val="1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b/>
      <i/>
      <sz val="10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16">
    <xf numFmtId="0" fontId="0" fillId="0" borderId="0"/>
    <xf numFmtId="9" fontId="47" fillId="0" borderId="0" applyFont="0" applyFill="0" applyBorder="0" applyAlignment="0" applyProtection="0"/>
    <xf numFmtId="0" fontId="2" fillId="0" borderId="0"/>
    <xf numFmtId="0" fontId="7" fillId="0" borderId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05" fillId="0" borderId="0"/>
    <xf numFmtId="172" fontId="10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6">
    <xf numFmtId="0" fontId="0" fillId="0" borderId="0" xfId="0"/>
    <xf numFmtId="0" fontId="3" fillId="0" borderId="0" xfId="2" applyFont="1" applyAlignment="1">
      <alignment horizontal="left"/>
    </xf>
    <xf numFmtId="0" fontId="8" fillId="0" borderId="0" xfId="2" applyFont="1" applyAlignment="1">
      <alignment horizontal="center" vertical="center"/>
    </xf>
    <xf numFmtId="0" fontId="9" fillId="0" borderId="0" xfId="2" applyFont="1"/>
    <xf numFmtId="0" fontId="49" fillId="0" borderId="6" xfId="2" applyFont="1" applyBorder="1"/>
    <xf numFmtId="0" fontId="9" fillId="0" borderId="0" xfId="2" applyFont="1" applyAlignment="1">
      <alignment horizontal="left" indent="1"/>
    </xf>
    <xf numFmtId="0" fontId="49" fillId="0" borderId="0" xfId="2" applyFont="1"/>
    <xf numFmtId="0" fontId="49" fillId="0" borderId="7" xfId="2" applyFont="1" applyBorder="1"/>
    <xf numFmtId="0" fontId="49" fillId="0" borderId="6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49" fillId="0" borderId="0" xfId="2" applyFont="1" applyAlignment="1">
      <alignment horizontal="center"/>
    </xf>
    <xf numFmtId="0" fontId="49" fillId="0" borderId="7" xfId="2" applyFont="1" applyBorder="1" applyAlignment="1">
      <alignment horizontal="center"/>
    </xf>
    <xf numFmtId="0" fontId="40" fillId="2" borderId="10" xfId="2" applyFont="1" applyFill="1" applyBorder="1" applyAlignment="1">
      <alignment horizontal="center" vertical="center" wrapText="1"/>
    </xf>
    <xf numFmtId="0" fontId="40" fillId="2" borderId="10" xfId="2" applyFont="1" applyFill="1" applyBorder="1" applyAlignment="1">
      <alignment horizontal="left" vertical="center" wrapText="1"/>
    </xf>
    <xf numFmtId="3" fontId="11" fillId="3" borderId="10" xfId="2" applyNumberFormat="1" applyFont="1" applyFill="1" applyBorder="1" applyAlignment="1">
      <alignment horizontal="center" vertical="center" wrapText="1"/>
    </xf>
    <xf numFmtId="0" fontId="11" fillId="3" borderId="11" xfId="2" applyFont="1" applyFill="1" applyBorder="1" applyAlignment="1">
      <alignment horizontal="center" vertical="center" wrapText="1"/>
    </xf>
    <xf numFmtId="0" fontId="9" fillId="0" borderId="6" xfId="2" applyFont="1" applyBorder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7" fillId="0" borderId="0" xfId="3"/>
    <xf numFmtId="0" fontId="4" fillId="0" borderId="0" xfId="2" applyFont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8" fillId="0" borderId="4" xfId="4" applyNumberFormat="1" applyFont="1" applyFill="1" applyBorder="1" applyAlignment="1" applyProtection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10" fillId="0" borderId="4" xfId="4" applyNumberFormat="1" applyFont="1" applyFill="1" applyBorder="1" applyAlignment="1" applyProtection="1">
      <alignment horizontal="center" vertical="top" wrapText="1"/>
    </xf>
    <xf numFmtId="0" fontId="14" fillId="0" borderId="2" xfId="2" applyFont="1" applyBorder="1" applyAlignment="1">
      <alignment horizontal="left" vertical="top" wrapText="1" indent="1"/>
    </xf>
    <xf numFmtId="3" fontId="52" fillId="0" borderId="4" xfId="2" applyNumberFormat="1" applyFont="1" applyBorder="1" applyAlignment="1">
      <alignment horizontal="center" vertical="top" wrapText="1"/>
    </xf>
    <xf numFmtId="0" fontId="16" fillId="0" borderId="2" xfId="2" applyFont="1" applyBorder="1" applyAlignment="1">
      <alignment horizontal="left" vertical="top" wrapText="1" indent="2"/>
    </xf>
    <xf numFmtId="3" fontId="53" fillId="0" borderId="4" xfId="2" applyNumberFormat="1" applyFont="1" applyBorder="1" applyAlignment="1">
      <alignment horizontal="center" vertical="top" wrapText="1"/>
    </xf>
    <xf numFmtId="0" fontId="16" fillId="0" borderId="4" xfId="2" applyFont="1" applyBorder="1" applyAlignment="1">
      <alignment horizontal="left" vertical="top" wrapText="1" indent="2"/>
    </xf>
    <xf numFmtId="3" fontId="10" fillId="0" borderId="4" xfId="2" applyNumberFormat="1" applyFont="1" applyBorder="1" applyAlignment="1">
      <alignment horizontal="center" vertical="top" wrapText="1"/>
    </xf>
    <xf numFmtId="0" fontId="17" fillId="0" borderId="2" xfId="2" applyFont="1" applyBorder="1" applyAlignment="1">
      <alignment horizontal="left" vertical="top" wrapText="1" indent="2"/>
    </xf>
    <xf numFmtId="0" fontId="17" fillId="0" borderId="4" xfId="2" applyFont="1" applyBorder="1" applyAlignment="1">
      <alignment horizontal="left" vertical="top" wrapText="1" indent="2"/>
    </xf>
    <xf numFmtId="3" fontId="18" fillId="0" borderId="4" xfId="2" applyNumberFormat="1" applyFont="1" applyBorder="1" applyAlignment="1">
      <alignment horizontal="center" vertical="top" wrapText="1"/>
    </xf>
    <xf numFmtId="0" fontId="18" fillId="0" borderId="2" xfId="2" applyFont="1" applyBorder="1" applyAlignment="1">
      <alignment horizontal="left" vertical="top" wrapText="1"/>
    </xf>
    <xf numFmtId="0" fontId="10" fillId="0" borderId="2" xfId="2" applyFont="1" applyBorder="1" applyAlignment="1">
      <alignment horizontal="left" vertical="top" wrapText="1" indent="1"/>
    </xf>
    <xf numFmtId="0" fontId="10" fillId="0" borderId="2" xfId="2" applyFont="1" applyBorder="1" applyAlignment="1">
      <alignment horizontal="left" vertical="top" wrapText="1" indent="2"/>
    </xf>
    <xf numFmtId="165" fontId="16" fillId="0" borderId="2" xfId="5" applyNumberFormat="1" applyFont="1" applyFill="1" applyBorder="1" applyAlignment="1" applyProtection="1">
      <alignment horizontal="left" vertical="top" wrapText="1" indent="3"/>
    </xf>
    <xf numFmtId="165" fontId="16" fillId="0" borderId="2" xfId="5" applyNumberFormat="1" applyFont="1" applyFill="1" applyBorder="1" applyAlignment="1" applyProtection="1">
      <alignment horizontal="left" vertical="top" wrapText="1" indent="2"/>
    </xf>
    <xf numFmtId="165" fontId="16" fillId="0" borderId="2" xfId="5" applyNumberFormat="1" applyFont="1" applyFill="1" applyBorder="1" applyAlignment="1" applyProtection="1">
      <alignment horizontal="left" vertical="top" wrapText="1" indent="5"/>
    </xf>
    <xf numFmtId="0" fontId="10" fillId="0" borderId="4" xfId="2" applyFont="1" applyBorder="1" applyAlignment="1">
      <alignment horizontal="left" vertical="top" wrapText="1" indent="1"/>
    </xf>
    <xf numFmtId="0" fontId="11" fillId="0" borderId="4" xfId="2" applyFont="1" applyBorder="1" applyAlignment="1">
      <alignment horizontal="left" vertical="top" wrapText="1" indent="1"/>
    </xf>
    <xf numFmtId="0" fontId="22" fillId="0" borderId="0" xfId="3" applyFont="1"/>
    <xf numFmtId="3" fontId="30" fillId="3" borderId="4" xfId="2" applyNumberFormat="1" applyFont="1" applyFill="1" applyBorder="1" applyAlignment="1">
      <alignment horizontal="center" vertical="top" wrapText="1"/>
    </xf>
    <xf numFmtId="0" fontId="23" fillId="3" borderId="2" xfId="2" applyFont="1" applyFill="1" applyBorder="1" applyAlignment="1">
      <alignment horizontal="center" vertical="top" wrapText="1"/>
    </xf>
    <xf numFmtId="0" fontId="25" fillId="0" borderId="0" xfId="3" applyFont="1"/>
    <xf numFmtId="0" fontId="17" fillId="0" borderId="2" xfId="2" applyFont="1" applyBorder="1" applyAlignment="1">
      <alignment horizontal="left" vertical="top" wrapText="1" indent="1"/>
    </xf>
    <xf numFmtId="0" fontId="17" fillId="0" borderId="4" xfId="2" applyFont="1" applyBorder="1" applyAlignment="1">
      <alignment horizontal="left" vertical="top" wrapText="1" indent="1"/>
    </xf>
    <xf numFmtId="3" fontId="52" fillId="0" borderId="4" xfId="0" applyNumberFormat="1" applyFont="1" applyBorder="1" applyAlignment="1">
      <alignment horizontal="center" vertical="top" wrapText="1"/>
    </xf>
    <xf numFmtId="0" fontId="26" fillId="0" borderId="2" xfId="2" applyFont="1" applyBorder="1" applyAlignment="1">
      <alignment horizontal="left" vertical="top" wrapText="1" indent="1"/>
    </xf>
    <xf numFmtId="0" fontId="28" fillId="0" borderId="2" xfId="2" applyFont="1" applyBorder="1" applyAlignment="1">
      <alignment horizontal="left" vertical="top" wrapText="1" indent="1"/>
    </xf>
    <xf numFmtId="3" fontId="6" fillId="3" borderId="4" xfId="2" applyNumberFormat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164" fontId="2" fillId="0" borderId="0" xfId="5" applyFont="1" applyBorder="1" applyAlignment="1" applyProtection="1">
      <alignment horizontal="center" vertical="top" wrapText="1"/>
    </xf>
    <xf numFmtId="164" fontId="9" fillId="0" borderId="0" xfId="5" applyFont="1" applyBorder="1" applyAlignment="1" applyProtection="1">
      <alignment horizontal="center" vertical="top" wrapText="1"/>
    </xf>
    <xf numFmtId="165" fontId="2" fillId="0" borderId="0" xfId="5" applyNumberFormat="1" applyFont="1" applyBorder="1" applyAlignment="1" applyProtection="1">
      <alignment horizontal="center" vertical="top" wrapText="1"/>
    </xf>
    <xf numFmtId="3" fontId="2" fillId="0" borderId="0" xfId="5" applyNumberFormat="1" applyFont="1" applyBorder="1" applyAlignment="1" applyProtection="1">
      <alignment horizontal="center" vertical="top" wrapText="1"/>
    </xf>
    <xf numFmtId="9" fontId="1" fillId="0" borderId="0" xfId="6" applyFont="1" applyFill="1" applyBorder="1" applyAlignment="1" applyProtection="1">
      <alignment horizontal="right" vertical="top" wrapText="1" indent="1"/>
    </xf>
    <xf numFmtId="167" fontId="36" fillId="0" borderId="0" xfId="2" applyNumberFormat="1" applyFont="1" applyAlignment="1">
      <alignment horizontal="right" vertical="top" wrapText="1" indent="1"/>
    </xf>
    <xf numFmtId="165" fontId="1" fillId="0" borderId="0" xfId="4" applyNumberFormat="1" applyFont="1" applyFill="1" applyBorder="1" applyAlignment="1" applyProtection="1">
      <alignment horizontal="right" vertical="top" wrapText="1" indent="1"/>
    </xf>
    <xf numFmtId="165" fontId="1" fillId="0" borderId="0" xfId="5" applyNumberFormat="1" applyFont="1" applyFill="1" applyBorder="1" applyAlignment="1" applyProtection="1">
      <alignment horizontal="right" vertical="top" wrapText="1" indent="1"/>
    </xf>
    <xf numFmtId="0" fontId="39" fillId="0" borderId="0" xfId="3" applyFont="1"/>
    <xf numFmtId="0" fontId="2" fillId="0" borderId="0" xfId="2"/>
    <xf numFmtId="165" fontId="2" fillId="0" borderId="0" xfId="5" applyNumberFormat="1" applyFont="1" applyProtection="1"/>
    <xf numFmtId="0" fontId="46" fillId="0" borderId="0" xfId="2" applyFont="1" applyAlignment="1">
      <alignment horizontal="center" vertical="center"/>
    </xf>
    <xf numFmtId="0" fontId="46" fillId="0" borderId="0" xfId="2" applyFont="1"/>
    <xf numFmtId="3" fontId="46" fillId="0" borderId="0" xfId="2" applyNumberFormat="1" applyFont="1"/>
    <xf numFmtId="3" fontId="46" fillId="0" borderId="0" xfId="7" applyNumberFormat="1" applyFont="1" applyProtection="1"/>
    <xf numFmtId="165" fontId="13" fillId="0" borderId="3" xfId="4" applyNumberFormat="1" applyFont="1" applyFill="1" applyBorder="1" applyAlignment="1" applyProtection="1">
      <alignment vertical="top" wrapText="1"/>
      <protection locked="0"/>
    </xf>
    <xf numFmtId="165" fontId="13" fillId="0" borderId="2" xfId="4" applyNumberFormat="1" applyFont="1" applyFill="1" applyBorder="1" applyAlignment="1" applyProtection="1">
      <alignment vertical="top" wrapText="1"/>
      <protection locked="0"/>
    </xf>
    <xf numFmtId="165" fontId="13" fillId="0" borderId="3" xfId="5" applyNumberFormat="1" applyFont="1" applyFill="1" applyBorder="1" applyAlignment="1" applyProtection="1">
      <alignment vertical="top" wrapText="1"/>
      <protection locked="0"/>
    </xf>
    <xf numFmtId="165" fontId="15" fillId="0" borderId="3" xfId="4" applyNumberFormat="1" applyFont="1" applyFill="1" applyBorder="1" applyAlignment="1" applyProtection="1">
      <alignment vertical="top" wrapText="1"/>
      <protection locked="0"/>
    </xf>
    <xf numFmtId="165" fontId="15" fillId="0" borderId="2" xfId="4" applyNumberFormat="1" applyFont="1" applyFill="1" applyBorder="1" applyAlignment="1" applyProtection="1">
      <alignment vertical="top" wrapText="1"/>
      <protection locked="0"/>
    </xf>
    <xf numFmtId="165" fontId="15" fillId="0" borderId="3" xfId="5" applyNumberFormat="1" applyFont="1" applyFill="1" applyBorder="1" applyAlignment="1" applyProtection="1">
      <alignment vertical="top" wrapText="1"/>
      <protection locked="0"/>
    </xf>
    <xf numFmtId="165" fontId="15" fillId="0" borderId="2" xfId="5" applyNumberFormat="1" applyFont="1" applyFill="1" applyBorder="1" applyAlignment="1" applyProtection="1">
      <alignment vertical="top" wrapText="1"/>
      <protection locked="0"/>
    </xf>
    <xf numFmtId="165" fontId="1" fillId="0" borderId="3" xfId="4" applyNumberFormat="1" applyFont="1" applyFill="1" applyBorder="1" applyAlignment="1" applyProtection="1">
      <alignment vertical="top" wrapText="1"/>
      <protection locked="0"/>
    </xf>
    <xf numFmtId="165" fontId="1" fillId="0" borderId="2" xfId="4" applyNumberFormat="1" applyFont="1" applyFill="1" applyBorder="1" applyAlignment="1" applyProtection="1">
      <alignment vertical="top" wrapText="1"/>
      <protection locked="0"/>
    </xf>
    <xf numFmtId="165" fontId="1" fillId="0" borderId="3" xfId="5" applyNumberFormat="1" applyFont="1" applyFill="1" applyBorder="1" applyAlignment="1" applyProtection="1">
      <alignment vertical="top" wrapText="1"/>
      <protection locked="0"/>
    </xf>
    <xf numFmtId="165" fontId="1" fillId="0" borderId="2" xfId="5" applyNumberFormat="1" applyFont="1" applyFill="1" applyBorder="1" applyAlignment="1" applyProtection="1">
      <alignment vertical="top" wrapText="1"/>
      <protection locked="0"/>
    </xf>
    <xf numFmtId="165" fontId="20" fillId="0" borderId="3" xfId="4" applyNumberFormat="1" applyFont="1" applyFill="1" applyBorder="1" applyAlignment="1" applyProtection="1">
      <alignment vertical="top" wrapText="1"/>
      <protection locked="0"/>
    </xf>
    <xf numFmtId="165" fontId="21" fillId="0" borderId="3" xfId="4" applyNumberFormat="1" applyFont="1" applyFill="1" applyBorder="1" applyAlignment="1" applyProtection="1">
      <alignment vertical="top" wrapText="1"/>
      <protection locked="0"/>
    </xf>
    <xf numFmtId="165" fontId="21" fillId="0" borderId="2" xfId="4" applyNumberFormat="1" applyFont="1" applyFill="1" applyBorder="1" applyAlignment="1" applyProtection="1">
      <alignment vertical="top" wrapText="1"/>
      <protection locked="0"/>
    </xf>
    <xf numFmtId="165" fontId="21" fillId="0" borderId="3" xfId="5" applyNumberFormat="1" applyFont="1" applyFill="1" applyBorder="1" applyAlignment="1" applyProtection="1">
      <alignment vertical="top" wrapText="1"/>
      <protection locked="0"/>
    </xf>
    <xf numFmtId="165" fontId="21" fillId="0" borderId="2" xfId="5" applyNumberFormat="1" applyFont="1" applyFill="1" applyBorder="1" applyAlignment="1" applyProtection="1">
      <alignment vertical="top" wrapText="1"/>
      <protection locked="0"/>
    </xf>
    <xf numFmtId="3" fontId="24" fillId="3" borderId="5" xfId="2" applyNumberFormat="1" applyFont="1" applyFill="1" applyBorder="1" applyAlignment="1" applyProtection="1">
      <alignment vertical="top" wrapText="1"/>
      <protection locked="0"/>
    </xf>
    <xf numFmtId="3" fontId="24" fillId="3" borderId="4" xfId="2" applyNumberFormat="1" applyFont="1" applyFill="1" applyBorder="1" applyAlignment="1" applyProtection="1">
      <alignment vertical="top" wrapText="1"/>
      <protection locked="0"/>
    </xf>
    <xf numFmtId="165" fontId="24" fillId="3" borderId="5" xfId="5" applyNumberFormat="1" applyFont="1" applyFill="1" applyBorder="1" applyAlignment="1" applyProtection="1">
      <alignment vertical="top" wrapText="1"/>
      <protection locked="0"/>
    </xf>
    <xf numFmtId="165" fontId="24" fillId="3" borderId="2" xfId="5" applyNumberFormat="1" applyFont="1" applyFill="1" applyBorder="1" applyAlignment="1" applyProtection="1">
      <alignment vertical="top" wrapText="1"/>
      <protection locked="0"/>
    </xf>
    <xf numFmtId="165" fontId="13" fillId="0" borderId="2" xfId="5" applyNumberFormat="1" applyFont="1" applyFill="1" applyBorder="1" applyAlignment="1" applyProtection="1">
      <alignment vertical="top" wrapText="1"/>
      <protection locked="0"/>
    </xf>
    <xf numFmtId="165" fontId="27" fillId="0" borderId="2" xfId="5" applyNumberFormat="1" applyFont="1" applyFill="1" applyBorder="1" applyAlignment="1" applyProtection="1">
      <alignment vertical="top" wrapText="1"/>
      <protection locked="0"/>
    </xf>
    <xf numFmtId="165" fontId="29" fillId="0" borderId="2" xfId="4" applyNumberFormat="1" applyFont="1" applyFill="1" applyBorder="1" applyAlignment="1" applyProtection="1">
      <alignment vertical="top" wrapText="1"/>
      <protection locked="0"/>
    </xf>
    <xf numFmtId="165" fontId="29" fillId="0" borderId="3" xfId="4" applyNumberFormat="1" applyFont="1" applyFill="1" applyBorder="1" applyAlignment="1" applyProtection="1">
      <alignment vertical="top" wrapText="1"/>
      <protection locked="0"/>
    </xf>
    <xf numFmtId="165" fontId="29" fillId="0" borderId="3" xfId="5" applyNumberFormat="1" applyFont="1" applyFill="1" applyBorder="1" applyAlignment="1" applyProtection="1">
      <alignment vertical="top" wrapText="1"/>
      <protection locked="0"/>
    </xf>
    <xf numFmtId="165" fontId="29" fillId="0" borderId="2" xfId="5" applyNumberFormat="1" applyFont="1" applyFill="1" applyBorder="1" applyAlignment="1" applyProtection="1">
      <alignment vertical="top" wrapText="1"/>
      <protection locked="0"/>
    </xf>
    <xf numFmtId="3" fontId="31" fillId="3" borderId="5" xfId="2" applyNumberFormat="1" applyFont="1" applyFill="1" applyBorder="1" applyAlignment="1" applyProtection="1">
      <alignment vertical="top" wrapText="1"/>
      <protection locked="0"/>
    </xf>
    <xf numFmtId="3" fontId="31" fillId="3" borderId="4" xfId="2" applyNumberFormat="1" applyFont="1" applyFill="1" applyBorder="1" applyAlignment="1" applyProtection="1">
      <alignment vertical="top" wrapText="1"/>
      <protection locked="0"/>
    </xf>
    <xf numFmtId="165" fontId="31" fillId="3" borderId="5" xfId="5" applyNumberFormat="1" applyFont="1" applyFill="1" applyBorder="1" applyAlignment="1" applyProtection="1">
      <alignment vertical="top" wrapText="1"/>
      <protection locked="0"/>
    </xf>
    <xf numFmtId="165" fontId="31" fillId="3" borderId="2" xfId="5" applyNumberFormat="1" applyFont="1" applyFill="1" applyBorder="1" applyAlignment="1" applyProtection="1">
      <alignment vertical="top" wrapText="1"/>
      <protection locked="0"/>
    </xf>
    <xf numFmtId="165" fontId="11" fillId="3" borderId="3" xfId="5" applyNumberFormat="1" applyFont="1" applyFill="1" applyBorder="1" applyAlignment="1" applyProtection="1">
      <alignment horizontal="center" vertical="center" wrapText="1"/>
    </xf>
    <xf numFmtId="3" fontId="10" fillId="2" borderId="2" xfId="2" applyNumberFormat="1" applyFont="1" applyFill="1" applyBorder="1" applyAlignment="1">
      <alignment horizontal="left" vertical="top" wrapText="1"/>
    </xf>
    <xf numFmtId="165" fontId="11" fillId="3" borderId="3" xfId="5" applyNumberFormat="1" applyFont="1" applyFill="1" applyBorder="1" applyAlignment="1" applyProtection="1">
      <alignment horizontal="center" vertical="top" wrapText="1"/>
    </xf>
    <xf numFmtId="0" fontId="33" fillId="0" borderId="4" xfId="4" applyNumberFormat="1" applyFont="1" applyFill="1" applyBorder="1" applyAlignment="1" applyProtection="1">
      <alignment horizontal="center" vertical="top" wrapText="1"/>
    </xf>
    <xf numFmtId="3" fontId="32" fillId="0" borderId="2" xfId="2" applyNumberFormat="1" applyFont="1" applyBorder="1" applyAlignment="1">
      <alignment horizontal="left" vertical="top" wrapText="1" indent="1"/>
    </xf>
    <xf numFmtId="3" fontId="14" fillId="0" borderId="2" xfId="2" applyNumberFormat="1" applyFont="1" applyBorder="1" applyAlignment="1">
      <alignment horizontal="left" vertical="top" wrapText="1" indent="1"/>
    </xf>
    <xf numFmtId="3" fontId="17" fillId="0" borderId="2" xfId="2" applyNumberFormat="1" applyFont="1" applyBorder="1" applyAlignment="1">
      <alignment horizontal="left" vertical="top" wrapText="1" indent="1"/>
    </xf>
    <xf numFmtId="3" fontId="11" fillId="0" borderId="4" xfId="2" applyNumberFormat="1" applyFont="1" applyBorder="1" applyAlignment="1">
      <alignment horizontal="center" vertical="top" wrapText="1"/>
    </xf>
    <xf numFmtId="3" fontId="52" fillId="0" borderId="2" xfId="2" applyNumberFormat="1" applyFont="1" applyBorder="1" applyAlignment="1">
      <alignment horizontal="center" vertical="top" wrapText="1"/>
    </xf>
    <xf numFmtId="3" fontId="53" fillId="0" borderId="4" xfId="0" applyNumberFormat="1" applyFont="1" applyBorder="1" applyAlignment="1">
      <alignment horizontal="center" vertical="top" wrapText="1"/>
    </xf>
    <xf numFmtId="3" fontId="17" fillId="0" borderId="2" xfId="2" applyNumberFormat="1" applyFont="1" applyBorder="1" applyAlignment="1">
      <alignment horizontal="left" vertical="top" wrapText="1" indent="2"/>
    </xf>
    <xf numFmtId="3" fontId="8" fillId="0" borderId="2" xfId="2" applyNumberFormat="1" applyFont="1" applyBorder="1" applyAlignment="1">
      <alignment horizontal="left" vertical="top" wrapText="1" indent="1"/>
    </xf>
    <xf numFmtId="166" fontId="33" fillId="0" borderId="5" xfId="4" applyNumberFormat="1" applyFont="1" applyFill="1" applyBorder="1" applyAlignment="1" applyProtection="1">
      <alignment horizontal="right" vertical="top" wrapText="1"/>
      <protection locked="0"/>
    </xf>
    <xf numFmtId="165" fontId="33" fillId="0" borderId="5" xfId="5" applyNumberFormat="1" applyFont="1" applyFill="1" applyBorder="1" applyAlignment="1" applyProtection="1">
      <alignment horizontal="right" vertical="top" wrapText="1"/>
      <protection locked="0"/>
    </xf>
    <xf numFmtId="165" fontId="35" fillId="0" borderId="3" xfId="4" applyNumberFormat="1" applyFont="1" applyFill="1" applyBorder="1" applyAlignment="1" applyProtection="1">
      <alignment vertical="top" wrapText="1"/>
      <protection locked="0"/>
    </xf>
    <xf numFmtId="165" fontId="35" fillId="0" borderId="2" xfId="4" applyNumberFormat="1" applyFont="1" applyFill="1" applyBorder="1" applyAlignment="1" applyProtection="1">
      <alignment vertical="top" wrapText="1"/>
      <protection locked="0"/>
    </xf>
    <xf numFmtId="165" fontId="35" fillId="0" borderId="3" xfId="5" applyNumberFormat="1" applyFont="1" applyFill="1" applyBorder="1" applyAlignment="1" applyProtection="1">
      <alignment vertical="top" wrapText="1"/>
      <protection locked="0"/>
    </xf>
    <xf numFmtId="0" fontId="10" fillId="2" borderId="4" xfId="2" applyFont="1" applyFill="1" applyBorder="1" applyAlignment="1">
      <alignment horizontal="center" vertical="center" wrapText="1"/>
    </xf>
    <xf numFmtId="0" fontId="14" fillId="0" borderId="4" xfId="2" applyFont="1" applyBorder="1" applyAlignment="1">
      <alignment horizontal="center"/>
    </xf>
    <xf numFmtId="0" fontId="14" fillId="0" borderId="2" xfId="2" applyFont="1" applyBorder="1"/>
    <xf numFmtId="0" fontId="35" fillId="0" borderId="2" xfId="4" applyNumberFormat="1" applyFont="1" applyFill="1" applyBorder="1" applyAlignment="1" applyProtection="1">
      <alignment horizontal="center" vertical="top" wrapText="1"/>
    </xf>
    <xf numFmtId="0" fontId="10" fillId="0" borderId="4" xfId="2" applyFont="1" applyBorder="1" applyAlignment="1">
      <alignment horizontal="center" vertical="top" wrapText="1"/>
    </xf>
    <xf numFmtId="0" fontId="37" fillId="0" borderId="4" xfId="2" applyFont="1" applyBorder="1" applyAlignment="1">
      <alignment horizontal="center"/>
    </xf>
    <xf numFmtId="0" fontId="37" fillId="0" borderId="2" xfId="2" applyFont="1" applyBorder="1"/>
    <xf numFmtId="0" fontId="19" fillId="0" borderId="4" xfId="0" applyFont="1" applyBorder="1" applyAlignment="1">
      <alignment horizontal="center"/>
    </xf>
    <xf numFmtId="0" fontId="8" fillId="0" borderId="4" xfId="2" quotePrefix="1" applyFont="1" applyBorder="1" applyAlignment="1">
      <alignment horizontal="center"/>
    </xf>
    <xf numFmtId="0" fontId="8" fillId="0" borderId="2" xfId="2" quotePrefix="1" applyFont="1" applyBorder="1" applyAlignment="1">
      <alignment horizontal="left" indent="1"/>
    </xf>
    <xf numFmtId="0" fontId="54" fillId="0" borderId="2" xfId="0" quotePrefix="1" applyFont="1" applyBorder="1" applyAlignment="1">
      <alignment horizontal="center"/>
    </xf>
    <xf numFmtId="0" fontId="8" fillId="0" borderId="4" xfId="2" quotePrefix="1" applyFont="1" applyBorder="1" applyAlignment="1">
      <alignment horizontal="center" vertical="center"/>
    </xf>
    <xf numFmtId="0" fontId="8" fillId="0" borderId="2" xfId="2" quotePrefix="1" applyFont="1" applyBorder="1" applyAlignment="1">
      <alignment horizontal="left" vertical="center" indent="1"/>
    </xf>
    <xf numFmtId="0" fontId="54" fillId="0" borderId="2" xfId="0" quotePrefix="1" applyFont="1" applyBorder="1" applyAlignment="1">
      <alignment horizontal="center" vertical="center"/>
    </xf>
    <xf numFmtId="0" fontId="8" fillId="0" borderId="4" xfId="8" quotePrefix="1" applyNumberFormat="1" applyFont="1" applyFill="1" applyBorder="1" applyAlignment="1" applyProtection="1">
      <alignment horizontal="center"/>
    </xf>
    <xf numFmtId="0" fontId="14" fillId="0" borderId="4" xfId="2" quotePrefix="1" applyFont="1" applyBorder="1" applyAlignment="1">
      <alignment horizontal="center" vertical="center"/>
    </xf>
    <xf numFmtId="0" fontId="14" fillId="0" borderId="2" xfId="2" quotePrefix="1" applyFont="1" applyBorder="1" applyAlignment="1">
      <alignment horizontal="left" vertical="center"/>
    </xf>
    <xf numFmtId="0" fontId="11" fillId="0" borderId="4" xfId="8" quotePrefix="1" applyNumberFormat="1" applyFont="1" applyFill="1" applyBorder="1" applyAlignment="1" applyProtection="1">
      <alignment horizontal="center" vertical="center"/>
    </xf>
    <xf numFmtId="0" fontId="17" fillId="0" borderId="4" xfId="2" quotePrefix="1" applyFont="1" applyBorder="1" applyAlignment="1">
      <alignment horizontal="center"/>
    </xf>
    <xf numFmtId="0" fontId="17" fillId="0" borderId="2" xfId="2" quotePrefix="1" applyFont="1" applyBorder="1" applyAlignment="1">
      <alignment horizontal="left" indent="1"/>
    </xf>
    <xf numFmtId="0" fontId="17" fillId="0" borderId="4" xfId="2" quotePrefix="1" applyFont="1" applyBorder="1" applyAlignment="1">
      <alignment horizontal="center" wrapText="1"/>
    </xf>
    <xf numFmtId="0" fontId="17" fillId="0" borderId="2" xfId="2" quotePrefix="1" applyFont="1" applyBorder="1" applyAlignment="1">
      <alignment horizontal="left" wrapText="1" indent="1"/>
    </xf>
    <xf numFmtId="0" fontId="17" fillId="0" borderId="4" xfId="2" quotePrefix="1" applyFont="1" applyBorder="1" applyAlignment="1">
      <alignment horizontal="center" vertical="center"/>
    </xf>
    <xf numFmtId="0" fontId="17" fillId="0" borderId="2" xfId="2" quotePrefix="1" applyFont="1" applyBorder="1" applyAlignment="1">
      <alignment horizontal="left" vertical="center" indent="1"/>
    </xf>
    <xf numFmtId="0" fontId="54" fillId="0" borderId="4" xfId="0" quotePrefix="1" applyFont="1" applyBorder="1" applyAlignment="1">
      <alignment horizontal="center"/>
    </xf>
    <xf numFmtId="0" fontId="14" fillId="0" borderId="2" xfId="2" applyFont="1" applyBorder="1" applyAlignment="1">
      <alignment horizontal="left"/>
    </xf>
    <xf numFmtId="0" fontId="10" fillId="0" borderId="4" xfId="8" applyNumberFormat="1" applyFont="1" applyFill="1" applyBorder="1" applyAlignment="1" applyProtection="1">
      <alignment horizontal="center"/>
    </xf>
    <xf numFmtId="0" fontId="11" fillId="0" borderId="4" xfId="8" applyNumberFormat="1" applyFont="1" applyFill="1" applyBorder="1" applyAlignment="1" applyProtection="1">
      <alignment horizontal="center"/>
    </xf>
    <xf numFmtId="0" fontId="8" fillId="0" borderId="4" xfId="2" applyFont="1" applyBorder="1" applyAlignment="1">
      <alignment horizontal="center"/>
    </xf>
    <xf numFmtId="0" fontId="8" fillId="0" borderId="2" xfId="2" applyFont="1" applyBorder="1" applyAlignment="1">
      <alignment horizontal="left" indent="1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indent="1"/>
    </xf>
    <xf numFmtId="0" fontId="8" fillId="0" borderId="4" xfId="8" quotePrefix="1" applyNumberFormat="1" applyFont="1" applyFill="1" applyBorder="1" applyAlignment="1" applyProtection="1">
      <alignment horizontal="center" vertical="center"/>
    </xf>
    <xf numFmtId="0" fontId="14" fillId="5" borderId="4" xfId="2" applyFont="1" applyFill="1" applyBorder="1" applyAlignment="1">
      <alignment horizontal="center"/>
    </xf>
    <xf numFmtId="0" fontId="14" fillId="5" borderId="2" xfId="2" applyFont="1" applyFill="1" applyBorder="1"/>
    <xf numFmtId="0" fontId="10" fillId="5" borderId="4" xfId="8" applyNumberFormat="1" applyFont="1" applyFill="1" applyBorder="1" applyAlignment="1" applyProtection="1">
      <alignment horizontal="center"/>
    </xf>
    <xf numFmtId="0" fontId="34" fillId="0" borderId="4" xfId="2" applyFont="1" applyBorder="1" applyAlignment="1">
      <alignment horizontal="center"/>
    </xf>
    <xf numFmtId="0" fontId="34" fillId="0" borderId="2" xfId="2" applyFont="1" applyBorder="1" applyAlignment="1">
      <alignment horizontal="left" indent="1"/>
    </xf>
    <xf numFmtId="0" fontId="55" fillId="0" borderId="4" xfId="0" applyFont="1" applyBorder="1" applyAlignment="1">
      <alignment horizontal="center"/>
    </xf>
    <xf numFmtId="165" fontId="38" fillId="0" borderId="3" xfId="4" applyNumberFormat="1" applyFont="1" applyFill="1" applyBorder="1" applyAlignment="1" applyProtection="1">
      <alignment vertical="top" wrapText="1"/>
      <protection locked="0"/>
    </xf>
    <xf numFmtId="165" fontId="38" fillId="0" borderId="2" xfId="4" applyNumberFormat="1" applyFont="1" applyFill="1" applyBorder="1" applyAlignment="1" applyProtection="1">
      <alignment vertical="top" wrapText="1"/>
      <protection locked="0"/>
    </xf>
    <xf numFmtId="165" fontId="15" fillId="4" borderId="2" xfId="4" applyNumberFormat="1" applyFont="1" applyFill="1" applyBorder="1" applyAlignment="1" applyProtection="1">
      <alignment vertical="top" wrapText="1"/>
      <protection locked="0"/>
    </xf>
    <xf numFmtId="165" fontId="15" fillId="4" borderId="3" xfId="4" applyNumberFormat="1" applyFont="1" applyFill="1" applyBorder="1" applyAlignment="1" applyProtection="1">
      <alignment vertical="top" wrapText="1"/>
      <protection locked="0"/>
    </xf>
    <xf numFmtId="0" fontId="40" fillId="2" borderId="8" xfId="2" applyFont="1" applyFill="1" applyBorder="1" applyAlignment="1">
      <alignment horizontal="center" vertical="center" wrapText="1"/>
    </xf>
    <xf numFmtId="0" fontId="40" fillId="2" borderId="2" xfId="2" applyFont="1" applyFill="1" applyBorder="1" applyAlignment="1">
      <alignment horizontal="left" vertical="center" wrapText="1"/>
    </xf>
    <xf numFmtId="0" fontId="41" fillId="3" borderId="3" xfId="3" applyFont="1" applyFill="1" applyBorder="1" applyAlignment="1">
      <alignment horizontal="center" vertical="center" wrapText="1"/>
    </xf>
    <xf numFmtId="168" fontId="41" fillId="3" borderId="3" xfId="3" applyNumberFormat="1" applyFont="1" applyFill="1" applyBorder="1" applyAlignment="1">
      <alignment horizontal="center" vertical="center" wrapText="1"/>
    </xf>
    <xf numFmtId="0" fontId="42" fillId="0" borderId="4" xfId="2" applyFont="1" applyBorder="1" applyAlignment="1">
      <alignment horizontal="center" vertical="center" wrapText="1"/>
    </xf>
    <xf numFmtId="0" fontId="42" fillId="0" borderId="2" xfId="2" applyFont="1" applyBorder="1" applyAlignment="1">
      <alignment horizontal="left" vertical="center" wrapText="1" indent="2"/>
    </xf>
    <xf numFmtId="0" fontId="43" fillId="0" borderId="2" xfId="3" applyFont="1" applyBorder="1" applyAlignment="1">
      <alignment horizontal="center"/>
    </xf>
    <xf numFmtId="0" fontId="41" fillId="0" borderId="4" xfId="2" applyFont="1" applyBorder="1" applyAlignment="1">
      <alignment horizontal="center" vertical="center" wrapText="1"/>
    </xf>
    <xf numFmtId="0" fontId="41" fillId="0" borderId="2" xfId="2" applyFont="1" applyBorder="1" applyAlignment="1">
      <alignment horizontal="left" vertical="center" wrapText="1" indent="1"/>
    </xf>
    <xf numFmtId="0" fontId="44" fillId="0" borderId="2" xfId="2" applyFont="1" applyBorder="1" applyAlignment="1">
      <alignment horizontal="center"/>
    </xf>
    <xf numFmtId="0" fontId="45" fillId="0" borderId="4" xfId="2" applyFont="1" applyBorder="1" applyAlignment="1">
      <alignment horizontal="center" vertical="center" wrapText="1"/>
    </xf>
    <xf numFmtId="0" fontId="45" fillId="0" borderId="2" xfId="2" applyFont="1" applyBorder="1" applyAlignment="1">
      <alignment horizontal="left" vertical="center" wrapText="1" indent="1"/>
    </xf>
    <xf numFmtId="0" fontId="46" fillId="0" borderId="2" xfId="2" applyFont="1" applyBorder="1" applyAlignment="1">
      <alignment horizontal="center"/>
    </xf>
    <xf numFmtId="0" fontId="46" fillId="0" borderId="2" xfId="1" applyNumberFormat="1" applyFont="1" applyBorder="1" applyAlignment="1" applyProtection="1">
      <alignment horizontal="center"/>
    </xf>
    <xf numFmtId="0" fontId="48" fillId="0" borderId="2" xfId="2" applyFont="1" applyBorder="1" applyAlignment="1">
      <alignment horizontal="center"/>
    </xf>
    <xf numFmtId="0" fontId="43" fillId="0" borderId="2" xfId="2" applyFont="1" applyBorder="1" applyAlignment="1">
      <alignment horizontal="center"/>
    </xf>
    <xf numFmtId="0" fontId="42" fillId="0" borderId="2" xfId="2" applyFont="1" applyBorder="1" applyAlignment="1">
      <alignment horizontal="left" vertical="center" indent="2"/>
    </xf>
    <xf numFmtId="0" fontId="42" fillId="0" borderId="4" xfId="2" applyFont="1" applyBorder="1" applyAlignment="1">
      <alignment horizontal="center" vertical="center"/>
    </xf>
    <xf numFmtId="0" fontId="48" fillId="0" borderId="2" xfId="1" applyNumberFormat="1" applyFont="1" applyBorder="1" applyAlignment="1" applyProtection="1">
      <alignment horizontal="center"/>
    </xf>
    <xf numFmtId="0" fontId="41" fillId="0" borderId="4" xfId="2" applyFont="1" applyBorder="1" applyAlignment="1">
      <alignment horizontal="center" vertical="center"/>
    </xf>
    <xf numFmtId="0" fontId="41" fillId="0" borderId="2" xfId="2" applyFont="1" applyBorder="1" applyAlignment="1">
      <alignment horizontal="left" vertical="center" indent="1"/>
    </xf>
    <xf numFmtId="0" fontId="45" fillId="0" borderId="4" xfId="2" applyFont="1" applyBorder="1" applyAlignment="1">
      <alignment horizontal="center" vertical="center"/>
    </xf>
    <xf numFmtId="0" fontId="45" fillId="0" borderId="2" xfId="2" applyFont="1" applyBorder="1" applyAlignment="1">
      <alignment horizontal="left" vertical="center" indent="1"/>
    </xf>
    <xf numFmtId="0" fontId="45" fillId="0" borderId="9" xfId="2" applyFont="1" applyBorder="1" applyAlignment="1">
      <alignment horizontal="center" vertical="center"/>
    </xf>
    <xf numFmtId="3" fontId="43" fillId="0" borderId="2" xfId="3" applyNumberFormat="1" applyFont="1" applyBorder="1" applyProtection="1">
      <protection locked="0"/>
    </xf>
    <xf numFmtId="3" fontId="44" fillId="0" borderId="2" xfId="2" applyNumberFormat="1" applyFont="1" applyBorder="1" applyProtection="1">
      <protection locked="0"/>
    </xf>
    <xf numFmtId="3" fontId="46" fillId="0" borderId="2" xfId="2" applyNumberFormat="1" applyFont="1" applyBorder="1" applyProtection="1">
      <protection locked="0"/>
    </xf>
    <xf numFmtId="169" fontId="46" fillId="0" borderId="2" xfId="1" applyNumberFormat="1" applyFont="1" applyBorder="1" applyProtection="1">
      <protection locked="0"/>
    </xf>
    <xf numFmtId="3" fontId="48" fillId="0" borderId="2" xfId="2" applyNumberFormat="1" applyFont="1" applyBorder="1" applyProtection="1">
      <protection locked="0"/>
    </xf>
    <xf numFmtId="3" fontId="43" fillId="0" borderId="2" xfId="2" applyNumberFormat="1" applyFont="1" applyBorder="1" applyProtection="1">
      <protection locked="0"/>
    </xf>
    <xf numFmtId="169" fontId="48" fillId="0" borderId="2" xfId="1" applyNumberFormat="1" applyFont="1" applyBorder="1" applyProtection="1">
      <protection locked="0"/>
    </xf>
    <xf numFmtId="3" fontId="49" fillId="0" borderId="6" xfId="2" applyNumberFormat="1" applyFont="1" applyBorder="1" applyProtection="1">
      <protection locked="0"/>
    </xf>
    <xf numFmtId="3" fontId="9" fillId="0" borderId="0" xfId="2" applyNumberFormat="1" applyFont="1" applyProtection="1">
      <protection locked="0"/>
    </xf>
    <xf numFmtId="3" fontId="46" fillId="0" borderId="0" xfId="2" applyNumberFormat="1" applyFont="1" applyProtection="1">
      <protection locked="0"/>
    </xf>
    <xf numFmtId="3" fontId="49" fillId="0" borderId="7" xfId="2" applyNumberFormat="1" applyFont="1" applyBorder="1" applyProtection="1">
      <protection locked="0"/>
    </xf>
    <xf numFmtId="0" fontId="9" fillId="0" borderId="0" xfId="2" applyFont="1" applyProtection="1">
      <protection locked="0"/>
    </xf>
    <xf numFmtId="0" fontId="56" fillId="6" borderId="0" xfId="3" applyFont="1" applyFill="1"/>
    <xf numFmtId="0" fontId="57" fillId="6" borderId="0" xfId="3" applyFont="1" applyFill="1"/>
    <xf numFmtId="0" fontId="57" fillId="0" borderId="0" xfId="3" applyFont="1"/>
    <xf numFmtId="0" fontId="56" fillId="0" borderId="0" xfId="3" applyFont="1" applyAlignment="1">
      <alignment horizontal="right"/>
    </xf>
    <xf numFmtId="0" fontId="57" fillId="6" borderId="12" xfId="3" applyFont="1" applyFill="1" applyBorder="1"/>
    <xf numFmtId="0" fontId="57" fillId="0" borderId="12" xfId="3" applyFont="1" applyBorder="1"/>
    <xf numFmtId="0" fontId="58" fillId="0" borderId="12" xfId="3" applyFont="1" applyBorder="1" applyAlignment="1">
      <alignment horizontal="right"/>
    </xf>
    <xf numFmtId="0" fontId="58" fillId="0" borderId="0" xfId="3" applyFont="1" applyAlignment="1">
      <alignment horizontal="right"/>
    </xf>
    <xf numFmtId="0" fontId="59" fillId="0" borderId="0" xfId="3" applyFont="1"/>
    <xf numFmtId="0" fontId="9" fillId="0" borderId="0" xfId="3" applyFont="1"/>
    <xf numFmtId="0" fontId="9" fillId="6" borderId="0" xfId="3" applyFont="1" applyFill="1"/>
    <xf numFmtId="0" fontId="49" fillId="0" borderId="0" xfId="3" applyFont="1"/>
    <xf numFmtId="0" fontId="49" fillId="6" borderId="0" xfId="3" applyFont="1" applyFill="1" applyAlignment="1">
      <alignment horizontal="center"/>
    </xf>
    <xf numFmtId="14" fontId="9" fillId="0" borderId="0" xfId="3" applyNumberFormat="1" applyFont="1" applyAlignment="1">
      <alignment vertical="center"/>
    </xf>
    <xf numFmtId="0" fontId="19" fillId="0" borderId="0" xfId="3" applyFont="1" applyAlignment="1">
      <alignment horizontal="left"/>
    </xf>
    <xf numFmtId="0" fontId="8" fillId="6" borderId="0" xfId="3" applyFont="1" applyFill="1" applyAlignment="1">
      <alignment horizontal="left"/>
    </xf>
    <xf numFmtId="0" fontId="8" fillId="6" borderId="0" xfId="3" applyFont="1" applyFill="1"/>
    <xf numFmtId="0" fontId="60" fillId="0" borderId="0" xfId="3" applyFont="1" applyAlignment="1">
      <alignment horizontal="right"/>
    </xf>
    <xf numFmtId="0" fontId="54" fillId="0" borderId="0" xfId="3" applyFont="1"/>
    <xf numFmtId="0" fontId="60" fillId="0" borderId="0" xfId="3" applyFont="1"/>
    <xf numFmtId="0" fontId="60" fillId="0" borderId="0" xfId="3" applyFont="1" applyAlignment="1">
      <alignment horizontal="centerContinuous"/>
    </xf>
    <xf numFmtId="0" fontId="60" fillId="0" borderId="0" xfId="3" applyFont="1" applyAlignment="1">
      <alignment horizontal="centerContinuous" wrapText="1"/>
    </xf>
    <xf numFmtId="0" fontId="54" fillId="0" borderId="0" xfId="3" applyFont="1" applyAlignment="1">
      <alignment horizontal="centerContinuous"/>
    </xf>
    <xf numFmtId="0" fontId="64" fillId="0" borderId="0" xfId="3" applyFont="1"/>
    <xf numFmtId="0" fontId="65" fillId="0" borderId="0" xfId="3" applyFont="1" applyAlignment="1">
      <alignment horizontal="centerContinuous"/>
    </xf>
    <xf numFmtId="0" fontId="56" fillId="0" borderId="0" xfId="3" applyFont="1"/>
    <xf numFmtId="0" fontId="67" fillId="0" borderId="0" xfId="3" applyFont="1"/>
    <xf numFmtId="0" fontId="68" fillId="0" borderId="0" xfId="3" applyFont="1"/>
    <xf numFmtId="0" fontId="69" fillId="0" borderId="0" xfId="3" applyFont="1"/>
    <xf numFmtId="0" fontId="67" fillId="0" borderId="0" xfId="3" applyFont="1" applyAlignment="1">
      <alignment horizontal="right"/>
    </xf>
    <xf numFmtId="0" fontId="70" fillId="0" borderId="0" xfId="3" applyFont="1"/>
    <xf numFmtId="49" fontId="70" fillId="0" borderId="0" xfId="3" applyNumberFormat="1" applyFont="1" applyAlignment="1">
      <alignment horizontal="right"/>
    </xf>
    <xf numFmtId="0" fontId="71" fillId="0" borderId="0" xfId="3" quotePrefix="1" applyFont="1" applyAlignment="1">
      <alignment horizontal="left" indent="1"/>
    </xf>
    <xf numFmtId="0" fontId="72" fillId="0" borderId="0" xfId="3" applyFont="1"/>
    <xf numFmtId="49" fontId="72" fillId="0" borderId="0" xfId="3" applyNumberFormat="1" applyFont="1" applyAlignment="1">
      <alignment horizontal="right"/>
    </xf>
    <xf numFmtId="0" fontId="73" fillId="0" borderId="0" xfId="3" quotePrefix="1" applyFont="1" applyAlignment="1">
      <alignment horizontal="left" indent="1"/>
    </xf>
    <xf numFmtId="0" fontId="74" fillId="0" borderId="0" xfId="3" applyFont="1"/>
    <xf numFmtId="49" fontId="74" fillId="0" borderId="0" xfId="3" applyNumberFormat="1" applyFont="1" applyAlignment="1">
      <alignment horizontal="right"/>
    </xf>
    <xf numFmtId="0" fontId="75" fillId="0" borderId="0" xfId="3" quotePrefix="1" applyFont="1" applyAlignment="1">
      <alignment horizontal="left" indent="1"/>
    </xf>
    <xf numFmtId="0" fontId="76" fillId="0" borderId="0" xfId="3" applyFont="1"/>
    <xf numFmtId="49" fontId="76" fillId="0" borderId="0" xfId="3" applyNumberFormat="1" applyFont="1" applyAlignment="1">
      <alignment horizontal="right"/>
    </xf>
    <xf numFmtId="0" fontId="77" fillId="0" borderId="0" xfId="3" quotePrefix="1" applyFont="1" applyAlignment="1">
      <alignment horizontal="left" indent="1"/>
    </xf>
    <xf numFmtId="49" fontId="68" fillId="0" borderId="0" xfId="3" applyNumberFormat="1" applyFont="1" applyAlignment="1">
      <alignment horizontal="right"/>
    </xf>
    <xf numFmtId="0" fontId="78" fillId="0" borderId="0" xfId="3" applyFont="1"/>
    <xf numFmtId="170" fontId="79" fillId="0" borderId="0" xfId="3" applyNumberFormat="1" applyFont="1"/>
    <xf numFmtId="0" fontId="79" fillId="0" borderId="0" xfId="3" applyFont="1"/>
    <xf numFmtId="0" fontId="80" fillId="0" borderId="12" xfId="3" applyFont="1" applyBorder="1"/>
    <xf numFmtId="170" fontId="79" fillId="0" borderId="12" xfId="3" applyNumberFormat="1" applyFont="1" applyBorder="1"/>
    <xf numFmtId="0" fontId="17" fillId="0" borderId="0" xfId="3" applyFont="1"/>
    <xf numFmtId="0" fontId="17" fillId="0" borderId="0" xfId="9" applyFont="1"/>
    <xf numFmtId="170" fontId="17" fillId="0" borderId="0" xfId="9" applyNumberFormat="1" applyFont="1"/>
    <xf numFmtId="170" fontId="83" fillId="0" borderId="0" xfId="9" applyNumberFormat="1" applyFont="1" applyAlignment="1">
      <alignment horizontal="right"/>
    </xf>
    <xf numFmtId="0" fontId="78" fillId="0" borderId="13" xfId="10" applyFont="1" applyBorder="1" applyAlignment="1">
      <alignment horizontal="center" vertical="center" wrapText="1"/>
    </xf>
    <xf numFmtId="170" fontId="78" fillId="0" borderId="13" xfId="10" applyNumberFormat="1" applyFont="1" applyBorder="1" applyAlignment="1">
      <alignment horizontal="center" vertical="center" wrapText="1"/>
    </xf>
    <xf numFmtId="14" fontId="78" fillId="0" borderId="13" xfId="10" applyNumberFormat="1" applyFont="1" applyBorder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11" fillId="0" borderId="14" xfId="10" applyFont="1" applyBorder="1" applyAlignment="1">
      <alignment horizontal="left" wrapText="1"/>
    </xf>
    <xf numFmtId="3" fontId="21" fillId="0" borderId="14" xfId="10" applyNumberFormat="1" applyFont="1" applyBorder="1" applyAlignment="1" applyProtection="1">
      <alignment horizontal="right" vertical="center"/>
      <protection hidden="1"/>
    </xf>
    <xf numFmtId="170" fontId="55" fillId="0" borderId="0" xfId="3" applyNumberFormat="1" applyFont="1"/>
    <xf numFmtId="0" fontId="55" fillId="0" borderId="0" xfId="3" applyFont="1"/>
    <xf numFmtId="0" fontId="17" fillId="0" borderId="15" xfId="10" applyFont="1" applyBorder="1"/>
    <xf numFmtId="3" fontId="84" fillId="0" borderId="15" xfId="10" applyNumberFormat="1" applyFont="1" applyBorder="1" applyProtection="1">
      <protection hidden="1"/>
    </xf>
    <xf numFmtId="0" fontId="78" fillId="0" borderId="15" xfId="10" applyFont="1" applyBorder="1"/>
    <xf numFmtId="3" fontId="85" fillId="0" borderId="15" xfId="10" applyNumberFormat="1" applyFont="1" applyBorder="1" applyProtection="1">
      <protection hidden="1"/>
    </xf>
    <xf numFmtId="16" fontId="17" fillId="0" borderId="0" xfId="3" applyNumberFormat="1" applyFont="1"/>
    <xf numFmtId="0" fontId="17" fillId="0" borderId="15" xfId="10" applyFont="1" applyBorder="1" applyAlignment="1">
      <alignment horizontal="left" wrapText="1"/>
    </xf>
    <xf numFmtId="0" fontId="8" fillId="0" borderId="15" xfId="10" applyFont="1" applyBorder="1"/>
    <xf numFmtId="9" fontId="17" fillId="0" borderId="0" xfId="11" applyFont="1"/>
    <xf numFmtId="3" fontId="2" fillId="0" borderId="15" xfId="10" applyNumberFormat="1" applyBorder="1" applyProtection="1">
      <protection hidden="1"/>
    </xf>
    <xf numFmtId="0" fontId="11" fillId="0" borderId="15" xfId="10" applyFont="1" applyBorder="1" applyAlignment="1">
      <alignment horizontal="left" wrapText="1"/>
    </xf>
    <xf numFmtId="3" fontId="21" fillId="0" borderId="15" xfId="10" applyNumberFormat="1" applyFont="1" applyBorder="1" applyAlignment="1" applyProtection="1">
      <alignment horizontal="right" vertical="center"/>
      <protection hidden="1"/>
    </xf>
    <xf numFmtId="3" fontId="85" fillId="0" borderId="15" xfId="10" applyNumberFormat="1" applyFont="1" applyBorder="1" applyAlignment="1" applyProtection="1">
      <alignment horizontal="right"/>
      <protection hidden="1"/>
    </xf>
    <xf numFmtId="0" fontId="17" fillId="0" borderId="16" xfId="10" applyFont="1" applyBorder="1"/>
    <xf numFmtId="3" fontId="84" fillId="0" borderId="17" xfId="10" applyNumberFormat="1" applyFont="1" applyBorder="1" applyProtection="1">
      <protection hidden="1"/>
    </xf>
    <xf numFmtId="0" fontId="17" fillId="0" borderId="0" xfId="10" applyFont="1"/>
    <xf numFmtId="3" fontId="84" fillId="0" borderId="0" xfId="10" applyNumberFormat="1" applyFont="1" applyProtection="1">
      <protection hidden="1"/>
    </xf>
    <xf numFmtId="3" fontId="78" fillId="0" borderId="13" xfId="10" applyNumberFormat="1" applyFont="1" applyBorder="1" applyAlignment="1" applyProtection="1">
      <alignment horizontal="center" vertical="center" wrapText="1"/>
      <protection hidden="1"/>
    </xf>
    <xf numFmtId="0" fontId="86" fillId="0" borderId="0" xfId="3" applyFont="1"/>
    <xf numFmtId="0" fontId="19" fillId="0" borderId="14" xfId="10" applyFont="1" applyBorder="1"/>
    <xf numFmtId="3" fontId="84" fillId="0" borderId="14" xfId="10" applyNumberFormat="1" applyFont="1" applyBorder="1" applyProtection="1">
      <protection hidden="1"/>
    </xf>
    <xf numFmtId="3" fontId="84" fillId="0" borderId="15" xfId="10" applyNumberFormat="1" applyFont="1" applyBorder="1" applyAlignment="1" applyProtection="1">
      <alignment horizontal="right"/>
      <protection hidden="1"/>
    </xf>
    <xf numFmtId="165" fontId="84" fillId="0" borderId="15" xfId="10" applyNumberFormat="1" applyFont="1" applyBorder="1" applyAlignment="1" applyProtection="1">
      <alignment horizontal="right"/>
      <protection hidden="1"/>
    </xf>
    <xf numFmtId="170" fontId="17" fillId="0" borderId="0" xfId="3" applyNumberFormat="1" applyFont="1"/>
    <xf numFmtId="0" fontId="17" fillId="0" borderId="15" xfId="10" applyFont="1" applyBorder="1" applyAlignment="1">
      <alignment horizontal="left" indent="1"/>
    </xf>
    <xf numFmtId="0" fontId="17" fillId="0" borderId="15" xfId="10" quotePrefix="1" applyFont="1" applyBorder="1" applyAlignment="1">
      <alignment horizontal="left" indent="2"/>
    </xf>
    <xf numFmtId="0" fontId="17" fillId="0" borderId="15" xfId="10" quotePrefix="1" applyFont="1" applyBorder="1"/>
    <xf numFmtId="0" fontId="17" fillId="0" borderId="17" xfId="10" applyFont="1" applyBorder="1"/>
    <xf numFmtId="0" fontId="10" fillId="0" borderId="13" xfId="10" applyFont="1" applyBorder="1"/>
    <xf numFmtId="3" fontId="87" fillId="0" borderId="13" xfId="10" applyNumberFormat="1" applyFont="1" applyBorder="1" applyProtection="1">
      <protection hidden="1"/>
    </xf>
    <xf numFmtId="3" fontId="17" fillId="0" borderId="0" xfId="3" applyNumberFormat="1" applyFont="1" applyProtection="1">
      <protection hidden="1"/>
    </xf>
    <xf numFmtId="0" fontId="11" fillId="0" borderId="15" xfId="10" applyFont="1" applyBorder="1"/>
    <xf numFmtId="3" fontId="21" fillId="0" borderId="15" xfId="10" applyNumberFormat="1" applyFont="1" applyBorder="1" applyProtection="1">
      <protection hidden="1"/>
    </xf>
    <xf numFmtId="3" fontId="17" fillId="0" borderId="0" xfId="10" applyNumberFormat="1" applyFont="1" applyProtection="1">
      <protection hidden="1"/>
    </xf>
    <xf numFmtId="3" fontId="88" fillId="0" borderId="0" xfId="10" applyNumberFormat="1" applyFont="1" applyAlignment="1" applyProtection="1">
      <alignment horizontal="right"/>
      <protection hidden="1"/>
    </xf>
    <xf numFmtId="3" fontId="84" fillId="0" borderId="15" xfId="10" applyNumberFormat="1" applyFont="1" applyBorder="1" applyAlignment="1" applyProtection="1">
      <alignment vertical="top"/>
      <protection hidden="1"/>
    </xf>
    <xf numFmtId="171" fontId="84" fillId="0" borderId="15" xfId="10" applyNumberFormat="1" applyFont="1" applyBorder="1" applyProtection="1">
      <protection hidden="1"/>
    </xf>
    <xf numFmtId="3" fontId="17" fillId="0" borderId="0" xfId="3" applyNumberFormat="1" applyFont="1"/>
    <xf numFmtId="0" fontId="89" fillId="0" borderId="15" xfId="10" applyFont="1" applyBorder="1" applyAlignment="1">
      <alignment horizontal="left" indent="1"/>
    </xf>
    <xf numFmtId="165" fontId="90" fillId="0" borderId="15" xfId="10" applyNumberFormat="1" applyFont="1" applyBorder="1" applyAlignment="1" applyProtection="1">
      <alignment vertical="center"/>
      <protection hidden="1"/>
    </xf>
    <xf numFmtId="0" fontId="17" fillId="0" borderId="14" xfId="10" applyFont="1" applyBorder="1"/>
    <xf numFmtId="168" fontId="17" fillId="0" borderId="0" xfId="3" applyNumberFormat="1" applyFont="1" applyProtection="1">
      <protection hidden="1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1" fillId="0" borderId="0" xfId="3" applyFont="1" applyAlignment="1">
      <alignment horizontal="center"/>
    </xf>
    <xf numFmtId="0" fontId="92" fillId="0" borderId="0" xfId="3" applyFont="1"/>
    <xf numFmtId="0" fontId="19" fillId="0" borderId="0" xfId="3" applyFont="1"/>
    <xf numFmtId="0" fontId="17" fillId="0" borderId="12" xfId="3" applyFont="1" applyBorder="1"/>
    <xf numFmtId="170" fontId="89" fillId="0" borderId="0" xfId="3" applyNumberFormat="1" applyFont="1" applyAlignment="1">
      <alignment horizontal="right"/>
    </xf>
    <xf numFmtId="170" fontId="83" fillId="0" borderId="0" xfId="10" applyNumberFormat="1" applyFont="1" applyAlignment="1">
      <alignment horizontal="right"/>
    </xf>
    <xf numFmtId="170" fontId="92" fillId="0" borderId="26" xfId="3" applyNumberFormat="1" applyFont="1" applyBorder="1" applyAlignment="1">
      <alignment horizontal="center" vertical="center"/>
    </xf>
    <xf numFmtId="0" fontId="19" fillId="0" borderId="27" xfId="3" applyFont="1" applyBorder="1" applyAlignment="1">
      <alignment vertical="center"/>
    </xf>
    <xf numFmtId="3" fontId="94" fillId="0" borderId="30" xfId="3" applyNumberFormat="1" applyFont="1" applyBorder="1" applyAlignment="1" applyProtection="1">
      <alignment vertical="center"/>
      <protection hidden="1"/>
    </xf>
    <xf numFmtId="0" fontId="17" fillId="0" borderId="31" xfId="3" applyFont="1" applyBorder="1" applyAlignment="1">
      <alignment vertical="center"/>
    </xf>
    <xf numFmtId="0" fontId="17" fillId="0" borderId="32" xfId="3" applyFont="1" applyBorder="1" applyAlignment="1">
      <alignment vertical="center"/>
    </xf>
    <xf numFmtId="0" fontId="17" fillId="0" borderId="33" xfId="3" applyFont="1" applyBorder="1" applyAlignment="1">
      <alignment vertical="center"/>
    </xf>
    <xf numFmtId="3" fontId="95" fillId="0" borderId="34" xfId="3" applyNumberFormat="1" applyFont="1" applyBorder="1" applyAlignment="1" applyProtection="1">
      <alignment vertical="center"/>
      <protection hidden="1"/>
    </xf>
    <xf numFmtId="0" fontId="10" fillId="0" borderId="31" xfId="3" applyFont="1" applyBorder="1" applyAlignment="1">
      <alignment vertical="center"/>
    </xf>
    <xf numFmtId="3" fontId="96" fillId="0" borderId="34" xfId="3" applyNumberFormat="1" applyFont="1" applyBorder="1" applyAlignment="1" applyProtection="1">
      <alignment horizontal="right" vertical="center"/>
      <protection hidden="1"/>
    </xf>
    <xf numFmtId="0" fontId="97" fillId="0" borderId="0" xfId="3" applyFont="1"/>
    <xf numFmtId="0" fontId="19" fillId="0" borderId="31" xfId="3" applyFont="1" applyBorder="1" applyAlignment="1">
      <alignment vertical="center"/>
    </xf>
    <xf numFmtId="0" fontId="19" fillId="0" borderId="32" xfId="3" applyFont="1" applyBorder="1" applyAlignment="1">
      <alignment vertical="center"/>
    </xf>
    <xf numFmtId="0" fontId="19" fillId="0" borderId="33" xfId="3" applyFont="1" applyBorder="1" applyAlignment="1">
      <alignment vertical="center"/>
    </xf>
    <xf numFmtId="3" fontId="94" fillId="0" borderId="34" xfId="3" applyNumberFormat="1" applyFont="1" applyBorder="1" applyAlignment="1" applyProtection="1">
      <alignment vertical="center"/>
      <protection hidden="1"/>
    </xf>
    <xf numFmtId="171" fontId="96" fillId="0" borderId="34" xfId="3" applyNumberFormat="1" applyFont="1" applyBorder="1" applyAlignment="1" applyProtection="1">
      <alignment horizontal="right" vertical="center"/>
      <protection hidden="1"/>
    </xf>
    <xf numFmtId="165" fontId="95" fillId="0" borderId="34" xfId="3" applyNumberFormat="1" applyFont="1" applyBorder="1" applyAlignment="1" applyProtection="1">
      <alignment vertical="center"/>
      <protection hidden="1"/>
    </xf>
    <xf numFmtId="0" fontId="89" fillId="0" borderId="31" xfId="3" applyFont="1" applyBorder="1" applyAlignment="1">
      <alignment vertical="center"/>
    </xf>
    <xf numFmtId="0" fontId="89" fillId="0" borderId="32" xfId="3" applyFont="1" applyBorder="1" applyAlignment="1">
      <alignment vertical="center"/>
    </xf>
    <xf numFmtId="0" fontId="89" fillId="0" borderId="33" xfId="3" applyFont="1" applyBorder="1" applyAlignment="1">
      <alignment vertical="center"/>
    </xf>
    <xf numFmtId="0" fontId="89" fillId="0" borderId="0" xfId="3" applyFont="1"/>
    <xf numFmtId="0" fontId="10" fillId="0" borderId="31" xfId="3" applyFont="1" applyBorder="1" applyAlignment="1">
      <alignment horizontal="left" vertical="center"/>
    </xf>
    <xf numFmtId="171" fontId="94" fillId="0" borderId="34" xfId="3" applyNumberFormat="1" applyFont="1" applyBorder="1" applyAlignment="1" applyProtection="1">
      <alignment vertical="center"/>
      <protection hidden="1"/>
    </xf>
    <xf numFmtId="0" fontId="10" fillId="0" borderId="32" xfId="3" applyFont="1" applyBorder="1" applyAlignment="1">
      <alignment vertical="center"/>
    </xf>
    <xf numFmtId="0" fontId="10" fillId="0" borderId="33" xfId="3" applyFont="1" applyBorder="1" applyAlignment="1">
      <alignment vertical="center"/>
    </xf>
    <xf numFmtId="171" fontId="96" fillId="0" borderId="34" xfId="3" applyNumberFormat="1" applyFont="1" applyBorder="1" applyAlignment="1" applyProtection="1">
      <alignment vertical="center"/>
      <protection hidden="1"/>
    </xf>
    <xf numFmtId="171" fontId="98" fillId="0" borderId="34" xfId="3" applyNumberFormat="1" applyFont="1" applyBorder="1" applyAlignment="1" applyProtection="1">
      <alignment vertical="center"/>
      <protection hidden="1"/>
    </xf>
    <xf numFmtId="0" fontId="10" fillId="0" borderId="27" xfId="3" quotePrefix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35" xfId="3" applyFont="1" applyBorder="1" applyAlignment="1">
      <alignment vertical="center"/>
    </xf>
    <xf numFmtId="171" fontId="96" fillId="0" borderId="30" xfId="3" applyNumberFormat="1" applyFont="1" applyBorder="1" applyAlignment="1" applyProtection="1">
      <alignment vertical="center"/>
      <protection hidden="1"/>
    </xf>
    <xf numFmtId="0" fontId="19" fillId="0" borderId="27" xfId="3" quotePrefix="1" applyFont="1" applyBorder="1" applyAlignment="1">
      <alignment vertical="top"/>
    </xf>
    <xf numFmtId="0" fontId="19" fillId="0" borderId="35" xfId="3" applyFont="1" applyBorder="1"/>
    <xf numFmtId="165" fontId="94" fillId="0" borderId="30" xfId="12" applyNumberFormat="1" applyFont="1" applyBorder="1" applyProtection="1">
      <protection hidden="1"/>
    </xf>
    <xf numFmtId="0" fontId="17" fillId="0" borderId="30" xfId="3" applyFont="1" applyBorder="1" applyProtection="1">
      <protection hidden="1"/>
    </xf>
    <xf numFmtId="170" fontId="94" fillId="0" borderId="30" xfId="3" applyNumberFormat="1" applyFont="1" applyBorder="1" applyProtection="1">
      <protection hidden="1"/>
    </xf>
    <xf numFmtId="0" fontId="17" fillId="0" borderId="23" xfId="3" applyFont="1" applyBorder="1"/>
    <xf numFmtId="0" fontId="17" fillId="0" borderId="24" xfId="3" applyFont="1" applyBorder="1"/>
    <xf numFmtId="0" fontId="17" fillId="0" borderId="25" xfId="3" applyFont="1" applyBorder="1"/>
    <xf numFmtId="10" fontId="17" fillId="0" borderId="36" xfId="11" applyNumberFormat="1" applyFont="1" applyBorder="1" applyProtection="1">
      <protection hidden="1"/>
    </xf>
    <xf numFmtId="0" fontId="17" fillId="0" borderId="36" xfId="3" applyFont="1" applyBorder="1" applyProtection="1">
      <protection hidden="1"/>
    </xf>
    <xf numFmtId="0" fontId="89" fillId="0" borderId="0" xfId="3" applyFont="1" applyAlignment="1">
      <alignment horizontal="center"/>
    </xf>
    <xf numFmtId="0" fontId="17" fillId="0" borderId="0" xfId="3" applyFont="1" applyAlignment="1">
      <alignment vertical="center"/>
    </xf>
    <xf numFmtId="170" fontId="17" fillId="0" borderId="0" xfId="3" applyNumberFormat="1" applyFont="1" applyAlignment="1">
      <alignment horizontal="center" vertical="center"/>
    </xf>
    <xf numFmtId="0" fontId="8" fillId="0" borderId="0" xfId="3" applyFont="1"/>
    <xf numFmtId="0" fontId="99" fillId="0" borderId="0" xfId="3" applyFont="1" applyAlignment="1">
      <alignment horizontal="centerContinuous"/>
    </xf>
    <xf numFmtId="170" fontId="83" fillId="0" borderId="0" xfId="3" applyNumberFormat="1" applyFont="1" applyAlignment="1">
      <alignment horizontal="right"/>
    </xf>
    <xf numFmtId="0" fontId="100" fillId="0" borderId="0" xfId="3" applyFont="1" applyAlignment="1">
      <alignment horizontal="center" vertical="center" wrapText="1"/>
    </xf>
    <xf numFmtId="170" fontId="92" fillId="0" borderId="37" xfId="3" applyNumberFormat="1" applyFont="1" applyBorder="1" applyAlignment="1">
      <alignment horizontal="center" vertical="center"/>
    </xf>
    <xf numFmtId="0" fontId="101" fillId="0" borderId="27" xfId="3" applyFont="1" applyBorder="1" applyAlignment="1">
      <alignment vertical="center"/>
    </xf>
    <xf numFmtId="173" fontId="8" fillId="0" borderId="30" xfId="12" applyNumberFormat="1" applyFont="1" applyBorder="1" applyAlignment="1" applyProtection="1">
      <alignment vertical="center"/>
      <protection hidden="1"/>
    </xf>
    <xf numFmtId="0" fontId="102" fillId="0" borderId="31" xfId="3" applyFont="1" applyBorder="1" applyAlignment="1">
      <alignment vertical="center"/>
    </xf>
    <xf numFmtId="171" fontId="103" fillId="0" borderId="34" xfId="12" applyNumberFormat="1" applyFont="1" applyBorder="1" applyAlignment="1" applyProtection="1">
      <alignment vertical="center"/>
      <protection hidden="1"/>
    </xf>
    <xf numFmtId="0" fontId="102" fillId="0" borderId="0" xfId="3" applyFont="1"/>
    <xf numFmtId="0" fontId="8" fillId="0" borderId="31" xfId="3" quotePrefix="1" applyFont="1" applyBorder="1" applyAlignment="1">
      <alignment horizontal="left" vertical="center"/>
    </xf>
    <xf numFmtId="171" fontId="9" fillId="0" borderId="34" xfId="12" applyNumberFormat="1" applyFont="1" applyBorder="1" applyAlignment="1" applyProtection="1">
      <alignment vertical="center"/>
      <protection hidden="1"/>
    </xf>
    <xf numFmtId="168" fontId="8" fillId="0" borderId="0" xfId="12" applyNumberFormat="1" applyFont="1"/>
    <xf numFmtId="0" fontId="8" fillId="0" borderId="31" xfId="3" quotePrefix="1" applyFont="1" applyBorder="1" applyAlignment="1">
      <alignment horizontal="justify" vertical="center" wrapText="1"/>
    </xf>
    <xf numFmtId="0" fontId="102" fillId="0" borderId="31" xfId="3" applyFont="1" applyBorder="1" applyAlignment="1">
      <alignment horizontal="left" vertical="center" wrapText="1"/>
    </xf>
    <xf numFmtId="171" fontId="103" fillId="0" borderId="34" xfId="12" applyNumberFormat="1" applyFont="1" applyBorder="1" applyAlignment="1" applyProtection="1">
      <alignment horizontal="right" vertical="center"/>
      <protection hidden="1"/>
    </xf>
    <xf numFmtId="0" fontId="104" fillId="0" borderId="0" xfId="3" applyFont="1"/>
    <xf numFmtId="0" fontId="17" fillId="0" borderId="31" xfId="3" quotePrefix="1" applyFont="1" applyBorder="1" applyAlignment="1">
      <alignment horizontal="left" vertical="center"/>
    </xf>
    <xf numFmtId="0" fontId="17" fillId="0" borderId="31" xfId="3" quotePrefix="1" applyFont="1" applyBorder="1" applyAlignment="1">
      <alignment horizontal="left" vertical="center" wrapText="1"/>
    </xf>
    <xf numFmtId="0" fontId="101" fillId="0" borderId="31" xfId="3" applyFont="1" applyBorder="1" applyAlignment="1">
      <alignment vertical="center"/>
    </xf>
    <xf numFmtId="171" fontId="49" fillId="0" borderId="34" xfId="12" applyNumberFormat="1" applyFont="1" applyBorder="1" applyAlignment="1" applyProtection="1">
      <alignment vertical="center"/>
      <protection hidden="1"/>
    </xf>
    <xf numFmtId="0" fontId="8" fillId="0" borderId="31" xfId="3" applyFont="1" applyBorder="1" applyAlignment="1">
      <alignment horizontal="left" vertical="center" wrapText="1"/>
    </xf>
    <xf numFmtId="0" fontId="8" fillId="0" borderId="0" xfId="3" applyFont="1" applyAlignment="1">
      <alignment vertical="center"/>
    </xf>
    <xf numFmtId="0" fontId="8" fillId="0" borderId="31" xfId="3" applyFont="1" applyBorder="1" applyAlignment="1">
      <alignment horizontal="left" vertical="center"/>
    </xf>
    <xf numFmtId="171" fontId="96" fillId="0" borderId="34" xfId="12" applyNumberFormat="1" applyFont="1" applyBorder="1" applyAlignment="1" applyProtection="1">
      <alignment vertical="center"/>
      <protection hidden="1"/>
    </xf>
    <xf numFmtId="0" fontId="8" fillId="0" borderId="31" xfId="3" applyFont="1" applyBorder="1" applyAlignment="1">
      <alignment horizontal="justify" vertical="center" wrapText="1"/>
    </xf>
    <xf numFmtId="0" fontId="8" fillId="0" borderId="31" xfId="3" applyFont="1" applyBorder="1" applyAlignment="1">
      <alignment vertical="center"/>
    </xf>
    <xf numFmtId="0" fontId="102" fillId="0" borderId="31" xfId="3" applyFont="1" applyBorder="1" applyAlignment="1">
      <alignment horizontal="left" vertical="center"/>
    </xf>
    <xf numFmtId="171" fontId="103" fillId="0" borderId="34" xfId="12" applyNumberFormat="1" applyFont="1" applyFill="1" applyBorder="1" applyAlignment="1" applyProtection="1">
      <alignment vertical="center"/>
      <protection hidden="1"/>
    </xf>
    <xf numFmtId="0" fontId="10" fillId="0" borderId="23" xfId="3" applyFont="1" applyBorder="1" applyAlignment="1">
      <alignment vertical="center"/>
    </xf>
    <xf numFmtId="171" fontId="96" fillId="0" borderId="36" xfId="12" applyNumberFormat="1" applyFont="1" applyBorder="1" applyAlignment="1" applyProtection="1">
      <alignment vertical="center"/>
      <protection hidden="1"/>
    </xf>
    <xf numFmtId="165" fontId="97" fillId="0" borderId="0" xfId="3" applyNumberFormat="1" applyFont="1"/>
    <xf numFmtId="0" fontId="101" fillId="0" borderId="0" xfId="3" applyFont="1"/>
    <xf numFmtId="168" fontId="101" fillId="0" borderId="0" xfId="12" applyNumberFormat="1" applyFont="1" applyBorder="1" applyProtection="1">
      <protection hidden="1"/>
    </xf>
    <xf numFmtId="165" fontId="8" fillId="0" borderId="0" xfId="12" applyNumberFormat="1" applyFont="1"/>
    <xf numFmtId="0" fontId="106" fillId="0" borderId="0" xfId="13" applyFont="1" applyAlignment="1">
      <alignment horizontal="left"/>
    </xf>
    <xf numFmtId="0" fontId="1" fillId="0" borderId="0" xfId="13" applyFont="1"/>
    <xf numFmtId="174" fontId="1" fillId="0" borderId="0" xfId="14" applyNumberFormat="1" applyFont="1"/>
    <xf numFmtId="0" fontId="107" fillId="0" borderId="0" xfId="13" applyFont="1" applyAlignment="1">
      <alignment horizontal="center"/>
    </xf>
    <xf numFmtId="0" fontId="108" fillId="0" borderId="0" xfId="13" applyFont="1" applyAlignment="1">
      <alignment vertical="center"/>
    </xf>
    <xf numFmtId="0" fontId="106" fillId="0" borderId="0" xfId="13" applyFont="1" applyAlignment="1">
      <alignment horizontal="center"/>
    </xf>
    <xf numFmtId="0" fontId="106" fillId="8" borderId="0" xfId="13" applyFont="1" applyFill="1"/>
    <xf numFmtId="0" fontId="106" fillId="0" borderId="0" xfId="13" applyFont="1"/>
    <xf numFmtId="174" fontId="107" fillId="9" borderId="0" xfId="14" applyNumberFormat="1" applyFont="1" applyFill="1" applyAlignment="1">
      <alignment horizontal="centerContinuous"/>
    </xf>
    <xf numFmtId="0" fontId="1" fillId="9" borderId="0" xfId="13" applyFont="1" applyFill="1" applyAlignment="1">
      <alignment horizontal="centerContinuous"/>
    </xf>
    <xf numFmtId="174" fontId="1" fillId="0" borderId="0" xfId="14" applyNumberFormat="1" applyFont="1" applyAlignment="1">
      <alignment horizontal="centerContinuous"/>
    </xf>
    <xf numFmtId="0" fontId="107" fillId="0" borderId="38" xfId="13" applyFont="1" applyBorder="1" applyAlignment="1">
      <alignment horizontal="center" vertical="top"/>
    </xf>
    <xf numFmtId="0" fontId="21" fillId="0" borderId="38" xfId="13" applyFont="1" applyBorder="1" applyAlignment="1">
      <alignment vertical="top"/>
    </xf>
    <xf numFmtId="0" fontId="21" fillId="0" borderId="38" xfId="13" applyFont="1" applyBorder="1" applyAlignment="1">
      <alignment horizontal="center" vertical="top" wrapText="1"/>
    </xf>
    <xf numFmtId="16" fontId="1" fillId="10" borderId="38" xfId="13" applyNumberFormat="1" applyFont="1" applyFill="1" applyBorder="1" applyAlignment="1">
      <alignment horizontal="centerContinuous" vertical="center"/>
    </xf>
    <xf numFmtId="174" fontId="21" fillId="0" borderId="38" xfId="14" applyNumberFormat="1" applyFont="1" applyBorder="1" applyAlignment="1">
      <alignment horizontal="center" vertical="center"/>
    </xf>
    <xf numFmtId="0" fontId="1" fillId="0" borderId="0" xfId="13" applyFont="1" applyAlignment="1">
      <alignment vertical="top"/>
    </xf>
    <xf numFmtId="0" fontId="106" fillId="0" borderId="39" xfId="13" applyFont="1" applyBorder="1" applyAlignment="1">
      <alignment horizontal="center"/>
    </xf>
    <xf numFmtId="0" fontId="106" fillId="0" borderId="38" xfId="13" applyFont="1" applyBorder="1"/>
    <xf numFmtId="0" fontId="21" fillId="0" borderId="38" xfId="13" applyFont="1" applyBorder="1" applyAlignment="1">
      <alignment vertical="top" wrapText="1"/>
    </xf>
    <xf numFmtId="0" fontId="1" fillId="0" borderId="38" xfId="13" applyFont="1" applyBorder="1" applyAlignment="1">
      <alignment horizontal="center" vertical="top" wrapText="1"/>
    </xf>
    <xf numFmtId="174" fontId="21" fillId="0" borderId="38" xfId="14" applyNumberFormat="1" applyFont="1" applyBorder="1" applyAlignment="1">
      <alignment horizontal="center" vertical="top"/>
    </xf>
    <xf numFmtId="0" fontId="1" fillId="0" borderId="40" xfId="13" applyFont="1" applyBorder="1" applyAlignment="1">
      <alignment horizontal="center"/>
    </xf>
    <xf numFmtId="0" fontId="2" fillId="0" borderId="40" xfId="13" applyFont="1" applyBorder="1"/>
    <xf numFmtId="0" fontId="1" fillId="0" borderId="40" xfId="13" applyFont="1" applyBorder="1"/>
    <xf numFmtId="0" fontId="1" fillId="0" borderId="40" xfId="13" applyFont="1" applyBorder="1" applyAlignment="1">
      <alignment horizontal="left"/>
    </xf>
    <xf numFmtId="3" fontId="1" fillId="0" borderId="40" xfId="13" quotePrefix="1" applyNumberFormat="1" applyFont="1" applyBorder="1"/>
    <xf numFmtId="3" fontId="1" fillId="0" borderId="40" xfId="13" applyNumberFormat="1" applyFont="1" applyBorder="1"/>
    <xf numFmtId="174" fontId="1" fillId="0" borderId="40" xfId="14" applyNumberFormat="1" applyFont="1" applyBorder="1"/>
    <xf numFmtId="0" fontId="1" fillId="0" borderId="41" xfId="13" applyFont="1" applyBorder="1" applyAlignment="1">
      <alignment horizontal="center"/>
    </xf>
    <xf numFmtId="0" fontId="1" fillId="0" borderId="42" xfId="13" applyFont="1" applyBorder="1"/>
    <xf numFmtId="2" fontId="1" fillId="0" borderId="43" xfId="13" applyNumberFormat="1" applyFont="1" applyBorder="1"/>
    <xf numFmtId="3" fontId="2" fillId="0" borderId="40" xfId="13" applyNumberFormat="1" applyFont="1" applyBorder="1" applyAlignment="1">
      <alignment horizontal="left"/>
    </xf>
    <xf numFmtId="0" fontId="1" fillId="0" borderId="44" xfId="13" applyFont="1" applyBorder="1"/>
    <xf numFmtId="0" fontId="1" fillId="0" borderId="42" xfId="13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2" fontId="1" fillId="0" borderId="42" xfId="13" applyNumberFormat="1" applyFont="1" applyBorder="1"/>
    <xf numFmtId="3" fontId="2" fillId="0" borderId="42" xfId="13" applyNumberFormat="1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2" fontId="1" fillId="0" borderId="47" xfId="13" applyNumberFormat="1" applyFont="1" applyBorder="1"/>
    <xf numFmtId="3" fontId="2" fillId="0" borderId="44" xfId="13" quotePrefix="1" applyNumberFormat="1" applyFont="1" applyBorder="1" applyAlignment="1">
      <alignment horizontal="left"/>
    </xf>
    <xf numFmtId="3" fontId="1" fillId="0" borderId="46" xfId="13" quotePrefix="1" applyNumberFormat="1" applyFont="1" applyBorder="1"/>
    <xf numFmtId="174" fontId="1" fillId="0" borderId="46" xfId="14" applyNumberFormat="1" applyFont="1" applyBorder="1"/>
    <xf numFmtId="2" fontId="1" fillId="0" borderId="48" xfId="13" applyNumberFormat="1" applyFont="1" applyBorder="1"/>
    <xf numFmtId="3" fontId="2" fillId="0" borderId="48" xfId="13" applyNumberFormat="1" applyFont="1" applyBorder="1" applyAlignment="1">
      <alignment horizontal="left"/>
    </xf>
    <xf numFmtId="2" fontId="109" fillId="0" borderId="42" xfId="13" applyNumberFormat="1" applyFont="1" applyBorder="1"/>
    <xf numFmtId="3" fontId="1" fillId="0" borderId="42" xfId="13" applyNumberFormat="1" applyFont="1" applyBorder="1"/>
    <xf numFmtId="3" fontId="1" fillId="0" borderId="42" xfId="13" quotePrefix="1" applyNumberFormat="1" applyFont="1" applyBorder="1"/>
    <xf numFmtId="0" fontId="1" fillId="0" borderId="42" xfId="13" applyFont="1" applyBorder="1" applyAlignment="1">
      <alignment horizontal="center"/>
    </xf>
    <xf numFmtId="2" fontId="1" fillId="0" borderId="40" xfId="13" applyNumberFormat="1" applyFont="1" applyBorder="1"/>
    <xf numFmtId="0" fontId="1" fillId="0" borderId="44" xfId="13" applyFont="1" applyBorder="1" applyAlignment="1">
      <alignment horizontal="center"/>
    </xf>
    <xf numFmtId="2" fontId="109" fillId="0" borderId="44" xfId="13" applyNumberFormat="1" applyFont="1" applyBorder="1"/>
    <xf numFmtId="2" fontId="1" fillId="0" borderId="49" xfId="13" applyNumberFormat="1" applyFont="1" applyBorder="1"/>
    <xf numFmtId="3" fontId="1" fillId="0" borderId="44" xfId="13" quotePrefix="1" applyNumberFormat="1" applyFont="1" applyBorder="1"/>
    <xf numFmtId="174" fontId="1" fillId="0" borderId="49" xfId="14" applyNumberFormat="1" applyFont="1" applyBorder="1"/>
    <xf numFmtId="3" fontId="1" fillId="0" borderId="48" xfId="13" quotePrefix="1" applyNumberFormat="1" applyFont="1" applyBorder="1"/>
    <xf numFmtId="174" fontId="1" fillId="0" borderId="48" xfId="14" applyNumberFormat="1" applyFont="1" applyBorder="1"/>
    <xf numFmtId="0" fontId="2" fillId="0" borderId="44" xfId="13" quotePrefix="1" applyFont="1" applyBorder="1" applyAlignment="1">
      <alignment horizontal="left"/>
    </xf>
    <xf numFmtId="3" fontId="1" fillId="0" borderId="48" xfId="13" applyNumberFormat="1" applyFont="1" applyBorder="1"/>
    <xf numFmtId="174" fontId="1" fillId="0" borderId="0" xfId="13" applyNumberFormat="1" applyFont="1"/>
    <xf numFmtId="2" fontId="2" fillId="0" borderId="42" xfId="13" applyNumberFormat="1" applyFont="1" applyBorder="1"/>
    <xf numFmtId="0" fontId="1" fillId="0" borderId="49" xfId="13" applyFont="1" applyBorder="1" applyAlignment="1">
      <alignment horizontal="center"/>
    </xf>
    <xf numFmtId="2" fontId="2" fillId="0" borderId="44" xfId="13" applyNumberFormat="1" applyFont="1" applyBorder="1"/>
    <xf numFmtId="2" fontId="1" fillId="0" borderId="44" xfId="13" applyNumberFormat="1" applyFont="1" applyBorder="1"/>
    <xf numFmtId="3" fontId="2" fillId="0" borderId="48" xfId="13" quotePrefix="1" applyNumberFormat="1" applyFont="1" applyBorder="1" applyAlignment="1">
      <alignment horizontal="left"/>
    </xf>
    <xf numFmtId="2" fontId="2" fillId="0" borderId="40" xfId="13" applyNumberFormat="1" applyFont="1" applyBorder="1"/>
    <xf numFmtId="3" fontId="2" fillId="0" borderId="40" xfId="13" quotePrefix="1" applyNumberFormat="1" applyFont="1" applyBorder="1" applyAlignment="1">
      <alignment horizontal="left"/>
    </xf>
    <xf numFmtId="2" fontId="2" fillId="0" borderId="50" xfId="13" applyNumberFormat="1" applyFont="1" applyBorder="1"/>
    <xf numFmtId="174" fontId="1" fillId="0" borderId="42" xfId="14" applyNumberFormat="1" applyFont="1" applyBorder="1"/>
    <xf numFmtId="3" fontId="2" fillId="0" borderId="44" xfId="13" applyNumberFormat="1" applyFont="1" applyBorder="1" applyAlignment="1">
      <alignment horizontal="left"/>
    </xf>
    <xf numFmtId="2" fontId="1" fillId="0" borderId="50" xfId="13" applyNumberFormat="1" applyFont="1" applyBorder="1"/>
    <xf numFmtId="3" fontId="2" fillId="0" borderId="50" xfId="13" applyNumberFormat="1" applyFont="1" applyBorder="1" applyAlignment="1">
      <alignment horizontal="left"/>
    </xf>
    <xf numFmtId="0" fontId="2" fillId="0" borderId="49" xfId="13" applyFont="1" applyBorder="1" applyAlignment="1">
      <alignment horizontal="left"/>
    </xf>
    <xf numFmtId="0" fontId="1" fillId="0" borderId="50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6" xfId="13" applyNumberFormat="1" applyFont="1" applyBorder="1"/>
    <xf numFmtId="0" fontId="2" fillId="0" borderId="46" xfId="13" applyFont="1" applyBorder="1" applyAlignment="1">
      <alignment horizontal="left"/>
    </xf>
    <xf numFmtId="0" fontId="2" fillId="0" borderId="44" xfId="13" applyFont="1" applyBorder="1" applyAlignment="1">
      <alignment horizontal="left"/>
    </xf>
    <xf numFmtId="2" fontId="1" fillId="0" borderId="46" xfId="13" applyNumberFormat="1" applyFont="1" applyBorder="1"/>
    <xf numFmtId="3" fontId="1" fillId="0" borderId="44" xfId="13" applyNumberFormat="1" applyFont="1" applyBorder="1"/>
    <xf numFmtId="0" fontId="2" fillId="0" borderId="50" xfId="13" applyFont="1" applyBorder="1" applyAlignment="1">
      <alignment horizontal="left"/>
    </xf>
    <xf numFmtId="0" fontId="1" fillId="0" borderId="47" xfId="13" applyFont="1" applyBorder="1" applyAlignment="1">
      <alignment horizontal="center"/>
    </xf>
    <xf numFmtId="0" fontId="1" fillId="0" borderId="47" xfId="13" applyFont="1" applyBorder="1"/>
    <xf numFmtId="0" fontId="106" fillId="0" borderId="38" xfId="13" applyFont="1" applyBorder="1" applyAlignment="1">
      <alignment horizontal="center"/>
    </xf>
    <xf numFmtId="174" fontId="1" fillId="0" borderId="38" xfId="14" applyNumberFormat="1" applyFont="1" applyBorder="1"/>
    <xf numFmtId="0" fontId="1" fillId="0" borderId="38" xfId="13" applyFont="1" applyBorder="1"/>
    <xf numFmtId="175" fontId="1" fillId="0" borderId="42" xfId="14" applyNumberFormat="1" applyFont="1" applyBorder="1"/>
    <xf numFmtId="0" fontId="1" fillId="0" borderId="46" xfId="13" applyFont="1" applyBorder="1" applyAlignment="1">
      <alignment horizontal="left"/>
    </xf>
    <xf numFmtId="175" fontId="1" fillId="0" borderId="46" xfId="14" applyNumberFormat="1" applyFont="1" applyBorder="1"/>
    <xf numFmtId="0" fontId="2" fillId="0" borderId="40" xfId="13" applyFont="1" applyBorder="1" applyAlignment="1">
      <alignment horizontal="left"/>
    </xf>
    <xf numFmtId="0" fontId="2" fillId="0" borderId="42" xfId="13" applyFont="1" applyBorder="1" applyAlignment="1">
      <alignment horizontal="left"/>
    </xf>
    <xf numFmtId="3" fontId="1" fillId="0" borderId="49" xfId="13" applyNumberFormat="1" applyFont="1" applyBorder="1"/>
    <xf numFmtId="0" fontId="2" fillId="0" borderId="48" xfId="13" applyFont="1" applyBorder="1" applyAlignment="1">
      <alignment horizontal="left"/>
    </xf>
    <xf numFmtId="0" fontId="1" fillId="0" borderId="48" xfId="13" applyFont="1" applyBorder="1"/>
    <xf numFmtId="0" fontId="1" fillId="0" borderId="48" xfId="13" applyFont="1" applyBorder="1" applyAlignment="1">
      <alignment horizontal="left"/>
    </xf>
    <xf numFmtId="3" fontId="1" fillId="0" borderId="46" xfId="13" applyNumberFormat="1" applyFont="1" applyBorder="1"/>
    <xf numFmtId="174" fontId="1" fillId="0" borderId="44" xfId="14" applyNumberFormat="1" applyFont="1" applyBorder="1"/>
    <xf numFmtId="2" fontId="1" fillId="0" borderId="51" xfId="13" applyNumberFormat="1" applyFont="1" applyBorder="1"/>
    <xf numFmtId="0" fontId="21" fillId="0" borderId="38" xfId="13" applyFont="1" applyBorder="1" applyAlignment="1">
      <alignment horizontal="center"/>
    </xf>
    <xf numFmtId="0" fontId="21" fillId="0" borderId="38" xfId="13" applyFont="1" applyBorder="1"/>
    <xf numFmtId="0" fontId="107" fillId="0" borderId="42" xfId="13" applyFont="1" applyBorder="1" applyAlignment="1">
      <alignment horizontal="center"/>
    </xf>
    <xf numFmtId="0" fontId="1" fillId="0" borderId="42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40" xfId="13" applyFont="1" applyBorder="1" applyAlignment="1">
      <alignment horizontal="left" vertical="center"/>
    </xf>
    <xf numFmtId="0" fontId="1" fillId="0" borderId="40" xfId="13" applyFont="1" applyBorder="1" applyAlignment="1">
      <alignment vertical="center"/>
    </xf>
    <xf numFmtId="0" fontId="1" fillId="0" borderId="42" xfId="13" applyFont="1" applyBorder="1" applyAlignment="1">
      <alignment vertical="center"/>
    </xf>
    <xf numFmtId="0" fontId="107" fillId="0" borderId="46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46" xfId="13" applyFont="1" applyBorder="1" applyAlignment="1">
      <alignment horizontal="left" vertical="center"/>
    </xf>
    <xf numFmtId="0" fontId="107" fillId="0" borderId="49" xfId="13" applyFont="1" applyBorder="1" applyAlignment="1">
      <alignment horizontal="center"/>
    </xf>
    <xf numFmtId="0" fontId="2" fillId="0" borderId="48" xfId="13" applyFont="1" applyBorder="1"/>
    <xf numFmtId="0" fontId="1" fillId="0" borderId="49" xfId="13" applyFont="1" applyBorder="1"/>
    <xf numFmtId="174" fontId="1" fillId="0" borderId="46" xfId="14" applyNumberFormat="1" applyFont="1" applyFill="1" applyBorder="1"/>
    <xf numFmtId="174" fontId="1" fillId="0" borderId="40" xfId="14" applyNumberFormat="1" applyFont="1" applyFill="1" applyBorder="1"/>
    <xf numFmtId="0" fontId="107" fillId="0" borderId="44" xfId="13" applyFont="1" applyBorder="1" applyAlignment="1">
      <alignment horizontal="center"/>
    </xf>
    <xf numFmtId="0" fontId="2" fillId="0" borderId="49" xfId="13" applyFont="1" applyBorder="1"/>
    <xf numFmtId="0" fontId="1" fillId="0" borderId="44" xfId="13" applyFont="1" applyBorder="1" applyAlignment="1">
      <alignment horizontal="left" vertical="center"/>
    </xf>
    <xf numFmtId="174" fontId="1" fillId="0" borderId="42" xfId="14" applyNumberFormat="1" applyFont="1" applyFill="1" applyBorder="1"/>
    <xf numFmtId="0" fontId="1" fillId="0" borderId="48" xfId="13" applyFont="1" applyBorder="1" applyAlignment="1">
      <alignment horizontal="left" vertical="center"/>
    </xf>
    <xf numFmtId="0" fontId="107" fillId="0" borderId="6" xfId="13" applyFont="1" applyBorder="1" applyAlignment="1">
      <alignment horizontal="center"/>
    </xf>
    <xf numFmtId="0" fontId="1" fillId="0" borderId="47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0" fontId="107" fillId="0" borderId="48" xfId="13" applyFont="1" applyBorder="1"/>
    <xf numFmtId="16" fontId="1" fillId="10" borderId="38" xfId="13" applyNumberFormat="1" applyFont="1" applyFill="1" applyBorder="1" applyAlignment="1">
      <alignment horizontal="centerContinuous"/>
    </xf>
    <xf numFmtId="3" fontId="1" fillId="0" borderId="51" xfId="13" applyNumberFormat="1" applyFont="1" applyBorder="1"/>
    <xf numFmtId="0" fontId="2" fillId="0" borderId="47" xfId="13" applyFont="1" applyBorder="1" applyAlignment="1">
      <alignment horizontal="center"/>
    </xf>
    <xf numFmtId="0" fontId="2" fillId="0" borderId="47" xfId="13" applyFont="1" applyBorder="1"/>
    <xf numFmtId="0" fontId="1" fillId="0" borderId="47" xfId="13" applyFont="1" applyBorder="1" applyAlignment="1">
      <alignment horizontal="left"/>
    </xf>
    <xf numFmtId="3" fontId="1" fillId="0" borderId="52" xfId="13" applyNumberFormat="1" applyFont="1" applyBorder="1"/>
    <xf numFmtId="3" fontId="1" fillId="0" borderId="47" xfId="13" applyNumberFormat="1" applyFont="1" applyBorder="1"/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3" fontId="1" fillId="0" borderId="53" xfId="13" applyNumberFormat="1" applyFont="1" applyBorder="1"/>
    <xf numFmtId="0" fontId="1" fillId="0" borderId="44" xfId="13" applyFont="1" applyBorder="1" applyAlignment="1">
      <alignment horizontal="left"/>
    </xf>
    <xf numFmtId="0" fontId="2" fillId="0" borderId="42" xfId="13" applyFont="1" applyBorder="1" applyAlignment="1">
      <alignment horizontal="center"/>
    </xf>
    <xf numFmtId="0" fontId="2" fillId="0" borderId="42" xfId="13" applyFont="1" applyBorder="1"/>
    <xf numFmtId="0" fontId="1" fillId="0" borderId="43" xfId="13" applyFont="1" applyBorder="1"/>
    <xf numFmtId="0" fontId="1" fillId="0" borderId="54" xfId="13" applyFont="1" applyBorder="1"/>
    <xf numFmtId="0" fontId="1" fillId="0" borderId="55" xfId="13" applyFont="1" applyBorder="1"/>
    <xf numFmtId="0" fontId="107" fillId="0" borderId="42" xfId="13" applyFont="1" applyBorder="1"/>
    <xf numFmtId="0" fontId="107" fillId="0" borderId="42" xfId="13" applyFont="1" applyBorder="1" applyAlignment="1">
      <alignment horizontal="left"/>
    </xf>
    <xf numFmtId="0" fontId="110" fillId="0" borderId="42" xfId="13" applyFont="1" applyBorder="1"/>
    <xf numFmtId="0" fontId="107" fillId="0" borderId="56" xfId="13" applyFont="1" applyBorder="1" applyAlignment="1">
      <alignment horizontal="center"/>
    </xf>
    <xf numFmtId="2" fontId="2" fillId="0" borderId="57" xfId="13" applyNumberFormat="1" applyFont="1" applyBorder="1"/>
    <xf numFmtId="2" fontId="109" fillId="0" borderId="40" xfId="13" applyNumberFormat="1" applyFont="1" applyBorder="1"/>
    <xf numFmtId="2" fontId="109" fillId="0" borderId="49" xfId="13" applyNumberFormat="1" applyFont="1" applyBorder="1"/>
    <xf numFmtId="2" fontId="2" fillId="0" borderId="49" xfId="13" applyNumberFormat="1" applyFont="1" applyBorder="1"/>
    <xf numFmtId="0" fontId="1" fillId="0" borderId="57" xfId="13" applyFont="1" applyBorder="1"/>
    <xf numFmtId="2" fontId="2" fillId="0" borderId="47" xfId="13" applyNumberFormat="1" applyFont="1" applyBorder="1"/>
    <xf numFmtId="0" fontId="106" fillId="0" borderId="57" xfId="13" applyFont="1" applyBorder="1"/>
    <xf numFmtId="0" fontId="2" fillId="0" borderId="57" xfId="13" applyFont="1" applyBorder="1"/>
    <xf numFmtId="0" fontId="106" fillId="0" borderId="49" xfId="13" applyFont="1" applyBorder="1"/>
    <xf numFmtId="0" fontId="1" fillId="0" borderId="57" xfId="13" applyFont="1" applyBorder="1" applyAlignment="1">
      <alignment horizontal="center"/>
    </xf>
    <xf numFmtId="0" fontId="2" fillId="0" borderId="44" xfId="13" applyFont="1" applyBorder="1"/>
    <xf numFmtId="0" fontId="2" fillId="0" borderId="58" xfId="13" applyFont="1" applyBorder="1"/>
    <xf numFmtId="0" fontId="2" fillId="0" borderId="0" xfId="13" applyFont="1" applyAlignment="1">
      <alignment horizontal="left"/>
    </xf>
    <xf numFmtId="0" fontId="107" fillId="0" borderId="57" xfId="13" applyFont="1" applyBorder="1" applyAlignment="1">
      <alignment horizontal="center"/>
    </xf>
    <xf numFmtId="0" fontId="2" fillId="0" borderId="43" xfId="13" applyFont="1" applyBorder="1" applyAlignment="1">
      <alignment horizontal="left"/>
    </xf>
    <xf numFmtId="0" fontId="2" fillId="0" borderId="59" xfId="13" applyFont="1" applyBorder="1"/>
    <xf numFmtId="0" fontId="106" fillId="0" borderId="57" xfId="13" applyFont="1" applyBorder="1" applyAlignment="1">
      <alignment horizontal="center"/>
    </xf>
    <xf numFmtId="0" fontId="2" fillId="0" borderId="57" xfId="13" applyFont="1" applyBorder="1" applyAlignment="1">
      <alignment horizontal="center"/>
    </xf>
    <xf numFmtId="0" fontId="107" fillId="0" borderId="60" xfId="13" applyFont="1" applyBorder="1" applyAlignment="1">
      <alignment horizontal="center"/>
    </xf>
    <xf numFmtId="0" fontId="57" fillId="6" borderId="0" xfId="3" quotePrefix="1" applyFont="1" applyFill="1" applyAlignment="1">
      <alignment horizontal="left"/>
    </xf>
    <xf numFmtId="3" fontId="9" fillId="0" borderId="7" xfId="2" applyNumberFormat="1" applyFont="1" applyBorder="1" applyProtection="1">
      <protection locked="0"/>
    </xf>
    <xf numFmtId="3" fontId="1" fillId="0" borderId="48" xfId="14" applyNumberFormat="1" applyFont="1" applyBorder="1"/>
    <xf numFmtId="3" fontId="1" fillId="0" borderId="42" xfId="14" applyNumberFormat="1" applyFont="1" applyBorder="1"/>
    <xf numFmtId="3" fontId="1" fillId="0" borderId="44" xfId="14" applyNumberFormat="1" applyFont="1" applyBorder="1"/>
    <xf numFmtId="3" fontId="1" fillId="0" borderId="46" xfId="14" applyNumberFormat="1" applyFont="1" applyBorder="1"/>
    <xf numFmtId="3" fontId="1" fillId="0" borderId="40" xfId="14" applyNumberFormat="1" applyFont="1" applyBorder="1"/>
    <xf numFmtId="3" fontId="1" fillId="0" borderId="42" xfId="14" applyNumberFormat="1" applyFont="1" applyFill="1" applyBorder="1"/>
    <xf numFmtId="3" fontId="1" fillId="0" borderId="42" xfId="15" applyNumberFormat="1" applyFont="1" applyBorder="1"/>
    <xf numFmtId="165" fontId="27" fillId="0" borderId="3" xfId="5" applyNumberFormat="1" applyFont="1" applyFill="1" applyBorder="1" applyAlignment="1" applyProtection="1">
      <alignment vertical="top" wrapText="1"/>
      <protection locked="0"/>
    </xf>
    <xf numFmtId="0" fontId="61" fillId="0" borderId="0" xfId="3" applyFont="1" applyAlignment="1">
      <alignment horizontal="center"/>
    </xf>
    <xf numFmtId="0" fontId="62" fillId="0" borderId="0" xfId="3" applyFont="1" applyAlignment="1">
      <alignment horizontal="center"/>
    </xf>
    <xf numFmtId="0" fontId="54" fillId="0" borderId="0" xfId="3" applyFont="1" applyAlignment="1">
      <alignment horizontal="center"/>
    </xf>
    <xf numFmtId="0" fontId="63" fillId="0" borderId="0" xfId="3" applyFont="1" applyAlignment="1">
      <alignment horizontal="center"/>
    </xf>
    <xf numFmtId="0" fontId="66" fillId="0" borderId="0" xfId="3" applyFont="1" applyAlignment="1">
      <alignment horizontal="center"/>
    </xf>
    <xf numFmtId="0" fontId="70" fillId="0" borderId="0" xfId="3" applyFont="1" applyAlignment="1">
      <alignment horizontal="center"/>
    </xf>
    <xf numFmtId="0" fontId="81" fillId="0" borderId="0" xfId="9" applyFont="1" applyAlignment="1">
      <alignment horizontal="center"/>
    </xf>
    <xf numFmtId="0" fontId="82" fillId="0" borderId="0" xfId="9" applyFont="1" applyAlignment="1">
      <alignment horizontal="center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65" fontId="17" fillId="0" borderId="0" xfId="12" applyNumberFormat="1" applyFont="1" applyAlignment="1">
      <alignment horizontal="center"/>
    </xf>
    <xf numFmtId="0" fontId="93" fillId="0" borderId="0" xfId="3" applyFont="1" applyAlignment="1">
      <alignment horizontal="center"/>
    </xf>
    <xf numFmtId="0" fontId="82" fillId="0" borderId="0" xfId="3" applyFont="1" applyAlignment="1">
      <alignment horizontal="center"/>
    </xf>
    <xf numFmtId="0" fontId="92" fillId="0" borderId="18" xfId="3" applyFont="1" applyBorder="1" applyAlignment="1">
      <alignment horizontal="center" vertical="center" wrapText="1"/>
    </xf>
    <xf numFmtId="0" fontId="92" fillId="0" borderId="19" xfId="3" applyFont="1" applyBorder="1" applyAlignment="1">
      <alignment horizontal="center" vertical="center" wrapText="1"/>
    </xf>
    <xf numFmtId="0" fontId="92" fillId="0" borderId="20" xfId="3" applyFont="1" applyBorder="1" applyAlignment="1">
      <alignment horizontal="center" vertical="center" wrapText="1"/>
    </xf>
    <xf numFmtId="0" fontId="92" fillId="0" borderId="23" xfId="3" applyFont="1" applyBorder="1" applyAlignment="1">
      <alignment horizontal="center" vertical="center" wrapText="1"/>
    </xf>
    <xf numFmtId="0" fontId="92" fillId="0" borderId="24" xfId="3" applyFont="1" applyBorder="1" applyAlignment="1">
      <alignment horizontal="center" vertical="center" wrapText="1"/>
    </xf>
    <xf numFmtId="0" fontId="92" fillId="0" borderId="25" xfId="3" applyFont="1" applyBorder="1" applyAlignment="1">
      <alignment horizontal="center" vertical="center" wrapText="1"/>
    </xf>
    <xf numFmtId="1" fontId="92" fillId="0" borderId="21" xfId="3" applyNumberFormat="1" applyFont="1" applyBorder="1" applyAlignment="1">
      <alignment horizontal="center" vertical="center"/>
    </xf>
    <xf numFmtId="1" fontId="92" fillId="0" borderId="22" xfId="3" applyNumberFormat="1" applyFont="1" applyBorder="1" applyAlignment="1">
      <alignment horizontal="center" vertical="center"/>
    </xf>
    <xf numFmtId="170" fontId="92" fillId="0" borderId="21" xfId="3" applyNumberFormat="1" applyFont="1" applyBorder="1" applyAlignment="1">
      <alignment horizontal="center" vertical="center"/>
    </xf>
    <xf numFmtId="170" fontId="92" fillId="0" borderId="22" xfId="3" applyNumberFormat="1" applyFont="1" applyBorder="1" applyAlignment="1">
      <alignment horizontal="center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0" fillId="0" borderId="32" xfId="3" applyFont="1" applyBorder="1" applyAlignment="1">
      <alignment horizontal="left" vertical="center" wrapText="1"/>
    </xf>
    <xf numFmtId="0" fontId="10" fillId="0" borderId="33" xfId="3" applyFont="1" applyBorder="1" applyAlignment="1">
      <alignment horizontal="left" vertical="center" wrapText="1"/>
    </xf>
    <xf numFmtId="0" fontId="89" fillId="0" borderId="0" xfId="3" applyFont="1" applyAlignment="1">
      <alignment horizontal="right"/>
    </xf>
    <xf numFmtId="0" fontId="89" fillId="0" borderId="0" xfId="3" applyFont="1" applyAlignment="1">
      <alignment horizontal="center"/>
    </xf>
    <xf numFmtId="170" fontId="19" fillId="0" borderId="0" xfId="3" applyNumberFormat="1" applyFont="1" applyAlignment="1">
      <alignment horizontal="center"/>
    </xf>
    <xf numFmtId="0" fontId="83" fillId="0" borderId="0" xfId="3" applyFont="1" applyAlignment="1">
      <alignment horizontal="center"/>
    </xf>
    <xf numFmtId="0" fontId="92" fillId="0" borderId="0" xfId="3" applyFont="1" applyAlignment="1">
      <alignment horizontal="center"/>
    </xf>
    <xf numFmtId="0" fontId="92" fillId="0" borderId="26" xfId="3" applyFont="1" applyBorder="1" applyAlignment="1">
      <alignment horizontal="center" vertical="center" wrapText="1"/>
    </xf>
    <xf numFmtId="0" fontId="92" fillId="0" borderId="36" xfId="3" applyFont="1" applyBorder="1" applyAlignment="1">
      <alignment horizontal="center" vertical="center" wrapText="1"/>
    </xf>
  </cellXfs>
  <cellStyles count="16">
    <cellStyle name="Comma" xfId="15" builtinId="3"/>
    <cellStyle name="Comma 2" xfId="7" xr:uid="{128CAEB1-70D3-49BA-8C84-AC1DEFAA465B}"/>
    <cellStyle name="Comma 3" xfId="5" xr:uid="{58F91B3C-E9D9-412A-AF39-5717735ACAC3}"/>
    <cellStyle name="Comma 3 2" xfId="14" xr:uid="{15627529-23F6-43A9-B9E6-507B1F754A10}"/>
    <cellStyle name="Comma 4" xfId="12" xr:uid="{CB5CEF82-DD3D-4B5A-9605-29BE76727BB5}"/>
    <cellStyle name="Comma 5" xfId="8" xr:uid="{5039CA56-FBF7-44CA-BCB4-D4FD6A712DF3}"/>
    <cellStyle name="Comma 5 2" xfId="4" xr:uid="{511672E3-B712-4827-8378-8BFC0B616AE2}"/>
    <cellStyle name="Normal" xfId="0" builtinId="0"/>
    <cellStyle name="Normal 2" xfId="2" xr:uid="{4AFABA51-1C45-4861-80CD-745127A7C8B3}"/>
    <cellStyle name="Normal 3" xfId="3" xr:uid="{D6419D4A-1E78-40BC-B363-D2AA7CCF75E5}"/>
    <cellStyle name="Normal 4" xfId="13" xr:uid="{1532FF4A-F0D1-448A-94A5-DEB6D4C066D1}"/>
    <cellStyle name="Normal_2010_09_BCTC_CTCP" xfId="9" xr:uid="{EBE07B36-846E-47CA-9EFA-D28B927675AD}"/>
    <cellStyle name="Normal_2010_09_BCTC_CTCP 2" xfId="10" xr:uid="{2183EE38-7F11-4A53-A802-2CD407713FE3}"/>
    <cellStyle name="Percent" xfId="1" builtinId="5"/>
    <cellStyle name="Percent 2" xfId="11" xr:uid="{13AEEE04-4EA9-4360-BE07-9840A21C682E}"/>
    <cellStyle name="Percent 2 2" xfId="6" xr:uid="{33BBE6B9-926B-4109-B6CB-0669AAF3A2B3}"/>
  </cellStyles>
  <dxfs count="3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rgb="FF00B0F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3" formatCode="#,##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/>
        <bottom/>
      </border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numFmt numFmtId="168" formatCode="#,##0,,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3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border outline="0">
        <right style="thin">
          <color rgb="FF00B0F0"/>
        </right>
      </border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 style="thin">
          <color rgb="FF00B0F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B0F0"/>
        </left>
        <right/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C4D478-556A-479C-BA44-60305FBE6AC8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75A937DE-C17D-4146-A994-6360593CADFF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26</xdr:row>
      <xdr:rowOff>247650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260DE6B8-53E5-4B35-9ACA-EE092DB61F94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1D95786-0605-4DD5-9330-D05601F7C04B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699047F0-5673-4F32-99C9-6D23AE088B05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BFB9FB17-1BA8-4F31-96D3-0119F9C5A17D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26</xdr:row>
      <xdr:rowOff>247650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011F864C-0702-4B2F-A2E1-3461469FA34C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0</xdr:row>
      <xdr:rowOff>161925</xdr:rowOff>
    </xdr:from>
    <xdr:to>
      <xdr:col>10</xdr:col>
      <xdr:colOff>476250</xdr:colOff>
      <xdr:row>4</xdr:row>
      <xdr:rowOff>361950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A3D00047-4A54-4F07-93A9-2AB150721AA4}"/>
            </a:ext>
          </a:extLst>
        </xdr:cNvPr>
        <xdr:cNvSpPr txBox="1">
          <a:spLocks noChangeArrowheads="1"/>
        </xdr:cNvSpPr>
      </xdr:nvSpPr>
      <xdr:spPr bwMode="auto">
        <a:xfrm>
          <a:off x="1962150" y="161925"/>
          <a:ext cx="4391025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vi-VN" sz="1400" b="1" i="0" u="none" strike="noStrike" spc="0" baseline="0">
              <a:solidFill>
                <a:srgbClr val="000080"/>
              </a:solidFill>
              <a:latin typeface="Arial"/>
              <a:cs typeface="Arial"/>
            </a:rPr>
            <a:t>CÔNG TY CỔ PHẦN TÁI CHẾ TÂN ĐẠI PHÁT</a:t>
          </a:r>
          <a:endParaRPr lang="vi-VN" sz="1400" b="0" i="0" u="none" strike="noStrike" spc="0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Địa chỉ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: Số C11-C15 Cụm Công Nghiệp Nhựa Đức Hòa, Ấp Bình Tiền 2, Xã Đức Hòa, Tây Ninh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Mã số thuế:   1102066435</a:t>
          </a:r>
          <a:endParaRPr lang="en-US" sz="1000" b="0" i="0" u="none" strike="noStrike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 CE"/>
            </a:rPr>
            <a:t>Đ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iện thoại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– Fax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Website: 		 – Email:  </a:t>
          </a: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9527</xdr:colOff>
      <xdr:row>21</xdr:row>
      <xdr:rowOff>142875</xdr:rowOff>
    </xdr:from>
    <xdr:to>
      <xdr:col>8</xdr:col>
      <xdr:colOff>266701</xdr:colOff>
      <xdr:row>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988CF4-4624-455F-9529-4867EE82A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7" y="4381500"/>
          <a:ext cx="391477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</xdr:row>
      <xdr:rowOff>66677</xdr:rowOff>
    </xdr:from>
    <xdr:to>
      <xdr:col>3</xdr:col>
      <xdr:colOff>19050</xdr:colOff>
      <xdr:row>3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40E1DA-B713-41FB-A1D1-AA47C1DAA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47652"/>
          <a:ext cx="1714499" cy="3333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5E0DB-3BB9-4AF0-A5D5-B342B593BE29}" name="Data_BS" displayName="Data_BS" ref="A3:BW129" totalsRowShown="0" headerRowDxfId="388" dataDxfId="387" headerRowCellStyle="Normal 2" dataCellStyle="Comma 5 2">
  <tableColumns count="75">
    <tableColumn id="1" xr3:uid="{A903FB60-ED7E-4FBF-BE37-2C97B566E25F}" name="Index BS" dataDxfId="386" dataCellStyle="Normal 2"/>
    <tableColumn id="2" xr3:uid="{8E9AF09D-1AB2-43FC-B8B1-962D438216D5}" name="PHẦN I-BÁO CÁO TÌNH HÌNH TÀI CHÍNH" dataDxfId="385" dataCellStyle="Normal 2"/>
    <tableColumn id="3" xr3:uid="{565E9DC7-6EA5-430B-849A-CA812CF1914A}" name="TenCongTyID" dataDxfId="384" dataCellStyle="Normal 2"/>
    <tableColumn id="4" xr3:uid="{2F2ED649-1385-401D-8D7E-815403551A45}" name="T1.2021" dataDxfId="383" dataCellStyle="Comma 5 2"/>
    <tableColumn id="5" xr3:uid="{6049ED53-C862-477B-89AE-B485C6BD404E}" name="T02.2021" dataDxfId="382" dataCellStyle="Comma 5 2"/>
    <tableColumn id="6" xr3:uid="{FCFA584B-8707-45B7-B93F-9A7ABDBB34ED}" name="T03.2021" dataDxfId="381" dataCellStyle="Comma 5 2"/>
    <tableColumn id="7" xr3:uid="{D375ED54-65EE-42FB-A250-584815038B73}" name="T04.2021" dataDxfId="380" dataCellStyle="Comma 5 2"/>
    <tableColumn id="8" xr3:uid="{8DCBBB2D-6DBC-4BBB-9A3A-8C27CC646222}" name="T05.2021" dataDxfId="379" dataCellStyle="Comma 5 2"/>
    <tableColumn id="9" xr3:uid="{89DE0B1B-B80A-4779-8AE6-57A4C5931755}" name="T06.2021" dataDxfId="378" dataCellStyle="Comma 5 2"/>
    <tableColumn id="10" xr3:uid="{C8253CBB-C495-4916-A1D4-4012A5994AF5}" name="T07.2021" dataDxfId="377" dataCellStyle="Comma 5 2"/>
    <tableColumn id="11" xr3:uid="{E0A70C87-D038-4AF6-8599-2160990F8946}" name="T08.2021" dataDxfId="376" dataCellStyle="Comma 5 2"/>
    <tableColumn id="12" xr3:uid="{0671B29D-A79E-4E98-8165-D11B2EB5A15A}" name="T09.2021" dataDxfId="375" dataCellStyle="Comma 5 2"/>
    <tableColumn id="13" xr3:uid="{5613BDEC-13B2-4C46-8BE0-A0DFD5CFE25D}" name="T10.2021" dataDxfId="374" dataCellStyle="Comma 5 2"/>
    <tableColumn id="14" xr3:uid="{220C36AE-3131-42AE-A5CC-C371B53BEF5D}" name="T11.2021" dataDxfId="373" dataCellStyle="Comma 5 2"/>
    <tableColumn id="15" xr3:uid="{381AB3F8-7275-482C-AC4C-DAA8C3E144C9}" name="T12.2021" dataDxfId="372" dataCellStyle="Comma 5 2"/>
    <tableColumn id="16" xr3:uid="{FE822CBD-3B03-400B-B20C-F0C901D359DE}" name="T1.2022" dataDxfId="371" dataCellStyle="Comma 5 2"/>
    <tableColumn id="17" xr3:uid="{E9D68659-5B46-4690-A0F9-B272CC814EE6}" name="T02.2022" dataDxfId="370" dataCellStyle="Comma 5 2"/>
    <tableColumn id="18" xr3:uid="{8CE5A772-307F-463C-8CB0-DFF3984D0AAF}" name="T03.2022" dataDxfId="369" dataCellStyle="Comma 5 2"/>
    <tableColumn id="19" xr3:uid="{E9B98332-EE10-461A-B2EE-DA8231028E49}" name="T04.2022" dataDxfId="368" dataCellStyle="Comma 5 2"/>
    <tableColumn id="20" xr3:uid="{13C09369-47D3-4D47-949E-96DD7528E9B3}" name="T05.2022" dataDxfId="367" dataCellStyle="Comma 5 2"/>
    <tableColumn id="21" xr3:uid="{44CB763C-6F4D-4873-BBA7-0A7643E315A6}" name="T06.2022" dataDxfId="366" dataCellStyle="Comma 5 2"/>
    <tableColumn id="22" xr3:uid="{E17F0342-5385-450E-8403-6E0F5BE8A105}" name="T07.2022" dataDxfId="365" dataCellStyle="Comma 5 2"/>
    <tableColumn id="23" xr3:uid="{861BA932-E044-4ABD-84FA-80A5DBA6A7CF}" name="T08.2022" dataDxfId="364" dataCellStyle="Comma 5 2"/>
    <tableColumn id="24" xr3:uid="{BD59D5EB-F6F8-4133-BA1C-7C9551995074}" name="T09.2022" dataDxfId="363" dataCellStyle="Comma 5 2"/>
    <tableColumn id="25" xr3:uid="{D97A40AF-9207-47D7-AE9E-58E6EEBD77E2}" name="T10.2022" dataDxfId="362" dataCellStyle="Comma 5 2"/>
    <tableColumn id="26" xr3:uid="{77138E3F-D219-4749-B6F5-B66A568EC07F}" name="T11.2022" dataDxfId="361" dataCellStyle="Comma 5 2"/>
    <tableColumn id="27" xr3:uid="{B47FBD78-0B5C-439F-B2C9-7DD7405C12F3}" name="T12.2022" dataDxfId="360" dataCellStyle="Comma 5 2"/>
    <tableColumn id="28" xr3:uid="{89480F64-E947-4812-B869-B949BE4A7C41}" name="T1.2023" dataDxfId="359" dataCellStyle="Comma 5 2"/>
    <tableColumn id="29" xr3:uid="{829BA14B-09E1-4E16-9A2F-30EC72C2F6B1}" name="T02.2023" dataDxfId="358" dataCellStyle="Comma 5 2"/>
    <tableColumn id="30" xr3:uid="{484EB185-52E4-4EB7-84C6-90DDD10FF91B}" name="T03.2023" dataDxfId="357" dataCellStyle="Comma 5 2"/>
    <tableColumn id="31" xr3:uid="{9DB4AAE3-9A36-4BC4-84E3-88B1A22CFC9B}" name="T04.2023" dataDxfId="356" dataCellStyle="Comma 5 2"/>
    <tableColumn id="32" xr3:uid="{77CBC5A1-7F05-4A79-B9BC-07E724B78E07}" name="T05.2023" dataDxfId="355" dataCellStyle="Comma 5 2"/>
    <tableColumn id="33" xr3:uid="{0FAA9418-002B-4F0C-B9A9-609E6D6535FB}" name="T06.2023" dataDxfId="354" dataCellStyle="Comma 5 2"/>
    <tableColumn id="34" xr3:uid="{DDAA3968-AA1B-4C00-96C1-C44EE85624BA}" name="T07.2023" dataDxfId="353" dataCellStyle="Comma 5 2"/>
    <tableColumn id="35" xr3:uid="{49361636-25DF-4A9B-AB91-D5725B2261AA}" name="T08.2023" dataDxfId="352" dataCellStyle="Comma 5 2"/>
    <tableColumn id="36" xr3:uid="{52AAE892-14A6-494D-A1E2-A2F557AEDE41}" name="T09.2023" dataDxfId="351" dataCellStyle="Comma 5 2"/>
    <tableColumn id="37" xr3:uid="{65CB2AB9-29E6-40C8-BBDD-7C4073BFA4E2}" name="T10.2023" dataDxfId="350" dataCellStyle="Comma 5 2"/>
    <tableColumn id="38" xr3:uid="{6CF9ECAE-A8C9-45D9-9AE8-043D840BE5EB}" name="T11.2023" dataDxfId="349" dataCellStyle="Comma 5 2"/>
    <tableColumn id="39" xr3:uid="{A6E278A2-23E8-400A-859D-5356A735AF9D}" name="T12.2023" dataDxfId="348" dataCellStyle="Comma 5 2"/>
    <tableColumn id="40" xr3:uid="{A9252417-3A50-4A84-B658-F41F7BB3788F}" name="T01.2024" dataDxfId="347" dataCellStyle="Comma 5 2"/>
    <tableColumn id="41" xr3:uid="{88900811-DF9A-4254-8F23-37D2D794ACBB}" name="T02.2024" dataDxfId="346" dataCellStyle="Comma 5 2"/>
    <tableColumn id="42" xr3:uid="{B95DB22B-87DF-4B01-92E8-5E5D6600AB00}" name="T03.2024" dataDxfId="345" dataCellStyle="Comma 5 2"/>
    <tableColumn id="43" xr3:uid="{2B6E38D5-F4C8-4F40-83D3-8560BE963C35}" name="T04.2024" dataDxfId="344" dataCellStyle="Comma 3"/>
    <tableColumn id="44" xr3:uid="{A9D4156A-5BAC-44AA-8E9A-5400DEBB6723}" name="T05.2024" dataDxfId="343" dataCellStyle="Comma 5 2"/>
    <tableColumn id="45" xr3:uid="{E2C56F78-1BD0-4C11-9878-3FCCC6E6D8E7}" name="T06.2024" dataDxfId="342" dataCellStyle="Comma 5 2"/>
    <tableColumn id="46" xr3:uid="{3C92FE75-976E-491F-90C4-51B6E24DBD98}" name="T07.2024" dataDxfId="341" dataCellStyle="Comma 5 2"/>
    <tableColumn id="47" xr3:uid="{03B52EF4-3A6C-4F78-8BD8-CF9FAC35BFDA}" name="T08.2024" dataDxfId="340" dataCellStyle="Comma 5 2"/>
    <tableColumn id="48" xr3:uid="{3C0FAD20-0ED3-4935-BDD0-93FDF75EC6FB}" name="T09.2024" dataDxfId="339" dataCellStyle="Comma 5 2"/>
    <tableColumn id="49" xr3:uid="{E9AC82F0-B0C6-4D1C-9A92-A6972EBF5A5A}" name="T10.2024" dataDxfId="338" dataCellStyle="Comma 5 2"/>
    <tableColumn id="50" xr3:uid="{E4E6D972-9F9C-4431-A83C-46FAE5953C72}" name="T11.2024" dataDxfId="337" dataCellStyle="Comma 3"/>
    <tableColumn id="51" xr3:uid="{B1D29118-36BB-4BF5-9F50-211A4A0CFA15}" name="T12.2024" dataDxfId="336" dataCellStyle="Comma 3"/>
    <tableColumn id="52" xr3:uid="{75624D72-A58D-4BB6-B97B-3EF548700C53}" name="T01.2025" dataDxfId="335" dataCellStyle="Comma 5 2"/>
    <tableColumn id="53" xr3:uid="{A18DBBAE-E5D5-4924-B0E5-B51EA6307879}" name="T02.2025" dataDxfId="334" dataCellStyle="Comma 5 2"/>
    <tableColumn id="54" xr3:uid="{19FB9E70-B3F6-42E5-83DE-FE06A7AF5D57}" name="T03.2025" dataDxfId="333" dataCellStyle="Comma 5 2"/>
    <tableColumn id="55" xr3:uid="{E7F49E13-5E40-4104-B705-3ED63704A4BE}" name="T04.2025" dataDxfId="332" dataCellStyle="Comma 3"/>
    <tableColumn id="56" xr3:uid="{4F06989B-0A27-4B7B-ACF0-4DE4A154E3BF}" name="T05.2025" dataDxfId="331" dataCellStyle="Comma 5 2"/>
    <tableColumn id="57" xr3:uid="{18966E9D-4E68-4075-ACBF-549A809EA9C0}" name="T06.2025" dataDxfId="330" dataCellStyle="Comma 5 2"/>
    <tableColumn id="58" xr3:uid="{9A90EBC1-9026-4E23-9FC1-728A06C6E5CA}" name="T07.2025" dataDxfId="329" dataCellStyle="Comma 5 2"/>
    <tableColumn id="59" xr3:uid="{E70121AC-3F63-4AC5-8CA2-A24DAC27DAD9}" name="T08.2025" dataDxfId="328" dataCellStyle="Comma 5 2"/>
    <tableColumn id="60" xr3:uid="{2FAAA5DE-A455-4DFE-A597-3EE0F06F1EC0}" name="T09.2025" dataDxfId="327" dataCellStyle="Comma 5 2"/>
    <tableColumn id="61" xr3:uid="{63670F37-FB7E-4319-A766-D3D5981D0686}" name="T10.2025" dataDxfId="326" dataCellStyle="Comma 5 2"/>
    <tableColumn id="62" xr3:uid="{81F3ABD5-2294-469C-9EF4-311FF2D5CCD0}" name="T11.2025" dataDxfId="325" dataCellStyle="Comma 3"/>
    <tableColumn id="63" xr3:uid="{784D2463-40C8-4553-8A0D-9619E3CB2A82}" name="T12.2025" dataDxfId="324" dataCellStyle="Comma 3"/>
    <tableColumn id="64" xr3:uid="{8F4052F5-FA6B-4A4D-A84A-A16A0CC406BB}" name="T01.2026" dataDxfId="323" dataCellStyle="Comma 5 2"/>
    <tableColumn id="65" xr3:uid="{144D8F4E-183B-4203-8C54-C8E1213014BA}" name="T02.2026" dataDxfId="322" dataCellStyle="Comma 5 2"/>
    <tableColumn id="66" xr3:uid="{8E6DD163-5DB2-432A-A37B-C2738DFADE02}" name="T03.2026" dataDxfId="321" dataCellStyle="Comma 5 2"/>
    <tableColumn id="67" xr3:uid="{E1570392-6A22-4BB4-BFDE-E4B983853ECF}" name="T04.2026" dataDxfId="320" dataCellStyle="Comma 5 2"/>
    <tableColumn id="68" xr3:uid="{7D9C37B4-6DBB-4505-A501-EF26AA6F4516}" name="T05.2026" dataDxfId="319" dataCellStyle="Comma 5 2"/>
    <tableColumn id="69" xr3:uid="{40B947E7-4F82-4D91-8750-BCB2D5603900}" name="T06.2026" dataDxfId="318" dataCellStyle="Comma 5 2"/>
    <tableColumn id="70" xr3:uid="{46B20514-C37D-4942-96D8-017DCEFEB0BD}" name="T07.2026" dataDxfId="317" dataCellStyle="Comma 5 2"/>
    <tableColumn id="71" xr3:uid="{FFEF598E-2930-4EC9-AC41-22F828CF954D}" name="T08.2026" dataDxfId="316" dataCellStyle="Comma 5 2"/>
    <tableColumn id="72" xr3:uid="{6577AB27-9934-45A1-BC31-6AAD7086A4EA}" name="T09.2026" dataDxfId="315" dataCellStyle="Comma 5 2"/>
    <tableColumn id="73" xr3:uid="{68FE036D-391C-491A-B5EC-D96C26B23CF6}" name="T10.2026" dataDxfId="314" dataCellStyle="Comma 5 2"/>
    <tableColumn id="74" xr3:uid="{4A7EAADD-C1EC-4569-8DC6-8FDFDE22E099}" name="T11.2026" dataDxfId="313" dataCellStyle="Comma 5 2"/>
    <tableColumn id="75" xr3:uid="{9690988A-DEF4-4E76-ACE7-82A79E5E1DCA}" name="T12.2026" dataDxfId="312" dataCellStyle="Comma 5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2A2105-6B32-4B7F-B2CD-E9BD0C3CDC92}" name="Data_PL" displayName="Data_PL" ref="A3:BW23" totalsRowShown="0" headerRowDxfId="311" dataDxfId="310" tableBorderDxfId="309" headerRowCellStyle="Comma 3">
  <tableColumns count="75">
    <tableColumn id="1" xr3:uid="{E8E62DBF-A01E-45E6-9C65-B1D57A3D4BBF}" name="Index PL" dataDxfId="308" dataCellStyle="Normal 2"/>
    <tableColumn id="2" xr3:uid="{5492BA32-2CCB-41F5-929B-D9AE03D95076}" name="PHẦN II-KẾT QUẢ HOẠT ĐỘNG KINH DOANH" dataDxfId="307" dataCellStyle="Normal 2"/>
    <tableColumn id="3" xr3:uid="{1B3273BF-B2DB-4E1F-9F4A-2E43A223C636}" name="TenCongTyID" dataDxfId="306"/>
    <tableColumn id="4" xr3:uid="{ADF7B04B-DCCD-40D2-88DD-7CB45FB7B2AA}" name="T1.2021" dataDxfId="305"/>
    <tableColumn id="5" xr3:uid="{DA228968-74C6-49FB-8F98-DB17EDA63A5B}" name="T02.2021" dataDxfId="304"/>
    <tableColumn id="6" xr3:uid="{FEE43728-DC3C-4EBB-9E94-3E5EF68C646B}" name="T03.2021" dataDxfId="303"/>
    <tableColumn id="7" xr3:uid="{F8E7D81C-6F59-45C5-997E-B8EBD6D93C90}" name="T04.2021" dataDxfId="302"/>
    <tableColumn id="8" xr3:uid="{92811DD3-01E1-4D71-BCE9-EB922675BE29}" name="T05.2021" dataDxfId="301"/>
    <tableColumn id="9" xr3:uid="{F3540759-51D6-47B3-8EFF-4E63751AE7EA}" name="T06.2021" dataDxfId="300"/>
    <tableColumn id="10" xr3:uid="{EF382F51-AE9F-48CE-A86E-5D08025D1F95}" name="T07.2021" dataDxfId="299"/>
    <tableColumn id="11" xr3:uid="{5B42F1EA-FE63-472E-BC57-EC825821BDA5}" name="T08.2021" dataDxfId="298"/>
    <tableColumn id="12" xr3:uid="{DDE7C003-5FAD-4A30-9F4B-0A4CA2EB2666}" name="T09.2021" dataDxfId="297"/>
    <tableColumn id="13" xr3:uid="{18B5C7FD-BBD1-45C5-8A32-1612BAAE4EA8}" name="T10.2021" dataDxfId="296"/>
    <tableColumn id="14" xr3:uid="{FEB73D70-6859-4FF1-93F3-DEFF928973A9}" name="T11.2021" dataDxfId="295"/>
    <tableColumn id="15" xr3:uid="{7796ED8E-97B6-454D-AD0E-7A59C70EED78}" name="T12.2021" dataDxfId="294"/>
    <tableColumn id="16" xr3:uid="{E43989D4-6CEC-47E8-B15E-2337144C0584}" name="T1.2022" dataDxfId="293"/>
    <tableColumn id="17" xr3:uid="{95368686-23DB-4813-A7F3-C3CD933DA90D}" name="T02.2022" dataDxfId="292"/>
    <tableColumn id="18" xr3:uid="{4CA9559A-57A9-4E9D-BD11-94FC3EA88C8D}" name="T03.2022" dataDxfId="291"/>
    <tableColumn id="19" xr3:uid="{FC4AFF82-2E3D-4114-B439-FE22CC4D0664}" name="T04.2022" dataDxfId="290"/>
    <tableColumn id="20" xr3:uid="{481D74A2-39C8-4626-AC0C-C5CC0BD093F1}" name="T05.2022" dataDxfId="289"/>
    <tableColumn id="21" xr3:uid="{F2577143-CDAE-42C2-B7E9-5CC9C6FD149B}" name="T06.2022" dataDxfId="288"/>
    <tableColumn id="22" xr3:uid="{48D0BD17-E147-4534-A66D-906DCE163A37}" name="T07.2022" dataDxfId="287"/>
    <tableColumn id="23" xr3:uid="{B5978B5A-0705-4AFA-883A-B0A86919D102}" name="T08.2022" dataDxfId="286"/>
    <tableColumn id="24" xr3:uid="{08B04D26-DB17-44FB-9D46-A66F53F05A14}" name="T09.2022" dataDxfId="285"/>
    <tableColumn id="25" xr3:uid="{A2551669-97E0-4097-AFFE-F2E53D410E56}" name="T10.2022" dataDxfId="284"/>
    <tableColumn id="26" xr3:uid="{6938D4BD-49D4-4B5E-A1E4-17879CD72B73}" name="T11.2022" dataDxfId="283"/>
    <tableColumn id="27" xr3:uid="{9FAA7BDD-0CA5-4015-A034-BD5749B5AF24}" name="T12.2022" dataDxfId="282"/>
    <tableColumn id="28" xr3:uid="{B3FC46AA-A373-4321-8241-9ABEDFCB51A1}" name="T1.2023" dataDxfId="281"/>
    <tableColumn id="29" xr3:uid="{6618EE1A-1CFF-4A9C-89A4-8FEECF4E85FC}" name="T02.2023" dataDxfId="280"/>
    <tableColumn id="30" xr3:uid="{C3E9440A-36FC-4B64-BBF9-414AF9A0A6EB}" name="T03.2023" dataDxfId="279"/>
    <tableColumn id="31" xr3:uid="{54D0E213-7936-475C-97DD-11CE0250E034}" name="T04.2023" dataDxfId="278"/>
    <tableColumn id="32" xr3:uid="{E62ED794-9318-4452-B6F7-BD4751F2DB11}" name="T05.2023" dataDxfId="277"/>
    <tableColumn id="33" xr3:uid="{E9502795-020B-4C9F-8606-C2F7039F962C}" name="T06.2023" dataDxfId="276"/>
    <tableColumn id="34" xr3:uid="{DD7ABBC7-9AC0-4CC9-A4B5-C26E10F1B9EF}" name="T07.2023" dataDxfId="275"/>
    <tableColumn id="35" xr3:uid="{02968050-7047-4CC8-8452-D3D3838AC4BB}" name="T08.2023" dataDxfId="274"/>
    <tableColumn id="36" xr3:uid="{7F98AE74-AA96-49F1-AD89-6FA0FE08FEF1}" name="T09.2023" dataDxfId="273"/>
    <tableColumn id="37" xr3:uid="{26530B00-2CBE-4376-A81C-222E7BBE1721}" name="T10.2023" dataDxfId="272"/>
    <tableColumn id="38" xr3:uid="{30B6A4BA-F732-4BCF-9E3E-D6F395ABC377}" name="T11.2023" dataDxfId="271"/>
    <tableColumn id="39" xr3:uid="{17132774-6403-43F5-B79D-0C02A30A226A}" name="T12.2023" dataDxfId="270"/>
    <tableColumn id="40" xr3:uid="{38A32860-E5CA-42FA-8C06-F27691E23B7A}" name="T01.2024" dataDxfId="269"/>
    <tableColumn id="41" xr3:uid="{0335FDCE-8E0B-4ECE-83C0-DFDCF2FBAEA3}" name="T02.2024" dataDxfId="268"/>
    <tableColumn id="42" xr3:uid="{EF06A55A-17E1-4EEF-BA99-350DC652765B}" name="T03.2024" dataDxfId="267"/>
    <tableColumn id="43" xr3:uid="{902E958F-C002-45FD-B1D5-362B89ABD774}" name="T04.2024" dataDxfId="266"/>
    <tableColumn id="44" xr3:uid="{54FFCB0A-8127-487F-B2CC-42705DD55308}" name="T05.2024" dataDxfId="265"/>
    <tableColumn id="45" xr3:uid="{0E3007B1-2D1B-4D2D-ABB4-569DDA555F38}" name="T06.2024" dataDxfId="264"/>
    <tableColumn id="46" xr3:uid="{B5483F0E-D2F1-43AE-9D8F-33DD0C7BE686}" name="T07.2024" dataDxfId="263"/>
    <tableColumn id="47" xr3:uid="{388AA9D2-E464-4F71-BDC2-46E3AC82C839}" name="T08.2024" dataDxfId="262"/>
    <tableColumn id="48" xr3:uid="{FB19A206-B409-44B9-9DBC-BA9EAC0F9ED4}" name="T09.2024" dataDxfId="261"/>
    <tableColumn id="49" xr3:uid="{FD2A0E1A-9365-4CB2-8DFC-72CD56071F03}" name="T10.2024" dataDxfId="260"/>
    <tableColumn id="50" xr3:uid="{4FE4E5B3-DF9B-478C-A06A-2896E86C388F}" name="T11.2024" dataDxfId="259"/>
    <tableColumn id="51" xr3:uid="{474BF584-1FF3-4E31-9E9C-1D5375B81901}" name="T12.2024" dataDxfId="258"/>
    <tableColumn id="52" xr3:uid="{74A10F8D-B472-46C1-8F90-EC5A2F690F02}" name="T01.2025" dataDxfId="257"/>
    <tableColumn id="53" xr3:uid="{5E55B001-A876-47B2-A22B-7A377AED3267}" name="T02.2025" dataDxfId="256"/>
    <tableColumn id="54" xr3:uid="{0CE6CD66-BF85-4259-AED3-83B78D467F1D}" name="T03.2025" dataDxfId="255"/>
    <tableColumn id="55" xr3:uid="{15187EF6-B70B-4D92-B496-5C80D7760DF5}" name="T04.2025" dataDxfId="254"/>
    <tableColumn id="56" xr3:uid="{F53E2E9A-A92D-47E2-8634-FC16A87F2117}" name="T05.2025" dataDxfId="253"/>
    <tableColumn id="57" xr3:uid="{A71ECC00-F87D-42EE-9F3A-5222C25699DF}" name="T06.2025" dataDxfId="252"/>
    <tableColumn id="58" xr3:uid="{EF988088-0AC8-4346-9A00-0B9AB5E68238}" name="T07.2025" dataDxfId="251"/>
    <tableColumn id="59" xr3:uid="{1505898A-6831-42F3-AFFF-3A78A3DA6347}" name="T08.2025" dataDxfId="250"/>
    <tableColumn id="60" xr3:uid="{CC499375-A10D-49F6-A497-1913571EACA4}" name="T09.2025" dataDxfId="249"/>
    <tableColumn id="61" xr3:uid="{9C18BF65-6C3A-4BFC-819D-9E7928FA0137}" name="T10.2025" dataDxfId="248"/>
    <tableColumn id="62" xr3:uid="{EB20829F-0DAB-4558-8951-94F675FC3A17}" name="T11.2025" dataDxfId="247"/>
    <tableColumn id="63" xr3:uid="{E6B32A7B-F410-4F54-9ECA-1C60B646B4E9}" name="T12.2025" dataDxfId="246"/>
    <tableColumn id="64" xr3:uid="{8245D33C-8D79-4C7A-BF07-7FEA5654C64B}" name="T01.2026" dataDxfId="245"/>
    <tableColumn id="65" xr3:uid="{FDB8B3C0-E02F-47E5-B7AB-BFCB5F7F7FFD}" name="T02.2026" dataDxfId="244"/>
    <tableColumn id="66" xr3:uid="{04406D3D-3290-4D3B-99C7-BE2591E4EE70}" name="T03.2026" dataDxfId="243"/>
    <tableColumn id="67" xr3:uid="{DED2722E-EE4A-4EDB-95CE-D80ED09F6E94}" name="T04.2026" dataDxfId="242"/>
    <tableColumn id="68" xr3:uid="{DBD6D012-A310-4DDB-893C-B812A31CF0AB}" name="T05.2026" dataDxfId="241"/>
    <tableColumn id="69" xr3:uid="{14366801-2BED-4A2F-91DA-776D123DE1C2}" name="T06.2026" dataDxfId="240"/>
    <tableColumn id="70" xr3:uid="{7F4B215A-0FCA-4CD6-88D8-44D14589CCE6}" name="T07.2026" dataDxfId="239"/>
    <tableColumn id="71" xr3:uid="{98EFC27A-1352-4FD9-AD38-3418C7F2563F}" name="T08.2026" dataDxfId="238"/>
    <tableColumn id="72" xr3:uid="{D9D97B72-43DF-40A5-89DD-53ACF42D43EC}" name="T09.2026" dataDxfId="237"/>
    <tableColumn id="73" xr3:uid="{9192C7B5-FF04-47C3-8122-1BAAE0EF83E7}" name="T10.2026" dataDxfId="236"/>
    <tableColumn id="74" xr3:uid="{BFFBBCFC-A6FB-4A58-ABFE-D07ADD092BE3}" name="T11.2026" dataDxfId="235"/>
    <tableColumn id="75" xr3:uid="{E4A86E97-D33F-463A-8ECC-710BCDDB9184}" name="T12.2026" dataDxfId="2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BF60C-7485-43F6-844C-A34F125D229A}" name="Data_CF" displayName="Data_CF" ref="A3:BW44" totalsRowShown="0" headerRowDxfId="233" dataDxfId="232" headerRowCellStyle="Normal 2" dataCellStyle="Comma 5 2">
  <tableColumns count="75">
    <tableColumn id="1" xr3:uid="{D468E441-4F89-477E-87D5-613D8F58068A}" name="Index CF" dataDxfId="231" dataCellStyle="Normal 2"/>
    <tableColumn id="2" xr3:uid="{A5F44B49-9CD8-4B7B-827F-5355FFD8A516}" name="PHẦN III- LƯU CHUYỂN TIỀN TỆ" dataDxfId="230" dataCellStyle="Normal 2"/>
    <tableColumn id="3" xr3:uid="{98BC6018-1B78-471B-85AC-952C074B5CCE}" name="TenCongTyID" dataDxfId="229" dataCellStyle="Comma 5"/>
    <tableColumn id="4" xr3:uid="{4B85BB3F-DD17-42EA-8BA0-AF0DE61D83CD}" name="T1.2021" dataDxfId="228"/>
    <tableColumn id="5" xr3:uid="{8AC59550-2959-4697-83BF-6BD8BA5D82F4}" name="T02.2021" dataDxfId="227"/>
    <tableColumn id="6" xr3:uid="{1978FFC0-70C4-4235-84C5-9A78688F2B9F}" name="T03.2021" dataDxfId="226"/>
    <tableColumn id="7" xr3:uid="{1E7EDC8D-0C75-4A80-83B1-42F090BEBCCF}" name="T04.2021" dataDxfId="225"/>
    <tableColumn id="8" xr3:uid="{B28CBD0B-DC75-42BA-95A5-80CB0ED13197}" name="T05.2021" dataDxfId="224"/>
    <tableColumn id="9" xr3:uid="{96E6B7F1-252B-4FF7-B1E1-BA6990C0A3F8}" name="T06.2021" dataDxfId="223"/>
    <tableColumn id="10" xr3:uid="{95FA0492-5069-405B-8DC8-A6AF4B41E1A2}" name="T07.2021" dataDxfId="222"/>
    <tableColumn id="11" xr3:uid="{FE17DDDD-4234-496C-8C04-5B9629C4AAAF}" name="T08.2021" dataDxfId="221"/>
    <tableColumn id="12" xr3:uid="{36C40336-78DE-416B-8D47-78FB4EE05A35}" name="T09.2021" dataDxfId="220"/>
    <tableColumn id="13" xr3:uid="{44BBFF48-19AA-4605-9CC0-8FC5484B3A07}" name="T10.2021" dataDxfId="219"/>
    <tableColumn id="14" xr3:uid="{BE78E518-54B1-4EEB-8F0D-AC8E3D07C19D}" name="T11.2021" dataDxfId="218"/>
    <tableColumn id="15" xr3:uid="{F539003B-5757-4935-BA9E-E6F8076CF430}" name="T12.2021" dataDxfId="217"/>
    <tableColumn id="16" xr3:uid="{0E411103-191B-4F78-95FB-573CD628BDB1}" name="T1.2022" dataDxfId="216"/>
    <tableColumn id="17" xr3:uid="{90A324C3-6854-42CE-B598-892EF0067B24}" name="T02.2022" dataDxfId="215"/>
    <tableColumn id="18" xr3:uid="{D83E78ED-F334-476C-AA37-AFE5D9C37F04}" name="T03.2022" dataDxfId="214"/>
    <tableColumn id="19" xr3:uid="{72001504-85DF-42A4-9C17-B5D82C602F57}" name="T04.2022" dataDxfId="213"/>
    <tableColumn id="20" xr3:uid="{74F3BE09-5D48-454C-BBEB-E6024249FB98}" name="T05.2022" dataDxfId="212"/>
    <tableColumn id="21" xr3:uid="{F9DF877F-7B93-46E2-9601-C3F27F1F1598}" name="T06.2022" dataDxfId="211"/>
    <tableColumn id="22" xr3:uid="{AA62B1A0-D911-4844-AE76-13D06701D7FB}" name="T07.2022" dataDxfId="210"/>
    <tableColumn id="23" xr3:uid="{530F3603-181E-4DAF-B8DC-3E2BC7BC50B1}" name="T08.2022" dataDxfId="209"/>
    <tableColumn id="24" xr3:uid="{43180FC3-6624-4B0B-9E46-E52463C078DC}" name="T09.2022" dataDxfId="208"/>
    <tableColumn id="25" xr3:uid="{50F04D09-2C7C-4B7E-B1F0-E2C1760947DF}" name="T10.2022" dataDxfId="207"/>
    <tableColumn id="26" xr3:uid="{411D541A-57A4-4FC0-A066-284A74FDDE20}" name="T11.2022" dataDxfId="206"/>
    <tableColumn id="27" xr3:uid="{3EBD22D5-129D-4524-BBF8-3D256D03815A}" name="T12.2022" dataDxfId="205"/>
    <tableColumn id="28" xr3:uid="{60612B2A-6066-4548-AD02-2EE9352266D6}" name="T1.2023" dataDxfId="204"/>
    <tableColumn id="29" xr3:uid="{BE637DA7-705F-4B56-A65F-93B9C6FA31B0}" name="T02.2023" dataDxfId="203"/>
    <tableColumn id="30" xr3:uid="{40285786-9B33-4ADE-81A1-D314198FBE23}" name="T03.2023" dataDxfId="202"/>
    <tableColumn id="31" xr3:uid="{B6929BBB-2E77-40E8-B062-DCAC994C56D5}" name="T04.2023" dataDxfId="201"/>
    <tableColumn id="32" xr3:uid="{08A208DF-8E33-46C9-895E-0200DC6519CC}" name="T05.2023" dataDxfId="200"/>
    <tableColumn id="33" xr3:uid="{62A9D377-3F33-40B7-B572-0554E51297D5}" name="T06.2023" dataDxfId="199"/>
    <tableColumn id="34" xr3:uid="{29A102B5-50DD-4EC5-B471-47930DE92D08}" name="T07.2023" dataDxfId="198"/>
    <tableColumn id="35" xr3:uid="{2BDE1B7B-6578-410E-B1EF-C38F2D528F3E}" name="T08.2023" dataDxfId="197"/>
    <tableColumn id="36" xr3:uid="{ABD6C522-061C-4BC5-AE46-CB9DBF9E95C4}" name="T09.2023" dataDxfId="196"/>
    <tableColumn id="37" xr3:uid="{8C6F445F-BA62-4110-B95B-713723749BF0}" name="T10.2023" dataDxfId="195"/>
    <tableColumn id="38" xr3:uid="{44E4F191-001C-44DA-BADF-14EB9E6C38D7}" name="T11.2023" dataDxfId="194"/>
    <tableColumn id="39" xr3:uid="{A4B72F9E-4154-47C6-99F6-E0CD54A15D02}" name="T12.2023" dataDxfId="193"/>
    <tableColumn id="40" xr3:uid="{941E6A1F-0411-4B3D-B1C2-E8D2D2EB138A}" name="T01.2024" dataDxfId="192" dataCellStyle="Comma 5 2"/>
    <tableColumn id="41" xr3:uid="{46028580-8DF5-49EC-AA94-4696D36E5185}" name="T02.2024" dataDxfId="191"/>
    <tableColumn id="42" xr3:uid="{842A99CB-8D7B-4DF5-9340-27935CCE3EA9}" name="T03.2024" dataDxfId="190"/>
    <tableColumn id="43" xr3:uid="{EF967200-1678-4134-AC2F-41A4F89749B6}" name="T04.2024" dataDxfId="189" dataCellStyle="Comma 5 2"/>
    <tableColumn id="44" xr3:uid="{86A82E35-DC64-46E9-82EB-32F5FE9F1C19}" name="T05.2024" dataDxfId="188" dataCellStyle="Comma 5 2"/>
    <tableColumn id="45" xr3:uid="{5DCB9692-9F2A-4912-A90A-39191A7A180F}" name="T06.2024" dataDxfId="187" dataCellStyle="Comma 5 2"/>
    <tableColumn id="46" xr3:uid="{260021E2-7D4E-4DF6-9066-A82E46F85F29}" name="T07.2024" dataDxfId="186" dataCellStyle="Comma 5 2"/>
    <tableColumn id="47" xr3:uid="{A67E0B04-3509-413B-8B35-3A3981FE1531}" name="T08.2024" dataDxfId="185" dataCellStyle="Comma 5 2"/>
    <tableColumn id="48" xr3:uid="{C10DE75B-4CB1-42CC-82A7-1DAF20A7079B}" name="T09.2024" dataDxfId="184" dataCellStyle="Comma 5 2"/>
    <tableColumn id="49" xr3:uid="{D194F5C3-0AE3-4E06-99C3-723E027BE4CE}" name="T10.2024" dataDxfId="183" dataCellStyle="Comma 5 2"/>
    <tableColumn id="50" xr3:uid="{8F84916E-1A61-4592-A84E-6A4E04CD7E72}" name="T11.2024" dataDxfId="182" dataCellStyle="Comma 5 2"/>
    <tableColumn id="51" xr3:uid="{E016000A-F8F1-484E-8D40-A21FCDA715D2}" name="T12.2024" dataDxfId="181" dataCellStyle="Comma 5 2"/>
    <tableColumn id="52" xr3:uid="{16BDB09D-617F-4EDE-B3E8-DF550B5C6103}" name="T01.2025" dataDxfId="180" dataCellStyle="Comma 5 2"/>
    <tableColumn id="53" xr3:uid="{248E7A04-6ED8-4717-B749-0F7C9C8030F5}" name="T02.2025" dataDxfId="179"/>
    <tableColumn id="54" xr3:uid="{11C28339-C3D0-48FF-8BB1-7D3CD10B1C14}" name="T03.2025" dataDxfId="178"/>
    <tableColumn id="55" xr3:uid="{EEE66E27-EDC7-4F2B-8511-2E0CA2ABDEFA}" name="T04.2025" dataDxfId="177" dataCellStyle="Comma 5 2"/>
    <tableColumn id="56" xr3:uid="{67CF4E39-6993-4828-A516-6BB7BEF3186E}" name="T05.2025" dataDxfId="176" dataCellStyle="Comma 5 2"/>
    <tableColumn id="57" xr3:uid="{C1840ED3-EC45-4521-BC97-2420A359F3DA}" name="T06.2025" dataDxfId="175" dataCellStyle="Comma 5 2"/>
    <tableColumn id="58" xr3:uid="{710C7D41-3A1F-4BFB-B58F-2753BA15873C}" name="T07.2025" dataDxfId="174" dataCellStyle="Comma 5 2"/>
    <tableColumn id="59" xr3:uid="{479B3865-A9B9-4997-A192-53817F869989}" name="T08.2025" dataDxfId="173" dataCellStyle="Comma 5 2"/>
    <tableColumn id="60" xr3:uid="{79E4CECE-FCC9-4551-83D0-DA654C5CF2D5}" name="T09.2025" dataDxfId="172" dataCellStyle="Comma 5 2"/>
    <tableColumn id="61" xr3:uid="{881114AB-13FC-491F-B583-077DC1B32C07}" name="T10.2025" dataDxfId="171" dataCellStyle="Comma 5 2"/>
    <tableColumn id="62" xr3:uid="{80D356E2-8D31-4975-BCA8-7332FBAF51EA}" name="T11.2025" dataDxfId="170" dataCellStyle="Comma 5 2"/>
    <tableColumn id="63" xr3:uid="{F61B1A77-CA01-4DD2-BF7A-DCA25DBD3CDA}" name="T12.2025" dataDxfId="169" dataCellStyle="Comma 5 2"/>
    <tableColumn id="64" xr3:uid="{9F11534E-14A2-4AD1-9732-63A90873D202}" name="T01.2026" dataDxfId="168" dataCellStyle="Comma 5 2"/>
    <tableColumn id="65" xr3:uid="{E3805666-6495-4989-B1C4-4AB10FDFF840}" name="T02.2026" dataDxfId="167" dataCellStyle="Comma 5 2"/>
    <tableColumn id="66" xr3:uid="{1C8D9185-2968-415E-AB40-F1767A2852ED}" name="T03.2026" dataDxfId="166" dataCellStyle="Comma 5 2"/>
    <tableColumn id="67" xr3:uid="{ACC3B9B0-0798-48E1-BAD4-8FA25B7E2A9C}" name="T04.2026" dataDxfId="165" dataCellStyle="Comma 5 2"/>
    <tableColumn id="68" xr3:uid="{9B64472D-EE3C-405B-85C8-4C5B81A5EA18}" name="T05.2026" dataDxfId="164" dataCellStyle="Comma 5 2"/>
    <tableColumn id="69" xr3:uid="{E085A7E5-DC83-4B12-B655-095E7E823564}" name="T06.2026" dataDxfId="163" dataCellStyle="Comma 5 2"/>
    <tableColumn id="70" xr3:uid="{5A10FEA4-F222-479F-B17B-3305B48762DE}" name="T07.2026" dataDxfId="162" dataCellStyle="Comma 5 2"/>
    <tableColumn id="71" xr3:uid="{5BDFA152-9EA5-456C-873A-2BD8191D69B1}" name="T08.2026" dataDxfId="161" dataCellStyle="Comma 5 2"/>
    <tableColumn id="72" xr3:uid="{695258D9-D3B1-404F-A808-898D5483E900}" name="T09.2026" dataDxfId="160" dataCellStyle="Comma 5 2"/>
    <tableColumn id="73" xr3:uid="{6AE8FE54-A1F3-41C2-9358-65D6E95DB6AE}" name="T10.2026" dataDxfId="159" dataCellStyle="Comma 5 2"/>
    <tableColumn id="74" xr3:uid="{51C63E4A-C84B-4EF3-A8FB-107F3E1174CD}" name="T11.2026" dataDxfId="158" dataCellStyle="Comma 5 2"/>
    <tableColumn id="75" xr3:uid="{5B485373-5E6C-42B2-9E38-062D4809E66D}" name="T12.2026" dataDxfId="157" dataCellStyle="Comma 5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AC99B5-8C17-473B-AD62-DA265CAAB710}" name="Data_PL_Element" displayName="Data_PL_Element" ref="A3:BW57" totalsRowShown="0" headerRowDxfId="156" dataDxfId="154" headerRowBorderDxfId="155" headerRowCellStyle="Normal 3">
  <tableColumns count="75">
    <tableColumn id="1" xr3:uid="{9CADFEE7-2A12-437B-8073-BE65341EBA85}" name="Index PL Element" dataDxfId="153"/>
    <tableColumn id="2" xr3:uid="{5C7AEF01-8721-4DDF-A169-2D274AAF2EA8}" name="PHẦN IV: CHI PHÍ THEO YẾU TỐ" dataDxfId="152"/>
    <tableColumn id="3" xr3:uid="{B51ECC5A-6AFA-4D97-96B8-6378521A657D}" name="TenCongTyID" dataDxfId="151" dataCellStyle="Normal 2"/>
    <tableColumn id="4" xr3:uid="{6E2F922D-D34C-44C9-93D9-F584ABEA6ADD}" name="T1.2021" dataDxfId="150"/>
    <tableColumn id="5" xr3:uid="{54AD7762-391E-442D-9B96-CCCEABC697A5}" name="T02.2021" dataDxfId="149"/>
    <tableColumn id="6" xr3:uid="{CFAF75E1-239E-4EEE-857B-3377B0381CCF}" name="T03.2021" dataDxfId="148"/>
    <tableColumn id="7" xr3:uid="{9D5E73F8-775D-4B6D-81C2-E626356EB76F}" name="T04.2021" dataDxfId="147"/>
    <tableColumn id="8" xr3:uid="{48409BE3-EE0C-4996-BE23-CDD4F3670777}" name="T05.2021" dataDxfId="146"/>
    <tableColumn id="9" xr3:uid="{F299FDC1-B58D-4261-8743-67DBBECD6DA6}" name="T06.2021" dataDxfId="145"/>
    <tableColumn id="10" xr3:uid="{0B0BBE3F-9331-4B03-BC74-F496F2EB9CD2}" name="T07.2021" dataDxfId="144"/>
    <tableColumn id="11" xr3:uid="{5544DA16-7D1E-49E8-8DA5-2B5046E355E4}" name="T08.2021" dataDxfId="143"/>
    <tableColumn id="12" xr3:uid="{D27E46D5-E094-45F6-907E-D41D763F0426}" name="T09.2021" dataDxfId="142"/>
    <tableColumn id="13" xr3:uid="{204C033A-7377-4C4C-8236-8B55C7E6DA16}" name="T10.2021" dataDxfId="141"/>
    <tableColumn id="14" xr3:uid="{336DC8E2-E87A-4558-A294-F3FA24F34811}" name="T11.2021" dataDxfId="140"/>
    <tableColumn id="15" xr3:uid="{C9C5300F-9512-499B-B665-3264BBB03090}" name="T12.2021" dataDxfId="139"/>
    <tableColumn id="16" xr3:uid="{73AB2768-2949-4275-887F-04A2C191231C}" name="T1.2022" dataDxfId="138"/>
    <tableColumn id="17" xr3:uid="{0DDAB77E-30CC-47EA-8CB9-74713842AB76}" name="T02.2022" dataDxfId="137"/>
    <tableColumn id="18" xr3:uid="{67B5C1EA-E55E-4BC8-BF03-820F0A1A5FC1}" name="T03.2022" dataDxfId="136"/>
    <tableColumn id="19" xr3:uid="{9C920AEB-BEE0-45BE-A2AC-60E5542049BD}" name="T04.2022" dataDxfId="135"/>
    <tableColumn id="20" xr3:uid="{6E03803C-C6F3-4F1F-897F-7D341A279CF9}" name="T05.2022" dataDxfId="134"/>
    <tableColumn id="21" xr3:uid="{7D73AC45-1112-4A6B-BD2B-3BDA0233A59F}" name="T06.2022" dataDxfId="133"/>
    <tableColumn id="22" xr3:uid="{64112D27-6174-4A9A-8E2E-82365353967B}" name="T07.2022" dataDxfId="132"/>
    <tableColumn id="23" xr3:uid="{081EAE4D-1F64-4239-B864-4F9822008A27}" name="T08.2022" dataDxfId="131"/>
    <tableColumn id="24" xr3:uid="{3882817B-CBB5-4ABE-82D8-806A3B674547}" name="T09.2022" dataDxfId="130"/>
    <tableColumn id="25" xr3:uid="{5FB1FEF4-9E8B-477F-B4DD-FC8DCDFDE735}" name="T10.2022" dataDxfId="129"/>
    <tableColumn id="26" xr3:uid="{0B33F206-B22F-47F6-9E1B-A813569D565F}" name="T11.2022" dataDxfId="128"/>
    <tableColumn id="27" xr3:uid="{C3B32F7E-7411-4B8C-95FC-29ED362E94BF}" name="T12.2022" dataDxfId="127"/>
    <tableColumn id="28" xr3:uid="{D047395A-25CE-4ED5-AD1B-AB5EFA6C1BE6}" name="T1.2023" dataDxfId="126"/>
    <tableColumn id="29" xr3:uid="{8758D557-0CA7-42E7-BEA6-265A482EF7A1}" name="T02.2023" dataDxfId="125"/>
    <tableColumn id="30" xr3:uid="{DCDAB2B6-DB4A-4D42-BB81-70AC659DEDFD}" name="T03.2023" dataDxfId="124"/>
    <tableColumn id="31" xr3:uid="{E7BDFB4A-8B70-4A1A-9B08-756C40A4FA19}" name="T04.2023" dataDxfId="123"/>
    <tableColumn id="32" xr3:uid="{99D27656-D36B-4281-90AB-542E9BD6C234}" name="T05.2023" dataDxfId="122"/>
    <tableColumn id="33" xr3:uid="{CD625326-C271-45FB-AD34-53F46038CCFC}" name="T06.2023" dataDxfId="121"/>
    <tableColumn id="34" xr3:uid="{AA024822-F862-4148-9ED0-C02CA5820C59}" name="T07.2023" dataDxfId="120"/>
    <tableColumn id="35" xr3:uid="{6C628DBC-E86E-4ADB-8F06-DB86A06569E2}" name="T08.2023" dataDxfId="119"/>
    <tableColumn id="36" xr3:uid="{0B706AEF-6846-46DD-80A9-6743F430931A}" name="T09.2023" dataDxfId="118"/>
    <tableColumn id="37" xr3:uid="{6CBFAFB7-FB78-4D82-AD46-CAABDD87853C}" name="T10.2023" dataDxfId="117"/>
    <tableColumn id="38" xr3:uid="{3FA82C3D-C554-434F-A3B9-B2BD1605A3F2}" name="T11.2023" dataDxfId="116"/>
    <tableColumn id="39" xr3:uid="{A6567ED9-0C3B-4303-AA81-2F2C7692D37B}" name="T12.2023" dataDxfId="115"/>
    <tableColumn id="40" xr3:uid="{79878C17-2A88-4D07-97B1-20A79E6E5D78}" name="T01.2024" dataDxfId="114"/>
    <tableColumn id="41" xr3:uid="{41DDBC51-5F22-421E-B42A-EB15FCA70D35}" name="T02.2024" dataDxfId="113"/>
    <tableColumn id="42" xr3:uid="{1EDFE7B4-E369-4379-B3AC-34C39ABB1D1A}" name="T03.2024" dataDxfId="112"/>
    <tableColumn id="43" xr3:uid="{FB952220-D0F8-41B4-A624-78A580416E27}" name="T04.2024" dataDxfId="111"/>
    <tableColumn id="44" xr3:uid="{F05F73F0-1A3E-4859-A893-6175644B4235}" name="T05.2024" dataDxfId="110"/>
    <tableColumn id="45" xr3:uid="{BFC9C679-6DA6-4E83-8A55-4C9768750DFB}" name="T06.2024" dataDxfId="109"/>
    <tableColumn id="46" xr3:uid="{CDFF83AE-2BC7-4791-B2E8-5C1506D44F04}" name="T07.2024" dataDxfId="108"/>
    <tableColumn id="47" xr3:uid="{3F4164F2-8734-44F0-A279-51332B086A87}" name="T08.2024" dataDxfId="107"/>
    <tableColumn id="48" xr3:uid="{1FD2C089-CC75-4C42-943E-3E2F5DAEA707}" name="T09.2024" dataDxfId="106"/>
    <tableColumn id="49" xr3:uid="{C57CEB2B-19AD-4DD3-815A-425D103FC009}" name="T10.2024" dataDxfId="105"/>
    <tableColumn id="50" xr3:uid="{50C28F8B-ECE2-4FD9-AF82-DAA9282C76AA}" name="T11.2024" dataDxfId="104"/>
    <tableColumn id="51" xr3:uid="{44A5B459-0F39-460F-9E37-9D17AB3B734D}" name="T12.2024" dataDxfId="103"/>
    <tableColumn id="52" xr3:uid="{949A0F16-21E2-4A4C-BC60-4165C0D2CA01}" name="T01.2025" dataDxfId="102"/>
    <tableColumn id="53" xr3:uid="{0CC96E70-18C8-4C3E-8920-44580889C9A4}" name="T02.2025" dataDxfId="101"/>
    <tableColumn id="54" xr3:uid="{9D426DAB-1689-4FE7-9AD9-E7CF169A33A7}" name="T03.2025" dataDxfId="100"/>
    <tableColumn id="55" xr3:uid="{4256E997-3A1B-4DDA-A3E5-75D8E7865831}" name="T04.2025" dataDxfId="99"/>
    <tableColumn id="56" xr3:uid="{7CFE9AC6-9EF5-435B-B417-3BBC8CEBC21D}" name="T05.2025" dataDxfId="98"/>
    <tableColumn id="57" xr3:uid="{B9560136-3236-404A-9A92-9E93D752AFEA}" name="T06.2025" dataDxfId="97"/>
    <tableColumn id="58" xr3:uid="{5AD63137-AD69-4BAE-982E-B35A920E3978}" name="T07.2025" dataDxfId="96"/>
    <tableColumn id="59" xr3:uid="{FF087FE6-3006-45D1-BE3D-1691B1AE95CC}" name="T08.2025" dataDxfId="95"/>
    <tableColumn id="60" xr3:uid="{2D1B6E86-BEC2-4F3C-9758-91CC7447B7C2}" name="T09.2025" dataDxfId="94"/>
    <tableColumn id="61" xr3:uid="{FDBC23E1-6E94-4B49-9F20-A12322519753}" name="T10.2025" dataDxfId="93"/>
    <tableColumn id="62" xr3:uid="{A210C22F-DDD0-45EC-A227-0013B8604CD1}" name="T11.2025" dataDxfId="92"/>
    <tableColumn id="63" xr3:uid="{86EA2AF0-A1A5-4333-AE47-7D291476117E}" name="T12.2025" dataDxfId="91"/>
    <tableColumn id="64" xr3:uid="{8790E04B-1E8F-4C6B-BC39-3D43E824E654}" name="T01.2026" dataDxfId="90"/>
    <tableColumn id="65" xr3:uid="{0C026E35-A5CF-44C2-B856-FBD4FDAE8A7C}" name="T02.2026" dataDxfId="89"/>
    <tableColumn id="66" xr3:uid="{86CDA3BA-B853-4C49-B259-D26DFFB244A3}" name="T03.2026" dataDxfId="88"/>
    <tableColumn id="67" xr3:uid="{D0EE81E0-4803-439E-AC9B-BE15F117BD5B}" name="T04.2026" dataDxfId="87"/>
    <tableColumn id="68" xr3:uid="{37E2E523-D99C-40C2-84D6-8675209572A5}" name="T05.2026" dataDxfId="86"/>
    <tableColumn id="69" xr3:uid="{C42D5F53-F826-4389-BA9D-F23BB3D0D6FD}" name="T06.2026" dataDxfId="85"/>
    <tableColumn id="70" xr3:uid="{10C81C43-B97A-4918-820B-5E7ED5AAB303}" name="T07.2026" dataDxfId="84"/>
    <tableColumn id="71" xr3:uid="{6C4D52FB-CFB6-4194-B175-5E5F825A5CEA}" name="T08.2026" dataDxfId="83"/>
    <tableColumn id="72" xr3:uid="{459E980E-8A2D-483A-9959-E907A830A504}" name="T09.2026" dataDxfId="82"/>
    <tableColumn id="73" xr3:uid="{E82B979F-51AF-439B-A006-801DB38F542B}" name="T10.2026" dataDxfId="81"/>
    <tableColumn id="74" xr3:uid="{00A969E2-C1C0-47A6-A750-738AEAB7F442}" name="T11.2026" dataDxfId="80"/>
    <tableColumn id="75" xr3:uid="{AB907506-EFBF-49E3-A9C7-2A264100B562}" name="T12.2026" dataDxfId="7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A0DE72-B631-4FE6-A09F-6D229C5352E5}" name="Data_Loan" displayName="Data_Loan" ref="A3:BW74" totalsRowShown="0" headerRowDxfId="78" dataDxfId="76" headerRowBorderDxfId="77" tableBorderDxfId="75" headerRowCellStyle="Normal 2" dataCellStyle="Normal 2">
  <tableColumns count="75">
    <tableColumn id="1" xr3:uid="{49C481F6-3A11-48EF-9E4E-46D2130BFC02}" name="Index Loan" dataDxfId="74" dataCellStyle="Normal 2"/>
    <tableColumn id="2" xr3:uid="{221A9037-E20B-4043-965B-36721F045ADC}" name="PHẦN V: CHI TIẾT NỢ VAY NGÂN HÀNG" dataDxfId="73" dataCellStyle="Normal 2"/>
    <tableColumn id="3" xr3:uid="{8B5189C4-E4AC-40D8-A753-B3CCCC32014C}" name="TenCongTyID" dataDxfId="72" dataCellStyle="Normal 2"/>
    <tableColumn id="4" xr3:uid="{6DD7CF08-1577-4D5F-A0C0-7CB62FE55199}" name="T1.2021" dataDxfId="71" dataCellStyle="Normal 2"/>
    <tableColumn id="5" xr3:uid="{BE456AFD-C134-416C-A822-FA25D91EA2DD}" name="T02.2021" dataDxfId="70" dataCellStyle="Normal 2"/>
    <tableColumn id="6" xr3:uid="{29D5DBBA-B757-4424-9248-9ECD1EA576CC}" name="T03.2021" dataDxfId="69" dataCellStyle="Normal 2"/>
    <tableColumn id="7" xr3:uid="{8741E1C6-8367-497D-970E-D688484C3BEE}" name="T04.2021" dataDxfId="68" dataCellStyle="Normal 2"/>
    <tableColumn id="8" xr3:uid="{4F2E1FE7-B7DD-46BB-82C7-9EAF94F82F4C}" name="T05.2021" dataDxfId="67" dataCellStyle="Normal 2"/>
    <tableColumn id="9" xr3:uid="{9D76269E-B99B-476C-9948-C233A41F0A88}" name="T06.2021" dataDxfId="66" dataCellStyle="Normal 2"/>
    <tableColumn id="10" xr3:uid="{3D6B2C07-EE5B-4C11-A594-50E5AF37A964}" name="T07.2021" dataDxfId="65" dataCellStyle="Normal 2"/>
    <tableColumn id="11" xr3:uid="{31FAA1E8-2DFA-4373-B16B-84D4EFB39763}" name="T08.2021" dataDxfId="64" dataCellStyle="Normal 2"/>
    <tableColumn id="12" xr3:uid="{A57775A6-B767-4157-B9C9-33ADADDDCCC5}" name="T09.2021" dataDxfId="63" dataCellStyle="Normal 2"/>
    <tableColumn id="13" xr3:uid="{A4BB34E7-64F6-4742-9245-62FBC5D7934B}" name="T10.2021" dataDxfId="62" dataCellStyle="Normal 2"/>
    <tableColumn id="14" xr3:uid="{2A8FA9E2-F584-47DE-9E67-429BCF522662}" name="T11.2021" dataDxfId="61" dataCellStyle="Normal 2"/>
    <tableColumn id="15" xr3:uid="{873D2EF3-842E-4CEA-9144-A0A784C59DEF}" name="T12.2021" dataDxfId="60" dataCellStyle="Normal 2"/>
    <tableColumn id="16" xr3:uid="{237D3E9D-4EAC-425B-9059-384C3738FC18}" name="T1.2022" dataDxfId="59" dataCellStyle="Normal 2"/>
    <tableColumn id="17" xr3:uid="{F2BC9D84-843D-41ED-8E96-CD69F87FC810}" name="T02.2022" dataDxfId="58" dataCellStyle="Normal 2"/>
    <tableColumn id="18" xr3:uid="{E00097C8-A5CA-444A-975E-D02C257AF14D}" name="T03.2022" dataDxfId="57" dataCellStyle="Normal 2"/>
    <tableColumn id="19" xr3:uid="{594997BC-A135-4A4F-B835-A706FB4B73DF}" name="T04.2022" dataDxfId="56" dataCellStyle="Normal 2"/>
    <tableColumn id="20" xr3:uid="{1FB5B30A-2039-44FA-8C1D-35B18F85767F}" name="T05.2022" dataDxfId="55" dataCellStyle="Normal 2"/>
    <tableColumn id="21" xr3:uid="{0563B3B7-E7D7-44F1-AAFD-47C644AEEC72}" name="T06.2022" dataDxfId="54" dataCellStyle="Normal 2"/>
    <tableColumn id="22" xr3:uid="{2152A3E6-309D-446E-823A-61222DA6179C}" name="T07.2022" dataDxfId="53" dataCellStyle="Normal 2"/>
    <tableColumn id="23" xr3:uid="{13BB4ACF-012B-450E-9CD4-F9ED73A2F011}" name="T08.2022" dataDxfId="52" dataCellStyle="Normal 2"/>
    <tableColumn id="24" xr3:uid="{EE978A63-6210-4377-89EF-C2E49F516A41}" name="T09.2022" dataDxfId="51" dataCellStyle="Normal 2"/>
    <tableColumn id="25" xr3:uid="{EF760CD9-0F2B-4DF5-84A8-EF46411E582E}" name="T10.2022" dataDxfId="50" dataCellStyle="Normal 2"/>
    <tableColumn id="26" xr3:uid="{174F3467-5968-439A-934B-52D1BC387244}" name="T11.2022" dataDxfId="49" dataCellStyle="Normal 2"/>
    <tableColumn id="27" xr3:uid="{94EA4310-EEF7-4729-81CB-D2A79EBB4125}" name="T12.2022" dataDxfId="48" dataCellStyle="Normal 2"/>
    <tableColumn id="28" xr3:uid="{F06AB1C2-57F5-40D2-AD28-0DAD5452F31C}" name="T1.2023" dataDxfId="47" dataCellStyle="Normal 2"/>
    <tableColumn id="29" xr3:uid="{BA0CA4B4-6191-472B-9078-08A3C71A42CF}" name="T02.2023" dataDxfId="46" dataCellStyle="Normal 2"/>
    <tableColumn id="30" xr3:uid="{4D46D07B-E421-43A7-965D-D5BA40EB1B88}" name="T03.2023" dataDxfId="45" dataCellStyle="Normal 2"/>
    <tableColumn id="31" xr3:uid="{648B3315-395E-492C-B52A-23B268E09961}" name="T04.2023" dataDxfId="44" dataCellStyle="Normal 2"/>
    <tableColumn id="32" xr3:uid="{5ACB78A9-2842-4DC3-87A3-4E5E2F4F9B9B}" name="T05.2023" dataDxfId="43" dataCellStyle="Normal 2"/>
    <tableColumn id="33" xr3:uid="{E2687042-308E-4E7A-8DD6-B90983DEBCE1}" name="T06.2023" dataDxfId="42" dataCellStyle="Normal 2"/>
    <tableColumn id="34" xr3:uid="{3CC6F709-4214-47C4-8CC4-32FECA7ED4F2}" name="T07.2023" dataDxfId="41" dataCellStyle="Normal 2"/>
    <tableColumn id="35" xr3:uid="{7FB498E8-16D3-4686-A2DD-9A53F147776E}" name="T08.2023" dataDxfId="40" dataCellStyle="Normal 2"/>
    <tableColumn id="36" xr3:uid="{71C4E60B-197A-477F-9F8C-B4755227F3E1}" name="T09.2023" dataDxfId="39" dataCellStyle="Normal 2"/>
    <tableColumn id="37" xr3:uid="{D7C8893A-E8FD-480E-B158-DA802BCC560C}" name="T10.2023" dataDxfId="38" dataCellStyle="Normal 2"/>
    <tableColumn id="38" xr3:uid="{D67E75BE-8C7E-429B-A761-894BFCB49833}" name="T11.2023" dataDxfId="37" dataCellStyle="Normal 2"/>
    <tableColumn id="39" xr3:uid="{5DAF1C0C-6028-4913-8BF5-E1A4ED5B8E90}" name="T12.2023" dataDxfId="36" dataCellStyle="Normal 2"/>
    <tableColumn id="40" xr3:uid="{08EB99E2-3C8B-4498-B5FD-A4511652E56F}" name="T01.2024" dataDxfId="35" dataCellStyle="Normal 2"/>
    <tableColumn id="41" xr3:uid="{B2F0800E-1B4D-4832-AF18-E6217F582AB8}" name="T02.2024" dataDxfId="34" dataCellStyle="Normal 2"/>
    <tableColumn id="42" xr3:uid="{1B8014BC-3AC9-4CDD-A1A2-252756BC29F3}" name="T03.2024" dataDxfId="33" dataCellStyle="Normal 2"/>
    <tableColumn id="43" xr3:uid="{FCCA9F10-5BE0-4CDC-B99B-69D5661AC819}" name="T04.2024" dataDxfId="32" dataCellStyle="Normal 2"/>
    <tableColumn id="44" xr3:uid="{AA4FE2FF-A0B9-41BF-8F38-8124040C432B}" name="T05.2024" dataDxfId="31" dataCellStyle="Normal 2"/>
    <tableColumn id="45" xr3:uid="{85C6E11E-504D-423D-B566-78443E148BCB}" name="T06.2024" dataDxfId="30" dataCellStyle="Normal 2"/>
    <tableColumn id="46" xr3:uid="{39EC87B8-AD11-4E61-96C4-E14311926845}" name="T07.2024" dataDxfId="29" dataCellStyle="Normal 2"/>
    <tableColumn id="47" xr3:uid="{DFDE1171-2AB3-49C9-B9FD-DD7202313322}" name="T08.2024" dataDxfId="28" dataCellStyle="Normal 2"/>
    <tableColumn id="48" xr3:uid="{3280499A-E6F9-4C78-91AA-1BA7B8F1627E}" name="T09.2024" dataDxfId="27" dataCellStyle="Normal 2"/>
    <tableColumn id="49" xr3:uid="{0DA869FA-AFDB-4AE9-A2DE-45E6BAE15419}" name="T10.2024" dataDxfId="26" dataCellStyle="Normal 2"/>
    <tableColumn id="50" xr3:uid="{A23F5D4A-79A4-4F1A-BA9A-0A176270B92E}" name="T11.2024" dataDxfId="25" dataCellStyle="Normal 2"/>
    <tableColumn id="51" xr3:uid="{4176F41A-C71D-4B6D-874E-1505364AFDB9}" name="T12.2024" dataDxfId="24" dataCellStyle="Normal 2"/>
    <tableColumn id="52" xr3:uid="{71BDF560-9D83-4F81-963C-5B69EAD7DB2F}" name="T01.2025" dataDxfId="23" dataCellStyle="Normal 2"/>
    <tableColumn id="53" xr3:uid="{358357C4-F166-4629-A845-F503A4078BAE}" name="T02.2025" dataDxfId="22" dataCellStyle="Normal 2"/>
    <tableColumn id="54" xr3:uid="{B6CAD540-53F5-4C1F-AAA8-EDBB023061BD}" name="T03.2025" dataDxfId="21" dataCellStyle="Normal 2"/>
    <tableColumn id="55" xr3:uid="{205F1116-49C8-483F-9C93-12CAEA789F2C}" name="T04.2025" dataDxfId="20" dataCellStyle="Normal 2"/>
    <tableColumn id="56" xr3:uid="{9B3C79D5-6967-415C-A55F-5FC7C14960DC}" name="T05.2025" dataDxfId="19" dataCellStyle="Normal 2"/>
    <tableColumn id="57" xr3:uid="{05FB28D3-A90D-447C-987B-01CB33188251}" name="T06.2025" dataDxfId="18" dataCellStyle="Normal 2"/>
    <tableColumn id="58" xr3:uid="{6ECFC50A-BE32-43CF-995A-B331EC3E0589}" name="T07.2025" dataDxfId="17" dataCellStyle="Normal 2"/>
    <tableColumn id="59" xr3:uid="{1D744B9D-69F6-456E-B0B5-A34D5E97A627}" name="T08.2025" dataDxfId="16" dataCellStyle="Normal 2"/>
    <tableColumn id="60" xr3:uid="{10221D07-F743-40F1-84D3-5D26FD7E6494}" name="T09.2025" dataDxfId="15" dataCellStyle="Normal 2"/>
    <tableColumn id="61" xr3:uid="{679F75D4-5F40-455B-AE3F-B21A8720AD1B}" name="T10.2025" dataDxfId="14" dataCellStyle="Normal 2"/>
    <tableColumn id="62" xr3:uid="{65673765-962B-4D92-B835-458AFF4BCC0F}" name="T11.2025" dataDxfId="13" dataCellStyle="Normal 2"/>
    <tableColumn id="63" xr3:uid="{2A367122-4425-4FCE-90B4-8C1669A251A8}" name="T12.2025" dataDxfId="12" dataCellStyle="Normal 2"/>
    <tableColumn id="64" xr3:uid="{8C97B0DA-4857-412A-B4B0-09FBA663F1F7}" name="T01.2026" dataDxfId="11" dataCellStyle="Normal 2"/>
    <tableColumn id="65" xr3:uid="{A91C954B-4980-4746-8326-F16FF0D2FB80}" name="T02.2026" dataDxfId="10" dataCellStyle="Normal 2"/>
    <tableColumn id="66" xr3:uid="{C09000F4-97CC-479F-A5E1-CED1DE586D65}" name="T03.2026" dataDxfId="9" dataCellStyle="Normal 2"/>
    <tableColumn id="67" xr3:uid="{A4FD77EE-F7DC-4143-ABFC-84691DA4D089}" name="T04.2026" dataDxfId="8" dataCellStyle="Normal 2"/>
    <tableColumn id="68" xr3:uid="{5AABBE99-74C9-412A-B4A4-9C0708F90D67}" name="T05.2026" dataDxfId="7" dataCellStyle="Normal 2"/>
    <tableColumn id="69" xr3:uid="{1C47FD57-2CB7-42F0-8EF4-7381568E470F}" name="T06.2026" dataDxfId="6" dataCellStyle="Normal 2"/>
    <tableColumn id="70" xr3:uid="{91D99E54-4A65-43EB-8CA1-A79268E1FBB3}" name="T07.2026" dataDxfId="5" dataCellStyle="Normal 2"/>
    <tableColumn id="71" xr3:uid="{5D4DF406-3A14-4D13-B71E-5D26A2AC8D1A}" name="T08.2026" dataDxfId="4" dataCellStyle="Normal 2"/>
    <tableColumn id="72" xr3:uid="{C08C4BD8-BDAF-470B-952D-9D480369C6AD}" name="T09.2026" dataDxfId="3" dataCellStyle="Normal 2"/>
    <tableColumn id="73" xr3:uid="{2F644C58-EFC6-4FEF-9A0E-B40210A6410E}" name="T10.2026" dataDxfId="2" dataCellStyle="Normal 2"/>
    <tableColumn id="74" xr3:uid="{FEB66447-79B1-4530-B1DB-85CAF243BFCB}" name="T11.2026" dataDxfId="1" dataCellStyle="Normal 2"/>
    <tableColumn id="75" xr3:uid="{DE174A32-6F63-4336-A08E-EA398F6E3E48}" name="T12.2026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7604-6540-419A-B9D6-BEA7CBB228B7}">
  <sheetPr>
    <tabColor theme="9" tint="0.59999389629810485"/>
  </sheetPr>
  <dimension ref="A1:J19"/>
  <sheetViews>
    <sheetView showGridLines="0" workbookViewId="0">
      <selection activeCell="C10" sqref="C10"/>
    </sheetView>
  </sheetViews>
  <sheetFormatPr defaultColWidth="9.140625" defaultRowHeight="12.75" x14ac:dyDescent="0.2"/>
  <cols>
    <col min="1" max="1" width="12.7109375" style="206" customWidth="1"/>
    <col min="2" max="2" width="19.5703125" style="206" bestFit="1" customWidth="1"/>
    <col min="3" max="3" width="11.28515625" style="206" customWidth="1"/>
    <col min="4" max="16384" width="9.140625" style="206"/>
  </cols>
  <sheetData>
    <row r="1" spans="1:10" s="199" customFormat="1" ht="15.75" x14ac:dyDescent="0.25">
      <c r="A1" s="197" t="s">
        <v>593</v>
      </c>
      <c r="B1" s="198"/>
      <c r="C1" s="198"/>
      <c r="D1" s="198"/>
      <c r="E1" s="198"/>
      <c r="J1" s="200"/>
    </row>
    <row r="2" spans="1:10" s="199" customFormat="1" ht="16.5" thickBot="1" x14ac:dyDescent="0.3">
      <c r="A2" s="201" t="s">
        <v>622</v>
      </c>
      <c r="B2" s="201"/>
      <c r="C2" s="201"/>
      <c r="D2" s="201"/>
      <c r="E2" s="201"/>
      <c r="F2" s="202"/>
      <c r="G2" s="202"/>
      <c r="H2" s="202"/>
      <c r="I2" s="202"/>
      <c r="J2" s="203"/>
    </row>
    <row r="3" spans="1:10" s="199" customFormat="1" ht="15.75" x14ac:dyDescent="0.25">
      <c r="A3" s="198" t="s">
        <v>623</v>
      </c>
      <c r="B3" s="550"/>
      <c r="J3" s="204"/>
    </row>
    <row r="4" spans="1:10" x14ac:dyDescent="0.2">
      <c r="A4" s="205" t="s">
        <v>339</v>
      </c>
    </row>
    <row r="6" spans="1:10" x14ac:dyDescent="0.2">
      <c r="B6" s="206" t="s">
        <v>340</v>
      </c>
      <c r="C6" s="207">
        <v>2026</v>
      </c>
    </row>
    <row r="7" spans="1:10" x14ac:dyDescent="0.2">
      <c r="B7" s="206" t="s">
        <v>341</v>
      </c>
      <c r="C7" s="206">
        <f>C6-1</f>
        <v>2025</v>
      </c>
    </row>
    <row r="9" spans="1:10" x14ac:dyDescent="0.2">
      <c r="B9" s="208" t="s">
        <v>342</v>
      </c>
      <c r="C9" s="209">
        <v>4</v>
      </c>
      <c r="F9" s="210"/>
    </row>
    <row r="10" spans="1:10" x14ac:dyDescent="0.2">
      <c r="B10" s="208"/>
    </row>
    <row r="12" spans="1:10" ht="14.25" x14ac:dyDescent="0.2">
      <c r="B12" s="211" t="s">
        <v>343</v>
      </c>
    </row>
    <row r="13" spans="1:10" ht="15" x14ac:dyDescent="0.25">
      <c r="B13" s="212" t="s">
        <v>621</v>
      </c>
    </row>
    <row r="15" spans="1:10" ht="14.25" x14ac:dyDescent="0.2">
      <c r="B15" s="211" t="s">
        <v>344</v>
      </c>
    </row>
    <row r="16" spans="1:10" ht="15" x14ac:dyDescent="0.25">
      <c r="B16" s="212" t="s">
        <v>621</v>
      </c>
    </row>
    <row r="18" spans="2:2" ht="14.25" x14ac:dyDescent="0.2">
      <c r="B18" s="211" t="s">
        <v>345</v>
      </c>
    </row>
    <row r="19" spans="2:2" ht="15" x14ac:dyDescent="0.25">
      <c r="B19" s="213" t="s">
        <v>392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ED88-FC70-44A5-8E23-F75DE716EDDC}">
  <sheetPr>
    <tabColor theme="9" tint="0.59999389629810485"/>
  </sheetPr>
  <dimension ref="A3:J50"/>
  <sheetViews>
    <sheetView showGridLines="0" showZeros="0" topLeftCell="A44" workbookViewId="0">
      <selection activeCell="B51" sqref="B51"/>
    </sheetView>
  </sheetViews>
  <sheetFormatPr defaultColWidth="9.140625" defaultRowHeight="14.25" x14ac:dyDescent="0.2"/>
  <cols>
    <col min="1" max="9" width="9.140625" style="215"/>
    <col min="10" max="10" width="5.85546875" style="215" customWidth="1"/>
    <col min="11" max="11" width="11" style="215" customWidth="1"/>
    <col min="12" max="16384" width="9.140625" style="215"/>
  </cols>
  <sheetData>
    <row r="3" spans="9:9" x14ac:dyDescent="0.2">
      <c r="I3" s="214"/>
    </row>
    <row r="4" spans="9:9" ht="24" customHeight="1" x14ac:dyDescent="0.2"/>
    <row r="5" spans="9:9" ht="31.5" customHeight="1" x14ac:dyDescent="0.2"/>
    <row r="6" spans="9:9" ht="21.75" customHeight="1" x14ac:dyDescent="0.2"/>
    <row r="26" spans="1:10" ht="24" customHeight="1" x14ac:dyDescent="0.2">
      <c r="B26" s="216"/>
    </row>
    <row r="27" spans="1:10" ht="20.25" x14ac:dyDescent="0.3">
      <c r="A27" s="560"/>
      <c r="B27" s="560"/>
      <c r="C27" s="560"/>
      <c r="D27" s="560"/>
      <c r="E27" s="560"/>
      <c r="F27" s="560"/>
      <c r="G27" s="560"/>
      <c r="H27" s="560"/>
      <c r="I27" s="560"/>
      <c r="J27" s="560"/>
    </row>
    <row r="28" spans="1:10" ht="6.75" customHeight="1" x14ac:dyDescent="0.2"/>
    <row r="29" spans="1:10" ht="22.5" customHeight="1" x14ac:dyDescent="0.25">
      <c r="A29" s="217"/>
      <c r="B29" s="561" t="s">
        <v>624</v>
      </c>
      <c r="C29" s="562"/>
      <c r="D29" s="561"/>
      <c r="E29" s="562"/>
      <c r="F29" s="562"/>
      <c r="G29" s="562"/>
      <c r="H29" s="562"/>
      <c r="I29" s="562"/>
      <c r="J29" s="562"/>
    </row>
    <row r="30" spans="1:10" ht="15.95" customHeight="1" x14ac:dyDescent="0.2">
      <c r="A30" s="218"/>
      <c r="B30" s="219"/>
      <c r="C30" s="219"/>
      <c r="D30" s="219"/>
      <c r="E30" s="219"/>
      <c r="F30" s="219"/>
      <c r="G30" s="219"/>
      <c r="H30" s="219"/>
      <c r="I30" s="219"/>
      <c r="J30" s="219"/>
    </row>
    <row r="31" spans="1:10" ht="15.95" customHeight="1" x14ac:dyDescent="0.2">
      <c r="A31" s="217"/>
      <c r="B31" s="219"/>
      <c r="C31" s="219"/>
      <c r="D31" s="219"/>
      <c r="E31" s="219"/>
      <c r="F31" s="219"/>
      <c r="G31" s="219"/>
      <c r="H31" s="219"/>
      <c r="I31" s="219"/>
      <c r="J31" s="219"/>
    </row>
    <row r="34" spans="1:10" ht="15" customHeight="1" x14ac:dyDescent="0.2">
      <c r="B34" s="563"/>
      <c r="C34" s="563"/>
      <c r="D34" s="563"/>
      <c r="E34" s="563"/>
      <c r="F34" s="563"/>
      <c r="G34" s="563"/>
      <c r="H34" s="563"/>
      <c r="I34" s="563"/>
      <c r="J34" s="563"/>
    </row>
    <row r="45" spans="1:10" ht="3" customHeight="1" x14ac:dyDescent="0.2"/>
    <row r="46" spans="1:10" ht="16.5" customHeight="1" x14ac:dyDescent="0.2">
      <c r="A46" s="220"/>
    </row>
    <row r="47" spans="1:10" ht="22.5" customHeight="1" x14ac:dyDescent="0.25">
      <c r="A47" s="221"/>
      <c r="B47" s="219"/>
      <c r="C47" s="219"/>
      <c r="D47" s="219"/>
      <c r="E47" s="219"/>
      <c r="F47" s="219"/>
      <c r="G47" s="219"/>
      <c r="H47" s="219"/>
      <c r="I47" s="219"/>
      <c r="J47" s="219"/>
    </row>
    <row r="48" spans="1:10" ht="15" x14ac:dyDescent="0.25">
      <c r="A48" s="221"/>
      <c r="B48" s="219"/>
      <c r="C48" s="219"/>
      <c r="D48" s="219"/>
      <c r="E48" s="219"/>
      <c r="F48" s="219"/>
      <c r="G48" s="219"/>
      <c r="H48" s="219"/>
      <c r="I48" s="219"/>
      <c r="J48" s="219"/>
    </row>
    <row r="49" spans="1:10" ht="15" x14ac:dyDescent="0.25">
      <c r="A49" s="221"/>
      <c r="B49" s="219"/>
      <c r="C49" s="219"/>
      <c r="D49" s="219"/>
      <c r="E49" s="219"/>
      <c r="F49" s="219"/>
      <c r="G49" s="219"/>
      <c r="H49" s="219"/>
      <c r="I49" s="219"/>
      <c r="J49" s="219"/>
    </row>
    <row r="50" spans="1:10" ht="15" customHeight="1" x14ac:dyDescent="0.25">
      <c r="B50" s="564" t="s">
        <v>625</v>
      </c>
      <c r="C50" s="564"/>
      <c r="D50" s="564"/>
      <c r="E50" s="564"/>
      <c r="F50" s="564"/>
      <c r="G50" s="564"/>
      <c r="H50" s="564"/>
      <c r="I50" s="564"/>
      <c r="J50" s="564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7DFF-5725-41A1-A85A-96B2EA2CA340}">
  <sheetPr>
    <tabColor theme="8" tint="0.59999389629810485"/>
  </sheetPr>
  <dimension ref="A1:I31"/>
  <sheetViews>
    <sheetView showGridLines="0" showZeros="0" zoomScaleNormal="100" workbookViewId="0">
      <selection activeCell="A10" sqref="A10"/>
    </sheetView>
  </sheetViews>
  <sheetFormatPr defaultColWidth="9.140625" defaultRowHeight="15.75" x14ac:dyDescent="0.25"/>
  <cols>
    <col min="1" max="5" width="9.140625" style="224"/>
    <col min="6" max="6" width="12.140625" style="224" customWidth="1"/>
    <col min="7" max="8" width="9.140625" style="224"/>
    <col min="9" max="9" width="26.28515625" style="224" customWidth="1"/>
    <col min="10" max="16384" width="9.140625" style="224"/>
  </cols>
  <sheetData>
    <row r="1" spans="1:9" s="199" customFormat="1" x14ac:dyDescent="0.25">
      <c r="A1" s="222" t="str">
        <f>'Thong tin'!A1</f>
        <v xml:space="preserve">CÔNG TY CỔ PHẦN TÁI CHẾ TÂN ĐẠI PHÁT </v>
      </c>
      <c r="I1" s="200" t="s">
        <v>346</v>
      </c>
    </row>
    <row r="2" spans="1:9" s="199" customFormat="1" ht="16.5" thickBot="1" x14ac:dyDescent="0.3">
      <c r="A2" s="202" t="str">
        <f>'Thong tin'!A2</f>
        <v>Địa chỉ: Số C11-C15 Cụm Công Nghiệp Nhựa Đức Hòa, Ấp Bình Tiền 2, Xã Đức Hòa, Tây Ninh</v>
      </c>
      <c r="B2" s="202"/>
      <c r="C2" s="202"/>
      <c r="D2" s="202"/>
      <c r="E2" s="202"/>
      <c r="F2" s="202"/>
      <c r="G2" s="202"/>
      <c r="H2" s="202"/>
      <c r="I2" s="203"/>
    </row>
    <row r="5" spans="1:9" x14ac:dyDescent="0.25">
      <c r="A5" s="223"/>
    </row>
    <row r="10" spans="1:9" ht="20.25" x14ac:dyDescent="0.3">
      <c r="A10" s="225" t="str">
        <f>"BÁO CÁO TÀI CHÍNH THÁNG "&amp;'Thong tin'!C9&amp;" NĂM 2026"</f>
        <v>BÁO CÁO TÀI CHÍNH THÁNG 4 NĂM 2026</v>
      </c>
      <c r="I10" s="226" t="s">
        <v>347</v>
      </c>
    </row>
    <row r="11" spans="1:9" ht="20.25" x14ac:dyDescent="0.3">
      <c r="A11" s="225"/>
    </row>
    <row r="12" spans="1:9" s="227" customFormat="1" ht="24.95" hidden="1" customHeight="1" x14ac:dyDescent="0.25">
      <c r="A12" s="227" t="s">
        <v>348</v>
      </c>
      <c r="I12" s="228" t="s">
        <v>349</v>
      </c>
    </row>
    <row r="13" spans="1:9" s="227" customFormat="1" ht="24.95" hidden="1" customHeight="1" x14ac:dyDescent="0.25">
      <c r="A13" s="227" t="s">
        <v>350</v>
      </c>
      <c r="I13" s="228" t="s">
        <v>351</v>
      </c>
    </row>
    <row r="14" spans="1:9" s="230" customFormat="1" ht="27" customHeight="1" x14ac:dyDescent="0.3">
      <c r="A14" s="229" t="s">
        <v>352</v>
      </c>
      <c r="I14" s="231" t="s">
        <v>353</v>
      </c>
    </row>
    <row r="15" spans="1:9" s="233" customFormat="1" ht="25.5" customHeight="1" x14ac:dyDescent="0.3">
      <c r="A15" s="232" t="s">
        <v>354</v>
      </c>
      <c r="I15" s="234" t="s">
        <v>355</v>
      </c>
    </row>
    <row r="16" spans="1:9" s="236" customFormat="1" ht="27.75" customHeight="1" x14ac:dyDescent="0.3">
      <c r="A16" s="235" t="s">
        <v>356</v>
      </c>
      <c r="I16" s="237" t="s">
        <v>357</v>
      </c>
    </row>
    <row r="17" spans="1:9" ht="27" hidden="1" customHeight="1" x14ac:dyDescent="0.3">
      <c r="A17" s="238" t="s">
        <v>358</v>
      </c>
      <c r="I17" s="239" t="s">
        <v>359</v>
      </c>
    </row>
    <row r="30" spans="1:9" s="227" customFormat="1" x14ac:dyDescent="0.25">
      <c r="A30" s="565" t="s">
        <v>360</v>
      </c>
      <c r="B30" s="565"/>
      <c r="C30" s="565"/>
      <c r="D30" s="565"/>
      <c r="E30" s="565"/>
      <c r="F30" s="565"/>
      <c r="G30" s="565"/>
      <c r="H30" s="565"/>
      <c r="I30" s="565"/>
    </row>
    <row r="31" spans="1:9" s="227" customFormat="1" x14ac:dyDescent="0.25">
      <c r="A31" s="565" t="s">
        <v>361</v>
      </c>
      <c r="B31" s="565"/>
      <c r="C31" s="565"/>
      <c r="D31" s="565"/>
      <c r="E31" s="565"/>
      <c r="F31" s="565"/>
      <c r="G31" s="565"/>
      <c r="H31" s="565"/>
      <c r="I31" s="565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F457-62A0-4543-B32D-2C64D8C546B4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152" activePane="bottomRight" state="frozen"/>
      <selection activeCell="D8" sqref="D8:E8"/>
      <selection pane="topRight" activeCell="D8" sqref="D8:E8"/>
      <selection pane="bottomLeft" activeCell="D8" sqref="D8:E8"/>
      <selection pane="bottomRight" activeCell="B157" sqref="B157:C157"/>
    </sheetView>
  </sheetViews>
  <sheetFormatPr defaultColWidth="9.140625" defaultRowHeight="15" x14ac:dyDescent="0.25"/>
  <cols>
    <col min="1" max="1" width="57.5703125" style="245" customWidth="1"/>
    <col min="2" max="2" width="20" style="280" customWidth="1"/>
    <col min="3" max="3" width="20" style="280" bestFit="1" customWidth="1"/>
    <col min="4" max="4" width="6.5703125" style="245" hidden="1" customWidth="1"/>
    <col min="5" max="5" width="16.28515625" style="245" bestFit="1" customWidth="1"/>
    <col min="6" max="16384" width="9.140625" style="245"/>
  </cols>
  <sheetData>
    <row r="1" spans="1:10" s="242" customFormat="1" ht="15.75" x14ac:dyDescent="0.25">
      <c r="A1" s="240" t="str">
        <f>'Thong tin'!$A$1</f>
        <v xml:space="preserve">CÔNG TY CỔ PHẦN TÁI CHẾ TÂN ĐẠI PHÁT </v>
      </c>
      <c r="B1" s="241"/>
      <c r="C1" s="200"/>
    </row>
    <row r="2" spans="1:10" s="242" customFormat="1" ht="16.5" thickBot="1" x14ac:dyDescent="0.3">
      <c r="A2" s="243" t="str">
        <f>'Thong tin'!$A$2</f>
        <v>Địa chỉ: Số C11-C15 Cụm Công Nghiệp Nhựa Đức Hòa, Ấp Bình Tiền 2, Xã Đức Hòa, Tây Ninh</v>
      </c>
      <c r="B2" s="244"/>
      <c r="C2" s="203"/>
    </row>
    <row r="3" spans="1:10" s="242" customFormat="1" ht="15.75" x14ac:dyDescent="0.25">
      <c r="A3" s="245"/>
      <c r="B3" s="241"/>
      <c r="C3" s="204"/>
    </row>
    <row r="4" spans="1:10" ht="20.25" x14ac:dyDescent="0.3">
      <c r="A4" s="566" t="s">
        <v>362</v>
      </c>
      <c r="B4" s="566"/>
      <c r="C4" s="566"/>
    </row>
    <row r="5" spans="1:10" ht="15.75" x14ac:dyDescent="0.25">
      <c r="A5" s="567" t="str">
        <f>"Năm " &amp; 'Thong tin'!$C$6</f>
        <v>Năm 2026</v>
      </c>
      <c r="B5" s="567"/>
      <c r="C5" s="567"/>
    </row>
    <row r="6" spans="1:10" x14ac:dyDescent="0.25">
      <c r="A6" s="246"/>
      <c r="B6" s="247"/>
      <c r="C6" s="248" t="str">
        <f>'KQKD in'!G6</f>
        <v>ĐVT: VNĐ</v>
      </c>
    </row>
    <row r="7" spans="1:10" s="253" customFormat="1" ht="30" customHeight="1" x14ac:dyDescent="0.2">
      <c r="A7" s="249" t="s">
        <v>363</v>
      </c>
      <c r="B7" s="250" t="str">
        <f>"Số cuối tháng"&amp;" "&amp;$D$7</f>
        <v>Số cuối tháng 4</v>
      </c>
      <c r="C7" s="251" t="str">
        <f>"Số dư đầu năm " &amp; 'Thong tin'!$C$6</f>
        <v>Số dư đầu năm 2026</v>
      </c>
      <c r="D7" s="252">
        <f>'Thong tin'!C9</f>
        <v>4</v>
      </c>
    </row>
    <row r="8" spans="1:10" s="257" customFormat="1" x14ac:dyDescent="0.25">
      <c r="A8" s="254" t="s">
        <v>364</v>
      </c>
      <c r="B8" s="255">
        <f ca="1">B10+B14+B22+B31+B40</f>
        <v>20740505081</v>
      </c>
      <c r="C8" s="255">
        <f>C10+C14+C22+C31+C40</f>
        <v>21734218198</v>
      </c>
      <c r="D8" s="256"/>
      <c r="E8" s="256"/>
    </row>
    <row r="9" spans="1:10" x14ac:dyDescent="0.25">
      <c r="A9" s="258"/>
      <c r="B9" s="259"/>
      <c r="C9" s="259"/>
    </row>
    <row r="10" spans="1:10" s="242" customFormat="1" x14ac:dyDescent="0.25">
      <c r="A10" s="260" t="s">
        <v>365</v>
      </c>
      <c r="B10" s="261">
        <f t="shared" ref="B10:C10" ca="1" si="0">SUM(B11:B12)</f>
        <v>828313208</v>
      </c>
      <c r="C10" s="261">
        <f t="shared" si="0"/>
        <v>822026325</v>
      </c>
    </row>
    <row r="11" spans="1:10" x14ac:dyDescent="0.25">
      <c r="A11" s="258" t="s">
        <v>366</v>
      </c>
      <c r="B11" s="259">
        <f ca="1">OFFSET('Tinh hinh tai chinh'!$BL6,0,'THTC in'!$D$7 - 1)</f>
        <v>128313208</v>
      </c>
      <c r="C11" s="259">
        <f>'Tinh hinh tai chinh'!BK6</f>
        <v>122026325</v>
      </c>
    </row>
    <row r="12" spans="1:10" x14ac:dyDescent="0.25">
      <c r="A12" s="258" t="s">
        <v>367</v>
      </c>
      <c r="B12" s="259">
        <f ca="1">OFFSET('Tinh hinh tai chinh'!$BL7,0,'THTC in'!$D$7 - 1)</f>
        <v>700000000</v>
      </c>
      <c r="C12" s="259">
        <f>'Tinh hinh tai chinh'!BK7</f>
        <v>700000000</v>
      </c>
    </row>
    <row r="13" spans="1:10" x14ac:dyDescent="0.25">
      <c r="A13" s="258"/>
      <c r="B13" s="259"/>
      <c r="C13" s="259"/>
      <c r="J13" s="262"/>
    </row>
    <row r="14" spans="1:10" s="242" customFormat="1" x14ac:dyDescent="0.25">
      <c r="A14" s="260" t="s">
        <v>368</v>
      </c>
      <c r="B14" s="261">
        <f ca="1">SUM(B15:B20)</f>
        <v>0</v>
      </c>
      <c r="C14" s="261">
        <f>SUM(C15:C20)</f>
        <v>0</v>
      </c>
    </row>
    <row r="15" spans="1:10" x14ac:dyDescent="0.25">
      <c r="A15" s="258" t="s">
        <v>30</v>
      </c>
      <c r="B15" s="259">
        <f ca="1">OFFSET('Tinh hinh tai chinh'!$BL9,0,'THTC in'!$D$7 - 1)</f>
        <v>0</v>
      </c>
      <c r="C15" s="259">
        <f>'Tinh hinh tai chinh'!BK9</f>
        <v>0</v>
      </c>
      <c r="J15" s="262"/>
    </row>
    <row r="16" spans="1:10" ht="17.25" customHeight="1" x14ac:dyDescent="0.25">
      <c r="A16" s="263" t="s">
        <v>31</v>
      </c>
      <c r="B16" s="259">
        <f ca="1">OFFSET('Tinh hinh tai chinh'!$BL10,0,'THTC in'!$D$7 - 1)</f>
        <v>0</v>
      </c>
      <c r="C16" s="259">
        <f>'Tinh hinh tai chinh'!BK10</f>
        <v>0</v>
      </c>
    </row>
    <row r="17" spans="1:6" ht="18" customHeight="1" x14ac:dyDescent="0.25">
      <c r="A17" s="264" t="s">
        <v>230</v>
      </c>
      <c r="B17" s="259">
        <f ca="1">OFFSET('Tinh hinh tai chinh'!$BL11,0,'THTC in'!$D$7 - 1)</f>
        <v>0</v>
      </c>
      <c r="C17" s="259">
        <f>'Tinh hinh tai chinh'!BK11</f>
        <v>0</v>
      </c>
    </row>
    <row r="18" spans="1:6" ht="18" customHeight="1" x14ac:dyDescent="0.25">
      <c r="A18" s="264" t="s">
        <v>231</v>
      </c>
      <c r="B18" s="259">
        <f ca="1">OFFSET('Tinh hinh tai chinh'!$BL12,0,'THTC in'!$D$7 - 1)</f>
        <v>0</v>
      </c>
      <c r="C18" s="259">
        <f>'Tinh hinh tai chinh'!BK12</f>
        <v>0</v>
      </c>
    </row>
    <row r="19" spans="1:6" ht="18" customHeight="1" x14ac:dyDescent="0.25">
      <c r="A19" s="264" t="s">
        <v>232</v>
      </c>
      <c r="B19" s="259">
        <f ca="1">OFFSET('Tinh hinh tai chinh'!$BL13,0,'THTC in'!$D$7 - 1)</f>
        <v>0</v>
      </c>
      <c r="C19" s="259">
        <f>'Tinh hinh tai chinh'!BK13</f>
        <v>0</v>
      </c>
    </row>
    <row r="20" spans="1:6" ht="18" customHeight="1" x14ac:dyDescent="0.25">
      <c r="A20" s="264" t="s">
        <v>233</v>
      </c>
      <c r="B20" s="259">
        <f ca="1">OFFSET('Tinh hinh tai chinh'!$BL14,0,'THTC in'!$D$7 - 1)</f>
        <v>0</v>
      </c>
      <c r="C20" s="259">
        <f>'Tinh hinh tai chinh'!BK14</f>
        <v>0</v>
      </c>
    </row>
    <row r="21" spans="1:6" ht="15" customHeight="1" x14ac:dyDescent="0.25">
      <c r="A21" s="264"/>
      <c r="B21" s="259"/>
      <c r="C21" s="259"/>
    </row>
    <row r="22" spans="1:6" s="242" customFormat="1" x14ac:dyDescent="0.25">
      <c r="A22" s="260" t="s">
        <v>369</v>
      </c>
      <c r="B22" s="261">
        <f ca="1">SUM(B23:B29)</f>
        <v>19000000000</v>
      </c>
      <c r="C22" s="261">
        <f>SUM(C23:C29)</f>
        <v>20000000000</v>
      </c>
    </row>
    <row r="23" spans="1:6" x14ac:dyDescent="0.25">
      <c r="A23" s="258" t="s">
        <v>32</v>
      </c>
      <c r="B23" s="259">
        <f ca="1">OFFSET('Tinh hinh tai chinh'!$BL16,0,'THTC in'!$D$7 - 1)</f>
        <v>0</v>
      </c>
      <c r="C23" s="259">
        <f>'Tinh hinh tai chinh'!BK16</f>
        <v>0</v>
      </c>
      <c r="D23" s="265"/>
      <c r="F23" s="265"/>
    </row>
    <row r="24" spans="1:6" x14ac:dyDescent="0.25">
      <c r="A24" s="258" t="s">
        <v>33</v>
      </c>
      <c r="B24" s="259">
        <f ca="1">OFFSET('Tinh hinh tai chinh'!$BL17,0,'THTC in'!$D$7 - 1)</f>
        <v>0</v>
      </c>
      <c r="C24" s="259">
        <f>'Tinh hinh tai chinh'!BK17</f>
        <v>0</v>
      </c>
    </row>
    <row r="25" spans="1:6" x14ac:dyDescent="0.25">
      <c r="A25" s="258" t="s">
        <v>34</v>
      </c>
      <c r="B25" s="259">
        <f ca="1">OFFSET('Tinh hinh tai chinh'!$BL18,0,'THTC in'!$D$7 - 1)</f>
        <v>0</v>
      </c>
      <c r="C25" s="259">
        <f>'Tinh hinh tai chinh'!BK18</f>
        <v>0</v>
      </c>
    </row>
    <row r="26" spans="1:6" ht="16.5" customHeight="1" x14ac:dyDescent="0.25">
      <c r="A26" s="263" t="s">
        <v>235</v>
      </c>
      <c r="B26" s="259">
        <f ca="1">OFFSET('Tinh hinh tai chinh'!$BL19,0,'THTC in'!$D$7 - 1)</f>
        <v>0</v>
      </c>
      <c r="C26" s="259">
        <f>'Tinh hinh tai chinh'!BK19</f>
        <v>0</v>
      </c>
    </row>
    <row r="27" spans="1:6" x14ac:dyDescent="0.25">
      <c r="A27" s="258" t="s">
        <v>236</v>
      </c>
      <c r="B27" s="259">
        <f ca="1">OFFSET('Tinh hinh tai chinh'!$BL20,0,'THTC in'!$D$7 - 1)</f>
        <v>19000000000</v>
      </c>
      <c r="C27" s="259">
        <f>'Tinh hinh tai chinh'!BK20</f>
        <v>20000000000</v>
      </c>
    </row>
    <row r="28" spans="1:6" x14ac:dyDescent="0.25">
      <c r="A28" s="258" t="s">
        <v>237</v>
      </c>
      <c r="B28" s="259">
        <f ca="1">OFFSET('Tinh hinh tai chinh'!$BL21,0,'THTC in'!$D$7 - 1)</f>
        <v>0</v>
      </c>
      <c r="C28" s="259">
        <f>'Tinh hinh tai chinh'!BK21</f>
        <v>0</v>
      </c>
    </row>
    <row r="29" spans="1:6" x14ac:dyDescent="0.25">
      <c r="A29" s="264" t="s">
        <v>238</v>
      </c>
      <c r="B29" s="259">
        <f ca="1">OFFSET('Tinh hinh tai chinh'!$BL22,0,'THTC in'!$D$7 - 1)</f>
        <v>0</v>
      </c>
      <c r="C29" s="259">
        <f>'Tinh hinh tai chinh'!BK22</f>
        <v>0</v>
      </c>
    </row>
    <row r="30" spans="1:6" ht="15" customHeight="1" x14ac:dyDescent="0.25">
      <c r="A30" s="264"/>
      <c r="B30" s="259"/>
      <c r="C30" s="259"/>
    </row>
    <row r="31" spans="1:6" s="242" customFormat="1" x14ac:dyDescent="0.25">
      <c r="A31" s="260" t="s">
        <v>35</v>
      </c>
      <c r="B31" s="261">
        <f t="shared" ref="B31:C31" ca="1" si="1">SUM(B32:B33)</f>
        <v>0</v>
      </c>
      <c r="C31" s="261">
        <f t="shared" si="1"/>
        <v>0</v>
      </c>
    </row>
    <row r="32" spans="1:6" x14ac:dyDescent="0.25">
      <c r="A32" s="258" t="s">
        <v>370</v>
      </c>
      <c r="B32" s="266">
        <f ca="1">OFFSET('Tinh hinh tai chinh'!$BL24,0,'THTC in'!$D$7 - 1)</f>
        <v>0</v>
      </c>
      <c r="C32" s="259">
        <f>'Tinh hinh tai chinh'!BK24</f>
        <v>0</v>
      </c>
    </row>
    <row r="33" spans="1:3" x14ac:dyDescent="0.25">
      <c r="A33" s="258" t="s">
        <v>371</v>
      </c>
      <c r="B33" s="266">
        <f ca="1">OFFSET('Tinh hinh tai chinh'!$BL25,0,'THTC in'!$D$7 - 1)</f>
        <v>0</v>
      </c>
      <c r="C33" s="259">
        <f>'Tinh hinh tai chinh'!BK25</f>
        <v>0</v>
      </c>
    </row>
    <row r="34" spans="1:3" x14ac:dyDescent="0.25">
      <c r="A34" s="258"/>
      <c r="B34" s="266"/>
      <c r="C34" s="259"/>
    </row>
    <row r="35" spans="1:3" x14ac:dyDescent="0.25">
      <c r="A35" s="260" t="s">
        <v>239</v>
      </c>
      <c r="B35" s="266">
        <f ca="1">SUM(B36:B38)</f>
        <v>0</v>
      </c>
      <c r="C35" s="259">
        <f>SUM(C36:C38)</f>
        <v>0</v>
      </c>
    </row>
    <row r="36" spans="1:3" x14ac:dyDescent="0.25">
      <c r="A36" s="258" t="s">
        <v>240</v>
      </c>
      <c r="B36" s="266">
        <f ca="1">OFFSET('Tinh hinh tai chinh'!$BL27,0,'THTC in'!$D$7 - 1)</f>
        <v>0</v>
      </c>
      <c r="C36" s="259">
        <f>'Tinh hinh tai chinh'!BK27</f>
        <v>0</v>
      </c>
    </row>
    <row r="37" spans="1:3" x14ac:dyDescent="0.25">
      <c r="A37" s="258" t="s">
        <v>241</v>
      </c>
      <c r="B37" s="266">
        <f ca="1">OFFSET('Tinh hinh tai chinh'!$BL28,0,'THTC in'!$D$7 - 1)</f>
        <v>0</v>
      </c>
      <c r="C37" s="259">
        <f>'Tinh hinh tai chinh'!BK28</f>
        <v>0</v>
      </c>
    </row>
    <row r="38" spans="1:3" x14ac:dyDescent="0.25">
      <c r="A38" s="258" t="s">
        <v>242</v>
      </c>
      <c r="B38" s="266">
        <f ca="1">OFFSET('Tinh hinh tai chinh'!$BL29,0,'THTC in'!$D$7 - 1)</f>
        <v>0</v>
      </c>
      <c r="C38" s="259">
        <f>'Tinh hinh tai chinh'!BK29</f>
        <v>0</v>
      </c>
    </row>
    <row r="39" spans="1:3" x14ac:dyDescent="0.25">
      <c r="A39" s="258"/>
      <c r="B39" s="259"/>
      <c r="C39" s="259"/>
    </row>
    <row r="40" spans="1:3" s="242" customFormat="1" x14ac:dyDescent="0.25">
      <c r="A40" s="260" t="s">
        <v>243</v>
      </c>
      <c r="B40" s="261">
        <f t="shared" ref="B40:C40" ca="1" si="2">SUM(B41:B45)</f>
        <v>912191873</v>
      </c>
      <c r="C40" s="261">
        <f t="shared" si="2"/>
        <v>912191873</v>
      </c>
    </row>
    <row r="41" spans="1:3" x14ac:dyDescent="0.25">
      <c r="A41" s="258" t="s">
        <v>244</v>
      </c>
      <c r="B41" s="259">
        <f ca="1">OFFSET('Tinh hinh tai chinh'!$BL31,0,'THTC in'!$D$7 - 1)</f>
        <v>0</v>
      </c>
      <c r="C41" s="259">
        <f>'Tinh hinh tai chinh'!BK31</f>
        <v>0</v>
      </c>
    </row>
    <row r="42" spans="1:3" x14ac:dyDescent="0.25">
      <c r="A42" s="258" t="s">
        <v>38</v>
      </c>
      <c r="B42" s="259">
        <f ca="1">OFFSET('Tinh hinh tai chinh'!$BL32,0,'THTC in'!$D$7 - 1)</f>
        <v>912191873</v>
      </c>
      <c r="C42" s="259">
        <f>'Tinh hinh tai chinh'!BK32</f>
        <v>912191873</v>
      </c>
    </row>
    <row r="43" spans="1:3" x14ac:dyDescent="0.25">
      <c r="A43" s="258" t="s">
        <v>39</v>
      </c>
      <c r="B43" s="259">
        <f ca="1">OFFSET('Tinh hinh tai chinh'!$BL33,0,'THTC in'!$D$7 - 1)</f>
        <v>0</v>
      </c>
      <c r="C43" s="259">
        <f>'Tinh hinh tai chinh'!BK33</f>
        <v>0</v>
      </c>
    </row>
    <row r="44" spans="1:3" x14ac:dyDescent="0.25">
      <c r="A44" s="264" t="s">
        <v>245</v>
      </c>
      <c r="B44" s="259">
        <f ca="1">OFFSET('Tinh hinh tai chinh'!$BL34,0,'THTC in'!$D$7 - 1)</f>
        <v>0</v>
      </c>
      <c r="C44" s="259">
        <f>'Tinh hinh tai chinh'!BK34</f>
        <v>0</v>
      </c>
    </row>
    <row r="45" spans="1:3" x14ac:dyDescent="0.25">
      <c r="A45" s="258" t="s">
        <v>40</v>
      </c>
      <c r="B45" s="259">
        <f ca="1">OFFSET('Tinh hinh tai chinh'!$BL35,0,'THTC in'!$D$7 - 1)</f>
        <v>0</v>
      </c>
      <c r="C45" s="259">
        <f>'Tinh hinh tai chinh'!BK35</f>
        <v>0</v>
      </c>
    </row>
    <row r="46" spans="1:3" ht="15" customHeight="1" x14ac:dyDescent="0.25">
      <c r="A46" s="258"/>
      <c r="B46" s="259"/>
      <c r="C46" s="259"/>
    </row>
    <row r="47" spans="1:3" s="257" customFormat="1" x14ac:dyDescent="0.25">
      <c r="A47" s="267" t="s">
        <v>372</v>
      </c>
      <c r="B47" s="268">
        <f ca="1">B48+B58+B79+B87+B95+B83</f>
        <v>11003914</v>
      </c>
      <c r="C47" s="268">
        <f>C48+C58+C79+C87+C95+C83</f>
        <v>13342862</v>
      </c>
    </row>
    <row r="48" spans="1:3" s="242" customFormat="1" x14ac:dyDescent="0.25">
      <c r="A48" s="260" t="s">
        <v>373</v>
      </c>
      <c r="B48" s="269">
        <f ca="1">SUM(B49:B54)</f>
        <v>0</v>
      </c>
      <c r="C48" s="269">
        <f>SUM(C49:C54)</f>
        <v>0</v>
      </c>
    </row>
    <row r="49" spans="1:4" x14ac:dyDescent="0.25">
      <c r="A49" s="258" t="s">
        <v>42</v>
      </c>
      <c r="B49" s="259">
        <f ca="1">OFFSET('Tinh hinh tai chinh'!$BL38,0,'THTC in'!$D$7 - 1)</f>
        <v>0</v>
      </c>
      <c r="C49" s="259">
        <f>'Tinh hinh tai chinh'!BK38</f>
        <v>0</v>
      </c>
    </row>
    <row r="50" spans="1:4" x14ac:dyDescent="0.25">
      <c r="A50" s="258" t="s">
        <v>43</v>
      </c>
      <c r="B50" s="259">
        <f ca="1">OFFSET('Tinh hinh tai chinh'!$BL39,0,'THTC in'!$D$7 - 1)</f>
        <v>0</v>
      </c>
      <c r="C50" s="259">
        <f>'Tinh hinh tai chinh'!BK39</f>
        <v>0</v>
      </c>
    </row>
    <row r="51" spans="1:4" x14ac:dyDescent="0.25">
      <c r="A51" s="258" t="s">
        <v>44</v>
      </c>
      <c r="B51" s="259">
        <f ca="1">OFFSET('Tinh hinh tai chinh'!$BL40,0,'THTC in'!$D$7 - 1)</f>
        <v>0</v>
      </c>
      <c r="C51" s="259">
        <f>'Tinh hinh tai chinh'!BK40</f>
        <v>0</v>
      </c>
    </row>
    <row r="52" spans="1:4" x14ac:dyDescent="0.25">
      <c r="A52" s="258" t="s">
        <v>246</v>
      </c>
      <c r="B52" s="259">
        <f ca="1">OFFSET('Tinh hinh tai chinh'!$BL41,0,'THTC in'!$D$7 - 1)</f>
        <v>0</v>
      </c>
      <c r="C52" s="259">
        <f>'Tinh hinh tai chinh'!BK41</f>
        <v>0</v>
      </c>
    </row>
    <row r="53" spans="1:4" x14ac:dyDescent="0.25">
      <c r="A53" s="258" t="s">
        <v>247</v>
      </c>
      <c r="B53" s="259">
        <f ca="1">OFFSET('Tinh hinh tai chinh'!$BL42,0,'THTC in'!$D$7 - 1)</f>
        <v>0</v>
      </c>
      <c r="C53" s="259">
        <f>'Tinh hinh tai chinh'!BK42</f>
        <v>0</v>
      </c>
    </row>
    <row r="54" spans="1:4" x14ac:dyDescent="0.25">
      <c r="A54" s="270" t="s">
        <v>248</v>
      </c>
      <c r="B54" s="271">
        <f ca="1">OFFSET('Tinh hinh tai chinh'!$BL43,0,'THTC in'!$D$7 - 1)</f>
        <v>0</v>
      </c>
      <c r="C54" s="271">
        <f>'Tinh hinh tai chinh'!BK43</f>
        <v>0</v>
      </c>
    </row>
    <row r="55" spans="1:4" x14ac:dyDescent="0.25">
      <c r="A55" s="272"/>
      <c r="B55" s="273"/>
      <c r="C55" s="273"/>
    </row>
    <row r="56" spans="1:4" s="275" customFormat="1" ht="32.25" customHeight="1" x14ac:dyDescent="0.25">
      <c r="A56" s="249" t="s">
        <v>363</v>
      </c>
      <c r="B56" s="274" t="str">
        <f>B7</f>
        <v>Số cuối tháng 4</v>
      </c>
      <c r="C56" s="274" t="str">
        <f>C7</f>
        <v>Số dư đầu năm 2026</v>
      </c>
    </row>
    <row r="57" spans="1:4" x14ac:dyDescent="0.25">
      <c r="A57" s="276"/>
      <c r="B57" s="277"/>
      <c r="C57" s="277"/>
    </row>
    <row r="58" spans="1:4" s="242" customFormat="1" x14ac:dyDescent="0.25">
      <c r="A58" s="260" t="s">
        <v>374</v>
      </c>
      <c r="B58" s="269">
        <f t="shared" ref="B58:C58" ca="1" si="3">B59+B62+B65</f>
        <v>0</v>
      </c>
      <c r="C58" s="269">
        <f t="shared" si="3"/>
        <v>0</v>
      </c>
    </row>
    <row r="59" spans="1:4" x14ac:dyDescent="0.25">
      <c r="A59" s="258" t="s">
        <v>375</v>
      </c>
      <c r="B59" s="278">
        <f t="shared" ref="B59:C59" ca="1" si="4">SUM(B60:B61)</f>
        <v>0</v>
      </c>
      <c r="C59" s="278">
        <f t="shared" si="4"/>
        <v>0</v>
      </c>
    </row>
    <row r="60" spans="1:4" s="242" customFormat="1" x14ac:dyDescent="0.25">
      <c r="A60" s="258" t="s">
        <v>376</v>
      </c>
      <c r="B60" s="278">
        <f ca="1">OFFSET('Tinh hinh tai chinh'!$BL46,0,'THTC in'!$D$7 - 1)</f>
        <v>0</v>
      </c>
      <c r="C60" s="278">
        <f>'Tinh hinh tai chinh'!BK46</f>
        <v>0</v>
      </c>
      <c r="D60" s="241"/>
    </row>
    <row r="61" spans="1:4" x14ac:dyDescent="0.25">
      <c r="A61" s="258" t="s">
        <v>377</v>
      </c>
      <c r="B61" s="279">
        <f ca="1">OFFSET('Tinh hinh tai chinh'!$BL47,0,'THTC in'!$D$7 - 1)</f>
        <v>0</v>
      </c>
      <c r="C61" s="279">
        <f>'Tinh hinh tai chinh'!BK47</f>
        <v>0</v>
      </c>
      <c r="D61" s="280"/>
    </row>
    <row r="62" spans="1:4" x14ac:dyDescent="0.25">
      <c r="A62" s="258" t="s">
        <v>49</v>
      </c>
      <c r="B62" s="278">
        <f ca="1">SUM(B63:B64)</f>
        <v>0</v>
      </c>
      <c r="C62" s="278">
        <f>SUM(C63:C64)</f>
        <v>0</v>
      </c>
    </row>
    <row r="63" spans="1:4" x14ac:dyDescent="0.25">
      <c r="A63" s="258" t="s">
        <v>376</v>
      </c>
      <c r="B63" s="279">
        <f ca="1">OFFSET('Tinh hinh tai chinh'!$BL49,0,'THTC in'!$D$7 - 1)</f>
        <v>0</v>
      </c>
      <c r="C63" s="278">
        <f>'Tinh hinh tai chinh'!BK49</f>
        <v>0</v>
      </c>
    </row>
    <row r="64" spans="1:4" x14ac:dyDescent="0.25">
      <c r="A64" s="258" t="s">
        <v>377</v>
      </c>
      <c r="B64" s="279">
        <f ca="1">OFFSET('Tinh hinh tai chinh'!$BL50,0,'THTC in'!$D$7 - 1)</f>
        <v>0</v>
      </c>
      <c r="C64" s="279">
        <f>'Tinh hinh tai chinh'!BK50</f>
        <v>0</v>
      </c>
    </row>
    <row r="65" spans="1:4" x14ac:dyDescent="0.25">
      <c r="A65" s="258" t="s">
        <v>52</v>
      </c>
      <c r="B65" s="278">
        <f t="shared" ref="B65" ca="1" si="5">SUM(B66:B67)</f>
        <v>0</v>
      </c>
      <c r="C65" s="278">
        <f>SUM(C66:C67)</f>
        <v>0</v>
      </c>
    </row>
    <row r="66" spans="1:4" x14ac:dyDescent="0.25">
      <c r="A66" s="258" t="s">
        <v>376</v>
      </c>
      <c r="B66" s="279">
        <f ca="1">OFFSET('Tinh hinh tai chinh'!$BL52,0,'THTC in'!$D$7 - 1)</f>
        <v>0</v>
      </c>
      <c r="C66" s="278">
        <f>'Tinh hinh tai chinh'!BK52</f>
        <v>0</v>
      </c>
      <c r="D66" s="280"/>
    </row>
    <row r="67" spans="1:4" x14ac:dyDescent="0.25">
      <c r="A67" s="258" t="s">
        <v>377</v>
      </c>
      <c r="B67" s="279">
        <f ca="1">OFFSET('Tinh hinh tai chinh'!$BL53,0,'THTC in'!$D$7 - 1)</f>
        <v>0</v>
      </c>
      <c r="C67" s="279">
        <f>'Tinh hinh tai chinh'!BK53</f>
        <v>0</v>
      </c>
    </row>
    <row r="68" spans="1:4" x14ac:dyDescent="0.25">
      <c r="A68" s="258"/>
      <c r="B68" s="259"/>
      <c r="C68" s="259"/>
    </row>
    <row r="69" spans="1:4" x14ac:dyDescent="0.25">
      <c r="A69" s="260" t="s">
        <v>378</v>
      </c>
      <c r="B69" s="259"/>
      <c r="C69" s="259">
        <f>SUM(C70,C75:C77)</f>
        <v>0</v>
      </c>
    </row>
    <row r="70" spans="1:4" x14ac:dyDescent="0.25">
      <c r="A70" s="258" t="s">
        <v>250</v>
      </c>
      <c r="B70" s="259">
        <f ca="1">OFFSET('Tinh hinh tai chinh'!$BL55,0,'THTC in'!$D$7 - 1)</f>
        <v>0</v>
      </c>
      <c r="C70" s="259">
        <f>'Tinh hinh tai chinh'!BK55</f>
        <v>0</v>
      </c>
    </row>
    <row r="71" spans="1:4" x14ac:dyDescent="0.25">
      <c r="A71" s="281" t="s">
        <v>251</v>
      </c>
      <c r="B71" s="259">
        <f ca="1">OFFSET('Tinh hinh tai chinh'!$BL56,0,'THTC in'!$D$7 - 1)</f>
        <v>0</v>
      </c>
      <c r="C71" s="259">
        <f>'Tinh hinh tai chinh'!BK56</f>
        <v>0</v>
      </c>
    </row>
    <row r="72" spans="1:4" x14ac:dyDescent="0.25">
      <c r="A72" s="281" t="s">
        <v>252</v>
      </c>
      <c r="B72" s="259">
        <f ca="1">OFFSET('Tinh hinh tai chinh'!$BL57,0,'THTC in'!$D$7 - 1)</f>
        <v>0</v>
      </c>
      <c r="C72" s="259">
        <f>'Tinh hinh tai chinh'!BK57</f>
        <v>0</v>
      </c>
    </row>
    <row r="73" spans="1:4" x14ac:dyDescent="0.25">
      <c r="A73" s="282" t="s">
        <v>379</v>
      </c>
      <c r="B73" s="259">
        <f ca="1">OFFSET('Tinh hinh tai chinh'!$BL58,0,'THTC in'!$D$7 - 1)</f>
        <v>0</v>
      </c>
      <c r="C73" s="259">
        <f>'Tinh hinh tai chinh'!BK58</f>
        <v>0</v>
      </c>
    </row>
    <row r="74" spans="1:4" x14ac:dyDescent="0.25">
      <c r="A74" s="282" t="s">
        <v>380</v>
      </c>
      <c r="B74" s="259">
        <f ca="1">OFFSET('Tinh hinh tai chinh'!$BL59,0,'THTC in'!$D$7 - 1)</f>
        <v>0</v>
      </c>
      <c r="C74" s="259">
        <f>'Tinh hinh tai chinh'!BK59</f>
        <v>0</v>
      </c>
    </row>
    <row r="75" spans="1:4" x14ac:dyDescent="0.25">
      <c r="A75" s="258" t="s">
        <v>255</v>
      </c>
      <c r="B75" s="259">
        <f ca="1">OFFSET('Tinh hinh tai chinh'!$BL60,0,'THTC in'!$D$7 - 1)</f>
        <v>0</v>
      </c>
      <c r="C75" s="259">
        <f>'Tinh hinh tai chinh'!BK60</f>
        <v>0</v>
      </c>
    </row>
    <row r="76" spans="1:4" x14ac:dyDescent="0.25">
      <c r="A76" s="258" t="s">
        <v>256</v>
      </c>
      <c r="B76" s="259">
        <f ca="1">OFFSET('Tinh hinh tai chinh'!$BL61,0,'THTC in'!$D$7 - 1)</f>
        <v>0</v>
      </c>
      <c r="C76" s="259">
        <f>'Tinh hinh tai chinh'!BK61</f>
        <v>0</v>
      </c>
    </row>
    <row r="77" spans="1:4" x14ac:dyDescent="0.25">
      <c r="A77" s="258" t="s">
        <v>257</v>
      </c>
      <c r="B77" s="259">
        <f ca="1">OFFSET('Tinh hinh tai chinh'!$BL62,0,'THTC in'!$D$7 - 1)</f>
        <v>0</v>
      </c>
      <c r="C77" s="259">
        <f>'Tinh hinh tai chinh'!BK62</f>
        <v>0</v>
      </c>
    </row>
    <row r="78" spans="1:4" x14ac:dyDescent="0.25">
      <c r="A78" s="258"/>
      <c r="B78" s="259"/>
      <c r="C78" s="259"/>
    </row>
    <row r="79" spans="1:4" x14ac:dyDescent="0.25">
      <c r="A79" s="260" t="s">
        <v>258</v>
      </c>
      <c r="B79" s="261">
        <f ca="1">SUM(B80:B81)</f>
        <v>0</v>
      </c>
      <c r="C79" s="261">
        <f>SUM(C80:C81)</f>
        <v>0</v>
      </c>
    </row>
    <row r="80" spans="1:4" ht="18" customHeight="1" x14ac:dyDescent="0.25">
      <c r="A80" s="283" t="s">
        <v>379</v>
      </c>
      <c r="B80" s="278">
        <f ca="1">OFFSET('Tinh hinh tai chinh'!$BL64,0,'THTC in'!$D$7 - 1)</f>
        <v>0</v>
      </c>
      <c r="C80" s="259">
        <f>'Tinh hinh tai chinh'!BK64</f>
        <v>0</v>
      </c>
    </row>
    <row r="81" spans="1:4" s="242" customFormat="1" ht="18" customHeight="1" x14ac:dyDescent="0.25">
      <c r="A81" s="258" t="s">
        <v>381</v>
      </c>
      <c r="B81" s="278">
        <f ca="1">OFFSET('Tinh hinh tai chinh'!$BL65,0,'THTC in'!$D$7 - 1)</f>
        <v>0</v>
      </c>
      <c r="C81" s="259">
        <f>'Tinh hinh tai chinh'!BK65</f>
        <v>0</v>
      </c>
    </row>
    <row r="82" spans="1:4" s="242" customFormat="1" x14ac:dyDescent="0.25">
      <c r="A82" s="258"/>
      <c r="B82" s="259"/>
      <c r="C82" s="259"/>
    </row>
    <row r="83" spans="1:4" s="242" customFormat="1" x14ac:dyDescent="0.25">
      <c r="A83" s="260" t="s">
        <v>382</v>
      </c>
      <c r="B83" s="269">
        <f t="shared" ref="B83:C83" ca="1" si="6">SUM(B84:B85)</f>
        <v>0</v>
      </c>
      <c r="C83" s="269">
        <f t="shared" si="6"/>
        <v>0</v>
      </c>
    </row>
    <row r="84" spans="1:4" s="242" customFormat="1" ht="18" customHeight="1" x14ac:dyDescent="0.25">
      <c r="A84" s="283" t="s">
        <v>57</v>
      </c>
      <c r="B84" s="259">
        <f ca="1">OFFSET('Tinh hinh tai chinh'!$BL67,0,'THTC in'!$D$7 - 1)</f>
        <v>0</v>
      </c>
      <c r="C84" s="259">
        <f>'Tinh hinh tai chinh'!BK67</f>
        <v>0</v>
      </c>
    </row>
    <row r="85" spans="1:4" s="242" customFormat="1" ht="18" customHeight="1" x14ac:dyDescent="0.25">
      <c r="A85" s="258" t="s">
        <v>58</v>
      </c>
      <c r="B85" s="259">
        <f ca="1">OFFSET('Tinh hinh tai chinh'!$BL68,0,'THTC in'!$D$7 - 1)</f>
        <v>0</v>
      </c>
      <c r="C85" s="259">
        <f>'Tinh hinh tai chinh'!BK68</f>
        <v>0</v>
      </c>
      <c r="D85" s="241"/>
    </row>
    <row r="86" spans="1:4" x14ac:dyDescent="0.25">
      <c r="A86" s="258"/>
      <c r="B86" s="259"/>
      <c r="C86" s="259"/>
    </row>
    <row r="87" spans="1:4" x14ac:dyDescent="0.25">
      <c r="A87" s="260" t="s">
        <v>383</v>
      </c>
      <c r="B87" s="261">
        <f t="shared" ref="B87" ca="1" si="7">SUM(B88:B92)</f>
        <v>0</v>
      </c>
      <c r="C87" s="261">
        <f>SUM(C88:C93)</f>
        <v>0</v>
      </c>
    </row>
    <row r="88" spans="1:4" ht="18" customHeight="1" x14ac:dyDescent="0.25">
      <c r="A88" s="258" t="s">
        <v>59</v>
      </c>
      <c r="B88" s="259">
        <f ca="1">OFFSET('Tinh hinh tai chinh'!$BL70,0,'THTC in'!$D$7 - 1)</f>
        <v>0</v>
      </c>
      <c r="C88" s="259">
        <f>'Tinh hinh tai chinh'!BK70</f>
        <v>0</v>
      </c>
    </row>
    <row r="89" spans="1:4" s="242" customFormat="1" ht="18" customHeight="1" x14ac:dyDescent="0.25">
      <c r="A89" s="258" t="s">
        <v>261</v>
      </c>
      <c r="B89" s="259">
        <f ca="1">OFFSET('Tinh hinh tai chinh'!$BL71,0,'THTC in'!$D$7 - 1)</f>
        <v>0</v>
      </c>
      <c r="C89" s="259">
        <f>'Tinh hinh tai chinh'!BK71</f>
        <v>0</v>
      </c>
    </row>
    <row r="90" spans="1:4" ht="18" customHeight="1" x14ac:dyDescent="0.25">
      <c r="A90" s="258" t="s">
        <v>60</v>
      </c>
      <c r="B90" s="259">
        <f ca="1">OFFSET('Tinh hinh tai chinh'!$BL72,0,'THTC in'!$D$7 - 1)</f>
        <v>0</v>
      </c>
      <c r="C90" s="259">
        <f>'Tinh hinh tai chinh'!BK72</f>
        <v>0</v>
      </c>
    </row>
    <row r="91" spans="1:4" ht="18" customHeight="1" x14ac:dyDescent="0.25">
      <c r="A91" s="263" t="s">
        <v>262</v>
      </c>
      <c r="B91" s="259">
        <f ca="1">OFFSET('Tinh hinh tai chinh'!$BL73,0,'THTC in'!$D$7 - 1)</f>
        <v>0</v>
      </c>
      <c r="C91" s="259">
        <f>'Tinh hinh tai chinh'!BK73</f>
        <v>0</v>
      </c>
    </row>
    <row r="92" spans="1:4" ht="18" customHeight="1" x14ac:dyDescent="0.25">
      <c r="A92" s="263" t="s">
        <v>263</v>
      </c>
      <c r="B92" s="259">
        <f ca="1">OFFSET('Tinh hinh tai chinh'!$BL74,0,'THTC in'!$D$7 - 1)</f>
        <v>0</v>
      </c>
      <c r="C92" s="259">
        <f>'Tinh hinh tai chinh'!BK74</f>
        <v>0</v>
      </c>
    </row>
    <row r="93" spans="1:4" ht="18" customHeight="1" x14ac:dyDescent="0.25">
      <c r="A93" s="263" t="s">
        <v>264</v>
      </c>
      <c r="B93" s="259">
        <f ca="1">OFFSET('Tinh hinh tai chinh'!$BL75,0,'THTC in'!$D$7 - 1)</f>
        <v>0</v>
      </c>
      <c r="C93" s="259">
        <f>'Tinh hinh tai chinh'!BK75</f>
        <v>0</v>
      </c>
    </row>
    <row r="94" spans="1:4" x14ac:dyDescent="0.25">
      <c r="A94" s="263"/>
      <c r="B94" s="259"/>
      <c r="C94" s="259"/>
    </row>
    <row r="95" spans="1:4" x14ac:dyDescent="0.25">
      <c r="A95" s="260" t="s">
        <v>384</v>
      </c>
      <c r="B95" s="261">
        <f t="shared" ref="B95:C95" ca="1" si="8">SUM(B96:B99)</f>
        <v>11003914</v>
      </c>
      <c r="C95" s="261">
        <f t="shared" si="8"/>
        <v>13342862</v>
      </c>
    </row>
    <row r="96" spans="1:4" ht="18" customHeight="1" x14ac:dyDescent="0.25">
      <c r="A96" s="258" t="s">
        <v>266</v>
      </c>
      <c r="B96" s="259">
        <f ca="1">OFFSET('Tinh hinh tai chinh'!$BL77,0,'THTC in'!$D$7 - 1)</f>
        <v>11003914</v>
      </c>
      <c r="C96" s="259">
        <f>'Tinh hinh tai chinh'!BK77</f>
        <v>13342862</v>
      </c>
    </row>
    <row r="97" spans="1:5" s="242" customFormat="1" ht="18" customHeight="1" x14ac:dyDescent="0.25">
      <c r="A97" s="258" t="s">
        <v>61</v>
      </c>
      <c r="B97" s="259">
        <f ca="1">OFFSET('Tinh hinh tai chinh'!$BL78,0,'THTC in'!$D$7 - 1)</f>
        <v>0</v>
      </c>
      <c r="C97" s="259">
        <f>'Tinh hinh tai chinh'!BK78</f>
        <v>0</v>
      </c>
    </row>
    <row r="98" spans="1:5" ht="18" customHeight="1" x14ac:dyDescent="0.25">
      <c r="A98" s="258" t="s">
        <v>62</v>
      </c>
      <c r="B98" s="259">
        <f ca="1">OFFSET('Tinh hinh tai chinh'!$BL79,0,'THTC in'!$D$7 - 1)</f>
        <v>0</v>
      </c>
      <c r="C98" s="259">
        <f>'Tinh hinh tai chinh'!BK79</f>
        <v>0</v>
      </c>
    </row>
    <row r="99" spans="1:5" ht="18" customHeight="1" x14ac:dyDescent="0.25">
      <c r="A99" s="284" t="s">
        <v>63</v>
      </c>
      <c r="B99" s="259">
        <f ca="1">OFFSET('Tinh hinh tai chinh'!$BL80,0,'THTC in'!$D$7 - 1)</f>
        <v>0</v>
      </c>
      <c r="C99" s="259">
        <f>'Tinh hinh tai chinh'!BK80</f>
        <v>0</v>
      </c>
    </row>
    <row r="100" spans="1:5" ht="21.75" customHeight="1" x14ac:dyDescent="0.25">
      <c r="A100" s="285" t="s">
        <v>385</v>
      </c>
      <c r="B100" s="286">
        <f ca="1">B8+B47</f>
        <v>20751508995</v>
      </c>
      <c r="C100" s="286">
        <f>C8+C47</f>
        <v>21747561060</v>
      </c>
      <c r="E100" s="280"/>
    </row>
    <row r="101" spans="1:5" ht="16.5" customHeight="1" x14ac:dyDescent="0.25">
      <c r="B101" s="287"/>
      <c r="C101" s="287"/>
    </row>
    <row r="102" spans="1:5" s="242" customFormat="1" ht="30" customHeight="1" x14ac:dyDescent="0.25">
      <c r="A102" s="249" t="s">
        <v>386</v>
      </c>
      <c r="B102" s="274" t="str">
        <f>B7</f>
        <v>Số cuối tháng 4</v>
      </c>
      <c r="C102" s="274" t="str">
        <f>C7</f>
        <v>Số dư đầu năm 2026</v>
      </c>
    </row>
    <row r="103" spans="1:5" s="257" customFormat="1" x14ac:dyDescent="0.25">
      <c r="A103" s="288" t="s">
        <v>387</v>
      </c>
      <c r="B103" s="289">
        <f t="shared" ref="B103:C103" ca="1" si="9">B104+B121</f>
        <v>9900161000</v>
      </c>
      <c r="C103" s="289">
        <f t="shared" si="9"/>
        <v>10900000000</v>
      </c>
    </row>
    <row r="104" spans="1:5" s="242" customFormat="1" ht="18" customHeight="1" x14ac:dyDescent="0.25">
      <c r="A104" s="260" t="s">
        <v>388</v>
      </c>
      <c r="B104" s="261">
        <f t="shared" ref="B104:C104" ca="1" si="10">SUM(B105:B119)</f>
        <v>9900161000</v>
      </c>
      <c r="C104" s="261">
        <f t="shared" si="10"/>
        <v>10900000000</v>
      </c>
    </row>
    <row r="105" spans="1:5" ht="18" customHeight="1" x14ac:dyDescent="0.25">
      <c r="A105" s="258" t="s">
        <v>66</v>
      </c>
      <c r="B105" s="259">
        <f ca="1">OFFSET('Tinh hinh tai chinh'!$BL84,0,'THTC in'!$D$7 - 1)</f>
        <v>9900000000</v>
      </c>
      <c r="C105" s="259">
        <f>'Tinh hinh tai chinh'!BK84</f>
        <v>9900000000</v>
      </c>
      <c r="D105" s="265"/>
    </row>
    <row r="106" spans="1:5" ht="18" customHeight="1" x14ac:dyDescent="0.25">
      <c r="A106" s="258" t="s">
        <v>67</v>
      </c>
      <c r="B106" s="259">
        <f ca="1">OFFSET('Tinh hinh tai chinh'!$BL85,0,'THTC in'!$D$7 - 1)</f>
        <v>0</v>
      </c>
      <c r="C106" s="259">
        <f>'Tinh hinh tai chinh'!BK85</f>
        <v>0</v>
      </c>
    </row>
    <row r="107" spans="1:5" ht="18" customHeight="1" x14ac:dyDescent="0.25">
      <c r="A107" s="258" t="s">
        <v>268</v>
      </c>
      <c r="B107" s="259">
        <f ca="1">OFFSET('Tinh hinh tai chinh'!$BL86,0,'THTC in'!$D$7 - 1)</f>
        <v>0</v>
      </c>
      <c r="C107" s="259">
        <f>'Tinh hinh tai chinh'!BK86</f>
        <v>0</v>
      </c>
    </row>
    <row r="108" spans="1:5" ht="18" customHeight="1" x14ac:dyDescent="0.25">
      <c r="A108" s="258" t="s">
        <v>269</v>
      </c>
      <c r="B108" s="259">
        <f ca="1">OFFSET('Tinh hinh tai chinh'!$BL87,0,'THTC in'!$D$7 - 1)</f>
        <v>0</v>
      </c>
      <c r="C108" s="259">
        <f>'Tinh hinh tai chinh'!BK87</f>
        <v>0</v>
      </c>
    </row>
    <row r="109" spans="1:5" ht="18" customHeight="1" x14ac:dyDescent="0.25">
      <c r="A109" s="258" t="s">
        <v>270</v>
      </c>
      <c r="B109" s="259">
        <f ca="1">OFFSET('Tinh hinh tai chinh'!$BL88,0,'THTC in'!$D$7 - 1)</f>
        <v>0</v>
      </c>
      <c r="C109" s="259">
        <f>'Tinh hinh tai chinh'!BK88</f>
        <v>0</v>
      </c>
    </row>
    <row r="110" spans="1:5" ht="18" customHeight="1" x14ac:dyDescent="0.25">
      <c r="A110" s="258" t="s">
        <v>271</v>
      </c>
      <c r="B110" s="259">
        <f ca="1">OFFSET('Tinh hinh tai chinh'!$BL89,0,'THTC in'!$D$7 - 1)</f>
        <v>0</v>
      </c>
      <c r="C110" s="259">
        <f>'Tinh hinh tai chinh'!BK89</f>
        <v>0</v>
      </c>
    </row>
    <row r="111" spans="1:5" ht="18" customHeight="1" x14ac:dyDescent="0.25">
      <c r="A111" s="258" t="s">
        <v>272</v>
      </c>
      <c r="B111" s="259">
        <f ca="1">OFFSET('Tinh hinh tai chinh'!$BL90,0,'THTC in'!$D$7 - 1)</f>
        <v>0</v>
      </c>
      <c r="C111" s="259">
        <f>'Tinh hinh tai chinh'!BK90</f>
        <v>0</v>
      </c>
    </row>
    <row r="112" spans="1:5" ht="18" customHeight="1" x14ac:dyDescent="0.25">
      <c r="A112" s="258" t="s">
        <v>273</v>
      </c>
      <c r="B112" s="259">
        <f ca="1">OFFSET('Tinh hinh tai chinh'!$BL91,0,'THTC in'!$D$7 - 1)</f>
        <v>0</v>
      </c>
      <c r="C112" s="259">
        <f>'Tinh hinh tai chinh'!BK91</f>
        <v>0</v>
      </c>
    </row>
    <row r="113" spans="1:3" ht="18" customHeight="1" x14ac:dyDescent="0.25">
      <c r="A113" s="263" t="s">
        <v>274</v>
      </c>
      <c r="B113" s="259">
        <f ca="1">OFFSET('Tinh hinh tai chinh'!$BL92,0,'THTC in'!$D$7 - 1)</f>
        <v>0</v>
      </c>
      <c r="C113" s="259">
        <f>'Tinh hinh tai chinh'!BK92</f>
        <v>0</v>
      </c>
    </row>
    <row r="114" spans="1:3" ht="18" customHeight="1" x14ac:dyDescent="0.25">
      <c r="A114" s="258" t="s">
        <v>275</v>
      </c>
      <c r="B114" s="259">
        <f ca="1">OFFSET('Tinh hinh tai chinh'!$BL93,0,'THTC in'!$D$7 - 1)</f>
        <v>161000</v>
      </c>
      <c r="C114" s="259">
        <f>'Tinh hinh tai chinh'!BK93</f>
        <v>1000000000</v>
      </c>
    </row>
    <row r="115" spans="1:3" ht="18" customHeight="1" x14ac:dyDescent="0.25">
      <c r="A115" s="258" t="s">
        <v>276</v>
      </c>
      <c r="B115" s="259">
        <f ca="1">OFFSET('Tinh hinh tai chinh'!$BL94,0,'THTC in'!$D$7 - 1)</f>
        <v>0</v>
      </c>
      <c r="C115" s="259">
        <f>'Tinh hinh tai chinh'!BK94</f>
        <v>0</v>
      </c>
    </row>
    <row r="116" spans="1:3" ht="18" customHeight="1" x14ac:dyDescent="0.25">
      <c r="A116" s="258" t="s">
        <v>277</v>
      </c>
      <c r="B116" s="259">
        <f ca="1">OFFSET('Tinh hinh tai chinh'!$BL95,0,'THTC in'!$D$7 - 1)</f>
        <v>0</v>
      </c>
      <c r="C116" s="259">
        <f>'Tinh hinh tai chinh'!BK95</f>
        <v>0</v>
      </c>
    </row>
    <row r="117" spans="1:3" ht="18" customHeight="1" x14ac:dyDescent="0.25">
      <c r="A117" s="258" t="s">
        <v>278</v>
      </c>
      <c r="B117" s="259">
        <f ca="1">OFFSET('Tinh hinh tai chinh'!$BL96,0,'THTC in'!$D$7 - 1)</f>
        <v>0</v>
      </c>
      <c r="C117" s="259">
        <f>'Tinh hinh tai chinh'!BK96</f>
        <v>0</v>
      </c>
    </row>
    <row r="118" spans="1:3" ht="18" customHeight="1" x14ac:dyDescent="0.25">
      <c r="A118" s="258" t="s">
        <v>279</v>
      </c>
      <c r="B118" s="259">
        <f ca="1">OFFSET('Tinh hinh tai chinh'!$BL97,0,'THTC in'!$D$7 - 1)</f>
        <v>0</v>
      </c>
      <c r="C118" s="259">
        <f>'Tinh hinh tai chinh'!BK97</f>
        <v>0</v>
      </c>
    </row>
    <row r="119" spans="1:3" ht="18" customHeight="1" x14ac:dyDescent="0.25">
      <c r="A119" s="258" t="s">
        <v>280</v>
      </c>
      <c r="B119" s="259">
        <f ca="1">OFFSET('Tinh hinh tai chinh'!$BL98,0,'THTC in'!$D$7 - 1)</f>
        <v>0</v>
      </c>
      <c r="C119" s="259">
        <f>'Tinh hinh tai chinh'!BK98</f>
        <v>0</v>
      </c>
    </row>
    <row r="120" spans="1:3" ht="9.75" customHeight="1" x14ac:dyDescent="0.25">
      <c r="A120" s="258"/>
      <c r="B120" s="259"/>
      <c r="C120" s="259"/>
    </row>
    <row r="121" spans="1:3" s="242" customFormat="1" ht="14.25" customHeight="1" x14ac:dyDescent="0.25">
      <c r="A121" s="260" t="s">
        <v>389</v>
      </c>
      <c r="B121" s="261">
        <f t="shared" ref="B121:C121" ca="1" si="11">SUM(B122:B135)</f>
        <v>0</v>
      </c>
      <c r="C121" s="261">
        <f t="shared" si="11"/>
        <v>0</v>
      </c>
    </row>
    <row r="122" spans="1:3" ht="18.75" customHeight="1" x14ac:dyDescent="0.25">
      <c r="A122" s="258" t="s">
        <v>281</v>
      </c>
      <c r="B122" s="259">
        <f ca="1">OFFSET('Tinh hinh tai chinh'!$BL100,0,'THTC in'!$D$7 - 1)</f>
        <v>0</v>
      </c>
      <c r="C122" s="259">
        <f>'Tinh hinh tai chinh'!BK100</f>
        <v>0</v>
      </c>
    </row>
    <row r="123" spans="1:3" ht="18" customHeight="1" x14ac:dyDescent="0.25">
      <c r="A123" s="258" t="s">
        <v>69</v>
      </c>
      <c r="B123" s="259">
        <f ca="1">OFFSET('Tinh hinh tai chinh'!$BL101,0,'THTC in'!$D$7 - 1)</f>
        <v>0</v>
      </c>
      <c r="C123" s="259">
        <f>'Tinh hinh tai chinh'!BK101</f>
        <v>0</v>
      </c>
    </row>
    <row r="124" spans="1:3" ht="18" customHeight="1" x14ac:dyDescent="0.25">
      <c r="A124" s="258" t="s">
        <v>282</v>
      </c>
      <c r="B124" s="259">
        <f ca="1">OFFSET('Tinh hinh tai chinh'!$BL102,0,'THTC in'!$D$7 - 1)</f>
        <v>0</v>
      </c>
      <c r="C124" s="259">
        <f>'Tinh hinh tai chinh'!BK102</f>
        <v>0</v>
      </c>
    </row>
    <row r="125" spans="1:3" ht="18" customHeight="1" x14ac:dyDescent="0.25">
      <c r="A125" s="258" t="s">
        <v>283</v>
      </c>
      <c r="B125" s="259">
        <f ca="1">OFFSET('Tinh hinh tai chinh'!$BL103,0,'THTC in'!$D$7 - 1)</f>
        <v>0</v>
      </c>
      <c r="C125" s="259">
        <f>'Tinh hinh tai chinh'!BK103</f>
        <v>0</v>
      </c>
    </row>
    <row r="126" spans="1:3" ht="18" customHeight="1" x14ac:dyDescent="0.25">
      <c r="A126" s="258" t="s">
        <v>284</v>
      </c>
      <c r="B126" s="259">
        <f ca="1">OFFSET('Tinh hinh tai chinh'!$BL104,0,'THTC in'!$D$7 - 1)</f>
        <v>0</v>
      </c>
      <c r="C126" s="259">
        <f>'Tinh hinh tai chinh'!BK104</f>
        <v>0</v>
      </c>
    </row>
    <row r="127" spans="1:3" ht="18" customHeight="1" x14ac:dyDescent="0.25">
      <c r="A127" s="258" t="s">
        <v>285</v>
      </c>
      <c r="B127" s="259">
        <f ca="1">OFFSET('Tinh hinh tai chinh'!$BL105,0,'THTC in'!$D$7 - 1)</f>
        <v>0</v>
      </c>
      <c r="C127" s="259">
        <f>'Tinh hinh tai chinh'!BK105</f>
        <v>0</v>
      </c>
    </row>
    <row r="128" spans="1:3" ht="18" customHeight="1" x14ac:dyDescent="0.25">
      <c r="A128" s="258" t="s">
        <v>286</v>
      </c>
      <c r="B128" s="259">
        <f ca="1">OFFSET('Tinh hinh tai chinh'!$BL106,0,'THTC in'!$D$7 - 1)</f>
        <v>0</v>
      </c>
      <c r="C128" s="259">
        <f>'Tinh hinh tai chinh'!BK106</f>
        <v>0</v>
      </c>
    </row>
    <row r="129" spans="1:3" ht="18" customHeight="1" x14ac:dyDescent="0.25">
      <c r="A129" s="258" t="s">
        <v>287</v>
      </c>
      <c r="B129" s="259">
        <f ca="1">OFFSET('Tinh hinh tai chinh'!$BL107,0,'THTC in'!$D$7 - 1)</f>
        <v>0</v>
      </c>
      <c r="C129" s="259">
        <f>'Tinh hinh tai chinh'!BK107</f>
        <v>0</v>
      </c>
    </row>
    <row r="130" spans="1:3" ht="18" customHeight="1" x14ac:dyDescent="0.25">
      <c r="A130" s="258" t="s">
        <v>70</v>
      </c>
      <c r="B130" s="259">
        <f ca="1">OFFSET('Tinh hinh tai chinh'!$BL108,0,'THTC in'!$D$7 - 1)</f>
        <v>0</v>
      </c>
      <c r="C130" s="259">
        <f>'Tinh hinh tai chinh'!BK108</f>
        <v>0</v>
      </c>
    </row>
    <row r="131" spans="1:3" ht="18" customHeight="1" x14ac:dyDescent="0.25">
      <c r="A131" s="258" t="s">
        <v>288</v>
      </c>
      <c r="B131" s="259">
        <f ca="1">OFFSET('Tinh hinh tai chinh'!$BL109,0,'THTC in'!$D$7 - 1)</f>
        <v>0</v>
      </c>
      <c r="C131" s="259">
        <f>'Tinh hinh tai chinh'!BK109</f>
        <v>0</v>
      </c>
    </row>
    <row r="132" spans="1:3" ht="18" customHeight="1" x14ac:dyDescent="0.25">
      <c r="A132" s="258" t="s">
        <v>289</v>
      </c>
      <c r="B132" s="259">
        <f ca="1">OFFSET('Tinh hinh tai chinh'!$BL110,0,'THTC in'!$D$7 - 1)</f>
        <v>0</v>
      </c>
      <c r="C132" s="259">
        <f>'Tinh hinh tai chinh'!BK110</f>
        <v>0</v>
      </c>
    </row>
    <row r="133" spans="1:3" ht="18" customHeight="1" x14ac:dyDescent="0.25">
      <c r="A133" s="258" t="s">
        <v>290</v>
      </c>
      <c r="B133" s="259">
        <f ca="1">OFFSET('Tinh hinh tai chinh'!$BL111,0,'THTC in'!$D$7 - 1)</f>
        <v>0</v>
      </c>
      <c r="C133" s="259">
        <f>'Tinh hinh tai chinh'!BK111</f>
        <v>0</v>
      </c>
    </row>
    <row r="134" spans="1:3" ht="18" customHeight="1" x14ac:dyDescent="0.25">
      <c r="A134" s="258" t="s">
        <v>291</v>
      </c>
      <c r="B134" s="259">
        <f ca="1">OFFSET('Tinh hinh tai chinh'!$BL112,0,'THTC in'!$D$7 - 1)</f>
        <v>0</v>
      </c>
      <c r="C134" s="259">
        <f>'Tinh hinh tai chinh'!BK112</f>
        <v>0</v>
      </c>
    </row>
    <row r="135" spans="1:3" ht="18" customHeight="1" x14ac:dyDescent="0.25">
      <c r="A135" s="284" t="s">
        <v>292</v>
      </c>
      <c r="B135" s="271">
        <f ca="1">OFFSET('Tinh hinh tai chinh'!$BL113,0,'THTC in'!$D$7 - 1)</f>
        <v>0</v>
      </c>
      <c r="C135" s="271">
        <f>'Tinh hinh tai chinh'!BK113</f>
        <v>0</v>
      </c>
    </row>
    <row r="136" spans="1:3" x14ac:dyDescent="0.25">
      <c r="A136" s="272"/>
      <c r="B136" s="290"/>
      <c r="C136" s="291"/>
    </row>
    <row r="137" spans="1:3" s="242" customFormat="1" ht="30" customHeight="1" x14ac:dyDescent="0.25">
      <c r="A137" s="249" t="s">
        <v>386</v>
      </c>
      <c r="B137" s="274" t="str">
        <f>B7</f>
        <v>Số cuối tháng 4</v>
      </c>
      <c r="C137" s="274" t="str">
        <f>C7</f>
        <v>Số dư đầu năm 2026</v>
      </c>
    </row>
    <row r="138" spans="1:3" s="257" customFormat="1" x14ac:dyDescent="0.25">
      <c r="A138" s="288" t="s">
        <v>390</v>
      </c>
      <c r="B138" s="289">
        <f ca="1">B139+SUM(B142:B150)</f>
        <v>10851347995</v>
      </c>
      <c r="C138" s="289">
        <f>C139+SUM(C142:C150)</f>
        <v>10847561060</v>
      </c>
    </row>
    <row r="139" spans="1:3" ht="18" customHeight="1" x14ac:dyDescent="0.25">
      <c r="A139" s="258" t="s">
        <v>71</v>
      </c>
      <c r="B139" s="292">
        <f ca="1">B140</f>
        <v>20000000000</v>
      </c>
      <c r="C139" s="292">
        <f>SUM(C140:C141)</f>
        <v>20000000000</v>
      </c>
    </row>
    <row r="140" spans="1:3" ht="18" customHeight="1" x14ac:dyDescent="0.25">
      <c r="A140" s="258" t="s">
        <v>72</v>
      </c>
      <c r="B140" s="292">
        <f ca="1">OFFSET('Tinh hinh tai chinh'!$BL116,0,'THTC in'!$D$7 - 1)</f>
        <v>20000000000</v>
      </c>
      <c r="C140" s="292">
        <f>'Tinh hinh tai chinh'!BK116</f>
        <v>20000000000</v>
      </c>
    </row>
    <row r="141" spans="1:3" ht="18" customHeight="1" x14ac:dyDescent="0.25">
      <c r="A141" s="258" t="s">
        <v>73</v>
      </c>
      <c r="B141" s="292">
        <f ca="1">OFFSET('Tinh hinh tai chinh'!$BL117,0,'THTC in'!$D$7 - 1)</f>
        <v>0</v>
      </c>
      <c r="C141" s="292">
        <f>'Tinh hinh tai chinh'!BK117</f>
        <v>0</v>
      </c>
    </row>
    <row r="142" spans="1:3" ht="18" customHeight="1" x14ac:dyDescent="0.25">
      <c r="A142" s="258" t="s">
        <v>294</v>
      </c>
      <c r="B142" s="292">
        <f ca="1">OFFSET('Tinh hinh tai chinh'!$BL118,0,'THTC in'!$D$7 - 1)</f>
        <v>0</v>
      </c>
      <c r="C142" s="292">
        <f>'Tinh hinh tai chinh'!BK118</f>
        <v>0</v>
      </c>
    </row>
    <row r="143" spans="1:3" ht="18" customHeight="1" x14ac:dyDescent="0.25">
      <c r="A143" s="258" t="s">
        <v>74</v>
      </c>
      <c r="B143" s="292">
        <f ca="1">OFFSET('Tinh hinh tai chinh'!$BL119,0,'THTC in'!$D$7 - 1)</f>
        <v>0</v>
      </c>
      <c r="C143" s="292">
        <f>'Tinh hinh tai chinh'!BK119</f>
        <v>0</v>
      </c>
    </row>
    <row r="144" spans="1:3" ht="18" customHeight="1" x14ac:dyDescent="0.25">
      <c r="A144" s="258" t="s">
        <v>75</v>
      </c>
      <c r="B144" s="292">
        <f ca="1">OFFSET('Tinh hinh tai chinh'!$BL120,0,'THTC in'!$D$7 - 1)</f>
        <v>0</v>
      </c>
      <c r="C144" s="292">
        <f>'Tinh hinh tai chinh'!BK120</f>
        <v>0</v>
      </c>
    </row>
    <row r="145" spans="1:5" ht="18" customHeight="1" x14ac:dyDescent="0.25">
      <c r="A145" s="258" t="s">
        <v>295</v>
      </c>
      <c r="B145" s="292">
        <f ca="1">OFFSET('Tinh hinh tai chinh'!$BL121,0,'THTC in'!$D$7 - 1)</f>
        <v>0</v>
      </c>
      <c r="C145" s="292">
        <f>'Tinh hinh tai chinh'!BK121</f>
        <v>0</v>
      </c>
    </row>
    <row r="146" spans="1:5" ht="18" customHeight="1" x14ac:dyDescent="0.25">
      <c r="A146" s="258" t="s">
        <v>76</v>
      </c>
      <c r="B146" s="292">
        <f ca="1">OFFSET('Tinh hinh tai chinh'!$BL122,0,'THTC in'!$D$7 - 1)</f>
        <v>0</v>
      </c>
      <c r="C146" s="292">
        <f>'Tinh hinh tai chinh'!BK122</f>
        <v>0</v>
      </c>
    </row>
    <row r="147" spans="1:5" ht="18" customHeight="1" x14ac:dyDescent="0.25">
      <c r="A147" s="258" t="s">
        <v>77</v>
      </c>
      <c r="B147" s="292">
        <f ca="1">OFFSET('Tinh hinh tai chinh'!$BL123,0,'THTC in'!$D$7 - 1)</f>
        <v>0</v>
      </c>
      <c r="C147" s="292">
        <f>'Tinh hinh tai chinh'!BK123</f>
        <v>0</v>
      </c>
    </row>
    <row r="148" spans="1:5" ht="18" customHeight="1" x14ac:dyDescent="0.25">
      <c r="A148" s="258" t="s">
        <v>78</v>
      </c>
      <c r="B148" s="292">
        <f ca="1">OFFSET('Tinh hinh tai chinh'!$BL124,0,'THTC in'!$D$7 - 1)</f>
        <v>0</v>
      </c>
      <c r="C148" s="292">
        <f>'Tinh hinh tai chinh'!BK124</f>
        <v>0</v>
      </c>
    </row>
    <row r="149" spans="1:5" ht="18" customHeight="1" x14ac:dyDescent="0.25">
      <c r="A149" s="258" t="s">
        <v>296</v>
      </c>
      <c r="B149" s="292">
        <f ca="1">OFFSET('Tinh hinh tai chinh'!$BL125,0,'THTC in'!$D$7 - 1)</f>
        <v>0</v>
      </c>
      <c r="C149" s="292">
        <f>'Tinh hinh tai chinh'!BK125</f>
        <v>0</v>
      </c>
    </row>
    <row r="150" spans="1:5" ht="18" customHeight="1" x14ac:dyDescent="0.25">
      <c r="A150" s="258" t="s">
        <v>297</v>
      </c>
      <c r="B150" s="293">
        <f t="shared" ref="B150" ca="1" si="12">B151+B152</f>
        <v>-9148652005</v>
      </c>
      <c r="C150" s="293">
        <f>C151+C152</f>
        <v>-9152438940</v>
      </c>
      <c r="D150" s="294"/>
      <c r="E150" s="280"/>
    </row>
    <row r="151" spans="1:5" ht="18" customHeight="1" x14ac:dyDescent="0.25">
      <c r="A151" s="295" t="s">
        <v>79</v>
      </c>
      <c r="B151" s="296">
        <f ca="1">OFFSET('Tinh hinh tai chinh'!$BL127,0,'THTC in'!$D$7 - 1)</f>
        <v>-9148068358</v>
      </c>
      <c r="C151" s="296">
        <f>'Tinh hinh tai chinh'!BK127</f>
        <v>-8551855200</v>
      </c>
      <c r="D151" s="294"/>
    </row>
    <row r="152" spans="1:5" ht="18" customHeight="1" x14ac:dyDescent="0.25">
      <c r="A152" s="295" t="s">
        <v>80</v>
      </c>
      <c r="B152" s="296">
        <f ca="1">OFFSET('Tinh hinh tai chinh'!$BL128,0,'THTC in'!$D$7 - 1)</f>
        <v>-583647</v>
      </c>
      <c r="C152" s="296">
        <f>'Tinh hinh tai chinh'!BK128</f>
        <v>-600583740</v>
      </c>
      <c r="D152" s="294"/>
    </row>
    <row r="153" spans="1:5" x14ac:dyDescent="0.25">
      <c r="A153" s="297"/>
      <c r="B153" s="277"/>
      <c r="C153" s="277"/>
    </row>
    <row r="154" spans="1:5" ht="22.5" customHeight="1" x14ac:dyDescent="0.25">
      <c r="A154" s="285" t="s">
        <v>391</v>
      </c>
      <c r="B154" s="286">
        <f ca="1">B138+B103</f>
        <v>20751508995</v>
      </c>
      <c r="C154" s="286">
        <f>C103+C138</f>
        <v>21747561060</v>
      </c>
      <c r="E154" s="280"/>
    </row>
    <row r="155" spans="1:5" x14ac:dyDescent="0.25">
      <c r="B155" s="298">
        <f ca="1">+B154-B100</f>
        <v>0</v>
      </c>
      <c r="C155" s="298">
        <f>+C154-C100</f>
        <v>0</v>
      </c>
    </row>
    <row r="156" spans="1:5" x14ac:dyDescent="0.25">
      <c r="B156" s="298">
        <v>0</v>
      </c>
      <c r="C156" s="298"/>
    </row>
    <row r="157" spans="1:5" x14ac:dyDescent="0.25">
      <c r="B157" s="568" t="str">
        <f>'KQKD in'!F32</f>
        <v>Lập ngày 30 tháng 04 năm 2026</v>
      </c>
      <c r="C157" s="568"/>
    </row>
    <row r="158" spans="1:5" ht="6.75" customHeight="1" x14ac:dyDescent="0.25">
      <c r="B158" s="299"/>
      <c r="C158" s="299"/>
    </row>
    <row r="159" spans="1:5" x14ac:dyDescent="0.25">
      <c r="A159" s="300" t="s">
        <v>344</v>
      </c>
      <c r="B159" s="569" t="str">
        <f>'Thong tin'!B18</f>
        <v>GIÁM ĐỐC TÀI CHÍNH</v>
      </c>
      <c r="C159" s="569"/>
    </row>
    <row r="160" spans="1:5" x14ac:dyDescent="0.25">
      <c r="A160" s="299"/>
      <c r="B160" s="245"/>
      <c r="C160" s="245"/>
    </row>
    <row r="161" spans="1:3" x14ac:dyDescent="0.25">
      <c r="A161" s="299"/>
      <c r="B161" s="294"/>
      <c r="C161" s="245"/>
    </row>
    <row r="162" spans="1:3" x14ac:dyDescent="0.25">
      <c r="A162" s="299"/>
      <c r="B162" s="245"/>
      <c r="C162" s="245"/>
    </row>
    <row r="163" spans="1:3" x14ac:dyDescent="0.25">
      <c r="A163" s="299"/>
      <c r="B163" s="245"/>
      <c r="C163" s="245"/>
    </row>
    <row r="164" spans="1:3" x14ac:dyDescent="0.25">
      <c r="A164" s="299"/>
      <c r="B164" s="245"/>
      <c r="C164" s="245"/>
    </row>
    <row r="165" spans="1:3" ht="15.75" x14ac:dyDescent="0.25">
      <c r="A165" s="301"/>
      <c r="B165" s="245"/>
      <c r="C165" s="245"/>
    </row>
    <row r="166" spans="1:3" x14ac:dyDescent="0.25">
      <c r="A166" s="299" t="str">
        <f>'Thong tin'!B13</f>
        <v>Vũ Thị Hiên</v>
      </c>
      <c r="B166" s="568" t="s">
        <v>392</v>
      </c>
      <c r="C166" s="568"/>
    </row>
    <row r="167" spans="1:3" x14ac:dyDescent="0.25">
      <c r="B167" s="245"/>
      <c r="C167" s="245"/>
    </row>
    <row r="168" spans="1:3" x14ac:dyDescent="0.25">
      <c r="B168" s="245"/>
      <c r="C168" s="245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1CAB-8143-4458-87CC-B188FC6EB97D}">
  <sheetPr>
    <tabColor theme="8" tint="0.59999389629810485"/>
  </sheetPr>
  <dimension ref="A1:G48"/>
  <sheetViews>
    <sheetView showGridLines="0" showZeros="0" zoomScaleNormal="100" workbookViewId="0">
      <pane xSplit="3" ySplit="9" topLeftCell="D23" activePane="bottomRight" state="frozen"/>
      <selection activeCell="D8" sqref="D8:E8"/>
      <selection pane="topRight" activeCell="D8" sqref="D8:E8"/>
      <selection pane="bottomLeft" activeCell="D8" sqref="D8:E8"/>
      <selection pane="bottomRight" activeCell="D8" sqref="D8:E8"/>
    </sheetView>
  </sheetViews>
  <sheetFormatPr defaultColWidth="9.140625" defaultRowHeight="15" x14ac:dyDescent="0.25"/>
  <cols>
    <col min="1" max="1" width="3.5703125" style="245" customWidth="1"/>
    <col min="2" max="2" width="21.7109375" style="245" customWidth="1"/>
    <col min="3" max="3" width="18.42578125" style="245" customWidth="1"/>
    <col min="4" max="4" width="14.28515625" style="280" customWidth="1"/>
    <col min="5" max="5" width="14.28515625" style="245" customWidth="1"/>
    <col min="6" max="6" width="15.140625" style="280" customWidth="1"/>
    <col min="7" max="7" width="15.140625" style="245" customWidth="1"/>
    <col min="8" max="8" width="5.85546875" style="245" customWidth="1"/>
    <col min="9" max="16384" width="9.140625" style="245"/>
  </cols>
  <sheetData>
    <row r="1" spans="1:7" ht="15.75" x14ac:dyDescent="0.25">
      <c r="A1" s="302" t="str">
        <f>'Thong tin'!$A$1</f>
        <v xml:space="preserve">CÔNG TY CỔ PHẦN TÁI CHẾ TÂN ĐẠI PHÁT </v>
      </c>
      <c r="B1" s="303"/>
      <c r="D1" s="245"/>
      <c r="E1" s="200"/>
      <c r="F1" s="245"/>
      <c r="G1" s="200"/>
    </row>
    <row r="2" spans="1:7" ht="16.5" thickBot="1" x14ac:dyDescent="0.3">
      <c r="A2" s="243" t="str">
        <f>'Thong tin'!$A$2</f>
        <v>Địa chỉ: Số C11-C15 Cụm Công Nghiệp Nhựa Đức Hòa, Ấp Bình Tiền 2, Xã Đức Hòa, Tây Ninh</v>
      </c>
      <c r="B2" s="304"/>
      <c r="C2" s="304"/>
      <c r="D2" s="304"/>
      <c r="E2" s="203"/>
      <c r="F2" s="304"/>
      <c r="G2" s="203"/>
    </row>
    <row r="3" spans="1:7" ht="15.75" x14ac:dyDescent="0.25">
      <c r="D3" s="245"/>
      <c r="E3" s="204"/>
      <c r="F3" s="245"/>
      <c r="G3" s="204"/>
    </row>
    <row r="4" spans="1:7" ht="18.75" customHeight="1" x14ac:dyDescent="0.3">
      <c r="A4" s="573" t="s">
        <v>393</v>
      </c>
      <c r="B4" s="573"/>
      <c r="C4" s="573"/>
      <c r="D4" s="573"/>
      <c r="E4" s="573"/>
      <c r="F4" s="573"/>
      <c r="G4" s="573"/>
    </row>
    <row r="5" spans="1:7" ht="15.75" x14ac:dyDescent="0.25">
      <c r="A5" s="574" t="str">
        <f>"Năm " &amp; 'Thong tin'!$C$6</f>
        <v>Năm 2026</v>
      </c>
      <c r="B5" s="574"/>
      <c r="C5" s="574"/>
      <c r="D5" s="574"/>
      <c r="E5" s="574"/>
      <c r="F5" s="574"/>
      <c r="G5" s="574"/>
    </row>
    <row r="6" spans="1:7" x14ac:dyDescent="0.25">
      <c r="E6" s="305"/>
      <c r="G6" s="306" t="s">
        <v>394</v>
      </c>
    </row>
    <row r="7" spans="1:7" ht="5.0999999999999996" customHeight="1" x14ac:dyDescent="0.25"/>
    <row r="8" spans="1:7" ht="18.75" customHeight="1" x14ac:dyDescent="0.25">
      <c r="A8" s="575" t="s">
        <v>395</v>
      </c>
      <c r="B8" s="576"/>
      <c r="C8" s="577"/>
      <c r="D8" s="581" t="str">
        <f>"Tháng "&amp;'Thong tin'!$C$9</f>
        <v>Tháng 4</v>
      </c>
      <c r="E8" s="582"/>
      <c r="F8" s="583" t="str">
        <f>"Lũy kế"&amp;" "&amp;'Thong tin'!$C$9 &amp;" "&amp;"tháng"</f>
        <v>Lũy kế 4 tháng</v>
      </c>
      <c r="G8" s="584"/>
    </row>
    <row r="9" spans="1:7" ht="18.75" customHeight="1" x14ac:dyDescent="0.25">
      <c r="A9" s="578"/>
      <c r="B9" s="579"/>
      <c r="C9" s="580"/>
      <c r="D9" s="307" t="str">
        <f>"Năm " &amp; 'Thong tin'!$C$6</f>
        <v>Năm 2026</v>
      </c>
      <c r="E9" s="307" t="str">
        <f>"Năm " &amp; 'Thong tin'!$C$7</f>
        <v>Năm 2025</v>
      </c>
      <c r="F9" s="307" t="str">
        <f>"Năm " &amp; 'Thong tin'!$C$6</f>
        <v>Năm 2026</v>
      </c>
      <c r="G9" s="307" t="str">
        <f>"Năm " &amp; 'Thong tin'!$C$7</f>
        <v>Năm 2025</v>
      </c>
    </row>
    <row r="10" spans="1:7" ht="28.5" customHeight="1" x14ac:dyDescent="0.25">
      <c r="A10" s="308" t="s">
        <v>396</v>
      </c>
      <c r="B10" s="585" t="s">
        <v>397</v>
      </c>
      <c r="C10" s="586"/>
      <c r="D10" s="309">
        <f ca="1">OFFSET('Ket qua kinh doanh'!$BL5,0,'Thong tin'!$C$9 - 1)</f>
        <v>0</v>
      </c>
      <c r="E10" s="309">
        <f ca="1">OFFSET('Ket qua kinh doanh'!$AZ5,0,'Thong tin'!$C$9 - 1)</f>
        <v>0</v>
      </c>
      <c r="F10" s="309">
        <f ca="1">SUM(OFFSET('Ket qua kinh doanh'!$BL5,0,0,1,'Thong tin'!$C$9))</f>
        <v>0</v>
      </c>
      <c r="G10" s="309">
        <f ca="1">SUM(OFFSET('Ket qua kinh doanh'!$AZ5,0,0,1,'Thong tin'!$C$9))</f>
        <v>0</v>
      </c>
    </row>
    <row r="11" spans="1:7" ht="18" customHeight="1" x14ac:dyDescent="0.25">
      <c r="A11" s="310" t="s">
        <v>398</v>
      </c>
      <c r="B11" s="311" t="s">
        <v>399</v>
      </c>
      <c r="C11" s="312"/>
      <c r="D11" s="313">
        <f ca="1">OFFSET('Ket qua kinh doanh'!$BL6,0,'Thong tin'!$C$9 - 1)</f>
        <v>0</v>
      </c>
      <c r="E11" s="313">
        <f ca="1">OFFSET('Ket qua kinh doanh'!$AZ6,0,'Thong tin'!$C$9 - 1)</f>
        <v>0</v>
      </c>
      <c r="F11" s="313">
        <f ca="1">SUM(OFFSET('Ket qua kinh doanh'!$BL6,0,0,1,'Thong tin'!$C$9))</f>
        <v>0</v>
      </c>
      <c r="G11" s="313">
        <f ca="1">SUM(OFFSET('Ket qua kinh doanh'!$AZ6,0,0,1,'Thong tin'!$C$9))</f>
        <v>0</v>
      </c>
    </row>
    <row r="12" spans="1:7" s="316" customFormat="1" ht="29.25" customHeight="1" x14ac:dyDescent="0.25">
      <c r="A12" s="314" t="s">
        <v>400</v>
      </c>
      <c r="B12" s="587" t="s">
        <v>401</v>
      </c>
      <c r="C12" s="588"/>
      <c r="D12" s="315">
        <f ca="1">OFFSET('Ket qua kinh doanh'!$BL7,0,'Thong tin'!$C$9 - 1)</f>
        <v>0</v>
      </c>
      <c r="E12" s="315">
        <f ca="1">OFFSET('Ket qua kinh doanh'!$AZ7,0,'Thong tin'!$C$9 - 1)</f>
        <v>0</v>
      </c>
      <c r="F12" s="315">
        <f ca="1">SUM(OFFSET('Ket qua kinh doanh'!$BL7,0,0,1,'Thong tin'!$C$9))</f>
        <v>0</v>
      </c>
      <c r="G12" s="315">
        <f ca="1">SUM(OFFSET('Ket qua kinh doanh'!$AZ7,0,0,1,'Thong tin'!$C$9))</f>
        <v>0</v>
      </c>
    </row>
    <row r="13" spans="1:7" ht="18" customHeight="1" x14ac:dyDescent="0.25">
      <c r="A13" s="317" t="s">
        <v>402</v>
      </c>
      <c r="B13" s="318" t="s">
        <v>403</v>
      </c>
      <c r="C13" s="319"/>
      <c r="D13" s="320">
        <f ca="1">OFFSET('Ket qua kinh doanh'!$BL8,0,'Thong tin'!$C$9 - 1)</f>
        <v>0</v>
      </c>
      <c r="E13" s="320">
        <f ca="1">OFFSET('Ket qua kinh doanh'!$AZ8,0,'Thong tin'!$C$9 - 1)</f>
        <v>0</v>
      </c>
      <c r="F13" s="320">
        <f ca="1">SUM(OFFSET('Ket qua kinh doanh'!$BL8,0,0,1,'Thong tin'!$C$9))</f>
        <v>0</v>
      </c>
      <c r="G13" s="309">
        <f ca="1">SUM(OFFSET('Ket qua kinh doanh'!$AZ8,0,0,1,'Thong tin'!$C$9))</f>
        <v>0</v>
      </c>
    </row>
    <row r="14" spans="1:7" s="316" customFormat="1" ht="28.5" customHeight="1" x14ac:dyDescent="0.25">
      <c r="A14" s="314" t="s">
        <v>404</v>
      </c>
      <c r="B14" s="587" t="s">
        <v>405</v>
      </c>
      <c r="C14" s="588"/>
      <c r="D14" s="321">
        <f ca="1">OFFSET('Ket qua kinh doanh'!$BL9,0,'Thong tin'!$C$9 - 1)</f>
        <v>0</v>
      </c>
      <c r="E14" s="321">
        <f ca="1">OFFSET('Ket qua kinh doanh'!$AZ9,0,'Thong tin'!$C$9 - 1)</f>
        <v>0</v>
      </c>
      <c r="F14" s="321">
        <f ca="1">SUM(OFFSET('Ket qua kinh doanh'!$BL9,0,0,1,'Thong tin'!$C$9))</f>
        <v>0</v>
      </c>
      <c r="G14" s="321">
        <f ca="1">SUM(OFFSET('Ket qua kinh doanh'!$AZ9,0,0,1,'Thong tin'!$C$9))</f>
        <v>0</v>
      </c>
    </row>
    <row r="15" spans="1:7" s="316" customFormat="1" ht="28.5" customHeight="1" x14ac:dyDescent="0.25">
      <c r="A15" s="314" t="s">
        <v>406</v>
      </c>
      <c r="B15" s="587" t="s">
        <v>407</v>
      </c>
      <c r="C15" s="588"/>
      <c r="D15" s="321">
        <f ca="1">OFFSET('Ket qua kinh doanh'!$BL10,0,'Thong tin'!$C$9 - 1)</f>
        <v>0</v>
      </c>
      <c r="E15" s="321">
        <f ca="1">OFFSET('Ket qua kinh doanh'!$AZ10,0,'Thong tin'!$C$9 - 1)</f>
        <v>0</v>
      </c>
      <c r="F15" s="321">
        <f ca="1">SUM(OFFSET('Ket qua kinh doanh'!$BL10,0,0,1,'Thong tin'!$C$9))</f>
        <v>0</v>
      </c>
      <c r="G15" s="321">
        <f ca="1">SUM(OFFSET('Ket qua kinh doanh'!$AZ10,0,0,1,'Thong tin'!$C$9))</f>
        <v>0</v>
      </c>
    </row>
    <row r="16" spans="1:7" ht="18" customHeight="1" x14ac:dyDescent="0.25">
      <c r="A16" s="310" t="s">
        <v>408</v>
      </c>
      <c r="B16" s="311" t="s">
        <v>409</v>
      </c>
      <c r="C16" s="312"/>
      <c r="D16" s="322">
        <f ca="1">OFFSET('Ket qua kinh doanh'!$BL11,0,'Thong tin'!$C$9 - 1)</f>
        <v>1090</v>
      </c>
      <c r="E16" s="322">
        <f ca="1">OFFSET('Ket qua kinh doanh'!$AZ11,0,'Thong tin'!$C$9 - 1)</f>
        <v>3453516</v>
      </c>
      <c r="F16" s="313">
        <f ca="1">SUM(OFFSET('Ket qua kinh doanh'!$BL11,0,0,1,'Thong tin'!$C$9))</f>
        <v>6286883</v>
      </c>
      <c r="G16" s="313">
        <f ca="1">SUM(OFFSET('Ket qua kinh doanh'!$AZ11,0,0,1,'Thong tin'!$C$9))</f>
        <v>3475152</v>
      </c>
    </row>
    <row r="17" spans="1:7" ht="18" customHeight="1" x14ac:dyDescent="0.25">
      <c r="A17" s="310" t="s">
        <v>410</v>
      </c>
      <c r="B17" s="311" t="s">
        <v>411</v>
      </c>
      <c r="C17" s="312"/>
      <c r="D17" s="322">
        <f ca="1">OFFSET('Ket qua kinh doanh'!$BL12,0,'Thong tin'!$C$9 - 1)</f>
        <v>0</v>
      </c>
      <c r="E17" s="313">
        <f ca="1">OFFSET('Ket qua kinh doanh'!$AZ12,0,'Thong tin'!$C$9 - 1)</f>
        <v>0</v>
      </c>
      <c r="F17" s="313">
        <f ca="1">SUM(OFFSET('Ket qua kinh doanh'!$BL12,0,0,1,'Thong tin'!$C$9))</f>
        <v>0</v>
      </c>
      <c r="G17" s="313">
        <f ca="1">SUM(OFFSET('Ket qua kinh doanh'!$AZ12,0,0,1,'Thong tin'!$C$9))</f>
        <v>0</v>
      </c>
    </row>
    <row r="18" spans="1:7" s="326" customFormat="1" ht="18" customHeight="1" x14ac:dyDescent="0.25">
      <c r="A18" s="323"/>
      <c r="B18" s="324" t="s">
        <v>412</v>
      </c>
      <c r="C18" s="325"/>
      <c r="D18" s="313">
        <f ca="1">OFFSET('Ket qua kinh doanh'!$BL13,0,'Thong tin'!$C$9 - 1)</f>
        <v>0</v>
      </c>
      <c r="E18" s="313">
        <f ca="1">OFFSET('Ket qua kinh doanh'!$AZ13,0,'Thong tin'!$C$9 - 1)</f>
        <v>0</v>
      </c>
      <c r="F18" s="313">
        <f ca="1">SUM(OFFSET('Ket qua kinh doanh'!$BL13,0,0,1,'Thong tin'!$C$9))</f>
        <v>0</v>
      </c>
      <c r="G18" s="313">
        <f ca="1">SUM(OFFSET('Ket qua kinh doanh'!$AZ13,0,0,1,'Thong tin'!$C$9))</f>
        <v>0</v>
      </c>
    </row>
    <row r="19" spans="1:7" ht="18" customHeight="1" x14ac:dyDescent="0.25">
      <c r="A19" s="310" t="s">
        <v>413</v>
      </c>
      <c r="B19" s="311" t="s">
        <v>414</v>
      </c>
      <c r="C19" s="312"/>
      <c r="D19" s="322">
        <f ca="1">OFFSET('Ket qua kinh doanh'!$BL14,0,'Thong tin'!$C$9 - 1)</f>
        <v>0</v>
      </c>
      <c r="E19" s="322">
        <f ca="1">OFFSET('Ket qua kinh doanh'!$AZ14,0,'Thong tin'!$C$9 - 1)</f>
        <v>0</v>
      </c>
      <c r="F19" s="313">
        <f ca="1">SUM(OFFSET('Ket qua kinh doanh'!$BL14,0,0,1,'Thong tin'!$C$9))</f>
        <v>0</v>
      </c>
      <c r="G19" s="313">
        <f ca="1">SUM(OFFSET('Ket qua kinh doanh'!$AZ14,0,0,1,'Thong tin'!$C$9))</f>
        <v>0</v>
      </c>
    </row>
    <row r="20" spans="1:7" ht="18" customHeight="1" x14ac:dyDescent="0.25">
      <c r="A20" s="310" t="s">
        <v>415</v>
      </c>
      <c r="B20" s="311" t="s">
        <v>416</v>
      </c>
      <c r="C20" s="312"/>
      <c r="D20" s="313">
        <f ca="1">OFFSET('Ket qua kinh doanh'!$BL15,0,'Thong tin'!$C$9 - 1)</f>
        <v>584737</v>
      </c>
      <c r="E20" s="313">
        <f ca="1">OFFSET('Ket qua kinh doanh'!$AZ15,0,'Thong tin'!$C$9 - 1)</f>
        <v>616214737</v>
      </c>
      <c r="F20" s="313">
        <f ca="1">SUM(OFFSET('Ket qua kinh doanh'!$BL15,0,0,1,'Thong tin'!$C$9))</f>
        <v>2338948</v>
      </c>
      <c r="G20" s="313">
        <f ca="1">SUM(OFFSET('Ket qua kinh doanh'!$AZ15,0,0,1,'Thong tin'!$C$9))</f>
        <v>2465968948</v>
      </c>
    </row>
    <row r="21" spans="1:7" s="316" customFormat="1" ht="18" customHeight="1" x14ac:dyDescent="0.25">
      <c r="A21" s="327" t="s">
        <v>417</v>
      </c>
      <c r="B21" s="587" t="s">
        <v>418</v>
      </c>
      <c r="C21" s="588"/>
      <c r="D21" s="321">
        <f ca="1">OFFSET('Ket qua kinh doanh'!$BL16,0,'Thong tin'!$C$9 - 1)</f>
        <v>-583647</v>
      </c>
      <c r="E21" s="321">
        <f ca="1">OFFSET('Ket qua kinh doanh'!$AZ16,0,'Thong tin'!$C$9 - 1)</f>
        <v>-612761221</v>
      </c>
      <c r="F21" s="321">
        <f ca="1">SUM(OFFSET('Ket qua kinh doanh'!$BL16,0,0,1,'Thong tin'!$C$9))</f>
        <v>3947935</v>
      </c>
      <c r="G21" s="321">
        <f ca="1">SUM(OFFSET('Ket qua kinh doanh'!$AZ16,0,0,1,'Thong tin'!$C$9))</f>
        <v>-2462493796</v>
      </c>
    </row>
    <row r="22" spans="1:7" ht="18" customHeight="1" x14ac:dyDescent="0.25">
      <c r="A22" s="310" t="s">
        <v>419</v>
      </c>
      <c r="B22" s="311" t="s">
        <v>420</v>
      </c>
      <c r="C22" s="312"/>
      <c r="D22" s="313">
        <f ca="1">OFFSET('Ket qua kinh doanh'!$BL17,0,'Thong tin'!$C$9 - 1)</f>
        <v>0</v>
      </c>
      <c r="E22" s="313">
        <f ca="1">OFFSET('Ket qua kinh doanh'!$AZ17,0,'Thong tin'!$C$9 - 1)</f>
        <v>0</v>
      </c>
      <c r="F22" s="313">
        <f ca="1">SUM(OFFSET('Ket qua kinh doanh'!$BL17,0,0,1,'Thong tin'!$C$9))</f>
        <v>0</v>
      </c>
      <c r="G22" s="313">
        <f ca="1">SUM(OFFSET('Ket qua kinh doanh'!$AZ17,0,0,1,'Thong tin'!$C$9))</f>
        <v>0</v>
      </c>
    </row>
    <row r="23" spans="1:7" ht="18" customHeight="1" x14ac:dyDescent="0.25">
      <c r="A23" s="310" t="s">
        <v>421</v>
      </c>
      <c r="B23" s="311" t="s">
        <v>422</v>
      </c>
      <c r="C23" s="312"/>
      <c r="D23" s="313">
        <f ca="1">OFFSET('Ket qua kinh doanh'!$BL18,0,'Thong tin'!$C$9 - 1)</f>
        <v>0</v>
      </c>
      <c r="E23" s="313">
        <f ca="1">OFFSET('Ket qua kinh doanh'!$AZ18,0,'Thong tin'!$C$9 - 1)</f>
        <v>0</v>
      </c>
      <c r="F23" s="313">
        <f ca="1">SUM(OFFSET('Ket qua kinh doanh'!$BL18,0,0,1,'Thong tin'!$C$9))</f>
        <v>161000</v>
      </c>
      <c r="G23" s="313">
        <f ca="1">SUM(OFFSET('Ket qua kinh doanh'!$AZ18,0,0,1,'Thong tin'!$C$9))</f>
        <v>0</v>
      </c>
    </row>
    <row r="24" spans="1:7" ht="18" customHeight="1" x14ac:dyDescent="0.25">
      <c r="A24" s="317" t="s">
        <v>423</v>
      </c>
      <c r="B24" s="318" t="s">
        <v>424</v>
      </c>
      <c r="C24" s="319"/>
      <c r="D24" s="328">
        <f ca="1">OFFSET('Ket qua kinh doanh'!$BL19,0,'Thong tin'!$C$9 - 1)</f>
        <v>0</v>
      </c>
      <c r="E24" s="328">
        <f ca="1">OFFSET('Ket qua kinh doanh'!$AZ19,0,'Thong tin'!$C$9 - 1)</f>
        <v>0</v>
      </c>
      <c r="F24" s="328">
        <f ca="1">SUM(OFFSET('Ket qua kinh doanh'!$BL19,0,0,1,'Thong tin'!$C$9))</f>
        <v>-161000</v>
      </c>
      <c r="G24" s="328">
        <f ca="1">SUM(OFFSET('Ket qua kinh doanh'!$AZ19,0,0,1,'Thong tin'!$C$9))</f>
        <v>0</v>
      </c>
    </row>
    <row r="25" spans="1:7" s="316" customFormat="1" ht="18" customHeight="1" x14ac:dyDescent="0.25">
      <c r="A25" s="314" t="s">
        <v>425</v>
      </c>
      <c r="B25" s="329" t="s">
        <v>426</v>
      </c>
      <c r="C25" s="330"/>
      <c r="D25" s="331">
        <f ca="1">OFFSET('Ket qua kinh doanh'!$BL20,0,'Thong tin'!$C$9 - 1)</f>
        <v>-583647</v>
      </c>
      <c r="E25" s="331">
        <f ca="1">OFFSET('Ket qua kinh doanh'!$AZ20,0,'Thong tin'!$C$9 - 1)</f>
        <v>-612761221</v>
      </c>
      <c r="F25" s="331">
        <f ca="1">SUM(OFFSET('Ket qua kinh doanh'!$BL20,0,0,1,'Thong tin'!$C$9))</f>
        <v>3786935</v>
      </c>
      <c r="G25" s="331">
        <f ca="1">SUM(OFFSET('Ket qua kinh doanh'!$AZ20,0,0,1,'Thong tin'!$C$9))</f>
        <v>-2462493796</v>
      </c>
    </row>
    <row r="26" spans="1:7" ht="18" customHeight="1" x14ac:dyDescent="0.25">
      <c r="A26" s="310" t="s">
        <v>427</v>
      </c>
      <c r="B26" s="311" t="s">
        <v>428</v>
      </c>
      <c r="C26" s="312"/>
      <c r="D26" s="332">
        <f ca="1">OFFSET('Ket qua kinh doanh'!$BL21,0,'Thong tin'!$C$9 - 1)</f>
        <v>0</v>
      </c>
      <c r="E26" s="322">
        <f ca="1">OFFSET('Ket qua kinh doanh'!$AZ21,0,'Thong tin'!$C$9 - 1)</f>
        <v>0</v>
      </c>
      <c r="F26" s="313">
        <f ca="1">SUM(OFFSET('Ket qua kinh doanh'!$BL21,0,0,1,'Thong tin'!$C$9))</f>
        <v>0</v>
      </c>
      <c r="G26" s="313">
        <f ca="1">SUM(OFFSET('Ket qua kinh doanh'!$AZ21,0,0,1,'Thong tin'!$C$9))</f>
        <v>0</v>
      </c>
    </row>
    <row r="27" spans="1:7" ht="18" customHeight="1" x14ac:dyDescent="0.25">
      <c r="A27" s="310" t="s">
        <v>429</v>
      </c>
      <c r="B27" s="311" t="s">
        <v>430</v>
      </c>
      <c r="C27" s="312"/>
      <c r="D27" s="332">
        <f ca="1">OFFSET('Ket qua kinh doanh'!$BL22,0,'Thong tin'!$C$9 - 1)</f>
        <v>0</v>
      </c>
      <c r="E27" s="322">
        <f ca="1">OFFSET('Ket qua kinh doanh'!$AZ22,0,'Thong tin'!$C$9 - 1)</f>
        <v>0</v>
      </c>
      <c r="F27" s="332">
        <f ca="1">SUM(OFFSET('Ket qua kinh doanh'!$BL22,0,0,1,'Thong tin'!$C$9))</f>
        <v>0</v>
      </c>
      <c r="G27" s="313">
        <f ca="1">SUM(OFFSET('Ket qua kinh doanh'!$AZ22,0,0,1,'Thong tin'!$C$9))</f>
        <v>0</v>
      </c>
    </row>
    <row r="28" spans="1:7" s="316" customFormat="1" ht="18" customHeight="1" x14ac:dyDescent="0.25">
      <c r="A28" s="333" t="s">
        <v>431</v>
      </c>
      <c r="B28" s="334" t="s">
        <v>432</v>
      </c>
      <c r="C28" s="335"/>
      <c r="D28" s="336">
        <f ca="1">OFFSET('Ket qua kinh doanh'!$BL23,0,'Thong tin'!$C$9 - 1)</f>
        <v>-583647</v>
      </c>
      <c r="E28" s="336">
        <f ca="1">OFFSET('Ket qua kinh doanh'!$AZ23,0,'Thong tin'!$C$9 - 1)</f>
        <v>-612761221</v>
      </c>
      <c r="F28" s="336">
        <f ca="1">SUM(OFFSET('Ket qua kinh doanh'!$BL23,0,0,1,'Thong tin'!$C$9))</f>
        <v>3786935</v>
      </c>
      <c r="G28" s="336">
        <f ca="1">SUM(OFFSET('Ket qua kinh doanh'!$AZ23,0,0,1,'Thong tin'!$C$9))</f>
        <v>-2462493796</v>
      </c>
    </row>
    <row r="29" spans="1:7" hidden="1" x14ac:dyDescent="0.25">
      <c r="A29" s="337" t="s">
        <v>433</v>
      </c>
      <c r="B29" s="303" t="s">
        <v>434</v>
      </c>
      <c r="C29" s="338"/>
      <c r="D29" s="339"/>
      <c r="E29" s="340"/>
      <c r="F29" s="341" t="e">
        <f>#REF!+#REF!+#REF!+#REF!+#REF!+#REF!+#REF!+#REF!+#REF!+#REF!+#REF!+D29</f>
        <v>#REF!</v>
      </c>
      <c r="G29" s="341" t="e">
        <f>#REF!+#REF!+#REF!+#REF!+#REF!+#REF!+#REF!+#REF!+#REF!+#REF!+#REF!+E29</f>
        <v>#REF!</v>
      </c>
    </row>
    <row r="30" spans="1:7" ht="6" customHeight="1" x14ac:dyDescent="0.25">
      <c r="A30" s="342"/>
      <c r="B30" s="343"/>
      <c r="C30" s="344"/>
      <c r="D30" s="345"/>
      <c r="E30" s="346"/>
      <c r="F30" s="345"/>
      <c r="G30" s="346"/>
    </row>
    <row r="31" spans="1:7" ht="11.25" customHeight="1" x14ac:dyDescent="0.25">
      <c r="D31" s="298">
        <v>0</v>
      </c>
      <c r="E31" s="298">
        <v>0</v>
      </c>
      <c r="F31" s="298">
        <v>0</v>
      </c>
      <c r="G31" s="298">
        <v>0</v>
      </c>
    </row>
    <row r="32" spans="1:7" x14ac:dyDescent="0.25">
      <c r="D32" s="589"/>
      <c r="E32" s="589"/>
      <c r="F32" s="572" t="s">
        <v>626</v>
      </c>
      <c r="G32" s="572"/>
    </row>
    <row r="33" spans="2:7" x14ac:dyDescent="0.25">
      <c r="D33" s="347"/>
      <c r="E33" s="347"/>
      <c r="F33" s="347"/>
      <c r="G33" s="347"/>
    </row>
    <row r="34" spans="2:7" x14ac:dyDescent="0.25">
      <c r="B34" s="570" t="s">
        <v>344</v>
      </c>
      <c r="C34" s="570"/>
      <c r="D34" s="570"/>
      <c r="E34" s="570"/>
      <c r="F34" s="569" t="str">
        <f>'Thong tin'!B18</f>
        <v>GIÁM ĐỐC TÀI CHÍNH</v>
      </c>
      <c r="G34" s="569"/>
    </row>
    <row r="35" spans="2:7" ht="15" customHeight="1" x14ac:dyDescent="0.25">
      <c r="B35" s="348"/>
      <c r="D35" s="349"/>
    </row>
    <row r="36" spans="2:7" ht="15" customHeight="1" x14ac:dyDescent="0.25">
      <c r="B36" s="348"/>
      <c r="D36" s="349"/>
    </row>
    <row r="37" spans="2:7" ht="15" customHeight="1" x14ac:dyDescent="0.25">
      <c r="B37" s="348"/>
      <c r="D37" s="349"/>
    </row>
    <row r="38" spans="2:7" ht="15" customHeight="1" x14ac:dyDescent="0.25">
      <c r="B38" s="348"/>
      <c r="D38" s="349"/>
    </row>
    <row r="39" spans="2:7" ht="15" customHeight="1" x14ac:dyDescent="0.25">
      <c r="B39" s="348"/>
      <c r="D39" s="349"/>
    </row>
    <row r="40" spans="2:7" ht="15" customHeight="1" x14ac:dyDescent="0.25">
      <c r="B40" s="348"/>
      <c r="D40" s="349"/>
    </row>
    <row r="41" spans="2:7" ht="15" customHeight="1" x14ac:dyDescent="0.25">
      <c r="B41" s="571" t="str">
        <f>'Thong tin'!B13</f>
        <v>Vũ Thị Hiên</v>
      </c>
      <c r="C41" s="571"/>
      <c r="D41" s="571"/>
      <c r="E41" s="571"/>
      <c r="F41" s="568" t="s">
        <v>392</v>
      </c>
      <c r="G41" s="568"/>
    </row>
    <row r="42" spans="2:7" ht="15" customHeight="1" x14ac:dyDescent="0.25"/>
    <row r="43" spans="2:7" ht="15" customHeight="1" x14ac:dyDescent="0.25"/>
    <row r="44" spans="2:7" ht="15" customHeight="1" x14ac:dyDescent="0.25"/>
    <row r="45" spans="2:7" ht="15" customHeight="1" x14ac:dyDescent="0.25"/>
    <row r="46" spans="2:7" ht="15" customHeight="1" x14ac:dyDescent="0.25"/>
    <row r="48" spans="2:7" ht="15" customHeight="1" x14ac:dyDescent="0.25"/>
  </sheetData>
  <mergeCells count="18"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  <mergeCell ref="B34:C34"/>
    <mergeCell ref="D34:E34"/>
    <mergeCell ref="F34:G34"/>
    <mergeCell ref="B41:C41"/>
    <mergeCell ref="D41:E41"/>
    <mergeCell ref="F41:G41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8F08-81D5-4FF9-AFEA-D6F56A05BAA9}">
  <sheetPr>
    <tabColor theme="8" tint="0.59999389629810485"/>
  </sheetPr>
  <dimension ref="A1:G59"/>
  <sheetViews>
    <sheetView showGridLines="0" showZeros="0" zoomScaleNormal="100" workbookViewId="0">
      <pane xSplit="1" ySplit="9" topLeftCell="B46" activePane="bottomRight" state="frozen"/>
      <selection activeCell="D8" sqref="D8:E8"/>
      <selection pane="topRight" activeCell="D8" sqref="D8:E8"/>
      <selection pane="bottomLeft" activeCell="D8" sqref="D8:E8"/>
      <selection pane="bottomRight" activeCell="B17" sqref="B17"/>
    </sheetView>
  </sheetViews>
  <sheetFormatPr defaultColWidth="9.140625" defaultRowHeight="15" x14ac:dyDescent="0.25"/>
  <cols>
    <col min="1" max="1" width="38.5703125" style="350" customWidth="1"/>
    <col min="2" max="2" width="16.28515625" style="350" customWidth="1"/>
    <col min="3" max="3" width="16.28515625" style="384" customWidth="1"/>
    <col min="4" max="4" width="16.42578125" style="350" customWidth="1"/>
    <col min="5" max="5" width="16.42578125" style="384" customWidth="1"/>
    <col min="6" max="6" width="12" style="350" bestFit="1" customWidth="1"/>
    <col min="7" max="7" width="17.85546875" style="350" bestFit="1" customWidth="1"/>
    <col min="8" max="16384" width="9.140625" style="350"/>
  </cols>
  <sheetData>
    <row r="1" spans="1:7" ht="15.75" x14ac:dyDescent="0.25">
      <c r="A1" s="302" t="str">
        <f>'Thong tin'!$A$1</f>
        <v xml:space="preserve">CÔNG TY CỔ PHẦN TÁI CHẾ TÂN ĐẠI PHÁT </v>
      </c>
      <c r="B1" s="245"/>
      <c r="C1" s="200"/>
      <c r="D1" s="245"/>
      <c r="E1" s="200"/>
    </row>
    <row r="2" spans="1:7" ht="16.5" thickBot="1" x14ac:dyDescent="0.3">
      <c r="A2" s="243" t="str">
        <f>'Thong tin'!$A$2</f>
        <v>Địa chỉ: Số C11-C15 Cụm Công Nghiệp Nhựa Đức Hòa, Ấp Bình Tiền 2, Xã Đức Hòa, Tây Ninh</v>
      </c>
      <c r="B2" s="304"/>
      <c r="C2" s="203"/>
      <c r="D2" s="304"/>
      <c r="E2" s="203"/>
    </row>
    <row r="3" spans="1:7" ht="27" customHeight="1" x14ac:dyDescent="0.25">
      <c r="A3" s="245"/>
      <c r="B3" s="245"/>
      <c r="C3" s="204"/>
      <c r="D3" s="245"/>
      <c r="E3" s="204"/>
    </row>
    <row r="4" spans="1:7" ht="20.25" x14ac:dyDescent="0.3">
      <c r="A4" s="573" t="s">
        <v>435</v>
      </c>
      <c r="B4" s="573"/>
      <c r="C4" s="573"/>
      <c r="D4" s="573"/>
      <c r="E4" s="573"/>
    </row>
    <row r="5" spans="1:7" ht="12" customHeight="1" x14ac:dyDescent="0.25">
      <c r="A5" s="592" t="s">
        <v>436</v>
      </c>
      <c r="B5" s="592"/>
      <c r="C5" s="592"/>
      <c r="D5" s="592"/>
      <c r="E5" s="592"/>
    </row>
    <row r="6" spans="1:7" ht="12.75" customHeight="1" x14ac:dyDescent="0.25">
      <c r="A6" s="593" t="str">
        <f>"Năm " &amp; 'Thong tin'!$C$6</f>
        <v>Năm 2026</v>
      </c>
      <c r="B6" s="593"/>
      <c r="C6" s="593"/>
      <c r="D6" s="593"/>
      <c r="E6" s="593"/>
    </row>
    <row r="7" spans="1:7" ht="12" customHeight="1" x14ac:dyDescent="0.25">
      <c r="B7" s="351"/>
      <c r="C7" s="305"/>
      <c r="D7" s="351"/>
      <c r="E7" s="352" t="str">
        <f>'KQKD in'!G6</f>
        <v>ĐVT: VNĐ</v>
      </c>
    </row>
    <row r="8" spans="1:7" s="353" customFormat="1" ht="14.25" customHeight="1" x14ac:dyDescent="0.2">
      <c r="A8" s="594" t="s">
        <v>395</v>
      </c>
      <c r="B8" s="581" t="str">
        <f>"Tháng " &amp; 'Thong tin'!$C$9</f>
        <v>Tháng 4</v>
      </c>
      <c r="C8" s="582"/>
      <c r="D8" s="583" t="str">
        <f>"Lũy kế"&amp;" "&amp; 'Thong tin'!$C$9 &amp;" "&amp;"tháng"</f>
        <v>Lũy kế 4 tháng</v>
      </c>
      <c r="E8" s="584"/>
    </row>
    <row r="9" spans="1:7" x14ac:dyDescent="0.25">
      <c r="A9" s="595"/>
      <c r="B9" s="354" t="str">
        <f>"Năm " &amp; 'Thong tin'!$C$6</f>
        <v>Năm 2026</v>
      </c>
      <c r="C9" s="354" t="str">
        <f>"Năm " &amp; 'Thong tin'!$C$7</f>
        <v>Năm 2025</v>
      </c>
      <c r="D9" s="354" t="str">
        <f>"Năm " &amp; 'Thong tin'!$C$6</f>
        <v>Năm 2026</v>
      </c>
      <c r="E9" s="354" t="str">
        <f>"Năm " &amp; 'Thong tin'!$C$7</f>
        <v>Năm 2025</v>
      </c>
    </row>
    <row r="10" spans="1:7" ht="18" customHeight="1" x14ac:dyDescent="0.25">
      <c r="A10" s="355" t="s">
        <v>91</v>
      </c>
      <c r="B10" s="356"/>
      <c r="C10" s="356"/>
      <c r="D10" s="356"/>
      <c r="E10" s="356"/>
    </row>
    <row r="11" spans="1:7" s="359" customFormat="1" ht="17.100000000000001" customHeight="1" x14ac:dyDescent="0.25">
      <c r="A11" s="357" t="s">
        <v>437</v>
      </c>
      <c r="B11" s="358">
        <f ca="1">OFFSET('Luu chuyen tien te'!$BL5,0,'Thong tin'!$C$9 - 1)</f>
        <v>-583647</v>
      </c>
      <c r="C11" s="358">
        <f ca="1">OFFSET('Luu chuyen tien te'!$AZ5,0,'Thong tin'!$C$9 - 1)</f>
        <v>-612761221</v>
      </c>
      <c r="D11" s="358">
        <f ca="1">SUM(OFFSET('Luu chuyen tien te'!$BL5,0,0,1,'Thong tin'!$C$9))</f>
        <v>3786935</v>
      </c>
      <c r="E11" s="358">
        <f ca="1">SUM(OFFSET('Luu chuyen tien te'!$AZ5,0,0,1,'Thong tin'!$C$9))</f>
        <v>-2462493796</v>
      </c>
    </row>
    <row r="12" spans="1:7" s="359" customFormat="1" ht="17.100000000000001" customHeight="1" x14ac:dyDescent="0.25">
      <c r="A12" s="357" t="s">
        <v>438</v>
      </c>
      <c r="B12" s="358"/>
      <c r="C12" s="358"/>
      <c r="D12" s="358"/>
      <c r="E12" s="358"/>
    </row>
    <row r="13" spans="1:7" x14ac:dyDescent="0.25">
      <c r="A13" s="360" t="s">
        <v>439</v>
      </c>
      <c r="B13" s="361">
        <f ca="1">OFFSET('Luu chuyen tien te'!$BL7,0,'Thong tin'!$C$9 - 1)</f>
        <v>0</v>
      </c>
      <c r="C13" s="361">
        <f ca="1">OFFSET('Luu chuyen tien te'!$AZ7,0,'Thong tin'!$C$9 - 1)</f>
        <v>0</v>
      </c>
      <c r="D13" s="361">
        <f ca="1">SUM(OFFSET('Luu chuyen tien te'!$BL7,0,0,1,'Thong tin'!$C$9))</f>
        <v>0</v>
      </c>
      <c r="E13" s="361">
        <f ca="1">SUM(OFFSET('Luu chuyen tien te'!$AZ7,0,0,1,'Thong tin'!$C$9))</f>
        <v>0</v>
      </c>
    </row>
    <row r="14" spans="1:7" x14ac:dyDescent="0.25">
      <c r="A14" s="360" t="s">
        <v>440</v>
      </c>
      <c r="B14" s="361">
        <f ca="1">OFFSET('Luu chuyen tien te'!$BL8,0,'Thong tin'!$C$9 - 1)</f>
        <v>0</v>
      </c>
      <c r="C14" s="361">
        <f ca="1">OFFSET('Luu chuyen tien te'!$AZ8,0,'Thong tin'!$C$9 - 1)</f>
        <v>0</v>
      </c>
      <c r="D14" s="361">
        <f ca="1">SUM(OFFSET('Luu chuyen tien te'!$BL8,0,0,1,'Thong tin'!$C$9))</f>
        <v>0</v>
      </c>
      <c r="E14" s="361">
        <f ca="1">SUM(OFFSET('Luu chuyen tien te'!$AZ8,0,0,1,'Thong tin'!$C$9))</f>
        <v>0</v>
      </c>
      <c r="G14" s="362"/>
    </row>
    <row r="15" spans="1:7" ht="29.25" customHeight="1" x14ac:dyDescent="0.25">
      <c r="A15" s="363" t="s">
        <v>441</v>
      </c>
      <c r="B15" s="361">
        <f ca="1">OFFSET('Luu chuyen tien te'!$BL9,0,'Thong tin'!$C$9 - 1)</f>
        <v>0</v>
      </c>
      <c r="C15" s="361">
        <f ca="1">OFFSET('Luu chuyen tien te'!$AZ9,0,'Thong tin'!$C$9 - 1)</f>
        <v>0</v>
      </c>
      <c r="D15" s="361">
        <f ca="1">SUM(OFFSET('Luu chuyen tien te'!$BL9,0,0,1,'Thong tin'!$C$9))</f>
        <v>0</v>
      </c>
      <c r="E15" s="361">
        <f ca="1">SUM(OFFSET('Luu chuyen tien te'!$AZ9,0,0,1,'Thong tin'!$C$9))</f>
        <v>0</v>
      </c>
    </row>
    <row r="16" spans="1:7" x14ac:dyDescent="0.25">
      <c r="A16" s="360" t="s">
        <v>442</v>
      </c>
      <c r="B16" s="361">
        <f ca="1">OFFSET('Luu chuyen tien te'!$BL10,0,'Thong tin'!$C$9 - 1)</f>
        <v>-1090</v>
      </c>
      <c r="C16" s="361">
        <f ca="1">OFFSET('Luu chuyen tien te'!$AZ10,0,'Thong tin'!$C$9 - 1)</f>
        <v>-3453516</v>
      </c>
      <c r="D16" s="361">
        <f ca="1">SUM(OFFSET('Luu chuyen tien te'!$BL10,0,0,1,'Thong tin'!$C$9))</f>
        <v>-6286883</v>
      </c>
      <c r="E16" s="361">
        <f ca="1">SUM(OFFSET('Luu chuyen tien te'!$AZ10,0,0,1,'Thong tin'!$C$9))</f>
        <v>-3475152</v>
      </c>
    </row>
    <row r="17" spans="1:5" x14ac:dyDescent="0.25">
      <c r="A17" s="360" t="s">
        <v>443</v>
      </c>
      <c r="B17" s="361">
        <f ca="1">OFFSET('Luu chuyen tien te'!$BL11,0,'Thong tin'!$C$9 - 1)</f>
        <v>0</v>
      </c>
      <c r="C17" s="361">
        <f ca="1">OFFSET('Luu chuyen tien te'!$AZ11,0,'Thong tin'!$C$9 - 1)</f>
        <v>0</v>
      </c>
      <c r="D17" s="361">
        <f ca="1">SUM(OFFSET('Luu chuyen tien te'!$BL11,0,0,1,'Thong tin'!$C$9))</f>
        <v>0</v>
      </c>
      <c r="E17" s="361">
        <f ca="1">SUM(OFFSET('Luu chuyen tien te'!$AZ11,0,0,1,'Thong tin'!$C$9))</f>
        <v>0</v>
      </c>
    </row>
    <row r="18" spans="1:5" x14ac:dyDescent="0.25">
      <c r="A18" s="360" t="s">
        <v>444</v>
      </c>
      <c r="B18" s="361">
        <f ca="1">OFFSET('Luu chuyen tien te'!$BL12,0,'Thong tin'!$C$9 - 1)</f>
        <v>0</v>
      </c>
      <c r="C18" s="361">
        <f ca="1">OFFSET('Luu chuyen tien te'!$AZ12,0,'Thong tin'!$C$9 - 1)</f>
        <v>0</v>
      </c>
      <c r="D18" s="361">
        <f ca="1">SUM(OFFSET('Luu chuyen tien te'!$BL12,0,0,1,'Thong tin'!$C$9))</f>
        <v>0</v>
      </c>
      <c r="E18" s="361">
        <f ca="1">SUM(OFFSET('Luu chuyen tien te'!$AZ12,0,0,1,'Thong tin'!$C$9))</f>
        <v>0</v>
      </c>
    </row>
    <row r="19" spans="1:5" s="366" customFormat="1" ht="32.25" customHeight="1" x14ac:dyDescent="0.25">
      <c r="A19" s="364" t="s">
        <v>445</v>
      </c>
      <c r="B19" s="365">
        <f t="shared" ref="B19:D19" ca="1" si="0">SUM(B11:B18)</f>
        <v>-584737</v>
      </c>
      <c r="C19" s="365">
        <f t="shared" ref="C19" ca="1" si="1">SUM(C11:C18)</f>
        <v>-616214737</v>
      </c>
      <c r="D19" s="365">
        <f t="shared" ca="1" si="0"/>
        <v>-2499948</v>
      </c>
      <c r="E19" s="365">
        <f t="shared" ref="E19" ca="1" si="2">SUM(E11:E18)</f>
        <v>-2465968948</v>
      </c>
    </row>
    <row r="20" spans="1:5" s="366" customFormat="1" x14ac:dyDescent="0.25">
      <c r="A20" s="367" t="s">
        <v>446</v>
      </c>
      <c r="B20" s="361">
        <f ca="1">OFFSET('Luu chuyen tien te'!$BL14,0,'Thong tin'!$C$9 - 1)</f>
        <v>0</v>
      </c>
      <c r="C20" s="361">
        <f ca="1">OFFSET('Luu chuyen tien te'!$AZ14,0,'Thong tin'!$C$9 - 1)</f>
        <v>-93613000</v>
      </c>
      <c r="D20" s="361">
        <f ca="1">SUM(OFFSET('Luu chuyen tien te'!$BL14,0,0,1,'Thong tin'!$C$9))</f>
        <v>0</v>
      </c>
      <c r="E20" s="361">
        <f ca="1">SUM(OFFSET('Luu chuyen tien te'!$AZ14,0,0,1,'Thong tin'!$C$9))</f>
        <v>-277213000</v>
      </c>
    </row>
    <row r="21" spans="1:5" s="366" customFormat="1" x14ac:dyDescent="0.25">
      <c r="A21" s="367" t="s">
        <v>447</v>
      </c>
      <c r="B21" s="361">
        <f ca="1">OFFSET('Luu chuyen tien te'!$BL15,0,'Thong tin'!$C$9 - 1)</f>
        <v>0</v>
      </c>
      <c r="C21" s="361">
        <f ca="1">OFFSET('Luu chuyen tien te'!$AZ15,0,'Thong tin'!$C$9 - 1)</f>
        <v>0</v>
      </c>
      <c r="D21" s="361">
        <f ca="1">SUM(OFFSET('Luu chuyen tien te'!$BL15,0,0,1,'Thong tin'!$C$9))</f>
        <v>0</v>
      </c>
      <c r="E21" s="361">
        <f ca="1">SUM(OFFSET('Luu chuyen tien te'!$AZ15,0,0,1,'Thong tin'!$C$9))</f>
        <v>0</v>
      </c>
    </row>
    <row r="22" spans="1:5" s="366" customFormat="1" ht="30" customHeight="1" x14ac:dyDescent="0.25">
      <c r="A22" s="368" t="s">
        <v>448</v>
      </c>
      <c r="B22" s="361">
        <f ca="1">OFFSET('Luu chuyen tien te'!$BL16,0,'Thong tin'!$C$9 - 1)</f>
        <v>0</v>
      </c>
      <c r="C22" s="361">
        <f ca="1">OFFSET('Luu chuyen tien te'!$AZ16,0,'Thong tin'!$C$9 - 1)</f>
        <v>660000000</v>
      </c>
      <c r="D22" s="361">
        <f ca="1">SUM(OFFSET('Luu chuyen tien te'!$BL16,0,0,1,'Thong tin'!$C$9))</f>
        <v>161000</v>
      </c>
      <c r="E22" s="361">
        <f ca="1">SUM(OFFSET('Luu chuyen tien te'!$AZ16,0,0,1,'Thong tin'!$C$9))</f>
        <v>2638222222</v>
      </c>
    </row>
    <row r="23" spans="1:5" s="366" customFormat="1" x14ac:dyDescent="0.25">
      <c r="A23" s="367" t="s">
        <v>449</v>
      </c>
      <c r="B23" s="361">
        <f ca="1">OFFSET('Luu chuyen tien te'!$BL17,0,'Thong tin'!$C$9 - 1)</f>
        <v>584737</v>
      </c>
      <c r="C23" s="361">
        <f ca="1">OFFSET('Luu chuyen tien te'!$AZ17,0,'Thong tin'!$C$9 - 1)</f>
        <v>584737</v>
      </c>
      <c r="D23" s="361">
        <f ca="1">SUM(OFFSET('Luu chuyen tien te'!$BL17,0,0,1,'Thong tin'!$C$9))</f>
        <v>2338948</v>
      </c>
      <c r="E23" s="361">
        <f ca="1">SUM(OFFSET('Luu chuyen tien te'!$AZ17,0,0,1,'Thong tin'!$C$9))</f>
        <v>2338948</v>
      </c>
    </row>
    <row r="24" spans="1:5" s="366" customFormat="1" x14ac:dyDescent="0.25">
      <c r="A24" s="367" t="s">
        <v>450</v>
      </c>
      <c r="B24" s="361">
        <f ca="1">OFFSET('Luu chuyen tien te'!$BL18,0,'Thong tin'!$C$9 - 1)</f>
        <v>0</v>
      </c>
      <c r="C24" s="361">
        <f ca="1">OFFSET('Luu chuyen tien te'!$AZ18,0,'Thong tin'!$C$9 - 1)</f>
        <v>0</v>
      </c>
      <c r="D24" s="361">
        <f ca="1">SUM(OFFSET('Luu chuyen tien te'!$BL18,0,0,1,'Thong tin'!$C$9))</f>
        <v>0</v>
      </c>
      <c r="E24" s="361">
        <f ca="1">SUM(OFFSET('Luu chuyen tien te'!$AZ18,0,0,1,'Thong tin'!$C$9))</f>
        <v>0</v>
      </c>
    </row>
    <row r="25" spans="1:5" s="366" customFormat="1" x14ac:dyDescent="0.25">
      <c r="A25" s="367" t="s">
        <v>451</v>
      </c>
      <c r="B25" s="361">
        <f ca="1">OFFSET('Luu chuyen tien te'!$BL19,0,'Thong tin'!$C$9 - 1)</f>
        <v>0</v>
      </c>
      <c r="C25" s="361">
        <f ca="1">OFFSET('Luu chuyen tien te'!$AZ19,0,'Thong tin'!$C$9 - 1)</f>
        <v>0</v>
      </c>
      <c r="D25" s="361">
        <f ca="1">SUM(OFFSET('Luu chuyen tien te'!$BL19,0,0,1,'Thong tin'!$C$9))</f>
        <v>0</v>
      </c>
      <c r="E25" s="361">
        <f ca="1">SUM(OFFSET('Luu chuyen tien te'!$AZ19,0,0,1,'Thong tin'!$C$9))</f>
        <v>0</v>
      </c>
    </row>
    <row r="26" spans="1:5" s="366" customFormat="1" x14ac:dyDescent="0.25">
      <c r="A26" s="367" t="s">
        <v>452</v>
      </c>
      <c r="B26" s="361">
        <f ca="1">OFFSET('Luu chuyen tien te'!$BL20,0,'Thong tin'!$C$9 - 1)</f>
        <v>0</v>
      </c>
      <c r="C26" s="361">
        <f ca="1">OFFSET('Luu chuyen tien te'!$AZ20,0,'Thong tin'!$C$9 - 1)</f>
        <v>0</v>
      </c>
      <c r="D26" s="361">
        <f ca="1">SUM(OFFSET('Luu chuyen tien te'!$BL20,0,0,1,'Thong tin'!$C$9))</f>
        <v>0</v>
      </c>
      <c r="E26" s="361">
        <f ca="1">SUM(OFFSET('Luu chuyen tien te'!$AZ20,0,0,1,'Thong tin'!$C$9))</f>
        <v>0</v>
      </c>
    </row>
    <row r="27" spans="1:5" s="366" customFormat="1" x14ac:dyDescent="0.25">
      <c r="A27" s="367" t="s">
        <v>453</v>
      </c>
      <c r="B27" s="361">
        <f ca="1">OFFSET('Luu chuyen tien te'!$BL21,0,'Thong tin'!$C$9 - 1)</f>
        <v>0</v>
      </c>
      <c r="C27" s="361">
        <f ca="1">OFFSET('Luu chuyen tien te'!$AZ21,0,'Thong tin'!$C$9 - 1)</f>
        <v>0</v>
      </c>
      <c r="D27" s="361">
        <f ca="1">SUM(OFFSET('Luu chuyen tien te'!$BL21,0,0,1,'Thong tin'!$C$9))</f>
        <v>0</v>
      </c>
      <c r="E27" s="361">
        <f ca="1">SUM(OFFSET('Luu chuyen tien te'!$AZ21,0,0,1,'Thong tin'!$C$9))</f>
        <v>0</v>
      </c>
    </row>
    <row r="28" spans="1:5" s="366" customFormat="1" x14ac:dyDescent="0.25">
      <c r="A28" s="367" t="s">
        <v>454</v>
      </c>
      <c r="B28" s="361">
        <f ca="1">OFFSET('Luu chuyen tien te'!$BL22,0,'Thong tin'!$C$9 - 1)</f>
        <v>0</v>
      </c>
      <c r="C28" s="361">
        <f ca="1">OFFSET('Luu chuyen tien te'!$AZ22,0,'Thong tin'!$C$9 - 1)</f>
        <v>0</v>
      </c>
      <c r="D28" s="361">
        <f ca="1">SUM(OFFSET('Luu chuyen tien te'!$BL22,0,0,1,'Thong tin'!$C$9))</f>
        <v>0</v>
      </c>
      <c r="E28" s="361">
        <f ca="1">SUM(OFFSET('Luu chuyen tien te'!$AZ22,0,0,1,'Thong tin'!$C$9))</f>
        <v>0</v>
      </c>
    </row>
    <row r="29" spans="1:5" s="366" customFormat="1" ht="29.25" customHeight="1" x14ac:dyDescent="0.25">
      <c r="A29" s="364" t="s">
        <v>102</v>
      </c>
      <c r="B29" s="358">
        <f ca="1">SUM(B19:B28)</f>
        <v>0</v>
      </c>
      <c r="C29" s="358">
        <f t="shared" ref="C29:E29" ca="1" si="3">SUM(C19:C28)</f>
        <v>-49243000</v>
      </c>
      <c r="D29" s="358">
        <f t="shared" ca="1" si="3"/>
        <v>0</v>
      </c>
      <c r="E29" s="358">
        <f t="shared" ca="1" si="3"/>
        <v>-102620778</v>
      </c>
    </row>
    <row r="30" spans="1:5" ht="18.75" customHeight="1" x14ac:dyDescent="0.25">
      <c r="A30" s="369" t="s">
        <v>103</v>
      </c>
      <c r="B30" s="370"/>
      <c r="C30" s="370"/>
      <c r="D30" s="370"/>
      <c r="E30" s="370"/>
    </row>
    <row r="31" spans="1:5" s="372" customFormat="1" ht="30" customHeight="1" x14ac:dyDescent="0.2">
      <c r="A31" s="371" t="s">
        <v>455</v>
      </c>
      <c r="B31" s="361">
        <f ca="1">OFFSET('Luu chuyen tien te'!$BL25,0,'Thong tin'!$C$9 - 1)</f>
        <v>0</v>
      </c>
      <c r="C31" s="361">
        <f ca="1">OFFSET('Luu chuyen tien te'!$AZ25,0,'Thong tin'!$C$9 - 1)</f>
        <v>0</v>
      </c>
      <c r="D31" s="361">
        <f ca="1">SUM(OFFSET('Luu chuyen tien te'!$BL25,0,0,1,'Thong tin'!$C$9))</f>
        <v>0</v>
      </c>
      <c r="E31" s="361">
        <f ca="1">SUM(OFFSET('Luu chuyen tien te'!$AZ25,0,0,1,'Thong tin'!$C$9))</f>
        <v>0</v>
      </c>
    </row>
    <row r="32" spans="1:5" s="372" customFormat="1" ht="30" customHeight="1" x14ac:dyDescent="0.2">
      <c r="A32" s="371" t="s">
        <v>456</v>
      </c>
      <c r="B32" s="361">
        <f ca="1">OFFSET('Luu chuyen tien te'!$BL26,0,'Thong tin'!$C$9 - 1)</f>
        <v>0</v>
      </c>
      <c r="C32" s="361">
        <f ca="1">OFFSET('Luu chuyen tien te'!$AZ26,0,'Thong tin'!$C$9 - 1)</f>
        <v>0</v>
      </c>
      <c r="D32" s="361">
        <f ca="1">SUM(OFFSET('Luu chuyen tien te'!$BL26,0,0,1,'Thong tin'!$C$9))</f>
        <v>0</v>
      </c>
      <c r="E32" s="361">
        <f ca="1">SUM(OFFSET('Luu chuyen tien te'!$AZ26,0,0,1,'Thong tin'!$C$9))</f>
        <v>0</v>
      </c>
    </row>
    <row r="33" spans="1:5" ht="30" customHeight="1" x14ac:dyDescent="0.25">
      <c r="A33" s="371" t="s">
        <v>457</v>
      </c>
      <c r="B33" s="361">
        <f ca="1">OFFSET('Luu chuyen tien te'!$BL27,0,'Thong tin'!$C$9 - 1)</f>
        <v>0</v>
      </c>
      <c r="C33" s="361">
        <f ca="1">OFFSET('Luu chuyen tien te'!$AZ27,0,'Thong tin'!$C$9 - 1)</f>
        <v>0</v>
      </c>
      <c r="D33" s="361">
        <f ca="1">SUM(OFFSET('Luu chuyen tien te'!$BL27,0,0,1,'Thong tin'!$C$9))</f>
        <v>0</v>
      </c>
      <c r="E33" s="361">
        <f ca="1">SUM(OFFSET('Luu chuyen tien te'!$AZ27,0,0,1,'Thong tin'!$C$9))</f>
        <v>0</v>
      </c>
    </row>
    <row r="34" spans="1:5" ht="29.25" customHeight="1" x14ac:dyDescent="0.25">
      <c r="A34" s="371" t="s">
        <v>458</v>
      </c>
      <c r="B34" s="361">
        <f ca="1">OFFSET('Luu chuyen tien te'!$BL28,0,'Thong tin'!$C$9 - 1)</f>
        <v>0</v>
      </c>
      <c r="C34" s="361">
        <f ca="1">OFFSET('Luu chuyen tien te'!$AZ28,0,'Thong tin'!$C$9 - 1)</f>
        <v>0</v>
      </c>
      <c r="D34" s="361">
        <f ca="1">SUM(OFFSET('Luu chuyen tien te'!$BL28,0,0,1,'Thong tin'!$C$9))</f>
        <v>0</v>
      </c>
      <c r="E34" s="361">
        <f ca="1">SUM(OFFSET('Luu chuyen tien te'!$AZ28,0,0,1,'Thong tin'!$C$9))</f>
        <v>0</v>
      </c>
    </row>
    <row r="35" spans="1:5" ht="18" customHeight="1" x14ac:dyDescent="0.25">
      <c r="A35" s="373" t="s">
        <v>459</v>
      </c>
      <c r="B35" s="361">
        <f ca="1">OFFSET('Luu chuyen tien te'!$BL29,0,'Thong tin'!$C$9 - 1)</f>
        <v>0</v>
      </c>
      <c r="C35" s="361">
        <f ca="1">OFFSET('Luu chuyen tien te'!$AZ29,0,'Thong tin'!$C$9 - 1)</f>
        <v>0</v>
      </c>
      <c r="D35" s="361">
        <f ca="1">SUM(OFFSET('Luu chuyen tien te'!$BL29,0,0,1,'Thong tin'!$C$9))</f>
        <v>0</v>
      </c>
      <c r="E35" s="361">
        <f ca="1">SUM(OFFSET('Luu chuyen tien te'!$AZ29,0,0,1,'Thong tin'!$C$9))</f>
        <v>0</v>
      </c>
    </row>
    <row r="36" spans="1:5" ht="18" customHeight="1" x14ac:dyDescent="0.25">
      <c r="A36" s="373" t="s">
        <v>460</v>
      </c>
      <c r="B36" s="361">
        <f ca="1">OFFSET('Luu chuyen tien te'!$BL30,0,'Thong tin'!$C$9 - 1)</f>
        <v>0</v>
      </c>
      <c r="C36" s="361">
        <f ca="1">OFFSET('Luu chuyen tien te'!$AZ30,0,'Thong tin'!$C$9 - 1)</f>
        <v>0</v>
      </c>
      <c r="D36" s="361">
        <f ca="1">SUM(OFFSET('Luu chuyen tien te'!$BL30,0,0,1,'Thong tin'!$C$9))</f>
        <v>0</v>
      </c>
      <c r="E36" s="361">
        <f ca="1">SUM(OFFSET('Luu chuyen tien te'!$AZ30,0,0,1,'Thong tin'!$C$9))</f>
        <v>0</v>
      </c>
    </row>
    <row r="37" spans="1:5" s="372" customFormat="1" ht="30" customHeight="1" x14ac:dyDescent="0.2">
      <c r="A37" s="371" t="s">
        <v>461</v>
      </c>
      <c r="B37" s="361">
        <f ca="1">OFFSET('Luu chuyen tien te'!$BL31,0,'Thong tin'!$C$9 - 1)</f>
        <v>1090</v>
      </c>
      <c r="C37" s="361">
        <f ca="1">OFFSET('Luu chuyen tien te'!$AZ31,0,'Thong tin'!$C$9 - 1)</f>
        <v>3453516</v>
      </c>
      <c r="D37" s="361">
        <f ca="1">SUM(OFFSET('Luu chuyen tien te'!$BL31,0,0,1,'Thong tin'!$C$9))</f>
        <v>6286883</v>
      </c>
      <c r="E37" s="361">
        <f ca="1">SUM(OFFSET('Luu chuyen tien te'!$AZ31,0,0,1,'Thong tin'!$C$9))</f>
        <v>3475152</v>
      </c>
    </row>
    <row r="38" spans="1:5" s="366" customFormat="1" ht="18" customHeight="1" x14ac:dyDescent="0.25">
      <c r="A38" s="357" t="s">
        <v>108</v>
      </c>
      <c r="B38" s="374">
        <f t="shared" ref="B38:D38" ca="1" si="4">SUM(B31:B37)</f>
        <v>1090</v>
      </c>
      <c r="C38" s="374">
        <f t="shared" ca="1" si="4"/>
        <v>3453516</v>
      </c>
      <c r="D38" s="374">
        <f t="shared" ca="1" si="4"/>
        <v>6286883</v>
      </c>
      <c r="E38" s="374">
        <f t="shared" ref="E38" ca="1" si="5">SUM(E31:E37)</f>
        <v>3475152</v>
      </c>
    </row>
    <row r="39" spans="1:5" ht="20.25" customHeight="1" x14ac:dyDescent="0.25">
      <c r="A39" s="369" t="s">
        <v>109</v>
      </c>
      <c r="B39" s="370"/>
      <c r="C39" s="370"/>
      <c r="D39" s="370"/>
      <c r="E39" s="370"/>
    </row>
    <row r="40" spans="1:5" ht="30" customHeight="1" x14ac:dyDescent="0.25">
      <c r="A40" s="375" t="s">
        <v>462</v>
      </c>
      <c r="B40" s="361">
        <f ca="1">OFFSET('Luu chuyen tien te'!$BL34,0,'Thong tin'!$C$9 - 1)</f>
        <v>0</v>
      </c>
      <c r="C40" s="361">
        <f ca="1">OFFSET('Luu chuyen tien te'!$AZ34,0,'Thong tin'!$C$9 - 1)</f>
        <v>0</v>
      </c>
      <c r="D40" s="361">
        <f ca="1">SUM(OFFSET('Luu chuyen tien te'!$BL34,0,0,1,'Thong tin'!$C$9))</f>
        <v>0</v>
      </c>
      <c r="E40" s="361">
        <f ca="1">SUM(OFFSET('Luu chuyen tien te'!$AZ34,0,0,1,'Thong tin'!$C$9))</f>
        <v>0</v>
      </c>
    </row>
    <row r="41" spans="1:5" s="372" customFormat="1" ht="30" customHeight="1" x14ac:dyDescent="0.2">
      <c r="A41" s="375" t="s">
        <v>463</v>
      </c>
      <c r="B41" s="361">
        <f ca="1">OFFSET('Luu chuyen tien te'!$BL35,0,'Thong tin'!$C$9 - 1)</f>
        <v>0</v>
      </c>
      <c r="C41" s="361">
        <f ca="1">OFFSET('Luu chuyen tien te'!$AZ35,0,'Thong tin'!$C$9 - 1)</f>
        <v>0</v>
      </c>
      <c r="D41" s="361">
        <f ca="1">SUM(OFFSET('Luu chuyen tien te'!$BL35,0,0,1,'Thong tin'!$C$9))</f>
        <v>0</v>
      </c>
      <c r="E41" s="361">
        <f ca="1">SUM(OFFSET('Luu chuyen tien te'!$AZ35,0,0,1,'Thong tin'!$C$9))</f>
        <v>0</v>
      </c>
    </row>
    <row r="42" spans="1:5" x14ac:dyDescent="0.25">
      <c r="A42" s="376" t="s">
        <v>464</v>
      </c>
      <c r="B42" s="361">
        <f ca="1">OFFSET('Luu chuyen tien te'!$BL36,0,'Thong tin'!$C$9 - 1)</f>
        <v>0</v>
      </c>
      <c r="C42" s="361">
        <f ca="1">OFFSET('Luu chuyen tien te'!$AZ36,0,'Thong tin'!$C$9 - 1)</f>
        <v>0</v>
      </c>
      <c r="D42" s="361">
        <f ca="1">SUM(OFFSET('Luu chuyen tien te'!$BL36,0,0,1,'Thong tin'!$C$9))</f>
        <v>0</v>
      </c>
      <c r="E42" s="361">
        <f ca="1">SUM(OFFSET('Luu chuyen tien te'!$AZ36,0,0,1,'Thong tin'!$C$9))</f>
        <v>0</v>
      </c>
    </row>
    <row r="43" spans="1:5" x14ac:dyDescent="0.25">
      <c r="A43" s="376" t="s">
        <v>465</v>
      </c>
      <c r="B43" s="361">
        <f ca="1">OFFSET('Luu chuyen tien te'!$BL37,0,'Thong tin'!$C$9 - 1)</f>
        <v>0</v>
      </c>
      <c r="C43" s="361">
        <f ca="1">OFFSET('Luu chuyen tien te'!$AZ37,0,'Thong tin'!$C$9 - 1)</f>
        <v>0</v>
      </c>
      <c r="D43" s="361">
        <f ca="1">SUM(OFFSET('Luu chuyen tien te'!$BL37,0,0,1,'Thong tin'!$C$9))</f>
        <v>0</v>
      </c>
      <c r="E43" s="361">
        <f ca="1">SUM(OFFSET('Luu chuyen tien te'!$AZ37,0,0,1,'Thong tin'!$C$9))</f>
        <v>0</v>
      </c>
    </row>
    <row r="44" spans="1:5" x14ac:dyDescent="0.25">
      <c r="A44" s="376" t="s">
        <v>466</v>
      </c>
      <c r="B44" s="361">
        <f ca="1">OFFSET('Luu chuyen tien te'!$BL38,0,'Thong tin'!$C$9 - 1)</f>
        <v>0</v>
      </c>
      <c r="C44" s="361">
        <f ca="1">OFFSET('Luu chuyen tien te'!$AZ38,0,'Thong tin'!$C$9 - 1)</f>
        <v>0</v>
      </c>
      <c r="D44" s="361">
        <f ca="1">SUM(OFFSET('Luu chuyen tien te'!$BL38,0,0,1,'Thong tin'!$C$9))</f>
        <v>0</v>
      </c>
      <c r="E44" s="361">
        <f ca="1">SUM(OFFSET('Luu chuyen tien te'!$AZ38,0,0,1,'Thong tin'!$C$9))</f>
        <v>0</v>
      </c>
    </row>
    <row r="45" spans="1:5" x14ac:dyDescent="0.25">
      <c r="A45" s="376" t="s">
        <v>467</v>
      </c>
      <c r="B45" s="361">
        <f ca="1">OFFSET('Luu chuyen tien te'!$BL39,0,'Thong tin'!$C$9 - 1)</f>
        <v>0</v>
      </c>
      <c r="C45" s="361">
        <f ca="1">OFFSET('Luu chuyen tien te'!$AZ39,0,'Thong tin'!$C$9 - 1)</f>
        <v>0</v>
      </c>
      <c r="D45" s="361">
        <f ca="1">SUM(OFFSET('Luu chuyen tien te'!$BL39,0,0,1,'Thong tin'!$C$9))</f>
        <v>0</v>
      </c>
      <c r="E45" s="361">
        <f ca="1">SUM(OFFSET('Luu chuyen tien te'!$AZ39,0,0,1,'Thong tin'!$C$9))</f>
        <v>0</v>
      </c>
    </row>
    <row r="46" spans="1:5" s="366" customFormat="1" ht="18" customHeight="1" x14ac:dyDescent="0.25">
      <c r="A46" s="377" t="s">
        <v>468</v>
      </c>
      <c r="B46" s="358">
        <f t="shared" ref="B46:E46" ca="1" si="6">SUM(B40:B45)</f>
        <v>0</v>
      </c>
      <c r="C46" s="358">
        <f t="shared" ca="1" si="6"/>
        <v>0</v>
      </c>
      <c r="D46" s="358">
        <f t="shared" ca="1" si="6"/>
        <v>0</v>
      </c>
      <c r="E46" s="358">
        <f t="shared" ca="1" si="6"/>
        <v>0</v>
      </c>
    </row>
    <row r="47" spans="1:5" s="366" customFormat="1" ht="18" customHeight="1" x14ac:dyDescent="0.25">
      <c r="A47" s="377" t="s">
        <v>114</v>
      </c>
      <c r="B47" s="358">
        <f ca="1">SUM(B29,B38,B46)</f>
        <v>1090</v>
      </c>
      <c r="C47" s="358">
        <f t="shared" ref="C47:E47" ca="1" si="7">SUM(C29,C38,C46)</f>
        <v>-45789484</v>
      </c>
      <c r="D47" s="358">
        <f t="shared" ca="1" si="7"/>
        <v>6286883</v>
      </c>
      <c r="E47" s="358">
        <f t="shared" ca="1" si="7"/>
        <v>-99145626</v>
      </c>
    </row>
    <row r="48" spans="1:5" s="366" customFormat="1" ht="18" customHeight="1" x14ac:dyDescent="0.25">
      <c r="A48" s="377" t="s">
        <v>115</v>
      </c>
      <c r="B48" s="378">
        <f ca="1">OFFSET('Luu chuyen tien te'!$BL42,0,'Thong tin'!$C$9 - 1)</f>
        <v>828312118</v>
      </c>
      <c r="C48" s="378">
        <f ca="1">OFFSET('Luu chuyen tien te'!$AZ42,0,'Thong tin'!$C$9 - 1)</f>
        <v>19862020121</v>
      </c>
      <c r="D48" s="358">
        <f>'Luu chuyen tien te'!BL42</f>
        <v>822026325</v>
      </c>
      <c r="E48" s="378">
        <f>'Luu chuyen tien te'!AZ42</f>
        <v>19915376263</v>
      </c>
    </row>
    <row r="49" spans="1:6" ht="30" customHeight="1" x14ac:dyDescent="0.25">
      <c r="A49" s="375" t="s">
        <v>116</v>
      </c>
      <c r="B49" s="361">
        <f ca="1">OFFSET('Luu chuyen tien te'!$BL43,0,'Thong tin'!$C$9 - 1)</f>
        <v>0</v>
      </c>
      <c r="C49" s="361">
        <f ca="1">OFFSET('Luu chuyen tien te'!$AZ43,0,'Thong tin'!$C$9 - 1)</f>
        <v>0</v>
      </c>
      <c r="D49" s="361">
        <f ca="1">SUM(OFFSET('Luu chuyen tien te'!$BL43,0,0,1,'Thong tin'!$C$9))</f>
        <v>0</v>
      </c>
      <c r="E49" s="361">
        <f ca="1">SUM(OFFSET('Luu chuyen tien te'!$AZ43,0,0,1,'Thong tin'!$C$9))</f>
        <v>0</v>
      </c>
    </row>
    <row r="50" spans="1:6" s="316" customFormat="1" ht="18" customHeight="1" x14ac:dyDescent="0.25">
      <c r="A50" s="379" t="s">
        <v>117</v>
      </c>
      <c r="B50" s="380">
        <f ca="1">SUM(B47:B49)</f>
        <v>828313208</v>
      </c>
      <c r="C50" s="380">
        <f ca="1">SUM(C47:C49)</f>
        <v>19816230637</v>
      </c>
      <c r="D50" s="380">
        <f t="shared" ref="D50:E50" ca="1" si="8">SUM(D47:D49)</f>
        <v>828313208</v>
      </c>
      <c r="E50" s="380">
        <f t="shared" ca="1" si="8"/>
        <v>19816230637</v>
      </c>
      <c r="F50" s="381"/>
    </row>
    <row r="51" spans="1:6" ht="17.25" customHeight="1" x14ac:dyDescent="0.25">
      <c r="A51" s="382"/>
      <c r="B51" s="383">
        <v>0</v>
      </c>
      <c r="C51" s="383">
        <v>0</v>
      </c>
      <c r="D51" s="383">
        <v>0</v>
      </c>
      <c r="E51" s="383">
        <v>0</v>
      </c>
    </row>
    <row r="52" spans="1:6" x14ac:dyDescent="0.25">
      <c r="B52" s="590"/>
      <c r="C52" s="590"/>
      <c r="D52" s="590" t="str">
        <f>'KQKD in'!F32</f>
        <v>Lập ngày 30 tháng 04 năm 2026</v>
      </c>
      <c r="E52" s="590"/>
    </row>
    <row r="53" spans="1:6" ht="22.5" customHeight="1" x14ac:dyDescent="0.25">
      <c r="A53" s="300" t="s">
        <v>344</v>
      </c>
      <c r="D53" s="591" t="s">
        <v>469</v>
      </c>
      <c r="E53" s="591"/>
    </row>
    <row r="54" spans="1:6" x14ac:dyDescent="0.25">
      <c r="C54" s="350"/>
    </row>
    <row r="55" spans="1:6" x14ac:dyDescent="0.25">
      <c r="C55" s="350"/>
    </row>
    <row r="56" spans="1:6" x14ac:dyDescent="0.25">
      <c r="C56" s="350"/>
    </row>
    <row r="57" spans="1:6" x14ac:dyDescent="0.25">
      <c r="C57" s="350"/>
    </row>
    <row r="58" spans="1:6" x14ac:dyDescent="0.25">
      <c r="C58" s="350"/>
    </row>
    <row r="59" spans="1:6" s="245" customFormat="1" x14ac:dyDescent="0.25">
      <c r="A59" s="299" t="str">
        <f>'Thong tin'!B13</f>
        <v>Vũ Thị Hiên</v>
      </c>
      <c r="B59" s="568"/>
      <c r="C59" s="568"/>
      <c r="D59" s="568" t="s">
        <v>392</v>
      </c>
      <c r="E59" s="568"/>
    </row>
  </sheetData>
  <mergeCells count="11">
    <mergeCell ref="A4:E4"/>
    <mergeCell ref="A5:E5"/>
    <mergeCell ref="A6:E6"/>
    <mergeCell ref="A8:A9"/>
    <mergeCell ref="B8:C8"/>
    <mergeCell ref="D8:E8"/>
    <mergeCell ref="B52:C52"/>
    <mergeCell ref="D52:E52"/>
    <mergeCell ref="D53:E53"/>
    <mergeCell ref="B59:C59"/>
    <mergeCell ref="D59:E59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C707-F8F1-4656-BB1B-523DAE6FFEFB}">
  <sheetPr>
    <tabColor theme="9" tint="0.59999389629810485"/>
    <outlinePr summaryBelow="0" summaryRight="0"/>
  </sheetPr>
  <dimension ref="A1:BW304"/>
  <sheetViews>
    <sheetView showGridLines="0" showZeros="0" zoomScale="80" zoomScaleNormal="80" workbookViewId="0">
      <pane xSplit="2" ySplit="3" topLeftCell="AU4" activePane="bottomRight" state="frozenSplit"/>
      <selection activeCell="BM13" sqref="BM13"/>
      <selection pane="topRight" activeCell="BM13" sqref="BM13"/>
      <selection pane="bottomLeft" activeCell="BM13" sqref="BM13"/>
      <selection pane="bottomRight" activeCell="BE20" sqref="BE20"/>
    </sheetView>
  </sheetViews>
  <sheetFormatPr defaultColWidth="9.28515625" defaultRowHeight="15" customHeight="1" x14ac:dyDescent="0.25"/>
  <cols>
    <col min="1" max="1" width="7.28515625" style="65" hidden="1" customWidth="1"/>
    <col min="2" max="2" width="49.85546875" style="3" customWidth="1"/>
    <col min="3" max="3" width="8.28515625" style="65" hidden="1" customWidth="1"/>
    <col min="4" max="75" width="16" style="3" customWidth="1"/>
    <col min="76" max="16384" width="9.28515625" style="20"/>
  </cols>
  <sheetData>
    <row r="1" spans="1:75" ht="19.5" customHeight="1" x14ac:dyDescent="0.3">
      <c r="A1" s="17"/>
      <c r="B1" s="1" t="s">
        <v>0</v>
      </c>
      <c r="C1" s="17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</row>
    <row r="2" spans="1:75" ht="19.5" customHeight="1" x14ac:dyDescent="0.25">
      <c r="A2" s="21"/>
      <c r="B2" s="2" t="s">
        <v>1</v>
      </c>
      <c r="C2" s="21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</row>
    <row r="3" spans="1:75" ht="28.5" x14ac:dyDescent="0.25">
      <c r="A3" s="22" t="s">
        <v>185</v>
      </c>
      <c r="B3" s="23" t="s">
        <v>227</v>
      </c>
      <c r="C3" s="22" t="s">
        <v>228</v>
      </c>
      <c r="D3" s="22" t="s">
        <v>191</v>
      </c>
      <c r="E3" s="22" t="s">
        <v>192</v>
      </c>
      <c r="F3" s="22" t="s">
        <v>193</v>
      </c>
      <c r="G3" s="22" t="s">
        <v>194</v>
      </c>
      <c r="H3" s="22" t="s">
        <v>195</v>
      </c>
      <c r="I3" s="22" t="s">
        <v>196</v>
      </c>
      <c r="J3" s="22" t="s">
        <v>197</v>
      </c>
      <c r="K3" s="22" t="s">
        <v>198</v>
      </c>
      <c r="L3" s="22" t="s">
        <v>199</v>
      </c>
      <c r="M3" s="22" t="s">
        <v>200</v>
      </c>
      <c r="N3" s="22" t="s">
        <v>201</v>
      </c>
      <c r="O3" s="22" t="s">
        <v>202</v>
      </c>
      <c r="P3" s="22" t="s">
        <v>203</v>
      </c>
      <c r="Q3" s="22" t="s">
        <v>204</v>
      </c>
      <c r="R3" s="22" t="s">
        <v>205</v>
      </c>
      <c r="S3" s="22" t="s">
        <v>206</v>
      </c>
      <c r="T3" s="22" t="s">
        <v>207</v>
      </c>
      <c r="U3" s="22" t="s">
        <v>208</v>
      </c>
      <c r="V3" s="22" t="s">
        <v>209</v>
      </c>
      <c r="W3" s="22" t="s">
        <v>210</v>
      </c>
      <c r="X3" s="22" t="s">
        <v>211</v>
      </c>
      <c r="Y3" s="22" t="s">
        <v>212</v>
      </c>
      <c r="Z3" s="22" t="s">
        <v>213</v>
      </c>
      <c r="AA3" s="22" t="s">
        <v>214</v>
      </c>
      <c r="AB3" s="22" t="s">
        <v>215</v>
      </c>
      <c r="AC3" s="22" t="s">
        <v>216</v>
      </c>
      <c r="AD3" s="22" t="s">
        <v>217</v>
      </c>
      <c r="AE3" s="22" t="s">
        <v>218</v>
      </c>
      <c r="AF3" s="22" t="s">
        <v>219</v>
      </c>
      <c r="AG3" s="22" t="s">
        <v>220</v>
      </c>
      <c r="AH3" s="22" t="s">
        <v>221</v>
      </c>
      <c r="AI3" s="22" t="s">
        <v>222</v>
      </c>
      <c r="AJ3" s="22" t="s">
        <v>223</v>
      </c>
      <c r="AK3" s="22" t="s">
        <v>224</v>
      </c>
      <c r="AL3" s="22" t="s">
        <v>225</v>
      </c>
      <c r="AM3" s="22" t="s">
        <v>226</v>
      </c>
      <c r="AN3" s="22" t="s">
        <v>2</v>
      </c>
      <c r="AO3" s="22" t="s">
        <v>3</v>
      </c>
      <c r="AP3" s="22" t="s">
        <v>4</v>
      </c>
      <c r="AQ3" s="22" t="s">
        <v>5</v>
      </c>
      <c r="AR3" s="22" t="s">
        <v>6</v>
      </c>
      <c r="AS3" s="22" t="s">
        <v>7</v>
      </c>
      <c r="AT3" s="22" t="s">
        <v>8</v>
      </c>
      <c r="AU3" s="22" t="s">
        <v>9</v>
      </c>
      <c r="AV3" s="22" t="s">
        <v>10</v>
      </c>
      <c r="AW3" s="22" t="s">
        <v>11</v>
      </c>
      <c r="AX3" s="22" t="s">
        <v>12</v>
      </c>
      <c r="AY3" s="22" t="s">
        <v>13</v>
      </c>
      <c r="AZ3" s="22" t="s">
        <v>14</v>
      </c>
      <c r="BA3" s="22" t="s">
        <v>15</v>
      </c>
      <c r="BB3" s="22" t="s">
        <v>16</v>
      </c>
      <c r="BC3" s="22" t="s">
        <v>17</v>
      </c>
      <c r="BD3" s="22" t="s">
        <v>18</v>
      </c>
      <c r="BE3" s="22" t="s">
        <v>19</v>
      </c>
      <c r="BF3" s="22" t="s">
        <v>20</v>
      </c>
      <c r="BG3" s="22" t="s">
        <v>21</v>
      </c>
      <c r="BH3" s="22" t="s">
        <v>22</v>
      </c>
      <c r="BI3" s="22" t="s">
        <v>23</v>
      </c>
      <c r="BJ3" s="22" t="s">
        <v>24</v>
      </c>
      <c r="BK3" s="22" t="s">
        <v>25</v>
      </c>
      <c r="BL3" s="22" t="s">
        <v>298</v>
      </c>
      <c r="BM3" s="22" t="s">
        <v>299</v>
      </c>
      <c r="BN3" s="22" t="s">
        <v>300</v>
      </c>
      <c r="BO3" s="22" t="s">
        <v>301</v>
      </c>
      <c r="BP3" s="22" t="s">
        <v>302</v>
      </c>
      <c r="BQ3" s="22" t="s">
        <v>303</v>
      </c>
      <c r="BR3" s="22" t="s">
        <v>304</v>
      </c>
      <c r="BS3" s="22" t="s">
        <v>305</v>
      </c>
      <c r="BT3" s="22" t="s">
        <v>306</v>
      </c>
      <c r="BU3" s="22" t="s">
        <v>307</v>
      </c>
      <c r="BV3" s="22" t="s">
        <v>308</v>
      </c>
      <c r="BW3" s="22" t="s">
        <v>309</v>
      </c>
    </row>
    <row r="4" spans="1:75" ht="15" customHeight="1" x14ac:dyDescent="0.25">
      <c r="A4" s="25">
        <v>1</v>
      </c>
      <c r="B4" s="26" t="s">
        <v>26</v>
      </c>
      <c r="C4" s="25">
        <v>9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>
        <f t="shared" ref="AN4:AT4" si="0">+AN5+AN8+AN15+AN23+AN30</f>
        <v>0</v>
      </c>
      <c r="AO4" s="72">
        <f t="shared" si="0"/>
        <v>0</v>
      </c>
      <c r="AP4" s="72">
        <f t="shared" si="0"/>
        <v>0</v>
      </c>
      <c r="AQ4" s="72">
        <f t="shared" si="0"/>
        <v>0</v>
      </c>
      <c r="AR4" s="72">
        <f t="shared" si="0"/>
        <v>0</v>
      </c>
      <c r="AS4" s="72">
        <f t="shared" si="0"/>
        <v>0</v>
      </c>
      <c r="AT4" s="72">
        <f t="shared" si="0"/>
        <v>0</v>
      </c>
      <c r="AU4" s="72">
        <v>30000</v>
      </c>
      <c r="AV4" s="72">
        <v>1357273</v>
      </c>
      <c r="AW4" s="72">
        <v>62557273</v>
      </c>
      <c r="AX4" s="72">
        <v>20123757273</v>
      </c>
      <c r="AY4" s="72">
        <v>20100333536</v>
      </c>
      <c r="AZ4" s="72">
        <v>20080563460</v>
      </c>
      <c r="BA4" s="71">
        <v>20185570781</v>
      </c>
      <c r="BB4" s="71">
        <v>20230577394</v>
      </c>
      <c r="BC4" s="73">
        <v>20278400910</v>
      </c>
      <c r="BD4" s="71">
        <v>20323405862</v>
      </c>
      <c r="BE4" s="71">
        <v>21367412569</v>
      </c>
      <c r="BF4" s="71">
        <v>21427440870</v>
      </c>
      <c r="BG4" s="71">
        <v>21487156194</v>
      </c>
      <c r="BH4" s="71">
        <v>21547157746</v>
      </c>
      <c r="BI4" s="71">
        <v>21607158691</v>
      </c>
      <c r="BJ4" s="73">
        <v>21674217201</v>
      </c>
      <c r="BK4" s="73">
        <f>+BK5+BK8+BK15+BK23+BK30</f>
        <v>21734218198</v>
      </c>
      <c r="BL4" s="73">
        <v>21734219268</v>
      </c>
      <c r="BM4" s="73">
        <v>21740503011</v>
      </c>
      <c r="BN4" s="73">
        <v>20740503991</v>
      </c>
      <c r="BO4" s="73">
        <v>20740505081</v>
      </c>
      <c r="BP4" s="73"/>
      <c r="BQ4" s="73"/>
      <c r="BR4" s="73"/>
      <c r="BS4" s="73"/>
      <c r="BT4" s="73"/>
      <c r="BU4" s="73"/>
      <c r="BV4" s="73"/>
      <c r="BW4" s="91"/>
    </row>
    <row r="5" spans="1:75" ht="15" customHeight="1" x14ac:dyDescent="0.25">
      <c r="A5" s="27">
        <v>2</v>
      </c>
      <c r="B5" s="28" t="s">
        <v>27</v>
      </c>
      <c r="C5" s="27">
        <v>9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>
        <f t="shared" ref="AN5:AT5" si="1">+SUM(AN6:AN7)</f>
        <v>0</v>
      </c>
      <c r="AO5" s="75">
        <f t="shared" si="1"/>
        <v>0</v>
      </c>
      <c r="AP5" s="75">
        <f t="shared" si="1"/>
        <v>0</v>
      </c>
      <c r="AQ5" s="75">
        <f t="shared" si="1"/>
        <v>0</v>
      </c>
      <c r="AR5" s="75">
        <f t="shared" si="1"/>
        <v>0</v>
      </c>
      <c r="AS5" s="75">
        <f t="shared" si="1"/>
        <v>0</v>
      </c>
      <c r="AT5" s="75">
        <f t="shared" si="1"/>
        <v>0</v>
      </c>
      <c r="AU5" s="75">
        <v>0</v>
      </c>
      <c r="AV5" s="75">
        <v>0</v>
      </c>
      <c r="AW5" s="75">
        <v>0</v>
      </c>
      <c r="AX5" s="75">
        <v>20000000000</v>
      </c>
      <c r="AY5" s="75">
        <v>19915376263</v>
      </c>
      <c r="AZ5" s="75">
        <v>19862006187</v>
      </c>
      <c r="BA5" s="74">
        <v>19862013508</v>
      </c>
      <c r="BB5" s="74">
        <v>19862020121</v>
      </c>
      <c r="BC5" s="76">
        <v>19816230637</v>
      </c>
      <c r="BD5" s="74">
        <v>19816235589</v>
      </c>
      <c r="BE5" s="74">
        <v>815242296</v>
      </c>
      <c r="BF5" s="74">
        <v>815248997</v>
      </c>
      <c r="BG5" s="74">
        <v>814964321</v>
      </c>
      <c r="BH5" s="74">
        <v>814965873</v>
      </c>
      <c r="BI5" s="74">
        <v>814966818</v>
      </c>
      <c r="BJ5" s="76">
        <v>822025328</v>
      </c>
      <c r="BK5" s="76">
        <f>+SUM(BK6:BK7)</f>
        <v>822026325</v>
      </c>
      <c r="BL5" s="76">
        <v>822027395</v>
      </c>
      <c r="BM5" s="76">
        <v>828311138</v>
      </c>
      <c r="BN5" s="76">
        <v>828312118</v>
      </c>
      <c r="BO5" s="76">
        <v>828313208</v>
      </c>
      <c r="BP5" s="76"/>
      <c r="BQ5" s="76"/>
      <c r="BR5" s="76"/>
      <c r="BS5" s="76"/>
      <c r="BT5" s="76"/>
      <c r="BU5" s="76"/>
      <c r="BV5" s="76"/>
      <c r="BW5" s="77"/>
    </row>
    <row r="6" spans="1:75" ht="15" customHeight="1" x14ac:dyDescent="0.25">
      <c r="A6" s="29">
        <v>3</v>
      </c>
      <c r="B6" s="30" t="s">
        <v>28</v>
      </c>
      <c r="C6" s="29">
        <v>9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>
        <v>20000000000</v>
      </c>
      <c r="AY6" s="79">
        <v>19915376263</v>
      </c>
      <c r="AZ6" s="79">
        <v>19862006187</v>
      </c>
      <c r="BA6" s="78">
        <v>19862013508</v>
      </c>
      <c r="BB6" s="78">
        <v>19062020121</v>
      </c>
      <c r="BC6" s="80">
        <v>19016230637</v>
      </c>
      <c r="BD6" s="78">
        <v>19816235589</v>
      </c>
      <c r="BE6" s="78">
        <v>815242296</v>
      </c>
      <c r="BF6" s="78">
        <v>815248997</v>
      </c>
      <c r="BG6" s="78">
        <v>114964321</v>
      </c>
      <c r="BH6" s="78">
        <v>114965873</v>
      </c>
      <c r="BI6" s="78">
        <v>114966818</v>
      </c>
      <c r="BJ6" s="80">
        <v>122025328</v>
      </c>
      <c r="BK6" s="80">
        <v>122026325</v>
      </c>
      <c r="BL6" s="80">
        <v>122027395</v>
      </c>
      <c r="BM6" s="80">
        <v>128311138</v>
      </c>
      <c r="BN6" s="80">
        <v>128312118</v>
      </c>
      <c r="BO6" s="80">
        <v>128313208</v>
      </c>
      <c r="BP6" s="80"/>
      <c r="BQ6" s="80"/>
      <c r="BR6" s="80"/>
      <c r="BS6" s="80"/>
      <c r="BT6" s="80"/>
      <c r="BU6" s="80"/>
      <c r="BV6" s="80"/>
      <c r="BW6" s="81"/>
    </row>
    <row r="7" spans="1:75" ht="15" customHeight="1" x14ac:dyDescent="0.25">
      <c r="A7" s="29">
        <v>4</v>
      </c>
      <c r="B7" s="30" t="s">
        <v>29</v>
      </c>
      <c r="C7" s="29">
        <v>9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>
        <v>0</v>
      </c>
      <c r="AT7" s="79"/>
      <c r="AU7" s="79"/>
      <c r="AV7" s="79"/>
      <c r="AW7" s="79"/>
      <c r="AX7" s="79"/>
      <c r="AY7" s="79"/>
      <c r="AZ7" s="79"/>
      <c r="BA7" s="78"/>
      <c r="BB7" s="78">
        <v>800000000</v>
      </c>
      <c r="BC7" s="80">
        <v>800000000</v>
      </c>
      <c r="BD7" s="78"/>
      <c r="BE7" s="78">
        <v>0</v>
      </c>
      <c r="BF7" s="78">
        <v>0</v>
      </c>
      <c r="BG7" s="78">
        <v>700000000</v>
      </c>
      <c r="BH7" s="78">
        <v>700000000</v>
      </c>
      <c r="BI7" s="78">
        <v>700000000</v>
      </c>
      <c r="BJ7" s="80">
        <v>700000000</v>
      </c>
      <c r="BK7" s="80">
        <v>700000000</v>
      </c>
      <c r="BL7" s="80">
        <v>700000000</v>
      </c>
      <c r="BM7" s="80">
        <v>700000000</v>
      </c>
      <c r="BN7" s="80">
        <v>700000000</v>
      </c>
      <c r="BO7" s="80">
        <v>700000000</v>
      </c>
      <c r="BP7" s="80"/>
      <c r="BQ7" s="80"/>
      <c r="BR7" s="80"/>
      <c r="BS7" s="80"/>
      <c r="BT7" s="80"/>
      <c r="BU7" s="80"/>
      <c r="BV7" s="80"/>
      <c r="BW7" s="81"/>
    </row>
    <row r="8" spans="1:75" ht="15" customHeight="1" x14ac:dyDescent="0.25">
      <c r="A8" s="31">
        <v>5</v>
      </c>
      <c r="B8" s="28" t="s">
        <v>229</v>
      </c>
      <c r="C8" s="31">
        <v>9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>
        <f>SUM(AN9:AN11)</f>
        <v>0</v>
      </c>
      <c r="AO8" s="75">
        <f>SUM(AO9:AO11)</f>
        <v>0</v>
      </c>
      <c r="AP8" s="75">
        <f>SUM(AP9:AP11)</f>
        <v>0</v>
      </c>
      <c r="AQ8" s="75">
        <f>SUM(AQ9:AQ11)</f>
        <v>0</v>
      </c>
      <c r="AR8" s="75">
        <f>SUM(AR9:AR11)</f>
        <v>0</v>
      </c>
      <c r="AS8" s="75">
        <v>0</v>
      </c>
      <c r="AT8" s="75">
        <f>SUM(AT9:AT11)</f>
        <v>0</v>
      </c>
      <c r="AU8" s="75">
        <v>0</v>
      </c>
      <c r="AV8" s="75">
        <v>0</v>
      </c>
      <c r="AW8" s="75">
        <v>0</v>
      </c>
      <c r="AX8" s="75">
        <v>0</v>
      </c>
      <c r="AY8" s="75">
        <v>0</v>
      </c>
      <c r="AZ8" s="75">
        <v>0</v>
      </c>
      <c r="BA8" s="74">
        <v>0</v>
      </c>
      <c r="BB8" s="74">
        <v>0</v>
      </c>
      <c r="BC8" s="76">
        <v>0</v>
      </c>
      <c r="BD8" s="74">
        <v>0</v>
      </c>
      <c r="BE8" s="74">
        <v>0</v>
      </c>
      <c r="BF8" s="74">
        <v>0</v>
      </c>
      <c r="BG8" s="74">
        <v>0</v>
      </c>
      <c r="BH8" s="74">
        <v>0</v>
      </c>
      <c r="BI8" s="74">
        <v>0</v>
      </c>
      <c r="BJ8" s="74">
        <v>0</v>
      </c>
      <c r="BK8" s="74">
        <f>SUM(BK9:BK11)</f>
        <v>0</v>
      </c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5"/>
    </row>
    <row r="9" spans="1:75" ht="15" customHeight="1" x14ac:dyDescent="0.25">
      <c r="A9" s="29">
        <v>6</v>
      </c>
      <c r="B9" s="30" t="s">
        <v>30</v>
      </c>
      <c r="C9" s="29">
        <v>9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>
        <v>0</v>
      </c>
      <c r="AT9" s="79"/>
      <c r="AU9" s="79"/>
      <c r="AV9" s="79"/>
      <c r="AW9" s="79"/>
      <c r="AX9" s="79"/>
      <c r="AY9" s="79"/>
      <c r="AZ9" s="79"/>
      <c r="BA9" s="78"/>
      <c r="BB9" s="78"/>
      <c r="BC9" s="80"/>
      <c r="BD9" s="78"/>
      <c r="BE9" s="78">
        <v>0</v>
      </c>
      <c r="BF9" s="78"/>
      <c r="BG9" s="78"/>
      <c r="BH9" s="78"/>
      <c r="BI9" s="78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1"/>
    </row>
    <row r="10" spans="1:75" ht="15" customHeight="1" x14ac:dyDescent="0.25">
      <c r="A10" s="29">
        <v>7</v>
      </c>
      <c r="B10" s="30" t="s">
        <v>31</v>
      </c>
      <c r="C10" s="29">
        <v>9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>
        <v>0</v>
      </c>
      <c r="AT10" s="79"/>
      <c r="AU10" s="79"/>
      <c r="AV10" s="79"/>
      <c r="AW10" s="79"/>
      <c r="AX10" s="79"/>
      <c r="AY10" s="79"/>
      <c r="AZ10" s="79"/>
      <c r="BA10" s="78"/>
      <c r="BB10" s="78"/>
      <c r="BC10" s="80"/>
      <c r="BD10" s="78"/>
      <c r="BE10" s="78">
        <v>0</v>
      </c>
      <c r="BF10" s="78"/>
      <c r="BG10" s="78"/>
      <c r="BH10" s="78"/>
      <c r="BI10" s="78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1"/>
    </row>
    <row r="11" spans="1:75" ht="15" customHeight="1" x14ac:dyDescent="0.25">
      <c r="A11" s="29">
        <v>8</v>
      </c>
      <c r="B11" s="32" t="s">
        <v>230</v>
      </c>
      <c r="C11" s="29">
        <v>9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8"/>
      <c r="BB11" s="78"/>
      <c r="BC11" s="78"/>
      <c r="BD11" s="78"/>
      <c r="BE11" s="78"/>
      <c r="BF11" s="78"/>
      <c r="BG11" s="78"/>
      <c r="BH11" s="78"/>
      <c r="BI11" s="78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1"/>
    </row>
    <row r="12" spans="1:75" ht="15" customHeight="1" x14ac:dyDescent="0.25">
      <c r="A12" s="29">
        <v>9</v>
      </c>
      <c r="B12" s="32" t="s">
        <v>231</v>
      </c>
      <c r="C12" s="29">
        <v>9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8"/>
      <c r="BB12" s="78"/>
      <c r="BC12" s="78"/>
      <c r="BD12" s="78"/>
      <c r="BE12" s="78"/>
      <c r="BF12" s="78"/>
      <c r="BG12" s="78"/>
      <c r="BH12" s="78"/>
      <c r="BI12" s="78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1"/>
    </row>
    <row r="13" spans="1:75" ht="15" customHeight="1" x14ac:dyDescent="0.25">
      <c r="A13" s="29">
        <v>10</v>
      </c>
      <c r="B13" s="32" t="s">
        <v>232</v>
      </c>
      <c r="C13" s="29">
        <v>9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8"/>
      <c r="BB13" s="78"/>
      <c r="BC13" s="78"/>
      <c r="BD13" s="78"/>
      <c r="BE13" s="78"/>
      <c r="BF13" s="78"/>
      <c r="BG13" s="78"/>
      <c r="BH13" s="78"/>
      <c r="BI13" s="78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1"/>
    </row>
    <row r="14" spans="1:75" ht="15" customHeight="1" x14ac:dyDescent="0.25">
      <c r="A14" s="29">
        <v>11</v>
      </c>
      <c r="B14" s="32" t="s">
        <v>233</v>
      </c>
      <c r="C14" s="29">
        <v>9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8"/>
      <c r="BB14" s="78"/>
      <c r="BC14" s="78"/>
      <c r="BD14" s="78"/>
      <c r="BE14" s="78"/>
      <c r="BF14" s="78"/>
      <c r="BG14" s="78"/>
      <c r="BH14" s="78"/>
      <c r="BI14" s="78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1"/>
    </row>
    <row r="15" spans="1:75" ht="15" customHeight="1" x14ac:dyDescent="0.25">
      <c r="A15" s="33">
        <v>12</v>
      </c>
      <c r="B15" s="28" t="s">
        <v>234</v>
      </c>
      <c r="C15" s="33">
        <v>9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>
        <f>+SUM(AN16:AN22)</f>
        <v>0</v>
      </c>
      <c r="AO15" s="75">
        <f>+SUM(AO16:AO22)</f>
        <v>0</v>
      </c>
      <c r="AP15" s="75">
        <f>+SUM(AP16:AP22)</f>
        <v>0</v>
      </c>
      <c r="AQ15" s="75">
        <f>+SUM(AQ16:AQ22)</f>
        <v>0</v>
      </c>
      <c r="AR15" s="75">
        <f>+SUM(AR16:AR22)</f>
        <v>0</v>
      </c>
      <c r="AS15" s="75"/>
      <c r="AT15" s="75">
        <f>+SUM(AT16:AT22)</f>
        <v>0</v>
      </c>
      <c r="AU15" s="75">
        <v>0</v>
      </c>
      <c r="AV15" s="75">
        <v>0</v>
      </c>
      <c r="AW15" s="75">
        <v>0</v>
      </c>
      <c r="AX15" s="75">
        <v>0</v>
      </c>
      <c r="AY15" s="75">
        <v>0</v>
      </c>
      <c r="AZ15" s="75">
        <v>32400000</v>
      </c>
      <c r="BA15" s="74">
        <v>16200000</v>
      </c>
      <c r="BB15" s="74">
        <v>0</v>
      </c>
      <c r="BC15" s="76">
        <v>32400000</v>
      </c>
      <c r="BD15" s="74">
        <v>16200000</v>
      </c>
      <c r="BE15" s="74">
        <v>20000000000</v>
      </c>
      <c r="BF15" s="74">
        <v>20000000000</v>
      </c>
      <c r="BG15" s="74">
        <v>20000000000</v>
      </c>
      <c r="BH15" s="74">
        <v>20000000000</v>
      </c>
      <c r="BI15" s="74">
        <v>20000000000</v>
      </c>
      <c r="BJ15" s="76">
        <v>20000000000</v>
      </c>
      <c r="BK15" s="76">
        <f>+SUM(BK16:BK22)</f>
        <v>20000000000</v>
      </c>
      <c r="BL15" s="76">
        <f>+SUM(BL16:BL22)</f>
        <v>20000000000</v>
      </c>
      <c r="BM15" s="76">
        <v>20000000000</v>
      </c>
      <c r="BN15" s="76">
        <v>19000000000</v>
      </c>
      <c r="BO15" s="76">
        <v>19000000000</v>
      </c>
      <c r="BP15" s="76"/>
      <c r="BQ15" s="76"/>
      <c r="BR15" s="76"/>
      <c r="BS15" s="76"/>
      <c r="BT15" s="76"/>
      <c r="BU15" s="76"/>
      <c r="BV15" s="76"/>
      <c r="BW15" s="77"/>
    </row>
    <row r="16" spans="1:75" ht="15" customHeight="1" x14ac:dyDescent="0.25">
      <c r="A16" s="29">
        <v>13</v>
      </c>
      <c r="B16" s="34" t="s">
        <v>32</v>
      </c>
      <c r="C16" s="29">
        <v>9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>
        <v>0</v>
      </c>
      <c r="AT16" s="79"/>
      <c r="AU16" s="79"/>
      <c r="AV16" s="79"/>
      <c r="AW16" s="79"/>
      <c r="AX16" s="79"/>
      <c r="AY16" s="79"/>
      <c r="AZ16" s="79"/>
      <c r="BA16" s="78"/>
      <c r="BB16" s="78"/>
      <c r="BC16" s="80"/>
      <c r="BD16" s="78"/>
      <c r="BE16" s="78">
        <v>0</v>
      </c>
      <c r="BF16" s="78"/>
      <c r="BG16" s="78">
        <v>0</v>
      </c>
      <c r="BH16" s="78">
        <v>0</v>
      </c>
      <c r="BI16" s="78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1"/>
    </row>
    <row r="17" spans="1:75" ht="15" customHeight="1" x14ac:dyDescent="0.25">
      <c r="A17" s="29">
        <v>14</v>
      </c>
      <c r="B17" s="34" t="s">
        <v>33</v>
      </c>
      <c r="C17" s="29">
        <v>9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>
        <v>0</v>
      </c>
      <c r="AT17" s="79"/>
      <c r="AU17" s="79"/>
      <c r="AV17" s="79"/>
      <c r="AW17" s="79"/>
      <c r="AX17" s="79"/>
      <c r="AY17" s="79"/>
      <c r="AZ17" s="79">
        <v>32400000</v>
      </c>
      <c r="BA17" s="78">
        <v>16200000</v>
      </c>
      <c r="BB17" s="78"/>
      <c r="BC17" s="80">
        <v>32400000</v>
      </c>
      <c r="BD17" s="78">
        <v>16200000</v>
      </c>
      <c r="BE17" s="78">
        <v>0</v>
      </c>
      <c r="BF17" s="78"/>
      <c r="BG17" s="78"/>
      <c r="BH17" s="78">
        <v>0</v>
      </c>
      <c r="BI17" s="78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1"/>
    </row>
    <row r="18" spans="1:75" ht="15" customHeight="1" x14ac:dyDescent="0.25">
      <c r="A18" s="29">
        <v>15</v>
      </c>
      <c r="B18" s="34" t="s">
        <v>34</v>
      </c>
      <c r="C18" s="29">
        <v>9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>
        <v>0</v>
      </c>
      <c r="AT18" s="79"/>
      <c r="AU18" s="79"/>
      <c r="AV18" s="79"/>
      <c r="AW18" s="79"/>
      <c r="AX18" s="79"/>
      <c r="AY18" s="79"/>
      <c r="AZ18" s="79"/>
      <c r="BA18" s="78"/>
      <c r="BB18" s="78"/>
      <c r="BC18" s="80"/>
      <c r="BD18" s="78"/>
      <c r="BE18" s="78">
        <v>0</v>
      </c>
      <c r="BF18" s="78"/>
      <c r="BG18" s="78"/>
      <c r="BH18" s="78">
        <v>0</v>
      </c>
      <c r="BI18" s="78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1"/>
    </row>
    <row r="19" spans="1:75" ht="15" customHeight="1" x14ac:dyDescent="0.25">
      <c r="A19" s="29">
        <v>16</v>
      </c>
      <c r="B19" s="34" t="s">
        <v>235</v>
      </c>
      <c r="C19" s="29">
        <v>9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>
        <v>0</v>
      </c>
      <c r="AT19" s="79"/>
      <c r="AU19" s="79"/>
      <c r="AV19" s="79"/>
      <c r="AW19" s="79"/>
      <c r="AX19" s="79"/>
      <c r="AY19" s="79"/>
      <c r="AZ19" s="79"/>
      <c r="BA19" s="78"/>
      <c r="BB19" s="78"/>
      <c r="BC19" s="80"/>
      <c r="BD19" s="78"/>
      <c r="BE19" s="78">
        <v>0</v>
      </c>
      <c r="BF19" s="78"/>
      <c r="BG19" s="78"/>
      <c r="BH19" s="78">
        <v>0</v>
      </c>
      <c r="BI19" s="78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1"/>
    </row>
    <row r="20" spans="1:75" ht="15" customHeight="1" x14ac:dyDescent="0.25">
      <c r="A20" s="29">
        <v>17</v>
      </c>
      <c r="B20" s="34" t="s">
        <v>236</v>
      </c>
      <c r="C20" s="29">
        <v>9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>
        <v>0</v>
      </c>
      <c r="AT20" s="79"/>
      <c r="AU20" s="79"/>
      <c r="AV20" s="79"/>
      <c r="AW20" s="79"/>
      <c r="AX20" s="79"/>
      <c r="AY20" s="79"/>
      <c r="AZ20" s="79"/>
      <c r="BA20" s="78"/>
      <c r="BB20" s="78"/>
      <c r="BC20" s="80"/>
      <c r="BD20" s="78"/>
      <c r="BE20" s="78">
        <v>20000000000</v>
      </c>
      <c r="BF20" s="78">
        <v>20000000000</v>
      </c>
      <c r="BG20" s="78">
        <v>20000000000</v>
      </c>
      <c r="BH20" s="78">
        <v>20000000000</v>
      </c>
      <c r="BI20" s="78">
        <v>20000000000</v>
      </c>
      <c r="BJ20" s="80">
        <v>20000000000</v>
      </c>
      <c r="BK20" s="80">
        <v>20000000000</v>
      </c>
      <c r="BL20" s="80">
        <v>20000000000</v>
      </c>
      <c r="BM20" s="80">
        <v>20000000000</v>
      </c>
      <c r="BN20" s="80">
        <v>19000000000</v>
      </c>
      <c r="BO20" s="80">
        <v>19000000000</v>
      </c>
      <c r="BP20" s="80"/>
      <c r="BQ20" s="80"/>
      <c r="BR20" s="80"/>
      <c r="BS20" s="80"/>
      <c r="BT20" s="80"/>
      <c r="BU20" s="80"/>
      <c r="BV20" s="80"/>
      <c r="BW20" s="81"/>
    </row>
    <row r="21" spans="1:75" ht="15" customHeight="1" x14ac:dyDescent="0.25">
      <c r="A21" s="29">
        <v>18</v>
      </c>
      <c r="B21" s="34" t="s">
        <v>237</v>
      </c>
      <c r="C21" s="29">
        <v>9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>
        <v>0</v>
      </c>
      <c r="AT21" s="79"/>
      <c r="AU21" s="79"/>
      <c r="AV21" s="79"/>
      <c r="AW21" s="79"/>
      <c r="AX21" s="79"/>
      <c r="AY21" s="79"/>
      <c r="AZ21" s="79"/>
      <c r="BA21" s="78"/>
      <c r="BB21" s="78"/>
      <c r="BC21" s="80"/>
      <c r="BD21" s="78"/>
      <c r="BE21" s="78">
        <v>0</v>
      </c>
      <c r="BF21" s="78"/>
      <c r="BG21" s="78"/>
      <c r="BH21" s="78">
        <v>0</v>
      </c>
      <c r="BI21" s="78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1"/>
    </row>
    <row r="22" spans="1:75" ht="15" customHeight="1" x14ac:dyDescent="0.25">
      <c r="A22" s="29">
        <v>19</v>
      </c>
      <c r="B22" s="35" t="s">
        <v>238</v>
      </c>
      <c r="C22" s="29">
        <v>9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>
        <v>0</v>
      </c>
      <c r="AT22" s="79"/>
      <c r="AU22" s="79"/>
      <c r="AV22" s="79"/>
      <c r="AW22" s="79"/>
      <c r="AX22" s="79"/>
      <c r="AY22" s="79"/>
      <c r="AZ22" s="79"/>
      <c r="BA22" s="78"/>
      <c r="BB22" s="78"/>
      <c r="BC22" s="80"/>
      <c r="BD22" s="78"/>
      <c r="BE22" s="78">
        <v>0</v>
      </c>
      <c r="BF22" s="78"/>
      <c r="BG22" s="78"/>
      <c r="BH22" s="78">
        <v>0</v>
      </c>
      <c r="BI22" s="78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1"/>
    </row>
    <row r="23" spans="1:75" ht="15" customHeight="1" x14ac:dyDescent="0.25">
      <c r="A23" s="33">
        <v>20</v>
      </c>
      <c r="B23" s="28" t="s">
        <v>35</v>
      </c>
      <c r="C23" s="33">
        <v>9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>
        <v>0</v>
      </c>
      <c r="AT23" s="75"/>
      <c r="AU23" s="75"/>
      <c r="AV23" s="75"/>
      <c r="AW23" s="75"/>
      <c r="AX23" s="75"/>
      <c r="AY23" s="75"/>
      <c r="AZ23" s="75"/>
      <c r="BA23" s="74"/>
      <c r="BB23" s="74"/>
      <c r="BC23" s="76"/>
      <c r="BD23" s="74"/>
      <c r="BE23" s="74">
        <v>0</v>
      </c>
      <c r="BF23" s="74"/>
      <c r="BG23" s="74"/>
      <c r="BH23" s="74"/>
      <c r="BI23" s="74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7"/>
    </row>
    <row r="24" spans="1:75" ht="15" customHeight="1" x14ac:dyDescent="0.25">
      <c r="A24" s="29">
        <v>21</v>
      </c>
      <c r="B24" s="30" t="s">
        <v>36</v>
      </c>
      <c r="C24" s="29">
        <v>9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>
        <v>0</v>
      </c>
      <c r="AT24" s="79"/>
      <c r="AU24" s="79"/>
      <c r="AV24" s="79"/>
      <c r="AW24" s="79"/>
      <c r="AX24" s="79"/>
      <c r="AY24" s="79"/>
      <c r="AZ24" s="79"/>
      <c r="BA24" s="78"/>
      <c r="BB24" s="78"/>
      <c r="BC24" s="80"/>
      <c r="BD24" s="78"/>
      <c r="BE24" s="78">
        <v>0</v>
      </c>
      <c r="BF24" s="78"/>
      <c r="BG24" s="78"/>
      <c r="BH24" s="78"/>
      <c r="BI24" s="78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1"/>
    </row>
    <row r="25" spans="1:75" ht="15" customHeight="1" x14ac:dyDescent="0.25">
      <c r="A25" s="29">
        <v>22</v>
      </c>
      <c r="B25" s="30" t="s">
        <v>37</v>
      </c>
      <c r="C25" s="29">
        <v>9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>
        <v>0</v>
      </c>
      <c r="AT25" s="79"/>
      <c r="AU25" s="79"/>
      <c r="AV25" s="79"/>
      <c r="AW25" s="79"/>
      <c r="AX25" s="79"/>
      <c r="AY25" s="79"/>
      <c r="AZ25" s="79"/>
      <c r="BA25" s="78"/>
      <c r="BB25" s="78"/>
      <c r="BC25" s="80"/>
      <c r="BD25" s="78"/>
      <c r="BE25" s="78">
        <v>0</v>
      </c>
      <c r="BF25" s="78"/>
      <c r="BG25" s="78"/>
      <c r="BH25" s="78"/>
      <c r="BI25" s="78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1"/>
    </row>
    <row r="26" spans="1:75" ht="15" customHeight="1" x14ac:dyDescent="0.25">
      <c r="A26" s="33">
        <v>23</v>
      </c>
      <c r="B26" s="28" t="s">
        <v>239</v>
      </c>
      <c r="C26" s="33">
        <v>9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8"/>
      <c r="BB26" s="78"/>
      <c r="BC26" s="80"/>
      <c r="BD26" s="78"/>
      <c r="BE26" s="78"/>
      <c r="BF26" s="78"/>
      <c r="BG26" s="78"/>
      <c r="BH26" s="78"/>
      <c r="BI26" s="78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1"/>
    </row>
    <row r="27" spans="1:75" ht="15" customHeight="1" x14ac:dyDescent="0.25">
      <c r="A27" s="29">
        <v>24</v>
      </c>
      <c r="B27" s="30" t="s">
        <v>240</v>
      </c>
      <c r="C27" s="29">
        <v>9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8"/>
      <c r="BB27" s="78"/>
      <c r="BC27" s="80"/>
      <c r="BD27" s="78"/>
      <c r="BE27" s="78"/>
      <c r="BF27" s="78"/>
      <c r="BG27" s="78"/>
      <c r="BH27" s="78"/>
      <c r="BI27" s="78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1"/>
    </row>
    <row r="28" spans="1:75" ht="15" customHeight="1" x14ac:dyDescent="0.25">
      <c r="A28" s="29">
        <v>25</v>
      </c>
      <c r="B28" s="30" t="s">
        <v>241</v>
      </c>
      <c r="C28" s="29">
        <v>9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8"/>
      <c r="BB28" s="78"/>
      <c r="BC28" s="80"/>
      <c r="BD28" s="78"/>
      <c r="BE28" s="78"/>
      <c r="BF28" s="78"/>
      <c r="BG28" s="78"/>
      <c r="BH28" s="78"/>
      <c r="BI28" s="78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1"/>
    </row>
    <row r="29" spans="1:75" ht="15" customHeight="1" x14ac:dyDescent="0.25">
      <c r="A29" s="29">
        <v>26</v>
      </c>
      <c r="B29" s="30" t="s">
        <v>242</v>
      </c>
      <c r="C29" s="29">
        <v>9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8"/>
      <c r="BB29" s="78"/>
      <c r="BC29" s="80"/>
      <c r="BD29" s="78"/>
      <c r="BE29" s="78"/>
      <c r="BF29" s="78"/>
      <c r="BG29" s="78"/>
      <c r="BH29" s="78"/>
      <c r="BI29" s="78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1"/>
    </row>
    <row r="30" spans="1:75" ht="15" customHeight="1" x14ac:dyDescent="0.25">
      <c r="A30" s="33">
        <v>27</v>
      </c>
      <c r="B30" s="28" t="s">
        <v>243</v>
      </c>
      <c r="C30" s="33">
        <v>9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>
        <f>+SUM(AN31:AN35)</f>
        <v>0</v>
      </c>
      <c r="AO30" s="75">
        <f>+SUM(AO31:AO35)</f>
        <v>0</v>
      </c>
      <c r="AP30" s="75">
        <f>+SUM(AP31:AP35)</f>
        <v>0</v>
      </c>
      <c r="AQ30" s="75">
        <f>+SUM(AQ31:AQ35)</f>
        <v>0</v>
      </c>
      <c r="AR30" s="75">
        <f>+SUM(AR31:AR35)</f>
        <v>0</v>
      </c>
      <c r="AS30" s="75"/>
      <c r="AT30" s="75">
        <f>+SUM(AT31:AT35)</f>
        <v>0</v>
      </c>
      <c r="AU30" s="75">
        <v>30000</v>
      </c>
      <c r="AV30" s="75">
        <v>1357273</v>
      </c>
      <c r="AW30" s="75">
        <v>62557273</v>
      </c>
      <c r="AX30" s="75">
        <v>123757273</v>
      </c>
      <c r="AY30" s="75">
        <v>184957273</v>
      </c>
      <c r="AZ30" s="75">
        <v>186157273</v>
      </c>
      <c r="BA30" s="74">
        <v>307357273</v>
      </c>
      <c r="BB30" s="74">
        <v>368557273</v>
      </c>
      <c r="BC30" s="76">
        <v>429770273</v>
      </c>
      <c r="BD30" s="74">
        <v>490970273</v>
      </c>
      <c r="BE30" s="74">
        <v>552170273</v>
      </c>
      <c r="BF30" s="74">
        <v>612191873</v>
      </c>
      <c r="BG30" s="74">
        <v>672191873</v>
      </c>
      <c r="BH30" s="74">
        <v>732191873</v>
      </c>
      <c r="BI30" s="74">
        <v>792191873</v>
      </c>
      <c r="BJ30" s="76">
        <v>852191873</v>
      </c>
      <c r="BK30" s="76">
        <f>+SUM(BK31:BK35)</f>
        <v>912191873</v>
      </c>
      <c r="BL30" s="76">
        <f>+SUM(BL31:BL35)</f>
        <v>912191873</v>
      </c>
      <c r="BM30" s="76">
        <v>912191873</v>
      </c>
      <c r="BN30" s="76">
        <v>912191873</v>
      </c>
      <c r="BO30" s="76">
        <v>912191873</v>
      </c>
      <c r="BP30" s="76"/>
      <c r="BQ30" s="76"/>
      <c r="BR30" s="76"/>
      <c r="BS30" s="76"/>
      <c r="BT30" s="76"/>
      <c r="BU30" s="76"/>
      <c r="BV30" s="76"/>
      <c r="BW30" s="77"/>
    </row>
    <row r="31" spans="1:75" ht="15" customHeight="1" x14ac:dyDescent="0.25">
      <c r="A31" s="29">
        <v>28</v>
      </c>
      <c r="B31" s="34" t="s">
        <v>244</v>
      </c>
      <c r="C31" s="29">
        <v>9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>
        <v>0</v>
      </c>
      <c r="AT31" s="79"/>
      <c r="AU31" s="79"/>
      <c r="AV31" s="79"/>
      <c r="AW31" s="79"/>
      <c r="AX31" s="79"/>
      <c r="AY31" s="79"/>
      <c r="AZ31" s="79"/>
      <c r="BA31" s="78"/>
      <c r="BB31" s="78"/>
      <c r="BC31" s="80"/>
      <c r="BD31" s="78"/>
      <c r="BE31" s="78">
        <v>0</v>
      </c>
      <c r="BF31" s="78"/>
      <c r="BG31" s="78"/>
      <c r="BH31" s="78">
        <v>0</v>
      </c>
      <c r="BI31" s="78">
        <v>0</v>
      </c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1"/>
    </row>
    <row r="32" spans="1:75" ht="15" customHeight="1" x14ac:dyDescent="0.25">
      <c r="A32" s="29">
        <v>29</v>
      </c>
      <c r="B32" s="34" t="s">
        <v>38</v>
      </c>
      <c r="C32" s="29">
        <v>9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>
        <v>30000</v>
      </c>
      <c r="AV32" s="78">
        <v>1357273</v>
      </c>
      <c r="AW32" s="78">
        <v>62557273</v>
      </c>
      <c r="AX32" s="78">
        <v>123757273</v>
      </c>
      <c r="AY32" s="78">
        <v>184957273</v>
      </c>
      <c r="AZ32" s="78">
        <v>186157273</v>
      </c>
      <c r="BA32" s="78">
        <v>307357273</v>
      </c>
      <c r="BB32" s="78">
        <v>368557273</v>
      </c>
      <c r="BC32" s="78">
        <v>429770273</v>
      </c>
      <c r="BD32" s="78">
        <v>490970273</v>
      </c>
      <c r="BE32" s="78">
        <v>552170273</v>
      </c>
      <c r="BF32" s="78">
        <v>612191873</v>
      </c>
      <c r="BG32" s="78">
        <v>672191873</v>
      </c>
      <c r="BH32" s="78">
        <v>732191873</v>
      </c>
      <c r="BI32" s="78">
        <v>792191873</v>
      </c>
      <c r="BJ32" s="78">
        <v>852191873</v>
      </c>
      <c r="BK32" s="78">
        <v>912191873</v>
      </c>
      <c r="BL32" s="78">
        <v>912191873</v>
      </c>
      <c r="BM32" s="78">
        <v>912191873</v>
      </c>
      <c r="BN32" s="78">
        <v>912191873</v>
      </c>
      <c r="BO32" s="78">
        <v>912191873</v>
      </c>
      <c r="BP32" s="78"/>
      <c r="BQ32" s="78"/>
      <c r="BR32" s="78"/>
      <c r="BS32" s="78"/>
      <c r="BT32" s="78"/>
      <c r="BU32" s="78"/>
      <c r="BV32" s="78"/>
      <c r="BW32" s="79"/>
    </row>
    <row r="33" spans="1:75" ht="15" customHeight="1" x14ac:dyDescent="0.25">
      <c r="A33" s="29">
        <v>30</v>
      </c>
      <c r="B33" s="34" t="s">
        <v>39</v>
      </c>
      <c r="C33" s="29">
        <v>9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8"/>
      <c r="BB33" s="78"/>
      <c r="BC33" s="80"/>
      <c r="BD33" s="78"/>
      <c r="BE33" s="78"/>
      <c r="BF33" s="78"/>
      <c r="BG33" s="78"/>
      <c r="BH33" s="78"/>
      <c r="BI33" s="78">
        <v>0</v>
      </c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1"/>
    </row>
    <row r="34" spans="1:75" ht="15" customHeight="1" x14ac:dyDescent="0.25">
      <c r="A34" s="29">
        <v>31</v>
      </c>
      <c r="B34" s="34" t="s">
        <v>245</v>
      </c>
      <c r="C34" s="29">
        <v>9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>
        <v>0</v>
      </c>
      <c r="AT34" s="79"/>
      <c r="AU34" s="79"/>
      <c r="AV34" s="79"/>
      <c r="AW34" s="79"/>
      <c r="AX34" s="79"/>
      <c r="AY34" s="79"/>
      <c r="AZ34" s="79"/>
      <c r="BA34" s="78"/>
      <c r="BB34" s="78"/>
      <c r="BC34" s="80"/>
      <c r="BD34" s="78"/>
      <c r="BE34" s="78">
        <v>0</v>
      </c>
      <c r="BF34" s="78"/>
      <c r="BG34" s="78"/>
      <c r="BH34" s="78"/>
      <c r="BI34" s="78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1"/>
    </row>
    <row r="35" spans="1:75" ht="15" customHeight="1" x14ac:dyDescent="0.25">
      <c r="A35" s="29">
        <v>32</v>
      </c>
      <c r="B35" s="34" t="s">
        <v>40</v>
      </c>
      <c r="C35" s="29">
        <v>9</v>
      </c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>
        <v>0</v>
      </c>
      <c r="AT35" s="79"/>
      <c r="AU35" s="79"/>
      <c r="AV35" s="79"/>
      <c r="AW35" s="79"/>
      <c r="AX35" s="79"/>
      <c r="AY35" s="79"/>
      <c r="AZ35" s="79"/>
      <c r="BA35" s="78"/>
      <c r="BB35" s="78"/>
      <c r="BC35" s="80"/>
      <c r="BD35" s="78"/>
      <c r="BE35" s="78">
        <v>0</v>
      </c>
      <c r="BF35" s="78"/>
      <c r="BG35" s="78"/>
      <c r="BH35" s="78"/>
      <c r="BI35" s="78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1"/>
    </row>
    <row r="36" spans="1:75" ht="14.25" x14ac:dyDescent="0.25">
      <c r="A36" s="36">
        <v>33</v>
      </c>
      <c r="B36" s="37" t="s">
        <v>41</v>
      </c>
      <c r="C36" s="36">
        <v>9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>
        <f>+AN37+AN44+AN63+AN69+AN76+AN66</f>
        <v>0</v>
      </c>
      <c r="AO36" s="79">
        <f>+AO37+AO44+AO63+AO69+AO76+AO66</f>
        <v>0</v>
      </c>
      <c r="AP36" s="79">
        <f>+AP37+AP44+AP63+AP69+AP76+AP66</f>
        <v>0</v>
      </c>
      <c r="AQ36" s="79">
        <f>+AQ37+AQ44+AQ63+AQ69+AQ76+AQ66</f>
        <v>0</v>
      </c>
      <c r="AR36" s="79">
        <f>+AR37+AR44+AR63+AR69+AR76+AR66</f>
        <v>0</v>
      </c>
      <c r="AS36" s="79">
        <v>0</v>
      </c>
      <c r="AT36" s="79">
        <f>+AT37+AT44+AT63+AT69+AT76+AT66</f>
        <v>0</v>
      </c>
      <c r="AU36" s="79">
        <v>0</v>
      </c>
      <c r="AV36" s="79">
        <v>1237373</v>
      </c>
      <c r="AW36" s="79">
        <v>1202019</v>
      </c>
      <c r="AX36" s="79">
        <v>1166665</v>
      </c>
      <c r="AY36" s="79">
        <v>20359706</v>
      </c>
      <c r="AZ36" s="79">
        <v>19774969</v>
      </c>
      <c r="BA36" s="78">
        <v>19190232</v>
      </c>
      <c r="BB36" s="78">
        <v>18605495</v>
      </c>
      <c r="BC36" s="80">
        <v>18020758</v>
      </c>
      <c r="BD36" s="78">
        <v>17436021</v>
      </c>
      <c r="BE36" s="78">
        <v>16851284</v>
      </c>
      <c r="BF36" s="78">
        <v>16266547</v>
      </c>
      <c r="BG36" s="78">
        <v>15681810</v>
      </c>
      <c r="BH36" s="78">
        <v>15097073</v>
      </c>
      <c r="BI36" s="78">
        <v>14512336</v>
      </c>
      <c r="BJ36" s="80">
        <v>13927599</v>
      </c>
      <c r="BK36" s="80">
        <v>13342862</v>
      </c>
      <c r="BL36" s="80">
        <v>12758125</v>
      </c>
      <c r="BM36" s="80">
        <v>12173388</v>
      </c>
      <c r="BN36" s="80">
        <v>11588651</v>
      </c>
      <c r="BO36" s="80">
        <v>11003914</v>
      </c>
      <c r="BP36" s="80"/>
      <c r="BQ36" s="80"/>
      <c r="BR36" s="80"/>
      <c r="BS36" s="80"/>
      <c r="BT36" s="80"/>
      <c r="BU36" s="80"/>
      <c r="BV36" s="80"/>
      <c r="BW36" s="81"/>
    </row>
    <row r="37" spans="1:75" ht="15" customHeight="1" x14ac:dyDescent="0.25">
      <c r="A37" s="33">
        <v>34</v>
      </c>
      <c r="B37" s="28" t="s">
        <v>373</v>
      </c>
      <c r="C37" s="33">
        <v>9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>
        <v>0</v>
      </c>
      <c r="AT37" s="75"/>
      <c r="AU37" s="75"/>
      <c r="AV37" s="75"/>
      <c r="AW37" s="75"/>
      <c r="AX37" s="75"/>
      <c r="AY37" s="75"/>
      <c r="AZ37" s="75"/>
      <c r="BA37" s="74"/>
      <c r="BB37" s="74"/>
      <c r="BC37" s="76"/>
      <c r="BD37" s="74"/>
      <c r="BE37" s="74">
        <v>0</v>
      </c>
      <c r="BF37" s="74"/>
      <c r="BG37" s="74"/>
      <c r="BH37" s="74"/>
      <c r="BI37" s="74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7"/>
    </row>
    <row r="38" spans="1:75" ht="15" customHeight="1" x14ac:dyDescent="0.25">
      <c r="A38" s="29">
        <v>35</v>
      </c>
      <c r="B38" s="30" t="s">
        <v>42</v>
      </c>
      <c r="C38" s="29">
        <v>9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>
        <v>0</v>
      </c>
      <c r="AT38" s="79"/>
      <c r="AU38" s="79"/>
      <c r="AV38" s="79"/>
      <c r="AW38" s="79"/>
      <c r="AX38" s="79"/>
      <c r="AY38" s="79"/>
      <c r="AZ38" s="79"/>
      <c r="BA38" s="78"/>
      <c r="BB38" s="78"/>
      <c r="BC38" s="80"/>
      <c r="BD38" s="78"/>
      <c r="BE38" s="78">
        <v>0</v>
      </c>
      <c r="BF38" s="78"/>
      <c r="BG38" s="78"/>
      <c r="BH38" s="78"/>
      <c r="BI38" s="78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1"/>
    </row>
    <row r="39" spans="1:75" ht="15" customHeight="1" x14ac:dyDescent="0.25">
      <c r="A39" s="29">
        <v>36</v>
      </c>
      <c r="B39" s="30" t="s">
        <v>43</v>
      </c>
      <c r="C39" s="29">
        <v>9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>
        <v>0</v>
      </c>
      <c r="AT39" s="79"/>
      <c r="AU39" s="79"/>
      <c r="AV39" s="79"/>
      <c r="AW39" s="79"/>
      <c r="AX39" s="79"/>
      <c r="AY39" s="79"/>
      <c r="AZ39" s="79"/>
      <c r="BA39" s="78"/>
      <c r="BB39" s="78"/>
      <c r="BC39" s="80"/>
      <c r="BD39" s="78"/>
      <c r="BE39" s="78">
        <v>0</v>
      </c>
      <c r="BF39" s="78"/>
      <c r="BG39" s="78"/>
      <c r="BH39" s="78"/>
      <c r="BI39" s="78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1"/>
    </row>
    <row r="40" spans="1:75" ht="15" customHeight="1" x14ac:dyDescent="0.25">
      <c r="A40" s="29">
        <v>37</v>
      </c>
      <c r="B40" s="30" t="s">
        <v>44</v>
      </c>
      <c r="C40" s="29">
        <v>9</v>
      </c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>
        <v>0</v>
      </c>
      <c r="AT40" s="79"/>
      <c r="AU40" s="79"/>
      <c r="AV40" s="79"/>
      <c r="AW40" s="79"/>
      <c r="AX40" s="79"/>
      <c r="AY40" s="79"/>
      <c r="AZ40" s="79"/>
      <c r="BA40" s="78"/>
      <c r="BB40" s="78"/>
      <c r="BC40" s="80"/>
      <c r="BD40" s="78"/>
      <c r="BE40" s="78">
        <v>0</v>
      </c>
      <c r="BF40" s="78"/>
      <c r="BG40" s="78"/>
      <c r="BH40" s="78"/>
      <c r="BI40" s="78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1"/>
    </row>
    <row r="41" spans="1:75" ht="15" customHeight="1" x14ac:dyDescent="0.25">
      <c r="A41" s="29">
        <v>38</v>
      </c>
      <c r="B41" s="30" t="s">
        <v>246</v>
      </c>
      <c r="C41" s="29">
        <v>9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>
        <v>0</v>
      </c>
      <c r="AT41" s="79"/>
      <c r="AU41" s="79"/>
      <c r="AV41" s="79"/>
      <c r="AW41" s="79"/>
      <c r="AX41" s="79"/>
      <c r="AY41" s="79"/>
      <c r="AZ41" s="79"/>
      <c r="BA41" s="78"/>
      <c r="BB41" s="78"/>
      <c r="BC41" s="80"/>
      <c r="BD41" s="78"/>
      <c r="BE41" s="78">
        <v>0</v>
      </c>
      <c r="BF41" s="78"/>
      <c r="BG41" s="78"/>
      <c r="BH41" s="78"/>
      <c r="BI41" s="78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1"/>
    </row>
    <row r="42" spans="1:75" ht="15" customHeight="1" x14ac:dyDescent="0.25">
      <c r="A42" s="29">
        <v>39</v>
      </c>
      <c r="B42" s="30" t="s">
        <v>247</v>
      </c>
      <c r="C42" s="29">
        <v>9</v>
      </c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>
        <v>0</v>
      </c>
      <c r="AT42" s="79"/>
      <c r="AU42" s="79"/>
      <c r="AV42" s="79"/>
      <c r="AW42" s="79"/>
      <c r="AX42" s="79"/>
      <c r="AY42" s="79"/>
      <c r="AZ42" s="79"/>
      <c r="BA42" s="78"/>
      <c r="BB42" s="78"/>
      <c r="BC42" s="80"/>
      <c r="BD42" s="78"/>
      <c r="BE42" s="78">
        <v>0</v>
      </c>
      <c r="BF42" s="78"/>
      <c r="BG42" s="78"/>
      <c r="BH42" s="78"/>
      <c r="BI42" s="78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1"/>
    </row>
    <row r="43" spans="1:75" ht="15" customHeight="1" x14ac:dyDescent="0.25">
      <c r="A43" s="29">
        <v>40</v>
      </c>
      <c r="B43" s="30" t="s">
        <v>248</v>
      </c>
      <c r="C43" s="29">
        <v>9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>
        <v>0</v>
      </c>
      <c r="AT43" s="79"/>
      <c r="AU43" s="79"/>
      <c r="AV43" s="79"/>
      <c r="AW43" s="79"/>
      <c r="AX43" s="79"/>
      <c r="AY43" s="79"/>
      <c r="AZ43" s="79"/>
      <c r="BA43" s="78"/>
      <c r="BB43" s="78"/>
      <c r="BC43" s="80"/>
      <c r="BD43" s="78"/>
      <c r="BE43" s="78">
        <v>0</v>
      </c>
      <c r="BF43" s="78"/>
      <c r="BG43" s="78"/>
      <c r="BH43" s="78"/>
      <c r="BI43" s="78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1"/>
    </row>
    <row r="44" spans="1:75" ht="15" customHeight="1" x14ac:dyDescent="0.25">
      <c r="A44" s="33">
        <v>41</v>
      </c>
      <c r="B44" s="38" t="s">
        <v>45</v>
      </c>
      <c r="C44" s="33">
        <v>9</v>
      </c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>
        <f t="shared" ref="AN44:AT44" si="2">+AN45+AN51+AN48</f>
        <v>0</v>
      </c>
      <c r="AO44" s="79">
        <f t="shared" si="2"/>
        <v>0</v>
      </c>
      <c r="AP44" s="79">
        <f t="shared" si="2"/>
        <v>0</v>
      </c>
      <c r="AQ44" s="79">
        <f t="shared" si="2"/>
        <v>0</v>
      </c>
      <c r="AR44" s="79">
        <f t="shared" si="2"/>
        <v>0</v>
      </c>
      <c r="AS44" s="79">
        <v>0</v>
      </c>
      <c r="AT44" s="79">
        <f t="shared" si="2"/>
        <v>0</v>
      </c>
      <c r="AU44" s="79">
        <v>0</v>
      </c>
      <c r="AV44" s="79">
        <v>0</v>
      </c>
      <c r="AW44" s="79">
        <v>0</v>
      </c>
      <c r="AX44" s="79">
        <v>0</v>
      </c>
      <c r="AY44" s="79">
        <v>0</v>
      </c>
      <c r="AZ44" s="79">
        <v>0</v>
      </c>
      <c r="BA44" s="78">
        <v>0</v>
      </c>
      <c r="BB44" s="78">
        <v>0</v>
      </c>
      <c r="BC44" s="80">
        <v>0</v>
      </c>
      <c r="BD44" s="78">
        <v>0</v>
      </c>
      <c r="BE44" s="78">
        <v>0</v>
      </c>
      <c r="BF44" s="78">
        <v>0</v>
      </c>
      <c r="BG44" s="78">
        <v>0</v>
      </c>
      <c r="BH44" s="78">
        <v>0</v>
      </c>
      <c r="BI44" s="78">
        <v>0</v>
      </c>
      <c r="BJ44" s="80">
        <v>0</v>
      </c>
      <c r="BK44" s="80">
        <f>+BK45+BK51+BK48</f>
        <v>0</v>
      </c>
      <c r="BL44" s="80">
        <f>+BL45+BL51+BL48</f>
        <v>0</v>
      </c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1"/>
    </row>
    <row r="45" spans="1:75" ht="15" customHeight="1" x14ac:dyDescent="0.25">
      <c r="A45" s="33">
        <v>42</v>
      </c>
      <c r="B45" s="39" t="s">
        <v>46</v>
      </c>
      <c r="C45" s="33">
        <v>9</v>
      </c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>
        <f t="shared" ref="AN45:AT45" si="3">+SUM(AN46:AN47)</f>
        <v>0</v>
      </c>
      <c r="AO45" s="79">
        <f t="shared" si="3"/>
        <v>0</v>
      </c>
      <c r="AP45" s="79">
        <f t="shared" si="3"/>
        <v>0</v>
      </c>
      <c r="AQ45" s="79">
        <f t="shared" si="3"/>
        <v>0</v>
      </c>
      <c r="AR45" s="79">
        <f t="shared" si="3"/>
        <v>0</v>
      </c>
      <c r="AS45" s="79">
        <v>0</v>
      </c>
      <c r="AT45" s="79">
        <f t="shared" si="3"/>
        <v>0</v>
      </c>
      <c r="AU45" s="79">
        <v>0</v>
      </c>
      <c r="AV45" s="79">
        <v>0</v>
      </c>
      <c r="AW45" s="79">
        <v>0</v>
      </c>
      <c r="AX45" s="79">
        <v>0</v>
      </c>
      <c r="AY45" s="79">
        <v>0</v>
      </c>
      <c r="AZ45" s="79">
        <v>0</v>
      </c>
      <c r="BA45" s="78">
        <v>0</v>
      </c>
      <c r="BB45" s="78">
        <v>0</v>
      </c>
      <c r="BC45" s="80">
        <v>0</v>
      </c>
      <c r="BD45" s="78">
        <v>0</v>
      </c>
      <c r="BE45" s="78">
        <v>0</v>
      </c>
      <c r="BF45" s="78">
        <v>0</v>
      </c>
      <c r="BG45" s="78">
        <v>0</v>
      </c>
      <c r="BH45" s="78">
        <v>0</v>
      </c>
      <c r="BI45" s="78">
        <v>0</v>
      </c>
      <c r="BJ45" s="80">
        <v>0</v>
      </c>
      <c r="BK45" s="80">
        <f>+SUM(BK46:BK47)</f>
        <v>0</v>
      </c>
      <c r="BL45" s="80">
        <f>+SUM(BL46:BL47)</f>
        <v>0</v>
      </c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1"/>
    </row>
    <row r="46" spans="1:75" ht="15" customHeight="1" x14ac:dyDescent="0.25">
      <c r="A46" s="29">
        <v>43</v>
      </c>
      <c r="B46" s="40" t="s">
        <v>47</v>
      </c>
      <c r="C46" s="29">
        <v>9</v>
      </c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>
        <v>0</v>
      </c>
      <c r="AT46" s="79"/>
      <c r="AU46" s="79"/>
      <c r="AV46" s="79"/>
      <c r="AW46" s="79"/>
      <c r="AX46" s="79"/>
      <c r="AY46" s="79"/>
      <c r="AZ46" s="79"/>
      <c r="BA46" s="78"/>
      <c r="BB46" s="78"/>
      <c r="BC46" s="80"/>
      <c r="BD46" s="78"/>
      <c r="BE46" s="78">
        <v>0</v>
      </c>
      <c r="BF46" s="78"/>
      <c r="BG46" s="78"/>
      <c r="BH46" s="78"/>
      <c r="BI46" s="78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1"/>
    </row>
    <row r="47" spans="1:75" ht="15" customHeight="1" x14ac:dyDescent="0.25">
      <c r="A47" s="29">
        <v>44</v>
      </c>
      <c r="B47" s="40" t="s">
        <v>48</v>
      </c>
      <c r="C47" s="29">
        <v>9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>
        <v>0</v>
      </c>
      <c r="AT47" s="79"/>
      <c r="AU47" s="79"/>
      <c r="AV47" s="79"/>
      <c r="AW47" s="79"/>
      <c r="AX47" s="79"/>
      <c r="AY47" s="79"/>
      <c r="AZ47" s="79"/>
      <c r="BA47" s="78"/>
      <c r="BB47" s="78"/>
      <c r="BC47" s="80"/>
      <c r="BD47" s="78"/>
      <c r="BE47" s="78">
        <v>0</v>
      </c>
      <c r="BF47" s="78"/>
      <c r="BG47" s="78"/>
      <c r="BH47" s="78"/>
      <c r="BI47" s="78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1"/>
    </row>
    <row r="48" spans="1:75" ht="15" customHeight="1" x14ac:dyDescent="0.25">
      <c r="A48" s="33">
        <v>45</v>
      </c>
      <c r="B48" s="39" t="s">
        <v>49</v>
      </c>
      <c r="C48" s="33">
        <v>9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>
        <v>0</v>
      </c>
      <c r="AT48" s="79"/>
      <c r="AU48" s="79"/>
      <c r="AV48" s="79"/>
      <c r="AW48" s="79"/>
      <c r="AX48" s="79"/>
      <c r="AY48" s="79"/>
      <c r="AZ48" s="79"/>
      <c r="BA48" s="78"/>
      <c r="BB48" s="78"/>
      <c r="BC48" s="80"/>
      <c r="BD48" s="78"/>
      <c r="BE48" s="78">
        <v>0</v>
      </c>
      <c r="BF48" s="78"/>
      <c r="BG48" s="78"/>
      <c r="BH48" s="78"/>
      <c r="BI48" s="78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1"/>
    </row>
    <row r="49" spans="1:75" ht="15" customHeight="1" x14ac:dyDescent="0.25">
      <c r="A49" s="29">
        <v>46</v>
      </c>
      <c r="B49" s="40" t="s">
        <v>50</v>
      </c>
      <c r="C49" s="29">
        <v>9</v>
      </c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>
        <v>0</v>
      </c>
      <c r="AT49" s="79"/>
      <c r="AU49" s="79"/>
      <c r="AV49" s="79"/>
      <c r="AW49" s="79"/>
      <c r="AX49" s="79"/>
      <c r="AY49" s="79"/>
      <c r="AZ49" s="79"/>
      <c r="BA49" s="78"/>
      <c r="BB49" s="78"/>
      <c r="BC49" s="80"/>
      <c r="BD49" s="78"/>
      <c r="BE49" s="78">
        <v>0</v>
      </c>
      <c r="BF49" s="78"/>
      <c r="BG49" s="78"/>
      <c r="BH49" s="78"/>
      <c r="BI49" s="78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1"/>
    </row>
    <row r="50" spans="1:75" ht="15" customHeight="1" x14ac:dyDescent="0.25">
      <c r="A50" s="29">
        <v>47</v>
      </c>
      <c r="B50" s="40" t="s">
        <v>51</v>
      </c>
      <c r="C50" s="29">
        <v>9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>
        <v>0</v>
      </c>
      <c r="AT50" s="79"/>
      <c r="AU50" s="79"/>
      <c r="AV50" s="79"/>
      <c r="AW50" s="79"/>
      <c r="AX50" s="79"/>
      <c r="AY50" s="79"/>
      <c r="AZ50" s="79"/>
      <c r="BA50" s="78"/>
      <c r="BB50" s="78"/>
      <c r="BC50" s="80"/>
      <c r="BD50" s="78"/>
      <c r="BE50" s="78">
        <v>0</v>
      </c>
      <c r="BF50" s="78"/>
      <c r="BG50" s="78"/>
      <c r="BH50" s="78"/>
      <c r="BI50" s="78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1"/>
    </row>
    <row r="51" spans="1:75" ht="15" customHeight="1" x14ac:dyDescent="0.25">
      <c r="A51" s="33">
        <v>48</v>
      </c>
      <c r="B51" s="39" t="s">
        <v>52</v>
      </c>
      <c r="C51" s="33">
        <v>9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>
        <f t="shared" ref="AN51:AT51" si="4">+SUM(AN52:AN53)</f>
        <v>0</v>
      </c>
      <c r="AO51" s="79">
        <f t="shared" si="4"/>
        <v>0</v>
      </c>
      <c r="AP51" s="79">
        <f t="shared" si="4"/>
        <v>0</v>
      </c>
      <c r="AQ51" s="79">
        <f t="shared" si="4"/>
        <v>0</v>
      </c>
      <c r="AR51" s="79">
        <f t="shared" si="4"/>
        <v>0</v>
      </c>
      <c r="AS51" s="79">
        <v>0</v>
      </c>
      <c r="AT51" s="79">
        <f t="shared" si="4"/>
        <v>0</v>
      </c>
      <c r="AU51" s="79">
        <v>0</v>
      </c>
      <c r="AV51" s="79">
        <v>0</v>
      </c>
      <c r="AW51" s="79">
        <v>0</v>
      </c>
      <c r="AX51" s="79">
        <v>0</v>
      </c>
      <c r="AY51" s="79">
        <v>0</v>
      </c>
      <c r="AZ51" s="79">
        <v>0</v>
      </c>
      <c r="BA51" s="78">
        <v>0</v>
      </c>
      <c r="BB51" s="78">
        <v>0</v>
      </c>
      <c r="BC51" s="80">
        <v>0</v>
      </c>
      <c r="BD51" s="78">
        <v>0</v>
      </c>
      <c r="BE51" s="78">
        <v>0</v>
      </c>
      <c r="BF51" s="78">
        <v>0</v>
      </c>
      <c r="BG51" s="78">
        <v>0</v>
      </c>
      <c r="BH51" s="78">
        <v>0</v>
      </c>
      <c r="BI51" s="78">
        <v>0</v>
      </c>
      <c r="BJ51" s="80">
        <v>0</v>
      </c>
      <c r="BK51" s="80">
        <f>+SUM(BK52:BK53)</f>
        <v>0</v>
      </c>
      <c r="BL51" s="80">
        <f>+SUM(BL52:BL53)</f>
        <v>0</v>
      </c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1"/>
    </row>
    <row r="52" spans="1:75" ht="15" customHeight="1" x14ac:dyDescent="0.25">
      <c r="A52" s="29">
        <v>49</v>
      </c>
      <c r="B52" s="40" t="s">
        <v>53</v>
      </c>
      <c r="C52" s="29">
        <v>9</v>
      </c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>
        <v>0</v>
      </c>
      <c r="AT52" s="79"/>
      <c r="AU52" s="79"/>
      <c r="AV52" s="79"/>
      <c r="AW52" s="79"/>
      <c r="AX52" s="79"/>
      <c r="AY52" s="79"/>
      <c r="AZ52" s="79"/>
      <c r="BA52" s="78"/>
      <c r="BB52" s="78"/>
      <c r="BC52" s="80"/>
      <c r="BD52" s="78"/>
      <c r="BE52" s="78">
        <v>0</v>
      </c>
      <c r="BF52" s="78"/>
      <c r="BG52" s="78"/>
      <c r="BH52" s="78"/>
      <c r="BI52" s="78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1"/>
    </row>
    <row r="53" spans="1:75" ht="15" customHeight="1" x14ac:dyDescent="0.25">
      <c r="A53" s="29">
        <v>50</v>
      </c>
      <c r="B53" s="40" t="s">
        <v>54</v>
      </c>
      <c r="C53" s="29">
        <v>9</v>
      </c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>
        <v>0</v>
      </c>
      <c r="AT53" s="79"/>
      <c r="AU53" s="79"/>
      <c r="AV53" s="79"/>
      <c r="AW53" s="79"/>
      <c r="AX53" s="79"/>
      <c r="AY53" s="79"/>
      <c r="AZ53" s="79"/>
      <c r="BA53" s="78"/>
      <c r="BB53" s="78"/>
      <c r="BC53" s="80"/>
      <c r="BD53" s="78"/>
      <c r="BE53" s="78">
        <v>0</v>
      </c>
      <c r="BF53" s="78"/>
      <c r="BG53" s="78"/>
      <c r="BH53" s="78"/>
      <c r="BI53" s="78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1"/>
    </row>
    <row r="54" spans="1:75" ht="15" customHeight="1" x14ac:dyDescent="0.25">
      <c r="A54" s="33">
        <v>51</v>
      </c>
      <c r="B54" s="38" t="s">
        <v>249</v>
      </c>
      <c r="C54" s="33">
        <v>9</v>
      </c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8"/>
      <c r="BB54" s="78"/>
      <c r="BC54" s="80"/>
      <c r="BD54" s="78"/>
      <c r="BE54" s="78"/>
      <c r="BF54" s="78"/>
      <c r="BG54" s="78"/>
      <c r="BH54" s="78"/>
      <c r="BI54" s="78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1"/>
    </row>
    <row r="55" spans="1:75" ht="15" customHeight="1" x14ac:dyDescent="0.25">
      <c r="A55" s="29">
        <v>52</v>
      </c>
      <c r="B55" s="41" t="s">
        <v>250</v>
      </c>
      <c r="C55" s="29">
        <v>9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8"/>
      <c r="BB55" s="78"/>
      <c r="BC55" s="80"/>
      <c r="BD55" s="78"/>
      <c r="BE55" s="78"/>
      <c r="BF55" s="78"/>
      <c r="BG55" s="78"/>
      <c r="BH55" s="78"/>
      <c r="BI55" s="78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1"/>
    </row>
    <row r="56" spans="1:75" ht="15" customHeight="1" x14ac:dyDescent="0.25">
      <c r="A56" s="29">
        <v>53</v>
      </c>
      <c r="B56" s="40" t="s">
        <v>251</v>
      </c>
      <c r="C56" s="29">
        <v>9</v>
      </c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8"/>
      <c r="BB56" s="78"/>
      <c r="BC56" s="80"/>
      <c r="BD56" s="78"/>
      <c r="BE56" s="78"/>
      <c r="BF56" s="78"/>
      <c r="BG56" s="78"/>
      <c r="BH56" s="78"/>
      <c r="BI56" s="78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1"/>
    </row>
    <row r="57" spans="1:75" ht="15" customHeight="1" x14ac:dyDescent="0.25">
      <c r="A57" s="29">
        <v>54</v>
      </c>
      <c r="B57" s="40" t="s">
        <v>252</v>
      </c>
      <c r="C57" s="29">
        <v>9</v>
      </c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8"/>
      <c r="BB57" s="78"/>
      <c r="BC57" s="80"/>
      <c r="BD57" s="78"/>
      <c r="BE57" s="78"/>
      <c r="BF57" s="78"/>
      <c r="BG57" s="78"/>
      <c r="BH57" s="78"/>
      <c r="BI57" s="78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1"/>
    </row>
    <row r="58" spans="1:75" ht="15" customHeight="1" x14ac:dyDescent="0.25">
      <c r="A58" s="29">
        <v>55</v>
      </c>
      <c r="B58" s="42" t="s">
        <v>253</v>
      </c>
      <c r="C58" s="29">
        <v>9</v>
      </c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8"/>
      <c r="BB58" s="78"/>
      <c r="BC58" s="80"/>
      <c r="BD58" s="78"/>
      <c r="BE58" s="78"/>
      <c r="BF58" s="78"/>
      <c r="BG58" s="78"/>
      <c r="BH58" s="78"/>
      <c r="BI58" s="78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1"/>
    </row>
    <row r="59" spans="1:75" ht="15" customHeight="1" x14ac:dyDescent="0.25">
      <c r="A59" s="29">
        <v>56</v>
      </c>
      <c r="B59" s="42" t="s">
        <v>254</v>
      </c>
      <c r="C59" s="29">
        <v>9</v>
      </c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8"/>
      <c r="BB59" s="78"/>
      <c r="BC59" s="80"/>
      <c r="BD59" s="78"/>
      <c r="BE59" s="78"/>
      <c r="BF59" s="78"/>
      <c r="BG59" s="78"/>
      <c r="BH59" s="78"/>
      <c r="BI59" s="78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1"/>
    </row>
    <row r="60" spans="1:75" ht="15" customHeight="1" x14ac:dyDescent="0.25">
      <c r="A60" s="29">
        <v>57</v>
      </c>
      <c r="B60" s="41" t="s">
        <v>255</v>
      </c>
      <c r="C60" s="29">
        <v>9</v>
      </c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8"/>
      <c r="BB60" s="78"/>
      <c r="BC60" s="80"/>
      <c r="BD60" s="78"/>
      <c r="BE60" s="78"/>
      <c r="BF60" s="78"/>
      <c r="BG60" s="78"/>
      <c r="BH60" s="78"/>
      <c r="BI60" s="78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1"/>
    </row>
    <row r="61" spans="1:75" ht="15" customHeight="1" x14ac:dyDescent="0.25">
      <c r="A61" s="29">
        <v>58</v>
      </c>
      <c r="B61" s="41" t="s">
        <v>256</v>
      </c>
      <c r="C61" s="29">
        <v>9</v>
      </c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8"/>
      <c r="BB61" s="78"/>
      <c r="BC61" s="80"/>
      <c r="BD61" s="78"/>
      <c r="BE61" s="78"/>
      <c r="BF61" s="78"/>
      <c r="BG61" s="78"/>
      <c r="BH61" s="78"/>
      <c r="BI61" s="78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1"/>
    </row>
    <row r="62" spans="1:75" ht="15" customHeight="1" x14ac:dyDescent="0.25">
      <c r="A62" s="29">
        <v>59</v>
      </c>
      <c r="B62" s="41" t="s">
        <v>257</v>
      </c>
      <c r="C62" s="29">
        <v>9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8"/>
      <c r="BB62" s="78"/>
      <c r="BC62" s="80"/>
      <c r="BD62" s="78"/>
      <c r="BE62" s="78"/>
      <c r="BF62" s="78"/>
      <c r="BG62" s="78"/>
      <c r="BH62" s="78"/>
      <c r="BI62" s="78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1"/>
    </row>
    <row r="63" spans="1:75" ht="15" customHeight="1" x14ac:dyDescent="0.25">
      <c r="A63" s="31">
        <v>60</v>
      </c>
      <c r="B63" s="38" t="s">
        <v>258</v>
      </c>
      <c r="C63" s="31">
        <v>9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>
        <v>0</v>
      </c>
      <c r="AT63" s="79"/>
      <c r="AU63" s="79"/>
      <c r="AV63" s="79"/>
      <c r="AW63" s="79"/>
      <c r="AX63" s="79"/>
      <c r="AY63" s="79"/>
      <c r="AZ63" s="79"/>
      <c r="BA63" s="78"/>
      <c r="BB63" s="78"/>
      <c r="BC63" s="80"/>
      <c r="BD63" s="78"/>
      <c r="BE63" s="78">
        <v>0</v>
      </c>
      <c r="BF63" s="78"/>
      <c r="BG63" s="78"/>
      <c r="BH63" s="78"/>
      <c r="BI63" s="78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1"/>
    </row>
    <row r="64" spans="1:75" ht="15" customHeight="1" x14ac:dyDescent="0.25">
      <c r="A64" s="29">
        <v>61</v>
      </c>
      <c r="B64" s="30" t="s">
        <v>55</v>
      </c>
      <c r="C64" s="29">
        <v>9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>
        <v>0</v>
      </c>
      <c r="AT64" s="79"/>
      <c r="AU64" s="79"/>
      <c r="AV64" s="79"/>
      <c r="AW64" s="79"/>
      <c r="AX64" s="79"/>
      <c r="AY64" s="79"/>
      <c r="AZ64" s="79"/>
      <c r="BA64" s="78"/>
      <c r="BB64" s="78"/>
      <c r="BC64" s="80"/>
      <c r="BD64" s="78"/>
      <c r="BE64" s="78">
        <v>0</v>
      </c>
      <c r="BF64" s="78"/>
      <c r="BG64" s="78"/>
      <c r="BH64" s="78"/>
      <c r="BI64" s="78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1"/>
    </row>
    <row r="65" spans="1:75" ht="15" customHeight="1" x14ac:dyDescent="0.25">
      <c r="A65" s="29">
        <v>62</v>
      </c>
      <c r="B65" s="30" t="s">
        <v>56</v>
      </c>
      <c r="C65" s="29">
        <v>9</v>
      </c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>
        <v>0</v>
      </c>
      <c r="AT65" s="79"/>
      <c r="AU65" s="79"/>
      <c r="AV65" s="79"/>
      <c r="AW65" s="79"/>
      <c r="AX65" s="79"/>
      <c r="AY65" s="79"/>
      <c r="AZ65" s="79"/>
      <c r="BA65" s="78"/>
      <c r="BB65" s="78"/>
      <c r="BC65" s="80"/>
      <c r="BD65" s="78"/>
      <c r="BE65" s="78">
        <v>0</v>
      </c>
      <c r="BF65" s="78"/>
      <c r="BG65" s="78"/>
      <c r="BH65" s="78"/>
      <c r="BI65" s="78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1"/>
    </row>
    <row r="66" spans="1:75" ht="15" customHeight="1" x14ac:dyDescent="0.25">
      <c r="A66" s="33">
        <v>63</v>
      </c>
      <c r="B66" s="38" t="s">
        <v>259</v>
      </c>
      <c r="C66" s="33">
        <v>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>
        <v>0</v>
      </c>
      <c r="AT66" s="79"/>
      <c r="AU66" s="79"/>
      <c r="AV66" s="79"/>
      <c r="AW66" s="79"/>
      <c r="AX66" s="79"/>
      <c r="AY66" s="79"/>
      <c r="AZ66" s="79"/>
      <c r="BA66" s="78"/>
      <c r="BB66" s="78"/>
      <c r="BC66" s="80"/>
      <c r="BD66" s="78"/>
      <c r="BE66" s="78">
        <v>0</v>
      </c>
      <c r="BF66" s="78"/>
      <c r="BG66" s="82">
        <v>0</v>
      </c>
      <c r="BH66" s="82"/>
      <c r="BI66" s="78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1"/>
    </row>
    <row r="67" spans="1:75" ht="15" customHeight="1" x14ac:dyDescent="0.25">
      <c r="A67" s="29">
        <v>64</v>
      </c>
      <c r="B67" s="30" t="s">
        <v>57</v>
      </c>
      <c r="C67" s="29">
        <v>9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>
        <v>0</v>
      </c>
      <c r="AT67" s="79"/>
      <c r="AU67" s="79"/>
      <c r="AV67" s="79"/>
      <c r="AW67" s="79"/>
      <c r="AX67" s="79"/>
      <c r="AY67" s="79"/>
      <c r="AZ67" s="79"/>
      <c r="BA67" s="78"/>
      <c r="BB67" s="78"/>
      <c r="BC67" s="80"/>
      <c r="BD67" s="78"/>
      <c r="BE67" s="78">
        <v>0</v>
      </c>
      <c r="BF67" s="78"/>
      <c r="BG67" s="78"/>
      <c r="BH67" s="78"/>
      <c r="BI67" s="78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1"/>
    </row>
    <row r="68" spans="1:75" ht="15" customHeight="1" x14ac:dyDescent="0.25">
      <c r="A68" s="29">
        <v>65</v>
      </c>
      <c r="B68" s="30" t="s">
        <v>58</v>
      </c>
      <c r="C68" s="29">
        <v>9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>
        <v>0</v>
      </c>
      <c r="AT68" s="79"/>
      <c r="AU68" s="79"/>
      <c r="AV68" s="79"/>
      <c r="AW68" s="79"/>
      <c r="AX68" s="79"/>
      <c r="AY68" s="79"/>
      <c r="AZ68" s="79"/>
      <c r="BA68" s="78"/>
      <c r="BB68" s="78"/>
      <c r="BC68" s="80"/>
      <c r="BD68" s="78"/>
      <c r="BE68" s="78">
        <v>0</v>
      </c>
      <c r="BF68" s="78"/>
      <c r="BG68" s="78"/>
      <c r="BH68" s="78"/>
      <c r="BI68" s="78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1"/>
    </row>
    <row r="69" spans="1:75" ht="15" customHeight="1" x14ac:dyDescent="0.25">
      <c r="A69" s="33">
        <v>66</v>
      </c>
      <c r="B69" s="43" t="s">
        <v>260</v>
      </c>
      <c r="C69" s="33">
        <v>9</v>
      </c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>
        <v>0</v>
      </c>
      <c r="AT69" s="79"/>
      <c r="AU69" s="79"/>
      <c r="AV69" s="79"/>
      <c r="AW69" s="79"/>
      <c r="AX69" s="79"/>
      <c r="AY69" s="79"/>
      <c r="AZ69" s="79"/>
      <c r="BA69" s="78"/>
      <c r="BB69" s="78"/>
      <c r="BC69" s="80"/>
      <c r="BD69" s="78"/>
      <c r="BE69" s="78">
        <v>0</v>
      </c>
      <c r="BF69" s="78"/>
      <c r="BG69" s="78"/>
      <c r="BH69" s="78"/>
      <c r="BI69" s="78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1"/>
    </row>
    <row r="70" spans="1:75" ht="15" customHeight="1" x14ac:dyDescent="0.25">
      <c r="A70" s="29">
        <v>67</v>
      </c>
      <c r="B70" s="30" t="s">
        <v>59</v>
      </c>
      <c r="C70" s="29">
        <v>9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>
        <v>0</v>
      </c>
      <c r="AT70" s="79"/>
      <c r="AU70" s="79"/>
      <c r="AV70" s="79"/>
      <c r="AW70" s="79"/>
      <c r="AX70" s="79"/>
      <c r="AY70" s="79"/>
      <c r="AZ70" s="79"/>
      <c r="BA70" s="78"/>
      <c r="BB70" s="78"/>
      <c r="BC70" s="80"/>
      <c r="BD70" s="78"/>
      <c r="BE70" s="78">
        <v>0</v>
      </c>
      <c r="BF70" s="78"/>
      <c r="BG70" s="78"/>
      <c r="BH70" s="78"/>
      <c r="BI70" s="78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1"/>
    </row>
    <row r="71" spans="1:75" ht="15" customHeight="1" x14ac:dyDescent="0.25">
      <c r="A71" s="29">
        <v>68</v>
      </c>
      <c r="B71" s="30" t="s">
        <v>261</v>
      </c>
      <c r="C71" s="29">
        <v>9</v>
      </c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>
        <v>0</v>
      </c>
      <c r="AT71" s="79"/>
      <c r="AU71" s="79"/>
      <c r="AV71" s="79"/>
      <c r="AW71" s="79"/>
      <c r="AX71" s="79"/>
      <c r="AY71" s="79"/>
      <c r="AZ71" s="79"/>
      <c r="BA71" s="78"/>
      <c r="BB71" s="78"/>
      <c r="BC71" s="80"/>
      <c r="BD71" s="78"/>
      <c r="BE71" s="78">
        <v>0</v>
      </c>
      <c r="BF71" s="78"/>
      <c r="BG71" s="78"/>
      <c r="BH71" s="78"/>
      <c r="BI71" s="78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1"/>
    </row>
    <row r="72" spans="1:75" ht="15" customHeight="1" x14ac:dyDescent="0.25">
      <c r="A72" s="29">
        <v>69</v>
      </c>
      <c r="B72" s="30" t="s">
        <v>60</v>
      </c>
      <c r="C72" s="29">
        <v>9</v>
      </c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>
        <v>0</v>
      </c>
      <c r="AT72" s="79"/>
      <c r="AU72" s="79"/>
      <c r="AV72" s="79"/>
      <c r="AW72" s="79"/>
      <c r="AX72" s="79"/>
      <c r="AY72" s="79"/>
      <c r="AZ72" s="79"/>
      <c r="BA72" s="78"/>
      <c r="BB72" s="78"/>
      <c r="BC72" s="80"/>
      <c r="BD72" s="78"/>
      <c r="BE72" s="78">
        <v>0</v>
      </c>
      <c r="BF72" s="78"/>
      <c r="BG72" s="78"/>
      <c r="BH72" s="78"/>
      <c r="BI72" s="78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1"/>
    </row>
    <row r="73" spans="1:75" ht="15" customHeight="1" x14ac:dyDescent="0.25">
      <c r="A73" s="29">
        <v>70</v>
      </c>
      <c r="B73" s="30" t="s">
        <v>262</v>
      </c>
      <c r="C73" s="29">
        <v>9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>
        <v>0</v>
      </c>
      <c r="AT73" s="79"/>
      <c r="AU73" s="79"/>
      <c r="AV73" s="79"/>
      <c r="AW73" s="79"/>
      <c r="AX73" s="79"/>
      <c r="AY73" s="79"/>
      <c r="AZ73" s="79"/>
      <c r="BA73" s="78"/>
      <c r="BB73" s="78"/>
      <c r="BC73" s="80"/>
      <c r="BD73" s="78"/>
      <c r="BE73" s="78">
        <v>0</v>
      </c>
      <c r="BF73" s="78"/>
      <c r="BG73" s="78"/>
      <c r="BH73" s="78"/>
      <c r="BI73" s="78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1"/>
    </row>
    <row r="74" spans="1:75" ht="15" customHeight="1" x14ac:dyDescent="0.25">
      <c r="A74" s="29">
        <v>71</v>
      </c>
      <c r="B74" s="32" t="s">
        <v>263</v>
      </c>
      <c r="C74" s="29">
        <v>9</v>
      </c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>
        <v>0</v>
      </c>
      <c r="AT74" s="79"/>
      <c r="AU74" s="79"/>
      <c r="AV74" s="79"/>
      <c r="AW74" s="79"/>
      <c r="AX74" s="79"/>
      <c r="AY74" s="79"/>
      <c r="AZ74" s="79"/>
      <c r="BA74" s="78"/>
      <c r="BB74" s="78"/>
      <c r="BC74" s="80"/>
      <c r="BD74" s="78"/>
      <c r="BE74" s="78">
        <v>0</v>
      </c>
      <c r="BF74" s="78"/>
      <c r="BG74" s="78"/>
      <c r="BH74" s="78"/>
      <c r="BI74" s="78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1"/>
    </row>
    <row r="75" spans="1:75" ht="15" customHeight="1" x14ac:dyDescent="0.25">
      <c r="A75" s="29">
        <v>72</v>
      </c>
      <c r="B75" s="32" t="s">
        <v>264</v>
      </c>
      <c r="C75" s="29">
        <v>9</v>
      </c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8"/>
      <c r="BB75" s="78"/>
      <c r="BC75" s="80"/>
      <c r="BD75" s="78"/>
      <c r="BE75" s="78"/>
      <c r="BF75" s="78"/>
      <c r="BG75" s="78"/>
      <c r="BH75" s="78"/>
      <c r="BI75" s="78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1"/>
    </row>
    <row r="76" spans="1:75" s="45" customFormat="1" ht="15" customHeight="1" x14ac:dyDescent="0.3">
      <c r="A76" s="33">
        <v>73</v>
      </c>
      <c r="B76" s="44" t="s">
        <v>265</v>
      </c>
      <c r="C76" s="33">
        <v>9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>
        <v>0</v>
      </c>
      <c r="AT76" s="84"/>
      <c r="AU76" s="84">
        <v>0</v>
      </c>
      <c r="AV76" s="84">
        <v>1237373</v>
      </c>
      <c r="AW76" s="84">
        <v>1202019</v>
      </c>
      <c r="AX76" s="84">
        <v>1166665</v>
      </c>
      <c r="AY76" s="84">
        <v>20359706</v>
      </c>
      <c r="AZ76" s="84">
        <v>19774969</v>
      </c>
      <c r="BA76" s="83">
        <v>19190232</v>
      </c>
      <c r="BB76" s="83">
        <v>18605495</v>
      </c>
      <c r="BC76" s="85">
        <v>18020758</v>
      </c>
      <c r="BD76" s="83">
        <v>17436021</v>
      </c>
      <c r="BE76" s="83">
        <v>16851284</v>
      </c>
      <c r="BF76" s="83">
        <v>16266547</v>
      </c>
      <c r="BG76" s="83">
        <v>15681810</v>
      </c>
      <c r="BH76" s="83">
        <v>15097073</v>
      </c>
      <c r="BI76" s="83">
        <v>14512336</v>
      </c>
      <c r="BJ76" s="85">
        <v>13927599</v>
      </c>
      <c r="BK76" s="85">
        <v>13342862</v>
      </c>
      <c r="BL76" s="85">
        <v>12758125</v>
      </c>
      <c r="BM76" s="85">
        <v>12173388</v>
      </c>
      <c r="BN76" s="85">
        <v>11588651</v>
      </c>
      <c r="BO76" s="85">
        <v>11003914</v>
      </c>
      <c r="BP76" s="85"/>
      <c r="BQ76" s="85"/>
      <c r="BR76" s="85"/>
      <c r="BS76" s="85"/>
      <c r="BT76" s="85"/>
      <c r="BU76" s="85"/>
      <c r="BV76" s="85"/>
      <c r="BW76" s="86"/>
    </row>
    <row r="77" spans="1:75" ht="15" customHeight="1" x14ac:dyDescent="0.25">
      <c r="A77" s="29">
        <v>74</v>
      </c>
      <c r="B77" s="34" t="s">
        <v>266</v>
      </c>
      <c r="C77" s="29">
        <v>9</v>
      </c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>
        <v>0</v>
      </c>
      <c r="AT77" s="79"/>
      <c r="AU77" s="79"/>
      <c r="AV77" s="79">
        <v>1237373</v>
      </c>
      <c r="AW77" s="79">
        <v>1202019</v>
      </c>
      <c r="AX77" s="79">
        <v>1166665</v>
      </c>
      <c r="AY77" s="79">
        <v>20359706</v>
      </c>
      <c r="AZ77" s="79">
        <v>19774969</v>
      </c>
      <c r="BA77" s="78">
        <v>19190232</v>
      </c>
      <c r="BB77" s="78">
        <v>18605495</v>
      </c>
      <c r="BC77" s="80">
        <v>18020758</v>
      </c>
      <c r="BD77" s="78">
        <v>17436021</v>
      </c>
      <c r="BE77" s="78">
        <v>16851284</v>
      </c>
      <c r="BF77" s="78">
        <v>16266547</v>
      </c>
      <c r="BG77" s="78">
        <v>15681810</v>
      </c>
      <c r="BH77" s="78">
        <v>15097073</v>
      </c>
      <c r="BI77" s="78">
        <v>14512336</v>
      </c>
      <c r="BJ77" s="80">
        <v>13927599</v>
      </c>
      <c r="BK77" s="80">
        <v>13342862</v>
      </c>
      <c r="BL77" s="80">
        <v>12758125</v>
      </c>
      <c r="BM77" s="80">
        <v>12173388</v>
      </c>
      <c r="BN77" s="80">
        <v>11588651</v>
      </c>
      <c r="BO77" s="80">
        <v>11003914</v>
      </c>
      <c r="BP77" s="80"/>
      <c r="BQ77" s="80"/>
      <c r="BR77" s="80"/>
      <c r="BS77" s="80"/>
      <c r="BT77" s="80"/>
      <c r="BU77" s="80"/>
      <c r="BV77" s="80"/>
      <c r="BW77" s="81"/>
    </row>
    <row r="78" spans="1:75" ht="15" customHeight="1" x14ac:dyDescent="0.25">
      <c r="A78" s="29">
        <v>75</v>
      </c>
      <c r="B78" s="34" t="s">
        <v>61</v>
      </c>
      <c r="C78" s="29">
        <v>9</v>
      </c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>
        <v>0</v>
      </c>
      <c r="AT78" s="79"/>
      <c r="AU78" s="79"/>
      <c r="AV78" s="79"/>
      <c r="AW78" s="79"/>
      <c r="AX78" s="79"/>
      <c r="AY78" s="79"/>
      <c r="AZ78" s="79"/>
      <c r="BA78" s="78"/>
      <c r="BB78" s="78"/>
      <c r="BC78" s="80"/>
      <c r="BD78" s="78"/>
      <c r="BE78" s="78">
        <v>0</v>
      </c>
      <c r="BF78" s="78"/>
      <c r="BG78" s="78"/>
      <c r="BH78" s="78">
        <v>0</v>
      </c>
      <c r="BI78" s="78">
        <v>0</v>
      </c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1"/>
    </row>
    <row r="79" spans="1:75" ht="15" customHeight="1" x14ac:dyDescent="0.25">
      <c r="A79" s="29">
        <v>76</v>
      </c>
      <c r="B79" s="34" t="s">
        <v>62</v>
      </c>
      <c r="C79" s="29">
        <v>9</v>
      </c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>
        <v>0</v>
      </c>
      <c r="AT79" s="79"/>
      <c r="AU79" s="79"/>
      <c r="AV79" s="79"/>
      <c r="AW79" s="79"/>
      <c r="AX79" s="79"/>
      <c r="AY79" s="79"/>
      <c r="AZ79" s="79"/>
      <c r="BA79" s="78"/>
      <c r="BB79" s="78"/>
      <c r="BC79" s="80"/>
      <c r="BD79" s="78"/>
      <c r="BE79" s="78">
        <v>0</v>
      </c>
      <c r="BF79" s="78"/>
      <c r="BG79" s="78"/>
      <c r="BH79" s="78"/>
      <c r="BI79" s="78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1"/>
    </row>
    <row r="80" spans="1:75" ht="15" customHeight="1" x14ac:dyDescent="0.25">
      <c r="A80" s="29">
        <v>77</v>
      </c>
      <c r="B80" s="34" t="s">
        <v>63</v>
      </c>
      <c r="C80" s="29">
        <v>9</v>
      </c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>
        <v>0</v>
      </c>
      <c r="AT80" s="79"/>
      <c r="AU80" s="79"/>
      <c r="AV80" s="79"/>
      <c r="AW80" s="79"/>
      <c r="AX80" s="79"/>
      <c r="AY80" s="79"/>
      <c r="AZ80" s="79"/>
      <c r="BA80" s="78"/>
      <c r="BB80" s="78"/>
      <c r="BC80" s="80"/>
      <c r="BD80" s="78"/>
      <c r="BE80" s="78">
        <v>0</v>
      </c>
      <c r="BF80" s="78"/>
      <c r="BG80" s="78"/>
      <c r="BH80" s="78"/>
      <c r="BI80" s="78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1"/>
    </row>
    <row r="81" spans="1:75" s="48" customFormat="1" ht="15" customHeight="1" x14ac:dyDescent="0.25">
      <c r="A81" s="46">
        <v>78</v>
      </c>
      <c r="B81" s="47" t="s">
        <v>64</v>
      </c>
      <c r="C81" s="46">
        <v>9</v>
      </c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>
        <f t="shared" ref="AN81:AT81" si="5">+AN36+AN4</f>
        <v>0</v>
      </c>
      <c r="AO81" s="88">
        <f t="shared" si="5"/>
        <v>0</v>
      </c>
      <c r="AP81" s="88">
        <f t="shared" si="5"/>
        <v>0</v>
      </c>
      <c r="AQ81" s="88">
        <f t="shared" si="5"/>
        <v>0</v>
      </c>
      <c r="AR81" s="88">
        <f t="shared" si="5"/>
        <v>0</v>
      </c>
      <c r="AS81" s="88">
        <f t="shared" si="5"/>
        <v>0</v>
      </c>
      <c r="AT81" s="88">
        <f t="shared" si="5"/>
        <v>0</v>
      </c>
      <c r="AU81" s="88">
        <v>30000</v>
      </c>
      <c r="AV81" s="88">
        <v>2594646</v>
      </c>
      <c r="AW81" s="88">
        <v>63759292</v>
      </c>
      <c r="AX81" s="88">
        <v>20124923938</v>
      </c>
      <c r="AY81" s="88">
        <v>20120693242</v>
      </c>
      <c r="AZ81" s="88">
        <v>20100338429</v>
      </c>
      <c r="BA81" s="87">
        <v>20204761013</v>
      </c>
      <c r="BB81" s="87">
        <v>20249182889</v>
      </c>
      <c r="BC81" s="89">
        <v>20296421668</v>
      </c>
      <c r="BD81" s="87">
        <v>20340841883</v>
      </c>
      <c r="BE81" s="87">
        <v>21384263853</v>
      </c>
      <c r="BF81" s="87">
        <v>21443707417</v>
      </c>
      <c r="BG81" s="87">
        <v>21502838004</v>
      </c>
      <c r="BH81" s="87">
        <v>21562254819</v>
      </c>
      <c r="BI81" s="87">
        <v>21621671027</v>
      </c>
      <c r="BJ81" s="89">
        <v>21688144800</v>
      </c>
      <c r="BK81" s="89">
        <f>+BK36+BK4</f>
        <v>21747561060</v>
      </c>
      <c r="BL81" s="89">
        <f>+BL36+BL4</f>
        <v>21746977393</v>
      </c>
      <c r="BM81" s="89">
        <v>21752676399</v>
      </c>
      <c r="BN81" s="89">
        <v>20752092642</v>
      </c>
      <c r="BO81" s="89">
        <v>20751508995</v>
      </c>
      <c r="BP81" s="89"/>
      <c r="BQ81" s="89"/>
      <c r="BR81" s="89"/>
      <c r="BS81" s="89"/>
      <c r="BT81" s="89"/>
      <c r="BU81" s="89"/>
      <c r="BV81" s="89"/>
      <c r="BW81" s="90"/>
    </row>
    <row r="82" spans="1:75" ht="15" customHeight="1" x14ac:dyDescent="0.25">
      <c r="A82" s="36">
        <v>79</v>
      </c>
      <c r="B82" s="26" t="s">
        <v>267</v>
      </c>
      <c r="C82" s="36">
        <v>9</v>
      </c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>
        <f t="shared" ref="AN82:AT82" si="6">+AN83+AN99</f>
        <v>0</v>
      </c>
      <c r="AO82" s="72">
        <f t="shared" si="6"/>
        <v>0</v>
      </c>
      <c r="AP82" s="72">
        <f t="shared" si="6"/>
        <v>0</v>
      </c>
      <c r="AQ82" s="72">
        <f t="shared" si="6"/>
        <v>0</v>
      </c>
      <c r="AR82" s="72">
        <f t="shared" si="6"/>
        <v>0</v>
      </c>
      <c r="AS82" s="72">
        <f t="shared" si="6"/>
        <v>0</v>
      </c>
      <c r="AT82" s="72">
        <f t="shared" si="6"/>
        <v>0</v>
      </c>
      <c r="AU82" s="72">
        <v>430000</v>
      </c>
      <c r="AV82" s="72">
        <v>18030000</v>
      </c>
      <c r="AW82" s="72">
        <v>694230000</v>
      </c>
      <c r="AX82" s="72">
        <v>1370430000</v>
      </c>
      <c r="AY82" s="72">
        <v>1981777778</v>
      </c>
      <c r="AZ82" s="72">
        <v>1980000000</v>
      </c>
      <c r="BA82" s="71">
        <v>3300000000</v>
      </c>
      <c r="BB82" s="71">
        <v>3960000000</v>
      </c>
      <c r="BC82" s="73">
        <v>4620000000</v>
      </c>
      <c r="BD82" s="71">
        <v>5280000000</v>
      </c>
      <c r="BE82" s="71">
        <v>6940000000</v>
      </c>
      <c r="BF82" s="71">
        <v>7600291600</v>
      </c>
      <c r="BG82" s="71">
        <v>8260000000</v>
      </c>
      <c r="BH82" s="71">
        <v>8920000000</v>
      </c>
      <c r="BI82" s="71">
        <v>9580000000</v>
      </c>
      <c r="BJ82" s="73">
        <v>10240000000</v>
      </c>
      <c r="BK82" s="73">
        <f>+BK83+BK99</f>
        <v>10900000000</v>
      </c>
      <c r="BL82" s="73">
        <f>+BL83+BL99</f>
        <v>10900161000</v>
      </c>
      <c r="BM82" s="73">
        <v>10900161000</v>
      </c>
      <c r="BN82" s="73">
        <v>9900161000</v>
      </c>
      <c r="BO82" s="73">
        <v>9900161000</v>
      </c>
      <c r="BP82" s="73"/>
      <c r="BQ82" s="73"/>
      <c r="BR82" s="73"/>
      <c r="BS82" s="73"/>
      <c r="BT82" s="73"/>
      <c r="BU82" s="73"/>
      <c r="BV82" s="73"/>
      <c r="BW82" s="91"/>
    </row>
    <row r="83" spans="1:75" ht="15" customHeight="1" x14ac:dyDescent="0.25">
      <c r="A83" s="33">
        <v>80</v>
      </c>
      <c r="B83" s="28" t="s">
        <v>65</v>
      </c>
      <c r="C83" s="33">
        <v>9</v>
      </c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>
        <f t="shared" ref="AN83:AT83" si="7">+SUM(AN85:AN98)</f>
        <v>0</v>
      </c>
      <c r="AO83" s="75">
        <f t="shared" si="7"/>
        <v>0</v>
      </c>
      <c r="AP83" s="75">
        <f t="shared" si="7"/>
        <v>0</v>
      </c>
      <c r="AQ83" s="75">
        <f t="shared" si="7"/>
        <v>0</v>
      </c>
      <c r="AR83" s="75">
        <f t="shared" si="7"/>
        <v>0</v>
      </c>
      <c r="AS83" s="75">
        <f t="shared" si="7"/>
        <v>0</v>
      </c>
      <c r="AT83" s="75">
        <f t="shared" si="7"/>
        <v>0</v>
      </c>
      <c r="AU83" s="75">
        <v>430000</v>
      </c>
      <c r="AV83" s="75">
        <v>18030000</v>
      </c>
      <c r="AW83" s="75">
        <v>694230000</v>
      </c>
      <c r="AX83" s="75">
        <v>1370430000</v>
      </c>
      <c r="AY83" s="75">
        <v>1981777778</v>
      </c>
      <c r="AZ83" s="75">
        <v>1980000000</v>
      </c>
      <c r="BA83" s="74">
        <v>3300000000</v>
      </c>
      <c r="BB83" s="74">
        <v>3960000000</v>
      </c>
      <c r="BC83" s="76">
        <v>4620000000</v>
      </c>
      <c r="BD83" s="74">
        <v>5280000000</v>
      </c>
      <c r="BE83" s="74">
        <v>6940000000</v>
      </c>
      <c r="BF83" s="74">
        <v>7600291600</v>
      </c>
      <c r="BG83" s="74">
        <v>8260000000</v>
      </c>
      <c r="BH83" s="74">
        <v>8920000000</v>
      </c>
      <c r="BI83" s="74">
        <v>9580000000</v>
      </c>
      <c r="BJ83" s="76">
        <v>10240000000</v>
      </c>
      <c r="BK83" s="76">
        <f>+SUM(BK84:BK98)</f>
        <v>10900000000</v>
      </c>
      <c r="BL83" s="76">
        <v>10900161000</v>
      </c>
      <c r="BM83" s="76">
        <v>10900161000</v>
      </c>
      <c r="BN83" s="76">
        <v>9900161000</v>
      </c>
      <c r="BO83" s="76">
        <v>9900161000</v>
      </c>
      <c r="BP83" s="76"/>
      <c r="BQ83" s="76"/>
      <c r="BR83" s="76"/>
      <c r="BS83" s="76"/>
      <c r="BT83" s="76"/>
      <c r="BU83" s="76"/>
      <c r="BV83" s="76"/>
      <c r="BW83" s="77"/>
    </row>
    <row r="84" spans="1:75" ht="15" customHeight="1" x14ac:dyDescent="0.25">
      <c r="A84" s="29">
        <v>81</v>
      </c>
      <c r="B84" s="49" t="s">
        <v>66</v>
      </c>
      <c r="C84" s="29">
        <v>9</v>
      </c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>
        <v>0</v>
      </c>
      <c r="AT84" s="79"/>
      <c r="AU84" s="79">
        <v>430000</v>
      </c>
      <c r="AV84" s="79">
        <v>18030000</v>
      </c>
      <c r="AW84" s="79">
        <v>694230000</v>
      </c>
      <c r="AX84" s="79">
        <v>1370430000</v>
      </c>
      <c r="AY84" s="79">
        <v>1980000000</v>
      </c>
      <c r="AZ84" s="79">
        <v>1980000000</v>
      </c>
      <c r="BA84" s="78">
        <v>3300000000</v>
      </c>
      <c r="BB84" s="78">
        <v>3960000000</v>
      </c>
      <c r="BC84" s="80">
        <v>4620000000</v>
      </c>
      <c r="BD84" s="78">
        <v>5280000000</v>
      </c>
      <c r="BE84" s="78">
        <v>5940000000</v>
      </c>
      <c r="BF84" s="78">
        <v>6600291600</v>
      </c>
      <c r="BG84" s="78">
        <v>7260000000</v>
      </c>
      <c r="BH84" s="78">
        <v>7920000000</v>
      </c>
      <c r="BI84" s="78">
        <v>8580000000</v>
      </c>
      <c r="BJ84" s="80">
        <v>9240000000</v>
      </c>
      <c r="BK84" s="80">
        <v>9900000000</v>
      </c>
      <c r="BL84" s="80">
        <v>9900000000</v>
      </c>
      <c r="BM84" s="80">
        <v>9900000000</v>
      </c>
      <c r="BN84" s="80">
        <v>9900000000</v>
      </c>
      <c r="BO84" s="80">
        <v>9900000000</v>
      </c>
      <c r="BP84" s="80"/>
      <c r="BQ84" s="80"/>
      <c r="BR84" s="80"/>
      <c r="BS84" s="80"/>
      <c r="BT84" s="80"/>
      <c r="BU84" s="80"/>
      <c r="BV84" s="80"/>
      <c r="BW84" s="81"/>
    </row>
    <row r="85" spans="1:75" ht="15" customHeight="1" x14ac:dyDescent="0.25">
      <c r="A85" s="29">
        <v>82</v>
      </c>
      <c r="B85" s="49" t="s">
        <v>67</v>
      </c>
      <c r="C85" s="29">
        <v>9</v>
      </c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>
        <v>0</v>
      </c>
      <c r="AT85" s="79"/>
      <c r="AU85" s="79"/>
      <c r="AV85" s="79"/>
      <c r="AW85" s="79"/>
      <c r="AX85" s="79"/>
      <c r="AY85" s="79"/>
      <c r="AZ85" s="79"/>
      <c r="BA85" s="78"/>
      <c r="BB85" s="78"/>
      <c r="BC85" s="80"/>
      <c r="BD85" s="78"/>
      <c r="BE85" s="78">
        <v>0</v>
      </c>
      <c r="BF85" s="78"/>
      <c r="BG85" s="78"/>
      <c r="BH85" s="78">
        <v>0</v>
      </c>
      <c r="BI85" s="78">
        <v>0</v>
      </c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1"/>
    </row>
    <row r="86" spans="1:75" ht="15" customHeight="1" x14ac:dyDescent="0.25">
      <c r="A86" s="29">
        <v>83</v>
      </c>
      <c r="B86" s="49" t="s">
        <v>268</v>
      </c>
      <c r="C86" s="29">
        <v>9</v>
      </c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8"/>
      <c r="BB86" s="78"/>
      <c r="BC86" s="80"/>
      <c r="BD86" s="78"/>
      <c r="BE86" s="78"/>
      <c r="BF86" s="78"/>
      <c r="BG86" s="78"/>
      <c r="BH86" s="78"/>
      <c r="BI86" s="78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1"/>
    </row>
    <row r="87" spans="1:75" ht="15" customHeight="1" x14ac:dyDescent="0.25">
      <c r="A87" s="29">
        <v>84</v>
      </c>
      <c r="B87" s="49" t="s">
        <v>269</v>
      </c>
      <c r="C87" s="29">
        <v>9</v>
      </c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>
        <v>0</v>
      </c>
      <c r="AT87" s="79"/>
      <c r="AU87" s="79"/>
      <c r="AV87" s="79"/>
      <c r="AW87" s="79"/>
      <c r="AX87" s="79"/>
      <c r="AY87" s="79">
        <v>1777778</v>
      </c>
      <c r="AZ87" s="79"/>
      <c r="BA87" s="78"/>
      <c r="BB87" s="78"/>
      <c r="BC87" s="80"/>
      <c r="BD87" s="78"/>
      <c r="BE87" s="78">
        <v>0</v>
      </c>
      <c r="BF87" s="78"/>
      <c r="BG87" s="78"/>
      <c r="BH87" s="78">
        <v>0</v>
      </c>
      <c r="BI87" s="78">
        <v>0</v>
      </c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1"/>
    </row>
    <row r="88" spans="1:75" ht="15" customHeight="1" x14ac:dyDescent="0.25">
      <c r="A88" s="29">
        <v>85</v>
      </c>
      <c r="B88" s="49" t="s">
        <v>270</v>
      </c>
      <c r="C88" s="29">
        <v>9</v>
      </c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>
        <v>0</v>
      </c>
      <c r="AT88" s="79"/>
      <c r="AU88" s="79"/>
      <c r="AV88" s="79"/>
      <c r="AW88" s="79"/>
      <c r="AX88" s="79"/>
      <c r="AY88" s="79"/>
      <c r="AZ88" s="79"/>
      <c r="BA88" s="78"/>
      <c r="BB88" s="78"/>
      <c r="BC88" s="80"/>
      <c r="BD88" s="78"/>
      <c r="BE88" s="78">
        <v>0</v>
      </c>
      <c r="BF88" s="78"/>
      <c r="BG88" s="78"/>
      <c r="BH88" s="78">
        <v>0</v>
      </c>
      <c r="BI88" s="78">
        <v>0</v>
      </c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1"/>
    </row>
    <row r="89" spans="1:75" ht="15" customHeight="1" x14ac:dyDescent="0.25">
      <c r="A89" s="29">
        <v>86</v>
      </c>
      <c r="B89" s="49" t="s">
        <v>271</v>
      </c>
      <c r="C89" s="29">
        <v>9</v>
      </c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>
        <v>0</v>
      </c>
      <c r="AT89" s="79"/>
      <c r="AU89" s="79"/>
      <c r="AV89" s="79"/>
      <c r="AW89" s="79"/>
      <c r="AX89" s="79"/>
      <c r="AY89" s="79"/>
      <c r="AZ89" s="79"/>
      <c r="BA89" s="78"/>
      <c r="BB89" s="78"/>
      <c r="BC89" s="80"/>
      <c r="BD89" s="78"/>
      <c r="BE89" s="78">
        <v>0</v>
      </c>
      <c r="BF89" s="78"/>
      <c r="BG89" s="78"/>
      <c r="BH89" s="78">
        <v>0</v>
      </c>
      <c r="BI89" s="78">
        <v>0</v>
      </c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1"/>
    </row>
    <row r="90" spans="1:75" ht="15" customHeight="1" x14ac:dyDescent="0.25">
      <c r="A90" s="29">
        <v>87</v>
      </c>
      <c r="B90" s="49" t="s">
        <v>272</v>
      </c>
      <c r="C90" s="29">
        <v>9</v>
      </c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>
        <v>0</v>
      </c>
      <c r="AT90" s="79"/>
      <c r="AU90" s="79"/>
      <c r="AV90" s="79"/>
      <c r="AW90" s="79"/>
      <c r="AX90" s="79"/>
      <c r="AY90" s="79"/>
      <c r="AZ90" s="79"/>
      <c r="BA90" s="78"/>
      <c r="BB90" s="78"/>
      <c r="BC90" s="80"/>
      <c r="BD90" s="78"/>
      <c r="BE90" s="78">
        <v>0</v>
      </c>
      <c r="BF90" s="78"/>
      <c r="BG90" s="78"/>
      <c r="BH90" s="78">
        <v>0</v>
      </c>
      <c r="BI90" s="78">
        <v>0</v>
      </c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1"/>
    </row>
    <row r="91" spans="1:75" ht="15" customHeight="1" x14ac:dyDescent="0.25">
      <c r="A91" s="29">
        <v>88</v>
      </c>
      <c r="B91" s="49" t="s">
        <v>273</v>
      </c>
      <c r="C91" s="29">
        <v>9</v>
      </c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>
        <v>0</v>
      </c>
      <c r="AO91" s="79"/>
      <c r="AP91" s="79"/>
      <c r="AQ91" s="79"/>
      <c r="AR91" s="79"/>
      <c r="AS91" s="79">
        <v>0</v>
      </c>
      <c r="AT91" s="79"/>
      <c r="AU91" s="79"/>
      <c r="AV91" s="79"/>
      <c r="AW91" s="79"/>
      <c r="AX91" s="79"/>
      <c r="AY91" s="79"/>
      <c r="AZ91" s="79">
        <v>0</v>
      </c>
      <c r="BA91" s="78"/>
      <c r="BB91" s="78"/>
      <c r="BC91" s="80"/>
      <c r="BD91" s="78"/>
      <c r="BE91" s="78">
        <v>0</v>
      </c>
      <c r="BF91" s="78"/>
      <c r="BG91" s="78"/>
      <c r="BH91" s="78">
        <v>0</v>
      </c>
      <c r="BI91" s="78">
        <v>0</v>
      </c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1"/>
    </row>
    <row r="92" spans="1:75" ht="15" customHeight="1" x14ac:dyDescent="0.25">
      <c r="A92" s="29">
        <v>89</v>
      </c>
      <c r="B92" s="49" t="s">
        <v>274</v>
      </c>
      <c r="C92" s="29">
        <v>9</v>
      </c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>
        <v>0</v>
      </c>
      <c r="AO92" s="79"/>
      <c r="AP92" s="79"/>
      <c r="AQ92" s="79"/>
      <c r="AR92" s="79"/>
      <c r="AS92" s="79">
        <v>0</v>
      </c>
      <c r="AT92" s="79"/>
      <c r="AU92" s="79"/>
      <c r="AV92" s="79"/>
      <c r="AW92" s="79"/>
      <c r="AX92" s="79"/>
      <c r="AY92" s="79"/>
      <c r="AZ92" s="79">
        <v>0</v>
      </c>
      <c r="BA92" s="78"/>
      <c r="BB92" s="78"/>
      <c r="BC92" s="80"/>
      <c r="BD92" s="78"/>
      <c r="BE92" s="78">
        <v>0</v>
      </c>
      <c r="BF92" s="78"/>
      <c r="BG92" s="78"/>
      <c r="BH92" s="78">
        <v>0</v>
      </c>
      <c r="BI92" s="78">
        <v>0</v>
      </c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1"/>
    </row>
    <row r="93" spans="1:75" ht="15" customHeight="1" x14ac:dyDescent="0.25">
      <c r="A93" s="29">
        <v>90</v>
      </c>
      <c r="B93" s="49" t="s">
        <v>275</v>
      </c>
      <c r="C93" s="29">
        <v>9</v>
      </c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8"/>
      <c r="BB93" s="78"/>
      <c r="BC93" s="78"/>
      <c r="BD93" s="78"/>
      <c r="BE93" s="78">
        <v>1000000000</v>
      </c>
      <c r="BF93" s="78">
        <v>1000000000</v>
      </c>
      <c r="BG93" s="78">
        <v>1000000000</v>
      </c>
      <c r="BH93" s="78">
        <v>1000000000</v>
      </c>
      <c r="BI93" s="78">
        <v>1000000000</v>
      </c>
      <c r="BJ93" s="80">
        <v>1000000000</v>
      </c>
      <c r="BK93" s="80">
        <v>1000000000</v>
      </c>
      <c r="BL93" s="80">
        <v>1000161000</v>
      </c>
      <c r="BM93" s="80">
        <v>1000161000</v>
      </c>
      <c r="BN93" s="80">
        <v>161000</v>
      </c>
      <c r="BO93" s="80">
        <v>161000</v>
      </c>
      <c r="BP93" s="80"/>
      <c r="BQ93" s="80"/>
      <c r="BR93" s="80"/>
      <c r="BS93" s="80"/>
      <c r="BT93" s="80"/>
      <c r="BU93" s="80"/>
      <c r="BV93" s="80"/>
      <c r="BW93" s="81"/>
    </row>
    <row r="94" spans="1:75" ht="15" customHeight="1" x14ac:dyDescent="0.25">
      <c r="A94" s="29">
        <v>91</v>
      </c>
      <c r="B94" s="49" t="s">
        <v>276</v>
      </c>
      <c r="C94" s="29">
        <v>9</v>
      </c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>
        <v>0</v>
      </c>
      <c r="AT94" s="79"/>
      <c r="AU94" s="79"/>
      <c r="AV94" s="79"/>
      <c r="AW94" s="79"/>
      <c r="AX94" s="79"/>
      <c r="AY94" s="79"/>
      <c r="AZ94" s="79"/>
      <c r="BA94" s="78"/>
      <c r="BB94" s="78"/>
      <c r="BC94" s="80"/>
      <c r="BD94" s="78"/>
      <c r="BE94" s="78">
        <v>0</v>
      </c>
      <c r="BF94" s="78"/>
      <c r="BG94" s="78"/>
      <c r="BH94" s="78">
        <v>0</v>
      </c>
      <c r="BI94" s="78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1"/>
    </row>
    <row r="95" spans="1:75" ht="15" customHeight="1" x14ac:dyDescent="0.25">
      <c r="A95" s="29">
        <v>92</v>
      </c>
      <c r="B95" s="49" t="s">
        <v>277</v>
      </c>
      <c r="C95" s="29">
        <v>9</v>
      </c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>
        <v>0</v>
      </c>
      <c r="AT95" s="79"/>
      <c r="AU95" s="79"/>
      <c r="AV95" s="79"/>
      <c r="AW95" s="79"/>
      <c r="AX95" s="79"/>
      <c r="AY95" s="79"/>
      <c r="AZ95" s="79"/>
      <c r="BA95" s="78"/>
      <c r="BB95" s="78"/>
      <c r="BC95" s="80"/>
      <c r="BD95" s="78"/>
      <c r="BE95" s="78">
        <v>0</v>
      </c>
      <c r="BF95" s="78"/>
      <c r="BG95" s="78"/>
      <c r="BH95" s="78">
        <v>0</v>
      </c>
      <c r="BI95" s="78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1"/>
    </row>
    <row r="96" spans="1:75" ht="15" customHeight="1" x14ac:dyDescent="0.25">
      <c r="A96" s="29">
        <v>93</v>
      </c>
      <c r="B96" s="49" t="s">
        <v>278</v>
      </c>
      <c r="C96" s="29">
        <v>9</v>
      </c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>
        <v>0</v>
      </c>
      <c r="AT96" s="79"/>
      <c r="AU96" s="79"/>
      <c r="AV96" s="79"/>
      <c r="AW96" s="79"/>
      <c r="AX96" s="79"/>
      <c r="AY96" s="79"/>
      <c r="AZ96" s="79"/>
      <c r="BA96" s="78"/>
      <c r="BB96" s="78"/>
      <c r="BC96" s="80"/>
      <c r="BD96" s="78"/>
      <c r="BE96" s="78">
        <v>0</v>
      </c>
      <c r="BF96" s="78"/>
      <c r="BG96" s="78"/>
      <c r="BH96" s="78">
        <v>0</v>
      </c>
      <c r="BI96" s="78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1"/>
    </row>
    <row r="97" spans="1:75" ht="15" customHeight="1" x14ac:dyDescent="0.25">
      <c r="A97" s="29">
        <v>94</v>
      </c>
      <c r="B97" s="50" t="s">
        <v>279</v>
      </c>
      <c r="C97" s="29">
        <v>9</v>
      </c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>
        <v>0</v>
      </c>
      <c r="AT97" s="79"/>
      <c r="AU97" s="79"/>
      <c r="AV97" s="79"/>
      <c r="AW97" s="79"/>
      <c r="AX97" s="79"/>
      <c r="AY97" s="79"/>
      <c r="AZ97" s="79"/>
      <c r="BA97" s="78"/>
      <c r="BB97" s="78"/>
      <c r="BC97" s="80"/>
      <c r="BD97" s="78"/>
      <c r="BE97" s="78">
        <v>0</v>
      </c>
      <c r="BF97" s="78"/>
      <c r="BG97" s="78"/>
      <c r="BH97" s="78">
        <v>0</v>
      </c>
      <c r="BI97" s="78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1"/>
    </row>
    <row r="98" spans="1:75" ht="15" customHeight="1" x14ac:dyDescent="0.25">
      <c r="A98" s="29">
        <v>95</v>
      </c>
      <c r="B98" s="50" t="s">
        <v>280</v>
      </c>
      <c r="C98" s="29">
        <v>9</v>
      </c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>
        <v>0</v>
      </c>
      <c r="AT98" s="79"/>
      <c r="AU98" s="79"/>
      <c r="AV98" s="79"/>
      <c r="AW98" s="79"/>
      <c r="AX98" s="79"/>
      <c r="AY98" s="79"/>
      <c r="AZ98" s="79"/>
      <c r="BA98" s="78"/>
      <c r="BB98" s="78"/>
      <c r="BC98" s="80"/>
      <c r="BD98" s="78"/>
      <c r="BE98" s="78">
        <v>0</v>
      </c>
      <c r="BF98" s="78"/>
      <c r="BG98" s="78"/>
      <c r="BH98" s="78"/>
      <c r="BI98" s="78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1"/>
    </row>
    <row r="99" spans="1:75" ht="15" customHeight="1" x14ac:dyDescent="0.25">
      <c r="A99" s="33">
        <v>96</v>
      </c>
      <c r="B99" s="38" t="s">
        <v>68</v>
      </c>
      <c r="C99" s="33">
        <v>9</v>
      </c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>
        <v>0</v>
      </c>
      <c r="AT99" s="79"/>
      <c r="AU99" s="79"/>
      <c r="AV99" s="79"/>
      <c r="AW99" s="79"/>
      <c r="AX99" s="79"/>
      <c r="AY99" s="79"/>
      <c r="AZ99" s="79"/>
      <c r="BA99" s="78"/>
      <c r="BB99" s="78"/>
      <c r="BC99" s="80"/>
      <c r="BD99" s="78"/>
      <c r="BE99" s="78">
        <v>0</v>
      </c>
      <c r="BF99" s="78"/>
      <c r="BG99" s="78"/>
      <c r="BH99" s="78"/>
      <c r="BI99" s="78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1"/>
    </row>
    <row r="100" spans="1:75" ht="15" customHeight="1" x14ac:dyDescent="0.25">
      <c r="A100" s="29">
        <v>97</v>
      </c>
      <c r="B100" s="49" t="s">
        <v>281</v>
      </c>
      <c r="C100" s="29">
        <v>9</v>
      </c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>
        <v>0</v>
      </c>
      <c r="AT100" s="79"/>
      <c r="AU100" s="79"/>
      <c r="AV100" s="79"/>
      <c r="AW100" s="79"/>
      <c r="AX100" s="79"/>
      <c r="AY100" s="79"/>
      <c r="AZ100" s="79"/>
      <c r="BA100" s="78"/>
      <c r="BB100" s="78"/>
      <c r="BC100" s="80"/>
      <c r="BD100" s="78"/>
      <c r="BE100" s="78">
        <v>0</v>
      </c>
      <c r="BF100" s="78"/>
      <c r="BG100" s="78"/>
      <c r="BH100" s="78"/>
      <c r="BI100" s="78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1"/>
    </row>
    <row r="101" spans="1:75" ht="15" customHeight="1" x14ac:dyDescent="0.25">
      <c r="A101" s="29">
        <v>98</v>
      </c>
      <c r="B101" s="49" t="s">
        <v>69</v>
      </c>
      <c r="C101" s="29">
        <v>9</v>
      </c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>
        <v>0</v>
      </c>
      <c r="AT101" s="79"/>
      <c r="AU101" s="79"/>
      <c r="AV101" s="79"/>
      <c r="AW101" s="79"/>
      <c r="AX101" s="79"/>
      <c r="AY101" s="79"/>
      <c r="AZ101" s="79"/>
      <c r="BA101" s="78"/>
      <c r="BB101" s="78"/>
      <c r="BC101" s="80"/>
      <c r="BD101" s="78"/>
      <c r="BE101" s="78">
        <v>0</v>
      </c>
      <c r="BF101" s="78"/>
      <c r="BG101" s="78"/>
      <c r="BH101" s="78"/>
      <c r="BI101" s="78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1"/>
    </row>
    <row r="102" spans="1:75" ht="15" customHeight="1" x14ac:dyDescent="0.25">
      <c r="A102" s="29">
        <v>99</v>
      </c>
      <c r="B102" s="49" t="s">
        <v>282</v>
      </c>
      <c r="C102" s="29">
        <v>9</v>
      </c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8"/>
      <c r="BB102" s="78"/>
      <c r="BC102" s="80"/>
      <c r="BD102" s="78"/>
      <c r="BE102" s="78"/>
      <c r="BF102" s="78"/>
      <c r="BG102" s="78"/>
      <c r="BH102" s="78"/>
      <c r="BI102" s="78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1"/>
    </row>
    <row r="103" spans="1:75" ht="15" customHeight="1" x14ac:dyDescent="0.25">
      <c r="A103" s="29">
        <v>100</v>
      </c>
      <c r="B103" s="49" t="s">
        <v>283</v>
      </c>
      <c r="C103" s="29">
        <v>9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>
        <v>0</v>
      </c>
      <c r="AT103" s="79"/>
      <c r="AU103" s="79"/>
      <c r="AV103" s="79"/>
      <c r="AW103" s="79"/>
      <c r="AX103" s="79"/>
      <c r="AY103" s="79"/>
      <c r="AZ103" s="79"/>
      <c r="BA103" s="78"/>
      <c r="BB103" s="78"/>
      <c r="BC103" s="80"/>
      <c r="BD103" s="78"/>
      <c r="BE103" s="78">
        <v>0</v>
      </c>
      <c r="BF103" s="78"/>
      <c r="BG103" s="78"/>
      <c r="BH103" s="78"/>
      <c r="BI103" s="78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1"/>
    </row>
    <row r="104" spans="1:75" ht="15" customHeight="1" x14ac:dyDescent="0.25">
      <c r="A104" s="29">
        <v>101</v>
      </c>
      <c r="B104" s="49" t="s">
        <v>284</v>
      </c>
      <c r="C104" s="29">
        <v>9</v>
      </c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>
        <v>0</v>
      </c>
      <c r="AT104" s="79"/>
      <c r="AU104" s="79"/>
      <c r="AV104" s="79"/>
      <c r="AW104" s="79"/>
      <c r="AX104" s="79"/>
      <c r="AY104" s="79"/>
      <c r="AZ104" s="79"/>
      <c r="BA104" s="78"/>
      <c r="BB104" s="78"/>
      <c r="BC104" s="80"/>
      <c r="BD104" s="78"/>
      <c r="BE104" s="78">
        <v>0</v>
      </c>
      <c r="BF104" s="78"/>
      <c r="BG104" s="78"/>
      <c r="BH104" s="78"/>
      <c r="BI104" s="78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1"/>
    </row>
    <row r="105" spans="1:75" ht="15" customHeight="1" x14ac:dyDescent="0.25">
      <c r="A105" s="29">
        <v>102</v>
      </c>
      <c r="B105" s="49" t="s">
        <v>285</v>
      </c>
      <c r="C105" s="29">
        <v>9</v>
      </c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>
        <v>0</v>
      </c>
      <c r="AT105" s="79"/>
      <c r="AU105" s="79"/>
      <c r="AV105" s="79"/>
      <c r="AW105" s="79"/>
      <c r="AX105" s="79"/>
      <c r="AY105" s="79"/>
      <c r="AZ105" s="79"/>
      <c r="BA105" s="78"/>
      <c r="BB105" s="78"/>
      <c r="BC105" s="80"/>
      <c r="BD105" s="78"/>
      <c r="BE105" s="78">
        <v>0</v>
      </c>
      <c r="BF105" s="78"/>
      <c r="BG105" s="78"/>
      <c r="BH105" s="78"/>
      <c r="BI105" s="78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1"/>
    </row>
    <row r="106" spans="1:75" ht="15" customHeight="1" x14ac:dyDescent="0.25">
      <c r="A106" s="29">
        <v>103</v>
      </c>
      <c r="B106" s="49" t="s">
        <v>286</v>
      </c>
      <c r="C106" s="29">
        <v>9</v>
      </c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>
        <v>0</v>
      </c>
      <c r="AT106" s="79"/>
      <c r="AU106" s="79"/>
      <c r="AV106" s="79"/>
      <c r="AW106" s="79"/>
      <c r="AX106" s="79"/>
      <c r="AY106" s="79"/>
      <c r="AZ106" s="79"/>
      <c r="BA106" s="78"/>
      <c r="BB106" s="78"/>
      <c r="BC106" s="80"/>
      <c r="BD106" s="78"/>
      <c r="BE106" s="78">
        <v>0</v>
      </c>
      <c r="BF106" s="78"/>
      <c r="BG106" s="78"/>
      <c r="BH106" s="78"/>
      <c r="BI106" s="78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1"/>
    </row>
    <row r="107" spans="1:75" ht="15" customHeight="1" x14ac:dyDescent="0.25">
      <c r="A107" s="29">
        <v>104</v>
      </c>
      <c r="B107" s="49" t="s">
        <v>287</v>
      </c>
      <c r="C107" s="29">
        <v>9</v>
      </c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>
        <v>0</v>
      </c>
      <c r="AT107" s="79"/>
      <c r="AU107" s="79"/>
      <c r="AV107" s="79"/>
      <c r="AW107" s="79"/>
      <c r="AX107" s="79"/>
      <c r="AY107" s="79"/>
      <c r="AZ107" s="79"/>
      <c r="BA107" s="78"/>
      <c r="BB107" s="78"/>
      <c r="BC107" s="80"/>
      <c r="BD107" s="78"/>
      <c r="BE107" s="78">
        <v>0</v>
      </c>
      <c r="BF107" s="78"/>
      <c r="BG107" s="78"/>
      <c r="BH107" s="78"/>
      <c r="BI107" s="78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1"/>
    </row>
    <row r="108" spans="1:75" ht="15" customHeight="1" x14ac:dyDescent="0.25">
      <c r="A108" s="29">
        <v>105</v>
      </c>
      <c r="B108" s="49" t="s">
        <v>595</v>
      </c>
      <c r="C108" s="29">
        <v>9</v>
      </c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>
        <v>0</v>
      </c>
      <c r="AT108" s="79"/>
      <c r="AU108" s="79"/>
      <c r="AV108" s="79"/>
      <c r="AW108" s="79"/>
      <c r="AX108" s="79"/>
      <c r="AY108" s="79"/>
      <c r="AZ108" s="79"/>
      <c r="BA108" s="78"/>
      <c r="BB108" s="78"/>
      <c r="BC108" s="80"/>
      <c r="BD108" s="78"/>
      <c r="BE108" s="78">
        <v>0</v>
      </c>
      <c r="BF108" s="78"/>
      <c r="BG108" s="78"/>
      <c r="BH108" s="78"/>
      <c r="BI108" s="78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1"/>
    </row>
    <row r="109" spans="1:75" ht="15" customHeight="1" x14ac:dyDescent="0.25">
      <c r="A109" s="29">
        <v>106</v>
      </c>
      <c r="B109" s="49" t="s">
        <v>288</v>
      </c>
      <c r="C109" s="29">
        <v>9</v>
      </c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>
        <v>0</v>
      </c>
      <c r="AT109" s="79"/>
      <c r="AU109" s="79"/>
      <c r="AV109" s="79"/>
      <c r="AW109" s="79"/>
      <c r="AX109" s="79"/>
      <c r="AY109" s="79"/>
      <c r="AZ109" s="79"/>
      <c r="BA109" s="78"/>
      <c r="BB109" s="78"/>
      <c r="BC109" s="80"/>
      <c r="BD109" s="78"/>
      <c r="BE109" s="78">
        <v>0</v>
      </c>
      <c r="BF109" s="78"/>
      <c r="BG109" s="78"/>
      <c r="BH109" s="78"/>
      <c r="BI109" s="78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1"/>
    </row>
    <row r="110" spans="1:75" ht="15" customHeight="1" x14ac:dyDescent="0.25">
      <c r="A110" s="29">
        <v>107</v>
      </c>
      <c r="B110" s="49" t="s">
        <v>289</v>
      </c>
      <c r="C110" s="29">
        <v>9</v>
      </c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>
        <v>0</v>
      </c>
      <c r="AT110" s="79"/>
      <c r="AU110" s="79"/>
      <c r="AV110" s="79"/>
      <c r="AW110" s="79"/>
      <c r="AX110" s="79"/>
      <c r="AY110" s="79"/>
      <c r="AZ110" s="79"/>
      <c r="BA110" s="78"/>
      <c r="BB110" s="78"/>
      <c r="BC110" s="80"/>
      <c r="BD110" s="78"/>
      <c r="BE110" s="78">
        <v>0</v>
      </c>
      <c r="BF110" s="78"/>
      <c r="BG110" s="78"/>
      <c r="BH110" s="78"/>
      <c r="BI110" s="78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1"/>
    </row>
    <row r="111" spans="1:75" ht="15" customHeight="1" x14ac:dyDescent="0.25">
      <c r="A111" s="29">
        <v>108</v>
      </c>
      <c r="B111" s="49" t="s">
        <v>290</v>
      </c>
      <c r="C111" s="29">
        <v>9</v>
      </c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>
        <v>0</v>
      </c>
      <c r="AT111" s="79"/>
      <c r="AU111" s="79"/>
      <c r="AV111" s="79"/>
      <c r="AW111" s="79"/>
      <c r="AX111" s="79"/>
      <c r="AY111" s="79"/>
      <c r="AZ111" s="79"/>
      <c r="BA111" s="78"/>
      <c r="BB111" s="78"/>
      <c r="BC111" s="80"/>
      <c r="BD111" s="78"/>
      <c r="BE111" s="78">
        <v>0</v>
      </c>
      <c r="BF111" s="78"/>
      <c r="BG111" s="78"/>
      <c r="BH111" s="78"/>
      <c r="BI111" s="78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1"/>
    </row>
    <row r="112" spans="1:75" ht="15" customHeight="1" x14ac:dyDescent="0.25">
      <c r="A112" s="29">
        <v>109</v>
      </c>
      <c r="B112" s="49" t="s">
        <v>291</v>
      </c>
      <c r="C112" s="29">
        <v>9</v>
      </c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>
        <v>0</v>
      </c>
      <c r="AT112" s="79"/>
      <c r="AU112" s="79"/>
      <c r="AV112" s="79"/>
      <c r="AW112" s="79"/>
      <c r="AX112" s="79"/>
      <c r="AY112" s="79"/>
      <c r="AZ112" s="79"/>
      <c r="BA112" s="78"/>
      <c r="BB112" s="78"/>
      <c r="BC112" s="80"/>
      <c r="BD112" s="78"/>
      <c r="BE112" s="78">
        <v>0</v>
      </c>
      <c r="BF112" s="78"/>
      <c r="BG112" s="78"/>
      <c r="BH112" s="78"/>
      <c r="BI112" s="78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1"/>
    </row>
    <row r="113" spans="1:75" ht="15" customHeight="1" x14ac:dyDescent="0.25">
      <c r="A113" s="29">
        <v>110</v>
      </c>
      <c r="B113" s="49" t="s">
        <v>292</v>
      </c>
      <c r="C113" s="29">
        <v>9</v>
      </c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>
        <v>0</v>
      </c>
      <c r="AT113" s="79"/>
      <c r="AU113" s="79"/>
      <c r="AV113" s="79"/>
      <c r="AW113" s="79"/>
      <c r="AX113" s="79"/>
      <c r="AY113" s="79"/>
      <c r="AZ113" s="79"/>
      <c r="BA113" s="78"/>
      <c r="BB113" s="78"/>
      <c r="BC113" s="80"/>
      <c r="BD113" s="78"/>
      <c r="BE113" s="78">
        <v>0</v>
      </c>
      <c r="BF113" s="78"/>
      <c r="BG113" s="78"/>
      <c r="BH113" s="78"/>
      <c r="BI113" s="78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1"/>
    </row>
    <row r="114" spans="1:75" ht="15" customHeight="1" x14ac:dyDescent="0.25">
      <c r="A114" s="36">
        <v>111</v>
      </c>
      <c r="B114" s="26" t="s">
        <v>293</v>
      </c>
      <c r="C114" s="36">
        <v>9</v>
      </c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>
        <v>0</v>
      </c>
      <c r="AO114" s="72">
        <v>0</v>
      </c>
      <c r="AP114" s="72">
        <v>0</v>
      </c>
      <c r="AQ114" s="72">
        <v>0</v>
      </c>
      <c r="AR114" s="72">
        <v>0</v>
      </c>
      <c r="AS114" s="72">
        <v>0</v>
      </c>
      <c r="AT114" s="72">
        <v>0</v>
      </c>
      <c r="AU114" s="72">
        <v>-400000</v>
      </c>
      <c r="AV114" s="72">
        <v>-15435354</v>
      </c>
      <c r="AW114" s="72">
        <v>-630470708</v>
      </c>
      <c r="AX114" s="72">
        <v>18754493938</v>
      </c>
      <c r="AY114" s="72">
        <v>18138915464</v>
      </c>
      <c r="AZ114" s="72">
        <v>18120338429</v>
      </c>
      <c r="BA114" s="71">
        <v>16904761013</v>
      </c>
      <c r="BB114" s="71">
        <v>16289182889</v>
      </c>
      <c r="BC114" s="73">
        <v>15676421668</v>
      </c>
      <c r="BD114" s="71">
        <v>15060841883</v>
      </c>
      <c r="BE114" s="71">
        <v>14444263853</v>
      </c>
      <c r="BF114" s="71">
        <v>13843415817</v>
      </c>
      <c r="BG114" s="71">
        <v>13242838004</v>
      </c>
      <c r="BH114" s="71">
        <v>12642254819</v>
      </c>
      <c r="BI114" s="71">
        <v>12041671027</v>
      </c>
      <c r="BJ114" s="73">
        <v>11448144800</v>
      </c>
      <c r="BK114" s="73">
        <v>10847561060</v>
      </c>
      <c r="BL114" s="73">
        <v>10846816393</v>
      </c>
      <c r="BM114" s="73">
        <v>10852515399</v>
      </c>
      <c r="BN114" s="73">
        <v>10851931642</v>
      </c>
      <c r="BO114" s="73">
        <v>10851347995</v>
      </c>
      <c r="BP114" s="73"/>
      <c r="BQ114" s="73"/>
      <c r="BR114" s="73"/>
      <c r="BS114" s="73"/>
      <c r="BT114" s="73"/>
      <c r="BU114" s="73"/>
      <c r="BV114" s="73"/>
      <c r="BW114" s="91"/>
    </row>
    <row r="115" spans="1:75" ht="15" customHeight="1" x14ac:dyDescent="0.25">
      <c r="A115" s="29">
        <v>112</v>
      </c>
      <c r="B115" s="49" t="s">
        <v>71</v>
      </c>
      <c r="C115" s="29">
        <v>9</v>
      </c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>
        <f>AN116+AN117</f>
        <v>0</v>
      </c>
      <c r="AO115" s="79">
        <f t="shared" ref="AO115:AT115" si="8">AO116+AO117</f>
        <v>0</v>
      </c>
      <c r="AP115" s="79">
        <f t="shared" si="8"/>
        <v>0</v>
      </c>
      <c r="AQ115" s="79">
        <f t="shared" si="8"/>
        <v>0</v>
      </c>
      <c r="AR115" s="79">
        <f t="shared" si="8"/>
        <v>0</v>
      </c>
      <c r="AS115" s="79">
        <f t="shared" si="8"/>
        <v>0</v>
      </c>
      <c r="AT115" s="79">
        <f t="shared" si="8"/>
        <v>0</v>
      </c>
      <c r="AU115" s="79">
        <v>0</v>
      </c>
      <c r="AV115" s="79">
        <v>0</v>
      </c>
      <c r="AW115" s="79">
        <v>0</v>
      </c>
      <c r="AX115" s="79">
        <v>20000000000</v>
      </c>
      <c r="AY115" s="79">
        <v>20000000000</v>
      </c>
      <c r="AZ115" s="79">
        <v>20000000000</v>
      </c>
      <c r="BA115" s="78">
        <v>20000000000</v>
      </c>
      <c r="BB115" s="78">
        <v>20000000000</v>
      </c>
      <c r="BC115" s="78">
        <v>20000000000</v>
      </c>
      <c r="BD115" s="78">
        <v>20000000000</v>
      </c>
      <c r="BE115" s="78">
        <v>20000000000</v>
      </c>
      <c r="BF115" s="78">
        <v>20000000000</v>
      </c>
      <c r="BG115" s="78">
        <v>20000000000</v>
      </c>
      <c r="BH115" s="78">
        <v>20000000000</v>
      </c>
      <c r="BI115" s="78">
        <v>20000000000</v>
      </c>
      <c r="BJ115" s="78">
        <v>20000000000</v>
      </c>
      <c r="BK115" s="78">
        <f>BK116+BK117</f>
        <v>20000000000</v>
      </c>
      <c r="BL115" s="78">
        <v>20000000000</v>
      </c>
      <c r="BM115" s="78">
        <v>20000000000</v>
      </c>
      <c r="BN115" s="78">
        <v>20000000000</v>
      </c>
      <c r="BO115" s="78">
        <v>20000000000</v>
      </c>
      <c r="BP115" s="78"/>
      <c r="BQ115" s="78"/>
      <c r="BR115" s="78"/>
      <c r="BS115" s="78"/>
      <c r="BT115" s="78"/>
      <c r="BU115" s="78"/>
      <c r="BV115" s="78"/>
      <c r="BW115" s="79"/>
    </row>
    <row r="116" spans="1:75" ht="15" customHeight="1" x14ac:dyDescent="0.25">
      <c r="A116" s="29">
        <v>113</v>
      </c>
      <c r="B116" s="49" t="s">
        <v>72</v>
      </c>
      <c r="C116" s="29">
        <v>9</v>
      </c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>
        <v>20000000000</v>
      </c>
      <c r="AY116" s="81">
        <v>20000000000</v>
      </c>
      <c r="AZ116" s="81">
        <v>20000000000</v>
      </c>
      <c r="BA116" s="81">
        <v>20000000000</v>
      </c>
      <c r="BB116" s="78">
        <v>20000000000</v>
      </c>
      <c r="BC116" s="78">
        <v>20000000000</v>
      </c>
      <c r="BD116" s="78">
        <v>20000000000</v>
      </c>
      <c r="BE116" s="78">
        <v>20000000000</v>
      </c>
      <c r="BF116" s="78">
        <v>20000000000</v>
      </c>
      <c r="BG116" s="78">
        <v>20000000000</v>
      </c>
      <c r="BH116" s="78">
        <v>20000000000</v>
      </c>
      <c r="BI116" s="78">
        <v>20000000000</v>
      </c>
      <c r="BJ116" s="80">
        <v>20000000000</v>
      </c>
      <c r="BK116" s="80">
        <v>20000000000</v>
      </c>
      <c r="BL116" s="80">
        <v>20000000000</v>
      </c>
      <c r="BM116" s="80">
        <v>20000000000</v>
      </c>
      <c r="BN116" s="80">
        <v>20000000000</v>
      </c>
      <c r="BO116" s="80">
        <v>20000000000</v>
      </c>
      <c r="BP116" s="80"/>
      <c r="BQ116" s="80"/>
      <c r="BR116" s="80"/>
      <c r="BS116" s="80"/>
      <c r="BT116" s="80"/>
      <c r="BU116" s="80"/>
      <c r="BV116" s="80"/>
      <c r="BW116" s="81"/>
    </row>
    <row r="117" spans="1:75" ht="15" customHeight="1" x14ac:dyDescent="0.25">
      <c r="A117" s="29">
        <v>114</v>
      </c>
      <c r="B117" s="49" t="s">
        <v>73</v>
      </c>
      <c r="C117" s="29">
        <v>9</v>
      </c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>
        <v>0</v>
      </c>
      <c r="AT117" s="79"/>
      <c r="AU117" s="79"/>
      <c r="AV117" s="79"/>
      <c r="AW117" s="79"/>
      <c r="AX117" s="79"/>
      <c r="AY117" s="79"/>
      <c r="AZ117" s="79"/>
      <c r="BA117" s="78"/>
      <c r="BB117" s="78"/>
      <c r="BC117" s="80"/>
      <c r="BD117" s="78"/>
      <c r="BE117" s="78">
        <v>0</v>
      </c>
      <c r="BF117" s="78"/>
      <c r="BG117" s="78"/>
      <c r="BH117" s="78"/>
      <c r="BI117" s="78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1"/>
    </row>
    <row r="118" spans="1:75" ht="15" customHeight="1" x14ac:dyDescent="0.25">
      <c r="A118" s="29">
        <v>115</v>
      </c>
      <c r="B118" s="49" t="s">
        <v>294</v>
      </c>
      <c r="C118" s="29">
        <v>9</v>
      </c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>
        <v>0</v>
      </c>
      <c r="AT118" s="79"/>
      <c r="AU118" s="79"/>
      <c r="AV118" s="79"/>
      <c r="AW118" s="79"/>
      <c r="AX118" s="79"/>
      <c r="AY118" s="79"/>
      <c r="AZ118" s="79"/>
      <c r="BA118" s="78"/>
      <c r="BB118" s="78"/>
      <c r="BC118" s="80"/>
      <c r="BD118" s="78"/>
      <c r="BE118" s="78">
        <v>0</v>
      </c>
      <c r="BF118" s="78"/>
      <c r="BG118" s="78"/>
      <c r="BH118" s="78"/>
      <c r="BI118" s="78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1"/>
    </row>
    <row r="119" spans="1:75" ht="15" customHeight="1" x14ac:dyDescent="0.25">
      <c r="A119" s="29">
        <v>116</v>
      </c>
      <c r="B119" s="49" t="s">
        <v>74</v>
      </c>
      <c r="C119" s="29">
        <v>9</v>
      </c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>
        <v>0</v>
      </c>
      <c r="AT119" s="79"/>
      <c r="AU119" s="79"/>
      <c r="AV119" s="79"/>
      <c r="AW119" s="79"/>
      <c r="AX119" s="79"/>
      <c r="AY119" s="79"/>
      <c r="AZ119" s="79"/>
      <c r="BA119" s="78"/>
      <c r="BB119" s="78"/>
      <c r="BC119" s="80"/>
      <c r="BD119" s="78"/>
      <c r="BE119" s="78">
        <v>0</v>
      </c>
      <c r="BF119" s="78"/>
      <c r="BG119" s="78"/>
      <c r="BH119" s="78"/>
      <c r="BI119" s="78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1"/>
    </row>
    <row r="120" spans="1:75" ht="15" customHeight="1" x14ac:dyDescent="0.25">
      <c r="A120" s="29">
        <v>117</v>
      </c>
      <c r="B120" s="49" t="s">
        <v>75</v>
      </c>
      <c r="C120" s="29">
        <v>9</v>
      </c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>
        <v>0</v>
      </c>
      <c r="AT120" s="79"/>
      <c r="AU120" s="79"/>
      <c r="AV120" s="79"/>
      <c r="AW120" s="79"/>
      <c r="AX120" s="79"/>
      <c r="AY120" s="79"/>
      <c r="AZ120" s="79"/>
      <c r="BA120" s="78"/>
      <c r="BB120" s="78"/>
      <c r="BC120" s="80"/>
      <c r="BD120" s="78"/>
      <c r="BE120" s="78">
        <v>0</v>
      </c>
      <c r="BF120" s="78"/>
      <c r="BG120" s="78"/>
      <c r="BH120" s="78"/>
      <c r="BI120" s="78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1"/>
    </row>
    <row r="121" spans="1:75" ht="15" customHeight="1" x14ac:dyDescent="0.25">
      <c r="A121" s="29">
        <v>118</v>
      </c>
      <c r="B121" s="49" t="s">
        <v>295</v>
      </c>
      <c r="C121" s="29">
        <v>9</v>
      </c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>
        <v>0</v>
      </c>
      <c r="AT121" s="79"/>
      <c r="AU121" s="79"/>
      <c r="AV121" s="79"/>
      <c r="AW121" s="79"/>
      <c r="AX121" s="79"/>
      <c r="AY121" s="79"/>
      <c r="AZ121" s="79"/>
      <c r="BA121" s="78"/>
      <c r="BB121" s="78"/>
      <c r="BC121" s="80"/>
      <c r="BD121" s="78"/>
      <c r="BE121" s="78">
        <v>0</v>
      </c>
      <c r="BF121" s="78"/>
      <c r="BG121" s="78"/>
      <c r="BH121" s="78"/>
      <c r="BI121" s="78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1"/>
    </row>
    <row r="122" spans="1:75" ht="15" customHeight="1" x14ac:dyDescent="0.25">
      <c r="A122" s="29">
        <v>119</v>
      </c>
      <c r="B122" s="49" t="s">
        <v>76</v>
      </c>
      <c r="C122" s="29">
        <v>9</v>
      </c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>
        <v>0</v>
      </c>
      <c r="AT122" s="79"/>
      <c r="AU122" s="79"/>
      <c r="AV122" s="79"/>
      <c r="AW122" s="79"/>
      <c r="AX122" s="79"/>
      <c r="AY122" s="79"/>
      <c r="AZ122" s="79"/>
      <c r="BA122" s="78"/>
      <c r="BB122" s="78"/>
      <c r="BC122" s="80"/>
      <c r="BD122" s="78"/>
      <c r="BE122" s="78">
        <v>0</v>
      </c>
      <c r="BF122" s="78"/>
      <c r="BG122" s="78"/>
      <c r="BH122" s="78"/>
      <c r="BI122" s="78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1"/>
    </row>
    <row r="123" spans="1:75" ht="15" customHeight="1" x14ac:dyDescent="0.25">
      <c r="A123" s="29">
        <v>120</v>
      </c>
      <c r="B123" s="49" t="s">
        <v>77</v>
      </c>
      <c r="C123" s="29">
        <v>9</v>
      </c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>
        <v>0</v>
      </c>
      <c r="AT123" s="79"/>
      <c r="AU123" s="79"/>
      <c r="AV123" s="79"/>
      <c r="AW123" s="79"/>
      <c r="AX123" s="79"/>
      <c r="AY123" s="79"/>
      <c r="AZ123" s="79"/>
      <c r="BA123" s="78"/>
      <c r="BB123" s="78"/>
      <c r="BC123" s="80"/>
      <c r="BD123" s="78"/>
      <c r="BE123" s="78">
        <v>0</v>
      </c>
      <c r="BF123" s="78"/>
      <c r="BG123" s="78"/>
      <c r="BH123" s="78"/>
      <c r="BI123" s="78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1"/>
    </row>
    <row r="124" spans="1:75" ht="15" customHeight="1" x14ac:dyDescent="0.25">
      <c r="A124" s="29">
        <v>121</v>
      </c>
      <c r="B124" s="49" t="s">
        <v>78</v>
      </c>
      <c r="C124" s="29">
        <v>9</v>
      </c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>
        <v>0</v>
      </c>
      <c r="AT124" s="79"/>
      <c r="AU124" s="79"/>
      <c r="AV124" s="79"/>
      <c r="AW124" s="79"/>
      <c r="AX124" s="79"/>
      <c r="AY124" s="79"/>
      <c r="AZ124" s="79"/>
      <c r="BA124" s="78"/>
      <c r="BB124" s="78"/>
      <c r="BC124" s="80"/>
      <c r="BD124" s="78"/>
      <c r="BE124" s="78">
        <v>0</v>
      </c>
      <c r="BF124" s="78"/>
      <c r="BG124" s="78"/>
      <c r="BH124" s="78"/>
      <c r="BI124" s="78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1"/>
    </row>
    <row r="125" spans="1:75" ht="15" customHeight="1" x14ac:dyDescent="0.25">
      <c r="A125" s="29">
        <v>122</v>
      </c>
      <c r="B125" s="49" t="s">
        <v>296</v>
      </c>
      <c r="C125" s="29">
        <v>9</v>
      </c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>
        <v>0</v>
      </c>
      <c r="AT125" s="79"/>
      <c r="AU125" s="79"/>
      <c r="AV125" s="79"/>
      <c r="AW125" s="79"/>
      <c r="AX125" s="79"/>
      <c r="AY125" s="79"/>
      <c r="AZ125" s="79"/>
      <c r="BA125" s="78"/>
      <c r="BB125" s="78"/>
      <c r="BC125" s="80"/>
      <c r="BD125" s="78"/>
      <c r="BE125" s="78">
        <v>0</v>
      </c>
      <c r="BF125" s="78"/>
      <c r="BG125" s="78"/>
      <c r="BH125" s="78"/>
      <c r="BI125" s="78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1"/>
    </row>
    <row r="126" spans="1:75" ht="15" customHeight="1" x14ac:dyDescent="0.25">
      <c r="A126" s="51">
        <v>123</v>
      </c>
      <c r="B126" s="52" t="s">
        <v>297</v>
      </c>
      <c r="C126" s="51">
        <v>9</v>
      </c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>
        <f>AN127+AN128</f>
        <v>0</v>
      </c>
      <c r="AO126" s="92">
        <f>AO127+AO128</f>
        <v>0</v>
      </c>
      <c r="AP126" s="92">
        <f>AP127+AP128</f>
        <v>0</v>
      </c>
      <c r="AQ126" s="92">
        <f>AQ127+AQ128</f>
        <v>0</v>
      </c>
      <c r="AR126" s="92">
        <f>AR127+AR128</f>
        <v>0</v>
      </c>
      <c r="AS126" s="92"/>
      <c r="AT126" s="92">
        <f>AT127+AT128</f>
        <v>0</v>
      </c>
      <c r="AU126" s="92">
        <v>-400000</v>
      </c>
      <c r="AV126" s="92">
        <v>-15435354</v>
      </c>
      <c r="AW126" s="92">
        <v>-630470708</v>
      </c>
      <c r="AX126" s="92">
        <v>-1245506062</v>
      </c>
      <c r="AY126" s="92">
        <v>-1861084536</v>
      </c>
      <c r="AZ126" s="92">
        <v>-1879661571</v>
      </c>
      <c r="BA126" s="92">
        <v>-3095238987</v>
      </c>
      <c r="BB126" s="92">
        <v>-3710817111</v>
      </c>
      <c r="BC126" s="92">
        <v>-4323578332</v>
      </c>
      <c r="BD126" s="92">
        <v>-4939158117</v>
      </c>
      <c r="BE126" s="92">
        <v>-5555736147</v>
      </c>
      <c r="BF126" s="92">
        <v>-6156584183</v>
      </c>
      <c r="BG126" s="92">
        <v>-6757161996</v>
      </c>
      <c r="BH126" s="92">
        <v>-7357745181</v>
      </c>
      <c r="BI126" s="92">
        <v>-7958328973</v>
      </c>
      <c r="BJ126" s="92">
        <v>-8551855200</v>
      </c>
      <c r="BK126" s="92">
        <f>BK127+BK128</f>
        <v>-9152438940</v>
      </c>
      <c r="BL126" s="92">
        <f>BL127+BL128</f>
        <v>-9153183607</v>
      </c>
      <c r="BM126" s="92">
        <v>-9147484601</v>
      </c>
      <c r="BN126" s="92">
        <v>-9148068358</v>
      </c>
      <c r="BO126" s="92">
        <v>-9148652005</v>
      </c>
      <c r="BP126" s="92"/>
      <c r="BQ126" s="92"/>
      <c r="BR126" s="92"/>
      <c r="BS126" s="92"/>
      <c r="BT126" s="92"/>
      <c r="BU126" s="92"/>
      <c r="BV126" s="559"/>
      <c r="BW126" s="92"/>
    </row>
    <row r="127" spans="1:75" ht="15" customHeight="1" x14ac:dyDescent="0.25">
      <c r="A127" s="29">
        <v>124</v>
      </c>
      <c r="B127" s="53" t="s">
        <v>79</v>
      </c>
      <c r="C127" s="29">
        <v>9</v>
      </c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>
        <v>-400000</v>
      </c>
      <c r="AW127" s="93">
        <v>-15435354</v>
      </c>
      <c r="AX127" s="93">
        <v>-630470708</v>
      </c>
      <c r="AY127" s="93">
        <v>-1245506062</v>
      </c>
      <c r="AZ127" s="93">
        <v>-1861084536</v>
      </c>
      <c r="BA127" s="93">
        <v>-1879661571</v>
      </c>
      <c r="BB127" s="93">
        <v>-3095238987</v>
      </c>
      <c r="BC127" s="93">
        <v>-3710817111</v>
      </c>
      <c r="BD127" s="93">
        <v>-4323578332</v>
      </c>
      <c r="BE127" s="93">
        <v>-4939158117</v>
      </c>
      <c r="BF127" s="93">
        <v>-5555736147</v>
      </c>
      <c r="BG127" s="93">
        <v>-6156584183</v>
      </c>
      <c r="BH127" s="93">
        <v>-6757161996</v>
      </c>
      <c r="BI127" s="93">
        <v>-7357745181</v>
      </c>
      <c r="BJ127" s="93">
        <v>-7958328973</v>
      </c>
      <c r="BK127" s="93">
        <v>-8551855200</v>
      </c>
      <c r="BL127" s="93">
        <v>-9152438940</v>
      </c>
      <c r="BM127" s="93">
        <v>-9153183607</v>
      </c>
      <c r="BN127" s="93">
        <v>-9147484601</v>
      </c>
      <c r="BO127" s="93">
        <v>-9148068358</v>
      </c>
      <c r="BP127" s="93"/>
      <c r="BQ127" s="93"/>
      <c r="BR127" s="93"/>
      <c r="BS127" s="93"/>
      <c r="BT127" s="93"/>
      <c r="BU127" s="93"/>
      <c r="BV127" s="94"/>
      <c r="BW127" s="93"/>
    </row>
    <row r="128" spans="1:75" ht="15" customHeight="1" x14ac:dyDescent="0.25">
      <c r="A128" s="29">
        <v>125</v>
      </c>
      <c r="B128" s="53" t="s">
        <v>80</v>
      </c>
      <c r="C128" s="29">
        <v>9</v>
      </c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>
        <v>-400000</v>
      </c>
      <c r="AV128" s="93">
        <v>-15035354</v>
      </c>
      <c r="AW128" s="93">
        <v>-615035354</v>
      </c>
      <c r="AX128" s="93">
        <v>-615035354</v>
      </c>
      <c r="AY128" s="93">
        <v>-615578474</v>
      </c>
      <c r="AZ128" s="93">
        <v>-18577035</v>
      </c>
      <c r="BA128" s="94">
        <v>-1215577416</v>
      </c>
      <c r="BB128" s="94">
        <v>-615578124</v>
      </c>
      <c r="BC128" s="95">
        <v>-612761221</v>
      </c>
      <c r="BD128" s="94">
        <v>-615579785</v>
      </c>
      <c r="BE128" s="94">
        <v>-616578030</v>
      </c>
      <c r="BF128" s="94">
        <v>-600848036</v>
      </c>
      <c r="BG128" s="94">
        <v>-600577813</v>
      </c>
      <c r="BH128" s="94">
        <v>-600583185</v>
      </c>
      <c r="BI128" s="94">
        <v>-600583792</v>
      </c>
      <c r="BJ128" s="95">
        <v>-593526227</v>
      </c>
      <c r="BK128" s="95">
        <v>-600583740</v>
      </c>
      <c r="BL128" s="95">
        <v>-744667</v>
      </c>
      <c r="BM128" s="95">
        <v>5699006</v>
      </c>
      <c r="BN128" s="95">
        <v>-583757</v>
      </c>
      <c r="BO128" s="95">
        <v>-583647</v>
      </c>
      <c r="BP128" s="95"/>
      <c r="BQ128" s="95"/>
      <c r="BR128" s="95"/>
      <c r="BS128" s="95"/>
      <c r="BT128" s="95"/>
      <c r="BU128" s="95"/>
      <c r="BV128" s="95"/>
      <c r="BW128" s="96"/>
    </row>
    <row r="129" spans="1:75" ht="15" customHeight="1" x14ac:dyDescent="0.25">
      <c r="A129" s="54">
        <v>126</v>
      </c>
      <c r="B129" s="55" t="s">
        <v>81</v>
      </c>
      <c r="C129" s="54">
        <v>9</v>
      </c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>
        <f t="shared" ref="AN129:AT129" si="9">+AN114+AN82</f>
        <v>0</v>
      </c>
      <c r="AO129" s="98">
        <f t="shared" si="9"/>
        <v>0</v>
      </c>
      <c r="AP129" s="98">
        <f t="shared" si="9"/>
        <v>0</v>
      </c>
      <c r="AQ129" s="98">
        <f t="shared" si="9"/>
        <v>0</v>
      </c>
      <c r="AR129" s="98">
        <f t="shared" si="9"/>
        <v>0</v>
      </c>
      <c r="AS129" s="98">
        <f t="shared" si="9"/>
        <v>0</v>
      </c>
      <c r="AT129" s="98">
        <f t="shared" si="9"/>
        <v>0</v>
      </c>
      <c r="AU129" s="98">
        <v>30000</v>
      </c>
      <c r="AV129" s="98">
        <v>2594646</v>
      </c>
      <c r="AW129" s="98">
        <v>63759292</v>
      </c>
      <c r="AX129" s="98">
        <v>20124923938</v>
      </c>
      <c r="AY129" s="98">
        <v>20120693242</v>
      </c>
      <c r="AZ129" s="98">
        <v>20100338429</v>
      </c>
      <c r="BA129" s="97">
        <v>20204761013</v>
      </c>
      <c r="BB129" s="97">
        <v>20249182889</v>
      </c>
      <c r="BC129" s="99">
        <v>20296421668</v>
      </c>
      <c r="BD129" s="97">
        <v>20340841883</v>
      </c>
      <c r="BE129" s="97">
        <v>21384263853</v>
      </c>
      <c r="BF129" s="97">
        <v>21443707417</v>
      </c>
      <c r="BG129" s="97">
        <v>21502838004</v>
      </c>
      <c r="BH129" s="97">
        <v>21562254819</v>
      </c>
      <c r="BI129" s="97">
        <v>21621671027</v>
      </c>
      <c r="BJ129" s="99">
        <v>21688144800</v>
      </c>
      <c r="BK129" s="99">
        <f>+BK114+BK82</f>
        <v>21747561060</v>
      </c>
      <c r="BL129" s="99">
        <f>+BL114+BL82</f>
        <v>21746977393</v>
      </c>
      <c r="BM129" s="99">
        <v>21752676399</v>
      </c>
      <c r="BN129" s="99">
        <v>20752092642</v>
      </c>
      <c r="BO129" s="99">
        <v>20751508995</v>
      </c>
      <c r="BP129" s="99"/>
      <c r="BQ129" s="99"/>
      <c r="BR129" s="99"/>
      <c r="BS129" s="99"/>
      <c r="BT129" s="99"/>
      <c r="BU129" s="99"/>
      <c r="BV129" s="99"/>
      <c r="BW129" s="100"/>
    </row>
    <row r="130" spans="1:75" ht="15" customHeight="1" x14ac:dyDescent="0.25">
      <c r="A130" s="56"/>
      <c r="B130" s="57"/>
      <c r="C130" s="56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</row>
    <row r="131" spans="1:75" ht="1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spans="1:75" ht="1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spans="1:75" ht="1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spans="1:75" ht="1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spans="1:75" ht="1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spans="1:75" ht="1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spans="1:75" ht="1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spans="1:75" ht="1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spans="1:75" ht="1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spans="1:75" ht="1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spans="1:75" ht="1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spans="1:75" ht="1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spans="1:75" ht="1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spans="1:75" ht="1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spans="1:75" ht="1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spans="1:75" ht="1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spans="1:75" ht="1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spans="1:75" ht="1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spans="1:75" ht="1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spans="1:75" ht="15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spans="1:75" ht="15" customHeight="1" x14ac:dyDescent="0.25">
      <c r="A151" s="60"/>
      <c r="B151" s="61"/>
      <c r="C151" s="60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</row>
    <row r="152" spans="1:75" ht="1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spans="1:75" ht="1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spans="1:75" ht="15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spans="1:75" ht="1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spans="1:75" ht="1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spans="1:75" ht="1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spans="1:75" ht="14.25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spans="1:75" ht="15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spans="1:75" ht="15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s="20" customFormat="1" ht="15" customHeight="1" x14ac:dyDescent="0.25"/>
    <row r="162" s="20" customFormat="1" ht="14.25" x14ac:dyDescent="0.25"/>
    <row r="163" s="20" customFormat="1" ht="15" customHeight="1" x14ac:dyDescent="0.25"/>
    <row r="164" s="20" customFormat="1" ht="15" customHeight="1" x14ac:dyDescent="0.25"/>
    <row r="165" s="20" customFormat="1" ht="14.25" x14ac:dyDescent="0.25"/>
    <row r="166" s="20" customFormat="1" ht="15" customHeight="1" x14ac:dyDescent="0.25"/>
    <row r="167" s="20" customFormat="1" ht="15" customHeight="1" x14ac:dyDescent="0.25"/>
    <row r="168" s="20" customFormat="1" ht="15" customHeight="1" x14ac:dyDescent="0.25"/>
    <row r="169" s="20" customFormat="1" ht="15" customHeight="1" x14ac:dyDescent="0.25"/>
    <row r="170" s="20" customFormat="1" ht="15" customHeight="1" x14ac:dyDescent="0.25"/>
    <row r="171" s="20" customFormat="1" ht="15" customHeight="1" x14ac:dyDescent="0.25"/>
    <row r="172" s="20" customFormat="1" ht="15" customHeight="1" x14ac:dyDescent="0.25"/>
    <row r="173" s="20" customFormat="1" ht="15" customHeight="1" x14ac:dyDescent="0.25"/>
    <row r="174" s="20" customFormat="1" ht="14.25" x14ac:dyDescent="0.25"/>
    <row r="175" s="20" customFormat="1" ht="14.25" x14ac:dyDescent="0.25"/>
    <row r="176" s="20" customFormat="1" ht="14.25" x14ac:dyDescent="0.25"/>
    <row r="177" s="20" customFormat="1" ht="14.25" x14ac:dyDescent="0.25"/>
    <row r="178" s="20" customFormat="1" ht="15" customHeight="1" x14ac:dyDescent="0.25"/>
    <row r="179" s="20" customFormat="1" ht="15" customHeight="1" x14ac:dyDescent="0.25"/>
    <row r="180" s="20" customFormat="1" ht="15" customHeight="1" x14ac:dyDescent="0.25"/>
    <row r="181" s="20" customFormat="1" ht="15" customHeight="1" x14ac:dyDescent="0.25"/>
    <row r="182" s="20" customFormat="1" ht="15" customHeight="1" x14ac:dyDescent="0.25"/>
    <row r="183" s="20" customFormat="1" ht="14.25" x14ac:dyDescent="0.25"/>
    <row r="184" s="20" customFormat="1" ht="14.25" x14ac:dyDescent="0.25"/>
    <row r="185" s="20" customFormat="1" ht="15" customHeight="1" x14ac:dyDescent="0.25"/>
    <row r="186" s="20" customFormat="1" ht="15" customHeight="1" x14ac:dyDescent="0.25"/>
    <row r="187" s="20" customFormat="1" ht="15" customHeight="1" x14ac:dyDescent="0.25"/>
    <row r="188" s="20" customFormat="1" ht="15" customHeight="1" x14ac:dyDescent="0.25"/>
    <row r="189" s="20" customFormat="1" ht="15" customHeight="1" x14ac:dyDescent="0.25"/>
    <row r="190" s="20" customFormat="1" ht="15" customHeight="1" x14ac:dyDescent="0.25"/>
    <row r="191" s="20" customFormat="1" ht="15" customHeight="1" x14ac:dyDescent="0.25"/>
    <row r="192" s="20" customFormat="1" ht="15" customHeight="1" x14ac:dyDescent="0.25"/>
    <row r="193" spans="1:75" s="64" customFormat="1" ht="15" customHeight="1" x14ac:dyDescent="0.3"/>
    <row r="194" spans="1:75" ht="15" customHeight="1" x14ac:dyDescent="0.25"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</row>
    <row r="195" spans="1:75" ht="1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spans="1:75" ht="1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spans="1:75" ht="1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spans="1:75" ht="1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spans="1:75" ht="1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spans="1:75" ht="1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spans="1:75" ht="1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spans="1:75" ht="1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spans="1:75" ht="1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spans="1:75" ht="1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spans="1:75" ht="1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spans="1:75" ht="1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spans="1:75" ht="1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spans="1:75" ht="1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s="20" customFormat="1" ht="15" customHeight="1" x14ac:dyDescent="0.25"/>
    <row r="210" s="20" customFormat="1" ht="15" customHeight="1" x14ac:dyDescent="0.25"/>
    <row r="211" s="20" customFormat="1" ht="15" customHeight="1" x14ac:dyDescent="0.25"/>
    <row r="212" s="20" customFormat="1" ht="15" customHeight="1" x14ac:dyDescent="0.25"/>
    <row r="213" s="20" customFormat="1" ht="15" customHeight="1" x14ac:dyDescent="0.25"/>
    <row r="214" s="20" customFormat="1" ht="15" customHeight="1" x14ac:dyDescent="0.25"/>
    <row r="215" s="20" customFormat="1" ht="15" customHeight="1" x14ac:dyDescent="0.25"/>
    <row r="216" s="20" customFormat="1" ht="15" customHeight="1" x14ac:dyDescent="0.25"/>
    <row r="217" s="20" customFormat="1" ht="15" customHeight="1" x14ac:dyDescent="0.25"/>
    <row r="218" s="20" customFormat="1" ht="15" customHeight="1" x14ac:dyDescent="0.25"/>
    <row r="219" s="20" customFormat="1" ht="15" customHeight="1" x14ac:dyDescent="0.25"/>
    <row r="220" s="20" customFormat="1" ht="15" customHeight="1" x14ac:dyDescent="0.25"/>
    <row r="221" s="20" customFormat="1" ht="15" customHeight="1" x14ac:dyDescent="0.25"/>
    <row r="222" s="20" customFormat="1" ht="15" customHeight="1" x14ac:dyDescent="0.25"/>
    <row r="223" s="20" customFormat="1" ht="15" customHeight="1" x14ac:dyDescent="0.25"/>
    <row r="224" s="20" customFormat="1" ht="15" customHeight="1" x14ac:dyDescent="0.25"/>
    <row r="225" s="20" customFormat="1" ht="15" customHeight="1" x14ac:dyDescent="0.25"/>
    <row r="226" s="20" customFormat="1" ht="15" customHeight="1" x14ac:dyDescent="0.25"/>
    <row r="227" s="20" customFormat="1" ht="15" customHeight="1" x14ac:dyDescent="0.25"/>
    <row r="228" s="20" customFormat="1" ht="15" customHeight="1" x14ac:dyDescent="0.25"/>
    <row r="229" s="20" customFormat="1" ht="15" customHeight="1" x14ac:dyDescent="0.25"/>
    <row r="230" s="20" customFormat="1" ht="15" customHeight="1" x14ac:dyDescent="0.25"/>
    <row r="231" s="20" customFormat="1" ht="15" customHeight="1" x14ac:dyDescent="0.25"/>
    <row r="232" s="20" customFormat="1" ht="15" customHeight="1" x14ac:dyDescent="0.25"/>
    <row r="233" s="20" customFormat="1" ht="15" customHeight="1" x14ac:dyDescent="0.25"/>
    <row r="234" s="20" customFormat="1" ht="15" customHeight="1" x14ac:dyDescent="0.25"/>
    <row r="235" s="20" customFormat="1" ht="15" customHeight="1" x14ac:dyDescent="0.25"/>
    <row r="236" s="20" customFormat="1" ht="15" customHeight="1" x14ac:dyDescent="0.25"/>
    <row r="237" s="20" customFormat="1" ht="15" customHeight="1" x14ac:dyDescent="0.25"/>
    <row r="238" s="20" customFormat="1" ht="15" customHeight="1" x14ac:dyDescent="0.25"/>
    <row r="239" s="20" customFormat="1" ht="15" customHeight="1" x14ac:dyDescent="0.25"/>
    <row r="240" s="20" customFormat="1" ht="15" customHeight="1" x14ac:dyDescent="0.25"/>
    <row r="241" spans="1:75" ht="1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</row>
    <row r="242" spans="1:75" ht="1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</row>
    <row r="243" spans="1:75" ht="1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</row>
    <row r="244" spans="1:75" ht="1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</row>
    <row r="245" spans="1:75" ht="1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</row>
    <row r="246" spans="1:75" ht="1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</row>
    <row r="247" spans="1:75" ht="1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</row>
    <row r="248" spans="1:75" ht="1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</row>
    <row r="249" spans="1:75" ht="1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</row>
    <row r="250" spans="1:75" ht="15" customHeight="1" x14ac:dyDescent="0.25">
      <c r="A250" s="67"/>
      <c r="B250" s="68"/>
      <c r="C250" s="67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</row>
    <row r="251" spans="1:75" ht="1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</row>
    <row r="252" spans="1:75" ht="1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</row>
    <row r="253" spans="1:75" ht="1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</row>
    <row r="254" spans="1:75" ht="1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</row>
    <row r="255" spans="1:75" ht="1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</row>
    <row r="256" spans="1:75" ht="1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</row>
    <row r="257" s="20" customFormat="1" ht="15" customHeight="1" x14ac:dyDescent="0.25"/>
    <row r="258" s="20" customFormat="1" ht="15" customHeight="1" x14ac:dyDescent="0.25"/>
    <row r="259" s="20" customFormat="1" ht="15" customHeight="1" x14ac:dyDescent="0.25"/>
    <row r="260" s="20" customFormat="1" ht="15" customHeight="1" x14ac:dyDescent="0.25"/>
    <row r="261" s="20" customFormat="1" ht="15" customHeight="1" x14ac:dyDescent="0.25"/>
    <row r="262" s="20" customFormat="1" ht="15" customHeight="1" x14ac:dyDescent="0.25"/>
    <row r="263" s="20" customFormat="1" ht="15" customHeight="1" x14ac:dyDescent="0.25"/>
    <row r="264" s="20" customFormat="1" ht="15" customHeight="1" x14ac:dyDescent="0.25"/>
    <row r="265" s="20" customFormat="1" ht="15" customHeight="1" x14ac:dyDescent="0.25"/>
    <row r="266" s="20" customFormat="1" ht="15" customHeight="1" x14ac:dyDescent="0.25"/>
    <row r="267" s="20" customFormat="1" ht="15" customHeight="1" x14ac:dyDescent="0.25"/>
    <row r="268" s="20" customFormat="1" ht="15" customHeight="1" x14ac:dyDescent="0.25"/>
    <row r="269" s="20" customFormat="1" ht="15" customHeight="1" x14ac:dyDescent="0.25"/>
    <row r="270" s="20" customFormat="1" ht="15" customHeight="1" x14ac:dyDescent="0.25"/>
    <row r="271" s="20" customFormat="1" ht="15" customHeight="1" x14ac:dyDescent="0.25"/>
    <row r="272" s="20" customFormat="1" ht="15" customHeight="1" x14ac:dyDescent="0.25"/>
    <row r="273" s="20" customFormat="1" ht="15" customHeight="1" x14ac:dyDescent="0.25"/>
    <row r="274" s="20" customFormat="1" ht="15" customHeight="1" x14ac:dyDescent="0.25"/>
    <row r="275" s="20" customFormat="1" ht="15" customHeight="1" x14ac:dyDescent="0.25"/>
    <row r="276" s="20" customFormat="1" ht="15" customHeight="1" x14ac:dyDescent="0.25"/>
    <row r="277" s="20" customFormat="1" ht="15" customHeight="1" x14ac:dyDescent="0.25"/>
    <row r="278" s="20" customFormat="1" ht="15" customHeight="1" x14ac:dyDescent="0.25"/>
    <row r="279" s="20" customFormat="1" ht="15" customHeight="1" x14ac:dyDescent="0.25"/>
    <row r="280" s="20" customFormat="1" ht="15" customHeight="1" x14ac:dyDescent="0.25"/>
    <row r="281" s="20" customFormat="1" ht="15" customHeight="1" x14ac:dyDescent="0.25"/>
    <row r="282" s="20" customFormat="1" ht="15" customHeight="1" x14ac:dyDescent="0.25"/>
    <row r="283" s="20" customFormat="1" ht="15" customHeight="1" x14ac:dyDescent="0.25"/>
    <row r="284" s="20" customFormat="1" ht="15" customHeight="1" x14ac:dyDescent="0.25"/>
    <row r="285" s="20" customFormat="1" ht="15" customHeight="1" x14ac:dyDescent="0.25"/>
    <row r="286" s="20" customFormat="1" ht="15" customHeight="1" x14ac:dyDescent="0.25"/>
    <row r="287" s="20" customFormat="1" ht="15" customHeight="1" x14ac:dyDescent="0.25"/>
    <row r="288" s="20" customFormat="1" ht="15" customHeight="1" x14ac:dyDescent="0.25"/>
    <row r="289" s="20" customFormat="1" ht="15" customHeight="1" x14ac:dyDescent="0.25"/>
    <row r="290" s="20" customFormat="1" ht="15" customHeight="1" x14ac:dyDescent="0.25"/>
    <row r="291" s="20" customFormat="1" ht="15" customHeight="1" x14ac:dyDescent="0.25"/>
    <row r="292" s="20" customFormat="1" ht="15" customHeight="1" x14ac:dyDescent="0.25"/>
    <row r="293" s="20" customFormat="1" ht="15" customHeight="1" x14ac:dyDescent="0.25"/>
    <row r="294" s="20" customFormat="1" ht="15" customHeight="1" x14ac:dyDescent="0.25"/>
    <row r="295" s="20" customFormat="1" ht="15" customHeight="1" x14ac:dyDescent="0.25"/>
    <row r="296" s="20" customFormat="1" ht="15" customHeight="1" x14ac:dyDescent="0.25"/>
    <row r="297" s="20" customFormat="1" ht="15" customHeight="1" x14ac:dyDescent="0.25"/>
    <row r="298" s="20" customFormat="1" ht="15" customHeight="1" x14ac:dyDescent="0.25"/>
    <row r="299" s="20" customFormat="1" ht="15" customHeight="1" x14ac:dyDescent="0.25"/>
    <row r="300" s="20" customFormat="1" ht="15" customHeight="1" x14ac:dyDescent="0.25"/>
    <row r="301" s="20" customFormat="1" ht="15" customHeight="1" x14ac:dyDescent="0.25"/>
    <row r="302" s="20" customFormat="1" ht="15" customHeight="1" x14ac:dyDescent="0.25"/>
    <row r="303" s="20" customFormat="1" ht="15" customHeight="1" x14ac:dyDescent="0.25"/>
    <row r="304" s="20" customFormat="1" ht="15" customHeight="1" x14ac:dyDescent="0.25"/>
  </sheetData>
  <sheetProtection algorithmName="SHA-512" hashValue="Odex2d6xvn9bms4sNskXesL+pOqG3qEiffVx3VwNFgQjr2UFtgjw8rXHGemJc6qS7rF5BHW28+OO+TNrE09UsA==" saltValue="qUYCYvrqG+K7YrcBsdxnZA==" spinCount="100000" sheet="1" objects="1" scenarios="1"/>
  <protectedRanges>
    <protectedRange sqref="D4:BW129" name="BS"/>
  </protectedRanges>
  <pageMargins left="0.18" right="0.2" top="0.18" bottom="0.16" header="0.17" footer="0.16"/>
  <pageSetup paperSize="9" orientation="landscape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BBD4-73D8-4C97-924D-A054D4A5825F}">
  <sheetPr>
    <tabColor theme="9" tint="0.59999389629810485"/>
  </sheetPr>
  <dimension ref="A1:BW23"/>
  <sheetViews>
    <sheetView showGridLines="0" zoomScale="80" zoomScaleNormal="80" workbookViewId="0">
      <pane xSplit="3" ySplit="3" topLeftCell="BK6" activePane="bottomRight" state="frozen"/>
      <selection activeCell="BM13" sqref="BM13"/>
      <selection pane="topRight" activeCell="BM13" sqref="BM13"/>
      <selection pane="bottomLeft" activeCell="BM13" sqref="BM13"/>
      <selection pane="bottomRight" activeCell="BO23" sqref="BO23"/>
    </sheetView>
  </sheetViews>
  <sheetFormatPr defaultRowHeight="12.75" x14ac:dyDescent="0.2"/>
  <cols>
    <col min="1" max="1" width="9.140625" hidden="1" customWidth="1"/>
    <col min="2" max="2" width="56.5703125" bestFit="1" customWidth="1"/>
    <col min="3" max="3" width="15.5703125" hidden="1" customWidth="1"/>
    <col min="4" max="53" width="15.7109375" bestFit="1" customWidth="1"/>
    <col min="54" max="75" width="13.7109375" customWidth="1"/>
  </cols>
  <sheetData>
    <row r="1" spans="1:75" ht="18.75" x14ac:dyDescent="0.3">
      <c r="B1" s="1" t="s">
        <v>0</v>
      </c>
    </row>
    <row r="2" spans="1:75" ht="15" x14ac:dyDescent="0.2">
      <c r="B2" s="2" t="s">
        <v>1</v>
      </c>
    </row>
    <row r="3" spans="1:75" ht="28.5" x14ac:dyDescent="0.2">
      <c r="A3" s="101" t="s">
        <v>186</v>
      </c>
      <c r="B3" s="102" t="s">
        <v>82</v>
      </c>
      <c r="C3" s="103" t="s">
        <v>228</v>
      </c>
      <c r="D3" s="101" t="s">
        <v>191</v>
      </c>
      <c r="E3" s="101" t="s">
        <v>192</v>
      </c>
      <c r="F3" s="101" t="s">
        <v>193</v>
      </c>
      <c r="G3" s="101" t="s">
        <v>194</v>
      </c>
      <c r="H3" s="101" t="s">
        <v>195</v>
      </c>
      <c r="I3" s="101" t="s">
        <v>196</v>
      </c>
      <c r="J3" s="101" t="s">
        <v>197</v>
      </c>
      <c r="K3" s="101" t="s">
        <v>198</v>
      </c>
      <c r="L3" s="101" t="s">
        <v>199</v>
      </c>
      <c r="M3" s="101" t="s">
        <v>200</v>
      </c>
      <c r="N3" s="101" t="s">
        <v>201</v>
      </c>
      <c r="O3" s="101" t="s">
        <v>202</v>
      </c>
      <c r="P3" s="101" t="s">
        <v>203</v>
      </c>
      <c r="Q3" s="101" t="s">
        <v>204</v>
      </c>
      <c r="R3" s="101" t="s">
        <v>205</v>
      </c>
      <c r="S3" s="101" t="s">
        <v>206</v>
      </c>
      <c r="T3" s="101" t="s">
        <v>207</v>
      </c>
      <c r="U3" s="101" t="s">
        <v>208</v>
      </c>
      <c r="V3" s="101" t="s">
        <v>209</v>
      </c>
      <c r="W3" s="101" t="s">
        <v>210</v>
      </c>
      <c r="X3" s="101" t="s">
        <v>211</v>
      </c>
      <c r="Y3" s="101" t="s">
        <v>212</v>
      </c>
      <c r="Z3" s="101" t="s">
        <v>213</v>
      </c>
      <c r="AA3" s="101" t="s">
        <v>214</v>
      </c>
      <c r="AB3" s="101" t="s">
        <v>215</v>
      </c>
      <c r="AC3" s="101" t="s">
        <v>216</v>
      </c>
      <c r="AD3" s="101" t="s">
        <v>217</v>
      </c>
      <c r="AE3" s="101" t="s">
        <v>218</v>
      </c>
      <c r="AF3" s="101" t="s">
        <v>219</v>
      </c>
      <c r="AG3" s="101" t="s">
        <v>220</v>
      </c>
      <c r="AH3" s="101" t="s">
        <v>221</v>
      </c>
      <c r="AI3" s="101" t="s">
        <v>222</v>
      </c>
      <c r="AJ3" s="101" t="s">
        <v>223</v>
      </c>
      <c r="AK3" s="101" t="s">
        <v>224</v>
      </c>
      <c r="AL3" s="101" t="s">
        <v>225</v>
      </c>
      <c r="AM3" s="101" t="s">
        <v>226</v>
      </c>
      <c r="AN3" s="101" t="s">
        <v>2</v>
      </c>
      <c r="AO3" s="101" t="s">
        <v>3</v>
      </c>
      <c r="AP3" s="101" t="s">
        <v>4</v>
      </c>
      <c r="AQ3" s="101" t="s">
        <v>5</v>
      </c>
      <c r="AR3" s="101" t="s">
        <v>6</v>
      </c>
      <c r="AS3" s="101" t="s">
        <v>7</v>
      </c>
      <c r="AT3" s="101" t="s">
        <v>8</v>
      </c>
      <c r="AU3" s="101" t="s">
        <v>9</v>
      </c>
      <c r="AV3" s="101" t="s">
        <v>10</v>
      </c>
      <c r="AW3" s="101" t="s">
        <v>11</v>
      </c>
      <c r="AX3" s="101" t="s">
        <v>12</v>
      </c>
      <c r="AY3" s="101" t="s">
        <v>13</v>
      </c>
      <c r="AZ3" s="101" t="s">
        <v>14</v>
      </c>
      <c r="BA3" s="101" t="s">
        <v>15</v>
      </c>
      <c r="BB3" s="101" t="s">
        <v>16</v>
      </c>
      <c r="BC3" s="101" t="s">
        <v>17</v>
      </c>
      <c r="BD3" s="101" t="s">
        <v>18</v>
      </c>
      <c r="BE3" s="101" t="s">
        <v>19</v>
      </c>
      <c r="BF3" s="101" t="s">
        <v>20</v>
      </c>
      <c r="BG3" s="101" t="s">
        <v>21</v>
      </c>
      <c r="BH3" s="101" t="s">
        <v>22</v>
      </c>
      <c r="BI3" s="101" t="s">
        <v>23</v>
      </c>
      <c r="BJ3" s="101" t="s">
        <v>24</v>
      </c>
      <c r="BK3" s="101" t="s">
        <v>25</v>
      </c>
      <c r="BL3" s="101" t="s">
        <v>298</v>
      </c>
      <c r="BM3" s="101" t="s">
        <v>299</v>
      </c>
      <c r="BN3" s="101" t="s">
        <v>300</v>
      </c>
      <c r="BO3" s="101" t="s">
        <v>301</v>
      </c>
      <c r="BP3" s="101" t="s">
        <v>302</v>
      </c>
      <c r="BQ3" s="101" t="s">
        <v>303</v>
      </c>
      <c r="BR3" s="101" t="s">
        <v>304</v>
      </c>
      <c r="BS3" s="101" t="s">
        <v>305</v>
      </c>
      <c r="BT3" s="101" t="s">
        <v>306</v>
      </c>
      <c r="BU3" s="101" t="s">
        <v>307</v>
      </c>
      <c r="BV3" s="101" t="s">
        <v>308</v>
      </c>
      <c r="BW3" s="101" t="s">
        <v>309</v>
      </c>
    </row>
    <row r="4" spans="1:75" ht="15" x14ac:dyDescent="0.2">
      <c r="A4" s="104">
        <v>1</v>
      </c>
      <c r="B4" s="105" t="s">
        <v>83</v>
      </c>
      <c r="C4" s="104">
        <v>9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</row>
    <row r="5" spans="1:75" ht="14.25" x14ac:dyDescent="0.2">
      <c r="A5" s="33">
        <v>2</v>
      </c>
      <c r="B5" s="106" t="s">
        <v>84</v>
      </c>
      <c r="C5" s="33">
        <v>9</v>
      </c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>
        <v>0</v>
      </c>
      <c r="AV5" s="115">
        <v>0</v>
      </c>
      <c r="AW5" s="115">
        <v>0</v>
      </c>
      <c r="AX5" s="115">
        <v>0</v>
      </c>
      <c r="AY5" s="115">
        <v>0</v>
      </c>
      <c r="AZ5" s="115">
        <v>0</v>
      </c>
      <c r="BA5" s="115">
        <v>0</v>
      </c>
      <c r="BB5" s="115">
        <v>0</v>
      </c>
      <c r="BC5" s="115">
        <v>0</v>
      </c>
      <c r="BD5" s="115">
        <v>0</v>
      </c>
      <c r="BE5" s="115">
        <v>0</v>
      </c>
      <c r="BF5" s="115">
        <v>0</v>
      </c>
      <c r="BG5" s="115"/>
      <c r="BH5" s="115">
        <v>0</v>
      </c>
      <c r="BI5" s="115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</row>
    <row r="6" spans="1:75" ht="15" x14ac:dyDescent="0.2">
      <c r="A6" s="29">
        <v>3</v>
      </c>
      <c r="B6" s="107" t="s">
        <v>85</v>
      </c>
      <c r="C6" s="29">
        <v>9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>
        <v>0</v>
      </c>
      <c r="AV6" s="78">
        <v>0</v>
      </c>
      <c r="AW6" s="78">
        <v>0</v>
      </c>
      <c r="AX6" s="78">
        <v>0</v>
      </c>
      <c r="AY6" s="78">
        <v>0</v>
      </c>
      <c r="AZ6" s="78">
        <v>0</v>
      </c>
      <c r="BA6" s="78">
        <v>0</v>
      </c>
      <c r="BB6" s="78">
        <v>0</v>
      </c>
      <c r="BC6" s="78">
        <v>0</v>
      </c>
      <c r="BD6" s="78">
        <v>0</v>
      </c>
      <c r="BE6" s="78">
        <v>0</v>
      </c>
      <c r="BF6" s="78">
        <v>0</v>
      </c>
      <c r="BG6" s="78"/>
      <c r="BH6" s="78">
        <v>0</v>
      </c>
      <c r="BI6" s="78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</row>
    <row r="7" spans="1:75" ht="14.25" x14ac:dyDescent="0.2">
      <c r="A7" s="108">
        <v>4</v>
      </c>
      <c r="B7" s="106" t="s">
        <v>86</v>
      </c>
      <c r="C7" s="108">
        <v>9</v>
      </c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>
        <v>0</v>
      </c>
      <c r="AV7" s="115">
        <v>0</v>
      </c>
      <c r="AW7" s="115">
        <v>0</v>
      </c>
      <c r="AX7" s="115">
        <v>0</v>
      </c>
      <c r="AY7" s="115">
        <v>0</v>
      </c>
      <c r="AZ7" s="115">
        <v>0</v>
      </c>
      <c r="BA7" s="115">
        <v>0</v>
      </c>
      <c r="BB7" s="115">
        <v>0</v>
      </c>
      <c r="BC7" s="115">
        <v>0</v>
      </c>
      <c r="BD7" s="115">
        <v>0</v>
      </c>
      <c r="BE7" s="115">
        <v>0</v>
      </c>
      <c r="BF7" s="115">
        <v>0</v>
      </c>
      <c r="BG7" s="115"/>
      <c r="BH7" s="115">
        <v>0</v>
      </c>
      <c r="BI7" s="115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</row>
    <row r="8" spans="1:75" ht="15" x14ac:dyDescent="0.2">
      <c r="A8" s="109">
        <v>5</v>
      </c>
      <c r="B8" s="107" t="s">
        <v>87</v>
      </c>
      <c r="C8" s="109">
        <v>9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>
        <v>0</v>
      </c>
      <c r="AV8" s="78">
        <v>0</v>
      </c>
      <c r="AW8" s="78">
        <v>0</v>
      </c>
      <c r="AX8" s="78">
        <v>0</v>
      </c>
      <c r="AY8" s="78">
        <v>0</v>
      </c>
      <c r="AZ8" s="78">
        <v>0</v>
      </c>
      <c r="BA8" s="78">
        <v>0</v>
      </c>
      <c r="BB8" s="78">
        <v>0</v>
      </c>
      <c r="BC8" s="78">
        <v>0</v>
      </c>
      <c r="BD8" s="78">
        <v>0</v>
      </c>
      <c r="BE8" s="78">
        <v>0</v>
      </c>
      <c r="BF8" s="78">
        <v>0</v>
      </c>
      <c r="BG8" s="78"/>
      <c r="BH8" s="78">
        <v>0</v>
      </c>
      <c r="BI8" s="78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</row>
    <row r="9" spans="1:75" ht="15" x14ac:dyDescent="0.2">
      <c r="A9" s="110">
        <v>6</v>
      </c>
      <c r="B9" s="106" t="s">
        <v>88</v>
      </c>
      <c r="C9" s="110">
        <v>9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>
        <v>0</v>
      </c>
      <c r="AV9" s="115">
        <v>0</v>
      </c>
      <c r="AW9" s="115">
        <v>0</v>
      </c>
      <c r="AX9" s="115">
        <v>0</v>
      </c>
      <c r="AY9" s="115">
        <v>0</v>
      </c>
      <c r="AZ9" s="115">
        <v>0</v>
      </c>
      <c r="BA9" s="115">
        <v>0</v>
      </c>
      <c r="BB9" s="115">
        <v>0</v>
      </c>
      <c r="BC9" s="115">
        <v>0</v>
      </c>
      <c r="BD9" s="115">
        <v>0</v>
      </c>
      <c r="BE9" s="115">
        <v>0</v>
      </c>
      <c r="BF9" s="115">
        <v>0</v>
      </c>
      <c r="BG9" s="115"/>
      <c r="BH9" s="115">
        <v>0</v>
      </c>
      <c r="BI9" s="115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</row>
    <row r="10" spans="1:75" ht="15" x14ac:dyDescent="0.2">
      <c r="A10" s="110">
        <v>7</v>
      </c>
      <c r="B10" s="106" t="s">
        <v>310</v>
      </c>
      <c r="C10" s="110">
        <v>9</v>
      </c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</row>
    <row r="11" spans="1:75" ht="15" x14ac:dyDescent="0.2">
      <c r="A11" s="29">
        <v>8</v>
      </c>
      <c r="B11" s="107" t="s">
        <v>311</v>
      </c>
      <c r="C11" s="29">
        <v>9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>
        <v>0</v>
      </c>
      <c r="AV11" s="78">
        <v>0</v>
      </c>
      <c r="AW11" s="78">
        <v>0</v>
      </c>
      <c r="AX11" s="78">
        <v>0</v>
      </c>
      <c r="AY11" s="78">
        <v>6263</v>
      </c>
      <c r="AZ11" s="78">
        <v>7702</v>
      </c>
      <c r="BA11" s="78">
        <v>7321</v>
      </c>
      <c r="BB11" s="78">
        <v>6613</v>
      </c>
      <c r="BC11" s="78">
        <v>3453516</v>
      </c>
      <c r="BD11" s="78">
        <v>4952</v>
      </c>
      <c r="BE11" s="78">
        <v>6707</v>
      </c>
      <c r="BF11" s="78">
        <v>6701</v>
      </c>
      <c r="BG11" s="78">
        <v>6924</v>
      </c>
      <c r="BH11" s="78">
        <v>1552</v>
      </c>
      <c r="BI11" s="78">
        <v>945</v>
      </c>
      <c r="BJ11" s="80">
        <v>7058510</v>
      </c>
      <c r="BK11" s="80">
        <v>997</v>
      </c>
      <c r="BL11" s="80">
        <v>1070</v>
      </c>
      <c r="BM11" s="80">
        <v>6283743</v>
      </c>
      <c r="BN11" s="80">
        <v>980</v>
      </c>
      <c r="BO11" s="80">
        <v>1090</v>
      </c>
      <c r="BP11" s="80"/>
      <c r="BQ11" s="80"/>
      <c r="BR11" s="80"/>
      <c r="BS11" s="80"/>
      <c r="BT11" s="80"/>
      <c r="BU11" s="80"/>
      <c r="BV11" s="80"/>
      <c r="BW11" s="80"/>
    </row>
    <row r="12" spans="1:75" ht="14.25" x14ac:dyDescent="0.2">
      <c r="A12" s="33">
        <v>9</v>
      </c>
      <c r="B12" s="106" t="s">
        <v>312</v>
      </c>
      <c r="C12" s="33">
        <v>9</v>
      </c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>
        <v>0</v>
      </c>
      <c r="AV12" s="115">
        <v>0</v>
      </c>
      <c r="AW12" s="115">
        <v>0</v>
      </c>
      <c r="AX12" s="115">
        <v>0</v>
      </c>
      <c r="AY12" s="115">
        <v>0</v>
      </c>
      <c r="AZ12" s="115">
        <v>0</v>
      </c>
      <c r="BA12" s="115">
        <v>0</v>
      </c>
      <c r="BB12" s="115">
        <v>0</v>
      </c>
      <c r="BC12" s="115">
        <v>0</v>
      </c>
      <c r="BD12" s="115">
        <v>0</v>
      </c>
      <c r="BE12" s="115">
        <v>0</v>
      </c>
      <c r="BF12" s="115">
        <v>0</v>
      </c>
      <c r="BG12" s="115"/>
      <c r="BH12" s="115">
        <v>0</v>
      </c>
      <c r="BI12" s="115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</row>
    <row r="13" spans="1:75" ht="15" x14ac:dyDescent="0.2">
      <c r="A13" s="29">
        <v>10</v>
      </c>
      <c r="B13" s="111" t="s">
        <v>89</v>
      </c>
      <c r="C13" s="29">
        <v>9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>
        <v>0</v>
      </c>
      <c r="AV13" s="78">
        <v>0</v>
      </c>
      <c r="AW13" s="78">
        <v>0</v>
      </c>
      <c r="AX13" s="78">
        <v>0</v>
      </c>
      <c r="AY13" s="78">
        <v>0</v>
      </c>
      <c r="AZ13" s="78">
        <v>0</v>
      </c>
      <c r="BA13" s="78">
        <v>0</v>
      </c>
      <c r="BB13" s="78">
        <v>0</v>
      </c>
      <c r="BC13" s="78">
        <v>0</v>
      </c>
      <c r="BD13" s="78">
        <v>0</v>
      </c>
      <c r="BE13" s="78">
        <v>0</v>
      </c>
      <c r="BF13" s="78">
        <v>0</v>
      </c>
      <c r="BG13" s="78"/>
      <c r="BH13" s="78">
        <v>0</v>
      </c>
      <c r="BI13" s="78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</row>
    <row r="14" spans="1:75" ht="15" x14ac:dyDescent="0.2">
      <c r="A14" s="29">
        <v>11</v>
      </c>
      <c r="B14" s="107" t="s">
        <v>313</v>
      </c>
      <c r="C14" s="29">
        <v>9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>
        <v>0</v>
      </c>
      <c r="AV14" s="78">
        <v>0</v>
      </c>
      <c r="AW14" s="78">
        <v>0</v>
      </c>
      <c r="AX14" s="78">
        <v>0</v>
      </c>
      <c r="AY14" s="78">
        <v>0</v>
      </c>
      <c r="AZ14" s="78">
        <v>0</v>
      </c>
      <c r="BA14" s="78">
        <v>0</v>
      </c>
      <c r="BB14" s="78">
        <v>0</v>
      </c>
      <c r="BC14" s="78">
        <v>0</v>
      </c>
      <c r="BD14" s="78">
        <v>0</v>
      </c>
      <c r="BE14" s="78">
        <v>0</v>
      </c>
      <c r="BF14" s="78">
        <v>0</v>
      </c>
      <c r="BG14" s="78"/>
      <c r="BH14" s="78">
        <v>0</v>
      </c>
      <c r="BI14" s="78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</row>
    <row r="15" spans="1:75" ht="15" x14ac:dyDescent="0.2">
      <c r="A15" s="29">
        <v>12</v>
      </c>
      <c r="B15" s="107" t="s">
        <v>314</v>
      </c>
      <c r="C15" s="29">
        <v>9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>
        <v>400000</v>
      </c>
      <c r="AV15" s="78">
        <v>15035354</v>
      </c>
      <c r="AW15" s="78">
        <v>615035354</v>
      </c>
      <c r="AX15" s="78">
        <v>615035354</v>
      </c>
      <c r="AY15" s="78">
        <v>615584737</v>
      </c>
      <c r="AZ15" s="78">
        <v>18584737</v>
      </c>
      <c r="BA15" s="78">
        <v>1215584737</v>
      </c>
      <c r="BB15" s="78">
        <v>615584737</v>
      </c>
      <c r="BC15" s="78">
        <v>616214737</v>
      </c>
      <c r="BD15" s="78">
        <v>615584737</v>
      </c>
      <c r="BE15" s="78">
        <v>615584737</v>
      </c>
      <c r="BF15" s="78">
        <v>600854737</v>
      </c>
      <c r="BG15" s="78">
        <v>600584737</v>
      </c>
      <c r="BH15" s="78">
        <v>600584737</v>
      </c>
      <c r="BI15" s="78">
        <v>600584737</v>
      </c>
      <c r="BJ15" s="80">
        <v>600584737</v>
      </c>
      <c r="BK15" s="80">
        <v>600584737</v>
      </c>
      <c r="BL15" s="80">
        <v>584737</v>
      </c>
      <c r="BM15" s="80">
        <v>584737</v>
      </c>
      <c r="BN15" s="80">
        <v>584737</v>
      </c>
      <c r="BO15" s="80">
        <v>584737</v>
      </c>
      <c r="BP15" s="80"/>
      <c r="BQ15" s="80"/>
      <c r="BR15" s="80"/>
      <c r="BS15" s="80"/>
      <c r="BT15" s="80"/>
      <c r="BU15" s="80"/>
      <c r="BV15" s="80"/>
      <c r="BW15" s="80"/>
    </row>
    <row r="16" spans="1:75" ht="14.25" x14ac:dyDescent="0.2">
      <c r="A16" s="33">
        <v>13</v>
      </c>
      <c r="B16" s="106" t="s">
        <v>315</v>
      </c>
      <c r="C16" s="33">
        <v>9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>
        <f t="shared" ref="AN16:AT16" si="0">+AN9+AN11-AN12-AN14-AN15</f>
        <v>0</v>
      </c>
      <c r="AO16" s="74">
        <f t="shared" si="0"/>
        <v>0</v>
      </c>
      <c r="AP16" s="74">
        <f t="shared" si="0"/>
        <v>0</v>
      </c>
      <c r="AQ16" s="74">
        <f t="shared" si="0"/>
        <v>0</v>
      </c>
      <c r="AR16" s="74">
        <f t="shared" si="0"/>
        <v>0</v>
      </c>
      <c r="AS16" s="74">
        <f t="shared" si="0"/>
        <v>0</v>
      </c>
      <c r="AT16" s="74">
        <f t="shared" si="0"/>
        <v>0</v>
      </c>
      <c r="AU16" s="74">
        <v>-400000</v>
      </c>
      <c r="AV16" s="74">
        <v>-15035354</v>
      </c>
      <c r="AW16" s="74">
        <v>-615035354</v>
      </c>
      <c r="AX16" s="74">
        <v>-615035354</v>
      </c>
      <c r="AY16" s="74">
        <v>-615578474</v>
      </c>
      <c r="AZ16" s="74">
        <v>-18577035</v>
      </c>
      <c r="BA16" s="74">
        <v>-1215577416</v>
      </c>
      <c r="BB16" s="74">
        <v>-615578124</v>
      </c>
      <c r="BC16" s="74">
        <v>-612761221</v>
      </c>
      <c r="BD16" s="74">
        <v>-615579785</v>
      </c>
      <c r="BE16" s="74">
        <v>-615578030</v>
      </c>
      <c r="BF16" s="74">
        <v>-600848036</v>
      </c>
      <c r="BG16" s="74">
        <v>-600577813</v>
      </c>
      <c r="BH16" s="74">
        <v>-600583185</v>
      </c>
      <c r="BI16" s="74">
        <f>+BI9+BI11-BI12-BI14-BI15</f>
        <v>-600583792</v>
      </c>
      <c r="BJ16" s="74">
        <v>-593526227</v>
      </c>
      <c r="BK16" s="74">
        <f>+BK9+BK11-BK12-BK14-BK15</f>
        <v>-600583740</v>
      </c>
      <c r="BL16" s="74">
        <v>-583667</v>
      </c>
      <c r="BM16" s="74">
        <v>5699006</v>
      </c>
      <c r="BN16" s="74">
        <v>-583757</v>
      </c>
      <c r="BO16" s="74">
        <v>-583647</v>
      </c>
      <c r="BP16" s="74"/>
      <c r="BQ16" s="74"/>
      <c r="BR16" s="74"/>
      <c r="BS16" s="74"/>
      <c r="BT16" s="74"/>
      <c r="BU16" s="74"/>
      <c r="BV16" s="74"/>
      <c r="BW16" s="74"/>
    </row>
    <row r="17" spans="1:75" ht="15" x14ac:dyDescent="0.2">
      <c r="A17" s="29">
        <v>14</v>
      </c>
      <c r="B17" s="107" t="s">
        <v>316</v>
      </c>
      <c r="C17" s="29">
        <v>9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>
        <v>0</v>
      </c>
      <c r="AV17" s="78">
        <v>0</v>
      </c>
      <c r="AW17" s="78">
        <v>0</v>
      </c>
      <c r="AX17" s="78">
        <v>0</v>
      </c>
      <c r="AY17" s="78">
        <v>0</v>
      </c>
      <c r="AZ17" s="78">
        <v>0</v>
      </c>
      <c r="BA17" s="78">
        <v>0</v>
      </c>
      <c r="BB17" s="78">
        <v>0</v>
      </c>
      <c r="BC17" s="78">
        <v>0</v>
      </c>
      <c r="BD17" s="78">
        <v>0</v>
      </c>
      <c r="BE17" s="78">
        <v>0</v>
      </c>
      <c r="BF17" s="78">
        <v>0</v>
      </c>
      <c r="BG17" s="78"/>
      <c r="BH17" s="78">
        <v>0</v>
      </c>
      <c r="BI17" s="78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</row>
    <row r="18" spans="1:75" ht="15" x14ac:dyDescent="0.2">
      <c r="A18" s="29">
        <v>15</v>
      </c>
      <c r="B18" s="107" t="s">
        <v>317</v>
      </c>
      <c r="C18" s="29">
        <v>9</v>
      </c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>
        <v>0</v>
      </c>
      <c r="AV18" s="78">
        <v>0</v>
      </c>
      <c r="AW18" s="78">
        <v>0</v>
      </c>
      <c r="AX18" s="78">
        <v>0</v>
      </c>
      <c r="AY18" s="78">
        <v>0</v>
      </c>
      <c r="AZ18" s="78">
        <v>0</v>
      </c>
      <c r="BA18" s="78">
        <v>0</v>
      </c>
      <c r="BB18" s="78">
        <v>0</v>
      </c>
      <c r="BC18" s="78">
        <v>0</v>
      </c>
      <c r="BD18" s="78">
        <v>0</v>
      </c>
      <c r="BE18" s="78">
        <v>1000000</v>
      </c>
      <c r="BF18" s="78">
        <v>0</v>
      </c>
      <c r="BG18" s="78"/>
      <c r="BH18" s="78">
        <v>0</v>
      </c>
      <c r="BI18" s="78"/>
      <c r="BJ18" s="80"/>
      <c r="BK18" s="80"/>
      <c r="BL18" s="80">
        <v>161000</v>
      </c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</row>
    <row r="19" spans="1:75" ht="14.25" x14ac:dyDescent="0.2">
      <c r="A19" s="33">
        <v>16</v>
      </c>
      <c r="B19" s="106" t="s">
        <v>318</v>
      </c>
      <c r="C19" s="33">
        <v>9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>
        <f t="shared" ref="AO19:AT19" si="1">AO17-AO18</f>
        <v>0</v>
      </c>
      <c r="AP19" s="115">
        <f t="shared" si="1"/>
        <v>0</v>
      </c>
      <c r="AQ19" s="115">
        <f t="shared" si="1"/>
        <v>0</v>
      </c>
      <c r="AR19" s="115">
        <f t="shared" si="1"/>
        <v>0</v>
      </c>
      <c r="AS19" s="115">
        <f t="shared" si="1"/>
        <v>0</v>
      </c>
      <c r="AT19" s="115">
        <f t="shared" si="1"/>
        <v>0</v>
      </c>
      <c r="AU19" s="115">
        <v>0</v>
      </c>
      <c r="AV19" s="115">
        <v>0</v>
      </c>
      <c r="AW19" s="115">
        <v>0</v>
      </c>
      <c r="AX19" s="115">
        <v>0</v>
      </c>
      <c r="AY19" s="115">
        <v>0</v>
      </c>
      <c r="AZ19" s="115">
        <v>0</v>
      </c>
      <c r="BA19" s="115">
        <v>0</v>
      </c>
      <c r="BB19" s="115">
        <v>0</v>
      </c>
      <c r="BC19" s="115">
        <v>0</v>
      </c>
      <c r="BD19" s="115">
        <v>0</v>
      </c>
      <c r="BE19" s="115">
        <v>-1000000</v>
      </c>
      <c r="BF19" s="115">
        <v>0</v>
      </c>
      <c r="BG19" s="115"/>
      <c r="BH19" s="115">
        <v>0</v>
      </c>
      <c r="BI19" s="115"/>
      <c r="BJ19" s="117"/>
      <c r="BK19" s="117"/>
      <c r="BL19" s="117">
        <v>-161000</v>
      </c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</row>
    <row r="20" spans="1:75" ht="14.25" x14ac:dyDescent="0.2">
      <c r="A20" s="108">
        <v>17</v>
      </c>
      <c r="B20" s="106" t="s">
        <v>319</v>
      </c>
      <c r="C20" s="108">
        <v>9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>
        <f t="shared" ref="AN20:AT20" si="2">+AN16+AN19</f>
        <v>0</v>
      </c>
      <c r="AO20" s="74">
        <f t="shared" si="2"/>
        <v>0</v>
      </c>
      <c r="AP20" s="74">
        <f t="shared" si="2"/>
        <v>0</v>
      </c>
      <c r="AQ20" s="74">
        <f t="shared" si="2"/>
        <v>0</v>
      </c>
      <c r="AR20" s="74">
        <f t="shared" si="2"/>
        <v>0</v>
      </c>
      <c r="AS20" s="74">
        <f t="shared" si="2"/>
        <v>0</v>
      </c>
      <c r="AT20" s="74">
        <f t="shared" si="2"/>
        <v>0</v>
      </c>
      <c r="AU20" s="74">
        <v>-400000</v>
      </c>
      <c r="AV20" s="74">
        <v>-15035354</v>
      </c>
      <c r="AW20" s="74">
        <v>-615035354</v>
      </c>
      <c r="AX20" s="74">
        <v>-615035354</v>
      </c>
      <c r="AY20" s="74">
        <v>-615578474</v>
      </c>
      <c r="AZ20" s="74">
        <v>-18577035</v>
      </c>
      <c r="BA20" s="74">
        <v>-1215577416</v>
      </c>
      <c r="BB20" s="74">
        <v>-615578124</v>
      </c>
      <c r="BC20" s="74">
        <v>-612761221</v>
      </c>
      <c r="BD20" s="74">
        <v>-615579785</v>
      </c>
      <c r="BE20" s="74">
        <v>-616578030</v>
      </c>
      <c r="BF20" s="74">
        <v>-600848036</v>
      </c>
      <c r="BG20" s="74">
        <v>-600577813</v>
      </c>
      <c r="BH20" s="74">
        <v>-600583185</v>
      </c>
      <c r="BI20" s="74">
        <f>+BI16+BI19</f>
        <v>-600583792</v>
      </c>
      <c r="BJ20" s="74">
        <v>-593526227</v>
      </c>
      <c r="BK20" s="74">
        <f>+BK16+BK19</f>
        <v>-600583740</v>
      </c>
      <c r="BL20" s="74">
        <v>-744667</v>
      </c>
      <c r="BM20" s="74">
        <v>5699006</v>
      </c>
      <c r="BN20" s="74">
        <v>-583757</v>
      </c>
      <c r="BO20" s="74">
        <v>-583647</v>
      </c>
      <c r="BP20" s="74"/>
      <c r="BQ20" s="74"/>
      <c r="BR20" s="74"/>
      <c r="BS20" s="74"/>
      <c r="BT20" s="74"/>
      <c r="BU20" s="74"/>
      <c r="BV20" s="74"/>
      <c r="BW20" s="74"/>
    </row>
    <row r="21" spans="1:75" ht="15" x14ac:dyDescent="0.2">
      <c r="A21" s="29">
        <v>18</v>
      </c>
      <c r="B21" s="112" t="s">
        <v>320</v>
      </c>
      <c r="C21" s="29">
        <v>9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>
        <v>0</v>
      </c>
      <c r="AV21" s="78">
        <v>0</v>
      </c>
      <c r="AW21" s="78"/>
      <c r="AX21" s="78">
        <v>0</v>
      </c>
      <c r="AY21" s="78">
        <v>0</v>
      </c>
      <c r="AZ21" s="78">
        <v>0</v>
      </c>
      <c r="BA21" s="78">
        <v>0</v>
      </c>
      <c r="BB21" s="78">
        <v>0</v>
      </c>
      <c r="BC21" s="78">
        <v>0</v>
      </c>
      <c r="BD21" s="78">
        <v>0</v>
      </c>
      <c r="BE21" s="78">
        <v>0</v>
      </c>
      <c r="BF21" s="78">
        <v>0</v>
      </c>
      <c r="BG21" s="78"/>
      <c r="BH21" s="78">
        <v>0</v>
      </c>
      <c r="BI21" s="78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</row>
    <row r="22" spans="1:75" ht="15" x14ac:dyDescent="0.2">
      <c r="A22" s="29">
        <v>19</v>
      </c>
      <c r="B22" s="107" t="s">
        <v>321</v>
      </c>
      <c r="C22" s="29">
        <v>9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>
        <v>0</v>
      </c>
      <c r="AV22" s="78">
        <v>0</v>
      </c>
      <c r="AW22" s="78"/>
      <c r="AX22" s="78">
        <v>0</v>
      </c>
      <c r="AY22" s="78">
        <v>0</v>
      </c>
      <c r="AZ22" s="78">
        <v>0</v>
      </c>
      <c r="BA22" s="78">
        <v>0</v>
      </c>
      <c r="BB22" s="78">
        <v>0</v>
      </c>
      <c r="BC22" s="78">
        <v>0</v>
      </c>
      <c r="BD22" s="78">
        <v>0</v>
      </c>
      <c r="BE22" s="78">
        <v>0</v>
      </c>
      <c r="BF22" s="78">
        <v>0</v>
      </c>
      <c r="BG22" s="78"/>
      <c r="BH22" s="78">
        <v>0</v>
      </c>
      <c r="BI22" s="78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</row>
    <row r="23" spans="1:75" ht="15" x14ac:dyDescent="0.2">
      <c r="A23" s="110">
        <v>20</v>
      </c>
      <c r="B23" s="106" t="s">
        <v>322</v>
      </c>
      <c r="C23" s="110">
        <v>9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>
        <f t="shared" ref="AN23:AT23" si="3">+AN20-AN21-AN22</f>
        <v>0</v>
      </c>
      <c r="AO23" s="74">
        <f t="shared" si="3"/>
        <v>0</v>
      </c>
      <c r="AP23" s="74">
        <f t="shared" si="3"/>
        <v>0</v>
      </c>
      <c r="AQ23" s="74">
        <f t="shared" si="3"/>
        <v>0</v>
      </c>
      <c r="AR23" s="74">
        <f t="shared" si="3"/>
        <v>0</v>
      </c>
      <c r="AS23" s="74">
        <f t="shared" si="3"/>
        <v>0</v>
      </c>
      <c r="AT23" s="74">
        <f t="shared" si="3"/>
        <v>0</v>
      </c>
      <c r="AU23" s="74">
        <v>-400000</v>
      </c>
      <c r="AV23" s="74">
        <v>-15035354</v>
      </c>
      <c r="AW23" s="74">
        <v>-615035354</v>
      </c>
      <c r="AX23" s="74">
        <v>-615035354</v>
      </c>
      <c r="AY23" s="74">
        <v>-615578474</v>
      </c>
      <c r="AZ23" s="74">
        <v>-18577035</v>
      </c>
      <c r="BA23" s="74">
        <v>-1215577416</v>
      </c>
      <c r="BB23" s="74">
        <v>-615578124</v>
      </c>
      <c r="BC23" s="74">
        <v>-612761221</v>
      </c>
      <c r="BD23" s="74">
        <v>-615579785</v>
      </c>
      <c r="BE23" s="74">
        <v>-616578030</v>
      </c>
      <c r="BF23" s="74">
        <v>-600848036</v>
      </c>
      <c r="BG23" s="74">
        <v>-600577813</v>
      </c>
      <c r="BH23" s="74">
        <v>-600583185</v>
      </c>
      <c r="BI23" s="74">
        <f>+BI20-BI21-BI22</f>
        <v>-600583792</v>
      </c>
      <c r="BJ23" s="74">
        <v>-593526227</v>
      </c>
      <c r="BK23" s="74">
        <f>+BK20-BK21-BK22</f>
        <v>-600583740</v>
      </c>
      <c r="BL23" s="74">
        <f>+BL20-BL21-BL22</f>
        <v>-744667</v>
      </c>
      <c r="BM23" s="74">
        <v>5699006</v>
      </c>
      <c r="BN23" s="74">
        <v>-583757</v>
      </c>
      <c r="BO23" s="74">
        <v>-583647</v>
      </c>
      <c r="BP23" s="74"/>
      <c r="BQ23" s="74"/>
      <c r="BR23" s="74"/>
      <c r="BS23" s="74"/>
      <c r="BT23" s="74"/>
      <c r="BU23" s="74"/>
      <c r="BV23" s="74"/>
      <c r="BW23" s="74"/>
    </row>
  </sheetData>
  <sheetProtection algorithmName="SHA-512" hashValue="2QURgH9nmrNSHSBKqol2PSkgBmS2FZQtN2wp5x523aaUEs9d6nr6ZgQNZEVkQ7OCZ/JTaY7xxlozk6ceZP+15Q==" saltValue="yD03VvYg/gj8KtbVcf0hLA==" spinCount="100000" sheet="1" objects="1" scenarios="1"/>
  <protectedRanges>
    <protectedRange sqref="D4:BW23" name="PL"/>
  </protectedRanges>
  <phoneticPr fontId="11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48F5-7251-4563-827F-93684E390709}">
  <sheetPr>
    <tabColor theme="9" tint="0.59999389629810485"/>
  </sheetPr>
  <dimension ref="A1:BW44"/>
  <sheetViews>
    <sheetView showGridLines="0" zoomScale="80" zoomScaleNormal="80" workbookViewId="0">
      <pane xSplit="3" ySplit="3" topLeftCell="BH31" activePane="bottomRight" state="frozen"/>
      <selection activeCell="BM13" sqref="BM13"/>
      <selection pane="topRight" activeCell="BM13" sqref="BM13"/>
      <selection pane="bottomLeft" activeCell="BM13" sqref="BM13"/>
      <selection pane="bottomRight" activeCell="BO44" sqref="BO44"/>
    </sheetView>
  </sheetViews>
  <sheetFormatPr defaultRowHeight="12.75" x14ac:dyDescent="0.2"/>
  <cols>
    <col min="1" max="1" width="9" hidden="1" customWidth="1"/>
    <col min="2" max="2" width="52.140625" customWidth="1"/>
    <col min="3" max="3" width="10" hidden="1" customWidth="1"/>
    <col min="4" max="56" width="15.85546875" bestFit="1" customWidth="1"/>
    <col min="57" max="57" width="16.7109375" bestFit="1" customWidth="1"/>
    <col min="58" max="62" width="13.85546875" bestFit="1" customWidth="1"/>
    <col min="63" max="64" width="15.42578125" customWidth="1"/>
    <col min="65" max="75" width="15.140625" customWidth="1"/>
  </cols>
  <sheetData>
    <row r="1" spans="1:75" ht="18.75" x14ac:dyDescent="0.3">
      <c r="B1" s="1" t="s">
        <v>0</v>
      </c>
    </row>
    <row r="2" spans="1:75" ht="15" x14ac:dyDescent="0.2">
      <c r="B2" s="2" t="s">
        <v>1</v>
      </c>
    </row>
    <row r="3" spans="1:75" ht="28.5" x14ac:dyDescent="0.2">
      <c r="A3" s="118" t="s">
        <v>187</v>
      </c>
      <c r="B3" s="23" t="s">
        <v>90</v>
      </c>
      <c r="C3" s="22" t="s">
        <v>228</v>
      </c>
      <c r="D3" s="24" t="s">
        <v>191</v>
      </c>
      <c r="E3" s="24" t="s">
        <v>192</v>
      </c>
      <c r="F3" s="24" t="s">
        <v>193</v>
      </c>
      <c r="G3" s="24" t="s">
        <v>194</v>
      </c>
      <c r="H3" s="24" t="s">
        <v>195</v>
      </c>
      <c r="I3" s="24" t="s">
        <v>196</v>
      </c>
      <c r="J3" s="24" t="s">
        <v>197</v>
      </c>
      <c r="K3" s="24" t="s">
        <v>198</v>
      </c>
      <c r="L3" s="24" t="s">
        <v>199</v>
      </c>
      <c r="M3" s="24" t="s">
        <v>200</v>
      </c>
      <c r="N3" s="24" t="s">
        <v>201</v>
      </c>
      <c r="O3" s="24" t="s">
        <v>202</v>
      </c>
      <c r="P3" s="24" t="s">
        <v>203</v>
      </c>
      <c r="Q3" s="24" t="s">
        <v>204</v>
      </c>
      <c r="R3" s="24" t="s">
        <v>205</v>
      </c>
      <c r="S3" s="24" t="s">
        <v>206</v>
      </c>
      <c r="T3" s="24" t="s">
        <v>207</v>
      </c>
      <c r="U3" s="24" t="s">
        <v>208</v>
      </c>
      <c r="V3" s="24" t="s">
        <v>209</v>
      </c>
      <c r="W3" s="24" t="s">
        <v>210</v>
      </c>
      <c r="X3" s="24" t="s">
        <v>211</v>
      </c>
      <c r="Y3" s="24" t="s">
        <v>212</v>
      </c>
      <c r="Z3" s="24" t="s">
        <v>213</v>
      </c>
      <c r="AA3" s="24" t="s">
        <v>214</v>
      </c>
      <c r="AB3" s="24" t="s">
        <v>215</v>
      </c>
      <c r="AC3" s="24" t="s">
        <v>216</v>
      </c>
      <c r="AD3" s="24" t="s">
        <v>217</v>
      </c>
      <c r="AE3" s="24" t="s">
        <v>218</v>
      </c>
      <c r="AF3" s="24" t="s">
        <v>219</v>
      </c>
      <c r="AG3" s="24" t="s">
        <v>220</v>
      </c>
      <c r="AH3" s="24" t="s">
        <v>221</v>
      </c>
      <c r="AI3" s="24" t="s">
        <v>222</v>
      </c>
      <c r="AJ3" s="24" t="s">
        <v>223</v>
      </c>
      <c r="AK3" s="24" t="s">
        <v>224</v>
      </c>
      <c r="AL3" s="24" t="s">
        <v>225</v>
      </c>
      <c r="AM3" s="24" t="s">
        <v>226</v>
      </c>
      <c r="AN3" s="24" t="s">
        <v>2</v>
      </c>
      <c r="AO3" s="24" t="s">
        <v>3</v>
      </c>
      <c r="AP3" s="24" t="s">
        <v>4</v>
      </c>
      <c r="AQ3" s="24" t="s">
        <v>5</v>
      </c>
      <c r="AR3" s="24" t="s">
        <v>6</v>
      </c>
      <c r="AS3" s="24" t="s">
        <v>7</v>
      </c>
      <c r="AT3" s="24" t="s">
        <v>8</v>
      </c>
      <c r="AU3" s="24" t="s">
        <v>9</v>
      </c>
      <c r="AV3" s="24" t="s">
        <v>10</v>
      </c>
      <c r="AW3" s="24" t="s">
        <v>11</v>
      </c>
      <c r="AX3" s="24" t="s">
        <v>12</v>
      </c>
      <c r="AY3" s="24" t="s">
        <v>13</v>
      </c>
      <c r="AZ3" s="24" t="s">
        <v>14</v>
      </c>
      <c r="BA3" s="24" t="s">
        <v>15</v>
      </c>
      <c r="BB3" s="24" t="s">
        <v>16</v>
      </c>
      <c r="BC3" s="22" t="s">
        <v>17</v>
      </c>
      <c r="BD3" s="22" t="s">
        <v>18</v>
      </c>
      <c r="BE3" s="22" t="s">
        <v>19</v>
      </c>
      <c r="BF3" s="22" t="s">
        <v>20</v>
      </c>
      <c r="BG3" s="24" t="s">
        <v>21</v>
      </c>
      <c r="BH3" s="24" t="s">
        <v>22</v>
      </c>
      <c r="BI3" s="24" t="s">
        <v>23</v>
      </c>
      <c r="BJ3" s="24" t="s">
        <v>24</v>
      </c>
      <c r="BK3" s="22" t="s">
        <v>25</v>
      </c>
      <c r="BL3" s="22" t="s">
        <v>298</v>
      </c>
      <c r="BM3" s="22" t="s">
        <v>299</v>
      </c>
      <c r="BN3" s="22" t="s">
        <v>300</v>
      </c>
      <c r="BO3" s="22" t="s">
        <v>301</v>
      </c>
      <c r="BP3" s="22" t="s">
        <v>302</v>
      </c>
      <c r="BQ3" s="22" t="s">
        <v>303</v>
      </c>
      <c r="BR3" s="22" t="s">
        <v>304</v>
      </c>
      <c r="BS3" s="22" t="s">
        <v>305</v>
      </c>
      <c r="BT3" s="22" t="s">
        <v>306</v>
      </c>
      <c r="BU3" s="22" t="s">
        <v>307</v>
      </c>
      <c r="BV3" s="22" t="s">
        <v>308</v>
      </c>
      <c r="BW3" s="22" t="s">
        <v>309</v>
      </c>
    </row>
    <row r="4" spans="1:75" ht="14.25" x14ac:dyDescent="0.2">
      <c r="A4" s="119">
        <v>1</v>
      </c>
      <c r="B4" s="120" t="s">
        <v>91</v>
      </c>
      <c r="C4" s="121">
        <v>9</v>
      </c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</row>
    <row r="5" spans="1:75" ht="14.25" x14ac:dyDescent="0.2">
      <c r="A5" s="119">
        <v>2</v>
      </c>
      <c r="B5" s="120" t="s">
        <v>92</v>
      </c>
      <c r="C5" s="122">
        <v>9</v>
      </c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>
        <f>'Ket qua kinh doanh'!AN20</f>
        <v>0</v>
      </c>
      <c r="AO5" s="116">
        <f>'Ket qua kinh doanh'!AO20</f>
        <v>0</v>
      </c>
      <c r="AP5" s="116">
        <f>'Ket qua kinh doanh'!AP20</f>
        <v>0</v>
      </c>
      <c r="AQ5" s="116">
        <f>'Ket qua kinh doanh'!AQ20</f>
        <v>0</v>
      </c>
      <c r="AR5" s="116">
        <f>'Ket qua kinh doanh'!AR20</f>
        <v>0</v>
      </c>
      <c r="AS5" s="116">
        <f>'Ket qua kinh doanh'!AS20</f>
        <v>0</v>
      </c>
      <c r="AT5" s="116">
        <f>'Ket qua kinh doanh'!AT20</f>
        <v>0</v>
      </c>
      <c r="AU5" s="116">
        <f>'Ket qua kinh doanh'!AU20</f>
        <v>-400000</v>
      </c>
      <c r="AV5" s="116">
        <f>'Ket qua kinh doanh'!AV20</f>
        <v>-15035354</v>
      </c>
      <c r="AW5" s="116">
        <f>'Ket qua kinh doanh'!AW20</f>
        <v>-615035354</v>
      </c>
      <c r="AX5" s="116">
        <f>'Ket qua kinh doanh'!AX20</f>
        <v>-615035354</v>
      </c>
      <c r="AY5" s="116">
        <f>'Ket qua kinh doanh'!AY20</f>
        <v>-615578474</v>
      </c>
      <c r="AZ5" s="116">
        <f>'Ket qua kinh doanh'!AZ20</f>
        <v>-18577035</v>
      </c>
      <c r="BA5" s="116">
        <f>'Ket qua kinh doanh'!BA20</f>
        <v>-1215577416</v>
      </c>
      <c r="BB5" s="115">
        <f>'Ket qua kinh doanh'!BB20</f>
        <v>-615578124</v>
      </c>
      <c r="BC5" s="115">
        <f>'Ket qua kinh doanh'!BC20</f>
        <v>-612761221</v>
      </c>
      <c r="BD5" s="115">
        <f>'Ket qua kinh doanh'!BD20</f>
        <v>-615579785</v>
      </c>
      <c r="BE5" s="115">
        <f>'Ket qua kinh doanh'!BE20</f>
        <v>-616578030</v>
      </c>
      <c r="BF5" s="115">
        <f>'Ket qua kinh doanh'!BF20</f>
        <v>-600848036</v>
      </c>
      <c r="BG5" s="115">
        <f>'Ket qua kinh doanh'!BG20</f>
        <v>-600577813</v>
      </c>
      <c r="BH5" s="115">
        <f>'Ket qua kinh doanh'!BH20</f>
        <v>-600583185</v>
      </c>
      <c r="BI5" s="115">
        <f>'Ket qua kinh doanh'!BI20</f>
        <v>-600583792</v>
      </c>
      <c r="BJ5" s="115">
        <v>-593526227</v>
      </c>
      <c r="BK5" s="116">
        <f>'Ket qua kinh doanh'!BK20</f>
        <v>-600583740</v>
      </c>
      <c r="BL5" s="116">
        <f>'Ket qua kinh doanh'!BL20</f>
        <v>-744667</v>
      </c>
      <c r="BM5" s="116">
        <v>5699006</v>
      </c>
      <c r="BN5" s="116">
        <v>-583757</v>
      </c>
      <c r="BO5" s="116">
        <v>-583647</v>
      </c>
      <c r="BP5" s="116"/>
      <c r="BQ5" s="116"/>
      <c r="BR5" s="116"/>
      <c r="BS5" s="116"/>
      <c r="BT5" s="116"/>
      <c r="BU5" s="116"/>
      <c r="BV5" s="116"/>
      <c r="BW5" s="116"/>
    </row>
    <row r="6" spans="1:75" ht="14.25" x14ac:dyDescent="0.2">
      <c r="A6" s="123">
        <v>3</v>
      </c>
      <c r="B6" s="124" t="s">
        <v>93</v>
      </c>
      <c r="C6" s="125">
        <v>9</v>
      </c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8"/>
      <c r="BL6" s="158"/>
      <c r="BM6" s="158"/>
      <c r="BN6" s="158"/>
      <c r="BO6" s="158"/>
      <c r="BP6" s="158"/>
      <c r="BQ6" s="158"/>
      <c r="BR6" s="158"/>
      <c r="BS6" s="158"/>
      <c r="BT6" s="158"/>
      <c r="BU6" s="158"/>
      <c r="BV6" s="158"/>
      <c r="BW6" s="158"/>
    </row>
    <row r="7" spans="1:75" ht="15" x14ac:dyDescent="0.25">
      <c r="A7" s="126">
        <v>4</v>
      </c>
      <c r="B7" s="127" t="s">
        <v>94</v>
      </c>
      <c r="C7" s="128">
        <v>9</v>
      </c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</row>
    <row r="8" spans="1:75" ht="15" x14ac:dyDescent="0.25">
      <c r="A8" s="126">
        <v>5</v>
      </c>
      <c r="B8" s="127" t="s">
        <v>95</v>
      </c>
      <c r="C8" s="128">
        <v>9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>
        <v>0</v>
      </c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>
        <v>0</v>
      </c>
      <c r="BC8" s="78"/>
      <c r="BD8" s="78"/>
      <c r="BE8" s="78"/>
      <c r="BF8" s="78"/>
      <c r="BG8" s="78"/>
      <c r="BH8" s="78"/>
      <c r="BI8" s="78"/>
      <c r="BJ8" s="78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</row>
    <row r="9" spans="1:75" ht="15" x14ac:dyDescent="0.2">
      <c r="A9" s="129">
        <v>6</v>
      </c>
      <c r="B9" s="130" t="s">
        <v>96</v>
      </c>
      <c r="C9" s="131">
        <v>9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>
        <v>0</v>
      </c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>
        <v>0</v>
      </c>
      <c r="BC9" s="78"/>
      <c r="BD9" s="78"/>
      <c r="BE9" s="78"/>
      <c r="BF9" s="78"/>
      <c r="BG9" s="78"/>
      <c r="BH9" s="78"/>
      <c r="BI9" s="78"/>
      <c r="BJ9" s="78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</row>
    <row r="10" spans="1:75" ht="15" x14ac:dyDescent="0.25">
      <c r="A10" s="126">
        <v>7</v>
      </c>
      <c r="B10" s="127" t="s">
        <v>323</v>
      </c>
      <c r="C10" s="128">
        <v>9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>
        <f>-'Ket qua kinh doanh'!AN11</f>
        <v>0</v>
      </c>
      <c r="AO10" s="78">
        <f>-'Ket qua kinh doanh'!AO11</f>
        <v>0</v>
      </c>
      <c r="AP10" s="78">
        <f>-'Ket qua kinh doanh'!AP11</f>
        <v>0</v>
      </c>
      <c r="AQ10" s="78">
        <f>-'Ket qua kinh doanh'!AQ11</f>
        <v>0</v>
      </c>
      <c r="AR10" s="78">
        <f>-'Ket qua kinh doanh'!AR11</f>
        <v>0</v>
      </c>
      <c r="AS10" s="78">
        <f>-'Ket qua kinh doanh'!AS11</f>
        <v>0</v>
      </c>
      <c r="AT10" s="78">
        <f>-'Ket qua kinh doanh'!AT11</f>
        <v>0</v>
      </c>
      <c r="AU10" s="78">
        <f>-'Ket qua kinh doanh'!AU11</f>
        <v>0</v>
      </c>
      <c r="AV10" s="78">
        <f>-'Ket qua kinh doanh'!AV11</f>
        <v>0</v>
      </c>
      <c r="AW10" s="78">
        <f>-'Ket qua kinh doanh'!AW11</f>
        <v>0</v>
      </c>
      <c r="AX10" s="78">
        <f>-'Ket qua kinh doanh'!AX11</f>
        <v>0</v>
      </c>
      <c r="AY10" s="78">
        <f>-'Ket qua kinh doanh'!AY11</f>
        <v>-6263</v>
      </c>
      <c r="AZ10" s="78">
        <f>-'Ket qua kinh doanh'!AZ11</f>
        <v>-7702</v>
      </c>
      <c r="BA10" s="78">
        <f>-'Ket qua kinh doanh'!BA11</f>
        <v>-7321</v>
      </c>
      <c r="BB10" s="78">
        <f>-'Ket qua kinh doanh'!BB11</f>
        <v>-6613</v>
      </c>
      <c r="BC10" s="78">
        <f>-'Ket qua kinh doanh'!BC11</f>
        <v>-3453516</v>
      </c>
      <c r="BD10" s="78">
        <f>-'Ket qua kinh doanh'!BD11</f>
        <v>-4952</v>
      </c>
      <c r="BE10" s="78">
        <f>-'Ket qua kinh doanh'!BE11</f>
        <v>-6707</v>
      </c>
      <c r="BF10" s="78">
        <f>-'Ket qua kinh doanh'!BF11</f>
        <v>-6701</v>
      </c>
      <c r="BG10" s="78">
        <f>-'Ket qua kinh doanh'!BG11</f>
        <v>-6924</v>
      </c>
      <c r="BH10" s="78">
        <f>-'Ket qua kinh doanh'!BH11</f>
        <v>-1552</v>
      </c>
      <c r="BI10" s="78">
        <f>-'Ket qua kinh doanh'!BI11</f>
        <v>-945</v>
      </c>
      <c r="BJ10" s="78">
        <v>-7058510</v>
      </c>
      <c r="BK10" s="79">
        <f>-'Ket qua kinh doanh'!BK11</f>
        <v>-997</v>
      </c>
      <c r="BL10" s="79">
        <f>-'Ket qua kinh doanh'!BL11</f>
        <v>-1070</v>
      </c>
      <c r="BM10" s="79">
        <v>-6283743</v>
      </c>
      <c r="BN10" s="79">
        <v>-980</v>
      </c>
      <c r="BO10" s="79">
        <v>-1090</v>
      </c>
      <c r="BP10" s="79"/>
      <c r="BQ10" s="79"/>
      <c r="BR10" s="79"/>
      <c r="BS10" s="79"/>
      <c r="BT10" s="79"/>
      <c r="BU10" s="79"/>
      <c r="BV10" s="79"/>
      <c r="BW10" s="79"/>
    </row>
    <row r="11" spans="1:75" ht="15" x14ac:dyDescent="0.25">
      <c r="A11" s="126">
        <v>8</v>
      </c>
      <c r="B11" s="127" t="s">
        <v>324</v>
      </c>
      <c r="C11" s="128">
        <v>9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</row>
    <row r="12" spans="1:75" ht="15" x14ac:dyDescent="0.25">
      <c r="A12" s="126">
        <v>9</v>
      </c>
      <c r="B12" s="127" t="s">
        <v>97</v>
      </c>
      <c r="C12" s="132">
        <v>9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</row>
    <row r="13" spans="1:75" ht="14.25" x14ac:dyDescent="0.2">
      <c r="A13" s="133">
        <v>10</v>
      </c>
      <c r="B13" s="134" t="s">
        <v>325</v>
      </c>
      <c r="C13" s="135">
        <v>9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>
        <f t="shared" ref="AN13:BI13" si="0">+SUM(AN5:AN12)</f>
        <v>0</v>
      </c>
      <c r="AO13" s="74">
        <f t="shared" si="0"/>
        <v>0</v>
      </c>
      <c r="AP13" s="74">
        <f t="shared" si="0"/>
        <v>0</v>
      </c>
      <c r="AQ13" s="74">
        <f t="shared" si="0"/>
        <v>0</v>
      </c>
      <c r="AR13" s="74">
        <f t="shared" si="0"/>
        <v>0</v>
      </c>
      <c r="AS13" s="74">
        <f t="shared" si="0"/>
        <v>0</v>
      </c>
      <c r="AT13" s="74">
        <f t="shared" si="0"/>
        <v>0</v>
      </c>
      <c r="AU13" s="74">
        <f t="shared" si="0"/>
        <v>-400000</v>
      </c>
      <c r="AV13" s="74">
        <f t="shared" si="0"/>
        <v>-15035354</v>
      </c>
      <c r="AW13" s="74">
        <f t="shared" si="0"/>
        <v>-615035354</v>
      </c>
      <c r="AX13" s="74">
        <f t="shared" si="0"/>
        <v>-615035354</v>
      </c>
      <c r="AY13" s="74">
        <f t="shared" si="0"/>
        <v>-615584737</v>
      </c>
      <c r="AZ13" s="74">
        <f t="shared" si="0"/>
        <v>-18584737</v>
      </c>
      <c r="BA13" s="74">
        <f t="shared" si="0"/>
        <v>-1215584737</v>
      </c>
      <c r="BB13" s="74">
        <f t="shared" si="0"/>
        <v>-615584737</v>
      </c>
      <c r="BC13" s="74">
        <f t="shared" si="0"/>
        <v>-616214737</v>
      </c>
      <c r="BD13" s="74">
        <f t="shared" si="0"/>
        <v>-615584737</v>
      </c>
      <c r="BE13" s="74">
        <f t="shared" si="0"/>
        <v>-616584737</v>
      </c>
      <c r="BF13" s="74">
        <f t="shared" si="0"/>
        <v>-600854737</v>
      </c>
      <c r="BG13" s="74">
        <f t="shared" si="0"/>
        <v>-600584737</v>
      </c>
      <c r="BH13" s="74">
        <f t="shared" si="0"/>
        <v>-600584737</v>
      </c>
      <c r="BI13" s="74">
        <f t="shared" si="0"/>
        <v>-600584737</v>
      </c>
      <c r="BJ13" s="74">
        <v>-600584737</v>
      </c>
      <c r="BK13" s="75">
        <f>+SUM(BK5:BK12)</f>
        <v>-600584737</v>
      </c>
      <c r="BL13" s="75">
        <f>+SUM(BL5:BL12)</f>
        <v>-745737</v>
      </c>
      <c r="BM13" s="75">
        <f>+SUM(BM5:BM12)</f>
        <v>-584737</v>
      </c>
      <c r="BN13" s="75">
        <f>+SUM(BN5:BN12)</f>
        <v>-584737</v>
      </c>
      <c r="BO13" s="75">
        <f>+SUM(BO5:BO12)</f>
        <v>-584737</v>
      </c>
      <c r="BP13" s="75"/>
      <c r="BQ13" s="75"/>
      <c r="BR13" s="75"/>
      <c r="BS13" s="75"/>
      <c r="BT13" s="75"/>
      <c r="BU13" s="75"/>
      <c r="BV13" s="75"/>
      <c r="BW13" s="75"/>
    </row>
    <row r="14" spans="1:75" ht="15" x14ac:dyDescent="0.25">
      <c r="A14" s="136">
        <v>11</v>
      </c>
      <c r="B14" s="137" t="s">
        <v>98</v>
      </c>
      <c r="C14" s="128">
        <v>9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>
        <f>-('Tinh hinh tai chinh'!AP32-'Tinh hinh tai chinh'!AO32)</f>
        <v>0</v>
      </c>
      <c r="AQ14" s="78">
        <f>-('Tinh hinh tai chinh'!AQ32-'Tinh hinh tai chinh'!AP32)</f>
        <v>0</v>
      </c>
      <c r="AR14" s="78">
        <f>-('Tinh hinh tai chinh'!AR32-'Tinh hinh tai chinh'!AQ32)</f>
        <v>0</v>
      </c>
      <c r="AS14" s="78">
        <f>-('Tinh hinh tai chinh'!AS32-'Tinh hinh tai chinh'!AR32)</f>
        <v>0</v>
      </c>
      <c r="AT14" s="78">
        <f>-('Tinh hinh tai chinh'!AT32-'Tinh hinh tai chinh'!AS32)</f>
        <v>0</v>
      </c>
      <c r="AU14" s="78"/>
      <c r="AV14" s="78"/>
      <c r="AW14" s="78"/>
      <c r="AX14" s="78">
        <f>-('Tinh hinh tai chinh'!AX32-'Tinh hinh tai chinh'!AW32)-('Tinh hinh tai chinh'!AX17-'Tinh hinh tai chinh'!AW17)-('Tinh hinh tai chinh'!AX20-'Tinh hinh tai chinh'!AW20)</f>
        <v>-61200000</v>
      </c>
      <c r="AY14" s="78">
        <f>-('Tinh hinh tai chinh'!AY32-'Tinh hinh tai chinh'!AX32)-('Tinh hinh tai chinh'!AY17-'Tinh hinh tai chinh'!AX17)-('Tinh hinh tai chinh'!AY20-'Tinh hinh tai chinh'!AX20)</f>
        <v>-61200000</v>
      </c>
      <c r="AZ14" s="78">
        <f>-('Tinh hinh tai chinh'!AZ32-'Tinh hinh tai chinh'!AY32)-('Tinh hinh tai chinh'!AZ17-'Tinh hinh tai chinh'!AY17)-('Tinh hinh tai chinh'!AZ20-'Tinh hinh tai chinh'!AY20)</f>
        <v>-33600000</v>
      </c>
      <c r="BA14" s="78">
        <f>-('Tinh hinh tai chinh'!BA32-'Tinh hinh tai chinh'!AZ32)-('Tinh hinh tai chinh'!BA17-'Tinh hinh tai chinh'!AZ17)-('Tinh hinh tai chinh'!BA20-'Tinh hinh tai chinh'!AZ20)</f>
        <v>-105000000</v>
      </c>
      <c r="BB14" s="78">
        <f>-('Tinh hinh tai chinh'!BB32-'Tinh hinh tai chinh'!BA32)-('Tinh hinh tai chinh'!BB17-'Tinh hinh tai chinh'!BA17)-('Tinh hinh tai chinh'!BB20-'Tinh hinh tai chinh'!BA20)</f>
        <v>-45000000</v>
      </c>
      <c r="BC14" s="78">
        <f>-('Tinh hinh tai chinh'!BC32-'Tinh hinh tai chinh'!BB32)-('Tinh hinh tai chinh'!BC17-'Tinh hinh tai chinh'!BB17)-('Tinh hinh tai chinh'!BC20-'Tinh hinh tai chinh'!BB20)</f>
        <v>-93613000</v>
      </c>
      <c r="BD14" s="78">
        <f>-('Tinh hinh tai chinh'!BD32-'Tinh hinh tai chinh'!BC32)-('Tinh hinh tai chinh'!BD17-'Tinh hinh tai chinh'!BC17)-('Tinh hinh tai chinh'!BD20-'Tinh hinh tai chinh'!BC20)</f>
        <v>-45000000</v>
      </c>
      <c r="BE14" s="78">
        <f>-('Tinh hinh tai chinh'!BE32-'Tinh hinh tai chinh'!BD32)-('Tinh hinh tai chinh'!BE17-'Tinh hinh tai chinh'!BD17)-('Tinh hinh tai chinh'!BE20-'Tinh hinh tai chinh'!BD20)</f>
        <v>-20045000000</v>
      </c>
      <c r="BF14" s="78">
        <f>-('Tinh hinh tai chinh'!BF32-'Tinh hinh tai chinh'!BE32)-('Tinh hinh tai chinh'!BF17-'Tinh hinh tai chinh'!BE17)-('Tinh hinh tai chinh'!BF20-'Tinh hinh tai chinh'!BE20)</f>
        <v>-60021600</v>
      </c>
      <c r="BG14" s="78">
        <f>-('Tinh hinh tai chinh'!BG32-'Tinh hinh tai chinh'!BF32)-('Tinh hinh tai chinh'!BG17-'Tinh hinh tai chinh'!BF17)-('Tinh hinh tai chinh'!BG20-'Tinh hinh tai chinh'!BF20)</f>
        <v>-60000000</v>
      </c>
      <c r="BH14" s="78">
        <f>-('Tinh hinh tai chinh'!BH32-'Tinh hinh tai chinh'!BG32)-('Tinh hinh tai chinh'!BH17-'Tinh hinh tai chinh'!BG17)-('Tinh hinh tai chinh'!BH20-'Tinh hinh tai chinh'!BG20)</f>
        <v>-60000000</v>
      </c>
      <c r="BI14" s="78">
        <v>-60000000</v>
      </c>
      <c r="BJ14" s="78">
        <v>-60000000</v>
      </c>
      <c r="BK14" s="79">
        <v>-60000000</v>
      </c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</row>
    <row r="15" spans="1:75" ht="15" x14ac:dyDescent="0.25">
      <c r="A15" s="138">
        <v>12</v>
      </c>
      <c r="B15" s="139" t="s">
        <v>99</v>
      </c>
      <c r="C15" s="128">
        <v>9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>
        <v>0</v>
      </c>
      <c r="AP15" s="78">
        <v>0</v>
      </c>
      <c r="AQ15" s="78">
        <v>0</v>
      </c>
      <c r="AR15" s="78">
        <v>0</v>
      </c>
      <c r="AS15" s="78">
        <v>0</v>
      </c>
      <c r="AT15" s="78">
        <v>0</v>
      </c>
      <c r="AU15" s="78">
        <v>0</v>
      </c>
      <c r="AV15" s="78">
        <v>0</v>
      </c>
      <c r="AW15" s="78">
        <v>0</v>
      </c>
      <c r="AX15" s="78">
        <v>0</v>
      </c>
      <c r="AY15" s="78">
        <v>0</v>
      </c>
      <c r="AZ15" s="78"/>
      <c r="BA15" s="78">
        <v>0</v>
      </c>
      <c r="BB15" s="78">
        <v>0</v>
      </c>
      <c r="BC15" s="78">
        <v>0</v>
      </c>
      <c r="BD15" s="78">
        <v>0</v>
      </c>
      <c r="BE15" s="78">
        <v>0</v>
      </c>
      <c r="BF15" s="78">
        <v>0</v>
      </c>
      <c r="BG15" s="78">
        <v>0</v>
      </c>
      <c r="BH15" s="78">
        <v>0</v>
      </c>
      <c r="BI15" s="78">
        <v>0</v>
      </c>
      <c r="BJ15" s="78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</row>
    <row r="16" spans="1:75" ht="15" x14ac:dyDescent="0.2">
      <c r="A16" s="140">
        <v>13</v>
      </c>
      <c r="B16" s="141" t="s">
        <v>594</v>
      </c>
      <c r="C16" s="131">
        <v>9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>
        <v>400000</v>
      </c>
      <c r="AV16" s="78">
        <f>-AV5</f>
        <v>15035354</v>
      </c>
      <c r="AW16" s="78">
        <f>-AW5</f>
        <v>615035354</v>
      </c>
      <c r="AX16" s="78">
        <f>('Tinh hinh tai chinh'!AX84-'Tinh hinh tai chinh'!AW84+'Tinh hinh tai chinh'!AX87-'Tinh hinh tai chinh'!AW87+'Tinh hinh tai chinh'!AX93-'Tinh hinh tai chinh'!AW93)</f>
        <v>676200000</v>
      </c>
      <c r="AY16" s="78">
        <f>('Tinh hinh tai chinh'!AY84-'Tinh hinh tai chinh'!AX84+'Tinh hinh tai chinh'!AY87-'Tinh hinh tai chinh'!AX87+'Tinh hinh tai chinh'!AY93-'Tinh hinh tai chinh'!AX93)</f>
        <v>611347778</v>
      </c>
      <c r="AZ16" s="78">
        <f>('Tinh hinh tai chinh'!AZ84-'Tinh hinh tai chinh'!AY84+'Tinh hinh tai chinh'!AZ87-'Tinh hinh tai chinh'!AY87+'Tinh hinh tai chinh'!AZ93-'Tinh hinh tai chinh'!AY93)</f>
        <v>-1777778</v>
      </c>
      <c r="BA16" s="78">
        <f>('Tinh hinh tai chinh'!BA84-'Tinh hinh tai chinh'!AZ84+'Tinh hinh tai chinh'!BA87-'Tinh hinh tai chinh'!AZ87+'Tinh hinh tai chinh'!BA93-'Tinh hinh tai chinh'!AZ93)</f>
        <v>1320000000</v>
      </c>
      <c r="BB16" s="78">
        <f>('Tinh hinh tai chinh'!BB84-'Tinh hinh tai chinh'!BA84+'Tinh hinh tai chinh'!BB87-'Tinh hinh tai chinh'!BA87+'Tinh hinh tai chinh'!BB93-'Tinh hinh tai chinh'!BA93)</f>
        <v>660000000</v>
      </c>
      <c r="BC16" s="78">
        <f>('Tinh hinh tai chinh'!BC84-'Tinh hinh tai chinh'!BB84+'Tinh hinh tai chinh'!BC87-'Tinh hinh tai chinh'!BB87+'Tinh hinh tai chinh'!BC93-'Tinh hinh tai chinh'!BB93)</f>
        <v>660000000</v>
      </c>
      <c r="BD16" s="78">
        <f>('Tinh hinh tai chinh'!BD84-'Tinh hinh tai chinh'!BC84+'Tinh hinh tai chinh'!BD87-'Tinh hinh tai chinh'!BC87+'Tinh hinh tai chinh'!BD93-'Tinh hinh tai chinh'!BC93)</f>
        <v>660000000</v>
      </c>
      <c r="BE16" s="78">
        <f>('Tinh hinh tai chinh'!BE84-'Tinh hinh tai chinh'!BD84+'Tinh hinh tai chinh'!BE87-'Tinh hinh tai chinh'!BD87+'Tinh hinh tai chinh'!BE93-'Tinh hinh tai chinh'!BD93)</f>
        <v>1660000000</v>
      </c>
      <c r="BF16" s="78">
        <f>('Tinh hinh tai chinh'!BF84-'Tinh hinh tai chinh'!BE84+'Tinh hinh tai chinh'!BF87-'Tinh hinh tai chinh'!BE87+'Tinh hinh tai chinh'!BF93-'Tinh hinh tai chinh'!BE93)</f>
        <v>660291600</v>
      </c>
      <c r="BG16" s="78">
        <f>('Tinh hinh tai chinh'!BG84-'Tinh hinh tai chinh'!BF84+'Tinh hinh tai chinh'!BG87-'Tinh hinh tai chinh'!BF87+'Tinh hinh tai chinh'!BG93-'Tinh hinh tai chinh'!BF93)</f>
        <v>659708400</v>
      </c>
      <c r="BH16" s="78">
        <f>('Tinh hinh tai chinh'!BH84-'Tinh hinh tai chinh'!BG84+'Tinh hinh tai chinh'!BH87-'Tinh hinh tai chinh'!BG87+'Tinh hinh tai chinh'!BH93-'Tinh hinh tai chinh'!BG93)</f>
        <v>660000000</v>
      </c>
      <c r="BI16" s="78">
        <v>660000000</v>
      </c>
      <c r="BJ16" s="78">
        <v>660000000</v>
      </c>
      <c r="BK16" s="79">
        <v>660000000</v>
      </c>
      <c r="BL16" s="79">
        <v>161000</v>
      </c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</row>
    <row r="17" spans="1:75" ht="15" x14ac:dyDescent="0.25">
      <c r="A17" s="136">
        <v>14</v>
      </c>
      <c r="B17" s="137" t="s">
        <v>326</v>
      </c>
      <c r="C17" s="128">
        <v>9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>
        <v>0</v>
      </c>
      <c r="AO17" s="78"/>
      <c r="AP17" s="78">
        <v>0</v>
      </c>
      <c r="AQ17" s="78">
        <v>0</v>
      </c>
      <c r="AR17" s="78"/>
      <c r="AS17" s="78">
        <v>0</v>
      </c>
      <c r="AT17" s="78">
        <v>0</v>
      </c>
      <c r="AU17" s="78">
        <v>0</v>
      </c>
      <c r="AV17" s="78">
        <v>0</v>
      </c>
      <c r="AW17" s="78">
        <v>0</v>
      </c>
      <c r="AX17" s="78">
        <f>-('Tinh hinh tai chinh'!AX77-'Tinh hinh tai chinh'!AW77)</f>
        <v>35354</v>
      </c>
      <c r="AY17" s="78">
        <f>-('Tinh hinh tai chinh'!AY77-'Tinh hinh tai chinh'!AX77)</f>
        <v>-19193041</v>
      </c>
      <c r="AZ17" s="78">
        <f>-('Tinh hinh tai chinh'!AZ77-'Tinh hinh tai chinh'!AY77)</f>
        <v>584737</v>
      </c>
      <c r="BA17" s="78">
        <f>-('Tinh hinh tai chinh'!BA77-'Tinh hinh tai chinh'!AZ77)</f>
        <v>584737</v>
      </c>
      <c r="BB17" s="78">
        <f>-('Tinh hinh tai chinh'!BB77-'Tinh hinh tai chinh'!BA77)</f>
        <v>584737</v>
      </c>
      <c r="BC17" s="78">
        <f>-('Tinh hinh tai chinh'!BC77-'Tinh hinh tai chinh'!BB77)</f>
        <v>584737</v>
      </c>
      <c r="BD17" s="78">
        <f>-('Tinh hinh tai chinh'!BD77-'Tinh hinh tai chinh'!BC77)</f>
        <v>584737</v>
      </c>
      <c r="BE17" s="78">
        <f>-('Tinh hinh tai chinh'!BE77-'Tinh hinh tai chinh'!BD77)</f>
        <v>584737</v>
      </c>
      <c r="BF17" s="78">
        <f>-('Tinh hinh tai chinh'!BF77-'Tinh hinh tai chinh'!BE77)</f>
        <v>584737</v>
      </c>
      <c r="BG17" s="78">
        <f>-('Tinh hinh tai chinh'!BG77-'Tinh hinh tai chinh'!BF77)</f>
        <v>584737</v>
      </c>
      <c r="BH17" s="78">
        <f>-('Tinh hinh tai chinh'!BH77-'Tinh hinh tai chinh'!BG77)</f>
        <v>584737</v>
      </c>
      <c r="BI17" s="78">
        <v>584737</v>
      </c>
      <c r="BJ17" s="78">
        <v>584737</v>
      </c>
      <c r="BK17" s="79">
        <v>584737</v>
      </c>
      <c r="BL17" s="79">
        <v>584737</v>
      </c>
      <c r="BM17" s="79">
        <v>584737</v>
      </c>
      <c r="BN17" s="79">
        <v>584737</v>
      </c>
      <c r="BO17" s="79">
        <v>584737</v>
      </c>
      <c r="BP17" s="79"/>
      <c r="BQ17" s="79"/>
      <c r="BR17" s="79"/>
      <c r="BS17" s="79"/>
      <c r="BT17" s="79"/>
      <c r="BU17" s="79"/>
      <c r="BV17" s="79"/>
      <c r="BW17" s="79"/>
    </row>
    <row r="18" spans="1:75" ht="15" x14ac:dyDescent="0.25">
      <c r="A18" s="136">
        <v>15</v>
      </c>
      <c r="B18" s="137" t="s">
        <v>100</v>
      </c>
      <c r="C18" s="128">
        <v>9</v>
      </c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>
        <v>0</v>
      </c>
      <c r="AO18" s="78"/>
      <c r="AP18" s="78"/>
      <c r="AQ18" s="78">
        <v>0</v>
      </c>
      <c r="AR18" s="78"/>
      <c r="AS18" s="78">
        <v>0</v>
      </c>
      <c r="AT18" s="78">
        <v>0</v>
      </c>
      <c r="AU18" s="78">
        <v>0</v>
      </c>
      <c r="AV18" s="78"/>
      <c r="AW18" s="78">
        <v>0</v>
      </c>
      <c r="AX18" s="78"/>
      <c r="AY18" s="78">
        <v>0</v>
      </c>
      <c r="AZ18" s="78">
        <v>0</v>
      </c>
      <c r="BA18" s="78"/>
      <c r="BB18" s="78"/>
      <c r="BC18" s="78">
        <v>0</v>
      </c>
      <c r="BD18" s="78"/>
      <c r="BE18" s="78">
        <v>0</v>
      </c>
      <c r="BF18" s="78">
        <v>0</v>
      </c>
      <c r="BG18" s="78">
        <v>0</v>
      </c>
      <c r="BH18" s="78"/>
      <c r="BI18" s="78">
        <v>0</v>
      </c>
      <c r="BJ18" s="78"/>
      <c r="BK18" s="79">
        <v>0</v>
      </c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</row>
    <row r="19" spans="1:75" ht="15" x14ac:dyDescent="0.25">
      <c r="A19" s="136">
        <v>16</v>
      </c>
      <c r="B19" s="137" t="s">
        <v>327</v>
      </c>
      <c r="C19" s="128">
        <v>9</v>
      </c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>
        <v>0</v>
      </c>
      <c r="AO19" s="78"/>
      <c r="AP19" s="78">
        <v>0</v>
      </c>
      <c r="AQ19" s="78">
        <v>0</v>
      </c>
      <c r="AR19" s="78"/>
      <c r="AS19" s="78">
        <v>0</v>
      </c>
      <c r="AT19" s="78">
        <v>0</v>
      </c>
      <c r="AU19" s="78">
        <v>0</v>
      </c>
      <c r="AV19" s="78"/>
      <c r="AW19" s="78">
        <v>0</v>
      </c>
      <c r="AX19" s="78"/>
      <c r="AY19" s="78">
        <v>0</v>
      </c>
      <c r="AZ19" s="78">
        <v>0</v>
      </c>
      <c r="BA19" s="78"/>
      <c r="BB19" s="78">
        <v>0</v>
      </c>
      <c r="BC19" s="78">
        <v>0</v>
      </c>
      <c r="BD19" s="78"/>
      <c r="BE19" s="78">
        <v>0</v>
      </c>
      <c r="BF19" s="78">
        <v>0</v>
      </c>
      <c r="BG19" s="78">
        <v>0</v>
      </c>
      <c r="BH19" s="78"/>
      <c r="BI19" s="78">
        <v>0</v>
      </c>
      <c r="BJ19" s="78"/>
      <c r="BK19" s="79">
        <v>0</v>
      </c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</row>
    <row r="20" spans="1:75" ht="15" x14ac:dyDescent="0.25">
      <c r="A20" s="136">
        <v>17</v>
      </c>
      <c r="B20" s="137" t="s">
        <v>328</v>
      </c>
      <c r="C20" s="128">
        <v>9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>
        <v>0</v>
      </c>
      <c r="AO20" s="78"/>
      <c r="AP20" s="78">
        <v>0</v>
      </c>
      <c r="AQ20" s="78">
        <v>0</v>
      </c>
      <c r="AR20" s="78"/>
      <c r="AS20" s="78">
        <v>0</v>
      </c>
      <c r="AT20" s="78">
        <v>0</v>
      </c>
      <c r="AU20" s="78">
        <v>0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/>
      <c r="BB20" s="78">
        <v>0</v>
      </c>
      <c r="BC20" s="78">
        <v>0</v>
      </c>
      <c r="BD20" s="78"/>
      <c r="BE20" s="78">
        <v>0</v>
      </c>
      <c r="BF20" s="78">
        <v>0</v>
      </c>
      <c r="BG20" s="78">
        <v>0</v>
      </c>
      <c r="BH20" s="78">
        <v>0</v>
      </c>
      <c r="BI20" s="78">
        <v>0</v>
      </c>
      <c r="BJ20" s="78"/>
      <c r="BK20" s="79">
        <v>0</v>
      </c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</row>
    <row r="21" spans="1:75" ht="15" x14ac:dyDescent="0.25">
      <c r="A21" s="136">
        <v>18</v>
      </c>
      <c r="B21" s="137" t="s">
        <v>101</v>
      </c>
      <c r="C21" s="142">
        <v>9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>
        <v>0</v>
      </c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>
        <v>0</v>
      </c>
      <c r="BF21" s="78"/>
      <c r="BG21" s="78"/>
      <c r="BH21" s="78"/>
      <c r="BI21" s="78"/>
      <c r="BJ21" s="78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</row>
    <row r="22" spans="1:75" ht="15" x14ac:dyDescent="0.25">
      <c r="A22" s="136">
        <v>19</v>
      </c>
      <c r="B22" s="137" t="s">
        <v>329</v>
      </c>
      <c r="C22" s="132">
        <v>9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>
        <v>0</v>
      </c>
      <c r="AT22" s="78">
        <v>0</v>
      </c>
      <c r="AU22" s="78">
        <v>0</v>
      </c>
      <c r="AV22" s="78"/>
      <c r="AW22" s="78">
        <v>0</v>
      </c>
      <c r="AX22" s="78"/>
      <c r="AY22" s="78"/>
      <c r="AZ22" s="78"/>
      <c r="BA22" s="78"/>
      <c r="BB22" s="78"/>
      <c r="BC22" s="78"/>
      <c r="BD22" s="78"/>
      <c r="BE22" s="78">
        <v>0</v>
      </c>
      <c r="BF22" s="78">
        <v>0</v>
      </c>
      <c r="BG22" s="78">
        <v>0</v>
      </c>
      <c r="BH22" s="78"/>
      <c r="BI22" s="78">
        <v>0</v>
      </c>
      <c r="BJ22" s="78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</row>
    <row r="23" spans="1:75" ht="14.25" x14ac:dyDescent="0.2">
      <c r="A23" s="119">
        <v>20</v>
      </c>
      <c r="B23" s="143" t="s">
        <v>102</v>
      </c>
      <c r="C23" s="144">
        <v>9</v>
      </c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>
        <f t="shared" ref="AN23:BI23" si="1">+SUM(AN13:AN22)</f>
        <v>0</v>
      </c>
      <c r="AO23" s="115">
        <f t="shared" si="1"/>
        <v>0</v>
      </c>
      <c r="AP23" s="115">
        <f t="shared" si="1"/>
        <v>0</v>
      </c>
      <c r="AQ23" s="115">
        <f t="shared" si="1"/>
        <v>0</v>
      </c>
      <c r="AR23" s="115">
        <f t="shared" si="1"/>
        <v>0</v>
      </c>
      <c r="AS23" s="115">
        <f t="shared" si="1"/>
        <v>0</v>
      </c>
      <c r="AT23" s="115">
        <f t="shared" si="1"/>
        <v>0</v>
      </c>
      <c r="AU23" s="115">
        <f t="shared" si="1"/>
        <v>0</v>
      </c>
      <c r="AV23" s="115">
        <f t="shared" si="1"/>
        <v>0</v>
      </c>
      <c r="AW23" s="115">
        <f t="shared" si="1"/>
        <v>0</v>
      </c>
      <c r="AX23" s="115">
        <f t="shared" si="1"/>
        <v>0</v>
      </c>
      <c r="AY23" s="115">
        <f t="shared" si="1"/>
        <v>-84630000</v>
      </c>
      <c r="AZ23" s="115">
        <f t="shared" si="1"/>
        <v>-53377778</v>
      </c>
      <c r="BA23" s="115">
        <f t="shared" si="1"/>
        <v>0</v>
      </c>
      <c r="BB23" s="115">
        <f t="shared" si="1"/>
        <v>0</v>
      </c>
      <c r="BC23" s="115">
        <f t="shared" si="1"/>
        <v>-49243000</v>
      </c>
      <c r="BD23" s="115">
        <f t="shared" si="1"/>
        <v>0</v>
      </c>
      <c r="BE23" s="115">
        <f t="shared" si="1"/>
        <v>-19001000000</v>
      </c>
      <c r="BF23" s="115">
        <f t="shared" si="1"/>
        <v>0</v>
      </c>
      <c r="BG23" s="115">
        <f t="shared" si="1"/>
        <v>-291600</v>
      </c>
      <c r="BH23" s="115">
        <f t="shared" si="1"/>
        <v>0</v>
      </c>
      <c r="BI23" s="115">
        <f t="shared" si="1"/>
        <v>0</v>
      </c>
      <c r="BJ23" s="115">
        <v>0</v>
      </c>
      <c r="BK23" s="116">
        <f>+SUM(BK13:BK22)</f>
        <v>0</v>
      </c>
      <c r="BL23" s="116">
        <f>+SUM(BL13:BL22)</f>
        <v>0</v>
      </c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</row>
    <row r="24" spans="1:75" ht="14.25" x14ac:dyDescent="0.2">
      <c r="A24" s="119">
        <v>21</v>
      </c>
      <c r="B24" s="120" t="s">
        <v>103</v>
      </c>
      <c r="C24" s="145">
        <v>9</v>
      </c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>
        <v>0</v>
      </c>
      <c r="AU24" s="115">
        <v>0</v>
      </c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>
        <v>0</v>
      </c>
      <c r="BG24" s="115">
        <v>0</v>
      </c>
      <c r="BH24" s="115"/>
      <c r="BI24" s="115"/>
      <c r="BJ24" s="115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</row>
    <row r="25" spans="1:75" ht="15" x14ac:dyDescent="0.25">
      <c r="A25" s="146">
        <v>22</v>
      </c>
      <c r="B25" s="147" t="s">
        <v>104</v>
      </c>
      <c r="C25" s="131">
        <v>9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</row>
    <row r="26" spans="1:75" ht="15" x14ac:dyDescent="0.25">
      <c r="A26" s="146">
        <v>23</v>
      </c>
      <c r="B26" s="147" t="s">
        <v>105</v>
      </c>
      <c r="C26" s="142">
        <v>9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>
        <v>0</v>
      </c>
      <c r="AU26" s="78">
        <v>0</v>
      </c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>
        <v>0</v>
      </c>
      <c r="BG26" s="78">
        <v>0</v>
      </c>
      <c r="BH26" s="78"/>
      <c r="BI26" s="78"/>
      <c r="BJ26" s="78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</row>
    <row r="27" spans="1:75" ht="15" x14ac:dyDescent="0.25">
      <c r="A27" s="146">
        <v>24</v>
      </c>
      <c r="B27" s="147" t="s">
        <v>330</v>
      </c>
      <c r="C27" s="142">
        <v>9</v>
      </c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>
        <v>0</v>
      </c>
      <c r="AU27" s="78">
        <v>0</v>
      </c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>
        <v>0</v>
      </c>
      <c r="BG27" s="78">
        <v>0</v>
      </c>
      <c r="BH27" s="78"/>
      <c r="BI27" s="78"/>
      <c r="BJ27" s="78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</row>
    <row r="28" spans="1:75" ht="15" x14ac:dyDescent="0.25">
      <c r="A28" s="146">
        <v>25</v>
      </c>
      <c r="B28" s="147" t="s">
        <v>331</v>
      </c>
      <c r="C28" s="142">
        <v>9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>
        <v>0</v>
      </c>
      <c r="AU28" s="78">
        <v>0</v>
      </c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>
        <v>0</v>
      </c>
      <c r="BG28" s="78">
        <v>0</v>
      </c>
      <c r="BH28" s="78"/>
      <c r="BI28" s="78"/>
      <c r="BJ28" s="78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</row>
    <row r="29" spans="1:75" ht="15" x14ac:dyDescent="0.25">
      <c r="A29" s="146">
        <v>26</v>
      </c>
      <c r="B29" s="147" t="s">
        <v>332</v>
      </c>
      <c r="C29" s="128">
        <v>9</v>
      </c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</row>
    <row r="30" spans="1:75" ht="15" x14ac:dyDescent="0.25">
      <c r="A30" s="146">
        <v>27</v>
      </c>
      <c r="B30" s="147" t="s">
        <v>106</v>
      </c>
      <c r="C30" s="142">
        <v>9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>
        <v>0</v>
      </c>
      <c r="AU30" s="78">
        <v>0</v>
      </c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>
        <v>0</v>
      </c>
      <c r="BG30" s="78">
        <v>0</v>
      </c>
      <c r="BH30" s="78"/>
      <c r="BI30" s="78"/>
      <c r="BJ30" s="78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</row>
    <row r="31" spans="1:75" ht="15" x14ac:dyDescent="0.25">
      <c r="A31" s="146">
        <v>28</v>
      </c>
      <c r="B31" s="147" t="s">
        <v>107</v>
      </c>
      <c r="C31" s="128">
        <v>9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>
        <f t="shared" ref="AN31:BI31" si="2">-AN10</f>
        <v>0</v>
      </c>
      <c r="AO31" s="78">
        <f t="shared" si="2"/>
        <v>0</v>
      </c>
      <c r="AP31" s="78">
        <f t="shared" si="2"/>
        <v>0</v>
      </c>
      <c r="AQ31" s="78">
        <f t="shared" si="2"/>
        <v>0</v>
      </c>
      <c r="AR31" s="78">
        <f t="shared" si="2"/>
        <v>0</v>
      </c>
      <c r="AS31" s="78">
        <f t="shared" si="2"/>
        <v>0</v>
      </c>
      <c r="AT31" s="78">
        <f t="shared" si="2"/>
        <v>0</v>
      </c>
      <c r="AU31" s="78">
        <f t="shared" si="2"/>
        <v>0</v>
      </c>
      <c r="AV31" s="78">
        <f t="shared" si="2"/>
        <v>0</v>
      </c>
      <c r="AW31" s="78">
        <f t="shared" si="2"/>
        <v>0</v>
      </c>
      <c r="AX31" s="78">
        <f t="shared" si="2"/>
        <v>0</v>
      </c>
      <c r="AY31" s="78">
        <f t="shared" si="2"/>
        <v>6263</v>
      </c>
      <c r="AZ31" s="78">
        <f t="shared" si="2"/>
        <v>7702</v>
      </c>
      <c r="BA31" s="78">
        <f t="shared" si="2"/>
        <v>7321</v>
      </c>
      <c r="BB31" s="78">
        <f t="shared" si="2"/>
        <v>6613</v>
      </c>
      <c r="BC31" s="78">
        <f t="shared" si="2"/>
        <v>3453516</v>
      </c>
      <c r="BD31" s="78">
        <f t="shared" si="2"/>
        <v>4952</v>
      </c>
      <c r="BE31" s="78">
        <f t="shared" si="2"/>
        <v>6707</v>
      </c>
      <c r="BF31" s="78">
        <f t="shared" si="2"/>
        <v>6701</v>
      </c>
      <c r="BG31" s="78">
        <f t="shared" si="2"/>
        <v>6924</v>
      </c>
      <c r="BH31" s="78">
        <f t="shared" si="2"/>
        <v>1552</v>
      </c>
      <c r="BI31" s="78">
        <f t="shared" si="2"/>
        <v>945</v>
      </c>
      <c r="BJ31" s="78">
        <v>7058510</v>
      </c>
      <c r="BK31" s="78">
        <f>-BK10</f>
        <v>997</v>
      </c>
      <c r="BL31" s="78">
        <f>-BL10</f>
        <v>1070</v>
      </c>
      <c r="BM31" s="78">
        <v>6283743</v>
      </c>
      <c r="BN31" s="78">
        <v>980</v>
      </c>
      <c r="BO31" s="78">
        <v>1090</v>
      </c>
      <c r="BP31" s="78"/>
      <c r="BQ31" s="78"/>
      <c r="BR31" s="78"/>
      <c r="BS31" s="78"/>
      <c r="BT31" s="78"/>
      <c r="BU31" s="78"/>
      <c r="BV31" s="78"/>
      <c r="BW31" s="78"/>
    </row>
    <row r="32" spans="1:75" ht="14.25" x14ac:dyDescent="0.2">
      <c r="A32" s="119">
        <v>29</v>
      </c>
      <c r="B32" s="120" t="s">
        <v>108</v>
      </c>
      <c r="C32" s="144">
        <v>9</v>
      </c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>
        <f t="shared" ref="AN32:BI32" si="3">+SUM(AN25:AN31)</f>
        <v>0</v>
      </c>
      <c r="AO32" s="115">
        <f t="shared" si="3"/>
        <v>0</v>
      </c>
      <c r="AP32" s="115">
        <f t="shared" si="3"/>
        <v>0</v>
      </c>
      <c r="AQ32" s="115">
        <f t="shared" si="3"/>
        <v>0</v>
      </c>
      <c r="AR32" s="115">
        <f t="shared" si="3"/>
        <v>0</v>
      </c>
      <c r="AS32" s="115">
        <f t="shared" si="3"/>
        <v>0</v>
      </c>
      <c r="AT32" s="115">
        <f t="shared" si="3"/>
        <v>0</v>
      </c>
      <c r="AU32" s="115">
        <f t="shared" si="3"/>
        <v>0</v>
      </c>
      <c r="AV32" s="115">
        <f t="shared" si="3"/>
        <v>0</v>
      </c>
      <c r="AW32" s="115">
        <f t="shared" si="3"/>
        <v>0</v>
      </c>
      <c r="AX32" s="115">
        <f t="shared" si="3"/>
        <v>0</v>
      </c>
      <c r="AY32" s="115">
        <f t="shared" si="3"/>
        <v>6263</v>
      </c>
      <c r="AZ32" s="115">
        <f t="shared" si="3"/>
        <v>7702</v>
      </c>
      <c r="BA32" s="115">
        <f t="shared" si="3"/>
        <v>7321</v>
      </c>
      <c r="BB32" s="115">
        <f t="shared" si="3"/>
        <v>6613</v>
      </c>
      <c r="BC32" s="115">
        <f t="shared" si="3"/>
        <v>3453516</v>
      </c>
      <c r="BD32" s="115">
        <f t="shared" si="3"/>
        <v>4952</v>
      </c>
      <c r="BE32" s="115">
        <f t="shared" si="3"/>
        <v>6707</v>
      </c>
      <c r="BF32" s="115">
        <f t="shared" si="3"/>
        <v>6701</v>
      </c>
      <c r="BG32" s="115">
        <f t="shared" si="3"/>
        <v>6924</v>
      </c>
      <c r="BH32" s="115">
        <f t="shared" si="3"/>
        <v>1552</v>
      </c>
      <c r="BI32" s="115">
        <f t="shared" si="3"/>
        <v>945</v>
      </c>
      <c r="BJ32" s="115">
        <v>7058510</v>
      </c>
      <c r="BK32" s="116">
        <f>+SUM(BK25:BK31)</f>
        <v>997</v>
      </c>
      <c r="BL32" s="116">
        <f>+SUM(BL25:BL31)</f>
        <v>1070</v>
      </c>
      <c r="BM32" s="116">
        <f>+SUM(BM25:BM31)</f>
        <v>6283743</v>
      </c>
      <c r="BN32" s="116">
        <f>+SUM(BN25:BN31)</f>
        <v>980</v>
      </c>
      <c r="BO32" s="116">
        <f>+SUM(BO25:BO31)</f>
        <v>1090</v>
      </c>
      <c r="BP32" s="116"/>
      <c r="BQ32" s="116"/>
      <c r="BR32" s="116"/>
      <c r="BS32" s="116"/>
      <c r="BT32" s="116"/>
      <c r="BU32" s="116"/>
      <c r="BV32" s="116"/>
      <c r="BW32" s="116"/>
    </row>
    <row r="33" spans="1:75" ht="14.25" x14ac:dyDescent="0.2">
      <c r="A33" s="119">
        <v>30</v>
      </c>
      <c r="B33" s="120" t="s">
        <v>109</v>
      </c>
      <c r="C33" s="145">
        <v>9</v>
      </c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>
        <v>0</v>
      </c>
      <c r="AU33" s="115">
        <v>0</v>
      </c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>
        <v>0</v>
      </c>
      <c r="BG33" s="115">
        <v>0</v>
      </c>
      <c r="BH33" s="115"/>
      <c r="BI33" s="115"/>
      <c r="BJ33" s="115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</row>
    <row r="34" spans="1:75" ht="15" x14ac:dyDescent="0.25">
      <c r="A34" s="146">
        <v>31</v>
      </c>
      <c r="B34" s="147" t="s">
        <v>110</v>
      </c>
      <c r="C34" s="132">
        <v>9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>
        <f>'Tinh hinh tai chinh'!AX116-'Tinh hinh tai chinh'!AW116</f>
        <v>20000000000</v>
      </c>
      <c r="AY34" s="78">
        <f>'Tinh hinh tai chinh'!AY116-'Tinh hinh tai chinh'!AX116</f>
        <v>0</v>
      </c>
      <c r="AZ34" s="78">
        <f>'Tinh hinh tai chinh'!AZ116-'Tinh hinh tai chinh'!AY116</f>
        <v>0</v>
      </c>
      <c r="BA34" s="78">
        <f>'Tinh hinh tai chinh'!BA116-'Tinh hinh tai chinh'!AZ116</f>
        <v>0</v>
      </c>
      <c r="BB34" s="78">
        <f>'Tinh hinh tai chinh'!BB116-'Tinh hinh tai chinh'!BA116</f>
        <v>0</v>
      </c>
      <c r="BC34" s="78">
        <f>'Tinh hinh tai chinh'!BC116-'Tinh hinh tai chinh'!BB116</f>
        <v>0</v>
      </c>
      <c r="BD34" s="78">
        <f>'Tinh hinh tai chinh'!BD116-'Tinh hinh tai chinh'!BC116</f>
        <v>0</v>
      </c>
      <c r="BE34" s="78">
        <f>'Tinh hinh tai chinh'!BE116-'Tinh hinh tai chinh'!BD116</f>
        <v>0</v>
      </c>
      <c r="BF34" s="78">
        <f>'Tinh hinh tai chinh'!BF116-'Tinh hinh tai chinh'!BE116</f>
        <v>0</v>
      </c>
      <c r="BG34" s="78">
        <f>'Tinh hinh tai chinh'!BG116-'Tinh hinh tai chinh'!BF116</f>
        <v>0</v>
      </c>
      <c r="BH34" s="78"/>
      <c r="BI34" s="78"/>
      <c r="BJ34" s="78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</row>
    <row r="35" spans="1:75" ht="15" x14ac:dyDescent="0.2">
      <c r="A35" s="148">
        <v>32</v>
      </c>
      <c r="B35" s="149" t="s">
        <v>333</v>
      </c>
      <c r="C35" s="150">
        <v>9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>
        <v>0</v>
      </c>
      <c r="AU35" s="78">
        <v>0</v>
      </c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>
        <v>0</v>
      </c>
      <c r="BG35" s="78">
        <v>0</v>
      </c>
      <c r="BH35" s="78"/>
      <c r="BI35" s="78"/>
      <c r="BJ35" s="78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</row>
    <row r="36" spans="1:75" ht="15" x14ac:dyDescent="0.25">
      <c r="A36" s="146">
        <v>33</v>
      </c>
      <c r="B36" s="147" t="s">
        <v>111</v>
      </c>
      <c r="C36" s="128">
        <v>9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>
        <v>0</v>
      </c>
      <c r="AU36" s="78">
        <v>0</v>
      </c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>
        <v>0</v>
      </c>
      <c r="BG36" s="78">
        <v>0</v>
      </c>
      <c r="BH36" s="78"/>
      <c r="BI36" s="78"/>
      <c r="BJ36" s="78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</row>
    <row r="37" spans="1:75" ht="15" x14ac:dyDescent="0.25">
      <c r="A37" s="146">
        <v>34</v>
      </c>
      <c r="B37" s="147" t="s">
        <v>334</v>
      </c>
      <c r="C37" s="128">
        <v>9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>
        <v>0</v>
      </c>
      <c r="AU37" s="78">
        <v>0</v>
      </c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>
        <v>0</v>
      </c>
      <c r="BG37" s="78">
        <v>0</v>
      </c>
      <c r="BH37" s="78"/>
      <c r="BI37" s="78"/>
      <c r="BJ37" s="78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</row>
    <row r="38" spans="1:75" ht="15" x14ac:dyDescent="0.25">
      <c r="A38" s="146">
        <v>35</v>
      </c>
      <c r="B38" s="147" t="s">
        <v>335</v>
      </c>
      <c r="C38" s="128">
        <v>9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>
        <v>0</v>
      </c>
      <c r="AU38" s="78">
        <v>0</v>
      </c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>
        <v>0</v>
      </c>
      <c r="BG38" s="78">
        <v>0</v>
      </c>
      <c r="BH38" s="78"/>
      <c r="BI38" s="78"/>
      <c r="BJ38" s="78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</row>
    <row r="39" spans="1:75" ht="15" x14ac:dyDescent="0.25">
      <c r="A39" s="146">
        <v>36</v>
      </c>
      <c r="B39" s="147" t="s">
        <v>112</v>
      </c>
      <c r="C39" s="132">
        <v>9</v>
      </c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>
        <v>0</v>
      </c>
      <c r="AU39" s="78">
        <v>0</v>
      </c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>
        <v>0</v>
      </c>
      <c r="BG39" s="78">
        <v>0</v>
      </c>
      <c r="BH39" s="78"/>
      <c r="BI39" s="78"/>
      <c r="BJ39" s="78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</row>
    <row r="40" spans="1:75" ht="14.25" x14ac:dyDescent="0.2">
      <c r="A40" s="119">
        <v>37</v>
      </c>
      <c r="B40" s="120" t="s">
        <v>113</v>
      </c>
      <c r="C40" s="144">
        <v>9</v>
      </c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>
        <f t="shared" ref="AN40:BI40" si="4">SUM(AN34:AN39)</f>
        <v>0</v>
      </c>
      <c r="AO40" s="115">
        <f t="shared" si="4"/>
        <v>0</v>
      </c>
      <c r="AP40" s="115">
        <f t="shared" si="4"/>
        <v>0</v>
      </c>
      <c r="AQ40" s="115">
        <f t="shared" si="4"/>
        <v>0</v>
      </c>
      <c r="AR40" s="115">
        <f t="shared" si="4"/>
        <v>0</v>
      </c>
      <c r="AS40" s="115">
        <f t="shared" si="4"/>
        <v>0</v>
      </c>
      <c r="AT40" s="115">
        <f t="shared" si="4"/>
        <v>0</v>
      </c>
      <c r="AU40" s="115">
        <f t="shared" si="4"/>
        <v>0</v>
      </c>
      <c r="AV40" s="115">
        <f t="shared" si="4"/>
        <v>0</v>
      </c>
      <c r="AW40" s="115">
        <f t="shared" si="4"/>
        <v>0</v>
      </c>
      <c r="AX40" s="115">
        <f t="shared" si="4"/>
        <v>20000000000</v>
      </c>
      <c r="AY40" s="115">
        <f t="shared" si="4"/>
        <v>0</v>
      </c>
      <c r="AZ40" s="115">
        <f t="shared" si="4"/>
        <v>0</v>
      </c>
      <c r="BA40" s="115">
        <f t="shared" si="4"/>
        <v>0</v>
      </c>
      <c r="BB40" s="115">
        <f t="shared" si="4"/>
        <v>0</v>
      </c>
      <c r="BC40" s="115">
        <f t="shared" si="4"/>
        <v>0</v>
      </c>
      <c r="BD40" s="115">
        <f t="shared" si="4"/>
        <v>0</v>
      </c>
      <c r="BE40" s="115">
        <f t="shared" si="4"/>
        <v>0</v>
      </c>
      <c r="BF40" s="115">
        <f t="shared" si="4"/>
        <v>0</v>
      </c>
      <c r="BG40" s="115">
        <f t="shared" si="4"/>
        <v>0</v>
      </c>
      <c r="BH40" s="115">
        <f t="shared" si="4"/>
        <v>0</v>
      </c>
      <c r="BI40" s="115">
        <f t="shared" si="4"/>
        <v>0</v>
      </c>
      <c r="BJ40" s="115"/>
      <c r="BK40" s="116">
        <f>SUM(BK34:BK39)</f>
        <v>0</v>
      </c>
      <c r="BL40" s="116">
        <f>SUM(BL34:BL39)</f>
        <v>0</v>
      </c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</row>
    <row r="41" spans="1:75" ht="14.25" x14ac:dyDescent="0.2">
      <c r="A41" s="151">
        <v>38</v>
      </c>
      <c r="B41" s="152" t="s">
        <v>114</v>
      </c>
      <c r="C41" s="153">
        <v>9</v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>
        <f t="shared" ref="AN41:BI41" si="5">+AN23+AN32+AN40</f>
        <v>0</v>
      </c>
      <c r="AO41" s="159">
        <f t="shared" si="5"/>
        <v>0</v>
      </c>
      <c r="AP41" s="159">
        <f t="shared" si="5"/>
        <v>0</v>
      </c>
      <c r="AQ41" s="159">
        <f t="shared" si="5"/>
        <v>0</v>
      </c>
      <c r="AR41" s="159">
        <f t="shared" si="5"/>
        <v>0</v>
      </c>
      <c r="AS41" s="159">
        <f t="shared" si="5"/>
        <v>0</v>
      </c>
      <c r="AT41" s="159">
        <f t="shared" si="5"/>
        <v>0</v>
      </c>
      <c r="AU41" s="159">
        <f t="shared" si="5"/>
        <v>0</v>
      </c>
      <c r="AV41" s="159">
        <f t="shared" si="5"/>
        <v>0</v>
      </c>
      <c r="AW41" s="159">
        <f t="shared" si="5"/>
        <v>0</v>
      </c>
      <c r="AX41" s="159">
        <f t="shared" si="5"/>
        <v>20000000000</v>
      </c>
      <c r="AY41" s="159">
        <f t="shared" si="5"/>
        <v>-84623737</v>
      </c>
      <c r="AZ41" s="159">
        <f t="shared" si="5"/>
        <v>-53370076</v>
      </c>
      <c r="BA41" s="159">
        <f t="shared" si="5"/>
        <v>7321</v>
      </c>
      <c r="BB41" s="159">
        <f t="shared" si="5"/>
        <v>6613</v>
      </c>
      <c r="BC41" s="159">
        <f t="shared" si="5"/>
        <v>-45789484</v>
      </c>
      <c r="BD41" s="160">
        <f t="shared" si="5"/>
        <v>4952</v>
      </c>
      <c r="BE41" s="160">
        <f t="shared" si="5"/>
        <v>-19000993293</v>
      </c>
      <c r="BF41" s="160">
        <f t="shared" si="5"/>
        <v>6701</v>
      </c>
      <c r="BG41" s="160">
        <f t="shared" si="5"/>
        <v>-284676</v>
      </c>
      <c r="BH41" s="160">
        <f t="shared" si="5"/>
        <v>1552</v>
      </c>
      <c r="BI41" s="160">
        <f t="shared" si="5"/>
        <v>945</v>
      </c>
      <c r="BJ41" s="160">
        <v>7058510</v>
      </c>
      <c r="BK41" s="159">
        <f>+BK23+BK32+BK40</f>
        <v>997</v>
      </c>
      <c r="BL41" s="159">
        <f>+BL23+BL32+BL40</f>
        <v>1070</v>
      </c>
      <c r="BM41" s="159">
        <f>+BM23+BM32+BM40</f>
        <v>6283743</v>
      </c>
      <c r="BN41" s="159">
        <f>+BN23+BN32+BN40</f>
        <v>980</v>
      </c>
      <c r="BO41" s="159">
        <f>+BO23+BO32+BO40</f>
        <v>1090</v>
      </c>
      <c r="BP41" s="159"/>
      <c r="BQ41" s="159"/>
      <c r="BR41" s="159"/>
      <c r="BS41" s="159"/>
      <c r="BT41" s="159"/>
      <c r="BU41" s="159"/>
      <c r="BV41" s="159"/>
      <c r="BW41" s="159"/>
    </row>
    <row r="42" spans="1:75" ht="14.25" x14ac:dyDescent="0.2">
      <c r="A42" s="119">
        <v>39</v>
      </c>
      <c r="B42" s="120" t="s">
        <v>115</v>
      </c>
      <c r="C42" s="144">
        <v>9</v>
      </c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>
        <f>AX44</f>
        <v>20000000000</v>
      </c>
      <c r="AZ42" s="116">
        <v>19915376263</v>
      </c>
      <c r="BA42" s="116">
        <f t="shared" ref="BA42:BI42" si="6">AZ44</f>
        <v>19862006187</v>
      </c>
      <c r="BB42" s="116">
        <f t="shared" si="6"/>
        <v>19862013508</v>
      </c>
      <c r="BC42" s="115">
        <f t="shared" si="6"/>
        <v>19862020121</v>
      </c>
      <c r="BD42" s="115">
        <f t="shared" si="6"/>
        <v>19816230637</v>
      </c>
      <c r="BE42" s="115">
        <f t="shared" si="6"/>
        <v>19816235589</v>
      </c>
      <c r="BF42" s="115">
        <f t="shared" si="6"/>
        <v>815242296</v>
      </c>
      <c r="BG42" s="115">
        <f t="shared" si="6"/>
        <v>815248997</v>
      </c>
      <c r="BH42" s="115">
        <f t="shared" si="6"/>
        <v>814964321</v>
      </c>
      <c r="BI42" s="115">
        <f t="shared" si="6"/>
        <v>814965873</v>
      </c>
      <c r="BJ42" s="115">
        <v>814966818</v>
      </c>
      <c r="BK42" s="116">
        <v>822025328</v>
      </c>
      <c r="BL42" s="116">
        <v>822026325</v>
      </c>
      <c r="BM42" s="116">
        <v>822027395</v>
      </c>
      <c r="BN42" s="116">
        <v>828311138</v>
      </c>
      <c r="BO42" s="116">
        <v>828312118</v>
      </c>
      <c r="BP42" s="116"/>
      <c r="BQ42" s="116"/>
      <c r="BR42" s="116"/>
      <c r="BS42" s="116"/>
      <c r="BT42" s="116"/>
      <c r="BU42" s="116"/>
      <c r="BV42" s="116"/>
      <c r="BW42" s="116"/>
    </row>
    <row r="43" spans="1:75" ht="15" x14ac:dyDescent="0.25">
      <c r="A43" s="154">
        <v>40</v>
      </c>
      <c r="B43" s="155" t="s">
        <v>116</v>
      </c>
      <c r="C43" s="156">
        <v>9</v>
      </c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>
        <v>0</v>
      </c>
      <c r="BG43" s="115">
        <v>0</v>
      </c>
      <c r="BH43" s="115"/>
      <c r="BI43" s="115"/>
      <c r="BJ43" s="115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</row>
    <row r="44" spans="1:75" ht="14.25" x14ac:dyDescent="0.2">
      <c r="A44" s="119">
        <v>41</v>
      </c>
      <c r="B44" s="120" t="s">
        <v>117</v>
      </c>
      <c r="C44" s="144">
        <v>9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>
        <f t="shared" ref="AV44:BI44" si="7">+AV42+AV41+AV43</f>
        <v>0</v>
      </c>
      <c r="AW44" s="74">
        <f t="shared" si="7"/>
        <v>0</v>
      </c>
      <c r="AX44" s="74">
        <f t="shared" si="7"/>
        <v>20000000000</v>
      </c>
      <c r="AY44" s="74">
        <f t="shared" si="7"/>
        <v>19915376263</v>
      </c>
      <c r="AZ44" s="74">
        <f t="shared" si="7"/>
        <v>19862006187</v>
      </c>
      <c r="BA44" s="74">
        <f t="shared" si="7"/>
        <v>19862013508</v>
      </c>
      <c r="BB44" s="74">
        <f t="shared" si="7"/>
        <v>19862020121</v>
      </c>
      <c r="BC44" s="74">
        <f t="shared" si="7"/>
        <v>19816230637</v>
      </c>
      <c r="BD44" s="74">
        <f t="shared" si="7"/>
        <v>19816235589</v>
      </c>
      <c r="BE44" s="74">
        <f t="shared" si="7"/>
        <v>815242296</v>
      </c>
      <c r="BF44" s="74">
        <f t="shared" si="7"/>
        <v>815248997</v>
      </c>
      <c r="BG44" s="74">
        <f t="shared" si="7"/>
        <v>814964321</v>
      </c>
      <c r="BH44" s="74">
        <f t="shared" si="7"/>
        <v>814965873</v>
      </c>
      <c r="BI44" s="74">
        <f t="shared" si="7"/>
        <v>814966818</v>
      </c>
      <c r="BJ44" s="74">
        <v>822025328</v>
      </c>
      <c r="BK44" s="75">
        <f>+BK42+BK41+BK43</f>
        <v>822026325</v>
      </c>
      <c r="BL44" s="75">
        <f>+BL42+BL41+BL43</f>
        <v>822027395</v>
      </c>
      <c r="BM44" s="75">
        <f>+BM42+BM41+BM43</f>
        <v>828311138</v>
      </c>
      <c r="BN44" s="75">
        <f>+BN42+BN41+BN43</f>
        <v>828312118</v>
      </c>
      <c r="BO44" s="75">
        <f>+BO42+BO41+BO43</f>
        <v>828313208</v>
      </c>
      <c r="BP44" s="75"/>
      <c r="BQ44" s="75"/>
      <c r="BR44" s="75"/>
      <c r="BS44" s="75"/>
      <c r="BT44" s="75"/>
      <c r="BU44" s="75"/>
      <c r="BV44" s="75"/>
      <c r="BW44" s="75"/>
    </row>
  </sheetData>
  <sheetProtection algorithmName="SHA-512" hashValue="hmzWM27jWV+j7yFrIcYRJouuBqDwYeh1gawPyNuBtDyCA7XY7enQV82ZG5ZMUz+8YA78zmCm83ZrfAOggF9OwQ==" saltValue="Tq9MMM2L134U0PjNqIRswg==" spinCount="100000" sheet="1" objects="1" scenarios="1"/>
  <protectedRanges>
    <protectedRange sqref="D4:BW44" name="CF"/>
  </protectedRange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9798-19ED-4A8E-B927-16DD80584972}">
  <sheetPr>
    <tabColor theme="9" tint="0.59999389629810485"/>
  </sheetPr>
  <dimension ref="A1:BW57"/>
  <sheetViews>
    <sheetView showGridLines="0" zoomScale="80" zoomScaleNormal="80" workbookViewId="0">
      <pane xSplit="3" ySplit="3" topLeftCell="BM4" activePane="bottomRight" state="frozen"/>
      <selection activeCell="BM13" sqref="BM13"/>
      <selection pane="topRight" activeCell="BM13" sqref="BM13"/>
      <selection pane="bottomLeft" activeCell="BM13" sqref="BM13"/>
      <selection pane="bottomRight" activeCell="BO53" sqref="BO53"/>
    </sheetView>
  </sheetViews>
  <sheetFormatPr defaultRowHeight="12.75" x14ac:dyDescent="0.2"/>
  <cols>
    <col min="1" max="1" width="8.42578125" hidden="1" customWidth="1"/>
    <col min="2" max="2" width="46.140625" customWidth="1"/>
    <col min="3" max="3" width="12" hidden="1" customWidth="1"/>
    <col min="4" max="51" width="12.7109375" customWidth="1"/>
    <col min="52" max="52" width="13.42578125" customWidth="1"/>
    <col min="53" max="53" width="14.42578125" bestFit="1" customWidth="1"/>
    <col min="54" max="62" width="12.7109375" bestFit="1" customWidth="1"/>
    <col min="63" max="75" width="14.28515625" customWidth="1"/>
  </cols>
  <sheetData>
    <row r="1" spans="1:75" ht="18.75" x14ac:dyDescent="0.3">
      <c r="B1" s="1" t="s">
        <v>0</v>
      </c>
    </row>
    <row r="2" spans="1:75" ht="15" x14ac:dyDescent="0.2">
      <c r="B2" s="2" t="s">
        <v>1</v>
      </c>
    </row>
    <row r="3" spans="1:75" ht="30" customHeight="1" x14ac:dyDescent="0.2">
      <c r="A3" s="161" t="s">
        <v>188</v>
      </c>
      <c r="B3" s="162" t="s">
        <v>118</v>
      </c>
      <c r="C3" s="163" t="s">
        <v>228</v>
      </c>
      <c r="D3" s="164" t="s">
        <v>191</v>
      </c>
      <c r="E3" s="164" t="s">
        <v>192</v>
      </c>
      <c r="F3" s="164" t="s">
        <v>193</v>
      </c>
      <c r="G3" s="164" t="s">
        <v>194</v>
      </c>
      <c r="H3" s="164" t="s">
        <v>195</v>
      </c>
      <c r="I3" s="164" t="s">
        <v>196</v>
      </c>
      <c r="J3" s="164" t="s">
        <v>197</v>
      </c>
      <c r="K3" s="164" t="s">
        <v>198</v>
      </c>
      <c r="L3" s="164" t="s">
        <v>199</v>
      </c>
      <c r="M3" s="164" t="s">
        <v>200</v>
      </c>
      <c r="N3" s="164" t="s">
        <v>201</v>
      </c>
      <c r="O3" s="164" t="s">
        <v>202</v>
      </c>
      <c r="P3" s="164" t="s">
        <v>203</v>
      </c>
      <c r="Q3" s="164" t="s">
        <v>204</v>
      </c>
      <c r="R3" s="164" t="s">
        <v>205</v>
      </c>
      <c r="S3" s="164" t="s">
        <v>206</v>
      </c>
      <c r="T3" s="164" t="s">
        <v>207</v>
      </c>
      <c r="U3" s="164" t="s">
        <v>208</v>
      </c>
      <c r="V3" s="164" t="s">
        <v>209</v>
      </c>
      <c r="W3" s="164" t="s">
        <v>210</v>
      </c>
      <c r="X3" s="164" t="s">
        <v>211</v>
      </c>
      <c r="Y3" s="164" t="s">
        <v>212</v>
      </c>
      <c r="Z3" s="164" t="s">
        <v>213</v>
      </c>
      <c r="AA3" s="164" t="s">
        <v>214</v>
      </c>
      <c r="AB3" s="164" t="s">
        <v>215</v>
      </c>
      <c r="AC3" s="164" t="s">
        <v>216</v>
      </c>
      <c r="AD3" s="164" t="s">
        <v>217</v>
      </c>
      <c r="AE3" s="164" t="s">
        <v>218</v>
      </c>
      <c r="AF3" s="164" t="s">
        <v>219</v>
      </c>
      <c r="AG3" s="164" t="s">
        <v>220</v>
      </c>
      <c r="AH3" s="164" t="s">
        <v>221</v>
      </c>
      <c r="AI3" s="164" t="s">
        <v>222</v>
      </c>
      <c r="AJ3" s="164" t="s">
        <v>223</v>
      </c>
      <c r="AK3" s="164" t="s">
        <v>224</v>
      </c>
      <c r="AL3" s="164" t="s">
        <v>225</v>
      </c>
      <c r="AM3" s="164" t="s">
        <v>226</v>
      </c>
      <c r="AN3" s="164" t="s">
        <v>2</v>
      </c>
      <c r="AO3" s="164" t="s">
        <v>3</v>
      </c>
      <c r="AP3" s="164" t="s">
        <v>4</v>
      </c>
      <c r="AQ3" s="164" t="s">
        <v>5</v>
      </c>
      <c r="AR3" s="164" t="s">
        <v>6</v>
      </c>
      <c r="AS3" s="164" t="s">
        <v>7</v>
      </c>
      <c r="AT3" s="164" t="s">
        <v>8</v>
      </c>
      <c r="AU3" s="164" t="s">
        <v>9</v>
      </c>
      <c r="AV3" s="164" t="s">
        <v>10</v>
      </c>
      <c r="AW3" s="164" t="s">
        <v>11</v>
      </c>
      <c r="AX3" s="164" t="s">
        <v>12</v>
      </c>
      <c r="AY3" s="164" t="s">
        <v>13</v>
      </c>
      <c r="AZ3" s="164" t="s">
        <v>14</v>
      </c>
      <c r="BA3" s="164" t="s">
        <v>15</v>
      </c>
      <c r="BB3" s="164" t="s">
        <v>16</v>
      </c>
      <c r="BC3" s="164" t="s">
        <v>17</v>
      </c>
      <c r="BD3" s="164" t="s">
        <v>18</v>
      </c>
      <c r="BE3" s="164" t="s">
        <v>19</v>
      </c>
      <c r="BF3" s="164" t="s">
        <v>20</v>
      </c>
      <c r="BG3" s="164" t="s">
        <v>21</v>
      </c>
      <c r="BH3" s="164" t="s">
        <v>22</v>
      </c>
      <c r="BI3" s="164" t="s">
        <v>23</v>
      </c>
      <c r="BJ3" s="164" t="s">
        <v>24</v>
      </c>
      <c r="BK3" s="164" t="s">
        <v>25</v>
      </c>
      <c r="BL3" s="164" t="s">
        <v>298</v>
      </c>
      <c r="BM3" s="164" t="s">
        <v>299</v>
      </c>
      <c r="BN3" s="164" t="s">
        <v>300</v>
      </c>
      <c r="BO3" s="164" t="s">
        <v>301</v>
      </c>
      <c r="BP3" s="164" t="s">
        <v>302</v>
      </c>
      <c r="BQ3" s="164" t="s">
        <v>303</v>
      </c>
      <c r="BR3" s="164" t="s">
        <v>304</v>
      </c>
      <c r="BS3" s="164" t="s">
        <v>305</v>
      </c>
      <c r="BT3" s="164" t="s">
        <v>306</v>
      </c>
      <c r="BU3" s="164" t="s">
        <v>307</v>
      </c>
      <c r="BV3" s="164" t="s">
        <v>308</v>
      </c>
      <c r="BW3" s="164" t="s">
        <v>309</v>
      </c>
    </row>
    <row r="4" spans="1:75" ht="14.25" x14ac:dyDescent="0.2">
      <c r="A4" s="165">
        <v>1</v>
      </c>
      <c r="B4" s="166" t="s">
        <v>119</v>
      </c>
      <c r="C4" s="167">
        <v>9</v>
      </c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</row>
    <row r="5" spans="1:75" ht="14.25" x14ac:dyDescent="0.2">
      <c r="A5" s="165">
        <v>2</v>
      </c>
      <c r="B5" s="166" t="s">
        <v>120</v>
      </c>
      <c r="C5" s="167">
        <v>9</v>
      </c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5"/>
      <c r="BS5" s="185"/>
      <c r="BT5" s="185"/>
      <c r="BU5" s="185"/>
      <c r="BV5" s="185"/>
      <c r="BW5" s="185"/>
    </row>
    <row r="6" spans="1:75" ht="14.25" x14ac:dyDescent="0.2">
      <c r="A6" s="165">
        <v>3</v>
      </c>
      <c r="B6" s="166" t="s">
        <v>121</v>
      </c>
      <c r="C6" s="167">
        <v>9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</row>
    <row r="7" spans="1:75" ht="14.25" x14ac:dyDescent="0.2">
      <c r="A7" s="165">
        <v>4</v>
      </c>
      <c r="B7" s="166" t="s">
        <v>122</v>
      </c>
      <c r="C7" s="167">
        <v>9</v>
      </c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</row>
    <row r="8" spans="1:75" ht="14.25" x14ac:dyDescent="0.2">
      <c r="A8" s="165">
        <v>5</v>
      </c>
      <c r="B8" s="166" t="s">
        <v>123</v>
      </c>
      <c r="C8" s="167">
        <v>9</v>
      </c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>
        <f>'Ket qua kinh doanh'!AN4</f>
        <v>0</v>
      </c>
      <c r="AO8" s="185">
        <f>'Ket qua kinh doanh'!AO4</f>
        <v>0</v>
      </c>
      <c r="AP8" s="185">
        <f>'Ket qua kinh doanh'!AP4</f>
        <v>0</v>
      </c>
      <c r="AQ8" s="185">
        <f>'Ket qua kinh doanh'!AQ4</f>
        <v>0</v>
      </c>
      <c r="AR8" s="185">
        <f>'Ket qua kinh doanh'!AR4</f>
        <v>0</v>
      </c>
      <c r="AS8" s="185">
        <f>'Ket qua kinh doanh'!AS4</f>
        <v>0</v>
      </c>
      <c r="AT8" s="185">
        <f>'Ket qua kinh doanh'!AT4</f>
        <v>0</v>
      </c>
      <c r="AU8" s="185">
        <f>'Ket qua kinh doanh'!AU4</f>
        <v>0</v>
      </c>
      <c r="AV8" s="185">
        <f>'Ket qua kinh doanh'!AV4</f>
        <v>0</v>
      </c>
      <c r="AW8" s="185">
        <f>'Ket qua kinh doanh'!AW4</f>
        <v>0</v>
      </c>
      <c r="AX8" s="185">
        <f>'Ket qua kinh doanh'!AX4</f>
        <v>0</v>
      </c>
      <c r="AY8" s="185">
        <f>'Ket qua kinh doanh'!AY4</f>
        <v>0</v>
      </c>
      <c r="AZ8" s="185">
        <f>'Ket qua kinh doanh'!AZ4</f>
        <v>0</v>
      </c>
      <c r="BA8" s="185">
        <f>'Ket qua kinh doanh'!BA4</f>
        <v>0</v>
      </c>
      <c r="BB8" s="185">
        <f>'Ket qua kinh doanh'!BB4</f>
        <v>0</v>
      </c>
      <c r="BC8" s="185">
        <f>'Ket qua kinh doanh'!BC4</f>
        <v>0</v>
      </c>
      <c r="BD8" s="185">
        <f>'Ket qua kinh doanh'!BD4</f>
        <v>0</v>
      </c>
      <c r="BE8" s="185">
        <f>'Ket qua kinh doanh'!BE4</f>
        <v>0</v>
      </c>
      <c r="BF8" s="185">
        <f>'Ket qua kinh doanh'!BF4</f>
        <v>0</v>
      </c>
      <c r="BG8" s="185">
        <f>'Ket qua kinh doanh'!BG4</f>
        <v>0</v>
      </c>
      <c r="BH8" s="185">
        <f>'Ket qua kinh doanh'!BH4</f>
        <v>0</v>
      </c>
      <c r="BI8" s="185">
        <f>'Ket qua kinh doanh'!BI4</f>
        <v>0</v>
      </c>
      <c r="BJ8" s="185">
        <f>'Ket qua kinh doanh'!BJ4</f>
        <v>0</v>
      </c>
      <c r="BK8" s="185">
        <f>'Ket qua kinh doanh'!BK4</f>
        <v>0</v>
      </c>
      <c r="BL8" s="185">
        <f>'Ket qua kinh doanh'!BL4</f>
        <v>0</v>
      </c>
      <c r="BM8" s="185">
        <f>'Ket qua kinh doanh'!BM4</f>
        <v>0</v>
      </c>
      <c r="BN8" s="185">
        <f>'Ket qua kinh doanh'!BN4</f>
        <v>0</v>
      </c>
      <c r="BO8" s="185">
        <f>'Ket qua kinh doanh'!BO4</f>
        <v>0</v>
      </c>
      <c r="BP8" s="185">
        <f>'Ket qua kinh doanh'!BP4</f>
        <v>0</v>
      </c>
      <c r="BQ8" s="185">
        <f>'Ket qua kinh doanh'!BQ4</f>
        <v>0</v>
      </c>
      <c r="BR8" s="185">
        <f>'Ket qua kinh doanh'!BR4</f>
        <v>0</v>
      </c>
      <c r="BS8" s="185">
        <f>'Ket qua kinh doanh'!BS4</f>
        <v>0</v>
      </c>
      <c r="BT8" s="185">
        <f>'Ket qua kinh doanh'!BT4</f>
        <v>0</v>
      </c>
      <c r="BU8" s="185">
        <f>'Ket qua kinh doanh'!BU4</f>
        <v>0</v>
      </c>
      <c r="BV8" s="185">
        <f>'Ket qua kinh doanh'!BV4</f>
        <v>0</v>
      </c>
      <c r="BW8" s="185">
        <f>'Ket qua kinh doanh'!BW4</f>
        <v>0</v>
      </c>
    </row>
    <row r="9" spans="1:75" ht="14.25" x14ac:dyDescent="0.2">
      <c r="A9" s="168">
        <v>6</v>
      </c>
      <c r="B9" s="169" t="s">
        <v>124</v>
      </c>
      <c r="C9" s="170">
        <v>9</v>
      </c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>
        <f>'Ket qua kinh doanh'!AN5</f>
        <v>0</v>
      </c>
      <c r="AO9" s="186">
        <f>'Ket qua kinh doanh'!AO5</f>
        <v>0</v>
      </c>
      <c r="AP9" s="186">
        <f>'Ket qua kinh doanh'!AP5</f>
        <v>0</v>
      </c>
      <c r="AQ9" s="186">
        <f>'Ket qua kinh doanh'!AQ5</f>
        <v>0</v>
      </c>
      <c r="AR9" s="186">
        <f>'Ket qua kinh doanh'!AR5</f>
        <v>0</v>
      </c>
      <c r="AS9" s="186">
        <f>'Ket qua kinh doanh'!AS5</f>
        <v>0</v>
      </c>
      <c r="AT9" s="186">
        <f>'Ket qua kinh doanh'!AT5</f>
        <v>0</v>
      </c>
      <c r="AU9" s="186">
        <f>'Ket qua kinh doanh'!AU5</f>
        <v>0</v>
      </c>
      <c r="AV9" s="186">
        <f>'Ket qua kinh doanh'!AV5</f>
        <v>0</v>
      </c>
      <c r="AW9" s="186">
        <f>'Ket qua kinh doanh'!AW5</f>
        <v>0</v>
      </c>
      <c r="AX9" s="186">
        <f>'Ket qua kinh doanh'!AX5</f>
        <v>0</v>
      </c>
      <c r="AY9" s="186">
        <f>'Ket qua kinh doanh'!AY5</f>
        <v>0</v>
      </c>
      <c r="AZ9" s="186">
        <f>'Ket qua kinh doanh'!AZ5</f>
        <v>0</v>
      </c>
      <c r="BA9" s="186">
        <f>'Ket qua kinh doanh'!BA5</f>
        <v>0</v>
      </c>
      <c r="BB9" s="186">
        <f>'Ket qua kinh doanh'!BB5</f>
        <v>0</v>
      </c>
      <c r="BC9" s="186">
        <f>'Ket qua kinh doanh'!BC5</f>
        <v>0</v>
      </c>
      <c r="BD9" s="186">
        <f>'Ket qua kinh doanh'!BD5</f>
        <v>0</v>
      </c>
      <c r="BE9" s="186">
        <f>'Ket qua kinh doanh'!BE5</f>
        <v>0</v>
      </c>
      <c r="BF9" s="186">
        <f>'Ket qua kinh doanh'!BF5</f>
        <v>0</v>
      </c>
      <c r="BG9" s="186">
        <f>'Ket qua kinh doanh'!BG5</f>
        <v>0</v>
      </c>
      <c r="BH9" s="186">
        <f>'Ket qua kinh doanh'!BH5</f>
        <v>0</v>
      </c>
      <c r="BI9" s="186">
        <f>'Ket qua kinh doanh'!BI5</f>
        <v>0</v>
      </c>
      <c r="BJ9" s="186">
        <f>'Ket qua kinh doanh'!BJ5</f>
        <v>0</v>
      </c>
      <c r="BK9" s="186">
        <f>'Ket qua kinh doanh'!BK5</f>
        <v>0</v>
      </c>
      <c r="BL9" s="186">
        <f>'Ket qua kinh doanh'!BL5</f>
        <v>0</v>
      </c>
      <c r="BM9" s="186">
        <f>'Ket qua kinh doanh'!BM5</f>
        <v>0</v>
      </c>
      <c r="BN9" s="186">
        <f>'Ket qua kinh doanh'!BN5</f>
        <v>0</v>
      </c>
      <c r="BO9" s="186">
        <f>'Ket qua kinh doanh'!BO5</f>
        <v>0</v>
      </c>
      <c r="BP9" s="186">
        <f>'Ket qua kinh doanh'!BP5</f>
        <v>0</v>
      </c>
      <c r="BQ9" s="186">
        <f>'Ket qua kinh doanh'!BQ5</f>
        <v>0</v>
      </c>
      <c r="BR9" s="186">
        <f>'Ket qua kinh doanh'!BR5</f>
        <v>0</v>
      </c>
      <c r="BS9" s="186">
        <f>'Ket qua kinh doanh'!BS5</f>
        <v>0</v>
      </c>
      <c r="BT9" s="186">
        <f>'Ket qua kinh doanh'!BT5</f>
        <v>0</v>
      </c>
      <c r="BU9" s="186">
        <f>'Ket qua kinh doanh'!BU5</f>
        <v>0</v>
      </c>
      <c r="BV9" s="186">
        <f>'Ket qua kinh doanh'!BV5</f>
        <v>0</v>
      </c>
      <c r="BW9" s="186">
        <f>'Ket qua kinh doanh'!BW5</f>
        <v>0</v>
      </c>
    </row>
    <row r="10" spans="1:75" ht="14.25" x14ac:dyDescent="0.2">
      <c r="A10" s="171">
        <v>7</v>
      </c>
      <c r="B10" s="172" t="s">
        <v>125</v>
      </c>
      <c r="C10" s="173">
        <v>9</v>
      </c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>
        <f>'Ket qua kinh doanh'!AN6</f>
        <v>0</v>
      </c>
      <c r="AO10" s="187">
        <f>'Ket qua kinh doanh'!AO6</f>
        <v>0</v>
      </c>
      <c r="AP10" s="187">
        <f>'Ket qua kinh doanh'!AP6</f>
        <v>0</v>
      </c>
      <c r="AQ10" s="187">
        <f>'Ket qua kinh doanh'!AQ6</f>
        <v>0</v>
      </c>
      <c r="AR10" s="187">
        <f>'Ket qua kinh doanh'!AR6</f>
        <v>0</v>
      </c>
      <c r="AS10" s="187">
        <f>'Ket qua kinh doanh'!AS6</f>
        <v>0</v>
      </c>
      <c r="AT10" s="187">
        <f>'Ket qua kinh doanh'!AT6</f>
        <v>0</v>
      </c>
      <c r="AU10" s="187">
        <f>'Ket qua kinh doanh'!AU6</f>
        <v>0</v>
      </c>
      <c r="AV10" s="187">
        <f>'Ket qua kinh doanh'!AV6</f>
        <v>0</v>
      </c>
      <c r="AW10" s="187">
        <f>'Ket qua kinh doanh'!AW6</f>
        <v>0</v>
      </c>
      <c r="AX10" s="187">
        <f>'Ket qua kinh doanh'!AX6</f>
        <v>0</v>
      </c>
      <c r="AY10" s="187">
        <f>'Ket qua kinh doanh'!AY6</f>
        <v>0</v>
      </c>
      <c r="AZ10" s="187">
        <f>'Ket qua kinh doanh'!AZ6</f>
        <v>0</v>
      </c>
      <c r="BA10" s="187">
        <f>'Ket qua kinh doanh'!BA6</f>
        <v>0</v>
      </c>
      <c r="BB10" s="187">
        <f>'Ket qua kinh doanh'!BB6</f>
        <v>0</v>
      </c>
      <c r="BC10" s="187">
        <f>'Ket qua kinh doanh'!BC6</f>
        <v>0</v>
      </c>
      <c r="BD10" s="187">
        <f>'Ket qua kinh doanh'!BD6</f>
        <v>0</v>
      </c>
      <c r="BE10" s="187">
        <f>'Ket qua kinh doanh'!BE6</f>
        <v>0</v>
      </c>
      <c r="BF10" s="187">
        <f>'Ket qua kinh doanh'!BF6</f>
        <v>0</v>
      </c>
      <c r="BG10" s="187">
        <f>'Ket qua kinh doanh'!BG6</f>
        <v>0</v>
      </c>
      <c r="BH10" s="187">
        <f>'Ket qua kinh doanh'!BH6</f>
        <v>0</v>
      </c>
      <c r="BI10" s="187">
        <f>'Ket qua kinh doanh'!BI6</f>
        <v>0</v>
      </c>
      <c r="BJ10" s="187">
        <f>'Ket qua kinh doanh'!BJ6</f>
        <v>0</v>
      </c>
      <c r="BK10" s="187">
        <f>'Ket qua kinh doanh'!BK6</f>
        <v>0</v>
      </c>
      <c r="BL10" s="187">
        <f>'Ket qua kinh doanh'!BL6</f>
        <v>0</v>
      </c>
      <c r="BM10" s="187">
        <f>'Ket qua kinh doanh'!BM6</f>
        <v>0</v>
      </c>
      <c r="BN10" s="187">
        <f>'Ket qua kinh doanh'!BN6</f>
        <v>0</v>
      </c>
      <c r="BO10" s="187">
        <f>'Ket qua kinh doanh'!BO6</f>
        <v>0</v>
      </c>
      <c r="BP10" s="187">
        <f>'Ket qua kinh doanh'!BP6</f>
        <v>0</v>
      </c>
      <c r="BQ10" s="187">
        <f>'Ket qua kinh doanh'!BQ6</f>
        <v>0</v>
      </c>
      <c r="BR10" s="187">
        <f>'Ket qua kinh doanh'!BR6</f>
        <v>0</v>
      </c>
      <c r="BS10" s="187">
        <f>'Ket qua kinh doanh'!BS6</f>
        <v>0</v>
      </c>
      <c r="BT10" s="187">
        <f>'Ket qua kinh doanh'!BT6</f>
        <v>0</v>
      </c>
      <c r="BU10" s="187">
        <f>'Ket qua kinh doanh'!BU6</f>
        <v>0</v>
      </c>
      <c r="BV10" s="187">
        <f>'Ket qua kinh doanh'!BV6</f>
        <v>0</v>
      </c>
      <c r="BW10" s="187">
        <f>'Ket qua kinh doanh'!BW6</f>
        <v>0</v>
      </c>
    </row>
    <row r="11" spans="1:75" ht="14.25" x14ac:dyDescent="0.2">
      <c r="A11" s="171">
        <v>8</v>
      </c>
      <c r="B11" s="172" t="s">
        <v>126</v>
      </c>
      <c r="C11" s="174">
        <v>9</v>
      </c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 t="str">
        <f t="shared" ref="AN11:BK11" si="0">IFERROR(AN10/AN9,"")</f>
        <v/>
      </c>
      <c r="AO11" s="188" t="str">
        <f t="shared" si="0"/>
        <v/>
      </c>
      <c r="AP11" s="188" t="str">
        <f t="shared" si="0"/>
        <v/>
      </c>
      <c r="AQ11" s="188" t="str">
        <f t="shared" si="0"/>
        <v/>
      </c>
      <c r="AR11" s="188" t="str">
        <f t="shared" si="0"/>
        <v/>
      </c>
      <c r="AS11" s="188" t="str">
        <f t="shared" si="0"/>
        <v/>
      </c>
      <c r="AT11" s="188" t="str">
        <f t="shared" si="0"/>
        <v/>
      </c>
      <c r="AU11" s="188" t="str">
        <f t="shared" si="0"/>
        <v/>
      </c>
      <c r="AV11" s="188" t="str">
        <f t="shared" si="0"/>
        <v/>
      </c>
      <c r="AW11" s="188" t="str">
        <f t="shared" si="0"/>
        <v/>
      </c>
      <c r="AX11" s="188" t="str">
        <f t="shared" si="0"/>
        <v/>
      </c>
      <c r="AY11" s="188" t="str">
        <f t="shared" si="0"/>
        <v/>
      </c>
      <c r="AZ11" s="188" t="str">
        <f t="shared" si="0"/>
        <v/>
      </c>
      <c r="BA11" s="188" t="str">
        <f t="shared" si="0"/>
        <v/>
      </c>
      <c r="BB11" s="188" t="str">
        <f t="shared" si="0"/>
        <v/>
      </c>
      <c r="BC11" s="188" t="str">
        <f t="shared" si="0"/>
        <v/>
      </c>
      <c r="BD11" s="188" t="str">
        <f t="shared" si="0"/>
        <v/>
      </c>
      <c r="BE11" s="188" t="str">
        <f t="shared" si="0"/>
        <v/>
      </c>
      <c r="BF11" s="188" t="str">
        <f t="shared" si="0"/>
        <v/>
      </c>
      <c r="BG11" s="188" t="str">
        <f t="shared" si="0"/>
        <v/>
      </c>
      <c r="BH11" s="188" t="str">
        <f t="shared" si="0"/>
        <v/>
      </c>
      <c r="BI11" s="188" t="str">
        <f t="shared" si="0"/>
        <v/>
      </c>
      <c r="BJ11" s="188" t="str">
        <f t="shared" si="0"/>
        <v/>
      </c>
      <c r="BK11" s="188" t="str">
        <f t="shared" si="0"/>
        <v/>
      </c>
      <c r="BL11" s="188" t="str">
        <f t="shared" ref="BL11" si="1">IFERROR(BL10/BL9,"")</f>
        <v/>
      </c>
      <c r="BM11" s="188" t="str">
        <f t="shared" ref="BM11" si="2">IFERROR(BM10/BM9,"")</f>
        <v/>
      </c>
      <c r="BN11" s="188" t="str">
        <f t="shared" ref="BN11" si="3">IFERROR(BN10/BN9,"")</f>
        <v/>
      </c>
      <c r="BO11" s="188" t="str">
        <f t="shared" ref="BO11" si="4">IFERROR(BO10/BO9,"")</f>
        <v/>
      </c>
      <c r="BP11" s="188" t="str">
        <f t="shared" ref="BP11" si="5">IFERROR(BP10/BP9,"")</f>
        <v/>
      </c>
      <c r="BQ11" s="188" t="str">
        <f t="shared" ref="BQ11" si="6">IFERROR(BQ10/BQ9,"")</f>
        <v/>
      </c>
      <c r="BR11" s="188" t="str">
        <f t="shared" ref="BR11" si="7">IFERROR(BR10/BR9,"")</f>
        <v/>
      </c>
      <c r="BS11" s="188" t="str">
        <f t="shared" ref="BS11" si="8">IFERROR(BS10/BS9,"")</f>
        <v/>
      </c>
      <c r="BT11" s="188" t="str">
        <f t="shared" ref="BT11" si="9">IFERROR(BT10/BT9,"")</f>
        <v/>
      </c>
      <c r="BU11" s="188" t="str">
        <f t="shared" ref="BU11" si="10">IFERROR(BU10/BU9,"")</f>
        <v/>
      </c>
      <c r="BV11" s="188" t="str">
        <f t="shared" ref="BV11" si="11">IFERROR(BV10/BV9,"")</f>
        <v/>
      </c>
      <c r="BW11" s="188" t="str">
        <f t="shared" ref="BW11" si="12">IFERROR(BW10/BW9,"")</f>
        <v/>
      </c>
    </row>
    <row r="12" spans="1:75" ht="14.25" x14ac:dyDescent="0.2">
      <c r="A12" s="168">
        <v>9</v>
      </c>
      <c r="B12" s="169" t="s">
        <v>127</v>
      </c>
      <c r="C12" s="175">
        <v>9</v>
      </c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>
        <f>'Ket qua kinh doanh'!AN7</f>
        <v>0</v>
      </c>
      <c r="AO12" s="189">
        <f>'Ket qua kinh doanh'!AO7</f>
        <v>0</v>
      </c>
      <c r="AP12" s="189">
        <f>'Ket qua kinh doanh'!AP7</f>
        <v>0</v>
      </c>
      <c r="AQ12" s="189">
        <f>'Ket qua kinh doanh'!AQ7</f>
        <v>0</v>
      </c>
      <c r="AR12" s="189">
        <f>'Ket qua kinh doanh'!AR7</f>
        <v>0</v>
      </c>
      <c r="AS12" s="189">
        <f>'Ket qua kinh doanh'!AS7</f>
        <v>0</v>
      </c>
      <c r="AT12" s="189">
        <f>'Ket qua kinh doanh'!AT7</f>
        <v>0</v>
      </c>
      <c r="AU12" s="189">
        <f>'Ket qua kinh doanh'!AU7</f>
        <v>0</v>
      </c>
      <c r="AV12" s="189">
        <f>'Ket qua kinh doanh'!AV7</f>
        <v>0</v>
      </c>
      <c r="AW12" s="189">
        <f>'Ket qua kinh doanh'!AW7</f>
        <v>0</v>
      </c>
      <c r="AX12" s="189">
        <f>'Ket qua kinh doanh'!AX7</f>
        <v>0</v>
      </c>
      <c r="AY12" s="189">
        <f>'Ket qua kinh doanh'!AY7</f>
        <v>0</v>
      </c>
      <c r="AZ12" s="189">
        <f>'Ket qua kinh doanh'!AZ7</f>
        <v>0</v>
      </c>
      <c r="BA12" s="189">
        <f>'Ket qua kinh doanh'!BA7</f>
        <v>0</v>
      </c>
      <c r="BB12" s="189">
        <f>'Ket qua kinh doanh'!BB7</f>
        <v>0</v>
      </c>
      <c r="BC12" s="189">
        <f>'Ket qua kinh doanh'!BC7</f>
        <v>0</v>
      </c>
      <c r="BD12" s="189">
        <f>'Ket qua kinh doanh'!BD7</f>
        <v>0</v>
      </c>
      <c r="BE12" s="189">
        <f>'Ket qua kinh doanh'!BE7</f>
        <v>0</v>
      </c>
      <c r="BF12" s="189">
        <f>'Ket qua kinh doanh'!BF7</f>
        <v>0</v>
      </c>
      <c r="BG12" s="189">
        <f>'Ket qua kinh doanh'!BG7</f>
        <v>0</v>
      </c>
      <c r="BH12" s="189">
        <f>'Ket qua kinh doanh'!BH7</f>
        <v>0</v>
      </c>
      <c r="BI12" s="189">
        <f>'Ket qua kinh doanh'!BI7</f>
        <v>0</v>
      </c>
      <c r="BJ12" s="189">
        <f>'Ket qua kinh doanh'!BJ7</f>
        <v>0</v>
      </c>
      <c r="BK12" s="189">
        <f>'Ket qua kinh doanh'!BK7</f>
        <v>0</v>
      </c>
      <c r="BL12" s="189">
        <f>'Ket qua kinh doanh'!BL7</f>
        <v>0</v>
      </c>
      <c r="BM12" s="189">
        <f>'Ket qua kinh doanh'!BM7</f>
        <v>0</v>
      </c>
      <c r="BN12" s="189">
        <f>'Ket qua kinh doanh'!BN7</f>
        <v>0</v>
      </c>
      <c r="BO12" s="189">
        <f>'Ket qua kinh doanh'!BO7</f>
        <v>0</v>
      </c>
      <c r="BP12" s="189">
        <f>'Ket qua kinh doanh'!BP7</f>
        <v>0</v>
      </c>
      <c r="BQ12" s="189">
        <f>'Ket qua kinh doanh'!BQ7</f>
        <v>0</v>
      </c>
      <c r="BR12" s="189">
        <f>'Ket qua kinh doanh'!BR7</f>
        <v>0</v>
      </c>
      <c r="BS12" s="189">
        <f>'Ket qua kinh doanh'!BS7</f>
        <v>0</v>
      </c>
      <c r="BT12" s="189">
        <f>'Ket qua kinh doanh'!BT7</f>
        <v>0</v>
      </c>
      <c r="BU12" s="189">
        <f>'Ket qua kinh doanh'!BU7</f>
        <v>0</v>
      </c>
      <c r="BV12" s="189">
        <f>'Ket qua kinh doanh'!BV7</f>
        <v>0</v>
      </c>
      <c r="BW12" s="189">
        <f>'Ket qua kinh doanh'!BW7</f>
        <v>0</v>
      </c>
    </row>
    <row r="13" spans="1:75" ht="14.25" x14ac:dyDescent="0.2">
      <c r="A13" s="165">
        <v>10</v>
      </c>
      <c r="B13" s="166" t="s">
        <v>128</v>
      </c>
      <c r="C13" s="176">
        <v>9</v>
      </c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  <c r="BQ13" s="190"/>
      <c r="BR13" s="190"/>
      <c r="BS13" s="190"/>
      <c r="BT13" s="190"/>
      <c r="BU13" s="190"/>
      <c r="BV13" s="190"/>
      <c r="BW13" s="190"/>
    </row>
    <row r="14" spans="1:75" ht="14.25" x14ac:dyDescent="0.2">
      <c r="A14" s="165">
        <v>11</v>
      </c>
      <c r="B14" s="166" t="s">
        <v>129</v>
      </c>
      <c r="C14" s="176">
        <v>9</v>
      </c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190"/>
      <c r="BT14" s="190"/>
      <c r="BU14" s="190"/>
      <c r="BV14" s="190"/>
      <c r="BW14" s="190"/>
    </row>
    <row r="15" spans="1:75" ht="14.25" x14ac:dyDescent="0.2">
      <c r="A15" s="165">
        <v>12</v>
      </c>
      <c r="B15" s="166" t="s">
        <v>130</v>
      </c>
      <c r="C15" s="176">
        <v>9</v>
      </c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</row>
    <row r="16" spans="1:75" ht="14.25" x14ac:dyDescent="0.2">
      <c r="A16" s="168">
        <v>13</v>
      </c>
      <c r="B16" s="169" t="s">
        <v>131</v>
      </c>
      <c r="C16" s="170">
        <v>9</v>
      </c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>
        <f>'Ket qua kinh doanh'!AN8</f>
        <v>0</v>
      </c>
      <c r="AO16" s="186">
        <f>'Ket qua kinh doanh'!AO8</f>
        <v>0</v>
      </c>
      <c r="AP16" s="186">
        <f>'Ket qua kinh doanh'!AP8</f>
        <v>0</v>
      </c>
      <c r="AQ16" s="186">
        <f>'Ket qua kinh doanh'!AQ8</f>
        <v>0</v>
      </c>
      <c r="AR16" s="186">
        <f>'Ket qua kinh doanh'!AR8</f>
        <v>0</v>
      </c>
      <c r="AS16" s="186">
        <f>'Ket qua kinh doanh'!AS8</f>
        <v>0</v>
      </c>
      <c r="AT16" s="186">
        <f>'Ket qua kinh doanh'!AT8</f>
        <v>0</v>
      </c>
      <c r="AU16" s="186">
        <f>'Ket qua kinh doanh'!AU8</f>
        <v>0</v>
      </c>
      <c r="AV16" s="186">
        <f>'Ket qua kinh doanh'!AV8</f>
        <v>0</v>
      </c>
      <c r="AW16" s="186">
        <f>'Ket qua kinh doanh'!AW8</f>
        <v>0</v>
      </c>
      <c r="AX16" s="186">
        <f>'Ket qua kinh doanh'!AX8</f>
        <v>0</v>
      </c>
      <c r="AY16" s="186">
        <f>'Ket qua kinh doanh'!AY8</f>
        <v>0</v>
      </c>
      <c r="AZ16" s="186">
        <f>'Ket qua kinh doanh'!AZ8</f>
        <v>0</v>
      </c>
      <c r="BA16" s="186">
        <f>'Ket qua kinh doanh'!BA8</f>
        <v>0</v>
      </c>
      <c r="BB16" s="186">
        <f>'Ket qua kinh doanh'!BB8</f>
        <v>0</v>
      </c>
      <c r="BC16" s="186">
        <f>'Ket qua kinh doanh'!BC8</f>
        <v>0</v>
      </c>
      <c r="BD16" s="186">
        <f>'Ket qua kinh doanh'!BD8</f>
        <v>0</v>
      </c>
      <c r="BE16" s="186">
        <f>'Ket qua kinh doanh'!BE8</f>
        <v>0</v>
      </c>
      <c r="BF16" s="186">
        <f>'Ket qua kinh doanh'!BF8</f>
        <v>0</v>
      </c>
      <c r="BG16" s="186">
        <f>'Ket qua kinh doanh'!BG8</f>
        <v>0</v>
      </c>
      <c r="BH16" s="186">
        <f>'Ket qua kinh doanh'!BH8</f>
        <v>0</v>
      </c>
      <c r="BI16" s="186">
        <f>'Ket qua kinh doanh'!BI8</f>
        <v>0</v>
      </c>
      <c r="BJ16" s="186">
        <f>'Ket qua kinh doanh'!BJ8</f>
        <v>0</v>
      </c>
      <c r="BK16" s="186">
        <f>'Ket qua kinh doanh'!BK8</f>
        <v>0</v>
      </c>
      <c r="BL16" s="186">
        <f>'Ket qua kinh doanh'!BL8</f>
        <v>0</v>
      </c>
      <c r="BM16" s="186">
        <f>'Ket qua kinh doanh'!BM8</f>
        <v>0</v>
      </c>
      <c r="BN16" s="186">
        <f>'Ket qua kinh doanh'!BN8</f>
        <v>0</v>
      </c>
      <c r="BO16" s="186">
        <f>'Ket qua kinh doanh'!BO8</f>
        <v>0</v>
      </c>
      <c r="BP16" s="186">
        <f>'Ket qua kinh doanh'!BP8</f>
        <v>0</v>
      </c>
      <c r="BQ16" s="186">
        <f>'Ket qua kinh doanh'!BQ8</f>
        <v>0</v>
      </c>
      <c r="BR16" s="186">
        <f>'Ket qua kinh doanh'!BR8</f>
        <v>0</v>
      </c>
      <c r="BS16" s="186">
        <f>'Ket qua kinh doanh'!BS8</f>
        <v>0</v>
      </c>
      <c r="BT16" s="186">
        <f>'Ket qua kinh doanh'!BT8</f>
        <v>0</v>
      </c>
      <c r="BU16" s="186">
        <f>'Ket qua kinh doanh'!BU8</f>
        <v>0</v>
      </c>
      <c r="BV16" s="186">
        <f>'Ket qua kinh doanh'!BV8</f>
        <v>0</v>
      </c>
      <c r="BW16" s="186">
        <f>'Ket qua kinh doanh'!BW8</f>
        <v>0</v>
      </c>
    </row>
    <row r="17" spans="1:75" ht="14.25" x14ac:dyDescent="0.2">
      <c r="A17" s="165">
        <v>14</v>
      </c>
      <c r="B17" s="166" t="s">
        <v>132</v>
      </c>
      <c r="C17" s="176">
        <v>9</v>
      </c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</row>
    <row r="18" spans="1:75" ht="14.25" x14ac:dyDescent="0.2">
      <c r="A18" s="165">
        <v>15</v>
      </c>
      <c r="B18" s="166" t="s">
        <v>133</v>
      </c>
      <c r="C18" s="176">
        <v>9</v>
      </c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</row>
    <row r="19" spans="1:75" ht="14.25" x14ac:dyDescent="0.2">
      <c r="A19" s="165">
        <v>16</v>
      </c>
      <c r="B19" s="166" t="s">
        <v>134</v>
      </c>
      <c r="C19" s="176">
        <v>9</v>
      </c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</row>
    <row r="20" spans="1:75" ht="14.25" x14ac:dyDescent="0.2">
      <c r="A20" s="165">
        <v>17</v>
      </c>
      <c r="B20" s="166" t="s">
        <v>135</v>
      </c>
      <c r="C20" s="176">
        <v>9</v>
      </c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</row>
    <row r="21" spans="1:75" ht="14.25" x14ac:dyDescent="0.2">
      <c r="A21" s="165">
        <v>18</v>
      </c>
      <c r="B21" s="166" t="s">
        <v>136</v>
      </c>
      <c r="C21" s="176">
        <v>9</v>
      </c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</row>
    <row r="22" spans="1:75" ht="14.25" x14ac:dyDescent="0.2">
      <c r="A22" s="165">
        <v>19</v>
      </c>
      <c r="B22" s="177" t="s">
        <v>137</v>
      </c>
      <c r="C22" s="176">
        <v>9</v>
      </c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</row>
    <row r="23" spans="1:75" ht="14.25" x14ac:dyDescent="0.2">
      <c r="A23" s="165">
        <v>20</v>
      </c>
      <c r="B23" s="166" t="s">
        <v>138</v>
      </c>
      <c r="C23" s="176">
        <v>9</v>
      </c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190"/>
      <c r="BG23" s="190"/>
      <c r="BH23" s="190"/>
      <c r="BI23" s="190"/>
      <c r="BJ23" s="190"/>
      <c r="BK23" s="190"/>
      <c r="BL23" s="190"/>
      <c r="BM23" s="190"/>
      <c r="BN23" s="190"/>
      <c r="BO23" s="190"/>
      <c r="BP23" s="190"/>
      <c r="BQ23" s="190"/>
      <c r="BR23" s="190"/>
      <c r="BS23" s="190"/>
      <c r="BT23" s="190"/>
      <c r="BU23" s="190"/>
      <c r="BV23" s="190"/>
      <c r="BW23" s="190"/>
    </row>
    <row r="24" spans="1:75" ht="14.25" x14ac:dyDescent="0.2">
      <c r="A24" s="178">
        <v>21</v>
      </c>
      <c r="B24" s="177" t="s">
        <v>139</v>
      </c>
      <c r="C24" s="176">
        <v>9</v>
      </c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  <c r="BM24" s="190"/>
      <c r="BN24" s="190"/>
      <c r="BO24" s="190"/>
      <c r="BP24" s="190"/>
      <c r="BQ24" s="190"/>
      <c r="BR24" s="190"/>
      <c r="BS24" s="190"/>
      <c r="BT24" s="190"/>
      <c r="BU24" s="190"/>
      <c r="BV24" s="190"/>
      <c r="BW24" s="190"/>
    </row>
    <row r="25" spans="1:75" ht="14.25" x14ac:dyDescent="0.2">
      <c r="A25" s="165">
        <v>22</v>
      </c>
      <c r="B25" s="166" t="s">
        <v>140</v>
      </c>
      <c r="C25" s="176">
        <v>9</v>
      </c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  <c r="BI25" s="190"/>
      <c r="BJ25" s="190"/>
      <c r="BK25" s="190"/>
      <c r="BL25" s="190"/>
      <c r="BM25" s="190"/>
      <c r="BN25" s="190"/>
      <c r="BO25" s="190"/>
      <c r="BP25" s="190"/>
      <c r="BQ25" s="190"/>
      <c r="BR25" s="190"/>
      <c r="BS25" s="190"/>
      <c r="BT25" s="190"/>
      <c r="BU25" s="190"/>
      <c r="BV25" s="190"/>
      <c r="BW25" s="190"/>
    </row>
    <row r="26" spans="1:75" ht="14.25" x14ac:dyDescent="0.2">
      <c r="A26" s="165">
        <v>23</v>
      </c>
      <c r="B26" s="166" t="s">
        <v>141</v>
      </c>
      <c r="C26" s="176">
        <v>9</v>
      </c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</row>
    <row r="27" spans="1:75" ht="14.25" x14ac:dyDescent="0.2">
      <c r="A27" s="165">
        <v>24</v>
      </c>
      <c r="B27" s="166" t="s">
        <v>142</v>
      </c>
      <c r="C27" s="176">
        <v>9</v>
      </c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</row>
    <row r="28" spans="1:75" ht="14.25" x14ac:dyDescent="0.2">
      <c r="A28" s="165">
        <v>25</v>
      </c>
      <c r="B28" s="166" t="s">
        <v>143</v>
      </c>
      <c r="C28" s="176">
        <v>9</v>
      </c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0"/>
      <c r="BU28" s="190"/>
      <c r="BV28" s="190"/>
      <c r="BW28" s="190"/>
    </row>
    <row r="29" spans="1:75" ht="14.25" x14ac:dyDescent="0.2">
      <c r="A29" s="171">
        <v>26</v>
      </c>
      <c r="B29" s="172" t="s">
        <v>144</v>
      </c>
      <c r="C29" s="179">
        <v>9</v>
      </c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 t="str">
        <f t="shared" ref="AN29:BK29" si="13">IFERROR(AN16/AN12,"")</f>
        <v/>
      </c>
      <c r="AO29" s="191" t="str">
        <f t="shared" si="13"/>
        <v/>
      </c>
      <c r="AP29" s="191" t="str">
        <f t="shared" si="13"/>
        <v/>
      </c>
      <c r="AQ29" s="191" t="str">
        <f t="shared" si="13"/>
        <v/>
      </c>
      <c r="AR29" s="191" t="str">
        <f t="shared" si="13"/>
        <v/>
      </c>
      <c r="AS29" s="191" t="str">
        <f t="shared" si="13"/>
        <v/>
      </c>
      <c r="AT29" s="191" t="str">
        <f t="shared" si="13"/>
        <v/>
      </c>
      <c r="AU29" s="191" t="str">
        <f t="shared" si="13"/>
        <v/>
      </c>
      <c r="AV29" s="191" t="str">
        <f t="shared" si="13"/>
        <v/>
      </c>
      <c r="AW29" s="191" t="str">
        <f t="shared" si="13"/>
        <v/>
      </c>
      <c r="AX29" s="191" t="str">
        <f t="shared" si="13"/>
        <v/>
      </c>
      <c r="AY29" s="191" t="str">
        <f t="shared" si="13"/>
        <v/>
      </c>
      <c r="AZ29" s="191" t="str">
        <f t="shared" si="13"/>
        <v/>
      </c>
      <c r="BA29" s="191" t="str">
        <f t="shared" si="13"/>
        <v/>
      </c>
      <c r="BB29" s="191" t="str">
        <f t="shared" si="13"/>
        <v/>
      </c>
      <c r="BC29" s="191" t="str">
        <f t="shared" si="13"/>
        <v/>
      </c>
      <c r="BD29" s="191" t="str">
        <f t="shared" si="13"/>
        <v/>
      </c>
      <c r="BE29" s="191" t="str">
        <f t="shared" si="13"/>
        <v/>
      </c>
      <c r="BF29" s="191" t="str">
        <f t="shared" si="13"/>
        <v/>
      </c>
      <c r="BG29" s="191" t="str">
        <f t="shared" si="13"/>
        <v/>
      </c>
      <c r="BH29" s="191" t="str">
        <f t="shared" si="13"/>
        <v/>
      </c>
      <c r="BI29" s="191" t="str">
        <f t="shared" si="13"/>
        <v/>
      </c>
      <c r="BJ29" s="191" t="str">
        <f t="shared" si="13"/>
        <v/>
      </c>
      <c r="BK29" s="191" t="str">
        <f t="shared" si="13"/>
        <v/>
      </c>
      <c r="BL29" s="191" t="str">
        <f t="shared" ref="BL29:BW29" si="14">IFERROR(BL16/BL12,"")</f>
        <v/>
      </c>
      <c r="BM29" s="191" t="str">
        <f t="shared" si="14"/>
        <v/>
      </c>
      <c r="BN29" s="191" t="str">
        <f t="shared" si="14"/>
        <v/>
      </c>
      <c r="BO29" s="191" t="str">
        <f t="shared" si="14"/>
        <v/>
      </c>
      <c r="BP29" s="191" t="str">
        <f t="shared" si="14"/>
        <v/>
      </c>
      <c r="BQ29" s="191" t="str">
        <f t="shared" si="14"/>
        <v/>
      </c>
      <c r="BR29" s="191" t="str">
        <f t="shared" si="14"/>
        <v/>
      </c>
      <c r="BS29" s="191" t="str">
        <f t="shared" si="14"/>
        <v/>
      </c>
      <c r="BT29" s="191" t="str">
        <f t="shared" si="14"/>
        <v/>
      </c>
      <c r="BU29" s="191" t="str">
        <f t="shared" si="14"/>
        <v/>
      </c>
      <c r="BV29" s="191" t="str">
        <f t="shared" si="14"/>
        <v/>
      </c>
      <c r="BW29" s="191" t="str">
        <f t="shared" si="14"/>
        <v/>
      </c>
    </row>
    <row r="30" spans="1:75" ht="14.25" x14ac:dyDescent="0.2">
      <c r="A30" s="168">
        <v>27</v>
      </c>
      <c r="B30" s="169" t="s">
        <v>145</v>
      </c>
      <c r="C30" s="170">
        <v>9</v>
      </c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>
        <f>'Ket qua kinh doanh'!AN9</f>
        <v>0</v>
      </c>
      <c r="AO30" s="186">
        <f>'Ket qua kinh doanh'!AO9</f>
        <v>0</v>
      </c>
      <c r="AP30" s="186">
        <f>'Ket qua kinh doanh'!AP9</f>
        <v>0</v>
      </c>
      <c r="AQ30" s="186">
        <f>'Ket qua kinh doanh'!AQ9</f>
        <v>0</v>
      </c>
      <c r="AR30" s="186">
        <f>'Ket qua kinh doanh'!AR9</f>
        <v>0</v>
      </c>
      <c r="AS30" s="186">
        <f>'Ket qua kinh doanh'!AS9</f>
        <v>0</v>
      </c>
      <c r="AT30" s="186">
        <f>'Ket qua kinh doanh'!AT9</f>
        <v>0</v>
      </c>
      <c r="AU30" s="186">
        <f>'Ket qua kinh doanh'!AU9</f>
        <v>0</v>
      </c>
      <c r="AV30" s="186">
        <f>'Ket qua kinh doanh'!AV9</f>
        <v>0</v>
      </c>
      <c r="AW30" s="186">
        <f>'Ket qua kinh doanh'!AW9</f>
        <v>0</v>
      </c>
      <c r="AX30" s="186">
        <f>'Ket qua kinh doanh'!AX9</f>
        <v>0</v>
      </c>
      <c r="AY30" s="186">
        <f>'Ket qua kinh doanh'!AY9</f>
        <v>0</v>
      </c>
      <c r="AZ30" s="186">
        <f>'Ket qua kinh doanh'!AZ9</f>
        <v>0</v>
      </c>
      <c r="BA30" s="186">
        <f>'Ket qua kinh doanh'!BA9</f>
        <v>0</v>
      </c>
      <c r="BB30" s="186">
        <f>'Ket qua kinh doanh'!BB9</f>
        <v>0</v>
      </c>
      <c r="BC30" s="186">
        <f>'Ket qua kinh doanh'!BC9</f>
        <v>0</v>
      </c>
      <c r="BD30" s="186">
        <f>'Ket qua kinh doanh'!BD9</f>
        <v>0</v>
      </c>
      <c r="BE30" s="186">
        <f>'Ket qua kinh doanh'!BE9</f>
        <v>0</v>
      </c>
      <c r="BF30" s="186">
        <f>'Ket qua kinh doanh'!BF9</f>
        <v>0</v>
      </c>
      <c r="BG30" s="186">
        <f>'Ket qua kinh doanh'!BG9</f>
        <v>0</v>
      </c>
      <c r="BH30" s="186">
        <f>'Ket qua kinh doanh'!BH9</f>
        <v>0</v>
      </c>
      <c r="BI30" s="186">
        <f>'Ket qua kinh doanh'!BI9</f>
        <v>0</v>
      </c>
      <c r="BJ30" s="186">
        <f>'Ket qua kinh doanh'!BJ9</f>
        <v>0</v>
      </c>
      <c r="BK30" s="186">
        <f>'Ket qua kinh doanh'!BK9</f>
        <v>0</v>
      </c>
      <c r="BL30" s="186">
        <f>'Ket qua kinh doanh'!BL9</f>
        <v>0</v>
      </c>
      <c r="BM30" s="186">
        <f>'Ket qua kinh doanh'!BM9</f>
        <v>0</v>
      </c>
      <c r="BN30" s="186">
        <f>'Ket qua kinh doanh'!BN9</f>
        <v>0</v>
      </c>
      <c r="BO30" s="186">
        <f>'Ket qua kinh doanh'!BO9</f>
        <v>0</v>
      </c>
      <c r="BP30" s="186">
        <f>'Ket qua kinh doanh'!BP9</f>
        <v>0</v>
      </c>
      <c r="BQ30" s="186">
        <f>'Ket qua kinh doanh'!BQ9</f>
        <v>0</v>
      </c>
      <c r="BR30" s="186">
        <f>'Ket qua kinh doanh'!BR9</f>
        <v>0</v>
      </c>
      <c r="BS30" s="186">
        <f>'Ket qua kinh doanh'!BS9</f>
        <v>0</v>
      </c>
      <c r="BT30" s="186">
        <f>'Ket qua kinh doanh'!BT9</f>
        <v>0</v>
      </c>
      <c r="BU30" s="186">
        <f>'Ket qua kinh doanh'!BU9</f>
        <v>0</v>
      </c>
      <c r="BV30" s="186">
        <f>'Ket qua kinh doanh'!BV9</f>
        <v>0</v>
      </c>
      <c r="BW30" s="186">
        <f>'Ket qua kinh doanh'!BW9</f>
        <v>0</v>
      </c>
    </row>
    <row r="31" spans="1:75" ht="14.25" x14ac:dyDescent="0.2">
      <c r="A31" s="171">
        <v>28</v>
      </c>
      <c r="B31" s="172" t="s">
        <v>146</v>
      </c>
      <c r="C31" s="174">
        <v>9</v>
      </c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 t="str">
        <f t="shared" ref="AN31:BK31" si="15">IFERROR(AN30/AN12,"")</f>
        <v/>
      </c>
      <c r="AO31" s="188" t="str">
        <f t="shared" si="15"/>
        <v/>
      </c>
      <c r="AP31" s="188" t="str">
        <f t="shared" si="15"/>
        <v/>
      </c>
      <c r="AQ31" s="188" t="str">
        <f t="shared" si="15"/>
        <v/>
      </c>
      <c r="AR31" s="188" t="str">
        <f t="shared" si="15"/>
        <v/>
      </c>
      <c r="AS31" s="188" t="str">
        <f t="shared" si="15"/>
        <v/>
      </c>
      <c r="AT31" s="188" t="str">
        <f t="shared" si="15"/>
        <v/>
      </c>
      <c r="AU31" s="188" t="str">
        <f t="shared" si="15"/>
        <v/>
      </c>
      <c r="AV31" s="188" t="str">
        <f t="shared" si="15"/>
        <v/>
      </c>
      <c r="AW31" s="188" t="str">
        <f t="shared" si="15"/>
        <v/>
      </c>
      <c r="AX31" s="188" t="str">
        <f t="shared" si="15"/>
        <v/>
      </c>
      <c r="AY31" s="188" t="str">
        <f t="shared" si="15"/>
        <v/>
      </c>
      <c r="AZ31" s="188" t="str">
        <f t="shared" si="15"/>
        <v/>
      </c>
      <c r="BA31" s="188" t="str">
        <f t="shared" si="15"/>
        <v/>
      </c>
      <c r="BB31" s="188" t="str">
        <f t="shared" si="15"/>
        <v/>
      </c>
      <c r="BC31" s="188" t="str">
        <f t="shared" si="15"/>
        <v/>
      </c>
      <c r="BD31" s="188" t="str">
        <f t="shared" si="15"/>
        <v/>
      </c>
      <c r="BE31" s="188" t="str">
        <f t="shared" si="15"/>
        <v/>
      </c>
      <c r="BF31" s="188" t="str">
        <f t="shared" si="15"/>
        <v/>
      </c>
      <c r="BG31" s="188" t="str">
        <f t="shared" si="15"/>
        <v/>
      </c>
      <c r="BH31" s="188" t="str">
        <f t="shared" si="15"/>
        <v/>
      </c>
      <c r="BI31" s="188" t="str">
        <f t="shared" si="15"/>
        <v/>
      </c>
      <c r="BJ31" s="188" t="str">
        <f t="shared" si="15"/>
        <v/>
      </c>
      <c r="BK31" s="188" t="str">
        <f t="shared" si="15"/>
        <v/>
      </c>
      <c r="BL31" s="188" t="str">
        <f t="shared" ref="BL31" si="16">IFERROR(BL30/BL12,"")</f>
        <v/>
      </c>
      <c r="BM31" s="188" t="str">
        <f t="shared" ref="BM31" si="17">IFERROR(BM30/BM12,"")</f>
        <v/>
      </c>
      <c r="BN31" s="188" t="str">
        <f t="shared" ref="BN31" si="18">IFERROR(BN30/BN12,"")</f>
        <v/>
      </c>
      <c r="BO31" s="188" t="str">
        <f t="shared" ref="BO31" si="19">IFERROR(BO30/BO12,"")</f>
        <v/>
      </c>
      <c r="BP31" s="188" t="str">
        <f t="shared" ref="BP31" si="20">IFERROR(BP30/BP12,"")</f>
        <v/>
      </c>
      <c r="BQ31" s="188" t="str">
        <f t="shared" ref="BQ31" si="21">IFERROR(BQ30/BQ12,"")</f>
        <v/>
      </c>
      <c r="BR31" s="188" t="str">
        <f t="shared" ref="BR31" si="22">IFERROR(BR30/BR12,"")</f>
        <v/>
      </c>
      <c r="BS31" s="188" t="str">
        <f t="shared" ref="BS31" si="23">IFERROR(BS30/BS12,"")</f>
        <v/>
      </c>
      <c r="BT31" s="188" t="str">
        <f t="shared" ref="BT31" si="24">IFERROR(BT30/BT12,"")</f>
        <v/>
      </c>
      <c r="BU31" s="188" t="str">
        <f t="shared" ref="BU31" si="25">IFERROR(BU30/BU12,"")</f>
        <v/>
      </c>
      <c r="BV31" s="188" t="str">
        <f t="shared" ref="BV31" si="26">IFERROR(BV30/BV12,"")</f>
        <v/>
      </c>
      <c r="BW31" s="188" t="str">
        <f t="shared" ref="BW31" si="27">IFERROR(BW30/BW12,"")</f>
        <v/>
      </c>
    </row>
    <row r="32" spans="1:75" ht="14.25" x14ac:dyDescent="0.2">
      <c r="A32" s="168">
        <v>29</v>
      </c>
      <c r="B32" s="169" t="s">
        <v>190</v>
      </c>
      <c r="C32" s="170">
        <v>9</v>
      </c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>
        <f>'Ket qua kinh doanh'!AN20</f>
        <v>0</v>
      </c>
      <c r="AO32" s="186">
        <f>'Ket qua kinh doanh'!AO20</f>
        <v>0</v>
      </c>
      <c r="AP32" s="186">
        <f>'Ket qua kinh doanh'!AP20</f>
        <v>0</v>
      </c>
      <c r="AQ32" s="186">
        <f>'Ket qua kinh doanh'!AQ20</f>
        <v>0</v>
      </c>
      <c r="AR32" s="186">
        <f>'Ket qua kinh doanh'!AR20</f>
        <v>0</v>
      </c>
      <c r="AS32" s="186">
        <f>'Ket qua kinh doanh'!AS20</f>
        <v>0</v>
      </c>
      <c r="AT32" s="186">
        <f>'Ket qua kinh doanh'!AT20</f>
        <v>0</v>
      </c>
      <c r="AU32" s="186">
        <f>'Ket qua kinh doanh'!AU20</f>
        <v>-400000</v>
      </c>
      <c r="AV32" s="186">
        <f>'Ket qua kinh doanh'!AV20</f>
        <v>-15035354</v>
      </c>
      <c r="AW32" s="186">
        <f>'Ket qua kinh doanh'!AW20</f>
        <v>-615035354</v>
      </c>
      <c r="AX32" s="186">
        <f>'Ket qua kinh doanh'!AX20</f>
        <v>-615035354</v>
      </c>
      <c r="AY32" s="186">
        <f>'Ket qua kinh doanh'!AY20</f>
        <v>-615578474</v>
      </c>
      <c r="AZ32" s="186">
        <f>'Ket qua kinh doanh'!AZ20</f>
        <v>-18577035</v>
      </c>
      <c r="BA32" s="186">
        <f>'Ket qua kinh doanh'!BA20</f>
        <v>-1215577416</v>
      </c>
      <c r="BB32" s="186">
        <f>'Ket qua kinh doanh'!BB20</f>
        <v>-615578124</v>
      </c>
      <c r="BC32" s="186">
        <f>'Ket qua kinh doanh'!BC20</f>
        <v>-612761221</v>
      </c>
      <c r="BD32" s="186">
        <f>'Ket qua kinh doanh'!BD20</f>
        <v>-615579785</v>
      </c>
      <c r="BE32" s="186">
        <f>'Ket qua kinh doanh'!BE20</f>
        <v>-616578030</v>
      </c>
      <c r="BF32" s="186">
        <f>'Ket qua kinh doanh'!BF20</f>
        <v>-600848036</v>
      </c>
      <c r="BG32" s="186">
        <f>'Ket qua kinh doanh'!BG20</f>
        <v>-600577813</v>
      </c>
      <c r="BH32" s="186">
        <f>'Ket qua kinh doanh'!BH20</f>
        <v>-600583185</v>
      </c>
      <c r="BI32" s="186">
        <f>'Ket qua kinh doanh'!BI20</f>
        <v>-600583792</v>
      </c>
      <c r="BJ32" s="186">
        <f>'Ket qua kinh doanh'!BJ20</f>
        <v>-593526227</v>
      </c>
      <c r="BK32" s="186">
        <f>'Ket qua kinh doanh'!BK20</f>
        <v>-600583740</v>
      </c>
      <c r="BL32" s="186">
        <f>'Ket qua kinh doanh'!BL20</f>
        <v>-744667</v>
      </c>
      <c r="BM32" s="186">
        <f>'Ket qua kinh doanh'!BM20</f>
        <v>5699006</v>
      </c>
      <c r="BN32" s="186">
        <f>'Ket qua kinh doanh'!BN20</f>
        <v>-583757</v>
      </c>
      <c r="BO32" s="186">
        <f>'Ket qua kinh doanh'!BO20</f>
        <v>-583647</v>
      </c>
      <c r="BP32" s="186">
        <f>'Ket qua kinh doanh'!BP20</f>
        <v>0</v>
      </c>
      <c r="BQ32" s="186">
        <f>'Ket qua kinh doanh'!BQ20</f>
        <v>0</v>
      </c>
      <c r="BR32" s="186">
        <f>'Ket qua kinh doanh'!BR20</f>
        <v>0</v>
      </c>
      <c r="BS32" s="186">
        <f>'Ket qua kinh doanh'!BS20</f>
        <v>0</v>
      </c>
      <c r="BT32" s="186">
        <f>'Ket qua kinh doanh'!BT20</f>
        <v>0</v>
      </c>
      <c r="BU32" s="186">
        <f>'Ket qua kinh doanh'!BU20</f>
        <v>0</v>
      </c>
      <c r="BV32" s="186">
        <f>'Ket qua kinh doanh'!BV20</f>
        <v>0</v>
      </c>
      <c r="BW32" s="186">
        <f>'Ket qua kinh doanh'!BW20</f>
        <v>0</v>
      </c>
    </row>
    <row r="33" spans="1:75" ht="14.25" x14ac:dyDescent="0.2">
      <c r="A33" s="171">
        <v>30</v>
      </c>
      <c r="B33" s="172" t="s">
        <v>147</v>
      </c>
      <c r="C33" s="174">
        <v>9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 t="str">
        <f t="shared" ref="AN33:BK33" si="28">IFERROR(AN32/AN12,"")</f>
        <v/>
      </c>
      <c r="AO33" s="188" t="str">
        <f t="shared" si="28"/>
        <v/>
      </c>
      <c r="AP33" s="188" t="str">
        <f t="shared" si="28"/>
        <v/>
      </c>
      <c r="AQ33" s="188" t="str">
        <f t="shared" si="28"/>
        <v/>
      </c>
      <c r="AR33" s="188" t="str">
        <f t="shared" si="28"/>
        <v/>
      </c>
      <c r="AS33" s="188" t="str">
        <f t="shared" si="28"/>
        <v/>
      </c>
      <c r="AT33" s="188" t="str">
        <f t="shared" si="28"/>
        <v/>
      </c>
      <c r="AU33" s="188" t="str">
        <f t="shared" si="28"/>
        <v/>
      </c>
      <c r="AV33" s="188" t="str">
        <f t="shared" si="28"/>
        <v/>
      </c>
      <c r="AW33" s="188" t="str">
        <f t="shared" si="28"/>
        <v/>
      </c>
      <c r="AX33" s="188" t="str">
        <f t="shared" si="28"/>
        <v/>
      </c>
      <c r="AY33" s="188" t="str">
        <f t="shared" si="28"/>
        <v/>
      </c>
      <c r="AZ33" s="188" t="str">
        <f t="shared" si="28"/>
        <v/>
      </c>
      <c r="BA33" s="188" t="str">
        <f t="shared" si="28"/>
        <v/>
      </c>
      <c r="BB33" s="188" t="str">
        <f t="shared" si="28"/>
        <v/>
      </c>
      <c r="BC33" s="188" t="str">
        <f t="shared" si="28"/>
        <v/>
      </c>
      <c r="BD33" s="188" t="str">
        <f t="shared" si="28"/>
        <v/>
      </c>
      <c r="BE33" s="188" t="str">
        <f t="shared" si="28"/>
        <v/>
      </c>
      <c r="BF33" s="188" t="str">
        <f t="shared" si="28"/>
        <v/>
      </c>
      <c r="BG33" s="188" t="str">
        <f t="shared" si="28"/>
        <v/>
      </c>
      <c r="BH33" s="188" t="str">
        <f t="shared" si="28"/>
        <v/>
      </c>
      <c r="BI33" s="188" t="str">
        <f t="shared" si="28"/>
        <v/>
      </c>
      <c r="BJ33" s="188" t="str">
        <f t="shared" si="28"/>
        <v/>
      </c>
      <c r="BK33" s="188" t="str">
        <f t="shared" si="28"/>
        <v/>
      </c>
      <c r="BL33" s="188" t="str">
        <f t="shared" ref="BL33" si="29">IFERROR(BL32/BL12,"")</f>
        <v/>
      </c>
      <c r="BM33" s="188" t="str">
        <f t="shared" ref="BM33" si="30">IFERROR(BM32/BM12,"")</f>
        <v/>
      </c>
      <c r="BN33" s="188" t="str">
        <f t="shared" ref="BN33" si="31">IFERROR(BN32/BN12,"")</f>
        <v/>
      </c>
      <c r="BO33" s="188" t="str">
        <f t="shared" ref="BO33" si="32">IFERROR(BO32/BO12,"")</f>
        <v/>
      </c>
      <c r="BP33" s="188" t="str">
        <f t="shared" ref="BP33" si="33">IFERROR(BP32/BP12,"")</f>
        <v/>
      </c>
      <c r="BQ33" s="188" t="str">
        <f t="shared" ref="BQ33" si="34">IFERROR(BQ32/BQ12,"")</f>
        <v/>
      </c>
      <c r="BR33" s="188" t="str">
        <f t="shared" ref="BR33" si="35">IFERROR(BR32/BR12,"")</f>
        <v/>
      </c>
      <c r="BS33" s="188" t="str">
        <f t="shared" ref="BS33" si="36">IFERROR(BS32/BS12,"")</f>
        <v/>
      </c>
      <c r="BT33" s="188" t="str">
        <f t="shared" ref="BT33" si="37">IFERROR(BT32/BT12,"")</f>
        <v/>
      </c>
      <c r="BU33" s="188" t="str">
        <f t="shared" ref="BU33" si="38">IFERROR(BU32/BU12,"")</f>
        <v/>
      </c>
      <c r="BV33" s="188" t="str">
        <f t="shared" ref="BV33" si="39">IFERROR(BV32/BV12,"")</f>
        <v/>
      </c>
      <c r="BW33" s="188" t="str">
        <f t="shared" ref="BW33" si="40">IFERROR(BW32/BW12,"")</f>
        <v/>
      </c>
    </row>
    <row r="34" spans="1:75" ht="14.25" x14ac:dyDescent="0.2">
      <c r="A34" s="168">
        <v>31</v>
      </c>
      <c r="B34" s="169" t="s">
        <v>148</v>
      </c>
      <c r="C34" s="170">
        <v>9</v>
      </c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>
        <f>'Ket qua kinh doanh'!AN20+'Ket qua kinh doanh'!AN13+'Luu chuyen tien te'!AN7</f>
        <v>0</v>
      </c>
      <c r="AO34" s="186">
        <f>'Ket qua kinh doanh'!AO20+'Ket qua kinh doanh'!AO13+'Luu chuyen tien te'!AO7</f>
        <v>0</v>
      </c>
      <c r="AP34" s="186">
        <f>'Ket qua kinh doanh'!AP20+'Ket qua kinh doanh'!AP13+'Luu chuyen tien te'!AP7</f>
        <v>0</v>
      </c>
      <c r="AQ34" s="186">
        <f>'Ket qua kinh doanh'!AQ20+'Ket qua kinh doanh'!AQ13+'Luu chuyen tien te'!AQ7</f>
        <v>0</v>
      </c>
      <c r="AR34" s="186">
        <f>'Ket qua kinh doanh'!AR20+'Ket qua kinh doanh'!AR13+'Luu chuyen tien te'!AR7</f>
        <v>0</v>
      </c>
      <c r="AS34" s="186">
        <f>'Ket qua kinh doanh'!AS20+'Ket qua kinh doanh'!AS13+'Luu chuyen tien te'!AS7</f>
        <v>0</v>
      </c>
      <c r="AT34" s="186">
        <f>'Ket qua kinh doanh'!AT20+'Ket qua kinh doanh'!AT13+'Luu chuyen tien te'!AT7</f>
        <v>0</v>
      </c>
      <c r="AU34" s="186">
        <f>'Ket qua kinh doanh'!AU20+'Ket qua kinh doanh'!AU13+'Luu chuyen tien te'!AU7</f>
        <v>-400000</v>
      </c>
      <c r="AV34" s="186">
        <f>'Ket qua kinh doanh'!AV20+'Ket qua kinh doanh'!AV13+'Luu chuyen tien te'!AV7</f>
        <v>-15035354</v>
      </c>
      <c r="AW34" s="186">
        <f>'Ket qua kinh doanh'!AW20+'Ket qua kinh doanh'!AW13+'Luu chuyen tien te'!AW7</f>
        <v>-615035354</v>
      </c>
      <c r="AX34" s="186">
        <f>'Ket qua kinh doanh'!AX20+'Ket qua kinh doanh'!AX13+'Luu chuyen tien te'!AX7</f>
        <v>-615035354</v>
      </c>
      <c r="AY34" s="186">
        <f>'Ket qua kinh doanh'!AY20+'Ket qua kinh doanh'!AY13+'Luu chuyen tien te'!AY7</f>
        <v>-615578474</v>
      </c>
      <c r="AZ34" s="186">
        <f>'Ket qua kinh doanh'!AZ20+'Ket qua kinh doanh'!AZ13+'Luu chuyen tien te'!AZ7</f>
        <v>-18577035</v>
      </c>
      <c r="BA34" s="186">
        <f>'Ket qua kinh doanh'!BA20+'Ket qua kinh doanh'!BA13+'Luu chuyen tien te'!BA7</f>
        <v>-1215577416</v>
      </c>
      <c r="BB34" s="186">
        <f>'Ket qua kinh doanh'!BB20+'Ket qua kinh doanh'!BB13+'Luu chuyen tien te'!BB7</f>
        <v>-615578124</v>
      </c>
      <c r="BC34" s="186">
        <f>'Ket qua kinh doanh'!BC20+'Ket qua kinh doanh'!BC13+'Luu chuyen tien te'!BC7</f>
        <v>-612761221</v>
      </c>
      <c r="BD34" s="186">
        <f>'Ket qua kinh doanh'!BD20+'Ket qua kinh doanh'!BD13+'Luu chuyen tien te'!BD7</f>
        <v>-615579785</v>
      </c>
      <c r="BE34" s="186">
        <f>'Ket qua kinh doanh'!BE20+'Ket qua kinh doanh'!BE13+'Luu chuyen tien te'!BE7</f>
        <v>-616578030</v>
      </c>
      <c r="BF34" s="186">
        <f>'Ket qua kinh doanh'!BF20+'Ket qua kinh doanh'!BF13+'Luu chuyen tien te'!BF7</f>
        <v>-600848036</v>
      </c>
      <c r="BG34" s="186">
        <f>'Ket qua kinh doanh'!BG20+'Ket qua kinh doanh'!BG13+'Luu chuyen tien te'!BG7</f>
        <v>-600577813</v>
      </c>
      <c r="BH34" s="186">
        <f>'Ket qua kinh doanh'!BH20+'Ket qua kinh doanh'!BH13+'Luu chuyen tien te'!BH7</f>
        <v>-600583185</v>
      </c>
      <c r="BI34" s="186">
        <f>'Ket qua kinh doanh'!BI20+'Ket qua kinh doanh'!BI13+'Luu chuyen tien te'!BI7</f>
        <v>-600583792</v>
      </c>
      <c r="BJ34" s="186">
        <f>'Ket qua kinh doanh'!BJ20+'Ket qua kinh doanh'!BJ13+'Luu chuyen tien te'!BJ7</f>
        <v>-593526227</v>
      </c>
      <c r="BK34" s="186">
        <f>'Ket qua kinh doanh'!BK20+'Ket qua kinh doanh'!BK13+'Luu chuyen tien te'!BK7</f>
        <v>-600583740</v>
      </c>
      <c r="BL34" s="186">
        <f>'Ket qua kinh doanh'!BL20+'Ket qua kinh doanh'!BL13+'Luu chuyen tien te'!BL7</f>
        <v>-744667</v>
      </c>
      <c r="BM34" s="186">
        <f>'Ket qua kinh doanh'!BM20+'Ket qua kinh doanh'!BM13+'Luu chuyen tien te'!BM7</f>
        <v>5699006</v>
      </c>
      <c r="BN34" s="186">
        <f>'Ket qua kinh doanh'!BN20+'Ket qua kinh doanh'!BN13+'Luu chuyen tien te'!BN7</f>
        <v>-583757</v>
      </c>
      <c r="BO34" s="186">
        <f>'Ket qua kinh doanh'!BO20+'Ket qua kinh doanh'!BO13+'Luu chuyen tien te'!BO7</f>
        <v>-583647</v>
      </c>
      <c r="BP34" s="186">
        <f>'Ket qua kinh doanh'!BP20+'Ket qua kinh doanh'!BP13+'Luu chuyen tien te'!BP7</f>
        <v>0</v>
      </c>
      <c r="BQ34" s="186">
        <f>'Ket qua kinh doanh'!BQ20+'Ket qua kinh doanh'!BQ13+'Luu chuyen tien te'!BQ7</f>
        <v>0</v>
      </c>
      <c r="BR34" s="186">
        <f>'Ket qua kinh doanh'!BR20+'Ket qua kinh doanh'!BR13+'Luu chuyen tien te'!BR7</f>
        <v>0</v>
      </c>
      <c r="BS34" s="186">
        <f>'Ket qua kinh doanh'!BS20+'Ket qua kinh doanh'!BS13+'Luu chuyen tien te'!BS7</f>
        <v>0</v>
      </c>
      <c r="BT34" s="186">
        <f>'Ket qua kinh doanh'!BT20+'Ket qua kinh doanh'!BT13+'Luu chuyen tien te'!BT7</f>
        <v>0</v>
      </c>
      <c r="BU34" s="186">
        <f>'Ket qua kinh doanh'!BU20+'Ket qua kinh doanh'!BU13+'Luu chuyen tien te'!BU7</f>
        <v>0</v>
      </c>
      <c r="BV34" s="186">
        <f>'Ket qua kinh doanh'!BV20+'Ket qua kinh doanh'!BV13+'Luu chuyen tien te'!BV7</f>
        <v>0</v>
      </c>
      <c r="BW34" s="186">
        <f>'Ket qua kinh doanh'!BW20+'Ket qua kinh doanh'!BW13+'Luu chuyen tien te'!BW7</f>
        <v>0</v>
      </c>
    </row>
    <row r="35" spans="1:75" ht="14.25" x14ac:dyDescent="0.2">
      <c r="A35" s="171">
        <v>32</v>
      </c>
      <c r="B35" s="172" t="s">
        <v>149</v>
      </c>
      <c r="C35" s="174">
        <v>9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 t="str">
        <f t="shared" ref="AN35:BK35" si="41">IFERROR(AN34/AN12,"")</f>
        <v/>
      </c>
      <c r="AO35" s="188" t="str">
        <f t="shared" si="41"/>
        <v/>
      </c>
      <c r="AP35" s="188" t="str">
        <f t="shared" si="41"/>
        <v/>
      </c>
      <c r="AQ35" s="188" t="str">
        <f t="shared" si="41"/>
        <v/>
      </c>
      <c r="AR35" s="188" t="str">
        <f t="shared" si="41"/>
        <v/>
      </c>
      <c r="AS35" s="188" t="str">
        <f t="shared" si="41"/>
        <v/>
      </c>
      <c r="AT35" s="188" t="str">
        <f t="shared" si="41"/>
        <v/>
      </c>
      <c r="AU35" s="188" t="str">
        <f t="shared" si="41"/>
        <v/>
      </c>
      <c r="AV35" s="188" t="str">
        <f t="shared" si="41"/>
        <v/>
      </c>
      <c r="AW35" s="188" t="str">
        <f t="shared" si="41"/>
        <v/>
      </c>
      <c r="AX35" s="188" t="str">
        <f t="shared" si="41"/>
        <v/>
      </c>
      <c r="AY35" s="188" t="str">
        <f t="shared" si="41"/>
        <v/>
      </c>
      <c r="AZ35" s="188" t="str">
        <f t="shared" si="41"/>
        <v/>
      </c>
      <c r="BA35" s="188" t="str">
        <f t="shared" si="41"/>
        <v/>
      </c>
      <c r="BB35" s="188" t="str">
        <f t="shared" si="41"/>
        <v/>
      </c>
      <c r="BC35" s="188" t="str">
        <f t="shared" si="41"/>
        <v/>
      </c>
      <c r="BD35" s="188" t="str">
        <f t="shared" si="41"/>
        <v/>
      </c>
      <c r="BE35" s="188" t="str">
        <f t="shared" si="41"/>
        <v/>
      </c>
      <c r="BF35" s="188" t="str">
        <f t="shared" si="41"/>
        <v/>
      </c>
      <c r="BG35" s="188" t="str">
        <f t="shared" si="41"/>
        <v/>
      </c>
      <c r="BH35" s="188" t="str">
        <f t="shared" si="41"/>
        <v/>
      </c>
      <c r="BI35" s="188" t="str">
        <f t="shared" si="41"/>
        <v/>
      </c>
      <c r="BJ35" s="188" t="str">
        <f t="shared" si="41"/>
        <v/>
      </c>
      <c r="BK35" s="188" t="str">
        <f t="shared" si="41"/>
        <v/>
      </c>
      <c r="BL35" s="188" t="str">
        <f t="shared" ref="BL35" si="42">IFERROR(BL34/BL12,"")</f>
        <v/>
      </c>
      <c r="BM35" s="188" t="str">
        <f t="shared" ref="BM35" si="43">IFERROR(BM34/BM12,"")</f>
        <v/>
      </c>
      <c r="BN35" s="188" t="str">
        <f t="shared" ref="BN35" si="44">IFERROR(BN34/BN12,"")</f>
        <v/>
      </c>
      <c r="BO35" s="188" t="str">
        <f t="shared" ref="BO35" si="45">IFERROR(BO34/BO12,"")</f>
        <v/>
      </c>
      <c r="BP35" s="188" t="str">
        <f t="shared" ref="BP35" si="46">IFERROR(BP34/BP12,"")</f>
        <v/>
      </c>
      <c r="BQ35" s="188" t="str">
        <f t="shared" ref="BQ35" si="47">IFERROR(BQ34/BQ12,"")</f>
        <v/>
      </c>
      <c r="BR35" s="188" t="str">
        <f t="shared" ref="BR35" si="48">IFERROR(BR34/BR12,"")</f>
        <v/>
      </c>
      <c r="BS35" s="188" t="str">
        <f t="shared" ref="BS35" si="49">IFERROR(BS34/BS12,"")</f>
        <v/>
      </c>
      <c r="BT35" s="188" t="str">
        <f t="shared" ref="BT35" si="50">IFERROR(BT34/BT12,"")</f>
        <v/>
      </c>
      <c r="BU35" s="188" t="str">
        <f t="shared" ref="BU35" si="51">IFERROR(BU34/BU12,"")</f>
        <v/>
      </c>
      <c r="BV35" s="188" t="str">
        <f t="shared" ref="BV35" si="52">IFERROR(BV34/BV12,"")</f>
        <v/>
      </c>
      <c r="BW35" s="188" t="str">
        <f t="shared" ref="BW35" si="53">IFERROR(BW34/BW12,"")</f>
        <v/>
      </c>
    </row>
    <row r="36" spans="1:75" ht="14.25" x14ac:dyDescent="0.2">
      <c r="A36" s="168">
        <v>33</v>
      </c>
      <c r="B36" s="169" t="s">
        <v>150</v>
      </c>
      <c r="C36" s="170">
        <v>9</v>
      </c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>
        <f>'Ket qua kinh doanh'!AN21+'Ket qua kinh doanh'!AN22</f>
        <v>0</v>
      </c>
      <c r="AO36" s="186">
        <f>'Ket qua kinh doanh'!AO21+'Ket qua kinh doanh'!AO22</f>
        <v>0</v>
      </c>
      <c r="AP36" s="186">
        <f>'Ket qua kinh doanh'!AP21+'Ket qua kinh doanh'!AP22</f>
        <v>0</v>
      </c>
      <c r="AQ36" s="186">
        <f>'Ket qua kinh doanh'!AQ21+'Ket qua kinh doanh'!AQ22</f>
        <v>0</v>
      </c>
      <c r="AR36" s="186">
        <f>'Ket qua kinh doanh'!AR21+'Ket qua kinh doanh'!AR22</f>
        <v>0</v>
      </c>
      <c r="AS36" s="186">
        <f>'Ket qua kinh doanh'!AS21+'Ket qua kinh doanh'!AS22</f>
        <v>0</v>
      </c>
      <c r="AT36" s="186">
        <f>'Ket qua kinh doanh'!AT21+'Ket qua kinh doanh'!AT22</f>
        <v>0</v>
      </c>
      <c r="AU36" s="186">
        <f>'Ket qua kinh doanh'!AU21+'Ket qua kinh doanh'!AU22</f>
        <v>0</v>
      </c>
      <c r="AV36" s="186">
        <f>'Ket qua kinh doanh'!AV21+'Ket qua kinh doanh'!AV22</f>
        <v>0</v>
      </c>
      <c r="AW36" s="186">
        <f>'Ket qua kinh doanh'!AW21+'Ket qua kinh doanh'!AW22</f>
        <v>0</v>
      </c>
      <c r="AX36" s="186">
        <f>'Ket qua kinh doanh'!AX21+'Ket qua kinh doanh'!AX22</f>
        <v>0</v>
      </c>
      <c r="AY36" s="186">
        <f>'Ket qua kinh doanh'!AY21+'Ket qua kinh doanh'!AY22</f>
        <v>0</v>
      </c>
      <c r="AZ36" s="186">
        <f>'Ket qua kinh doanh'!AZ21+'Ket qua kinh doanh'!AZ22</f>
        <v>0</v>
      </c>
      <c r="BA36" s="186">
        <f>'Ket qua kinh doanh'!BA21+'Ket qua kinh doanh'!BA22</f>
        <v>0</v>
      </c>
      <c r="BB36" s="186">
        <f>'Ket qua kinh doanh'!BB21+'Ket qua kinh doanh'!BB22</f>
        <v>0</v>
      </c>
      <c r="BC36" s="186">
        <f>'Ket qua kinh doanh'!BC21+'Ket qua kinh doanh'!BC22</f>
        <v>0</v>
      </c>
      <c r="BD36" s="186">
        <f>'Ket qua kinh doanh'!BD21+'Ket qua kinh doanh'!BD22</f>
        <v>0</v>
      </c>
      <c r="BE36" s="186">
        <f>'Ket qua kinh doanh'!BE21+'Ket qua kinh doanh'!BE22</f>
        <v>0</v>
      </c>
      <c r="BF36" s="186">
        <f>'Ket qua kinh doanh'!BF21+'Ket qua kinh doanh'!BF22</f>
        <v>0</v>
      </c>
      <c r="BG36" s="186">
        <f>'Ket qua kinh doanh'!BG21+'Ket qua kinh doanh'!BG22</f>
        <v>0</v>
      </c>
      <c r="BH36" s="186">
        <f>'Ket qua kinh doanh'!BH21+'Ket qua kinh doanh'!BH22</f>
        <v>0</v>
      </c>
      <c r="BI36" s="186">
        <f>'Ket qua kinh doanh'!BI21+'Ket qua kinh doanh'!BI22</f>
        <v>0</v>
      </c>
      <c r="BJ36" s="186">
        <f>'Ket qua kinh doanh'!BJ21+'Ket qua kinh doanh'!BJ22</f>
        <v>0</v>
      </c>
      <c r="BK36" s="186">
        <f>'Ket qua kinh doanh'!BK21+'Ket qua kinh doanh'!BK22</f>
        <v>0</v>
      </c>
      <c r="BL36" s="186">
        <f>'Ket qua kinh doanh'!BL21+'Ket qua kinh doanh'!BL22</f>
        <v>0</v>
      </c>
      <c r="BM36" s="186">
        <f>'Ket qua kinh doanh'!BM21+'Ket qua kinh doanh'!BM22</f>
        <v>0</v>
      </c>
      <c r="BN36" s="186">
        <f>'Ket qua kinh doanh'!BN21+'Ket qua kinh doanh'!BN22</f>
        <v>0</v>
      </c>
      <c r="BO36" s="186">
        <f>'Ket qua kinh doanh'!BO21+'Ket qua kinh doanh'!BO22</f>
        <v>0</v>
      </c>
      <c r="BP36" s="186">
        <f>'Ket qua kinh doanh'!BP21+'Ket qua kinh doanh'!BP22</f>
        <v>0</v>
      </c>
      <c r="BQ36" s="186">
        <f>'Ket qua kinh doanh'!BQ21+'Ket qua kinh doanh'!BQ22</f>
        <v>0</v>
      </c>
      <c r="BR36" s="186">
        <f>'Ket qua kinh doanh'!BR21+'Ket qua kinh doanh'!BR22</f>
        <v>0</v>
      </c>
      <c r="BS36" s="186">
        <f>'Ket qua kinh doanh'!BS21+'Ket qua kinh doanh'!BS22</f>
        <v>0</v>
      </c>
      <c r="BT36" s="186">
        <f>'Ket qua kinh doanh'!BT21+'Ket qua kinh doanh'!BT22</f>
        <v>0</v>
      </c>
      <c r="BU36" s="186">
        <f>'Ket qua kinh doanh'!BU21+'Ket qua kinh doanh'!BU22</f>
        <v>0</v>
      </c>
      <c r="BV36" s="186">
        <f>'Ket qua kinh doanh'!BV21+'Ket qua kinh doanh'!BV22</f>
        <v>0</v>
      </c>
      <c r="BW36" s="186">
        <f>'Ket qua kinh doanh'!BW21+'Ket qua kinh doanh'!BW22</f>
        <v>0</v>
      </c>
    </row>
    <row r="37" spans="1:75" ht="14.25" x14ac:dyDescent="0.2">
      <c r="A37" s="171">
        <v>34</v>
      </c>
      <c r="B37" s="172" t="s">
        <v>151</v>
      </c>
      <c r="C37" s="174">
        <v>9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 t="str">
        <f t="shared" ref="AN37:BK37" si="54">IFERROR(AN36/AN12,"")</f>
        <v/>
      </c>
      <c r="AO37" s="188" t="str">
        <f t="shared" si="54"/>
        <v/>
      </c>
      <c r="AP37" s="188" t="str">
        <f t="shared" si="54"/>
        <v/>
      </c>
      <c r="AQ37" s="188" t="str">
        <f t="shared" si="54"/>
        <v/>
      </c>
      <c r="AR37" s="188" t="str">
        <f t="shared" si="54"/>
        <v/>
      </c>
      <c r="AS37" s="188" t="str">
        <f t="shared" si="54"/>
        <v/>
      </c>
      <c r="AT37" s="188" t="str">
        <f t="shared" si="54"/>
        <v/>
      </c>
      <c r="AU37" s="188" t="str">
        <f t="shared" si="54"/>
        <v/>
      </c>
      <c r="AV37" s="188" t="str">
        <f t="shared" si="54"/>
        <v/>
      </c>
      <c r="AW37" s="188" t="str">
        <f t="shared" si="54"/>
        <v/>
      </c>
      <c r="AX37" s="188" t="str">
        <f t="shared" si="54"/>
        <v/>
      </c>
      <c r="AY37" s="188" t="str">
        <f t="shared" si="54"/>
        <v/>
      </c>
      <c r="AZ37" s="188" t="str">
        <f t="shared" si="54"/>
        <v/>
      </c>
      <c r="BA37" s="188" t="str">
        <f t="shared" si="54"/>
        <v/>
      </c>
      <c r="BB37" s="188" t="str">
        <f t="shared" si="54"/>
        <v/>
      </c>
      <c r="BC37" s="188" t="str">
        <f t="shared" si="54"/>
        <v/>
      </c>
      <c r="BD37" s="188" t="str">
        <f t="shared" si="54"/>
        <v/>
      </c>
      <c r="BE37" s="188" t="str">
        <f t="shared" si="54"/>
        <v/>
      </c>
      <c r="BF37" s="188" t="str">
        <f t="shared" si="54"/>
        <v/>
      </c>
      <c r="BG37" s="188" t="str">
        <f t="shared" si="54"/>
        <v/>
      </c>
      <c r="BH37" s="188" t="str">
        <f t="shared" si="54"/>
        <v/>
      </c>
      <c r="BI37" s="188" t="str">
        <f t="shared" si="54"/>
        <v/>
      </c>
      <c r="BJ37" s="188" t="str">
        <f t="shared" si="54"/>
        <v/>
      </c>
      <c r="BK37" s="188" t="str">
        <f t="shared" si="54"/>
        <v/>
      </c>
      <c r="BL37" s="188" t="str">
        <f t="shared" ref="BL37" si="55">IFERROR(BL36/BL12,"")</f>
        <v/>
      </c>
      <c r="BM37" s="188" t="str">
        <f t="shared" ref="BM37" si="56">IFERROR(BM36/BM12,"")</f>
        <v/>
      </c>
      <c r="BN37" s="188" t="str">
        <f t="shared" ref="BN37" si="57">IFERROR(BN36/BN12,"")</f>
        <v/>
      </c>
      <c r="BO37" s="188" t="str">
        <f t="shared" ref="BO37" si="58">IFERROR(BO36/BO12,"")</f>
        <v/>
      </c>
      <c r="BP37" s="188" t="str">
        <f t="shared" ref="BP37" si="59">IFERROR(BP36/BP12,"")</f>
        <v/>
      </c>
      <c r="BQ37" s="188" t="str">
        <f t="shared" ref="BQ37" si="60">IFERROR(BQ36/BQ12,"")</f>
        <v/>
      </c>
      <c r="BR37" s="188" t="str">
        <f t="shared" ref="BR37" si="61">IFERROR(BR36/BR12,"")</f>
        <v/>
      </c>
      <c r="BS37" s="188" t="str">
        <f t="shared" ref="BS37" si="62">IFERROR(BS36/BS12,"")</f>
        <v/>
      </c>
      <c r="BT37" s="188" t="str">
        <f t="shared" ref="BT37" si="63">IFERROR(BT36/BT12,"")</f>
        <v/>
      </c>
      <c r="BU37" s="188" t="str">
        <f t="shared" ref="BU37" si="64">IFERROR(BU36/BU12,"")</f>
        <v/>
      </c>
      <c r="BV37" s="188" t="str">
        <f t="shared" ref="BV37" si="65">IFERROR(BV36/BV12,"")</f>
        <v/>
      </c>
      <c r="BW37" s="188" t="str">
        <f t="shared" ref="BW37" si="66">IFERROR(BW36/BW12,"")</f>
        <v/>
      </c>
    </row>
    <row r="38" spans="1:75" ht="14.25" x14ac:dyDescent="0.2">
      <c r="A38" s="168">
        <v>35</v>
      </c>
      <c r="B38" s="169" t="s">
        <v>152</v>
      </c>
      <c r="C38" s="170">
        <v>9</v>
      </c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>
        <f>'Ket qua kinh doanh'!AN23</f>
        <v>0</v>
      </c>
      <c r="AO38" s="186">
        <f>'Ket qua kinh doanh'!AO23</f>
        <v>0</v>
      </c>
      <c r="AP38" s="186">
        <f>'Ket qua kinh doanh'!AP23</f>
        <v>0</v>
      </c>
      <c r="AQ38" s="186">
        <f>'Ket qua kinh doanh'!AQ23</f>
        <v>0</v>
      </c>
      <c r="AR38" s="186">
        <f>'Ket qua kinh doanh'!AR23</f>
        <v>0</v>
      </c>
      <c r="AS38" s="186">
        <f>'Ket qua kinh doanh'!AS23</f>
        <v>0</v>
      </c>
      <c r="AT38" s="186">
        <f>'Ket qua kinh doanh'!AT23</f>
        <v>0</v>
      </c>
      <c r="AU38" s="186">
        <f>'Ket qua kinh doanh'!AU23</f>
        <v>-400000</v>
      </c>
      <c r="AV38" s="186">
        <f>'Ket qua kinh doanh'!AV23</f>
        <v>-15035354</v>
      </c>
      <c r="AW38" s="186">
        <f>'Ket qua kinh doanh'!AW23</f>
        <v>-615035354</v>
      </c>
      <c r="AX38" s="186">
        <f>'Ket qua kinh doanh'!AX23</f>
        <v>-615035354</v>
      </c>
      <c r="AY38" s="186">
        <f>'Ket qua kinh doanh'!AY23</f>
        <v>-615578474</v>
      </c>
      <c r="AZ38" s="186">
        <f>'Ket qua kinh doanh'!AZ23</f>
        <v>-18577035</v>
      </c>
      <c r="BA38" s="186">
        <f>'Ket qua kinh doanh'!BA23</f>
        <v>-1215577416</v>
      </c>
      <c r="BB38" s="186">
        <f>'Ket qua kinh doanh'!BB23</f>
        <v>-615578124</v>
      </c>
      <c r="BC38" s="186">
        <f>'Ket qua kinh doanh'!BC23</f>
        <v>-612761221</v>
      </c>
      <c r="BD38" s="186">
        <f>'Ket qua kinh doanh'!BD23</f>
        <v>-615579785</v>
      </c>
      <c r="BE38" s="186">
        <f>'Ket qua kinh doanh'!BE23</f>
        <v>-616578030</v>
      </c>
      <c r="BF38" s="186">
        <f>'Ket qua kinh doanh'!BF23</f>
        <v>-600848036</v>
      </c>
      <c r="BG38" s="186">
        <f>'Ket qua kinh doanh'!BG23</f>
        <v>-600577813</v>
      </c>
      <c r="BH38" s="186">
        <f>'Ket qua kinh doanh'!BH23</f>
        <v>-600583185</v>
      </c>
      <c r="BI38" s="186">
        <f>'Ket qua kinh doanh'!BI23</f>
        <v>-600583792</v>
      </c>
      <c r="BJ38" s="186">
        <f>'Ket qua kinh doanh'!BJ23</f>
        <v>-593526227</v>
      </c>
      <c r="BK38" s="186">
        <f>'Ket qua kinh doanh'!BK23</f>
        <v>-600583740</v>
      </c>
      <c r="BL38" s="186">
        <f>'Ket qua kinh doanh'!BL23</f>
        <v>-744667</v>
      </c>
      <c r="BM38" s="186">
        <f>'Ket qua kinh doanh'!BM23</f>
        <v>5699006</v>
      </c>
      <c r="BN38" s="186">
        <f>'Ket qua kinh doanh'!BN23</f>
        <v>-583757</v>
      </c>
      <c r="BO38" s="186">
        <f>'Ket qua kinh doanh'!BO23</f>
        <v>-583647</v>
      </c>
      <c r="BP38" s="186">
        <f>'Ket qua kinh doanh'!BP23</f>
        <v>0</v>
      </c>
      <c r="BQ38" s="186">
        <f>'Ket qua kinh doanh'!BQ23</f>
        <v>0</v>
      </c>
      <c r="BR38" s="186">
        <f>'Ket qua kinh doanh'!BR23</f>
        <v>0</v>
      </c>
      <c r="BS38" s="186">
        <f>'Ket qua kinh doanh'!BS23</f>
        <v>0</v>
      </c>
      <c r="BT38" s="186">
        <f>'Ket qua kinh doanh'!BT23</f>
        <v>0</v>
      </c>
      <c r="BU38" s="186">
        <f>'Ket qua kinh doanh'!BU23</f>
        <v>0</v>
      </c>
      <c r="BV38" s="186">
        <f>'Ket qua kinh doanh'!BV23</f>
        <v>0</v>
      </c>
      <c r="BW38" s="186">
        <f>'Ket qua kinh doanh'!BW23</f>
        <v>0</v>
      </c>
    </row>
    <row r="39" spans="1:75" ht="14.25" x14ac:dyDescent="0.2">
      <c r="A39" s="171">
        <v>36</v>
      </c>
      <c r="B39" s="172" t="s">
        <v>153</v>
      </c>
      <c r="C39" s="174">
        <v>9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 t="str">
        <f t="shared" ref="AN39:BK39" si="67">IFERROR(AN38/AN12,"")</f>
        <v/>
      </c>
      <c r="AO39" s="188" t="str">
        <f t="shared" si="67"/>
        <v/>
      </c>
      <c r="AP39" s="188" t="str">
        <f t="shared" si="67"/>
        <v/>
      </c>
      <c r="AQ39" s="188" t="str">
        <f t="shared" si="67"/>
        <v/>
      </c>
      <c r="AR39" s="188" t="str">
        <f t="shared" si="67"/>
        <v/>
      </c>
      <c r="AS39" s="188" t="str">
        <f t="shared" si="67"/>
        <v/>
      </c>
      <c r="AT39" s="188" t="str">
        <f t="shared" si="67"/>
        <v/>
      </c>
      <c r="AU39" s="188" t="str">
        <f t="shared" si="67"/>
        <v/>
      </c>
      <c r="AV39" s="188" t="str">
        <f t="shared" si="67"/>
        <v/>
      </c>
      <c r="AW39" s="188" t="str">
        <f t="shared" si="67"/>
        <v/>
      </c>
      <c r="AX39" s="188" t="str">
        <f t="shared" si="67"/>
        <v/>
      </c>
      <c r="AY39" s="188" t="str">
        <f t="shared" si="67"/>
        <v/>
      </c>
      <c r="AZ39" s="188" t="str">
        <f t="shared" si="67"/>
        <v/>
      </c>
      <c r="BA39" s="188" t="str">
        <f t="shared" si="67"/>
        <v/>
      </c>
      <c r="BB39" s="188" t="str">
        <f t="shared" si="67"/>
        <v/>
      </c>
      <c r="BC39" s="188" t="str">
        <f t="shared" si="67"/>
        <v/>
      </c>
      <c r="BD39" s="188" t="str">
        <f t="shared" si="67"/>
        <v/>
      </c>
      <c r="BE39" s="188" t="str">
        <f t="shared" si="67"/>
        <v/>
      </c>
      <c r="BF39" s="188" t="str">
        <f t="shared" si="67"/>
        <v/>
      </c>
      <c r="BG39" s="188" t="str">
        <f t="shared" si="67"/>
        <v/>
      </c>
      <c r="BH39" s="188" t="str">
        <f t="shared" si="67"/>
        <v/>
      </c>
      <c r="BI39" s="188" t="str">
        <f t="shared" si="67"/>
        <v/>
      </c>
      <c r="BJ39" s="188" t="str">
        <f t="shared" si="67"/>
        <v/>
      </c>
      <c r="BK39" s="188" t="str">
        <f t="shared" si="67"/>
        <v/>
      </c>
      <c r="BL39" s="188" t="str">
        <f t="shared" ref="BL39" si="68">IFERROR(BL38/BL12,"")</f>
        <v/>
      </c>
      <c r="BM39" s="188" t="str">
        <f t="shared" ref="BM39" si="69">IFERROR(BM38/BM12,"")</f>
        <v/>
      </c>
      <c r="BN39" s="188" t="str">
        <f t="shared" ref="BN39" si="70">IFERROR(BN38/BN12,"")</f>
        <v/>
      </c>
      <c r="BO39" s="188" t="str">
        <f t="shared" ref="BO39" si="71">IFERROR(BO38/BO12,"")</f>
        <v/>
      </c>
      <c r="BP39" s="188" t="str">
        <f t="shared" ref="BP39" si="72">IFERROR(BP38/BP12,"")</f>
        <v/>
      </c>
      <c r="BQ39" s="188" t="str">
        <f t="shared" ref="BQ39" si="73">IFERROR(BQ38/BQ12,"")</f>
        <v/>
      </c>
      <c r="BR39" s="188" t="str">
        <f t="shared" ref="BR39" si="74">IFERROR(BR38/BR12,"")</f>
        <v/>
      </c>
      <c r="BS39" s="188" t="str">
        <f t="shared" ref="BS39" si="75">IFERROR(BS38/BS12,"")</f>
        <v/>
      </c>
      <c r="BT39" s="188" t="str">
        <f t="shared" ref="BT39" si="76">IFERROR(BT38/BT12,"")</f>
        <v/>
      </c>
      <c r="BU39" s="188" t="str">
        <f t="shared" ref="BU39" si="77">IFERROR(BU38/BU12,"")</f>
        <v/>
      </c>
      <c r="BV39" s="188" t="str">
        <f t="shared" ref="BV39" si="78">IFERROR(BV38/BV12,"")</f>
        <v/>
      </c>
      <c r="BW39" s="188" t="str">
        <f t="shared" ref="BW39" si="79">IFERROR(BW38/BW12,"")</f>
        <v/>
      </c>
    </row>
    <row r="40" spans="1:75" ht="14.25" x14ac:dyDescent="0.2">
      <c r="A40" s="180">
        <v>37</v>
      </c>
      <c r="B40" s="181" t="s">
        <v>154</v>
      </c>
      <c r="C40" s="170">
        <v>9</v>
      </c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>
        <f>'Ket qua kinh doanh'!AN14</f>
        <v>0</v>
      </c>
      <c r="AO40" s="186">
        <f>'Ket qua kinh doanh'!AO14</f>
        <v>0</v>
      </c>
      <c r="AP40" s="186">
        <f>'Ket qua kinh doanh'!AP14</f>
        <v>0</v>
      </c>
      <c r="AQ40" s="186">
        <f>'Ket qua kinh doanh'!AQ14</f>
        <v>0</v>
      </c>
      <c r="AR40" s="186">
        <f>'Ket qua kinh doanh'!AR14</f>
        <v>0</v>
      </c>
      <c r="AS40" s="186">
        <f>'Ket qua kinh doanh'!AS14</f>
        <v>0</v>
      </c>
      <c r="AT40" s="186">
        <f>'Ket qua kinh doanh'!AT14</f>
        <v>0</v>
      </c>
      <c r="AU40" s="186">
        <f>'Ket qua kinh doanh'!AU14</f>
        <v>0</v>
      </c>
      <c r="AV40" s="186">
        <f>'Ket qua kinh doanh'!AV14</f>
        <v>0</v>
      </c>
      <c r="AW40" s="186">
        <f>'Ket qua kinh doanh'!AW14</f>
        <v>0</v>
      </c>
      <c r="AX40" s="186">
        <f>'Ket qua kinh doanh'!AX14</f>
        <v>0</v>
      </c>
      <c r="AY40" s="186">
        <f>'Ket qua kinh doanh'!AY14</f>
        <v>0</v>
      </c>
      <c r="AZ40" s="186">
        <f>'Ket qua kinh doanh'!AZ14</f>
        <v>0</v>
      </c>
      <c r="BA40" s="186">
        <f>'Ket qua kinh doanh'!BA14</f>
        <v>0</v>
      </c>
      <c r="BB40" s="186">
        <f>'Ket qua kinh doanh'!BB14</f>
        <v>0</v>
      </c>
      <c r="BC40" s="186">
        <f>'Ket qua kinh doanh'!BC14</f>
        <v>0</v>
      </c>
      <c r="BD40" s="186">
        <f>'Ket qua kinh doanh'!BD14</f>
        <v>0</v>
      </c>
      <c r="BE40" s="186">
        <f>'Ket qua kinh doanh'!BE14</f>
        <v>0</v>
      </c>
      <c r="BF40" s="186">
        <f>'Ket qua kinh doanh'!BF14</f>
        <v>0</v>
      </c>
      <c r="BG40" s="186">
        <f>'Ket qua kinh doanh'!BG14</f>
        <v>0</v>
      </c>
      <c r="BH40" s="186">
        <f>'Ket qua kinh doanh'!BH14</f>
        <v>0</v>
      </c>
      <c r="BI40" s="186">
        <f>'Ket qua kinh doanh'!BI14</f>
        <v>0</v>
      </c>
      <c r="BJ40" s="186">
        <f>'Ket qua kinh doanh'!BJ14</f>
        <v>0</v>
      </c>
      <c r="BK40" s="186">
        <f>'Ket qua kinh doanh'!BK14</f>
        <v>0</v>
      </c>
      <c r="BL40" s="186">
        <f>'Ket qua kinh doanh'!BL14</f>
        <v>0</v>
      </c>
      <c r="BM40" s="186">
        <f>'Ket qua kinh doanh'!BM14</f>
        <v>0</v>
      </c>
      <c r="BN40" s="186">
        <f>'Ket qua kinh doanh'!BN14</f>
        <v>0</v>
      </c>
      <c r="BO40" s="186">
        <f>'Ket qua kinh doanh'!BO14</f>
        <v>0</v>
      </c>
      <c r="BP40" s="186">
        <f>'Ket qua kinh doanh'!BP14</f>
        <v>0</v>
      </c>
      <c r="BQ40" s="186">
        <f>'Ket qua kinh doanh'!BQ14</f>
        <v>0</v>
      </c>
      <c r="BR40" s="186">
        <f>'Ket qua kinh doanh'!BR14</f>
        <v>0</v>
      </c>
      <c r="BS40" s="186">
        <f>'Ket qua kinh doanh'!BS14</f>
        <v>0</v>
      </c>
      <c r="BT40" s="186">
        <f>'Ket qua kinh doanh'!BT14</f>
        <v>0</v>
      </c>
      <c r="BU40" s="186">
        <f>'Ket qua kinh doanh'!BU14</f>
        <v>0</v>
      </c>
      <c r="BV40" s="186">
        <f>'Ket qua kinh doanh'!BV14</f>
        <v>0</v>
      </c>
      <c r="BW40" s="186">
        <f>'Ket qua kinh doanh'!BW14</f>
        <v>0</v>
      </c>
    </row>
    <row r="41" spans="1:75" ht="14.25" x14ac:dyDescent="0.2">
      <c r="A41" s="178">
        <v>38</v>
      </c>
      <c r="B41" s="177" t="s">
        <v>155</v>
      </c>
      <c r="C41" s="176">
        <v>9</v>
      </c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0"/>
      <c r="AX41" s="190"/>
      <c r="AY41" s="190"/>
      <c r="AZ41" s="190"/>
      <c r="BA41" s="190"/>
      <c r="BB41" s="190"/>
      <c r="BC41" s="190"/>
      <c r="BD41" s="190"/>
      <c r="BE41" s="190"/>
      <c r="BF41" s="190"/>
      <c r="BG41" s="190"/>
      <c r="BH41" s="190"/>
      <c r="BI41" s="190"/>
      <c r="BJ41" s="190"/>
      <c r="BK41" s="190"/>
      <c r="BL41" s="190"/>
      <c r="BM41" s="190"/>
      <c r="BN41" s="190"/>
      <c r="BO41" s="190"/>
      <c r="BP41" s="190"/>
      <c r="BQ41" s="190"/>
      <c r="BR41" s="190"/>
      <c r="BS41" s="190"/>
      <c r="BT41" s="190"/>
      <c r="BU41" s="190"/>
      <c r="BV41" s="190"/>
      <c r="BW41" s="190"/>
    </row>
    <row r="42" spans="1:75" ht="14.25" x14ac:dyDescent="0.2">
      <c r="A42" s="178">
        <v>39</v>
      </c>
      <c r="B42" s="177" t="s">
        <v>156</v>
      </c>
      <c r="C42" s="176">
        <v>9</v>
      </c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0"/>
      <c r="AX42" s="190"/>
      <c r="AY42" s="190"/>
      <c r="AZ42" s="190"/>
      <c r="BA42" s="190"/>
      <c r="BB42" s="190"/>
      <c r="BC42" s="190"/>
      <c r="BD42" s="190"/>
      <c r="BE42" s="190"/>
      <c r="BF42" s="190"/>
      <c r="BG42" s="190"/>
      <c r="BH42" s="190"/>
      <c r="BI42" s="190"/>
      <c r="BJ42" s="190"/>
      <c r="BK42" s="190"/>
      <c r="BL42" s="190"/>
      <c r="BM42" s="190"/>
      <c r="BN42" s="190"/>
      <c r="BO42" s="190"/>
      <c r="BP42" s="190"/>
      <c r="BQ42" s="190"/>
      <c r="BR42" s="190"/>
      <c r="BS42" s="190"/>
      <c r="BT42" s="190"/>
      <c r="BU42" s="190"/>
      <c r="BV42" s="190"/>
      <c r="BW42" s="190"/>
    </row>
    <row r="43" spans="1:75" ht="14.25" x14ac:dyDescent="0.2">
      <c r="A43" s="178">
        <v>40</v>
      </c>
      <c r="B43" s="177" t="s">
        <v>157</v>
      </c>
      <c r="C43" s="176">
        <v>9</v>
      </c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/>
      <c r="BJ43" s="190"/>
      <c r="BK43" s="190"/>
      <c r="BL43" s="190"/>
      <c r="BM43" s="190"/>
      <c r="BN43" s="190"/>
      <c r="BO43" s="190"/>
      <c r="BP43" s="190"/>
      <c r="BQ43" s="190"/>
      <c r="BR43" s="190"/>
      <c r="BS43" s="190"/>
      <c r="BT43" s="190"/>
      <c r="BU43" s="190"/>
      <c r="BV43" s="190"/>
      <c r="BW43" s="190"/>
    </row>
    <row r="44" spans="1:75" ht="14.25" x14ac:dyDescent="0.2">
      <c r="A44" s="178">
        <v>41</v>
      </c>
      <c r="B44" s="177" t="s">
        <v>158</v>
      </c>
      <c r="C44" s="176">
        <v>9</v>
      </c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</row>
    <row r="45" spans="1:75" ht="14.25" x14ac:dyDescent="0.2">
      <c r="A45" s="178">
        <v>42</v>
      </c>
      <c r="B45" s="177" t="s">
        <v>159</v>
      </c>
      <c r="C45" s="176">
        <v>9</v>
      </c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90"/>
      <c r="BP45" s="190"/>
      <c r="BQ45" s="190"/>
      <c r="BR45" s="190"/>
      <c r="BS45" s="190"/>
      <c r="BT45" s="190"/>
      <c r="BU45" s="190"/>
      <c r="BV45" s="190"/>
      <c r="BW45" s="190"/>
    </row>
    <row r="46" spans="1:75" ht="14.25" x14ac:dyDescent="0.2">
      <c r="A46" s="178">
        <v>43</v>
      </c>
      <c r="B46" s="177" t="s">
        <v>160</v>
      </c>
      <c r="C46" s="176">
        <v>9</v>
      </c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/>
      <c r="AY46" s="190"/>
      <c r="AZ46" s="190"/>
      <c r="BA46" s="190"/>
      <c r="BB46" s="190"/>
      <c r="BC46" s="190"/>
      <c r="BD46" s="190"/>
      <c r="BE46" s="190"/>
      <c r="BF46" s="190"/>
      <c r="BG46" s="190"/>
      <c r="BH46" s="190"/>
      <c r="BI46" s="190"/>
      <c r="BJ46" s="190"/>
      <c r="BK46" s="190"/>
      <c r="BL46" s="190"/>
      <c r="BM46" s="190"/>
      <c r="BN46" s="190"/>
      <c r="BO46" s="190"/>
      <c r="BP46" s="190"/>
      <c r="BQ46" s="190"/>
      <c r="BR46" s="190"/>
      <c r="BS46" s="190"/>
      <c r="BT46" s="190"/>
      <c r="BU46" s="190"/>
      <c r="BV46" s="190"/>
      <c r="BW46" s="190"/>
    </row>
    <row r="47" spans="1:75" ht="14.25" x14ac:dyDescent="0.2">
      <c r="A47" s="178">
        <v>44</v>
      </c>
      <c r="B47" s="177" t="s">
        <v>161</v>
      </c>
      <c r="C47" s="176">
        <v>9</v>
      </c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0"/>
      <c r="AX47" s="190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  <c r="BM47" s="190"/>
      <c r="BN47" s="190"/>
      <c r="BO47" s="190"/>
      <c r="BP47" s="190"/>
      <c r="BQ47" s="190"/>
      <c r="BR47" s="190"/>
      <c r="BS47" s="190"/>
      <c r="BT47" s="190"/>
      <c r="BU47" s="190"/>
      <c r="BV47" s="190"/>
      <c r="BW47" s="190"/>
    </row>
    <row r="48" spans="1:75" ht="14.25" x14ac:dyDescent="0.2">
      <c r="A48" s="182">
        <v>45</v>
      </c>
      <c r="B48" s="183" t="s">
        <v>162</v>
      </c>
      <c r="C48" s="174">
        <v>9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 t="str">
        <f t="shared" ref="AN48:BK48" si="80">IFERROR(AN40/AN12,"")</f>
        <v/>
      </c>
      <c r="AO48" s="188" t="str">
        <f t="shared" si="80"/>
        <v/>
      </c>
      <c r="AP48" s="188" t="str">
        <f t="shared" si="80"/>
        <v/>
      </c>
      <c r="AQ48" s="188" t="str">
        <f t="shared" si="80"/>
        <v/>
      </c>
      <c r="AR48" s="188" t="str">
        <f t="shared" si="80"/>
        <v/>
      </c>
      <c r="AS48" s="188" t="str">
        <f t="shared" si="80"/>
        <v/>
      </c>
      <c r="AT48" s="188" t="str">
        <f t="shared" si="80"/>
        <v/>
      </c>
      <c r="AU48" s="188" t="str">
        <f t="shared" si="80"/>
        <v/>
      </c>
      <c r="AV48" s="188" t="str">
        <f t="shared" si="80"/>
        <v/>
      </c>
      <c r="AW48" s="188" t="str">
        <f t="shared" si="80"/>
        <v/>
      </c>
      <c r="AX48" s="188" t="str">
        <f t="shared" si="80"/>
        <v/>
      </c>
      <c r="AY48" s="188" t="str">
        <f t="shared" si="80"/>
        <v/>
      </c>
      <c r="AZ48" s="188" t="str">
        <f t="shared" si="80"/>
        <v/>
      </c>
      <c r="BA48" s="188" t="str">
        <f t="shared" si="80"/>
        <v/>
      </c>
      <c r="BB48" s="188" t="str">
        <f t="shared" si="80"/>
        <v/>
      </c>
      <c r="BC48" s="188" t="str">
        <f t="shared" si="80"/>
        <v/>
      </c>
      <c r="BD48" s="188" t="str">
        <f t="shared" si="80"/>
        <v/>
      </c>
      <c r="BE48" s="188" t="str">
        <f t="shared" si="80"/>
        <v/>
      </c>
      <c r="BF48" s="188" t="str">
        <f t="shared" si="80"/>
        <v/>
      </c>
      <c r="BG48" s="188" t="str">
        <f t="shared" si="80"/>
        <v/>
      </c>
      <c r="BH48" s="188" t="str">
        <f t="shared" si="80"/>
        <v/>
      </c>
      <c r="BI48" s="188" t="str">
        <f t="shared" si="80"/>
        <v/>
      </c>
      <c r="BJ48" s="188" t="str">
        <f t="shared" si="80"/>
        <v/>
      </c>
      <c r="BK48" s="188" t="str">
        <f t="shared" si="80"/>
        <v/>
      </c>
      <c r="BL48" s="188" t="str">
        <f t="shared" ref="BL48:BW48" si="81">IFERROR(BL40/BL12,"")</f>
        <v/>
      </c>
      <c r="BM48" s="188" t="str">
        <f t="shared" si="81"/>
        <v/>
      </c>
      <c r="BN48" s="188" t="str">
        <f t="shared" si="81"/>
        <v/>
      </c>
      <c r="BO48" s="188" t="str">
        <f t="shared" si="81"/>
        <v/>
      </c>
      <c r="BP48" s="188" t="str">
        <f t="shared" si="81"/>
        <v/>
      </c>
      <c r="BQ48" s="188" t="str">
        <f t="shared" si="81"/>
        <v/>
      </c>
      <c r="BR48" s="188" t="str">
        <f t="shared" si="81"/>
        <v/>
      </c>
      <c r="BS48" s="188" t="str">
        <f t="shared" si="81"/>
        <v/>
      </c>
      <c r="BT48" s="188" t="str">
        <f t="shared" si="81"/>
        <v/>
      </c>
      <c r="BU48" s="188" t="str">
        <f t="shared" si="81"/>
        <v/>
      </c>
      <c r="BV48" s="188" t="str">
        <f t="shared" si="81"/>
        <v/>
      </c>
      <c r="BW48" s="188" t="str">
        <f t="shared" si="81"/>
        <v/>
      </c>
    </row>
    <row r="49" spans="1:75" ht="14.25" x14ac:dyDescent="0.2">
      <c r="A49" s="180">
        <v>46</v>
      </c>
      <c r="B49" s="181" t="s">
        <v>163</v>
      </c>
      <c r="C49" s="170">
        <v>9</v>
      </c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>
        <f>'Ket qua kinh doanh'!AN15</f>
        <v>0</v>
      </c>
      <c r="AO49" s="186">
        <f>'Ket qua kinh doanh'!AO15</f>
        <v>0</v>
      </c>
      <c r="AP49" s="186">
        <f>'Ket qua kinh doanh'!AP15</f>
        <v>0</v>
      </c>
      <c r="AQ49" s="186">
        <f>'Ket qua kinh doanh'!AQ15</f>
        <v>0</v>
      </c>
      <c r="AR49" s="186">
        <f>'Ket qua kinh doanh'!AR15</f>
        <v>0</v>
      </c>
      <c r="AS49" s="186">
        <f>'Ket qua kinh doanh'!AS15</f>
        <v>0</v>
      </c>
      <c r="AT49" s="186">
        <f>'Ket qua kinh doanh'!AT15</f>
        <v>0</v>
      </c>
      <c r="AU49" s="186">
        <f>'Ket qua kinh doanh'!AU15</f>
        <v>400000</v>
      </c>
      <c r="AV49" s="186">
        <f>'Ket qua kinh doanh'!AV15</f>
        <v>15035354</v>
      </c>
      <c r="AW49" s="186">
        <f>'Ket qua kinh doanh'!AW15</f>
        <v>615035354</v>
      </c>
      <c r="AX49" s="186">
        <f>'Ket qua kinh doanh'!AX15</f>
        <v>615035354</v>
      </c>
      <c r="AY49" s="186">
        <f>'Ket qua kinh doanh'!AY15</f>
        <v>615584737</v>
      </c>
      <c r="AZ49" s="186">
        <f>'Ket qua kinh doanh'!AZ15</f>
        <v>18584737</v>
      </c>
      <c r="BA49" s="186">
        <f>'Ket qua kinh doanh'!BA15</f>
        <v>1215584737</v>
      </c>
      <c r="BB49" s="186">
        <f>'Ket qua kinh doanh'!BB15</f>
        <v>615584737</v>
      </c>
      <c r="BC49" s="186">
        <f>'Ket qua kinh doanh'!BC15</f>
        <v>616214737</v>
      </c>
      <c r="BD49" s="186">
        <f>'Ket qua kinh doanh'!BD15</f>
        <v>615584737</v>
      </c>
      <c r="BE49" s="186">
        <f>'Ket qua kinh doanh'!BE15</f>
        <v>615584737</v>
      </c>
      <c r="BF49" s="186">
        <f>'Ket qua kinh doanh'!BF15</f>
        <v>600854737</v>
      </c>
      <c r="BG49" s="186">
        <f>'Ket qua kinh doanh'!BG15</f>
        <v>600584737</v>
      </c>
      <c r="BH49" s="186">
        <f>'Ket qua kinh doanh'!BH15</f>
        <v>600584737</v>
      </c>
      <c r="BI49" s="186">
        <f>'Ket qua kinh doanh'!BI15</f>
        <v>600584737</v>
      </c>
      <c r="BJ49" s="186">
        <f>'Ket qua kinh doanh'!BJ15</f>
        <v>600584737</v>
      </c>
      <c r="BK49" s="186">
        <f>'Ket qua kinh doanh'!BK15</f>
        <v>600584737</v>
      </c>
      <c r="BL49" s="186">
        <f>'Ket qua kinh doanh'!BL15</f>
        <v>584737</v>
      </c>
      <c r="BM49" s="186">
        <f>'Ket qua kinh doanh'!BM15</f>
        <v>584737</v>
      </c>
      <c r="BN49" s="186">
        <f>'Ket qua kinh doanh'!BN15</f>
        <v>584737</v>
      </c>
      <c r="BO49" s="186">
        <f>'Ket qua kinh doanh'!BO15</f>
        <v>584737</v>
      </c>
      <c r="BP49" s="186">
        <f>'Ket qua kinh doanh'!BP15</f>
        <v>0</v>
      </c>
      <c r="BQ49" s="186">
        <f>'Ket qua kinh doanh'!BQ15</f>
        <v>0</v>
      </c>
      <c r="BR49" s="186">
        <f>'Ket qua kinh doanh'!BR15</f>
        <v>0</v>
      </c>
      <c r="BS49" s="186">
        <f>'Ket qua kinh doanh'!BS15</f>
        <v>0</v>
      </c>
      <c r="BT49" s="186">
        <f>'Ket qua kinh doanh'!BT15</f>
        <v>0</v>
      </c>
      <c r="BU49" s="186">
        <f>'Ket qua kinh doanh'!BU15</f>
        <v>0</v>
      </c>
      <c r="BV49" s="186">
        <f>'Ket qua kinh doanh'!BV15</f>
        <v>0</v>
      </c>
      <c r="BW49" s="186">
        <f>'Ket qua kinh doanh'!BW15</f>
        <v>0</v>
      </c>
    </row>
    <row r="50" spans="1:75" ht="14.25" x14ac:dyDescent="0.2">
      <c r="A50" s="178">
        <v>47</v>
      </c>
      <c r="B50" s="177" t="s">
        <v>164</v>
      </c>
      <c r="C50" s="176">
        <v>9</v>
      </c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0"/>
      <c r="BN50" s="190"/>
      <c r="BO50" s="190"/>
      <c r="BP50" s="190"/>
      <c r="BQ50" s="190"/>
      <c r="BR50" s="190"/>
      <c r="BS50" s="190"/>
      <c r="BT50" s="190"/>
      <c r="BU50" s="190"/>
      <c r="BV50" s="190"/>
      <c r="BW50" s="190"/>
    </row>
    <row r="51" spans="1:75" ht="14.25" x14ac:dyDescent="0.2">
      <c r="A51" s="178">
        <v>48</v>
      </c>
      <c r="B51" s="177" t="s">
        <v>165</v>
      </c>
      <c r="C51" s="176">
        <v>9</v>
      </c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0"/>
      <c r="BN51" s="190"/>
      <c r="BO51" s="190"/>
      <c r="BP51" s="190"/>
      <c r="BQ51" s="190"/>
      <c r="BR51" s="190"/>
      <c r="BS51" s="190"/>
      <c r="BT51" s="190"/>
      <c r="BU51" s="190"/>
      <c r="BV51" s="190"/>
      <c r="BW51" s="190"/>
    </row>
    <row r="52" spans="1:75" ht="14.25" x14ac:dyDescent="0.2">
      <c r="A52" s="178">
        <v>49</v>
      </c>
      <c r="B52" s="177" t="s">
        <v>166</v>
      </c>
      <c r="C52" s="176">
        <v>9</v>
      </c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 s="190"/>
      <c r="AX52" s="190"/>
      <c r="AY52" s="190"/>
      <c r="AZ52" s="190"/>
      <c r="BA52" s="190"/>
      <c r="BB52" s="190"/>
      <c r="BC52" s="190"/>
      <c r="BD52" s="190"/>
      <c r="BE52" s="190"/>
      <c r="BF52" s="190"/>
      <c r="BG52" s="190"/>
      <c r="BH52" s="190"/>
      <c r="BI52" s="190"/>
      <c r="BJ52" s="190"/>
      <c r="BK52" s="190"/>
      <c r="BL52" s="190"/>
      <c r="BM52" s="190"/>
      <c r="BN52" s="190"/>
      <c r="BO52" s="190"/>
      <c r="BP52" s="190"/>
      <c r="BQ52" s="190"/>
      <c r="BR52" s="190"/>
      <c r="BS52" s="190"/>
      <c r="BT52" s="190"/>
      <c r="BU52" s="190"/>
      <c r="BV52" s="190"/>
      <c r="BW52" s="190"/>
    </row>
    <row r="53" spans="1:75" ht="14.25" x14ac:dyDescent="0.2">
      <c r="A53" s="178">
        <v>50</v>
      </c>
      <c r="B53" s="177" t="s">
        <v>167</v>
      </c>
      <c r="C53" s="176">
        <v>9</v>
      </c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>
        <v>0</v>
      </c>
      <c r="AO53" s="190">
        <v>0</v>
      </c>
      <c r="AP53" s="190">
        <v>0</v>
      </c>
      <c r="AQ53" s="190">
        <v>0</v>
      </c>
      <c r="AR53" s="190">
        <v>0</v>
      </c>
      <c r="AS53" s="190">
        <v>0</v>
      </c>
      <c r="AT53" s="190">
        <v>0</v>
      </c>
      <c r="AU53" s="190">
        <v>400000</v>
      </c>
      <c r="AV53" s="190">
        <v>15035354</v>
      </c>
      <c r="AW53" s="190">
        <v>615035354</v>
      </c>
      <c r="AX53" s="190">
        <v>615035354</v>
      </c>
      <c r="AY53" s="190">
        <v>615584737</v>
      </c>
      <c r="AZ53" s="190">
        <v>18584737</v>
      </c>
      <c r="BA53" s="190">
        <v>1215584737</v>
      </c>
      <c r="BB53" s="190">
        <v>615584737</v>
      </c>
      <c r="BC53" s="190">
        <v>616214737</v>
      </c>
      <c r="BD53" s="190">
        <v>615584737</v>
      </c>
      <c r="BE53" s="190">
        <v>615584737</v>
      </c>
      <c r="BF53" s="190">
        <v>600854737</v>
      </c>
      <c r="BG53" s="190">
        <v>600584737</v>
      </c>
      <c r="BH53" s="190">
        <v>600584737</v>
      </c>
      <c r="BI53" s="190">
        <v>600584737</v>
      </c>
      <c r="BJ53" s="190">
        <v>600584737</v>
      </c>
      <c r="BK53" s="190">
        <v>600584737</v>
      </c>
      <c r="BL53" s="190">
        <v>584737</v>
      </c>
      <c r="BM53" s="190">
        <v>584737</v>
      </c>
      <c r="BN53" s="190">
        <v>584737</v>
      </c>
      <c r="BO53" s="190">
        <v>584737</v>
      </c>
      <c r="BP53" s="190"/>
      <c r="BQ53" s="190"/>
      <c r="BR53" s="190"/>
      <c r="BS53" s="190"/>
      <c r="BT53" s="190"/>
      <c r="BU53" s="190"/>
      <c r="BV53" s="190"/>
      <c r="BW53" s="190"/>
    </row>
    <row r="54" spans="1:75" ht="14.25" x14ac:dyDescent="0.2">
      <c r="A54" s="182">
        <v>51</v>
      </c>
      <c r="B54" s="183" t="s">
        <v>168</v>
      </c>
      <c r="C54" s="174">
        <v>9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 t="str">
        <f t="shared" ref="AN54:BK54" si="82">IFERROR(AN49/AN12,"")</f>
        <v/>
      </c>
      <c r="AO54" s="188" t="str">
        <f t="shared" si="82"/>
        <v/>
      </c>
      <c r="AP54" s="188" t="str">
        <f t="shared" si="82"/>
        <v/>
      </c>
      <c r="AQ54" s="188" t="str">
        <f t="shared" si="82"/>
        <v/>
      </c>
      <c r="AR54" s="188" t="str">
        <f t="shared" si="82"/>
        <v/>
      </c>
      <c r="AS54" s="188" t="str">
        <f t="shared" si="82"/>
        <v/>
      </c>
      <c r="AT54" s="188" t="str">
        <f t="shared" si="82"/>
        <v/>
      </c>
      <c r="AU54" s="188" t="str">
        <f t="shared" si="82"/>
        <v/>
      </c>
      <c r="AV54" s="188" t="str">
        <f t="shared" si="82"/>
        <v/>
      </c>
      <c r="AW54" s="188" t="str">
        <f t="shared" si="82"/>
        <v/>
      </c>
      <c r="AX54" s="188" t="str">
        <f t="shared" si="82"/>
        <v/>
      </c>
      <c r="AY54" s="188" t="str">
        <f t="shared" si="82"/>
        <v/>
      </c>
      <c r="AZ54" s="188" t="str">
        <f t="shared" si="82"/>
        <v/>
      </c>
      <c r="BA54" s="188" t="str">
        <f t="shared" si="82"/>
        <v/>
      </c>
      <c r="BB54" s="188" t="str">
        <f t="shared" si="82"/>
        <v/>
      </c>
      <c r="BC54" s="188" t="str">
        <f t="shared" si="82"/>
        <v/>
      </c>
      <c r="BD54" s="188" t="str">
        <f t="shared" si="82"/>
        <v/>
      </c>
      <c r="BE54" s="188" t="str">
        <f t="shared" si="82"/>
        <v/>
      </c>
      <c r="BF54" s="188" t="str">
        <f t="shared" si="82"/>
        <v/>
      </c>
      <c r="BG54" s="188" t="str">
        <f t="shared" si="82"/>
        <v/>
      </c>
      <c r="BH54" s="188" t="str">
        <f t="shared" si="82"/>
        <v/>
      </c>
      <c r="BI54" s="188" t="str">
        <f t="shared" si="82"/>
        <v/>
      </c>
      <c r="BJ54" s="188" t="str">
        <f t="shared" si="82"/>
        <v/>
      </c>
      <c r="BK54" s="188" t="str">
        <f t="shared" si="82"/>
        <v/>
      </c>
      <c r="BL54" s="188" t="str">
        <f t="shared" ref="BL54:BW54" si="83">IFERROR(BL49/BL12,"")</f>
        <v/>
      </c>
      <c r="BM54" s="188" t="str">
        <f t="shared" si="83"/>
        <v/>
      </c>
      <c r="BN54" s="188" t="str">
        <f>IFERROR(BN49/BN12,"")</f>
        <v/>
      </c>
      <c r="BO54" s="188" t="str">
        <f t="shared" si="83"/>
        <v/>
      </c>
      <c r="BP54" s="188" t="str">
        <f t="shared" si="83"/>
        <v/>
      </c>
      <c r="BQ54" s="188" t="str">
        <f t="shared" si="83"/>
        <v/>
      </c>
      <c r="BR54" s="188" t="str">
        <f t="shared" si="83"/>
        <v/>
      </c>
      <c r="BS54" s="188" t="str">
        <f t="shared" si="83"/>
        <v/>
      </c>
      <c r="BT54" s="188" t="str">
        <f t="shared" si="83"/>
        <v/>
      </c>
      <c r="BU54" s="188" t="str">
        <f t="shared" si="83"/>
        <v/>
      </c>
      <c r="BV54" s="188" t="str">
        <f t="shared" si="83"/>
        <v/>
      </c>
      <c r="BW54" s="188" t="str">
        <f t="shared" si="83"/>
        <v/>
      </c>
    </row>
    <row r="55" spans="1:75" ht="14.25" x14ac:dyDescent="0.2">
      <c r="A55" s="180">
        <v>52</v>
      </c>
      <c r="B55" s="181" t="s">
        <v>169</v>
      </c>
      <c r="C55" s="173">
        <v>9</v>
      </c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>
        <f>'Ket qua kinh doanh'!AN12</f>
        <v>0</v>
      </c>
      <c r="AO55" s="187">
        <f>'Ket qua kinh doanh'!AO12</f>
        <v>0</v>
      </c>
      <c r="AP55" s="187">
        <f>'Ket qua kinh doanh'!AP12</f>
        <v>0</v>
      </c>
      <c r="AQ55" s="187">
        <f>'Ket qua kinh doanh'!AQ12</f>
        <v>0</v>
      </c>
      <c r="AR55" s="187">
        <f>'Ket qua kinh doanh'!AR12</f>
        <v>0</v>
      </c>
      <c r="AS55" s="187">
        <f>'Ket qua kinh doanh'!AS12</f>
        <v>0</v>
      </c>
      <c r="AT55" s="187">
        <f>'Ket qua kinh doanh'!AT12</f>
        <v>0</v>
      </c>
      <c r="AU55" s="187">
        <f>'Ket qua kinh doanh'!AU12</f>
        <v>0</v>
      </c>
      <c r="AV55" s="187">
        <f>'Ket qua kinh doanh'!AV12</f>
        <v>0</v>
      </c>
      <c r="AW55" s="187">
        <f>'Ket qua kinh doanh'!AW12</f>
        <v>0</v>
      </c>
      <c r="AX55" s="187">
        <f>'Ket qua kinh doanh'!AX12</f>
        <v>0</v>
      </c>
      <c r="AY55" s="187">
        <f>'Ket qua kinh doanh'!AY12</f>
        <v>0</v>
      </c>
      <c r="AZ55" s="187">
        <f>'Ket qua kinh doanh'!AZ12</f>
        <v>0</v>
      </c>
      <c r="BA55" s="187">
        <f>'Ket qua kinh doanh'!BA12</f>
        <v>0</v>
      </c>
      <c r="BB55" s="187">
        <f>'Ket qua kinh doanh'!BB12</f>
        <v>0</v>
      </c>
      <c r="BC55" s="187">
        <f>'Ket qua kinh doanh'!BC12</f>
        <v>0</v>
      </c>
      <c r="BD55" s="187">
        <f>'Ket qua kinh doanh'!BD12</f>
        <v>0</v>
      </c>
      <c r="BE55" s="187">
        <f>'Ket qua kinh doanh'!BE12</f>
        <v>0</v>
      </c>
      <c r="BF55" s="187">
        <f>'Ket qua kinh doanh'!BF12</f>
        <v>0</v>
      </c>
      <c r="BG55" s="187">
        <f>'Ket qua kinh doanh'!BG12</f>
        <v>0</v>
      </c>
      <c r="BH55" s="187">
        <f>'Ket qua kinh doanh'!BH12</f>
        <v>0</v>
      </c>
      <c r="BI55" s="187">
        <f>'Ket qua kinh doanh'!BI12</f>
        <v>0</v>
      </c>
      <c r="BJ55" s="187">
        <f>'Ket qua kinh doanh'!BJ12</f>
        <v>0</v>
      </c>
      <c r="BK55" s="187">
        <f>'Ket qua kinh doanh'!BK12</f>
        <v>0</v>
      </c>
      <c r="BL55" s="187">
        <f>'Ket qua kinh doanh'!BL12</f>
        <v>0</v>
      </c>
      <c r="BM55" s="187">
        <f>'Ket qua kinh doanh'!BM12</f>
        <v>0</v>
      </c>
      <c r="BN55" s="187">
        <f>'Ket qua kinh doanh'!BN12</f>
        <v>0</v>
      </c>
      <c r="BO55" s="187">
        <f>'Ket qua kinh doanh'!BO12</f>
        <v>0</v>
      </c>
      <c r="BP55" s="187">
        <f>'Ket qua kinh doanh'!BP12</f>
        <v>0</v>
      </c>
      <c r="BQ55" s="187">
        <f>'Ket qua kinh doanh'!BQ12</f>
        <v>0</v>
      </c>
      <c r="BR55" s="187">
        <f>'Ket qua kinh doanh'!BR12</f>
        <v>0</v>
      </c>
      <c r="BS55" s="187">
        <f>'Ket qua kinh doanh'!BS12</f>
        <v>0</v>
      </c>
      <c r="BT55" s="187">
        <f>'Ket qua kinh doanh'!BT12</f>
        <v>0</v>
      </c>
      <c r="BU55" s="187">
        <f>'Ket qua kinh doanh'!BU12</f>
        <v>0</v>
      </c>
      <c r="BV55" s="187">
        <f>'Ket qua kinh doanh'!BV12</f>
        <v>0</v>
      </c>
      <c r="BW55" s="187">
        <f>'Ket qua kinh doanh'!BW12</f>
        <v>0</v>
      </c>
    </row>
    <row r="56" spans="1:75" ht="14.25" x14ac:dyDescent="0.2">
      <c r="A56" s="165">
        <v>53</v>
      </c>
      <c r="B56" s="166" t="s">
        <v>170</v>
      </c>
      <c r="C56" s="176">
        <v>9</v>
      </c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  <c r="AL56" s="190"/>
      <c r="AM56" s="190"/>
      <c r="AN56" s="190">
        <f>'Ket qua kinh doanh'!AN13</f>
        <v>0</v>
      </c>
      <c r="AO56" s="190">
        <f>'Ket qua kinh doanh'!AO13</f>
        <v>0</v>
      </c>
      <c r="AP56" s="190">
        <f>'Ket qua kinh doanh'!AP13</f>
        <v>0</v>
      </c>
      <c r="AQ56" s="190">
        <f>'Ket qua kinh doanh'!AQ13</f>
        <v>0</v>
      </c>
      <c r="AR56" s="190">
        <f>'Ket qua kinh doanh'!AR13</f>
        <v>0</v>
      </c>
      <c r="AS56" s="190">
        <f>'Ket qua kinh doanh'!AS13</f>
        <v>0</v>
      </c>
      <c r="AT56" s="190">
        <f>'Ket qua kinh doanh'!AT13</f>
        <v>0</v>
      </c>
      <c r="AU56" s="190">
        <f>'Ket qua kinh doanh'!AU13</f>
        <v>0</v>
      </c>
      <c r="AV56" s="190">
        <f>'Ket qua kinh doanh'!AV13</f>
        <v>0</v>
      </c>
      <c r="AW56" s="190">
        <f>'Ket qua kinh doanh'!AW13</f>
        <v>0</v>
      </c>
      <c r="AX56" s="190">
        <f>'Ket qua kinh doanh'!AX13</f>
        <v>0</v>
      </c>
      <c r="AY56" s="190">
        <f>'Ket qua kinh doanh'!AY13</f>
        <v>0</v>
      </c>
      <c r="AZ56" s="190">
        <f>'Ket qua kinh doanh'!AZ13</f>
        <v>0</v>
      </c>
      <c r="BA56" s="190">
        <f>'Ket qua kinh doanh'!BA13</f>
        <v>0</v>
      </c>
      <c r="BB56" s="190">
        <f>'Ket qua kinh doanh'!BB13</f>
        <v>0</v>
      </c>
      <c r="BC56" s="190">
        <f>'Ket qua kinh doanh'!BC13</f>
        <v>0</v>
      </c>
      <c r="BD56" s="190">
        <f>'Ket qua kinh doanh'!BD13</f>
        <v>0</v>
      </c>
      <c r="BE56" s="190">
        <f>'Ket qua kinh doanh'!BE13</f>
        <v>0</v>
      </c>
      <c r="BF56" s="190">
        <f>'Ket qua kinh doanh'!BF13</f>
        <v>0</v>
      </c>
      <c r="BG56" s="190">
        <f>'Ket qua kinh doanh'!BG13</f>
        <v>0</v>
      </c>
      <c r="BH56" s="190">
        <f>'Ket qua kinh doanh'!BH13</f>
        <v>0</v>
      </c>
      <c r="BI56" s="190">
        <f>'Ket qua kinh doanh'!BI13</f>
        <v>0</v>
      </c>
      <c r="BJ56" s="190">
        <f>'Ket qua kinh doanh'!BJ13</f>
        <v>0</v>
      </c>
      <c r="BK56" s="190">
        <f>'Ket qua kinh doanh'!BK13</f>
        <v>0</v>
      </c>
      <c r="BL56" s="190">
        <f>'Ket qua kinh doanh'!BL13</f>
        <v>0</v>
      </c>
      <c r="BM56" s="190">
        <f>'Ket qua kinh doanh'!BM13</f>
        <v>0</v>
      </c>
      <c r="BN56" s="190">
        <f>'Ket qua kinh doanh'!BN13</f>
        <v>0</v>
      </c>
      <c r="BO56" s="190">
        <f>'Ket qua kinh doanh'!BO13</f>
        <v>0</v>
      </c>
      <c r="BP56" s="190">
        <f>'Ket qua kinh doanh'!BP13</f>
        <v>0</v>
      </c>
      <c r="BQ56" s="190">
        <f>'Ket qua kinh doanh'!BQ13</f>
        <v>0</v>
      </c>
      <c r="BR56" s="190">
        <f>'Ket qua kinh doanh'!BR13</f>
        <v>0</v>
      </c>
      <c r="BS56" s="190">
        <f>'Ket qua kinh doanh'!BS13</f>
        <v>0</v>
      </c>
      <c r="BT56" s="190">
        <f>'Ket qua kinh doanh'!BT13</f>
        <v>0</v>
      </c>
      <c r="BU56" s="190">
        <f>'Ket qua kinh doanh'!BU13</f>
        <v>0</v>
      </c>
      <c r="BV56" s="190">
        <f>'Ket qua kinh doanh'!BV13</f>
        <v>0</v>
      </c>
      <c r="BW56" s="190">
        <f>'Ket qua kinh doanh'!BW13</f>
        <v>0</v>
      </c>
    </row>
    <row r="57" spans="1:75" ht="14.25" x14ac:dyDescent="0.2">
      <c r="A57" s="184">
        <v>54</v>
      </c>
      <c r="B57" s="183" t="s">
        <v>171</v>
      </c>
      <c r="C57" s="174">
        <v>9</v>
      </c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 t="str">
        <f t="shared" ref="AN57:BK57" si="84">IFERROR(AN56/AN12,"")</f>
        <v/>
      </c>
      <c r="AO57" s="188" t="str">
        <f t="shared" si="84"/>
        <v/>
      </c>
      <c r="AP57" s="188" t="str">
        <f t="shared" si="84"/>
        <v/>
      </c>
      <c r="AQ57" s="188" t="str">
        <f t="shared" si="84"/>
        <v/>
      </c>
      <c r="AR57" s="188" t="str">
        <f t="shared" si="84"/>
        <v/>
      </c>
      <c r="AS57" s="188" t="str">
        <f t="shared" si="84"/>
        <v/>
      </c>
      <c r="AT57" s="188" t="str">
        <f t="shared" si="84"/>
        <v/>
      </c>
      <c r="AU57" s="188" t="str">
        <f t="shared" si="84"/>
        <v/>
      </c>
      <c r="AV57" s="188" t="str">
        <f t="shared" si="84"/>
        <v/>
      </c>
      <c r="AW57" s="188" t="str">
        <f t="shared" si="84"/>
        <v/>
      </c>
      <c r="AX57" s="188" t="str">
        <f t="shared" si="84"/>
        <v/>
      </c>
      <c r="AY57" s="188" t="str">
        <f t="shared" si="84"/>
        <v/>
      </c>
      <c r="AZ57" s="188" t="str">
        <f t="shared" si="84"/>
        <v/>
      </c>
      <c r="BA57" s="188" t="str">
        <f t="shared" si="84"/>
        <v/>
      </c>
      <c r="BB57" s="188" t="str">
        <f t="shared" si="84"/>
        <v/>
      </c>
      <c r="BC57" s="188" t="str">
        <f t="shared" si="84"/>
        <v/>
      </c>
      <c r="BD57" s="188" t="str">
        <f t="shared" si="84"/>
        <v/>
      </c>
      <c r="BE57" s="188" t="str">
        <f t="shared" si="84"/>
        <v/>
      </c>
      <c r="BF57" s="188" t="str">
        <f t="shared" si="84"/>
        <v/>
      </c>
      <c r="BG57" s="188" t="str">
        <f t="shared" si="84"/>
        <v/>
      </c>
      <c r="BH57" s="188" t="str">
        <f t="shared" si="84"/>
        <v/>
      </c>
      <c r="BI57" s="188" t="str">
        <f t="shared" si="84"/>
        <v/>
      </c>
      <c r="BJ57" s="188" t="str">
        <f t="shared" si="84"/>
        <v/>
      </c>
      <c r="BK57" s="188" t="str">
        <f t="shared" si="84"/>
        <v/>
      </c>
      <c r="BL57" s="188" t="str">
        <f t="shared" ref="BL57" si="85">IFERROR(BL56/BL12,"")</f>
        <v/>
      </c>
      <c r="BM57" s="188" t="str">
        <f t="shared" ref="BM57" si="86">IFERROR(BM56/BM12,"")</f>
        <v/>
      </c>
      <c r="BN57" s="188" t="str">
        <f t="shared" ref="BN57" si="87">IFERROR(BN56/BN12,"")</f>
        <v/>
      </c>
      <c r="BO57" s="188" t="str">
        <f t="shared" ref="BO57" si="88">IFERROR(BO56/BO12,"")</f>
        <v/>
      </c>
      <c r="BP57" s="188" t="str">
        <f t="shared" ref="BP57" si="89">IFERROR(BP56/BP12,"")</f>
        <v/>
      </c>
      <c r="BQ57" s="188" t="str">
        <f t="shared" ref="BQ57" si="90">IFERROR(BQ56/BQ12,"")</f>
        <v/>
      </c>
      <c r="BR57" s="188" t="str">
        <f t="shared" ref="BR57" si="91">IFERROR(BR56/BR12,"")</f>
        <v/>
      </c>
      <c r="BS57" s="188" t="str">
        <f t="shared" ref="BS57" si="92">IFERROR(BS56/BS12,"")</f>
        <v/>
      </c>
      <c r="BT57" s="188" t="str">
        <f t="shared" ref="BT57" si="93">IFERROR(BT56/BT12,"")</f>
        <v/>
      </c>
      <c r="BU57" s="188" t="str">
        <f t="shared" ref="BU57" si="94">IFERROR(BU56/BU12,"")</f>
        <v/>
      </c>
      <c r="BV57" s="188" t="str">
        <f t="shared" ref="BV57" si="95">IFERROR(BV56/BV12,"")</f>
        <v/>
      </c>
      <c r="BW57" s="188" t="str">
        <f t="shared" ref="BW57" si="96">IFERROR(BW56/BW12,"")</f>
        <v/>
      </c>
    </row>
  </sheetData>
  <sheetProtection algorithmName="SHA-512" hashValue="NeLdWabR3SboZW+tPfO8/2bx3ua5oP4zTo4BEqyfOX2OBr4Gm2lutzRRHnFlyrBK45zo5fctVPfKdBUgL1SHQQ==" saltValue="jN3tmxs4M1uewy6/cNu1sA==" spinCount="100000" sheet="1" objects="1" scenarios="1"/>
  <protectedRanges>
    <protectedRange sqref="D4:BW57" name="Element"/>
  </protectedRange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2317-A75F-4965-9D4C-48E0152B27EF}">
  <sheetPr>
    <tabColor theme="9" tint="0.59999389629810485"/>
  </sheetPr>
  <dimension ref="A1:BW74"/>
  <sheetViews>
    <sheetView showGridLines="0" tabSelected="1" zoomScale="80" zoomScaleNormal="80" workbookViewId="0">
      <pane xSplit="3" ySplit="3" topLeftCell="AU48" activePane="bottomRight" state="frozen"/>
      <selection activeCell="BM13" sqref="BM13"/>
      <selection pane="topRight" activeCell="BM13" sqref="BM13"/>
      <selection pane="bottomLeft" activeCell="BM13" sqref="BM13"/>
      <selection pane="bottomRight" activeCell="BC70" sqref="BC70"/>
    </sheetView>
  </sheetViews>
  <sheetFormatPr defaultRowHeight="12.75" x14ac:dyDescent="0.2"/>
  <cols>
    <col min="1" max="1" width="7.140625" hidden="1" customWidth="1"/>
    <col min="2" max="2" width="44.5703125" customWidth="1"/>
    <col min="3" max="3" width="14.5703125" hidden="1" customWidth="1"/>
    <col min="4" max="75" width="15" customWidth="1"/>
  </cols>
  <sheetData>
    <row r="1" spans="1:75" ht="18.75" x14ac:dyDescent="0.3">
      <c r="B1" s="1" t="s">
        <v>0</v>
      </c>
    </row>
    <row r="2" spans="1:75" ht="15" x14ac:dyDescent="0.2">
      <c r="B2" s="2" t="s">
        <v>1</v>
      </c>
    </row>
    <row r="3" spans="1:75" ht="28.5" x14ac:dyDescent="0.2">
      <c r="A3" s="12" t="s">
        <v>189</v>
      </c>
      <c r="B3" s="13" t="s">
        <v>172</v>
      </c>
      <c r="C3" s="15" t="s">
        <v>228</v>
      </c>
      <c r="D3" s="14" t="s">
        <v>191</v>
      </c>
      <c r="E3" s="14" t="s">
        <v>192</v>
      </c>
      <c r="F3" s="14" t="s">
        <v>193</v>
      </c>
      <c r="G3" s="14" t="s">
        <v>194</v>
      </c>
      <c r="H3" s="14" t="s">
        <v>195</v>
      </c>
      <c r="I3" s="14" t="s">
        <v>196</v>
      </c>
      <c r="J3" s="14" t="s">
        <v>197</v>
      </c>
      <c r="K3" s="14" t="s">
        <v>198</v>
      </c>
      <c r="L3" s="14" t="s">
        <v>199</v>
      </c>
      <c r="M3" s="14" t="s">
        <v>200</v>
      </c>
      <c r="N3" s="14" t="s">
        <v>201</v>
      </c>
      <c r="O3" s="14" t="s">
        <v>202</v>
      </c>
      <c r="P3" s="14" t="s">
        <v>203</v>
      </c>
      <c r="Q3" s="14" t="s">
        <v>204</v>
      </c>
      <c r="R3" s="14" t="s">
        <v>205</v>
      </c>
      <c r="S3" s="14" t="s">
        <v>206</v>
      </c>
      <c r="T3" s="14" t="s">
        <v>207</v>
      </c>
      <c r="U3" s="14" t="s">
        <v>208</v>
      </c>
      <c r="V3" s="14" t="s">
        <v>209</v>
      </c>
      <c r="W3" s="14" t="s">
        <v>210</v>
      </c>
      <c r="X3" s="14" t="s">
        <v>211</v>
      </c>
      <c r="Y3" s="14" t="s">
        <v>212</v>
      </c>
      <c r="Z3" s="14" t="s">
        <v>213</v>
      </c>
      <c r="AA3" s="14" t="s">
        <v>214</v>
      </c>
      <c r="AB3" s="14" t="s">
        <v>215</v>
      </c>
      <c r="AC3" s="14" t="s">
        <v>216</v>
      </c>
      <c r="AD3" s="14" t="s">
        <v>217</v>
      </c>
      <c r="AE3" s="14" t="s">
        <v>218</v>
      </c>
      <c r="AF3" s="14" t="s">
        <v>219</v>
      </c>
      <c r="AG3" s="14" t="s">
        <v>220</v>
      </c>
      <c r="AH3" s="14" t="s">
        <v>221</v>
      </c>
      <c r="AI3" s="14" t="s">
        <v>222</v>
      </c>
      <c r="AJ3" s="14" t="s">
        <v>223</v>
      </c>
      <c r="AK3" s="14" t="s">
        <v>224</v>
      </c>
      <c r="AL3" s="14" t="s">
        <v>225</v>
      </c>
      <c r="AM3" s="14" t="s">
        <v>226</v>
      </c>
      <c r="AN3" s="14" t="s">
        <v>2</v>
      </c>
      <c r="AO3" s="14" t="s">
        <v>3</v>
      </c>
      <c r="AP3" s="14" t="s">
        <v>4</v>
      </c>
      <c r="AQ3" s="14" t="s">
        <v>5</v>
      </c>
      <c r="AR3" s="14" t="s">
        <v>6</v>
      </c>
      <c r="AS3" s="14" t="s">
        <v>7</v>
      </c>
      <c r="AT3" s="14" t="s">
        <v>8</v>
      </c>
      <c r="AU3" s="14" t="s">
        <v>9</v>
      </c>
      <c r="AV3" s="14" t="s">
        <v>10</v>
      </c>
      <c r="AW3" s="14" t="s">
        <v>11</v>
      </c>
      <c r="AX3" s="14" t="s">
        <v>12</v>
      </c>
      <c r="AY3" s="14" t="s">
        <v>13</v>
      </c>
      <c r="AZ3" s="14" t="s">
        <v>14</v>
      </c>
      <c r="BA3" s="14" t="s">
        <v>15</v>
      </c>
      <c r="BB3" s="14" t="s">
        <v>16</v>
      </c>
      <c r="BC3" s="14" t="s">
        <v>17</v>
      </c>
      <c r="BD3" s="14" t="s">
        <v>18</v>
      </c>
      <c r="BE3" s="14" t="s">
        <v>19</v>
      </c>
      <c r="BF3" s="14" t="s">
        <v>20</v>
      </c>
      <c r="BG3" s="14" t="s">
        <v>21</v>
      </c>
      <c r="BH3" s="14" t="s">
        <v>22</v>
      </c>
      <c r="BI3" s="14" t="s">
        <v>23</v>
      </c>
      <c r="BJ3" s="14" t="s">
        <v>24</v>
      </c>
      <c r="BK3" s="14" t="s">
        <v>25</v>
      </c>
      <c r="BL3" s="14" t="s">
        <v>298</v>
      </c>
      <c r="BM3" s="14" t="s">
        <v>299</v>
      </c>
      <c r="BN3" s="14" t="s">
        <v>300</v>
      </c>
      <c r="BO3" s="14" t="s">
        <v>301</v>
      </c>
      <c r="BP3" s="14" t="s">
        <v>302</v>
      </c>
      <c r="BQ3" s="14" t="s">
        <v>303</v>
      </c>
      <c r="BR3" s="14" t="s">
        <v>304</v>
      </c>
      <c r="BS3" s="14" t="s">
        <v>305</v>
      </c>
      <c r="BT3" s="14" t="s">
        <v>306</v>
      </c>
      <c r="BU3" s="14" t="s">
        <v>307</v>
      </c>
      <c r="BV3" s="14" t="s">
        <v>308</v>
      </c>
      <c r="BW3" s="14" t="s">
        <v>309</v>
      </c>
    </row>
    <row r="4" spans="1:75" x14ac:dyDescent="0.2">
      <c r="A4" s="8">
        <v>1</v>
      </c>
      <c r="B4" s="4" t="s">
        <v>336</v>
      </c>
      <c r="C4" s="16">
        <v>9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2"/>
      <c r="BN4" s="192"/>
      <c r="BO4" s="192"/>
      <c r="BP4" s="192"/>
      <c r="BQ4" s="192"/>
      <c r="BR4" s="192"/>
      <c r="BS4" s="192"/>
      <c r="BT4" s="192"/>
      <c r="BU4" s="192"/>
      <c r="BV4" s="192"/>
      <c r="BW4" s="192"/>
    </row>
    <row r="5" spans="1:75" x14ac:dyDescent="0.2">
      <c r="A5" s="9">
        <v>2</v>
      </c>
      <c r="B5" s="5" t="s">
        <v>174</v>
      </c>
      <c r="C5" s="9">
        <v>9</v>
      </c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</row>
    <row r="6" spans="1:75" x14ac:dyDescent="0.2">
      <c r="A6" s="9">
        <v>3</v>
      </c>
      <c r="B6" s="5" t="s">
        <v>175</v>
      </c>
      <c r="C6" s="9">
        <v>9</v>
      </c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</row>
    <row r="7" spans="1:75" x14ac:dyDescent="0.2">
      <c r="A7" s="9">
        <v>4</v>
      </c>
      <c r="B7" s="5" t="s">
        <v>176</v>
      </c>
      <c r="C7" s="9">
        <v>9</v>
      </c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</row>
    <row r="8" spans="1:75" x14ac:dyDescent="0.2">
      <c r="A8" s="9">
        <v>5</v>
      </c>
      <c r="B8" s="5" t="s">
        <v>177</v>
      </c>
      <c r="C8" s="9">
        <v>9</v>
      </c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/>
      <c r="BK8" s="194"/>
      <c r="BL8" s="194"/>
      <c r="BM8" s="194"/>
      <c r="BN8" s="194"/>
      <c r="BO8" s="194"/>
      <c r="BP8" s="194"/>
      <c r="BQ8" s="194"/>
      <c r="BR8" s="194"/>
      <c r="BS8" s="194"/>
      <c r="BT8" s="194"/>
      <c r="BU8" s="194"/>
      <c r="BV8" s="194"/>
      <c r="BW8" s="194"/>
    </row>
    <row r="9" spans="1:75" x14ac:dyDescent="0.2">
      <c r="A9" s="9">
        <v>6</v>
      </c>
      <c r="B9" s="5" t="s">
        <v>178</v>
      </c>
      <c r="C9" s="9">
        <v>9</v>
      </c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</row>
    <row r="10" spans="1:75" x14ac:dyDescent="0.2">
      <c r="A10" s="9">
        <v>7</v>
      </c>
      <c r="B10" s="5" t="s">
        <v>179</v>
      </c>
      <c r="C10" s="9">
        <v>9</v>
      </c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  <c r="AW10" s="193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  <c r="BI10" s="193"/>
      <c r="BJ10" s="193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</row>
    <row r="11" spans="1:75" x14ac:dyDescent="0.2">
      <c r="A11" s="9">
        <v>8</v>
      </c>
      <c r="B11" s="5" t="s">
        <v>180</v>
      </c>
      <c r="C11" s="9">
        <v>9</v>
      </c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</row>
    <row r="12" spans="1:75" x14ac:dyDescent="0.2">
      <c r="A12" s="9">
        <v>9</v>
      </c>
      <c r="B12" s="3"/>
      <c r="C12" s="9">
        <v>9</v>
      </c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  <c r="BI12" s="193"/>
      <c r="BJ12" s="193"/>
      <c r="BK12" s="194"/>
      <c r="BL12" s="194"/>
      <c r="BM12" s="194"/>
      <c r="BN12" s="194"/>
      <c r="BO12" s="194"/>
      <c r="BP12" s="194"/>
      <c r="BQ12" s="194"/>
      <c r="BR12" s="194"/>
      <c r="BS12" s="194"/>
      <c r="BT12" s="194"/>
      <c r="BU12" s="194"/>
      <c r="BV12" s="194"/>
      <c r="BW12" s="194"/>
    </row>
    <row r="13" spans="1:75" x14ac:dyDescent="0.2">
      <c r="A13" s="8">
        <v>10</v>
      </c>
      <c r="B13" s="4" t="s">
        <v>173</v>
      </c>
      <c r="C13" s="16">
        <v>9</v>
      </c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</row>
    <row r="14" spans="1:75" x14ac:dyDescent="0.2">
      <c r="A14" s="9">
        <v>11</v>
      </c>
      <c r="B14" s="5" t="s">
        <v>174</v>
      </c>
      <c r="C14" s="9">
        <v>9</v>
      </c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</row>
    <row r="15" spans="1:75" x14ac:dyDescent="0.2">
      <c r="A15" s="9">
        <v>12</v>
      </c>
      <c r="B15" s="5" t="s">
        <v>175</v>
      </c>
      <c r="C15" s="9">
        <v>9</v>
      </c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  <c r="BI15" s="193"/>
      <c r="BJ15" s="193"/>
      <c r="BK15" s="194"/>
      <c r="BL15" s="194"/>
      <c r="BM15" s="194"/>
      <c r="BN15" s="194"/>
      <c r="BO15" s="194"/>
      <c r="BP15" s="194"/>
      <c r="BQ15" s="194"/>
      <c r="BR15" s="194"/>
      <c r="BS15" s="194"/>
      <c r="BT15" s="194"/>
      <c r="BU15" s="194"/>
      <c r="BV15" s="194"/>
      <c r="BW15" s="194"/>
    </row>
    <row r="16" spans="1:75" x14ac:dyDescent="0.2">
      <c r="A16" s="9">
        <v>13</v>
      </c>
      <c r="B16" s="5" t="s">
        <v>176</v>
      </c>
      <c r="C16" s="9">
        <v>9</v>
      </c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</row>
    <row r="17" spans="1:75" x14ac:dyDescent="0.2">
      <c r="A17" s="9">
        <v>14</v>
      </c>
      <c r="B17" s="5" t="s">
        <v>177</v>
      </c>
      <c r="C17" s="9">
        <v>9</v>
      </c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</row>
    <row r="18" spans="1:75" x14ac:dyDescent="0.2">
      <c r="A18" s="9">
        <v>15</v>
      </c>
      <c r="B18" s="5" t="s">
        <v>178</v>
      </c>
      <c r="C18" s="9">
        <v>9</v>
      </c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  <c r="BJ18" s="193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</row>
    <row r="19" spans="1:75" x14ac:dyDescent="0.2">
      <c r="A19" s="9">
        <v>16</v>
      </c>
      <c r="B19" s="5" t="s">
        <v>179</v>
      </c>
      <c r="C19" s="9">
        <v>9</v>
      </c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</row>
    <row r="20" spans="1:75" x14ac:dyDescent="0.2">
      <c r="A20" s="9">
        <v>17</v>
      </c>
      <c r="B20" s="5" t="s">
        <v>180</v>
      </c>
      <c r="C20" s="9">
        <v>9</v>
      </c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</row>
    <row r="21" spans="1:75" x14ac:dyDescent="0.2">
      <c r="A21" s="9">
        <v>18</v>
      </c>
      <c r="B21" s="3"/>
      <c r="C21" s="9">
        <v>9</v>
      </c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</row>
    <row r="22" spans="1:75" x14ac:dyDescent="0.2">
      <c r="A22" s="10">
        <v>19</v>
      </c>
      <c r="B22" s="6" t="s">
        <v>181</v>
      </c>
      <c r="C22" s="9">
        <v>9</v>
      </c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</row>
    <row r="23" spans="1:75" x14ac:dyDescent="0.2">
      <c r="A23" s="9">
        <v>20</v>
      </c>
      <c r="B23" s="5" t="str">
        <f t="shared" ref="B23:B29" si="0">B14</f>
        <v>ACB</v>
      </c>
      <c r="C23" s="9">
        <v>9</v>
      </c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</row>
    <row r="24" spans="1:75" x14ac:dyDescent="0.2">
      <c r="A24" s="9">
        <v>21</v>
      </c>
      <c r="B24" s="5" t="str">
        <f t="shared" si="0"/>
        <v>VietinBank</v>
      </c>
      <c r="C24" s="9">
        <v>9</v>
      </c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</row>
    <row r="25" spans="1:75" x14ac:dyDescent="0.2">
      <c r="A25" s="9">
        <v>22</v>
      </c>
      <c r="B25" s="5" t="str">
        <f t="shared" si="0"/>
        <v>Vietcombank</v>
      </c>
      <c r="C25" s="9">
        <v>9</v>
      </c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</row>
    <row r="26" spans="1:75" x14ac:dyDescent="0.2">
      <c r="A26" s="9">
        <v>23</v>
      </c>
      <c r="B26" s="5" t="str">
        <f t="shared" si="0"/>
        <v>BIDV</v>
      </c>
      <c r="C26" s="9">
        <v>9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3"/>
      <c r="BH26" s="193"/>
      <c r="BI26" s="193"/>
      <c r="BJ26" s="193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</row>
    <row r="27" spans="1:75" x14ac:dyDescent="0.2">
      <c r="A27" s="9">
        <v>24</v>
      </c>
      <c r="B27" s="5" t="str">
        <f t="shared" si="0"/>
        <v>Standard Chartered</v>
      </c>
      <c r="C27" s="9">
        <v>9</v>
      </c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</row>
    <row r="28" spans="1:75" x14ac:dyDescent="0.2">
      <c r="A28" s="9">
        <v>25</v>
      </c>
      <c r="B28" s="5" t="str">
        <f t="shared" si="0"/>
        <v>VILC</v>
      </c>
      <c r="C28" s="9">
        <v>9</v>
      </c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193"/>
      <c r="AY28" s="193"/>
      <c r="AZ28" s="193"/>
      <c r="BA28" s="193"/>
      <c r="BB28" s="193"/>
      <c r="BC28" s="193"/>
      <c r="BD28" s="193"/>
      <c r="BE28" s="193"/>
      <c r="BF28" s="193"/>
      <c r="BG28" s="193"/>
      <c r="BH28" s="193"/>
      <c r="BI28" s="193"/>
      <c r="BJ28" s="193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</row>
    <row r="29" spans="1:75" x14ac:dyDescent="0.2">
      <c r="A29" s="9">
        <v>26</v>
      </c>
      <c r="B29" s="5" t="str">
        <f t="shared" si="0"/>
        <v>IVB</v>
      </c>
      <c r="C29" s="9">
        <v>9</v>
      </c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  <c r="BI29" s="193"/>
      <c r="BJ29" s="193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</row>
    <row r="30" spans="1:75" x14ac:dyDescent="0.2">
      <c r="A30" s="9">
        <v>27</v>
      </c>
      <c r="B30" s="5"/>
      <c r="C30" s="9">
        <v>9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  <c r="BI30" s="193"/>
      <c r="BJ30" s="193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</row>
    <row r="31" spans="1:75" x14ac:dyDescent="0.2">
      <c r="A31" s="8">
        <v>28</v>
      </c>
      <c r="B31" s="4" t="s">
        <v>182</v>
      </c>
      <c r="C31" s="8">
        <v>9</v>
      </c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  <c r="BH31" s="192"/>
      <c r="BI31" s="192"/>
      <c r="BJ31" s="192"/>
      <c r="BK31" s="192"/>
      <c r="BL31" s="192"/>
      <c r="BM31" s="192"/>
      <c r="BN31" s="192"/>
      <c r="BO31" s="192"/>
      <c r="BP31" s="192"/>
      <c r="BQ31" s="192"/>
      <c r="BR31" s="192"/>
      <c r="BS31" s="192"/>
      <c r="BT31" s="192"/>
      <c r="BU31" s="192"/>
      <c r="BV31" s="192"/>
      <c r="BW31" s="192"/>
    </row>
    <row r="32" spans="1:75" x14ac:dyDescent="0.2">
      <c r="A32" s="9">
        <v>29</v>
      </c>
      <c r="B32" s="5" t="str">
        <f>B14</f>
        <v>ACB</v>
      </c>
      <c r="C32" s="9">
        <v>9</v>
      </c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  <c r="BI32" s="193"/>
      <c r="BJ32" s="193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</row>
    <row r="33" spans="1:75" x14ac:dyDescent="0.2">
      <c r="A33" s="9">
        <v>30</v>
      </c>
      <c r="B33" s="5" t="str">
        <f>B15</f>
        <v>VietinBank</v>
      </c>
      <c r="C33" s="9">
        <v>9</v>
      </c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  <c r="BI33" s="193"/>
      <c r="BJ33" s="193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</row>
    <row r="34" spans="1:75" x14ac:dyDescent="0.2">
      <c r="A34" s="9">
        <v>31</v>
      </c>
      <c r="B34" s="5" t="str">
        <f>B16</f>
        <v>Vietcombank</v>
      </c>
      <c r="C34" s="9">
        <v>9</v>
      </c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  <c r="BI34" s="193"/>
      <c r="BJ34" s="193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</row>
    <row r="35" spans="1:75" x14ac:dyDescent="0.2">
      <c r="A35" s="9">
        <v>32</v>
      </c>
      <c r="B35" s="5" t="s">
        <v>177</v>
      </c>
      <c r="C35" s="9">
        <v>9</v>
      </c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  <c r="BI35" s="193"/>
      <c r="BJ35" s="193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</row>
    <row r="36" spans="1:75" x14ac:dyDescent="0.2">
      <c r="A36" s="9">
        <v>33</v>
      </c>
      <c r="B36" s="5" t="str">
        <f>B18</f>
        <v>Standard Chartered</v>
      </c>
      <c r="C36" s="9">
        <v>9</v>
      </c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3"/>
      <c r="BE36" s="193"/>
      <c r="BF36" s="193"/>
      <c r="BG36" s="193"/>
      <c r="BH36" s="193"/>
      <c r="BI36" s="193"/>
      <c r="BJ36" s="193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</row>
    <row r="37" spans="1:75" x14ac:dyDescent="0.2">
      <c r="A37" s="9">
        <v>34</v>
      </c>
      <c r="B37" s="5" t="s">
        <v>179</v>
      </c>
      <c r="C37" s="9">
        <v>9</v>
      </c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  <c r="BI37" s="193"/>
      <c r="BJ37" s="193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</row>
    <row r="38" spans="1:75" x14ac:dyDescent="0.2">
      <c r="A38" s="9">
        <v>35</v>
      </c>
      <c r="B38" s="5" t="s">
        <v>180</v>
      </c>
      <c r="C38" s="9">
        <v>9</v>
      </c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193"/>
      <c r="BJ38" s="193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4"/>
      <c r="BV38" s="194"/>
      <c r="BW38" s="194"/>
    </row>
    <row r="39" spans="1:75" x14ac:dyDescent="0.2">
      <c r="A39" s="9">
        <v>36</v>
      </c>
      <c r="B39" s="3"/>
      <c r="C39" s="9">
        <v>9</v>
      </c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  <c r="BI39" s="193"/>
      <c r="BJ39" s="193"/>
      <c r="BK39" s="194"/>
      <c r="BL39" s="194"/>
      <c r="BM39" s="194"/>
      <c r="BN39" s="194"/>
      <c r="BO39" s="194"/>
      <c r="BP39" s="194"/>
      <c r="BQ39" s="194"/>
      <c r="BR39" s="194"/>
      <c r="BS39" s="194"/>
      <c r="BT39" s="194"/>
      <c r="BU39" s="194"/>
      <c r="BV39" s="194"/>
      <c r="BW39" s="194"/>
    </row>
    <row r="40" spans="1:75" x14ac:dyDescent="0.2">
      <c r="A40" s="10">
        <v>37</v>
      </c>
      <c r="B40" s="6" t="s">
        <v>183</v>
      </c>
      <c r="C40" s="9">
        <v>9</v>
      </c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</row>
    <row r="41" spans="1:75" x14ac:dyDescent="0.2">
      <c r="A41" s="9">
        <v>38</v>
      </c>
      <c r="B41" s="5" t="str">
        <f t="shared" ref="B41:B47" si="1">B32</f>
        <v>ACB</v>
      </c>
      <c r="C41" s="9">
        <v>9</v>
      </c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  <c r="BI41" s="193"/>
      <c r="BJ41" s="193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</row>
    <row r="42" spans="1:75" x14ac:dyDescent="0.2">
      <c r="A42" s="9">
        <v>39</v>
      </c>
      <c r="B42" s="5" t="str">
        <f t="shared" si="1"/>
        <v>VietinBank</v>
      </c>
      <c r="C42" s="9">
        <v>9</v>
      </c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</row>
    <row r="43" spans="1:75" x14ac:dyDescent="0.2">
      <c r="A43" s="9">
        <v>40</v>
      </c>
      <c r="B43" s="5" t="str">
        <f t="shared" si="1"/>
        <v>Vietcombank</v>
      </c>
      <c r="C43" s="9">
        <v>9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  <c r="BW43" s="194"/>
    </row>
    <row r="44" spans="1:75" x14ac:dyDescent="0.2">
      <c r="A44" s="9">
        <v>41</v>
      </c>
      <c r="B44" s="5" t="str">
        <f t="shared" si="1"/>
        <v>BIDV</v>
      </c>
      <c r="C44" s="9">
        <v>9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4"/>
      <c r="BL44" s="194"/>
      <c r="BM44" s="194"/>
      <c r="BN44" s="194"/>
      <c r="BO44" s="194"/>
      <c r="BP44" s="194"/>
      <c r="BQ44" s="194"/>
      <c r="BR44" s="194"/>
      <c r="BS44" s="194"/>
      <c r="BT44" s="194"/>
      <c r="BU44" s="194"/>
      <c r="BV44" s="194"/>
      <c r="BW44" s="194"/>
    </row>
    <row r="45" spans="1:75" x14ac:dyDescent="0.2">
      <c r="A45" s="9">
        <v>42</v>
      </c>
      <c r="B45" s="5" t="str">
        <f t="shared" si="1"/>
        <v>Standard Chartered</v>
      </c>
      <c r="C45" s="9">
        <v>9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  <c r="BK45" s="194"/>
      <c r="BL45" s="194"/>
      <c r="BM45" s="194"/>
      <c r="BN45" s="194"/>
      <c r="BO45" s="194"/>
      <c r="BP45" s="194"/>
      <c r="BQ45" s="194"/>
      <c r="BR45" s="194"/>
      <c r="BS45" s="194"/>
      <c r="BT45" s="194"/>
      <c r="BU45" s="194"/>
      <c r="BV45" s="194"/>
      <c r="BW45" s="194"/>
    </row>
    <row r="46" spans="1:75" x14ac:dyDescent="0.2">
      <c r="A46" s="9">
        <v>43</v>
      </c>
      <c r="B46" s="5" t="str">
        <f t="shared" si="1"/>
        <v>VILC</v>
      </c>
      <c r="C46" s="9">
        <v>9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4"/>
      <c r="BL46" s="194"/>
      <c r="BM46" s="194"/>
      <c r="BN46" s="194"/>
      <c r="BO46" s="194"/>
      <c r="BP46" s="194"/>
      <c r="BQ46" s="194"/>
      <c r="BR46" s="194"/>
      <c r="BS46" s="194"/>
      <c r="BT46" s="194"/>
      <c r="BU46" s="194"/>
      <c r="BV46" s="194"/>
      <c r="BW46" s="194"/>
    </row>
    <row r="47" spans="1:75" x14ac:dyDescent="0.2">
      <c r="A47" s="9">
        <v>44</v>
      </c>
      <c r="B47" s="5" t="str">
        <f t="shared" si="1"/>
        <v>IVB</v>
      </c>
      <c r="C47" s="9">
        <v>9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193"/>
      <c r="BJ47" s="193"/>
      <c r="BK47" s="194"/>
      <c r="BL47" s="194"/>
      <c r="BM47" s="194"/>
      <c r="BN47" s="194"/>
      <c r="BO47" s="194"/>
      <c r="BP47" s="194"/>
      <c r="BQ47" s="194"/>
      <c r="BR47" s="194"/>
      <c r="BS47" s="194"/>
      <c r="BT47" s="194"/>
      <c r="BU47" s="194"/>
      <c r="BV47" s="194"/>
      <c r="BW47" s="194"/>
    </row>
    <row r="48" spans="1:75" x14ac:dyDescent="0.2">
      <c r="A48" s="9">
        <v>45</v>
      </c>
      <c r="B48" s="5"/>
      <c r="C48" s="9">
        <v>9</v>
      </c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193"/>
      <c r="BJ48" s="193"/>
      <c r="BK48" s="194"/>
      <c r="BL48" s="194"/>
      <c r="BM48" s="194"/>
      <c r="BN48" s="194"/>
      <c r="BO48" s="194"/>
      <c r="BP48" s="194"/>
      <c r="BQ48" s="194"/>
      <c r="BR48" s="194"/>
      <c r="BS48" s="194"/>
      <c r="BT48" s="194"/>
      <c r="BU48" s="194"/>
      <c r="BV48" s="194"/>
      <c r="BW48" s="194"/>
    </row>
    <row r="49" spans="1:75" ht="13.5" thickBot="1" x14ac:dyDescent="0.25">
      <c r="A49" s="11">
        <v>46</v>
      </c>
      <c r="B49" s="7" t="s">
        <v>184</v>
      </c>
      <c r="C49" s="11">
        <v>9</v>
      </c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95"/>
      <c r="BF49" s="195"/>
      <c r="BG49" s="195"/>
      <c r="BH49" s="195"/>
      <c r="BI49" s="195"/>
      <c r="BJ49" s="195"/>
      <c r="BK49" s="195"/>
      <c r="BL49" s="195"/>
      <c r="BM49" s="195"/>
      <c r="BN49" s="195"/>
      <c r="BO49" s="195"/>
      <c r="BP49" s="195"/>
      <c r="BQ49" s="195"/>
      <c r="BR49" s="195"/>
      <c r="BS49" s="195"/>
      <c r="BT49" s="195"/>
      <c r="BU49" s="195"/>
      <c r="BV49" s="195"/>
      <c r="BW49" s="195"/>
    </row>
    <row r="50" spans="1:75" ht="13.5" thickTop="1" x14ac:dyDescent="0.2">
      <c r="A50" s="9">
        <v>47</v>
      </c>
      <c r="B50" s="5" t="str">
        <f t="shared" ref="B50:B55" si="2">B32</f>
        <v>ACB</v>
      </c>
      <c r="C50" s="9">
        <v>9</v>
      </c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/>
      <c r="BJ50" s="193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</row>
    <row r="51" spans="1:75" x14ac:dyDescent="0.2">
      <c r="A51" s="9">
        <v>48</v>
      </c>
      <c r="B51" s="5" t="str">
        <f t="shared" si="2"/>
        <v>VietinBank</v>
      </c>
      <c r="C51" s="9">
        <v>9</v>
      </c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193"/>
      <c r="AY51" s="193"/>
      <c r="AZ51" s="193"/>
      <c r="BA51" s="193"/>
      <c r="BB51" s="193"/>
      <c r="BC51" s="193"/>
      <c r="BD51" s="193"/>
      <c r="BE51" s="193"/>
      <c r="BF51" s="193"/>
      <c r="BG51" s="193"/>
      <c r="BH51" s="193"/>
      <c r="BI51" s="193"/>
      <c r="BJ51" s="193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</row>
    <row r="52" spans="1:75" x14ac:dyDescent="0.2">
      <c r="A52" s="9">
        <v>49</v>
      </c>
      <c r="B52" s="5" t="str">
        <f t="shared" si="2"/>
        <v>Vietcombank</v>
      </c>
      <c r="C52" s="9">
        <v>9</v>
      </c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</row>
    <row r="53" spans="1:75" x14ac:dyDescent="0.2">
      <c r="A53" s="9">
        <v>50</v>
      </c>
      <c r="B53" s="5" t="str">
        <f t="shared" si="2"/>
        <v>BIDV</v>
      </c>
      <c r="C53" s="9">
        <v>9</v>
      </c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  <c r="BH53" s="193"/>
      <c r="BI53" s="193"/>
      <c r="BJ53" s="193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</row>
    <row r="54" spans="1:75" x14ac:dyDescent="0.2">
      <c r="A54" s="9">
        <v>51</v>
      </c>
      <c r="B54" s="5" t="str">
        <f t="shared" si="2"/>
        <v>Standard Chartered</v>
      </c>
      <c r="C54" s="9">
        <v>9</v>
      </c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</row>
    <row r="55" spans="1:75" x14ac:dyDescent="0.2">
      <c r="A55" s="9">
        <v>52</v>
      </c>
      <c r="B55" s="5" t="str">
        <f t="shared" si="2"/>
        <v>VILC</v>
      </c>
      <c r="C55" s="9">
        <v>9</v>
      </c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  <c r="AY55" s="193"/>
      <c r="AZ55" s="193"/>
      <c r="BA55" s="193"/>
      <c r="BB55" s="193"/>
      <c r="BC55" s="193"/>
      <c r="BD55" s="193"/>
      <c r="BE55" s="193"/>
      <c r="BF55" s="193"/>
      <c r="BG55" s="193"/>
      <c r="BH55" s="193"/>
      <c r="BI55" s="193"/>
      <c r="BJ55" s="193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</row>
    <row r="56" spans="1:75" x14ac:dyDescent="0.2">
      <c r="A56" s="9">
        <v>53</v>
      </c>
      <c r="B56" s="5" t="s">
        <v>180</v>
      </c>
      <c r="C56" s="9">
        <v>9</v>
      </c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  <c r="BH56" s="193"/>
      <c r="BI56" s="193"/>
      <c r="BJ56" s="193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/>
      <c r="BW56" s="194"/>
    </row>
    <row r="57" spans="1:75" x14ac:dyDescent="0.2">
      <c r="A57" s="9">
        <v>54</v>
      </c>
      <c r="B57" s="3"/>
      <c r="C57" s="9">
        <v>9</v>
      </c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  <c r="BM57" s="196"/>
      <c r="BN57" s="196"/>
      <c r="BO57" s="196"/>
      <c r="BP57" s="196"/>
      <c r="BQ57" s="196"/>
      <c r="BR57" s="196"/>
      <c r="BS57" s="196"/>
      <c r="BT57" s="196"/>
      <c r="BU57" s="196"/>
      <c r="BV57" s="196"/>
      <c r="BW57" s="196"/>
    </row>
    <row r="58" spans="1:75" ht="13.5" thickBot="1" x14ac:dyDescent="0.25">
      <c r="A58" s="11">
        <v>55</v>
      </c>
      <c r="B58" s="7" t="s">
        <v>337</v>
      </c>
      <c r="C58" s="9">
        <v>9</v>
      </c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1"/>
      <c r="P58" s="551"/>
      <c r="Q58" s="551"/>
      <c r="R58" s="551"/>
      <c r="S58" s="551"/>
      <c r="T58" s="551"/>
      <c r="U58" s="551"/>
      <c r="V58" s="551"/>
      <c r="W58" s="551"/>
      <c r="X58" s="551"/>
      <c r="Y58" s="551"/>
      <c r="Z58" s="551"/>
      <c r="AA58" s="551"/>
      <c r="AB58" s="551"/>
      <c r="AC58" s="551"/>
      <c r="AD58" s="551"/>
      <c r="AE58" s="551"/>
      <c r="AF58" s="551"/>
      <c r="AG58" s="551"/>
      <c r="AH58" s="551"/>
      <c r="AI58" s="551"/>
      <c r="AJ58" s="551"/>
      <c r="AK58" s="551"/>
      <c r="AL58" s="551"/>
      <c r="AM58" s="551"/>
      <c r="AN58" s="551"/>
      <c r="AO58" s="551"/>
      <c r="AP58" s="551"/>
      <c r="AQ58" s="551"/>
      <c r="AR58" s="551"/>
      <c r="AS58" s="551"/>
      <c r="AT58" s="551"/>
      <c r="AU58" s="551"/>
      <c r="AV58" s="551"/>
      <c r="AW58" s="551"/>
      <c r="AX58" s="551"/>
      <c r="AY58" s="551"/>
      <c r="AZ58" s="551"/>
      <c r="BA58" s="551"/>
      <c r="BB58" s="551"/>
      <c r="BC58" s="551"/>
      <c r="BD58" s="551"/>
      <c r="BE58" s="551"/>
      <c r="BF58" s="551"/>
      <c r="BG58" s="551"/>
      <c r="BH58" s="551"/>
      <c r="BI58" s="551"/>
      <c r="BJ58" s="551"/>
      <c r="BK58" s="551"/>
      <c r="BL58" s="551"/>
      <c r="BM58" s="551"/>
      <c r="BN58" s="551"/>
      <c r="BO58" s="551"/>
      <c r="BP58" s="551"/>
      <c r="BQ58" s="551"/>
      <c r="BR58" s="551"/>
      <c r="BS58" s="551"/>
      <c r="BT58" s="551"/>
      <c r="BU58" s="551"/>
      <c r="BV58" s="551"/>
      <c r="BW58" s="551"/>
    </row>
    <row r="59" spans="1:75" ht="13.5" thickTop="1" x14ac:dyDescent="0.2">
      <c r="A59" s="9">
        <v>56</v>
      </c>
      <c r="B59" s="5" t="str">
        <f t="shared" ref="B59:B64" si="3">B50</f>
        <v>ACB</v>
      </c>
      <c r="C59" s="9">
        <v>9</v>
      </c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193"/>
      <c r="AY59" s="193"/>
      <c r="AZ59" s="193"/>
      <c r="BA59" s="193"/>
      <c r="BB59" s="193"/>
      <c r="BC59" s="193"/>
      <c r="BD59" s="193"/>
      <c r="BE59" s="193"/>
      <c r="BF59" s="193"/>
      <c r="BG59" s="193"/>
      <c r="BH59" s="193"/>
      <c r="BI59" s="193"/>
      <c r="BJ59" s="193"/>
      <c r="BK59" s="193"/>
      <c r="BL59" s="193"/>
      <c r="BM59" s="193"/>
      <c r="BN59" s="193"/>
      <c r="BO59" s="193"/>
      <c r="BP59" s="193"/>
      <c r="BQ59" s="193"/>
      <c r="BR59" s="193"/>
      <c r="BS59" s="193"/>
      <c r="BT59" s="193"/>
      <c r="BU59" s="193"/>
      <c r="BV59" s="193"/>
      <c r="BW59" s="193"/>
    </row>
    <row r="60" spans="1:75" x14ac:dyDescent="0.2">
      <c r="A60" s="9">
        <v>57</v>
      </c>
      <c r="B60" s="5" t="str">
        <f t="shared" si="3"/>
        <v>VietinBank</v>
      </c>
      <c r="C60" s="9">
        <v>9</v>
      </c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193"/>
      <c r="AY60" s="193"/>
      <c r="AZ60" s="193"/>
      <c r="BA60" s="193"/>
      <c r="BB60" s="193"/>
      <c r="BC60" s="193"/>
      <c r="BD60" s="193"/>
      <c r="BE60" s="193"/>
      <c r="BF60" s="193"/>
      <c r="BG60" s="193"/>
      <c r="BH60" s="193"/>
      <c r="BI60" s="193"/>
      <c r="BJ60" s="193"/>
      <c r="BK60" s="193"/>
      <c r="BL60" s="193"/>
      <c r="BM60" s="193"/>
      <c r="BN60" s="193"/>
      <c r="BO60" s="193"/>
      <c r="BP60" s="193"/>
      <c r="BQ60" s="193"/>
      <c r="BR60" s="193"/>
      <c r="BS60" s="193"/>
      <c r="BT60" s="193"/>
      <c r="BU60" s="193"/>
      <c r="BV60" s="193"/>
      <c r="BW60" s="193"/>
    </row>
    <row r="61" spans="1:75" x14ac:dyDescent="0.2">
      <c r="A61" s="9">
        <v>58</v>
      </c>
      <c r="B61" s="5" t="str">
        <f t="shared" si="3"/>
        <v>Vietcombank</v>
      </c>
      <c r="C61" s="9">
        <v>9</v>
      </c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193"/>
      <c r="BA61" s="193"/>
      <c r="BB61" s="193"/>
      <c r="BC61" s="193"/>
      <c r="BD61" s="193"/>
      <c r="BE61" s="193"/>
      <c r="BF61" s="193"/>
      <c r="BG61" s="193"/>
      <c r="BH61" s="193"/>
      <c r="BI61" s="193"/>
      <c r="BJ61" s="193"/>
      <c r="BK61" s="193"/>
      <c r="BL61" s="193"/>
      <c r="BM61" s="193"/>
      <c r="BN61" s="193"/>
      <c r="BO61" s="193"/>
      <c r="BP61" s="193"/>
      <c r="BQ61" s="193"/>
      <c r="BR61" s="193"/>
      <c r="BS61" s="193"/>
      <c r="BT61" s="193"/>
      <c r="BU61" s="193"/>
      <c r="BV61" s="193"/>
      <c r="BW61" s="193"/>
    </row>
    <row r="62" spans="1:75" x14ac:dyDescent="0.2">
      <c r="A62" s="9">
        <v>59</v>
      </c>
      <c r="B62" s="5" t="str">
        <f t="shared" si="3"/>
        <v>BIDV</v>
      </c>
      <c r="C62" s="9">
        <v>9</v>
      </c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  <c r="BD62" s="193"/>
      <c r="BE62" s="193"/>
      <c r="BF62" s="193"/>
      <c r="BG62" s="193"/>
      <c r="BH62" s="193"/>
      <c r="BI62" s="193"/>
      <c r="BJ62" s="193"/>
      <c r="BK62" s="193"/>
      <c r="BL62" s="193"/>
      <c r="BM62" s="193"/>
      <c r="BN62" s="193"/>
      <c r="BO62" s="193"/>
      <c r="BP62" s="193"/>
      <c r="BQ62" s="193"/>
      <c r="BR62" s="193"/>
      <c r="BS62" s="193"/>
      <c r="BT62" s="193"/>
      <c r="BU62" s="193"/>
      <c r="BV62" s="193"/>
      <c r="BW62" s="193"/>
    </row>
    <row r="63" spans="1:75" x14ac:dyDescent="0.2">
      <c r="A63" s="9">
        <v>60</v>
      </c>
      <c r="B63" s="5" t="str">
        <f t="shared" si="3"/>
        <v>Standard Chartered</v>
      </c>
      <c r="C63" s="9">
        <v>9</v>
      </c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193"/>
      <c r="AY63" s="193"/>
      <c r="AZ63" s="193"/>
      <c r="BA63" s="193"/>
      <c r="BB63" s="193"/>
      <c r="BC63" s="193"/>
      <c r="BD63" s="193"/>
      <c r="BE63" s="193"/>
      <c r="BF63" s="193"/>
      <c r="BG63" s="193"/>
      <c r="BH63" s="193"/>
      <c r="BI63" s="193"/>
      <c r="BJ63" s="193"/>
      <c r="BK63" s="193"/>
      <c r="BL63" s="193"/>
      <c r="BM63" s="193"/>
      <c r="BN63" s="193"/>
      <c r="BO63" s="193"/>
      <c r="BP63" s="193"/>
      <c r="BQ63" s="193"/>
      <c r="BR63" s="193"/>
      <c r="BS63" s="193"/>
      <c r="BT63" s="193"/>
      <c r="BU63" s="193"/>
      <c r="BV63" s="193"/>
      <c r="BW63" s="193"/>
    </row>
    <row r="64" spans="1:75" x14ac:dyDescent="0.2">
      <c r="A64" s="9">
        <v>61</v>
      </c>
      <c r="B64" s="5" t="str">
        <f t="shared" si="3"/>
        <v>VILC</v>
      </c>
      <c r="C64" s="9">
        <v>9</v>
      </c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193"/>
      <c r="AY64" s="193"/>
      <c r="AZ64" s="193"/>
      <c r="BA64" s="193"/>
      <c r="BB64" s="193"/>
      <c r="BC64" s="193"/>
      <c r="BD64" s="193"/>
      <c r="BE64" s="193"/>
      <c r="BF64" s="193"/>
      <c r="BG64" s="193"/>
      <c r="BH64" s="193"/>
      <c r="BI64" s="193"/>
      <c r="BJ64" s="193"/>
      <c r="BK64" s="193"/>
      <c r="BL64" s="193"/>
      <c r="BM64" s="193"/>
      <c r="BN64" s="193"/>
      <c r="BO64" s="193"/>
      <c r="BP64" s="193"/>
      <c r="BQ64" s="193"/>
      <c r="BR64" s="193"/>
      <c r="BS64" s="193"/>
      <c r="BT64" s="193"/>
      <c r="BU64" s="193"/>
      <c r="BV64" s="193"/>
      <c r="BW64" s="193"/>
    </row>
    <row r="65" spans="1:75" x14ac:dyDescent="0.2">
      <c r="A65" s="9">
        <v>62</v>
      </c>
      <c r="B65" s="5" t="s">
        <v>180</v>
      </c>
      <c r="C65" s="9">
        <v>9</v>
      </c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3"/>
      <c r="BB65" s="193"/>
      <c r="BC65" s="193"/>
      <c r="BD65" s="193"/>
      <c r="BE65" s="193"/>
      <c r="BF65" s="193"/>
      <c r="BG65" s="193"/>
      <c r="BH65" s="193"/>
      <c r="BI65" s="193"/>
      <c r="BJ65" s="193"/>
      <c r="BK65" s="193"/>
      <c r="BL65" s="193"/>
      <c r="BM65" s="193"/>
      <c r="BN65" s="193"/>
      <c r="BO65" s="193"/>
      <c r="BP65" s="193"/>
      <c r="BQ65" s="193"/>
      <c r="BR65" s="193"/>
      <c r="BS65" s="193"/>
      <c r="BT65" s="193"/>
      <c r="BU65" s="193"/>
      <c r="BV65" s="193"/>
      <c r="BW65" s="193"/>
    </row>
    <row r="66" spans="1:75" x14ac:dyDescent="0.2">
      <c r="A66" s="9">
        <v>63</v>
      </c>
      <c r="B66" s="5"/>
      <c r="C66" s="9">
        <v>9</v>
      </c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  <c r="AY66" s="193"/>
      <c r="AZ66" s="193"/>
      <c r="BA66" s="193"/>
      <c r="BB66" s="193"/>
      <c r="BC66" s="193"/>
      <c r="BD66" s="193"/>
      <c r="BE66" s="193"/>
      <c r="BF66" s="193"/>
      <c r="BG66" s="193"/>
      <c r="BH66" s="193"/>
      <c r="BI66" s="193"/>
      <c r="BJ66" s="193"/>
      <c r="BK66" s="193"/>
      <c r="BL66" s="193"/>
      <c r="BM66" s="193"/>
      <c r="BN66" s="193"/>
      <c r="BO66" s="193"/>
      <c r="BP66" s="193"/>
      <c r="BQ66" s="193"/>
      <c r="BR66" s="193"/>
      <c r="BS66" s="193"/>
      <c r="BT66" s="193"/>
      <c r="BU66" s="193"/>
      <c r="BV66" s="193"/>
      <c r="BW66" s="193"/>
    </row>
    <row r="67" spans="1:75" ht="13.5" thickBot="1" x14ac:dyDescent="0.25">
      <c r="A67" s="11">
        <v>64</v>
      </c>
      <c r="B67" s="7" t="s">
        <v>338</v>
      </c>
      <c r="C67" s="9">
        <v>9</v>
      </c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1"/>
      <c r="S67" s="551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51"/>
      <c r="AP67" s="551"/>
      <c r="AQ67" s="551"/>
      <c r="AR67" s="551"/>
      <c r="AS67" s="551"/>
      <c r="AT67" s="551"/>
      <c r="AU67" s="551"/>
      <c r="AV67" s="551"/>
      <c r="AW67" s="551"/>
      <c r="AX67" s="551"/>
      <c r="AY67" s="551"/>
      <c r="AZ67" s="551"/>
      <c r="BA67" s="551">
        <f t="shared" ref="BA67" si="4">SUBTOTAL(9,BA68:BA73)</f>
        <v>0</v>
      </c>
      <c r="BB67" s="551">
        <f t="shared" ref="BB67" si="5">SUBTOTAL(9,BB68:BB73)</f>
        <v>800000000</v>
      </c>
      <c r="BC67" s="551">
        <f t="shared" ref="BC67" si="6">SUBTOTAL(9,BC68:BC73)</f>
        <v>800000000</v>
      </c>
      <c r="BD67" s="551">
        <f t="shared" ref="BD67" si="7">SUBTOTAL(9,BD68:BD73)</f>
        <v>0</v>
      </c>
      <c r="BE67" s="551">
        <f t="shared" ref="BE67" si="8">SUBTOTAL(9,BE68:BE73)</f>
        <v>0</v>
      </c>
      <c r="BF67" s="551">
        <f t="shared" ref="BF67" si="9">SUBTOTAL(9,BF68:BF73)</f>
        <v>0</v>
      </c>
      <c r="BG67" s="551">
        <f t="shared" ref="BG67" si="10">SUBTOTAL(9,BG68:BG73)</f>
        <v>700000000</v>
      </c>
      <c r="BH67" s="551">
        <f t="shared" ref="BH67" si="11">SUBTOTAL(9,BH68:BH73)</f>
        <v>700000000</v>
      </c>
      <c r="BI67" s="551">
        <f t="shared" ref="BI67" si="12">SUBTOTAL(9,BI68:BI73)</f>
        <v>700000000</v>
      </c>
      <c r="BJ67" s="551">
        <f t="shared" ref="BJ67" si="13">SUBTOTAL(9,BJ68:BJ73)</f>
        <v>700000000</v>
      </c>
      <c r="BK67" s="551">
        <f t="shared" ref="BK67" si="14">SUBTOTAL(9,BK68:BK73)</f>
        <v>700000000</v>
      </c>
      <c r="BL67" s="551">
        <f t="shared" ref="BL67" si="15">SUBTOTAL(9,BL68:BL73)</f>
        <v>700000000</v>
      </c>
      <c r="BM67" s="551">
        <f t="shared" ref="BM67" si="16">SUBTOTAL(9,BM68:BM73)</f>
        <v>700000000</v>
      </c>
      <c r="BN67" s="551">
        <f t="shared" ref="BN67" si="17">SUBTOTAL(9,BN68:BN73)</f>
        <v>700000000</v>
      </c>
      <c r="BO67" s="551">
        <f t="shared" ref="BO67" si="18">SUBTOTAL(9,BO68:BO73)</f>
        <v>700000000</v>
      </c>
      <c r="BP67" s="551">
        <f t="shared" ref="BP67" si="19">SUBTOTAL(9,BP68:BP73)</f>
        <v>0</v>
      </c>
      <c r="BQ67" s="551">
        <f t="shared" ref="BQ67" si="20">SUBTOTAL(9,BQ68:BQ73)</f>
        <v>0</v>
      </c>
      <c r="BR67" s="551">
        <f t="shared" ref="BR67" si="21">SUBTOTAL(9,BR68:BR73)</f>
        <v>0</v>
      </c>
      <c r="BS67" s="551">
        <f t="shared" ref="BS67" si="22">SUBTOTAL(9,BS68:BS73)</f>
        <v>0</v>
      </c>
      <c r="BT67" s="551">
        <f t="shared" ref="BT67" si="23">SUBTOTAL(9,BT68:BT73)</f>
        <v>0</v>
      </c>
      <c r="BU67" s="551">
        <f t="shared" ref="BU67" si="24">SUBTOTAL(9,BU68:BU73)</f>
        <v>0</v>
      </c>
      <c r="BV67" s="551">
        <f t="shared" ref="BV67" si="25">SUBTOTAL(9,BV68:BV73)</f>
        <v>0</v>
      </c>
      <c r="BW67" s="551">
        <f t="shared" ref="BW67" si="26">SUBTOTAL(9,BW68:BW73)</f>
        <v>0</v>
      </c>
    </row>
    <row r="68" spans="1:75" ht="13.5" thickTop="1" x14ac:dyDescent="0.2">
      <c r="A68" s="9">
        <v>65</v>
      </c>
      <c r="B68" s="5" t="str">
        <f t="shared" ref="B68:B73" si="27">B50</f>
        <v>ACB</v>
      </c>
      <c r="C68" s="9">
        <v>9</v>
      </c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193"/>
      <c r="AY68" s="193"/>
      <c r="AZ68" s="193"/>
      <c r="BA68" s="193"/>
      <c r="BB68" s="193">
        <v>800000000</v>
      </c>
      <c r="BC68" s="193">
        <v>800000000</v>
      </c>
      <c r="BD68" s="193"/>
      <c r="BE68" s="193"/>
      <c r="BF68" s="193"/>
      <c r="BG68" s="193">
        <v>700000000</v>
      </c>
      <c r="BH68" s="193">
        <v>700000000</v>
      </c>
      <c r="BI68" s="193">
        <v>700000000</v>
      </c>
      <c r="BJ68" s="193">
        <v>700000000</v>
      </c>
      <c r="BK68" s="193">
        <v>700000000</v>
      </c>
      <c r="BL68" s="193">
        <v>700000000</v>
      </c>
      <c r="BM68" s="193">
        <v>700000000</v>
      </c>
      <c r="BN68" s="193">
        <v>700000000</v>
      </c>
      <c r="BO68" s="193">
        <v>700000000</v>
      </c>
      <c r="BP68" s="193"/>
      <c r="BQ68" s="193"/>
      <c r="BR68" s="193"/>
      <c r="BS68" s="193"/>
      <c r="BT68" s="193"/>
      <c r="BU68" s="193"/>
      <c r="BV68" s="193"/>
      <c r="BW68" s="193"/>
    </row>
    <row r="69" spans="1:75" x14ac:dyDescent="0.2">
      <c r="A69" s="9">
        <v>66</v>
      </c>
      <c r="B69" s="5" t="str">
        <f t="shared" si="27"/>
        <v>VietinBank</v>
      </c>
      <c r="C69" s="9">
        <v>9</v>
      </c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  <c r="AY69" s="193"/>
      <c r="AZ69" s="193"/>
      <c r="BA69" s="193"/>
      <c r="BB69" s="193"/>
      <c r="BC69" s="193"/>
      <c r="BD69" s="193"/>
      <c r="BE69" s="193"/>
      <c r="BF69" s="193"/>
      <c r="BG69" s="193"/>
      <c r="BH69" s="193"/>
      <c r="BI69" s="193"/>
      <c r="BJ69" s="193"/>
      <c r="BK69" s="193"/>
      <c r="BL69" s="193"/>
      <c r="BM69" s="193"/>
      <c r="BN69" s="193"/>
      <c r="BO69" s="193"/>
      <c r="BP69" s="193"/>
      <c r="BQ69" s="193"/>
      <c r="BR69" s="193"/>
      <c r="BS69" s="193"/>
      <c r="BT69" s="193"/>
      <c r="BU69" s="193"/>
      <c r="BV69" s="193"/>
      <c r="BW69" s="193"/>
    </row>
    <row r="70" spans="1:75" x14ac:dyDescent="0.2">
      <c r="A70" s="9">
        <v>67</v>
      </c>
      <c r="B70" s="5" t="str">
        <f t="shared" si="27"/>
        <v>Vietcombank</v>
      </c>
      <c r="C70" s="9">
        <v>9</v>
      </c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193"/>
      <c r="AY70" s="193"/>
      <c r="AZ70" s="193"/>
      <c r="BA70" s="193"/>
      <c r="BB70" s="193"/>
      <c r="BC70" s="193"/>
      <c r="BD70" s="193"/>
      <c r="BE70" s="193"/>
      <c r="BF70" s="193"/>
      <c r="BG70" s="193"/>
      <c r="BH70" s="193"/>
      <c r="BI70" s="193"/>
      <c r="BJ70" s="193"/>
      <c r="BK70" s="193"/>
      <c r="BL70" s="193"/>
      <c r="BM70" s="193"/>
      <c r="BN70" s="193"/>
      <c r="BO70" s="193"/>
      <c r="BP70" s="193"/>
      <c r="BQ70" s="193"/>
      <c r="BR70" s="193"/>
      <c r="BS70" s="193"/>
      <c r="BT70" s="193"/>
      <c r="BU70" s="193"/>
      <c r="BV70" s="193"/>
      <c r="BW70" s="193"/>
    </row>
    <row r="71" spans="1:75" x14ac:dyDescent="0.2">
      <c r="A71" s="9">
        <v>68</v>
      </c>
      <c r="B71" s="5" t="str">
        <f t="shared" si="27"/>
        <v>BIDV</v>
      </c>
      <c r="C71" s="9">
        <v>9</v>
      </c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  <c r="AY71" s="193"/>
      <c r="AZ71" s="193"/>
      <c r="BA71" s="193"/>
      <c r="BB71" s="193"/>
      <c r="BC71" s="193"/>
      <c r="BD71" s="193"/>
      <c r="BE71" s="193"/>
      <c r="BF71" s="193"/>
      <c r="BG71" s="193"/>
      <c r="BH71" s="193"/>
      <c r="BI71" s="193"/>
      <c r="BJ71" s="193"/>
      <c r="BK71" s="193"/>
      <c r="BL71" s="193"/>
      <c r="BM71" s="193"/>
      <c r="BN71" s="193"/>
      <c r="BO71" s="193"/>
      <c r="BP71" s="193"/>
      <c r="BQ71" s="193"/>
      <c r="BR71" s="193"/>
      <c r="BS71" s="193"/>
      <c r="BT71" s="193"/>
      <c r="BU71" s="193"/>
      <c r="BV71" s="193"/>
      <c r="BW71" s="193"/>
    </row>
    <row r="72" spans="1:75" x14ac:dyDescent="0.2">
      <c r="A72" s="9">
        <v>69</v>
      </c>
      <c r="B72" s="5" t="str">
        <f t="shared" si="27"/>
        <v>Standard Chartered</v>
      </c>
      <c r="C72" s="9">
        <v>9</v>
      </c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  <c r="AY72" s="193"/>
      <c r="AZ72" s="193"/>
      <c r="BA72" s="193"/>
      <c r="BB72" s="193"/>
      <c r="BC72" s="193"/>
      <c r="BD72" s="193"/>
      <c r="BE72" s="193"/>
      <c r="BF72" s="193"/>
      <c r="BG72" s="193"/>
      <c r="BH72" s="193"/>
      <c r="BI72" s="193"/>
      <c r="BJ72" s="193"/>
      <c r="BK72" s="193"/>
      <c r="BL72" s="193"/>
      <c r="BM72" s="193"/>
      <c r="BN72" s="193"/>
      <c r="BO72" s="193"/>
      <c r="BP72" s="193"/>
      <c r="BQ72" s="193"/>
      <c r="BR72" s="193"/>
      <c r="BS72" s="193"/>
      <c r="BT72" s="193"/>
      <c r="BU72" s="193"/>
      <c r="BV72" s="193"/>
      <c r="BW72" s="193"/>
    </row>
    <row r="73" spans="1:75" x14ac:dyDescent="0.2">
      <c r="A73" s="9">
        <v>70</v>
      </c>
      <c r="B73" s="5" t="str">
        <f t="shared" si="27"/>
        <v>VILC</v>
      </c>
      <c r="C73" s="9">
        <v>9</v>
      </c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  <c r="AY73" s="193"/>
      <c r="AZ73" s="193"/>
      <c r="BA73" s="193"/>
      <c r="BB73" s="193"/>
      <c r="BC73" s="193"/>
      <c r="BD73" s="193"/>
      <c r="BE73" s="193"/>
      <c r="BF73" s="193"/>
      <c r="BG73" s="193"/>
      <c r="BH73" s="193"/>
      <c r="BI73" s="193"/>
      <c r="BJ73" s="193"/>
      <c r="BK73" s="193"/>
      <c r="BL73" s="193"/>
      <c r="BM73" s="193"/>
      <c r="BN73" s="193"/>
      <c r="BO73" s="193"/>
      <c r="BP73" s="193"/>
      <c r="BQ73" s="193"/>
      <c r="BR73" s="193"/>
      <c r="BS73" s="193"/>
      <c r="BT73" s="193"/>
      <c r="BU73" s="193"/>
      <c r="BV73" s="193"/>
      <c r="BW73" s="193"/>
    </row>
    <row r="74" spans="1:75" x14ac:dyDescent="0.2">
      <c r="A74" s="9">
        <v>71</v>
      </c>
      <c r="B74" s="5" t="s">
        <v>180</v>
      </c>
      <c r="C74" s="9">
        <v>9</v>
      </c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193"/>
      <c r="BC74" s="193"/>
      <c r="BD74" s="193"/>
      <c r="BE74" s="193"/>
      <c r="BF74" s="193"/>
      <c r="BG74" s="193"/>
      <c r="BH74" s="193"/>
      <c r="BI74" s="193"/>
      <c r="BJ74" s="193"/>
      <c r="BK74" s="193"/>
      <c r="BL74" s="193"/>
      <c r="BM74" s="193"/>
      <c r="BN74" s="193"/>
      <c r="BO74" s="193"/>
      <c r="BP74" s="193"/>
      <c r="BQ74" s="193"/>
      <c r="BR74" s="193"/>
      <c r="BS74" s="193"/>
      <c r="BT74" s="193"/>
      <c r="BU74" s="193"/>
      <c r="BV74" s="193"/>
      <c r="BW74" s="193"/>
    </row>
  </sheetData>
  <sheetProtection algorithmName="SHA-512" hashValue="9sCw516evOSFV+tqUNj7S5T5SCH7KlEKeLynEPAVYniga1abMCvO51pVfcNH0/RhrzkC4SeCSfUeC2v1/fuPUg==" saltValue="aB9wTneuqSpXNs7nm6vnIQ==" spinCount="100000" sheet="1" objects="1" scenarios="1"/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C639-5410-4906-8502-470F369E1D2C}">
  <sheetPr>
    <tabColor theme="9" tint="0.59999389629810485"/>
  </sheetPr>
  <dimension ref="A1:T481"/>
  <sheetViews>
    <sheetView showGridLines="0" zoomScale="90" zoomScaleNormal="90" workbookViewId="0">
      <pane xSplit="5" ySplit="6" topLeftCell="F7" activePane="bottomRight" state="frozen"/>
      <selection activeCell="D8" sqref="D8:E8"/>
      <selection pane="topRight" activeCell="D8" sqref="D8:E8"/>
      <selection pane="bottomLeft" activeCell="D8" sqref="D8:E8"/>
      <selection pane="bottomRight" activeCell="I382" sqref="I382"/>
    </sheetView>
  </sheetViews>
  <sheetFormatPr defaultColWidth="8.7109375" defaultRowHeight="12.75" x14ac:dyDescent="0.2"/>
  <cols>
    <col min="1" max="1" width="3.42578125" style="388" customWidth="1"/>
    <col min="2" max="2" width="49.85546875" style="386" customWidth="1"/>
    <col min="3" max="3" width="12.140625" style="386" bestFit="1" customWidth="1"/>
    <col min="4" max="4" width="22.28515625" style="386" customWidth="1"/>
    <col min="5" max="5" width="7.85546875" style="386" customWidth="1"/>
    <col min="6" max="6" width="13.5703125" style="387" bestFit="1" customWidth="1"/>
    <col min="7" max="9" width="13.5703125" style="386" bestFit="1" customWidth="1"/>
    <col min="10" max="17" width="11.42578125" style="386" customWidth="1"/>
    <col min="18" max="18" width="17.5703125" style="387" bestFit="1" customWidth="1"/>
    <col min="19" max="19" width="16.28515625" style="386" customWidth="1"/>
    <col min="20" max="20" width="11.28515625" style="386" bestFit="1" customWidth="1"/>
    <col min="21" max="16384" width="8.7109375" style="386"/>
  </cols>
  <sheetData>
    <row r="1" spans="1:18" x14ac:dyDescent="0.2">
      <c r="A1" s="385" t="str">
        <f>'Thong tin'!$A$1</f>
        <v xml:space="preserve">CÔNG TY CỔ PHẦN TÁI CHẾ TÂN ĐẠI PHÁT </v>
      </c>
    </row>
    <row r="2" spans="1:18" ht="13.35" customHeight="1" x14ac:dyDescent="0.2">
      <c r="B2" s="389" t="s">
        <v>470</v>
      </c>
      <c r="C2" s="389"/>
      <c r="D2" s="389"/>
      <c r="E2" s="389"/>
    </row>
    <row r="4" spans="1:18" x14ac:dyDescent="0.2">
      <c r="A4" s="390" t="s">
        <v>471</v>
      </c>
      <c r="B4" s="391" t="s">
        <v>472</v>
      </c>
      <c r="C4" s="391"/>
      <c r="D4" s="392"/>
      <c r="E4" s="392"/>
    </row>
    <row r="5" spans="1:18" x14ac:dyDescent="0.2">
      <c r="F5" s="393" t="s">
        <v>473</v>
      </c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5"/>
    </row>
    <row r="6" spans="1:18" s="401" customFormat="1" ht="26.25" customHeight="1" x14ac:dyDescent="0.2">
      <c r="A6" s="396"/>
      <c r="B6" s="397" t="s">
        <v>474</v>
      </c>
      <c r="C6" s="397" t="s">
        <v>596</v>
      </c>
      <c r="D6" s="397" t="s">
        <v>475</v>
      </c>
      <c r="E6" s="398" t="s">
        <v>476</v>
      </c>
      <c r="F6" s="399" t="s">
        <v>477</v>
      </c>
      <c r="G6" s="399" t="s">
        <v>478</v>
      </c>
      <c r="H6" s="399" t="s">
        <v>479</v>
      </c>
      <c r="I6" s="399" t="s">
        <v>480</v>
      </c>
      <c r="J6" s="399" t="s">
        <v>481</v>
      </c>
      <c r="K6" s="399" t="s">
        <v>482</v>
      </c>
      <c r="L6" s="399" t="s">
        <v>483</v>
      </c>
      <c r="M6" s="399" t="s">
        <v>484</v>
      </c>
      <c r="N6" s="399" t="s">
        <v>485</v>
      </c>
      <c r="O6" s="399" t="s">
        <v>486</v>
      </c>
      <c r="P6" s="399" t="s">
        <v>487</v>
      </c>
      <c r="Q6" s="399" t="s">
        <v>488</v>
      </c>
      <c r="R6" s="400" t="s">
        <v>489</v>
      </c>
    </row>
    <row r="7" spans="1:18" s="401" customFormat="1" x14ac:dyDescent="0.2">
      <c r="A7" s="402" t="s">
        <v>490</v>
      </c>
      <c r="B7" s="403" t="s">
        <v>491</v>
      </c>
      <c r="C7" s="403"/>
      <c r="D7" s="397"/>
      <c r="E7" s="404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406"/>
    </row>
    <row r="8" spans="1:18" x14ac:dyDescent="0.2">
      <c r="A8" s="407">
        <v>1</v>
      </c>
      <c r="B8" s="408" t="s">
        <v>492</v>
      </c>
      <c r="C8" s="408" t="s">
        <v>597</v>
      </c>
      <c r="D8" s="409" t="s">
        <v>493</v>
      </c>
      <c r="E8" s="410">
        <v>511</v>
      </c>
      <c r="F8" s="411"/>
      <c r="G8" s="411"/>
      <c r="H8" s="411"/>
      <c r="I8" s="411"/>
      <c r="J8" s="412"/>
      <c r="K8" s="411"/>
      <c r="L8" s="411"/>
      <c r="M8" s="411"/>
      <c r="N8" s="411"/>
      <c r="O8" s="411"/>
      <c r="P8" s="411"/>
      <c r="Q8" s="411"/>
      <c r="R8" s="413">
        <f>SUM(F8:Q8)</f>
        <v>0</v>
      </c>
    </row>
    <row r="9" spans="1:18" x14ac:dyDescent="0.2">
      <c r="A9" s="414"/>
      <c r="B9" s="415"/>
      <c r="C9" s="415"/>
      <c r="D9" s="416" t="s">
        <v>494</v>
      </c>
      <c r="E9" s="417">
        <v>511</v>
      </c>
      <c r="F9" s="411"/>
      <c r="G9" s="411"/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413">
        <f t="shared" ref="R9:R80" si="0">SUM(F9:Q9)</f>
        <v>0</v>
      </c>
    </row>
    <row r="10" spans="1:18" x14ac:dyDescent="0.2">
      <c r="A10" s="414"/>
      <c r="B10" s="415"/>
      <c r="C10" s="418"/>
      <c r="D10" s="418" t="s">
        <v>495</v>
      </c>
      <c r="E10" s="419">
        <v>711</v>
      </c>
      <c r="F10" s="411"/>
      <c r="G10" s="411"/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413">
        <f t="shared" si="0"/>
        <v>0</v>
      </c>
    </row>
    <row r="11" spans="1:18" x14ac:dyDescent="0.2">
      <c r="A11" s="420"/>
      <c r="B11" s="415"/>
      <c r="C11" s="415"/>
      <c r="D11" s="415" t="s">
        <v>496</v>
      </c>
      <c r="E11" s="419">
        <v>515</v>
      </c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413">
        <f t="shared" si="0"/>
        <v>0</v>
      </c>
    </row>
    <row r="12" spans="1:18" x14ac:dyDescent="0.2">
      <c r="A12" s="420"/>
      <c r="B12" s="415"/>
      <c r="C12" s="415"/>
      <c r="D12" s="415" t="s">
        <v>497</v>
      </c>
      <c r="E12" s="419">
        <v>112</v>
      </c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3">
        <f t="shared" si="0"/>
        <v>0</v>
      </c>
    </row>
    <row r="13" spans="1:18" x14ac:dyDescent="0.2">
      <c r="A13" s="420"/>
      <c r="B13" s="415"/>
      <c r="C13" s="415"/>
      <c r="D13" s="421" t="s">
        <v>498</v>
      </c>
      <c r="E13" s="422">
        <v>511</v>
      </c>
      <c r="F13" s="411"/>
      <c r="G13" s="411"/>
      <c r="H13" s="411"/>
      <c r="I13" s="411"/>
      <c r="J13" s="411"/>
      <c r="K13" s="411"/>
      <c r="L13" s="411"/>
      <c r="M13" s="411"/>
      <c r="N13" s="411"/>
      <c r="O13" s="411"/>
      <c r="P13" s="411"/>
      <c r="Q13" s="411"/>
      <c r="R13" s="413">
        <f t="shared" si="0"/>
        <v>0</v>
      </c>
    </row>
    <row r="14" spans="1:18" x14ac:dyDescent="0.2">
      <c r="A14" s="423"/>
      <c r="B14" s="424"/>
      <c r="C14" s="469"/>
      <c r="D14" s="425" t="s">
        <v>499</v>
      </c>
      <c r="E14" s="426" t="s">
        <v>500</v>
      </c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8">
        <f t="shared" si="0"/>
        <v>0</v>
      </c>
    </row>
    <row r="15" spans="1:18" x14ac:dyDescent="0.2">
      <c r="A15" s="540">
        <v>2</v>
      </c>
      <c r="B15" s="531" t="s">
        <v>501</v>
      </c>
      <c r="C15" s="531" t="s">
        <v>598</v>
      </c>
      <c r="D15" s="429" t="s">
        <v>493</v>
      </c>
      <c r="E15" s="430">
        <v>511</v>
      </c>
      <c r="F15" s="411"/>
      <c r="G15" s="411"/>
      <c r="H15" s="411"/>
      <c r="I15" s="411"/>
      <c r="J15" s="412"/>
      <c r="K15" s="411"/>
      <c r="L15" s="411"/>
      <c r="M15" s="411"/>
      <c r="N15" s="411"/>
      <c r="O15" s="411"/>
      <c r="P15" s="411"/>
      <c r="Q15" s="411"/>
      <c r="R15" s="413">
        <f t="shared" si="0"/>
        <v>0</v>
      </c>
    </row>
    <row r="16" spans="1:18" x14ac:dyDescent="0.2">
      <c r="A16" s="407"/>
      <c r="B16" s="431"/>
      <c r="C16" s="431"/>
      <c r="D16" s="421" t="s">
        <v>502</v>
      </c>
      <c r="E16" s="417">
        <v>511</v>
      </c>
      <c r="F16" s="432"/>
      <c r="G16" s="433"/>
      <c r="H16" s="433"/>
      <c r="I16" s="433"/>
      <c r="J16" s="433"/>
      <c r="K16" s="433"/>
      <c r="L16" s="433"/>
      <c r="M16" s="433"/>
      <c r="N16" s="433"/>
      <c r="O16" s="433"/>
      <c r="P16" s="433"/>
      <c r="Q16" s="433"/>
      <c r="R16" s="413">
        <f t="shared" si="0"/>
        <v>0</v>
      </c>
    </row>
    <row r="17" spans="1:18" x14ac:dyDescent="0.2">
      <c r="A17" s="407"/>
      <c r="B17" s="431"/>
      <c r="C17" s="431"/>
      <c r="D17" s="421" t="s">
        <v>494</v>
      </c>
      <c r="E17" s="417">
        <v>511</v>
      </c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13">
        <f t="shared" si="0"/>
        <v>0</v>
      </c>
    </row>
    <row r="18" spans="1:18" x14ac:dyDescent="0.2">
      <c r="A18" s="434"/>
      <c r="B18" s="431"/>
      <c r="C18" s="431"/>
      <c r="D18" s="421" t="s">
        <v>503</v>
      </c>
      <c r="E18" s="422">
        <v>511</v>
      </c>
      <c r="F18" s="433"/>
      <c r="G18" s="433"/>
      <c r="H18" s="433"/>
      <c r="I18" s="433"/>
      <c r="J18" s="433"/>
      <c r="K18" s="433"/>
      <c r="L18" s="433"/>
      <c r="M18" s="433"/>
      <c r="N18" s="433"/>
      <c r="O18" s="433"/>
      <c r="P18" s="433"/>
      <c r="Q18" s="433"/>
      <c r="R18" s="413">
        <f t="shared" si="0"/>
        <v>0</v>
      </c>
    </row>
    <row r="19" spans="1:18" x14ac:dyDescent="0.2">
      <c r="A19" s="434"/>
      <c r="B19" s="431"/>
      <c r="C19" s="431"/>
      <c r="D19" s="421" t="s">
        <v>504</v>
      </c>
      <c r="E19" s="422">
        <v>511</v>
      </c>
      <c r="F19" s="433"/>
      <c r="G19" s="433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413">
        <f t="shared" si="0"/>
        <v>0</v>
      </c>
    </row>
    <row r="20" spans="1:18" x14ac:dyDescent="0.2">
      <c r="A20" s="434"/>
      <c r="B20" s="431"/>
      <c r="C20" s="431"/>
      <c r="D20" s="421" t="s">
        <v>495</v>
      </c>
      <c r="E20" s="422">
        <v>711</v>
      </c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13">
        <f t="shared" si="0"/>
        <v>0</v>
      </c>
    </row>
    <row r="21" spans="1:18" x14ac:dyDescent="0.2">
      <c r="A21" s="434"/>
      <c r="B21" s="431"/>
      <c r="C21" s="532"/>
      <c r="D21" s="435" t="s">
        <v>505</v>
      </c>
      <c r="E21" s="417">
        <v>511</v>
      </c>
      <c r="F21" s="433"/>
      <c r="G21" s="433"/>
      <c r="H21" s="433"/>
      <c r="I21" s="433"/>
      <c r="J21" s="433"/>
      <c r="K21" s="433"/>
      <c r="L21" s="433"/>
      <c r="M21" s="433"/>
      <c r="N21" s="433"/>
      <c r="O21" s="433"/>
      <c r="P21" s="433"/>
      <c r="Q21" s="433"/>
      <c r="R21" s="413">
        <f t="shared" si="0"/>
        <v>0</v>
      </c>
    </row>
    <row r="22" spans="1:18" x14ac:dyDescent="0.2">
      <c r="A22" s="436"/>
      <c r="B22" s="437"/>
      <c r="C22" s="533"/>
      <c r="D22" s="438" t="s">
        <v>499</v>
      </c>
      <c r="E22" s="426" t="s">
        <v>500</v>
      </c>
      <c r="F22" s="439"/>
      <c r="G22" s="439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40">
        <f t="shared" si="0"/>
        <v>0</v>
      </c>
    </row>
    <row r="23" spans="1:18" x14ac:dyDescent="0.2">
      <c r="A23" s="540">
        <v>3</v>
      </c>
      <c r="B23" s="531" t="s">
        <v>506</v>
      </c>
      <c r="C23" s="531" t="s">
        <v>599</v>
      </c>
      <c r="D23" s="429" t="s">
        <v>493</v>
      </c>
      <c r="E23" s="430">
        <v>511</v>
      </c>
      <c r="F23" s="441"/>
      <c r="G23" s="441"/>
      <c r="H23" s="441"/>
      <c r="I23" s="441"/>
      <c r="J23" s="441"/>
      <c r="K23" s="441"/>
      <c r="L23" s="441"/>
      <c r="M23" s="441"/>
      <c r="N23" s="441"/>
      <c r="O23" s="441"/>
      <c r="P23" s="441"/>
      <c r="Q23" s="441"/>
      <c r="R23" s="442">
        <f t="shared" si="0"/>
        <v>0</v>
      </c>
    </row>
    <row r="24" spans="1:18" x14ac:dyDescent="0.2">
      <c r="A24" s="434"/>
      <c r="B24" s="431"/>
      <c r="C24" s="431"/>
      <c r="D24" s="421" t="s">
        <v>502</v>
      </c>
      <c r="E24" s="417">
        <v>511</v>
      </c>
      <c r="F24" s="432"/>
      <c r="G24" s="433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13">
        <f t="shared" si="0"/>
        <v>0</v>
      </c>
    </row>
    <row r="25" spans="1:18" x14ac:dyDescent="0.2">
      <c r="A25" s="434"/>
      <c r="B25" s="431"/>
      <c r="C25" s="431"/>
      <c r="D25" s="421" t="s">
        <v>494</v>
      </c>
      <c r="E25" s="417">
        <v>511</v>
      </c>
      <c r="F25" s="433"/>
      <c r="G25" s="433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13">
        <f t="shared" si="0"/>
        <v>0</v>
      </c>
    </row>
    <row r="26" spans="1:18" x14ac:dyDescent="0.2">
      <c r="A26" s="434"/>
      <c r="B26" s="431"/>
      <c r="C26" s="431"/>
      <c r="D26" s="421" t="s">
        <v>507</v>
      </c>
      <c r="E26" s="422">
        <v>511</v>
      </c>
      <c r="F26" s="433"/>
      <c r="G26" s="433"/>
      <c r="H26" s="433"/>
      <c r="I26" s="433"/>
      <c r="J26" s="433"/>
      <c r="K26" s="433"/>
      <c r="L26" s="433"/>
      <c r="M26" s="433"/>
      <c r="N26" s="433"/>
      <c r="O26" s="433"/>
      <c r="P26" s="433"/>
      <c r="Q26" s="433"/>
      <c r="R26" s="413">
        <f t="shared" si="0"/>
        <v>0</v>
      </c>
    </row>
    <row r="27" spans="1:18" x14ac:dyDescent="0.2">
      <c r="A27" s="434"/>
      <c r="B27" s="431"/>
      <c r="C27" s="431"/>
      <c r="D27" s="421" t="s">
        <v>504</v>
      </c>
      <c r="E27" s="422">
        <v>511</v>
      </c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13">
        <f t="shared" si="0"/>
        <v>0</v>
      </c>
    </row>
    <row r="28" spans="1:18" x14ac:dyDescent="0.2">
      <c r="A28" s="434"/>
      <c r="B28" s="431"/>
      <c r="C28" s="431"/>
      <c r="D28" s="421" t="s">
        <v>499</v>
      </c>
      <c r="E28" s="422">
        <v>711</v>
      </c>
      <c r="F28" s="433"/>
      <c r="G28" s="433"/>
      <c r="H28" s="433"/>
      <c r="I28" s="433"/>
      <c r="J28" s="433"/>
      <c r="K28" s="433"/>
      <c r="L28" s="433"/>
      <c r="M28" s="433"/>
      <c r="N28" s="433"/>
      <c r="O28" s="433"/>
      <c r="P28" s="433"/>
      <c r="Q28" s="433"/>
      <c r="R28" s="413">
        <f t="shared" si="0"/>
        <v>0</v>
      </c>
    </row>
    <row r="29" spans="1:18" x14ac:dyDescent="0.2">
      <c r="A29" s="540">
        <v>4</v>
      </c>
      <c r="B29" s="531" t="s">
        <v>508</v>
      </c>
      <c r="C29" s="531" t="s">
        <v>600</v>
      </c>
      <c r="D29" s="429" t="s">
        <v>493</v>
      </c>
      <c r="E29" s="430">
        <v>511</v>
      </c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2">
        <f t="shared" si="0"/>
        <v>0</v>
      </c>
    </row>
    <row r="30" spans="1:18" x14ac:dyDescent="0.2">
      <c r="A30" s="434"/>
      <c r="B30" s="431"/>
      <c r="C30" s="431"/>
      <c r="D30" s="421" t="s">
        <v>502</v>
      </c>
      <c r="E30" s="422">
        <v>511</v>
      </c>
      <c r="F30" s="433"/>
      <c r="G30" s="433"/>
      <c r="H30" s="433"/>
      <c r="I30" s="433"/>
      <c r="J30" s="433"/>
      <c r="K30" s="433"/>
      <c r="L30" s="433"/>
      <c r="M30" s="433"/>
      <c r="N30" s="433"/>
      <c r="O30" s="433"/>
      <c r="P30" s="433"/>
      <c r="Q30" s="433"/>
      <c r="R30" s="413">
        <f t="shared" si="0"/>
        <v>0</v>
      </c>
    </row>
    <row r="31" spans="1:18" x14ac:dyDescent="0.2">
      <c r="A31" s="434"/>
      <c r="B31" s="431"/>
      <c r="C31" s="431"/>
      <c r="D31" s="421" t="s">
        <v>494</v>
      </c>
      <c r="E31" s="422">
        <v>511</v>
      </c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13">
        <f t="shared" si="0"/>
        <v>0</v>
      </c>
    </row>
    <row r="32" spans="1:18" x14ac:dyDescent="0.2">
      <c r="A32" s="434"/>
      <c r="B32" s="431"/>
      <c r="C32" s="431"/>
      <c r="D32" s="421" t="s">
        <v>503</v>
      </c>
      <c r="E32" s="422">
        <v>511</v>
      </c>
      <c r="F32" s="433"/>
      <c r="G32" s="433"/>
      <c r="H32" s="433"/>
      <c r="I32" s="433"/>
      <c r="J32" s="433"/>
      <c r="K32" s="433"/>
      <c r="L32" s="433"/>
      <c r="M32" s="433"/>
      <c r="N32" s="433"/>
      <c r="O32" s="433"/>
      <c r="P32" s="433"/>
      <c r="Q32" s="433"/>
      <c r="R32" s="413">
        <f t="shared" si="0"/>
        <v>0</v>
      </c>
    </row>
    <row r="33" spans="1:19" x14ac:dyDescent="0.2">
      <c r="A33" s="434"/>
      <c r="B33" s="431"/>
      <c r="C33" s="431"/>
      <c r="D33" s="421" t="s">
        <v>505</v>
      </c>
      <c r="E33" s="422">
        <v>511</v>
      </c>
      <c r="F33" s="433"/>
      <c r="G33" s="433"/>
      <c r="H33" s="433"/>
      <c r="I33" s="433"/>
      <c r="J33" s="433"/>
      <c r="K33" s="433"/>
      <c r="L33" s="433"/>
      <c r="M33" s="433"/>
      <c r="N33" s="433"/>
      <c r="O33" s="433"/>
      <c r="P33" s="433"/>
      <c r="Q33" s="433"/>
      <c r="R33" s="413">
        <f t="shared" si="0"/>
        <v>0</v>
      </c>
    </row>
    <row r="34" spans="1:19" x14ac:dyDescent="0.2">
      <c r="A34" s="434"/>
      <c r="B34" s="431"/>
      <c r="C34" s="431"/>
      <c r="D34" s="421" t="s">
        <v>495</v>
      </c>
      <c r="E34" s="422">
        <v>711</v>
      </c>
      <c r="F34" s="432"/>
      <c r="G34" s="433"/>
      <c r="H34" s="433"/>
      <c r="I34" s="433"/>
      <c r="J34" s="433"/>
      <c r="K34" s="433"/>
      <c r="L34" s="433"/>
      <c r="M34" s="433"/>
      <c r="N34" s="433"/>
      <c r="O34" s="433"/>
      <c r="P34" s="433"/>
      <c r="Q34" s="433"/>
      <c r="R34" s="413">
        <f t="shared" si="0"/>
        <v>0</v>
      </c>
    </row>
    <row r="35" spans="1:19" x14ac:dyDescent="0.2">
      <c r="A35" s="436"/>
      <c r="B35" s="431"/>
      <c r="C35" s="431"/>
      <c r="D35" s="421" t="s">
        <v>499</v>
      </c>
      <c r="E35" s="443">
        <v>7118</v>
      </c>
      <c r="F35" s="433"/>
      <c r="G35" s="433"/>
      <c r="H35" s="433"/>
      <c r="I35" s="433"/>
      <c r="J35" s="433"/>
      <c r="K35" s="433"/>
      <c r="L35" s="433"/>
      <c r="M35" s="433"/>
      <c r="N35" s="433"/>
      <c r="O35" s="433"/>
      <c r="P35" s="433"/>
      <c r="Q35" s="433"/>
      <c r="R35" s="413">
        <f t="shared" si="0"/>
        <v>0</v>
      </c>
    </row>
    <row r="36" spans="1:19" x14ac:dyDescent="0.2">
      <c r="A36" s="540">
        <v>5</v>
      </c>
      <c r="B36" s="531" t="s">
        <v>509</v>
      </c>
      <c r="C36" s="531" t="s">
        <v>601</v>
      </c>
      <c r="D36" s="429" t="s">
        <v>493</v>
      </c>
      <c r="E36" s="430">
        <v>511</v>
      </c>
      <c r="F36" s="444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2">
        <f t="shared" si="0"/>
        <v>0</v>
      </c>
    </row>
    <row r="37" spans="1:19" x14ac:dyDescent="0.2">
      <c r="A37" s="436"/>
      <c r="B37" s="431"/>
      <c r="C37" s="431"/>
      <c r="D37" s="421" t="s">
        <v>502</v>
      </c>
      <c r="E37" s="422">
        <v>511</v>
      </c>
      <c r="F37" s="432"/>
      <c r="G37" s="433"/>
      <c r="H37" s="433"/>
      <c r="I37" s="433"/>
      <c r="J37" s="433"/>
      <c r="K37" s="433"/>
      <c r="L37" s="433"/>
      <c r="M37" s="433"/>
      <c r="N37" s="433"/>
      <c r="O37" s="433"/>
      <c r="P37" s="433"/>
      <c r="Q37" s="433"/>
      <c r="R37" s="413">
        <f t="shared" si="0"/>
        <v>0</v>
      </c>
    </row>
    <row r="38" spans="1:19" x14ac:dyDescent="0.2">
      <c r="A38" s="436"/>
      <c r="B38" s="431"/>
      <c r="C38" s="431"/>
      <c r="D38" s="421" t="s">
        <v>495</v>
      </c>
      <c r="E38" s="422">
        <v>711</v>
      </c>
      <c r="F38" s="433"/>
      <c r="G38" s="433"/>
      <c r="H38" s="433"/>
      <c r="I38" s="433"/>
      <c r="J38" s="433"/>
      <c r="K38" s="433"/>
      <c r="L38" s="433"/>
      <c r="M38" s="433"/>
      <c r="N38" s="433"/>
      <c r="O38" s="433"/>
      <c r="P38" s="433"/>
      <c r="Q38" s="433"/>
      <c r="R38" s="413">
        <f t="shared" si="0"/>
        <v>0</v>
      </c>
    </row>
    <row r="39" spans="1:19" x14ac:dyDescent="0.2">
      <c r="A39" s="436"/>
      <c r="B39" s="431"/>
      <c r="C39" s="431"/>
      <c r="D39" s="421" t="s">
        <v>494</v>
      </c>
      <c r="E39" s="422">
        <v>511</v>
      </c>
      <c r="F39" s="433"/>
      <c r="G39" s="433"/>
      <c r="H39" s="433"/>
      <c r="I39" s="433"/>
      <c r="J39" s="433"/>
      <c r="K39" s="433"/>
      <c r="L39" s="433"/>
      <c r="M39" s="433"/>
      <c r="N39" s="433"/>
      <c r="O39" s="433"/>
      <c r="P39" s="433"/>
      <c r="Q39" s="433"/>
      <c r="R39" s="413">
        <f t="shared" si="0"/>
        <v>0</v>
      </c>
    </row>
    <row r="40" spans="1:19" x14ac:dyDescent="0.2">
      <c r="A40" s="436"/>
      <c r="B40" s="431"/>
      <c r="C40" s="431"/>
      <c r="D40" s="421" t="s">
        <v>505</v>
      </c>
      <c r="E40" s="422">
        <v>511</v>
      </c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413">
        <f t="shared" si="0"/>
        <v>0</v>
      </c>
    </row>
    <row r="41" spans="1:19" x14ac:dyDescent="0.2">
      <c r="A41" s="436"/>
      <c r="B41" s="431"/>
      <c r="C41" s="431"/>
      <c r="D41" s="421" t="s">
        <v>503</v>
      </c>
      <c r="E41" s="422">
        <v>511</v>
      </c>
      <c r="F41" s="433"/>
      <c r="G41" s="433"/>
      <c r="H41" s="433"/>
      <c r="I41" s="433"/>
      <c r="J41" s="433"/>
      <c r="K41" s="433"/>
      <c r="L41" s="433"/>
      <c r="M41" s="433"/>
      <c r="N41" s="433"/>
      <c r="O41" s="433"/>
      <c r="P41" s="433"/>
      <c r="Q41" s="433"/>
      <c r="R41" s="413">
        <f t="shared" si="0"/>
        <v>0</v>
      </c>
    </row>
    <row r="42" spans="1:19" x14ac:dyDescent="0.2">
      <c r="A42" s="436"/>
      <c r="B42" s="431"/>
      <c r="C42" s="431"/>
      <c r="D42" s="421" t="s">
        <v>510</v>
      </c>
      <c r="E42" s="422">
        <v>711</v>
      </c>
      <c r="F42" s="433"/>
      <c r="G42" s="433"/>
      <c r="H42" s="433"/>
      <c r="I42" s="433"/>
      <c r="J42" s="433"/>
      <c r="K42" s="433"/>
      <c r="L42" s="433"/>
      <c r="M42" s="433"/>
      <c r="N42" s="433"/>
      <c r="O42" s="433"/>
      <c r="P42" s="433"/>
      <c r="Q42" s="433"/>
      <c r="R42" s="413">
        <f t="shared" si="0"/>
        <v>0</v>
      </c>
    </row>
    <row r="43" spans="1:19" x14ac:dyDescent="0.2">
      <c r="A43" s="436"/>
      <c r="B43" s="431"/>
      <c r="C43" s="431"/>
      <c r="D43" s="421" t="s">
        <v>499</v>
      </c>
      <c r="E43" s="422" t="s">
        <v>500</v>
      </c>
      <c r="F43" s="433"/>
      <c r="G43" s="433"/>
      <c r="H43" s="433"/>
      <c r="I43" s="433"/>
      <c r="J43" s="433"/>
      <c r="K43" s="433"/>
      <c r="L43" s="433"/>
      <c r="M43" s="433"/>
      <c r="N43" s="433"/>
      <c r="O43" s="433"/>
      <c r="P43" s="433"/>
      <c r="Q43" s="433"/>
      <c r="R43" s="413">
        <f t="shared" si="0"/>
        <v>0</v>
      </c>
    </row>
    <row r="44" spans="1:19" x14ac:dyDescent="0.2">
      <c r="A44" s="540">
        <v>6</v>
      </c>
      <c r="B44" s="531" t="s">
        <v>511</v>
      </c>
      <c r="C44" s="531" t="s">
        <v>602</v>
      </c>
      <c r="D44" s="429" t="s">
        <v>493</v>
      </c>
      <c r="E44" s="430">
        <v>511</v>
      </c>
      <c r="F44" s="441"/>
      <c r="G44" s="441"/>
      <c r="H44" s="441"/>
      <c r="I44" s="441"/>
      <c r="J44" s="441"/>
      <c r="K44" s="441"/>
      <c r="L44" s="441"/>
      <c r="M44" s="441"/>
      <c r="N44" s="441"/>
      <c r="O44" s="441"/>
      <c r="P44" s="441"/>
      <c r="Q44" s="441"/>
      <c r="R44" s="442">
        <f t="shared" si="0"/>
        <v>0</v>
      </c>
      <c r="S44" s="445"/>
    </row>
    <row r="45" spans="1:19" x14ac:dyDescent="0.2">
      <c r="A45" s="407"/>
      <c r="B45" s="446"/>
      <c r="C45" s="446"/>
      <c r="D45" s="421" t="s">
        <v>502</v>
      </c>
      <c r="E45" s="417">
        <v>511</v>
      </c>
      <c r="F45" s="433"/>
      <c r="G45" s="433"/>
      <c r="H45" s="433"/>
      <c r="I45" s="433"/>
      <c r="J45" s="433"/>
      <c r="K45" s="433"/>
      <c r="L45" s="433"/>
      <c r="M45" s="433"/>
      <c r="N45" s="433"/>
      <c r="O45" s="433"/>
      <c r="P45" s="433"/>
      <c r="Q45" s="433"/>
      <c r="R45" s="413">
        <f t="shared" si="0"/>
        <v>0</v>
      </c>
    </row>
    <row r="46" spans="1:19" x14ac:dyDescent="0.2">
      <c r="A46" s="407"/>
      <c r="B46" s="446"/>
      <c r="C46" s="446"/>
      <c r="D46" s="421" t="s">
        <v>494</v>
      </c>
      <c r="E46" s="417">
        <v>511</v>
      </c>
      <c r="F46" s="432"/>
      <c r="G46" s="433"/>
      <c r="H46" s="433"/>
      <c r="I46" s="433"/>
      <c r="J46" s="433"/>
      <c r="K46" s="433"/>
      <c r="L46" s="433"/>
      <c r="M46" s="433"/>
      <c r="N46" s="433"/>
      <c r="O46" s="433"/>
      <c r="P46" s="433"/>
      <c r="Q46" s="433"/>
      <c r="R46" s="413">
        <f t="shared" si="0"/>
        <v>0</v>
      </c>
    </row>
    <row r="47" spans="1:19" x14ac:dyDescent="0.2">
      <c r="A47" s="407"/>
      <c r="B47" s="446"/>
      <c r="C47" s="446"/>
      <c r="D47" s="421" t="s">
        <v>512</v>
      </c>
      <c r="E47" s="417">
        <v>511</v>
      </c>
      <c r="F47" s="433"/>
      <c r="G47" s="433"/>
      <c r="H47" s="433"/>
      <c r="I47" s="433"/>
      <c r="J47" s="433"/>
      <c r="K47" s="433"/>
      <c r="L47" s="433"/>
      <c r="M47" s="433"/>
      <c r="N47" s="433"/>
      <c r="O47" s="433"/>
      <c r="P47" s="433"/>
      <c r="Q47" s="433"/>
      <c r="R47" s="413">
        <f t="shared" si="0"/>
        <v>0</v>
      </c>
    </row>
    <row r="48" spans="1:19" x14ac:dyDescent="0.2">
      <c r="A48" s="407"/>
      <c r="B48" s="446"/>
      <c r="C48" s="446"/>
      <c r="D48" s="421" t="s">
        <v>503</v>
      </c>
      <c r="E48" s="422">
        <v>511</v>
      </c>
      <c r="F48" s="433"/>
      <c r="G48" s="433"/>
      <c r="H48" s="433"/>
      <c r="I48" s="433"/>
      <c r="J48" s="433"/>
      <c r="K48" s="433"/>
      <c r="L48" s="433"/>
      <c r="M48" s="433"/>
      <c r="N48" s="433"/>
      <c r="O48" s="433"/>
      <c r="P48" s="433"/>
      <c r="Q48" s="433"/>
      <c r="R48" s="413">
        <f t="shared" si="0"/>
        <v>0</v>
      </c>
    </row>
    <row r="49" spans="1:19" x14ac:dyDescent="0.2">
      <c r="A49" s="407"/>
      <c r="B49" s="446"/>
      <c r="C49" s="446"/>
      <c r="D49" s="421" t="s">
        <v>513</v>
      </c>
      <c r="E49" s="422">
        <v>511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3"/>
      <c r="Q49" s="433"/>
      <c r="R49" s="413">
        <f t="shared" si="0"/>
        <v>0</v>
      </c>
    </row>
    <row r="50" spans="1:19" x14ac:dyDescent="0.2">
      <c r="A50" s="407"/>
      <c r="B50" s="446"/>
      <c r="C50" s="446"/>
      <c r="D50" s="421" t="s">
        <v>495</v>
      </c>
      <c r="E50" s="422">
        <v>711</v>
      </c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33"/>
      <c r="R50" s="413">
        <f t="shared" si="0"/>
        <v>0</v>
      </c>
    </row>
    <row r="51" spans="1:19" x14ac:dyDescent="0.2">
      <c r="A51" s="447"/>
      <c r="B51" s="448"/>
      <c r="C51" s="448"/>
      <c r="D51" s="449" t="s">
        <v>499</v>
      </c>
      <c r="E51" s="426" t="s">
        <v>500</v>
      </c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40">
        <f t="shared" si="0"/>
        <v>0</v>
      </c>
    </row>
    <row r="52" spans="1:19" x14ac:dyDescent="0.2">
      <c r="A52" s="540">
        <v>7</v>
      </c>
      <c r="B52" s="531" t="s">
        <v>603</v>
      </c>
      <c r="C52" s="531" t="s">
        <v>604</v>
      </c>
      <c r="D52" s="429" t="s">
        <v>493</v>
      </c>
      <c r="E52" s="450">
        <v>511</v>
      </c>
      <c r="F52" s="441"/>
      <c r="G52" s="441"/>
      <c r="H52" s="441"/>
      <c r="I52" s="441"/>
      <c r="J52" s="441"/>
      <c r="K52" s="441"/>
      <c r="L52" s="441"/>
      <c r="M52" s="441"/>
      <c r="N52" s="441"/>
      <c r="O52" s="441"/>
      <c r="P52" s="441"/>
      <c r="Q52" s="441"/>
      <c r="R52" s="442">
        <f t="shared" si="0"/>
        <v>0</v>
      </c>
    </row>
    <row r="53" spans="1:19" x14ac:dyDescent="0.2">
      <c r="A53" s="407"/>
      <c r="B53" s="451"/>
      <c r="C53" s="451"/>
      <c r="D53" s="435" t="s">
        <v>502</v>
      </c>
      <c r="E53" s="452">
        <v>511</v>
      </c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1"/>
      <c r="Q53" s="411"/>
      <c r="R53" s="413">
        <f t="shared" si="0"/>
        <v>0</v>
      </c>
    </row>
    <row r="54" spans="1:19" x14ac:dyDescent="0.2">
      <c r="A54" s="407"/>
      <c r="B54" s="451"/>
      <c r="C54" s="451"/>
      <c r="D54" s="435" t="s">
        <v>494</v>
      </c>
      <c r="E54" s="452">
        <v>511</v>
      </c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3">
        <f t="shared" si="0"/>
        <v>0</v>
      </c>
    </row>
    <row r="55" spans="1:19" x14ac:dyDescent="0.2">
      <c r="A55" s="407"/>
      <c r="B55" s="451"/>
      <c r="C55" s="451"/>
      <c r="D55" s="435" t="s">
        <v>512</v>
      </c>
      <c r="E55" s="452">
        <v>511</v>
      </c>
      <c r="F55" s="411"/>
      <c r="G55" s="411"/>
      <c r="H55" s="411"/>
      <c r="I55" s="411"/>
      <c r="J55" s="411"/>
      <c r="K55" s="411"/>
      <c r="L55" s="411"/>
      <c r="M55" s="411"/>
      <c r="N55" s="411"/>
      <c r="O55" s="411"/>
      <c r="P55" s="411"/>
      <c r="Q55" s="411"/>
      <c r="R55" s="413">
        <f t="shared" si="0"/>
        <v>0</v>
      </c>
    </row>
    <row r="56" spans="1:19" x14ac:dyDescent="0.2">
      <c r="A56" s="407"/>
      <c r="B56" s="451"/>
      <c r="C56" s="451"/>
      <c r="D56" s="435" t="s">
        <v>503</v>
      </c>
      <c r="E56" s="452">
        <v>511</v>
      </c>
      <c r="F56" s="411"/>
      <c r="G56" s="411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3">
        <f t="shared" si="0"/>
        <v>0</v>
      </c>
    </row>
    <row r="57" spans="1:19" x14ac:dyDescent="0.2">
      <c r="A57" s="407"/>
      <c r="B57" s="451"/>
      <c r="C57" s="451"/>
      <c r="D57" s="435" t="s">
        <v>513</v>
      </c>
      <c r="E57" s="452">
        <v>511</v>
      </c>
      <c r="F57" s="411"/>
      <c r="G57" s="411"/>
      <c r="H57" s="411"/>
      <c r="I57" s="411"/>
      <c r="J57" s="411"/>
      <c r="K57" s="411"/>
      <c r="L57" s="411"/>
      <c r="M57" s="411"/>
      <c r="N57" s="411"/>
      <c r="O57" s="411"/>
      <c r="P57" s="411"/>
      <c r="Q57" s="411"/>
      <c r="R57" s="413">
        <f t="shared" si="0"/>
        <v>0</v>
      </c>
    </row>
    <row r="58" spans="1:19" x14ac:dyDescent="0.2">
      <c r="A58" s="407"/>
      <c r="B58" s="451"/>
      <c r="C58" s="451"/>
      <c r="D58" s="435" t="s">
        <v>495</v>
      </c>
      <c r="E58" s="452">
        <v>711</v>
      </c>
      <c r="F58" s="411"/>
      <c r="G58" s="411"/>
      <c r="H58" s="411"/>
      <c r="I58" s="411"/>
      <c r="J58" s="411"/>
      <c r="K58" s="411"/>
      <c r="L58" s="411"/>
      <c r="M58" s="411"/>
      <c r="N58" s="411"/>
      <c r="O58" s="411"/>
      <c r="P58" s="411"/>
      <c r="Q58" s="411"/>
      <c r="R58" s="413">
        <f t="shared" si="0"/>
        <v>0</v>
      </c>
    </row>
    <row r="59" spans="1:19" x14ac:dyDescent="0.2">
      <c r="A59" s="407"/>
      <c r="B59" s="451"/>
      <c r="C59" s="451"/>
      <c r="D59" s="435" t="s">
        <v>499</v>
      </c>
      <c r="E59" s="452" t="s">
        <v>500</v>
      </c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1"/>
      <c r="R59" s="413">
        <f t="shared" si="0"/>
        <v>0</v>
      </c>
    </row>
    <row r="60" spans="1:19" x14ac:dyDescent="0.2">
      <c r="A60" s="540">
        <v>8</v>
      </c>
      <c r="B60" s="531" t="s">
        <v>514</v>
      </c>
      <c r="C60" s="531" t="s">
        <v>605</v>
      </c>
      <c r="D60" s="429" t="s">
        <v>493</v>
      </c>
      <c r="E60" s="430">
        <v>511</v>
      </c>
      <c r="F60" s="441"/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42">
        <f t="shared" si="0"/>
        <v>0</v>
      </c>
      <c r="S60" s="445"/>
    </row>
    <row r="61" spans="1:19" x14ac:dyDescent="0.2">
      <c r="A61" s="407"/>
      <c r="B61" s="451"/>
      <c r="C61" s="451"/>
      <c r="D61" s="435" t="s">
        <v>515</v>
      </c>
      <c r="E61" s="417">
        <v>511</v>
      </c>
      <c r="F61" s="433"/>
      <c r="G61" s="433"/>
      <c r="H61" s="433"/>
      <c r="I61" s="433"/>
      <c r="J61" s="433"/>
      <c r="K61" s="433"/>
      <c r="L61" s="433"/>
      <c r="M61" s="433"/>
      <c r="N61" s="433"/>
      <c r="O61" s="433"/>
      <c r="P61" s="433"/>
      <c r="Q61" s="433"/>
      <c r="R61" s="413">
        <f t="shared" si="0"/>
        <v>0</v>
      </c>
    </row>
    <row r="62" spans="1:19" x14ac:dyDescent="0.2">
      <c r="A62" s="407"/>
      <c r="B62" s="451"/>
      <c r="C62" s="451"/>
      <c r="D62" s="421" t="s">
        <v>502</v>
      </c>
      <c r="E62" s="417">
        <v>511</v>
      </c>
      <c r="F62" s="432"/>
      <c r="G62" s="433"/>
      <c r="H62" s="433"/>
      <c r="I62" s="433"/>
      <c r="J62" s="433"/>
      <c r="K62" s="433"/>
      <c r="L62" s="433"/>
      <c r="M62" s="433"/>
      <c r="N62" s="433"/>
      <c r="O62" s="433"/>
      <c r="P62" s="433"/>
      <c r="Q62" s="433"/>
      <c r="R62" s="413">
        <f t="shared" si="0"/>
        <v>0</v>
      </c>
    </row>
    <row r="63" spans="1:19" x14ac:dyDescent="0.2">
      <c r="A63" s="407"/>
      <c r="B63" s="451"/>
      <c r="C63" s="451"/>
      <c r="D63" s="421" t="s">
        <v>494</v>
      </c>
      <c r="E63" s="417">
        <v>511</v>
      </c>
      <c r="F63" s="433"/>
      <c r="G63" s="433"/>
      <c r="H63" s="433"/>
      <c r="I63" s="433"/>
      <c r="J63" s="433"/>
      <c r="K63" s="433"/>
      <c r="L63" s="433"/>
      <c r="M63" s="433"/>
      <c r="N63" s="433"/>
      <c r="O63" s="433"/>
      <c r="P63" s="433"/>
      <c r="Q63" s="433"/>
      <c r="R63" s="413">
        <f t="shared" si="0"/>
        <v>0</v>
      </c>
    </row>
    <row r="64" spans="1:19" x14ac:dyDescent="0.2">
      <c r="A64" s="407"/>
      <c r="B64" s="451"/>
      <c r="C64" s="451"/>
      <c r="D64" s="421" t="s">
        <v>513</v>
      </c>
      <c r="E64" s="422">
        <v>511</v>
      </c>
      <c r="F64" s="433"/>
      <c r="G64" s="433"/>
      <c r="H64" s="433"/>
      <c r="I64" s="433"/>
      <c r="J64" s="433"/>
      <c r="K64" s="433"/>
      <c r="L64" s="433"/>
      <c r="M64" s="433"/>
      <c r="N64" s="433"/>
      <c r="O64" s="433"/>
      <c r="P64" s="433"/>
      <c r="Q64" s="433"/>
      <c r="R64" s="413">
        <f t="shared" si="0"/>
        <v>0</v>
      </c>
    </row>
    <row r="65" spans="1:18" x14ac:dyDescent="0.2">
      <c r="A65" s="407"/>
      <c r="B65" s="446"/>
      <c r="C65" s="446"/>
      <c r="D65" s="421" t="s">
        <v>495</v>
      </c>
      <c r="E65" s="422">
        <v>711</v>
      </c>
      <c r="F65" s="433"/>
      <c r="G65" s="433"/>
      <c r="H65" s="433"/>
      <c r="I65" s="433"/>
      <c r="J65" s="433"/>
      <c r="K65" s="433"/>
      <c r="L65" s="433"/>
      <c r="M65" s="433"/>
      <c r="N65" s="433"/>
      <c r="O65" s="433"/>
      <c r="P65" s="433"/>
      <c r="Q65" s="433"/>
      <c r="R65" s="413">
        <f t="shared" si="0"/>
        <v>0</v>
      </c>
    </row>
    <row r="66" spans="1:18" x14ac:dyDescent="0.2">
      <c r="A66" s="407"/>
      <c r="B66" s="446"/>
      <c r="C66" s="446"/>
      <c r="D66" s="421" t="s">
        <v>507</v>
      </c>
      <c r="E66" s="422">
        <v>511</v>
      </c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3"/>
      <c r="Q66" s="433"/>
      <c r="R66" s="413">
        <f t="shared" si="0"/>
        <v>0</v>
      </c>
    </row>
    <row r="67" spans="1:18" x14ac:dyDescent="0.2">
      <c r="A67" s="407"/>
      <c r="B67" s="446"/>
      <c r="C67" s="451"/>
      <c r="D67" s="435" t="s">
        <v>499</v>
      </c>
      <c r="E67" s="422">
        <v>711</v>
      </c>
      <c r="F67" s="433"/>
      <c r="G67" s="433"/>
      <c r="H67" s="433"/>
      <c r="I67" s="433"/>
      <c r="J67" s="433"/>
      <c r="K67" s="433"/>
      <c r="L67" s="433"/>
      <c r="M67" s="433"/>
      <c r="N67" s="433"/>
      <c r="O67" s="433"/>
      <c r="P67" s="433"/>
      <c r="Q67" s="433"/>
      <c r="R67" s="413">
        <f t="shared" si="0"/>
        <v>0</v>
      </c>
    </row>
    <row r="68" spans="1:18" x14ac:dyDescent="0.2">
      <c r="A68" s="540">
        <v>9</v>
      </c>
      <c r="B68" s="531" t="s">
        <v>516</v>
      </c>
      <c r="C68" s="531" t="s">
        <v>606</v>
      </c>
      <c r="D68" s="429" t="s">
        <v>493</v>
      </c>
      <c r="E68" s="430">
        <v>511</v>
      </c>
      <c r="F68" s="441"/>
      <c r="G68" s="441"/>
      <c r="H68" s="441"/>
      <c r="I68" s="441"/>
      <c r="J68" s="441"/>
      <c r="K68" s="441"/>
      <c r="L68" s="441"/>
      <c r="M68" s="441"/>
      <c r="N68" s="441"/>
      <c r="O68" s="441"/>
      <c r="P68" s="441"/>
      <c r="Q68" s="441"/>
      <c r="R68" s="442">
        <f t="shared" si="0"/>
        <v>0</v>
      </c>
    </row>
    <row r="69" spans="1:18" x14ac:dyDescent="0.2">
      <c r="A69" s="407"/>
      <c r="B69" s="446"/>
      <c r="C69" s="446"/>
      <c r="D69" s="421" t="s">
        <v>502</v>
      </c>
      <c r="E69" s="417">
        <v>511</v>
      </c>
      <c r="F69" s="433"/>
      <c r="G69" s="433"/>
      <c r="H69" s="433"/>
      <c r="I69" s="433"/>
      <c r="J69" s="433"/>
      <c r="K69" s="433"/>
      <c r="L69" s="433"/>
      <c r="M69" s="433"/>
      <c r="N69" s="433"/>
      <c r="O69" s="433"/>
      <c r="P69" s="433"/>
      <c r="Q69" s="433"/>
      <c r="R69" s="413">
        <f t="shared" si="0"/>
        <v>0</v>
      </c>
    </row>
    <row r="70" spans="1:18" x14ac:dyDescent="0.2">
      <c r="A70" s="407"/>
      <c r="B70" s="446"/>
      <c r="C70" s="446"/>
      <c r="D70" s="421" t="s">
        <v>494</v>
      </c>
      <c r="E70" s="417">
        <v>511</v>
      </c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3"/>
      <c r="Q70" s="433"/>
      <c r="R70" s="413">
        <f t="shared" si="0"/>
        <v>0</v>
      </c>
    </row>
    <row r="71" spans="1:18" x14ac:dyDescent="0.2">
      <c r="A71" s="407"/>
      <c r="B71" s="446"/>
      <c r="C71" s="446"/>
      <c r="D71" s="421" t="s">
        <v>513</v>
      </c>
      <c r="E71" s="422">
        <v>511</v>
      </c>
      <c r="F71" s="433"/>
      <c r="G71" s="433"/>
      <c r="H71" s="433"/>
      <c r="I71" s="433"/>
      <c r="J71" s="433"/>
      <c r="K71" s="433"/>
      <c r="L71" s="433"/>
      <c r="M71" s="433"/>
      <c r="N71" s="433"/>
      <c r="O71" s="433"/>
      <c r="P71" s="433"/>
      <c r="Q71" s="433"/>
      <c r="R71" s="413">
        <f t="shared" si="0"/>
        <v>0</v>
      </c>
    </row>
    <row r="72" spans="1:18" x14ac:dyDescent="0.2">
      <c r="A72" s="407"/>
      <c r="B72" s="446"/>
      <c r="C72" s="446"/>
      <c r="D72" s="421" t="s">
        <v>499</v>
      </c>
      <c r="E72" s="422">
        <v>711</v>
      </c>
      <c r="F72" s="433"/>
      <c r="G72" s="433"/>
      <c r="H72" s="433"/>
      <c r="I72" s="433"/>
      <c r="J72" s="433"/>
      <c r="K72" s="433"/>
      <c r="L72" s="433"/>
      <c r="M72" s="433"/>
      <c r="N72" s="433"/>
      <c r="O72" s="433"/>
      <c r="P72" s="433"/>
      <c r="Q72" s="433"/>
      <c r="R72" s="413">
        <f t="shared" si="0"/>
        <v>0</v>
      </c>
    </row>
    <row r="73" spans="1:18" x14ac:dyDescent="0.2">
      <c r="A73" s="540">
        <v>10</v>
      </c>
      <c r="B73" s="453" t="s">
        <v>517</v>
      </c>
      <c r="C73" s="531" t="s">
        <v>607</v>
      </c>
      <c r="D73" s="429" t="s">
        <v>493</v>
      </c>
      <c r="E73" s="430">
        <v>511</v>
      </c>
      <c r="F73" s="444"/>
      <c r="G73" s="441"/>
      <c r="H73" s="441"/>
      <c r="I73" s="441"/>
      <c r="J73" s="441"/>
      <c r="K73" s="441"/>
      <c r="L73" s="441"/>
      <c r="M73" s="441"/>
      <c r="N73" s="441"/>
      <c r="O73" s="441"/>
      <c r="P73" s="441"/>
      <c r="Q73" s="441"/>
      <c r="R73" s="442">
        <f t="shared" si="0"/>
        <v>0</v>
      </c>
    </row>
    <row r="74" spans="1:18" x14ac:dyDescent="0.2">
      <c r="A74" s="407"/>
      <c r="B74" s="446"/>
      <c r="C74" s="451"/>
      <c r="D74" s="435" t="s">
        <v>502</v>
      </c>
      <c r="E74" s="422">
        <v>511</v>
      </c>
      <c r="F74" s="433"/>
      <c r="G74" s="433"/>
      <c r="H74" s="433"/>
      <c r="I74" s="433"/>
      <c r="J74" s="433"/>
      <c r="K74" s="433"/>
      <c r="L74" s="433"/>
      <c r="M74" s="433"/>
      <c r="N74" s="433"/>
      <c r="O74" s="433"/>
      <c r="P74" s="433"/>
      <c r="Q74" s="433"/>
      <c r="R74" s="454">
        <f t="shared" si="0"/>
        <v>0</v>
      </c>
    </row>
    <row r="75" spans="1:18" x14ac:dyDescent="0.2">
      <c r="A75" s="434"/>
      <c r="B75" s="448"/>
      <c r="C75" s="448"/>
      <c r="D75" s="421" t="s">
        <v>494</v>
      </c>
      <c r="E75" s="422">
        <v>511</v>
      </c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54">
        <f t="shared" si="0"/>
        <v>0</v>
      </c>
    </row>
    <row r="76" spans="1:18" x14ac:dyDescent="0.2">
      <c r="A76" s="434"/>
      <c r="B76" s="448"/>
      <c r="C76" s="448"/>
      <c r="D76" s="421" t="s">
        <v>513</v>
      </c>
      <c r="E76" s="422">
        <v>511</v>
      </c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54">
        <f t="shared" si="0"/>
        <v>0</v>
      </c>
    </row>
    <row r="77" spans="1:18" x14ac:dyDescent="0.2">
      <c r="A77" s="423"/>
      <c r="B77" s="448"/>
      <c r="C77" s="448"/>
      <c r="D77" s="449" t="s">
        <v>499</v>
      </c>
      <c r="E77" s="455">
        <v>711</v>
      </c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28">
        <f t="shared" si="0"/>
        <v>0</v>
      </c>
    </row>
    <row r="78" spans="1:18" x14ac:dyDescent="0.2">
      <c r="A78" s="540">
        <v>11</v>
      </c>
      <c r="B78" s="531" t="s">
        <v>518</v>
      </c>
      <c r="C78" s="453" t="s">
        <v>608</v>
      </c>
      <c r="D78" s="456" t="s">
        <v>494</v>
      </c>
      <c r="E78" s="457">
        <v>511</v>
      </c>
      <c r="F78" s="441"/>
      <c r="G78" s="441"/>
      <c r="H78" s="441"/>
      <c r="I78" s="441"/>
      <c r="J78" s="441"/>
      <c r="K78" s="441"/>
      <c r="L78" s="441"/>
      <c r="M78" s="441"/>
      <c r="N78" s="441"/>
      <c r="O78" s="441"/>
      <c r="P78" s="441"/>
      <c r="Q78" s="441"/>
      <c r="R78" s="442">
        <f t="shared" si="0"/>
        <v>0</v>
      </c>
    </row>
    <row r="79" spans="1:18" x14ac:dyDescent="0.2">
      <c r="A79" s="434"/>
      <c r="B79" s="448"/>
      <c r="C79" s="448"/>
      <c r="D79" s="449" t="s">
        <v>493</v>
      </c>
      <c r="E79" s="455">
        <v>511</v>
      </c>
      <c r="F79" s="433"/>
      <c r="G79" s="433"/>
      <c r="H79" s="433"/>
      <c r="I79" s="433"/>
      <c r="J79" s="433"/>
      <c r="K79" s="433"/>
      <c r="L79" s="433"/>
      <c r="M79" s="433"/>
      <c r="N79" s="433"/>
      <c r="O79" s="433"/>
      <c r="P79" s="433"/>
      <c r="Q79" s="433"/>
      <c r="R79" s="413">
        <f t="shared" si="0"/>
        <v>0</v>
      </c>
    </row>
    <row r="80" spans="1:18" x14ac:dyDescent="0.2">
      <c r="A80" s="434"/>
      <c r="B80" s="448"/>
      <c r="C80" s="448"/>
      <c r="D80" s="449" t="s">
        <v>502</v>
      </c>
      <c r="E80" s="455">
        <v>511</v>
      </c>
      <c r="F80" s="433"/>
      <c r="G80" s="433"/>
      <c r="H80" s="433"/>
      <c r="I80" s="433"/>
      <c r="J80" s="433"/>
      <c r="K80" s="433"/>
      <c r="L80" s="433"/>
      <c r="M80" s="433"/>
      <c r="N80" s="433"/>
      <c r="O80" s="433"/>
      <c r="P80" s="433"/>
      <c r="Q80" s="433"/>
      <c r="R80" s="413">
        <f t="shared" si="0"/>
        <v>0</v>
      </c>
    </row>
    <row r="81" spans="1:19" x14ac:dyDescent="0.2">
      <c r="A81" s="434"/>
      <c r="B81" s="448"/>
      <c r="C81" s="448"/>
      <c r="D81" s="449" t="s">
        <v>495</v>
      </c>
      <c r="E81" s="455">
        <v>711</v>
      </c>
      <c r="F81" s="433"/>
      <c r="G81" s="433"/>
      <c r="H81" s="433"/>
      <c r="I81" s="433"/>
      <c r="J81" s="433"/>
      <c r="K81" s="433"/>
      <c r="L81" s="433"/>
      <c r="M81" s="433"/>
      <c r="N81" s="433"/>
      <c r="O81" s="433"/>
      <c r="P81" s="433"/>
      <c r="Q81" s="433"/>
      <c r="R81" s="413">
        <f t="shared" ref="R81:R126" si="1">SUM(F81:Q81)</f>
        <v>0</v>
      </c>
    </row>
    <row r="82" spans="1:19" x14ac:dyDescent="0.2">
      <c r="A82" s="434"/>
      <c r="B82" s="448"/>
      <c r="C82" s="446"/>
      <c r="D82" s="421" t="s">
        <v>496</v>
      </c>
      <c r="E82" s="422">
        <v>515</v>
      </c>
      <c r="F82" s="433"/>
      <c r="G82" s="433"/>
      <c r="H82" s="433"/>
      <c r="I82" s="433"/>
      <c r="J82" s="433"/>
      <c r="K82" s="433"/>
      <c r="L82" s="433"/>
      <c r="M82" s="433"/>
      <c r="N82" s="433"/>
      <c r="O82" s="433"/>
      <c r="P82" s="433"/>
      <c r="Q82" s="433"/>
      <c r="R82" s="413">
        <f t="shared" si="1"/>
        <v>0</v>
      </c>
    </row>
    <row r="83" spans="1:19" x14ac:dyDescent="0.2">
      <c r="A83" s="423"/>
      <c r="B83" s="448"/>
      <c r="C83" s="534"/>
      <c r="D83" s="438" t="s">
        <v>499</v>
      </c>
      <c r="E83" s="458">
        <v>7118</v>
      </c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40">
        <f t="shared" si="1"/>
        <v>0</v>
      </c>
    </row>
    <row r="84" spans="1:19" x14ac:dyDescent="0.2">
      <c r="A84" s="540">
        <v>12</v>
      </c>
      <c r="B84" s="531" t="s">
        <v>519</v>
      </c>
      <c r="C84" s="531" t="s">
        <v>609</v>
      </c>
      <c r="D84" s="429" t="s">
        <v>493</v>
      </c>
      <c r="E84" s="430">
        <v>511521</v>
      </c>
      <c r="F84" s="441"/>
      <c r="G84" s="441"/>
      <c r="H84" s="441"/>
      <c r="I84" s="441"/>
      <c r="J84" s="441"/>
      <c r="K84" s="441"/>
      <c r="L84" s="441"/>
      <c r="M84" s="441"/>
      <c r="N84" s="441"/>
      <c r="O84" s="441"/>
      <c r="P84" s="441"/>
      <c r="Q84" s="441"/>
      <c r="R84" s="442">
        <f t="shared" si="1"/>
        <v>0</v>
      </c>
    </row>
    <row r="85" spans="1:19" x14ac:dyDescent="0.2">
      <c r="A85" s="434"/>
      <c r="B85" s="446"/>
      <c r="C85" s="446"/>
      <c r="D85" s="421" t="s">
        <v>502</v>
      </c>
      <c r="E85" s="417">
        <v>511</v>
      </c>
      <c r="F85" s="433"/>
      <c r="G85" s="433"/>
      <c r="H85" s="433"/>
      <c r="I85" s="433"/>
      <c r="J85" s="433"/>
      <c r="K85" s="433"/>
      <c r="L85" s="433"/>
      <c r="M85" s="433"/>
      <c r="N85" s="433"/>
      <c r="O85" s="433"/>
      <c r="P85" s="433"/>
      <c r="Q85" s="433"/>
      <c r="R85" s="413">
        <f t="shared" si="1"/>
        <v>0</v>
      </c>
    </row>
    <row r="86" spans="1:19" x14ac:dyDescent="0.2">
      <c r="A86" s="434"/>
      <c r="B86" s="446"/>
      <c r="C86" s="446"/>
      <c r="D86" s="421" t="s">
        <v>494</v>
      </c>
      <c r="E86" s="417">
        <v>511</v>
      </c>
      <c r="F86" s="433"/>
      <c r="G86" s="433"/>
      <c r="H86" s="433"/>
      <c r="I86" s="433"/>
      <c r="J86" s="433"/>
      <c r="K86" s="433"/>
      <c r="L86" s="433"/>
      <c r="M86" s="433"/>
      <c r="N86" s="433"/>
      <c r="O86" s="433"/>
      <c r="P86" s="433"/>
      <c r="Q86" s="433"/>
      <c r="R86" s="413">
        <f t="shared" si="1"/>
        <v>0</v>
      </c>
    </row>
    <row r="87" spans="1:19" x14ac:dyDescent="0.2">
      <c r="A87" s="434"/>
      <c r="B87" s="446"/>
      <c r="C87" s="446"/>
      <c r="D87" s="421" t="s">
        <v>513</v>
      </c>
      <c r="E87" s="422">
        <v>511</v>
      </c>
      <c r="F87" s="433"/>
      <c r="G87" s="433"/>
      <c r="H87" s="433"/>
      <c r="I87" s="433"/>
      <c r="J87" s="433"/>
      <c r="K87" s="433"/>
      <c r="L87" s="433"/>
      <c r="M87" s="433"/>
      <c r="N87" s="433"/>
      <c r="O87" s="433"/>
      <c r="P87" s="433"/>
      <c r="Q87" s="433"/>
      <c r="R87" s="413">
        <f t="shared" si="1"/>
        <v>0</v>
      </c>
    </row>
    <row r="88" spans="1:19" x14ac:dyDescent="0.2">
      <c r="A88" s="434"/>
      <c r="B88" s="446"/>
      <c r="C88" s="446"/>
      <c r="D88" s="421" t="s">
        <v>495</v>
      </c>
      <c r="E88" s="422">
        <v>711</v>
      </c>
      <c r="F88" s="433"/>
      <c r="G88" s="433"/>
      <c r="H88" s="433"/>
      <c r="I88" s="433"/>
      <c r="J88" s="433"/>
      <c r="K88" s="433"/>
      <c r="L88" s="433"/>
      <c r="M88" s="433"/>
      <c r="N88" s="433"/>
      <c r="O88" s="433"/>
      <c r="P88" s="433"/>
      <c r="Q88" s="433"/>
      <c r="R88" s="413">
        <f t="shared" si="1"/>
        <v>0</v>
      </c>
    </row>
    <row r="89" spans="1:19" x14ac:dyDescent="0.2">
      <c r="A89" s="434"/>
      <c r="B89" s="446"/>
      <c r="C89" s="446"/>
      <c r="D89" s="421" t="s">
        <v>496</v>
      </c>
      <c r="E89" s="422">
        <v>515</v>
      </c>
      <c r="F89" s="433"/>
      <c r="G89" s="433"/>
      <c r="H89" s="433"/>
      <c r="I89" s="433"/>
      <c r="J89" s="433"/>
      <c r="K89" s="433"/>
      <c r="L89" s="433"/>
      <c r="M89" s="433"/>
      <c r="N89" s="433"/>
      <c r="O89" s="433"/>
      <c r="P89" s="433"/>
      <c r="Q89" s="433"/>
      <c r="R89" s="413">
        <f t="shared" si="1"/>
        <v>0</v>
      </c>
    </row>
    <row r="90" spans="1:19" x14ac:dyDescent="0.2">
      <c r="A90" s="436"/>
      <c r="B90" s="448"/>
      <c r="C90" s="448"/>
      <c r="D90" s="449" t="s">
        <v>499</v>
      </c>
      <c r="E90" s="458">
        <v>7118</v>
      </c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40">
        <f t="shared" si="1"/>
        <v>0</v>
      </c>
    </row>
    <row r="91" spans="1:19" x14ac:dyDescent="0.2">
      <c r="A91" s="459">
        <v>13</v>
      </c>
      <c r="B91" s="531" t="s">
        <v>520</v>
      </c>
      <c r="C91" s="531" t="s">
        <v>610</v>
      </c>
      <c r="D91" s="429" t="s">
        <v>494</v>
      </c>
      <c r="E91" s="457">
        <v>511</v>
      </c>
      <c r="F91" s="441"/>
      <c r="G91" s="441"/>
      <c r="H91" s="441"/>
      <c r="I91" s="441"/>
      <c r="J91" s="441"/>
      <c r="K91" s="441"/>
      <c r="L91" s="441"/>
      <c r="M91" s="441"/>
      <c r="N91" s="441"/>
      <c r="O91" s="441"/>
      <c r="P91" s="441"/>
      <c r="Q91" s="441"/>
      <c r="R91" s="442">
        <f t="shared" si="1"/>
        <v>0</v>
      </c>
      <c r="S91" s="445"/>
    </row>
    <row r="92" spans="1:19" x14ac:dyDescent="0.2">
      <c r="A92" s="436"/>
      <c r="B92" s="448"/>
      <c r="C92" s="448"/>
      <c r="D92" s="421" t="s">
        <v>493</v>
      </c>
      <c r="E92" s="455">
        <v>511</v>
      </c>
      <c r="F92" s="433"/>
      <c r="G92" s="433"/>
      <c r="H92" s="433"/>
      <c r="I92" s="433"/>
      <c r="J92" s="433"/>
      <c r="K92" s="433"/>
      <c r="L92" s="433"/>
      <c r="M92" s="433"/>
      <c r="N92" s="433"/>
      <c r="O92" s="433"/>
      <c r="P92" s="433"/>
      <c r="Q92" s="433"/>
      <c r="R92" s="413">
        <f t="shared" si="1"/>
        <v>0</v>
      </c>
    </row>
    <row r="93" spans="1:19" x14ac:dyDescent="0.2">
      <c r="A93" s="436"/>
      <c r="B93" s="448"/>
      <c r="C93" s="448"/>
      <c r="D93" s="449" t="s">
        <v>502</v>
      </c>
      <c r="E93" s="455">
        <v>511</v>
      </c>
      <c r="F93" s="433"/>
      <c r="G93" s="433"/>
      <c r="H93" s="433"/>
      <c r="I93" s="433"/>
      <c r="J93" s="433"/>
      <c r="K93" s="433"/>
      <c r="L93" s="433"/>
      <c r="M93" s="433"/>
      <c r="N93" s="433"/>
      <c r="O93" s="433"/>
      <c r="P93" s="433"/>
      <c r="Q93" s="433"/>
      <c r="R93" s="413">
        <f t="shared" si="1"/>
        <v>0</v>
      </c>
    </row>
    <row r="94" spans="1:19" x14ac:dyDescent="0.2">
      <c r="A94" s="436"/>
      <c r="B94" s="448"/>
      <c r="C94" s="448"/>
      <c r="D94" s="449" t="s">
        <v>495</v>
      </c>
      <c r="E94" s="455">
        <v>711</v>
      </c>
      <c r="F94" s="433"/>
      <c r="G94" s="433"/>
      <c r="H94" s="433"/>
      <c r="I94" s="433"/>
      <c r="J94" s="433"/>
      <c r="K94" s="433"/>
      <c r="L94" s="433"/>
      <c r="M94" s="433"/>
      <c r="N94" s="433"/>
      <c r="O94" s="433"/>
      <c r="P94" s="433"/>
      <c r="Q94" s="433"/>
      <c r="R94" s="413">
        <f t="shared" si="1"/>
        <v>0</v>
      </c>
    </row>
    <row r="95" spans="1:19" x14ac:dyDescent="0.2">
      <c r="A95" s="436"/>
      <c r="B95" s="446"/>
      <c r="C95" s="446"/>
      <c r="D95" s="421" t="s">
        <v>496</v>
      </c>
      <c r="E95" s="422">
        <v>515</v>
      </c>
      <c r="F95" s="433"/>
      <c r="G95" s="433"/>
      <c r="H95" s="433"/>
      <c r="I95" s="433"/>
      <c r="J95" s="433"/>
      <c r="K95" s="433"/>
      <c r="L95" s="433"/>
      <c r="M95" s="433"/>
      <c r="N95" s="433"/>
      <c r="O95" s="433"/>
      <c r="P95" s="433"/>
      <c r="Q95" s="433"/>
      <c r="R95" s="413">
        <f t="shared" si="1"/>
        <v>0</v>
      </c>
    </row>
    <row r="96" spans="1:19" x14ac:dyDescent="0.2">
      <c r="A96" s="436"/>
      <c r="B96" s="460"/>
      <c r="C96" s="462"/>
      <c r="D96" s="438" t="s">
        <v>499</v>
      </c>
      <c r="E96" s="458">
        <v>7118</v>
      </c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40">
        <f t="shared" si="1"/>
        <v>0</v>
      </c>
    </row>
    <row r="97" spans="1:20" x14ac:dyDescent="0.2">
      <c r="A97" s="540">
        <v>14</v>
      </c>
      <c r="B97" s="531" t="s">
        <v>521</v>
      </c>
      <c r="C97" s="531" t="s">
        <v>611</v>
      </c>
      <c r="D97" s="429" t="s">
        <v>493</v>
      </c>
      <c r="E97" s="430">
        <v>511</v>
      </c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1"/>
      <c r="Q97" s="441"/>
      <c r="R97" s="442">
        <f t="shared" si="1"/>
        <v>0</v>
      </c>
      <c r="S97" s="461"/>
      <c r="T97" s="461"/>
    </row>
    <row r="98" spans="1:20" x14ac:dyDescent="0.2">
      <c r="A98" s="436"/>
      <c r="B98" s="448"/>
      <c r="C98" s="448"/>
      <c r="D98" s="449" t="s">
        <v>502</v>
      </c>
      <c r="E98" s="455">
        <v>511</v>
      </c>
      <c r="F98" s="433"/>
      <c r="G98" s="433"/>
      <c r="H98" s="433"/>
      <c r="I98" s="433"/>
      <c r="J98" s="433"/>
      <c r="K98" s="433"/>
      <c r="L98" s="433"/>
      <c r="M98" s="433"/>
      <c r="N98" s="433"/>
      <c r="O98" s="433"/>
      <c r="P98" s="433"/>
      <c r="Q98" s="433"/>
      <c r="R98" s="413">
        <f t="shared" si="1"/>
        <v>0</v>
      </c>
    </row>
    <row r="99" spans="1:20" x14ac:dyDescent="0.2">
      <c r="A99" s="436"/>
      <c r="B99" s="448"/>
      <c r="C99" s="448"/>
      <c r="D99" s="421" t="s">
        <v>494</v>
      </c>
      <c r="E99" s="455">
        <v>511</v>
      </c>
      <c r="F99" s="433"/>
      <c r="G99" s="433"/>
      <c r="H99" s="433"/>
      <c r="I99" s="433"/>
      <c r="J99" s="433"/>
      <c r="K99" s="433"/>
      <c r="L99" s="433"/>
      <c r="M99" s="433"/>
      <c r="N99" s="433"/>
      <c r="O99" s="433"/>
      <c r="P99" s="433"/>
      <c r="Q99" s="433"/>
      <c r="R99" s="413">
        <f t="shared" si="1"/>
        <v>0</v>
      </c>
    </row>
    <row r="100" spans="1:20" x14ac:dyDescent="0.2">
      <c r="A100" s="436"/>
      <c r="B100" s="448"/>
      <c r="C100" s="448"/>
      <c r="D100" s="449" t="s">
        <v>499</v>
      </c>
      <c r="E100" s="458">
        <v>7118</v>
      </c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40">
        <f t="shared" si="1"/>
        <v>0</v>
      </c>
    </row>
    <row r="101" spans="1:20" x14ac:dyDescent="0.2">
      <c r="A101" s="540">
        <v>15</v>
      </c>
      <c r="B101" s="531" t="s">
        <v>522</v>
      </c>
      <c r="C101" s="531" t="s">
        <v>612</v>
      </c>
      <c r="D101" s="429" t="s">
        <v>493</v>
      </c>
      <c r="E101" s="430">
        <v>511</v>
      </c>
      <c r="F101" s="441"/>
      <c r="G101" s="441"/>
      <c r="H101" s="441"/>
      <c r="I101" s="441"/>
      <c r="J101" s="441"/>
      <c r="K101" s="441"/>
      <c r="L101" s="441"/>
      <c r="M101" s="441"/>
      <c r="N101" s="441"/>
      <c r="O101" s="441"/>
      <c r="P101" s="441"/>
      <c r="Q101" s="441"/>
      <c r="R101" s="442">
        <f t="shared" si="1"/>
        <v>0</v>
      </c>
    </row>
    <row r="102" spans="1:20" x14ac:dyDescent="0.2">
      <c r="A102" s="436"/>
      <c r="B102" s="448"/>
      <c r="C102" s="448"/>
      <c r="D102" s="449" t="s">
        <v>502</v>
      </c>
      <c r="E102" s="455">
        <v>511</v>
      </c>
      <c r="F102" s="433"/>
      <c r="G102" s="433"/>
      <c r="H102" s="433"/>
      <c r="I102" s="433"/>
      <c r="J102" s="433"/>
      <c r="K102" s="433"/>
      <c r="L102" s="433"/>
      <c r="M102" s="433"/>
      <c r="N102" s="433"/>
      <c r="O102" s="433"/>
      <c r="P102" s="433"/>
      <c r="Q102" s="433"/>
      <c r="R102" s="413">
        <f t="shared" si="1"/>
        <v>0</v>
      </c>
    </row>
    <row r="103" spans="1:20" x14ac:dyDescent="0.2">
      <c r="A103" s="436"/>
      <c r="B103" s="448"/>
      <c r="C103" s="448"/>
      <c r="D103" s="449" t="s">
        <v>499</v>
      </c>
      <c r="E103" s="455">
        <v>511</v>
      </c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40">
        <f t="shared" si="1"/>
        <v>0</v>
      </c>
    </row>
    <row r="104" spans="1:20" x14ac:dyDescent="0.2">
      <c r="A104" s="459">
        <v>16</v>
      </c>
      <c r="B104" s="531" t="s">
        <v>523</v>
      </c>
      <c r="C104" s="531" t="s">
        <v>613</v>
      </c>
      <c r="D104" s="429" t="s">
        <v>493</v>
      </c>
      <c r="E104" s="457">
        <v>511</v>
      </c>
      <c r="F104" s="441"/>
      <c r="G104" s="441"/>
      <c r="H104" s="441"/>
      <c r="I104" s="441"/>
      <c r="J104" s="441"/>
      <c r="K104" s="441"/>
      <c r="L104" s="441"/>
      <c r="M104" s="441"/>
      <c r="N104" s="441"/>
      <c r="O104" s="441"/>
      <c r="P104" s="441"/>
      <c r="Q104" s="441"/>
      <c r="R104" s="442">
        <f t="shared" si="1"/>
        <v>0</v>
      </c>
    </row>
    <row r="105" spans="1:20" x14ac:dyDescent="0.2">
      <c r="A105" s="436"/>
      <c r="B105" s="446"/>
      <c r="C105" s="451"/>
      <c r="D105" s="435" t="s">
        <v>502</v>
      </c>
      <c r="E105" s="455">
        <v>511</v>
      </c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  <c r="Q105" s="433"/>
      <c r="R105" s="413">
        <f t="shared" si="1"/>
        <v>0</v>
      </c>
    </row>
    <row r="106" spans="1:20" x14ac:dyDescent="0.2">
      <c r="A106" s="436"/>
      <c r="B106" s="462"/>
      <c r="C106" s="534"/>
      <c r="D106" s="438" t="s">
        <v>499</v>
      </c>
      <c r="E106" s="463">
        <v>7118</v>
      </c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40">
        <f t="shared" si="1"/>
        <v>0</v>
      </c>
    </row>
    <row r="107" spans="1:20" x14ac:dyDescent="0.2">
      <c r="A107" s="540">
        <v>17</v>
      </c>
      <c r="B107" s="531" t="s">
        <v>524</v>
      </c>
      <c r="C107" s="531" t="s">
        <v>614</v>
      </c>
      <c r="D107" s="429" t="s">
        <v>493</v>
      </c>
      <c r="E107" s="430">
        <v>511</v>
      </c>
      <c r="F107" s="441"/>
      <c r="G107" s="441"/>
      <c r="H107" s="441"/>
      <c r="I107" s="441"/>
      <c r="J107" s="441"/>
      <c r="K107" s="441"/>
      <c r="L107" s="441"/>
      <c r="M107" s="441"/>
      <c r="N107" s="441"/>
      <c r="O107" s="441"/>
      <c r="P107" s="441"/>
      <c r="Q107" s="441"/>
      <c r="R107" s="442">
        <f t="shared" si="1"/>
        <v>0</v>
      </c>
    </row>
    <row r="108" spans="1:20" x14ac:dyDescent="0.2">
      <c r="A108" s="436"/>
      <c r="B108" s="448"/>
      <c r="C108" s="448"/>
      <c r="D108" s="449" t="s">
        <v>502</v>
      </c>
      <c r="E108" s="455">
        <v>511</v>
      </c>
      <c r="F108" s="433"/>
      <c r="G108" s="433"/>
      <c r="H108" s="433"/>
      <c r="I108" s="433"/>
      <c r="J108" s="433"/>
      <c r="K108" s="433"/>
      <c r="L108" s="433"/>
      <c r="M108" s="433"/>
      <c r="N108" s="433"/>
      <c r="O108" s="433"/>
      <c r="P108" s="433"/>
      <c r="Q108" s="433"/>
      <c r="R108" s="413">
        <f t="shared" si="1"/>
        <v>0</v>
      </c>
    </row>
    <row r="109" spans="1:20" x14ac:dyDescent="0.2">
      <c r="A109" s="436"/>
      <c r="B109" s="448"/>
      <c r="C109" s="448"/>
      <c r="D109" s="421" t="s">
        <v>494</v>
      </c>
      <c r="E109" s="455">
        <v>511</v>
      </c>
      <c r="F109" s="433"/>
      <c r="G109" s="433"/>
      <c r="H109" s="433"/>
      <c r="I109" s="433"/>
      <c r="J109" s="433"/>
      <c r="K109" s="433"/>
      <c r="L109" s="433"/>
      <c r="M109" s="433"/>
      <c r="N109" s="433"/>
      <c r="O109" s="433"/>
      <c r="P109" s="433"/>
      <c r="Q109" s="433"/>
      <c r="R109" s="413">
        <f t="shared" si="1"/>
        <v>0</v>
      </c>
    </row>
    <row r="110" spans="1:20" x14ac:dyDescent="0.2">
      <c r="A110" s="436"/>
      <c r="B110" s="448"/>
      <c r="C110" s="448"/>
      <c r="D110" s="449" t="s">
        <v>499</v>
      </c>
      <c r="E110" s="463">
        <v>7118</v>
      </c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40">
        <f t="shared" si="1"/>
        <v>0</v>
      </c>
    </row>
    <row r="111" spans="1:20" x14ac:dyDescent="0.2">
      <c r="A111" s="540">
        <v>18</v>
      </c>
      <c r="B111" s="531" t="s">
        <v>525</v>
      </c>
      <c r="C111" s="531" t="s">
        <v>615</v>
      </c>
      <c r="D111" s="429" t="s">
        <v>493</v>
      </c>
      <c r="E111" s="430">
        <v>511</v>
      </c>
      <c r="F111" s="441"/>
      <c r="G111" s="441"/>
      <c r="H111" s="441"/>
      <c r="I111" s="441"/>
      <c r="J111" s="441"/>
      <c r="K111" s="441"/>
      <c r="L111" s="441"/>
      <c r="M111" s="441"/>
      <c r="N111" s="441"/>
      <c r="O111" s="441"/>
      <c r="P111" s="441"/>
      <c r="Q111" s="441"/>
      <c r="R111" s="442">
        <f t="shared" si="1"/>
        <v>0</v>
      </c>
    </row>
    <row r="112" spans="1:20" x14ac:dyDescent="0.2">
      <c r="A112" s="436"/>
      <c r="B112" s="448"/>
      <c r="C112" s="448"/>
      <c r="D112" s="449" t="s">
        <v>502</v>
      </c>
      <c r="E112" s="455">
        <v>511</v>
      </c>
      <c r="F112" s="433"/>
      <c r="G112" s="433"/>
      <c r="H112" s="433"/>
      <c r="I112" s="433"/>
      <c r="J112" s="433"/>
      <c r="K112" s="433"/>
      <c r="L112" s="433"/>
      <c r="M112" s="433"/>
      <c r="N112" s="433"/>
      <c r="O112" s="433"/>
      <c r="P112" s="433"/>
      <c r="Q112" s="433"/>
      <c r="R112" s="413">
        <f t="shared" si="1"/>
        <v>0</v>
      </c>
    </row>
    <row r="113" spans="1:19" x14ac:dyDescent="0.2">
      <c r="A113" s="436"/>
      <c r="B113" s="448"/>
      <c r="C113" s="448"/>
      <c r="D113" s="421" t="s">
        <v>494</v>
      </c>
      <c r="E113" s="455">
        <v>511</v>
      </c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413">
        <f t="shared" si="1"/>
        <v>0</v>
      </c>
    </row>
    <row r="114" spans="1:19" x14ac:dyDescent="0.2">
      <c r="A114" s="436"/>
      <c r="B114" s="448"/>
      <c r="C114" s="448"/>
      <c r="D114" s="449" t="s">
        <v>499</v>
      </c>
      <c r="E114" s="464">
        <v>7118</v>
      </c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40">
        <f t="shared" si="1"/>
        <v>0</v>
      </c>
    </row>
    <row r="115" spans="1:19" x14ac:dyDescent="0.2">
      <c r="A115" s="540">
        <v>19</v>
      </c>
      <c r="B115" s="531" t="s">
        <v>616</v>
      </c>
      <c r="C115" s="531" t="s">
        <v>617</v>
      </c>
      <c r="D115" s="429" t="s">
        <v>493</v>
      </c>
      <c r="E115" s="430">
        <v>511</v>
      </c>
      <c r="F115" s="441"/>
      <c r="G115" s="441"/>
      <c r="H115" s="441"/>
      <c r="I115" s="441"/>
      <c r="J115" s="441"/>
      <c r="K115" s="441"/>
      <c r="L115" s="441"/>
      <c r="M115" s="441"/>
      <c r="N115" s="441"/>
      <c r="O115" s="441"/>
      <c r="P115" s="441"/>
      <c r="Q115" s="441"/>
      <c r="R115" s="442">
        <f t="shared" si="1"/>
        <v>0</v>
      </c>
      <c r="S115" s="445"/>
    </row>
    <row r="116" spans="1:19" x14ac:dyDescent="0.2">
      <c r="A116" s="436"/>
      <c r="B116" s="446"/>
      <c r="C116" s="446"/>
      <c r="D116" s="421" t="s">
        <v>502</v>
      </c>
      <c r="E116" s="455">
        <v>511</v>
      </c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413">
        <f t="shared" si="1"/>
        <v>0</v>
      </c>
    </row>
    <row r="117" spans="1:19" x14ac:dyDescent="0.2">
      <c r="A117" s="436"/>
      <c r="B117" s="462"/>
      <c r="C117" s="462"/>
      <c r="D117" s="465" t="s">
        <v>499</v>
      </c>
      <c r="E117" s="455">
        <v>511</v>
      </c>
      <c r="F117" s="466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40">
        <f t="shared" si="1"/>
        <v>0</v>
      </c>
    </row>
    <row r="118" spans="1:19" x14ac:dyDescent="0.2">
      <c r="A118" s="459">
        <v>20</v>
      </c>
      <c r="B118" s="531" t="s">
        <v>526</v>
      </c>
      <c r="C118" s="531" t="s">
        <v>618</v>
      </c>
      <c r="D118" s="429" t="s">
        <v>493</v>
      </c>
      <c r="E118" s="467">
        <v>511</v>
      </c>
      <c r="F118" s="444"/>
      <c r="G118" s="441"/>
      <c r="H118" s="441"/>
      <c r="I118" s="441"/>
      <c r="J118" s="441"/>
      <c r="K118" s="441"/>
      <c r="L118" s="441"/>
      <c r="M118" s="441"/>
      <c r="N118" s="441"/>
      <c r="O118" s="441"/>
      <c r="P118" s="441"/>
      <c r="Q118" s="441"/>
      <c r="R118" s="442">
        <f t="shared" si="1"/>
        <v>0</v>
      </c>
    </row>
    <row r="119" spans="1:19" x14ac:dyDescent="0.2">
      <c r="A119" s="436"/>
      <c r="B119" s="446"/>
      <c r="C119" s="446"/>
      <c r="D119" s="421" t="s">
        <v>502</v>
      </c>
      <c r="E119" s="464">
        <v>511</v>
      </c>
      <c r="F119" s="432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13">
        <f t="shared" si="1"/>
        <v>0</v>
      </c>
    </row>
    <row r="120" spans="1:19" x14ac:dyDescent="0.2">
      <c r="A120" s="436"/>
      <c r="B120" s="462"/>
      <c r="C120" s="462"/>
      <c r="D120" s="465" t="s">
        <v>499</v>
      </c>
      <c r="E120" s="464">
        <v>7118</v>
      </c>
      <c r="F120" s="466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40">
        <f t="shared" si="1"/>
        <v>0</v>
      </c>
    </row>
    <row r="121" spans="1:19" x14ac:dyDescent="0.2">
      <c r="A121" s="459">
        <v>21</v>
      </c>
      <c r="B121" s="531" t="s">
        <v>527</v>
      </c>
      <c r="C121" s="531" t="s">
        <v>619</v>
      </c>
      <c r="D121" s="429" t="s">
        <v>493</v>
      </c>
      <c r="E121" s="457">
        <v>511</v>
      </c>
      <c r="F121" s="441"/>
      <c r="G121" s="441"/>
      <c r="H121" s="441"/>
      <c r="I121" s="441"/>
      <c r="J121" s="441"/>
      <c r="K121" s="441"/>
      <c r="L121" s="441"/>
      <c r="M121" s="441"/>
      <c r="N121" s="441"/>
      <c r="O121" s="441"/>
      <c r="P121" s="441"/>
      <c r="Q121" s="441"/>
      <c r="R121" s="442">
        <f t="shared" si="1"/>
        <v>0</v>
      </c>
    </row>
    <row r="122" spans="1:19" x14ac:dyDescent="0.2">
      <c r="A122" s="434"/>
      <c r="B122" s="446"/>
      <c r="C122" s="446"/>
      <c r="D122" s="421" t="s">
        <v>502</v>
      </c>
      <c r="E122" s="422">
        <v>511</v>
      </c>
      <c r="F122" s="433"/>
      <c r="G122" s="433"/>
      <c r="H122" s="433"/>
      <c r="I122" s="433"/>
      <c r="J122" s="433"/>
      <c r="K122" s="433"/>
      <c r="L122" s="433"/>
      <c r="M122" s="433"/>
      <c r="N122" s="433"/>
      <c r="O122" s="433"/>
      <c r="P122" s="433"/>
      <c r="Q122" s="433"/>
      <c r="R122" s="454">
        <f t="shared" si="1"/>
        <v>0</v>
      </c>
    </row>
    <row r="123" spans="1:19" x14ac:dyDescent="0.2">
      <c r="A123" s="423"/>
      <c r="B123" s="462"/>
      <c r="C123" s="462"/>
      <c r="D123" s="465" t="s">
        <v>499</v>
      </c>
      <c r="E123" s="463">
        <v>7118</v>
      </c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8">
        <f t="shared" si="1"/>
        <v>0</v>
      </c>
    </row>
    <row r="124" spans="1:19" x14ac:dyDescent="0.2">
      <c r="A124" s="540">
        <v>22</v>
      </c>
      <c r="B124" s="531" t="s">
        <v>528</v>
      </c>
      <c r="C124" s="531" t="s">
        <v>620</v>
      </c>
      <c r="D124" s="429" t="s">
        <v>493</v>
      </c>
      <c r="E124" s="430">
        <v>511</v>
      </c>
      <c r="F124" s="441"/>
      <c r="G124" s="441"/>
      <c r="H124" s="441"/>
      <c r="I124" s="441"/>
      <c r="J124" s="441"/>
      <c r="K124" s="441"/>
      <c r="L124" s="441"/>
      <c r="M124" s="441"/>
      <c r="N124" s="441"/>
      <c r="O124" s="441"/>
      <c r="P124" s="441"/>
      <c r="Q124" s="441"/>
      <c r="R124" s="442">
        <f t="shared" si="1"/>
        <v>0</v>
      </c>
    </row>
    <row r="125" spans="1:19" x14ac:dyDescent="0.2">
      <c r="A125" s="434"/>
      <c r="B125" s="446"/>
      <c r="C125" s="446"/>
      <c r="D125" s="421" t="s">
        <v>502</v>
      </c>
      <c r="E125" s="455">
        <v>511</v>
      </c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54">
        <f t="shared" si="1"/>
        <v>0</v>
      </c>
    </row>
    <row r="126" spans="1:19" x14ac:dyDescent="0.2">
      <c r="A126" s="468"/>
      <c r="B126" s="469"/>
      <c r="C126" s="469"/>
      <c r="D126" s="469" t="s">
        <v>499</v>
      </c>
      <c r="E126" s="464">
        <v>7118</v>
      </c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428">
        <f t="shared" si="1"/>
        <v>0</v>
      </c>
    </row>
    <row r="127" spans="1:19" x14ac:dyDescent="0.2">
      <c r="A127" s="470" t="s">
        <v>529</v>
      </c>
      <c r="B127" s="403" t="s">
        <v>530</v>
      </c>
      <c r="C127" s="403"/>
      <c r="D127" s="403"/>
      <c r="E127" s="403"/>
      <c r="F127" s="471"/>
      <c r="G127" s="472"/>
      <c r="H127" s="472"/>
      <c r="I127" s="472"/>
      <c r="J127" s="472"/>
      <c r="K127" s="472"/>
      <c r="L127" s="472"/>
      <c r="M127" s="472"/>
      <c r="N127" s="472"/>
      <c r="O127" s="472"/>
      <c r="P127" s="472"/>
      <c r="Q127" s="472"/>
      <c r="R127" s="472"/>
    </row>
    <row r="128" spans="1:19" x14ac:dyDescent="0.2">
      <c r="A128" s="407">
        <v>1</v>
      </c>
      <c r="B128" s="408" t="s">
        <v>492</v>
      </c>
      <c r="C128" s="408" t="s">
        <v>597</v>
      </c>
      <c r="D128" s="415" t="s">
        <v>531</v>
      </c>
      <c r="E128" s="410">
        <v>641</v>
      </c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413">
        <f t="shared" ref="R128:R199" si="2">SUM(F128:Q128)</f>
        <v>0</v>
      </c>
      <c r="S128" s="445"/>
    </row>
    <row r="129" spans="1:18" x14ac:dyDescent="0.2">
      <c r="A129" s="434"/>
      <c r="B129" s="523"/>
      <c r="C129" s="541"/>
      <c r="D129" s="418"/>
      <c r="E129" s="410">
        <v>642</v>
      </c>
      <c r="F129" s="433"/>
      <c r="G129" s="433"/>
      <c r="H129" s="433"/>
      <c r="I129" s="433"/>
      <c r="J129" s="433"/>
      <c r="K129" s="433"/>
      <c r="L129" s="433"/>
      <c r="M129" s="433"/>
      <c r="N129" s="433"/>
      <c r="O129" s="433"/>
      <c r="P129" s="433"/>
      <c r="Q129" s="433"/>
      <c r="R129" s="413">
        <f t="shared" si="2"/>
        <v>0</v>
      </c>
    </row>
    <row r="130" spans="1:18" x14ac:dyDescent="0.2">
      <c r="A130" s="434"/>
      <c r="B130" s="523"/>
      <c r="C130" s="541"/>
      <c r="D130" s="418"/>
      <c r="E130" s="410">
        <v>627</v>
      </c>
      <c r="F130" s="433"/>
      <c r="G130" s="433"/>
      <c r="H130" s="433"/>
      <c r="I130" s="433"/>
      <c r="J130" s="433"/>
      <c r="K130" s="433"/>
      <c r="L130" s="433"/>
      <c r="M130" s="433"/>
      <c r="N130" s="433"/>
      <c r="O130" s="433"/>
      <c r="P130" s="433"/>
      <c r="Q130" s="433"/>
      <c r="R130" s="413">
        <f t="shared" si="2"/>
        <v>0</v>
      </c>
    </row>
    <row r="131" spans="1:18" x14ac:dyDescent="0.2">
      <c r="A131" s="434"/>
      <c r="B131" s="523"/>
      <c r="C131" s="541"/>
      <c r="D131" s="418" t="s">
        <v>532</v>
      </c>
      <c r="E131" s="410">
        <v>211</v>
      </c>
      <c r="F131" s="433"/>
      <c r="G131" s="433"/>
      <c r="H131" s="433"/>
      <c r="I131" s="433"/>
      <c r="J131" s="433"/>
      <c r="K131" s="433"/>
      <c r="L131" s="433"/>
      <c r="M131" s="433"/>
      <c r="N131" s="433"/>
      <c r="O131" s="433"/>
      <c r="P131" s="433"/>
      <c r="Q131" s="433"/>
      <c r="R131" s="413">
        <f t="shared" si="2"/>
        <v>0</v>
      </c>
    </row>
    <row r="132" spans="1:18" x14ac:dyDescent="0.2">
      <c r="A132" s="434"/>
      <c r="B132" s="523"/>
      <c r="C132" s="541"/>
      <c r="D132" s="418" t="s">
        <v>533</v>
      </c>
      <c r="E132" s="410">
        <v>153</v>
      </c>
      <c r="F132" s="433"/>
      <c r="G132" s="433"/>
      <c r="H132" s="433"/>
      <c r="I132" s="433"/>
      <c r="J132" s="433"/>
      <c r="K132" s="433"/>
      <c r="L132" s="433"/>
      <c r="M132" s="433"/>
      <c r="N132" s="433"/>
      <c r="O132" s="433"/>
      <c r="P132" s="433"/>
      <c r="Q132" s="433"/>
      <c r="R132" s="413">
        <f t="shared" si="2"/>
        <v>0</v>
      </c>
    </row>
    <row r="133" spans="1:18" x14ac:dyDescent="0.2">
      <c r="A133" s="434"/>
      <c r="B133" s="523"/>
      <c r="C133" s="541"/>
      <c r="D133" s="418" t="s">
        <v>534</v>
      </c>
      <c r="E133" s="410">
        <v>642</v>
      </c>
      <c r="F133" s="433"/>
      <c r="G133" s="433"/>
      <c r="H133" s="433"/>
      <c r="I133" s="433"/>
      <c r="J133" s="433"/>
      <c r="K133" s="433"/>
      <c r="L133" s="433"/>
      <c r="M133" s="433"/>
      <c r="N133" s="433"/>
      <c r="O133" s="433"/>
      <c r="P133" s="433"/>
      <c r="Q133" s="433"/>
      <c r="R133" s="473">
        <f t="shared" si="2"/>
        <v>0</v>
      </c>
    </row>
    <row r="134" spans="1:18" x14ac:dyDescent="0.2">
      <c r="A134" s="423"/>
      <c r="B134" s="519"/>
      <c r="C134" s="519"/>
      <c r="D134" s="424" t="s">
        <v>535</v>
      </c>
      <c r="E134" s="474"/>
      <c r="F134" s="428"/>
      <c r="G134" s="424"/>
      <c r="H134" s="424"/>
      <c r="I134" s="424"/>
      <c r="J134" s="424"/>
      <c r="K134" s="424"/>
      <c r="L134" s="424"/>
      <c r="M134" s="424"/>
      <c r="N134" s="424"/>
      <c r="O134" s="424"/>
      <c r="P134" s="424"/>
      <c r="Q134" s="424"/>
      <c r="R134" s="475">
        <f t="shared" si="2"/>
        <v>0</v>
      </c>
    </row>
    <row r="135" spans="1:18" x14ac:dyDescent="0.2">
      <c r="A135" s="540">
        <v>2</v>
      </c>
      <c r="B135" s="531" t="s">
        <v>501</v>
      </c>
      <c r="C135" s="531" t="s">
        <v>598</v>
      </c>
      <c r="D135" s="429" t="s">
        <v>536</v>
      </c>
      <c r="E135" s="476">
        <v>1548</v>
      </c>
      <c r="F135" s="412"/>
      <c r="G135" s="412"/>
      <c r="H135" s="412"/>
      <c r="I135" s="412"/>
      <c r="J135" s="412"/>
      <c r="K135" s="412"/>
      <c r="L135" s="412"/>
      <c r="M135" s="412"/>
      <c r="N135" s="412"/>
      <c r="O135" s="412"/>
      <c r="P135" s="412"/>
      <c r="Q135" s="412"/>
      <c r="R135" s="413">
        <f t="shared" si="2"/>
        <v>0</v>
      </c>
    </row>
    <row r="136" spans="1:18" x14ac:dyDescent="0.2">
      <c r="A136" s="407"/>
      <c r="B136" s="446"/>
      <c r="C136" s="446"/>
      <c r="D136" s="421" t="s">
        <v>537</v>
      </c>
      <c r="E136" s="476">
        <v>152</v>
      </c>
      <c r="F136" s="412"/>
      <c r="G136" s="412"/>
      <c r="H136" s="412"/>
      <c r="I136" s="412"/>
      <c r="J136" s="412"/>
      <c r="K136" s="412"/>
      <c r="L136" s="412"/>
      <c r="M136" s="412"/>
      <c r="N136" s="412"/>
      <c r="O136" s="412"/>
      <c r="P136" s="412"/>
      <c r="Q136" s="412"/>
      <c r="R136" s="413">
        <f t="shared" si="2"/>
        <v>0</v>
      </c>
    </row>
    <row r="137" spans="1:18" x14ac:dyDescent="0.2">
      <c r="A137" s="407"/>
      <c r="B137" s="446"/>
      <c r="C137" s="446"/>
      <c r="D137" s="421" t="s">
        <v>538</v>
      </c>
      <c r="E137" s="476" t="s">
        <v>539</v>
      </c>
      <c r="F137" s="412"/>
      <c r="G137" s="412"/>
      <c r="H137" s="412"/>
      <c r="I137" s="412"/>
      <c r="J137" s="412"/>
      <c r="K137" s="412"/>
      <c r="L137" s="412"/>
      <c r="M137" s="412"/>
      <c r="N137" s="412"/>
      <c r="O137" s="412"/>
      <c r="P137" s="412"/>
      <c r="Q137" s="412"/>
      <c r="R137" s="413">
        <f t="shared" si="2"/>
        <v>0</v>
      </c>
    </row>
    <row r="138" spans="1:18" x14ac:dyDescent="0.2">
      <c r="A138" s="434"/>
      <c r="B138" s="446"/>
      <c r="C138" s="446"/>
      <c r="D138" s="421" t="s">
        <v>540</v>
      </c>
      <c r="E138" s="477">
        <v>641</v>
      </c>
      <c r="F138" s="412"/>
      <c r="G138" s="412"/>
      <c r="H138" s="412"/>
      <c r="I138" s="412"/>
      <c r="J138" s="412"/>
      <c r="K138" s="412"/>
      <c r="L138" s="412"/>
      <c r="M138" s="412"/>
      <c r="N138" s="412"/>
      <c r="O138" s="412"/>
      <c r="P138" s="412"/>
      <c r="Q138" s="412"/>
      <c r="R138" s="413">
        <f t="shared" si="2"/>
        <v>0</v>
      </c>
    </row>
    <row r="139" spans="1:18" x14ac:dyDescent="0.2">
      <c r="A139" s="434"/>
      <c r="B139" s="446"/>
      <c r="C139" s="446"/>
      <c r="D139" s="421" t="s">
        <v>532</v>
      </c>
      <c r="E139" s="477">
        <v>211</v>
      </c>
      <c r="F139" s="412"/>
      <c r="G139" s="412"/>
      <c r="H139" s="412"/>
      <c r="I139" s="412"/>
      <c r="J139" s="412"/>
      <c r="K139" s="412"/>
      <c r="L139" s="412"/>
      <c r="M139" s="412"/>
      <c r="N139" s="412"/>
      <c r="O139" s="412"/>
      <c r="P139" s="412"/>
      <c r="Q139" s="412"/>
      <c r="R139" s="413">
        <f t="shared" si="2"/>
        <v>0</v>
      </c>
    </row>
    <row r="140" spans="1:18" x14ac:dyDescent="0.2">
      <c r="A140" s="436"/>
      <c r="B140" s="448"/>
      <c r="C140" s="448"/>
      <c r="D140" s="449" t="s">
        <v>535</v>
      </c>
      <c r="E140" s="464"/>
      <c r="F140" s="478"/>
      <c r="G140" s="478"/>
      <c r="H140" s="478"/>
      <c r="I140" s="478"/>
      <c r="J140" s="478"/>
      <c r="K140" s="478"/>
      <c r="L140" s="478"/>
      <c r="M140" s="478"/>
      <c r="N140" s="478"/>
      <c r="O140" s="478"/>
      <c r="P140" s="478"/>
      <c r="Q140" s="478"/>
      <c r="R140" s="440">
        <f t="shared" si="2"/>
        <v>0</v>
      </c>
    </row>
    <row r="141" spans="1:18" x14ac:dyDescent="0.2">
      <c r="A141" s="540">
        <v>3</v>
      </c>
      <c r="B141" s="531" t="s">
        <v>506</v>
      </c>
      <c r="C141" s="531" t="s">
        <v>599</v>
      </c>
      <c r="D141" s="429" t="s">
        <v>541</v>
      </c>
      <c r="E141" s="479" t="s">
        <v>539</v>
      </c>
      <c r="F141" s="444"/>
      <c r="G141" s="444"/>
      <c r="H141" s="444"/>
      <c r="I141" s="444"/>
      <c r="J141" s="444"/>
      <c r="K141" s="444"/>
      <c r="L141" s="444"/>
      <c r="M141" s="444"/>
      <c r="N141" s="444"/>
      <c r="O141" s="444"/>
      <c r="P141" s="444"/>
      <c r="Q141" s="444"/>
      <c r="R141" s="442">
        <f t="shared" si="2"/>
        <v>0</v>
      </c>
    </row>
    <row r="142" spans="1:18" x14ac:dyDescent="0.2">
      <c r="A142" s="434"/>
      <c r="B142" s="446"/>
      <c r="C142" s="446"/>
      <c r="D142" s="421" t="s">
        <v>537</v>
      </c>
      <c r="E142" s="476">
        <v>152</v>
      </c>
      <c r="F142" s="412"/>
      <c r="G142" s="412"/>
      <c r="H142" s="412"/>
      <c r="I142" s="412"/>
      <c r="J142" s="412"/>
      <c r="K142" s="412"/>
      <c r="L142" s="412"/>
      <c r="M142" s="412"/>
      <c r="N142" s="412"/>
      <c r="O142" s="412"/>
      <c r="P142" s="412"/>
      <c r="Q142" s="412"/>
      <c r="R142" s="413">
        <f t="shared" si="2"/>
        <v>0</v>
      </c>
    </row>
    <row r="143" spans="1:18" x14ac:dyDescent="0.2">
      <c r="A143" s="434"/>
      <c r="B143" s="446"/>
      <c r="C143" s="446"/>
      <c r="D143" s="421" t="s">
        <v>538</v>
      </c>
      <c r="E143" s="476" t="s">
        <v>539</v>
      </c>
      <c r="F143" s="412"/>
      <c r="G143" s="412"/>
      <c r="H143" s="412"/>
      <c r="I143" s="412"/>
      <c r="J143" s="412"/>
      <c r="K143" s="412"/>
      <c r="L143" s="412"/>
      <c r="M143" s="412"/>
      <c r="N143" s="412"/>
      <c r="O143" s="412"/>
      <c r="P143" s="412"/>
      <c r="Q143" s="412"/>
      <c r="R143" s="413">
        <f t="shared" si="2"/>
        <v>0</v>
      </c>
    </row>
    <row r="144" spans="1:18" x14ac:dyDescent="0.2">
      <c r="A144" s="434"/>
      <c r="B144" s="446"/>
      <c r="C144" s="446"/>
      <c r="D144" s="421" t="s">
        <v>532</v>
      </c>
      <c r="E144" s="477">
        <v>211</v>
      </c>
      <c r="F144" s="412"/>
      <c r="G144" s="412"/>
      <c r="H144" s="412"/>
      <c r="I144" s="412"/>
      <c r="J144" s="412"/>
      <c r="K144" s="412"/>
      <c r="L144" s="412"/>
      <c r="M144" s="412"/>
      <c r="N144" s="412"/>
      <c r="O144" s="412"/>
      <c r="P144" s="412"/>
      <c r="Q144" s="412"/>
      <c r="R144" s="413">
        <f t="shared" si="2"/>
        <v>0</v>
      </c>
    </row>
    <row r="145" spans="1:18" x14ac:dyDescent="0.2">
      <c r="A145" s="436"/>
      <c r="B145" s="448"/>
      <c r="C145" s="448"/>
      <c r="D145" s="449" t="s">
        <v>535</v>
      </c>
      <c r="E145" s="464"/>
      <c r="F145" s="478"/>
      <c r="G145" s="478"/>
      <c r="H145" s="478"/>
      <c r="I145" s="478"/>
      <c r="J145" s="478"/>
      <c r="K145" s="478"/>
      <c r="L145" s="478"/>
      <c r="M145" s="478"/>
      <c r="N145" s="478"/>
      <c r="O145" s="478"/>
      <c r="P145" s="478"/>
      <c r="Q145" s="478"/>
      <c r="R145" s="440">
        <f t="shared" si="2"/>
        <v>0</v>
      </c>
    </row>
    <row r="146" spans="1:18" x14ac:dyDescent="0.2">
      <c r="A146" s="540">
        <v>4</v>
      </c>
      <c r="B146" s="531" t="s">
        <v>508</v>
      </c>
      <c r="C146" s="531" t="s">
        <v>600</v>
      </c>
      <c r="D146" s="429" t="s">
        <v>541</v>
      </c>
      <c r="E146" s="479" t="s">
        <v>539</v>
      </c>
      <c r="F146" s="444"/>
      <c r="G146" s="444"/>
      <c r="H146" s="444"/>
      <c r="I146" s="444"/>
      <c r="J146" s="444"/>
      <c r="K146" s="444"/>
      <c r="L146" s="444"/>
      <c r="M146" s="444"/>
      <c r="N146" s="444"/>
      <c r="O146" s="444"/>
      <c r="P146" s="444"/>
      <c r="Q146" s="444"/>
      <c r="R146" s="442">
        <f t="shared" si="2"/>
        <v>0</v>
      </c>
    </row>
    <row r="147" spans="1:18" x14ac:dyDescent="0.2">
      <c r="A147" s="434"/>
      <c r="B147" s="446"/>
      <c r="C147" s="446"/>
      <c r="D147" s="421" t="s">
        <v>537</v>
      </c>
      <c r="E147" s="476">
        <v>152</v>
      </c>
      <c r="F147" s="412"/>
      <c r="G147" s="412"/>
      <c r="H147" s="412"/>
      <c r="I147" s="412"/>
      <c r="J147" s="412"/>
      <c r="K147" s="412"/>
      <c r="L147" s="412"/>
      <c r="M147" s="412"/>
      <c r="N147" s="412"/>
      <c r="O147" s="412"/>
      <c r="P147" s="412"/>
      <c r="Q147" s="412"/>
      <c r="R147" s="413">
        <f t="shared" si="2"/>
        <v>0</v>
      </c>
    </row>
    <row r="148" spans="1:18" x14ac:dyDescent="0.2">
      <c r="A148" s="434"/>
      <c r="B148" s="446"/>
      <c r="C148" s="446"/>
      <c r="D148" s="421" t="s">
        <v>538</v>
      </c>
      <c r="E148" s="476" t="s">
        <v>539</v>
      </c>
      <c r="F148" s="412"/>
      <c r="G148" s="412"/>
      <c r="H148" s="412"/>
      <c r="I148" s="412"/>
      <c r="J148" s="412"/>
      <c r="K148" s="412"/>
      <c r="L148" s="412"/>
      <c r="M148" s="412"/>
      <c r="N148" s="412"/>
      <c r="O148" s="412"/>
      <c r="P148" s="412"/>
      <c r="Q148" s="412"/>
      <c r="R148" s="413">
        <f t="shared" si="2"/>
        <v>0</v>
      </c>
    </row>
    <row r="149" spans="1:18" x14ac:dyDescent="0.2">
      <c r="A149" s="434"/>
      <c r="B149" s="446"/>
      <c r="C149" s="446"/>
      <c r="D149" s="421" t="s">
        <v>532</v>
      </c>
      <c r="E149" s="477">
        <v>211</v>
      </c>
      <c r="F149" s="412"/>
      <c r="G149" s="412"/>
      <c r="H149" s="412"/>
      <c r="I149" s="412"/>
      <c r="J149" s="412"/>
      <c r="K149" s="412"/>
      <c r="L149" s="412"/>
      <c r="M149" s="412"/>
      <c r="N149" s="412"/>
      <c r="O149" s="412"/>
      <c r="P149" s="412"/>
      <c r="Q149" s="412"/>
      <c r="R149" s="413">
        <f t="shared" si="2"/>
        <v>0</v>
      </c>
    </row>
    <row r="150" spans="1:18" x14ac:dyDescent="0.2">
      <c r="A150" s="434"/>
      <c r="B150" s="446"/>
      <c r="C150" s="446"/>
      <c r="D150" s="421" t="s">
        <v>535</v>
      </c>
      <c r="E150" s="477"/>
      <c r="F150" s="412"/>
      <c r="G150" s="412"/>
      <c r="H150" s="412"/>
      <c r="I150" s="412"/>
      <c r="J150" s="412"/>
      <c r="K150" s="412"/>
      <c r="L150" s="412"/>
      <c r="M150" s="412"/>
      <c r="N150" s="412"/>
      <c r="O150" s="412"/>
      <c r="P150" s="412"/>
      <c r="Q150" s="412"/>
      <c r="R150" s="413">
        <f t="shared" si="2"/>
        <v>0</v>
      </c>
    </row>
    <row r="151" spans="1:18" x14ac:dyDescent="0.2">
      <c r="A151" s="540">
        <v>5</v>
      </c>
      <c r="B151" s="531" t="s">
        <v>509</v>
      </c>
      <c r="C151" s="531" t="s">
        <v>601</v>
      </c>
      <c r="D151" s="429" t="s">
        <v>536</v>
      </c>
      <c r="E151" s="479">
        <v>1548</v>
      </c>
      <c r="F151" s="444"/>
      <c r="G151" s="444"/>
      <c r="H151" s="444"/>
      <c r="I151" s="444"/>
      <c r="J151" s="444"/>
      <c r="K151" s="444"/>
      <c r="L151" s="444"/>
      <c r="M151" s="444"/>
      <c r="N151" s="444"/>
      <c r="O151" s="444"/>
      <c r="P151" s="444"/>
      <c r="Q151" s="444"/>
      <c r="R151" s="442">
        <f t="shared" si="2"/>
        <v>0</v>
      </c>
    </row>
    <row r="152" spans="1:18" x14ac:dyDescent="0.2">
      <c r="A152" s="436"/>
      <c r="B152" s="448"/>
      <c r="C152" s="448"/>
      <c r="D152" s="449" t="s">
        <v>537</v>
      </c>
      <c r="E152" s="477"/>
      <c r="F152" s="412"/>
      <c r="G152" s="412"/>
      <c r="H152" s="412"/>
      <c r="I152" s="412"/>
      <c r="J152" s="412"/>
      <c r="K152" s="412"/>
      <c r="L152" s="412"/>
      <c r="M152" s="412"/>
      <c r="N152" s="412"/>
      <c r="O152" s="412"/>
      <c r="P152" s="412"/>
      <c r="Q152" s="412"/>
      <c r="R152" s="413">
        <f t="shared" si="2"/>
        <v>0</v>
      </c>
    </row>
    <row r="153" spans="1:18" x14ac:dyDescent="0.2">
      <c r="A153" s="436"/>
      <c r="B153" s="448"/>
      <c r="C153" s="448"/>
      <c r="D153" s="421" t="s">
        <v>542</v>
      </c>
      <c r="E153" s="477">
        <v>641</v>
      </c>
      <c r="F153" s="412"/>
      <c r="G153" s="412"/>
      <c r="H153" s="412"/>
      <c r="I153" s="412"/>
      <c r="J153" s="412"/>
      <c r="K153" s="412"/>
      <c r="L153" s="412"/>
      <c r="M153" s="412"/>
      <c r="N153" s="412"/>
      <c r="O153" s="412"/>
      <c r="P153" s="412"/>
      <c r="Q153" s="412"/>
      <c r="R153" s="413">
        <f t="shared" si="2"/>
        <v>0</v>
      </c>
    </row>
    <row r="154" spans="1:18" x14ac:dyDescent="0.2">
      <c r="A154" s="436"/>
      <c r="B154" s="448"/>
      <c r="C154" s="448"/>
      <c r="D154" s="449" t="s">
        <v>543</v>
      </c>
      <c r="E154" s="477">
        <v>627</v>
      </c>
      <c r="F154" s="412"/>
      <c r="G154" s="412"/>
      <c r="H154" s="412"/>
      <c r="I154" s="412"/>
      <c r="J154" s="412"/>
      <c r="K154" s="412"/>
      <c r="L154" s="412"/>
      <c r="M154" s="412"/>
      <c r="N154" s="412"/>
      <c r="O154" s="412"/>
      <c r="P154" s="412"/>
      <c r="Q154" s="412"/>
      <c r="R154" s="413">
        <f t="shared" si="2"/>
        <v>0</v>
      </c>
    </row>
    <row r="155" spans="1:18" x14ac:dyDescent="0.2">
      <c r="A155" s="436"/>
      <c r="B155" s="448"/>
      <c r="C155" s="448"/>
      <c r="D155" s="449" t="s">
        <v>535</v>
      </c>
      <c r="E155" s="464"/>
      <c r="F155" s="478"/>
      <c r="G155" s="478"/>
      <c r="H155" s="478"/>
      <c r="I155" s="478"/>
      <c r="J155" s="478"/>
      <c r="K155" s="478"/>
      <c r="L155" s="478"/>
      <c r="M155" s="478"/>
      <c r="N155" s="478"/>
      <c r="O155" s="478"/>
      <c r="P155" s="478"/>
      <c r="Q155" s="478"/>
      <c r="R155" s="440">
        <f t="shared" si="2"/>
        <v>0</v>
      </c>
    </row>
    <row r="156" spans="1:18" x14ac:dyDescent="0.2">
      <c r="A156" s="540">
        <v>6</v>
      </c>
      <c r="B156" s="531" t="s">
        <v>511</v>
      </c>
      <c r="C156" s="531" t="s">
        <v>602</v>
      </c>
      <c r="D156" s="429" t="s">
        <v>536</v>
      </c>
      <c r="E156" s="479">
        <v>1548</v>
      </c>
      <c r="F156" s="444"/>
      <c r="G156" s="444"/>
      <c r="H156" s="444"/>
      <c r="I156" s="444"/>
      <c r="J156" s="444"/>
      <c r="K156" s="444"/>
      <c r="L156" s="444"/>
      <c r="M156" s="444"/>
      <c r="N156" s="444"/>
      <c r="O156" s="444"/>
      <c r="P156" s="444"/>
      <c r="Q156" s="444"/>
      <c r="R156" s="442">
        <f t="shared" si="2"/>
        <v>0</v>
      </c>
    </row>
    <row r="157" spans="1:18" x14ac:dyDescent="0.2">
      <c r="A157" s="407"/>
      <c r="B157" s="446"/>
      <c r="C157" s="446"/>
      <c r="D157" s="421" t="s">
        <v>537</v>
      </c>
      <c r="E157" s="477">
        <v>152</v>
      </c>
      <c r="F157" s="412"/>
      <c r="G157" s="412"/>
      <c r="H157" s="412"/>
      <c r="I157" s="412"/>
      <c r="J157" s="412"/>
      <c r="K157" s="412"/>
      <c r="L157" s="412"/>
      <c r="M157" s="412"/>
      <c r="N157" s="412"/>
      <c r="O157" s="412"/>
      <c r="P157" s="412"/>
      <c r="Q157" s="412"/>
      <c r="R157" s="413">
        <f t="shared" si="2"/>
        <v>0</v>
      </c>
    </row>
    <row r="158" spans="1:18" x14ac:dyDescent="0.2">
      <c r="A158" s="407"/>
      <c r="B158" s="446"/>
      <c r="C158" s="446"/>
      <c r="D158" s="421" t="s">
        <v>538</v>
      </c>
      <c r="E158" s="476" t="s">
        <v>539</v>
      </c>
      <c r="F158" s="412"/>
      <c r="G158" s="412"/>
      <c r="H158" s="412"/>
      <c r="I158" s="412"/>
      <c r="J158" s="412"/>
      <c r="K158" s="412"/>
      <c r="L158" s="412"/>
      <c r="M158" s="412"/>
      <c r="N158" s="412"/>
      <c r="O158" s="412"/>
      <c r="P158" s="412"/>
      <c r="Q158" s="412"/>
      <c r="R158" s="413">
        <f t="shared" si="2"/>
        <v>0</v>
      </c>
    </row>
    <row r="159" spans="1:18" x14ac:dyDescent="0.2">
      <c r="A159" s="407"/>
      <c r="B159" s="446"/>
      <c r="C159" s="446"/>
      <c r="D159" s="421" t="s">
        <v>543</v>
      </c>
      <c r="E159" s="477">
        <v>627</v>
      </c>
      <c r="F159" s="412"/>
      <c r="G159" s="412"/>
      <c r="H159" s="412"/>
      <c r="I159" s="412"/>
      <c r="J159" s="412"/>
      <c r="K159" s="412"/>
      <c r="L159" s="412"/>
      <c r="M159" s="412"/>
      <c r="N159" s="412"/>
      <c r="O159" s="412"/>
      <c r="P159" s="412"/>
      <c r="Q159" s="412"/>
      <c r="R159" s="413">
        <f t="shared" si="2"/>
        <v>0</v>
      </c>
    </row>
    <row r="160" spans="1:18" x14ac:dyDescent="0.2">
      <c r="A160" s="407"/>
      <c r="B160" s="446"/>
      <c r="C160" s="446"/>
      <c r="D160" s="421" t="s">
        <v>533</v>
      </c>
      <c r="E160" s="477">
        <v>153</v>
      </c>
      <c r="F160" s="412"/>
      <c r="G160" s="412"/>
      <c r="H160" s="412"/>
      <c r="I160" s="412"/>
      <c r="J160" s="412"/>
      <c r="K160" s="412"/>
      <c r="L160" s="412"/>
      <c r="M160" s="412"/>
      <c r="N160" s="412"/>
      <c r="O160" s="412"/>
      <c r="P160" s="412"/>
      <c r="Q160" s="412"/>
      <c r="R160" s="413">
        <f t="shared" si="2"/>
        <v>0</v>
      </c>
    </row>
    <row r="161" spans="1:18" x14ac:dyDescent="0.2">
      <c r="A161" s="407"/>
      <c r="B161" s="446"/>
      <c r="C161" s="446"/>
      <c r="D161" s="421" t="s">
        <v>532</v>
      </c>
      <c r="E161" s="477">
        <v>211</v>
      </c>
      <c r="F161" s="412"/>
      <c r="G161" s="412"/>
      <c r="H161" s="412"/>
      <c r="I161" s="412"/>
      <c r="J161" s="412"/>
      <c r="K161" s="412"/>
      <c r="L161" s="412"/>
      <c r="M161" s="412"/>
      <c r="N161" s="412"/>
      <c r="O161" s="412"/>
      <c r="P161" s="412"/>
      <c r="Q161" s="412"/>
      <c r="R161" s="413">
        <f t="shared" si="2"/>
        <v>0</v>
      </c>
    </row>
    <row r="162" spans="1:18" x14ac:dyDescent="0.2">
      <c r="A162" s="407"/>
      <c r="B162" s="446"/>
      <c r="C162" s="451"/>
      <c r="D162" s="435" t="s">
        <v>496</v>
      </c>
      <c r="E162" s="476">
        <v>635</v>
      </c>
      <c r="F162" s="412"/>
      <c r="G162" s="412"/>
      <c r="H162" s="412"/>
      <c r="I162" s="412"/>
      <c r="J162" s="412"/>
      <c r="K162" s="412"/>
      <c r="L162" s="412"/>
      <c r="M162" s="412"/>
      <c r="N162" s="412"/>
      <c r="O162" s="412"/>
      <c r="P162" s="412"/>
      <c r="Q162" s="412"/>
      <c r="R162" s="413">
        <f t="shared" si="2"/>
        <v>0</v>
      </c>
    </row>
    <row r="163" spans="1:18" x14ac:dyDescent="0.2">
      <c r="A163" s="436"/>
      <c r="B163" s="541"/>
      <c r="C163" s="541"/>
      <c r="D163" s="418" t="s">
        <v>535</v>
      </c>
      <c r="E163" s="418"/>
      <c r="F163" s="478"/>
      <c r="G163" s="478"/>
      <c r="H163" s="478"/>
      <c r="I163" s="478"/>
      <c r="J163" s="478"/>
      <c r="K163" s="478"/>
      <c r="L163" s="478"/>
      <c r="M163" s="478"/>
      <c r="N163" s="478"/>
      <c r="O163" s="478"/>
      <c r="P163" s="478"/>
      <c r="Q163" s="478"/>
      <c r="R163" s="440">
        <f t="shared" si="2"/>
        <v>0</v>
      </c>
    </row>
    <row r="164" spans="1:18" x14ac:dyDescent="0.2">
      <c r="A164" s="540">
        <v>7</v>
      </c>
      <c r="B164" s="531" t="s">
        <v>603</v>
      </c>
      <c r="C164" s="531" t="s">
        <v>604</v>
      </c>
      <c r="D164" s="480" t="s">
        <v>536</v>
      </c>
      <c r="E164" s="481">
        <v>1548</v>
      </c>
      <c r="F164" s="444"/>
      <c r="G164" s="444"/>
      <c r="H164" s="444"/>
      <c r="I164" s="444"/>
      <c r="J164" s="444"/>
      <c r="K164" s="444"/>
      <c r="L164" s="444"/>
      <c r="M164" s="444"/>
      <c r="N164" s="444"/>
      <c r="O164" s="444"/>
      <c r="P164" s="444"/>
      <c r="Q164" s="444"/>
      <c r="R164" s="442">
        <f t="shared" si="2"/>
        <v>0</v>
      </c>
    </row>
    <row r="165" spans="1:18" x14ac:dyDescent="0.2">
      <c r="A165" s="434"/>
      <c r="B165" s="523"/>
      <c r="C165" s="523"/>
      <c r="D165" s="415" t="s">
        <v>537</v>
      </c>
      <c r="E165" s="419">
        <v>152</v>
      </c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54">
        <f t="shared" si="2"/>
        <v>0</v>
      </c>
    </row>
    <row r="166" spans="1:18" x14ac:dyDescent="0.2">
      <c r="A166" s="434"/>
      <c r="B166" s="523"/>
      <c r="C166" s="523"/>
      <c r="D166" s="415" t="s">
        <v>538</v>
      </c>
      <c r="E166" s="419" t="s">
        <v>539</v>
      </c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54">
        <f t="shared" si="2"/>
        <v>0</v>
      </c>
    </row>
    <row r="167" spans="1:18" x14ac:dyDescent="0.2">
      <c r="A167" s="434"/>
      <c r="B167" s="523"/>
      <c r="C167" s="523"/>
      <c r="D167" s="415" t="s">
        <v>543</v>
      </c>
      <c r="E167" s="419">
        <v>627</v>
      </c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54">
        <f t="shared" si="2"/>
        <v>0</v>
      </c>
    </row>
    <row r="168" spans="1:18" x14ac:dyDescent="0.2">
      <c r="A168" s="434"/>
      <c r="B168" s="523"/>
      <c r="C168" s="523"/>
      <c r="D168" s="415" t="s">
        <v>533</v>
      </c>
      <c r="E168" s="419">
        <v>153</v>
      </c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54">
        <f t="shared" si="2"/>
        <v>0</v>
      </c>
    </row>
    <row r="169" spans="1:18" x14ac:dyDescent="0.2">
      <c r="A169" s="434"/>
      <c r="B169" s="523"/>
      <c r="C169" s="523"/>
      <c r="D169" s="415" t="s">
        <v>532</v>
      </c>
      <c r="E169" s="419">
        <v>211</v>
      </c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54">
        <f t="shared" si="2"/>
        <v>0</v>
      </c>
    </row>
    <row r="170" spans="1:18" x14ac:dyDescent="0.2">
      <c r="A170" s="434"/>
      <c r="B170" s="523"/>
      <c r="C170" s="523"/>
      <c r="D170" s="415" t="s">
        <v>496</v>
      </c>
      <c r="E170" s="419">
        <v>635</v>
      </c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54">
        <f t="shared" si="2"/>
        <v>0</v>
      </c>
    </row>
    <row r="171" spans="1:18" x14ac:dyDescent="0.2">
      <c r="A171" s="423"/>
      <c r="B171" s="519"/>
      <c r="C171" s="519"/>
      <c r="D171" s="424" t="s">
        <v>535</v>
      </c>
      <c r="E171" s="474"/>
      <c r="F171" s="482"/>
      <c r="G171" s="482"/>
      <c r="H171" s="482"/>
      <c r="I171" s="482"/>
      <c r="J171" s="482"/>
      <c r="K171" s="482"/>
      <c r="L171" s="482"/>
      <c r="M171" s="482"/>
      <c r="N171" s="482"/>
      <c r="O171" s="482"/>
      <c r="P171" s="482"/>
      <c r="Q171" s="482"/>
      <c r="R171" s="428">
        <f t="shared" si="2"/>
        <v>0</v>
      </c>
    </row>
    <row r="172" spans="1:18" x14ac:dyDescent="0.2">
      <c r="A172" s="540">
        <v>8</v>
      </c>
      <c r="B172" s="531" t="s">
        <v>514</v>
      </c>
      <c r="C172" s="531" t="s">
        <v>605</v>
      </c>
      <c r="D172" s="429" t="s">
        <v>536</v>
      </c>
      <c r="E172" s="479">
        <v>1548</v>
      </c>
      <c r="F172" s="444"/>
      <c r="G172" s="444"/>
      <c r="H172" s="444"/>
      <c r="I172" s="444"/>
      <c r="J172" s="444"/>
      <c r="K172" s="444"/>
      <c r="L172" s="444"/>
      <c r="M172" s="444"/>
      <c r="N172" s="444"/>
      <c r="O172" s="444"/>
      <c r="P172" s="444"/>
      <c r="Q172" s="444"/>
      <c r="R172" s="442">
        <f t="shared" si="2"/>
        <v>0</v>
      </c>
    </row>
    <row r="173" spans="1:18" x14ac:dyDescent="0.2">
      <c r="A173" s="407"/>
      <c r="B173" s="451"/>
      <c r="C173" s="451"/>
      <c r="D173" s="421" t="s">
        <v>537</v>
      </c>
      <c r="E173" s="476">
        <v>152</v>
      </c>
      <c r="F173" s="412"/>
      <c r="G173" s="412"/>
      <c r="H173" s="412"/>
      <c r="I173" s="412"/>
      <c r="J173" s="412"/>
      <c r="K173" s="412"/>
      <c r="L173" s="412"/>
      <c r="M173" s="412"/>
      <c r="N173" s="412"/>
      <c r="O173" s="412"/>
      <c r="P173" s="412"/>
      <c r="Q173" s="412"/>
      <c r="R173" s="413">
        <f t="shared" si="2"/>
        <v>0</v>
      </c>
    </row>
    <row r="174" spans="1:18" x14ac:dyDescent="0.2">
      <c r="A174" s="407"/>
      <c r="B174" s="451"/>
      <c r="C174" s="451"/>
      <c r="D174" s="421" t="s">
        <v>538</v>
      </c>
      <c r="E174" s="476" t="s">
        <v>539</v>
      </c>
      <c r="F174" s="412"/>
      <c r="G174" s="412"/>
      <c r="H174" s="412"/>
      <c r="I174" s="412"/>
      <c r="J174" s="412"/>
      <c r="K174" s="412"/>
      <c r="L174" s="412"/>
      <c r="M174" s="412"/>
      <c r="N174" s="412"/>
      <c r="O174" s="412"/>
      <c r="P174" s="412"/>
      <c r="Q174" s="412"/>
      <c r="R174" s="413">
        <f t="shared" si="2"/>
        <v>0</v>
      </c>
    </row>
    <row r="175" spans="1:18" x14ac:dyDescent="0.2">
      <c r="A175" s="407"/>
      <c r="B175" s="451"/>
      <c r="C175" s="451"/>
      <c r="D175" s="421" t="s">
        <v>540</v>
      </c>
      <c r="E175" s="476">
        <v>627</v>
      </c>
      <c r="F175" s="412"/>
      <c r="G175" s="412"/>
      <c r="H175" s="412"/>
      <c r="I175" s="412"/>
      <c r="J175" s="412"/>
      <c r="K175" s="412"/>
      <c r="L175" s="412"/>
      <c r="M175" s="412"/>
      <c r="N175" s="412"/>
      <c r="O175" s="412"/>
      <c r="P175" s="412"/>
      <c r="Q175" s="412"/>
      <c r="R175" s="413">
        <f t="shared" si="2"/>
        <v>0</v>
      </c>
    </row>
    <row r="176" spans="1:18" x14ac:dyDescent="0.2">
      <c r="A176" s="407"/>
      <c r="B176" s="451"/>
      <c r="C176" s="451"/>
      <c r="D176" s="421" t="s">
        <v>543</v>
      </c>
      <c r="E176" s="477">
        <v>627</v>
      </c>
      <c r="F176" s="412"/>
      <c r="G176" s="412"/>
      <c r="H176" s="412"/>
      <c r="I176" s="412"/>
      <c r="J176" s="412"/>
      <c r="K176" s="412"/>
      <c r="L176" s="412"/>
      <c r="M176" s="412"/>
      <c r="N176" s="412"/>
      <c r="O176" s="412"/>
      <c r="P176" s="412"/>
      <c r="Q176" s="412"/>
      <c r="R176" s="413">
        <f t="shared" si="2"/>
        <v>0</v>
      </c>
    </row>
    <row r="177" spans="1:18" x14ac:dyDescent="0.2">
      <c r="A177" s="407"/>
      <c r="B177" s="451"/>
      <c r="C177" s="451"/>
      <c r="D177" s="421" t="s">
        <v>533</v>
      </c>
      <c r="E177" s="477">
        <v>153</v>
      </c>
      <c r="F177" s="412"/>
      <c r="G177" s="412"/>
      <c r="H177" s="412"/>
      <c r="I177" s="412"/>
      <c r="J177" s="412"/>
      <c r="K177" s="412"/>
      <c r="L177" s="412"/>
      <c r="M177" s="412"/>
      <c r="N177" s="412"/>
      <c r="O177" s="412"/>
      <c r="P177" s="412"/>
      <c r="Q177" s="412"/>
      <c r="R177" s="413">
        <f t="shared" si="2"/>
        <v>0</v>
      </c>
    </row>
    <row r="178" spans="1:18" x14ac:dyDescent="0.2">
      <c r="A178" s="407"/>
      <c r="B178" s="446"/>
      <c r="C178" s="446"/>
      <c r="D178" s="421" t="s">
        <v>532</v>
      </c>
      <c r="E178" s="477">
        <v>211</v>
      </c>
      <c r="F178" s="412"/>
      <c r="G178" s="412"/>
      <c r="H178" s="412"/>
      <c r="I178" s="412"/>
      <c r="J178" s="412"/>
      <c r="K178" s="412"/>
      <c r="L178" s="412"/>
      <c r="M178" s="412"/>
      <c r="N178" s="412"/>
      <c r="O178" s="412"/>
      <c r="P178" s="412"/>
      <c r="Q178" s="412"/>
      <c r="R178" s="413">
        <f t="shared" si="2"/>
        <v>0</v>
      </c>
    </row>
    <row r="179" spans="1:18" x14ac:dyDescent="0.2">
      <c r="A179" s="407"/>
      <c r="B179" s="446"/>
      <c r="C179" s="446"/>
      <c r="D179" s="421" t="s">
        <v>544</v>
      </c>
      <c r="E179" s="476">
        <v>627</v>
      </c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3">
        <f t="shared" si="2"/>
        <v>0</v>
      </c>
    </row>
    <row r="180" spans="1:18" x14ac:dyDescent="0.2">
      <c r="A180" s="407"/>
      <c r="B180" s="446"/>
      <c r="C180" s="446"/>
      <c r="D180" s="421" t="s">
        <v>496</v>
      </c>
      <c r="E180" s="476">
        <v>635</v>
      </c>
      <c r="F180" s="412"/>
      <c r="G180" s="412"/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3">
        <f t="shared" si="2"/>
        <v>0</v>
      </c>
    </row>
    <row r="181" spans="1:18" x14ac:dyDescent="0.2">
      <c r="A181" s="447"/>
      <c r="B181" s="448"/>
      <c r="C181" s="534"/>
      <c r="D181" s="438" t="s">
        <v>535</v>
      </c>
      <c r="E181" s="458">
        <v>156</v>
      </c>
      <c r="F181" s="478"/>
      <c r="G181" s="478"/>
      <c r="H181" s="478"/>
      <c r="I181" s="478"/>
      <c r="J181" s="478"/>
      <c r="K181" s="478"/>
      <c r="L181" s="478"/>
      <c r="M181" s="478"/>
      <c r="N181" s="478"/>
      <c r="O181" s="478"/>
      <c r="P181" s="478"/>
      <c r="Q181" s="478"/>
      <c r="R181" s="440">
        <f t="shared" si="2"/>
        <v>0</v>
      </c>
    </row>
    <row r="182" spans="1:18" x14ac:dyDescent="0.2">
      <c r="A182" s="540">
        <v>9</v>
      </c>
      <c r="B182" s="531" t="s">
        <v>516</v>
      </c>
      <c r="C182" s="531" t="s">
        <v>606</v>
      </c>
      <c r="D182" s="429" t="s">
        <v>541</v>
      </c>
      <c r="E182" s="479" t="s">
        <v>539</v>
      </c>
      <c r="F182" s="444"/>
      <c r="G182" s="444"/>
      <c r="H182" s="444"/>
      <c r="I182" s="444"/>
      <c r="J182" s="444"/>
      <c r="K182" s="444"/>
      <c r="L182" s="444"/>
      <c r="M182" s="444"/>
      <c r="N182" s="444"/>
      <c r="O182" s="444"/>
      <c r="P182" s="444"/>
      <c r="Q182" s="444"/>
      <c r="R182" s="442">
        <f t="shared" si="2"/>
        <v>0</v>
      </c>
    </row>
    <row r="183" spans="1:18" x14ac:dyDescent="0.2">
      <c r="A183" s="407"/>
      <c r="B183" s="446"/>
      <c r="C183" s="446"/>
      <c r="D183" s="421" t="s">
        <v>537</v>
      </c>
      <c r="E183" s="476">
        <v>152</v>
      </c>
      <c r="F183" s="412"/>
      <c r="G183" s="412"/>
      <c r="H183" s="412"/>
      <c r="I183" s="412"/>
      <c r="J183" s="412"/>
      <c r="K183" s="412"/>
      <c r="L183" s="412"/>
      <c r="M183" s="412"/>
      <c r="N183" s="412"/>
      <c r="O183" s="412"/>
      <c r="P183" s="412"/>
      <c r="Q183" s="412"/>
      <c r="R183" s="413">
        <f t="shared" si="2"/>
        <v>0</v>
      </c>
    </row>
    <row r="184" spans="1:18" x14ac:dyDescent="0.2">
      <c r="A184" s="407"/>
      <c r="B184" s="446"/>
      <c r="C184" s="446"/>
      <c r="D184" s="421" t="s">
        <v>538</v>
      </c>
      <c r="E184" s="476" t="s">
        <v>539</v>
      </c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3">
        <f t="shared" si="2"/>
        <v>0</v>
      </c>
    </row>
    <row r="185" spans="1:18" x14ac:dyDescent="0.2">
      <c r="A185" s="407"/>
      <c r="B185" s="446"/>
      <c r="C185" s="446"/>
      <c r="D185" s="421" t="s">
        <v>532</v>
      </c>
      <c r="E185" s="477">
        <v>211</v>
      </c>
      <c r="F185" s="412"/>
      <c r="G185" s="412"/>
      <c r="H185" s="412"/>
      <c r="I185" s="412"/>
      <c r="J185" s="412"/>
      <c r="K185" s="412"/>
      <c r="L185" s="412"/>
      <c r="M185" s="412"/>
      <c r="N185" s="412"/>
      <c r="O185" s="412"/>
      <c r="P185" s="412"/>
      <c r="Q185" s="412"/>
      <c r="R185" s="413">
        <f t="shared" si="2"/>
        <v>0</v>
      </c>
    </row>
    <row r="186" spans="1:18" x14ac:dyDescent="0.2">
      <c r="A186" s="447"/>
      <c r="B186" s="448"/>
      <c r="C186" s="448"/>
      <c r="D186" s="449" t="s">
        <v>535</v>
      </c>
      <c r="E186" s="464"/>
      <c r="F186" s="478"/>
      <c r="G186" s="478"/>
      <c r="H186" s="478"/>
      <c r="I186" s="478"/>
      <c r="J186" s="478"/>
      <c r="K186" s="478"/>
      <c r="L186" s="478"/>
      <c r="M186" s="478"/>
      <c r="N186" s="478"/>
      <c r="O186" s="478"/>
      <c r="P186" s="478"/>
      <c r="Q186" s="478"/>
      <c r="R186" s="440">
        <f t="shared" si="2"/>
        <v>0</v>
      </c>
    </row>
    <row r="187" spans="1:18" x14ac:dyDescent="0.2">
      <c r="A187" s="540">
        <v>10</v>
      </c>
      <c r="B187" s="538" t="s">
        <v>517</v>
      </c>
      <c r="C187" s="538" t="s">
        <v>607</v>
      </c>
      <c r="D187" s="429" t="s">
        <v>544</v>
      </c>
      <c r="E187" s="479">
        <v>627</v>
      </c>
      <c r="F187" s="444"/>
      <c r="G187" s="444"/>
      <c r="H187" s="444"/>
      <c r="I187" s="444"/>
      <c r="J187" s="444"/>
      <c r="K187" s="444"/>
      <c r="L187" s="444"/>
      <c r="M187" s="444"/>
      <c r="N187" s="444"/>
      <c r="O187" s="444"/>
      <c r="P187" s="444"/>
      <c r="Q187" s="444"/>
      <c r="R187" s="442">
        <f t="shared" si="2"/>
        <v>0</v>
      </c>
    </row>
    <row r="188" spans="1:18" x14ac:dyDescent="0.2">
      <c r="A188" s="436"/>
      <c r="B188" s="541"/>
      <c r="C188" s="541"/>
      <c r="D188" s="449" t="s">
        <v>532</v>
      </c>
      <c r="E188" s="464">
        <v>211</v>
      </c>
      <c r="F188" s="412"/>
      <c r="G188" s="412"/>
      <c r="H188" s="412"/>
      <c r="I188" s="412"/>
      <c r="J188" s="412"/>
      <c r="K188" s="412"/>
      <c r="L188" s="412"/>
      <c r="M188" s="412"/>
      <c r="N188" s="412"/>
      <c r="O188" s="412"/>
      <c r="P188" s="412"/>
      <c r="Q188" s="412"/>
      <c r="R188" s="413">
        <f t="shared" si="2"/>
        <v>0</v>
      </c>
    </row>
    <row r="189" spans="1:18" x14ac:dyDescent="0.2">
      <c r="A189" s="436"/>
      <c r="B189" s="541"/>
      <c r="C189" s="541"/>
      <c r="D189" s="449" t="s">
        <v>535</v>
      </c>
      <c r="E189" s="464">
        <v>156</v>
      </c>
      <c r="F189" s="478"/>
      <c r="G189" s="478"/>
      <c r="H189" s="478"/>
      <c r="I189" s="478"/>
      <c r="J189" s="478"/>
      <c r="K189" s="478"/>
      <c r="L189" s="478"/>
      <c r="M189" s="478"/>
      <c r="N189" s="478"/>
      <c r="O189" s="478"/>
      <c r="P189" s="478"/>
      <c r="Q189" s="478"/>
      <c r="R189" s="440">
        <f t="shared" si="2"/>
        <v>0</v>
      </c>
    </row>
    <row r="190" spans="1:18" x14ac:dyDescent="0.2">
      <c r="A190" s="540">
        <v>11</v>
      </c>
      <c r="B190" s="531" t="s">
        <v>518</v>
      </c>
      <c r="C190" s="531" t="s">
        <v>608</v>
      </c>
      <c r="D190" s="429" t="s">
        <v>536</v>
      </c>
      <c r="E190" s="479">
        <v>1548</v>
      </c>
      <c r="F190" s="444"/>
      <c r="G190" s="444"/>
      <c r="H190" s="444"/>
      <c r="I190" s="444"/>
      <c r="J190" s="444"/>
      <c r="K190" s="444"/>
      <c r="L190" s="444"/>
      <c r="M190" s="444"/>
      <c r="N190" s="444"/>
      <c r="O190" s="444"/>
      <c r="P190" s="444"/>
      <c r="Q190" s="444"/>
      <c r="R190" s="442">
        <f t="shared" si="2"/>
        <v>0</v>
      </c>
    </row>
    <row r="191" spans="1:18" x14ac:dyDescent="0.2">
      <c r="A191" s="434"/>
      <c r="B191" s="446"/>
      <c r="C191" s="451"/>
      <c r="D191" s="435" t="s">
        <v>541</v>
      </c>
      <c r="E191" s="476" t="s">
        <v>539</v>
      </c>
      <c r="F191" s="412"/>
      <c r="G191" s="412"/>
      <c r="H191" s="412"/>
      <c r="I191" s="412"/>
      <c r="J191" s="412"/>
      <c r="K191" s="412"/>
      <c r="L191" s="412"/>
      <c r="M191" s="412"/>
      <c r="N191" s="412"/>
      <c r="O191" s="412"/>
      <c r="P191" s="412"/>
      <c r="Q191" s="412"/>
      <c r="R191" s="413">
        <f t="shared" si="2"/>
        <v>0</v>
      </c>
    </row>
    <row r="192" spans="1:18" x14ac:dyDescent="0.2">
      <c r="A192" s="434"/>
      <c r="B192" s="446"/>
      <c r="C192" s="446"/>
      <c r="D192" s="421" t="s">
        <v>537</v>
      </c>
      <c r="E192" s="476">
        <v>152</v>
      </c>
      <c r="F192" s="412"/>
      <c r="G192" s="412"/>
      <c r="H192" s="412"/>
      <c r="I192" s="412"/>
      <c r="J192" s="412"/>
      <c r="K192" s="412"/>
      <c r="L192" s="412"/>
      <c r="M192" s="412"/>
      <c r="N192" s="412"/>
      <c r="O192" s="412"/>
      <c r="P192" s="412"/>
      <c r="Q192" s="412"/>
      <c r="R192" s="413">
        <f t="shared" si="2"/>
        <v>0</v>
      </c>
    </row>
    <row r="193" spans="1:18" x14ac:dyDescent="0.2">
      <c r="A193" s="434"/>
      <c r="B193" s="446"/>
      <c r="C193" s="446"/>
      <c r="D193" s="421" t="s">
        <v>538</v>
      </c>
      <c r="E193" s="476" t="s">
        <v>539</v>
      </c>
      <c r="F193" s="412"/>
      <c r="G193" s="412"/>
      <c r="H193" s="412"/>
      <c r="I193" s="412"/>
      <c r="J193" s="412"/>
      <c r="K193" s="412"/>
      <c r="L193" s="412"/>
      <c r="M193" s="412"/>
      <c r="N193" s="412"/>
      <c r="O193" s="412"/>
      <c r="P193" s="412"/>
      <c r="Q193" s="412"/>
      <c r="R193" s="413">
        <f t="shared" si="2"/>
        <v>0</v>
      </c>
    </row>
    <row r="194" spans="1:18" x14ac:dyDescent="0.2">
      <c r="A194" s="434"/>
      <c r="B194" s="446"/>
      <c r="C194" s="446"/>
      <c r="D194" s="421" t="s">
        <v>532</v>
      </c>
      <c r="E194" s="477">
        <v>211</v>
      </c>
      <c r="F194" s="412"/>
      <c r="G194" s="412"/>
      <c r="H194" s="412"/>
      <c r="I194" s="412"/>
      <c r="J194" s="412"/>
      <c r="K194" s="412"/>
      <c r="L194" s="412"/>
      <c r="M194" s="412"/>
      <c r="N194" s="412"/>
      <c r="O194" s="412"/>
      <c r="P194" s="412"/>
      <c r="Q194" s="412"/>
      <c r="R194" s="413">
        <f t="shared" si="2"/>
        <v>0</v>
      </c>
    </row>
    <row r="195" spans="1:18" x14ac:dyDescent="0.2">
      <c r="A195" s="436"/>
      <c r="B195" s="448"/>
      <c r="C195" s="448"/>
      <c r="D195" s="449" t="s">
        <v>535</v>
      </c>
      <c r="E195" s="464">
        <v>211</v>
      </c>
      <c r="F195" s="478"/>
      <c r="G195" s="478"/>
      <c r="H195" s="478"/>
      <c r="I195" s="478"/>
      <c r="J195" s="478"/>
      <c r="K195" s="478"/>
      <c r="L195" s="478"/>
      <c r="M195" s="478"/>
      <c r="N195" s="478"/>
      <c r="O195" s="478"/>
      <c r="P195" s="478"/>
      <c r="Q195" s="478"/>
      <c r="R195" s="440">
        <f t="shared" si="2"/>
        <v>0</v>
      </c>
    </row>
    <row r="196" spans="1:18" x14ac:dyDescent="0.2">
      <c r="A196" s="540">
        <v>12</v>
      </c>
      <c r="B196" s="531" t="s">
        <v>519</v>
      </c>
      <c r="C196" s="531" t="s">
        <v>609</v>
      </c>
      <c r="D196" s="429" t="s">
        <v>541</v>
      </c>
      <c r="E196" s="479" t="s">
        <v>539</v>
      </c>
      <c r="F196" s="444"/>
      <c r="G196" s="444"/>
      <c r="H196" s="444"/>
      <c r="I196" s="444"/>
      <c r="J196" s="444"/>
      <c r="K196" s="444"/>
      <c r="L196" s="444"/>
      <c r="M196" s="444"/>
      <c r="N196" s="444"/>
      <c r="O196" s="444"/>
      <c r="P196" s="444"/>
      <c r="Q196" s="444"/>
      <c r="R196" s="442">
        <f t="shared" si="2"/>
        <v>0</v>
      </c>
    </row>
    <row r="197" spans="1:18" x14ac:dyDescent="0.2">
      <c r="A197" s="436"/>
      <c r="B197" s="448"/>
      <c r="C197" s="448"/>
      <c r="D197" s="449" t="s">
        <v>532</v>
      </c>
      <c r="E197" s="464">
        <v>211</v>
      </c>
      <c r="F197" s="412"/>
      <c r="G197" s="412"/>
      <c r="H197" s="412"/>
      <c r="I197" s="412"/>
      <c r="J197" s="412"/>
      <c r="K197" s="412"/>
      <c r="L197" s="412"/>
      <c r="M197" s="412"/>
      <c r="N197" s="412"/>
      <c r="O197" s="412"/>
      <c r="P197" s="412"/>
      <c r="Q197" s="412"/>
      <c r="R197" s="413">
        <f t="shared" si="2"/>
        <v>0</v>
      </c>
    </row>
    <row r="198" spans="1:18" x14ac:dyDescent="0.2">
      <c r="A198" s="436"/>
      <c r="B198" s="448"/>
      <c r="C198" s="448"/>
      <c r="D198" s="449" t="s">
        <v>535</v>
      </c>
      <c r="E198" s="464">
        <v>152</v>
      </c>
      <c r="F198" s="478"/>
      <c r="G198" s="478"/>
      <c r="H198" s="478"/>
      <c r="I198" s="478"/>
      <c r="J198" s="478"/>
      <c r="K198" s="478"/>
      <c r="L198" s="478"/>
      <c r="M198" s="478"/>
      <c r="N198" s="478"/>
      <c r="O198" s="478"/>
      <c r="P198" s="478"/>
      <c r="Q198" s="478"/>
      <c r="R198" s="440">
        <f t="shared" si="2"/>
        <v>0</v>
      </c>
    </row>
    <row r="199" spans="1:18" x14ac:dyDescent="0.2">
      <c r="A199" s="540">
        <v>13</v>
      </c>
      <c r="B199" s="531" t="s">
        <v>520</v>
      </c>
      <c r="C199" s="531" t="s">
        <v>610</v>
      </c>
      <c r="D199" s="429" t="s">
        <v>545</v>
      </c>
      <c r="E199" s="479">
        <v>152</v>
      </c>
      <c r="F199" s="444"/>
      <c r="G199" s="444"/>
      <c r="H199" s="444"/>
      <c r="I199" s="444"/>
      <c r="J199" s="444"/>
      <c r="K199" s="444"/>
      <c r="L199" s="444"/>
      <c r="M199" s="444"/>
      <c r="N199" s="444"/>
      <c r="O199" s="444"/>
      <c r="P199" s="444"/>
      <c r="Q199" s="444"/>
      <c r="R199" s="442">
        <f t="shared" si="2"/>
        <v>0</v>
      </c>
    </row>
    <row r="200" spans="1:18" x14ac:dyDescent="0.2">
      <c r="A200" s="436"/>
      <c r="B200" s="446"/>
      <c r="C200" s="448"/>
      <c r="D200" s="449" t="s">
        <v>537</v>
      </c>
      <c r="E200" s="464" t="s">
        <v>546</v>
      </c>
      <c r="F200" s="412"/>
      <c r="G200" s="412"/>
      <c r="H200" s="412"/>
      <c r="I200" s="412"/>
      <c r="J200" s="412"/>
      <c r="K200" s="412"/>
      <c r="L200" s="412"/>
      <c r="M200" s="412"/>
      <c r="N200" s="412"/>
      <c r="O200" s="412"/>
      <c r="P200" s="412"/>
      <c r="Q200" s="412"/>
      <c r="R200" s="413">
        <f t="shared" ref="R200:R230" si="3">SUM(F200:Q200)</f>
        <v>0</v>
      </c>
    </row>
    <row r="201" spans="1:18" x14ac:dyDescent="0.2">
      <c r="A201" s="436"/>
      <c r="B201" s="446"/>
      <c r="C201" s="448"/>
      <c r="D201" s="449" t="s">
        <v>537</v>
      </c>
      <c r="E201" s="464" t="s">
        <v>546</v>
      </c>
      <c r="F201" s="412"/>
      <c r="G201" s="412"/>
      <c r="H201" s="412"/>
      <c r="I201" s="412"/>
      <c r="J201" s="412"/>
      <c r="K201" s="412"/>
      <c r="L201" s="412"/>
      <c r="M201" s="412"/>
      <c r="N201" s="412"/>
      <c r="O201" s="412"/>
      <c r="P201" s="412"/>
      <c r="Q201" s="412"/>
      <c r="R201" s="413">
        <f t="shared" si="3"/>
        <v>0</v>
      </c>
    </row>
    <row r="202" spans="1:18" x14ac:dyDescent="0.2">
      <c r="A202" s="436"/>
      <c r="B202" s="448"/>
      <c r="C202" s="448"/>
      <c r="D202" s="449" t="s">
        <v>535</v>
      </c>
      <c r="E202" s="464"/>
      <c r="F202" s="478"/>
      <c r="G202" s="478"/>
      <c r="H202" s="478"/>
      <c r="I202" s="478"/>
      <c r="J202" s="478"/>
      <c r="K202" s="478"/>
      <c r="L202" s="478"/>
      <c r="M202" s="478"/>
      <c r="N202" s="478"/>
      <c r="O202" s="478"/>
      <c r="P202" s="478"/>
      <c r="Q202" s="478"/>
      <c r="R202" s="440">
        <f t="shared" si="3"/>
        <v>0</v>
      </c>
    </row>
    <row r="203" spans="1:18" x14ac:dyDescent="0.2">
      <c r="A203" s="540">
        <v>14</v>
      </c>
      <c r="B203" s="531" t="s">
        <v>521</v>
      </c>
      <c r="C203" s="531" t="s">
        <v>611</v>
      </c>
      <c r="D203" s="429" t="s">
        <v>541</v>
      </c>
      <c r="E203" s="479" t="s">
        <v>539</v>
      </c>
      <c r="F203" s="444"/>
      <c r="G203" s="444"/>
      <c r="H203" s="444"/>
      <c r="I203" s="444"/>
      <c r="J203" s="444"/>
      <c r="K203" s="444"/>
      <c r="L203" s="444"/>
      <c r="M203" s="444"/>
      <c r="N203" s="444"/>
      <c r="O203" s="444"/>
      <c r="P203" s="444"/>
      <c r="Q203" s="444"/>
      <c r="R203" s="442">
        <f t="shared" si="3"/>
        <v>0</v>
      </c>
    </row>
    <row r="204" spans="1:18" x14ac:dyDescent="0.2">
      <c r="A204" s="436"/>
      <c r="B204" s="446"/>
      <c r="C204" s="448"/>
      <c r="D204" s="449" t="s">
        <v>532</v>
      </c>
      <c r="E204" s="464">
        <v>211</v>
      </c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3">
        <f t="shared" si="3"/>
        <v>0</v>
      </c>
    </row>
    <row r="205" spans="1:18" x14ac:dyDescent="0.2">
      <c r="A205" s="436"/>
      <c r="B205" s="448"/>
      <c r="C205" s="448"/>
      <c r="D205" s="449" t="s">
        <v>535</v>
      </c>
      <c r="E205" s="464">
        <v>152</v>
      </c>
      <c r="F205" s="478"/>
      <c r="G205" s="478"/>
      <c r="H205" s="478"/>
      <c r="I205" s="478"/>
      <c r="J205" s="478"/>
      <c r="K205" s="478"/>
      <c r="L205" s="478"/>
      <c r="M205" s="478"/>
      <c r="N205" s="478"/>
      <c r="O205" s="478"/>
      <c r="P205" s="478"/>
      <c r="Q205" s="478"/>
      <c r="R205" s="440">
        <f t="shared" si="3"/>
        <v>0</v>
      </c>
    </row>
    <row r="206" spans="1:18" x14ac:dyDescent="0.2">
      <c r="A206" s="540">
        <v>15</v>
      </c>
      <c r="B206" s="538" t="s">
        <v>522</v>
      </c>
      <c r="C206" s="538" t="s">
        <v>612</v>
      </c>
      <c r="D206" s="429" t="s">
        <v>541</v>
      </c>
      <c r="E206" s="479" t="s">
        <v>539</v>
      </c>
      <c r="F206" s="444"/>
      <c r="G206" s="444"/>
      <c r="H206" s="444"/>
      <c r="I206" s="444"/>
      <c r="J206" s="444"/>
      <c r="K206" s="444"/>
      <c r="L206" s="444"/>
      <c r="M206" s="444"/>
      <c r="N206" s="444"/>
      <c r="O206" s="444"/>
      <c r="P206" s="444"/>
      <c r="Q206" s="444"/>
      <c r="R206" s="442">
        <f t="shared" si="3"/>
        <v>0</v>
      </c>
    </row>
    <row r="207" spans="1:18" x14ac:dyDescent="0.2">
      <c r="A207" s="436"/>
      <c r="B207" s="523"/>
      <c r="C207" s="541"/>
      <c r="D207" s="449" t="s">
        <v>532</v>
      </c>
      <c r="E207" s="464">
        <v>211</v>
      </c>
      <c r="F207" s="412"/>
      <c r="G207" s="412"/>
      <c r="H207" s="412"/>
      <c r="I207" s="412"/>
      <c r="J207" s="412"/>
      <c r="K207" s="412"/>
      <c r="L207" s="412"/>
      <c r="M207" s="412"/>
      <c r="N207" s="412"/>
      <c r="O207" s="412"/>
      <c r="P207" s="412"/>
      <c r="Q207" s="412"/>
      <c r="R207" s="413">
        <f t="shared" si="3"/>
        <v>0</v>
      </c>
    </row>
    <row r="208" spans="1:18" x14ac:dyDescent="0.2">
      <c r="A208" s="436"/>
      <c r="B208" s="541"/>
      <c r="C208" s="541"/>
      <c r="D208" s="449" t="s">
        <v>535</v>
      </c>
      <c r="E208" s="464">
        <v>152</v>
      </c>
      <c r="F208" s="478"/>
      <c r="G208" s="478"/>
      <c r="H208" s="478"/>
      <c r="I208" s="478"/>
      <c r="J208" s="478"/>
      <c r="K208" s="478"/>
      <c r="L208" s="478"/>
      <c r="M208" s="478"/>
      <c r="N208" s="478"/>
      <c r="O208" s="478"/>
      <c r="P208" s="478"/>
      <c r="Q208" s="478"/>
      <c r="R208" s="440">
        <f t="shared" si="3"/>
        <v>0</v>
      </c>
    </row>
    <row r="209" spans="1:18" x14ac:dyDescent="0.2">
      <c r="A209" s="540">
        <v>16</v>
      </c>
      <c r="B209" s="538" t="s">
        <v>523</v>
      </c>
      <c r="C209" s="538" t="s">
        <v>613</v>
      </c>
      <c r="D209" s="429" t="s">
        <v>541</v>
      </c>
      <c r="E209" s="479" t="s">
        <v>539</v>
      </c>
      <c r="F209" s="444"/>
      <c r="G209" s="444"/>
      <c r="H209" s="444"/>
      <c r="I209" s="444"/>
      <c r="J209" s="444"/>
      <c r="K209" s="444"/>
      <c r="L209" s="444"/>
      <c r="M209" s="444"/>
      <c r="N209" s="444"/>
      <c r="O209" s="444"/>
      <c r="P209" s="444"/>
      <c r="Q209" s="444"/>
      <c r="R209" s="442">
        <f t="shared" si="3"/>
        <v>0</v>
      </c>
    </row>
    <row r="210" spans="1:18" x14ac:dyDescent="0.2">
      <c r="A210" s="436"/>
      <c r="B210" s="523"/>
      <c r="C210" s="541"/>
      <c r="D210" s="449" t="s">
        <v>532</v>
      </c>
      <c r="E210" s="464">
        <v>211</v>
      </c>
      <c r="F210" s="412"/>
      <c r="G210" s="412"/>
      <c r="H210" s="412"/>
      <c r="I210" s="412"/>
      <c r="J210" s="412"/>
      <c r="K210" s="412"/>
      <c r="L210" s="412"/>
      <c r="M210" s="412"/>
      <c r="N210" s="412"/>
      <c r="O210" s="412"/>
      <c r="P210" s="412"/>
      <c r="Q210" s="412"/>
      <c r="R210" s="413">
        <f t="shared" si="3"/>
        <v>0</v>
      </c>
    </row>
    <row r="211" spans="1:18" x14ac:dyDescent="0.2">
      <c r="A211" s="436"/>
      <c r="B211" s="541"/>
      <c r="C211" s="541"/>
      <c r="D211" s="449" t="s">
        <v>535</v>
      </c>
      <c r="E211" s="464">
        <v>152</v>
      </c>
      <c r="F211" s="478"/>
      <c r="G211" s="478"/>
      <c r="H211" s="478"/>
      <c r="I211" s="478"/>
      <c r="J211" s="478"/>
      <c r="K211" s="478"/>
      <c r="L211" s="478"/>
      <c r="M211" s="478"/>
      <c r="N211" s="478"/>
      <c r="O211" s="478"/>
      <c r="P211" s="478"/>
      <c r="Q211" s="478"/>
      <c r="R211" s="440">
        <f t="shared" si="3"/>
        <v>0</v>
      </c>
    </row>
    <row r="212" spans="1:18" x14ac:dyDescent="0.2">
      <c r="A212" s="540">
        <v>17</v>
      </c>
      <c r="B212" s="538" t="s">
        <v>524</v>
      </c>
      <c r="C212" s="538" t="s">
        <v>614</v>
      </c>
      <c r="D212" s="429" t="s">
        <v>541</v>
      </c>
      <c r="E212" s="479" t="s">
        <v>539</v>
      </c>
      <c r="F212" s="444"/>
      <c r="G212" s="444"/>
      <c r="H212" s="444"/>
      <c r="I212" s="444"/>
      <c r="J212" s="444"/>
      <c r="K212" s="444"/>
      <c r="L212" s="444"/>
      <c r="M212" s="444"/>
      <c r="N212" s="444"/>
      <c r="O212" s="444"/>
      <c r="P212" s="444"/>
      <c r="Q212" s="444"/>
      <c r="R212" s="442">
        <f t="shared" si="3"/>
        <v>0</v>
      </c>
    </row>
    <row r="213" spans="1:18" x14ac:dyDescent="0.2">
      <c r="A213" s="436"/>
      <c r="B213" s="523"/>
      <c r="C213" s="541"/>
      <c r="D213" s="449" t="s">
        <v>532</v>
      </c>
      <c r="E213" s="464">
        <v>211</v>
      </c>
      <c r="F213" s="412"/>
      <c r="G213" s="412"/>
      <c r="H213" s="412"/>
      <c r="I213" s="412"/>
      <c r="J213" s="412"/>
      <c r="K213" s="412"/>
      <c r="L213" s="412"/>
      <c r="M213" s="412"/>
      <c r="N213" s="412"/>
      <c r="O213" s="412"/>
      <c r="P213" s="412"/>
      <c r="Q213" s="412"/>
      <c r="R213" s="413">
        <f t="shared" si="3"/>
        <v>0</v>
      </c>
    </row>
    <row r="214" spans="1:18" x14ac:dyDescent="0.2">
      <c r="A214" s="436"/>
      <c r="B214" s="541"/>
      <c r="C214" s="541"/>
      <c r="D214" s="449" t="s">
        <v>535</v>
      </c>
      <c r="E214" s="464">
        <v>152</v>
      </c>
      <c r="F214" s="478"/>
      <c r="G214" s="478"/>
      <c r="H214" s="478"/>
      <c r="I214" s="478"/>
      <c r="J214" s="478"/>
      <c r="K214" s="478"/>
      <c r="L214" s="478"/>
      <c r="M214" s="478"/>
      <c r="N214" s="478"/>
      <c r="O214" s="478"/>
      <c r="P214" s="478"/>
      <c r="Q214" s="478"/>
      <c r="R214" s="440">
        <f t="shared" si="3"/>
        <v>0</v>
      </c>
    </row>
    <row r="215" spans="1:18" x14ac:dyDescent="0.2">
      <c r="A215" s="540">
        <v>18</v>
      </c>
      <c r="B215" s="531" t="s">
        <v>525</v>
      </c>
      <c r="C215" s="531" t="s">
        <v>615</v>
      </c>
      <c r="D215" s="429" t="s">
        <v>541</v>
      </c>
      <c r="E215" s="479" t="s">
        <v>539</v>
      </c>
      <c r="F215" s="444"/>
      <c r="G215" s="444"/>
      <c r="H215" s="444"/>
      <c r="I215" s="444"/>
      <c r="J215" s="444"/>
      <c r="K215" s="444"/>
      <c r="L215" s="444"/>
      <c r="M215" s="444"/>
      <c r="N215" s="444"/>
      <c r="O215" s="444"/>
      <c r="P215" s="444"/>
      <c r="Q215" s="444"/>
      <c r="R215" s="442">
        <f t="shared" si="3"/>
        <v>0</v>
      </c>
    </row>
    <row r="216" spans="1:18" x14ac:dyDescent="0.2">
      <c r="A216" s="436"/>
      <c r="B216" s="446"/>
      <c r="C216" s="446"/>
      <c r="D216" s="421" t="s">
        <v>532</v>
      </c>
      <c r="E216" s="477">
        <v>211</v>
      </c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54">
        <f t="shared" si="3"/>
        <v>0</v>
      </c>
    </row>
    <row r="217" spans="1:18" x14ac:dyDescent="0.2">
      <c r="A217" s="436"/>
      <c r="B217" s="541"/>
      <c r="C217" s="541"/>
      <c r="D217" s="449" t="s">
        <v>535</v>
      </c>
      <c r="E217" s="464">
        <v>152</v>
      </c>
      <c r="F217" s="466"/>
      <c r="G217" s="466"/>
      <c r="H217" s="466"/>
      <c r="I217" s="466"/>
      <c r="J217" s="466"/>
      <c r="K217" s="466"/>
      <c r="L217" s="466"/>
      <c r="M217" s="466"/>
      <c r="N217" s="466"/>
      <c r="O217" s="466"/>
      <c r="P217" s="466"/>
      <c r="Q217" s="466"/>
      <c r="R217" s="483">
        <f t="shared" si="3"/>
        <v>0</v>
      </c>
    </row>
    <row r="218" spans="1:18" x14ac:dyDescent="0.2">
      <c r="A218" s="540">
        <v>19</v>
      </c>
      <c r="B218" s="531" t="s">
        <v>616</v>
      </c>
      <c r="C218" s="531" t="s">
        <v>617</v>
      </c>
      <c r="D218" s="429" t="s">
        <v>541</v>
      </c>
      <c r="E218" s="479" t="s">
        <v>539</v>
      </c>
      <c r="F218" s="444"/>
      <c r="G218" s="444"/>
      <c r="H218" s="444"/>
      <c r="I218" s="444"/>
      <c r="J218" s="444"/>
      <c r="K218" s="444"/>
      <c r="L218" s="444"/>
      <c r="M218" s="444"/>
      <c r="N218" s="444"/>
      <c r="O218" s="444"/>
      <c r="P218" s="444"/>
      <c r="Q218" s="444"/>
      <c r="R218" s="442">
        <f t="shared" si="3"/>
        <v>0</v>
      </c>
    </row>
    <row r="219" spans="1:18" x14ac:dyDescent="0.2">
      <c r="A219" s="436"/>
      <c r="B219" s="523"/>
      <c r="C219" s="541"/>
      <c r="D219" s="449" t="s">
        <v>532</v>
      </c>
      <c r="E219" s="464">
        <v>211</v>
      </c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3">
        <f t="shared" si="3"/>
        <v>0</v>
      </c>
    </row>
    <row r="220" spans="1:18" x14ac:dyDescent="0.2">
      <c r="A220" s="436"/>
      <c r="B220" s="541"/>
      <c r="C220" s="541"/>
      <c r="D220" s="449" t="s">
        <v>535</v>
      </c>
      <c r="E220" s="464">
        <v>152</v>
      </c>
      <c r="F220" s="478"/>
      <c r="G220" s="478"/>
      <c r="H220" s="478"/>
      <c r="I220" s="478"/>
      <c r="J220" s="478"/>
      <c r="K220" s="478"/>
      <c r="L220" s="478"/>
      <c r="M220" s="478"/>
      <c r="N220" s="478"/>
      <c r="O220" s="478"/>
      <c r="P220" s="478"/>
      <c r="Q220" s="478"/>
      <c r="R220" s="440">
        <f t="shared" si="3"/>
        <v>0</v>
      </c>
    </row>
    <row r="221" spans="1:18" x14ac:dyDescent="0.2">
      <c r="A221" s="540">
        <v>20</v>
      </c>
      <c r="B221" s="538" t="s">
        <v>526</v>
      </c>
      <c r="C221" s="542" t="s">
        <v>618</v>
      </c>
      <c r="D221" s="484" t="s">
        <v>541</v>
      </c>
      <c r="E221" s="479" t="s">
        <v>539</v>
      </c>
      <c r="F221" s="444"/>
      <c r="G221" s="444"/>
      <c r="H221" s="444"/>
      <c r="I221" s="444"/>
      <c r="J221" s="444"/>
      <c r="K221" s="444"/>
      <c r="L221" s="444"/>
      <c r="M221" s="444"/>
      <c r="N221" s="444"/>
      <c r="O221" s="444"/>
      <c r="P221" s="444"/>
      <c r="Q221" s="444"/>
      <c r="R221" s="442">
        <f t="shared" si="3"/>
        <v>0</v>
      </c>
    </row>
    <row r="222" spans="1:18" x14ac:dyDescent="0.2">
      <c r="A222" s="436"/>
      <c r="B222" s="523"/>
      <c r="C222" s="541"/>
      <c r="D222" s="449" t="s">
        <v>532</v>
      </c>
      <c r="E222" s="464">
        <v>211</v>
      </c>
      <c r="F222" s="412"/>
      <c r="G222" s="412"/>
      <c r="H222" s="412"/>
      <c r="I222" s="412"/>
      <c r="J222" s="412"/>
      <c r="K222" s="412"/>
      <c r="L222" s="412"/>
      <c r="M222" s="412"/>
      <c r="N222" s="412"/>
      <c r="O222" s="412"/>
      <c r="P222" s="412"/>
      <c r="Q222" s="412"/>
      <c r="R222" s="413">
        <f t="shared" si="3"/>
        <v>0</v>
      </c>
    </row>
    <row r="223" spans="1:18" x14ac:dyDescent="0.2">
      <c r="A223" s="436"/>
      <c r="B223" s="541"/>
      <c r="C223" s="541"/>
      <c r="D223" s="449" t="s">
        <v>535</v>
      </c>
      <c r="E223" s="464">
        <v>152</v>
      </c>
      <c r="F223" s="478"/>
      <c r="G223" s="478"/>
      <c r="H223" s="478"/>
      <c r="I223" s="478"/>
      <c r="J223" s="478"/>
      <c r="K223" s="478"/>
      <c r="L223" s="478"/>
      <c r="M223" s="478"/>
      <c r="N223" s="478"/>
      <c r="O223" s="478"/>
      <c r="P223" s="478"/>
      <c r="Q223" s="478"/>
      <c r="R223" s="440">
        <f t="shared" si="3"/>
        <v>0</v>
      </c>
    </row>
    <row r="224" spans="1:18" x14ac:dyDescent="0.2">
      <c r="A224" s="540">
        <v>21</v>
      </c>
      <c r="B224" s="538" t="s">
        <v>527</v>
      </c>
      <c r="C224" s="538" t="s">
        <v>619</v>
      </c>
      <c r="D224" s="429" t="s">
        <v>541</v>
      </c>
      <c r="E224" s="479" t="s">
        <v>539</v>
      </c>
      <c r="F224" s="444"/>
      <c r="G224" s="444"/>
      <c r="H224" s="444"/>
      <c r="I224" s="444"/>
      <c r="J224" s="444"/>
      <c r="K224" s="444"/>
      <c r="L224" s="444"/>
      <c r="M224" s="444"/>
      <c r="N224" s="444"/>
      <c r="O224" s="444"/>
      <c r="P224" s="444"/>
      <c r="Q224" s="444"/>
      <c r="R224" s="442">
        <f t="shared" si="3"/>
        <v>0</v>
      </c>
    </row>
    <row r="225" spans="1:18" x14ac:dyDescent="0.2">
      <c r="A225" s="436"/>
      <c r="B225" s="523"/>
      <c r="C225" s="541"/>
      <c r="D225" s="449" t="s">
        <v>532</v>
      </c>
      <c r="E225" s="464">
        <v>211</v>
      </c>
      <c r="F225" s="412"/>
      <c r="G225" s="412"/>
      <c r="H225" s="412"/>
      <c r="I225" s="412"/>
      <c r="J225" s="412"/>
      <c r="K225" s="412"/>
      <c r="L225" s="412"/>
      <c r="M225" s="412"/>
      <c r="N225" s="412"/>
      <c r="O225" s="412"/>
      <c r="P225" s="412"/>
      <c r="Q225" s="412"/>
      <c r="R225" s="413">
        <f t="shared" si="3"/>
        <v>0</v>
      </c>
    </row>
    <row r="226" spans="1:18" x14ac:dyDescent="0.2">
      <c r="A226" s="436"/>
      <c r="B226" s="541"/>
      <c r="C226" s="541"/>
      <c r="D226" s="449" t="s">
        <v>535</v>
      </c>
      <c r="E226" s="464">
        <v>152</v>
      </c>
      <c r="F226" s="478"/>
      <c r="G226" s="478"/>
      <c r="H226" s="478"/>
      <c r="I226" s="478"/>
      <c r="J226" s="478"/>
      <c r="K226" s="478"/>
      <c r="L226" s="478"/>
      <c r="M226" s="478"/>
      <c r="N226" s="478"/>
      <c r="O226" s="478"/>
      <c r="P226" s="478"/>
      <c r="Q226" s="478"/>
      <c r="R226" s="440">
        <f t="shared" si="3"/>
        <v>0</v>
      </c>
    </row>
    <row r="227" spans="1:18" x14ac:dyDescent="0.2">
      <c r="A227" s="540">
        <v>22</v>
      </c>
      <c r="B227" s="538" t="s">
        <v>528</v>
      </c>
      <c r="C227" s="538" t="s">
        <v>620</v>
      </c>
      <c r="D227" s="429" t="s">
        <v>541</v>
      </c>
      <c r="E227" s="479" t="s">
        <v>539</v>
      </c>
      <c r="F227" s="444"/>
      <c r="G227" s="444"/>
      <c r="H227" s="444"/>
      <c r="I227" s="444"/>
      <c r="J227" s="444"/>
      <c r="K227" s="444"/>
      <c r="L227" s="444"/>
      <c r="M227" s="444"/>
      <c r="N227" s="444"/>
      <c r="O227" s="444"/>
      <c r="P227" s="444"/>
      <c r="Q227" s="444"/>
      <c r="R227" s="442">
        <f t="shared" si="3"/>
        <v>0</v>
      </c>
    </row>
    <row r="228" spans="1:18" x14ac:dyDescent="0.2">
      <c r="A228" s="436"/>
      <c r="B228" s="523"/>
      <c r="C228" s="541"/>
      <c r="D228" s="449" t="s">
        <v>532</v>
      </c>
      <c r="E228" s="464">
        <v>211</v>
      </c>
      <c r="F228" s="412"/>
      <c r="G228" s="412"/>
      <c r="H228" s="412"/>
      <c r="I228" s="412"/>
      <c r="J228" s="412"/>
      <c r="K228" s="412"/>
      <c r="L228" s="412"/>
      <c r="M228" s="412"/>
      <c r="N228" s="412"/>
      <c r="O228" s="412"/>
      <c r="P228" s="412"/>
      <c r="Q228" s="412"/>
      <c r="R228" s="413">
        <f t="shared" si="3"/>
        <v>0</v>
      </c>
    </row>
    <row r="229" spans="1:18" x14ac:dyDescent="0.2">
      <c r="A229" s="436"/>
      <c r="B229" s="523"/>
      <c r="C229" s="541"/>
      <c r="D229" s="449" t="s">
        <v>535</v>
      </c>
      <c r="E229" s="464">
        <v>152</v>
      </c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3">
        <f t="shared" si="3"/>
        <v>0</v>
      </c>
    </row>
    <row r="230" spans="1:18" x14ac:dyDescent="0.2">
      <c r="A230" s="436"/>
      <c r="B230" s="541"/>
      <c r="C230" s="541"/>
      <c r="D230" s="418"/>
      <c r="E230" s="418"/>
      <c r="F230" s="412"/>
      <c r="G230" s="412"/>
      <c r="H230" s="412"/>
      <c r="I230" s="412"/>
      <c r="J230" s="412"/>
      <c r="K230" s="412"/>
      <c r="L230" s="412"/>
      <c r="M230" s="412"/>
      <c r="N230" s="412"/>
      <c r="O230" s="412"/>
      <c r="P230" s="412"/>
      <c r="Q230" s="412"/>
      <c r="R230" s="413">
        <f t="shared" si="3"/>
        <v>0</v>
      </c>
    </row>
    <row r="231" spans="1:18" x14ac:dyDescent="0.2">
      <c r="A231" s="470" t="s">
        <v>547</v>
      </c>
      <c r="B231" s="403" t="s">
        <v>548</v>
      </c>
      <c r="C231" s="403"/>
      <c r="D231" s="485" t="s">
        <v>549</v>
      </c>
      <c r="E231" s="486" t="s">
        <v>550</v>
      </c>
      <c r="F231" s="471"/>
      <c r="G231" s="472"/>
      <c r="H231" s="472"/>
      <c r="I231" s="472"/>
      <c r="J231" s="472"/>
      <c r="K231" s="472"/>
      <c r="L231" s="472"/>
      <c r="M231" s="472"/>
      <c r="N231" s="472"/>
      <c r="O231" s="472"/>
      <c r="P231" s="472"/>
      <c r="Q231" s="472"/>
      <c r="R231" s="472"/>
    </row>
    <row r="232" spans="1:18" x14ac:dyDescent="0.2">
      <c r="A232" s="487"/>
      <c r="B232" s="523" t="s">
        <v>492</v>
      </c>
      <c r="C232" s="408" t="s">
        <v>597</v>
      </c>
      <c r="D232" s="480" t="s">
        <v>551</v>
      </c>
      <c r="E232" s="488">
        <v>128</v>
      </c>
      <c r="F232" s="442"/>
      <c r="G232" s="480"/>
      <c r="H232" s="480"/>
      <c r="I232" s="480"/>
      <c r="J232" s="480"/>
      <c r="K232" s="480"/>
      <c r="L232" s="480"/>
      <c r="M232" s="480"/>
      <c r="N232" s="480"/>
      <c r="O232" s="480"/>
      <c r="P232" s="480"/>
      <c r="Q232" s="480"/>
      <c r="R232" s="413">
        <f t="shared" ref="R232:R239" si="4">SUM(F232:Q232)</f>
        <v>0</v>
      </c>
    </row>
    <row r="233" spans="1:18" x14ac:dyDescent="0.2">
      <c r="A233" s="487"/>
      <c r="B233" s="543"/>
      <c r="C233" s="477"/>
      <c r="D233" s="415"/>
      <c r="E233" s="488">
        <v>138</v>
      </c>
      <c r="F233" s="454"/>
      <c r="G233" s="415"/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3">
        <f t="shared" si="4"/>
        <v>0</v>
      </c>
    </row>
    <row r="234" spans="1:18" x14ac:dyDescent="0.2">
      <c r="A234" s="487"/>
      <c r="B234" s="446" t="s">
        <v>523</v>
      </c>
      <c r="C234" s="446" t="s">
        <v>613</v>
      </c>
      <c r="D234" s="415" t="s">
        <v>474</v>
      </c>
      <c r="E234" s="488">
        <v>128</v>
      </c>
      <c r="F234" s="454"/>
      <c r="G234" s="415"/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3">
        <f t="shared" si="4"/>
        <v>0</v>
      </c>
    </row>
    <row r="235" spans="1:18" x14ac:dyDescent="0.2">
      <c r="A235" s="487"/>
      <c r="B235" s="446"/>
      <c r="C235" s="451"/>
      <c r="D235" s="409"/>
      <c r="E235" s="490">
        <v>138</v>
      </c>
      <c r="F235" s="454"/>
      <c r="G235" s="415"/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3">
        <f t="shared" si="4"/>
        <v>0</v>
      </c>
    </row>
    <row r="236" spans="1:18" x14ac:dyDescent="0.2">
      <c r="A236" s="487"/>
      <c r="B236" s="446" t="s">
        <v>517</v>
      </c>
      <c r="C236" s="446" t="s">
        <v>607</v>
      </c>
      <c r="D236" s="415" t="s">
        <v>474</v>
      </c>
      <c r="E236" s="490">
        <v>128</v>
      </c>
      <c r="F236" s="454"/>
      <c r="G236" s="415"/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3">
        <f t="shared" si="4"/>
        <v>0</v>
      </c>
    </row>
    <row r="237" spans="1:18" x14ac:dyDescent="0.2">
      <c r="A237" s="487"/>
      <c r="B237" s="523" t="s">
        <v>552</v>
      </c>
      <c r="C237" s="408"/>
      <c r="D237" s="491" t="s">
        <v>553</v>
      </c>
      <c r="E237" s="490">
        <v>128</v>
      </c>
      <c r="F237" s="454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3">
        <f t="shared" si="4"/>
        <v>0</v>
      </c>
    </row>
    <row r="238" spans="1:18" x14ac:dyDescent="0.2">
      <c r="A238" s="487"/>
      <c r="B238" s="523" t="s">
        <v>554</v>
      </c>
      <c r="C238" s="523"/>
      <c r="D238" s="492"/>
      <c r="E238" s="488">
        <v>138</v>
      </c>
      <c r="F238" s="454"/>
      <c r="G238" s="415"/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3">
        <f t="shared" si="4"/>
        <v>0</v>
      </c>
    </row>
    <row r="239" spans="1:18" x14ac:dyDescent="0.2">
      <c r="A239" s="493"/>
      <c r="B239" s="519" t="s">
        <v>555</v>
      </c>
      <c r="C239" s="519"/>
      <c r="D239" s="494"/>
      <c r="E239" s="495">
        <v>138</v>
      </c>
      <c r="F239" s="428"/>
      <c r="G239" s="424"/>
      <c r="H239" s="424"/>
      <c r="I239" s="424"/>
      <c r="J239" s="424"/>
      <c r="K239" s="424"/>
      <c r="L239" s="424"/>
      <c r="M239" s="424"/>
      <c r="N239" s="424"/>
      <c r="O239" s="424"/>
      <c r="P239" s="424"/>
      <c r="Q239" s="424"/>
      <c r="R239" s="413">
        <f t="shared" si="4"/>
        <v>0</v>
      </c>
    </row>
    <row r="240" spans="1:18" x14ac:dyDescent="0.2">
      <c r="A240" s="470" t="s">
        <v>556</v>
      </c>
      <c r="B240" s="403" t="s">
        <v>557</v>
      </c>
      <c r="C240" s="403"/>
      <c r="D240" s="485" t="s">
        <v>549</v>
      </c>
      <c r="E240" s="486" t="s">
        <v>550</v>
      </c>
      <c r="F240" s="471"/>
      <c r="G240" s="472"/>
      <c r="H240" s="472"/>
      <c r="I240" s="472"/>
      <c r="J240" s="472"/>
      <c r="K240" s="472"/>
      <c r="L240" s="472"/>
      <c r="M240" s="472"/>
      <c r="N240" s="472"/>
      <c r="O240" s="472"/>
      <c r="P240" s="472"/>
      <c r="Q240" s="472"/>
      <c r="R240" s="472"/>
    </row>
    <row r="241" spans="1:18" x14ac:dyDescent="0.2">
      <c r="A241" s="496"/>
      <c r="B241" s="415" t="s">
        <v>492</v>
      </c>
      <c r="C241" s="409" t="s">
        <v>597</v>
      </c>
      <c r="D241" s="480" t="s">
        <v>551</v>
      </c>
      <c r="E241" s="488">
        <v>128</v>
      </c>
      <c r="F241" s="442"/>
      <c r="G241" s="480"/>
      <c r="H241" s="480"/>
      <c r="I241" s="480"/>
      <c r="J241" s="480"/>
      <c r="K241" s="480"/>
      <c r="L241" s="480"/>
      <c r="M241" s="480"/>
      <c r="N241" s="480"/>
      <c r="O241" s="480"/>
      <c r="P241" s="480"/>
      <c r="Q241" s="480"/>
      <c r="R241" s="413">
        <f t="shared" ref="R241:R246" si="5">SUM(F241:Q241)</f>
        <v>0</v>
      </c>
    </row>
    <row r="242" spans="1:18" x14ac:dyDescent="0.2">
      <c r="A242" s="496"/>
      <c r="B242" s="489"/>
      <c r="C242" s="419"/>
      <c r="D242" s="415"/>
      <c r="E242" s="488">
        <v>138</v>
      </c>
      <c r="F242" s="454"/>
      <c r="G242" s="415"/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3">
        <f t="shared" si="5"/>
        <v>0</v>
      </c>
    </row>
    <row r="243" spans="1:18" x14ac:dyDescent="0.2">
      <c r="A243" s="496"/>
      <c r="B243" s="446" t="s">
        <v>523</v>
      </c>
      <c r="C243" s="446" t="s">
        <v>613</v>
      </c>
      <c r="D243" s="415" t="s">
        <v>474</v>
      </c>
      <c r="E243" s="488">
        <v>128</v>
      </c>
      <c r="F243" s="454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3">
        <f t="shared" si="5"/>
        <v>0</v>
      </c>
    </row>
    <row r="244" spans="1:18" x14ac:dyDescent="0.2">
      <c r="A244" s="496"/>
      <c r="B244" s="446"/>
      <c r="C244" s="451"/>
      <c r="D244" s="409"/>
      <c r="E244" s="490">
        <v>138</v>
      </c>
      <c r="F244" s="454"/>
      <c r="G244" s="415"/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3">
        <f t="shared" si="5"/>
        <v>0</v>
      </c>
    </row>
    <row r="245" spans="1:18" x14ac:dyDescent="0.2">
      <c r="A245" s="496"/>
      <c r="B245" s="446" t="s">
        <v>517</v>
      </c>
      <c r="C245" s="446" t="s">
        <v>607</v>
      </c>
      <c r="D245" s="415" t="s">
        <v>474</v>
      </c>
      <c r="E245" s="490">
        <v>128</v>
      </c>
      <c r="F245" s="454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3">
        <f t="shared" si="5"/>
        <v>0</v>
      </c>
    </row>
    <row r="246" spans="1:18" x14ac:dyDescent="0.2">
      <c r="A246" s="496"/>
      <c r="B246" s="415" t="s">
        <v>552</v>
      </c>
      <c r="C246" s="409"/>
      <c r="D246" s="491" t="s">
        <v>553</v>
      </c>
      <c r="E246" s="490">
        <v>128</v>
      </c>
      <c r="F246" s="428"/>
      <c r="G246" s="424"/>
      <c r="H246" s="424"/>
      <c r="I246" s="424"/>
      <c r="J246" s="424"/>
      <c r="K246" s="424"/>
      <c r="L246" s="424"/>
      <c r="M246" s="424"/>
      <c r="N246" s="424"/>
      <c r="O246" s="424"/>
      <c r="P246" s="424"/>
      <c r="Q246" s="424"/>
      <c r="R246" s="413">
        <f t="shared" si="5"/>
        <v>0</v>
      </c>
    </row>
    <row r="247" spans="1:18" x14ac:dyDescent="0.2">
      <c r="A247" s="470" t="s">
        <v>558</v>
      </c>
      <c r="B247" s="403" t="s">
        <v>559</v>
      </c>
      <c r="C247" s="403"/>
      <c r="D247" s="485" t="s">
        <v>549</v>
      </c>
      <c r="E247" s="486" t="s">
        <v>550</v>
      </c>
      <c r="F247" s="471"/>
      <c r="G247" s="472"/>
      <c r="H247" s="472"/>
      <c r="I247" s="472"/>
      <c r="J247" s="472"/>
      <c r="K247" s="472"/>
      <c r="L247" s="472"/>
      <c r="M247" s="472"/>
      <c r="N247" s="472"/>
      <c r="O247" s="472"/>
      <c r="P247" s="472"/>
      <c r="Q247" s="472"/>
      <c r="R247" s="472"/>
    </row>
    <row r="248" spans="1:18" x14ac:dyDescent="0.2">
      <c r="A248" s="487"/>
      <c r="B248" s="531" t="s">
        <v>514</v>
      </c>
      <c r="C248" s="531" t="s">
        <v>605</v>
      </c>
      <c r="D248" s="497" t="s">
        <v>474</v>
      </c>
      <c r="E248" s="488">
        <v>341</v>
      </c>
      <c r="F248" s="442"/>
      <c r="G248" s="480"/>
      <c r="H248" s="480"/>
      <c r="I248" s="480"/>
      <c r="J248" s="480"/>
      <c r="K248" s="480"/>
      <c r="L248" s="480"/>
      <c r="M248" s="480"/>
      <c r="N248" s="480"/>
      <c r="O248" s="480"/>
      <c r="P248" s="480"/>
      <c r="Q248" s="480"/>
      <c r="R248" s="413">
        <f t="shared" ref="R248:R250" si="6">SUM(F248:Q248)</f>
        <v>0</v>
      </c>
    </row>
    <row r="249" spans="1:18" x14ac:dyDescent="0.2">
      <c r="A249" s="487"/>
      <c r="B249" s="446" t="s">
        <v>501</v>
      </c>
      <c r="C249" s="451" t="s">
        <v>598</v>
      </c>
      <c r="D249" s="408" t="s">
        <v>474</v>
      </c>
      <c r="E249" s="488">
        <v>338</v>
      </c>
      <c r="F249" s="454"/>
      <c r="G249" s="415"/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3">
        <f t="shared" si="6"/>
        <v>0</v>
      </c>
    </row>
    <row r="250" spans="1:18" x14ac:dyDescent="0.2">
      <c r="A250" s="496"/>
      <c r="B250" s="415" t="s">
        <v>552</v>
      </c>
      <c r="C250" s="498"/>
      <c r="D250" s="498"/>
      <c r="E250" s="488">
        <v>341</v>
      </c>
      <c r="F250" s="499"/>
      <c r="G250" s="424"/>
      <c r="H250" s="424"/>
      <c r="I250" s="424"/>
      <c r="J250" s="424"/>
      <c r="K250" s="424"/>
      <c r="L250" s="424"/>
      <c r="M250" s="424"/>
      <c r="N250" s="424"/>
      <c r="O250" s="424"/>
      <c r="P250" s="424"/>
      <c r="Q250" s="424"/>
      <c r="R250" s="500">
        <f t="shared" si="6"/>
        <v>0</v>
      </c>
    </row>
    <row r="251" spans="1:18" x14ac:dyDescent="0.2">
      <c r="A251" s="470" t="s">
        <v>560</v>
      </c>
      <c r="B251" s="403" t="s">
        <v>561</v>
      </c>
      <c r="C251" s="403"/>
      <c r="D251" s="485" t="s">
        <v>549</v>
      </c>
      <c r="E251" s="486" t="s">
        <v>550</v>
      </c>
      <c r="F251" s="471"/>
      <c r="G251" s="472"/>
      <c r="H251" s="472"/>
      <c r="I251" s="472"/>
      <c r="J251" s="472"/>
      <c r="K251" s="472"/>
      <c r="L251" s="472"/>
      <c r="M251" s="472"/>
      <c r="N251" s="472"/>
      <c r="O251" s="472"/>
      <c r="P251" s="472"/>
      <c r="Q251" s="472"/>
      <c r="R251" s="472"/>
    </row>
    <row r="252" spans="1:18" x14ac:dyDescent="0.2">
      <c r="A252" s="501"/>
      <c r="B252" s="531" t="s">
        <v>514</v>
      </c>
      <c r="C252" s="531" t="s">
        <v>605</v>
      </c>
      <c r="D252" s="497" t="s">
        <v>474</v>
      </c>
      <c r="E252" s="488">
        <v>341</v>
      </c>
      <c r="F252" s="442"/>
      <c r="G252" s="480"/>
      <c r="H252" s="480"/>
      <c r="I252" s="480"/>
      <c r="J252" s="480"/>
      <c r="K252" s="480"/>
      <c r="L252" s="480"/>
      <c r="M252" s="480"/>
      <c r="N252" s="480"/>
      <c r="O252" s="480"/>
      <c r="P252" s="480"/>
      <c r="Q252" s="480"/>
      <c r="R252" s="413">
        <f t="shared" ref="R252:R254" si="7">SUM(F252:Q252)</f>
        <v>0</v>
      </c>
    </row>
    <row r="253" spans="1:18" x14ac:dyDescent="0.2">
      <c r="A253" s="501"/>
      <c r="B253" s="523" t="s">
        <v>552</v>
      </c>
      <c r="C253" s="502"/>
      <c r="D253" s="502"/>
      <c r="E253" s="503"/>
      <c r="F253" s="504"/>
      <c r="G253" s="415"/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500">
        <f t="shared" si="7"/>
        <v>0</v>
      </c>
    </row>
    <row r="254" spans="1:18" x14ac:dyDescent="0.2">
      <c r="A254" s="493"/>
      <c r="B254" s="446"/>
      <c r="C254" s="448"/>
      <c r="D254" s="424"/>
      <c r="E254" s="424"/>
      <c r="F254" s="428"/>
      <c r="G254" s="424"/>
      <c r="H254" s="424"/>
      <c r="I254" s="424"/>
      <c r="J254" s="424"/>
      <c r="K254" s="424"/>
      <c r="L254" s="424"/>
      <c r="M254" s="424"/>
      <c r="N254" s="424"/>
      <c r="O254" s="424"/>
      <c r="P254" s="424"/>
      <c r="Q254" s="424"/>
      <c r="R254" s="413">
        <f t="shared" si="7"/>
        <v>0</v>
      </c>
    </row>
    <row r="255" spans="1:18" x14ac:dyDescent="0.2">
      <c r="A255" s="470" t="s">
        <v>562</v>
      </c>
      <c r="B255" s="403" t="s">
        <v>563</v>
      </c>
      <c r="C255" s="403"/>
      <c r="D255" s="485" t="s">
        <v>549</v>
      </c>
      <c r="E255" s="486" t="s">
        <v>550</v>
      </c>
      <c r="F255" s="471"/>
      <c r="G255" s="472"/>
      <c r="H255" s="472"/>
      <c r="I255" s="472"/>
      <c r="J255" s="472"/>
      <c r="K255" s="472"/>
      <c r="L255" s="472"/>
      <c r="M255" s="472"/>
      <c r="N255" s="472"/>
      <c r="O255" s="472"/>
      <c r="P255" s="472"/>
      <c r="Q255" s="472"/>
      <c r="R255" s="472"/>
    </row>
    <row r="256" spans="1:18" x14ac:dyDescent="0.2">
      <c r="A256" s="544"/>
      <c r="B256" s="531"/>
      <c r="C256" s="531"/>
      <c r="D256" s="480" t="s">
        <v>564</v>
      </c>
      <c r="E256" s="505">
        <v>515</v>
      </c>
      <c r="F256" s="442"/>
      <c r="G256" s="480"/>
      <c r="H256" s="480"/>
      <c r="I256" s="480"/>
      <c r="J256" s="480"/>
      <c r="K256" s="480"/>
      <c r="L256" s="480"/>
      <c r="M256" s="480"/>
      <c r="N256" s="480"/>
      <c r="O256" s="480"/>
      <c r="P256" s="480"/>
      <c r="Q256" s="480"/>
      <c r="R256" s="413">
        <f t="shared" ref="R256:R264" si="8">SUM(F256:Q256)</f>
        <v>0</v>
      </c>
    </row>
    <row r="257" spans="1:18" x14ac:dyDescent="0.2">
      <c r="A257" s="487"/>
      <c r="B257" s="523"/>
      <c r="C257" s="523"/>
      <c r="D257" s="415"/>
      <c r="E257" s="419">
        <v>138</v>
      </c>
      <c r="F257" s="454"/>
      <c r="G257" s="415"/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3">
        <f t="shared" si="8"/>
        <v>0</v>
      </c>
    </row>
    <row r="258" spans="1:18" x14ac:dyDescent="0.2">
      <c r="A258" s="487"/>
      <c r="B258" s="523"/>
      <c r="C258" s="523"/>
      <c r="D258" s="415" t="s">
        <v>564</v>
      </c>
      <c r="E258" s="488">
        <v>515</v>
      </c>
      <c r="F258" s="454"/>
      <c r="G258" s="415"/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3">
        <f t="shared" si="8"/>
        <v>0</v>
      </c>
    </row>
    <row r="259" spans="1:18" x14ac:dyDescent="0.2">
      <c r="A259" s="487"/>
      <c r="B259" s="523"/>
      <c r="C259" s="523"/>
      <c r="D259" s="415"/>
      <c r="E259" s="419">
        <v>138</v>
      </c>
      <c r="F259" s="454"/>
      <c r="G259" s="415"/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3">
        <f t="shared" si="8"/>
        <v>0</v>
      </c>
    </row>
    <row r="260" spans="1:18" x14ac:dyDescent="0.2">
      <c r="A260" s="487"/>
      <c r="B260" s="545"/>
      <c r="C260" s="477"/>
      <c r="D260" s="415" t="s">
        <v>564</v>
      </c>
      <c r="E260" s="488">
        <v>515</v>
      </c>
      <c r="F260" s="454"/>
      <c r="G260" s="415"/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3">
        <f t="shared" si="8"/>
        <v>0</v>
      </c>
    </row>
    <row r="261" spans="1:18" x14ac:dyDescent="0.2">
      <c r="A261" s="487"/>
      <c r="B261" s="546"/>
      <c r="C261" s="523"/>
      <c r="D261" s="415"/>
      <c r="E261" s="419">
        <v>138</v>
      </c>
      <c r="F261" s="454"/>
      <c r="G261" s="415"/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3">
        <f t="shared" si="8"/>
        <v>0</v>
      </c>
    </row>
    <row r="262" spans="1:18" x14ac:dyDescent="0.2">
      <c r="A262" s="487"/>
      <c r="B262" s="545"/>
      <c r="C262" s="477"/>
      <c r="D262" s="415" t="s">
        <v>564</v>
      </c>
      <c r="E262" s="488">
        <v>515</v>
      </c>
      <c r="F262" s="454"/>
      <c r="G262" s="415"/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3">
        <f t="shared" si="8"/>
        <v>0</v>
      </c>
    </row>
    <row r="263" spans="1:18" x14ac:dyDescent="0.2">
      <c r="A263" s="487"/>
      <c r="B263" s="546"/>
      <c r="C263" s="523"/>
      <c r="D263" s="415"/>
      <c r="E263" s="419">
        <v>138</v>
      </c>
      <c r="F263" s="454"/>
      <c r="G263" s="415"/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3">
        <f t="shared" si="8"/>
        <v>0</v>
      </c>
    </row>
    <row r="264" spans="1:18" x14ac:dyDescent="0.2">
      <c r="A264" s="493"/>
      <c r="B264" s="519"/>
      <c r="C264" s="519"/>
      <c r="D264" s="424"/>
      <c r="E264" s="423"/>
      <c r="F264" s="428"/>
      <c r="G264" s="424"/>
      <c r="H264" s="424"/>
      <c r="I264" s="424"/>
      <c r="J264" s="424"/>
      <c r="K264" s="424"/>
      <c r="L264" s="424"/>
      <c r="M264" s="424"/>
      <c r="N264" s="424"/>
      <c r="O264" s="424"/>
      <c r="P264" s="424"/>
      <c r="Q264" s="424"/>
      <c r="R264" s="413">
        <f t="shared" si="8"/>
        <v>0</v>
      </c>
    </row>
    <row r="265" spans="1:18" x14ac:dyDescent="0.2">
      <c r="A265" s="470" t="s">
        <v>565</v>
      </c>
      <c r="B265" s="403" t="s">
        <v>566</v>
      </c>
      <c r="C265" s="403"/>
      <c r="D265" s="485" t="s">
        <v>549</v>
      </c>
      <c r="E265" s="486" t="s">
        <v>550</v>
      </c>
      <c r="F265" s="471"/>
      <c r="G265" s="472"/>
      <c r="H265" s="472"/>
      <c r="I265" s="472"/>
      <c r="J265" s="472"/>
      <c r="K265" s="472"/>
      <c r="L265" s="472"/>
      <c r="M265" s="472"/>
      <c r="N265" s="472"/>
      <c r="O265" s="472"/>
      <c r="P265" s="472"/>
      <c r="Q265" s="472"/>
      <c r="R265" s="472"/>
    </row>
    <row r="266" spans="1:18" x14ac:dyDescent="0.2">
      <c r="A266" s="496"/>
      <c r="B266" s="523" t="s">
        <v>492</v>
      </c>
      <c r="C266" s="408" t="s">
        <v>597</v>
      </c>
      <c r="D266" s="480"/>
      <c r="E266" s="488" t="s">
        <v>567</v>
      </c>
      <c r="F266" s="442"/>
      <c r="G266" s="480"/>
      <c r="H266" s="480"/>
      <c r="I266" s="480"/>
      <c r="J266" s="480"/>
      <c r="K266" s="480"/>
      <c r="L266" s="480"/>
      <c r="M266" s="480"/>
      <c r="N266" s="480"/>
      <c r="O266" s="480"/>
      <c r="P266" s="480"/>
      <c r="Q266" s="480"/>
      <c r="R266" s="413">
        <f t="shared" ref="R266:R270" si="9">SUM(F266:Q266)</f>
        <v>0</v>
      </c>
    </row>
    <row r="267" spans="1:18" x14ac:dyDescent="0.2">
      <c r="A267" s="496"/>
      <c r="B267" s="523"/>
      <c r="C267" s="408"/>
      <c r="D267" s="409"/>
      <c r="E267" s="488" t="s">
        <v>568</v>
      </c>
      <c r="F267" s="454"/>
      <c r="G267" s="415"/>
      <c r="H267" s="415"/>
      <c r="I267" s="415"/>
      <c r="J267" s="415"/>
      <c r="K267" s="415"/>
      <c r="L267" s="415"/>
      <c r="M267" s="415"/>
      <c r="N267" s="415"/>
      <c r="O267" s="415"/>
      <c r="P267" s="415"/>
      <c r="Q267" s="415"/>
      <c r="R267" s="413">
        <f t="shared" si="9"/>
        <v>0</v>
      </c>
    </row>
    <row r="268" spans="1:18" x14ac:dyDescent="0.2">
      <c r="A268" s="496"/>
      <c r="B268" s="523" t="s">
        <v>552</v>
      </c>
      <c r="C268" s="408"/>
      <c r="D268" s="491"/>
      <c r="E268" s="488" t="s">
        <v>568</v>
      </c>
      <c r="F268" s="454"/>
      <c r="G268" s="415"/>
      <c r="H268" s="415"/>
      <c r="I268" s="415"/>
      <c r="J268" s="415"/>
      <c r="K268" s="415"/>
      <c r="L268" s="415"/>
      <c r="M268" s="415"/>
      <c r="N268" s="415"/>
      <c r="O268" s="415"/>
      <c r="P268" s="415"/>
      <c r="Q268" s="415"/>
      <c r="R268" s="413">
        <f t="shared" si="9"/>
        <v>0</v>
      </c>
    </row>
    <row r="269" spans="1:18" x14ac:dyDescent="0.2">
      <c r="A269" s="496"/>
      <c r="B269" s="446" t="s">
        <v>569</v>
      </c>
      <c r="C269" s="451"/>
      <c r="D269" s="491"/>
      <c r="E269" s="488" t="s">
        <v>568</v>
      </c>
      <c r="F269" s="454"/>
      <c r="G269" s="415"/>
      <c r="H269" s="415"/>
      <c r="I269" s="415"/>
      <c r="J269" s="415"/>
      <c r="K269" s="415"/>
      <c r="L269" s="415"/>
      <c r="M269" s="415"/>
      <c r="N269" s="415"/>
      <c r="O269" s="415"/>
      <c r="P269" s="415"/>
      <c r="Q269" s="415"/>
      <c r="R269" s="413">
        <f t="shared" si="9"/>
        <v>0</v>
      </c>
    </row>
    <row r="270" spans="1:18" x14ac:dyDescent="0.2">
      <c r="A270" s="496"/>
      <c r="B270" s="446" t="s">
        <v>570</v>
      </c>
      <c r="C270" s="451"/>
      <c r="D270" s="491"/>
      <c r="E270" s="488" t="s">
        <v>568</v>
      </c>
      <c r="F270" s="428"/>
      <c r="G270" s="424"/>
      <c r="H270" s="424"/>
      <c r="I270" s="424"/>
      <c r="J270" s="424"/>
      <c r="K270" s="424"/>
      <c r="L270" s="424"/>
      <c r="M270" s="424"/>
      <c r="N270" s="424"/>
      <c r="O270" s="424"/>
      <c r="P270" s="424"/>
      <c r="Q270" s="424"/>
      <c r="R270" s="413">
        <f t="shared" si="9"/>
        <v>0</v>
      </c>
    </row>
    <row r="271" spans="1:18" x14ac:dyDescent="0.2">
      <c r="A271" s="470" t="s">
        <v>571</v>
      </c>
      <c r="B271" s="403" t="s">
        <v>572</v>
      </c>
      <c r="C271" s="403"/>
      <c r="D271" s="485" t="s">
        <v>549</v>
      </c>
      <c r="E271" s="486" t="s">
        <v>550</v>
      </c>
      <c r="F271" s="471"/>
      <c r="G271" s="472"/>
      <c r="H271" s="472"/>
      <c r="I271" s="472"/>
      <c r="J271" s="472"/>
      <c r="K271" s="472"/>
      <c r="L271" s="472"/>
      <c r="M271" s="472"/>
      <c r="N271" s="472"/>
      <c r="O271" s="472"/>
      <c r="P271" s="472"/>
      <c r="Q271" s="472"/>
      <c r="R271" s="472"/>
    </row>
    <row r="272" spans="1:18" x14ac:dyDescent="0.2">
      <c r="A272" s="496"/>
      <c r="B272" s="523" t="s">
        <v>492</v>
      </c>
      <c r="C272" s="408" t="s">
        <v>597</v>
      </c>
      <c r="D272" s="480"/>
      <c r="E272" s="488" t="s">
        <v>573</v>
      </c>
      <c r="F272" s="442"/>
      <c r="G272" s="480"/>
      <c r="H272" s="480"/>
      <c r="I272" s="480"/>
      <c r="J272" s="480"/>
      <c r="K272" s="480"/>
      <c r="L272" s="480"/>
      <c r="M272" s="480"/>
      <c r="N272" s="480"/>
      <c r="O272" s="480"/>
      <c r="P272" s="480"/>
      <c r="Q272" s="480"/>
      <c r="R272" s="413">
        <f t="shared" ref="R272:R279" si="10">SUM(F272:Q272)</f>
        <v>0</v>
      </c>
    </row>
    <row r="273" spans="1:18" x14ac:dyDescent="0.2">
      <c r="A273" s="496"/>
      <c r="B273" s="523"/>
      <c r="C273" s="408"/>
      <c r="D273" s="409"/>
      <c r="E273" s="488"/>
      <c r="F273" s="454"/>
      <c r="G273" s="415"/>
      <c r="H273" s="415"/>
      <c r="I273" s="415"/>
      <c r="J273" s="415"/>
      <c r="K273" s="415"/>
      <c r="L273" s="415"/>
      <c r="M273" s="415"/>
      <c r="N273" s="415"/>
      <c r="O273" s="415"/>
      <c r="P273" s="415"/>
      <c r="Q273" s="415"/>
      <c r="R273" s="413">
        <f t="shared" si="10"/>
        <v>0</v>
      </c>
    </row>
    <row r="274" spans="1:18" x14ac:dyDescent="0.2">
      <c r="A274" s="496"/>
      <c r="B274" s="523" t="s">
        <v>552</v>
      </c>
      <c r="C274" s="408"/>
      <c r="D274" s="491"/>
      <c r="E274" s="488" t="s">
        <v>573</v>
      </c>
      <c r="F274" s="454"/>
      <c r="G274" s="415"/>
      <c r="H274" s="415"/>
      <c r="I274" s="415"/>
      <c r="J274" s="415"/>
      <c r="K274" s="415"/>
      <c r="L274" s="415"/>
      <c r="M274" s="415"/>
      <c r="N274" s="415"/>
      <c r="O274" s="415"/>
      <c r="P274" s="415"/>
      <c r="Q274" s="415"/>
      <c r="R274" s="413">
        <f t="shared" si="10"/>
        <v>0</v>
      </c>
    </row>
    <row r="275" spans="1:18" x14ac:dyDescent="0.2">
      <c r="A275" s="496"/>
      <c r="B275" s="523"/>
      <c r="C275" s="408"/>
      <c r="D275" s="491"/>
      <c r="E275" s="488" t="s">
        <v>574</v>
      </c>
      <c r="F275" s="454"/>
      <c r="G275" s="415"/>
      <c r="H275" s="415"/>
      <c r="I275" s="415"/>
      <c r="J275" s="415"/>
      <c r="K275" s="415"/>
      <c r="L275" s="415"/>
      <c r="M275" s="415"/>
      <c r="N275" s="415"/>
      <c r="O275" s="415"/>
      <c r="P275" s="415"/>
      <c r="Q275" s="415"/>
      <c r="R275" s="413">
        <f t="shared" si="10"/>
        <v>0</v>
      </c>
    </row>
    <row r="276" spans="1:18" x14ac:dyDescent="0.2">
      <c r="A276" s="496"/>
      <c r="B276" s="446" t="s">
        <v>569</v>
      </c>
      <c r="C276" s="451"/>
      <c r="D276" s="491"/>
      <c r="E276" s="488" t="s">
        <v>573</v>
      </c>
      <c r="F276" s="454"/>
      <c r="G276" s="415"/>
      <c r="H276" s="415"/>
      <c r="I276" s="415"/>
      <c r="J276" s="415"/>
      <c r="K276" s="415"/>
      <c r="L276" s="415"/>
      <c r="M276" s="415"/>
      <c r="N276" s="415"/>
      <c r="O276" s="415"/>
      <c r="P276" s="415"/>
      <c r="Q276" s="415"/>
      <c r="R276" s="413">
        <f t="shared" si="10"/>
        <v>0</v>
      </c>
    </row>
    <row r="277" spans="1:18" x14ac:dyDescent="0.2">
      <c r="B277" s="446"/>
      <c r="C277" s="451"/>
      <c r="D277" s="491"/>
      <c r="E277" s="488" t="s">
        <v>574</v>
      </c>
      <c r="F277" s="454"/>
      <c r="G277" s="415"/>
      <c r="H277" s="415"/>
      <c r="I277" s="415"/>
      <c r="J277" s="415"/>
      <c r="K277" s="415"/>
      <c r="L277" s="415"/>
      <c r="M277" s="415"/>
      <c r="N277" s="415"/>
      <c r="O277" s="415"/>
      <c r="P277" s="415"/>
      <c r="Q277" s="415"/>
      <c r="R277" s="413">
        <f t="shared" si="10"/>
        <v>0</v>
      </c>
    </row>
    <row r="278" spans="1:18" x14ac:dyDescent="0.2">
      <c r="A278" s="496"/>
      <c r="B278" s="446" t="s">
        <v>570</v>
      </c>
      <c r="C278" s="451"/>
      <c r="D278" s="491" t="s">
        <v>575</v>
      </c>
      <c r="E278" s="488" t="s">
        <v>573</v>
      </c>
      <c r="F278" s="454"/>
      <c r="G278" s="415"/>
      <c r="H278" s="415"/>
      <c r="I278" s="415"/>
      <c r="J278" s="415"/>
      <c r="K278" s="415"/>
      <c r="L278" s="415"/>
      <c r="M278" s="415"/>
      <c r="N278" s="415"/>
      <c r="O278" s="415"/>
      <c r="P278" s="415"/>
      <c r="Q278" s="415"/>
      <c r="R278" s="413">
        <f t="shared" si="10"/>
        <v>0</v>
      </c>
    </row>
    <row r="279" spans="1:18" x14ac:dyDescent="0.2">
      <c r="A279" s="506"/>
      <c r="B279" s="462"/>
      <c r="C279" s="536"/>
      <c r="D279" s="507"/>
      <c r="E279" s="495" t="s">
        <v>574</v>
      </c>
      <c r="F279" s="428"/>
      <c r="G279" s="424"/>
      <c r="H279" s="424"/>
      <c r="I279" s="424"/>
      <c r="J279" s="424"/>
      <c r="K279" s="424"/>
      <c r="L279" s="424"/>
      <c r="M279" s="424"/>
      <c r="N279" s="424"/>
      <c r="O279" s="424"/>
      <c r="P279" s="424"/>
      <c r="Q279" s="424"/>
      <c r="R279" s="428">
        <f t="shared" si="10"/>
        <v>0</v>
      </c>
    </row>
    <row r="280" spans="1:18" x14ac:dyDescent="0.2">
      <c r="B280" s="460"/>
      <c r="C280" s="460"/>
      <c r="D280" s="508"/>
      <c r="E280" s="509"/>
    </row>
    <row r="282" spans="1:18" x14ac:dyDescent="0.2">
      <c r="A282" s="390" t="s">
        <v>576</v>
      </c>
      <c r="B282" s="391" t="s">
        <v>577</v>
      </c>
      <c r="C282" s="391"/>
      <c r="D282" s="392"/>
    </row>
    <row r="283" spans="1:18" x14ac:dyDescent="0.2">
      <c r="F283" s="393" t="s">
        <v>578</v>
      </c>
      <c r="G283" s="394"/>
      <c r="H283" s="394"/>
      <c r="I283" s="394"/>
      <c r="J283" s="394"/>
      <c r="K283" s="394"/>
      <c r="L283" s="394"/>
      <c r="M283" s="394"/>
      <c r="N283" s="394"/>
      <c r="O283" s="394"/>
      <c r="P283" s="394"/>
      <c r="Q283" s="394"/>
    </row>
    <row r="284" spans="1:18" x14ac:dyDescent="0.2">
      <c r="A284" s="547" t="s">
        <v>490</v>
      </c>
      <c r="B284" s="537" t="s">
        <v>579</v>
      </c>
      <c r="C284" s="537"/>
      <c r="D284" s="510" t="s">
        <v>550</v>
      </c>
      <c r="E284" s="480"/>
      <c r="F284" s="511" t="s">
        <v>477</v>
      </c>
      <c r="G284" s="511" t="s">
        <v>478</v>
      </c>
      <c r="H284" s="511" t="s">
        <v>479</v>
      </c>
      <c r="I284" s="511" t="s">
        <v>480</v>
      </c>
      <c r="J284" s="511" t="s">
        <v>481</v>
      </c>
      <c r="K284" s="511" t="s">
        <v>482</v>
      </c>
      <c r="L284" s="511" t="s">
        <v>483</v>
      </c>
      <c r="M284" s="511" t="s">
        <v>484</v>
      </c>
      <c r="N284" s="511" t="s">
        <v>485</v>
      </c>
      <c r="O284" s="511" t="s">
        <v>486</v>
      </c>
      <c r="P284" s="511" t="s">
        <v>487</v>
      </c>
      <c r="Q284" s="511" t="s">
        <v>488</v>
      </c>
    </row>
    <row r="285" spans="1:18" x14ac:dyDescent="0.2">
      <c r="A285" s="548">
        <v>1</v>
      </c>
      <c r="B285" s="538" t="s">
        <v>492</v>
      </c>
      <c r="C285" s="538" t="s">
        <v>597</v>
      </c>
      <c r="D285" s="481">
        <v>131</v>
      </c>
      <c r="E285" s="480"/>
      <c r="F285" s="512"/>
      <c r="G285" s="512"/>
      <c r="H285" s="512"/>
      <c r="I285" s="512"/>
      <c r="J285" s="512"/>
      <c r="K285" s="512"/>
      <c r="L285" s="512"/>
      <c r="M285" s="512"/>
      <c r="N285" s="512"/>
      <c r="O285" s="512"/>
      <c r="P285" s="512"/>
      <c r="Q285" s="444"/>
    </row>
    <row r="286" spans="1:18" x14ac:dyDescent="0.2">
      <c r="A286" s="513"/>
      <c r="B286" s="514"/>
      <c r="C286" s="514"/>
      <c r="D286" s="515">
        <v>138</v>
      </c>
      <c r="E286" s="469"/>
      <c r="F286" s="516"/>
      <c r="G286" s="516"/>
      <c r="H286" s="516"/>
      <c r="I286" s="516"/>
      <c r="J286" s="516"/>
      <c r="K286" s="516"/>
      <c r="L286" s="516"/>
      <c r="M286" s="516"/>
      <c r="N286" s="516"/>
      <c r="O286" s="516"/>
      <c r="P286" s="516"/>
      <c r="Q286" s="517"/>
    </row>
    <row r="287" spans="1:18" x14ac:dyDescent="0.2">
      <c r="A287" s="548">
        <v>2</v>
      </c>
      <c r="B287" s="538" t="s">
        <v>501</v>
      </c>
      <c r="C287" s="538" t="s">
        <v>598</v>
      </c>
      <c r="D287" s="481">
        <v>131</v>
      </c>
      <c r="E287" s="480"/>
      <c r="F287" s="512"/>
      <c r="G287" s="512"/>
      <c r="H287" s="512"/>
      <c r="I287" s="512"/>
      <c r="J287" s="512"/>
      <c r="K287" s="512"/>
      <c r="L287" s="512"/>
      <c r="M287" s="512"/>
      <c r="N287" s="512"/>
      <c r="O287" s="512"/>
      <c r="P287" s="512"/>
      <c r="Q287" s="444"/>
    </row>
    <row r="288" spans="1:18" x14ac:dyDescent="0.2">
      <c r="A288" s="513"/>
      <c r="B288" s="514"/>
      <c r="C288" s="514"/>
      <c r="D288" s="515">
        <v>138</v>
      </c>
      <c r="E288" s="469"/>
      <c r="F288" s="516"/>
      <c r="G288" s="516"/>
      <c r="H288" s="516"/>
      <c r="I288" s="516"/>
      <c r="J288" s="516"/>
      <c r="K288" s="516"/>
      <c r="L288" s="516"/>
      <c r="M288" s="516"/>
      <c r="N288" s="516"/>
      <c r="O288" s="516"/>
      <c r="P288" s="516"/>
      <c r="Q288" s="517"/>
    </row>
    <row r="289" spans="1:17" s="387" customFormat="1" x14ac:dyDescent="0.2">
      <c r="A289" s="548">
        <v>3</v>
      </c>
      <c r="B289" s="538" t="s">
        <v>506</v>
      </c>
      <c r="C289" s="538" t="s">
        <v>599</v>
      </c>
      <c r="D289" s="481">
        <v>131</v>
      </c>
      <c r="E289" s="480"/>
      <c r="F289" s="512"/>
      <c r="G289" s="512"/>
      <c r="H289" s="512"/>
      <c r="I289" s="512"/>
      <c r="J289" s="512"/>
      <c r="K289" s="512"/>
      <c r="L289" s="512"/>
      <c r="M289" s="512"/>
      <c r="N289" s="512"/>
      <c r="O289" s="512"/>
      <c r="P289" s="512"/>
      <c r="Q289" s="444"/>
    </row>
    <row r="290" spans="1:17" s="387" customFormat="1" x14ac:dyDescent="0.2">
      <c r="A290" s="513"/>
      <c r="B290" s="514"/>
      <c r="C290" s="514"/>
      <c r="D290" s="515">
        <v>138</v>
      </c>
      <c r="E290" s="469"/>
      <c r="F290" s="516"/>
      <c r="G290" s="516"/>
      <c r="H290" s="516"/>
      <c r="I290" s="516"/>
      <c r="J290" s="516"/>
      <c r="K290" s="516"/>
      <c r="L290" s="516"/>
      <c r="M290" s="516"/>
      <c r="N290" s="516"/>
      <c r="O290" s="516"/>
      <c r="P290" s="516"/>
      <c r="Q290" s="517"/>
    </row>
    <row r="291" spans="1:17" s="387" customFormat="1" x14ac:dyDescent="0.2">
      <c r="A291" s="548">
        <v>4</v>
      </c>
      <c r="B291" s="538" t="s">
        <v>508</v>
      </c>
      <c r="C291" s="538" t="s">
        <v>600</v>
      </c>
      <c r="D291" s="481">
        <v>131</v>
      </c>
      <c r="E291" s="480"/>
      <c r="F291" s="512"/>
      <c r="G291" s="512"/>
      <c r="H291" s="512"/>
      <c r="I291" s="512"/>
      <c r="J291" s="512"/>
      <c r="K291" s="512"/>
      <c r="L291" s="512"/>
      <c r="M291" s="512"/>
      <c r="N291" s="512"/>
      <c r="O291" s="512"/>
      <c r="P291" s="512"/>
      <c r="Q291" s="444"/>
    </row>
    <row r="292" spans="1:17" s="387" customFormat="1" x14ac:dyDescent="0.2">
      <c r="A292" s="513"/>
      <c r="B292" s="514"/>
      <c r="C292" s="514"/>
      <c r="D292" s="515">
        <v>138</v>
      </c>
      <c r="E292" s="469"/>
      <c r="F292" s="516"/>
      <c r="G292" s="516"/>
      <c r="H292" s="516"/>
      <c r="I292" s="516"/>
      <c r="J292" s="516"/>
      <c r="K292" s="516"/>
      <c r="L292" s="516"/>
      <c r="M292" s="516"/>
      <c r="N292" s="516"/>
      <c r="O292" s="516"/>
      <c r="P292" s="516"/>
      <c r="Q292" s="517"/>
    </row>
    <row r="293" spans="1:17" s="387" customFormat="1" x14ac:dyDescent="0.2">
      <c r="A293" s="548">
        <v>5</v>
      </c>
      <c r="B293" s="538" t="s">
        <v>509</v>
      </c>
      <c r="C293" s="538" t="s">
        <v>601</v>
      </c>
      <c r="D293" s="481">
        <v>131</v>
      </c>
      <c r="E293" s="480"/>
      <c r="F293" s="512"/>
      <c r="G293" s="512"/>
      <c r="H293" s="512"/>
      <c r="I293" s="512"/>
      <c r="J293" s="512"/>
      <c r="K293" s="512"/>
      <c r="L293" s="512"/>
      <c r="M293" s="512"/>
      <c r="N293" s="512"/>
      <c r="O293" s="512"/>
      <c r="P293" s="512"/>
      <c r="Q293" s="444"/>
    </row>
    <row r="294" spans="1:17" s="387" customFormat="1" x14ac:dyDescent="0.2">
      <c r="A294" s="513"/>
      <c r="B294" s="514"/>
      <c r="C294" s="514"/>
      <c r="D294" s="515">
        <v>138</v>
      </c>
      <c r="E294" s="469"/>
      <c r="F294" s="516"/>
      <c r="G294" s="516"/>
      <c r="H294" s="516"/>
      <c r="I294" s="516"/>
      <c r="J294" s="516"/>
      <c r="K294" s="516"/>
      <c r="L294" s="516"/>
      <c r="M294" s="516"/>
      <c r="N294" s="516"/>
      <c r="O294" s="516"/>
      <c r="P294" s="516"/>
      <c r="Q294" s="517"/>
    </row>
    <row r="295" spans="1:17" s="387" customFormat="1" x14ac:dyDescent="0.2">
      <c r="A295" s="548">
        <v>6</v>
      </c>
      <c r="B295" s="538" t="s">
        <v>511</v>
      </c>
      <c r="C295" s="538" t="s">
        <v>602</v>
      </c>
      <c r="D295" s="481">
        <v>131</v>
      </c>
      <c r="E295" s="480"/>
      <c r="F295" s="512"/>
      <c r="G295" s="512"/>
      <c r="H295" s="512"/>
      <c r="I295" s="512"/>
      <c r="J295" s="512"/>
      <c r="K295" s="512"/>
      <c r="L295" s="512"/>
      <c r="M295" s="512"/>
      <c r="N295" s="512"/>
      <c r="O295" s="512"/>
      <c r="P295" s="512"/>
      <c r="Q295" s="444"/>
    </row>
    <row r="296" spans="1:17" s="387" customFormat="1" x14ac:dyDescent="0.2">
      <c r="A296" s="513"/>
      <c r="B296" s="514"/>
      <c r="C296" s="514"/>
      <c r="D296" s="515">
        <v>138</v>
      </c>
      <c r="E296" s="469"/>
      <c r="F296" s="516"/>
      <c r="G296" s="516"/>
      <c r="H296" s="516"/>
      <c r="I296" s="516"/>
      <c r="J296" s="516"/>
      <c r="K296" s="516"/>
      <c r="L296" s="516"/>
      <c r="M296" s="516"/>
      <c r="N296" s="516"/>
      <c r="O296" s="516"/>
      <c r="P296" s="516"/>
      <c r="Q296" s="517"/>
    </row>
    <row r="297" spans="1:17" s="387" customFormat="1" x14ac:dyDescent="0.2">
      <c r="A297" s="548">
        <v>7</v>
      </c>
      <c r="B297" s="531" t="s">
        <v>603</v>
      </c>
      <c r="C297" s="531" t="s">
        <v>604</v>
      </c>
      <c r="D297" s="481">
        <v>131</v>
      </c>
      <c r="E297" s="480"/>
      <c r="F297" s="512"/>
      <c r="G297" s="512"/>
      <c r="H297" s="512"/>
      <c r="I297" s="512"/>
      <c r="J297" s="512"/>
      <c r="K297" s="512"/>
      <c r="L297" s="512"/>
      <c r="M297" s="512"/>
      <c r="N297" s="512"/>
      <c r="O297" s="512"/>
      <c r="P297" s="512"/>
      <c r="Q297" s="444"/>
    </row>
    <row r="298" spans="1:17" s="387" customFormat="1" x14ac:dyDescent="0.2">
      <c r="A298" s="518"/>
      <c r="B298" s="519"/>
      <c r="C298" s="519"/>
      <c r="D298" s="474">
        <v>138</v>
      </c>
      <c r="E298" s="424"/>
      <c r="F298" s="520"/>
      <c r="G298" s="520"/>
      <c r="H298" s="520"/>
      <c r="I298" s="520"/>
      <c r="J298" s="520"/>
      <c r="K298" s="520"/>
      <c r="L298" s="520"/>
      <c r="M298" s="520"/>
      <c r="N298" s="520"/>
      <c r="O298" s="520"/>
      <c r="P298" s="520"/>
      <c r="Q298" s="482"/>
    </row>
    <row r="299" spans="1:17" s="387" customFormat="1" x14ac:dyDescent="0.2">
      <c r="A299" s="548">
        <v>8</v>
      </c>
      <c r="B299" s="538" t="s">
        <v>514</v>
      </c>
      <c r="C299" s="538" t="s">
        <v>605</v>
      </c>
      <c r="D299" s="481">
        <v>131</v>
      </c>
      <c r="E299" s="480"/>
      <c r="F299" s="512"/>
      <c r="G299" s="512"/>
      <c r="H299" s="512"/>
      <c r="I299" s="512"/>
      <c r="J299" s="512"/>
      <c r="K299" s="512"/>
      <c r="L299" s="512"/>
      <c r="M299" s="512"/>
      <c r="N299" s="512"/>
      <c r="O299" s="512"/>
      <c r="P299" s="512"/>
      <c r="Q299" s="444"/>
    </row>
    <row r="300" spans="1:17" s="387" customFormat="1" x14ac:dyDescent="0.2">
      <c r="A300" s="513"/>
      <c r="B300" s="514"/>
      <c r="C300" s="514"/>
      <c r="D300" s="515">
        <v>138</v>
      </c>
      <c r="E300" s="469"/>
      <c r="F300" s="516"/>
      <c r="G300" s="516"/>
      <c r="H300" s="516"/>
      <c r="I300" s="516"/>
      <c r="J300" s="516"/>
      <c r="K300" s="516"/>
      <c r="L300" s="516"/>
      <c r="M300" s="516"/>
      <c r="N300" s="516"/>
      <c r="O300" s="516"/>
      <c r="P300" s="516"/>
      <c r="Q300" s="517"/>
    </row>
    <row r="301" spans="1:17" s="387" customFormat="1" x14ac:dyDescent="0.2">
      <c r="A301" s="548">
        <v>9</v>
      </c>
      <c r="B301" s="538" t="s">
        <v>516</v>
      </c>
      <c r="C301" s="538" t="s">
        <v>606</v>
      </c>
      <c r="D301" s="481">
        <v>131</v>
      </c>
      <c r="E301" s="480"/>
      <c r="F301" s="512"/>
      <c r="G301" s="512"/>
      <c r="H301" s="512"/>
      <c r="I301" s="512"/>
      <c r="J301" s="512"/>
      <c r="K301" s="512"/>
      <c r="L301" s="512"/>
      <c r="M301" s="512"/>
      <c r="N301" s="512"/>
      <c r="O301" s="512"/>
      <c r="P301" s="512"/>
      <c r="Q301" s="444"/>
    </row>
    <row r="302" spans="1:17" s="387" customFormat="1" x14ac:dyDescent="0.2">
      <c r="A302" s="513"/>
      <c r="B302" s="514"/>
      <c r="C302" s="514"/>
      <c r="D302" s="515">
        <v>138</v>
      </c>
      <c r="E302" s="469"/>
      <c r="F302" s="516"/>
      <c r="G302" s="516"/>
      <c r="H302" s="516"/>
      <c r="I302" s="516"/>
      <c r="J302" s="516"/>
      <c r="K302" s="516"/>
      <c r="L302" s="516"/>
      <c r="M302" s="516"/>
      <c r="N302" s="516"/>
      <c r="O302" s="516"/>
      <c r="P302" s="516"/>
      <c r="Q302" s="517"/>
    </row>
    <row r="303" spans="1:17" s="387" customFormat="1" x14ac:dyDescent="0.2">
      <c r="A303" s="548">
        <v>10</v>
      </c>
      <c r="B303" s="538" t="s">
        <v>517</v>
      </c>
      <c r="C303" s="538" t="s">
        <v>607</v>
      </c>
      <c r="D303" s="481">
        <v>131</v>
      </c>
      <c r="E303" s="480"/>
      <c r="F303" s="512"/>
      <c r="G303" s="512"/>
      <c r="H303" s="512"/>
      <c r="I303" s="512"/>
      <c r="J303" s="512"/>
      <c r="K303" s="512"/>
      <c r="L303" s="512"/>
      <c r="M303" s="512"/>
      <c r="N303" s="512"/>
      <c r="O303" s="512"/>
      <c r="P303" s="512"/>
      <c r="Q303" s="444"/>
    </row>
    <row r="304" spans="1:17" s="387" customFormat="1" x14ac:dyDescent="0.2">
      <c r="A304" s="513"/>
      <c r="B304" s="514"/>
      <c r="C304" s="514"/>
      <c r="D304" s="515">
        <v>138</v>
      </c>
      <c r="E304" s="469"/>
      <c r="F304" s="516"/>
      <c r="G304" s="516"/>
      <c r="H304" s="516"/>
      <c r="I304" s="516"/>
      <c r="J304" s="516"/>
      <c r="K304" s="516"/>
      <c r="L304" s="516"/>
      <c r="M304" s="516"/>
      <c r="N304" s="516"/>
      <c r="O304" s="516"/>
      <c r="P304" s="516"/>
      <c r="Q304" s="517"/>
    </row>
    <row r="305" spans="1:17" s="387" customFormat="1" x14ac:dyDescent="0.2">
      <c r="A305" s="548">
        <v>11</v>
      </c>
      <c r="B305" s="538" t="s">
        <v>518</v>
      </c>
      <c r="C305" s="538" t="s">
        <v>608</v>
      </c>
      <c r="D305" s="481">
        <v>131</v>
      </c>
      <c r="E305" s="480"/>
      <c r="F305" s="512"/>
      <c r="G305" s="512"/>
      <c r="H305" s="512"/>
      <c r="I305" s="512"/>
      <c r="J305" s="512"/>
      <c r="K305" s="512"/>
      <c r="L305" s="512"/>
      <c r="M305" s="512"/>
      <c r="N305" s="512"/>
      <c r="O305" s="512"/>
      <c r="P305" s="512"/>
      <c r="Q305" s="444"/>
    </row>
    <row r="306" spans="1:17" s="387" customFormat="1" x14ac:dyDescent="0.2">
      <c r="A306" s="513"/>
      <c r="B306" s="514"/>
      <c r="C306" s="514"/>
      <c r="D306" s="515">
        <v>138</v>
      </c>
      <c r="E306" s="469"/>
      <c r="F306" s="516"/>
      <c r="G306" s="516"/>
      <c r="H306" s="516"/>
      <c r="I306" s="516"/>
      <c r="J306" s="516"/>
      <c r="K306" s="516"/>
      <c r="L306" s="516"/>
      <c r="M306" s="516"/>
      <c r="N306" s="516"/>
      <c r="O306" s="516"/>
      <c r="P306" s="516"/>
      <c r="Q306" s="517"/>
    </row>
    <row r="307" spans="1:17" s="387" customFormat="1" x14ac:dyDescent="0.2">
      <c r="A307" s="548">
        <v>12</v>
      </c>
      <c r="B307" s="538" t="s">
        <v>519</v>
      </c>
      <c r="C307" s="538" t="s">
        <v>609</v>
      </c>
      <c r="D307" s="481">
        <v>131</v>
      </c>
      <c r="E307" s="480"/>
      <c r="F307" s="512"/>
      <c r="G307" s="512"/>
      <c r="H307" s="512"/>
      <c r="I307" s="512"/>
      <c r="J307" s="512"/>
      <c r="K307" s="512"/>
      <c r="L307" s="512"/>
      <c r="M307" s="512"/>
      <c r="N307" s="512"/>
      <c r="O307" s="512"/>
      <c r="P307" s="512"/>
      <c r="Q307" s="444"/>
    </row>
    <row r="308" spans="1:17" s="387" customFormat="1" x14ac:dyDescent="0.2">
      <c r="A308" s="513"/>
      <c r="B308" s="514"/>
      <c r="C308" s="514"/>
      <c r="D308" s="515">
        <v>138</v>
      </c>
      <c r="E308" s="469"/>
      <c r="F308" s="516"/>
      <c r="G308" s="516"/>
      <c r="H308" s="516"/>
      <c r="I308" s="516"/>
      <c r="J308" s="516"/>
      <c r="K308" s="516"/>
      <c r="L308" s="516"/>
      <c r="M308" s="516"/>
      <c r="N308" s="516"/>
      <c r="O308" s="516"/>
      <c r="P308" s="516"/>
      <c r="Q308" s="517"/>
    </row>
    <row r="309" spans="1:17" s="387" customFormat="1" x14ac:dyDescent="0.2">
      <c r="A309" s="548">
        <v>13</v>
      </c>
      <c r="B309" s="538" t="s">
        <v>520</v>
      </c>
      <c r="C309" s="538" t="s">
        <v>610</v>
      </c>
      <c r="D309" s="481">
        <v>131</v>
      </c>
      <c r="E309" s="480"/>
      <c r="F309" s="512"/>
      <c r="G309" s="512"/>
      <c r="H309" s="512"/>
      <c r="I309" s="512"/>
      <c r="J309" s="512"/>
      <c r="K309" s="512"/>
      <c r="L309" s="512"/>
      <c r="M309" s="512"/>
      <c r="N309" s="512"/>
      <c r="O309" s="512"/>
      <c r="P309" s="512"/>
      <c r="Q309" s="444"/>
    </row>
    <row r="310" spans="1:17" s="387" customFormat="1" x14ac:dyDescent="0.2">
      <c r="A310" s="513"/>
      <c r="B310" s="514"/>
      <c r="C310" s="514"/>
      <c r="D310" s="515">
        <v>138</v>
      </c>
      <c r="E310" s="469"/>
      <c r="F310" s="516"/>
      <c r="G310" s="516"/>
      <c r="H310" s="516"/>
      <c r="I310" s="516"/>
      <c r="J310" s="516"/>
      <c r="K310" s="516"/>
      <c r="L310" s="516"/>
      <c r="M310" s="516"/>
      <c r="N310" s="516"/>
      <c r="O310" s="516"/>
      <c r="P310" s="516"/>
      <c r="Q310" s="517"/>
    </row>
    <row r="311" spans="1:17" s="387" customFormat="1" x14ac:dyDescent="0.2">
      <c r="A311" s="548">
        <v>14</v>
      </c>
      <c r="B311" s="538" t="s">
        <v>521</v>
      </c>
      <c r="C311" s="538" t="s">
        <v>611</v>
      </c>
      <c r="D311" s="481">
        <v>131</v>
      </c>
      <c r="E311" s="480"/>
      <c r="F311" s="512"/>
      <c r="G311" s="512"/>
      <c r="H311" s="512"/>
      <c r="I311" s="512"/>
      <c r="J311" s="512"/>
      <c r="K311" s="512"/>
      <c r="L311" s="512"/>
      <c r="M311" s="512"/>
      <c r="N311" s="512"/>
      <c r="O311" s="512"/>
      <c r="P311" s="512"/>
      <c r="Q311" s="444"/>
    </row>
    <row r="312" spans="1:17" s="387" customFormat="1" x14ac:dyDescent="0.2">
      <c r="A312" s="513"/>
      <c r="B312" s="514"/>
      <c r="C312" s="514"/>
      <c r="D312" s="515">
        <v>138</v>
      </c>
      <c r="E312" s="469"/>
      <c r="F312" s="516"/>
      <c r="G312" s="516"/>
      <c r="H312" s="516"/>
      <c r="I312" s="516"/>
      <c r="J312" s="516"/>
      <c r="K312" s="516"/>
      <c r="L312" s="516"/>
      <c r="M312" s="516"/>
      <c r="N312" s="516"/>
      <c r="O312" s="516"/>
      <c r="P312" s="516"/>
      <c r="Q312" s="517"/>
    </row>
    <row r="313" spans="1:17" s="387" customFormat="1" x14ac:dyDescent="0.2">
      <c r="A313" s="548">
        <v>15</v>
      </c>
      <c r="B313" s="538" t="s">
        <v>522</v>
      </c>
      <c r="C313" s="538" t="s">
        <v>612</v>
      </c>
      <c r="D313" s="481">
        <v>131</v>
      </c>
      <c r="E313" s="480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512"/>
      <c r="Q313" s="444"/>
    </row>
    <row r="314" spans="1:17" s="387" customFormat="1" x14ac:dyDescent="0.2">
      <c r="A314" s="513"/>
      <c r="B314" s="514"/>
      <c r="C314" s="514"/>
      <c r="D314" s="515">
        <v>138</v>
      </c>
      <c r="E314" s="469"/>
      <c r="F314" s="516"/>
      <c r="G314" s="516"/>
      <c r="H314" s="516"/>
      <c r="I314" s="516"/>
      <c r="J314" s="516"/>
      <c r="K314" s="516"/>
      <c r="L314" s="516"/>
      <c r="M314" s="516"/>
      <c r="N314" s="516"/>
      <c r="O314" s="516"/>
      <c r="P314" s="516"/>
      <c r="Q314" s="517"/>
    </row>
    <row r="315" spans="1:17" s="387" customFormat="1" x14ac:dyDescent="0.2">
      <c r="A315" s="548">
        <v>16</v>
      </c>
      <c r="B315" s="538" t="s">
        <v>523</v>
      </c>
      <c r="C315" s="538" t="s">
        <v>613</v>
      </c>
      <c r="D315" s="481">
        <v>131</v>
      </c>
      <c r="E315" s="480"/>
      <c r="F315" s="512"/>
      <c r="G315" s="512"/>
      <c r="H315" s="512"/>
      <c r="I315" s="512"/>
      <c r="J315" s="512"/>
      <c r="K315" s="512"/>
      <c r="L315" s="512"/>
      <c r="M315" s="512"/>
      <c r="N315" s="512"/>
      <c r="O315" s="512"/>
      <c r="P315" s="512"/>
      <c r="Q315" s="444"/>
    </row>
    <row r="316" spans="1:17" s="387" customFormat="1" x14ac:dyDescent="0.2">
      <c r="A316" s="513"/>
      <c r="B316" s="514"/>
      <c r="C316" s="514"/>
      <c r="D316" s="515">
        <v>138</v>
      </c>
      <c r="E316" s="469"/>
      <c r="F316" s="516"/>
      <c r="G316" s="516"/>
      <c r="H316" s="516"/>
      <c r="I316" s="516"/>
      <c r="J316" s="516"/>
      <c r="K316" s="516"/>
      <c r="L316" s="516"/>
      <c r="M316" s="516"/>
      <c r="N316" s="516"/>
      <c r="O316" s="516"/>
      <c r="P316" s="516"/>
      <c r="Q316" s="517"/>
    </row>
    <row r="317" spans="1:17" s="387" customFormat="1" x14ac:dyDescent="0.2">
      <c r="A317" s="548">
        <v>17</v>
      </c>
      <c r="B317" s="538" t="s">
        <v>524</v>
      </c>
      <c r="C317" s="538" t="s">
        <v>614</v>
      </c>
      <c r="D317" s="481">
        <v>131</v>
      </c>
      <c r="E317" s="480"/>
      <c r="F317" s="512"/>
      <c r="G317" s="512"/>
      <c r="H317" s="512"/>
      <c r="I317" s="512"/>
      <c r="J317" s="512"/>
      <c r="K317" s="512"/>
      <c r="L317" s="512"/>
      <c r="M317" s="512"/>
      <c r="N317" s="512"/>
      <c r="O317" s="512"/>
      <c r="P317" s="512"/>
      <c r="Q317" s="444"/>
    </row>
    <row r="318" spans="1:17" s="387" customFormat="1" x14ac:dyDescent="0.2">
      <c r="A318" s="513"/>
      <c r="B318" s="514"/>
      <c r="C318" s="514"/>
      <c r="D318" s="515">
        <v>138</v>
      </c>
      <c r="E318" s="469"/>
      <c r="F318" s="516"/>
      <c r="G318" s="516"/>
      <c r="H318" s="516"/>
      <c r="I318" s="516"/>
      <c r="J318" s="516"/>
      <c r="K318" s="516"/>
      <c r="L318" s="516"/>
      <c r="M318" s="516"/>
      <c r="N318" s="516"/>
      <c r="O318" s="516"/>
      <c r="P318" s="516"/>
      <c r="Q318" s="517"/>
    </row>
    <row r="319" spans="1:17" s="387" customFormat="1" x14ac:dyDescent="0.2">
      <c r="A319" s="548">
        <v>18</v>
      </c>
      <c r="B319" s="538" t="s">
        <v>525</v>
      </c>
      <c r="C319" s="538" t="s">
        <v>615</v>
      </c>
      <c r="D319" s="481">
        <v>131</v>
      </c>
      <c r="E319" s="480"/>
      <c r="F319" s="512"/>
      <c r="G319" s="512"/>
      <c r="H319" s="512"/>
      <c r="I319" s="512"/>
      <c r="J319" s="512"/>
      <c r="K319" s="512"/>
      <c r="L319" s="512"/>
      <c r="M319" s="512"/>
      <c r="N319" s="512"/>
      <c r="O319" s="512"/>
      <c r="P319" s="512"/>
      <c r="Q319" s="444"/>
    </row>
    <row r="320" spans="1:17" s="387" customFormat="1" x14ac:dyDescent="0.2">
      <c r="A320" s="513"/>
      <c r="B320" s="514"/>
      <c r="C320" s="514"/>
      <c r="D320" s="515">
        <v>138</v>
      </c>
      <c r="E320" s="469"/>
      <c r="F320" s="516"/>
      <c r="G320" s="516"/>
      <c r="H320" s="516"/>
      <c r="I320" s="516"/>
      <c r="J320" s="516"/>
      <c r="K320" s="516"/>
      <c r="L320" s="516"/>
      <c r="M320" s="516"/>
      <c r="N320" s="516"/>
      <c r="O320" s="516"/>
      <c r="P320" s="516"/>
      <c r="Q320" s="517"/>
    </row>
    <row r="321" spans="1:17" s="387" customFormat="1" x14ac:dyDescent="0.2">
      <c r="A321" s="548">
        <v>19</v>
      </c>
      <c r="B321" s="531" t="s">
        <v>616</v>
      </c>
      <c r="C321" s="531" t="s">
        <v>617</v>
      </c>
      <c r="D321" s="481">
        <v>131</v>
      </c>
      <c r="E321" s="480"/>
      <c r="F321" s="512"/>
      <c r="G321" s="512"/>
      <c r="H321" s="512"/>
      <c r="I321" s="512"/>
      <c r="J321" s="512"/>
      <c r="K321" s="512"/>
      <c r="L321" s="512"/>
      <c r="M321" s="512"/>
      <c r="N321" s="512"/>
      <c r="O321" s="512"/>
      <c r="P321" s="512"/>
      <c r="Q321" s="444"/>
    </row>
    <row r="322" spans="1:17" s="387" customFormat="1" x14ac:dyDescent="0.2">
      <c r="A322" s="513"/>
      <c r="B322" s="514"/>
      <c r="C322" s="514"/>
      <c r="D322" s="515">
        <v>138</v>
      </c>
      <c r="E322" s="469"/>
      <c r="F322" s="516"/>
      <c r="G322" s="516"/>
      <c r="H322" s="516"/>
      <c r="I322" s="516"/>
      <c r="J322" s="516"/>
      <c r="K322" s="516"/>
      <c r="L322" s="516"/>
      <c r="M322" s="516"/>
      <c r="N322" s="516"/>
      <c r="O322" s="516"/>
      <c r="P322" s="516"/>
      <c r="Q322" s="517"/>
    </row>
    <row r="323" spans="1:17" s="387" customFormat="1" x14ac:dyDescent="0.2">
      <c r="A323" s="548">
        <v>20</v>
      </c>
      <c r="B323" s="538" t="s">
        <v>526</v>
      </c>
      <c r="C323" s="538" t="s">
        <v>618</v>
      </c>
      <c r="D323" s="481">
        <v>131</v>
      </c>
      <c r="E323" s="480"/>
      <c r="F323" s="512"/>
      <c r="G323" s="512"/>
      <c r="H323" s="512"/>
      <c r="I323" s="512"/>
      <c r="J323" s="512"/>
      <c r="K323" s="512"/>
      <c r="L323" s="512"/>
      <c r="M323" s="512"/>
      <c r="N323" s="512"/>
      <c r="O323" s="512"/>
      <c r="P323" s="512"/>
      <c r="Q323" s="444"/>
    </row>
    <row r="324" spans="1:17" s="387" customFormat="1" x14ac:dyDescent="0.2">
      <c r="A324" s="513"/>
      <c r="B324" s="514"/>
      <c r="C324" s="514"/>
      <c r="D324" s="515">
        <v>138</v>
      </c>
      <c r="E324" s="469"/>
      <c r="F324" s="516"/>
      <c r="G324" s="516"/>
      <c r="H324" s="516"/>
      <c r="I324" s="516"/>
      <c r="J324" s="516"/>
      <c r="K324" s="516"/>
      <c r="L324" s="516"/>
      <c r="M324" s="516"/>
      <c r="N324" s="516"/>
      <c r="O324" s="516"/>
      <c r="P324" s="516"/>
      <c r="Q324" s="517"/>
    </row>
    <row r="325" spans="1:17" s="387" customFormat="1" x14ac:dyDescent="0.2">
      <c r="A325" s="548">
        <v>21</v>
      </c>
      <c r="B325" s="538" t="s">
        <v>527</v>
      </c>
      <c r="C325" s="538" t="s">
        <v>619</v>
      </c>
      <c r="D325" s="481">
        <v>131</v>
      </c>
      <c r="E325" s="480"/>
      <c r="F325" s="512"/>
      <c r="G325" s="512"/>
      <c r="H325" s="512"/>
      <c r="I325" s="512"/>
      <c r="J325" s="512"/>
      <c r="K325" s="512"/>
      <c r="L325" s="512"/>
      <c r="M325" s="512"/>
      <c r="N325" s="512"/>
      <c r="O325" s="512"/>
      <c r="P325" s="512"/>
      <c r="Q325" s="444"/>
    </row>
    <row r="326" spans="1:17" s="387" customFormat="1" x14ac:dyDescent="0.2">
      <c r="A326" s="513"/>
      <c r="B326" s="514"/>
      <c r="C326" s="514"/>
      <c r="D326" s="515">
        <v>138</v>
      </c>
      <c r="E326" s="469"/>
      <c r="F326" s="516"/>
      <c r="G326" s="516"/>
      <c r="H326" s="516"/>
      <c r="I326" s="516"/>
      <c r="J326" s="516"/>
      <c r="K326" s="516"/>
      <c r="L326" s="516"/>
      <c r="M326" s="516"/>
      <c r="N326" s="516"/>
      <c r="O326" s="516"/>
      <c r="P326" s="516"/>
      <c r="Q326" s="517"/>
    </row>
    <row r="327" spans="1:17" s="387" customFormat="1" x14ac:dyDescent="0.2">
      <c r="A327" s="548">
        <v>22</v>
      </c>
      <c r="B327" s="538" t="s">
        <v>528</v>
      </c>
      <c r="C327" s="538" t="s">
        <v>620</v>
      </c>
      <c r="D327" s="481">
        <v>131</v>
      </c>
      <c r="E327" s="480"/>
      <c r="F327" s="512"/>
      <c r="G327" s="512"/>
      <c r="H327" s="512"/>
      <c r="I327" s="512"/>
      <c r="J327" s="512"/>
      <c r="K327" s="512"/>
      <c r="L327" s="512"/>
      <c r="M327" s="512"/>
      <c r="N327" s="512"/>
      <c r="O327" s="512"/>
      <c r="P327" s="512"/>
      <c r="Q327" s="444"/>
    </row>
    <row r="328" spans="1:17" s="387" customFormat="1" x14ac:dyDescent="0.2">
      <c r="A328" s="501"/>
      <c r="B328" s="523"/>
      <c r="C328" s="541"/>
      <c r="D328" s="521">
        <v>138</v>
      </c>
      <c r="E328" s="498"/>
      <c r="F328" s="482"/>
      <c r="G328" s="482"/>
      <c r="H328" s="482"/>
      <c r="I328" s="482"/>
      <c r="J328" s="482"/>
      <c r="K328" s="482"/>
      <c r="L328" s="482"/>
      <c r="M328" s="482"/>
      <c r="N328" s="482"/>
      <c r="O328" s="482"/>
      <c r="P328" s="482"/>
      <c r="Q328" s="482"/>
    </row>
    <row r="329" spans="1:17" s="387" customFormat="1" x14ac:dyDescent="0.2">
      <c r="A329" s="470" t="s">
        <v>529</v>
      </c>
      <c r="B329" s="403" t="s">
        <v>580</v>
      </c>
      <c r="C329" s="403"/>
      <c r="D329" s="472"/>
      <c r="E329" s="472"/>
      <c r="F329" s="511" t="s">
        <v>477</v>
      </c>
      <c r="G329" s="511" t="s">
        <v>478</v>
      </c>
      <c r="H329" s="511" t="s">
        <v>479</v>
      </c>
      <c r="I329" s="511" t="s">
        <v>480</v>
      </c>
      <c r="J329" s="511" t="s">
        <v>481</v>
      </c>
      <c r="K329" s="511" t="s">
        <v>482</v>
      </c>
      <c r="L329" s="511" t="s">
        <v>483</v>
      </c>
      <c r="M329" s="511" t="s">
        <v>484</v>
      </c>
      <c r="N329" s="511" t="s">
        <v>485</v>
      </c>
      <c r="O329" s="511" t="s">
        <v>486</v>
      </c>
      <c r="P329" s="511" t="s">
        <v>487</v>
      </c>
      <c r="Q329" s="511" t="s">
        <v>488</v>
      </c>
    </row>
    <row r="330" spans="1:17" s="387" customFormat="1" x14ac:dyDescent="0.2">
      <c r="A330" s="548">
        <v>1</v>
      </c>
      <c r="B330" s="538" t="s">
        <v>492</v>
      </c>
      <c r="C330" s="538" t="s">
        <v>597</v>
      </c>
      <c r="D330" s="481">
        <v>131</v>
      </c>
      <c r="E330" s="480"/>
      <c r="F330" s="552"/>
      <c r="G330" s="444"/>
      <c r="H330" s="444"/>
      <c r="I330" s="444"/>
      <c r="J330" s="444"/>
      <c r="K330" s="444"/>
      <c r="L330" s="444"/>
      <c r="M330" s="444"/>
      <c r="N330" s="444"/>
      <c r="O330" s="444"/>
      <c r="P330" s="444"/>
      <c r="Q330" s="444"/>
    </row>
    <row r="331" spans="1:17" s="387" customFormat="1" x14ac:dyDescent="0.2">
      <c r="A331" s="522">
        <v>2</v>
      </c>
      <c r="B331" s="523" t="s">
        <v>501</v>
      </c>
      <c r="C331" s="523" t="s">
        <v>598</v>
      </c>
      <c r="D331" s="419">
        <v>131</v>
      </c>
      <c r="E331" s="415"/>
      <c r="F331" s="553"/>
      <c r="G331" s="432"/>
      <c r="H331" s="432"/>
      <c r="I331" s="432"/>
      <c r="J331" s="432"/>
      <c r="K331" s="432"/>
      <c r="L331" s="432"/>
      <c r="M331" s="432"/>
      <c r="N331" s="432"/>
      <c r="O331" s="432"/>
      <c r="P331" s="432"/>
      <c r="Q331" s="432"/>
    </row>
    <row r="332" spans="1:17" s="387" customFormat="1" x14ac:dyDescent="0.2">
      <c r="A332" s="522">
        <v>3</v>
      </c>
      <c r="B332" s="446" t="s">
        <v>506</v>
      </c>
      <c r="C332" s="446" t="s">
        <v>599</v>
      </c>
      <c r="D332" s="419">
        <v>131</v>
      </c>
      <c r="E332" s="415"/>
      <c r="F332" s="553"/>
      <c r="G332" s="432"/>
      <c r="H332" s="432"/>
      <c r="I332" s="432"/>
      <c r="J332" s="432"/>
      <c r="K332" s="432"/>
      <c r="L332" s="432"/>
      <c r="M332" s="432"/>
      <c r="N332" s="432"/>
      <c r="O332" s="432"/>
      <c r="P332" s="432"/>
      <c r="Q332" s="432"/>
    </row>
    <row r="333" spans="1:17" s="387" customFormat="1" x14ac:dyDescent="0.2">
      <c r="A333" s="522">
        <v>4</v>
      </c>
      <c r="B333" s="446" t="s">
        <v>508</v>
      </c>
      <c r="C333" s="446" t="s">
        <v>600</v>
      </c>
      <c r="D333" s="419">
        <v>131</v>
      </c>
      <c r="E333" s="415"/>
      <c r="F333" s="553"/>
      <c r="G333" s="432"/>
      <c r="H333" s="432"/>
      <c r="I333" s="432"/>
      <c r="J333" s="432"/>
      <c r="K333" s="432"/>
      <c r="L333" s="432"/>
      <c r="M333" s="432"/>
      <c r="N333" s="432"/>
      <c r="O333" s="432"/>
      <c r="P333" s="432"/>
      <c r="Q333" s="432"/>
    </row>
    <row r="334" spans="1:17" s="387" customFormat="1" x14ac:dyDescent="0.2">
      <c r="A334" s="522">
        <v>5</v>
      </c>
      <c r="B334" s="446" t="s">
        <v>509</v>
      </c>
      <c r="C334" s="446" t="s">
        <v>601</v>
      </c>
      <c r="D334" s="419">
        <v>131</v>
      </c>
      <c r="E334" s="415"/>
      <c r="F334" s="553"/>
      <c r="G334" s="432"/>
      <c r="H334" s="432"/>
      <c r="I334" s="432"/>
      <c r="J334" s="432"/>
      <c r="K334" s="432"/>
      <c r="L334" s="432"/>
      <c r="M334" s="432"/>
      <c r="N334" s="432"/>
      <c r="O334" s="432"/>
      <c r="P334" s="432"/>
      <c r="Q334" s="432"/>
    </row>
    <row r="335" spans="1:17" s="387" customFormat="1" x14ac:dyDescent="0.2">
      <c r="A335" s="522">
        <v>6</v>
      </c>
      <c r="B335" s="446" t="s">
        <v>511</v>
      </c>
      <c r="C335" s="446" t="s">
        <v>602</v>
      </c>
      <c r="D335" s="419">
        <v>131</v>
      </c>
      <c r="E335" s="415"/>
      <c r="F335" s="553"/>
      <c r="G335" s="432"/>
      <c r="H335" s="432"/>
      <c r="I335" s="432"/>
      <c r="J335" s="432"/>
      <c r="K335" s="432"/>
      <c r="L335" s="432"/>
      <c r="M335" s="432"/>
      <c r="N335" s="432"/>
      <c r="O335" s="432"/>
      <c r="P335" s="432"/>
      <c r="Q335" s="432"/>
    </row>
    <row r="336" spans="1:17" s="387" customFormat="1" x14ac:dyDescent="0.2">
      <c r="A336" s="522">
        <v>7</v>
      </c>
      <c r="B336" s="451" t="s">
        <v>603</v>
      </c>
      <c r="C336" s="451" t="s">
        <v>604</v>
      </c>
      <c r="D336" s="419">
        <v>131</v>
      </c>
      <c r="E336" s="415"/>
      <c r="F336" s="553"/>
      <c r="G336" s="432"/>
      <c r="H336" s="432"/>
      <c r="I336" s="432"/>
      <c r="J336" s="432"/>
      <c r="K336" s="432"/>
      <c r="L336" s="432"/>
      <c r="M336" s="432"/>
      <c r="N336" s="432"/>
      <c r="O336" s="432"/>
      <c r="P336" s="432"/>
      <c r="Q336" s="432"/>
    </row>
    <row r="337" spans="1:17" s="387" customFormat="1" x14ac:dyDescent="0.2">
      <c r="A337" s="522">
        <v>8</v>
      </c>
      <c r="B337" s="446" t="s">
        <v>514</v>
      </c>
      <c r="C337" s="446" t="s">
        <v>605</v>
      </c>
      <c r="D337" s="419">
        <v>131</v>
      </c>
      <c r="E337" s="415"/>
      <c r="F337" s="553"/>
      <c r="G337" s="432"/>
      <c r="H337" s="432"/>
      <c r="I337" s="432"/>
      <c r="J337" s="432"/>
      <c r="K337" s="432"/>
      <c r="L337" s="432"/>
      <c r="M337" s="432"/>
      <c r="N337" s="432"/>
      <c r="O337" s="432"/>
      <c r="P337" s="432"/>
      <c r="Q337" s="432"/>
    </row>
    <row r="338" spans="1:17" s="387" customFormat="1" x14ac:dyDescent="0.2">
      <c r="A338" s="522">
        <v>9</v>
      </c>
      <c r="B338" s="446" t="s">
        <v>516</v>
      </c>
      <c r="C338" s="446" t="s">
        <v>606</v>
      </c>
      <c r="D338" s="419">
        <v>131</v>
      </c>
      <c r="E338" s="415"/>
      <c r="F338" s="553"/>
      <c r="G338" s="432"/>
      <c r="H338" s="432"/>
      <c r="I338" s="432"/>
      <c r="J338" s="432"/>
      <c r="K338" s="432"/>
      <c r="L338" s="432"/>
      <c r="M338" s="432"/>
      <c r="N338" s="432"/>
      <c r="O338" s="432"/>
      <c r="P338" s="432"/>
      <c r="Q338" s="432"/>
    </row>
    <row r="339" spans="1:17" s="387" customFormat="1" x14ac:dyDescent="0.2">
      <c r="A339" s="522">
        <v>10</v>
      </c>
      <c r="B339" s="446" t="s">
        <v>517</v>
      </c>
      <c r="C339" s="446" t="s">
        <v>607</v>
      </c>
      <c r="D339" s="419">
        <v>131</v>
      </c>
      <c r="E339" s="415"/>
      <c r="F339" s="553"/>
      <c r="G339" s="432"/>
      <c r="H339" s="432"/>
      <c r="I339" s="432"/>
      <c r="J339" s="432"/>
      <c r="K339" s="432"/>
      <c r="L339" s="432"/>
      <c r="M339" s="432"/>
      <c r="N339" s="432"/>
      <c r="O339" s="432"/>
      <c r="P339" s="432"/>
      <c r="Q339" s="432"/>
    </row>
    <row r="340" spans="1:17" s="387" customFormat="1" x14ac:dyDescent="0.2">
      <c r="A340" s="522">
        <v>11</v>
      </c>
      <c r="B340" s="446" t="s">
        <v>518</v>
      </c>
      <c r="C340" s="446" t="s">
        <v>608</v>
      </c>
      <c r="D340" s="419">
        <v>131</v>
      </c>
      <c r="E340" s="415"/>
      <c r="F340" s="553"/>
      <c r="G340" s="432"/>
      <c r="H340" s="432"/>
      <c r="I340" s="432"/>
      <c r="J340" s="432"/>
      <c r="K340" s="432"/>
      <c r="L340" s="432"/>
      <c r="M340" s="432"/>
      <c r="N340" s="432"/>
      <c r="O340" s="432"/>
      <c r="P340" s="432"/>
      <c r="Q340" s="432"/>
    </row>
    <row r="341" spans="1:17" s="387" customFormat="1" x14ac:dyDescent="0.2">
      <c r="A341" s="522">
        <v>12</v>
      </c>
      <c r="B341" s="446" t="s">
        <v>519</v>
      </c>
      <c r="C341" s="446" t="s">
        <v>609</v>
      </c>
      <c r="D341" s="419">
        <v>131</v>
      </c>
      <c r="E341" s="415"/>
      <c r="F341" s="553"/>
      <c r="G341" s="432"/>
      <c r="H341" s="432"/>
      <c r="I341" s="432"/>
      <c r="J341" s="432"/>
      <c r="K341" s="432"/>
      <c r="L341" s="432"/>
      <c r="M341" s="432"/>
      <c r="N341" s="432"/>
      <c r="O341" s="432"/>
      <c r="P341" s="432"/>
      <c r="Q341" s="432"/>
    </row>
    <row r="342" spans="1:17" s="387" customFormat="1" x14ac:dyDescent="0.2">
      <c r="A342" s="522">
        <v>13</v>
      </c>
      <c r="B342" s="446" t="s">
        <v>520</v>
      </c>
      <c r="C342" s="446" t="s">
        <v>610</v>
      </c>
      <c r="D342" s="419">
        <v>131</v>
      </c>
      <c r="E342" s="415"/>
      <c r="F342" s="553"/>
      <c r="G342" s="432"/>
      <c r="H342" s="432"/>
      <c r="I342" s="432"/>
      <c r="J342" s="432"/>
      <c r="K342" s="432"/>
      <c r="L342" s="432"/>
      <c r="M342" s="432"/>
      <c r="N342" s="432"/>
      <c r="O342" s="432"/>
      <c r="P342" s="432"/>
      <c r="Q342" s="432"/>
    </row>
    <row r="343" spans="1:17" s="387" customFormat="1" x14ac:dyDescent="0.2">
      <c r="A343" s="522">
        <v>14</v>
      </c>
      <c r="B343" s="448" t="s">
        <v>521</v>
      </c>
      <c r="C343" s="448" t="s">
        <v>611</v>
      </c>
      <c r="D343" s="419">
        <v>131</v>
      </c>
      <c r="E343" s="418"/>
      <c r="F343" s="554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</row>
    <row r="344" spans="1:17" s="387" customFormat="1" x14ac:dyDescent="0.2">
      <c r="A344" s="522">
        <v>15</v>
      </c>
      <c r="B344" s="448" t="s">
        <v>522</v>
      </c>
      <c r="C344" s="448" t="s">
        <v>612</v>
      </c>
      <c r="D344" s="419">
        <v>131</v>
      </c>
      <c r="E344" s="418"/>
      <c r="F344" s="554"/>
      <c r="G344" s="466"/>
      <c r="H344" s="466"/>
      <c r="I344" s="466"/>
      <c r="J344" s="466"/>
      <c r="K344" s="466"/>
      <c r="L344" s="466"/>
      <c r="M344" s="466"/>
      <c r="N344" s="466"/>
      <c r="O344" s="466"/>
      <c r="P344" s="466"/>
      <c r="Q344" s="466"/>
    </row>
    <row r="345" spans="1:17" s="387" customFormat="1" x14ac:dyDescent="0.2">
      <c r="A345" s="522">
        <v>16</v>
      </c>
      <c r="B345" s="448" t="s">
        <v>523</v>
      </c>
      <c r="C345" s="448" t="s">
        <v>613</v>
      </c>
      <c r="D345" s="419">
        <v>131</v>
      </c>
      <c r="E345" s="418"/>
      <c r="F345" s="554"/>
      <c r="G345" s="466"/>
      <c r="H345" s="466"/>
      <c r="I345" s="466"/>
      <c r="J345" s="466"/>
      <c r="K345" s="466"/>
      <c r="L345" s="466"/>
      <c r="M345" s="466"/>
      <c r="N345" s="466"/>
      <c r="O345" s="466"/>
      <c r="P345" s="466"/>
      <c r="Q345" s="466"/>
    </row>
    <row r="346" spans="1:17" s="387" customFormat="1" x14ac:dyDescent="0.2">
      <c r="A346" s="522">
        <v>17</v>
      </c>
      <c r="B346" s="448" t="s">
        <v>524</v>
      </c>
      <c r="C346" s="448" t="s">
        <v>614</v>
      </c>
      <c r="D346" s="419">
        <v>131</v>
      </c>
      <c r="E346" s="418"/>
      <c r="F346" s="554"/>
      <c r="G346" s="466"/>
      <c r="H346" s="466"/>
      <c r="I346" s="466"/>
      <c r="J346" s="466"/>
      <c r="K346" s="466"/>
      <c r="L346" s="466"/>
      <c r="M346" s="466"/>
      <c r="N346" s="466"/>
      <c r="O346" s="466"/>
      <c r="P346" s="466"/>
      <c r="Q346" s="466"/>
    </row>
    <row r="347" spans="1:17" s="387" customFormat="1" x14ac:dyDescent="0.2">
      <c r="A347" s="522">
        <v>18</v>
      </c>
      <c r="B347" s="446" t="s">
        <v>525</v>
      </c>
      <c r="C347" s="446" t="s">
        <v>615</v>
      </c>
      <c r="D347" s="419">
        <v>131</v>
      </c>
      <c r="E347" s="418"/>
      <c r="F347" s="554"/>
      <c r="G347" s="466"/>
      <c r="H347" s="466"/>
      <c r="I347" s="466"/>
      <c r="J347" s="466"/>
      <c r="K347" s="466"/>
      <c r="L347" s="466"/>
      <c r="M347" s="466"/>
      <c r="N347" s="466"/>
      <c r="O347" s="466"/>
      <c r="P347" s="466"/>
      <c r="Q347" s="466"/>
    </row>
    <row r="348" spans="1:17" s="387" customFormat="1" x14ac:dyDescent="0.2">
      <c r="A348" s="522">
        <v>19</v>
      </c>
      <c r="B348" s="451" t="s">
        <v>616</v>
      </c>
      <c r="C348" s="451" t="s">
        <v>617</v>
      </c>
      <c r="D348" s="419">
        <v>131</v>
      </c>
      <c r="E348" s="418"/>
      <c r="F348" s="554"/>
      <c r="G348" s="466"/>
      <c r="H348" s="466"/>
      <c r="I348" s="466"/>
      <c r="J348" s="466"/>
      <c r="K348" s="466"/>
      <c r="L348" s="466"/>
      <c r="M348" s="466"/>
      <c r="N348" s="466"/>
      <c r="O348" s="466"/>
      <c r="P348" s="466"/>
      <c r="Q348" s="466"/>
    </row>
    <row r="349" spans="1:17" s="387" customFormat="1" x14ac:dyDescent="0.2">
      <c r="A349" s="522">
        <v>20</v>
      </c>
      <c r="B349" s="448" t="s">
        <v>526</v>
      </c>
      <c r="C349" s="448" t="s">
        <v>618</v>
      </c>
      <c r="D349" s="419">
        <v>131</v>
      </c>
      <c r="E349" s="418"/>
      <c r="F349" s="554"/>
      <c r="G349" s="466"/>
      <c r="H349" s="466"/>
      <c r="I349" s="466"/>
      <c r="J349" s="466"/>
      <c r="K349" s="466"/>
      <c r="L349" s="466"/>
      <c r="M349" s="466"/>
      <c r="N349" s="466"/>
      <c r="O349" s="466"/>
      <c r="P349" s="466"/>
      <c r="Q349" s="466"/>
    </row>
    <row r="350" spans="1:17" s="387" customFormat="1" x14ac:dyDescent="0.2">
      <c r="A350" s="522">
        <v>21</v>
      </c>
      <c r="B350" s="448" t="s">
        <v>527</v>
      </c>
      <c r="C350" s="448" t="s">
        <v>619</v>
      </c>
      <c r="D350" s="419">
        <v>131</v>
      </c>
      <c r="E350" s="418"/>
      <c r="F350" s="554"/>
      <c r="G350" s="466"/>
      <c r="H350" s="466"/>
      <c r="I350" s="466"/>
      <c r="J350" s="466"/>
      <c r="K350" s="466"/>
      <c r="L350" s="466"/>
      <c r="M350" s="466"/>
      <c r="N350" s="466"/>
      <c r="O350" s="466"/>
      <c r="P350" s="466"/>
      <c r="Q350" s="466"/>
    </row>
    <row r="351" spans="1:17" s="387" customFormat="1" x14ac:dyDescent="0.2">
      <c r="A351" s="522">
        <v>22</v>
      </c>
      <c r="B351" s="448" t="s">
        <v>528</v>
      </c>
      <c r="C351" s="448" t="s">
        <v>620</v>
      </c>
      <c r="D351" s="419">
        <v>131</v>
      </c>
      <c r="E351" s="418"/>
      <c r="F351" s="554"/>
      <c r="G351" s="466"/>
      <c r="H351" s="466"/>
      <c r="I351" s="466"/>
      <c r="J351" s="466"/>
      <c r="K351" s="466"/>
      <c r="L351" s="466"/>
      <c r="M351" s="466"/>
      <c r="N351" s="466"/>
      <c r="O351" s="466"/>
      <c r="P351" s="466"/>
      <c r="Q351" s="466"/>
    </row>
    <row r="352" spans="1:17" s="387" customFormat="1" x14ac:dyDescent="0.2">
      <c r="A352" s="518"/>
      <c r="B352" s="519"/>
      <c r="C352" s="519"/>
      <c r="D352" s="424"/>
      <c r="E352" s="424"/>
      <c r="F352" s="555"/>
      <c r="G352" s="482"/>
      <c r="H352" s="482"/>
      <c r="I352" s="482"/>
      <c r="J352" s="482"/>
      <c r="K352" s="482"/>
      <c r="L352" s="482"/>
      <c r="M352" s="482"/>
      <c r="N352" s="482"/>
      <c r="O352" s="482"/>
      <c r="P352" s="482"/>
      <c r="Q352" s="482"/>
    </row>
    <row r="353" spans="1:17" s="387" customFormat="1" x14ac:dyDescent="0.2">
      <c r="A353" s="470" t="s">
        <v>547</v>
      </c>
      <c r="B353" s="403" t="s">
        <v>581</v>
      </c>
      <c r="C353" s="539"/>
      <c r="D353" s="409"/>
      <c r="E353" s="409"/>
      <c r="F353" s="511" t="s">
        <v>477</v>
      </c>
      <c r="G353" s="511" t="s">
        <v>478</v>
      </c>
      <c r="H353" s="511" t="s">
        <v>479</v>
      </c>
      <c r="I353" s="511" t="s">
        <v>480</v>
      </c>
      <c r="J353" s="511" t="s">
        <v>481</v>
      </c>
      <c r="K353" s="511" t="s">
        <v>482</v>
      </c>
      <c r="L353" s="511" t="s">
        <v>483</v>
      </c>
      <c r="M353" s="511" t="s">
        <v>484</v>
      </c>
      <c r="N353" s="511" t="s">
        <v>485</v>
      </c>
      <c r="O353" s="511" t="s">
        <v>486</v>
      </c>
      <c r="P353" s="511" t="s">
        <v>487</v>
      </c>
      <c r="Q353" s="511" t="s">
        <v>488</v>
      </c>
    </row>
    <row r="354" spans="1:17" s="387" customFormat="1" x14ac:dyDescent="0.2">
      <c r="A354" s="540">
        <v>1</v>
      </c>
      <c r="B354" s="538" t="s">
        <v>492</v>
      </c>
      <c r="C354" s="538" t="s">
        <v>597</v>
      </c>
      <c r="D354" s="481">
        <v>331</v>
      </c>
      <c r="E354" s="480"/>
      <c r="F354" s="552"/>
      <c r="G354" s="444"/>
      <c r="H354" s="444"/>
      <c r="I354" s="444"/>
      <c r="J354" s="444"/>
      <c r="K354" s="444"/>
      <c r="L354" s="444"/>
      <c r="M354" s="444"/>
      <c r="N354" s="444"/>
      <c r="O354" s="444"/>
      <c r="P354" s="444"/>
      <c r="Q354" s="444"/>
    </row>
    <row r="355" spans="1:17" s="387" customFormat="1" x14ac:dyDescent="0.2">
      <c r="A355" s="423"/>
      <c r="B355" s="519"/>
      <c r="C355" s="519"/>
      <c r="D355" s="474">
        <v>338</v>
      </c>
      <c r="E355" s="524"/>
      <c r="F355" s="555"/>
      <c r="G355" s="482"/>
      <c r="H355" s="482"/>
      <c r="I355" s="482"/>
      <c r="J355" s="482"/>
      <c r="K355" s="482"/>
      <c r="L355" s="482"/>
      <c r="M355" s="482"/>
      <c r="N355" s="482"/>
      <c r="O355" s="482"/>
      <c r="P355" s="482"/>
      <c r="Q355" s="482"/>
    </row>
    <row r="356" spans="1:17" s="387" customFormat="1" x14ac:dyDescent="0.2">
      <c r="A356" s="540">
        <v>2</v>
      </c>
      <c r="B356" s="538" t="s">
        <v>501</v>
      </c>
      <c r="C356" s="538" t="s">
        <v>598</v>
      </c>
      <c r="D356" s="481">
        <v>331</v>
      </c>
      <c r="E356" s="480"/>
      <c r="F356" s="552"/>
      <c r="G356" s="444"/>
      <c r="H356" s="444"/>
      <c r="I356" s="444"/>
      <c r="J356" s="444"/>
      <c r="K356" s="444"/>
      <c r="L356" s="444"/>
      <c r="M356" s="444"/>
      <c r="N356" s="444"/>
      <c r="O356" s="444"/>
      <c r="P356" s="444"/>
      <c r="Q356" s="444"/>
    </row>
    <row r="357" spans="1:17" s="387" customFormat="1" x14ac:dyDescent="0.2">
      <c r="A357" s="423"/>
      <c r="B357" s="519"/>
      <c r="C357" s="519"/>
      <c r="D357" s="474">
        <v>338</v>
      </c>
      <c r="E357" s="524"/>
      <c r="F357" s="555"/>
      <c r="G357" s="482"/>
      <c r="H357" s="482"/>
      <c r="I357" s="482"/>
      <c r="J357" s="482"/>
      <c r="K357" s="482"/>
      <c r="L357" s="482"/>
      <c r="M357" s="482"/>
      <c r="N357" s="482"/>
      <c r="O357" s="482"/>
      <c r="P357" s="482"/>
      <c r="Q357" s="482"/>
    </row>
    <row r="358" spans="1:17" s="387" customFormat="1" x14ac:dyDescent="0.2">
      <c r="A358" s="540">
        <v>3</v>
      </c>
      <c r="B358" s="538" t="s">
        <v>506</v>
      </c>
      <c r="C358" s="538" t="s">
        <v>599</v>
      </c>
      <c r="D358" s="481">
        <v>331</v>
      </c>
      <c r="E358" s="480"/>
      <c r="F358" s="552"/>
      <c r="G358" s="444"/>
      <c r="H358" s="444"/>
      <c r="I358" s="444"/>
      <c r="J358" s="444"/>
      <c r="K358" s="444"/>
      <c r="L358" s="444"/>
      <c r="M358" s="444"/>
      <c r="N358" s="444"/>
      <c r="O358" s="444"/>
      <c r="P358" s="444"/>
      <c r="Q358" s="444"/>
    </row>
    <row r="359" spans="1:17" s="387" customFormat="1" x14ac:dyDescent="0.2">
      <c r="A359" s="423"/>
      <c r="B359" s="519"/>
      <c r="C359" s="519"/>
      <c r="D359" s="474">
        <v>338</v>
      </c>
      <c r="E359" s="524"/>
      <c r="F359" s="555"/>
      <c r="G359" s="482"/>
      <c r="H359" s="482"/>
      <c r="I359" s="482"/>
      <c r="J359" s="482"/>
      <c r="K359" s="482"/>
      <c r="L359" s="482"/>
      <c r="M359" s="482"/>
      <c r="N359" s="482"/>
      <c r="O359" s="482"/>
      <c r="P359" s="482"/>
      <c r="Q359" s="482"/>
    </row>
    <row r="360" spans="1:17" s="387" customFormat="1" x14ac:dyDescent="0.2">
      <c r="A360" s="540">
        <v>4</v>
      </c>
      <c r="B360" s="538" t="s">
        <v>508</v>
      </c>
      <c r="C360" s="538" t="s">
        <v>600</v>
      </c>
      <c r="D360" s="481">
        <v>331</v>
      </c>
      <c r="E360" s="480"/>
      <c r="F360" s="552"/>
      <c r="G360" s="444"/>
      <c r="H360" s="444"/>
      <c r="I360" s="444"/>
      <c r="J360" s="444"/>
      <c r="K360" s="444"/>
      <c r="L360" s="444"/>
      <c r="M360" s="444"/>
      <c r="N360" s="444"/>
      <c r="O360" s="444"/>
      <c r="P360" s="444"/>
      <c r="Q360" s="444"/>
    </row>
    <row r="361" spans="1:17" s="387" customFormat="1" x14ac:dyDescent="0.2">
      <c r="A361" s="423"/>
      <c r="B361" s="519"/>
      <c r="C361" s="519"/>
      <c r="D361" s="474">
        <v>338</v>
      </c>
      <c r="E361" s="524"/>
      <c r="F361" s="555"/>
      <c r="G361" s="482"/>
      <c r="H361" s="482"/>
      <c r="I361" s="482"/>
      <c r="J361" s="482"/>
      <c r="K361" s="482"/>
      <c r="L361" s="482"/>
      <c r="M361" s="482"/>
      <c r="N361" s="482"/>
      <c r="O361" s="482"/>
      <c r="P361" s="482"/>
      <c r="Q361" s="482"/>
    </row>
    <row r="362" spans="1:17" s="387" customFormat="1" x14ac:dyDescent="0.2">
      <c r="A362" s="540">
        <v>5</v>
      </c>
      <c r="B362" s="538" t="s">
        <v>509</v>
      </c>
      <c r="C362" s="538" t="s">
        <v>601</v>
      </c>
      <c r="D362" s="481">
        <v>331</v>
      </c>
      <c r="E362" s="480"/>
      <c r="F362" s="552"/>
      <c r="G362" s="444"/>
      <c r="H362" s="444"/>
      <c r="I362" s="444"/>
      <c r="J362" s="444"/>
      <c r="K362" s="444"/>
      <c r="L362" s="444"/>
      <c r="M362" s="444"/>
      <c r="N362" s="444"/>
      <c r="O362" s="444"/>
      <c r="P362" s="444"/>
      <c r="Q362" s="444"/>
    </row>
    <row r="363" spans="1:17" s="387" customFormat="1" x14ac:dyDescent="0.2">
      <c r="A363" s="423"/>
      <c r="B363" s="519"/>
      <c r="C363" s="519"/>
      <c r="D363" s="474">
        <v>338</v>
      </c>
      <c r="E363" s="524"/>
      <c r="F363" s="555"/>
      <c r="G363" s="482"/>
      <c r="H363" s="482"/>
      <c r="I363" s="482"/>
      <c r="J363" s="482"/>
      <c r="K363" s="482"/>
      <c r="L363" s="482"/>
      <c r="M363" s="482"/>
      <c r="N363" s="482"/>
      <c r="O363" s="482"/>
      <c r="P363" s="482"/>
      <c r="Q363" s="482"/>
    </row>
    <row r="364" spans="1:17" s="387" customFormat="1" x14ac:dyDescent="0.2">
      <c r="A364" s="540">
        <v>6</v>
      </c>
      <c r="B364" s="538" t="s">
        <v>511</v>
      </c>
      <c r="C364" s="538" t="s">
        <v>602</v>
      </c>
      <c r="D364" s="481">
        <v>331</v>
      </c>
      <c r="E364" s="480"/>
      <c r="F364" s="552"/>
      <c r="G364" s="444"/>
      <c r="H364" s="444"/>
      <c r="I364" s="444"/>
      <c r="J364" s="444"/>
      <c r="K364" s="444"/>
      <c r="L364" s="444"/>
      <c r="M364" s="444"/>
      <c r="N364" s="444"/>
      <c r="O364" s="444"/>
      <c r="P364" s="444"/>
      <c r="Q364" s="444"/>
    </row>
    <row r="365" spans="1:17" s="387" customFormat="1" x14ac:dyDescent="0.2">
      <c r="A365" s="423"/>
      <c r="B365" s="519"/>
      <c r="C365" s="519"/>
      <c r="D365" s="474">
        <v>338</v>
      </c>
      <c r="E365" s="424"/>
      <c r="F365" s="555"/>
      <c r="G365" s="482"/>
      <c r="H365" s="482"/>
      <c r="I365" s="482"/>
      <c r="J365" s="482"/>
      <c r="K365" s="482"/>
      <c r="L365" s="482"/>
      <c r="M365" s="482"/>
      <c r="N365" s="482"/>
      <c r="O365" s="482"/>
      <c r="P365" s="482"/>
      <c r="Q365" s="482"/>
    </row>
    <row r="366" spans="1:17" s="387" customFormat="1" x14ac:dyDescent="0.2">
      <c r="A366" s="540">
        <v>7</v>
      </c>
      <c r="B366" s="531" t="s">
        <v>603</v>
      </c>
      <c r="C366" s="531" t="s">
        <v>604</v>
      </c>
      <c r="D366" s="481">
        <v>331</v>
      </c>
      <c r="E366" s="525"/>
      <c r="F366" s="552"/>
      <c r="G366" s="444"/>
      <c r="H366" s="444"/>
      <c r="I366" s="444"/>
      <c r="J366" s="444"/>
      <c r="K366" s="444"/>
      <c r="L366" s="444"/>
      <c r="M366" s="444"/>
      <c r="N366" s="444"/>
      <c r="O366" s="444"/>
      <c r="P366" s="444"/>
      <c r="Q366" s="444"/>
    </row>
    <row r="367" spans="1:17" s="387" customFormat="1" x14ac:dyDescent="0.2">
      <c r="A367" s="423"/>
      <c r="B367" s="519"/>
      <c r="C367" s="519"/>
      <c r="D367" s="474">
        <v>338</v>
      </c>
      <c r="E367" s="526"/>
      <c r="F367" s="555"/>
      <c r="G367" s="482"/>
      <c r="H367" s="482"/>
      <c r="I367" s="482"/>
      <c r="J367" s="482"/>
      <c r="K367" s="482"/>
      <c r="L367" s="482"/>
      <c r="M367" s="482"/>
      <c r="N367" s="482"/>
      <c r="O367" s="482"/>
      <c r="P367" s="482"/>
      <c r="Q367" s="482"/>
    </row>
    <row r="368" spans="1:17" s="387" customFormat="1" x14ac:dyDescent="0.2">
      <c r="A368" s="540">
        <v>8</v>
      </c>
      <c r="B368" s="538" t="s">
        <v>514</v>
      </c>
      <c r="C368" s="538" t="s">
        <v>605</v>
      </c>
      <c r="D368" s="481">
        <v>331</v>
      </c>
      <c r="E368" s="480"/>
      <c r="F368" s="552"/>
      <c r="G368" s="444"/>
      <c r="H368" s="444"/>
      <c r="I368" s="444"/>
      <c r="J368" s="444"/>
      <c r="K368" s="444"/>
      <c r="L368" s="444"/>
      <c r="M368" s="444"/>
      <c r="N368" s="444"/>
      <c r="O368" s="444"/>
      <c r="P368" s="444"/>
      <c r="Q368" s="444"/>
    </row>
    <row r="369" spans="1:17" s="387" customFormat="1" x14ac:dyDescent="0.2">
      <c r="A369" s="423"/>
      <c r="B369" s="519"/>
      <c r="C369" s="519"/>
      <c r="D369" s="474">
        <v>338</v>
      </c>
      <c r="E369" s="524"/>
      <c r="F369" s="555"/>
      <c r="G369" s="482"/>
      <c r="H369" s="482"/>
      <c r="I369" s="482"/>
      <c r="J369" s="482"/>
      <c r="K369" s="482"/>
      <c r="L369" s="482"/>
      <c r="M369" s="482"/>
      <c r="N369" s="482"/>
      <c r="O369" s="482"/>
      <c r="P369" s="482"/>
      <c r="Q369" s="482"/>
    </row>
    <row r="370" spans="1:17" s="387" customFormat="1" x14ac:dyDescent="0.2">
      <c r="A370" s="540">
        <v>9</v>
      </c>
      <c r="B370" s="538" t="s">
        <v>516</v>
      </c>
      <c r="C370" s="538" t="s">
        <v>606</v>
      </c>
      <c r="D370" s="481">
        <v>331</v>
      </c>
      <c r="E370" s="480"/>
      <c r="F370" s="552"/>
      <c r="G370" s="444"/>
      <c r="H370" s="444"/>
      <c r="I370" s="444"/>
      <c r="J370" s="444"/>
      <c r="K370" s="444"/>
      <c r="L370" s="444"/>
      <c r="M370" s="444"/>
      <c r="N370" s="444"/>
      <c r="O370" s="444"/>
      <c r="P370" s="444"/>
      <c r="Q370" s="444"/>
    </row>
    <row r="371" spans="1:17" s="387" customFormat="1" x14ac:dyDescent="0.2">
      <c r="A371" s="423"/>
      <c r="B371" s="519"/>
      <c r="C371" s="519"/>
      <c r="D371" s="474">
        <v>338</v>
      </c>
      <c r="E371" s="524"/>
      <c r="F371" s="555"/>
      <c r="G371" s="482"/>
      <c r="H371" s="482"/>
      <c r="I371" s="482"/>
      <c r="J371" s="482"/>
      <c r="K371" s="482"/>
      <c r="L371" s="482"/>
      <c r="M371" s="482"/>
      <c r="N371" s="482"/>
      <c r="O371" s="482"/>
      <c r="P371" s="482"/>
      <c r="Q371" s="482"/>
    </row>
    <row r="372" spans="1:17" s="387" customFormat="1" x14ac:dyDescent="0.2">
      <c r="A372" s="540">
        <v>10</v>
      </c>
      <c r="B372" s="538" t="s">
        <v>517</v>
      </c>
      <c r="C372" s="538" t="s">
        <v>607</v>
      </c>
      <c r="D372" s="481">
        <v>331</v>
      </c>
      <c r="E372" s="480"/>
      <c r="F372" s="552"/>
      <c r="G372" s="444"/>
      <c r="H372" s="444"/>
      <c r="I372" s="444"/>
      <c r="J372" s="444"/>
      <c r="K372" s="444"/>
      <c r="L372" s="444"/>
      <c r="M372" s="444"/>
      <c r="N372" s="444"/>
      <c r="O372" s="444"/>
      <c r="P372" s="444"/>
      <c r="Q372" s="444"/>
    </row>
    <row r="373" spans="1:17" s="387" customFormat="1" x14ac:dyDescent="0.2">
      <c r="A373" s="423"/>
      <c r="B373" s="519"/>
      <c r="C373" s="519"/>
      <c r="D373" s="474">
        <v>338</v>
      </c>
      <c r="E373" s="524"/>
      <c r="F373" s="555"/>
      <c r="G373" s="482"/>
      <c r="H373" s="482"/>
      <c r="I373" s="482"/>
      <c r="J373" s="482"/>
      <c r="K373" s="482"/>
      <c r="L373" s="482"/>
      <c r="M373" s="482"/>
      <c r="N373" s="482"/>
      <c r="O373" s="482"/>
      <c r="P373" s="482"/>
      <c r="Q373" s="482"/>
    </row>
    <row r="374" spans="1:17" s="387" customFormat="1" x14ac:dyDescent="0.2">
      <c r="A374" s="540">
        <v>11</v>
      </c>
      <c r="B374" s="538" t="s">
        <v>518</v>
      </c>
      <c r="C374" s="538" t="s">
        <v>608</v>
      </c>
      <c r="D374" s="481">
        <v>331</v>
      </c>
      <c r="E374" s="480"/>
      <c r="F374" s="552"/>
      <c r="G374" s="444"/>
      <c r="H374" s="444"/>
      <c r="I374" s="444"/>
      <c r="J374" s="444"/>
      <c r="K374" s="444"/>
      <c r="L374" s="444"/>
      <c r="M374" s="444"/>
      <c r="N374" s="444"/>
      <c r="O374" s="444"/>
      <c r="P374" s="444"/>
      <c r="Q374" s="444"/>
    </row>
    <row r="375" spans="1:17" s="387" customFormat="1" x14ac:dyDescent="0.2">
      <c r="A375" s="423"/>
      <c r="B375" s="519"/>
      <c r="C375" s="519"/>
      <c r="D375" s="474">
        <v>338</v>
      </c>
      <c r="E375" s="524"/>
      <c r="F375" s="555"/>
      <c r="G375" s="482"/>
      <c r="H375" s="482"/>
      <c r="I375" s="482"/>
      <c r="J375" s="482"/>
      <c r="K375" s="482"/>
      <c r="L375" s="482"/>
      <c r="M375" s="482"/>
      <c r="N375" s="482"/>
      <c r="O375" s="482"/>
      <c r="P375" s="482"/>
      <c r="Q375" s="482"/>
    </row>
    <row r="376" spans="1:17" s="387" customFormat="1" x14ac:dyDescent="0.2">
      <c r="A376" s="540">
        <v>12</v>
      </c>
      <c r="B376" s="538" t="s">
        <v>519</v>
      </c>
      <c r="C376" s="538" t="s">
        <v>609</v>
      </c>
      <c r="D376" s="481">
        <v>331</v>
      </c>
      <c r="E376" s="480"/>
      <c r="F376" s="552"/>
      <c r="G376" s="444"/>
      <c r="H376" s="444"/>
      <c r="I376" s="444"/>
      <c r="J376" s="444"/>
      <c r="K376" s="444"/>
      <c r="L376" s="444"/>
      <c r="M376" s="444"/>
      <c r="N376" s="444"/>
      <c r="O376" s="444"/>
      <c r="P376" s="444"/>
      <c r="Q376" s="444"/>
    </row>
    <row r="377" spans="1:17" s="387" customFormat="1" x14ac:dyDescent="0.2">
      <c r="A377" s="423"/>
      <c r="B377" s="519"/>
      <c r="C377" s="519"/>
      <c r="D377" s="474">
        <v>338</v>
      </c>
      <c r="E377" s="524"/>
      <c r="F377" s="555"/>
      <c r="G377" s="482"/>
      <c r="H377" s="482"/>
      <c r="I377" s="482"/>
      <c r="J377" s="482"/>
      <c r="K377" s="482"/>
      <c r="L377" s="482"/>
      <c r="M377" s="482"/>
      <c r="N377" s="482"/>
      <c r="O377" s="482"/>
      <c r="P377" s="482"/>
      <c r="Q377" s="482"/>
    </row>
    <row r="378" spans="1:17" s="387" customFormat="1" x14ac:dyDescent="0.2">
      <c r="A378" s="540">
        <v>13</v>
      </c>
      <c r="B378" s="538" t="s">
        <v>520</v>
      </c>
      <c r="C378" s="538" t="s">
        <v>610</v>
      </c>
      <c r="D378" s="481">
        <v>331</v>
      </c>
      <c r="E378" s="480"/>
      <c r="F378" s="552"/>
      <c r="G378" s="444"/>
      <c r="H378" s="444"/>
      <c r="I378" s="444"/>
      <c r="J378" s="444"/>
      <c r="K378" s="444"/>
      <c r="L378" s="444"/>
      <c r="M378" s="444"/>
      <c r="N378" s="444"/>
      <c r="O378" s="444"/>
      <c r="P378" s="444"/>
      <c r="Q378" s="444"/>
    </row>
    <row r="379" spans="1:17" s="387" customFormat="1" x14ac:dyDescent="0.2">
      <c r="A379" s="423"/>
      <c r="B379" s="519"/>
      <c r="C379" s="519"/>
      <c r="D379" s="474">
        <v>338</v>
      </c>
      <c r="E379" s="524"/>
      <c r="F379" s="555"/>
      <c r="G379" s="482"/>
      <c r="H379" s="482"/>
      <c r="I379" s="482"/>
      <c r="J379" s="482"/>
      <c r="K379" s="482"/>
      <c r="L379" s="482"/>
      <c r="M379" s="482"/>
      <c r="N379" s="482"/>
      <c r="O379" s="482"/>
      <c r="P379" s="482"/>
      <c r="Q379" s="482"/>
    </row>
    <row r="380" spans="1:17" s="387" customFormat="1" x14ac:dyDescent="0.2">
      <c r="A380" s="540">
        <v>14</v>
      </c>
      <c r="B380" s="538" t="s">
        <v>521</v>
      </c>
      <c r="C380" s="538" t="s">
        <v>611</v>
      </c>
      <c r="D380" s="481">
        <v>331</v>
      </c>
      <c r="E380" s="480"/>
      <c r="F380" s="552"/>
      <c r="G380" s="444"/>
      <c r="H380" s="444"/>
      <c r="I380" s="444"/>
      <c r="J380" s="444"/>
      <c r="K380" s="444"/>
      <c r="L380" s="444"/>
      <c r="M380" s="444"/>
      <c r="N380" s="444"/>
      <c r="O380" s="444"/>
      <c r="P380" s="444"/>
      <c r="Q380" s="444"/>
    </row>
    <row r="381" spans="1:17" s="387" customFormat="1" x14ac:dyDescent="0.2">
      <c r="A381" s="423"/>
      <c r="B381" s="519"/>
      <c r="C381" s="519"/>
      <c r="D381" s="474">
        <v>338</v>
      </c>
      <c r="E381" s="524"/>
      <c r="F381" s="555"/>
      <c r="G381" s="482"/>
      <c r="H381" s="482"/>
      <c r="I381" s="482"/>
      <c r="J381" s="482"/>
      <c r="K381" s="482"/>
      <c r="L381" s="482"/>
      <c r="M381" s="482"/>
      <c r="N381" s="482"/>
      <c r="O381" s="482"/>
      <c r="P381" s="482"/>
      <c r="Q381" s="482"/>
    </row>
    <row r="382" spans="1:17" s="387" customFormat="1" x14ac:dyDescent="0.2">
      <c r="A382" s="540">
        <v>15</v>
      </c>
      <c r="B382" s="538" t="s">
        <v>522</v>
      </c>
      <c r="C382" s="538" t="s">
        <v>612</v>
      </c>
      <c r="D382" s="481">
        <v>331</v>
      </c>
      <c r="E382" s="480"/>
      <c r="F382" s="552">
        <v>9900000000</v>
      </c>
      <c r="G382" s="444">
        <v>9900000000</v>
      </c>
      <c r="H382" s="444">
        <v>9900000000</v>
      </c>
      <c r="I382" s="444">
        <v>9900000000</v>
      </c>
      <c r="J382" s="444"/>
      <c r="K382" s="444"/>
      <c r="L382" s="444"/>
      <c r="M382" s="444"/>
      <c r="N382" s="444"/>
      <c r="O382" s="444"/>
      <c r="P382" s="444"/>
      <c r="Q382" s="444"/>
    </row>
    <row r="383" spans="1:17" s="387" customFormat="1" x14ac:dyDescent="0.2">
      <c r="A383" s="423"/>
      <c r="B383" s="519"/>
      <c r="C383" s="519"/>
      <c r="D383" s="474">
        <v>338</v>
      </c>
      <c r="E383" s="524"/>
      <c r="F383" s="555"/>
      <c r="G383" s="482"/>
      <c r="H383" s="482"/>
      <c r="I383" s="482"/>
      <c r="J383" s="482"/>
      <c r="K383" s="482"/>
      <c r="L383" s="482"/>
      <c r="M383" s="482"/>
      <c r="N383" s="482"/>
      <c r="O383" s="482"/>
      <c r="P383" s="482"/>
      <c r="Q383" s="482"/>
    </row>
    <row r="384" spans="1:17" s="387" customFormat="1" x14ac:dyDescent="0.2">
      <c r="A384" s="540">
        <v>16</v>
      </c>
      <c r="B384" s="538" t="s">
        <v>523</v>
      </c>
      <c r="C384" s="538" t="s">
        <v>613</v>
      </c>
      <c r="D384" s="481">
        <v>331</v>
      </c>
      <c r="E384" s="480"/>
      <c r="F384" s="552"/>
      <c r="G384" s="444"/>
      <c r="H384" s="444"/>
      <c r="I384" s="444"/>
      <c r="J384" s="444"/>
      <c r="K384" s="444"/>
      <c r="L384" s="444"/>
      <c r="M384" s="444"/>
      <c r="N384" s="444"/>
      <c r="O384" s="444"/>
      <c r="P384" s="444"/>
      <c r="Q384" s="444"/>
    </row>
    <row r="385" spans="1:17" s="387" customFormat="1" x14ac:dyDescent="0.2">
      <c r="A385" s="423"/>
      <c r="B385" s="519"/>
      <c r="C385" s="519"/>
      <c r="D385" s="474">
        <v>338</v>
      </c>
      <c r="E385" s="524"/>
      <c r="F385" s="555"/>
      <c r="G385" s="482"/>
      <c r="H385" s="482"/>
      <c r="I385" s="482"/>
      <c r="J385" s="482"/>
      <c r="K385" s="482"/>
      <c r="L385" s="482"/>
      <c r="M385" s="482"/>
      <c r="N385" s="482"/>
      <c r="O385" s="482"/>
      <c r="P385" s="482"/>
      <c r="Q385" s="482"/>
    </row>
    <row r="386" spans="1:17" s="387" customFormat="1" x14ac:dyDescent="0.2">
      <c r="A386" s="540">
        <v>17</v>
      </c>
      <c r="B386" s="538" t="s">
        <v>524</v>
      </c>
      <c r="C386" s="538" t="s">
        <v>614</v>
      </c>
      <c r="D386" s="481">
        <v>331</v>
      </c>
      <c r="E386" s="480"/>
      <c r="F386" s="552"/>
      <c r="G386" s="444"/>
      <c r="H386" s="444"/>
      <c r="I386" s="444"/>
      <c r="J386" s="444"/>
      <c r="K386" s="444"/>
      <c r="L386" s="444"/>
      <c r="M386" s="444"/>
      <c r="N386" s="444"/>
      <c r="O386" s="444"/>
      <c r="P386" s="444"/>
      <c r="Q386" s="444"/>
    </row>
    <row r="387" spans="1:17" s="387" customFormat="1" x14ac:dyDescent="0.2">
      <c r="A387" s="423"/>
      <c r="B387" s="519"/>
      <c r="C387" s="519"/>
      <c r="D387" s="474">
        <v>338</v>
      </c>
      <c r="E387" s="524"/>
      <c r="F387" s="555"/>
      <c r="G387" s="482"/>
      <c r="H387" s="482"/>
      <c r="I387" s="482"/>
      <c r="J387" s="482"/>
      <c r="K387" s="482"/>
      <c r="L387" s="482"/>
      <c r="M387" s="482"/>
      <c r="N387" s="482"/>
      <c r="O387" s="482"/>
      <c r="P387" s="482"/>
      <c r="Q387" s="482"/>
    </row>
    <row r="388" spans="1:17" s="387" customFormat="1" x14ac:dyDescent="0.2">
      <c r="A388" s="540">
        <v>18</v>
      </c>
      <c r="B388" s="538" t="s">
        <v>525</v>
      </c>
      <c r="C388" s="538" t="s">
        <v>615</v>
      </c>
      <c r="D388" s="481">
        <v>331</v>
      </c>
      <c r="E388" s="480"/>
      <c r="F388" s="552"/>
      <c r="G388" s="444"/>
      <c r="H388" s="444"/>
      <c r="I388" s="444"/>
      <c r="J388" s="444"/>
      <c r="K388" s="444"/>
      <c r="L388" s="444"/>
      <c r="M388" s="444"/>
      <c r="N388" s="444"/>
      <c r="O388" s="444"/>
      <c r="P388" s="444"/>
      <c r="Q388" s="444"/>
    </row>
    <row r="389" spans="1:17" s="387" customFormat="1" x14ac:dyDescent="0.2">
      <c r="A389" s="423"/>
      <c r="B389" s="519"/>
      <c r="C389" s="519"/>
      <c r="D389" s="474">
        <v>338</v>
      </c>
      <c r="E389" s="524"/>
      <c r="F389" s="555"/>
      <c r="G389" s="482"/>
      <c r="H389" s="482"/>
      <c r="I389" s="482"/>
      <c r="J389" s="482"/>
      <c r="K389" s="482"/>
      <c r="L389" s="482"/>
      <c r="M389" s="482"/>
      <c r="N389" s="482"/>
      <c r="O389" s="482"/>
      <c r="P389" s="482"/>
      <c r="Q389" s="482"/>
    </row>
    <row r="390" spans="1:17" s="387" customFormat="1" x14ac:dyDescent="0.2">
      <c r="A390" s="540">
        <v>19</v>
      </c>
      <c r="B390" s="531" t="s">
        <v>616</v>
      </c>
      <c r="C390" s="531" t="s">
        <v>617</v>
      </c>
      <c r="D390" s="481">
        <v>331</v>
      </c>
      <c r="E390" s="480"/>
      <c r="F390" s="552"/>
      <c r="G390" s="444"/>
      <c r="H390" s="444"/>
      <c r="I390" s="444"/>
      <c r="J390" s="444"/>
      <c r="K390" s="444"/>
      <c r="L390" s="444"/>
      <c r="M390" s="444"/>
      <c r="N390" s="444"/>
      <c r="O390" s="444"/>
      <c r="P390" s="444"/>
      <c r="Q390" s="444"/>
    </row>
    <row r="391" spans="1:17" s="387" customFormat="1" x14ac:dyDescent="0.2">
      <c r="A391" s="423"/>
      <c r="B391" s="519"/>
      <c r="C391" s="519"/>
      <c r="D391" s="474">
        <v>338</v>
      </c>
      <c r="E391" s="524"/>
      <c r="F391" s="555"/>
      <c r="G391" s="482"/>
      <c r="H391" s="482"/>
      <c r="I391" s="482"/>
      <c r="J391" s="482"/>
      <c r="K391" s="482"/>
      <c r="L391" s="482"/>
      <c r="M391" s="482"/>
      <c r="N391" s="482"/>
      <c r="O391" s="482"/>
      <c r="P391" s="482"/>
      <c r="Q391" s="482"/>
    </row>
    <row r="392" spans="1:17" s="387" customFormat="1" x14ac:dyDescent="0.2">
      <c r="A392" s="540">
        <v>20</v>
      </c>
      <c r="B392" s="538" t="s">
        <v>526</v>
      </c>
      <c r="C392" s="538" t="s">
        <v>618</v>
      </c>
      <c r="D392" s="481">
        <v>331</v>
      </c>
      <c r="E392" s="480"/>
      <c r="F392" s="552"/>
      <c r="G392" s="444"/>
      <c r="H392" s="444"/>
      <c r="I392" s="444"/>
      <c r="J392" s="444"/>
      <c r="K392" s="444"/>
      <c r="L392" s="444"/>
      <c r="M392" s="444"/>
      <c r="N392" s="444"/>
      <c r="O392" s="444"/>
      <c r="P392" s="444"/>
      <c r="Q392" s="444"/>
    </row>
    <row r="393" spans="1:17" s="387" customFormat="1" x14ac:dyDescent="0.2">
      <c r="A393" s="423"/>
      <c r="B393" s="519"/>
      <c r="C393" s="519"/>
      <c r="D393" s="474">
        <v>338</v>
      </c>
      <c r="E393" s="424"/>
      <c r="F393" s="555"/>
      <c r="G393" s="482"/>
      <c r="H393" s="482"/>
      <c r="I393" s="482"/>
      <c r="J393" s="482"/>
      <c r="K393" s="482"/>
      <c r="L393" s="482"/>
      <c r="M393" s="482"/>
      <c r="N393" s="482"/>
      <c r="O393" s="482"/>
      <c r="P393" s="482"/>
      <c r="Q393" s="482"/>
    </row>
    <row r="394" spans="1:17" s="387" customFormat="1" x14ac:dyDescent="0.2">
      <c r="A394" s="540">
        <v>21</v>
      </c>
      <c r="B394" s="538" t="s">
        <v>527</v>
      </c>
      <c r="C394" s="538" t="s">
        <v>619</v>
      </c>
      <c r="D394" s="481">
        <v>331</v>
      </c>
      <c r="E394" s="480"/>
      <c r="F394" s="552"/>
      <c r="G394" s="444"/>
      <c r="H394" s="444"/>
      <c r="I394" s="444"/>
      <c r="J394" s="444"/>
      <c r="K394" s="444"/>
      <c r="L394" s="444"/>
      <c r="M394" s="444"/>
      <c r="N394" s="444"/>
      <c r="O394" s="444"/>
      <c r="P394" s="444"/>
      <c r="Q394" s="444"/>
    </row>
    <row r="395" spans="1:17" s="387" customFormat="1" x14ac:dyDescent="0.2">
      <c r="A395" s="423"/>
      <c r="B395" s="519"/>
      <c r="C395" s="519"/>
      <c r="D395" s="474">
        <v>338</v>
      </c>
      <c r="E395" s="424"/>
      <c r="F395" s="555"/>
      <c r="G395" s="482"/>
      <c r="H395" s="482"/>
      <c r="I395" s="482"/>
      <c r="J395" s="482"/>
      <c r="K395" s="482"/>
      <c r="L395" s="482"/>
      <c r="M395" s="482"/>
      <c r="N395" s="482"/>
      <c r="O395" s="482"/>
      <c r="P395" s="482"/>
      <c r="Q395" s="482"/>
    </row>
    <row r="396" spans="1:17" s="387" customFormat="1" x14ac:dyDescent="0.2">
      <c r="A396" s="407">
        <v>22</v>
      </c>
      <c r="B396" s="408" t="s">
        <v>528</v>
      </c>
      <c r="C396" s="408" t="s">
        <v>620</v>
      </c>
      <c r="D396" s="410">
        <v>331</v>
      </c>
      <c r="E396" s="409"/>
      <c r="F396" s="556"/>
      <c r="G396" s="412"/>
      <c r="H396" s="412"/>
      <c r="I396" s="412"/>
      <c r="J396" s="412"/>
      <c r="K396" s="412"/>
      <c r="L396" s="412"/>
      <c r="M396" s="412"/>
      <c r="N396" s="412"/>
      <c r="O396" s="412"/>
      <c r="P396" s="412"/>
      <c r="Q396" s="412"/>
    </row>
    <row r="397" spans="1:17" s="387" customFormat="1" x14ac:dyDescent="0.2">
      <c r="A397" s="493"/>
      <c r="B397" s="519"/>
      <c r="C397" s="519"/>
      <c r="D397" s="474">
        <v>338</v>
      </c>
      <c r="E397" s="424"/>
      <c r="F397" s="555"/>
      <c r="G397" s="482"/>
      <c r="H397" s="482"/>
      <c r="I397" s="482"/>
      <c r="J397" s="482"/>
      <c r="K397" s="482"/>
      <c r="L397" s="482"/>
      <c r="M397" s="482"/>
      <c r="N397" s="482"/>
      <c r="O397" s="482"/>
      <c r="P397" s="482"/>
      <c r="Q397" s="482"/>
    </row>
    <row r="398" spans="1:17" s="387" customFormat="1" x14ac:dyDescent="0.2">
      <c r="A398" s="470" t="s">
        <v>556</v>
      </c>
      <c r="B398" s="403" t="s">
        <v>582</v>
      </c>
      <c r="C398" s="403"/>
      <c r="D398" s="472"/>
      <c r="E398" s="409"/>
      <c r="F398" s="511" t="s">
        <v>477</v>
      </c>
      <c r="G398" s="511" t="s">
        <v>478</v>
      </c>
      <c r="H398" s="511" t="s">
        <v>479</v>
      </c>
      <c r="I398" s="511" t="s">
        <v>480</v>
      </c>
      <c r="J398" s="511" t="s">
        <v>481</v>
      </c>
      <c r="K398" s="511" t="s">
        <v>482</v>
      </c>
      <c r="L398" s="511" t="s">
        <v>483</v>
      </c>
      <c r="M398" s="511" t="s">
        <v>484</v>
      </c>
      <c r="N398" s="511" t="s">
        <v>485</v>
      </c>
      <c r="O398" s="511" t="s">
        <v>486</v>
      </c>
      <c r="P398" s="511" t="s">
        <v>487</v>
      </c>
      <c r="Q398" s="511" t="s">
        <v>488</v>
      </c>
    </row>
    <row r="399" spans="1:17" s="387" customFormat="1" x14ac:dyDescent="0.2">
      <c r="A399" s="540">
        <v>1</v>
      </c>
      <c r="B399" s="535" t="s">
        <v>492</v>
      </c>
      <c r="C399" s="535" t="s">
        <v>597</v>
      </c>
      <c r="D399" s="481">
        <v>331</v>
      </c>
      <c r="E399" s="480"/>
      <c r="F399" s="552"/>
      <c r="G399" s="444"/>
      <c r="H399" s="444"/>
      <c r="I399" s="444"/>
      <c r="J399" s="444"/>
      <c r="K399" s="444"/>
      <c r="L399" s="444"/>
      <c r="M399" s="444"/>
      <c r="N399" s="444"/>
      <c r="O399" s="444"/>
      <c r="P399" s="444"/>
      <c r="Q399" s="444"/>
    </row>
    <row r="400" spans="1:17" s="387" customFormat="1" x14ac:dyDescent="0.2">
      <c r="A400" s="434">
        <v>2</v>
      </c>
      <c r="B400" s="415" t="s">
        <v>501</v>
      </c>
      <c r="C400" s="415" t="s">
        <v>598</v>
      </c>
      <c r="D400" s="419">
        <v>331</v>
      </c>
      <c r="E400" s="415"/>
      <c r="F400" s="553"/>
      <c r="G400" s="432"/>
      <c r="H400" s="432"/>
      <c r="I400" s="432"/>
      <c r="J400" s="432"/>
      <c r="K400" s="432"/>
      <c r="L400" s="432"/>
      <c r="M400" s="432"/>
      <c r="N400" s="432"/>
      <c r="O400" s="432"/>
      <c r="P400" s="432"/>
      <c r="Q400" s="432"/>
    </row>
    <row r="401" spans="1:17" s="387" customFormat="1" x14ac:dyDescent="0.2">
      <c r="A401" s="434">
        <v>3</v>
      </c>
      <c r="B401" s="446" t="s">
        <v>506</v>
      </c>
      <c r="C401" s="446" t="s">
        <v>599</v>
      </c>
      <c r="D401" s="419">
        <v>331</v>
      </c>
      <c r="E401" s="415"/>
      <c r="F401" s="553"/>
      <c r="G401" s="432"/>
      <c r="H401" s="432"/>
      <c r="I401" s="432"/>
      <c r="J401" s="432"/>
      <c r="K401" s="432"/>
      <c r="L401" s="432"/>
      <c r="M401" s="432"/>
      <c r="N401" s="432"/>
      <c r="O401" s="432"/>
      <c r="P401" s="432"/>
      <c r="Q401" s="432"/>
    </row>
    <row r="402" spans="1:17" s="387" customFormat="1" x14ac:dyDescent="0.2">
      <c r="A402" s="434">
        <v>4</v>
      </c>
      <c r="B402" s="446" t="s">
        <v>508</v>
      </c>
      <c r="C402" s="446" t="s">
        <v>600</v>
      </c>
      <c r="D402" s="419">
        <v>331</v>
      </c>
      <c r="E402" s="415"/>
      <c r="F402" s="553"/>
      <c r="G402" s="432"/>
      <c r="H402" s="432"/>
      <c r="I402" s="432"/>
      <c r="J402" s="432"/>
      <c r="K402" s="432"/>
      <c r="L402" s="553"/>
      <c r="M402" s="432"/>
      <c r="N402" s="432"/>
      <c r="O402" s="432"/>
      <c r="P402" s="432"/>
      <c r="Q402" s="432"/>
    </row>
    <row r="403" spans="1:17" s="387" customFormat="1" x14ac:dyDescent="0.2">
      <c r="A403" s="414">
        <v>5</v>
      </c>
      <c r="B403" s="446" t="s">
        <v>509</v>
      </c>
      <c r="C403" s="446" t="s">
        <v>601</v>
      </c>
      <c r="D403" s="419">
        <v>331</v>
      </c>
      <c r="E403" s="415"/>
      <c r="F403" s="553"/>
      <c r="G403" s="432"/>
      <c r="H403" s="432"/>
      <c r="I403" s="432"/>
      <c r="J403" s="432"/>
      <c r="K403" s="432"/>
      <c r="L403" s="432"/>
      <c r="M403" s="432"/>
      <c r="N403" s="432"/>
      <c r="O403" s="432"/>
      <c r="P403" s="432"/>
      <c r="Q403" s="432"/>
    </row>
    <row r="404" spans="1:17" s="387" customFormat="1" x14ac:dyDescent="0.2">
      <c r="A404" s="434">
        <v>6</v>
      </c>
      <c r="B404" s="446" t="s">
        <v>511</v>
      </c>
      <c r="C404" s="446" t="s">
        <v>602</v>
      </c>
      <c r="D404" s="419">
        <v>331</v>
      </c>
      <c r="E404" s="415"/>
      <c r="F404" s="553"/>
      <c r="G404" s="432"/>
      <c r="H404" s="432"/>
      <c r="I404" s="432"/>
      <c r="J404" s="432"/>
      <c r="K404" s="432"/>
      <c r="L404" s="432"/>
      <c r="M404" s="432"/>
      <c r="N404" s="432"/>
      <c r="O404" s="432"/>
      <c r="P404" s="432"/>
      <c r="Q404" s="432"/>
    </row>
    <row r="405" spans="1:17" s="387" customFormat="1" x14ac:dyDescent="0.2">
      <c r="A405" s="434">
        <v>7</v>
      </c>
      <c r="B405" s="451" t="s">
        <v>603</v>
      </c>
      <c r="C405" s="451" t="s">
        <v>604</v>
      </c>
      <c r="D405" s="419">
        <v>331</v>
      </c>
      <c r="E405" s="415"/>
      <c r="F405" s="553"/>
      <c r="G405" s="432"/>
      <c r="H405" s="432"/>
      <c r="I405" s="432"/>
      <c r="J405" s="432"/>
      <c r="K405" s="432"/>
      <c r="L405" s="432"/>
      <c r="M405" s="432"/>
      <c r="N405" s="432"/>
      <c r="O405" s="432"/>
      <c r="P405" s="432"/>
      <c r="Q405" s="432"/>
    </row>
    <row r="406" spans="1:17" s="387" customFormat="1" x14ac:dyDescent="0.2">
      <c r="A406" s="434">
        <v>8</v>
      </c>
      <c r="B406" s="446" t="s">
        <v>514</v>
      </c>
      <c r="C406" s="446" t="s">
        <v>605</v>
      </c>
      <c r="D406" s="419">
        <v>331</v>
      </c>
      <c r="E406" s="415"/>
      <c r="F406" s="553"/>
      <c r="G406" s="432"/>
      <c r="H406" s="432"/>
      <c r="I406" s="432"/>
      <c r="J406" s="432"/>
      <c r="K406" s="432"/>
      <c r="L406" s="432"/>
      <c r="M406" s="432"/>
      <c r="N406" s="432"/>
      <c r="O406" s="432"/>
      <c r="P406" s="432"/>
      <c r="Q406" s="432"/>
    </row>
    <row r="407" spans="1:17" s="387" customFormat="1" x14ac:dyDescent="0.2">
      <c r="A407" s="434">
        <v>9</v>
      </c>
      <c r="B407" s="446" t="s">
        <v>516</v>
      </c>
      <c r="C407" s="446" t="s">
        <v>606</v>
      </c>
      <c r="D407" s="419">
        <v>331</v>
      </c>
      <c r="E407" s="415"/>
      <c r="F407" s="553"/>
      <c r="G407" s="432"/>
      <c r="H407" s="432"/>
      <c r="I407" s="432"/>
      <c r="J407" s="432"/>
      <c r="K407" s="432"/>
      <c r="L407" s="432"/>
      <c r="M407" s="432"/>
      <c r="N407" s="432"/>
      <c r="O407" s="432"/>
      <c r="P407" s="432"/>
      <c r="Q407" s="432"/>
    </row>
    <row r="408" spans="1:17" s="387" customFormat="1" x14ac:dyDescent="0.2">
      <c r="A408" s="434">
        <v>10</v>
      </c>
      <c r="B408" s="415" t="s">
        <v>517</v>
      </c>
      <c r="C408" s="415" t="s">
        <v>607</v>
      </c>
      <c r="D408" s="419">
        <v>331</v>
      </c>
      <c r="E408" s="415"/>
      <c r="F408" s="553"/>
      <c r="G408" s="432"/>
      <c r="H408" s="432"/>
      <c r="I408" s="432"/>
      <c r="J408" s="432"/>
      <c r="K408" s="432"/>
      <c r="L408" s="432"/>
      <c r="M408" s="432"/>
      <c r="N408" s="432"/>
      <c r="O408" s="432"/>
      <c r="P408" s="432"/>
      <c r="Q408" s="432"/>
    </row>
    <row r="409" spans="1:17" s="387" customFormat="1" x14ac:dyDescent="0.2">
      <c r="A409" s="434">
        <v>11</v>
      </c>
      <c r="B409" s="446" t="s">
        <v>518</v>
      </c>
      <c r="C409" s="446" t="s">
        <v>608</v>
      </c>
      <c r="D409" s="419">
        <v>331</v>
      </c>
      <c r="E409" s="415"/>
      <c r="F409" s="553"/>
      <c r="G409" s="432"/>
      <c r="H409" s="432"/>
      <c r="I409" s="432"/>
      <c r="J409" s="432"/>
      <c r="K409" s="432"/>
      <c r="L409" s="432"/>
      <c r="M409" s="432"/>
      <c r="N409" s="432"/>
      <c r="O409" s="432"/>
      <c r="P409" s="432"/>
      <c r="Q409" s="432"/>
    </row>
    <row r="410" spans="1:17" s="387" customFormat="1" x14ac:dyDescent="0.2">
      <c r="A410" s="434">
        <v>12</v>
      </c>
      <c r="B410" s="446" t="s">
        <v>519</v>
      </c>
      <c r="C410" s="446" t="s">
        <v>609</v>
      </c>
      <c r="D410" s="419">
        <v>331</v>
      </c>
      <c r="E410" s="415"/>
      <c r="F410" s="553"/>
      <c r="G410" s="432"/>
      <c r="H410" s="432"/>
      <c r="I410" s="432"/>
      <c r="J410" s="432"/>
      <c r="K410" s="432"/>
      <c r="L410" s="432"/>
      <c r="M410" s="432"/>
      <c r="N410" s="432"/>
      <c r="O410" s="432"/>
      <c r="P410" s="432"/>
      <c r="Q410" s="432"/>
    </row>
    <row r="411" spans="1:17" s="387" customFormat="1" x14ac:dyDescent="0.2">
      <c r="A411" s="434">
        <v>13</v>
      </c>
      <c r="B411" s="415" t="s">
        <v>520</v>
      </c>
      <c r="C411" s="415" t="s">
        <v>610</v>
      </c>
      <c r="D411" s="419">
        <v>331</v>
      </c>
      <c r="E411" s="415"/>
      <c r="F411" s="557"/>
      <c r="G411" s="432"/>
      <c r="H411" s="432"/>
      <c r="I411" s="432"/>
      <c r="J411" s="432"/>
      <c r="K411" s="432"/>
      <c r="L411" s="432"/>
      <c r="M411" s="432"/>
      <c r="N411" s="432"/>
      <c r="O411" s="432"/>
      <c r="P411" s="432"/>
      <c r="Q411" s="432"/>
    </row>
    <row r="412" spans="1:17" s="387" customFormat="1" x14ac:dyDescent="0.2">
      <c r="A412" s="434">
        <v>14</v>
      </c>
      <c r="B412" s="415" t="s">
        <v>521</v>
      </c>
      <c r="C412" s="415" t="s">
        <v>611</v>
      </c>
      <c r="D412" s="419">
        <v>331</v>
      </c>
      <c r="E412" s="415"/>
      <c r="F412" s="557"/>
      <c r="G412" s="432"/>
      <c r="H412" s="432"/>
      <c r="I412" s="432"/>
      <c r="J412" s="432"/>
      <c r="K412" s="432"/>
      <c r="L412" s="432"/>
      <c r="M412" s="432"/>
      <c r="N412" s="432"/>
      <c r="O412" s="432"/>
      <c r="P412" s="432"/>
      <c r="Q412" s="432"/>
    </row>
    <row r="413" spans="1:17" s="387" customFormat="1" x14ac:dyDescent="0.2">
      <c r="A413" s="434">
        <v>15</v>
      </c>
      <c r="B413" s="415" t="s">
        <v>522</v>
      </c>
      <c r="C413" s="415" t="s">
        <v>612</v>
      </c>
      <c r="D413" s="419">
        <v>331</v>
      </c>
      <c r="E413" s="415"/>
      <c r="F413" s="557"/>
      <c r="G413" s="432"/>
      <c r="H413" s="432"/>
      <c r="I413" s="432"/>
      <c r="J413" s="432"/>
      <c r="K413" s="432"/>
      <c r="L413" s="432"/>
      <c r="M413" s="432"/>
      <c r="N413" s="432"/>
      <c r="O413" s="432"/>
      <c r="P413" s="432"/>
      <c r="Q413" s="432"/>
    </row>
    <row r="414" spans="1:17" s="387" customFormat="1" x14ac:dyDescent="0.2">
      <c r="A414" s="434">
        <v>16</v>
      </c>
      <c r="B414" s="415" t="s">
        <v>523</v>
      </c>
      <c r="C414" s="415" t="s">
        <v>613</v>
      </c>
      <c r="D414" s="419">
        <v>331</v>
      </c>
      <c r="E414" s="415"/>
      <c r="F414" s="557"/>
      <c r="G414" s="432"/>
      <c r="H414" s="432"/>
      <c r="I414" s="432"/>
      <c r="J414" s="432"/>
      <c r="K414" s="432"/>
      <c r="L414" s="432"/>
      <c r="M414" s="432"/>
      <c r="N414" s="432"/>
      <c r="O414" s="432"/>
      <c r="P414" s="432"/>
      <c r="Q414" s="432"/>
    </row>
    <row r="415" spans="1:17" s="387" customFormat="1" x14ac:dyDescent="0.2">
      <c r="A415" s="434">
        <v>17</v>
      </c>
      <c r="B415" s="415" t="s">
        <v>524</v>
      </c>
      <c r="C415" s="415" t="s">
        <v>614</v>
      </c>
      <c r="D415" s="419">
        <v>331</v>
      </c>
      <c r="E415" s="415"/>
      <c r="F415" s="557"/>
      <c r="G415" s="432"/>
      <c r="H415" s="432"/>
      <c r="I415" s="432"/>
      <c r="J415" s="432"/>
      <c r="K415" s="432"/>
      <c r="L415" s="432"/>
      <c r="M415" s="432"/>
      <c r="N415" s="432"/>
      <c r="O415" s="432"/>
      <c r="P415" s="432"/>
      <c r="Q415" s="432"/>
    </row>
    <row r="416" spans="1:17" s="387" customFormat="1" x14ac:dyDescent="0.2">
      <c r="A416" s="434">
        <v>18</v>
      </c>
      <c r="B416" s="415" t="s">
        <v>525</v>
      </c>
      <c r="C416" s="415" t="s">
        <v>615</v>
      </c>
      <c r="D416" s="419">
        <v>331</v>
      </c>
      <c r="E416" s="415"/>
      <c r="F416" s="557"/>
      <c r="G416" s="432"/>
      <c r="H416" s="432"/>
      <c r="I416" s="432"/>
      <c r="J416" s="432"/>
      <c r="K416" s="432"/>
      <c r="L416" s="432"/>
      <c r="M416" s="432"/>
      <c r="N416" s="432"/>
      <c r="O416" s="432"/>
      <c r="P416" s="432"/>
      <c r="Q416" s="432"/>
    </row>
    <row r="417" spans="1:17" s="387" customFormat="1" x14ac:dyDescent="0.2">
      <c r="A417" s="434">
        <v>19</v>
      </c>
      <c r="B417" s="451" t="s">
        <v>616</v>
      </c>
      <c r="C417" s="451" t="s">
        <v>617</v>
      </c>
      <c r="D417" s="419">
        <v>331</v>
      </c>
      <c r="E417" s="415"/>
      <c r="F417" s="557"/>
      <c r="G417" s="432"/>
      <c r="H417" s="432"/>
      <c r="I417" s="432"/>
      <c r="J417" s="432"/>
      <c r="K417" s="432"/>
      <c r="L417" s="432"/>
      <c r="M417" s="432"/>
      <c r="N417" s="432"/>
      <c r="O417" s="432"/>
      <c r="P417" s="432"/>
      <c r="Q417" s="432"/>
    </row>
    <row r="418" spans="1:17" s="387" customFormat="1" x14ac:dyDescent="0.2">
      <c r="A418" s="434">
        <v>20</v>
      </c>
      <c r="B418" s="415" t="s">
        <v>526</v>
      </c>
      <c r="C418" s="415" t="s">
        <v>618</v>
      </c>
      <c r="D418" s="419">
        <v>331</v>
      </c>
      <c r="E418" s="415"/>
      <c r="F418" s="557"/>
      <c r="G418" s="432"/>
      <c r="H418" s="432"/>
      <c r="I418" s="432"/>
      <c r="J418" s="432"/>
      <c r="K418" s="432"/>
      <c r="L418" s="432"/>
      <c r="M418" s="432"/>
      <c r="N418" s="432"/>
      <c r="O418" s="432"/>
      <c r="P418" s="432"/>
      <c r="Q418" s="432"/>
    </row>
    <row r="419" spans="1:17" s="387" customFormat="1" x14ac:dyDescent="0.2">
      <c r="A419" s="434">
        <v>21</v>
      </c>
      <c r="B419" s="415" t="s">
        <v>527</v>
      </c>
      <c r="C419" s="415" t="s">
        <v>619</v>
      </c>
      <c r="D419" s="419">
        <v>331</v>
      </c>
      <c r="E419" s="415"/>
      <c r="F419" s="557"/>
      <c r="G419" s="432"/>
      <c r="H419" s="432"/>
      <c r="I419" s="432"/>
      <c r="J419" s="432"/>
      <c r="K419" s="432"/>
      <c r="L419" s="432"/>
      <c r="M419" s="432"/>
      <c r="N419" s="432"/>
      <c r="O419" s="432"/>
      <c r="P419" s="432"/>
      <c r="Q419" s="432"/>
    </row>
    <row r="420" spans="1:17" s="387" customFormat="1" x14ac:dyDescent="0.2">
      <c r="A420" s="434">
        <v>22</v>
      </c>
      <c r="B420" s="415" t="s">
        <v>528</v>
      </c>
      <c r="C420" s="415" t="s">
        <v>620</v>
      </c>
      <c r="D420" s="419">
        <v>331</v>
      </c>
      <c r="E420" s="415"/>
      <c r="F420" s="557"/>
      <c r="G420" s="432"/>
      <c r="H420" s="432"/>
      <c r="I420" s="432"/>
      <c r="J420" s="432"/>
      <c r="K420" s="432"/>
      <c r="L420" s="432"/>
      <c r="M420" s="432"/>
      <c r="N420" s="432"/>
      <c r="O420" s="432"/>
      <c r="P420" s="432"/>
      <c r="Q420" s="432"/>
    </row>
    <row r="421" spans="1:17" s="387" customFormat="1" x14ac:dyDescent="0.2">
      <c r="A421" s="493"/>
      <c r="B421" s="424"/>
      <c r="C421" s="424"/>
      <c r="D421" s="424"/>
      <c r="E421" s="424"/>
      <c r="F421" s="555"/>
      <c r="G421" s="482"/>
      <c r="H421" s="482"/>
      <c r="I421" s="482"/>
      <c r="J421" s="482"/>
      <c r="K421" s="482"/>
      <c r="L421" s="482"/>
      <c r="M421" s="482"/>
      <c r="N421" s="482"/>
      <c r="O421" s="482"/>
      <c r="P421" s="482"/>
      <c r="Q421" s="482"/>
    </row>
    <row r="422" spans="1:17" s="387" customFormat="1" x14ac:dyDescent="0.2">
      <c r="A422" s="470" t="s">
        <v>583</v>
      </c>
      <c r="B422" s="403" t="s">
        <v>584</v>
      </c>
      <c r="C422" s="403"/>
      <c r="D422" s="472"/>
      <c r="E422" s="472"/>
      <c r="F422" s="511" t="s">
        <v>477</v>
      </c>
      <c r="G422" s="511" t="s">
        <v>478</v>
      </c>
      <c r="H422" s="511" t="s">
        <v>479</v>
      </c>
      <c r="I422" s="511" t="s">
        <v>480</v>
      </c>
      <c r="J422" s="511" t="s">
        <v>481</v>
      </c>
      <c r="K422" s="511" t="s">
        <v>482</v>
      </c>
      <c r="L422" s="511" t="s">
        <v>483</v>
      </c>
      <c r="M422" s="511" t="s">
        <v>484</v>
      </c>
      <c r="N422" s="511" t="s">
        <v>485</v>
      </c>
      <c r="O422" s="511" t="s">
        <v>486</v>
      </c>
      <c r="P422" s="511" t="s">
        <v>487</v>
      </c>
      <c r="Q422" s="511" t="s">
        <v>488</v>
      </c>
    </row>
    <row r="423" spans="1:17" s="387" customFormat="1" x14ac:dyDescent="0.2">
      <c r="A423" s="487"/>
      <c r="B423" s="527" t="s">
        <v>585</v>
      </c>
      <c r="C423" s="527"/>
      <c r="D423" s="528"/>
      <c r="E423" s="415"/>
      <c r="F423" s="441"/>
      <c r="G423" s="444"/>
      <c r="H423" s="444"/>
      <c r="I423" s="444"/>
      <c r="J423" s="444"/>
      <c r="K423" s="444"/>
      <c r="L423" s="444"/>
      <c r="M423" s="444"/>
      <c r="N423" s="444"/>
      <c r="O423" s="444"/>
      <c r="P423" s="444"/>
      <c r="Q423" s="444"/>
    </row>
    <row r="424" spans="1:17" s="387" customFormat="1" x14ac:dyDescent="0.2">
      <c r="A424" s="434">
        <v>1</v>
      </c>
      <c r="B424" s="523" t="s">
        <v>492</v>
      </c>
      <c r="C424" s="523" t="s">
        <v>597</v>
      </c>
      <c r="D424" s="419">
        <v>128</v>
      </c>
      <c r="E424" s="415"/>
      <c r="F424" s="553"/>
      <c r="G424" s="432"/>
      <c r="H424" s="432"/>
      <c r="I424" s="432"/>
      <c r="J424" s="432"/>
      <c r="K424" s="432"/>
      <c r="L424" s="432"/>
      <c r="M424" s="432"/>
      <c r="N424" s="432"/>
      <c r="O424" s="432"/>
      <c r="P424" s="432"/>
      <c r="Q424" s="432"/>
    </row>
    <row r="425" spans="1:17" s="387" customFormat="1" x14ac:dyDescent="0.2">
      <c r="A425" s="434">
        <v>2</v>
      </c>
      <c r="B425" s="446" t="s">
        <v>501</v>
      </c>
      <c r="C425" s="446" t="s">
        <v>598</v>
      </c>
      <c r="D425" s="419">
        <v>128</v>
      </c>
      <c r="E425" s="415"/>
      <c r="F425" s="553"/>
      <c r="G425" s="432"/>
      <c r="H425" s="432"/>
      <c r="I425" s="432"/>
      <c r="J425" s="432"/>
      <c r="K425" s="432"/>
      <c r="L425" s="432"/>
      <c r="M425" s="432"/>
      <c r="N425" s="432"/>
      <c r="O425" s="432"/>
      <c r="P425" s="432"/>
      <c r="Q425" s="432"/>
    </row>
    <row r="426" spans="1:17" s="387" customFormat="1" x14ac:dyDescent="0.2">
      <c r="A426" s="434">
        <v>3</v>
      </c>
      <c r="B426" s="523" t="s">
        <v>506</v>
      </c>
      <c r="C426" s="523" t="s">
        <v>599</v>
      </c>
      <c r="D426" s="419">
        <v>128</v>
      </c>
      <c r="E426" s="415"/>
      <c r="F426" s="553"/>
      <c r="G426" s="432"/>
      <c r="H426" s="432"/>
      <c r="I426" s="432"/>
      <c r="J426" s="432"/>
      <c r="K426" s="432"/>
      <c r="L426" s="432"/>
      <c r="M426" s="432"/>
      <c r="N426" s="432"/>
      <c r="O426" s="432"/>
      <c r="P426" s="432"/>
      <c r="Q426" s="432"/>
    </row>
    <row r="427" spans="1:17" s="387" customFormat="1" x14ac:dyDescent="0.2">
      <c r="A427" s="434">
        <v>4</v>
      </c>
      <c r="B427" s="523" t="s">
        <v>508</v>
      </c>
      <c r="C427" s="523" t="s">
        <v>600</v>
      </c>
      <c r="D427" s="419">
        <v>128</v>
      </c>
      <c r="E427" s="415"/>
      <c r="F427" s="553"/>
      <c r="G427" s="432"/>
      <c r="H427" s="432"/>
      <c r="I427" s="432"/>
      <c r="J427" s="432"/>
      <c r="K427" s="432"/>
      <c r="L427" s="432"/>
      <c r="M427" s="432"/>
      <c r="N427" s="432"/>
      <c r="O427" s="432"/>
      <c r="P427" s="432"/>
      <c r="Q427" s="432"/>
    </row>
    <row r="428" spans="1:17" s="387" customFormat="1" x14ac:dyDescent="0.2">
      <c r="A428" s="434">
        <v>5</v>
      </c>
      <c r="B428" s="523" t="s">
        <v>509</v>
      </c>
      <c r="C428" s="523" t="s">
        <v>601</v>
      </c>
      <c r="D428" s="419">
        <v>128</v>
      </c>
      <c r="E428" s="415"/>
      <c r="F428" s="553"/>
      <c r="G428" s="432"/>
      <c r="H428" s="432"/>
      <c r="I428" s="432"/>
      <c r="J428" s="432"/>
      <c r="K428" s="432"/>
      <c r="L428" s="432"/>
      <c r="M428" s="432"/>
      <c r="N428" s="432"/>
      <c r="O428" s="432"/>
      <c r="P428" s="432"/>
      <c r="Q428" s="432"/>
    </row>
    <row r="429" spans="1:17" s="387" customFormat="1" x14ac:dyDescent="0.2">
      <c r="A429" s="434">
        <v>6</v>
      </c>
      <c r="B429" s="523" t="s">
        <v>511</v>
      </c>
      <c r="C429" s="523" t="s">
        <v>602</v>
      </c>
      <c r="D429" s="419">
        <v>128</v>
      </c>
      <c r="E429" s="415"/>
      <c r="F429" s="553"/>
      <c r="G429" s="432"/>
      <c r="H429" s="432"/>
      <c r="I429" s="432"/>
      <c r="J429" s="432"/>
      <c r="K429" s="432"/>
      <c r="L429" s="432"/>
      <c r="M429" s="432"/>
      <c r="N429" s="432"/>
      <c r="O429" s="432"/>
      <c r="P429" s="432"/>
      <c r="Q429" s="432"/>
    </row>
    <row r="430" spans="1:17" s="387" customFormat="1" x14ac:dyDescent="0.2">
      <c r="A430" s="434">
        <v>7</v>
      </c>
      <c r="B430" s="451" t="s">
        <v>603</v>
      </c>
      <c r="C430" s="451" t="s">
        <v>604</v>
      </c>
      <c r="D430" s="419">
        <v>128</v>
      </c>
      <c r="E430" s="415"/>
      <c r="F430" s="553"/>
      <c r="G430" s="432"/>
      <c r="H430" s="432"/>
      <c r="I430" s="432"/>
      <c r="J430" s="432"/>
      <c r="K430" s="432"/>
      <c r="L430" s="432"/>
      <c r="M430" s="432"/>
      <c r="N430" s="432"/>
      <c r="O430" s="432"/>
      <c r="P430" s="432"/>
      <c r="Q430" s="432"/>
    </row>
    <row r="431" spans="1:17" s="387" customFormat="1" x14ac:dyDescent="0.2">
      <c r="A431" s="434">
        <v>8</v>
      </c>
      <c r="B431" s="523" t="s">
        <v>514</v>
      </c>
      <c r="C431" s="523" t="s">
        <v>605</v>
      </c>
      <c r="D431" s="419">
        <v>128</v>
      </c>
      <c r="E431" s="415"/>
      <c r="F431" s="553"/>
      <c r="G431" s="432"/>
      <c r="H431" s="432"/>
      <c r="I431" s="432"/>
      <c r="J431" s="432"/>
      <c r="K431" s="432"/>
      <c r="L431" s="432"/>
      <c r="M431" s="432"/>
      <c r="N431" s="432"/>
      <c r="O431" s="432"/>
      <c r="P431" s="432"/>
      <c r="Q431" s="432"/>
    </row>
    <row r="432" spans="1:17" s="387" customFormat="1" x14ac:dyDescent="0.2">
      <c r="A432" s="434">
        <v>9</v>
      </c>
      <c r="B432" s="523" t="s">
        <v>516</v>
      </c>
      <c r="C432" s="523" t="s">
        <v>606</v>
      </c>
      <c r="D432" s="419">
        <v>128</v>
      </c>
      <c r="E432" s="415"/>
      <c r="F432" s="553"/>
      <c r="G432" s="432"/>
      <c r="H432" s="432"/>
      <c r="I432" s="432"/>
      <c r="J432" s="432"/>
      <c r="K432" s="432"/>
      <c r="L432" s="432"/>
      <c r="M432" s="432"/>
      <c r="N432" s="432"/>
      <c r="O432" s="432"/>
      <c r="P432" s="432"/>
      <c r="Q432" s="432"/>
    </row>
    <row r="433" spans="1:17" s="387" customFormat="1" x14ac:dyDescent="0.2">
      <c r="A433" s="434">
        <v>10</v>
      </c>
      <c r="B433" s="523" t="s">
        <v>517</v>
      </c>
      <c r="C433" s="523" t="s">
        <v>607</v>
      </c>
      <c r="D433" s="419">
        <v>128</v>
      </c>
      <c r="E433" s="415"/>
      <c r="F433" s="553"/>
      <c r="G433" s="432"/>
      <c r="H433" s="432"/>
      <c r="I433" s="432"/>
      <c r="J433" s="432"/>
      <c r="K433" s="432"/>
      <c r="L433" s="432"/>
      <c r="M433" s="432"/>
      <c r="N433" s="432"/>
      <c r="O433" s="432"/>
      <c r="P433" s="432"/>
      <c r="Q433" s="432"/>
    </row>
    <row r="434" spans="1:17" s="387" customFormat="1" x14ac:dyDescent="0.2">
      <c r="A434" s="434">
        <v>11</v>
      </c>
      <c r="B434" s="523" t="s">
        <v>518</v>
      </c>
      <c r="C434" s="523" t="s">
        <v>608</v>
      </c>
      <c r="D434" s="419">
        <v>128</v>
      </c>
      <c r="E434" s="415"/>
      <c r="F434" s="553"/>
      <c r="G434" s="432"/>
      <c r="H434" s="432"/>
      <c r="I434" s="432"/>
      <c r="J434" s="432"/>
      <c r="K434" s="432"/>
      <c r="L434" s="432"/>
      <c r="M434" s="432"/>
      <c r="N434" s="432"/>
      <c r="O434" s="432"/>
      <c r="P434" s="432"/>
      <c r="Q434" s="432"/>
    </row>
    <row r="435" spans="1:17" s="387" customFormat="1" x14ac:dyDescent="0.2">
      <c r="A435" s="434">
        <v>12</v>
      </c>
      <c r="B435" s="523" t="s">
        <v>519</v>
      </c>
      <c r="C435" s="523" t="s">
        <v>609</v>
      </c>
      <c r="D435" s="419">
        <v>128</v>
      </c>
      <c r="E435" s="415"/>
      <c r="F435" s="553"/>
      <c r="G435" s="432"/>
      <c r="H435" s="432"/>
      <c r="I435" s="432"/>
      <c r="J435" s="432"/>
      <c r="K435" s="432"/>
      <c r="L435" s="432"/>
      <c r="M435" s="432"/>
      <c r="N435" s="432"/>
      <c r="O435" s="432"/>
      <c r="P435" s="432"/>
      <c r="Q435" s="432"/>
    </row>
    <row r="436" spans="1:17" s="387" customFormat="1" x14ac:dyDescent="0.2">
      <c r="A436" s="434">
        <v>13</v>
      </c>
      <c r="B436" s="523" t="s">
        <v>520</v>
      </c>
      <c r="C436" s="523" t="s">
        <v>610</v>
      </c>
      <c r="D436" s="419">
        <v>128</v>
      </c>
      <c r="E436" s="415"/>
      <c r="F436" s="553"/>
      <c r="G436" s="432"/>
      <c r="H436" s="432"/>
      <c r="I436" s="432"/>
      <c r="J436" s="432"/>
      <c r="K436" s="432"/>
      <c r="L436" s="432"/>
      <c r="M436" s="432"/>
      <c r="N436" s="432"/>
      <c r="O436" s="432"/>
      <c r="P436" s="432"/>
      <c r="Q436" s="432"/>
    </row>
    <row r="437" spans="1:17" s="387" customFormat="1" x14ac:dyDescent="0.2">
      <c r="A437" s="434">
        <v>14</v>
      </c>
      <c r="B437" s="523" t="s">
        <v>521</v>
      </c>
      <c r="C437" s="523" t="s">
        <v>611</v>
      </c>
      <c r="D437" s="419">
        <v>128</v>
      </c>
      <c r="E437" s="415"/>
      <c r="F437" s="553"/>
      <c r="G437" s="432"/>
      <c r="H437" s="432"/>
      <c r="I437" s="432"/>
      <c r="J437" s="432"/>
      <c r="K437" s="432"/>
      <c r="L437" s="432"/>
      <c r="M437" s="432"/>
      <c r="N437" s="432"/>
      <c r="O437" s="432"/>
      <c r="P437" s="432"/>
      <c r="Q437" s="432"/>
    </row>
    <row r="438" spans="1:17" s="387" customFormat="1" x14ac:dyDescent="0.2">
      <c r="A438" s="434">
        <v>15</v>
      </c>
      <c r="B438" s="523" t="s">
        <v>522</v>
      </c>
      <c r="C438" s="523" t="s">
        <v>612</v>
      </c>
      <c r="D438" s="419">
        <v>128</v>
      </c>
      <c r="E438" s="415"/>
      <c r="F438" s="553"/>
      <c r="G438" s="432"/>
      <c r="H438" s="432"/>
      <c r="I438" s="432"/>
      <c r="J438" s="432"/>
      <c r="K438" s="432"/>
      <c r="L438" s="432"/>
      <c r="M438" s="432"/>
      <c r="N438" s="432"/>
      <c r="O438" s="432"/>
      <c r="P438" s="432"/>
      <c r="Q438" s="432"/>
    </row>
    <row r="439" spans="1:17" s="387" customFormat="1" x14ac:dyDescent="0.2">
      <c r="A439" s="434">
        <v>16</v>
      </c>
      <c r="B439" s="523" t="s">
        <v>523</v>
      </c>
      <c r="C439" s="523" t="s">
        <v>613</v>
      </c>
      <c r="D439" s="419">
        <v>128</v>
      </c>
      <c r="E439" s="415"/>
      <c r="F439" s="553"/>
      <c r="G439" s="432"/>
      <c r="H439" s="432"/>
      <c r="I439" s="432"/>
      <c r="J439" s="432"/>
      <c r="K439" s="432"/>
      <c r="L439" s="432"/>
      <c r="M439" s="432"/>
      <c r="N439" s="432"/>
      <c r="O439" s="432"/>
      <c r="P439" s="432"/>
      <c r="Q439" s="432"/>
    </row>
    <row r="440" spans="1:17" s="387" customFormat="1" x14ac:dyDescent="0.2">
      <c r="A440" s="434">
        <v>17</v>
      </c>
      <c r="B440" s="523" t="s">
        <v>524</v>
      </c>
      <c r="C440" s="523" t="s">
        <v>614</v>
      </c>
      <c r="D440" s="419">
        <v>128</v>
      </c>
      <c r="E440" s="415"/>
      <c r="F440" s="553"/>
      <c r="G440" s="432"/>
      <c r="H440" s="432"/>
      <c r="I440" s="432"/>
      <c r="J440" s="432"/>
      <c r="K440" s="432"/>
      <c r="L440" s="432"/>
      <c r="M440" s="432"/>
      <c r="N440" s="432"/>
      <c r="O440" s="432"/>
      <c r="P440" s="432"/>
      <c r="Q440" s="432"/>
    </row>
    <row r="441" spans="1:17" s="387" customFormat="1" x14ac:dyDescent="0.2">
      <c r="A441" s="434">
        <v>18</v>
      </c>
      <c r="B441" s="523" t="s">
        <v>525</v>
      </c>
      <c r="C441" s="523" t="s">
        <v>615</v>
      </c>
      <c r="D441" s="419">
        <v>128</v>
      </c>
      <c r="E441" s="415"/>
      <c r="F441" s="553"/>
      <c r="G441" s="432"/>
      <c r="H441" s="432"/>
      <c r="I441" s="432"/>
      <c r="J441" s="432"/>
      <c r="K441" s="432"/>
      <c r="L441" s="432"/>
      <c r="M441" s="432"/>
      <c r="N441" s="432"/>
      <c r="O441" s="432"/>
      <c r="P441" s="432"/>
      <c r="Q441" s="432"/>
    </row>
    <row r="442" spans="1:17" s="387" customFormat="1" x14ac:dyDescent="0.2">
      <c r="A442" s="434">
        <v>19</v>
      </c>
      <c r="B442" s="451" t="s">
        <v>616</v>
      </c>
      <c r="C442" s="451" t="s">
        <v>617</v>
      </c>
      <c r="D442" s="419">
        <v>128</v>
      </c>
      <c r="E442" s="415"/>
      <c r="F442" s="553"/>
      <c r="G442" s="432"/>
      <c r="H442" s="432"/>
      <c r="I442" s="432"/>
      <c r="J442" s="432"/>
      <c r="K442" s="432"/>
      <c r="L442" s="432"/>
      <c r="M442" s="432"/>
      <c r="N442" s="432"/>
      <c r="O442" s="432"/>
      <c r="P442" s="432"/>
      <c r="Q442" s="432"/>
    </row>
    <row r="443" spans="1:17" s="387" customFormat="1" x14ac:dyDescent="0.2">
      <c r="A443" s="434">
        <v>20</v>
      </c>
      <c r="B443" s="523" t="s">
        <v>526</v>
      </c>
      <c r="C443" s="523" t="s">
        <v>618</v>
      </c>
      <c r="D443" s="419">
        <v>128</v>
      </c>
      <c r="E443" s="415"/>
      <c r="F443" s="553"/>
      <c r="G443" s="432"/>
      <c r="H443" s="432"/>
      <c r="I443" s="432"/>
      <c r="J443" s="432"/>
      <c r="K443" s="432"/>
      <c r="L443" s="432"/>
      <c r="M443" s="432"/>
      <c r="N443" s="432"/>
      <c r="O443" s="432"/>
      <c r="P443" s="432"/>
      <c r="Q443" s="432"/>
    </row>
    <row r="444" spans="1:17" s="387" customFormat="1" x14ac:dyDescent="0.2">
      <c r="A444" s="434">
        <v>21</v>
      </c>
      <c r="B444" s="523" t="s">
        <v>527</v>
      </c>
      <c r="C444" s="523" t="s">
        <v>619</v>
      </c>
      <c r="D444" s="419">
        <v>128</v>
      </c>
      <c r="E444" s="415"/>
      <c r="F444" s="553"/>
      <c r="G444" s="432"/>
      <c r="H444" s="432"/>
      <c r="I444" s="432"/>
      <c r="J444" s="432"/>
      <c r="K444" s="432"/>
      <c r="L444" s="432"/>
      <c r="M444" s="432"/>
      <c r="N444" s="432"/>
      <c r="O444" s="432"/>
      <c r="P444" s="432"/>
      <c r="Q444" s="432"/>
    </row>
    <row r="445" spans="1:17" s="387" customFormat="1" x14ac:dyDescent="0.2">
      <c r="A445" s="434">
        <v>22</v>
      </c>
      <c r="B445" s="523" t="s">
        <v>528</v>
      </c>
      <c r="C445" s="523" t="s">
        <v>620</v>
      </c>
      <c r="D445" s="419">
        <v>128</v>
      </c>
      <c r="E445" s="415"/>
      <c r="F445" s="553"/>
      <c r="G445" s="432"/>
      <c r="H445" s="432"/>
      <c r="I445" s="432"/>
      <c r="J445" s="432"/>
      <c r="K445" s="432"/>
      <c r="L445" s="432"/>
      <c r="M445" s="432"/>
      <c r="N445" s="432"/>
      <c r="O445" s="432"/>
      <c r="P445" s="432"/>
      <c r="Q445" s="432"/>
    </row>
    <row r="446" spans="1:17" s="387" customFormat="1" x14ac:dyDescent="0.2">
      <c r="A446" s="434"/>
      <c r="B446" s="523"/>
      <c r="C446" s="523"/>
      <c r="D446" s="419"/>
      <c r="E446" s="415"/>
      <c r="F446" s="553"/>
      <c r="G446" s="432"/>
      <c r="H446" s="432"/>
      <c r="I446" s="432"/>
      <c r="J446" s="432"/>
      <c r="K446" s="432"/>
      <c r="L446" s="432"/>
      <c r="M446" s="432"/>
      <c r="N446" s="432"/>
      <c r="O446" s="432"/>
      <c r="P446" s="432"/>
      <c r="Q446" s="432"/>
    </row>
    <row r="447" spans="1:17" s="387" customFormat="1" x14ac:dyDescent="0.2">
      <c r="A447" s="487"/>
      <c r="B447" s="527" t="s">
        <v>586</v>
      </c>
      <c r="C447" s="527"/>
      <c r="D447" s="528"/>
      <c r="E447" s="415"/>
      <c r="F447" s="433"/>
      <c r="G447" s="432"/>
      <c r="H447" s="432"/>
      <c r="I447" s="432"/>
      <c r="J447" s="432"/>
      <c r="K447" s="432"/>
      <c r="L447" s="432"/>
      <c r="M447" s="432"/>
      <c r="N447" s="432"/>
      <c r="O447" s="432"/>
      <c r="P447" s="432"/>
      <c r="Q447" s="432"/>
    </row>
    <row r="448" spans="1:17" s="387" customFormat="1" x14ac:dyDescent="0.2">
      <c r="A448" s="436"/>
      <c r="B448" s="415" t="s">
        <v>552</v>
      </c>
      <c r="C448" s="415"/>
      <c r="D448" s="419">
        <v>128</v>
      </c>
      <c r="E448" s="418"/>
      <c r="F448" s="553"/>
      <c r="G448" s="432"/>
      <c r="H448" s="432"/>
      <c r="I448" s="432"/>
      <c r="J448" s="432"/>
      <c r="K448" s="432"/>
      <c r="L448" s="432"/>
      <c r="M448" s="432"/>
      <c r="N448" s="432"/>
      <c r="O448" s="432"/>
      <c r="P448" s="432"/>
      <c r="Q448" s="432"/>
    </row>
    <row r="449" spans="1:17" s="387" customFormat="1" x14ac:dyDescent="0.2">
      <c r="A449" s="436"/>
      <c r="B449" s="541"/>
      <c r="C449" s="541"/>
      <c r="D449" s="521"/>
      <c r="E449" s="418"/>
      <c r="F449" s="555"/>
      <c r="G449" s="482"/>
      <c r="H449" s="482"/>
      <c r="I449" s="482"/>
      <c r="J449" s="482"/>
      <c r="K449" s="482"/>
      <c r="L449" s="482"/>
      <c r="M449" s="482"/>
      <c r="N449" s="482"/>
      <c r="O449" s="482"/>
      <c r="P449" s="482"/>
      <c r="Q449" s="482"/>
    </row>
    <row r="450" spans="1:17" s="387" customFormat="1" x14ac:dyDescent="0.2">
      <c r="A450" s="470" t="s">
        <v>587</v>
      </c>
      <c r="B450" s="403" t="s">
        <v>588</v>
      </c>
      <c r="C450" s="403"/>
      <c r="D450" s="472"/>
      <c r="E450" s="472"/>
      <c r="F450" s="511" t="s">
        <v>477</v>
      </c>
      <c r="G450" s="511" t="s">
        <v>478</v>
      </c>
      <c r="H450" s="511" t="s">
        <v>479</v>
      </c>
      <c r="I450" s="511" t="s">
        <v>480</v>
      </c>
      <c r="J450" s="511" t="s">
        <v>481</v>
      </c>
      <c r="K450" s="511" t="s">
        <v>482</v>
      </c>
      <c r="L450" s="511" t="s">
        <v>483</v>
      </c>
      <c r="M450" s="511" t="s">
        <v>484</v>
      </c>
      <c r="N450" s="511" t="s">
        <v>485</v>
      </c>
      <c r="O450" s="511" t="s">
        <v>486</v>
      </c>
      <c r="P450" s="511" t="s">
        <v>487</v>
      </c>
      <c r="Q450" s="511" t="s">
        <v>488</v>
      </c>
    </row>
    <row r="451" spans="1:17" s="387" customFormat="1" x14ac:dyDescent="0.2">
      <c r="A451" s="487"/>
      <c r="B451" s="529" t="s">
        <v>585</v>
      </c>
      <c r="C451" s="529"/>
      <c r="D451" s="527"/>
      <c r="E451" s="415"/>
      <c r="F451" s="441"/>
      <c r="G451" s="444"/>
      <c r="H451" s="444"/>
      <c r="I451" s="444"/>
      <c r="J451" s="444"/>
      <c r="K451" s="444"/>
      <c r="L451" s="444"/>
      <c r="M451" s="444"/>
      <c r="N451" s="444"/>
      <c r="O451" s="444"/>
      <c r="P451" s="444"/>
      <c r="Q451" s="444"/>
    </row>
    <row r="452" spans="1:17" s="387" customFormat="1" x14ac:dyDescent="0.2">
      <c r="A452" s="434">
        <v>1</v>
      </c>
      <c r="B452" s="451" t="s">
        <v>492</v>
      </c>
      <c r="C452" s="451" t="s">
        <v>597</v>
      </c>
      <c r="D452" s="419">
        <v>341</v>
      </c>
      <c r="E452" s="415"/>
      <c r="F452" s="553"/>
      <c r="G452" s="432"/>
      <c r="H452" s="432"/>
      <c r="I452" s="432"/>
      <c r="J452" s="432"/>
      <c r="K452" s="432"/>
      <c r="L452" s="432"/>
      <c r="M452" s="432"/>
      <c r="N452" s="432"/>
      <c r="O452" s="432"/>
      <c r="P452" s="432"/>
      <c r="Q452" s="432"/>
    </row>
    <row r="453" spans="1:17" s="387" customFormat="1" x14ac:dyDescent="0.2">
      <c r="A453" s="434">
        <v>2</v>
      </c>
      <c r="B453" s="446" t="s">
        <v>501</v>
      </c>
      <c r="C453" s="446" t="s">
        <v>598</v>
      </c>
      <c r="D453" s="419">
        <v>341</v>
      </c>
      <c r="E453" s="415"/>
      <c r="F453" s="553"/>
      <c r="G453" s="432"/>
      <c r="H453" s="432"/>
      <c r="I453" s="432"/>
      <c r="J453" s="432"/>
      <c r="K453" s="432"/>
      <c r="L453" s="432"/>
      <c r="M453" s="432"/>
      <c r="N453" s="432"/>
      <c r="O453" s="432"/>
      <c r="P453" s="432"/>
      <c r="Q453" s="432"/>
    </row>
    <row r="454" spans="1:17" s="387" customFormat="1" x14ac:dyDescent="0.2">
      <c r="A454" s="434">
        <v>3</v>
      </c>
      <c r="B454" s="523" t="s">
        <v>506</v>
      </c>
      <c r="C454" s="523" t="s">
        <v>599</v>
      </c>
      <c r="D454" s="419">
        <v>341</v>
      </c>
      <c r="E454" s="415"/>
      <c r="F454" s="553"/>
      <c r="G454" s="432"/>
      <c r="H454" s="432"/>
      <c r="I454" s="432"/>
      <c r="J454" s="432"/>
      <c r="K454" s="432"/>
      <c r="L454" s="432"/>
      <c r="M454" s="432"/>
      <c r="N454" s="432"/>
      <c r="O454" s="432"/>
      <c r="P454" s="432"/>
      <c r="Q454" s="432"/>
    </row>
    <row r="455" spans="1:17" s="387" customFormat="1" x14ac:dyDescent="0.2">
      <c r="A455" s="434">
        <v>4</v>
      </c>
      <c r="B455" s="523" t="s">
        <v>508</v>
      </c>
      <c r="C455" s="523" t="s">
        <v>600</v>
      </c>
      <c r="D455" s="419">
        <v>341</v>
      </c>
      <c r="E455" s="415"/>
      <c r="F455" s="553"/>
      <c r="G455" s="432"/>
      <c r="H455" s="432"/>
      <c r="I455" s="432"/>
      <c r="J455" s="432"/>
      <c r="K455" s="432"/>
      <c r="L455" s="432"/>
      <c r="M455" s="432"/>
      <c r="N455" s="432"/>
      <c r="O455" s="432"/>
      <c r="P455" s="432"/>
      <c r="Q455" s="432"/>
    </row>
    <row r="456" spans="1:17" s="387" customFormat="1" x14ac:dyDescent="0.2">
      <c r="A456" s="434">
        <v>5</v>
      </c>
      <c r="B456" s="523" t="s">
        <v>509</v>
      </c>
      <c r="C456" s="523" t="s">
        <v>601</v>
      </c>
      <c r="D456" s="419">
        <v>341</v>
      </c>
      <c r="E456" s="415"/>
      <c r="F456" s="553"/>
      <c r="G456" s="432"/>
      <c r="H456" s="432"/>
      <c r="I456" s="432"/>
      <c r="J456" s="432"/>
      <c r="K456" s="432"/>
      <c r="L456" s="432"/>
      <c r="M456" s="432"/>
      <c r="N456" s="432"/>
      <c r="O456" s="432"/>
      <c r="P456" s="432"/>
      <c r="Q456" s="432"/>
    </row>
    <row r="457" spans="1:17" s="387" customFormat="1" x14ac:dyDescent="0.2">
      <c r="A457" s="434">
        <v>6</v>
      </c>
      <c r="B457" s="523" t="s">
        <v>511</v>
      </c>
      <c r="C457" s="523" t="s">
        <v>602</v>
      </c>
      <c r="D457" s="419">
        <v>341</v>
      </c>
      <c r="E457" s="415"/>
      <c r="F457" s="553"/>
      <c r="G457" s="432"/>
      <c r="H457" s="432"/>
      <c r="I457" s="432"/>
      <c r="J457" s="432"/>
      <c r="K457" s="432"/>
      <c r="L457" s="432"/>
      <c r="M457" s="432"/>
      <c r="N457" s="432"/>
      <c r="O457" s="432"/>
      <c r="P457" s="432"/>
      <c r="Q457" s="432"/>
    </row>
    <row r="458" spans="1:17" s="387" customFormat="1" x14ac:dyDescent="0.2">
      <c r="A458" s="434">
        <v>7</v>
      </c>
      <c r="B458" s="451" t="s">
        <v>603</v>
      </c>
      <c r="C458" s="451" t="s">
        <v>604</v>
      </c>
      <c r="D458" s="419">
        <v>341</v>
      </c>
      <c r="E458" s="415"/>
      <c r="F458" s="553"/>
      <c r="G458" s="432"/>
      <c r="H458" s="432"/>
      <c r="I458" s="432"/>
      <c r="J458" s="432"/>
      <c r="K458" s="432"/>
      <c r="L458" s="432"/>
      <c r="M458" s="432"/>
      <c r="N458" s="432"/>
      <c r="O458" s="432"/>
      <c r="P458" s="432"/>
      <c r="Q458" s="432"/>
    </row>
    <row r="459" spans="1:17" s="387" customFormat="1" x14ac:dyDescent="0.2">
      <c r="A459" s="434">
        <v>8</v>
      </c>
      <c r="B459" s="523" t="s">
        <v>514</v>
      </c>
      <c r="C459" s="523" t="s">
        <v>605</v>
      </c>
      <c r="D459" s="419">
        <v>341</v>
      </c>
      <c r="E459" s="415"/>
      <c r="F459" s="553"/>
      <c r="G459" s="432"/>
      <c r="H459" s="432"/>
      <c r="I459" s="432"/>
      <c r="J459" s="432"/>
      <c r="K459" s="432"/>
      <c r="L459" s="432"/>
      <c r="M459" s="432"/>
      <c r="N459" s="432"/>
      <c r="O459" s="432"/>
      <c r="P459" s="432"/>
      <c r="Q459" s="432"/>
    </row>
    <row r="460" spans="1:17" s="387" customFormat="1" x14ac:dyDescent="0.2">
      <c r="A460" s="434">
        <v>9</v>
      </c>
      <c r="B460" s="523" t="s">
        <v>516</v>
      </c>
      <c r="C460" s="523" t="s">
        <v>606</v>
      </c>
      <c r="D460" s="419">
        <v>341</v>
      </c>
      <c r="E460" s="415"/>
      <c r="F460" s="553"/>
      <c r="G460" s="432"/>
      <c r="H460" s="432"/>
      <c r="I460" s="432"/>
      <c r="J460" s="432"/>
      <c r="K460" s="432"/>
      <c r="L460" s="432"/>
      <c r="M460" s="432"/>
      <c r="N460" s="432"/>
      <c r="O460" s="432"/>
      <c r="P460" s="432"/>
      <c r="Q460" s="432"/>
    </row>
    <row r="461" spans="1:17" s="387" customFormat="1" x14ac:dyDescent="0.2">
      <c r="A461" s="434">
        <v>10</v>
      </c>
      <c r="B461" s="523" t="s">
        <v>517</v>
      </c>
      <c r="C461" s="523" t="s">
        <v>607</v>
      </c>
      <c r="D461" s="419">
        <v>341</v>
      </c>
      <c r="E461" s="415"/>
      <c r="F461" s="553"/>
      <c r="G461" s="432"/>
      <c r="H461" s="432"/>
      <c r="I461" s="432"/>
      <c r="J461" s="432"/>
      <c r="K461" s="432"/>
      <c r="L461" s="432"/>
      <c r="M461" s="432"/>
      <c r="N461" s="432"/>
      <c r="O461" s="432"/>
      <c r="P461" s="432"/>
      <c r="Q461" s="432"/>
    </row>
    <row r="462" spans="1:17" s="387" customFormat="1" x14ac:dyDescent="0.2">
      <c r="A462" s="434">
        <v>11</v>
      </c>
      <c r="B462" s="523" t="s">
        <v>518</v>
      </c>
      <c r="C462" s="523" t="s">
        <v>608</v>
      </c>
      <c r="D462" s="419">
        <v>341</v>
      </c>
      <c r="E462" s="415"/>
      <c r="F462" s="553"/>
      <c r="G462" s="432"/>
      <c r="H462" s="432"/>
      <c r="I462" s="432"/>
      <c r="J462" s="432"/>
      <c r="K462" s="432"/>
      <c r="L462" s="432"/>
      <c r="M462" s="432"/>
      <c r="N462" s="432"/>
      <c r="O462" s="432"/>
      <c r="P462" s="432"/>
      <c r="Q462" s="432"/>
    </row>
    <row r="463" spans="1:17" s="387" customFormat="1" x14ac:dyDescent="0.2">
      <c r="A463" s="434">
        <v>12</v>
      </c>
      <c r="B463" s="523" t="s">
        <v>519</v>
      </c>
      <c r="C463" s="523" t="s">
        <v>609</v>
      </c>
      <c r="D463" s="419">
        <v>341</v>
      </c>
      <c r="E463" s="415"/>
      <c r="F463" s="553"/>
      <c r="G463" s="432"/>
      <c r="H463" s="432"/>
      <c r="I463" s="432"/>
      <c r="J463" s="432"/>
      <c r="K463" s="432"/>
      <c r="L463" s="432"/>
      <c r="M463" s="432"/>
      <c r="N463" s="432"/>
      <c r="O463" s="432"/>
      <c r="P463" s="432"/>
      <c r="Q463" s="432"/>
    </row>
    <row r="464" spans="1:17" s="387" customFormat="1" x14ac:dyDescent="0.2">
      <c r="A464" s="434">
        <v>13</v>
      </c>
      <c r="B464" s="523" t="s">
        <v>520</v>
      </c>
      <c r="C464" s="523" t="s">
        <v>610</v>
      </c>
      <c r="D464" s="419">
        <v>341</v>
      </c>
      <c r="E464" s="415"/>
      <c r="F464" s="553"/>
      <c r="G464" s="432"/>
      <c r="H464" s="432"/>
      <c r="I464" s="432"/>
      <c r="J464" s="432"/>
      <c r="K464" s="432"/>
      <c r="L464" s="432"/>
      <c r="M464" s="432"/>
      <c r="N464" s="432"/>
      <c r="O464" s="432"/>
      <c r="P464" s="432"/>
      <c r="Q464" s="432"/>
    </row>
    <row r="465" spans="1:17" s="387" customFormat="1" x14ac:dyDescent="0.2">
      <c r="A465" s="434">
        <v>14</v>
      </c>
      <c r="B465" s="523" t="s">
        <v>521</v>
      </c>
      <c r="C465" s="523" t="s">
        <v>611</v>
      </c>
      <c r="D465" s="419">
        <v>341</v>
      </c>
      <c r="E465" s="415"/>
      <c r="F465" s="553"/>
      <c r="G465" s="432"/>
      <c r="H465" s="432"/>
      <c r="I465" s="432"/>
      <c r="J465" s="432"/>
      <c r="K465" s="432"/>
      <c r="L465" s="432"/>
      <c r="M465" s="432"/>
      <c r="N465" s="432"/>
      <c r="O465" s="432"/>
      <c r="P465" s="432"/>
      <c r="Q465" s="432"/>
    </row>
    <row r="466" spans="1:17" s="387" customFormat="1" x14ac:dyDescent="0.2">
      <c r="A466" s="434">
        <v>15</v>
      </c>
      <c r="B466" s="523" t="s">
        <v>522</v>
      </c>
      <c r="C466" s="523" t="s">
        <v>612</v>
      </c>
      <c r="D466" s="419">
        <v>341</v>
      </c>
      <c r="E466" s="415"/>
      <c r="F466" s="553"/>
      <c r="G466" s="432"/>
      <c r="H466" s="432"/>
      <c r="I466" s="432"/>
      <c r="J466" s="432"/>
      <c r="K466" s="432"/>
      <c r="L466" s="432"/>
      <c r="M466" s="432"/>
      <c r="N466" s="432"/>
      <c r="O466" s="432"/>
      <c r="P466" s="432"/>
      <c r="Q466" s="432"/>
    </row>
    <row r="467" spans="1:17" s="387" customFormat="1" x14ac:dyDescent="0.2">
      <c r="A467" s="434">
        <v>16</v>
      </c>
      <c r="B467" s="523" t="s">
        <v>523</v>
      </c>
      <c r="C467" s="523" t="s">
        <v>613</v>
      </c>
      <c r="D467" s="419">
        <v>341</v>
      </c>
      <c r="E467" s="415"/>
      <c r="F467" s="553"/>
      <c r="G467" s="432"/>
      <c r="H467" s="432"/>
      <c r="I467" s="432"/>
      <c r="J467" s="432"/>
      <c r="K467" s="432"/>
      <c r="L467" s="432"/>
      <c r="M467" s="432"/>
      <c r="N467" s="432"/>
      <c r="O467" s="432"/>
      <c r="P467" s="432"/>
      <c r="Q467" s="432"/>
    </row>
    <row r="468" spans="1:17" s="387" customFormat="1" x14ac:dyDescent="0.2">
      <c r="A468" s="434">
        <v>17</v>
      </c>
      <c r="B468" s="523" t="s">
        <v>524</v>
      </c>
      <c r="C468" s="523" t="s">
        <v>614</v>
      </c>
      <c r="D468" s="419">
        <v>341</v>
      </c>
      <c r="E468" s="415"/>
      <c r="F468" s="553"/>
      <c r="G468" s="432"/>
      <c r="H468" s="432"/>
      <c r="I468" s="432"/>
      <c r="J468" s="432"/>
      <c r="K468" s="432"/>
      <c r="L468" s="432"/>
      <c r="M468" s="432"/>
      <c r="N468" s="432"/>
      <c r="O468" s="432"/>
      <c r="P468" s="432"/>
      <c r="Q468" s="432"/>
    </row>
    <row r="469" spans="1:17" s="387" customFormat="1" x14ac:dyDescent="0.2">
      <c r="A469" s="434">
        <v>18</v>
      </c>
      <c r="B469" s="523" t="s">
        <v>525</v>
      </c>
      <c r="C469" s="523" t="s">
        <v>615</v>
      </c>
      <c r="D469" s="419">
        <v>341</v>
      </c>
      <c r="E469" s="415"/>
      <c r="F469" s="553"/>
      <c r="G469" s="432"/>
      <c r="H469" s="432"/>
      <c r="I469" s="432"/>
      <c r="J469" s="432"/>
      <c r="K469" s="432"/>
      <c r="L469" s="432"/>
      <c r="M469" s="432"/>
      <c r="N469" s="432"/>
      <c r="O469" s="432"/>
      <c r="P469" s="432"/>
      <c r="Q469" s="432"/>
    </row>
    <row r="470" spans="1:17" s="387" customFormat="1" x14ac:dyDescent="0.2">
      <c r="A470" s="434">
        <v>19</v>
      </c>
      <c r="B470" s="451" t="s">
        <v>616</v>
      </c>
      <c r="C470" s="451" t="s">
        <v>617</v>
      </c>
      <c r="D470" s="419">
        <v>341</v>
      </c>
      <c r="E470" s="415"/>
      <c r="F470" s="553"/>
      <c r="G470" s="432"/>
      <c r="H470" s="432"/>
      <c r="I470" s="432"/>
      <c r="J470" s="432"/>
      <c r="K470" s="432"/>
      <c r="L470" s="432"/>
      <c r="M470" s="432"/>
      <c r="N470" s="432"/>
      <c r="O470" s="432"/>
      <c r="P470" s="432"/>
      <c r="Q470" s="432"/>
    </row>
    <row r="471" spans="1:17" s="387" customFormat="1" x14ac:dyDescent="0.2">
      <c r="A471" s="434">
        <v>20</v>
      </c>
      <c r="B471" s="523" t="s">
        <v>526</v>
      </c>
      <c r="C471" s="523" t="s">
        <v>618</v>
      </c>
      <c r="D471" s="419">
        <v>341</v>
      </c>
      <c r="E471" s="415"/>
      <c r="F471" s="553"/>
      <c r="G471" s="432"/>
      <c r="H471" s="432"/>
      <c r="I471" s="432"/>
      <c r="J471" s="432"/>
      <c r="K471" s="432"/>
      <c r="L471" s="432"/>
      <c r="M471" s="432"/>
      <c r="N471" s="432"/>
      <c r="O471" s="432"/>
      <c r="P471" s="432"/>
      <c r="Q471" s="432"/>
    </row>
    <row r="472" spans="1:17" s="387" customFormat="1" x14ac:dyDescent="0.2">
      <c r="A472" s="434">
        <v>21</v>
      </c>
      <c r="B472" s="523" t="s">
        <v>527</v>
      </c>
      <c r="C472" s="523" t="s">
        <v>619</v>
      </c>
      <c r="D472" s="419">
        <v>341</v>
      </c>
      <c r="E472" s="415"/>
      <c r="F472" s="553"/>
      <c r="G472" s="432"/>
      <c r="H472" s="432"/>
      <c r="I472" s="432"/>
      <c r="J472" s="432"/>
      <c r="K472" s="432"/>
      <c r="L472" s="432"/>
      <c r="M472" s="432"/>
      <c r="N472" s="432"/>
      <c r="O472" s="432"/>
      <c r="P472" s="432"/>
      <c r="Q472" s="432"/>
    </row>
    <row r="473" spans="1:17" s="387" customFormat="1" x14ac:dyDescent="0.2">
      <c r="A473" s="434">
        <v>22</v>
      </c>
      <c r="B473" s="523" t="s">
        <v>528</v>
      </c>
      <c r="C473" s="523" t="s">
        <v>620</v>
      </c>
      <c r="D473" s="419">
        <v>341</v>
      </c>
      <c r="E473" s="415"/>
      <c r="F473" s="553"/>
      <c r="G473" s="432"/>
      <c r="H473" s="432"/>
      <c r="I473" s="432"/>
      <c r="J473" s="432"/>
      <c r="K473" s="432"/>
      <c r="L473" s="432"/>
      <c r="M473" s="432"/>
      <c r="N473" s="432"/>
      <c r="O473" s="432"/>
      <c r="P473" s="432"/>
      <c r="Q473" s="432"/>
    </row>
    <row r="474" spans="1:17" s="387" customFormat="1" x14ac:dyDescent="0.2">
      <c r="A474" s="487"/>
      <c r="B474" s="523"/>
      <c r="C474" s="523"/>
      <c r="D474" s="419"/>
      <c r="E474" s="415"/>
      <c r="F474" s="553"/>
      <c r="G474" s="432"/>
      <c r="H474" s="432"/>
      <c r="I474" s="432"/>
      <c r="J474" s="432"/>
      <c r="K474" s="432"/>
      <c r="L474" s="432"/>
      <c r="M474" s="432"/>
      <c r="N474" s="432"/>
      <c r="O474" s="432"/>
      <c r="P474" s="432"/>
      <c r="Q474" s="432"/>
    </row>
    <row r="475" spans="1:17" s="387" customFormat="1" x14ac:dyDescent="0.2">
      <c r="A475" s="487"/>
      <c r="B475" s="529" t="s">
        <v>586</v>
      </c>
      <c r="C475" s="529"/>
      <c r="D475" s="528"/>
      <c r="E475" s="415"/>
      <c r="F475" s="553">
        <f>SUM(F476:F477)</f>
        <v>1000000000</v>
      </c>
      <c r="G475" s="553">
        <f t="shared" ref="G475:Q475" si="11">SUM(G476:G477)</f>
        <v>1000000000</v>
      </c>
      <c r="H475" s="553">
        <f t="shared" si="11"/>
        <v>0</v>
      </c>
      <c r="I475" s="553">
        <f t="shared" si="11"/>
        <v>0</v>
      </c>
      <c r="J475" s="553">
        <f t="shared" si="11"/>
        <v>0</v>
      </c>
      <c r="K475" s="553">
        <f t="shared" si="11"/>
        <v>0</v>
      </c>
      <c r="L475" s="553">
        <f t="shared" si="11"/>
        <v>0</v>
      </c>
      <c r="M475" s="553">
        <f t="shared" si="11"/>
        <v>0</v>
      </c>
      <c r="N475" s="553">
        <f t="shared" si="11"/>
        <v>0</v>
      </c>
      <c r="O475" s="553">
        <f t="shared" si="11"/>
        <v>0</v>
      </c>
      <c r="P475" s="553">
        <f t="shared" si="11"/>
        <v>0</v>
      </c>
      <c r="Q475" s="553">
        <f t="shared" si="11"/>
        <v>0</v>
      </c>
    </row>
    <row r="476" spans="1:17" s="387" customFormat="1" x14ac:dyDescent="0.2">
      <c r="A476" s="487"/>
      <c r="B476" s="523" t="s">
        <v>552</v>
      </c>
      <c r="C476" s="523"/>
      <c r="D476" s="419">
        <v>341</v>
      </c>
      <c r="E476" s="415"/>
      <c r="F476" s="558">
        <v>1000000000</v>
      </c>
      <c r="G476" s="558">
        <v>1000000000</v>
      </c>
      <c r="H476" s="432">
        <v>0</v>
      </c>
      <c r="I476" s="432">
        <v>0</v>
      </c>
      <c r="J476" s="432"/>
      <c r="K476" s="432"/>
      <c r="L476" s="432"/>
      <c r="M476" s="432"/>
      <c r="N476" s="432"/>
      <c r="O476" s="432"/>
      <c r="P476" s="432"/>
      <c r="Q476" s="432"/>
    </row>
    <row r="477" spans="1:17" s="387" customFormat="1" x14ac:dyDescent="0.2">
      <c r="A477" s="487"/>
      <c r="B477" s="523" t="s">
        <v>589</v>
      </c>
      <c r="C477" s="523"/>
      <c r="D477" s="419">
        <v>341</v>
      </c>
      <c r="E477" s="415"/>
      <c r="F477" s="553"/>
      <c r="G477" s="432"/>
      <c r="H477" s="432"/>
      <c r="I477" s="432"/>
      <c r="J477" s="432"/>
      <c r="K477" s="432"/>
      <c r="L477" s="432"/>
      <c r="M477" s="432"/>
      <c r="N477" s="432"/>
      <c r="O477" s="432"/>
      <c r="P477" s="432"/>
      <c r="Q477" s="432"/>
    </row>
    <row r="478" spans="1:17" s="387" customFormat="1" x14ac:dyDescent="0.2">
      <c r="A478" s="530"/>
      <c r="B478" s="519"/>
      <c r="C478" s="519"/>
      <c r="D478" s="424"/>
      <c r="E478" s="424"/>
      <c r="F478" s="555"/>
      <c r="G478" s="482"/>
      <c r="H478" s="482"/>
      <c r="I478" s="482"/>
      <c r="J478" s="482"/>
      <c r="K478" s="482"/>
      <c r="L478" s="482"/>
      <c r="M478" s="482"/>
      <c r="N478" s="482"/>
      <c r="O478" s="482"/>
      <c r="P478" s="482"/>
      <c r="Q478" s="482"/>
    </row>
    <row r="479" spans="1:17" s="387" customFormat="1" x14ac:dyDescent="0.2">
      <c r="A479" s="470" t="s">
        <v>590</v>
      </c>
      <c r="B479" s="403" t="s">
        <v>591</v>
      </c>
      <c r="C479" s="403"/>
      <c r="D479" s="472"/>
      <c r="E479" s="472"/>
      <c r="F479" s="399" t="s">
        <v>477</v>
      </c>
      <c r="G479" s="399" t="s">
        <v>478</v>
      </c>
      <c r="H479" s="399" t="s">
        <v>479</v>
      </c>
      <c r="I479" s="399" t="s">
        <v>480</v>
      </c>
      <c r="J479" s="399" t="s">
        <v>481</v>
      </c>
      <c r="K479" s="399" t="s">
        <v>482</v>
      </c>
      <c r="L479" s="399" t="s">
        <v>483</v>
      </c>
      <c r="M479" s="399" t="s">
        <v>484</v>
      </c>
      <c r="N479" s="399" t="s">
        <v>485</v>
      </c>
      <c r="O479" s="399" t="s">
        <v>486</v>
      </c>
      <c r="P479" s="399" t="s">
        <v>487</v>
      </c>
      <c r="Q479" s="399" t="s">
        <v>488</v>
      </c>
    </row>
    <row r="480" spans="1:17" s="387" customFormat="1" x14ac:dyDescent="0.2">
      <c r="A480" s="549"/>
      <c r="B480" s="535" t="s">
        <v>552</v>
      </c>
      <c r="C480" s="535"/>
      <c r="D480" s="480" t="s">
        <v>592</v>
      </c>
      <c r="E480" s="480"/>
      <c r="F480" s="552"/>
      <c r="G480" s="444"/>
      <c r="H480" s="444"/>
      <c r="I480" s="444"/>
      <c r="J480" s="444"/>
      <c r="K480" s="444"/>
      <c r="L480" s="444"/>
      <c r="M480" s="444"/>
      <c r="N480" s="444"/>
      <c r="O480" s="444"/>
      <c r="P480" s="444"/>
      <c r="Q480" s="444"/>
    </row>
    <row r="481" spans="1:17" s="387" customFormat="1" x14ac:dyDescent="0.2">
      <c r="A481" s="530"/>
      <c r="B481" s="462"/>
      <c r="C481" s="462"/>
      <c r="D481" s="424"/>
      <c r="E481" s="424"/>
      <c r="F481" s="555"/>
      <c r="G481" s="482"/>
      <c r="H481" s="482"/>
      <c r="I481" s="482"/>
      <c r="J481" s="482"/>
      <c r="K481" s="482"/>
      <c r="L481" s="482"/>
      <c r="M481" s="482"/>
      <c r="N481" s="482"/>
      <c r="O481" s="482"/>
      <c r="P481" s="482"/>
      <c r="Q481" s="482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9634B-F7BD-4E24-85D1-2B8A470734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71C17E-6D4F-4FA9-9CF3-EE21F1505E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C5A074-F0CB-442A-A405-9E41659D5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'LCTT_GT in'!Print_Titles</vt:lpstr>
      <vt:lpstr>'THTC 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Thọ, Trần Hữu</dc:creator>
  <cp:lastModifiedBy>Thọ, Trần Hữu</cp:lastModifiedBy>
  <dcterms:created xsi:type="dcterms:W3CDTF">2025-10-30T03:13:00Z</dcterms:created>
  <dcterms:modified xsi:type="dcterms:W3CDTF">2026-05-27T09:11:12Z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