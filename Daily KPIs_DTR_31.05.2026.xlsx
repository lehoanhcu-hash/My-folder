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589" documentId="13_ncr:1_{DE74198D-E423-476D-A1DC-3C740CC7B998}" xr6:coauthVersionLast="47" xr6:coauthVersionMax="47" xr10:uidLastSave="{A7D1586C-070F-4CFC-A9E4-6D2E1127CD88}"/>
  <bookViews>
    <workbookView xWindow="-110" yWindow="-110" windowWidth="19420" windowHeight="10300" tabRatio="556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6" i="7" l="1"/>
  <c r="AG6" i="7"/>
  <c r="AG21" i="7"/>
  <c r="AE6" i="7"/>
  <c r="AE21" i="7"/>
  <c r="AF31" i="7"/>
  <c r="AG31" i="7"/>
  <c r="AH31" i="7"/>
  <c r="AB36" i="7"/>
  <c r="AC36" i="7"/>
  <c r="AD36" i="7"/>
  <c r="AE36" i="7"/>
  <c r="AF36" i="7"/>
  <c r="AG36" i="7"/>
  <c r="AH36" i="7"/>
  <c r="AB34" i="7"/>
  <c r="AB33" i="7" s="1"/>
  <c r="AC34" i="7"/>
  <c r="AC33" i="7" s="1"/>
  <c r="AD34" i="7"/>
  <c r="AD33" i="7" s="1"/>
  <c r="AE34" i="7"/>
  <c r="AE33" i="7" s="1"/>
  <c r="AF34" i="7"/>
  <c r="AF33" i="7" s="1"/>
  <c r="AG34" i="7"/>
  <c r="AG33" i="7" s="1"/>
  <c r="AH34" i="7"/>
  <c r="AH33" i="7" s="1"/>
  <c r="AB26" i="7"/>
  <c r="AC26" i="7"/>
  <c r="AD26" i="7"/>
  <c r="AE26" i="7"/>
  <c r="AF26" i="7"/>
  <c r="AG26" i="7"/>
  <c r="AB28" i="7"/>
  <c r="AC28" i="7"/>
  <c r="AD28" i="7"/>
  <c r="AE28" i="7"/>
  <c r="AF28" i="7"/>
  <c r="AG28" i="7"/>
  <c r="AH28" i="7"/>
  <c r="AB11" i="7"/>
  <c r="AC11" i="7"/>
  <c r="AD11" i="7"/>
  <c r="AE11" i="7"/>
  <c r="AF11" i="7"/>
  <c r="AG11" i="7"/>
  <c r="AH11" i="7"/>
  <c r="AB12" i="7"/>
  <c r="AC12" i="7"/>
  <c r="AD12" i="7"/>
  <c r="AE12" i="7"/>
  <c r="AF12" i="7"/>
  <c r="AG12" i="7"/>
  <c r="AH12" i="7"/>
  <c r="AB13" i="7"/>
  <c r="AC13" i="7"/>
  <c r="AD13" i="7"/>
  <c r="AE13" i="7"/>
  <c r="AF13" i="7"/>
  <c r="AG13" i="7"/>
  <c r="AH13" i="7"/>
  <c r="X6" i="7"/>
  <c r="X21" i="7"/>
  <c r="W6" i="7"/>
  <c r="W21" i="7"/>
  <c r="AB27" i="7" l="1"/>
  <c r="AB25" i="7" s="1"/>
  <c r="AC27" i="7"/>
  <c r="AC25" i="7" s="1"/>
  <c r="AD27" i="7"/>
  <c r="AD25" i="7" s="1"/>
  <c r="AE27" i="7"/>
  <c r="AE25" i="7" s="1"/>
  <c r="AF27" i="7"/>
  <c r="AF25" i="7" s="1"/>
  <c r="AG27" i="7"/>
  <c r="AG25" i="7" s="1"/>
  <c r="AH27" i="7"/>
  <c r="AH25" i="7" s="1"/>
  <c r="AC10" i="7"/>
  <c r="AE10" i="7"/>
  <c r="AD10" i="7"/>
  <c r="AB10" i="7"/>
  <c r="AF10" i="7"/>
  <c r="AG10" i="7"/>
  <c r="AH10" i="7"/>
  <c r="W11" i="7"/>
  <c r="AA31" i="7"/>
  <c r="AA34" i="7" s="1"/>
  <c r="AA33" i="7" s="1"/>
  <c r="U34" i="7"/>
  <c r="U33" i="7" s="1"/>
  <c r="V34" i="7"/>
  <c r="V33" i="7" s="1"/>
  <c r="W34" i="7"/>
  <c r="W33" i="7" s="1"/>
  <c r="X34" i="7"/>
  <c r="X33" i="7" s="1"/>
  <c r="Y34" i="7"/>
  <c r="Y33" i="7" s="1"/>
  <c r="Z34" i="7"/>
  <c r="Z33" i="7" s="1"/>
  <c r="U36" i="7"/>
  <c r="V36" i="7"/>
  <c r="W36" i="7"/>
  <c r="X36" i="7"/>
  <c r="Y36" i="7"/>
  <c r="Z36" i="7"/>
  <c r="AA36" i="7"/>
  <c r="U26" i="7"/>
  <c r="V26" i="7"/>
  <c r="W26" i="7"/>
  <c r="X26" i="7"/>
  <c r="Y26" i="7"/>
  <c r="Z26" i="7"/>
  <c r="AA26" i="7"/>
  <c r="U27" i="7"/>
  <c r="V27" i="7"/>
  <c r="W27" i="7"/>
  <c r="X27" i="7"/>
  <c r="Y27" i="7"/>
  <c r="Z27" i="7"/>
  <c r="AA27" i="7"/>
  <c r="U28" i="7"/>
  <c r="V28" i="7"/>
  <c r="W28" i="7"/>
  <c r="X28" i="7"/>
  <c r="Y28" i="7"/>
  <c r="Z28" i="7"/>
  <c r="AA28" i="7"/>
  <c r="U11" i="7"/>
  <c r="V11" i="7"/>
  <c r="U12" i="7"/>
  <c r="V12" i="7"/>
  <c r="W12" i="7"/>
  <c r="X12" i="7"/>
  <c r="Y12" i="7"/>
  <c r="Z12" i="7"/>
  <c r="AA12" i="7"/>
  <c r="U13" i="7"/>
  <c r="V13" i="7"/>
  <c r="W13" i="7"/>
  <c r="X13" i="7"/>
  <c r="Y13" i="7"/>
  <c r="Z13" i="7"/>
  <c r="AA13" i="7"/>
  <c r="V19" i="10"/>
  <c r="P6" i="7"/>
  <c r="P21" i="7"/>
  <c r="W25" i="7" l="1"/>
  <c r="U10" i="7"/>
  <c r="U25" i="7"/>
  <c r="V25" i="7"/>
  <c r="V10" i="7"/>
  <c r="AA25" i="7"/>
  <c r="Z25" i="7"/>
  <c r="W10" i="7"/>
  <c r="Y25" i="7"/>
  <c r="X25" i="7"/>
  <c r="AA11" i="7"/>
  <c r="AA10" i="7" s="1"/>
  <c r="Y11" i="7"/>
  <c r="Y10" i="7" s="1"/>
  <c r="X11" i="7"/>
  <c r="X10" i="7" s="1"/>
  <c r="Z11" i="7"/>
  <c r="Z10" i="7" s="1"/>
  <c r="T31" i="7"/>
  <c r="N34" i="7"/>
  <c r="N33" i="7" s="1"/>
  <c r="O34" i="7"/>
  <c r="O33" i="7" s="1"/>
  <c r="P34" i="7"/>
  <c r="P33" i="7" s="1"/>
  <c r="Q34" i="7"/>
  <c r="Q33" i="7" s="1"/>
  <c r="R34" i="7"/>
  <c r="R33" i="7" s="1"/>
  <c r="S34" i="7"/>
  <c r="S33" i="7" s="1"/>
  <c r="T34" i="7"/>
  <c r="T33" i="7" s="1"/>
  <c r="N36" i="7"/>
  <c r="O36" i="7"/>
  <c r="P36" i="7"/>
  <c r="Q36" i="7"/>
  <c r="R36" i="7"/>
  <c r="S36" i="7"/>
  <c r="T36" i="7"/>
  <c r="N26" i="7"/>
  <c r="O26" i="7"/>
  <c r="P26" i="7"/>
  <c r="Q26" i="7"/>
  <c r="R26" i="7"/>
  <c r="S26" i="7"/>
  <c r="T26" i="7"/>
  <c r="N27" i="7"/>
  <c r="O27" i="7"/>
  <c r="P27" i="7"/>
  <c r="Q27" i="7"/>
  <c r="R27" i="7"/>
  <c r="S27" i="7"/>
  <c r="T27" i="7"/>
  <c r="N28" i="7"/>
  <c r="O28" i="7"/>
  <c r="P28" i="7"/>
  <c r="Q28" i="7"/>
  <c r="R28" i="7"/>
  <c r="S28" i="7"/>
  <c r="T28" i="7"/>
  <c r="N11" i="7"/>
  <c r="O11" i="7"/>
  <c r="P11" i="7"/>
  <c r="Q11" i="7"/>
  <c r="R11" i="7"/>
  <c r="S11" i="7"/>
  <c r="T11" i="7"/>
  <c r="N12" i="7"/>
  <c r="O12" i="7"/>
  <c r="P12" i="7"/>
  <c r="Q12" i="7"/>
  <c r="R12" i="7"/>
  <c r="S12" i="7"/>
  <c r="T12" i="7"/>
  <c r="N13" i="7"/>
  <c r="O13" i="7"/>
  <c r="P13" i="7"/>
  <c r="Q13" i="7"/>
  <c r="R13" i="7"/>
  <c r="S13" i="7"/>
  <c r="T13" i="7"/>
  <c r="G6" i="7"/>
  <c r="H11" i="7" s="1"/>
  <c r="G21" i="7"/>
  <c r="G26" i="7" s="1"/>
  <c r="K6" i="7"/>
  <c r="K21" i="7"/>
  <c r="M31" i="7"/>
  <c r="M34" i="7" s="1"/>
  <c r="M33" i="7" s="1"/>
  <c r="G34" i="7"/>
  <c r="G33" i="7" s="1"/>
  <c r="H34" i="7"/>
  <c r="H33" i="7" s="1"/>
  <c r="I34" i="7"/>
  <c r="I33" i="7" s="1"/>
  <c r="J34" i="7"/>
  <c r="J33" i="7" s="1"/>
  <c r="K34" i="7"/>
  <c r="K33" i="7" s="1"/>
  <c r="L34" i="7"/>
  <c r="L33" i="7" s="1"/>
  <c r="G36" i="7"/>
  <c r="H36" i="7"/>
  <c r="I36" i="7"/>
  <c r="J36" i="7"/>
  <c r="K36" i="7"/>
  <c r="L36" i="7"/>
  <c r="M36" i="7"/>
  <c r="G27" i="7"/>
  <c r="H27" i="7"/>
  <c r="I27" i="7"/>
  <c r="J27" i="7"/>
  <c r="K27" i="7"/>
  <c r="L27" i="7"/>
  <c r="M27" i="7"/>
  <c r="G28" i="7"/>
  <c r="H28" i="7"/>
  <c r="I28" i="7"/>
  <c r="J28" i="7"/>
  <c r="K28" i="7"/>
  <c r="L28" i="7"/>
  <c r="M28" i="7"/>
  <c r="G12" i="7"/>
  <c r="H12" i="7"/>
  <c r="I12" i="7"/>
  <c r="J12" i="7"/>
  <c r="K12" i="7"/>
  <c r="L12" i="7"/>
  <c r="M12" i="7"/>
  <c r="G13" i="7"/>
  <c r="H13" i="7"/>
  <c r="I13" i="7"/>
  <c r="J13" i="7"/>
  <c r="K13" i="7"/>
  <c r="L13" i="7"/>
  <c r="M13" i="7"/>
  <c r="F31" i="7"/>
  <c r="S10" i="7" l="1"/>
  <c r="O25" i="7"/>
  <c r="Q25" i="7"/>
  <c r="R25" i="7"/>
  <c r="P25" i="7"/>
  <c r="N25" i="7"/>
  <c r="R10" i="7"/>
  <c r="P10" i="7"/>
  <c r="O10" i="7"/>
  <c r="T25" i="7"/>
  <c r="T10" i="7"/>
  <c r="N10" i="7"/>
  <c r="S25" i="7"/>
  <c r="Q10" i="7"/>
  <c r="G25" i="7"/>
  <c r="H10" i="7"/>
  <c r="K11" i="7"/>
  <c r="K10" i="7" s="1"/>
  <c r="G11" i="7"/>
  <c r="G10" i="7" s="1"/>
  <c r="J11" i="7"/>
  <c r="J10" i="7" s="1"/>
  <c r="I11" i="7"/>
  <c r="I10" i="7" s="1"/>
  <c r="L11" i="7"/>
  <c r="L10" i="7" s="1"/>
  <c r="M26" i="7"/>
  <c r="M25" i="7" s="1"/>
  <c r="K26" i="7"/>
  <c r="K25" i="7" s="1"/>
  <c r="I26" i="7"/>
  <c r="I25" i="7" s="1"/>
  <c r="H26" i="7"/>
  <c r="H25" i="7" s="1"/>
  <c r="L26" i="7"/>
  <c r="L25" i="7" s="1"/>
  <c r="J26" i="7"/>
  <c r="J25" i="7" s="1"/>
  <c r="M11" i="7"/>
  <c r="M10" i="7" s="1"/>
  <c r="M15" i="10" l="1"/>
  <c r="F26" i="7"/>
  <c r="E26" i="7"/>
  <c r="E27" i="7"/>
  <c r="F27" i="7"/>
  <c r="E28" i="7"/>
  <c r="F28" i="7"/>
  <c r="AI6" i="7" l="1"/>
  <c r="H19" i="2" s="1"/>
  <c r="AI7" i="7"/>
  <c r="H20" i="2" s="1"/>
  <c r="AI8" i="7"/>
  <c r="H21" i="2" s="1"/>
  <c r="I13" i="10"/>
  <c r="I5" i="10"/>
  <c r="W30" i="7"/>
  <c r="BD9" i="10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Z14" i="10"/>
  <c r="AA14" i="10"/>
  <c r="AB14" i="10"/>
  <c r="AC14" i="10"/>
  <c r="Z15" i="10"/>
  <c r="AA15" i="10"/>
  <c r="AB15" i="10"/>
  <c r="AC15" i="10"/>
  <c r="AC13" i="10"/>
  <c r="AB13" i="10"/>
  <c r="AA13" i="10"/>
  <c r="Z13" i="10"/>
  <c r="Z6" i="10"/>
  <c r="AA6" i="10"/>
  <c r="AB6" i="10"/>
  <c r="AC6" i="10"/>
  <c r="Z7" i="10"/>
  <c r="AA7" i="10"/>
  <c r="AB7" i="10"/>
  <c r="AC7" i="10"/>
  <c r="AC5" i="10"/>
  <c r="AB5" i="10"/>
  <c r="AA5" i="10"/>
  <c r="Z5" i="10"/>
  <c r="I34" i="12" l="1"/>
  <c r="Y20" i="7" l="1"/>
  <c r="E11" i="7"/>
  <c r="F11" i="7"/>
  <c r="E12" i="7"/>
  <c r="F12" i="7"/>
  <c r="E13" i="7"/>
  <c r="F13" i="7"/>
  <c r="D13" i="7"/>
  <c r="D12" i="7"/>
  <c r="D11" i="7"/>
  <c r="F34" i="7" l="1"/>
  <c r="F33" i="7" s="1"/>
  <c r="F36" i="7"/>
  <c r="F10" i="7" l="1"/>
  <c r="F25" i="7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H26" i="2" s="1"/>
  <c r="AI25" i="7"/>
  <c r="AL5" i="7" s="1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36" i="7"/>
  <c r="D28" i="7"/>
  <c r="O15" i="7"/>
  <c r="AI23" i="7"/>
  <c r="H28" i="2" s="1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 s="1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 s="1"/>
  <c r="Z11" i="10"/>
  <c r="Z19" i="10" s="1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 s="1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 s="1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H14" i="9" s="1"/>
  <c r="J14" i="12" s="1"/>
  <c r="F12" i="9"/>
  <c r="F13" i="9"/>
  <c r="F15" i="9" s="1"/>
  <c r="F14" i="9"/>
  <c r="E12" i="9"/>
  <c r="E13" i="9"/>
  <c r="E14" i="9"/>
  <c r="D12" i="9"/>
  <c r="H12" i="9" s="1"/>
  <c r="D13" i="9"/>
  <c r="D14" i="9"/>
  <c r="G5" i="9"/>
  <c r="G6" i="9"/>
  <c r="G7" i="9"/>
  <c r="F7" i="9"/>
  <c r="H7" i="9" s="1"/>
  <c r="J7" i="12" s="1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D8" i="9"/>
  <c r="D39" i="9" s="1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5" i="2" s="1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42" i="2"/>
  <c r="F22" i="2"/>
  <c r="E42" i="2"/>
  <c r="E22" i="2"/>
  <c r="D42" i="2"/>
  <c r="E45" i="2"/>
  <c r="D45" i="2"/>
  <c r="D19" i="9"/>
  <c r="D43" i="9" s="1"/>
  <c r="F45" i="2"/>
  <c r="D22" i="2"/>
  <c r="D38" i="2" s="1"/>
  <c r="O42" i="2"/>
  <c r="O22" i="2"/>
  <c r="O41" i="2" s="1"/>
  <c r="G19" i="9"/>
  <c r="H23" i="12"/>
  <c r="G41" i="12"/>
  <c r="G23" i="12"/>
  <c r="G34" i="12"/>
  <c r="G39" i="12"/>
  <c r="AI22" i="7"/>
  <c r="H27" i="2" s="1"/>
  <c r="AH20" i="7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B43" i="7" l="1"/>
  <c r="AB42" i="7" s="1"/>
  <c r="AD43" i="7"/>
  <c r="AD42" i="7" s="1"/>
  <c r="AE43" i="7"/>
  <c r="AE42" i="7" s="1"/>
  <c r="AF43" i="7"/>
  <c r="AF42" i="7" s="1"/>
  <c r="AG43" i="7"/>
  <c r="AG42" i="7" s="1"/>
  <c r="AC43" i="7"/>
  <c r="AC42" i="7" s="1"/>
  <c r="AH43" i="7"/>
  <c r="AH42" i="7" s="1"/>
  <c r="W43" i="7"/>
  <c r="W42" i="7" s="1"/>
  <c r="V43" i="7"/>
  <c r="V42" i="7" s="1"/>
  <c r="X43" i="7"/>
  <c r="X42" i="7" s="1"/>
  <c r="Y43" i="7"/>
  <c r="Y42" i="7" s="1"/>
  <c r="Z43" i="7"/>
  <c r="Z42" i="7" s="1"/>
  <c r="AA43" i="7"/>
  <c r="AA42" i="7" s="1"/>
  <c r="U43" i="7"/>
  <c r="U42" i="7" s="1"/>
  <c r="S43" i="7"/>
  <c r="S42" i="7" s="1"/>
  <c r="T43" i="7"/>
  <c r="T42" i="7" s="1"/>
  <c r="P43" i="7"/>
  <c r="P42" i="7" s="1"/>
  <c r="R43" i="7"/>
  <c r="R42" i="7" s="1"/>
  <c r="N43" i="7"/>
  <c r="N42" i="7" s="1"/>
  <c r="Q43" i="7"/>
  <c r="Q42" i="7" s="1"/>
  <c r="O43" i="7"/>
  <c r="O42" i="7" s="1"/>
  <c r="K43" i="7"/>
  <c r="K42" i="7" s="1"/>
  <c r="I43" i="7"/>
  <c r="I42" i="7" s="1"/>
  <c r="L43" i="7"/>
  <c r="L42" i="7" s="1"/>
  <c r="H43" i="7"/>
  <c r="H42" i="7" s="1"/>
  <c r="J43" i="7"/>
  <c r="J42" i="7" s="1"/>
  <c r="M43" i="7"/>
  <c r="M42" i="7" s="1"/>
  <c r="G43" i="7"/>
  <c r="G42" i="7" s="1"/>
  <c r="F50" i="2"/>
  <c r="G36" i="2"/>
  <c r="F35" i="2"/>
  <c r="G35" i="2"/>
  <c r="AI5" i="7"/>
  <c r="AJ5" i="7" s="1"/>
  <c r="AE44" i="7" s="1"/>
  <c r="F41" i="2"/>
  <c r="E34" i="2"/>
  <c r="G54" i="2"/>
  <c r="F33" i="2"/>
  <c r="E36" i="2"/>
  <c r="E33" i="2"/>
  <c r="E50" i="2"/>
  <c r="E51" i="2"/>
  <c r="D35" i="2"/>
  <c r="E35" i="2"/>
  <c r="E41" i="2"/>
  <c r="E38" i="2"/>
  <c r="F38" i="2" s="1"/>
  <c r="BD8" i="10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O50" i="2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D45" i="9" s="1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F39" i="2"/>
  <c r="E39" i="9"/>
  <c r="F39" i="9" s="1"/>
  <c r="G39" i="9" s="1"/>
  <c r="L10" i="10"/>
  <c r="D10" i="10"/>
  <c r="J8" i="12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H8" i="9"/>
  <c r="BD1" i="10"/>
  <c r="BD17" i="10" s="1"/>
  <c r="O1" i="10"/>
  <c r="AA1" i="10"/>
  <c r="S1" i="10"/>
  <c r="AM1" i="10"/>
  <c r="I1" i="10"/>
  <c r="E1" i="10"/>
  <c r="L1" i="10"/>
  <c r="U1" i="10"/>
  <c r="T1" i="10"/>
  <c r="Y1" i="10"/>
  <c r="AB1" i="10"/>
  <c r="AG1" i="10"/>
  <c r="AF1" i="10"/>
  <c r="AK1" i="10"/>
  <c r="J1" i="10"/>
  <c r="AR1" i="10"/>
  <c r="AS1" i="10"/>
  <c r="AZ1" i="10"/>
  <c r="V1" i="10"/>
  <c r="AQ1" i="10"/>
  <c r="AV1" i="10"/>
  <c r="BA1" i="10"/>
  <c r="AP1" i="10"/>
  <c r="M1" i="10"/>
  <c r="BB1" i="10"/>
  <c r="N1" i="10"/>
  <c r="AH1" i="10"/>
  <c r="AL1" i="10"/>
  <c r="AX1" i="10"/>
  <c r="AT1" i="10"/>
  <c r="W1" i="10"/>
  <c r="H1" i="10"/>
  <c r="J12" i="12"/>
  <c r="J15" i="12" s="1"/>
  <c r="H15" i="9"/>
  <c r="AW1" i="10"/>
  <c r="K1" i="10"/>
  <c r="X1" i="10"/>
  <c r="D1" i="10"/>
  <c r="D18" i="10" s="1"/>
  <c r="E18" i="10" s="1"/>
  <c r="AY1" i="10"/>
  <c r="AO1" i="10"/>
  <c r="BC1" i="10"/>
  <c r="P1" i="10"/>
  <c r="AE1" i="10"/>
  <c r="AC1" i="10"/>
  <c r="AD1" i="10"/>
  <c r="G1" i="10"/>
  <c r="Q1" i="10"/>
  <c r="F1" i="10"/>
  <c r="D15" i="9"/>
  <c r="Z1" i="10"/>
  <c r="AU1" i="10"/>
  <c r="AN1" i="10"/>
  <c r="R1" i="10"/>
  <c r="AI1" i="10"/>
  <c r="AJ1" i="10"/>
  <c r="O51" i="2"/>
  <c r="O36" i="2"/>
  <c r="N35" i="2"/>
  <c r="O35" i="2"/>
  <c r="O33" i="2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AI20" i="7"/>
  <c r="Z46" i="7" s="1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AJ10" i="7"/>
  <c r="AK10" i="7" s="1"/>
  <c r="AL10" i="7" s="1"/>
  <c r="G51" i="2"/>
  <c r="C22" i="7"/>
  <c r="C27" i="7" s="1"/>
  <c r="G34" i="2"/>
  <c r="G50" i="2" l="1"/>
  <c r="G53" i="2"/>
  <c r="G33" i="2"/>
  <c r="G29" i="2"/>
  <c r="G49" i="2" s="1"/>
  <c r="F51" i="2"/>
  <c r="F29" i="2"/>
  <c r="F49" i="2" s="1"/>
  <c r="F34" i="2"/>
  <c r="F36" i="2"/>
  <c r="D28" i="9"/>
  <c r="D35" i="9" s="1"/>
  <c r="E44" i="2"/>
  <c r="E29" i="2"/>
  <c r="E49" i="2" s="1"/>
  <c r="D33" i="2"/>
  <c r="D36" i="2"/>
  <c r="F53" i="2"/>
  <c r="D29" i="2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52" i="2" l="1"/>
  <c r="D29" i="9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<sst xmlns="http://schemas.openxmlformats.org/spreadsheetml/2006/main" count="321" uniqueCount="94">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</sst>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1"/>
                <c:pt idx="0">
                  <c:v>63.8</c:v>
                </c:pt>
                <c:pt idx="1">
                  <c:v>45</c:v>
                </c:pt>
                <c:pt idx="2">
                  <c:v>29.7</c:v>
                </c:pt>
                <c:pt idx="3">
                  <c:v>104</c:v>
                </c:pt>
                <c:pt idx="4">
                  <c:v>86</c:v>
                </c:pt>
                <c:pt idx="5">
                  <c:v>79</c:v>
                </c:pt>
                <c:pt idx="6">
                  <c:v>70</c:v>
                </c:pt>
                <c:pt idx="7">
                  <c:v>93</c:v>
                </c:pt>
                <c:pt idx="8">
                  <c:v>73</c:v>
                </c:pt>
                <c:pt idx="9">
                  <c:v>115.75</c:v>
                </c:pt>
                <c:pt idx="10">
                  <c:v>79</c:v>
                </c:pt>
                <c:pt idx="11">
                  <c:v>146</c:v>
                </c:pt>
                <c:pt idx="12">
                  <c:v>95</c:v>
                </c:pt>
                <c:pt idx="13">
                  <c:v>152</c:v>
                </c:pt>
                <c:pt idx="14">
                  <c:v>182</c:v>
                </c:pt>
                <c:pt idx="15">
                  <c:v>152</c:v>
                </c:pt>
                <c:pt idx="16">
                  <c:v>126.02499999999999</c:v>
                </c:pt>
                <c:pt idx="17">
                  <c:v>62</c:v>
                </c:pt>
                <c:pt idx="18">
                  <c:v>123</c:v>
                </c:pt>
                <c:pt idx="19">
                  <c:v>118</c:v>
                </c:pt>
                <c:pt idx="20">
                  <c:v>97</c:v>
                </c:pt>
                <c:pt idx="21">
                  <c:v>145</c:v>
                </c:pt>
                <c:pt idx="22">
                  <c:v>143</c:v>
                </c:pt>
                <c:pt idx="23">
                  <c:v>138.6</c:v>
                </c:pt>
                <c:pt idx="24">
                  <c:v>90</c:v>
                </c:pt>
                <c:pt idx="25">
                  <c:v>250</c:v>
                </c:pt>
                <c:pt idx="26">
                  <c:v>164</c:v>
                </c:pt>
                <c:pt idx="27">
                  <c:v>156</c:v>
                </c:pt>
                <c:pt idx="28">
                  <c:v>152.85</c:v>
                </c:pt>
                <c:pt idx="29">
                  <c:v>193.64999999999998</c:v>
                </c:pt>
                <c:pt idx="30">
                  <c:v>139.5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160.8758064516129</c:v>
                </c:pt>
                <c:pt idx="1">
                  <c:v>160.8758064516129</c:v>
                </c:pt>
                <c:pt idx="2">
                  <c:v>160.8758064516129</c:v>
                </c:pt>
                <c:pt idx="3">
                  <c:v>160.8758064516129</c:v>
                </c:pt>
                <c:pt idx="4">
                  <c:v>160.8758064516129</c:v>
                </c:pt>
                <c:pt idx="5">
                  <c:v>160.8758064516129</c:v>
                </c:pt>
                <c:pt idx="6">
                  <c:v>160.8758064516129</c:v>
                </c:pt>
                <c:pt idx="7">
                  <c:v>160.8758064516129</c:v>
                </c:pt>
                <c:pt idx="8">
                  <c:v>160.8758064516129</c:v>
                </c:pt>
                <c:pt idx="9">
                  <c:v>160.8758064516129</c:v>
                </c:pt>
                <c:pt idx="10">
                  <c:v>160.8758064516129</c:v>
                </c:pt>
                <c:pt idx="11">
                  <c:v>160.8758064516129</c:v>
                </c:pt>
                <c:pt idx="12">
                  <c:v>160.8758064516129</c:v>
                </c:pt>
                <c:pt idx="13">
                  <c:v>160.8758064516129</c:v>
                </c:pt>
                <c:pt idx="14">
                  <c:v>160.8758064516129</c:v>
                </c:pt>
                <c:pt idx="15">
                  <c:v>160.8758064516129</c:v>
                </c:pt>
                <c:pt idx="16">
                  <c:v>160.8758064516129</c:v>
                </c:pt>
                <c:pt idx="17">
                  <c:v>160.8758064516129</c:v>
                </c:pt>
                <c:pt idx="18">
                  <c:v>160.8758064516129</c:v>
                </c:pt>
                <c:pt idx="19">
                  <c:v>160.8758064516129</c:v>
                </c:pt>
                <c:pt idx="20">
                  <c:v>160.8758064516129</c:v>
                </c:pt>
                <c:pt idx="21">
                  <c:v>160.8758064516129</c:v>
                </c:pt>
                <c:pt idx="22">
                  <c:v>160.8758064516129</c:v>
                </c:pt>
                <c:pt idx="23">
                  <c:v>160.8758064516129</c:v>
                </c:pt>
                <c:pt idx="24">
                  <c:v>160.8758064516129</c:v>
                </c:pt>
                <c:pt idx="25">
                  <c:v>160.8758064516129</c:v>
                </c:pt>
                <c:pt idx="26">
                  <c:v>160.8758064516129</c:v>
                </c:pt>
                <c:pt idx="27">
                  <c:v>160.8758064516129</c:v>
                </c:pt>
                <c:pt idx="28">
                  <c:v>160.8758064516129</c:v>
                </c:pt>
                <c:pt idx="29">
                  <c:v>160.8758064516129</c:v>
                </c:pt>
                <c:pt idx="30">
                  <c:v>160.8758064516129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1"/>
                <c:pt idx="0">
                  <c:v>0</c:v>
                </c:pt>
                <c:pt idx="1">
                  <c:v>55</c:v>
                </c:pt>
                <c:pt idx="2">
                  <c:v>0</c:v>
                </c:pt>
                <c:pt idx="3">
                  <c:v>99</c:v>
                </c:pt>
                <c:pt idx="4">
                  <c:v>38.5</c:v>
                </c:pt>
                <c:pt idx="5">
                  <c:v>33</c:v>
                </c:pt>
                <c:pt idx="6">
                  <c:v>61.65</c:v>
                </c:pt>
                <c:pt idx="7">
                  <c:v>82.5</c:v>
                </c:pt>
                <c:pt idx="8">
                  <c:v>51.7</c:v>
                </c:pt>
                <c:pt idx="9">
                  <c:v>0</c:v>
                </c:pt>
                <c:pt idx="10">
                  <c:v>269.5</c:v>
                </c:pt>
                <c:pt idx="11">
                  <c:v>88</c:v>
                </c:pt>
                <c:pt idx="12">
                  <c:v>67.349999999999994</c:v>
                </c:pt>
                <c:pt idx="13">
                  <c:v>130.65</c:v>
                </c:pt>
                <c:pt idx="14">
                  <c:v>85.35</c:v>
                </c:pt>
                <c:pt idx="15">
                  <c:v>466.4</c:v>
                </c:pt>
                <c:pt idx="16">
                  <c:v>0</c:v>
                </c:pt>
                <c:pt idx="17">
                  <c:v>209</c:v>
                </c:pt>
                <c:pt idx="18">
                  <c:v>33</c:v>
                </c:pt>
                <c:pt idx="19">
                  <c:v>82.5</c:v>
                </c:pt>
                <c:pt idx="20">
                  <c:v>536.94799999999998</c:v>
                </c:pt>
                <c:pt idx="21">
                  <c:v>390.5</c:v>
                </c:pt>
                <c:pt idx="22">
                  <c:v>156.19999999999999</c:v>
                </c:pt>
                <c:pt idx="23">
                  <c:v>0</c:v>
                </c:pt>
                <c:pt idx="24">
                  <c:v>265.10000000000002</c:v>
                </c:pt>
                <c:pt idx="25">
                  <c:v>316.8</c:v>
                </c:pt>
                <c:pt idx="26">
                  <c:v>435.6</c:v>
                </c:pt>
                <c:pt idx="27">
                  <c:v>365.197</c:v>
                </c:pt>
                <c:pt idx="28">
                  <c:v>51.7</c:v>
                </c:pt>
                <c:pt idx="29">
                  <c:v>330.005</c:v>
                </c:pt>
                <c:pt idx="30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1"/>
                <c:pt idx="0">
                  <c:v>155.4478813060845</c:v>
                </c:pt>
                <c:pt idx="1">
                  <c:v>155.4478813060845</c:v>
                </c:pt>
                <c:pt idx="2">
                  <c:v>155.4478813060845</c:v>
                </c:pt>
                <c:pt idx="3">
                  <c:v>155.4478813060845</c:v>
                </c:pt>
                <c:pt idx="4">
                  <c:v>155.4478813060845</c:v>
                </c:pt>
                <c:pt idx="5">
                  <c:v>155.4478813060845</c:v>
                </c:pt>
                <c:pt idx="6">
                  <c:v>155.4478813060845</c:v>
                </c:pt>
                <c:pt idx="7">
                  <c:v>155.4478813060845</c:v>
                </c:pt>
                <c:pt idx="8">
                  <c:v>155.4478813060845</c:v>
                </c:pt>
                <c:pt idx="9">
                  <c:v>155.4478813060845</c:v>
                </c:pt>
                <c:pt idx="10">
                  <c:v>155.4478813060845</c:v>
                </c:pt>
                <c:pt idx="11">
                  <c:v>155.4478813060845</c:v>
                </c:pt>
                <c:pt idx="12">
                  <c:v>155.4478813060845</c:v>
                </c:pt>
                <c:pt idx="13">
                  <c:v>155.4478813060845</c:v>
                </c:pt>
                <c:pt idx="14">
                  <c:v>155.4478813060845</c:v>
                </c:pt>
                <c:pt idx="15">
                  <c:v>155.4478813060845</c:v>
                </c:pt>
                <c:pt idx="16">
                  <c:v>155.4478813060845</c:v>
                </c:pt>
                <c:pt idx="17">
                  <c:v>155.4478813060845</c:v>
                </c:pt>
                <c:pt idx="18">
                  <c:v>155.4478813060845</c:v>
                </c:pt>
                <c:pt idx="19">
                  <c:v>155.4478813060845</c:v>
                </c:pt>
                <c:pt idx="20">
                  <c:v>155.4478813060845</c:v>
                </c:pt>
                <c:pt idx="21">
                  <c:v>155.4478813060845</c:v>
                </c:pt>
                <c:pt idx="22">
                  <c:v>155.4478813060845</c:v>
                </c:pt>
                <c:pt idx="23">
                  <c:v>155.4478813060845</c:v>
                </c:pt>
                <c:pt idx="24">
                  <c:v>155.4478813060845</c:v>
                </c:pt>
                <c:pt idx="25">
                  <c:v>155.4478813060845</c:v>
                </c:pt>
                <c:pt idx="26">
                  <c:v>155.4478813060845</c:v>
                </c:pt>
                <c:pt idx="27">
                  <c:v>155.4478813060845</c:v>
                </c:pt>
                <c:pt idx="28">
                  <c:v>155.4478813060845</c:v>
                </c:pt>
                <c:pt idx="29">
                  <c:v>155.4478813060845</c:v>
                </c:pt>
                <c:pt idx="30">
                  <c:v>155.4478813060845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455381367424E-2"/>
                  <c:y val="-7.598938243506618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160.8758064516129</c:v>
                </c:pt>
                <c:pt idx="1">
                  <c:v>160.8758064516129</c:v>
                </c:pt>
                <c:pt idx="2">
                  <c:v>160.8758064516129</c:v>
                </c:pt>
                <c:pt idx="3">
                  <c:v>160.8758064516129</c:v>
                </c:pt>
                <c:pt idx="4">
                  <c:v>160.8758064516129</c:v>
                </c:pt>
                <c:pt idx="5">
                  <c:v>160.8758064516129</c:v>
                </c:pt>
                <c:pt idx="6">
                  <c:v>160.8758064516129</c:v>
                </c:pt>
                <c:pt idx="7">
                  <c:v>160.8758064516129</c:v>
                </c:pt>
                <c:pt idx="8">
                  <c:v>160.8758064516129</c:v>
                </c:pt>
                <c:pt idx="9">
                  <c:v>160.8758064516129</c:v>
                </c:pt>
                <c:pt idx="10">
                  <c:v>160.8758064516129</c:v>
                </c:pt>
                <c:pt idx="11">
                  <c:v>160.8758064516129</c:v>
                </c:pt>
                <c:pt idx="12">
                  <c:v>160.8758064516129</c:v>
                </c:pt>
                <c:pt idx="13">
                  <c:v>160.8758064516129</c:v>
                </c:pt>
                <c:pt idx="14">
                  <c:v>160.8758064516129</c:v>
                </c:pt>
                <c:pt idx="15">
                  <c:v>160.8758064516129</c:v>
                </c:pt>
                <c:pt idx="16">
                  <c:v>160.8758064516129</c:v>
                </c:pt>
                <c:pt idx="17">
                  <c:v>160.8758064516129</c:v>
                </c:pt>
                <c:pt idx="18">
                  <c:v>160.8758064516129</c:v>
                </c:pt>
                <c:pt idx="19">
                  <c:v>160.8758064516129</c:v>
                </c:pt>
                <c:pt idx="20">
                  <c:v>160.8758064516129</c:v>
                </c:pt>
                <c:pt idx="21">
                  <c:v>160.8758064516129</c:v>
                </c:pt>
                <c:pt idx="22">
                  <c:v>160.8758064516129</c:v>
                </c:pt>
                <c:pt idx="23">
                  <c:v>160.8758064516129</c:v>
                </c:pt>
                <c:pt idx="24">
                  <c:v>160.8758064516129</c:v>
                </c:pt>
                <c:pt idx="25">
                  <c:v>160.8758064516129</c:v>
                </c:pt>
                <c:pt idx="26">
                  <c:v>160.8758064516129</c:v>
                </c:pt>
                <c:pt idx="27">
                  <c:v>160.8758064516129</c:v>
                </c:pt>
                <c:pt idx="28">
                  <c:v>160.8758064516129</c:v>
                </c:pt>
                <c:pt idx="29">
                  <c:v>160.8758064516129</c:v>
                </c:pt>
                <c:pt idx="30">
                  <c:v>160.8758064516129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1"/>
                <c:pt idx="0">
                  <c:v>0</c:v>
                </c:pt>
                <c:pt idx="1">
                  <c:v>1748.3899999999999</c:v>
                </c:pt>
                <c:pt idx="2">
                  <c:v>0</c:v>
                </c:pt>
                <c:pt idx="3">
                  <c:v>3233.81</c:v>
                </c:pt>
                <c:pt idx="4">
                  <c:v>1271.17</c:v>
                </c:pt>
                <c:pt idx="5">
                  <c:v>1097.8</c:v>
                </c:pt>
                <c:pt idx="6">
                  <c:v>1991.26</c:v>
                </c:pt>
                <c:pt idx="7">
                  <c:v>2694.17</c:v>
                </c:pt>
                <c:pt idx="8">
                  <c:v>1732.05</c:v>
                </c:pt>
                <c:pt idx="9">
                  <c:v>0</c:v>
                </c:pt>
                <c:pt idx="10">
                  <c:v>7974</c:v>
                </c:pt>
                <c:pt idx="11">
                  <c:v>2903.0299999999997</c:v>
                </c:pt>
                <c:pt idx="12">
                  <c:v>2196.7799999999997</c:v>
                </c:pt>
                <c:pt idx="13">
                  <c:v>4193.3100000000004</c:v>
                </c:pt>
                <c:pt idx="14">
                  <c:v>2454.25</c:v>
                </c:pt>
                <c:pt idx="15">
                  <c:v>15057.920000000002</c:v>
                </c:pt>
                <c:pt idx="16">
                  <c:v>0</c:v>
                </c:pt>
                <c:pt idx="17">
                  <c:v>6727.25</c:v>
                </c:pt>
                <c:pt idx="18">
                  <c:v>1084.33</c:v>
                </c:pt>
                <c:pt idx="19">
                  <c:v>2654.3979999999997</c:v>
                </c:pt>
                <c:pt idx="20">
                  <c:v>12335.722</c:v>
                </c:pt>
                <c:pt idx="21">
                  <c:v>11465.58</c:v>
                </c:pt>
                <c:pt idx="22">
                  <c:v>4946.41</c:v>
                </c:pt>
                <c:pt idx="23">
                  <c:v>0</c:v>
                </c:pt>
                <c:pt idx="24">
                  <c:v>8524.9</c:v>
                </c:pt>
                <c:pt idx="25">
                  <c:v>10587.07</c:v>
                </c:pt>
                <c:pt idx="26">
                  <c:v>14134.259999999998</c:v>
                </c:pt>
                <c:pt idx="27">
                  <c:v>11567.68</c:v>
                </c:pt>
                <c:pt idx="28">
                  <c:v>1728.96</c:v>
                </c:pt>
                <c:pt idx="29">
                  <c:v>11165.798000000001</c:v>
                </c:pt>
                <c:pt idx="30">
                  <c:v>9760.8700000000008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6702124598088E-2"/>
                  <c:y val="-6.7107480833246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1"/>
                <c:pt idx="0">
                  <c:v>4905.7799723409416</c:v>
                </c:pt>
                <c:pt idx="1">
                  <c:v>4905.7799723409416</c:v>
                </c:pt>
                <c:pt idx="2">
                  <c:v>4905.7799723409416</c:v>
                </c:pt>
                <c:pt idx="3">
                  <c:v>4905.7799723409416</c:v>
                </c:pt>
                <c:pt idx="4">
                  <c:v>4905.7799723409416</c:v>
                </c:pt>
                <c:pt idx="5">
                  <c:v>4905.7799723409416</c:v>
                </c:pt>
                <c:pt idx="6">
                  <c:v>4905.7799723409416</c:v>
                </c:pt>
                <c:pt idx="7">
                  <c:v>4905.7799723409416</c:v>
                </c:pt>
                <c:pt idx="8">
                  <c:v>4905.7799723409416</c:v>
                </c:pt>
                <c:pt idx="9">
                  <c:v>4905.7799723409416</c:v>
                </c:pt>
                <c:pt idx="10">
                  <c:v>4905.7799723409416</c:v>
                </c:pt>
                <c:pt idx="11">
                  <c:v>4905.7799723409416</c:v>
                </c:pt>
                <c:pt idx="12">
                  <c:v>4905.7799723409416</c:v>
                </c:pt>
                <c:pt idx="13">
                  <c:v>4905.7799723409416</c:v>
                </c:pt>
                <c:pt idx="14">
                  <c:v>4905.7799723409416</c:v>
                </c:pt>
                <c:pt idx="15">
                  <c:v>4905.7799723409416</c:v>
                </c:pt>
                <c:pt idx="16">
                  <c:v>4905.7799723409416</c:v>
                </c:pt>
                <c:pt idx="17">
                  <c:v>4905.7799723409416</c:v>
                </c:pt>
                <c:pt idx="18">
                  <c:v>4905.7799723409416</c:v>
                </c:pt>
                <c:pt idx="19">
                  <c:v>4905.7799723409416</c:v>
                </c:pt>
                <c:pt idx="20">
                  <c:v>4905.7799723409416</c:v>
                </c:pt>
                <c:pt idx="21">
                  <c:v>4905.7799723409416</c:v>
                </c:pt>
                <c:pt idx="22">
                  <c:v>4905.7799723409416</c:v>
                </c:pt>
                <c:pt idx="23">
                  <c:v>4905.7799723409416</c:v>
                </c:pt>
                <c:pt idx="24">
                  <c:v>4905.7799723409416</c:v>
                </c:pt>
                <c:pt idx="25">
                  <c:v>4905.7799723409416</c:v>
                </c:pt>
                <c:pt idx="26">
                  <c:v>4905.7799723409416</c:v>
                </c:pt>
                <c:pt idx="27">
                  <c:v>4905.7799723409416</c:v>
                </c:pt>
                <c:pt idx="28">
                  <c:v>4905.7799723409416</c:v>
                </c:pt>
                <c:pt idx="29">
                  <c:v>4905.7799723409416</c:v>
                </c:pt>
                <c:pt idx="30">
                  <c:v>4905.7799723409416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3921716413249221E-2"/>
                  <c:y val="-1.784101972083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13666481807559E-2"/>
                      <c:h val="8.82957642273702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1"/>
                <c:pt idx="0">
                  <c:v>5007.4570322580648</c:v>
                </c:pt>
                <c:pt idx="1">
                  <c:v>5007.4570322580648</c:v>
                </c:pt>
                <c:pt idx="2">
                  <c:v>5007.4570322580648</c:v>
                </c:pt>
                <c:pt idx="3">
                  <c:v>5007.4570322580648</c:v>
                </c:pt>
                <c:pt idx="4">
                  <c:v>5007.4570322580648</c:v>
                </c:pt>
                <c:pt idx="5">
                  <c:v>5007.4570322580648</c:v>
                </c:pt>
                <c:pt idx="6">
                  <c:v>5007.4570322580648</c:v>
                </c:pt>
                <c:pt idx="7">
                  <c:v>5007.4570322580648</c:v>
                </c:pt>
                <c:pt idx="8">
                  <c:v>5007.4570322580648</c:v>
                </c:pt>
                <c:pt idx="9">
                  <c:v>5007.4570322580648</c:v>
                </c:pt>
                <c:pt idx="10">
                  <c:v>5007.4570322580648</c:v>
                </c:pt>
                <c:pt idx="11">
                  <c:v>5007.4570322580648</c:v>
                </c:pt>
                <c:pt idx="12">
                  <c:v>5007.4570322580648</c:v>
                </c:pt>
                <c:pt idx="13">
                  <c:v>5007.4570322580648</c:v>
                </c:pt>
                <c:pt idx="14">
                  <c:v>5007.4570322580648</c:v>
                </c:pt>
                <c:pt idx="15">
                  <c:v>5007.4570322580648</c:v>
                </c:pt>
                <c:pt idx="16">
                  <c:v>5007.4570322580648</c:v>
                </c:pt>
                <c:pt idx="17">
                  <c:v>5007.4570322580648</c:v>
                </c:pt>
                <c:pt idx="18">
                  <c:v>5007.4570322580648</c:v>
                </c:pt>
                <c:pt idx="19">
                  <c:v>5007.4570322580648</c:v>
                </c:pt>
                <c:pt idx="20">
                  <c:v>5007.4570322580648</c:v>
                </c:pt>
                <c:pt idx="21">
                  <c:v>5007.4570322580648</c:v>
                </c:pt>
                <c:pt idx="22">
                  <c:v>5007.4570322580648</c:v>
                </c:pt>
                <c:pt idx="23">
                  <c:v>5007.4570322580648</c:v>
                </c:pt>
                <c:pt idx="24">
                  <c:v>5007.4570322580648</c:v>
                </c:pt>
                <c:pt idx="25">
                  <c:v>5007.4570322580648</c:v>
                </c:pt>
                <c:pt idx="26">
                  <c:v>5007.4570322580648</c:v>
                </c:pt>
                <c:pt idx="27">
                  <c:v>5007.4570322580648</c:v>
                </c:pt>
                <c:pt idx="28">
                  <c:v>5007.4570322580648</c:v>
                </c:pt>
                <c:pt idx="29">
                  <c:v>5007.4570322580648</c:v>
                </c:pt>
                <c:pt idx="30">
                  <c:v>5007.4570322580648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27-43A6-B0F9-1F2F2D8A75DE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1"/>
                <c:pt idx="0">
                  <c:v>7755.03</c:v>
                </c:pt>
                <c:pt idx="1">
                  <c:v>7818.83</c:v>
                </c:pt>
                <c:pt idx="2">
                  <c:v>7816.6</c:v>
                </c:pt>
                <c:pt idx="3">
                  <c:v>7849.6</c:v>
                </c:pt>
                <c:pt idx="4">
                  <c:v>7794.96</c:v>
                </c:pt>
                <c:pt idx="5">
                  <c:v>7797.26</c:v>
                </c:pt>
                <c:pt idx="6">
                  <c:v>7805.15</c:v>
                </c:pt>
                <c:pt idx="7">
                  <c:v>7811.35</c:v>
                </c:pt>
                <c:pt idx="8">
                  <c:v>7824.28</c:v>
                </c:pt>
                <c:pt idx="9">
                  <c:v>7904.44</c:v>
                </c:pt>
                <c:pt idx="10">
                  <c:v>8006.29</c:v>
                </c:pt>
                <c:pt idx="11">
                  <c:v>7784.74</c:v>
                </c:pt>
                <c:pt idx="12">
                  <c:v>7792.71</c:v>
                </c:pt>
                <c:pt idx="13">
                  <c:v>7856.46</c:v>
                </c:pt>
                <c:pt idx="14">
                  <c:v>7842.09</c:v>
                </c:pt>
                <c:pt idx="15">
                  <c:v>7785.11</c:v>
                </c:pt>
                <c:pt idx="16">
                  <c:v>7676.36</c:v>
                </c:pt>
                <c:pt idx="17">
                  <c:v>7839.29</c:v>
                </c:pt>
                <c:pt idx="18">
                  <c:v>7737.86</c:v>
                </c:pt>
                <c:pt idx="19">
                  <c:v>7837.59</c:v>
                </c:pt>
                <c:pt idx="20">
                  <c:v>7698.24</c:v>
                </c:pt>
                <c:pt idx="21">
                  <c:v>7464.64</c:v>
                </c:pt>
                <c:pt idx="22">
                  <c:v>7111.26</c:v>
                </c:pt>
                <c:pt idx="23">
                  <c:v>6928.74</c:v>
                </c:pt>
                <c:pt idx="24">
                  <c:v>7050.84</c:v>
                </c:pt>
                <c:pt idx="25">
                  <c:v>7091.13</c:v>
                </c:pt>
                <c:pt idx="26">
                  <c:v>6812.78</c:v>
                </c:pt>
                <c:pt idx="27">
                  <c:v>6790.45</c:v>
                </c:pt>
                <c:pt idx="28">
                  <c:v>6560.75</c:v>
                </c:pt>
                <c:pt idx="29">
                  <c:v>6696.82</c:v>
                </c:pt>
                <c:pt idx="30">
                  <c:v>6461.57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890</c:v>
                </c:pt>
                <c:pt idx="4">
                  <c:v>5288.9000000000005</c:v>
                </c:pt>
                <c:pt idx="5">
                  <c:v>6479.52</c:v>
                </c:pt>
                <c:pt idx="6">
                  <c:v>7335.04</c:v>
                </c:pt>
                <c:pt idx="7">
                  <c:v>7745.91</c:v>
                </c:pt>
                <c:pt idx="8">
                  <c:v>7745.91</c:v>
                </c:pt>
                <c:pt idx="9">
                  <c:v>7745.91</c:v>
                </c:pt>
                <c:pt idx="10">
                  <c:v>8856.92</c:v>
                </c:pt>
                <c:pt idx="11">
                  <c:v>19494.010000000002</c:v>
                </c:pt>
                <c:pt idx="12">
                  <c:v>19494.010000000002</c:v>
                </c:pt>
                <c:pt idx="13">
                  <c:v>21612.760000000002</c:v>
                </c:pt>
                <c:pt idx="14">
                  <c:v>66812.679999999993</c:v>
                </c:pt>
                <c:pt idx="15">
                  <c:v>66812.679999999993</c:v>
                </c:pt>
                <c:pt idx="16">
                  <c:v>66812.679999999993</c:v>
                </c:pt>
                <c:pt idx="17">
                  <c:v>74212.850000000006</c:v>
                </c:pt>
                <c:pt idx="18">
                  <c:v>74212.850000000006</c:v>
                </c:pt>
                <c:pt idx="19">
                  <c:v>82224.010000000009</c:v>
                </c:pt>
                <c:pt idx="20">
                  <c:v>83871.359999999986</c:v>
                </c:pt>
                <c:pt idx="21">
                  <c:v>86942.2</c:v>
                </c:pt>
                <c:pt idx="22">
                  <c:v>86942.2</c:v>
                </c:pt>
                <c:pt idx="23">
                  <c:v>86942.2</c:v>
                </c:pt>
                <c:pt idx="24">
                  <c:v>88453.560000000012</c:v>
                </c:pt>
                <c:pt idx="25">
                  <c:v>89239.92</c:v>
                </c:pt>
                <c:pt idx="26">
                  <c:v>89239.92</c:v>
                </c:pt>
                <c:pt idx="27">
                  <c:v>127438.88</c:v>
                </c:pt>
                <c:pt idx="28">
                  <c:v>127438.88</c:v>
                </c:pt>
                <c:pt idx="29">
                  <c:v>127712.59000000001</c:v>
                </c:pt>
                <c:pt idx="30">
                  <c:v>127712.59000000001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D2-439D-B2AA-9AB8B1AB35FF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1"/>
                <c:pt idx="0">
                  <c:v>0</c:v>
                </c:pt>
                <c:pt idx="1">
                  <c:v>1748.3899999999999</c:v>
                </c:pt>
                <c:pt idx="2">
                  <c:v>1748.3899999999999</c:v>
                </c:pt>
                <c:pt idx="3">
                  <c:v>4982.2</c:v>
                </c:pt>
                <c:pt idx="4">
                  <c:v>6253.3700000000008</c:v>
                </c:pt>
                <c:pt idx="5">
                  <c:v>7351.17</c:v>
                </c:pt>
                <c:pt idx="6">
                  <c:v>9342.43</c:v>
                </c:pt>
                <c:pt idx="7">
                  <c:v>12036.599999999999</c:v>
                </c:pt>
                <c:pt idx="8">
                  <c:v>13768.65</c:v>
                </c:pt>
                <c:pt idx="9">
                  <c:v>13768.65</c:v>
                </c:pt>
                <c:pt idx="10">
                  <c:v>21742.65</c:v>
                </c:pt>
                <c:pt idx="11">
                  <c:v>24645.68</c:v>
                </c:pt>
                <c:pt idx="12">
                  <c:v>26842.46</c:v>
                </c:pt>
                <c:pt idx="13">
                  <c:v>31035.770000000004</c:v>
                </c:pt>
                <c:pt idx="14">
                  <c:v>33490.020000000004</c:v>
                </c:pt>
                <c:pt idx="15">
                  <c:v>48547.94</c:v>
                </c:pt>
                <c:pt idx="16">
                  <c:v>48547.94</c:v>
                </c:pt>
                <c:pt idx="17">
                  <c:v>55275.19000000001</c:v>
                </c:pt>
                <c:pt idx="18">
                  <c:v>56359.520000000004</c:v>
                </c:pt>
                <c:pt idx="19">
                  <c:v>59013.918000000005</c:v>
                </c:pt>
                <c:pt idx="20">
                  <c:v>71349.64</c:v>
                </c:pt>
                <c:pt idx="21">
                  <c:v>82815.22</c:v>
                </c:pt>
                <c:pt idx="22">
                  <c:v>87761.63</c:v>
                </c:pt>
                <c:pt idx="23">
                  <c:v>87761.63</c:v>
                </c:pt>
                <c:pt idx="24">
                  <c:v>96286.53</c:v>
                </c:pt>
                <c:pt idx="25">
                  <c:v>106873.59999999999</c:v>
                </c:pt>
                <c:pt idx="26">
                  <c:v>121007.86</c:v>
                </c:pt>
                <c:pt idx="27">
                  <c:v>132575.54</c:v>
                </c:pt>
                <c:pt idx="28">
                  <c:v>134304.5</c:v>
                </c:pt>
                <c:pt idx="29">
                  <c:v>145470.29799999998</c:v>
                </c:pt>
                <c:pt idx="30">
                  <c:v>155231.16799999998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E6-4A3C-8327-FCD414C1F937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31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E6-4A3C-8327-FCD414C1F9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2"/>
                <c:pt idx="0">
                  <c:v>0</c:v>
                </c:pt>
                <c:pt idx="1">
                  <c:v>1748.3899999999999</c:v>
                </c:pt>
                <c:pt idx="2">
                  <c:v>1748.3899999999999</c:v>
                </c:pt>
                <c:pt idx="3">
                  <c:v>4982.2</c:v>
                </c:pt>
                <c:pt idx="4">
                  <c:v>6253.3700000000008</c:v>
                </c:pt>
                <c:pt idx="5">
                  <c:v>7351.17</c:v>
                </c:pt>
                <c:pt idx="6">
                  <c:v>9342.43</c:v>
                </c:pt>
                <c:pt idx="7">
                  <c:v>12036.599999999999</c:v>
                </c:pt>
                <c:pt idx="8">
                  <c:v>13768.65</c:v>
                </c:pt>
                <c:pt idx="9">
                  <c:v>13768.65</c:v>
                </c:pt>
                <c:pt idx="10">
                  <c:v>21742.65</c:v>
                </c:pt>
                <c:pt idx="11">
                  <c:v>24645.68</c:v>
                </c:pt>
                <c:pt idx="12">
                  <c:v>26842.46</c:v>
                </c:pt>
                <c:pt idx="13">
                  <c:v>31035.770000000004</c:v>
                </c:pt>
                <c:pt idx="14">
                  <c:v>33490.020000000004</c:v>
                </c:pt>
                <c:pt idx="15">
                  <c:v>48547.94</c:v>
                </c:pt>
                <c:pt idx="16">
                  <c:v>48547.94</c:v>
                </c:pt>
                <c:pt idx="17">
                  <c:v>55275.19000000001</c:v>
                </c:pt>
                <c:pt idx="18">
                  <c:v>56359.520000000004</c:v>
                </c:pt>
                <c:pt idx="19">
                  <c:v>59013.918000000005</c:v>
                </c:pt>
                <c:pt idx="20">
                  <c:v>71349.64</c:v>
                </c:pt>
                <c:pt idx="21">
                  <c:v>82815.22</c:v>
                </c:pt>
                <c:pt idx="22">
                  <c:v>87761.63</c:v>
                </c:pt>
                <c:pt idx="23">
                  <c:v>87761.63</c:v>
                </c:pt>
                <c:pt idx="24">
                  <c:v>96286.53</c:v>
                </c:pt>
                <c:pt idx="25">
                  <c:v>106873.59999999999</c:v>
                </c:pt>
                <c:pt idx="26">
                  <c:v>121007.86</c:v>
                </c:pt>
                <c:pt idx="27">
                  <c:v>132575.54</c:v>
                </c:pt>
                <c:pt idx="28">
                  <c:v>134304.5</c:v>
                </c:pt>
                <c:pt idx="29">
                  <c:v>145470.29799999998</c:v>
                </c:pt>
                <c:pt idx="30">
                  <c:v>155231.16799999998</c:v>
                </c:pt>
                <c:pt idx="31">
                  <c:v>142425.87016473708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2"/>
                <c:pt idx="0">
                  <c:v>4747.5290054912357</c:v>
                </c:pt>
                <c:pt idx="1">
                  <c:v>9495.0580109824714</c:v>
                </c:pt>
                <c:pt idx="2">
                  <c:v>14242.587016473706</c:v>
                </c:pt>
                <c:pt idx="3">
                  <c:v>18990.116021964943</c:v>
                </c:pt>
                <c:pt idx="4">
                  <c:v>23737.645027456179</c:v>
                </c:pt>
                <c:pt idx="5">
                  <c:v>28485.174032947416</c:v>
                </c:pt>
                <c:pt idx="6">
                  <c:v>33232.703038438653</c:v>
                </c:pt>
                <c:pt idx="7">
                  <c:v>37980.232043929886</c:v>
                </c:pt>
                <c:pt idx="8">
                  <c:v>42727.761049421119</c:v>
                </c:pt>
                <c:pt idx="9">
                  <c:v>47475.290054912351</c:v>
                </c:pt>
                <c:pt idx="10">
                  <c:v>52222.819060403584</c:v>
                </c:pt>
                <c:pt idx="11">
                  <c:v>56970.348065894817</c:v>
                </c:pt>
                <c:pt idx="12">
                  <c:v>61717.87707138605</c:v>
                </c:pt>
                <c:pt idx="13">
                  <c:v>66465.406076877291</c:v>
                </c:pt>
                <c:pt idx="14">
                  <c:v>71212.935082368524</c:v>
                </c:pt>
                <c:pt idx="15">
                  <c:v>75960.464087859757</c:v>
                </c:pt>
                <c:pt idx="16">
                  <c:v>80707.99309335099</c:v>
                </c:pt>
                <c:pt idx="17">
                  <c:v>85455.522098842222</c:v>
                </c:pt>
                <c:pt idx="18">
                  <c:v>90203.051104333455</c:v>
                </c:pt>
                <c:pt idx="19">
                  <c:v>94950.580109824688</c:v>
                </c:pt>
                <c:pt idx="20">
                  <c:v>99698.109115315921</c:v>
                </c:pt>
                <c:pt idx="21">
                  <c:v>104445.63812080715</c:v>
                </c:pt>
                <c:pt idx="22">
                  <c:v>109193.16712629839</c:v>
                </c:pt>
                <c:pt idx="23">
                  <c:v>113940.69613178962</c:v>
                </c:pt>
                <c:pt idx="24">
                  <c:v>118688.22513728085</c:v>
                </c:pt>
                <c:pt idx="25">
                  <c:v>123435.75414277209</c:v>
                </c:pt>
                <c:pt idx="26">
                  <c:v>128183.28314826332</c:v>
                </c:pt>
                <c:pt idx="27">
                  <c:v>132930.81215375455</c:v>
                </c:pt>
                <c:pt idx="28">
                  <c:v>137678.34115924579</c:v>
                </c:pt>
                <c:pt idx="29">
                  <c:v>142425.87016473702</c:v>
                </c:pt>
                <c:pt idx="30">
                  <c:v>147173.39917022825</c:v>
                </c:pt>
                <c:pt idx="31">
                  <c:v>147173.39917022825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109,0%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1.0899085104444275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2C-4B17-A5B9-FD3792909141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1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2C-4B17-A5B9-FD37929091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2"/>
                <c:pt idx="0">
                  <c:v>0</c:v>
                </c:pt>
                <c:pt idx="1">
                  <c:v>1397.52</c:v>
                </c:pt>
                <c:pt idx="2">
                  <c:v>1397.52</c:v>
                </c:pt>
                <c:pt idx="3">
                  <c:v>4260.99</c:v>
                </c:pt>
                <c:pt idx="4">
                  <c:v>4957.93</c:v>
                </c:pt>
                <c:pt idx="5">
                  <c:v>5658.52</c:v>
                </c:pt>
                <c:pt idx="6">
                  <c:v>7075.55</c:v>
                </c:pt>
                <c:pt idx="7">
                  <c:v>8521.56</c:v>
                </c:pt>
                <c:pt idx="8">
                  <c:v>9486.06</c:v>
                </c:pt>
                <c:pt idx="9">
                  <c:v>9486.06</c:v>
                </c:pt>
                <c:pt idx="10">
                  <c:v>10318.93</c:v>
                </c:pt>
                <c:pt idx="11">
                  <c:v>12443.84</c:v>
                </c:pt>
                <c:pt idx="12">
                  <c:v>14907.19</c:v>
                </c:pt>
                <c:pt idx="13">
                  <c:v>18749.63</c:v>
                </c:pt>
                <c:pt idx="14">
                  <c:v>20482.68</c:v>
                </c:pt>
                <c:pt idx="15">
                  <c:v>23512.54</c:v>
                </c:pt>
                <c:pt idx="16">
                  <c:v>23512.54</c:v>
                </c:pt>
                <c:pt idx="17">
                  <c:v>26324.620000000003</c:v>
                </c:pt>
                <c:pt idx="18">
                  <c:v>27038.610000000004</c:v>
                </c:pt>
                <c:pt idx="19">
                  <c:v>29150.118000000002</c:v>
                </c:pt>
                <c:pt idx="20">
                  <c:v>29861.52</c:v>
                </c:pt>
                <c:pt idx="21">
                  <c:v>31097.02</c:v>
                </c:pt>
                <c:pt idx="22">
                  <c:v>35107.15</c:v>
                </c:pt>
                <c:pt idx="23">
                  <c:v>35107.15</c:v>
                </c:pt>
                <c:pt idx="24">
                  <c:v>37583.96</c:v>
                </c:pt>
                <c:pt idx="25">
                  <c:v>40595.99</c:v>
                </c:pt>
                <c:pt idx="26">
                  <c:v>44075.21</c:v>
                </c:pt>
                <c:pt idx="27">
                  <c:v>47668.61</c:v>
                </c:pt>
                <c:pt idx="28">
                  <c:v>48382.6</c:v>
                </c:pt>
                <c:pt idx="29">
                  <c:v>50198.498</c:v>
                </c:pt>
                <c:pt idx="30">
                  <c:v>50198.498</c:v>
                </c:pt>
                <c:pt idx="31">
                  <c:v>61450.220073827979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2"/>
                <c:pt idx="0">
                  <c:v>2048.3406691275991</c:v>
                </c:pt>
                <c:pt idx="1">
                  <c:v>4096.6813382551982</c:v>
                </c:pt>
                <c:pt idx="2">
                  <c:v>6145.0220073827968</c:v>
                </c:pt>
                <c:pt idx="3">
                  <c:v>8193.3626765103963</c:v>
                </c:pt>
                <c:pt idx="4">
                  <c:v>10241.703345637996</c:v>
                </c:pt>
                <c:pt idx="5">
                  <c:v>12290.044014765595</c:v>
                </c:pt>
                <c:pt idx="6">
                  <c:v>14338.384683893195</c:v>
                </c:pt>
                <c:pt idx="7">
                  <c:v>16386.725353020793</c:v>
                </c:pt>
                <c:pt idx="8">
                  <c:v>18435.066022148392</c:v>
                </c:pt>
                <c:pt idx="9">
                  <c:v>20483.406691275992</c:v>
                </c:pt>
                <c:pt idx="10">
                  <c:v>22531.747360403591</c:v>
                </c:pt>
                <c:pt idx="11">
                  <c:v>24580.088029531191</c:v>
                </c:pt>
                <c:pt idx="12">
                  <c:v>26628.42869865879</c:v>
                </c:pt>
                <c:pt idx="13">
                  <c:v>28676.76936778639</c:v>
                </c:pt>
                <c:pt idx="14">
                  <c:v>30725.110036913989</c:v>
                </c:pt>
                <c:pt idx="15">
                  <c:v>32773.450706041585</c:v>
                </c:pt>
                <c:pt idx="16">
                  <c:v>34821.791375169181</c:v>
                </c:pt>
                <c:pt idx="17">
                  <c:v>36870.132044296777</c:v>
                </c:pt>
                <c:pt idx="18">
                  <c:v>38918.472713424373</c:v>
                </c:pt>
                <c:pt idx="19">
                  <c:v>40966.813382551969</c:v>
                </c:pt>
                <c:pt idx="20">
                  <c:v>43015.154051679565</c:v>
                </c:pt>
                <c:pt idx="21">
                  <c:v>45063.494720807161</c:v>
                </c:pt>
                <c:pt idx="22">
                  <c:v>47111.835389934757</c:v>
                </c:pt>
                <c:pt idx="23">
                  <c:v>49160.176059062353</c:v>
                </c:pt>
                <c:pt idx="24">
                  <c:v>51208.516728189948</c:v>
                </c:pt>
                <c:pt idx="25">
                  <c:v>53256.857397317544</c:v>
                </c:pt>
                <c:pt idx="26">
                  <c:v>55305.19806644514</c:v>
                </c:pt>
                <c:pt idx="27">
                  <c:v>57353.538735572736</c:v>
                </c:pt>
                <c:pt idx="28">
                  <c:v>59401.879404700332</c:v>
                </c:pt>
                <c:pt idx="29">
                  <c:v>61450.220073827928</c:v>
                </c:pt>
                <c:pt idx="30">
                  <c:v>63498.560742955524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F4-4A6A-B8DD-54CF7078CCD8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7-4F48-8B6E-60C498FD1553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31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F4-4A6A-B8DD-54CF7078C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6408.54</c:v>
                </c:pt>
                <c:pt idx="11">
                  <c:v>6408.54</c:v>
                </c:pt>
                <c:pt idx="12">
                  <c:v>6408.54</c:v>
                </c:pt>
                <c:pt idx="13">
                  <c:v>6408.54</c:v>
                </c:pt>
                <c:pt idx="14">
                  <c:v>6408.54</c:v>
                </c:pt>
                <c:pt idx="15">
                  <c:v>17700.900000000001</c:v>
                </c:pt>
                <c:pt idx="16">
                  <c:v>17700.900000000001</c:v>
                </c:pt>
                <c:pt idx="17">
                  <c:v>20524.530000000002</c:v>
                </c:pt>
                <c:pt idx="18">
                  <c:v>20524.530000000002</c:v>
                </c:pt>
                <c:pt idx="19">
                  <c:v>20524.530000000002</c:v>
                </c:pt>
                <c:pt idx="20">
                  <c:v>31141.97</c:v>
                </c:pt>
                <c:pt idx="21">
                  <c:v>40631.380000000005</c:v>
                </c:pt>
                <c:pt idx="22">
                  <c:v>40631.380000000005</c:v>
                </c:pt>
                <c:pt idx="23">
                  <c:v>40631.380000000005</c:v>
                </c:pt>
                <c:pt idx="24">
                  <c:v>45406.98</c:v>
                </c:pt>
                <c:pt idx="25">
                  <c:v>52241.350000000006</c:v>
                </c:pt>
                <c:pt idx="26">
                  <c:v>62310.98</c:v>
                </c:pt>
                <c:pt idx="27">
                  <c:v>69368.160000000003</c:v>
                </c:pt>
                <c:pt idx="28">
                  <c:v>69368.160000000003</c:v>
                </c:pt>
                <c:pt idx="29">
                  <c:v>77585.84</c:v>
                </c:pt>
                <c:pt idx="30">
                  <c:v>87346.709999999992</c:v>
                </c:pt>
                <c:pt idx="31">
                  <c:v>80640.425090909092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2"/>
                <c:pt idx="0">
                  <c:v>2688.0141696969699</c:v>
                </c:pt>
                <c:pt idx="1">
                  <c:v>5376.0283393939399</c:v>
                </c:pt>
                <c:pt idx="2">
                  <c:v>8064.0425090909102</c:v>
                </c:pt>
                <c:pt idx="3">
                  <c:v>10752.05667878788</c:v>
                </c:pt>
                <c:pt idx="4">
                  <c:v>13440.070848484849</c:v>
                </c:pt>
                <c:pt idx="5">
                  <c:v>16128.085018181819</c:v>
                </c:pt>
                <c:pt idx="6">
                  <c:v>18816.09918787879</c:v>
                </c:pt>
                <c:pt idx="7">
                  <c:v>21504.113357575759</c:v>
                </c:pt>
                <c:pt idx="8">
                  <c:v>24192.127527272729</c:v>
                </c:pt>
                <c:pt idx="9">
                  <c:v>26880.141696969698</c:v>
                </c:pt>
                <c:pt idx="10">
                  <c:v>29568.155866666668</c:v>
                </c:pt>
                <c:pt idx="11">
                  <c:v>32256.170036363637</c:v>
                </c:pt>
                <c:pt idx="12">
                  <c:v>34944.184206060607</c:v>
                </c:pt>
                <c:pt idx="13">
                  <c:v>37632.19837575758</c:v>
                </c:pt>
                <c:pt idx="14">
                  <c:v>40320.212545454553</c:v>
                </c:pt>
                <c:pt idx="15">
                  <c:v>43008.226715151526</c:v>
                </c:pt>
                <c:pt idx="16">
                  <c:v>45696.240884848499</c:v>
                </c:pt>
                <c:pt idx="17">
                  <c:v>48384.255054545472</c:v>
                </c:pt>
                <c:pt idx="18">
                  <c:v>51072.269224242445</c:v>
                </c:pt>
                <c:pt idx="19">
                  <c:v>53760.283393939419</c:v>
                </c:pt>
                <c:pt idx="20">
                  <c:v>56448.297563636392</c:v>
                </c:pt>
                <c:pt idx="21">
                  <c:v>59136.311733333365</c:v>
                </c:pt>
                <c:pt idx="22">
                  <c:v>61824.325903030338</c:v>
                </c:pt>
                <c:pt idx="23">
                  <c:v>64512.340072727311</c:v>
                </c:pt>
                <c:pt idx="24">
                  <c:v>67200.354242424277</c:v>
                </c:pt>
                <c:pt idx="25">
                  <c:v>69888.368412121243</c:v>
                </c:pt>
                <c:pt idx="26">
                  <c:v>72576.382581818209</c:v>
                </c:pt>
                <c:pt idx="27">
                  <c:v>75264.396751515174</c:v>
                </c:pt>
                <c:pt idx="28">
                  <c:v>77952.41092121214</c:v>
                </c:pt>
                <c:pt idx="29">
                  <c:v>80640.425090909106</c:v>
                </c:pt>
                <c:pt idx="30">
                  <c:v>83328.439260606072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81,7%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0.81689696049404137</c:v>
                </c:pt>
                <c:pt idx="1">
                  <c:v>0.18310303950595863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108,3%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1.0831628169312184</c:v>
                </c:pt>
                <c:pt idx="1">
                  <c:v>-8.3162816931218408E-2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34802.148240000002</c:v>
                </c:pt>
                <c:pt idx="6">
                  <c:v>31546.400000000001</c:v>
                </c:pt>
                <c:pt idx="7">
                  <c:v>0</c:v>
                </c:pt>
                <c:pt idx="8">
                  <c:v>26823.610999999997</c:v>
                </c:pt>
                <c:pt idx="9">
                  <c:v>35528.046999999999</c:v>
                </c:pt>
                <c:pt idx="10">
                  <c:v>29632.170999999998</c:v>
                </c:pt>
                <c:pt idx="11">
                  <c:v>63651.398999999998</c:v>
                </c:pt>
                <c:pt idx="12">
                  <c:v>31306.275000000001</c:v>
                </c:pt>
                <c:pt idx="13">
                  <c:v>26572.255999999998</c:v>
                </c:pt>
                <c:pt idx="14">
                  <c:v>31194.997000000003</c:v>
                </c:pt>
                <c:pt idx="15">
                  <c:v>33140.273999999998</c:v>
                </c:pt>
                <c:pt idx="16">
                  <c:v>43699.111000000004</c:v>
                </c:pt>
                <c:pt idx="17">
                  <c:v>25723.840000000004</c:v>
                </c:pt>
                <c:pt idx="18">
                  <c:v>12020.26</c:v>
                </c:pt>
                <c:pt idx="19">
                  <c:v>34779.29</c:v>
                </c:pt>
                <c:pt idx="20">
                  <c:v>39213.689999999995</c:v>
                </c:pt>
                <c:pt idx="21">
                  <c:v>67469.538</c:v>
                </c:pt>
                <c:pt idx="22">
                  <c:v>35878.768224810912</c:v>
                </c:pt>
                <c:pt idx="23">
                  <c:v>35878.768224810912</c:v>
                </c:pt>
                <c:pt idx="24">
                  <c:v>35878.768224810912</c:v>
                </c:pt>
                <c:pt idx="25">
                  <c:v>35878.768224810912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1818.52</c:v>
                      </c:pt>
                      <c:pt idx="18">
                        <c:v>8088.54</c:v>
                      </c:pt>
                      <c:pt idx="19">
                        <c:v>14026.48</c:v>
                      </c:pt>
                      <c:pt idx="20">
                        <c:v>11594.61</c:v>
                      </c:pt>
                      <c:pt idx="21">
                        <c:v>15091.347999999998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22117.440000000002</c:v>
                      </c:pt>
                      <c:pt idx="18">
                        <c:v>0</c:v>
                      </c:pt>
                      <c:pt idx="19">
                        <c:v>17700.900000000001</c:v>
                      </c:pt>
                      <c:pt idx="20">
                        <c:v>22930.48</c:v>
                      </c:pt>
                      <c:pt idx="21">
                        <c:v>46715.33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10104.70824</c:v>
                </c:pt>
                <c:pt idx="6">
                  <c:v>8008.23</c:v>
                </c:pt>
                <c:pt idx="8">
                  <c:v>7140.2709999999997</c:v>
                </c:pt>
                <c:pt idx="9">
                  <c:v>11542.277000000002</c:v>
                </c:pt>
                <c:pt idx="10">
                  <c:v>13035.490999999998</c:v>
                </c:pt>
                <c:pt idx="11">
                  <c:v>27007.339000000004</c:v>
                </c:pt>
                <c:pt idx="12">
                  <c:v>11778.205</c:v>
                </c:pt>
                <c:pt idx="13">
                  <c:v>22762.335999999999</c:v>
                </c:pt>
                <c:pt idx="14">
                  <c:v>17336.537000000004</c:v>
                </c:pt>
                <c:pt idx="15">
                  <c:v>15762.483999999999</c:v>
                </c:pt>
                <c:pt idx="16">
                  <c:v>17525.481</c:v>
                </c:pt>
                <c:pt idx="17">
                  <c:v>1818.52</c:v>
                </c:pt>
                <c:pt idx="18">
                  <c:v>8088.54</c:v>
                </c:pt>
                <c:pt idx="19">
                  <c:v>14026.48</c:v>
                </c:pt>
                <c:pt idx="20">
                  <c:v>11594.61</c:v>
                </c:pt>
                <c:pt idx="21">
                  <c:v>15091.347999999998</c:v>
                </c:pt>
                <c:pt idx="22">
                  <c:v>14621.455952083637</c:v>
                </c:pt>
                <c:pt idx="23">
                  <c:v>14621.455952083637</c:v>
                </c:pt>
                <c:pt idx="24">
                  <c:v>14621.455952083637</c:v>
                </c:pt>
                <c:pt idx="25">
                  <c:v>14621.455952083637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22117.440000000002</c:v>
                      </c:pt>
                      <c:pt idx="18">
                        <c:v>0</c:v>
                      </c:pt>
                      <c:pt idx="19">
                        <c:v>17700.900000000001</c:v>
                      </c:pt>
                      <c:pt idx="20">
                        <c:v>22930.48</c:v>
                      </c:pt>
                      <c:pt idx="21">
                        <c:v>46715.33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25723.840000000004</c:v>
                      </c:pt>
                      <c:pt idx="18">
                        <c:v>12020.26</c:v>
                      </c:pt>
                      <c:pt idx="19">
                        <c:v>34779.29</c:v>
                      </c:pt>
                      <c:pt idx="20">
                        <c:v>39213.689999999995</c:v>
                      </c:pt>
                      <c:pt idx="21">
                        <c:v>67469.538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21434.21</c:v>
                </c:pt>
                <c:pt idx="6">
                  <c:v>18311.300000000003</c:v>
                </c:pt>
                <c:pt idx="8">
                  <c:v>17117.879999999997</c:v>
                </c:pt>
                <c:pt idx="9">
                  <c:v>20003.509999999998</c:v>
                </c:pt>
                <c:pt idx="10">
                  <c:v>11793.16</c:v>
                </c:pt>
                <c:pt idx="11">
                  <c:v>32591.71</c:v>
                </c:pt>
                <c:pt idx="12">
                  <c:v>15105.310000000001</c:v>
                </c:pt>
                <c:pt idx="13">
                  <c:v>1265.94</c:v>
                </c:pt>
                <c:pt idx="14">
                  <c:v>9610.82</c:v>
                </c:pt>
                <c:pt idx="15">
                  <c:v>12528.79</c:v>
                </c:pt>
                <c:pt idx="16">
                  <c:v>22919.9</c:v>
                </c:pt>
                <c:pt idx="17">
                  <c:v>22117.440000000002</c:v>
                </c:pt>
                <c:pt idx="18">
                  <c:v>0</c:v>
                </c:pt>
                <c:pt idx="19">
                  <c:v>17700.900000000001</c:v>
                </c:pt>
                <c:pt idx="20">
                  <c:v>22930.48</c:v>
                </c:pt>
                <c:pt idx="21">
                  <c:v>46715.33</c:v>
                </c:pt>
                <c:pt idx="22">
                  <c:v>21173.506022727273</c:v>
                </c:pt>
                <c:pt idx="23">
                  <c:v>21173.506022727273</c:v>
                </c:pt>
                <c:pt idx="24">
                  <c:v>21173.506022727273</c:v>
                </c:pt>
                <c:pt idx="25">
                  <c:v>21173.506022727273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1818.52</c:v>
                      </c:pt>
                      <c:pt idx="18">
                        <c:v>8088.54</c:v>
                      </c:pt>
                      <c:pt idx="19">
                        <c:v>14026.48</c:v>
                      </c:pt>
                      <c:pt idx="20">
                        <c:v>11594.61</c:v>
                      </c:pt>
                      <c:pt idx="21">
                        <c:v>15091.347999999998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1787.88</c:v>
                      </c:pt>
                      <c:pt idx="18">
                        <c:v>3931.7200000000003</c:v>
                      </c:pt>
                      <c:pt idx="19">
                        <c:v>3051.91</c:v>
                      </c:pt>
                      <c:pt idx="20">
                        <c:v>4688.6000000000004</c:v>
                      </c:pt>
                      <c:pt idx="21">
                        <c:v>5662.86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25723.840000000004</c:v>
                      </c:pt>
                      <c:pt idx="18">
                        <c:v>12020.26</c:v>
                      </c:pt>
                      <c:pt idx="19">
                        <c:v>34779.29</c:v>
                      </c:pt>
                      <c:pt idx="20">
                        <c:v>39213.689999999995</c:v>
                      </c:pt>
                      <c:pt idx="21">
                        <c:v>67469.538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141131.71824000002</c:v>
                </c:pt>
                <c:pt idx="6">
                  <c:v>172678.11824000001</c:v>
                </c:pt>
                <c:pt idx="7">
                  <c:v>172678.11824000001</c:v>
                </c:pt>
                <c:pt idx="8">
                  <c:v>199501.72924000002</c:v>
                </c:pt>
                <c:pt idx="9">
                  <c:v>235029.77624000001</c:v>
                </c:pt>
                <c:pt idx="10">
                  <c:v>264661.94724000001</c:v>
                </c:pt>
                <c:pt idx="11">
                  <c:v>328313.34623999998</c:v>
                </c:pt>
                <c:pt idx="12">
                  <c:v>359619.62124000001</c:v>
                </c:pt>
                <c:pt idx="13">
                  <c:v>386191.87724</c:v>
                </c:pt>
                <c:pt idx="14">
                  <c:v>417386.87424000003</c:v>
                </c:pt>
                <c:pt idx="15">
                  <c:v>450527.14824000001</c:v>
                </c:pt>
                <c:pt idx="16">
                  <c:v>494226.25924000004</c:v>
                </c:pt>
                <c:pt idx="17">
                  <c:v>519950.09924000007</c:v>
                </c:pt>
                <c:pt idx="18">
                  <c:v>531970.35924000002</c:v>
                </c:pt>
                <c:pt idx="19">
                  <c:v>566749.64924000006</c:v>
                </c:pt>
                <c:pt idx="20">
                  <c:v>605963.33924</c:v>
                </c:pt>
                <c:pt idx="21">
                  <c:v>673432.87724000006</c:v>
                </c:pt>
                <c:pt idx="22">
                  <c:v>709311.64546481101</c:v>
                </c:pt>
                <c:pt idx="23">
                  <c:v>745190.41368962196</c:v>
                </c:pt>
                <c:pt idx="24">
                  <c:v>781069.18191443291</c:v>
                </c:pt>
                <c:pt idx="25">
                  <c:v>816947.95013924385</c:v>
                </c:pt>
                <c:pt idx="26">
                  <c:v>845469.43791283586</c:v>
                </c:pt>
                <c:pt idx="27">
                  <c:v>873990.92568642786</c:v>
                </c:pt>
                <c:pt idx="28">
                  <c:v>902512.41346001986</c:v>
                </c:pt>
                <c:pt idx="29">
                  <c:v>931033.90123361186</c:v>
                </c:pt>
                <c:pt idx="30">
                  <c:v>959555.38900720386</c:v>
                </c:pt>
                <c:pt idx="31">
                  <c:v>994156.37725674</c:v>
                </c:pt>
                <c:pt idx="32">
                  <c:v>1028757.3655062761</c:v>
                </c:pt>
                <c:pt idx="33">
                  <c:v>1063358.3537558124</c:v>
                </c:pt>
                <c:pt idx="34">
                  <c:v>1097959.3420053485</c:v>
                </c:pt>
                <c:pt idx="35">
                  <c:v>1134309.3122609193</c:v>
                </c:pt>
                <c:pt idx="36">
                  <c:v>1170659.28251649</c:v>
                </c:pt>
                <c:pt idx="37">
                  <c:v>1207009.2527720607</c:v>
                </c:pt>
                <c:pt idx="38">
                  <c:v>1243359.2230276314</c:v>
                </c:pt>
                <c:pt idx="39">
                  <c:v>1270381.6375722641</c:v>
                </c:pt>
                <c:pt idx="40">
                  <c:v>1297404.0521168967</c:v>
                </c:pt>
                <c:pt idx="41">
                  <c:v>1324426.4666615294</c:v>
                </c:pt>
                <c:pt idx="42">
                  <c:v>1351448.881206162</c:v>
                </c:pt>
                <c:pt idx="43">
                  <c:v>1378471.2957507947</c:v>
                </c:pt>
                <c:pt idx="44">
                  <c:v>1414255.0541305013</c:v>
                </c:pt>
                <c:pt idx="45">
                  <c:v>1450038.812510208</c:v>
                </c:pt>
                <c:pt idx="46">
                  <c:v>1485822.5708899146</c:v>
                </c:pt>
                <c:pt idx="47">
                  <c:v>1521606.3292696213</c:v>
                </c:pt>
                <c:pt idx="48">
                  <c:v>1557751.1063011643</c:v>
                </c:pt>
                <c:pt idx="49">
                  <c:v>1593895.8833327072</c:v>
                </c:pt>
                <c:pt idx="50">
                  <c:v>1630040.6603642502</c:v>
                </c:pt>
                <c:pt idx="51">
                  <c:v>1666185.4373957932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99,5%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0.99502294554051629</c:v>
                </c:pt>
                <c:pt idx="1">
                  <c:v>4.9770544594837096E-3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4676.7440000000006</c:v>
                </c:pt>
                <c:pt idx="6">
                  <c:v>5744.9240000000009</c:v>
                </c:pt>
                <c:pt idx="7">
                  <c:v>5744.9240000000009</c:v>
                </c:pt>
                <c:pt idx="8">
                  <c:v>6679.764000000001</c:v>
                </c:pt>
                <c:pt idx="9">
                  <c:v>7879.063000000001</c:v>
                </c:pt>
                <c:pt idx="10">
                  <c:v>8954.5250000000015</c:v>
                </c:pt>
                <c:pt idx="11">
                  <c:v>11203.277000000002</c:v>
                </c:pt>
                <c:pt idx="12">
                  <c:v>12248.729000000001</c:v>
                </c:pt>
                <c:pt idx="13">
                  <c:v>13146.203000000001</c:v>
                </c:pt>
                <c:pt idx="14">
                  <c:v>14215.367000000002</c:v>
                </c:pt>
                <c:pt idx="15">
                  <c:v>15276.176000000001</c:v>
                </c:pt>
                <c:pt idx="16">
                  <c:v>16723.88</c:v>
                </c:pt>
                <c:pt idx="17">
                  <c:v>17574.331000000002</c:v>
                </c:pt>
                <c:pt idx="18">
                  <c:v>17940.681</c:v>
                </c:pt>
                <c:pt idx="19">
                  <c:v>19047.931</c:v>
                </c:pt>
                <c:pt idx="20">
                  <c:v>20456.079000000002</c:v>
                </c:pt>
                <c:pt idx="21">
                  <c:v>22506.481</c:v>
                </c:pt>
                <c:pt idx="22">
                  <c:v>23679.4690455569</c:v>
                </c:pt>
                <c:pt idx="23">
                  <c:v>24852.4570911138</c:v>
                </c:pt>
                <c:pt idx="24">
                  <c:v>26025.4451366707</c:v>
                </c:pt>
                <c:pt idx="25">
                  <c:v>27198.4331822276</c:v>
                </c:pt>
                <c:pt idx="26">
                  <c:v>28136.317685622253</c:v>
                </c:pt>
                <c:pt idx="27">
                  <c:v>29074.202189016905</c:v>
                </c:pt>
                <c:pt idx="28">
                  <c:v>30012.086692411558</c:v>
                </c:pt>
                <c:pt idx="29">
                  <c:v>30949.971195806211</c:v>
                </c:pt>
                <c:pt idx="30">
                  <c:v>31887.855699200863</c:v>
                </c:pt>
                <c:pt idx="31">
                  <c:v>33028.568073928051</c:v>
                </c:pt>
                <c:pt idx="32">
                  <c:v>34169.280448655234</c:v>
                </c:pt>
                <c:pt idx="33">
                  <c:v>35309.992823382418</c:v>
                </c:pt>
                <c:pt idx="34">
                  <c:v>36450.705198109601</c:v>
                </c:pt>
                <c:pt idx="35">
                  <c:v>37644.360973581825</c:v>
                </c:pt>
                <c:pt idx="36">
                  <c:v>38838.016749054048</c:v>
                </c:pt>
                <c:pt idx="37">
                  <c:v>40031.672524526271</c:v>
                </c:pt>
                <c:pt idx="38">
                  <c:v>41225.328299998495</c:v>
                </c:pt>
                <c:pt idx="39">
                  <c:v>42119.053559484208</c:v>
                </c:pt>
                <c:pt idx="40">
                  <c:v>43012.77881896992</c:v>
                </c:pt>
                <c:pt idx="41">
                  <c:v>43906.504078455633</c:v>
                </c:pt>
                <c:pt idx="42">
                  <c:v>44800.229337941346</c:v>
                </c:pt>
                <c:pt idx="43">
                  <c:v>45693.954597427059</c:v>
                </c:pt>
                <c:pt idx="44">
                  <c:v>46874.015378515673</c:v>
                </c:pt>
                <c:pt idx="45">
                  <c:v>48054.076159604287</c:v>
                </c:pt>
                <c:pt idx="46">
                  <c:v>49234.136940692901</c:v>
                </c:pt>
                <c:pt idx="47">
                  <c:v>50414.197721781515</c:v>
                </c:pt>
                <c:pt idx="48">
                  <c:v>51610.327826424022</c:v>
                </c:pt>
                <c:pt idx="49">
                  <c:v>52806.457931066529</c:v>
                </c:pt>
                <c:pt idx="50">
                  <c:v>54002.588035709035</c:v>
                </c:pt>
                <c:pt idx="51">
                  <c:v>55198.718140351542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100,4%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1.0036130570573984</c:v>
                </c:pt>
                <c:pt idx="1">
                  <c:v>-3.61305705739845E-3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93172.171999999991</c:v>
                </c:pt>
                <c:pt idx="2">
                  <c:v>165161.84399999995</c:v>
                </c:pt>
                <c:pt idx="3">
                  <c:v>153538.13600000003</c:v>
                </c:pt>
                <c:pt idx="4">
                  <c:v>155231.16799999998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3166.7799999999997</c:v>
                </c:pt>
                <c:pt idx="2">
                  <c:v>5734.2379999999994</c:v>
                </c:pt>
                <c:pt idx="3">
                  <c:v>5105.3289999999997</c:v>
                </c:pt>
                <c:pt idx="4">
                  <c:v>4987.1499999999996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22506.476999999999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  <c:pt idx="1">
                  <c:v>810.02999999999986</c:v>
                </c:pt>
                <c:pt idx="2">
                  <c:v>2361.0880000000002</c:v>
                </c:pt>
                <c:pt idx="3">
                  <c:v>2377.509</c:v>
                </c:pt>
                <c:pt idx="4">
                  <c:v>1585.2999999999997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  <c:pt idx="1">
                  <c:v>2026.35</c:v>
                </c:pt>
                <c:pt idx="2">
                  <c:v>2813</c:v>
                </c:pt>
                <c:pt idx="3">
                  <c:v>2261</c:v>
                </c:pt>
                <c:pt idx="4">
                  <c:v>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8300.5969999999998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11875.35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673432.8899999999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  <c:pt idx="1">
                  <c:v>25253.222000000002</c:v>
                </c:pt>
                <c:pt idx="2">
                  <c:v>66434.883999999991</c:v>
                </c:pt>
                <c:pt idx="3">
                  <c:v>70736.266000000003</c:v>
                </c:pt>
                <c:pt idx="4">
                  <c:v>50198.498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  <c:pt idx="1">
                  <c:v>56863.39</c:v>
                </c:pt>
                <c:pt idx="2">
                  <c:v>80759.629999999976</c:v>
                </c:pt>
                <c:pt idx="3">
                  <c:v>67176.95</c:v>
                </c:pt>
                <c:pt idx="4">
                  <c:v>87346.709999999992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250735.93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345618.77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129801.166</c:v>
                </c:pt>
                <c:pt idx="1">
                  <c:v>120934.764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191095.11</c:v>
                </c:pt>
                <c:pt idx="1">
                  <c:v>154523.65999999997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308769.304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673432.8899999999</c:v>
                </c:pt>
                <c:pt idx="2">
                  <c:v>673432.8899999999</c:v>
                </c:pt>
                <c:pt idx="3">
                  <c:v>673432.8899999999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250735.93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345618.76999999996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673432.8899999999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8300.5969999999998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11875.35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22506.476999999999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48220</xdr:rowOff>
    </xdr:from>
    <xdr:to>
      <xdr:col>15</xdr:col>
      <xdr:colOff>5016</xdr:colOff>
      <xdr:row>90</xdr:row>
      <xdr:rowOff>196225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0" y="3913783"/>
          <a:ext cx="11490579" cy="9442817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24344</xdr:colOff>
      <xdr:row>43</xdr:row>
      <xdr:rowOff>137977</xdr:rowOff>
    </xdr:from>
    <xdr:to>
      <xdr:col>3</xdr:col>
      <xdr:colOff>21988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87844" y="3844790"/>
          <a:ext cx="4942707" cy="718330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0" zoomScaleNormal="80" workbookViewId="0">
      <pane xSplit="3" ySplit="4" topLeftCell="V5" activePane="bottomRight" state="frozen"/>
      <selection pane="topRight" activeCell="D1" sqref="D1"/>
      <selection pane="bottomLeft" activeCell="A5" sqref="A5"/>
      <selection pane="bottomRight" activeCell="AJ44" sqref="AJ44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4" width="8.81640625" style="50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46173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4747.5290054912357</v>
      </c>
      <c r="E2" s="22">
        <f t="shared" ref="E2:AH2" si="0">D2+$AI$10/$AI$1</f>
        <v>9495.0580109824714</v>
      </c>
      <c r="F2" s="22">
        <f t="shared" si="0"/>
        <v>14242.587016473706</v>
      </c>
      <c r="G2" s="22">
        <f t="shared" si="0"/>
        <v>18990.116021964943</v>
      </c>
      <c r="H2" s="22">
        <f t="shared" si="0"/>
        <v>23737.645027456179</v>
      </c>
      <c r="I2" s="22">
        <f t="shared" si="0"/>
        <v>28485.174032947416</v>
      </c>
      <c r="J2" s="22">
        <f t="shared" si="0"/>
        <v>33232.703038438653</v>
      </c>
      <c r="K2" s="22">
        <f t="shared" si="0"/>
        <v>37980.232043929886</v>
      </c>
      <c r="L2" s="22">
        <f t="shared" si="0"/>
        <v>42727.761049421119</v>
      </c>
      <c r="M2" s="22">
        <f t="shared" si="0"/>
        <v>47475.290054912351</v>
      </c>
      <c r="N2" s="22">
        <f t="shared" si="0"/>
        <v>52222.819060403584</v>
      </c>
      <c r="O2" s="22">
        <f t="shared" si="0"/>
        <v>56970.348065894817</v>
      </c>
      <c r="P2" s="22">
        <f t="shared" si="0"/>
        <v>61717.87707138605</v>
      </c>
      <c r="Q2" s="22">
        <f t="shared" si="0"/>
        <v>66465.406076877291</v>
      </c>
      <c r="R2" s="22">
        <f t="shared" si="0"/>
        <v>71212.935082368524</v>
      </c>
      <c r="S2" s="22">
        <f t="shared" si="0"/>
        <v>75960.464087859757</v>
      </c>
      <c r="T2" s="22">
        <f t="shared" si="0"/>
        <v>80707.99309335099</v>
      </c>
      <c r="U2" s="22">
        <f t="shared" si="0"/>
        <v>85455.522098842222</v>
      </c>
      <c r="V2" s="22">
        <f t="shared" si="0"/>
        <v>90203.051104333455</v>
      </c>
      <c r="W2" s="22">
        <f t="shared" si="0"/>
        <v>94950.580109824688</v>
      </c>
      <c r="X2" s="22">
        <f t="shared" si="0"/>
        <v>99698.109115315921</v>
      </c>
      <c r="Y2" s="22">
        <f t="shared" si="0"/>
        <v>104445.63812080715</v>
      </c>
      <c r="Z2" s="22">
        <f t="shared" si="0"/>
        <v>109193.16712629839</v>
      </c>
      <c r="AA2" s="22">
        <f t="shared" si="0"/>
        <v>113940.69613178962</v>
      </c>
      <c r="AB2" s="22">
        <f t="shared" si="0"/>
        <v>118688.22513728085</v>
      </c>
      <c r="AC2" s="22">
        <f t="shared" si="0"/>
        <v>123435.75414277209</v>
      </c>
      <c r="AD2" s="22">
        <f t="shared" si="0"/>
        <v>128183.28314826332</v>
      </c>
      <c r="AE2" s="22">
        <f t="shared" si="0"/>
        <v>132930.81215375455</v>
      </c>
      <c r="AF2" s="22">
        <f t="shared" si="0"/>
        <v>137678.34115924579</v>
      </c>
      <c r="AG2" s="22">
        <f t="shared" si="0"/>
        <v>142425.87016473702</v>
      </c>
      <c r="AH2" s="22">
        <f t="shared" si="0"/>
        <v>147173.39917022825</v>
      </c>
      <c r="AI2" s="22">
        <f>AH2</f>
        <v>147173.39917022825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31/05/2026</v>
      </c>
      <c r="D3" s="22">
        <f t="shared" ref="D3:AH3" si="1">$AI$2/($AI$1)</f>
        <v>4905.7799723409416</v>
      </c>
      <c r="E3" s="22">
        <f t="shared" si="1"/>
        <v>4905.7799723409416</v>
      </c>
      <c r="F3" s="22">
        <f t="shared" si="1"/>
        <v>4905.7799723409416</v>
      </c>
      <c r="G3" s="22">
        <f t="shared" si="1"/>
        <v>4905.7799723409416</v>
      </c>
      <c r="H3" s="22">
        <f t="shared" si="1"/>
        <v>4905.7799723409416</v>
      </c>
      <c r="I3" s="22">
        <f t="shared" si="1"/>
        <v>4905.7799723409416</v>
      </c>
      <c r="J3" s="22">
        <f t="shared" si="1"/>
        <v>4905.7799723409416</v>
      </c>
      <c r="K3" s="22">
        <f t="shared" si="1"/>
        <v>4905.7799723409416</v>
      </c>
      <c r="L3" s="22">
        <f t="shared" si="1"/>
        <v>4905.7799723409416</v>
      </c>
      <c r="M3" s="22">
        <f t="shared" si="1"/>
        <v>4905.7799723409416</v>
      </c>
      <c r="N3" s="22">
        <f t="shared" si="1"/>
        <v>4905.7799723409416</v>
      </c>
      <c r="O3" s="22">
        <f t="shared" si="1"/>
        <v>4905.7799723409416</v>
      </c>
      <c r="P3" s="22">
        <f t="shared" si="1"/>
        <v>4905.7799723409416</v>
      </c>
      <c r="Q3" s="22">
        <f t="shared" si="1"/>
        <v>4905.7799723409416</v>
      </c>
      <c r="R3" s="22">
        <f t="shared" si="1"/>
        <v>4905.7799723409416</v>
      </c>
      <c r="S3" s="22">
        <f t="shared" si="1"/>
        <v>4905.7799723409416</v>
      </c>
      <c r="T3" s="22">
        <f t="shared" si="1"/>
        <v>4905.7799723409416</v>
      </c>
      <c r="U3" s="22">
        <f t="shared" si="1"/>
        <v>4905.7799723409416</v>
      </c>
      <c r="V3" s="22">
        <f t="shared" si="1"/>
        <v>4905.7799723409416</v>
      </c>
      <c r="W3" s="22">
        <f t="shared" si="1"/>
        <v>4905.7799723409416</v>
      </c>
      <c r="X3" s="22">
        <f t="shared" si="1"/>
        <v>4905.7799723409416</v>
      </c>
      <c r="Y3" s="22">
        <f t="shared" si="1"/>
        <v>4905.7799723409416</v>
      </c>
      <c r="Z3" s="22">
        <f t="shared" si="1"/>
        <v>4905.7799723409416</v>
      </c>
      <c r="AA3" s="22">
        <f t="shared" si="1"/>
        <v>4905.7799723409416</v>
      </c>
      <c r="AB3" s="22">
        <f t="shared" si="1"/>
        <v>4905.7799723409416</v>
      </c>
      <c r="AC3" s="22">
        <f t="shared" si="1"/>
        <v>4905.7799723409416</v>
      </c>
      <c r="AD3" s="22">
        <f>$AI$2/($AI$1)</f>
        <v>4905.7799723409416</v>
      </c>
      <c r="AE3" s="22">
        <f t="shared" si="1"/>
        <v>4905.7799723409416</v>
      </c>
      <c r="AF3" s="22">
        <f t="shared" si="1"/>
        <v>4905.7799723409416</v>
      </c>
      <c r="AG3" s="22">
        <f t="shared" si="1"/>
        <v>4905.7799723409416</v>
      </c>
      <c r="AH3" s="22">
        <f t="shared" si="1"/>
        <v>4905.7799723409416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143">
        <v>29</v>
      </c>
      <c r="AG4" s="143">
        <v>30</v>
      </c>
      <c r="AH4" s="143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0</v>
      </c>
      <c r="E5" s="42">
        <f t="shared" ref="E5:G5" si="2">SUM(E6:E8)</f>
        <v>1748.3899999999999</v>
      </c>
      <c r="F5" s="42">
        <f t="shared" si="2"/>
        <v>0</v>
      </c>
      <c r="G5" s="42">
        <f t="shared" si="2"/>
        <v>3233.81</v>
      </c>
      <c r="H5" s="42">
        <f t="shared" ref="H5" si="3">SUM(H6:H8)</f>
        <v>1271.17</v>
      </c>
      <c r="I5" s="42">
        <f t="shared" ref="I5" si="4">SUM(I6:I8)</f>
        <v>1097.8</v>
      </c>
      <c r="J5" s="42">
        <f t="shared" ref="J5" si="5">SUM(J6:J8)</f>
        <v>1991.26</v>
      </c>
      <c r="K5" s="42">
        <f t="shared" ref="K5" si="6">SUM(K6:K8)</f>
        <v>2694.17</v>
      </c>
      <c r="L5" s="42">
        <f t="shared" ref="L5" si="7">SUM(L6:L8)</f>
        <v>1732.05</v>
      </c>
      <c r="M5" s="42">
        <f t="shared" ref="M5" si="8">SUM(M6:M8)</f>
        <v>0</v>
      </c>
      <c r="N5" s="42">
        <f t="shared" ref="N5" si="9">SUM(N6:N8)</f>
        <v>7974</v>
      </c>
      <c r="O5" s="42">
        <f t="shared" ref="O5" si="10">SUM(O6:O8)</f>
        <v>2903.0299999999997</v>
      </c>
      <c r="P5" s="42">
        <f t="shared" ref="P5" si="11">SUM(P6:P8)</f>
        <v>2196.7799999999997</v>
      </c>
      <c r="Q5" s="42">
        <f t="shared" ref="Q5" si="12">SUM(Q6:Q8)</f>
        <v>4193.3100000000004</v>
      </c>
      <c r="R5" s="42">
        <f t="shared" ref="R5:Z5" si="13">SUM(R6:R8)</f>
        <v>2454.25</v>
      </c>
      <c r="S5" s="42">
        <f t="shared" si="13"/>
        <v>15057.920000000002</v>
      </c>
      <c r="T5" s="42">
        <f t="shared" si="13"/>
        <v>0</v>
      </c>
      <c r="U5" s="42">
        <f t="shared" si="13"/>
        <v>6727.25</v>
      </c>
      <c r="V5" s="42">
        <f t="shared" si="13"/>
        <v>1084.33</v>
      </c>
      <c r="W5" s="42">
        <f t="shared" si="13"/>
        <v>2654.3979999999997</v>
      </c>
      <c r="X5" s="42">
        <f t="shared" si="13"/>
        <v>12335.722</v>
      </c>
      <c r="Y5" s="42">
        <f t="shared" si="13"/>
        <v>11465.58</v>
      </c>
      <c r="Z5" s="42">
        <f t="shared" si="13"/>
        <v>4946.41</v>
      </c>
      <c r="AA5" s="42">
        <f t="shared" ref="AA5" si="14">SUM(AA6:AA8)</f>
        <v>0</v>
      </c>
      <c r="AB5" s="42">
        <f t="shared" ref="AB5:AE5" si="15">SUM(AB6:AB8)</f>
        <v>8524.9</v>
      </c>
      <c r="AC5" s="42">
        <f t="shared" si="15"/>
        <v>10587.07</v>
      </c>
      <c r="AD5" s="42">
        <f t="shared" si="15"/>
        <v>14134.259999999998</v>
      </c>
      <c r="AE5" s="42">
        <f t="shared" si="15"/>
        <v>11567.68</v>
      </c>
      <c r="AF5" s="42">
        <f>SUM(AF6:AF8)</f>
        <v>1728.96</v>
      </c>
      <c r="AG5" s="42">
        <f>SUM(AG6:AG8)</f>
        <v>11165.798000000001</v>
      </c>
      <c r="AH5" s="42">
        <f>SUM(AH6:AH8)</f>
        <v>9760.8700000000008</v>
      </c>
      <c r="AI5" s="194">
        <f>SUM(D5:AH5)</f>
        <v>155231.16800000001</v>
      </c>
      <c r="AJ5" s="194">
        <f>AI5/DAY(C1)</f>
        <v>5007.4570322580648</v>
      </c>
      <c r="AK5" s="27"/>
      <c r="AL5" s="194">
        <f>AI25/AI1</f>
        <v>155.4478813060845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/>
      <c r="E6" s="38">
        <v>1397.52</v>
      </c>
      <c r="F6" s="39"/>
      <c r="G6" s="39">
        <f>3753.47-890</f>
        <v>2863.47</v>
      </c>
      <c r="H6" s="39">
        <v>696.94</v>
      </c>
      <c r="I6" s="39">
        <v>700.59</v>
      </c>
      <c r="J6" s="39">
        <v>1417.03</v>
      </c>
      <c r="K6" s="39">
        <f>1465.33-19.32</f>
        <v>1446.01</v>
      </c>
      <c r="L6" s="38">
        <v>964.5</v>
      </c>
      <c r="M6" s="38"/>
      <c r="N6" s="38">
        <v>832.87</v>
      </c>
      <c r="O6" s="38">
        <v>2124.91</v>
      </c>
      <c r="P6" s="38">
        <f>2439.15+24.2</f>
        <v>2463.35</v>
      </c>
      <c r="Q6" s="137">
        <v>3842.44</v>
      </c>
      <c r="R6" s="137">
        <v>1733.05</v>
      </c>
      <c r="S6" s="137">
        <v>3029.86</v>
      </c>
      <c r="T6" s="137"/>
      <c r="U6" s="137">
        <v>2812.08</v>
      </c>
      <c r="V6" s="137">
        <v>713.99</v>
      </c>
      <c r="W6" s="137">
        <f>2093.22+18.288</f>
        <v>2111.5079999999998</v>
      </c>
      <c r="X6" s="137">
        <f>2216.33-1504.928</f>
        <v>711.40199999999982</v>
      </c>
      <c r="Y6" s="137">
        <v>1235.5</v>
      </c>
      <c r="Z6" s="137">
        <v>4010.13</v>
      </c>
      <c r="AA6" s="38"/>
      <c r="AB6" s="137">
        <v>2476.81</v>
      </c>
      <c r="AC6" s="137">
        <v>3012.03</v>
      </c>
      <c r="AD6" s="137">
        <v>3479.22</v>
      </c>
      <c r="AE6" s="137">
        <f>3735.82-142.42</f>
        <v>3593.4</v>
      </c>
      <c r="AF6" s="137">
        <v>713.99</v>
      </c>
      <c r="AG6" s="137">
        <f>2089.61-273.712</f>
        <v>1815.8980000000001</v>
      </c>
      <c r="AH6" s="137"/>
      <c r="AI6" s="22">
        <f>SUM(D6:AH6)</f>
        <v>50198.498</v>
      </c>
      <c r="AO6" s="22"/>
    </row>
    <row r="7" spans="1:53" hidden="1" outlineLevel="1" x14ac:dyDescent="0.45">
      <c r="B7" s="14"/>
      <c r="C7" s="15" t="s">
        <v>4</v>
      </c>
      <c r="D7" s="38"/>
      <c r="E7" s="38"/>
      <c r="F7" s="39"/>
      <c r="G7" s="39"/>
      <c r="H7" s="39"/>
      <c r="I7" s="39"/>
      <c r="J7" s="39"/>
      <c r="K7" s="39"/>
      <c r="L7" s="38"/>
      <c r="M7" s="38"/>
      <c r="N7" s="38">
        <v>6408.54</v>
      </c>
      <c r="O7" s="38"/>
      <c r="P7" s="38"/>
      <c r="Q7" s="137"/>
      <c r="R7" s="137"/>
      <c r="S7" s="137">
        <v>11292.36</v>
      </c>
      <c r="T7" s="137"/>
      <c r="U7" s="137">
        <v>2823.63</v>
      </c>
      <c r="V7" s="137"/>
      <c r="W7" s="137"/>
      <c r="X7" s="137">
        <v>10617.44</v>
      </c>
      <c r="Y7" s="137">
        <v>9489.41</v>
      </c>
      <c r="Z7" s="137"/>
      <c r="AA7" s="38"/>
      <c r="AB7" s="137">
        <v>4775.6000000000004</v>
      </c>
      <c r="AC7" s="137">
        <v>6834.37</v>
      </c>
      <c r="AD7" s="137">
        <v>10069.629999999999</v>
      </c>
      <c r="AE7" s="137">
        <v>7057.18</v>
      </c>
      <c r="AF7" s="137"/>
      <c r="AG7" s="137">
        <v>8217.68</v>
      </c>
      <c r="AH7" s="137">
        <v>9760.8700000000008</v>
      </c>
      <c r="AI7" s="22">
        <f>SUM(D7:AH7)</f>
        <v>87346.709999999992</v>
      </c>
      <c r="AO7" s="22"/>
    </row>
    <row r="8" spans="1:53" hidden="1" outlineLevel="1" x14ac:dyDescent="0.45">
      <c r="B8" s="16"/>
      <c r="C8" s="28" t="s">
        <v>5</v>
      </c>
      <c r="D8" s="39"/>
      <c r="E8" s="39">
        <v>350.87</v>
      </c>
      <c r="F8" s="39"/>
      <c r="G8" s="39">
        <v>370.34</v>
      </c>
      <c r="H8" s="39">
        <v>574.23</v>
      </c>
      <c r="I8" s="39">
        <v>397.21</v>
      </c>
      <c r="J8" s="39">
        <v>574.23</v>
      </c>
      <c r="K8" s="39">
        <v>1248.1600000000001</v>
      </c>
      <c r="L8" s="38">
        <v>767.55</v>
      </c>
      <c r="M8" s="38"/>
      <c r="N8" s="38">
        <v>732.59</v>
      </c>
      <c r="O8" s="38">
        <v>778.12</v>
      </c>
      <c r="P8" s="38">
        <v>-266.57</v>
      </c>
      <c r="Q8" s="137">
        <v>350.87</v>
      </c>
      <c r="R8" s="137">
        <v>721.2</v>
      </c>
      <c r="S8" s="137">
        <v>735.7</v>
      </c>
      <c r="T8" s="137"/>
      <c r="U8" s="137">
        <v>1091.54</v>
      </c>
      <c r="V8" s="137">
        <v>370.34</v>
      </c>
      <c r="W8" s="137">
        <v>542.89</v>
      </c>
      <c r="X8" s="137">
        <v>1006.88</v>
      </c>
      <c r="Y8" s="137">
        <v>740.67</v>
      </c>
      <c r="Z8" s="137">
        <v>936.28</v>
      </c>
      <c r="AA8" s="38"/>
      <c r="AB8" s="137">
        <v>1272.49</v>
      </c>
      <c r="AC8" s="137">
        <v>740.67</v>
      </c>
      <c r="AD8" s="137">
        <v>585.41</v>
      </c>
      <c r="AE8" s="137">
        <v>917.1</v>
      </c>
      <c r="AF8" s="137">
        <v>1014.97</v>
      </c>
      <c r="AG8" s="137">
        <v>1132.22</v>
      </c>
      <c r="AH8" s="137"/>
      <c r="AI8" s="22">
        <f>SUM(D8:AH8)</f>
        <v>17685.960000000003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0</v>
      </c>
      <c r="E10" s="43">
        <f t="shared" si="16"/>
        <v>1748.3899999999999</v>
      </c>
      <c r="F10" s="43">
        <f t="shared" ref="F10" si="17">SUM(F11:F13)</f>
        <v>1748.3899999999999</v>
      </c>
      <c r="G10" s="43">
        <f t="shared" ref="G10:M10" si="18">SUM(G11:G13)</f>
        <v>4982.2</v>
      </c>
      <c r="H10" s="43">
        <f t="shared" si="18"/>
        <v>6253.3700000000008</v>
      </c>
      <c r="I10" s="43">
        <f t="shared" si="18"/>
        <v>7351.17</v>
      </c>
      <c r="J10" s="43">
        <f t="shared" si="18"/>
        <v>9342.43</v>
      </c>
      <c r="K10" s="43">
        <f t="shared" si="18"/>
        <v>12036.599999999999</v>
      </c>
      <c r="L10" s="43">
        <f t="shared" si="18"/>
        <v>13768.65</v>
      </c>
      <c r="M10" s="43">
        <f t="shared" si="18"/>
        <v>13768.65</v>
      </c>
      <c r="N10" s="43">
        <f t="shared" ref="N10:T10" si="19">SUM(N11:N13)</f>
        <v>21742.65</v>
      </c>
      <c r="O10" s="43">
        <f t="shared" si="19"/>
        <v>24645.68</v>
      </c>
      <c r="P10" s="43">
        <f t="shared" si="19"/>
        <v>26842.46</v>
      </c>
      <c r="Q10" s="43">
        <f t="shared" si="19"/>
        <v>31035.770000000004</v>
      </c>
      <c r="R10" s="43">
        <f t="shared" si="19"/>
        <v>33490.020000000004</v>
      </c>
      <c r="S10" s="43">
        <f t="shared" si="19"/>
        <v>48547.94</v>
      </c>
      <c r="T10" s="43">
        <f t="shared" si="19"/>
        <v>48547.94</v>
      </c>
      <c r="U10" s="43">
        <f t="shared" ref="U10:AA10" si="20">SUM(U11:U13)</f>
        <v>55275.19000000001</v>
      </c>
      <c r="V10" s="43">
        <f t="shared" si="20"/>
        <v>56359.520000000004</v>
      </c>
      <c r="W10" s="43">
        <f t="shared" si="20"/>
        <v>59013.918000000005</v>
      </c>
      <c r="X10" s="43">
        <f t="shared" si="20"/>
        <v>71349.64</v>
      </c>
      <c r="Y10" s="43">
        <f t="shared" si="20"/>
        <v>82815.22</v>
      </c>
      <c r="Z10" s="43">
        <f t="shared" si="20"/>
        <v>87761.63</v>
      </c>
      <c r="AA10" s="43">
        <f t="shared" si="20"/>
        <v>87761.63</v>
      </c>
      <c r="AB10" s="43">
        <f t="shared" ref="AB10:AH10" si="21">SUM(AB11:AB13)</f>
        <v>96286.53</v>
      </c>
      <c r="AC10" s="43">
        <f t="shared" si="21"/>
        <v>106873.59999999999</v>
      </c>
      <c r="AD10" s="43">
        <f t="shared" si="21"/>
        <v>121007.86</v>
      </c>
      <c r="AE10" s="43">
        <f t="shared" si="21"/>
        <v>132575.54</v>
      </c>
      <c r="AF10" s="43">
        <f t="shared" si="21"/>
        <v>134304.5</v>
      </c>
      <c r="AG10" s="43">
        <f t="shared" si="21"/>
        <v>145470.29799999998</v>
      </c>
      <c r="AH10" s="43">
        <f t="shared" si="21"/>
        <v>155231.16799999998</v>
      </c>
      <c r="AI10" s="206">
        <f t="shared" ref="AI10" si="22">SUM(AI11:AI13)</f>
        <v>142425.87016473708</v>
      </c>
      <c r="AJ10" s="22">
        <f>SUM(D5:AH5)</f>
        <v>155231.16800000001</v>
      </c>
      <c r="AK10" s="99">
        <f>AJ10/AI10</f>
        <v>1.0899085104444275</v>
      </c>
      <c r="AL10" s="195">
        <f>IF(100%-AK10&gt;0,100%-AK10,0)</f>
        <v>0</v>
      </c>
      <c r="AM10" s="22">
        <f>SUM(D6:AH6)</f>
        <v>50198.498</v>
      </c>
      <c r="AN10" s="99">
        <f>AM10/AI11</f>
        <v>0.81689696049404137</v>
      </c>
      <c r="AO10" s="99">
        <f>IF(100%-AN10&gt;0,100%-AN10,0)</f>
        <v>0.18310303950595863</v>
      </c>
      <c r="AP10" s="22"/>
      <c r="AQ10" s="99"/>
      <c r="AR10" s="99"/>
      <c r="AS10" s="22">
        <f>SUM(D7:AH7)</f>
        <v>87346.709999999992</v>
      </c>
      <c r="AT10" s="57">
        <f>AS10/AI12</f>
        <v>1.0831628169312184</v>
      </c>
      <c r="AU10" s="57">
        <f>1-AT10</f>
        <v>-8.3162816931218408E-2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0</v>
      </c>
      <c r="E11" s="38">
        <f>SUM($D6:E6)</f>
        <v>1397.52</v>
      </c>
      <c r="F11" s="38">
        <f>SUM($D6:F6)</f>
        <v>1397.52</v>
      </c>
      <c r="G11" s="38">
        <f>SUM($D6:G6)</f>
        <v>4260.99</v>
      </c>
      <c r="H11" s="38">
        <f>SUM($D6:H6)</f>
        <v>4957.93</v>
      </c>
      <c r="I11" s="38">
        <f>SUM($D6:I6)</f>
        <v>5658.52</v>
      </c>
      <c r="J11" s="38">
        <f>SUM($D6:J6)</f>
        <v>7075.55</v>
      </c>
      <c r="K11" s="38">
        <f>SUM($D6:K6)</f>
        <v>8521.56</v>
      </c>
      <c r="L11" s="38">
        <f>SUM($D6:L6)</f>
        <v>9486.06</v>
      </c>
      <c r="M11" s="38">
        <f>SUM($D6:M6)</f>
        <v>9486.06</v>
      </c>
      <c r="N11" s="38">
        <f>SUM($D6:N6)</f>
        <v>10318.93</v>
      </c>
      <c r="O11" s="38">
        <f>SUM($D6:O6)</f>
        <v>12443.84</v>
      </c>
      <c r="P11" s="38">
        <f>SUM($D6:P6)</f>
        <v>14907.19</v>
      </c>
      <c r="Q11" s="38">
        <f>SUM($D6:Q6)</f>
        <v>18749.63</v>
      </c>
      <c r="R11" s="38">
        <f>SUM($D6:R6)</f>
        <v>20482.68</v>
      </c>
      <c r="S11" s="38">
        <f>SUM($D6:S6)</f>
        <v>23512.54</v>
      </c>
      <c r="T11" s="38">
        <f>SUM($D6:T6)</f>
        <v>23512.54</v>
      </c>
      <c r="U11" s="38">
        <f>SUM($D6:U6)</f>
        <v>26324.620000000003</v>
      </c>
      <c r="V11" s="38">
        <f>SUM($D6:V6)</f>
        <v>27038.610000000004</v>
      </c>
      <c r="W11" s="38">
        <f>SUM($D6:W6)</f>
        <v>29150.118000000002</v>
      </c>
      <c r="X11" s="38">
        <f>SUM($D6:X6)</f>
        <v>29861.52</v>
      </c>
      <c r="Y11" s="38">
        <f>SUM($D6:Y6)</f>
        <v>31097.02</v>
      </c>
      <c r="Z11" s="38">
        <f>SUM($D6:Z6)</f>
        <v>35107.15</v>
      </c>
      <c r="AA11" s="38">
        <f>SUM($D6:AA6)</f>
        <v>35107.15</v>
      </c>
      <c r="AB11" s="38">
        <f>SUM($D6:AB6)</f>
        <v>37583.96</v>
      </c>
      <c r="AC11" s="38">
        <f>SUM($D6:AC6)</f>
        <v>40595.99</v>
      </c>
      <c r="AD11" s="38">
        <f>SUM($D6:AD6)</f>
        <v>44075.21</v>
      </c>
      <c r="AE11" s="38">
        <f>SUM($D6:AE6)</f>
        <v>47668.61</v>
      </c>
      <c r="AF11" s="38">
        <f>SUM($D6:AF6)</f>
        <v>48382.6</v>
      </c>
      <c r="AG11" s="38">
        <f>SUM($D6:AG6)</f>
        <v>50198.498</v>
      </c>
      <c r="AH11" s="38">
        <f>SUM($D6:AH6)</f>
        <v>50198.498</v>
      </c>
      <c r="AI11" s="22">
        <v>61450.220073827979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0</v>
      </c>
      <c r="E12" s="38">
        <f>SUM($D7:E7)</f>
        <v>0</v>
      </c>
      <c r="F12" s="38">
        <f>SUM($D7:F7)</f>
        <v>0</v>
      </c>
      <c r="G12" s="38">
        <f>SUM($D7:G7)</f>
        <v>0</v>
      </c>
      <c r="H12" s="38">
        <f>SUM($D7:H7)</f>
        <v>0</v>
      </c>
      <c r="I12" s="38">
        <f>SUM($D7:I7)</f>
        <v>0</v>
      </c>
      <c r="J12" s="38">
        <f>SUM($D7:J7)</f>
        <v>0</v>
      </c>
      <c r="K12" s="38">
        <f>SUM($D7:K7)</f>
        <v>0</v>
      </c>
      <c r="L12" s="38">
        <f>SUM($D7:L7)</f>
        <v>0</v>
      </c>
      <c r="M12" s="38">
        <f>SUM($D7:M7)</f>
        <v>0</v>
      </c>
      <c r="N12" s="38">
        <f>SUM($D7:N7)</f>
        <v>6408.54</v>
      </c>
      <c r="O12" s="38">
        <f>SUM($D7:O7)</f>
        <v>6408.54</v>
      </c>
      <c r="P12" s="38">
        <f>SUM($D7:P7)</f>
        <v>6408.54</v>
      </c>
      <c r="Q12" s="38">
        <f>SUM($D7:Q7)</f>
        <v>6408.54</v>
      </c>
      <c r="R12" s="38">
        <f>SUM($D7:R7)</f>
        <v>6408.54</v>
      </c>
      <c r="S12" s="38">
        <f>SUM($D7:S7)</f>
        <v>17700.900000000001</v>
      </c>
      <c r="T12" s="38">
        <f>SUM($D7:T7)</f>
        <v>17700.900000000001</v>
      </c>
      <c r="U12" s="38">
        <f>SUM($D7:U7)</f>
        <v>20524.530000000002</v>
      </c>
      <c r="V12" s="38">
        <f>SUM($D7:V7)</f>
        <v>20524.530000000002</v>
      </c>
      <c r="W12" s="38">
        <f>SUM($D7:W7)</f>
        <v>20524.530000000002</v>
      </c>
      <c r="X12" s="38">
        <f>SUM($D7:X7)</f>
        <v>31141.97</v>
      </c>
      <c r="Y12" s="38">
        <f>SUM($D7:Y7)</f>
        <v>40631.380000000005</v>
      </c>
      <c r="Z12" s="38">
        <f>SUM($D7:Z7)</f>
        <v>40631.380000000005</v>
      </c>
      <c r="AA12" s="38">
        <f>SUM($D7:AA7)</f>
        <v>40631.380000000005</v>
      </c>
      <c r="AB12" s="38">
        <f>SUM($D7:AB7)</f>
        <v>45406.98</v>
      </c>
      <c r="AC12" s="38">
        <f>SUM($D7:AC7)</f>
        <v>52241.350000000006</v>
      </c>
      <c r="AD12" s="38">
        <f>SUM($D7:AD7)</f>
        <v>62310.98</v>
      </c>
      <c r="AE12" s="38">
        <f>SUM($D7:AE7)</f>
        <v>69368.160000000003</v>
      </c>
      <c r="AF12" s="38">
        <f>SUM($D7:AF7)</f>
        <v>69368.160000000003</v>
      </c>
      <c r="AG12" s="38">
        <f>SUM($D7:AG7)</f>
        <v>77585.84</v>
      </c>
      <c r="AH12" s="38">
        <f>SUM($D7:AH7)</f>
        <v>87346.709999999992</v>
      </c>
      <c r="AI12" s="22">
        <v>80640.425090909092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0</v>
      </c>
      <c r="E13" s="38">
        <f>SUM($D8:E8)</f>
        <v>350.87</v>
      </c>
      <c r="F13" s="38">
        <f>SUM($D8:F8)</f>
        <v>350.87</v>
      </c>
      <c r="G13" s="38">
        <f>SUM($D8:G8)</f>
        <v>721.21</v>
      </c>
      <c r="H13" s="38">
        <f>SUM($D8:H8)</f>
        <v>1295.44</v>
      </c>
      <c r="I13" s="38">
        <f>SUM($D8:I8)</f>
        <v>1692.65</v>
      </c>
      <c r="J13" s="38">
        <f>SUM($D8:J8)</f>
        <v>2266.88</v>
      </c>
      <c r="K13" s="38">
        <f>SUM($D8:K8)</f>
        <v>3515.04</v>
      </c>
      <c r="L13" s="38">
        <f>SUM($D8:L8)</f>
        <v>4282.59</v>
      </c>
      <c r="M13" s="38">
        <f>SUM($D8:M8)</f>
        <v>4282.59</v>
      </c>
      <c r="N13" s="38">
        <f>SUM($D8:N8)</f>
        <v>5015.18</v>
      </c>
      <c r="O13" s="38">
        <f>SUM($D8:O8)</f>
        <v>5793.3</v>
      </c>
      <c r="P13" s="38">
        <f>SUM($D8:P8)</f>
        <v>5526.7300000000005</v>
      </c>
      <c r="Q13" s="38">
        <f>SUM($D8:Q8)</f>
        <v>5877.6</v>
      </c>
      <c r="R13" s="38">
        <f>SUM($D8:R8)</f>
        <v>6598.8</v>
      </c>
      <c r="S13" s="38">
        <f>SUM($D8:S8)</f>
        <v>7334.5</v>
      </c>
      <c r="T13" s="38">
        <f>SUM($D8:T8)</f>
        <v>7334.5</v>
      </c>
      <c r="U13" s="38">
        <f>SUM($D8:U8)</f>
        <v>8426.0400000000009</v>
      </c>
      <c r="V13" s="38">
        <f>SUM($D8:V8)</f>
        <v>8796.380000000001</v>
      </c>
      <c r="W13" s="38">
        <f>SUM($D8:W8)</f>
        <v>9339.27</v>
      </c>
      <c r="X13" s="38">
        <f>SUM($D8:X8)</f>
        <v>10346.15</v>
      </c>
      <c r="Y13" s="38">
        <f>SUM($D8:Y8)</f>
        <v>11086.82</v>
      </c>
      <c r="Z13" s="38">
        <f>SUM($D8:Z8)</f>
        <v>12023.1</v>
      </c>
      <c r="AA13" s="38">
        <f>SUM($D8:AA8)</f>
        <v>12023.1</v>
      </c>
      <c r="AB13" s="38">
        <f>SUM($D8:AB8)</f>
        <v>13295.59</v>
      </c>
      <c r="AC13" s="38">
        <f>SUM($D8:AC8)</f>
        <v>14036.26</v>
      </c>
      <c r="AD13" s="38">
        <f>SUM($D8:AD8)</f>
        <v>14621.67</v>
      </c>
      <c r="AE13" s="38">
        <f>SUM($D8:AE8)</f>
        <v>15538.77</v>
      </c>
      <c r="AF13" s="38">
        <f>SUM($D8:AF8)</f>
        <v>16553.740000000002</v>
      </c>
      <c r="AG13" s="38">
        <f>SUM($D8:AG8)</f>
        <v>17685.960000000003</v>
      </c>
      <c r="AH13" s="38">
        <f>SUM($D8:AH8)</f>
        <v>17685.960000000003</v>
      </c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0</v>
      </c>
      <c r="E15" s="43">
        <f t="shared" ref="E15:G15" si="23">SUM(E16:E18)</f>
        <v>0</v>
      </c>
      <c r="F15" s="43">
        <f t="shared" si="23"/>
        <v>0</v>
      </c>
      <c r="G15" s="43">
        <f t="shared" si="23"/>
        <v>890</v>
      </c>
      <c r="H15" s="43">
        <f t="shared" ref="H15" si="24">SUM(H16:H18)</f>
        <v>5288.9000000000005</v>
      </c>
      <c r="I15" s="43">
        <f t="shared" ref="I15" si="25">SUM(I16:I18)</f>
        <v>6479.52</v>
      </c>
      <c r="J15" s="43">
        <f t="shared" ref="J15" si="26">SUM(J16:J18)</f>
        <v>7335.04</v>
      </c>
      <c r="K15" s="43">
        <f>SUM(K16:K18)</f>
        <v>7745.91</v>
      </c>
      <c r="L15" s="43">
        <f t="shared" ref="L15:N15" si="27">SUM(L16:L18)</f>
        <v>7745.91</v>
      </c>
      <c r="M15" s="43">
        <f t="shared" si="27"/>
        <v>7745.91</v>
      </c>
      <c r="N15" s="43">
        <f t="shared" si="27"/>
        <v>8856.92</v>
      </c>
      <c r="O15" s="43">
        <f t="shared" ref="O15:P15" si="28">SUM(O16:O18)</f>
        <v>19494.010000000002</v>
      </c>
      <c r="P15" s="43">
        <f t="shared" si="28"/>
        <v>19494.010000000002</v>
      </c>
      <c r="Q15" s="43">
        <f t="shared" ref="Q15:R15" si="29">SUM(Q16:Q18)</f>
        <v>21612.760000000002</v>
      </c>
      <c r="R15" s="43">
        <f t="shared" si="29"/>
        <v>66812.679999999993</v>
      </c>
      <c r="S15" s="43">
        <f t="shared" ref="S15" si="30">SUM(S16:S18)</f>
        <v>66812.679999999993</v>
      </c>
      <c r="T15" s="43">
        <f t="shared" ref="T15" si="31">SUM(T16:T18)</f>
        <v>66812.679999999993</v>
      </c>
      <c r="U15" s="43">
        <f t="shared" ref="U15" si="32">SUM(U16:U18)</f>
        <v>74212.850000000006</v>
      </c>
      <c r="V15" s="43">
        <f t="shared" ref="V15" si="33">SUM(V16:V18)</f>
        <v>74212.850000000006</v>
      </c>
      <c r="W15" s="43">
        <f t="shared" ref="W15" si="34">SUM(W16:W18)</f>
        <v>82224.010000000009</v>
      </c>
      <c r="X15" s="43">
        <f t="shared" ref="X15" si="35">SUM(X16:X18)</f>
        <v>83871.359999999986</v>
      </c>
      <c r="Y15" s="43">
        <f t="shared" ref="Y15" si="36">SUM(Y16:Y18)</f>
        <v>86942.2</v>
      </c>
      <c r="Z15" s="43">
        <f t="shared" ref="Z15" si="37">SUM(Z16:Z18)</f>
        <v>86942.2</v>
      </c>
      <c r="AA15" s="43">
        <f t="shared" ref="AA15" si="38">SUM(AA16:AA18)</f>
        <v>86942.2</v>
      </c>
      <c r="AB15" s="43">
        <f>SUM(AB16:AB18)</f>
        <v>88453.560000000012</v>
      </c>
      <c r="AC15" s="43">
        <f t="shared" ref="AC15" si="39">SUM(AC16:AC18)</f>
        <v>89239.92</v>
      </c>
      <c r="AD15" s="43">
        <f t="shared" ref="AD15" si="40">SUM(AD16:AD18)</f>
        <v>89239.92</v>
      </c>
      <c r="AE15" s="43">
        <f t="shared" ref="AE15:AH15" si="41">SUM(AE16:AE18)</f>
        <v>127438.88</v>
      </c>
      <c r="AF15" s="43">
        <f t="shared" si="41"/>
        <v>127438.88</v>
      </c>
      <c r="AG15" s="43">
        <f>SUM(AG16:AG18)</f>
        <v>127712.59000000001</v>
      </c>
      <c r="AH15" s="43">
        <f t="shared" si="41"/>
        <v>127712.59000000001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/>
      <c r="E16" s="38"/>
      <c r="F16" s="38"/>
      <c r="G16" s="38">
        <v>890</v>
      </c>
      <c r="H16" s="38">
        <v>4177.8900000000003</v>
      </c>
      <c r="I16" s="38">
        <v>4471.22</v>
      </c>
      <c r="J16" s="38">
        <v>5326.74</v>
      </c>
      <c r="K16" s="38">
        <v>5346.06</v>
      </c>
      <c r="L16" s="38">
        <v>5346.06</v>
      </c>
      <c r="M16" s="38">
        <v>5346.06</v>
      </c>
      <c r="N16" s="38">
        <v>5346.06</v>
      </c>
      <c r="O16" s="38">
        <v>6857.2</v>
      </c>
      <c r="P16" s="38">
        <v>6857.2</v>
      </c>
      <c r="Q16" s="38">
        <v>8975.9500000000007</v>
      </c>
      <c r="R16" s="38">
        <v>11365.52</v>
      </c>
      <c r="S16" s="38">
        <v>11365.52</v>
      </c>
      <c r="T16" s="38">
        <v>11365.52</v>
      </c>
      <c r="U16" s="38">
        <v>11365.52</v>
      </c>
      <c r="V16" s="38">
        <v>11365.52</v>
      </c>
      <c r="W16" s="38">
        <v>19376.68</v>
      </c>
      <c r="X16" s="38">
        <v>21024.03</v>
      </c>
      <c r="Y16" s="38">
        <v>21024.03</v>
      </c>
      <c r="Z16" s="38">
        <v>21024.03</v>
      </c>
      <c r="AA16" s="38">
        <v>21024.03</v>
      </c>
      <c r="AB16" s="137">
        <v>21024.03</v>
      </c>
      <c r="AC16" s="137">
        <v>21024.03</v>
      </c>
      <c r="AD16" s="137">
        <v>21024.03</v>
      </c>
      <c r="AE16" s="137">
        <v>21024.03</v>
      </c>
      <c r="AF16" s="137">
        <v>21024.03</v>
      </c>
      <c r="AG16" s="137">
        <v>21297.74</v>
      </c>
      <c r="AH16" s="137">
        <v>21297.74</v>
      </c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>
        <v>3419.45</v>
      </c>
      <c r="P17" s="38">
        <v>3419.45</v>
      </c>
      <c r="Q17" s="38">
        <v>3419.45</v>
      </c>
      <c r="R17" s="38">
        <v>44748.45</v>
      </c>
      <c r="S17" s="38">
        <v>44748.45</v>
      </c>
      <c r="T17" s="38">
        <v>44748.45</v>
      </c>
      <c r="U17" s="38">
        <v>52148.62</v>
      </c>
      <c r="V17" s="38">
        <v>52148.62</v>
      </c>
      <c r="W17" s="38">
        <v>52148.62</v>
      </c>
      <c r="X17" s="38">
        <v>52148.62</v>
      </c>
      <c r="Y17" s="38">
        <v>52148.62</v>
      </c>
      <c r="Z17" s="38">
        <v>52148.62</v>
      </c>
      <c r="AA17" s="38">
        <v>52148.62</v>
      </c>
      <c r="AB17" s="144">
        <v>53659.98</v>
      </c>
      <c r="AC17" s="144">
        <v>54446.34</v>
      </c>
      <c r="AD17" s="144">
        <v>54446.34</v>
      </c>
      <c r="AE17" s="144">
        <v>92645.3</v>
      </c>
      <c r="AF17" s="144">
        <v>92645.3</v>
      </c>
      <c r="AG17" s="144">
        <v>92645.3</v>
      </c>
      <c r="AH17" s="144">
        <v>92645.3</v>
      </c>
      <c r="AI17" s="22"/>
    </row>
    <row r="18" spans="2:53" hidden="1" outlineLevel="1" x14ac:dyDescent="0.45">
      <c r="B18" s="14"/>
      <c r="C18" s="15" t="s">
        <v>5</v>
      </c>
      <c r="D18" s="38"/>
      <c r="E18" s="39"/>
      <c r="F18" s="39"/>
      <c r="G18" s="39"/>
      <c r="H18" s="39">
        <v>1111.01</v>
      </c>
      <c r="I18" s="38">
        <v>2008.3</v>
      </c>
      <c r="J18" s="38">
        <v>2008.3</v>
      </c>
      <c r="K18" s="38">
        <v>2399.85</v>
      </c>
      <c r="L18" s="38">
        <v>2399.85</v>
      </c>
      <c r="M18" s="38">
        <v>2399.85</v>
      </c>
      <c r="N18" s="38">
        <v>3510.86</v>
      </c>
      <c r="O18" s="38">
        <v>9217.36</v>
      </c>
      <c r="P18" s="38">
        <v>9217.36</v>
      </c>
      <c r="Q18" s="38">
        <v>9217.36</v>
      </c>
      <c r="R18" s="38">
        <v>10698.71</v>
      </c>
      <c r="S18" s="38">
        <v>10698.71</v>
      </c>
      <c r="T18" s="38">
        <v>10698.71</v>
      </c>
      <c r="U18" s="38">
        <v>10698.71</v>
      </c>
      <c r="V18" s="38">
        <v>10698.71</v>
      </c>
      <c r="W18" s="38">
        <v>10698.71</v>
      </c>
      <c r="X18" s="38">
        <v>10698.71</v>
      </c>
      <c r="Y18" s="38">
        <v>13769.55</v>
      </c>
      <c r="Z18" s="38">
        <v>13769.55</v>
      </c>
      <c r="AA18" s="38">
        <v>13769.55</v>
      </c>
      <c r="AB18" s="144">
        <v>13769.55</v>
      </c>
      <c r="AC18" s="144">
        <v>13769.55</v>
      </c>
      <c r="AD18" s="144">
        <v>13769.55</v>
      </c>
      <c r="AE18" s="144">
        <v>13769.55</v>
      </c>
      <c r="AF18" s="144">
        <v>13769.55</v>
      </c>
      <c r="AG18" s="144">
        <v>13769.55</v>
      </c>
      <c r="AH18" s="144">
        <v>13769.55</v>
      </c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0</v>
      </c>
      <c r="E20" s="43">
        <f t="shared" ref="E20:AH20" si="42">SUM(E21:E23)</f>
        <v>55</v>
      </c>
      <c r="F20" s="43">
        <f t="shared" si="42"/>
        <v>0</v>
      </c>
      <c r="G20" s="43">
        <f t="shared" si="42"/>
        <v>99</v>
      </c>
      <c r="H20" s="43">
        <f t="shared" si="42"/>
        <v>38.5</v>
      </c>
      <c r="I20" s="43">
        <f t="shared" si="42"/>
        <v>33</v>
      </c>
      <c r="J20" s="43">
        <f t="shared" si="42"/>
        <v>61.65</v>
      </c>
      <c r="K20" s="43">
        <f t="shared" si="42"/>
        <v>82.5</v>
      </c>
      <c r="L20" s="43">
        <f t="shared" si="42"/>
        <v>51.7</v>
      </c>
      <c r="M20" s="43">
        <f t="shared" si="42"/>
        <v>0</v>
      </c>
      <c r="N20" s="43">
        <f t="shared" ref="N20:O20" si="43">SUM(N21:N23)</f>
        <v>269.5</v>
      </c>
      <c r="O20" s="43">
        <f t="shared" si="43"/>
        <v>88</v>
      </c>
      <c r="P20" s="43">
        <f t="shared" ref="P20" si="44">SUM(P21:P23)</f>
        <v>67.349999999999994</v>
      </c>
      <c r="Q20" s="43">
        <f t="shared" si="42"/>
        <v>130.65</v>
      </c>
      <c r="R20" s="43">
        <f t="shared" si="42"/>
        <v>85.35</v>
      </c>
      <c r="S20" s="43">
        <f t="shared" si="42"/>
        <v>466.4</v>
      </c>
      <c r="T20" s="43">
        <f t="shared" si="42"/>
        <v>0</v>
      </c>
      <c r="U20" s="43">
        <f t="shared" si="42"/>
        <v>209</v>
      </c>
      <c r="V20" s="43">
        <f t="shared" si="42"/>
        <v>33</v>
      </c>
      <c r="W20" s="43">
        <f t="shared" si="42"/>
        <v>82.5</v>
      </c>
      <c r="X20" s="43">
        <f t="shared" si="42"/>
        <v>536.94799999999998</v>
      </c>
      <c r="Y20" s="43">
        <f>SUM(Y21:Y23)</f>
        <v>390.5</v>
      </c>
      <c r="Z20" s="43">
        <f t="shared" si="42"/>
        <v>156.19999999999999</v>
      </c>
      <c r="AA20" s="43">
        <f>SUM(AA21:AA23)</f>
        <v>0</v>
      </c>
      <c r="AB20" s="43">
        <f t="shared" si="42"/>
        <v>265.10000000000002</v>
      </c>
      <c r="AC20" s="43">
        <f t="shared" si="42"/>
        <v>316.8</v>
      </c>
      <c r="AD20" s="43">
        <f t="shared" ref="AD20" si="45">SUM(AD21:AD23)</f>
        <v>435.6</v>
      </c>
      <c r="AE20" s="43">
        <f t="shared" si="42"/>
        <v>365.197</v>
      </c>
      <c r="AF20" s="43">
        <f t="shared" si="42"/>
        <v>51.7</v>
      </c>
      <c r="AG20" s="43">
        <f t="shared" si="42"/>
        <v>330.005</v>
      </c>
      <c r="AH20" s="43">
        <f t="shared" si="42"/>
        <v>286</v>
      </c>
      <c r="AI20" s="194">
        <f>SUM(D20:AH20)/DAY(C1)</f>
        <v>160.8758064516129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/>
      <c r="E21" s="38">
        <v>44</v>
      </c>
      <c r="F21" s="38"/>
      <c r="G21" s="39">
        <f>138-50</f>
        <v>88</v>
      </c>
      <c r="H21" s="38">
        <v>22</v>
      </c>
      <c r="I21" s="38">
        <v>22</v>
      </c>
      <c r="J21" s="38">
        <v>45.15</v>
      </c>
      <c r="K21" s="38">
        <f>51.54-6.44</f>
        <v>45.1</v>
      </c>
      <c r="L21" s="38">
        <v>29.7</v>
      </c>
      <c r="M21" s="38"/>
      <c r="N21" s="38">
        <v>27.5</v>
      </c>
      <c r="O21" s="38">
        <v>66</v>
      </c>
      <c r="P21" s="38">
        <f>78.8+1.1</f>
        <v>79.899999999999991</v>
      </c>
      <c r="Q21" s="137">
        <v>119.65</v>
      </c>
      <c r="R21" s="137">
        <v>63.35</v>
      </c>
      <c r="S21" s="137">
        <v>92.4</v>
      </c>
      <c r="T21" s="137"/>
      <c r="U21" s="137">
        <v>88</v>
      </c>
      <c r="V21" s="137">
        <v>22</v>
      </c>
      <c r="W21" s="137">
        <f>59.9+6.1</f>
        <v>66</v>
      </c>
      <c r="X21" s="137">
        <f>104.34-82.192</f>
        <v>22.14800000000001</v>
      </c>
      <c r="Y21" s="137">
        <v>38.5</v>
      </c>
      <c r="Z21" s="137">
        <v>128.69999999999999</v>
      </c>
      <c r="AA21" s="38"/>
      <c r="AB21" s="137">
        <v>72.599999999999994</v>
      </c>
      <c r="AC21" s="137">
        <v>96.8</v>
      </c>
      <c r="AD21" s="137">
        <v>111.1</v>
      </c>
      <c r="AE21" s="137">
        <f>127.87-10.173</f>
        <v>117.697</v>
      </c>
      <c r="AF21" s="137">
        <v>22</v>
      </c>
      <c r="AG21" s="137">
        <f>67.17-12.165</f>
        <v>55.005000000000003</v>
      </c>
      <c r="AH21" s="137"/>
      <c r="AI21" s="22">
        <f>SUM(D21:AH21)</f>
        <v>1585.2999999999997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/>
      <c r="E22" s="38"/>
      <c r="F22" s="38"/>
      <c r="G22" s="39"/>
      <c r="H22" s="38"/>
      <c r="I22" s="38"/>
      <c r="J22" s="38"/>
      <c r="K22" s="38"/>
      <c r="L22" s="38"/>
      <c r="M22" s="38"/>
      <c r="N22" s="38">
        <v>220</v>
      </c>
      <c r="O22" s="38"/>
      <c r="P22" s="38"/>
      <c r="Q22" s="137"/>
      <c r="R22" s="137"/>
      <c r="S22" s="137">
        <v>352</v>
      </c>
      <c r="T22" s="137"/>
      <c r="U22" s="137">
        <v>88</v>
      </c>
      <c r="V22" s="137"/>
      <c r="W22" s="137"/>
      <c r="X22" s="137">
        <v>484</v>
      </c>
      <c r="Y22" s="38">
        <v>330</v>
      </c>
      <c r="Z22" s="38"/>
      <c r="AA22" s="38"/>
      <c r="AB22" s="137">
        <v>154</v>
      </c>
      <c r="AC22" s="137">
        <v>198</v>
      </c>
      <c r="AD22" s="137">
        <v>308</v>
      </c>
      <c r="AE22" s="137">
        <v>220</v>
      </c>
      <c r="AF22" s="137"/>
      <c r="AG22" s="137">
        <v>242</v>
      </c>
      <c r="AH22" s="137">
        <v>286</v>
      </c>
      <c r="AI22" s="22">
        <f>SUM(D22:AH22)</f>
        <v>2882</v>
      </c>
      <c r="AN22" s="22"/>
      <c r="AO22" s="22"/>
    </row>
    <row r="23" spans="2:53" hidden="1" outlineLevel="1" x14ac:dyDescent="0.45">
      <c r="B23" s="14"/>
      <c r="C23" s="15" t="s">
        <v>5</v>
      </c>
      <c r="D23" s="38"/>
      <c r="E23" s="38">
        <v>11</v>
      </c>
      <c r="F23" s="38"/>
      <c r="G23" s="39">
        <v>11</v>
      </c>
      <c r="H23" s="38">
        <v>16.5</v>
      </c>
      <c r="I23" s="38">
        <v>11</v>
      </c>
      <c r="J23" s="38">
        <v>16.5</v>
      </c>
      <c r="K23" s="38">
        <v>37.4</v>
      </c>
      <c r="L23" s="38">
        <v>22</v>
      </c>
      <c r="M23" s="38"/>
      <c r="N23" s="38">
        <v>22</v>
      </c>
      <c r="O23" s="38">
        <v>22</v>
      </c>
      <c r="P23" s="38">
        <v>-12.55</v>
      </c>
      <c r="Q23" s="137">
        <v>11</v>
      </c>
      <c r="R23" s="137">
        <v>22</v>
      </c>
      <c r="S23" s="137">
        <v>22</v>
      </c>
      <c r="T23" s="137"/>
      <c r="U23" s="137">
        <v>33</v>
      </c>
      <c r="V23" s="137">
        <v>11</v>
      </c>
      <c r="W23" s="137">
        <v>16.5</v>
      </c>
      <c r="X23" s="137">
        <v>30.8</v>
      </c>
      <c r="Y23" s="137">
        <v>22</v>
      </c>
      <c r="Z23" s="137">
        <v>27.5</v>
      </c>
      <c r="AA23" s="38"/>
      <c r="AB23" s="137">
        <v>38.5</v>
      </c>
      <c r="AC23" s="137">
        <v>22</v>
      </c>
      <c r="AD23" s="137">
        <v>16.5</v>
      </c>
      <c r="AE23" s="137">
        <v>27.5</v>
      </c>
      <c r="AF23" s="137">
        <v>29.7</v>
      </c>
      <c r="AG23" s="137">
        <v>33</v>
      </c>
      <c r="AH23" s="137"/>
      <c r="AI23" s="22">
        <f>SUM(D23:AH23)</f>
        <v>519.85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0</v>
      </c>
      <c r="E25" s="43">
        <f t="shared" si="46"/>
        <v>55</v>
      </c>
      <c r="F25" s="43">
        <f t="shared" ref="F25" si="47">SUM(F26:F28)</f>
        <v>55</v>
      </c>
      <c r="G25" s="43">
        <f t="shared" ref="G25:M25" si="48">SUM(G26:G28)</f>
        <v>154</v>
      </c>
      <c r="H25" s="43">
        <f t="shared" si="48"/>
        <v>192.5</v>
      </c>
      <c r="I25" s="43">
        <f t="shared" si="48"/>
        <v>225.5</v>
      </c>
      <c r="J25" s="43">
        <f t="shared" si="48"/>
        <v>287.14999999999998</v>
      </c>
      <c r="K25" s="43">
        <f t="shared" si="48"/>
        <v>369.65</v>
      </c>
      <c r="L25" s="43">
        <f t="shared" si="48"/>
        <v>421.35</v>
      </c>
      <c r="M25" s="43">
        <f t="shared" si="48"/>
        <v>421.35</v>
      </c>
      <c r="N25" s="43">
        <f t="shared" ref="N25:T25" si="49">SUM(N26:N28)</f>
        <v>690.85</v>
      </c>
      <c r="O25" s="43">
        <f t="shared" si="49"/>
        <v>778.85</v>
      </c>
      <c r="P25" s="43">
        <f t="shared" si="49"/>
        <v>846.19999999999993</v>
      </c>
      <c r="Q25" s="43">
        <f t="shared" si="49"/>
        <v>976.85</v>
      </c>
      <c r="R25" s="43">
        <f t="shared" si="49"/>
        <v>1062.2</v>
      </c>
      <c r="S25" s="43">
        <f t="shared" si="49"/>
        <v>1528.6</v>
      </c>
      <c r="T25" s="43">
        <f t="shared" si="49"/>
        <v>1528.6</v>
      </c>
      <c r="U25" s="43">
        <f t="shared" ref="U25:AA25" si="50">SUM(U26:U28)</f>
        <v>1737.6</v>
      </c>
      <c r="V25" s="43">
        <f t="shared" si="50"/>
        <v>1770.6</v>
      </c>
      <c r="W25" s="43">
        <f t="shared" si="50"/>
        <v>1853.1</v>
      </c>
      <c r="X25" s="43">
        <f t="shared" si="50"/>
        <v>2390.0480000000002</v>
      </c>
      <c r="Y25" s="43">
        <f t="shared" si="50"/>
        <v>2780.5480000000002</v>
      </c>
      <c r="Z25" s="43">
        <f t="shared" si="50"/>
        <v>2936.748</v>
      </c>
      <c r="AA25" s="43">
        <f t="shared" si="50"/>
        <v>2936.748</v>
      </c>
      <c r="AB25" s="43">
        <f t="shared" ref="AB25:AH25" si="51">SUM(AB26:AB28)</f>
        <v>3201.848</v>
      </c>
      <c r="AC25" s="43">
        <f t="shared" si="51"/>
        <v>3518.6479999999997</v>
      </c>
      <c r="AD25" s="43">
        <f t="shared" si="51"/>
        <v>3954.248</v>
      </c>
      <c r="AE25" s="43">
        <f t="shared" si="51"/>
        <v>4319.4449999999997</v>
      </c>
      <c r="AF25" s="43">
        <f t="shared" si="51"/>
        <v>4371.1449999999995</v>
      </c>
      <c r="AG25" s="43">
        <f t="shared" si="51"/>
        <v>4701.1499999999996</v>
      </c>
      <c r="AH25" s="43">
        <f t="shared" si="51"/>
        <v>4987.1499999999996</v>
      </c>
      <c r="AI25" s="194">
        <f>SUM(AI26:AI28)</f>
        <v>4663.4364391825347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0</v>
      </c>
      <c r="E26" s="38">
        <f>SUM($D21:E21)</f>
        <v>44</v>
      </c>
      <c r="F26" s="38">
        <f>SUM($D21:F21)</f>
        <v>44</v>
      </c>
      <c r="G26" s="38">
        <f>SUM($D21:G21)</f>
        <v>132</v>
      </c>
      <c r="H26" s="38">
        <f>SUM($D21:H21)</f>
        <v>154</v>
      </c>
      <c r="I26" s="38">
        <f>SUM($D21:I21)</f>
        <v>176</v>
      </c>
      <c r="J26" s="38">
        <f>SUM($D21:J21)</f>
        <v>221.15</v>
      </c>
      <c r="K26" s="38">
        <f>SUM($D21:K21)</f>
        <v>266.25</v>
      </c>
      <c r="L26" s="38">
        <f>SUM($D21:L21)</f>
        <v>295.95</v>
      </c>
      <c r="M26" s="38">
        <f>SUM($D21:M21)</f>
        <v>295.95</v>
      </c>
      <c r="N26" s="38">
        <f>SUM($D21:N21)</f>
        <v>323.45</v>
      </c>
      <c r="O26" s="38">
        <f>SUM($D21:O21)</f>
        <v>389.45</v>
      </c>
      <c r="P26" s="38">
        <f>SUM($D21:P21)</f>
        <v>469.34999999999997</v>
      </c>
      <c r="Q26" s="38">
        <f>SUM($D21:Q21)</f>
        <v>589</v>
      </c>
      <c r="R26" s="38">
        <f>SUM($D21:R21)</f>
        <v>652.35</v>
      </c>
      <c r="S26" s="38">
        <f>SUM($D21:S21)</f>
        <v>744.75</v>
      </c>
      <c r="T26" s="38">
        <f>SUM($D21:T21)</f>
        <v>744.75</v>
      </c>
      <c r="U26" s="38">
        <f>SUM($D21:U21)</f>
        <v>832.75</v>
      </c>
      <c r="V26" s="38">
        <f>SUM($D21:V21)</f>
        <v>854.75</v>
      </c>
      <c r="W26" s="38">
        <f>SUM($D21:W21)</f>
        <v>920.75</v>
      </c>
      <c r="X26" s="38">
        <f>SUM($D21:X21)</f>
        <v>942.89800000000002</v>
      </c>
      <c r="Y26" s="38">
        <f>SUM($D21:Y21)</f>
        <v>981.39800000000002</v>
      </c>
      <c r="Z26" s="38">
        <f>SUM($D21:Z21)</f>
        <v>1110.098</v>
      </c>
      <c r="AA26" s="38">
        <f>SUM($D21:AA21)</f>
        <v>1110.098</v>
      </c>
      <c r="AB26" s="38">
        <f>SUM($D21:AB21)</f>
        <v>1182.6979999999999</v>
      </c>
      <c r="AC26" s="38">
        <f>SUM($D21:AC21)</f>
        <v>1279.4979999999998</v>
      </c>
      <c r="AD26" s="38">
        <f>SUM($D21:AD21)</f>
        <v>1390.5979999999997</v>
      </c>
      <c r="AE26" s="38">
        <f>SUM($D21:AE21)</f>
        <v>1508.2949999999996</v>
      </c>
      <c r="AF26" s="38">
        <f>SUM($D21:AF21)</f>
        <v>1530.2949999999996</v>
      </c>
      <c r="AG26" s="38">
        <f>SUM($D21:AG21)</f>
        <v>1585.2999999999997</v>
      </c>
      <c r="AH26" s="38">
        <f>SUM($D21:AH21)</f>
        <v>1585.2999999999997</v>
      </c>
      <c r="AI26" s="22">
        <v>2046.4364391825352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0</v>
      </c>
      <c r="E27" s="38">
        <f>SUM($D22:E22)</f>
        <v>0</v>
      </c>
      <c r="F27" s="38">
        <f>SUM($D22:F22)</f>
        <v>0</v>
      </c>
      <c r="G27" s="38">
        <f>SUM($D22:G22)</f>
        <v>0</v>
      </c>
      <c r="H27" s="38">
        <f>SUM($D22:H22)</f>
        <v>0</v>
      </c>
      <c r="I27" s="38">
        <f>SUM($D22:I22)</f>
        <v>0</v>
      </c>
      <c r="J27" s="38">
        <f>SUM($D22:J22)</f>
        <v>0</v>
      </c>
      <c r="K27" s="38">
        <f>SUM($D22:K22)</f>
        <v>0</v>
      </c>
      <c r="L27" s="38">
        <f>SUM($D22:L22)</f>
        <v>0</v>
      </c>
      <c r="M27" s="38">
        <f>SUM($D22:M22)</f>
        <v>0</v>
      </c>
      <c r="N27" s="38">
        <f>SUM($D22:N22)</f>
        <v>220</v>
      </c>
      <c r="O27" s="38">
        <f>SUM($D22:O22)</f>
        <v>220</v>
      </c>
      <c r="P27" s="38">
        <f>SUM($D22:P22)</f>
        <v>220</v>
      </c>
      <c r="Q27" s="38">
        <f>SUM($D22:Q22)</f>
        <v>220</v>
      </c>
      <c r="R27" s="38">
        <f>SUM($D22:R22)</f>
        <v>220</v>
      </c>
      <c r="S27" s="38">
        <f>SUM($D22:S22)</f>
        <v>572</v>
      </c>
      <c r="T27" s="38">
        <f>SUM($D22:T22)</f>
        <v>572</v>
      </c>
      <c r="U27" s="38">
        <f>SUM($D22:U22)</f>
        <v>660</v>
      </c>
      <c r="V27" s="38">
        <f>SUM($D22:V22)</f>
        <v>660</v>
      </c>
      <c r="W27" s="38">
        <f>SUM($D22:W22)</f>
        <v>660</v>
      </c>
      <c r="X27" s="38">
        <f>SUM($D22:X22)</f>
        <v>1144</v>
      </c>
      <c r="Y27" s="38">
        <f>SUM($D22:Y22)</f>
        <v>1474</v>
      </c>
      <c r="Z27" s="38">
        <f>SUM($D22:Z22)</f>
        <v>1474</v>
      </c>
      <c r="AA27" s="38">
        <f>SUM($D22:AA22)</f>
        <v>1474</v>
      </c>
      <c r="AB27" s="38">
        <f>SUM($D22:AB22)</f>
        <v>1628</v>
      </c>
      <c r="AC27" s="38">
        <f>SUM($D22:AC22)</f>
        <v>1826</v>
      </c>
      <c r="AD27" s="38">
        <f>SUM($D22:AD22)</f>
        <v>2134</v>
      </c>
      <c r="AE27" s="38">
        <f>SUM($D22:AE22)</f>
        <v>2354</v>
      </c>
      <c r="AF27" s="38">
        <f>SUM($D22:AF22)</f>
        <v>2354</v>
      </c>
      <c r="AG27" s="38">
        <f>SUM($D22:AG22)</f>
        <v>2596</v>
      </c>
      <c r="AH27" s="38">
        <f>SUM($D22:AH22)</f>
        <v>2882</v>
      </c>
      <c r="AI27" s="22">
        <v>2606</v>
      </c>
    </row>
    <row r="28" spans="2:53" hidden="1" outlineLevel="1" x14ac:dyDescent="0.45">
      <c r="B28" s="14"/>
      <c r="C28" s="15" t="s">
        <v>5</v>
      </c>
      <c r="D28" s="38">
        <f>SUM($D23:D23)</f>
        <v>0</v>
      </c>
      <c r="E28" s="38">
        <f>SUM($D23:E23)</f>
        <v>11</v>
      </c>
      <c r="F28" s="38">
        <f>SUM($D23:F23)</f>
        <v>11</v>
      </c>
      <c r="G28" s="38">
        <f>SUM($D23:G23)</f>
        <v>22</v>
      </c>
      <c r="H28" s="38">
        <f>SUM($D23:H23)</f>
        <v>38.5</v>
      </c>
      <c r="I28" s="38">
        <f>SUM($D23:I23)</f>
        <v>49.5</v>
      </c>
      <c r="J28" s="38">
        <f>SUM($D23:J23)</f>
        <v>66</v>
      </c>
      <c r="K28" s="38">
        <f>SUM($D23:K23)</f>
        <v>103.4</v>
      </c>
      <c r="L28" s="38">
        <f>SUM($D23:L23)</f>
        <v>125.4</v>
      </c>
      <c r="M28" s="38">
        <f>SUM($D23:M23)</f>
        <v>125.4</v>
      </c>
      <c r="N28" s="38">
        <f>SUM($D23:N23)</f>
        <v>147.4</v>
      </c>
      <c r="O28" s="38">
        <f>SUM($D23:O23)</f>
        <v>169.4</v>
      </c>
      <c r="P28" s="38">
        <f>SUM($D23:P23)</f>
        <v>156.85</v>
      </c>
      <c r="Q28" s="38">
        <f>SUM($D23:Q23)</f>
        <v>167.85</v>
      </c>
      <c r="R28" s="38">
        <f>SUM($D23:R23)</f>
        <v>189.85</v>
      </c>
      <c r="S28" s="38">
        <f>SUM($D23:S23)</f>
        <v>211.85</v>
      </c>
      <c r="T28" s="38">
        <f>SUM($D23:T23)</f>
        <v>211.85</v>
      </c>
      <c r="U28" s="38">
        <f>SUM($D23:U23)</f>
        <v>244.85</v>
      </c>
      <c r="V28" s="38">
        <f>SUM($D23:V23)</f>
        <v>255.85</v>
      </c>
      <c r="W28" s="38">
        <f>SUM($D23:W23)</f>
        <v>272.35000000000002</v>
      </c>
      <c r="X28" s="38">
        <f>SUM($D23:X23)</f>
        <v>303.15000000000003</v>
      </c>
      <c r="Y28" s="38">
        <f>SUM($D23:Y23)</f>
        <v>325.15000000000003</v>
      </c>
      <c r="Z28" s="38">
        <f>SUM($D23:Z23)</f>
        <v>352.65000000000003</v>
      </c>
      <c r="AA28" s="38">
        <f>SUM($D23:AA23)</f>
        <v>352.65000000000003</v>
      </c>
      <c r="AB28" s="38">
        <f>SUM($D23:AB23)</f>
        <v>391.15000000000003</v>
      </c>
      <c r="AC28" s="38">
        <f>SUM($D23:AC23)</f>
        <v>413.15000000000003</v>
      </c>
      <c r="AD28" s="38">
        <f>SUM($D23:AD23)</f>
        <v>429.65000000000003</v>
      </c>
      <c r="AE28" s="38">
        <f>SUM($D23:AE23)</f>
        <v>457.15000000000003</v>
      </c>
      <c r="AF28" s="38">
        <f>SUM($D23:AF23)</f>
        <v>486.85</v>
      </c>
      <c r="AG28" s="38">
        <f>SUM($D23:AG23)</f>
        <v>519.85</v>
      </c>
      <c r="AH28" s="38">
        <f>SUM($D23:AH23)</f>
        <v>519.85</v>
      </c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63.8</v>
      </c>
      <c r="E30" s="43">
        <f>SUM(E31:E31)</f>
        <v>45</v>
      </c>
      <c r="F30" s="43">
        <f>SUM(F31:F31)</f>
        <v>29.7</v>
      </c>
      <c r="G30" s="43">
        <f>SUM(G31:G31)</f>
        <v>104</v>
      </c>
      <c r="H30" s="43">
        <f t="shared" ref="H30:AH30" si="52">SUM(H31:H31)</f>
        <v>86</v>
      </c>
      <c r="I30" s="43">
        <f t="shared" si="52"/>
        <v>79</v>
      </c>
      <c r="J30" s="43">
        <f t="shared" si="52"/>
        <v>70</v>
      </c>
      <c r="K30" s="43">
        <f t="shared" si="52"/>
        <v>93</v>
      </c>
      <c r="L30" s="43">
        <f t="shared" si="52"/>
        <v>73</v>
      </c>
      <c r="M30" s="43">
        <f t="shared" si="52"/>
        <v>115.75</v>
      </c>
      <c r="N30" s="43">
        <f t="shared" si="52"/>
        <v>79</v>
      </c>
      <c r="O30" s="43">
        <f t="shared" si="52"/>
        <v>146</v>
      </c>
      <c r="P30" s="43">
        <f t="shared" si="52"/>
        <v>95</v>
      </c>
      <c r="Q30" s="43">
        <f t="shared" si="52"/>
        <v>152</v>
      </c>
      <c r="R30" s="43">
        <f t="shared" si="52"/>
        <v>182</v>
      </c>
      <c r="S30" s="43">
        <f t="shared" si="52"/>
        <v>152</v>
      </c>
      <c r="T30" s="43">
        <f t="shared" si="52"/>
        <v>126.02499999999999</v>
      </c>
      <c r="U30" s="43">
        <f t="shared" si="52"/>
        <v>62</v>
      </c>
      <c r="V30" s="43">
        <f t="shared" si="52"/>
        <v>123</v>
      </c>
      <c r="W30" s="43">
        <f>SUM(W31:W31)</f>
        <v>118</v>
      </c>
      <c r="X30" s="43">
        <f t="shared" si="52"/>
        <v>97</v>
      </c>
      <c r="Y30" s="43">
        <f t="shared" si="52"/>
        <v>145</v>
      </c>
      <c r="Z30" s="43">
        <f t="shared" si="52"/>
        <v>143</v>
      </c>
      <c r="AA30" s="43">
        <f t="shared" si="52"/>
        <v>138.6</v>
      </c>
      <c r="AB30" s="43">
        <f t="shared" si="52"/>
        <v>90</v>
      </c>
      <c r="AC30" s="43">
        <f t="shared" si="52"/>
        <v>250</v>
      </c>
      <c r="AD30" s="43">
        <f t="shared" si="52"/>
        <v>164</v>
      </c>
      <c r="AE30" s="43">
        <f t="shared" si="52"/>
        <v>156</v>
      </c>
      <c r="AF30" s="43">
        <f t="shared" si="52"/>
        <v>152.85</v>
      </c>
      <c r="AG30" s="43">
        <f t="shared" si="52"/>
        <v>193.64999999999998</v>
      </c>
      <c r="AH30" s="43">
        <f t="shared" si="52"/>
        <v>139.5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>
        <v>63.8</v>
      </c>
      <c r="E31" s="38">
        <v>45</v>
      </c>
      <c r="F31" s="38">
        <f>60.5-30.8</f>
        <v>29.7</v>
      </c>
      <c r="G31" s="38">
        <v>104</v>
      </c>
      <c r="H31" s="38">
        <v>86</v>
      </c>
      <c r="I31" s="38">
        <v>79</v>
      </c>
      <c r="J31" s="38">
        <v>70</v>
      </c>
      <c r="K31" s="38">
        <v>93</v>
      </c>
      <c r="L31" s="38">
        <v>73</v>
      </c>
      <c r="M31" s="38">
        <f>123.45-7.7</f>
        <v>115.75</v>
      </c>
      <c r="N31" s="142">
        <v>79</v>
      </c>
      <c r="O31" s="137">
        <v>146</v>
      </c>
      <c r="P31" s="137">
        <v>95</v>
      </c>
      <c r="Q31" s="137">
        <v>152</v>
      </c>
      <c r="R31" s="137">
        <v>182</v>
      </c>
      <c r="S31" s="137">
        <v>152</v>
      </c>
      <c r="T31" s="137">
        <f>147.225-21.2</f>
        <v>126.02499999999999</v>
      </c>
      <c r="U31" s="137">
        <v>62</v>
      </c>
      <c r="V31" s="137">
        <v>123</v>
      </c>
      <c r="W31" s="137">
        <v>118</v>
      </c>
      <c r="X31" s="137">
        <v>97</v>
      </c>
      <c r="Y31" s="137">
        <v>145</v>
      </c>
      <c r="Z31" s="137">
        <v>143</v>
      </c>
      <c r="AA31" s="137">
        <f>147.4-8.8</f>
        <v>138.6</v>
      </c>
      <c r="AB31" s="137">
        <v>90</v>
      </c>
      <c r="AC31" s="137">
        <v>250</v>
      </c>
      <c r="AD31" s="137">
        <v>164</v>
      </c>
      <c r="AE31" s="137">
        <v>156</v>
      </c>
      <c r="AF31" s="137">
        <f>191.075-38.225</f>
        <v>152.85</v>
      </c>
      <c r="AG31" s="137">
        <f>155.975+37.675</f>
        <v>193.64999999999998</v>
      </c>
      <c r="AH31" s="137">
        <f>192.6-53.1</f>
        <v>139.5</v>
      </c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3">SUM(D34:D34)</f>
        <v>63.8</v>
      </c>
      <c r="E33" s="43">
        <f t="shared" si="53"/>
        <v>108.8</v>
      </c>
      <c r="F33" s="43">
        <f t="shared" si="53"/>
        <v>138.5</v>
      </c>
      <c r="G33" s="43">
        <f t="shared" si="53"/>
        <v>242.5</v>
      </c>
      <c r="H33" s="43">
        <f t="shared" si="53"/>
        <v>328.5</v>
      </c>
      <c r="I33" s="43">
        <f t="shared" si="53"/>
        <v>407.5</v>
      </c>
      <c r="J33" s="43">
        <f t="shared" si="53"/>
        <v>477.5</v>
      </c>
      <c r="K33" s="43">
        <f t="shared" si="53"/>
        <v>570.5</v>
      </c>
      <c r="L33" s="43">
        <f t="shared" si="53"/>
        <v>643.5</v>
      </c>
      <c r="M33" s="43">
        <f t="shared" si="53"/>
        <v>759.25</v>
      </c>
      <c r="N33" s="43">
        <f t="shared" si="53"/>
        <v>838.25</v>
      </c>
      <c r="O33" s="43">
        <f t="shared" si="53"/>
        <v>984.25</v>
      </c>
      <c r="P33" s="43">
        <f t="shared" si="53"/>
        <v>1079.25</v>
      </c>
      <c r="Q33" s="43">
        <f t="shared" si="53"/>
        <v>1231.25</v>
      </c>
      <c r="R33" s="43">
        <f t="shared" si="53"/>
        <v>1413.25</v>
      </c>
      <c r="S33" s="43">
        <f t="shared" si="53"/>
        <v>1565.25</v>
      </c>
      <c r="T33" s="43">
        <f t="shared" si="53"/>
        <v>1691.2750000000001</v>
      </c>
      <c r="U33" s="43">
        <f t="shared" si="53"/>
        <v>1753.2750000000001</v>
      </c>
      <c r="V33" s="43">
        <f t="shared" si="53"/>
        <v>1876.2750000000001</v>
      </c>
      <c r="W33" s="43">
        <f t="shared" si="53"/>
        <v>1994.2750000000001</v>
      </c>
      <c r="X33" s="43">
        <f t="shared" si="53"/>
        <v>2091.2750000000001</v>
      </c>
      <c r="Y33" s="43">
        <f t="shared" si="53"/>
        <v>2236.2750000000001</v>
      </c>
      <c r="Z33" s="43">
        <f t="shared" si="53"/>
        <v>2379.2750000000001</v>
      </c>
      <c r="AA33" s="43">
        <f t="shared" si="53"/>
        <v>2517.875</v>
      </c>
      <c r="AB33" s="43">
        <f t="shared" si="53"/>
        <v>2607.875</v>
      </c>
      <c r="AC33" s="43">
        <f t="shared" si="53"/>
        <v>2857.875</v>
      </c>
      <c r="AD33" s="43">
        <f t="shared" si="53"/>
        <v>3021.875</v>
      </c>
      <c r="AE33" s="43">
        <f t="shared" si="53"/>
        <v>3177.875</v>
      </c>
      <c r="AF33" s="43">
        <f t="shared" si="53"/>
        <v>3330.7249999999999</v>
      </c>
      <c r="AG33" s="43">
        <f t="shared" si="53"/>
        <v>3524.375</v>
      </c>
      <c r="AH33" s="43">
        <f t="shared" si="53"/>
        <v>3663.875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63.8</v>
      </c>
      <c r="E34" s="38">
        <f>SUM($D31:E31)</f>
        <v>108.8</v>
      </c>
      <c r="F34" s="38">
        <f>SUM($D31:F31)</f>
        <v>138.5</v>
      </c>
      <c r="G34" s="38">
        <f>SUM($D31:G31)</f>
        <v>242.5</v>
      </c>
      <c r="H34" s="38">
        <f>SUM($D31:H31)</f>
        <v>328.5</v>
      </c>
      <c r="I34" s="38">
        <f>SUM($D31:I31)</f>
        <v>407.5</v>
      </c>
      <c r="J34" s="38">
        <f>SUM($D31:J31)</f>
        <v>477.5</v>
      </c>
      <c r="K34" s="38">
        <f>SUM($D31:K31)</f>
        <v>570.5</v>
      </c>
      <c r="L34" s="38">
        <f>SUM($D31:L31)</f>
        <v>643.5</v>
      </c>
      <c r="M34" s="38">
        <f>SUM($D31:M31)</f>
        <v>759.25</v>
      </c>
      <c r="N34" s="38">
        <f>SUM($D31:N31)</f>
        <v>838.25</v>
      </c>
      <c r="O34" s="38">
        <f>SUM($D31:O31)</f>
        <v>984.25</v>
      </c>
      <c r="P34" s="38">
        <f>SUM($D31:P31)</f>
        <v>1079.25</v>
      </c>
      <c r="Q34" s="38">
        <f>SUM($D31:Q31)</f>
        <v>1231.25</v>
      </c>
      <c r="R34" s="38">
        <f>SUM($D31:R31)</f>
        <v>1413.25</v>
      </c>
      <c r="S34" s="38">
        <f>SUM($D31:S31)</f>
        <v>1565.25</v>
      </c>
      <c r="T34" s="38">
        <f>SUM($D31:T31)</f>
        <v>1691.2750000000001</v>
      </c>
      <c r="U34" s="38">
        <f>SUM($D31:U31)</f>
        <v>1753.2750000000001</v>
      </c>
      <c r="V34" s="38">
        <f>SUM($D31:V31)</f>
        <v>1876.2750000000001</v>
      </c>
      <c r="W34" s="38">
        <f>SUM($D31:W31)</f>
        <v>1994.2750000000001</v>
      </c>
      <c r="X34" s="38">
        <f>SUM($D31:X31)</f>
        <v>2091.2750000000001</v>
      </c>
      <c r="Y34" s="38">
        <f>SUM($D31:Y31)</f>
        <v>2236.2750000000001</v>
      </c>
      <c r="Z34" s="38">
        <f>SUM($D31:Z31)</f>
        <v>2379.2750000000001</v>
      </c>
      <c r="AA34" s="38">
        <f>SUM($D31:AA31)</f>
        <v>2517.875</v>
      </c>
      <c r="AB34" s="38">
        <f>SUM($D31:AB31)</f>
        <v>2607.875</v>
      </c>
      <c r="AC34" s="38">
        <f>SUM($D31:AC31)</f>
        <v>2857.875</v>
      </c>
      <c r="AD34" s="38">
        <f>SUM($D31:AD31)</f>
        <v>3021.875</v>
      </c>
      <c r="AE34" s="38">
        <f>SUM($D31:AE31)</f>
        <v>3177.875</v>
      </c>
      <c r="AF34" s="38">
        <f>SUM($D31:AF31)</f>
        <v>3330.7249999999999</v>
      </c>
      <c r="AG34" s="38">
        <f>SUM($D31:AG31)</f>
        <v>3524.375</v>
      </c>
      <c r="AH34" s="38">
        <f>SUM($D31:AH31)</f>
        <v>3663.875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H36" si="54">D37</f>
        <v>7755.03</v>
      </c>
      <c r="E36" s="43">
        <f t="shared" si="54"/>
        <v>7818.83</v>
      </c>
      <c r="F36" s="43">
        <f t="shared" si="54"/>
        <v>7816.6</v>
      </c>
      <c r="G36" s="43">
        <f t="shared" si="54"/>
        <v>7849.6</v>
      </c>
      <c r="H36" s="43">
        <f t="shared" si="54"/>
        <v>7794.96</v>
      </c>
      <c r="I36" s="43">
        <f t="shared" si="54"/>
        <v>7797.26</v>
      </c>
      <c r="J36" s="43">
        <f t="shared" si="54"/>
        <v>7805.15</v>
      </c>
      <c r="K36" s="43">
        <f t="shared" si="54"/>
        <v>7811.35</v>
      </c>
      <c r="L36" s="43">
        <f t="shared" si="54"/>
        <v>7824.28</v>
      </c>
      <c r="M36" s="43">
        <f t="shared" si="54"/>
        <v>7904.44</v>
      </c>
      <c r="N36" s="43">
        <f t="shared" si="54"/>
        <v>8006.29</v>
      </c>
      <c r="O36" s="43">
        <f t="shared" si="54"/>
        <v>7784.74</v>
      </c>
      <c r="P36" s="43">
        <f t="shared" si="54"/>
        <v>7792.71</v>
      </c>
      <c r="Q36" s="43">
        <f t="shared" si="54"/>
        <v>7856.46</v>
      </c>
      <c r="R36" s="43">
        <f t="shared" si="54"/>
        <v>7842.09</v>
      </c>
      <c r="S36" s="43">
        <f t="shared" si="54"/>
        <v>7785.11</v>
      </c>
      <c r="T36" s="43">
        <f t="shared" si="54"/>
        <v>7676.36</v>
      </c>
      <c r="U36" s="43">
        <f t="shared" si="54"/>
        <v>7839.29</v>
      </c>
      <c r="V36" s="43">
        <f t="shared" si="54"/>
        <v>7737.86</v>
      </c>
      <c r="W36" s="43">
        <f t="shared" si="54"/>
        <v>7837.59</v>
      </c>
      <c r="X36" s="43">
        <f t="shared" si="54"/>
        <v>7698.24</v>
      </c>
      <c r="Y36" s="43">
        <f t="shared" si="54"/>
        <v>7464.64</v>
      </c>
      <c r="Z36" s="43">
        <f t="shared" si="54"/>
        <v>7111.26</v>
      </c>
      <c r="AA36" s="43">
        <f t="shared" si="54"/>
        <v>6928.74</v>
      </c>
      <c r="AB36" s="43">
        <f t="shared" si="54"/>
        <v>7050.84</v>
      </c>
      <c r="AC36" s="43">
        <f t="shared" si="54"/>
        <v>7091.13</v>
      </c>
      <c r="AD36" s="43">
        <f t="shared" si="54"/>
        <v>6812.78</v>
      </c>
      <c r="AE36" s="43">
        <f t="shared" si="54"/>
        <v>6790.45</v>
      </c>
      <c r="AF36" s="43">
        <f t="shared" si="54"/>
        <v>6560.75</v>
      </c>
      <c r="AG36" s="43">
        <f t="shared" si="54"/>
        <v>6696.82</v>
      </c>
      <c r="AH36" s="43">
        <f t="shared" si="54"/>
        <v>6461.57</v>
      </c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7755.03</v>
      </c>
      <c r="E37" s="38">
        <v>7818.83</v>
      </c>
      <c r="F37" s="38">
        <v>7816.6</v>
      </c>
      <c r="G37" s="38">
        <v>7849.6</v>
      </c>
      <c r="H37" s="38">
        <v>7794.96</v>
      </c>
      <c r="I37" s="38">
        <v>7797.26</v>
      </c>
      <c r="J37" s="38">
        <v>7805.15</v>
      </c>
      <c r="K37" s="38">
        <v>7811.35</v>
      </c>
      <c r="L37" s="38">
        <v>7824.28</v>
      </c>
      <c r="M37" s="38">
        <v>7904.44</v>
      </c>
      <c r="N37" s="38">
        <v>8006.29</v>
      </c>
      <c r="O37" s="38">
        <v>7784.74</v>
      </c>
      <c r="P37" s="38">
        <v>7792.71</v>
      </c>
      <c r="Q37" s="38">
        <v>7856.46</v>
      </c>
      <c r="R37" s="38">
        <v>7842.09</v>
      </c>
      <c r="S37" s="38">
        <v>7785.11</v>
      </c>
      <c r="T37" s="38">
        <v>7676.36</v>
      </c>
      <c r="U37" s="38">
        <v>7839.29</v>
      </c>
      <c r="V37" s="38">
        <v>7737.86</v>
      </c>
      <c r="W37" s="38">
        <v>7837.59</v>
      </c>
      <c r="X37" s="137">
        <v>7698.24</v>
      </c>
      <c r="Y37" s="137">
        <v>7464.64</v>
      </c>
      <c r="Z37" s="137">
        <v>7111.26</v>
      </c>
      <c r="AA37" s="137">
        <v>6928.74</v>
      </c>
      <c r="AB37" s="137">
        <v>7050.84</v>
      </c>
      <c r="AC37" s="137">
        <v>7091.13</v>
      </c>
      <c r="AD37" s="137">
        <v>6812.78</v>
      </c>
      <c r="AE37" s="137">
        <v>6790.45</v>
      </c>
      <c r="AF37" s="137">
        <v>6560.75</v>
      </c>
      <c r="AG37" s="137">
        <v>6696.82</v>
      </c>
      <c r="AH37" s="137">
        <v>6461.57</v>
      </c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5">SUM(D40:D40)</f>
        <v>0</v>
      </c>
      <c r="E39" s="43">
        <f t="shared" si="55"/>
        <v>44.75</v>
      </c>
      <c r="F39" s="43">
        <f t="shared" si="55"/>
        <v>0</v>
      </c>
      <c r="G39" s="43">
        <f t="shared" si="55"/>
        <v>119.78</v>
      </c>
      <c r="H39" s="43">
        <f t="shared" si="55"/>
        <v>292.49</v>
      </c>
      <c r="I39" s="43">
        <f t="shared" si="55"/>
        <v>256.66000000000003</v>
      </c>
      <c r="J39" s="43">
        <f t="shared" si="55"/>
        <v>241.97</v>
      </c>
      <c r="K39" s="43">
        <f t="shared" si="55"/>
        <v>278.25</v>
      </c>
      <c r="L39" s="43">
        <f t="shared" si="55"/>
        <v>200.42</v>
      </c>
      <c r="M39" s="43">
        <f t="shared" si="55"/>
        <v>0</v>
      </c>
      <c r="N39" s="43">
        <f t="shared" si="55"/>
        <v>91.27</v>
      </c>
      <c r="O39" s="43">
        <f t="shared" si="55"/>
        <v>284.08999999999997</v>
      </c>
      <c r="P39" s="43">
        <f t="shared" si="55"/>
        <v>175.7</v>
      </c>
      <c r="Q39" s="43">
        <f t="shared" si="55"/>
        <v>221.72</v>
      </c>
      <c r="R39" s="43">
        <f t="shared" si="55"/>
        <v>220.5</v>
      </c>
      <c r="S39" s="43">
        <f t="shared" si="55"/>
        <v>130.94999999999999</v>
      </c>
      <c r="T39" s="43">
        <f t="shared" si="55"/>
        <v>0</v>
      </c>
      <c r="U39" s="43">
        <f t="shared" si="55"/>
        <v>247.92</v>
      </c>
      <c r="V39" s="43">
        <f t="shared" si="55"/>
        <v>175.82</v>
      </c>
      <c r="W39" s="43">
        <f t="shared" si="55"/>
        <v>136.81</v>
      </c>
      <c r="X39" s="43">
        <f t="shared" si="55"/>
        <v>203.02</v>
      </c>
      <c r="Y39" s="43">
        <f t="shared" si="55"/>
        <v>203.4</v>
      </c>
      <c r="Z39" s="43">
        <f t="shared" si="55"/>
        <v>221.18</v>
      </c>
      <c r="AA39" s="43">
        <f t="shared" si="55"/>
        <v>0</v>
      </c>
      <c r="AB39" s="43">
        <f t="shared" si="55"/>
        <v>243.3</v>
      </c>
      <c r="AC39" s="43">
        <f t="shared" si="55"/>
        <v>235.42</v>
      </c>
      <c r="AD39" s="43">
        <f t="shared" si="55"/>
        <v>259.47000000000003</v>
      </c>
      <c r="AE39" s="43">
        <f t="shared" si="55"/>
        <v>250.86</v>
      </c>
      <c r="AF39" s="43">
        <f t="shared" si="55"/>
        <v>246.19</v>
      </c>
      <c r="AG39" s="43">
        <f t="shared" si="55"/>
        <v>226.94</v>
      </c>
      <c r="AH39" s="43">
        <f t="shared" si="55"/>
        <v>2.12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/>
      <c r="E40" s="38">
        <v>44.75</v>
      </c>
      <c r="F40" s="38"/>
      <c r="G40" s="38">
        <v>119.78</v>
      </c>
      <c r="H40" s="38">
        <v>292.49</v>
      </c>
      <c r="I40" s="38">
        <v>256.66000000000003</v>
      </c>
      <c r="J40" s="38">
        <v>241.97</v>
      </c>
      <c r="K40" s="38">
        <v>278.25</v>
      </c>
      <c r="L40" s="38">
        <v>200.42</v>
      </c>
      <c r="M40" s="38"/>
      <c r="N40" s="38">
        <v>91.27</v>
      </c>
      <c r="O40" s="38">
        <v>284.08999999999997</v>
      </c>
      <c r="P40" s="38">
        <v>175.7</v>
      </c>
      <c r="Q40" s="137">
        <v>221.72</v>
      </c>
      <c r="R40" s="137">
        <v>220.5</v>
      </c>
      <c r="S40" s="137">
        <v>130.94999999999999</v>
      </c>
      <c r="T40" s="137"/>
      <c r="U40" s="137">
        <v>247.92</v>
      </c>
      <c r="V40" s="137">
        <v>175.82</v>
      </c>
      <c r="W40" s="137">
        <v>136.81</v>
      </c>
      <c r="X40" s="137">
        <v>203.02</v>
      </c>
      <c r="Y40" s="137">
        <v>203.4</v>
      </c>
      <c r="Z40" s="137">
        <v>221.18</v>
      </c>
      <c r="AA40" s="137"/>
      <c r="AB40" s="137">
        <v>243.3</v>
      </c>
      <c r="AC40" s="137">
        <v>235.42</v>
      </c>
      <c r="AD40" s="137">
        <v>259.47000000000003</v>
      </c>
      <c r="AE40" s="137">
        <v>250.86</v>
      </c>
      <c r="AF40" s="137">
        <v>246.19</v>
      </c>
      <c r="AG40" s="137">
        <v>226.94</v>
      </c>
      <c r="AH40" s="137">
        <v>2.12</v>
      </c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H42" si="56">SUM(D43:D43)</f>
        <v>0</v>
      </c>
      <c r="E42" s="43">
        <f t="shared" si="56"/>
        <v>44.75</v>
      </c>
      <c r="F42" s="43">
        <f t="shared" si="56"/>
        <v>44.75</v>
      </c>
      <c r="G42" s="43">
        <f t="shared" si="56"/>
        <v>164.53</v>
      </c>
      <c r="H42" s="43">
        <f t="shared" si="56"/>
        <v>457.02</v>
      </c>
      <c r="I42" s="43">
        <f t="shared" si="56"/>
        <v>713.68000000000006</v>
      </c>
      <c r="J42" s="43">
        <f t="shared" si="56"/>
        <v>955.65000000000009</v>
      </c>
      <c r="K42" s="43">
        <f t="shared" si="56"/>
        <v>1233.9000000000001</v>
      </c>
      <c r="L42" s="43">
        <f t="shared" si="56"/>
        <v>1434.3200000000002</v>
      </c>
      <c r="M42" s="43">
        <f t="shared" si="56"/>
        <v>1434.3200000000002</v>
      </c>
      <c r="N42" s="43">
        <f t="shared" si="56"/>
        <v>1525.5900000000001</v>
      </c>
      <c r="O42" s="43">
        <f t="shared" si="56"/>
        <v>1809.68</v>
      </c>
      <c r="P42" s="43">
        <f t="shared" si="56"/>
        <v>1985.38</v>
      </c>
      <c r="Q42" s="43">
        <f t="shared" si="56"/>
        <v>2207.1</v>
      </c>
      <c r="R42" s="43">
        <f t="shared" si="56"/>
        <v>2427.6</v>
      </c>
      <c r="S42" s="43">
        <f t="shared" si="56"/>
        <v>2558.5499999999997</v>
      </c>
      <c r="T42" s="43">
        <f t="shared" si="56"/>
        <v>2558.5499999999997</v>
      </c>
      <c r="U42" s="43">
        <f t="shared" si="56"/>
        <v>2806.47</v>
      </c>
      <c r="V42" s="43">
        <f t="shared" si="56"/>
        <v>2982.29</v>
      </c>
      <c r="W42" s="43">
        <f t="shared" si="56"/>
        <v>3119.1</v>
      </c>
      <c r="X42" s="43">
        <f t="shared" si="56"/>
        <v>3322.12</v>
      </c>
      <c r="Y42" s="43">
        <f t="shared" si="56"/>
        <v>3525.52</v>
      </c>
      <c r="Z42" s="43">
        <f t="shared" si="56"/>
        <v>3746.7</v>
      </c>
      <c r="AA42" s="43">
        <f t="shared" si="56"/>
        <v>3746.7</v>
      </c>
      <c r="AB42" s="43">
        <f t="shared" si="56"/>
        <v>3990</v>
      </c>
      <c r="AC42" s="43">
        <f t="shared" si="56"/>
        <v>4225.42</v>
      </c>
      <c r="AD42" s="43">
        <f t="shared" si="56"/>
        <v>4484.8900000000003</v>
      </c>
      <c r="AE42" s="43">
        <f t="shared" si="56"/>
        <v>4735.75</v>
      </c>
      <c r="AF42" s="43">
        <f t="shared" si="56"/>
        <v>4981.9399999999996</v>
      </c>
      <c r="AG42" s="43">
        <f t="shared" si="56"/>
        <v>5208.8799999999992</v>
      </c>
      <c r="AH42" s="43">
        <f t="shared" si="56"/>
        <v>5210.9999999999991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0</v>
      </c>
      <c r="E43" s="38">
        <f>SUM($D39:E39)</f>
        <v>44.75</v>
      </c>
      <c r="F43" s="38">
        <f>SUM($D39:F39)</f>
        <v>44.75</v>
      </c>
      <c r="G43" s="38">
        <f>SUM($D39:G39)</f>
        <v>164.53</v>
      </c>
      <c r="H43" s="38">
        <f>SUM($D39:H39)</f>
        <v>457.02</v>
      </c>
      <c r="I43" s="38">
        <f>SUM($D39:I39)</f>
        <v>713.68000000000006</v>
      </c>
      <c r="J43" s="38">
        <f>SUM($D39:J39)</f>
        <v>955.65000000000009</v>
      </c>
      <c r="K43" s="38">
        <f>SUM($D39:K39)</f>
        <v>1233.9000000000001</v>
      </c>
      <c r="L43" s="38">
        <f>SUM($D39:L39)</f>
        <v>1434.3200000000002</v>
      </c>
      <c r="M43" s="38">
        <f>SUM($D39:M39)</f>
        <v>1434.3200000000002</v>
      </c>
      <c r="N43" s="38">
        <f>SUM($D39:N39)</f>
        <v>1525.5900000000001</v>
      </c>
      <c r="O43" s="38">
        <f>SUM($D39:O39)</f>
        <v>1809.68</v>
      </c>
      <c r="P43" s="38">
        <f>SUM($D39:P39)</f>
        <v>1985.38</v>
      </c>
      <c r="Q43" s="38">
        <f>SUM($D39:Q39)</f>
        <v>2207.1</v>
      </c>
      <c r="R43" s="38">
        <f>SUM($D39:R39)</f>
        <v>2427.6</v>
      </c>
      <c r="S43" s="38">
        <f>SUM($D39:S39)</f>
        <v>2558.5499999999997</v>
      </c>
      <c r="T43" s="38">
        <f>SUM($D39:T39)</f>
        <v>2558.5499999999997</v>
      </c>
      <c r="U43" s="38">
        <f>SUM($D39:U39)</f>
        <v>2806.47</v>
      </c>
      <c r="V43" s="38">
        <f>SUM($D39:V39)</f>
        <v>2982.29</v>
      </c>
      <c r="W43" s="38">
        <f>SUM($D39:W39)</f>
        <v>3119.1</v>
      </c>
      <c r="X43" s="38">
        <f>SUM($D39:X39)</f>
        <v>3322.12</v>
      </c>
      <c r="Y43" s="38">
        <f>SUM($D39:Y39)</f>
        <v>3525.52</v>
      </c>
      <c r="Z43" s="38">
        <f>SUM($D39:Z39)</f>
        <v>3746.7</v>
      </c>
      <c r="AA43" s="38">
        <f>SUM($D39:AA39)</f>
        <v>3746.7</v>
      </c>
      <c r="AB43" s="38">
        <f>SUM($D39:AB39)</f>
        <v>3990</v>
      </c>
      <c r="AC43" s="38">
        <f>SUM($D39:AC39)</f>
        <v>4225.42</v>
      </c>
      <c r="AD43" s="38">
        <f>SUM($D39:AD39)</f>
        <v>4484.8900000000003</v>
      </c>
      <c r="AE43" s="38">
        <f>SUM($D39:AE39)</f>
        <v>4735.75</v>
      </c>
      <c r="AF43" s="38">
        <f>SUM($D39:AF39)</f>
        <v>4981.9399999999996</v>
      </c>
      <c r="AG43" s="38">
        <f>SUM($D39:AG39)</f>
        <v>5208.8799999999992</v>
      </c>
      <c r="AH43" s="38">
        <f>SUM($D39:AH39)</f>
        <v>5210.9999999999991</v>
      </c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7">$AJ$5</f>
        <v>5007.4570322580648</v>
      </c>
      <c r="E44" s="107">
        <f t="shared" si="57"/>
        <v>5007.4570322580648</v>
      </c>
      <c r="F44" s="107">
        <f t="shared" si="57"/>
        <v>5007.4570322580648</v>
      </c>
      <c r="G44" s="107">
        <f t="shared" si="57"/>
        <v>5007.4570322580648</v>
      </c>
      <c r="H44" s="107">
        <f t="shared" si="57"/>
        <v>5007.4570322580648</v>
      </c>
      <c r="I44" s="107">
        <f t="shared" si="57"/>
        <v>5007.4570322580648</v>
      </c>
      <c r="J44" s="107">
        <f t="shared" si="57"/>
        <v>5007.4570322580648</v>
      </c>
      <c r="K44" s="107">
        <f t="shared" si="57"/>
        <v>5007.4570322580648</v>
      </c>
      <c r="L44" s="107">
        <f t="shared" si="57"/>
        <v>5007.4570322580648</v>
      </c>
      <c r="M44" s="107">
        <f t="shared" si="57"/>
        <v>5007.4570322580648</v>
      </c>
      <c r="N44" s="107">
        <f t="shared" si="57"/>
        <v>5007.4570322580648</v>
      </c>
      <c r="O44" s="107">
        <f t="shared" si="57"/>
        <v>5007.4570322580648</v>
      </c>
      <c r="P44" s="107">
        <f t="shared" si="57"/>
        <v>5007.4570322580648</v>
      </c>
      <c r="Q44" s="107">
        <f t="shared" si="57"/>
        <v>5007.4570322580648</v>
      </c>
      <c r="R44" s="107">
        <f t="shared" si="57"/>
        <v>5007.4570322580648</v>
      </c>
      <c r="S44" s="107">
        <f t="shared" si="57"/>
        <v>5007.4570322580648</v>
      </c>
      <c r="T44" s="107">
        <f t="shared" si="57"/>
        <v>5007.4570322580648</v>
      </c>
      <c r="U44" s="107">
        <f t="shared" si="57"/>
        <v>5007.4570322580648</v>
      </c>
      <c r="V44" s="107">
        <f t="shared" si="57"/>
        <v>5007.4570322580648</v>
      </c>
      <c r="W44" s="107">
        <f t="shared" si="57"/>
        <v>5007.4570322580648</v>
      </c>
      <c r="X44" s="107">
        <f t="shared" si="57"/>
        <v>5007.4570322580648</v>
      </c>
      <c r="Y44" s="107">
        <f t="shared" si="57"/>
        <v>5007.4570322580648</v>
      </c>
      <c r="Z44" s="107">
        <f t="shared" si="57"/>
        <v>5007.4570322580648</v>
      </c>
      <c r="AA44" s="107">
        <f t="shared" si="57"/>
        <v>5007.4570322580648</v>
      </c>
      <c r="AB44" s="107">
        <f t="shared" si="57"/>
        <v>5007.4570322580648</v>
      </c>
      <c r="AC44" s="107">
        <f t="shared" si="57"/>
        <v>5007.4570322580648</v>
      </c>
      <c r="AD44" s="107">
        <f t="shared" si="57"/>
        <v>5007.4570322580648</v>
      </c>
      <c r="AE44" s="107">
        <f t="shared" si="57"/>
        <v>5007.4570322580648</v>
      </c>
      <c r="AF44" s="107">
        <f t="shared" si="57"/>
        <v>5007.4570322580648</v>
      </c>
      <c r="AG44" s="107">
        <f t="shared" si="57"/>
        <v>5007.4570322580648</v>
      </c>
      <c r="AH44" s="107">
        <f t="shared" si="57"/>
        <v>5007.4570322580648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8">$AL$5</f>
        <v>155.4478813060845</v>
      </c>
      <c r="E45" s="22">
        <f t="shared" si="58"/>
        <v>155.4478813060845</v>
      </c>
      <c r="F45" s="22">
        <f t="shared" si="58"/>
        <v>155.4478813060845</v>
      </c>
      <c r="G45" s="22">
        <f t="shared" si="58"/>
        <v>155.4478813060845</v>
      </c>
      <c r="H45" s="22">
        <f t="shared" si="58"/>
        <v>155.4478813060845</v>
      </c>
      <c r="I45" s="22">
        <f t="shared" si="58"/>
        <v>155.4478813060845</v>
      </c>
      <c r="J45" s="22">
        <f t="shared" si="58"/>
        <v>155.4478813060845</v>
      </c>
      <c r="K45" s="22">
        <f t="shared" si="58"/>
        <v>155.4478813060845</v>
      </c>
      <c r="L45" s="22">
        <f t="shared" si="58"/>
        <v>155.4478813060845</v>
      </c>
      <c r="M45" s="22">
        <f t="shared" si="58"/>
        <v>155.4478813060845</v>
      </c>
      <c r="N45" s="22">
        <f t="shared" si="58"/>
        <v>155.4478813060845</v>
      </c>
      <c r="O45" s="22">
        <f t="shared" si="58"/>
        <v>155.4478813060845</v>
      </c>
      <c r="P45" s="22">
        <f t="shared" si="58"/>
        <v>155.4478813060845</v>
      </c>
      <c r="Q45" s="22">
        <f t="shared" si="58"/>
        <v>155.4478813060845</v>
      </c>
      <c r="R45" s="22">
        <f t="shared" si="58"/>
        <v>155.4478813060845</v>
      </c>
      <c r="S45" s="22">
        <f t="shared" si="58"/>
        <v>155.4478813060845</v>
      </c>
      <c r="T45" s="22">
        <f t="shared" si="58"/>
        <v>155.4478813060845</v>
      </c>
      <c r="U45" s="22">
        <f t="shared" si="58"/>
        <v>155.4478813060845</v>
      </c>
      <c r="V45" s="22">
        <f t="shared" si="58"/>
        <v>155.4478813060845</v>
      </c>
      <c r="W45" s="22">
        <f t="shared" si="58"/>
        <v>155.4478813060845</v>
      </c>
      <c r="X45" s="22">
        <f t="shared" si="58"/>
        <v>155.4478813060845</v>
      </c>
      <c r="Y45" s="22">
        <f t="shared" si="58"/>
        <v>155.4478813060845</v>
      </c>
      <c r="Z45" s="22">
        <f t="shared" si="58"/>
        <v>155.4478813060845</v>
      </c>
      <c r="AA45" s="22">
        <f t="shared" si="58"/>
        <v>155.4478813060845</v>
      </c>
      <c r="AB45" s="22">
        <f t="shared" si="58"/>
        <v>155.4478813060845</v>
      </c>
      <c r="AC45" s="22">
        <f t="shared" si="58"/>
        <v>155.4478813060845</v>
      </c>
      <c r="AD45" s="22">
        <f t="shared" si="58"/>
        <v>155.4478813060845</v>
      </c>
      <c r="AE45" s="22">
        <f t="shared" si="58"/>
        <v>155.4478813060845</v>
      </c>
      <c r="AF45" s="22">
        <f t="shared" si="58"/>
        <v>155.4478813060845</v>
      </c>
      <c r="AG45" s="22">
        <f t="shared" si="58"/>
        <v>155.4478813060845</v>
      </c>
      <c r="AH45" s="22">
        <f t="shared" si="58"/>
        <v>155.4478813060845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59">$AI$20</f>
        <v>160.8758064516129</v>
      </c>
      <c r="E46" s="22">
        <f t="shared" si="59"/>
        <v>160.8758064516129</v>
      </c>
      <c r="F46" s="22">
        <f t="shared" si="59"/>
        <v>160.8758064516129</v>
      </c>
      <c r="G46" s="22">
        <f t="shared" si="59"/>
        <v>160.8758064516129</v>
      </c>
      <c r="H46" s="22">
        <f t="shared" si="59"/>
        <v>160.8758064516129</v>
      </c>
      <c r="I46" s="22">
        <f t="shared" si="59"/>
        <v>160.8758064516129</v>
      </c>
      <c r="J46" s="22">
        <f t="shared" si="59"/>
        <v>160.8758064516129</v>
      </c>
      <c r="K46" s="22">
        <f t="shared" si="59"/>
        <v>160.8758064516129</v>
      </c>
      <c r="L46" s="22">
        <f t="shared" si="59"/>
        <v>160.8758064516129</v>
      </c>
      <c r="M46" s="22">
        <f t="shared" si="59"/>
        <v>160.8758064516129</v>
      </c>
      <c r="N46" s="22">
        <f t="shared" si="59"/>
        <v>160.8758064516129</v>
      </c>
      <c r="O46" s="22">
        <f t="shared" si="59"/>
        <v>160.8758064516129</v>
      </c>
      <c r="P46" s="22">
        <f t="shared" si="59"/>
        <v>160.8758064516129</v>
      </c>
      <c r="Q46" s="22">
        <f t="shared" si="59"/>
        <v>160.8758064516129</v>
      </c>
      <c r="R46" s="22">
        <f t="shared" si="59"/>
        <v>160.8758064516129</v>
      </c>
      <c r="S46" s="22">
        <f t="shared" si="59"/>
        <v>160.8758064516129</v>
      </c>
      <c r="T46" s="22">
        <f t="shared" si="59"/>
        <v>160.8758064516129</v>
      </c>
      <c r="U46" s="22">
        <f t="shared" si="59"/>
        <v>160.8758064516129</v>
      </c>
      <c r="V46" s="22">
        <f t="shared" si="59"/>
        <v>160.8758064516129</v>
      </c>
      <c r="W46" s="22">
        <f t="shared" si="59"/>
        <v>160.8758064516129</v>
      </c>
      <c r="X46" s="22">
        <f t="shared" si="59"/>
        <v>160.8758064516129</v>
      </c>
      <c r="Y46" s="22">
        <f t="shared" si="59"/>
        <v>160.8758064516129</v>
      </c>
      <c r="Z46" s="22">
        <f t="shared" si="59"/>
        <v>160.8758064516129</v>
      </c>
      <c r="AA46" s="22">
        <f t="shared" si="59"/>
        <v>160.8758064516129</v>
      </c>
      <c r="AB46" s="22">
        <f t="shared" si="59"/>
        <v>160.8758064516129</v>
      </c>
      <c r="AC46" s="22">
        <f t="shared" si="59"/>
        <v>160.8758064516129</v>
      </c>
      <c r="AD46" s="22">
        <f t="shared" si="59"/>
        <v>160.8758064516129</v>
      </c>
      <c r="AE46" s="22">
        <f t="shared" si="59"/>
        <v>160.8758064516129</v>
      </c>
      <c r="AF46" s="22">
        <f t="shared" si="59"/>
        <v>160.8758064516129</v>
      </c>
      <c r="AG46" s="22">
        <f t="shared" si="59"/>
        <v>160.8758064516129</v>
      </c>
      <c r="AH46" s="22">
        <f t="shared" si="59"/>
        <v>160.8758064516129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0">D11</f>
        <v>0</v>
      </c>
      <c r="E49" s="22">
        <f t="shared" si="60"/>
        <v>1397.52</v>
      </c>
      <c r="F49" s="22">
        <f t="shared" si="60"/>
        <v>1397.52</v>
      </c>
      <c r="G49" s="22">
        <f t="shared" si="60"/>
        <v>4260.99</v>
      </c>
      <c r="H49" s="22">
        <f t="shared" si="60"/>
        <v>4957.93</v>
      </c>
      <c r="I49" s="22">
        <f t="shared" si="60"/>
        <v>5658.52</v>
      </c>
      <c r="J49" s="22">
        <f t="shared" si="60"/>
        <v>7075.55</v>
      </c>
      <c r="K49" s="22">
        <f t="shared" si="60"/>
        <v>8521.56</v>
      </c>
      <c r="L49" s="22">
        <f t="shared" si="60"/>
        <v>9486.06</v>
      </c>
      <c r="M49" s="22">
        <f t="shared" si="60"/>
        <v>9486.06</v>
      </c>
      <c r="N49" s="22">
        <f t="shared" si="60"/>
        <v>10318.93</v>
      </c>
      <c r="O49" s="22">
        <f t="shared" si="60"/>
        <v>12443.84</v>
      </c>
      <c r="P49" s="22">
        <f t="shared" si="60"/>
        <v>14907.19</v>
      </c>
      <c r="Q49" s="22">
        <f t="shared" si="60"/>
        <v>18749.63</v>
      </c>
      <c r="R49" s="22">
        <f t="shared" si="60"/>
        <v>20482.68</v>
      </c>
      <c r="S49" s="22">
        <f t="shared" si="60"/>
        <v>23512.54</v>
      </c>
      <c r="T49" s="22">
        <f t="shared" si="60"/>
        <v>23512.54</v>
      </c>
      <c r="U49" s="22">
        <f t="shared" si="60"/>
        <v>26324.620000000003</v>
      </c>
      <c r="V49" s="22">
        <f t="shared" si="60"/>
        <v>27038.610000000004</v>
      </c>
      <c r="W49" s="22">
        <f t="shared" si="60"/>
        <v>29150.118000000002</v>
      </c>
      <c r="X49" s="22">
        <f t="shared" si="60"/>
        <v>29861.52</v>
      </c>
      <c r="Y49" s="22">
        <f t="shared" si="60"/>
        <v>31097.02</v>
      </c>
      <c r="Z49" s="22">
        <f t="shared" si="60"/>
        <v>35107.15</v>
      </c>
      <c r="AA49" s="22">
        <f t="shared" si="60"/>
        <v>35107.15</v>
      </c>
      <c r="AB49" s="22">
        <f t="shared" si="60"/>
        <v>37583.96</v>
      </c>
      <c r="AC49" s="22">
        <f t="shared" si="60"/>
        <v>40595.99</v>
      </c>
      <c r="AD49" s="22">
        <f t="shared" si="60"/>
        <v>44075.21</v>
      </c>
      <c r="AE49" s="22">
        <f t="shared" si="60"/>
        <v>47668.61</v>
      </c>
      <c r="AF49" s="22">
        <f t="shared" si="60"/>
        <v>48382.6</v>
      </c>
      <c r="AG49" s="22">
        <f t="shared" si="60"/>
        <v>50198.498</v>
      </c>
      <c r="AH49" s="22">
        <f t="shared" si="60"/>
        <v>50198.498</v>
      </c>
      <c r="AI49" s="22">
        <f t="shared" si="60"/>
        <v>61450.220073827979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1">D12</f>
        <v>0</v>
      </c>
      <c r="E50" s="22">
        <f t="shared" si="61"/>
        <v>0</v>
      </c>
      <c r="F50" s="22">
        <f t="shared" si="61"/>
        <v>0</v>
      </c>
      <c r="G50" s="22">
        <f t="shared" si="61"/>
        <v>0</v>
      </c>
      <c r="H50" s="22">
        <f t="shared" si="61"/>
        <v>0</v>
      </c>
      <c r="I50" s="22">
        <f t="shared" si="61"/>
        <v>0</v>
      </c>
      <c r="J50" s="22">
        <f t="shared" si="61"/>
        <v>0</v>
      </c>
      <c r="K50" s="22">
        <f t="shared" si="61"/>
        <v>0</v>
      </c>
      <c r="L50" s="22">
        <f t="shared" si="61"/>
        <v>0</v>
      </c>
      <c r="M50" s="22">
        <f t="shared" si="61"/>
        <v>0</v>
      </c>
      <c r="N50" s="22">
        <f t="shared" si="61"/>
        <v>6408.54</v>
      </c>
      <c r="O50" s="22">
        <f t="shared" si="61"/>
        <v>6408.54</v>
      </c>
      <c r="P50" s="22">
        <f t="shared" si="61"/>
        <v>6408.54</v>
      </c>
      <c r="Q50" s="22">
        <f t="shared" si="61"/>
        <v>6408.54</v>
      </c>
      <c r="R50" s="22">
        <f t="shared" si="61"/>
        <v>6408.54</v>
      </c>
      <c r="S50" s="22">
        <f t="shared" si="61"/>
        <v>17700.900000000001</v>
      </c>
      <c r="T50" s="22">
        <f t="shared" si="61"/>
        <v>17700.900000000001</v>
      </c>
      <c r="U50" s="22">
        <f t="shared" si="61"/>
        <v>20524.530000000002</v>
      </c>
      <c r="V50" s="22">
        <f t="shared" si="61"/>
        <v>20524.530000000002</v>
      </c>
      <c r="W50" s="22">
        <f t="shared" si="61"/>
        <v>20524.530000000002</v>
      </c>
      <c r="X50" s="22">
        <f t="shared" si="61"/>
        <v>31141.97</v>
      </c>
      <c r="Y50" s="22">
        <f t="shared" si="61"/>
        <v>40631.380000000005</v>
      </c>
      <c r="Z50" s="22">
        <f t="shared" si="61"/>
        <v>40631.380000000005</v>
      </c>
      <c r="AA50" s="22">
        <f t="shared" si="61"/>
        <v>40631.380000000005</v>
      </c>
      <c r="AB50" s="22">
        <f t="shared" si="61"/>
        <v>45406.98</v>
      </c>
      <c r="AC50" s="22">
        <f t="shared" si="61"/>
        <v>52241.350000000006</v>
      </c>
      <c r="AD50" s="22">
        <f t="shared" si="61"/>
        <v>62310.98</v>
      </c>
      <c r="AE50" s="22">
        <f t="shared" si="61"/>
        <v>69368.160000000003</v>
      </c>
      <c r="AF50" s="22">
        <f t="shared" si="61"/>
        <v>69368.160000000003</v>
      </c>
      <c r="AG50" s="22">
        <f t="shared" si="61"/>
        <v>77585.84</v>
      </c>
      <c r="AH50" s="22">
        <f t="shared" si="61"/>
        <v>87346.709999999992</v>
      </c>
      <c r="AI50" s="22">
        <f>AI12</f>
        <v>80640.425090909092</v>
      </c>
    </row>
    <row r="51" spans="2:36" s="53" customFormat="1" ht="14" x14ac:dyDescent="0.4">
      <c r="B51" s="52"/>
      <c r="C51" s="53" t="s">
        <v>10</v>
      </c>
      <c r="D51" s="54">
        <f>$AI$11/$AI$1</f>
        <v>2048.3406691275991</v>
      </c>
      <c r="E51" s="54">
        <f t="shared" ref="E51:AH51" si="62">$AI$11/$AI$1+D51</f>
        <v>4096.6813382551982</v>
      </c>
      <c r="F51" s="54">
        <f t="shared" si="62"/>
        <v>6145.0220073827968</v>
      </c>
      <c r="G51" s="54">
        <f t="shared" si="62"/>
        <v>8193.3626765103963</v>
      </c>
      <c r="H51" s="54">
        <f t="shared" si="62"/>
        <v>10241.703345637996</v>
      </c>
      <c r="I51" s="54">
        <f t="shared" si="62"/>
        <v>12290.044014765595</v>
      </c>
      <c r="J51" s="54">
        <f t="shared" si="62"/>
        <v>14338.384683893195</v>
      </c>
      <c r="K51" s="54">
        <f t="shared" si="62"/>
        <v>16386.725353020793</v>
      </c>
      <c r="L51" s="54">
        <f t="shared" si="62"/>
        <v>18435.066022148392</v>
      </c>
      <c r="M51" s="54">
        <f t="shared" si="62"/>
        <v>20483.406691275992</v>
      </c>
      <c r="N51" s="54">
        <f t="shared" si="62"/>
        <v>22531.747360403591</v>
      </c>
      <c r="O51" s="54">
        <f t="shared" si="62"/>
        <v>24580.088029531191</v>
      </c>
      <c r="P51" s="54">
        <f t="shared" si="62"/>
        <v>26628.42869865879</v>
      </c>
      <c r="Q51" s="54">
        <f t="shared" si="62"/>
        <v>28676.76936778639</v>
      </c>
      <c r="R51" s="54">
        <f t="shared" si="62"/>
        <v>30725.110036913989</v>
      </c>
      <c r="S51" s="54">
        <f t="shared" si="62"/>
        <v>32773.450706041585</v>
      </c>
      <c r="T51" s="54">
        <f t="shared" si="62"/>
        <v>34821.791375169181</v>
      </c>
      <c r="U51" s="54">
        <f t="shared" si="62"/>
        <v>36870.132044296777</v>
      </c>
      <c r="V51" s="54">
        <f t="shared" si="62"/>
        <v>38918.472713424373</v>
      </c>
      <c r="W51" s="54">
        <f t="shared" si="62"/>
        <v>40966.813382551969</v>
      </c>
      <c r="X51" s="54">
        <f t="shared" si="62"/>
        <v>43015.154051679565</v>
      </c>
      <c r="Y51" s="54">
        <f t="shared" si="62"/>
        <v>45063.494720807161</v>
      </c>
      <c r="Z51" s="54">
        <f t="shared" si="62"/>
        <v>47111.835389934757</v>
      </c>
      <c r="AA51" s="54">
        <f t="shared" si="62"/>
        <v>49160.176059062353</v>
      </c>
      <c r="AB51" s="54">
        <f t="shared" si="62"/>
        <v>51208.516728189948</v>
      </c>
      <c r="AC51" s="54">
        <f t="shared" si="62"/>
        <v>53256.857397317544</v>
      </c>
      <c r="AD51" s="54">
        <f t="shared" si="62"/>
        <v>55305.19806644514</v>
      </c>
      <c r="AE51" s="54">
        <f t="shared" si="62"/>
        <v>57353.538735572736</v>
      </c>
      <c r="AF51" s="54">
        <f t="shared" si="62"/>
        <v>59401.879404700332</v>
      </c>
      <c r="AG51" s="54">
        <f t="shared" si="62"/>
        <v>61450.220073827928</v>
      </c>
      <c r="AH51" s="54">
        <f t="shared" si="62"/>
        <v>63498.560742955524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2688.0141696969699</v>
      </c>
      <c r="E52" s="54">
        <f t="shared" ref="E52:AH52" si="63">D52+$AI$12/$AI$1</f>
        <v>5376.0283393939399</v>
      </c>
      <c r="F52" s="54">
        <f t="shared" si="63"/>
        <v>8064.0425090909102</v>
      </c>
      <c r="G52" s="54">
        <f t="shared" si="63"/>
        <v>10752.05667878788</v>
      </c>
      <c r="H52" s="54">
        <f t="shared" si="63"/>
        <v>13440.070848484849</v>
      </c>
      <c r="I52" s="54">
        <f t="shared" si="63"/>
        <v>16128.085018181819</v>
      </c>
      <c r="J52" s="54">
        <f t="shared" si="63"/>
        <v>18816.09918787879</v>
      </c>
      <c r="K52" s="54">
        <f t="shared" si="63"/>
        <v>21504.113357575759</v>
      </c>
      <c r="L52" s="54">
        <f t="shared" si="63"/>
        <v>24192.127527272729</v>
      </c>
      <c r="M52" s="54">
        <f t="shared" si="63"/>
        <v>26880.141696969698</v>
      </c>
      <c r="N52" s="54">
        <f t="shared" si="63"/>
        <v>29568.155866666668</v>
      </c>
      <c r="O52" s="54">
        <f t="shared" si="63"/>
        <v>32256.170036363637</v>
      </c>
      <c r="P52" s="54">
        <f t="shared" si="63"/>
        <v>34944.184206060607</v>
      </c>
      <c r="Q52" s="54">
        <f t="shared" si="63"/>
        <v>37632.19837575758</v>
      </c>
      <c r="R52" s="54">
        <f t="shared" si="63"/>
        <v>40320.212545454553</v>
      </c>
      <c r="S52" s="54">
        <f t="shared" si="63"/>
        <v>43008.226715151526</v>
      </c>
      <c r="T52" s="54">
        <f t="shared" si="63"/>
        <v>45696.240884848499</v>
      </c>
      <c r="U52" s="54">
        <f t="shared" si="63"/>
        <v>48384.255054545472</v>
      </c>
      <c r="V52" s="54">
        <f t="shared" si="63"/>
        <v>51072.269224242445</v>
      </c>
      <c r="W52" s="54">
        <f t="shared" si="63"/>
        <v>53760.283393939419</v>
      </c>
      <c r="X52" s="54">
        <f t="shared" si="63"/>
        <v>56448.297563636392</v>
      </c>
      <c r="Y52" s="54">
        <f t="shared" si="63"/>
        <v>59136.311733333365</v>
      </c>
      <c r="Z52" s="54">
        <f t="shared" si="63"/>
        <v>61824.325903030338</v>
      </c>
      <c r="AA52" s="54">
        <f t="shared" si="63"/>
        <v>64512.340072727311</v>
      </c>
      <c r="AB52" s="54">
        <f t="shared" si="63"/>
        <v>67200.354242424277</v>
      </c>
      <c r="AC52" s="54">
        <f t="shared" si="63"/>
        <v>69888.368412121243</v>
      </c>
      <c r="AD52" s="54">
        <f t="shared" si="63"/>
        <v>72576.382581818209</v>
      </c>
      <c r="AE52" s="54">
        <f t="shared" si="63"/>
        <v>75264.396751515174</v>
      </c>
      <c r="AF52" s="54">
        <f t="shared" si="63"/>
        <v>77952.41092121214</v>
      </c>
      <c r="AG52" s="54">
        <f t="shared" si="63"/>
        <v>80640.425090909106</v>
      </c>
      <c r="AH52" s="54">
        <f t="shared" si="63"/>
        <v>83328.439260606072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5" t="s">
        <v>57</v>
      </c>
      <c r="B2" s="212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9" t="s">
        <v>61</v>
      </c>
      <c r="CA2" s="220"/>
      <c r="CB2" s="220"/>
      <c r="CC2" s="220"/>
      <c r="CD2" s="220"/>
    </row>
    <row r="3" spans="1:82" ht="45" x14ac:dyDescent="0.35">
      <c r="A3" s="216"/>
      <c r="B3" s="213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8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17"/>
      <c r="B4" s="214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1" sqref="D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35">
        <v>14</v>
      </c>
      <c r="R3" s="135">
        <v>15</v>
      </c>
      <c r="S3" s="135">
        <v>16</v>
      </c>
      <c r="T3" s="135">
        <v>17</v>
      </c>
      <c r="U3" s="135">
        <v>18</v>
      </c>
      <c r="V3" s="135">
        <v>19</v>
      </c>
      <c r="W3" s="135">
        <v>20</v>
      </c>
      <c r="X3" s="135">
        <v>21</v>
      </c>
      <c r="Y3" s="135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10688.79-584.08176</f>
        <v>10104.70824</v>
      </c>
      <c r="J5" s="8">
        <v>8008.23</v>
      </c>
      <c r="K5" s="8"/>
      <c r="L5" s="8">
        <v>7140.2709999999997</v>
      </c>
      <c r="M5" s="8">
        <v>11542.277000000002</v>
      </c>
      <c r="N5" s="8">
        <v>13035.490999999998</v>
      </c>
      <c r="O5" s="8">
        <v>27007.339000000004</v>
      </c>
      <c r="P5" s="8">
        <v>11778.205</v>
      </c>
      <c r="Q5" s="8">
        <v>22762.335999999999</v>
      </c>
      <c r="R5" s="8">
        <v>17336.537000000004</v>
      </c>
      <c r="S5" s="8">
        <v>15762.483999999999</v>
      </c>
      <c r="T5" s="8">
        <v>17525.481</v>
      </c>
      <c r="U5" s="8">
        <v>1818.52</v>
      </c>
      <c r="V5" s="8">
        <v>8088.54</v>
      </c>
      <c r="W5" s="8">
        <v>14026.48</v>
      </c>
      <c r="X5" s="8">
        <v>11594.61</v>
      </c>
      <c r="Y5" s="8">
        <v>15091.347999999998</v>
      </c>
      <c r="Z5" s="8">
        <f>Monthly!I5/4</f>
        <v>14621.455952083637</v>
      </c>
      <c r="AA5" s="8">
        <f>Monthly!I5/4</f>
        <v>14621.455952083637</v>
      </c>
      <c r="AB5" s="8">
        <f>Monthly!I5/4</f>
        <v>14621.455952083637</v>
      </c>
      <c r="AC5" s="8">
        <f>Monthly!I5/4</f>
        <v>14621.455952083637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v>21434.21</v>
      </c>
      <c r="J6" s="8">
        <v>18311.300000000003</v>
      </c>
      <c r="K6" s="8"/>
      <c r="L6" s="8">
        <v>17117.879999999997</v>
      </c>
      <c r="M6" s="8">
        <v>20003.509999999998</v>
      </c>
      <c r="N6" s="8">
        <v>11793.16</v>
      </c>
      <c r="O6" s="8">
        <v>32591.71</v>
      </c>
      <c r="P6" s="8">
        <v>15105.310000000001</v>
      </c>
      <c r="Q6" s="8">
        <v>1265.94</v>
      </c>
      <c r="R6" s="8">
        <v>9610.82</v>
      </c>
      <c r="S6" s="8">
        <v>12528.79</v>
      </c>
      <c r="T6" s="8">
        <v>22919.9</v>
      </c>
      <c r="U6" s="8">
        <v>22117.440000000002</v>
      </c>
      <c r="V6" s="8">
        <v>0</v>
      </c>
      <c r="W6" s="8">
        <v>17700.900000000001</v>
      </c>
      <c r="X6" s="8">
        <v>22930.48</v>
      </c>
      <c r="Y6" s="8">
        <v>46715.33</v>
      </c>
      <c r="Z6" s="8">
        <f>Monthly!I6/4</f>
        <v>21173.506022727273</v>
      </c>
      <c r="AA6" s="8">
        <f>Monthly!I6/4</f>
        <v>21173.506022727273</v>
      </c>
      <c r="AB6" s="8">
        <f>Monthly!I6/4</f>
        <v>21173.506022727273</v>
      </c>
      <c r="AC6" s="8">
        <f>Monthly!I6/4</f>
        <v>21173.506022727273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v>3263.2300000000005</v>
      </c>
      <c r="J7" s="8">
        <v>5226.87</v>
      </c>
      <c r="K7" s="8"/>
      <c r="L7" s="8">
        <v>2565.46</v>
      </c>
      <c r="M7" s="8">
        <v>3982.2599999999998</v>
      </c>
      <c r="N7" s="8">
        <v>4803.5200000000004</v>
      </c>
      <c r="O7" s="8">
        <v>4052.35</v>
      </c>
      <c r="P7" s="8">
        <v>4422.76</v>
      </c>
      <c r="Q7" s="8">
        <v>2543.9800000000005</v>
      </c>
      <c r="R7" s="8">
        <v>4247.6399999999994</v>
      </c>
      <c r="S7" s="8">
        <v>4849</v>
      </c>
      <c r="T7" s="8">
        <v>3253.7299999999996</v>
      </c>
      <c r="U7" s="8">
        <v>1787.88</v>
      </c>
      <c r="V7" s="8">
        <v>3931.7200000000003</v>
      </c>
      <c r="W7" s="8">
        <v>3051.91</v>
      </c>
      <c r="X7" s="8">
        <v>4688.6000000000004</v>
      </c>
      <c r="Y7" s="8">
        <v>5662.86</v>
      </c>
      <c r="Z7" s="8">
        <f>Monthly!I7/4</f>
        <v>83.806250000000006</v>
      </c>
      <c r="AA7" s="8">
        <f>Monthly!I7/4</f>
        <v>83.806250000000006</v>
      </c>
      <c r="AB7" s="8">
        <f>Monthly!I7/4</f>
        <v>83.806250000000006</v>
      </c>
      <c r="AC7" s="8">
        <f>Monthly!I7/4</f>
        <v>83.806250000000006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34802.148240000002</v>
      </c>
      <c r="J8" s="76">
        <f t="shared" si="0"/>
        <v>31546.400000000001</v>
      </c>
      <c r="K8" s="76">
        <f t="shared" si="0"/>
        <v>0</v>
      </c>
      <c r="L8" s="76">
        <f t="shared" si="0"/>
        <v>26823.610999999997</v>
      </c>
      <c r="M8" s="76">
        <f t="shared" si="0"/>
        <v>35528.046999999999</v>
      </c>
      <c r="N8" s="76">
        <f t="shared" si="0"/>
        <v>29632.170999999998</v>
      </c>
      <c r="O8" s="76">
        <f t="shared" si="0"/>
        <v>63651.398999999998</v>
      </c>
      <c r="P8" s="76">
        <f t="shared" si="0"/>
        <v>31306.275000000001</v>
      </c>
      <c r="Q8" s="76">
        <f t="shared" si="0"/>
        <v>26572.255999999998</v>
      </c>
      <c r="R8" s="76">
        <f t="shared" si="0"/>
        <v>31194.997000000003</v>
      </c>
      <c r="S8" s="76">
        <f t="shared" si="0"/>
        <v>33140.273999999998</v>
      </c>
      <c r="T8" s="76">
        <f t="shared" si="0"/>
        <v>43699.111000000004</v>
      </c>
      <c r="U8" s="76">
        <f t="shared" si="0"/>
        <v>25723.840000000004</v>
      </c>
      <c r="V8" s="76">
        <f t="shared" si="0"/>
        <v>12020.26</v>
      </c>
      <c r="W8" s="76">
        <f t="shared" si="0"/>
        <v>34779.29</v>
      </c>
      <c r="X8" s="76">
        <f t="shared" si="0"/>
        <v>39213.689999999995</v>
      </c>
      <c r="Y8" s="76">
        <f t="shared" si="0"/>
        <v>67469.538</v>
      </c>
      <c r="Z8" s="76">
        <f t="shared" si="0"/>
        <v>35878.768224810912</v>
      </c>
      <c r="AA8" s="76">
        <f t="shared" si="0"/>
        <v>35878.768224810912</v>
      </c>
      <c r="AB8" s="76">
        <f t="shared" si="0"/>
        <v>35878.768224810912</v>
      </c>
      <c r="AC8" s="76">
        <f t="shared" si="0"/>
        <v>35878.768224810912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1666185.4373957932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141131.71824000002</v>
      </c>
      <c r="J9" s="36">
        <f t="shared" si="2"/>
        <v>172678.11824000001</v>
      </c>
      <c r="K9" s="36">
        <f t="shared" si="2"/>
        <v>172678.11824000001</v>
      </c>
      <c r="L9" s="36">
        <f t="shared" si="2"/>
        <v>199501.72924000002</v>
      </c>
      <c r="M9" s="36">
        <f t="shared" si="2"/>
        <v>235029.77624000001</v>
      </c>
      <c r="N9" s="36">
        <f t="shared" si="2"/>
        <v>264661.94724000001</v>
      </c>
      <c r="O9" s="36">
        <f t="shared" si="2"/>
        <v>328313.34623999998</v>
      </c>
      <c r="P9" s="36">
        <f t="shared" si="2"/>
        <v>359619.62124000001</v>
      </c>
      <c r="Q9" s="36">
        <f t="shared" si="2"/>
        <v>386191.87724</v>
      </c>
      <c r="R9" s="36">
        <f t="shared" si="2"/>
        <v>417386.87424000003</v>
      </c>
      <c r="S9" s="36">
        <f t="shared" si="2"/>
        <v>450527.14824000001</v>
      </c>
      <c r="T9" s="36">
        <f t="shared" si="2"/>
        <v>494226.25924000004</v>
      </c>
      <c r="U9" s="36">
        <f t="shared" si="2"/>
        <v>519950.09924000007</v>
      </c>
      <c r="V9" s="36">
        <f t="shared" si="2"/>
        <v>531970.35924000002</v>
      </c>
      <c r="W9" s="36">
        <f t="shared" si="2"/>
        <v>566749.64924000006</v>
      </c>
      <c r="X9" s="36">
        <f t="shared" si="2"/>
        <v>605963.33924</v>
      </c>
      <c r="Y9" s="36">
        <f t="shared" si="2"/>
        <v>673432.87724000006</v>
      </c>
      <c r="Z9" s="36">
        <f t="shared" si="2"/>
        <v>709311.64546481101</v>
      </c>
      <c r="AA9" s="36">
        <f t="shared" si="2"/>
        <v>745190.41368962196</v>
      </c>
      <c r="AB9" s="36">
        <f t="shared" si="2"/>
        <v>781069.18191443291</v>
      </c>
      <c r="AC9" s="36">
        <f t="shared" si="2"/>
        <v>816947.95013924385</v>
      </c>
      <c r="AD9" s="36">
        <f t="shared" si="2"/>
        <v>845469.43791283586</v>
      </c>
      <c r="AE9" s="36">
        <f t="shared" si="2"/>
        <v>873990.92568642786</v>
      </c>
      <c r="AF9" s="36">
        <f t="shared" si="2"/>
        <v>902512.41346001986</v>
      </c>
      <c r="AG9" s="36">
        <f t="shared" si="2"/>
        <v>931033.90123361186</v>
      </c>
      <c r="AH9" s="36">
        <f t="shared" si="2"/>
        <v>959555.38900720386</v>
      </c>
      <c r="AI9" s="36">
        <f t="shared" si="2"/>
        <v>994156.37725674</v>
      </c>
      <c r="AJ9" s="36">
        <f t="shared" si="2"/>
        <v>1028757.3655062761</v>
      </c>
      <c r="AK9" s="36">
        <f t="shared" si="2"/>
        <v>1063358.3537558124</v>
      </c>
      <c r="AL9" s="36">
        <f t="shared" si="2"/>
        <v>1097959.3420053485</v>
      </c>
      <c r="AM9" s="36">
        <f t="shared" si="2"/>
        <v>1134309.3122609193</v>
      </c>
      <c r="AN9" s="36">
        <f t="shared" si="2"/>
        <v>1170659.28251649</v>
      </c>
      <c r="AO9" s="36">
        <f t="shared" si="2"/>
        <v>1207009.2527720607</v>
      </c>
      <c r="AP9" s="36">
        <f t="shared" si="2"/>
        <v>1243359.2230276314</v>
      </c>
      <c r="AQ9" s="36">
        <f t="shared" ref="AQ9" si="3">AP9+AQ8</f>
        <v>1270381.6375722641</v>
      </c>
      <c r="AR9" s="36">
        <f t="shared" ref="AR9" si="4">AQ9+AR8</f>
        <v>1297404.0521168967</v>
      </c>
      <c r="AS9" s="36">
        <f t="shared" ref="AS9" si="5">AR9+AS8</f>
        <v>1324426.4666615294</v>
      </c>
      <c r="AT9" s="36">
        <f t="shared" ref="AT9" si="6">AS9+AT8</f>
        <v>1351448.881206162</v>
      </c>
      <c r="AU9" s="36">
        <f t="shared" ref="AU9" si="7">AT9+AU8</f>
        <v>1378471.2957507947</v>
      </c>
      <c r="AV9" s="36">
        <f t="shared" ref="AV9" si="8">AU9+AV8</f>
        <v>1414255.0541305013</v>
      </c>
      <c r="AW9" s="36">
        <f t="shared" ref="AW9" si="9">AV9+AW8</f>
        <v>1450038.812510208</v>
      </c>
      <c r="AX9" s="36">
        <f t="shared" ref="AX9" si="10">AW9+AX8</f>
        <v>1485822.5708899146</v>
      </c>
      <c r="AY9" s="36">
        <f t="shared" ref="AY9" si="11">AX9+AY8</f>
        <v>1521606.3292696213</v>
      </c>
      <c r="AZ9" s="36">
        <f t="shared" ref="AZ9" si="12">AY9+AZ8</f>
        <v>1557751.1063011643</v>
      </c>
      <c r="BA9" s="36">
        <f t="shared" ref="BA9" si="13">AZ9+BA8</f>
        <v>1593895.8833327072</v>
      </c>
      <c r="BB9" s="36">
        <f t="shared" ref="BB9" si="14">BA9+BB8</f>
        <v>1630040.6603642502</v>
      </c>
      <c r="BC9" s="36">
        <f>BB9+BC8</f>
        <v>1666185.4373957932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0.99502294554051629</v>
      </c>
      <c r="BE10" s="99">
        <f>1-BD10</f>
        <v>4.9770544594837096E-3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35">
        <f t="shared" si="15"/>
        <v>14</v>
      </c>
      <c r="R11" s="135">
        <f t="shared" si="15"/>
        <v>15</v>
      </c>
      <c r="S11" s="135">
        <f t="shared" si="15"/>
        <v>16</v>
      </c>
      <c r="T11" s="135">
        <f t="shared" si="15"/>
        <v>17</v>
      </c>
      <c r="U11" s="135">
        <f t="shared" si="15"/>
        <v>18</v>
      </c>
      <c r="V11" s="135">
        <f t="shared" si="15"/>
        <v>19</v>
      </c>
      <c r="W11" s="135">
        <f t="shared" si="15"/>
        <v>20</v>
      </c>
      <c r="X11" s="135">
        <f t="shared" si="15"/>
        <v>21</v>
      </c>
      <c r="Y11" s="135">
        <f t="shared" si="15"/>
        <v>22</v>
      </c>
      <c r="Z11" s="1">
        <f t="shared" si="15"/>
        <v>23</v>
      </c>
      <c r="AA11" s="1">
        <f t="shared" si="15"/>
        <v>24</v>
      </c>
      <c r="AB11" s="1">
        <f t="shared" si="15"/>
        <v>25</v>
      </c>
      <c r="AC11" s="1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387.72-51.706</f>
        <v>336.01400000000001</v>
      </c>
      <c r="J13" s="8">
        <v>254.18</v>
      </c>
      <c r="K13" s="8"/>
      <c r="L13" s="8">
        <v>219.83999999999997</v>
      </c>
      <c r="M13" s="8">
        <v>389.34899999999999</v>
      </c>
      <c r="N13" s="8">
        <v>514.4620000000001</v>
      </c>
      <c r="O13" s="8">
        <v>980.25200000000007</v>
      </c>
      <c r="P13" s="8">
        <v>377.75199999999995</v>
      </c>
      <c r="Q13" s="8">
        <v>776.274</v>
      </c>
      <c r="R13" s="8">
        <v>590.66399999999999</v>
      </c>
      <c r="S13" s="8">
        <v>517.99900000000002</v>
      </c>
      <c r="T13" s="8">
        <v>578.64400000000001</v>
      </c>
      <c r="U13" s="8">
        <v>57.201000000000001</v>
      </c>
      <c r="V13" s="8">
        <v>251.95</v>
      </c>
      <c r="W13" s="8">
        <v>448.79999999999995</v>
      </c>
      <c r="X13" s="8">
        <v>365.34800000000001</v>
      </c>
      <c r="Y13" s="8">
        <v>475.202</v>
      </c>
      <c r="Z13" s="8">
        <f>Monthly!I12/4</f>
        <v>483.9880455568985</v>
      </c>
      <c r="AA13" s="8">
        <f>Monthly!I12/4</f>
        <v>483.9880455568985</v>
      </c>
      <c r="AB13" s="8">
        <f>Monthly!I12/4</f>
        <v>483.9880455568985</v>
      </c>
      <c r="AC13" s="8">
        <f>Monthly!I12/4</f>
        <v>483.9880455568985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v>728.35</v>
      </c>
      <c r="J14" s="8">
        <v>660</v>
      </c>
      <c r="K14" s="8"/>
      <c r="L14" s="8">
        <v>638</v>
      </c>
      <c r="M14" s="8">
        <v>681</v>
      </c>
      <c r="N14" s="8">
        <v>418</v>
      </c>
      <c r="O14" s="8">
        <v>1142</v>
      </c>
      <c r="P14" s="8">
        <v>528</v>
      </c>
      <c r="Q14" s="8">
        <v>44</v>
      </c>
      <c r="R14" s="8">
        <v>352</v>
      </c>
      <c r="S14" s="8">
        <v>398</v>
      </c>
      <c r="T14" s="8">
        <v>770</v>
      </c>
      <c r="U14" s="8">
        <v>741</v>
      </c>
      <c r="V14" s="8">
        <v>0</v>
      </c>
      <c r="W14" s="8">
        <v>572</v>
      </c>
      <c r="X14" s="8">
        <v>902</v>
      </c>
      <c r="Y14" s="8">
        <v>1408</v>
      </c>
      <c r="Z14" s="8">
        <f>Monthly!I13/4</f>
        <v>686.25</v>
      </c>
      <c r="AA14" s="8">
        <f>Monthly!I13/4</f>
        <v>686.25</v>
      </c>
      <c r="AB14" s="8">
        <f>Monthly!I13/4</f>
        <v>686.25</v>
      </c>
      <c r="AC14" s="8">
        <f>Monthly!I13/4</f>
        <v>686.25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v>99.4</v>
      </c>
      <c r="J15" s="8">
        <v>154</v>
      </c>
      <c r="K15" s="8"/>
      <c r="L15" s="8">
        <v>77</v>
      </c>
      <c r="M15" s="8">
        <f>139.95-11</f>
        <v>128.94999999999999</v>
      </c>
      <c r="N15" s="8">
        <v>143</v>
      </c>
      <c r="O15" s="8">
        <v>126.5</v>
      </c>
      <c r="P15" s="8">
        <v>139.69999999999999</v>
      </c>
      <c r="Q15" s="8">
        <v>77.2</v>
      </c>
      <c r="R15" s="8">
        <v>126.5</v>
      </c>
      <c r="S15" s="8">
        <v>144.81</v>
      </c>
      <c r="T15" s="8">
        <v>99.059999999999988</v>
      </c>
      <c r="U15" s="8">
        <v>52.25</v>
      </c>
      <c r="V15" s="8">
        <v>114.4</v>
      </c>
      <c r="W15" s="8">
        <v>86.45</v>
      </c>
      <c r="X15" s="8">
        <v>140.80000000000001</v>
      </c>
      <c r="Y15" s="8">
        <v>167.2</v>
      </c>
      <c r="Z15" s="8">
        <f>Monthly!I14/4</f>
        <v>2.75</v>
      </c>
      <c r="AA15" s="8">
        <f>Monthly!I14/4</f>
        <v>2.75</v>
      </c>
      <c r="AB15" s="8">
        <f>Monthly!I14/4</f>
        <v>2.75</v>
      </c>
      <c r="AC15" s="8">
        <f>Monthly!I14/4</f>
        <v>2.75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1163.7640000000001</v>
      </c>
      <c r="J16" s="76">
        <f t="shared" si="17"/>
        <v>1068.18</v>
      </c>
      <c r="K16" s="76">
        <f t="shared" si="17"/>
        <v>0</v>
      </c>
      <c r="L16" s="76">
        <f t="shared" si="17"/>
        <v>934.83999999999992</v>
      </c>
      <c r="M16" s="76">
        <f t="shared" si="17"/>
        <v>1199.299</v>
      </c>
      <c r="N16" s="76">
        <f t="shared" si="17"/>
        <v>1075.462</v>
      </c>
      <c r="O16" s="76">
        <f t="shared" si="17"/>
        <v>2248.752</v>
      </c>
      <c r="P16" s="76">
        <f t="shared" si="17"/>
        <v>1045.452</v>
      </c>
      <c r="Q16" s="76">
        <f t="shared" si="17"/>
        <v>897.47400000000005</v>
      </c>
      <c r="R16" s="76">
        <f t="shared" si="17"/>
        <v>1069.164</v>
      </c>
      <c r="S16" s="76">
        <f t="shared" si="17"/>
        <v>1060.809</v>
      </c>
      <c r="T16" s="76">
        <f t="shared" si="17"/>
        <v>1447.704</v>
      </c>
      <c r="U16" s="76">
        <f t="shared" si="17"/>
        <v>850.45100000000002</v>
      </c>
      <c r="V16" s="76">
        <f t="shared" si="17"/>
        <v>366.35</v>
      </c>
      <c r="W16" s="76">
        <f t="shared" si="17"/>
        <v>1107.25</v>
      </c>
      <c r="X16" s="76">
        <f t="shared" si="17"/>
        <v>1408.1479999999999</v>
      </c>
      <c r="Y16" s="76">
        <f t="shared" si="17"/>
        <v>2050.402</v>
      </c>
      <c r="Z16" s="76">
        <f t="shared" si="17"/>
        <v>1172.9880455568984</v>
      </c>
      <c r="AA16" s="76">
        <f t="shared" si="17"/>
        <v>1172.9880455568984</v>
      </c>
      <c r="AB16" s="76">
        <f t="shared" si="17"/>
        <v>1172.9880455568984</v>
      </c>
      <c r="AC16" s="76">
        <f t="shared" si="17"/>
        <v>1172.9880455568984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55198.718140351542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4676.7440000000006</v>
      </c>
      <c r="J17" s="66">
        <f t="shared" si="19"/>
        <v>5744.9240000000009</v>
      </c>
      <c r="K17" s="66">
        <f t="shared" si="19"/>
        <v>5744.9240000000009</v>
      </c>
      <c r="L17" s="66">
        <f t="shared" si="19"/>
        <v>6679.764000000001</v>
      </c>
      <c r="M17" s="66">
        <f t="shared" si="19"/>
        <v>7879.063000000001</v>
      </c>
      <c r="N17" s="66">
        <f t="shared" si="19"/>
        <v>8954.5250000000015</v>
      </c>
      <c r="O17" s="66">
        <f t="shared" si="19"/>
        <v>11203.277000000002</v>
      </c>
      <c r="P17" s="66">
        <f t="shared" si="19"/>
        <v>12248.729000000001</v>
      </c>
      <c r="Q17" s="66">
        <f t="shared" si="19"/>
        <v>13146.203000000001</v>
      </c>
      <c r="R17" s="66">
        <f t="shared" si="19"/>
        <v>14215.367000000002</v>
      </c>
      <c r="S17" s="66">
        <f>R17+S16</f>
        <v>15276.176000000001</v>
      </c>
      <c r="T17" s="66">
        <f t="shared" ref="T17" si="20">S17+T16</f>
        <v>16723.88</v>
      </c>
      <c r="U17" s="66">
        <f t="shared" ref="U17" si="21">T17+U16</f>
        <v>17574.331000000002</v>
      </c>
      <c r="V17" s="66">
        <f t="shared" ref="V17" si="22">U17+V16</f>
        <v>17940.681</v>
      </c>
      <c r="W17" s="66">
        <f t="shared" ref="W17" si="23">V17+W16</f>
        <v>19047.931</v>
      </c>
      <c r="X17" s="66">
        <f t="shared" ref="X17" si="24">W17+X16</f>
        <v>20456.079000000002</v>
      </c>
      <c r="Y17" s="66">
        <f t="shared" ref="Y17" si="25">X17+Y16</f>
        <v>22506.481</v>
      </c>
      <c r="Z17" s="66">
        <f t="shared" ref="Z17:AP17" si="26">Y17+Z16</f>
        <v>23679.4690455569</v>
      </c>
      <c r="AA17" s="66">
        <f t="shared" si="26"/>
        <v>24852.4570911138</v>
      </c>
      <c r="AB17" s="66">
        <f t="shared" si="26"/>
        <v>26025.4451366707</v>
      </c>
      <c r="AC17" s="66">
        <f t="shared" si="26"/>
        <v>27198.4331822276</v>
      </c>
      <c r="AD17" s="66">
        <f t="shared" si="26"/>
        <v>28136.317685622253</v>
      </c>
      <c r="AE17" s="66">
        <f t="shared" si="26"/>
        <v>29074.202189016905</v>
      </c>
      <c r="AF17" s="66">
        <f t="shared" si="26"/>
        <v>30012.086692411558</v>
      </c>
      <c r="AG17" s="66">
        <f t="shared" si="26"/>
        <v>30949.971195806211</v>
      </c>
      <c r="AH17" s="66">
        <f t="shared" si="26"/>
        <v>31887.855699200863</v>
      </c>
      <c r="AI17" s="66">
        <f t="shared" si="26"/>
        <v>33028.568073928051</v>
      </c>
      <c r="AJ17" s="66">
        <f t="shared" si="26"/>
        <v>34169.280448655234</v>
      </c>
      <c r="AK17" s="66">
        <f t="shared" si="26"/>
        <v>35309.992823382418</v>
      </c>
      <c r="AL17" s="66">
        <f t="shared" si="26"/>
        <v>36450.705198109601</v>
      </c>
      <c r="AM17" s="66">
        <f t="shared" si="26"/>
        <v>37644.360973581825</v>
      </c>
      <c r="AN17" s="66">
        <f t="shared" si="26"/>
        <v>38838.016749054048</v>
      </c>
      <c r="AO17" s="66">
        <f t="shared" si="26"/>
        <v>40031.672524526271</v>
      </c>
      <c r="AP17" s="66">
        <f t="shared" si="26"/>
        <v>41225.328299998495</v>
      </c>
      <c r="AQ17" s="66">
        <f t="shared" ref="AQ17" si="27">AP17+AQ16</f>
        <v>42119.053559484208</v>
      </c>
      <c r="AR17" s="66">
        <f t="shared" ref="AR17" si="28">AQ17+AR16</f>
        <v>43012.77881896992</v>
      </c>
      <c r="AS17" s="66">
        <f t="shared" ref="AS17" si="29">AR17+AS16</f>
        <v>43906.504078455633</v>
      </c>
      <c r="AT17" s="66">
        <f t="shared" ref="AT17" si="30">AS17+AT16</f>
        <v>44800.229337941346</v>
      </c>
      <c r="AU17" s="66">
        <f t="shared" ref="AU17" si="31">AT17+AU16</f>
        <v>45693.954597427059</v>
      </c>
      <c r="AV17" s="66">
        <f t="shared" ref="AV17" si="32">AU17+AV16</f>
        <v>46874.015378515673</v>
      </c>
      <c r="AW17" s="66">
        <f t="shared" ref="AW17" si="33">AV17+AW16</f>
        <v>48054.076159604287</v>
      </c>
      <c r="AX17" s="66">
        <f t="shared" ref="AX17" si="34">AW17+AX16</f>
        <v>49234.136940692901</v>
      </c>
      <c r="AY17" s="66">
        <f t="shared" ref="AY17" si="35">AX17+AY16</f>
        <v>50414.197721781515</v>
      </c>
      <c r="AZ17" s="66">
        <f t="shared" ref="AZ17" si="36">AY17+AZ16</f>
        <v>51610.327826424022</v>
      </c>
      <c r="BA17" s="66">
        <f t="shared" ref="BA17" si="37">AZ17+BA16</f>
        <v>52806.457931066529</v>
      </c>
      <c r="BB17" s="66">
        <f t="shared" ref="BB17" si="38">BA17+BB16</f>
        <v>54002.588035709035</v>
      </c>
      <c r="BC17" s="66">
        <f>BB17+BC16</f>
        <v>55198.718140351542</v>
      </c>
      <c r="BD17" s="132">
        <f>BD1</f>
        <v>55000.000002186731</v>
      </c>
      <c r="BE17" s="100">
        <f>BD16/BD17</f>
        <v>1.0036130570573984</v>
      </c>
      <c r="BF17" s="100">
        <f>1-BE17</f>
        <v>-3.61305705739845E-3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35">
        <f t="shared" si="41"/>
        <v>14</v>
      </c>
      <c r="R19" s="135">
        <f t="shared" si="41"/>
        <v>15</v>
      </c>
      <c r="S19" s="135">
        <f t="shared" si="41"/>
        <v>16</v>
      </c>
      <c r="T19" s="135">
        <f t="shared" si="41"/>
        <v>17</v>
      </c>
      <c r="U19" s="135">
        <f t="shared" si="41"/>
        <v>18</v>
      </c>
      <c r="V19" s="135">
        <f>V11</f>
        <v>19</v>
      </c>
      <c r="W19" s="135">
        <f t="shared" si="41"/>
        <v>20</v>
      </c>
      <c r="X19" s="135">
        <f t="shared" si="41"/>
        <v>21</v>
      </c>
      <c r="Y19" s="135">
        <f>Y11</f>
        <v>22</v>
      </c>
      <c r="Z19" s="1">
        <f t="shared" si="41"/>
        <v>23</v>
      </c>
      <c r="AA19" s="1">
        <f t="shared" si="41"/>
        <v>24</v>
      </c>
      <c r="AB19" s="1">
        <f t="shared" si="41"/>
        <v>25</v>
      </c>
      <c r="AC19" s="1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30.072283416762396</v>
      </c>
      <c r="J21" s="58">
        <f t="shared" si="43"/>
        <v>31.506137382956958</v>
      </c>
      <c r="K21" s="58" t="str">
        <f t="shared" si="43"/>
        <v xml:space="preserve"> </v>
      </c>
      <c r="L21" s="58">
        <f t="shared" si="43"/>
        <v>32.479398653566236</v>
      </c>
      <c r="M21" s="58">
        <f t="shared" si="43"/>
        <v>29.645066508453862</v>
      </c>
      <c r="N21" s="58">
        <f t="shared" si="43"/>
        <v>25.338102717013104</v>
      </c>
      <c r="O21" s="58">
        <f t="shared" si="43"/>
        <v>27.551424531651048</v>
      </c>
      <c r="P21" s="58">
        <f t="shared" si="43"/>
        <v>31.17972902856901</v>
      </c>
      <c r="Q21" s="58">
        <f t="shared" si="43"/>
        <v>29.322553634412589</v>
      </c>
      <c r="R21" s="58">
        <f t="shared" si="43"/>
        <v>29.350928785231542</v>
      </c>
      <c r="S21" s="58">
        <f t="shared" si="43"/>
        <v>30.429564535838868</v>
      </c>
      <c r="T21" s="58">
        <f t="shared" si="43"/>
        <v>30.28715583329301</v>
      </c>
      <c r="U21" s="58">
        <f t="shared" si="43"/>
        <v>31.791751892449433</v>
      </c>
      <c r="V21" s="58">
        <f t="shared" si="43"/>
        <v>32.103750744195281</v>
      </c>
      <c r="W21" s="58">
        <f t="shared" si="43"/>
        <v>31.253297682709448</v>
      </c>
      <c r="X21" s="58">
        <f t="shared" si="43"/>
        <v>31.73579710303601</v>
      </c>
      <c r="Y21" s="58">
        <f t="shared" si="43"/>
        <v>31.75775354480831</v>
      </c>
      <c r="Z21" s="58">
        <f t="shared" si="43"/>
        <v>30.21036590947103</v>
      </c>
      <c r="AA21" s="58">
        <f t="shared" si="43"/>
        <v>30.21036590947103</v>
      </c>
      <c r="AB21" s="58">
        <f t="shared" si="43"/>
        <v>30.21036590947103</v>
      </c>
      <c r="AC21" s="58">
        <f t="shared" si="43"/>
        <v>30.21036590947103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29.428447861604994</v>
      </c>
      <c r="J22" s="58">
        <f t="shared" si="46"/>
        <v>27.744393939393944</v>
      </c>
      <c r="K22" s="58" t="str">
        <f t="shared" si="46"/>
        <v xml:space="preserve"> </v>
      </c>
      <c r="L22" s="58">
        <f t="shared" si="45"/>
        <v>26.830532915360497</v>
      </c>
      <c r="M22" s="58">
        <f t="shared" si="45"/>
        <v>29.373729809104255</v>
      </c>
      <c r="N22" s="58">
        <f t="shared" si="45"/>
        <v>28.213301435406699</v>
      </c>
      <c r="O22" s="58">
        <f t="shared" si="45"/>
        <v>28.53915061295972</v>
      </c>
      <c r="P22" s="58">
        <f t="shared" si="45"/>
        <v>28.608541666666667</v>
      </c>
      <c r="Q22" s="58">
        <f t="shared" si="45"/>
        <v>28.771363636363638</v>
      </c>
      <c r="R22" s="58">
        <f t="shared" si="45"/>
        <v>27.303465909090907</v>
      </c>
      <c r="S22" s="58">
        <f t="shared" si="45"/>
        <v>31.479371859296485</v>
      </c>
      <c r="T22" s="58">
        <f t="shared" si="45"/>
        <v>29.7661038961039</v>
      </c>
      <c r="U22" s="58">
        <f t="shared" si="45"/>
        <v>29.848097165991906</v>
      </c>
      <c r="V22" s="58" t="str">
        <f t="shared" si="45"/>
        <v xml:space="preserve"> </v>
      </c>
      <c r="W22" s="58">
        <f t="shared" si="45"/>
        <v>30.945629370629373</v>
      </c>
      <c r="X22" s="58">
        <f t="shared" si="45"/>
        <v>25.421818181818182</v>
      </c>
      <c r="Y22" s="58">
        <f t="shared" si="45"/>
        <v>33.178501420454545</v>
      </c>
      <c r="Z22" s="58">
        <f t="shared" si="45"/>
        <v>30.853924987580726</v>
      </c>
      <c r="AA22" s="58">
        <f t="shared" si="45"/>
        <v>30.853924987580726</v>
      </c>
      <c r="AB22" s="58">
        <f t="shared" si="45"/>
        <v>30.853924987580726</v>
      </c>
      <c r="AC22" s="58">
        <f t="shared" si="45"/>
        <v>30.853924987580726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32.829275653923546</v>
      </c>
      <c r="J23" s="58">
        <f t="shared" si="49"/>
        <v>33.940714285714286</v>
      </c>
      <c r="K23" s="58" t="str">
        <f t="shared" si="49"/>
        <v/>
      </c>
      <c r="L23" s="58">
        <f t="shared" si="49"/>
        <v>33.317662337662341</v>
      </c>
      <c r="M23" s="58">
        <f t="shared" si="49"/>
        <v>30.882202404032572</v>
      </c>
      <c r="N23" s="58">
        <f t="shared" si="49"/>
        <v>33.591048951048954</v>
      </c>
      <c r="O23" s="58">
        <f t="shared" si="49"/>
        <v>32.034387351778655</v>
      </c>
      <c r="P23" s="58">
        <f t="shared" si="49"/>
        <v>31.658983536148895</v>
      </c>
      <c r="Q23" s="58">
        <f t="shared" si="49"/>
        <v>32.95310880829016</v>
      </c>
      <c r="R23" s="58">
        <f t="shared" si="49"/>
        <v>33.578181818181811</v>
      </c>
      <c r="S23" s="58">
        <f t="shared" si="49"/>
        <v>33.485256543056416</v>
      </c>
      <c r="T23" s="58">
        <f t="shared" si="49"/>
        <v>32.846052897233996</v>
      </c>
      <c r="U23" s="58">
        <f t="shared" si="49"/>
        <v>34.2177990430622</v>
      </c>
      <c r="V23" s="58">
        <f t="shared" si="49"/>
        <v>34.368181818181817</v>
      </c>
      <c r="W23" s="58">
        <f t="shared" si="49"/>
        <v>35.302602660497392</v>
      </c>
      <c r="X23" s="58">
        <f t="shared" si="49"/>
        <v>33.299715909090907</v>
      </c>
      <c r="Y23" s="58">
        <f t="shared" si="49"/>
        <v>33.868779904306223</v>
      </c>
      <c r="Z23" s="58">
        <f t="shared" si="49"/>
        <v>30.475000000000001</v>
      </c>
      <c r="AA23" s="58">
        <f t="shared" si="49"/>
        <v>30.475000000000001</v>
      </c>
      <c r="AB23" s="58">
        <f t="shared" si="49"/>
        <v>30.475000000000001</v>
      </c>
      <c r="AC23" s="58">
        <f t="shared" si="49"/>
        <v>30.475000000000001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29.631703289476153</v>
      </c>
      <c r="J24" s="78">
        <f t="shared" si="50"/>
        <v>28.790314817650792</v>
      </c>
      <c r="K24" s="78" t="e">
        <f t="shared" si="50"/>
        <v>#DIV/0!</v>
      </c>
      <c r="L24" s="78">
        <f t="shared" si="50"/>
        <v>28.278176583045791</v>
      </c>
      <c r="M24" s="78">
        <f t="shared" si="50"/>
        <v>29.472430954763354</v>
      </c>
      <c r="N24" s="78">
        <f t="shared" si="50"/>
        <v>26.626984263165678</v>
      </c>
      <c r="O24" s="78">
        <f t="shared" si="50"/>
        <v>28.082927475153753</v>
      </c>
      <c r="P24" s="78">
        <f t="shared" si="50"/>
        <v>29.680878430298801</v>
      </c>
      <c r="Q24" s="78">
        <f t="shared" si="50"/>
        <v>29.292987465164078</v>
      </c>
      <c r="R24" s="78">
        <f t="shared" si="50"/>
        <v>28.586386029380566</v>
      </c>
      <c r="S24" s="78">
        <f t="shared" si="50"/>
        <v>30.885704023694345</v>
      </c>
      <c r="T24" s="78">
        <f t="shared" si="50"/>
        <v>29.989664433312274</v>
      </c>
      <c r="U24" s="78">
        <f t="shared" si="50"/>
        <v>29.98738413006248</v>
      </c>
      <c r="V24" s="78">
        <f t="shared" si="50"/>
        <v>32.103750744195281</v>
      </c>
      <c r="W24" s="78">
        <f t="shared" si="50"/>
        <v>31.080897335423199</v>
      </c>
      <c r="X24" s="78">
        <f t="shared" si="50"/>
        <v>27.241996673368323</v>
      </c>
      <c r="Y24" s="78">
        <f t="shared" si="50"/>
        <v>32.819993819037997</v>
      </c>
      <c r="Z24" s="78">
        <f t="shared" si="50"/>
        <v>30.587761277045676</v>
      </c>
      <c r="AA24" s="78">
        <f t="shared" si="50"/>
        <v>30.587761277045676</v>
      </c>
      <c r="AB24" s="78">
        <f t="shared" si="50"/>
        <v>30.587761277045676</v>
      </c>
      <c r="AC24" s="78">
        <f t="shared" si="50"/>
        <v>30.587761277045676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J26" sqref="J26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36" t="s">
        <v>31</v>
      </c>
      <c r="H17" s="136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38113.06</v>
      </c>
      <c r="E19" s="8">
        <v>25253.222000000002</v>
      </c>
      <c r="F19" s="8">
        <v>66434.883999999991</v>
      </c>
      <c r="G19" s="8">
        <v>70736.266000000003</v>
      </c>
      <c r="H19" s="8">
        <f>Daily!AI6</f>
        <v>50198.498</v>
      </c>
      <c r="I19" s="8"/>
      <c r="J19" s="8"/>
      <c r="K19" s="8"/>
      <c r="L19" s="8"/>
      <c r="M19" s="8"/>
      <c r="N19" s="8"/>
      <c r="O19" s="8"/>
      <c r="P19" s="8">
        <f t="shared" ref="P19:P20" si="8">SUM(D19:O19)</f>
        <v>250735.93</v>
      </c>
    </row>
    <row r="20" spans="2:17" x14ac:dyDescent="0.45">
      <c r="B20" s="2"/>
      <c r="C20" s="3" t="s">
        <v>4</v>
      </c>
      <c r="D20" s="8">
        <v>53472.090000000011</v>
      </c>
      <c r="E20" s="8">
        <v>56863.39</v>
      </c>
      <c r="F20" s="8">
        <v>80759.629999999976</v>
      </c>
      <c r="G20" s="8">
        <v>67176.95</v>
      </c>
      <c r="H20" s="8">
        <f>Daily!AI7</f>
        <v>87346.709999999992</v>
      </c>
      <c r="I20" s="8"/>
      <c r="J20" s="8"/>
      <c r="K20" s="8"/>
      <c r="L20" s="8"/>
      <c r="M20" s="8"/>
      <c r="N20" s="8"/>
      <c r="O20" s="8"/>
      <c r="P20" s="8">
        <f t="shared" si="8"/>
        <v>345618.77</v>
      </c>
    </row>
    <row r="21" spans="2:17" x14ac:dyDescent="0.45">
      <c r="B21" s="29"/>
      <c r="C21" s="30" t="s">
        <v>5</v>
      </c>
      <c r="D21" s="8">
        <v>14744.419999999998</v>
      </c>
      <c r="E21" s="8">
        <v>11055.560000000001</v>
      </c>
      <c r="F21" s="8">
        <v>17967.329999999998</v>
      </c>
      <c r="G21" s="8">
        <v>15624.920000000006</v>
      </c>
      <c r="H21" s="8">
        <f>Daily!AI8</f>
        <v>17685.960000000003</v>
      </c>
      <c r="I21" s="31"/>
      <c r="J21" s="31"/>
      <c r="K21" s="31"/>
      <c r="L21" s="8"/>
      <c r="M21" s="8"/>
      <c r="N21" s="8"/>
      <c r="O21" s="8"/>
      <c r="P21" s="31">
        <f>SUM(D21:O21)</f>
        <v>77078.19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93172.171999999991</v>
      </c>
      <c r="F22" s="75">
        <f t="shared" si="9"/>
        <v>165161.84399999995</v>
      </c>
      <c r="G22" s="75">
        <f t="shared" si="9"/>
        <v>153538.13600000003</v>
      </c>
      <c r="H22" s="75">
        <f t="shared" si="9"/>
        <v>155231.16799999998</v>
      </c>
      <c r="I22" s="75">
        <f t="shared" si="9"/>
        <v>0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673432.8899999999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36" t="str">
        <f t="shared" si="10"/>
        <v>T04</v>
      </c>
      <c r="H24" s="136" t="str">
        <f t="shared" si="10"/>
        <v>T05</v>
      </c>
      <c r="I24" s="1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1166.6699999999998</v>
      </c>
      <c r="E26" s="8">
        <v>810.02999999999986</v>
      </c>
      <c r="F26" s="8">
        <v>2361.0880000000002</v>
      </c>
      <c r="G26" s="8">
        <v>2377.509</v>
      </c>
      <c r="H26" s="8">
        <f>Daily!AI21</f>
        <v>1585.2999999999997</v>
      </c>
      <c r="I26" s="8"/>
      <c r="J26" s="8"/>
      <c r="K26" s="8"/>
      <c r="L26" s="8"/>
      <c r="M26" s="8"/>
      <c r="N26" s="8"/>
      <c r="O26" s="8"/>
      <c r="P26" s="8">
        <f>SUM(D26:O26)</f>
        <v>8300.5969999999998</v>
      </c>
    </row>
    <row r="27" spans="2:17" x14ac:dyDescent="0.45">
      <c r="B27" s="2"/>
      <c r="C27" s="3" t="s">
        <v>4</v>
      </c>
      <c r="D27" s="8">
        <v>1893</v>
      </c>
      <c r="E27" s="8">
        <v>2026.35</v>
      </c>
      <c r="F27" s="8">
        <v>2813</v>
      </c>
      <c r="G27" s="8">
        <v>2261</v>
      </c>
      <c r="H27" s="8">
        <f>Daily!AI22</f>
        <v>2882</v>
      </c>
      <c r="I27" s="8"/>
      <c r="J27" s="8"/>
      <c r="K27" s="8"/>
      <c r="L27" s="8"/>
      <c r="M27" s="8"/>
      <c r="N27" s="8"/>
      <c r="O27" s="8"/>
      <c r="P27" s="8">
        <f t="shared" ref="P27:P28" si="11">SUM(D27:O27)</f>
        <v>11875.35</v>
      </c>
    </row>
    <row r="28" spans="2:17" x14ac:dyDescent="0.45">
      <c r="B28" s="29"/>
      <c r="C28" s="30" t="s">
        <v>5</v>
      </c>
      <c r="D28" s="8">
        <v>453.31</v>
      </c>
      <c r="E28" s="8">
        <v>330.4</v>
      </c>
      <c r="F28" s="8">
        <v>560.15</v>
      </c>
      <c r="G28" s="8">
        <v>466.82</v>
      </c>
      <c r="H28" s="8">
        <f>Daily!AI23</f>
        <v>519.85</v>
      </c>
      <c r="I28" s="8"/>
      <c r="J28" s="8"/>
      <c r="K28" s="8"/>
      <c r="L28" s="8"/>
      <c r="M28" s="8"/>
      <c r="N28" s="8"/>
      <c r="O28" s="8"/>
      <c r="P28" s="8">
        <f t="shared" si="11"/>
        <v>2330.5300000000002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3166.7799999999997</v>
      </c>
      <c r="F29" s="75">
        <f t="shared" si="12"/>
        <v>5734.2379999999994</v>
      </c>
      <c r="G29" s="75">
        <f t="shared" si="12"/>
        <v>5105.3289999999997</v>
      </c>
      <c r="H29" s="75">
        <f t="shared" si="12"/>
        <v>4987.1499999999996</v>
      </c>
      <c r="I29" s="75">
        <f t="shared" si="12"/>
        <v>0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22506.476999999999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36" t="str">
        <f t="shared" si="13"/>
        <v>T04</v>
      </c>
      <c r="H31" s="136" t="str">
        <f t="shared" si="13"/>
        <v>T05</v>
      </c>
      <c r="I31" s="1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>
        <f t="shared" ref="E33:F33" si="15">IFERROR(E19/E26," ")</f>
        <v>31.175662629779151</v>
      </c>
      <c r="F33" s="58">
        <f t="shared" si="15"/>
        <v>28.137402756695213</v>
      </c>
      <c r="G33" s="58">
        <f t="shared" si="14"/>
        <v>29.752260033505657</v>
      </c>
      <c r="H33" s="58">
        <f t="shared" si="14"/>
        <v>31.664983283921028</v>
      </c>
      <c r="I33" s="58" t="str">
        <f t="shared" si="14"/>
        <v xml:space="preserve"> 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30.206975474173724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>
        <f t="shared" ref="E34:F34" si="17">IFERROR(E20/E27," ")</f>
        <v>28.061978434130335</v>
      </c>
      <c r="F34" s="58">
        <f t="shared" si="17"/>
        <v>28.709431212228928</v>
      </c>
      <c r="G34" s="58">
        <f t="shared" si="14"/>
        <v>29.711167624944714</v>
      </c>
      <c r="H34" s="58">
        <f t="shared" si="14"/>
        <v>30.307671755725188</v>
      </c>
      <c r="I34" s="58" t="str">
        <f t="shared" si="14"/>
        <v xml:space="preserve"> 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29.103880727725919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>
        <f t="shared" ref="E35:F35" si="19">IFERROR(E21/E28," ")</f>
        <v>33.461138014527855</v>
      </c>
      <c r="F35" s="58">
        <f t="shared" si="19"/>
        <v>32.075926091225561</v>
      </c>
      <c r="G35" s="58">
        <f t="shared" si="14"/>
        <v>33.470973822886776</v>
      </c>
      <c r="H35" s="58">
        <f t="shared" si="14"/>
        <v>34.021275367894589</v>
      </c>
      <c r="I35" s="58" t="str">
        <f t="shared" si="14"/>
        <v xml:space="preserve"> 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33.073245141663051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>
        <f>IFERROR(SUM(E19:E20)/SUM(E26:E27),"")</f>
        <v>28.951202589215832</v>
      </c>
      <c r="F36" s="77">
        <f>IFERROR(SUM(F19:F20)/SUM(F26:F27),"")</f>
        <v>28.448397862579835</v>
      </c>
      <c r="G36" s="77">
        <f>IFERROR(SUM(G19:G20)/SUM(G26:G27),"")</f>
        <v>29.732229904048911</v>
      </c>
      <c r="H36" s="77">
        <f t="shared" ref="H36:O36" si="21">IFERROR(SUM(H19:H20)/SUM(H26:H27),"")</f>
        <v>30.789337631231394</v>
      </c>
      <c r="I36" s="77" t="str">
        <f t="shared" si="21"/>
        <v/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29.557705519349348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199501.742</v>
      </c>
      <c r="F38" s="36">
        <f t="shared" si="22"/>
        <v>364663.58599999995</v>
      </c>
      <c r="G38" s="36">
        <f t="shared" si="22"/>
        <v>518201.72199999995</v>
      </c>
      <c r="H38" s="36">
        <f t="shared" si="22"/>
        <v>673432.8899999999</v>
      </c>
      <c r="I38" s="36">
        <f t="shared" si="22"/>
        <v>673432.8899999999</v>
      </c>
      <c r="J38" s="36">
        <f t="shared" si="22"/>
        <v>673432.8899999999</v>
      </c>
      <c r="K38" s="36">
        <f t="shared" si="22"/>
        <v>673432.8899999999</v>
      </c>
      <c r="L38" s="36">
        <f t="shared" si="22"/>
        <v>673432.8899999999</v>
      </c>
      <c r="M38" s="36">
        <f t="shared" si="22"/>
        <v>673432.8899999999</v>
      </c>
      <c r="N38" s="36">
        <f t="shared" si="22"/>
        <v>673432.8899999999</v>
      </c>
      <c r="O38" s="36">
        <f t="shared" si="22"/>
        <v>673432.8899999999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36" t="str">
        <f t="shared" si="24"/>
        <v>T04</v>
      </c>
      <c r="H40" s="136" t="str">
        <f t="shared" si="24"/>
        <v>T05</v>
      </c>
      <c r="I40" s="1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0.71642407061791646</v>
      </c>
      <c r="F41" s="116">
        <f t="shared" si="25"/>
        <v>1.1489316107193908</v>
      </c>
      <c r="G41" s="116">
        <f t="shared" si="25"/>
        <v>1.1468465389967335</v>
      </c>
      <c r="H41" s="116">
        <f t="shared" si="25"/>
        <v>1.0899085104444273</v>
      </c>
      <c r="I41" s="116">
        <f t="shared" si="25"/>
        <v>0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0.44981392939430631</v>
      </c>
      <c r="F42" s="114">
        <f t="shared" si="26"/>
        <v>1.1387277060235679</v>
      </c>
      <c r="G42" s="114">
        <f t="shared" si="26"/>
        <v>1.1600621972951699</v>
      </c>
      <c r="H42" s="114">
        <f t="shared" si="26"/>
        <v>0.81689696049404137</v>
      </c>
      <c r="I42" s="114">
        <f t="shared" si="26"/>
        <v>0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0.77286298055120128</v>
      </c>
      <c r="F43" s="114">
        <f t="shared" si="27"/>
        <v>0.94926459471562108</v>
      </c>
      <c r="G43" s="114">
        <f t="shared" si="27"/>
        <v>0.92572260064790834</v>
      </c>
      <c r="H43" s="114">
        <f t="shared" si="27"/>
        <v>1.0831628169312184</v>
      </c>
      <c r="I43" s="114">
        <f t="shared" si="27"/>
        <v>0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0.7623005065168601</v>
      </c>
      <c r="F44" s="116">
        <f t="shared" si="28"/>
        <v>0.89937652586067263</v>
      </c>
      <c r="G44" s="116">
        <f t="shared" si="28"/>
        <v>0.96080503200622769</v>
      </c>
      <c r="H44" s="116">
        <f t="shared" si="28"/>
        <v>0.98777564489987035</v>
      </c>
      <c r="I44" s="116">
        <f t="shared" si="28"/>
        <v>0.81600324208738884</v>
      </c>
      <c r="J44" s="116">
        <f t="shared" si="28"/>
        <v>0.69577451274405677</v>
      </c>
      <c r="K44" s="116">
        <f t="shared" si="28"/>
        <v>0.60872894892914786</v>
      </c>
      <c r="L44" s="116">
        <f t="shared" si="28"/>
        <v>0.53801744971779419</v>
      </c>
      <c r="M44" s="116">
        <f t="shared" si="28"/>
        <v>0.48560011050927998</v>
      </c>
      <c r="N44" s="116">
        <f t="shared" si="28"/>
        <v>0.44016933206618186</v>
      </c>
      <c r="O44" s="116">
        <f t="shared" si="28"/>
        <v>0.40216482679081811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0.54403035798367871</v>
      </c>
      <c r="F45" s="114">
        <f>SUM($D$19:F19)/SUM($D$5:F5)</f>
        <v>0.74249755090244374</v>
      </c>
      <c r="G45" s="114">
        <f>SUM($D$19:G19)/SUM($D$5:G5)</f>
        <v>0.85048001710711874</v>
      </c>
      <c r="H45" s="114">
        <f>SUM($D$19:H19)/SUM($D$5:H5)</f>
        <v>0.84353726965513709</v>
      </c>
      <c r="I45" s="114">
        <f>SUM($D$19:I19)/SUM($D$5:I5)</f>
        <v>0.7048504213375778</v>
      </c>
      <c r="J45" s="114">
        <f>SUM($D$19:J19)/SUM($D$5:J5)</f>
        <v>0.60237395326706356</v>
      </c>
      <c r="K45" s="114">
        <f>SUM($D$19:K19)/SUM($D$5:K5)</f>
        <v>0.5224168419011177</v>
      </c>
      <c r="L45" s="114">
        <f>SUM($D$19:L19)/SUM($D$5:L5)</f>
        <v>0.46834440801157839</v>
      </c>
      <c r="M45" s="114">
        <f>SUM($D$19:M19)/SUM($D$5:M5)</f>
        <v>0.42164465002492174</v>
      </c>
      <c r="N45" s="114">
        <f>SUM($D$19:N19)/SUM($D$5:N5)</f>
        <v>0.38271112668503227</v>
      </c>
      <c r="O45" s="114">
        <f>SUM($D$19:O19)/SUM($D$5:O5)</f>
        <v>0.34965608420440697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0.7632292214937465</v>
      </c>
      <c r="F46" s="115">
        <f>SUM($D$20:F20)/SUM($D$6:F6)</f>
        <v>0.8321507676523815</v>
      </c>
      <c r="G46" s="115">
        <f>SUM($D$20:G20)/SUM($D$6:G6)</f>
        <v>0.85461957187705995</v>
      </c>
      <c r="H46" s="115">
        <f>SUM($D$20:H20)/SUM($D$6:H6)</f>
        <v>0.90275838854534773</v>
      </c>
      <c r="I46" s="115">
        <f>SUM($D$20:I20)/SUM($D$6:I6)</f>
        <v>0.73922586623008169</v>
      </c>
      <c r="J46" s="115">
        <f>SUM($D$20:J20)/SUM($D$6:J6)</f>
        <v>0.62920235547242143</v>
      </c>
      <c r="K46" s="115">
        <f>SUM($D$20:K20)/SUM($D$6:K6)</f>
        <v>0.55418000931276501</v>
      </c>
      <c r="L46" s="115">
        <f>SUM($D$20:L20)/SUM($D$6:L6)</f>
        <v>0.4845282635507796</v>
      </c>
      <c r="M46" s="115">
        <f>SUM($D$20:M20)/SUM($D$6:M6)</f>
        <v>0.43816238716340089</v>
      </c>
      <c r="N46" s="115">
        <f>SUM($D$20:N20)/SUM($D$6:N6)</f>
        <v>0.39676317731897148</v>
      </c>
      <c r="O46" s="115">
        <f>SUM($D$20:O20)/SUM($D$6:O6)</f>
        <v>0.36251033270449839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36" t="str">
        <f t="shared" si="29"/>
        <v>T04</v>
      </c>
      <c r="H48" s="136" t="str">
        <f t="shared" si="29"/>
        <v>T05</v>
      </c>
      <c r="I48" s="1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0.74454403724484064</v>
      </c>
      <c r="F49" s="117">
        <f t="shared" si="30"/>
        <v>1.225642330633794</v>
      </c>
      <c r="G49" s="117">
        <f t="shared" si="30"/>
        <v>1.1618252197912</v>
      </c>
      <c r="H49" s="117">
        <f t="shared" si="30"/>
        <v>1.0694152402502155</v>
      </c>
      <c r="I49" s="117">
        <f t="shared" si="30"/>
        <v>0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0.43636461946722477</v>
      </c>
      <c r="F50" s="121">
        <f t="shared" si="31"/>
        <v>1.2129557524397074</v>
      </c>
      <c r="G50" s="121">
        <f t="shared" si="31"/>
        <v>1.1803553752162212</v>
      </c>
      <c r="H50" s="121">
        <f t="shared" si="31"/>
        <v>0.77466368837395216</v>
      </c>
      <c r="I50" s="121">
        <f t="shared" si="31"/>
        <v>0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0.84926655490360436</v>
      </c>
      <c r="F51" s="121">
        <f t="shared" si="32"/>
        <v>1.033811098860713</v>
      </c>
      <c r="G51" s="121">
        <f t="shared" si="32"/>
        <v>0.95441114394259186</v>
      </c>
      <c r="H51" s="121">
        <f t="shared" si="32"/>
        <v>1.1059094397544129</v>
      </c>
      <c r="I51" s="121">
        <f t="shared" si="32"/>
        <v>0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0.77929542974177268</v>
      </c>
      <c r="F52" s="117">
        <f>SUM(D29:F29)/SUM(D15:F15)</f>
        <v>0.93689879883614824</v>
      </c>
      <c r="G52" s="117">
        <f>SUM(D29:G29)/SUM(D15:G15)</f>
        <v>0.99291560246288846</v>
      </c>
      <c r="H52" s="117">
        <f>SUM(D29:H29)/SUM(D15:H15)</f>
        <v>1.008907846985625</v>
      </c>
      <c r="I52" s="117">
        <f>SUM(D29:I29)/SUM(D15:I15)</f>
        <v>0.83358201978317459</v>
      </c>
      <c r="J52" s="117">
        <f>SUM(D29:J29)/SUM(D15:J15)</f>
        <v>0.71022687053728029</v>
      </c>
      <c r="K52" s="117">
        <f>SUM(D29:K29)/SUM(D15:K15)</f>
        <v>0.62083429972498416</v>
      </c>
      <c r="L52" s="117">
        <f>SUM(D29:L29)/SUM(D15:L15)</f>
        <v>0.54858241788002715</v>
      </c>
      <c r="M52" s="117">
        <f>SUM(D29:M29)/SUM(D15:M15)</f>
        <v>0.49469963784346871</v>
      </c>
      <c r="N52" s="117">
        <f>SUM(D29:N29)/SUM(D15:N15)</f>
        <v>0.44819798967613489</v>
      </c>
      <c r="O52" s="117">
        <f>SUM(D29:O29)/SUM(D15:O15)</f>
        <v>0.40920867271100309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0.51202714641261704</v>
      </c>
      <c r="F53" s="121">
        <f>SUM($D$26:F26)/SUM($D$12:F12)</f>
        <v>0.74698073162711209</v>
      </c>
      <c r="G53" s="121">
        <f>SUM($D$26:G26)/SUM($D$12:G12)</f>
        <v>0.85858799864824997</v>
      </c>
      <c r="H53" s="121">
        <f>SUM($D$26:H26)/SUM($D$12:H12)</f>
        <v>0.84118326678720845</v>
      </c>
      <c r="I53" s="121">
        <f>SUM($D$26:I26)/SUM($D$12:I12)</f>
        <v>0.70321902629928179</v>
      </c>
      <c r="J53" s="121">
        <f>SUM($D$26:J26)/SUM($D$12:J12)</f>
        <v>0.6003945294505284</v>
      </c>
      <c r="K53" s="121">
        <f>SUM($D$26:K26)/SUM($D$12:K12)</f>
        <v>0.52093332795112579</v>
      </c>
      <c r="L53" s="121">
        <f>SUM($D$26:L26)/SUM($D$12:L12)</f>
        <v>0.46638567121967384</v>
      </c>
      <c r="M53" s="121">
        <f>SUM($D$26:M26)/SUM($D$12:M12)</f>
        <v>0.41993603706520211</v>
      </c>
      <c r="N53" s="121">
        <f>SUM($D$26:N26)/SUM($D$12:N12)</f>
        <v>0.38083855343949624</v>
      </c>
      <c r="O53" s="121">
        <f>SUM($D$26:O26)/SUM($D$12:O12)</f>
        <v>0.34785693628135544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0.83586052463211769</v>
      </c>
      <c r="F54" s="122">
        <f>SUM($D$27:F27)/SUM($D$13:F13)</f>
        <v>0.90854925775978412</v>
      </c>
      <c r="G54" s="122">
        <f>SUM($D$27:G27)/SUM($D$13:G13)</f>
        <v>0.91965947438388385</v>
      </c>
      <c r="H54" s="122">
        <f>SUM($D$27:H27)/SUM($D$13:H13)</f>
        <v>0.95884941461445294</v>
      </c>
      <c r="I54" s="122">
        <f>SUM($D$27:I27)/SUM($D$13:I13)</f>
        <v>0.78488764044943826</v>
      </c>
      <c r="J54" s="122">
        <f>SUM($D$27:J27)/SUM($D$13:J13)</f>
        <v>0.66764585172233493</v>
      </c>
      <c r="K54" s="122">
        <f>SUM($D$27:K27)/SUM($D$13:K13)</f>
        <v>0.58701970845135165</v>
      </c>
      <c r="L54" s="122">
        <f>SUM($D$27:L27)/SUM($D$13:L13)</f>
        <v>0.51341985914335986</v>
      </c>
      <c r="M54" s="122">
        <f>SUM($D$27:M27)/SUM($D$13:M13)</f>
        <v>0.46353863749029034</v>
      </c>
      <c r="N54" s="122">
        <f>SUM($D$27:N27)/SUM($D$13:N13)</f>
        <v>0.41963998600652319</v>
      </c>
      <c r="O54" s="122">
        <f>SUM($D$27:O27)/SUM($D$13:O13)</f>
        <v>0.38300291234894002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topLeftCell="A7" zoomScale="90" zoomScaleNormal="90" workbookViewId="0">
      <selection activeCell="L21" sqref="L2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129801.166</v>
      </c>
      <c r="E19" s="8">
        <f>SUM(Monthly!G19:I19)</f>
        <v>120934.764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250735.93</v>
      </c>
      <c r="I19" s="67"/>
    </row>
    <row r="20" spans="2:10" x14ac:dyDescent="0.45">
      <c r="B20" s="2"/>
      <c r="C20" s="3" t="s">
        <v>4</v>
      </c>
      <c r="D20" s="8">
        <f>SUM(Monthly!D20:F20)</f>
        <v>191095.11</v>
      </c>
      <c r="E20" s="8">
        <f>SUM(Monthly!G20:I20)</f>
        <v>154523.65999999997</v>
      </c>
      <c r="F20" s="8">
        <f>SUM(Monthly!J20:L20)</f>
        <v>0</v>
      </c>
      <c r="G20" s="8">
        <f>SUM(Monthly!M20:O20)</f>
        <v>0</v>
      </c>
      <c r="H20" s="8">
        <f t="shared" si="2"/>
        <v>345618.76999999996</v>
      </c>
      <c r="I20" s="67"/>
    </row>
    <row r="21" spans="2:10" x14ac:dyDescent="0.45">
      <c r="B21" s="29"/>
      <c r="C21" s="30" t="s">
        <v>5</v>
      </c>
      <c r="D21" s="8">
        <f>SUM(Monthly!D21:F21)</f>
        <v>43767.31</v>
      </c>
      <c r="E21" s="8">
        <f>SUM(Monthly!G21:I21)</f>
        <v>33310.880000000005</v>
      </c>
      <c r="F21" s="8">
        <f>SUM(Monthly!J21:L21)</f>
        <v>0</v>
      </c>
      <c r="G21" s="8">
        <f>SUM(Monthly!M21:O21)</f>
        <v>0</v>
      </c>
      <c r="H21" s="8">
        <f t="shared" si="2"/>
        <v>77078.19</v>
      </c>
    </row>
    <row r="22" spans="2:10" ht="16.5" thickBot="1" x14ac:dyDescent="0.5">
      <c r="B22" s="73"/>
      <c r="C22" s="74" t="s">
        <v>2</v>
      </c>
      <c r="D22" s="75">
        <f>SUM(D19:D21)</f>
        <v>364663.58599999995</v>
      </c>
      <c r="E22" s="75">
        <f>SUM(E19:E21)</f>
        <v>308769.304</v>
      </c>
      <c r="F22" s="75">
        <f>SUM(F19:F21)</f>
        <v>0</v>
      </c>
      <c r="G22" s="75">
        <f>SUM(G19:G21)</f>
        <v>0</v>
      </c>
      <c r="H22" s="76">
        <f>SUM(H19:H21)</f>
        <v>673432.8899999999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4337.7880000000005</v>
      </c>
      <c r="E26" s="8">
        <f>SUM(Monthly!G26:I26)</f>
        <v>3962.8089999999997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8300.5969999999998</v>
      </c>
      <c r="I26" s="67"/>
    </row>
    <row r="27" spans="2:10" x14ac:dyDescent="0.45">
      <c r="B27" s="2"/>
      <c r="C27" s="3" t="s">
        <v>4</v>
      </c>
      <c r="D27" s="8">
        <f>SUM(Monthly!D27:F27)</f>
        <v>6732.35</v>
      </c>
      <c r="E27" s="8">
        <f>SUM(Monthly!G27:I27)</f>
        <v>5143</v>
      </c>
      <c r="F27" s="8">
        <f>SUM(Monthly!J27:L27)</f>
        <v>0</v>
      </c>
      <c r="G27" s="8">
        <f>SUM(Monthly!M27:O27)</f>
        <v>0</v>
      </c>
      <c r="H27" s="8">
        <f t="shared" si="3"/>
        <v>11875.35</v>
      </c>
      <c r="I27" s="90"/>
    </row>
    <row r="28" spans="2:10" x14ac:dyDescent="0.45">
      <c r="B28" s="29"/>
      <c r="C28" s="30" t="s">
        <v>5</v>
      </c>
      <c r="D28" s="8">
        <f>SUM(Monthly!D28:F28)</f>
        <v>1343.8600000000001</v>
      </c>
      <c r="E28" s="8">
        <f>SUM(Monthly!G28:I28)</f>
        <v>986.67000000000007</v>
      </c>
      <c r="F28" s="8">
        <f>SUM(Monthly!J28:L28)</f>
        <v>0</v>
      </c>
      <c r="G28" s="8">
        <f>SUM(Monthly!M28:O28)</f>
        <v>0</v>
      </c>
      <c r="H28" s="8">
        <f t="shared" si="3"/>
        <v>2330.5300000000002</v>
      </c>
    </row>
    <row r="29" spans="2:10" ht="16.5" thickBot="1" x14ac:dyDescent="0.5">
      <c r="B29" s="70"/>
      <c r="C29" s="71" t="s">
        <v>2</v>
      </c>
      <c r="D29" s="75">
        <f>SUM(D26:D28)</f>
        <v>12413.998000000001</v>
      </c>
      <c r="E29" s="75">
        <f>SUM(E26:E28)</f>
        <v>10092.478999999999</v>
      </c>
      <c r="F29" s="75">
        <f>SUM(F26:F28)</f>
        <v>0</v>
      </c>
      <c r="G29" s="75">
        <f>SUM(G26:G28)</f>
        <v>0</v>
      </c>
      <c r="H29" s="76">
        <f>SUM(H26:H28)</f>
        <v>22506.476999999999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29.923354022833752</v>
      </c>
      <c r="E33" s="58">
        <f>IFERROR(E19/E26," ")</f>
        <v>30.517434476402975</v>
      </c>
      <c r="F33" s="58" t="str">
        <f>IFERROR(F19/F26,"")</f>
        <v/>
      </c>
      <c r="G33" s="58" t="str">
        <f>IFERROR(G19/G26,"")</f>
        <v/>
      </c>
      <c r="H33" s="58">
        <f t="shared" si="4"/>
        <v>30.206975474173724</v>
      </c>
    </row>
    <row r="34" spans="2:8" x14ac:dyDescent="0.45">
      <c r="B34" s="2"/>
      <c r="C34" s="3" t="s">
        <v>4</v>
      </c>
      <c r="D34" s="58">
        <f t="shared" si="4"/>
        <v>28.384607157976038</v>
      </c>
      <c r="E34" s="58">
        <f t="shared" ref="E34:E35" si="5">IFERROR(E20/E27," ")</f>
        <v>30.04543262687147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29.103880727725915</v>
      </c>
    </row>
    <row r="35" spans="2:8" x14ac:dyDescent="0.45">
      <c r="B35" s="29"/>
      <c r="C35" s="30" t="s">
        <v>5</v>
      </c>
      <c r="D35" s="58">
        <f t="shared" si="4"/>
        <v>32.568355334633068</v>
      </c>
      <c r="E35" s="58">
        <f t="shared" si="5"/>
        <v>33.760912969888615</v>
      </c>
      <c r="F35" s="58" t="str">
        <f t="shared" si="6"/>
        <v/>
      </c>
      <c r="G35" s="58" t="str">
        <f t="shared" si="6"/>
        <v/>
      </c>
      <c r="H35" s="58">
        <f t="shared" si="4"/>
        <v>33.073245141663051</v>
      </c>
    </row>
    <row r="36" spans="2:8" ht="16.5" thickBot="1" x14ac:dyDescent="0.5">
      <c r="B36" s="70"/>
      <c r="C36" s="71" t="s">
        <v>2</v>
      </c>
      <c r="D36" s="77">
        <f>D22/D29</f>
        <v>29.37519290723262</v>
      </c>
      <c r="E36" s="77">
        <f>IFERROR(E22/E29,"")</f>
        <v>30.594000146049353</v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29.557705519349348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364663.58599999995</v>
      </c>
      <c r="E38" s="36">
        <f>D38+E22</f>
        <v>673432.8899999999</v>
      </c>
      <c r="F38" s="36">
        <f>E38+F22</f>
        <v>673432.8899999999</v>
      </c>
      <c r="G38" s="36">
        <f>F38+G22</f>
        <v>673432.8899999999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0.89937652586067263</v>
      </c>
      <c r="E41" s="95">
        <f t="shared" ref="E41:F41" si="8">E38/E39</f>
        <v>0.81600324208738884</v>
      </c>
      <c r="F41" s="95">
        <f t="shared" si="8"/>
        <v>0.5380174497177943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0.74249755090244374</v>
      </c>
      <c r="E43" s="87">
        <f>SUM(D19:E19)/SUM(D5:E5)</f>
        <v>0.70485042133757769</v>
      </c>
      <c r="F43" s="87">
        <f>SUM(E19:F19)/SUM(E5:F5)</f>
        <v>0.33541783962689692</v>
      </c>
      <c r="G43" s="87"/>
    </row>
    <row r="44" spans="2:8" s="85" customFormat="1" x14ac:dyDescent="0.45">
      <c r="C44" s="86" t="s">
        <v>4</v>
      </c>
      <c r="D44" s="87">
        <f>D20/D6</f>
        <v>0.8321507676523815</v>
      </c>
      <c r="E44" s="87">
        <f>SUM(D20:E20)/SUM(D6:E6)</f>
        <v>0.73922586623008169</v>
      </c>
      <c r="F44" s="118">
        <f>SUM(E20:F20)/SUM(E6:F6)</f>
        <v>0.31948171160634758</v>
      </c>
      <c r="G44" s="87"/>
    </row>
    <row r="45" spans="2:8" s="83" customFormat="1" x14ac:dyDescent="0.45">
      <c r="C45" s="81" t="s">
        <v>43</v>
      </c>
      <c r="D45" s="95">
        <f>D22/D8</f>
        <v>0.89937652586067263</v>
      </c>
      <c r="E45" s="95">
        <f>E22/E8</f>
        <v>0.73548112743317329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0.74249755090244374</v>
      </c>
      <c r="E47" s="87">
        <f t="shared" si="10"/>
        <v>0.66847171022274532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0.8321507676523815</v>
      </c>
      <c r="E48" s="87">
        <f t="shared" si="10"/>
        <v>0.64952791940418697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250735.93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345618.76999999996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77078.19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673432.8899999999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8300.5969999999998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11875.35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2330.5300000000002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22506.476999999999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30.206975474173724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29.103880727725915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33.073245141663051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29.921737195919199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2026-06-01T02:37:23Z</dcterms:modified>
</cp:coreProperties>
</file>