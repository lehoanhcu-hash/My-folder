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ata\GĐ Tài chính\Cost Controlling\Costing Flow Chart\Báo CT _Model\"/>
    </mc:Choice>
  </mc:AlternateContent>
  <xr:revisionPtr revIDLastSave="0" documentId="13_ncr:1_{05333169-5F05-489D-A8D2-F0B4A7432C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shbo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" l="1"/>
  <c r="B19" i="1"/>
  <c r="B22" i="1" s="1"/>
  <c r="B18" i="1"/>
  <c r="B15" i="1"/>
  <c r="B14" i="1"/>
  <c r="B13" i="1"/>
  <c r="B12" i="1"/>
</calcChain>
</file>

<file path=xl/sharedStrings.xml><?xml version="1.0" encoding="utf-8"?>
<sst xmlns="http://schemas.openxmlformats.org/spreadsheetml/2006/main" count="20" uniqueCount="20">
  <si>
    <t>INPUT</t>
  </si>
  <si>
    <t>MIX</t>
  </si>
  <si>
    <t>B0 Price</t>
  </si>
  <si>
    <t>High %</t>
  </si>
  <si>
    <t>Processing Cost</t>
  </si>
  <si>
    <t>Mid %</t>
  </si>
  <si>
    <t>High Price</t>
  </si>
  <si>
    <t>Cap %</t>
  </si>
  <si>
    <t>Mid Price</t>
  </si>
  <si>
    <t>Other %</t>
  </si>
  <si>
    <t>Cap Price</t>
  </si>
  <si>
    <t>Total Qty</t>
  </si>
  <si>
    <t>Qty High</t>
  </si>
  <si>
    <t>Qty Mid</t>
  </si>
  <si>
    <t>Qty Cap</t>
  </si>
  <si>
    <t>Qty Other</t>
  </si>
  <si>
    <t>Profit High</t>
  </si>
  <si>
    <t>Profit Mid</t>
  </si>
  <si>
    <t>Profit Cap</t>
  </si>
  <si>
    <t>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</si>
</sst>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B6" sqref="B6"/>
    </sheetView>
  </sheetViews>
  <sheetFormatPr defaultRowHeight="14.5" x14ac:dyDescent="0.35"/>
  <cols>
    <col min="1" max="1" width="19.1796875" customWidth="1"/>
    <col min="2" max="2" width="10.08984375" bestFit="1" customWidth="1"/>
  </cols>
  <sheetData>
    <row r="1" spans="1:5" x14ac:dyDescent="0.35">
      <c r="A1" s="1" t="s">
        <v>0</v>
      </c>
      <c r="D1" s="1" t="s">
        <v>1</v>
      </c>
    </row>
    <row r="2" spans="1:5" x14ac:dyDescent="0.35">
      <c r="A2" t="s">
        <v>2</v>
      </c>
      <c r="B2" s="2">
        <v>11300</v>
      </c>
      <c r="D2" t="s">
        <v>3</v>
      </c>
      <c r="E2">
        <v>0.6</v>
      </c>
    </row>
    <row r="3" spans="1:5" x14ac:dyDescent="0.35">
      <c r="A3" t="s">
        <v>4</v>
      </c>
      <c r="B3" s="2">
        <v>14400</v>
      </c>
      <c r="D3" t="s">
        <v>5</v>
      </c>
      <c r="E3">
        <v>0.3</v>
      </c>
    </row>
    <row r="4" spans="1:5" x14ac:dyDescent="0.35">
      <c r="A4" t="s">
        <v>6</v>
      </c>
      <c r="B4" s="2">
        <v>22000</v>
      </c>
      <c r="D4" t="s">
        <v>7</v>
      </c>
      <c r="E4">
        <v>6.7000000000000004E-2</v>
      </c>
    </row>
    <row r="5" spans="1:5" x14ac:dyDescent="0.35">
      <c r="A5" t="s">
        <v>8</v>
      </c>
      <c r="B5" s="2">
        <v>19000</v>
      </c>
      <c r="D5" t="s">
        <v>9</v>
      </c>
      <c r="E5">
        <v>3.3000000000000002E-2</v>
      </c>
    </row>
    <row r="6" spans="1:5" x14ac:dyDescent="0.35">
      <c r="A6" t="s">
        <v>10</v>
      </c>
      <c r="B6" s="2">
        <v>8100</v>
      </c>
    </row>
    <row r="10" spans="1:5" x14ac:dyDescent="0.35">
      <c r="A10" t="s">
        <v>11</v>
      </c>
      <c r="B10">
        <v>1000</v>
      </c>
    </row>
    <row r="12" spans="1:5" x14ac:dyDescent="0.35">
      <c r="A12" t="s">
        <v>12</v>
      </c>
      <c r="B12">
        <f>B10*E2</f>
        <v>600</v>
      </c>
    </row>
    <row r="13" spans="1:5" x14ac:dyDescent="0.35">
      <c r="A13" t="s">
        <v>13</v>
      </c>
      <c r="B13">
        <f>B10*E3</f>
        <v>300</v>
      </c>
    </row>
    <row r="14" spans="1:5" x14ac:dyDescent="0.35">
      <c r="A14" t="s">
        <v>14</v>
      </c>
      <c r="B14">
        <f>B10*E4</f>
        <v>67</v>
      </c>
    </row>
    <row r="15" spans="1:5" x14ac:dyDescent="0.35">
      <c r="A15" t="s">
        <v>15</v>
      </c>
      <c r="B15">
        <f>B10*E5</f>
        <v>33</v>
      </c>
    </row>
    <row r="18" spans="1:2" x14ac:dyDescent="0.35">
      <c r="A18" t="s">
        <v>16</v>
      </c>
      <c r="B18">
        <f>B4-((B2+B3)/E2)</f>
        <v>-20833.333333333336</v>
      </c>
    </row>
    <row r="19" spans="1:2" x14ac:dyDescent="0.35">
      <c r="A19" t="s">
        <v>17</v>
      </c>
      <c r="B19">
        <f>B5-((B2+B3)/E3)</f>
        <v>-66666.666666666672</v>
      </c>
    </row>
    <row r="20" spans="1:2" x14ac:dyDescent="0.35">
      <c r="A20" t="s">
        <v>18</v>
      </c>
      <c r="B20">
        <f>B6-1000</f>
        <v>7100</v>
      </c>
    </row>
    <row r="22" spans="1:2" x14ac:dyDescent="0.35">
      <c r="A22" t="s">
        <v>19</v>
      </c>
      <c r="B22">
        <f>B18*B12+B19*B13+B20*B14</f>
        <v>-32024300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Cư, Lê Hoành</cp:lastModifiedBy>
  <dcterms:created xsi:type="dcterms:W3CDTF">2026-04-28T05:17:04Z</dcterms:created>
  <dcterms:modified xsi:type="dcterms:W3CDTF">2026-04-28T05:19:34Z</dcterms:modified>
</cp:coreProperties>
</file>